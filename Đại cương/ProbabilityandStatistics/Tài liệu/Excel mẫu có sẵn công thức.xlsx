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minhk\Downloads\"/>
    </mc:Choice>
  </mc:AlternateContent>
  <xr:revisionPtr revIDLastSave="0" documentId="13_ncr:1_{69953581-5692-44C0-9F77-847AD1216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g_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6" i="1" s="1"/>
  <c r="J14" i="1"/>
  <c r="D9" i="1"/>
  <c r="D8" i="1"/>
  <c r="D7" i="1"/>
  <c r="D3" i="1"/>
  <c r="D4" i="1"/>
  <c r="D5" i="1"/>
  <c r="D6" i="1"/>
  <c r="D10" i="1"/>
  <c r="C10" i="1"/>
  <c r="I3" i="1"/>
  <c r="I4" i="1"/>
  <c r="E3" i="1"/>
  <c r="E4" i="1"/>
  <c r="E5" i="1"/>
  <c r="E6" i="1"/>
  <c r="R15" i="1"/>
  <c r="R14" i="1"/>
  <c r="J16" i="1"/>
  <c r="E9" i="1"/>
  <c r="E8" i="1"/>
  <c r="E7" i="1"/>
  <c r="E10" i="1"/>
  <c r="I6" i="1"/>
  <c r="I8" i="1"/>
  <c r="I5" i="1"/>
  <c r="I7" i="1"/>
</calcChain>
</file>

<file path=xl/sharedStrings.xml><?xml version="1.0" encoding="utf-8"?>
<sst xmlns="http://schemas.openxmlformats.org/spreadsheetml/2006/main" count="23" uniqueCount="21">
  <si>
    <t>x(i)</t>
  </si>
  <si>
    <t>n(i)</t>
  </si>
  <si>
    <t>x(i)*n(i)</t>
  </si>
  <si>
    <t>n(i)*(xi - X ngang)^2</t>
  </si>
  <si>
    <t>n:</t>
  </si>
  <si>
    <t>X ngang:</t>
  </si>
  <si>
    <t>s^2</t>
  </si>
  <si>
    <t>s'^2</t>
  </si>
  <si>
    <t>s</t>
  </si>
  <si>
    <t>s'</t>
  </si>
  <si>
    <t>.</t>
  </si>
  <si>
    <t>x</t>
  </si>
  <si>
    <t>Φ(x)</t>
  </si>
  <si>
    <t>p</t>
  </si>
  <si>
    <t>k</t>
  </si>
  <si>
    <t>t</t>
  </si>
  <si>
    <t>α</t>
  </si>
  <si>
    <t>n-1</t>
  </si>
  <si>
    <t>χ^2</t>
  </si>
  <si>
    <t>thuận</t>
  </si>
  <si>
    <t>ngược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</si>
</sst>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2"/>
      <color rgb="FF20212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F47E-30F9-6A43-A316-46B1BFC95F95}">
  <dimension ref="B2:R16"/>
  <sheetViews>
    <sheetView tabSelected="1" zoomScaleNormal="60" zoomScaleSheetLayoutView="100" workbookViewId="0">
      <selection activeCell="N14" sqref="N14"/>
    </sheetView>
  </sheetViews>
  <sheetFormatPr defaultRowHeight="14.25" x14ac:dyDescent="0.2"/>
  <cols>
    <col min="3" max="3" width="11.875" bestFit="1" customWidth="1"/>
    <col min="5" max="5" width="11.875" bestFit="1" customWidth="1"/>
    <col min="7" max="7" width="12.25" bestFit="1" customWidth="1"/>
    <col min="10" max="11" width="11.875" bestFit="1" customWidth="1"/>
  </cols>
  <sheetData>
    <row r="2" spans="2:18" x14ac:dyDescent="0.2">
      <c r="B2" t="s">
        <v>0</v>
      </c>
      <c r="C2" t="s">
        <v>1</v>
      </c>
      <c r="D2" t="s">
        <v>2</v>
      </c>
      <c r="E2" t="s">
        <v>3</v>
      </c>
    </row>
    <row r="3" spans="2:18" x14ac:dyDescent="0.2">
      <c r="B3">
        <v>70.25</v>
      </c>
      <c r="C3">
        <v>2</v>
      </c>
      <c r="D3">
        <f>B3*C3</f>
        <v>140.5</v>
      </c>
      <c r="E3">
        <f t="shared" ref="E3:E9" si="0">C3*(B3-$I$4)^2</f>
        <v>1.53125</v>
      </c>
      <c r="H3" t="s">
        <v>4</v>
      </c>
      <c r="I3">
        <f>C10</f>
        <v>8</v>
      </c>
    </row>
    <row r="4" spans="2:18" x14ac:dyDescent="0.2">
      <c r="B4">
        <v>70.5</v>
      </c>
      <c r="C4">
        <v>1</v>
      </c>
      <c r="D4">
        <f t="shared" ref="D4:D9" si="1">B4*C4</f>
        <v>70.5</v>
      </c>
      <c r="E4">
        <f t="shared" si="0"/>
        <v>0.390625</v>
      </c>
      <c r="H4" t="s">
        <v>5</v>
      </c>
      <c r="I4">
        <f>D10/C10</f>
        <v>71.125</v>
      </c>
    </row>
    <row r="5" spans="2:18" x14ac:dyDescent="0.2">
      <c r="B5">
        <v>71.25</v>
      </c>
      <c r="C5">
        <v>1</v>
      </c>
      <c r="D5">
        <f t="shared" si="1"/>
        <v>71.25</v>
      </c>
      <c r="E5">
        <f t="shared" si="0"/>
        <v>1.5625E-2</v>
      </c>
      <c r="H5" t="s">
        <v>6</v>
      </c>
      <c r="I5">
        <f>E10/C10</f>
        <v>1.296875</v>
      </c>
    </row>
    <row r="6" spans="2:18" x14ac:dyDescent="0.2">
      <c r="B6">
        <v>71.75</v>
      </c>
      <c r="C6">
        <v>1</v>
      </c>
      <c r="D6">
        <f t="shared" si="1"/>
        <v>71.75</v>
      </c>
      <c r="E6">
        <f t="shared" si="0"/>
        <v>0.390625</v>
      </c>
      <c r="H6" t="s">
        <v>7</v>
      </c>
      <c r="I6">
        <f>E10/(C10-1)</f>
        <v>1.4821428571428572</v>
      </c>
    </row>
    <row r="7" spans="2:18" x14ac:dyDescent="0.2">
      <c r="B7">
        <v>69.5</v>
      </c>
      <c r="C7">
        <v>1</v>
      </c>
      <c r="D7">
        <f t="shared" si="1"/>
        <v>69.5</v>
      </c>
      <c r="E7">
        <f t="shared" si="0"/>
        <v>2.640625</v>
      </c>
      <c r="H7" t="s">
        <v>8</v>
      </c>
      <c r="I7">
        <f>SQRT(I5)</f>
        <v>1.1388041973930374</v>
      </c>
    </row>
    <row r="8" spans="2:18" x14ac:dyDescent="0.2">
      <c r="B8">
        <v>73</v>
      </c>
      <c r="C8">
        <v>1</v>
      </c>
      <c r="D8">
        <f t="shared" si="1"/>
        <v>73</v>
      </c>
      <c r="E8">
        <f t="shared" si="0"/>
        <v>3.515625</v>
      </c>
      <c r="H8" t="s">
        <v>9</v>
      </c>
      <c r="I8">
        <f>SQRT(I6)</f>
        <v>1.2174328963613794</v>
      </c>
    </row>
    <row r="9" spans="2:18" x14ac:dyDescent="0.2">
      <c r="B9">
        <v>72.5</v>
      </c>
      <c r="C9">
        <v>1</v>
      </c>
      <c r="D9">
        <f t="shared" si="1"/>
        <v>72.5</v>
      </c>
      <c r="E9">
        <f t="shared" si="0"/>
        <v>1.890625</v>
      </c>
    </row>
    <row r="10" spans="2:18" x14ac:dyDescent="0.2">
      <c r="C10">
        <f>SUM(C3:C9)</f>
        <v>8</v>
      </c>
      <c r="D10">
        <f>SUM(D3:D9)</f>
        <v>569</v>
      </c>
      <c r="E10">
        <f>SUM(E3:E9)</f>
        <v>10.375</v>
      </c>
      <c r="F10" t="s">
        <v>10</v>
      </c>
    </row>
    <row r="13" spans="2:18" ht="15" x14ac:dyDescent="0.2">
      <c r="I13" t="s">
        <v>11</v>
      </c>
      <c r="J13" t="s">
        <v>12</v>
      </c>
      <c r="L13" t="s">
        <v>13</v>
      </c>
      <c r="M13" t="s">
        <v>14</v>
      </c>
      <c r="N13" t="s">
        <v>15</v>
      </c>
      <c r="P13" s="1" t="s">
        <v>16</v>
      </c>
      <c r="Q13" t="s">
        <v>17</v>
      </c>
      <c r="R13" t="s">
        <v>18</v>
      </c>
    </row>
    <row r="14" spans="2:18" x14ac:dyDescent="0.2">
      <c r="H14" t="s">
        <v>19</v>
      </c>
      <c r="I14">
        <v>0.49</v>
      </c>
      <c r="J14">
        <f>_xlfn.NORM.S.DIST(I14,TRUE)</f>
        <v>0.68793305058260945</v>
      </c>
      <c r="L14">
        <v>0.01</v>
      </c>
      <c r="M14">
        <v>30</v>
      </c>
      <c r="N14">
        <f>_xlfn.T.INV.2T(0.0279,33)</f>
        <v>2.300154883545388</v>
      </c>
      <c r="P14">
        <v>2.5149999999999999E-2</v>
      </c>
      <c r="Q14">
        <v>33</v>
      </c>
      <c r="R14">
        <f>_xlfn.CHISQ.INV.RT(P14,Q14)</f>
        <v>50.697477685428176</v>
      </c>
    </row>
    <row r="15" spans="2:18" x14ac:dyDescent="0.2">
      <c r="I15" t="s">
        <v>12</v>
      </c>
      <c r="J15" t="s">
        <v>11</v>
      </c>
      <c r="P15">
        <v>0.97484999999999999</v>
      </c>
      <c r="Q15">
        <v>33</v>
      </c>
      <c r="R15">
        <f>_xlfn.CHISQ.INV.RT(P15,Q15)</f>
        <v>19.060983889491048</v>
      </c>
    </row>
    <row r="16" spans="2:18" x14ac:dyDescent="0.2">
      <c r="H16" t="s">
        <v>20</v>
      </c>
      <c r="I16">
        <v>0.76143000000000005</v>
      </c>
      <c r="J16">
        <f>_xlfn.NORM.S.INV(I16)</f>
        <v>0.71091001420064859</v>
      </c>
      <c r="N16">
        <f>I4+N14*(I8/SQRT(I3))</f>
        <v>72.115049981296835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Hải Cường Nguyễn</dc:creator>
  <cp:keywords/>
  <dc:description/>
  <cp:lastModifiedBy>Lã Minh Khánh</cp:lastModifiedBy>
  <cp:revision/>
  <dcterms:created xsi:type="dcterms:W3CDTF">2023-11-20T12:14:37Z</dcterms:created>
  <dcterms:modified xsi:type="dcterms:W3CDTF">2024-04-23T06:34:29Z</dcterms:modified>
  <cp:category/>
  <cp:contentStatus/>
</cp:coreProperties>
</file>