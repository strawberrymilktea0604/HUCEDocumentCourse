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T\AN TOÀN BẢO MẬT THÔNG TIN\"/>
    </mc:Choice>
  </mc:AlternateContent>
  <xr:revisionPtr revIDLastSave="0" documentId="13_ncr:1_{AF0AF15B-C103-4D76-84ED-A983ED823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ính toán" sheetId="1" r:id="rId1"/>
    <sheet name="S-bo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64" i="1" l="1"/>
  <c r="P1065" i="1" s="1"/>
  <c r="Q1064" i="1"/>
  <c r="Q1065" i="1" s="1"/>
  <c r="C1064" i="1"/>
  <c r="C1065" i="1" s="1"/>
  <c r="D1064" i="1"/>
  <c r="D1065" i="1" s="1"/>
  <c r="E1064" i="1"/>
  <c r="E1065" i="1" s="1"/>
  <c r="F1064" i="1"/>
  <c r="F1065" i="1" s="1"/>
  <c r="G1064" i="1"/>
  <c r="G1065" i="1" s="1"/>
  <c r="H1064" i="1"/>
  <c r="H1065" i="1" s="1"/>
  <c r="I1064" i="1"/>
  <c r="I1065" i="1" s="1"/>
  <c r="J1064" i="1"/>
  <c r="J1065" i="1" s="1"/>
  <c r="K1064" i="1"/>
  <c r="K1065" i="1" s="1"/>
  <c r="L1064" i="1"/>
  <c r="L1065" i="1" s="1"/>
  <c r="M1064" i="1"/>
  <c r="M1065" i="1" s="1"/>
  <c r="N1064" i="1"/>
  <c r="N1065" i="1" s="1"/>
  <c r="O1064" i="1"/>
  <c r="O1065" i="1" s="1"/>
  <c r="B1064" i="1"/>
  <c r="B1065" i="1" s="1"/>
  <c r="B1062" i="1" a="1"/>
  <c r="B1062" i="1" s="1"/>
  <c r="C1062" i="1" a="1"/>
  <c r="C1062" i="1" s="1"/>
  <c r="D1062" i="1" a="1"/>
  <c r="D1062" i="1" s="1"/>
  <c r="E1062" i="1" a="1"/>
  <c r="E1062" i="1" s="1"/>
  <c r="F1062" i="1" a="1"/>
  <c r="F1062" i="1" s="1"/>
  <c r="G1062" i="1" a="1"/>
  <c r="G1062" i="1" s="1"/>
  <c r="H1062" i="1" a="1"/>
  <c r="H1062" i="1" s="1"/>
  <c r="I1062" i="1" a="1"/>
  <c r="I1062" i="1" s="1"/>
  <c r="J1062" i="1" a="1"/>
  <c r="J1062" i="1" s="1"/>
  <c r="K1062" i="1" a="1"/>
  <c r="K1062" i="1" s="1"/>
  <c r="L1062" i="1" a="1"/>
  <c r="L1062" i="1" s="1"/>
  <c r="M1062" i="1" a="1"/>
  <c r="M1062" i="1" s="1"/>
  <c r="N1062" i="1" a="1"/>
  <c r="N1062" i="1" s="1"/>
  <c r="O1062" i="1" a="1"/>
  <c r="O1062" i="1" s="1"/>
  <c r="P1062" i="1" a="1"/>
  <c r="P1062" i="1" s="1"/>
  <c r="Q1062" i="1" a="1"/>
  <c r="Q1062" i="1" s="1"/>
  <c r="R1062" i="1" a="1"/>
  <c r="R1062" i="1" s="1"/>
  <c r="S1062" i="1" a="1"/>
  <c r="S1062" i="1" s="1"/>
  <c r="T1062" i="1" a="1"/>
  <c r="T1062" i="1" s="1"/>
  <c r="U1062" i="1" a="1"/>
  <c r="U1062" i="1" s="1"/>
  <c r="V1062" i="1" a="1"/>
  <c r="V1062" i="1" s="1"/>
  <c r="W1062" i="1" a="1"/>
  <c r="W1062" i="1" s="1"/>
  <c r="X1062" i="1" a="1"/>
  <c r="X1062" i="1" s="1"/>
  <c r="Y1062" i="1" a="1"/>
  <c r="Y1062" i="1" s="1"/>
  <c r="Z1062" i="1" a="1"/>
  <c r="Z1062" i="1" s="1"/>
  <c r="AA1062" i="1" a="1"/>
  <c r="AA1062" i="1" s="1"/>
  <c r="AB1062" i="1" a="1"/>
  <c r="AB1062" i="1" s="1"/>
  <c r="AC1062" i="1" a="1"/>
  <c r="AC1062" i="1" s="1"/>
  <c r="AD1062" i="1" a="1"/>
  <c r="AD1062" i="1" s="1"/>
  <c r="AE1062" i="1" a="1"/>
  <c r="AE1062" i="1" s="1"/>
  <c r="AF1062" i="1" a="1"/>
  <c r="AF1062" i="1" s="1"/>
  <c r="AG1062" i="1" a="1"/>
  <c r="AG1062" i="1" s="1"/>
  <c r="AH1062" i="1" a="1"/>
  <c r="AH1062" i="1"/>
  <c r="AI1062" i="1" a="1"/>
  <c r="AI1062" i="1" s="1"/>
  <c r="AJ1062" i="1" a="1"/>
  <c r="AJ1062" i="1" s="1"/>
  <c r="AK1062" i="1" a="1"/>
  <c r="AK1062" i="1" s="1"/>
  <c r="AL1062" i="1" a="1"/>
  <c r="AL1062" i="1" s="1"/>
  <c r="AM1062" i="1" a="1"/>
  <c r="AM1062" i="1" s="1"/>
  <c r="AN1062" i="1" a="1"/>
  <c r="AN1062" i="1" s="1"/>
  <c r="AO1062" i="1" a="1"/>
  <c r="AO1062" i="1" s="1"/>
  <c r="AP1062" i="1" a="1"/>
  <c r="AP1062" i="1" s="1"/>
  <c r="AQ1062" i="1" a="1"/>
  <c r="AQ1062" i="1" s="1"/>
  <c r="AR1062" i="1" a="1"/>
  <c r="AR1062" i="1" s="1"/>
  <c r="AS1062" i="1" a="1"/>
  <c r="AS1062" i="1" s="1"/>
  <c r="AT1062" i="1" a="1"/>
  <c r="AT1062" i="1" s="1"/>
  <c r="AU1062" i="1" a="1"/>
  <c r="AU1062" i="1" s="1"/>
  <c r="AV1062" i="1" a="1"/>
  <c r="AV1062" i="1" s="1"/>
  <c r="AW1062" i="1" a="1"/>
  <c r="AW1062" i="1" s="1"/>
  <c r="AX1062" i="1" a="1"/>
  <c r="AX1062" i="1" s="1"/>
  <c r="AY1062" i="1" a="1"/>
  <c r="AY1062" i="1" s="1"/>
  <c r="AZ1062" i="1" a="1"/>
  <c r="AZ1062" i="1" s="1"/>
  <c r="BA1062" i="1" a="1"/>
  <c r="BA1062" i="1" s="1"/>
  <c r="BB1062" i="1" a="1"/>
  <c r="BB1062" i="1" s="1"/>
  <c r="BC1062" i="1" a="1"/>
  <c r="BC1062" i="1" s="1"/>
  <c r="BD1062" i="1" a="1"/>
  <c r="BD1062" i="1" s="1"/>
  <c r="BE1062" i="1" a="1"/>
  <c r="BE1062" i="1" s="1"/>
  <c r="BF1062" i="1" a="1"/>
  <c r="BF1062" i="1" s="1"/>
  <c r="BG1062" i="1" a="1"/>
  <c r="BG1062" i="1" s="1"/>
  <c r="BH1062" i="1" a="1"/>
  <c r="BH1062" i="1" s="1"/>
  <c r="BI1062" i="1" a="1"/>
  <c r="BI1062" i="1" s="1"/>
  <c r="BJ1062" i="1" a="1"/>
  <c r="BJ1062" i="1" s="1"/>
  <c r="BK1062" i="1" a="1"/>
  <c r="BK1062" i="1" s="1"/>
  <c r="BL1062" i="1" a="1"/>
  <c r="BL1062" i="1" s="1"/>
  <c r="BM1062" i="1" a="1"/>
  <c r="BM1062" i="1" s="1"/>
  <c r="B515" i="1" a="1"/>
  <c r="B515" i="1" s="1"/>
  <c r="AR518" i="1" s="1" a="1"/>
  <c r="AR518" i="1" s="1"/>
  <c r="C515" i="1" a="1"/>
  <c r="C515" i="1" s="1"/>
  <c r="AS518" i="1" s="1" a="1"/>
  <c r="AS518" i="1" s="1"/>
  <c r="D515" i="1" a="1"/>
  <c r="D515" i="1" s="1"/>
  <c r="AT518" i="1" s="1" a="1"/>
  <c r="AT518" i="1" s="1"/>
  <c r="E515" i="1" a="1"/>
  <c r="E515" i="1" s="1"/>
  <c r="AU518" i="1" s="1" a="1"/>
  <c r="AU518" i="1" s="1"/>
  <c r="F515" i="1" a="1"/>
  <c r="F515" i="1" s="1"/>
  <c r="AV518" i="1" s="1" a="1"/>
  <c r="AV518" i="1" s="1"/>
  <c r="G515" i="1" a="1"/>
  <c r="G515" i="1" s="1"/>
  <c r="AW518" i="1" s="1" a="1"/>
  <c r="AW518" i="1" s="1"/>
  <c r="B509" i="1" a="1"/>
  <c r="B509" i="1" s="1"/>
  <c r="H518" i="1" s="1" a="1"/>
  <c r="H518" i="1" s="1"/>
  <c r="C509" i="1" a="1"/>
  <c r="C509" i="1" s="1"/>
  <c r="I518" i="1" s="1" a="1"/>
  <c r="I518" i="1" s="1"/>
  <c r="D509" i="1" a="1"/>
  <c r="D509" i="1" s="1"/>
  <c r="J518" i="1" s="1" a="1"/>
  <c r="J518" i="1" s="1"/>
  <c r="E509" i="1" a="1"/>
  <c r="E509" i="1" s="1"/>
  <c r="K518" i="1" s="1" a="1"/>
  <c r="K518" i="1" s="1"/>
  <c r="F509" i="1" a="1"/>
  <c r="F509" i="1" s="1"/>
  <c r="L518" i="1" s="1" a="1"/>
  <c r="L518" i="1" s="1"/>
  <c r="G509" i="1" a="1"/>
  <c r="G509" i="1" s="1"/>
  <c r="M518" i="1" s="1" a="1"/>
  <c r="M518" i="1" s="1"/>
  <c r="B510" i="1" a="1"/>
  <c r="B510" i="1" s="1"/>
  <c r="N518" i="1" s="1" a="1"/>
  <c r="N518" i="1" s="1"/>
  <c r="C510" i="1" a="1"/>
  <c r="C510" i="1" s="1"/>
  <c r="O518" i="1" s="1" a="1"/>
  <c r="O518" i="1" s="1"/>
  <c r="D510" i="1" a="1"/>
  <c r="D510" i="1" s="1"/>
  <c r="P518" i="1" s="1" a="1"/>
  <c r="P518" i="1" s="1"/>
  <c r="E510" i="1" a="1"/>
  <c r="E510" i="1"/>
  <c r="Q518" i="1" s="1" a="1"/>
  <c r="Q518" i="1" s="1"/>
  <c r="F510" i="1" a="1"/>
  <c r="F510" i="1" s="1"/>
  <c r="R518" i="1" s="1" a="1"/>
  <c r="R518" i="1" s="1"/>
  <c r="G510" i="1" a="1"/>
  <c r="G510" i="1" s="1"/>
  <c r="S518" i="1" s="1" a="1"/>
  <c r="S518" i="1" s="1"/>
  <c r="B511" i="1" a="1"/>
  <c r="B511" i="1" s="1"/>
  <c r="T518" i="1" s="1" a="1"/>
  <c r="T518" i="1" s="1"/>
  <c r="C511" i="1" a="1"/>
  <c r="C511" i="1" s="1"/>
  <c r="U518" i="1" s="1" a="1"/>
  <c r="U518" i="1" s="1"/>
  <c r="D511" i="1" a="1"/>
  <c r="D511" i="1" s="1"/>
  <c r="V518" i="1" s="1" a="1"/>
  <c r="V518" i="1" s="1"/>
  <c r="E511" i="1" a="1"/>
  <c r="E511" i="1" s="1"/>
  <c r="W518" i="1" s="1" a="1"/>
  <c r="W518" i="1" s="1"/>
  <c r="F511" i="1" a="1"/>
  <c r="F511" i="1" s="1"/>
  <c r="X518" i="1" s="1" a="1"/>
  <c r="X518" i="1" s="1"/>
  <c r="G511" i="1" a="1"/>
  <c r="G511" i="1" s="1"/>
  <c r="Y518" i="1" s="1" a="1"/>
  <c r="Y518" i="1" s="1"/>
  <c r="B512" i="1" a="1"/>
  <c r="B512" i="1" s="1"/>
  <c r="Z518" i="1" s="1" a="1"/>
  <c r="Z518" i="1" s="1"/>
  <c r="C512" i="1" a="1"/>
  <c r="C512" i="1" s="1"/>
  <c r="AA518" i="1" s="1" a="1"/>
  <c r="AA518" i="1" s="1"/>
  <c r="D512" i="1" a="1"/>
  <c r="D512" i="1" s="1"/>
  <c r="AB518" i="1" s="1" a="1"/>
  <c r="AB518" i="1" s="1"/>
  <c r="E512" i="1" a="1"/>
  <c r="E512" i="1" s="1"/>
  <c r="AC518" i="1" s="1" a="1"/>
  <c r="AC518" i="1" s="1"/>
  <c r="F512" i="1" a="1"/>
  <c r="F512" i="1" s="1"/>
  <c r="AD518" i="1" s="1" a="1"/>
  <c r="AD518" i="1" s="1"/>
  <c r="G512" i="1" a="1"/>
  <c r="G512" i="1" s="1"/>
  <c r="AE518" i="1" s="1" a="1"/>
  <c r="AE518" i="1" s="1"/>
  <c r="B513" i="1" a="1"/>
  <c r="B513" i="1" s="1"/>
  <c r="AF518" i="1" s="1" a="1"/>
  <c r="AF518" i="1" s="1"/>
  <c r="C513" i="1" a="1"/>
  <c r="C513" i="1" s="1"/>
  <c r="AG518" i="1" s="1" a="1"/>
  <c r="AG518" i="1" s="1"/>
  <c r="D513" i="1" a="1"/>
  <c r="D513" i="1" s="1"/>
  <c r="AH518" i="1" s="1" a="1"/>
  <c r="AH518" i="1" s="1"/>
  <c r="E513" i="1" a="1"/>
  <c r="E513" i="1" s="1"/>
  <c r="AI518" i="1" s="1" a="1"/>
  <c r="AI518" i="1" s="1"/>
  <c r="F513" i="1" a="1"/>
  <c r="F513" i="1" s="1"/>
  <c r="AJ518" i="1" s="1" a="1"/>
  <c r="AJ518" i="1" s="1"/>
  <c r="G513" i="1" a="1"/>
  <c r="G513" i="1" s="1"/>
  <c r="AK518" i="1" s="1" a="1"/>
  <c r="AK518" i="1" s="1"/>
  <c r="B514" i="1" a="1"/>
  <c r="B514" i="1" s="1"/>
  <c r="AL518" i="1" s="1" a="1"/>
  <c r="AL518" i="1" s="1"/>
  <c r="C514" i="1" a="1"/>
  <c r="C514" i="1" s="1"/>
  <c r="AM518" i="1" s="1" a="1"/>
  <c r="AM518" i="1" s="1"/>
  <c r="D514" i="1" a="1"/>
  <c r="D514" i="1" s="1"/>
  <c r="AN518" i="1" s="1" a="1"/>
  <c r="AN518" i="1" s="1"/>
  <c r="E514" i="1" a="1"/>
  <c r="E514" i="1" s="1"/>
  <c r="AO518" i="1" s="1" a="1"/>
  <c r="AO518" i="1" s="1"/>
  <c r="F514" i="1" a="1"/>
  <c r="F514" i="1" s="1"/>
  <c r="AP518" i="1" s="1" a="1"/>
  <c r="AP518" i="1" s="1"/>
  <c r="G514" i="1" a="1"/>
  <c r="G514" i="1" s="1"/>
  <c r="AQ518" i="1" s="1" a="1"/>
  <c r="AQ518" i="1" s="1"/>
  <c r="C508" i="1" a="1"/>
  <c r="C508" i="1" s="1"/>
  <c r="C518" i="1" s="1" a="1"/>
  <c r="C518" i="1" s="1"/>
  <c r="D508" i="1" a="1"/>
  <c r="D508" i="1" s="1"/>
  <c r="D518" i="1" s="1" a="1"/>
  <c r="D518" i="1" s="1"/>
  <c r="E508" i="1" a="1"/>
  <c r="E508" i="1" s="1"/>
  <c r="E518" i="1" s="1" a="1"/>
  <c r="E518" i="1" s="1"/>
  <c r="F508" i="1" a="1"/>
  <c r="F508" i="1" s="1"/>
  <c r="F518" i="1" s="1" a="1"/>
  <c r="F518" i="1" s="1"/>
  <c r="G508" i="1" a="1"/>
  <c r="G508" i="1" s="1"/>
  <c r="G518" i="1" s="1" a="1"/>
  <c r="G518" i="1" s="1"/>
  <c r="B508" i="1" a="1"/>
  <c r="B508" i="1" s="1"/>
  <c r="B518" i="1" s="1" a="1"/>
  <c r="B518" i="1" s="1"/>
  <c r="B481" i="1" a="1"/>
  <c r="B481" i="1" s="1"/>
  <c r="H490" i="1" s="1" a="1"/>
  <c r="H490" i="1" s="1"/>
  <c r="C481" i="1" a="1"/>
  <c r="C481" i="1" s="1"/>
  <c r="I490" i="1" s="1" a="1"/>
  <c r="I490" i="1" s="1"/>
  <c r="D481" i="1" a="1"/>
  <c r="D481" i="1" s="1"/>
  <c r="J490" i="1" s="1" a="1"/>
  <c r="J490" i="1" s="1"/>
  <c r="E481" i="1" a="1"/>
  <c r="E481" i="1" s="1"/>
  <c r="K490" i="1" s="1" a="1"/>
  <c r="K490" i="1" s="1"/>
  <c r="F481" i="1" a="1"/>
  <c r="F481" i="1" s="1"/>
  <c r="L490" i="1" s="1" a="1"/>
  <c r="L490" i="1" s="1"/>
  <c r="G481" i="1" a="1"/>
  <c r="G481" i="1" s="1"/>
  <c r="M490" i="1" s="1" a="1"/>
  <c r="M490" i="1" s="1"/>
  <c r="B482" i="1" a="1"/>
  <c r="B482" i="1" s="1"/>
  <c r="N490" i="1" s="1" a="1"/>
  <c r="N490" i="1" s="1"/>
  <c r="C482" i="1" a="1"/>
  <c r="C482" i="1" s="1"/>
  <c r="O490" i="1" s="1" a="1"/>
  <c r="O490" i="1" s="1"/>
  <c r="D482" i="1" a="1"/>
  <c r="D482" i="1" s="1"/>
  <c r="P490" i="1" s="1" a="1"/>
  <c r="P490" i="1" s="1"/>
  <c r="E482" i="1" a="1"/>
  <c r="E482" i="1" s="1"/>
  <c r="Q490" i="1" s="1" a="1"/>
  <c r="Q490" i="1" s="1"/>
  <c r="F482" i="1" a="1"/>
  <c r="F482" i="1" s="1"/>
  <c r="R490" i="1" s="1" a="1"/>
  <c r="R490" i="1" s="1"/>
  <c r="G482" i="1" a="1"/>
  <c r="G482" i="1" s="1"/>
  <c r="S490" i="1" s="1" a="1"/>
  <c r="S490" i="1" s="1"/>
  <c r="B483" i="1" a="1"/>
  <c r="B483" i="1" s="1"/>
  <c r="T490" i="1" s="1" a="1"/>
  <c r="T490" i="1" s="1"/>
  <c r="C483" i="1" a="1"/>
  <c r="C483" i="1" s="1"/>
  <c r="U490" i="1" s="1" a="1"/>
  <c r="U490" i="1" s="1"/>
  <c r="D483" i="1" a="1"/>
  <c r="D483" i="1" s="1"/>
  <c r="V490" i="1" s="1" a="1"/>
  <c r="V490" i="1" s="1"/>
  <c r="E483" i="1" a="1"/>
  <c r="E483" i="1" s="1"/>
  <c r="W490" i="1" s="1" a="1"/>
  <c r="W490" i="1" s="1"/>
  <c r="F483" i="1" a="1"/>
  <c r="F483" i="1" s="1"/>
  <c r="X490" i="1" s="1" a="1"/>
  <c r="X490" i="1" s="1"/>
  <c r="G483" i="1" a="1"/>
  <c r="G483" i="1" s="1"/>
  <c r="Y490" i="1" s="1" a="1"/>
  <c r="Y490" i="1" s="1"/>
  <c r="B484" i="1" a="1"/>
  <c r="B484" i="1" s="1"/>
  <c r="Z490" i="1" s="1" a="1"/>
  <c r="Z490" i="1" s="1"/>
  <c r="C484" i="1" a="1"/>
  <c r="C484" i="1" s="1"/>
  <c r="AA490" i="1" s="1" a="1"/>
  <c r="AA490" i="1" s="1"/>
  <c r="D484" i="1" a="1"/>
  <c r="D484" i="1" s="1"/>
  <c r="AB490" i="1" s="1" a="1"/>
  <c r="AB490" i="1" s="1"/>
  <c r="E484" i="1" a="1"/>
  <c r="E484" i="1" s="1"/>
  <c r="AC490" i="1" s="1" a="1"/>
  <c r="AC490" i="1" s="1"/>
  <c r="F484" i="1" a="1"/>
  <c r="F484" i="1" s="1"/>
  <c r="AD490" i="1" s="1" a="1"/>
  <c r="AD490" i="1" s="1"/>
  <c r="G484" i="1" a="1"/>
  <c r="G484" i="1" s="1"/>
  <c r="AE490" i="1" s="1" a="1"/>
  <c r="AE490" i="1" s="1"/>
  <c r="B485" i="1" a="1"/>
  <c r="B485" i="1" s="1"/>
  <c r="AF490" i="1" s="1" a="1"/>
  <c r="AF490" i="1" s="1"/>
  <c r="C485" i="1" a="1"/>
  <c r="C485" i="1" s="1"/>
  <c r="AG490" i="1" s="1" a="1"/>
  <c r="AG490" i="1" s="1"/>
  <c r="D485" i="1" a="1"/>
  <c r="D485" i="1" s="1"/>
  <c r="AH490" i="1" s="1" a="1"/>
  <c r="AH490" i="1" s="1"/>
  <c r="E485" i="1" a="1"/>
  <c r="E485" i="1" s="1"/>
  <c r="AI490" i="1" s="1" a="1"/>
  <c r="AI490" i="1" s="1"/>
  <c r="F485" i="1" a="1"/>
  <c r="F485" i="1" s="1"/>
  <c r="AJ490" i="1" s="1" a="1"/>
  <c r="AJ490" i="1" s="1"/>
  <c r="G485" i="1" a="1"/>
  <c r="G485" i="1" s="1"/>
  <c r="AK490" i="1" s="1" a="1"/>
  <c r="AK490" i="1" s="1"/>
  <c r="B486" i="1" a="1"/>
  <c r="B486" i="1" s="1"/>
  <c r="AL490" i="1" s="1" a="1"/>
  <c r="AL490" i="1" s="1"/>
  <c r="C486" i="1" a="1"/>
  <c r="C486" i="1" s="1"/>
  <c r="AM490" i="1" s="1" a="1"/>
  <c r="AM490" i="1" s="1"/>
  <c r="D486" i="1" a="1"/>
  <c r="D486" i="1" s="1"/>
  <c r="AN490" i="1" s="1" a="1"/>
  <c r="AN490" i="1" s="1"/>
  <c r="E486" i="1" a="1"/>
  <c r="E486" i="1" s="1"/>
  <c r="AO490" i="1" s="1" a="1"/>
  <c r="AO490" i="1" s="1"/>
  <c r="F486" i="1" a="1"/>
  <c r="F486" i="1" s="1"/>
  <c r="AP490" i="1" s="1" a="1"/>
  <c r="AP490" i="1" s="1"/>
  <c r="G486" i="1" a="1"/>
  <c r="G486" i="1" s="1"/>
  <c r="AQ490" i="1" s="1" a="1"/>
  <c r="AQ490" i="1" s="1"/>
  <c r="B487" i="1" a="1"/>
  <c r="B487" i="1" s="1"/>
  <c r="AR490" i="1" s="1" a="1"/>
  <c r="AR490" i="1" s="1"/>
  <c r="C487" i="1" a="1"/>
  <c r="C487" i="1" s="1"/>
  <c r="AS490" i="1" s="1" a="1"/>
  <c r="AS490" i="1" s="1"/>
  <c r="D487" i="1" a="1"/>
  <c r="D487" i="1" s="1"/>
  <c r="AT490" i="1" s="1" a="1"/>
  <c r="AT490" i="1" s="1"/>
  <c r="E487" i="1" a="1"/>
  <c r="E487" i="1" s="1"/>
  <c r="AU490" i="1" s="1" a="1"/>
  <c r="AU490" i="1" s="1"/>
  <c r="F487" i="1" a="1"/>
  <c r="F487" i="1" s="1"/>
  <c r="AV490" i="1" s="1" a="1"/>
  <c r="AV490" i="1" s="1"/>
  <c r="G487" i="1" a="1"/>
  <c r="G487" i="1" s="1"/>
  <c r="AW490" i="1" s="1" a="1"/>
  <c r="AW490" i="1" s="1"/>
  <c r="C480" i="1" a="1"/>
  <c r="C480" i="1" s="1"/>
  <c r="C490" i="1" s="1" a="1"/>
  <c r="C490" i="1" s="1"/>
  <c r="D480" i="1" a="1"/>
  <c r="D480" i="1" s="1"/>
  <c r="D490" i="1" s="1" a="1"/>
  <c r="D490" i="1" s="1"/>
  <c r="E480" i="1" a="1"/>
  <c r="E480" i="1" s="1"/>
  <c r="E490" i="1" s="1" a="1"/>
  <c r="E490" i="1" s="1"/>
  <c r="F480" i="1" a="1"/>
  <c r="F480" i="1" s="1"/>
  <c r="F490" i="1" s="1" a="1"/>
  <c r="F490" i="1" s="1"/>
  <c r="G480" i="1" a="1"/>
  <c r="G480" i="1" s="1"/>
  <c r="G490" i="1" s="1" a="1"/>
  <c r="G490" i="1" s="1"/>
  <c r="B480" i="1" a="1"/>
  <c r="B480" i="1" s="1"/>
  <c r="B490" i="1" s="1" a="1"/>
  <c r="B490" i="1" s="1"/>
  <c r="B453" i="1" a="1"/>
  <c r="B453" i="1" s="1"/>
  <c r="H462" i="1" s="1" a="1"/>
  <c r="H462" i="1" s="1"/>
  <c r="C453" i="1" a="1"/>
  <c r="C453" i="1" s="1"/>
  <c r="I462" i="1" s="1" a="1"/>
  <c r="I462" i="1" s="1"/>
  <c r="D453" i="1" a="1"/>
  <c r="D453" i="1" s="1"/>
  <c r="J462" i="1" s="1" a="1"/>
  <c r="J462" i="1" s="1"/>
  <c r="E453" i="1" a="1"/>
  <c r="E453" i="1" s="1"/>
  <c r="K462" i="1" s="1" a="1"/>
  <c r="K462" i="1" s="1"/>
  <c r="F453" i="1" a="1"/>
  <c r="F453" i="1" s="1"/>
  <c r="L462" i="1" s="1" a="1"/>
  <c r="L462" i="1" s="1"/>
  <c r="G453" i="1" a="1"/>
  <c r="G453" i="1" s="1"/>
  <c r="M462" i="1" s="1" a="1"/>
  <c r="M462" i="1" s="1"/>
  <c r="B454" i="1" a="1"/>
  <c r="B454" i="1" s="1"/>
  <c r="N462" i="1" s="1" a="1"/>
  <c r="N462" i="1" s="1"/>
  <c r="C454" i="1" a="1"/>
  <c r="C454" i="1" s="1"/>
  <c r="O462" i="1" s="1" a="1"/>
  <c r="O462" i="1" s="1"/>
  <c r="D454" i="1" a="1"/>
  <c r="D454" i="1" s="1"/>
  <c r="P462" i="1" s="1" a="1"/>
  <c r="P462" i="1" s="1"/>
  <c r="E454" i="1" a="1"/>
  <c r="E454" i="1" s="1"/>
  <c r="Q462" i="1" s="1" a="1"/>
  <c r="Q462" i="1" s="1"/>
  <c r="F454" i="1" a="1"/>
  <c r="F454" i="1" s="1"/>
  <c r="R462" i="1" s="1" a="1"/>
  <c r="R462" i="1" s="1"/>
  <c r="G454" i="1" a="1"/>
  <c r="G454" i="1" s="1"/>
  <c r="S462" i="1" s="1" a="1"/>
  <c r="S462" i="1" s="1"/>
  <c r="B455" i="1" a="1"/>
  <c r="B455" i="1" s="1"/>
  <c r="T462" i="1" s="1" a="1"/>
  <c r="T462" i="1" s="1"/>
  <c r="C455" i="1" a="1"/>
  <c r="C455" i="1" s="1"/>
  <c r="U462" i="1" s="1" a="1"/>
  <c r="U462" i="1" s="1"/>
  <c r="D455" i="1" a="1"/>
  <c r="D455" i="1" s="1"/>
  <c r="V462" i="1" s="1" a="1"/>
  <c r="V462" i="1" s="1"/>
  <c r="E455" i="1" a="1"/>
  <c r="E455" i="1" s="1"/>
  <c r="W462" i="1" s="1" a="1"/>
  <c r="W462" i="1" s="1"/>
  <c r="F455" i="1" a="1"/>
  <c r="F455" i="1" s="1"/>
  <c r="X462" i="1" s="1" a="1"/>
  <c r="X462" i="1" s="1"/>
  <c r="G455" i="1" a="1"/>
  <c r="G455" i="1" s="1"/>
  <c r="Y462" i="1" s="1" a="1"/>
  <c r="Y462" i="1" s="1"/>
  <c r="B456" i="1" a="1"/>
  <c r="B456" i="1" s="1"/>
  <c r="Z462" i="1" s="1" a="1"/>
  <c r="Z462" i="1" s="1"/>
  <c r="C456" i="1" a="1"/>
  <c r="C456" i="1" s="1"/>
  <c r="AA462" i="1" s="1" a="1"/>
  <c r="AA462" i="1" s="1"/>
  <c r="D456" i="1" a="1"/>
  <c r="D456" i="1" s="1"/>
  <c r="AB462" i="1" s="1" a="1"/>
  <c r="AB462" i="1" s="1"/>
  <c r="E456" i="1" a="1"/>
  <c r="E456" i="1" s="1"/>
  <c r="AC462" i="1" s="1" a="1"/>
  <c r="AC462" i="1" s="1"/>
  <c r="F456" i="1" a="1"/>
  <c r="F456" i="1" s="1"/>
  <c r="AD462" i="1" s="1" a="1"/>
  <c r="AD462" i="1" s="1"/>
  <c r="G456" i="1" a="1"/>
  <c r="G456" i="1" s="1"/>
  <c r="AE462" i="1" s="1" a="1"/>
  <c r="AE462" i="1" s="1"/>
  <c r="B457" i="1" a="1"/>
  <c r="B457" i="1" s="1"/>
  <c r="AF462" i="1" s="1" a="1"/>
  <c r="AF462" i="1" s="1"/>
  <c r="C457" i="1" a="1"/>
  <c r="C457" i="1" s="1"/>
  <c r="AG462" i="1" s="1" a="1"/>
  <c r="AG462" i="1" s="1"/>
  <c r="D457" i="1" a="1"/>
  <c r="D457" i="1" s="1"/>
  <c r="AH462" i="1" s="1" a="1"/>
  <c r="AH462" i="1" s="1"/>
  <c r="E457" i="1" a="1"/>
  <c r="E457" i="1" s="1"/>
  <c r="AI462" i="1" s="1" a="1"/>
  <c r="AI462" i="1" s="1"/>
  <c r="F457" i="1" a="1"/>
  <c r="F457" i="1" s="1"/>
  <c r="AJ462" i="1" s="1" a="1"/>
  <c r="AJ462" i="1" s="1"/>
  <c r="G457" i="1" a="1"/>
  <c r="G457" i="1" s="1"/>
  <c r="AK462" i="1" s="1" a="1"/>
  <c r="AK462" i="1" s="1"/>
  <c r="B458" i="1" a="1"/>
  <c r="B458" i="1" s="1"/>
  <c r="AL462" i="1" s="1" a="1"/>
  <c r="AL462" i="1" s="1"/>
  <c r="C458" i="1" a="1"/>
  <c r="C458" i="1" s="1"/>
  <c r="AM462" i="1" s="1" a="1"/>
  <c r="AM462" i="1" s="1"/>
  <c r="D458" i="1" a="1"/>
  <c r="D458" i="1" s="1"/>
  <c r="AN462" i="1" s="1" a="1"/>
  <c r="AN462" i="1" s="1"/>
  <c r="E458" i="1" a="1"/>
  <c r="E458" i="1" s="1"/>
  <c r="AO462" i="1" s="1" a="1"/>
  <c r="AO462" i="1" s="1"/>
  <c r="F458" i="1" a="1"/>
  <c r="F458" i="1" s="1"/>
  <c r="AP462" i="1" s="1" a="1"/>
  <c r="AP462" i="1" s="1"/>
  <c r="G458" i="1" a="1"/>
  <c r="G458" i="1" s="1"/>
  <c r="AQ462" i="1" s="1" a="1"/>
  <c r="AQ462" i="1" s="1"/>
  <c r="B459" i="1" a="1"/>
  <c r="B459" i="1" s="1"/>
  <c r="AR462" i="1" s="1" a="1"/>
  <c r="AR462" i="1" s="1"/>
  <c r="C459" i="1" a="1"/>
  <c r="C459" i="1" s="1"/>
  <c r="AS462" i="1" s="1" a="1"/>
  <c r="AS462" i="1" s="1"/>
  <c r="D459" i="1" a="1"/>
  <c r="D459" i="1" s="1"/>
  <c r="AT462" i="1" s="1" a="1"/>
  <c r="AT462" i="1" s="1"/>
  <c r="E459" i="1" a="1"/>
  <c r="E459" i="1"/>
  <c r="AU462" i="1" s="1" a="1"/>
  <c r="AU462" i="1" s="1"/>
  <c r="F459" i="1" a="1"/>
  <c r="F459" i="1" s="1"/>
  <c r="AV462" i="1" s="1" a="1"/>
  <c r="AV462" i="1" s="1"/>
  <c r="G459" i="1" a="1"/>
  <c r="G459" i="1" s="1"/>
  <c r="AW462" i="1" s="1" a="1"/>
  <c r="AW462" i="1" s="1"/>
  <c r="C452" i="1" a="1"/>
  <c r="C452" i="1" s="1"/>
  <c r="C462" i="1" s="1" a="1"/>
  <c r="C462" i="1" s="1"/>
  <c r="D452" i="1" a="1"/>
  <c r="D452" i="1" s="1"/>
  <c r="D462" i="1" s="1" a="1"/>
  <c r="D462" i="1" s="1"/>
  <c r="E452" i="1" a="1"/>
  <c r="E452" i="1" s="1"/>
  <c r="E462" i="1" s="1" a="1"/>
  <c r="E462" i="1" s="1"/>
  <c r="F452" i="1" a="1"/>
  <c r="F452" i="1" s="1"/>
  <c r="F462" i="1" s="1" a="1"/>
  <c r="F462" i="1" s="1"/>
  <c r="G452" i="1" a="1"/>
  <c r="G452" i="1" s="1"/>
  <c r="G462" i="1" s="1" a="1"/>
  <c r="G462" i="1" s="1"/>
  <c r="B452" i="1" a="1"/>
  <c r="B452" i="1" s="1"/>
  <c r="B462" i="1" s="1" a="1"/>
  <c r="B462" i="1" s="1"/>
  <c r="P434" i="1" a="1"/>
  <c r="P434" i="1" s="1"/>
  <c r="B425" i="1" a="1"/>
  <c r="B425" i="1" s="1"/>
  <c r="H434" i="1" s="1" a="1"/>
  <c r="H434" i="1" s="1"/>
  <c r="C425" i="1" a="1"/>
  <c r="C425" i="1" s="1"/>
  <c r="I434" i="1" s="1" a="1"/>
  <c r="I434" i="1" s="1"/>
  <c r="D425" i="1" a="1"/>
  <c r="D425" i="1" s="1"/>
  <c r="J434" i="1" s="1" a="1"/>
  <c r="J434" i="1" s="1"/>
  <c r="E425" i="1" a="1"/>
  <c r="E425" i="1" s="1"/>
  <c r="K434" i="1" s="1" a="1"/>
  <c r="K434" i="1" s="1"/>
  <c r="F425" i="1" a="1"/>
  <c r="F425" i="1" s="1"/>
  <c r="L434" i="1" s="1" a="1"/>
  <c r="L434" i="1" s="1"/>
  <c r="G425" i="1" a="1"/>
  <c r="G425" i="1" s="1"/>
  <c r="M434" i="1" s="1" a="1"/>
  <c r="M434" i="1" s="1"/>
  <c r="B426" i="1" a="1"/>
  <c r="B426" i="1" s="1"/>
  <c r="N434" i="1" s="1" a="1"/>
  <c r="N434" i="1" s="1"/>
  <c r="C426" i="1" a="1"/>
  <c r="C426" i="1" s="1"/>
  <c r="O434" i="1" s="1" a="1"/>
  <c r="O434" i="1" s="1"/>
  <c r="D426" i="1" a="1"/>
  <c r="D426" i="1" s="1"/>
  <c r="E426" i="1" a="1"/>
  <c r="E426" i="1" s="1"/>
  <c r="Q434" i="1" s="1" a="1"/>
  <c r="Q434" i="1" s="1"/>
  <c r="F426" i="1" a="1"/>
  <c r="F426" i="1" s="1"/>
  <c r="R434" i="1" s="1" a="1"/>
  <c r="R434" i="1" s="1"/>
  <c r="G426" i="1" a="1"/>
  <c r="G426" i="1" s="1"/>
  <c r="S434" i="1" s="1" a="1"/>
  <c r="S434" i="1" s="1"/>
  <c r="B427" i="1" a="1"/>
  <c r="B427" i="1" s="1"/>
  <c r="T434" i="1" s="1" a="1"/>
  <c r="T434" i="1" s="1"/>
  <c r="C427" i="1" a="1"/>
  <c r="C427" i="1" s="1"/>
  <c r="U434" i="1" s="1" a="1"/>
  <c r="U434" i="1" s="1"/>
  <c r="D427" i="1" a="1"/>
  <c r="D427" i="1" s="1"/>
  <c r="V434" i="1" s="1" a="1"/>
  <c r="V434" i="1" s="1"/>
  <c r="E427" i="1" a="1"/>
  <c r="E427" i="1"/>
  <c r="W434" i="1" s="1" a="1"/>
  <c r="W434" i="1" s="1"/>
  <c r="F427" i="1" a="1"/>
  <c r="F427" i="1" s="1"/>
  <c r="X434" i="1" s="1" a="1"/>
  <c r="X434" i="1" s="1"/>
  <c r="G427" i="1" a="1"/>
  <c r="G427" i="1" s="1"/>
  <c r="Y434" i="1" s="1" a="1"/>
  <c r="Y434" i="1" s="1"/>
  <c r="B428" i="1" a="1"/>
  <c r="B428" i="1" s="1"/>
  <c r="Z434" i="1" s="1" a="1"/>
  <c r="Z434" i="1" s="1"/>
  <c r="C428" i="1" a="1"/>
  <c r="C428" i="1"/>
  <c r="AA434" i="1" s="1" a="1"/>
  <c r="AA434" i="1" s="1"/>
  <c r="D428" i="1" a="1"/>
  <c r="D428" i="1" s="1"/>
  <c r="AB434" i="1" s="1" a="1"/>
  <c r="AB434" i="1" s="1"/>
  <c r="E428" i="1" a="1"/>
  <c r="E428" i="1" s="1"/>
  <c r="AC434" i="1" s="1" a="1"/>
  <c r="AC434" i="1" s="1"/>
  <c r="F428" i="1" a="1"/>
  <c r="F428" i="1" s="1"/>
  <c r="AD434" i="1" s="1" a="1"/>
  <c r="AD434" i="1" s="1"/>
  <c r="G428" i="1" a="1"/>
  <c r="G428" i="1" s="1"/>
  <c r="AE434" i="1" s="1" a="1"/>
  <c r="AE434" i="1" s="1"/>
  <c r="B429" i="1" a="1"/>
  <c r="B429" i="1" s="1"/>
  <c r="AF434" i="1" s="1" a="1"/>
  <c r="AF434" i="1" s="1"/>
  <c r="C429" i="1" a="1"/>
  <c r="C429" i="1" s="1"/>
  <c r="AG434" i="1" s="1" a="1"/>
  <c r="AG434" i="1" s="1"/>
  <c r="D429" i="1" a="1"/>
  <c r="D429" i="1" s="1"/>
  <c r="AH434" i="1" s="1" a="1"/>
  <c r="AH434" i="1" s="1"/>
  <c r="E429" i="1" a="1"/>
  <c r="E429" i="1" s="1"/>
  <c r="AI434" i="1" s="1" a="1"/>
  <c r="AI434" i="1" s="1"/>
  <c r="F429" i="1" a="1"/>
  <c r="F429" i="1" s="1"/>
  <c r="AJ434" i="1" s="1" a="1"/>
  <c r="AJ434" i="1" s="1"/>
  <c r="G429" i="1" a="1"/>
  <c r="G429" i="1" s="1"/>
  <c r="AK434" i="1" s="1" a="1"/>
  <c r="AK434" i="1" s="1"/>
  <c r="B430" i="1" a="1"/>
  <c r="B430" i="1" s="1"/>
  <c r="AL434" i="1" s="1" a="1"/>
  <c r="AL434" i="1" s="1"/>
  <c r="C430" i="1" a="1"/>
  <c r="C430" i="1"/>
  <c r="AM434" i="1" s="1" a="1"/>
  <c r="AM434" i="1" s="1"/>
  <c r="D430" i="1" a="1"/>
  <c r="D430" i="1" s="1"/>
  <c r="AN434" i="1" s="1" a="1"/>
  <c r="AN434" i="1" s="1"/>
  <c r="E430" i="1" a="1"/>
  <c r="E430" i="1" s="1"/>
  <c r="AO434" i="1" s="1" a="1"/>
  <c r="AO434" i="1" s="1"/>
  <c r="F430" i="1" a="1"/>
  <c r="F430" i="1" s="1"/>
  <c r="AP434" i="1" s="1" a="1"/>
  <c r="AP434" i="1" s="1"/>
  <c r="G430" i="1" a="1"/>
  <c r="G430" i="1" s="1"/>
  <c r="AQ434" i="1" s="1" a="1"/>
  <c r="AQ434" i="1" s="1"/>
  <c r="B431" i="1" a="1"/>
  <c r="B431" i="1" s="1"/>
  <c r="AR434" i="1" s="1" a="1"/>
  <c r="AR434" i="1" s="1"/>
  <c r="C431" i="1" a="1"/>
  <c r="C431" i="1" s="1"/>
  <c r="AS434" i="1" s="1" a="1"/>
  <c r="AS434" i="1" s="1"/>
  <c r="D431" i="1" a="1"/>
  <c r="D431" i="1" s="1"/>
  <c r="AT434" i="1" s="1" a="1"/>
  <c r="AT434" i="1" s="1"/>
  <c r="E431" i="1" a="1"/>
  <c r="E431" i="1" s="1"/>
  <c r="AU434" i="1" s="1" a="1"/>
  <c r="AU434" i="1" s="1"/>
  <c r="F431" i="1" a="1"/>
  <c r="F431" i="1" s="1"/>
  <c r="AV434" i="1" s="1" a="1"/>
  <c r="AV434" i="1" s="1"/>
  <c r="G431" i="1" a="1"/>
  <c r="G431" i="1" s="1"/>
  <c r="AW434" i="1" s="1" a="1"/>
  <c r="AW434" i="1" s="1"/>
  <c r="C424" i="1" a="1"/>
  <c r="C424" i="1" s="1"/>
  <c r="C434" i="1" s="1" a="1"/>
  <c r="C434" i="1" s="1"/>
  <c r="D424" i="1" a="1"/>
  <c r="D424" i="1" s="1"/>
  <c r="D434" i="1" s="1" a="1"/>
  <c r="D434" i="1" s="1"/>
  <c r="E424" i="1" a="1"/>
  <c r="E424" i="1" s="1"/>
  <c r="E434" i="1" s="1" a="1"/>
  <c r="E434" i="1" s="1"/>
  <c r="F424" i="1" a="1"/>
  <c r="F424" i="1"/>
  <c r="F434" i="1" s="1" a="1"/>
  <c r="F434" i="1" s="1"/>
  <c r="G424" i="1" a="1"/>
  <c r="G424" i="1" s="1"/>
  <c r="G434" i="1" s="1" a="1"/>
  <c r="G434" i="1" s="1"/>
  <c r="B424" i="1" a="1"/>
  <c r="B424" i="1" s="1"/>
  <c r="B434" i="1" s="1" a="1"/>
  <c r="B434" i="1" s="1"/>
  <c r="B397" i="1" a="1"/>
  <c r="B397" i="1" s="1"/>
  <c r="H406" i="1" s="1" a="1"/>
  <c r="H406" i="1" s="1"/>
  <c r="C397" i="1" a="1"/>
  <c r="C397" i="1" s="1"/>
  <c r="I406" i="1" s="1" a="1"/>
  <c r="I406" i="1" s="1"/>
  <c r="D397" i="1" a="1"/>
  <c r="D397" i="1" s="1"/>
  <c r="J406" i="1" s="1" a="1"/>
  <c r="J406" i="1" s="1"/>
  <c r="E397" i="1" a="1"/>
  <c r="E397" i="1" s="1"/>
  <c r="K406" i="1" s="1" a="1"/>
  <c r="K406" i="1" s="1"/>
  <c r="F397" i="1" a="1"/>
  <c r="F397" i="1" s="1"/>
  <c r="L406" i="1" s="1" a="1"/>
  <c r="L406" i="1" s="1"/>
  <c r="G397" i="1" a="1"/>
  <c r="G397" i="1" s="1"/>
  <c r="M406" i="1" s="1" a="1"/>
  <c r="M406" i="1" s="1"/>
  <c r="B398" i="1" a="1"/>
  <c r="B398" i="1" s="1"/>
  <c r="N406" i="1" s="1" a="1"/>
  <c r="N406" i="1" s="1"/>
  <c r="C398" i="1" a="1"/>
  <c r="C398" i="1" s="1"/>
  <c r="O406" i="1" s="1" a="1"/>
  <c r="O406" i="1" s="1"/>
  <c r="D398" i="1" a="1"/>
  <c r="D398" i="1" s="1"/>
  <c r="P406" i="1" s="1" a="1"/>
  <c r="P406" i="1" s="1"/>
  <c r="E398" i="1" a="1"/>
  <c r="E398" i="1" s="1"/>
  <c r="Q406" i="1" s="1" a="1"/>
  <c r="Q406" i="1" s="1"/>
  <c r="F398" i="1" a="1"/>
  <c r="F398" i="1" s="1"/>
  <c r="R406" i="1" s="1" a="1"/>
  <c r="R406" i="1" s="1"/>
  <c r="G398" i="1" a="1"/>
  <c r="G398" i="1" s="1"/>
  <c r="S406" i="1" s="1" a="1"/>
  <c r="S406" i="1" s="1"/>
  <c r="B399" i="1" a="1"/>
  <c r="B399" i="1" s="1"/>
  <c r="T406" i="1" s="1" a="1"/>
  <c r="T406" i="1" s="1"/>
  <c r="C399" i="1" a="1"/>
  <c r="C399" i="1" s="1"/>
  <c r="U406" i="1" s="1" a="1"/>
  <c r="U406" i="1" s="1"/>
  <c r="D399" i="1" a="1"/>
  <c r="D399" i="1" s="1"/>
  <c r="V406" i="1" s="1" a="1"/>
  <c r="V406" i="1" s="1"/>
  <c r="E399" i="1" a="1"/>
  <c r="E399" i="1" s="1"/>
  <c r="W406" i="1" s="1" a="1"/>
  <c r="W406" i="1" s="1"/>
  <c r="F399" i="1" a="1"/>
  <c r="F399" i="1" s="1"/>
  <c r="X406" i="1" s="1" a="1"/>
  <c r="X406" i="1" s="1"/>
  <c r="G399" i="1" a="1"/>
  <c r="G399" i="1" s="1"/>
  <c r="Y406" i="1" s="1" a="1"/>
  <c r="Y406" i="1" s="1"/>
  <c r="B400" i="1" a="1"/>
  <c r="B400" i="1" s="1"/>
  <c r="Z406" i="1" s="1" a="1"/>
  <c r="Z406" i="1" s="1"/>
  <c r="C400" i="1" a="1"/>
  <c r="C400" i="1" s="1"/>
  <c r="AA406" i="1" s="1" a="1"/>
  <c r="AA406" i="1" s="1"/>
  <c r="D400" i="1" a="1"/>
  <c r="D400" i="1" s="1"/>
  <c r="AB406" i="1" s="1" a="1"/>
  <c r="AB406" i="1" s="1"/>
  <c r="E400" i="1" a="1"/>
  <c r="E400" i="1" s="1"/>
  <c r="AC406" i="1" s="1" a="1"/>
  <c r="AC406" i="1" s="1"/>
  <c r="F400" i="1" a="1"/>
  <c r="F400" i="1" s="1"/>
  <c r="AD406" i="1" s="1" a="1"/>
  <c r="AD406" i="1" s="1"/>
  <c r="G400" i="1" a="1"/>
  <c r="G400" i="1" s="1"/>
  <c r="AE406" i="1" s="1" a="1"/>
  <c r="AE406" i="1" s="1"/>
  <c r="B401" i="1" a="1"/>
  <c r="B401" i="1" s="1"/>
  <c r="AF406" i="1" s="1" a="1"/>
  <c r="AF406" i="1" s="1"/>
  <c r="C401" i="1" a="1"/>
  <c r="C401" i="1" s="1"/>
  <c r="AG406" i="1" s="1" a="1"/>
  <c r="AG406" i="1" s="1"/>
  <c r="D401" i="1" a="1"/>
  <c r="D401" i="1" s="1"/>
  <c r="AH406" i="1" s="1" a="1"/>
  <c r="AH406" i="1" s="1"/>
  <c r="E401" i="1" a="1"/>
  <c r="E401" i="1" s="1"/>
  <c r="AI406" i="1" s="1" a="1"/>
  <c r="AI406" i="1" s="1"/>
  <c r="F401" i="1" a="1"/>
  <c r="F401" i="1" s="1"/>
  <c r="AJ406" i="1" s="1" a="1"/>
  <c r="AJ406" i="1" s="1"/>
  <c r="G401" i="1" a="1"/>
  <c r="G401" i="1" s="1"/>
  <c r="AK406" i="1" s="1" a="1"/>
  <c r="AK406" i="1" s="1"/>
  <c r="B402" i="1" a="1"/>
  <c r="B402" i="1" s="1"/>
  <c r="AL406" i="1" s="1" a="1"/>
  <c r="AL406" i="1" s="1"/>
  <c r="C402" i="1" a="1"/>
  <c r="C402" i="1" s="1"/>
  <c r="AM406" i="1" s="1" a="1"/>
  <c r="AM406" i="1" s="1"/>
  <c r="D402" i="1" a="1"/>
  <c r="D402" i="1" s="1"/>
  <c r="AN406" i="1" s="1" a="1"/>
  <c r="AN406" i="1" s="1"/>
  <c r="E402" i="1" a="1"/>
  <c r="E402" i="1" s="1"/>
  <c r="AO406" i="1" s="1" a="1"/>
  <c r="AO406" i="1" s="1"/>
  <c r="F402" i="1" a="1"/>
  <c r="F402" i="1" s="1"/>
  <c r="AP406" i="1" s="1" a="1"/>
  <c r="AP406" i="1" s="1"/>
  <c r="G402" i="1" a="1"/>
  <c r="G402" i="1" s="1"/>
  <c r="AQ406" i="1" s="1" a="1"/>
  <c r="AQ406" i="1" s="1"/>
  <c r="B403" i="1" a="1"/>
  <c r="B403" i="1" s="1"/>
  <c r="AR406" i="1" s="1" a="1"/>
  <c r="AR406" i="1" s="1"/>
  <c r="C403" i="1" a="1"/>
  <c r="C403" i="1" s="1"/>
  <c r="AS406" i="1" s="1" a="1"/>
  <c r="AS406" i="1" s="1"/>
  <c r="D403" i="1" a="1"/>
  <c r="D403" i="1" s="1"/>
  <c r="AT406" i="1" s="1" a="1"/>
  <c r="AT406" i="1" s="1"/>
  <c r="E403" i="1" a="1"/>
  <c r="E403" i="1" s="1"/>
  <c r="AU406" i="1" s="1" a="1"/>
  <c r="AU406" i="1" s="1"/>
  <c r="F403" i="1" a="1"/>
  <c r="F403" i="1" s="1"/>
  <c r="AV406" i="1" s="1" a="1"/>
  <c r="AV406" i="1" s="1"/>
  <c r="G403" i="1" a="1"/>
  <c r="G403" i="1" s="1"/>
  <c r="AW406" i="1" s="1" a="1"/>
  <c r="AW406" i="1" s="1"/>
  <c r="C396" i="1" a="1"/>
  <c r="C396" i="1" s="1"/>
  <c r="C406" i="1" s="1" a="1"/>
  <c r="C406" i="1" s="1"/>
  <c r="D396" i="1" a="1"/>
  <c r="D396" i="1" s="1"/>
  <c r="D406" i="1" s="1" a="1"/>
  <c r="D406" i="1" s="1"/>
  <c r="E396" i="1" a="1"/>
  <c r="E396" i="1" s="1"/>
  <c r="E406" i="1" s="1" a="1"/>
  <c r="E406" i="1" s="1"/>
  <c r="F396" i="1" a="1"/>
  <c r="F396" i="1" s="1"/>
  <c r="F406" i="1" s="1" a="1"/>
  <c r="F406" i="1" s="1"/>
  <c r="G396" i="1" a="1"/>
  <c r="G396" i="1" s="1"/>
  <c r="G406" i="1" s="1" a="1"/>
  <c r="G406" i="1" s="1"/>
  <c r="B396" i="1" a="1"/>
  <c r="B396" i="1" s="1"/>
  <c r="B406" i="1" s="1" a="1"/>
  <c r="B406" i="1" s="1"/>
  <c r="B369" i="1" a="1"/>
  <c r="B369" i="1" s="1"/>
  <c r="H378" i="1" s="1" a="1"/>
  <c r="H378" i="1" s="1"/>
  <c r="C369" i="1" a="1"/>
  <c r="C369" i="1" s="1"/>
  <c r="I378" i="1" s="1" a="1"/>
  <c r="I378" i="1" s="1"/>
  <c r="D369" i="1" a="1"/>
  <c r="D369" i="1" s="1"/>
  <c r="J378" i="1" s="1" a="1"/>
  <c r="J378" i="1" s="1"/>
  <c r="E369" i="1" a="1"/>
  <c r="E369" i="1" s="1"/>
  <c r="K378" i="1" s="1" a="1"/>
  <c r="K378" i="1" s="1"/>
  <c r="F369" i="1" a="1"/>
  <c r="F369" i="1" s="1"/>
  <c r="L378" i="1" s="1" a="1"/>
  <c r="L378" i="1" s="1"/>
  <c r="G369" i="1" a="1"/>
  <c r="G369" i="1" s="1"/>
  <c r="M378" i="1" s="1" a="1"/>
  <c r="M378" i="1" s="1"/>
  <c r="B370" i="1" a="1"/>
  <c r="B370" i="1" s="1"/>
  <c r="N378" i="1" s="1" a="1"/>
  <c r="N378" i="1" s="1"/>
  <c r="C370" i="1" a="1"/>
  <c r="C370" i="1" s="1"/>
  <c r="O378" i="1" s="1" a="1"/>
  <c r="O378" i="1" s="1"/>
  <c r="D370" i="1" a="1"/>
  <c r="D370" i="1" s="1"/>
  <c r="P378" i="1" s="1" a="1"/>
  <c r="P378" i="1" s="1"/>
  <c r="E370" i="1" a="1"/>
  <c r="E370" i="1" s="1"/>
  <c r="Q378" i="1" s="1" a="1"/>
  <c r="Q378" i="1" s="1"/>
  <c r="F370" i="1" a="1"/>
  <c r="F370" i="1" s="1"/>
  <c r="R378" i="1" s="1" a="1"/>
  <c r="R378" i="1" s="1"/>
  <c r="G370" i="1" a="1"/>
  <c r="G370" i="1"/>
  <c r="S378" i="1" s="1" a="1"/>
  <c r="S378" i="1" s="1"/>
  <c r="B371" i="1" a="1"/>
  <c r="B371" i="1" s="1"/>
  <c r="T378" i="1" s="1" a="1"/>
  <c r="T378" i="1" s="1"/>
  <c r="C371" i="1" a="1"/>
  <c r="C371" i="1" s="1"/>
  <c r="U378" i="1" s="1" a="1"/>
  <c r="U378" i="1" s="1"/>
  <c r="D371" i="1" a="1"/>
  <c r="D371" i="1" s="1"/>
  <c r="V378" i="1" s="1" a="1"/>
  <c r="V378" i="1" s="1"/>
  <c r="E371" i="1" a="1"/>
  <c r="E371" i="1" s="1"/>
  <c r="W378" i="1" s="1" a="1"/>
  <c r="W378" i="1" s="1"/>
  <c r="F371" i="1" a="1"/>
  <c r="F371" i="1" s="1"/>
  <c r="X378" i="1" s="1" a="1"/>
  <c r="X378" i="1" s="1"/>
  <c r="G371" i="1" a="1"/>
  <c r="G371" i="1" s="1"/>
  <c r="Y378" i="1" s="1" a="1"/>
  <c r="Y378" i="1" s="1"/>
  <c r="B372" i="1" a="1"/>
  <c r="B372" i="1" s="1"/>
  <c r="Z378" i="1" s="1" a="1"/>
  <c r="Z378" i="1" s="1"/>
  <c r="C372" i="1" a="1"/>
  <c r="C372" i="1" s="1"/>
  <c r="AA378" i="1" s="1" a="1"/>
  <c r="AA378" i="1" s="1"/>
  <c r="D372" i="1" a="1"/>
  <c r="D372" i="1" s="1"/>
  <c r="AB378" i="1" s="1" a="1"/>
  <c r="AB378" i="1" s="1"/>
  <c r="E372" i="1" a="1"/>
  <c r="E372" i="1" s="1"/>
  <c r="AC378" i="1" s="1" a="1"/>
  <c r="AC378" i="1" s="1"/>
  <c r="F372" i="1" a="1"/>
  <c r="F372" i="1" s="1"/>
  <c r="AD378" i="1" s="1" a="1"/>
  <c r="AD378" i="1" s="1"/>
  <c r="G372" i="1" a="1"/>
  <c r="G372" i="1" s="1"/>
  <c r="AE378" i="1" s="1" a="1"/>
  <c r="AE378" i="1" s="1"/>
  <c r="B373" i="1" a="1"/>
  <c r="B373" i="1" s="1"/>
  <c r="AF378" i="1" s="1" a="1"/>
  <c r="AF378" i="1" s="1"/>
  <c r="C373" i="1" a="1"/>
  <c r="C373" i="1" s="1"/>
  <c r="AG378" i="1" s="1" a="1"/>
  <c r="AG378" i="1" s="1"/>
  <c r="D373" i="1" a="1"/>
  <c r="D373" i="1" s="1"/>
  <c r="AH378" i="1" s="1" a="1"/>
  <c r="AH378" i="1" s="1"/>
  <c r="E373" i="1" a="1"/>
  <c r="E373" i="1" s="1"/>
  <c r="AI378" i="1" s="1" a="1"/>
  <c r="AI378" i="1" s="1"/>
  <c r="F373" i="1" a="1"/>
  <c r="F373" i="1" s="1"/>
  <c r="AJ378" i="1" s="1" a="1"/>
  <c r="AJ378" i="1" s="1"/>
  <c r="G373" i="1" a="1"/>
  <c r="G373" i="1" s="1"/>
  <c r="AK378" i="1" s="1" a="1"/>
  <c r="AK378" i="1" s="1"/>
  <c r="B374" i="1" a="1"/>
  <c r="B374" i="1" s="1"/>
  <c r="AL378" i="1" s="1" a="1"/>
  <c r="AL378" i="1" s="1"/>
  <c r="C374" i="1" a="1"/>
  <c r="C374" i="1" s="1"/>
  <c r="AM378" i="1" s="1" a="1"/>
  <c r="AM378" i="1" s="1"/>
  <c r="D374" i="1" a="1"/>
  <c r="D374" i="1" s="1"/>
  <c r="AN378" i="1" s="1" a="1"/>
  <c r="AN378" i="1" s="1"/>
  <c r="E374" i="1" a="1"/>
  <c r="E374" i="1" s="1"/>
  <c r="AO378" i="1" s="1" a="1"/>
  <c r="AO378" i="1" s="1"/>
  <c r="F374" i="1" a="1"/>
  <c r="F374" i="1" s="1"/>
  <c r="AP378" i="1" s="1" a="1"/>
  <c r="AP378" i="1" s="1"/>
  <c r="G374" i="1" a="1"/>
  <c r="G374" i="1" s="1"/>
  <c r="AQ378" i="1" s="1" a="1"/>
  <c r="AQ378" i="1" s="1"/>
  <c r="B375" i="1" a="1"/>
  <c r="B375" i="1" s="1"/>
  <c r="AR378" i="1" s="1" a="1"/>
  <c r="AR378" i="1" s="1"/>
  <c r="C375" i="1" a="1"/>
  <c r="C375" i="1" s="1"/>
  <c r="AS378" i="1" s="1" a="1"/>
  <c r="AS378" i="1" s="1"/>
  <c r="D375" i="1" a="1"/>
  <c r="D375" i="1" s="1"/>
  <c r="AT378" i="1" s="1" a="1"/>
  <c r="AT378" i="1" s="1"/>
  <c r="E375" i="1" a="1"/>
  <c r="E375" i="1" s="1"/>
  <c r="AU378" i="1" s="1" a="1"/>
  <c r="AU378" i="1" s="1"/>
  <c r="F375" i="1" a="1"/>
  <c r="F375" i="1" s="1"/>
  <c r="AV378" i="1" s="1" a="1"/>
  <c r="AV378" i="1" s="1"/>
  <c r="G375" i="1" a="1"/>
  <c r="G375" i="1" s="1"/>
  <c r="AW378" i="1" s="1" a="1"/>
  <c r="AW378" i="1" s="1"/>
  <c r="C368" i="1" a="1"/>
  <c r="C368" i="1" s="1"/>
  <c r="C378" i="1" s="1" a="1"/>
  <c r="C378" i="1" s="1"/>
  <c r="D368" i="1" a="1"/>
  <c r="D368" i="1" s="1"/>
  <c r="D378" i="1" s="1" a="1"/>
  <c r="D378" i="1" s="1"/>
  <c r="E368" i="1" a="1"/>
  <c r="E368" i="1" s="1"/>
  <c r="E378" i="1" s="1" a="1"/>
  <c r="E378" i="1" s="1"/>
  <c r="F368" i="1" a="1"/>
  <c r="F368" i="1" s="1"/>
  <c r="F378" i="1" s="1" a="1"/>
  <c r="F378" i="1" s="1"/>
  <c r="G368" i="1" a="1"/>
  <c r="G368" i="1" s="1"/>
  <c r="G378" i="1" s="1" a="1"/>
  <c r="G378" i="1" s="1"/>
  <c r="B368" i="1" a="1"/>
  <c r="B368" i="1" s="1"/>
  <c r="B378" i="1" s="1" a="1"/>
  <c r="B378" i="1" s="1"/>
  <c r="B341" i="1" a="1"/>
  <c r="B341" i="1" s="1"/>
  <c r="H350" i="1" s="1" a="1"/>
  <c r="H350" i="1" s="1"/>
  <c r="C341" i="1" a="1"/>
  <c r="C341" i="1" s="1"/>
  <c r="I350" i="1" s="1" a="1"/>
  <c r="I350" i="1" s="1"/>
  <c r="D341" i="1" a="1"/>
  <c r="D341" i="1" s="1"/>
  <c r="J350" i="1" s="1" a="1"/>
  <c r="J350" i="1" s="1"/>
  <c r="E341" i="1" a="1"/>
  <c r="E341" i="1" s="1"/>
  <c r="K350" i="1" s="1" a="1"/>
  <c r="K350" i="1" s="1"/>
  <c r="F341" i="1" a="1"/>
  <c r="F341" i="1" s="1"/>
  <c r="L350" i="1" s="1" a="1"/>
  <c r="L350" i="1" s="1"/>
  <c r="G341" i="1" a="1"/>
  <c r="G341" i="1" s="1"/>
  <c r="M350" i="1" s="1" a="1"/>
  <c r="M350" i="1" s="1"/>
  <c r="B342" i="1" a="1"/>
  <c r="B342" i="1" s="1"/>
  <c r="N350" i="1" s="1" a="1"/>
  <c r="N350" i="1" s="1"/>
  <c r="C342" i="1" a="1"/>
  <c r="C342" i="1"/>
  <c r="O350" i="1" s="1" a="1"/>
  <c r="O350" i="1" s="1"/>
  <c r="D342" i="1" a="1"/>
  <c r="D342" i="1" s="1"/>
  <c r="P350" i="1" s="1" a="1"/>
  <c r="P350" i="1" s="1"/>
  <c r="E342" i="1" a="1"/>
  <c r="E342" i="1" s="1"/>
  <c r="Q350" i="1" s="1" a="1"/>
  <c r="Q350" i="1" s="1"/>
  <c r="F342" i="1" a="1"/>
  <c r="F342" i="1" s="1"/>
  <c r="R350" i="1" s="1" a="1"/>
  <c r="R350" i="1" s="1"/>
  <c r="G342" i="1" a="1"/>
  <c r="G342" i="1" s="1"/>
  <c r="S350" i="1" s="1" a="1"/>
  <c r="S350" i="1" s="1"/>
  <c r="B343" i="1" a="1"/>
  <c r="B343" i="1" s="1"/>
  <c r="T350" i="1" s="1" a="1"/>
  <c r="T350" i="1" s="1"/>
  <c r="C343" i="1" a="1"/>
  <c r="C343" i="1" s="1"/>
  <c r="U350" i="1" s="1" a="1"/>
  <c r="U350" i="1" s="1"/>
  <c r="D343" i="1" a="1"/>
  <c r="D343" i="1" s="1"/>
  <c r="V350" i="1" s="1" a="1"/>
  <c r="V350" i="1" s="1"/>
  <c r="E343" i="1" a="1"/>
  <c r="E343" i="1" s="1"/>
  <c r="W350" i="1" s="1" a="1"/>
  <c r="W350" i="1" s="1"/>
  <c r="F343" i="1" a="1"/>
  <c r="F343" i="1" s="1"/>
  <c r="X350" i="1" s="1" a="1"/>
  <c r="X350" i="1" s="1"/>
  <c r="G343" i="1" a="1"/>
  <c r="G343" i="1" s="1"/>
  <c r="Y350" i="1" s="1" a="1"/>
  <c r="Y350" i="1" s="1"/>
  <c r="B344" i="1" a="1"/>
  <c r="B344" i="1" s="1"/>
  <c r="Z350" i="1" s="1" a="1"/>
  <c r="Z350" i="1" s="1"/>
  <c r="C344" i="1" a="1"/>
  <c r="C344" i="1" s="1"/>
  <c r="AA350" i="1" s="1" a="1"/>
  <c r="AA350" i="1" s="1"/>
  <c r="D344" i="1" a="1"/>
  <c r="D344" i="1" s="1"/>
  <c r="AB350" i="1" s="1" a="1"/>
  <c r="AB350" i="1" s="1"/>
  <c r="E344" i="1" a="1"/>
  <c r="E344" i="1"/>
  <c r="AC350" i="1" s="1" a="1"/>
  <c r="AC350" i="1" s="1"/>
  <c r="F344" i="1" a="1"/>
  <c r="F344" i="1" s="1"/>
  <c r="AD350" i="1" s="1" a="1"/>
  <c r="AD350" i="1" s="1"/>
  <c r="G344" i="1" a="1"/>
  <c r="G344" i="1" s="1"/>
  <c r="AE350" i="1" s="1" a="1"/>
  <c r="AE350" i="1" s="1"/>
  <c r="B345" i="1" a="1"/>
  <c r="B345" i="1" s="1"/>
  <c r="AF350" i="1" s="1" a="1"/>
  <c r="AF350" i="1" s="1"/>
  <c r="C345" i="1" a="1"/>
  <c r="C345" i="1" s="1"/>
  <c r="AG350" i="1" s="1" a="1"/>
  <c r="AG350" i="1" s="1"/>
  <c r="D345" i="1" a="1"/>
  <c r="D345" i="1" s="1"/>
  <c r="AH350" i="1" s="1" a="1"/>
  <c r="AH350" i="1" s="1"/>
  <c r="E345" i="1" a="1"/>
  <c r="E345" i="1" s="1"/>
  <c r="AI350" i="1" s="1" a="1"/>
  <c r="AI350" i="1" s="1"/>
  <c r="F345" i="1" a="1"/>
  <c r="F345" i="1" s="1"/>
  <c r="AJ350" i="1" s="1" a="1"/>
  <c r="AJ350" i="1" s="1"/>
  <c r="G345" i="1" a="1"/>
  <c r="G345" i="1"/>
  <c r="AK350" i="1" s="1" a="1"/>
  <c r="AK350" i="1" s="1"/>
  <c r="B346" i="1" a="1"/>
  <c r="B346" i="1" s="1"/>
  <c r="AL350" i="1" s="1" a="1"/>
  <c r="AL350" i="1" s="1"/>
  <c r="C346" i="1" a="1"/>
  <c r="C346" i="1" s="1"/>
  <c r="AM350" i="1" s="1" a="1"/>
  <c r="AM350" i="1" s="1"/>
  <c r="D346" i="1" a="1"/>
  <c r="D346" i="1" s="1"/>
  <c r="AN350" i="1" s="1" a="1"/>
  <c r="AN350" i="1" s="1"/>
  <c r="E346" i="1" a="1"/>
  <c r="E346" i="1" s="1"/>
  <c r="AO350" i="1" s="1" a="1"/>
  <c r="AO350" i="1" s="1"/>
  <c r="F346" i="1" a="1"/>
  <c r="F346" i="1" s="1"/>
  <c r="AP350" i="1" s="1" a="1"/>
  <c r="AP350" i="1" s="1"/>
  <c r="G346" i="1" a="1"/>
  <c r="G346" i="1" s="1"/>
  <c r="AQ350" i="1" s="1" a="1"/>
  <c r="AQ350" i="1" s="1"/>
  <c r="B347" i="1" a="1"/>
  <c r="B347" i="1" s="1"/>
  <c r="AR350" i="1" s="1" a="1"/>
  <c r="AR350" i="1" s="1"/>
  <c r="C347" i="1" a="1"/>
  <c r="C347" i="1" s="1"/>
  <c r="AS350" i="1" s="1" a="1"/>
  <c r="AS350" i="1" s="1"/>
  <c r="D347" i="1" a="1"/>
  <c r="D347" i="1" s="1"/>
  <c r="AT350" i="1" s="1" a="1"/>
  <c r="AT350" i="1" s="1"/>
  <c r="E347" i="1" a="1"/>
  <c r="E347" i="1" s="1"/>
  <c r="AU350" i="1" s="1" a="1"/>
  <c r="AU350" i="1" s="1"/>
  <c r="F347" i="1" a="1"/>
  <c r="F347" i="1" s="1"/>
  <c r="AV350" i="1" s="1" a="1"/>
  <c r="AV350" i="1" s="1"/>
  <c r="G347" i="1" a="1"/>
  <c r="G347" i="1" s="1"/>
  <c r="AW350" i="1" s="1" a="1"/>
  <c r="AW350" i="1" s="1"/>
  <c r="C340" i="1" a="1"/>
  <c r="C340" i="1" s="1"/>
  <c r="C350" i="1" s="1" a="1"/>
  <c r="C350" i="1" s="1"/>
  <c r="D340" i="1" a="1"/>
  <c r="D340" i="1" s="1"/>
  <c r="D350" i="1" s="1" a="1"/>
  <c r="D350" i="1" s="1"/>
  <c r="E340" i="1" a="1"/>
  <c r="E340" i="1" s="1"/>
  <c r="E350" i="1" s="1" a="1"/>
  <c r="E350" i="1" s="1"/>
  <c r="F340" i="1" a="1"/>
  <c r="F340" i="1" s="1"/>
  <c r="F350" i="1" s="1" a="1"/>
  <c r="F350" i="1" s="1"/>
  <c r="G340" i="1" a="1"/>
  <c r="G340" i="1" s="1"/>
  <c r="G350" i="1" s="1" a="1"/>
  <c r="G350" i="1" s="1"/>
  <c r="B340" i="1" a="1"/>
  <c r="B340" i="1" s="1"/>
  <c r="B350" i="1" s="1" a="1"/>
  <c r="B350" i="1" s="1"/>
  <c r="AL322" i="1" a="1"/>
  <c r="AL322" i="1" s="1"/>
  <c r="AU322" i="1" a="1"/>
  <c r="AU322" i="1" s="1"/>
  <c r="B284" i="1" a="1"/>
  <c r="B284" i="1" s="1"/>
  <c r="B294" i="1" s="1" a="1"/>
  <c r="B294" i="1" s="1"/>
  <c r="B312" i="1" a="1"/>
  <c r="B312" i="1" s="1"/>
  <c r="B322" i="1" s="1" a="1"/>
  <c r="B322" i="1" s="1"/>
  <c r="B313" i="1" a="1"/>
  <c r="B313" i="1" s="1"/>
  <c r="H322" i="1" s="1" a="1"/>
  <c r="H322" i="1" s="1"/>
  <c r="C313" i="1" a="1"/>
  <c r="C313" i="1" s="1"/>
  <c r="I322" i="1" s="1" a="1"/>
  <c r="I322" i="1" s="1"/>
  <c r="D313" i="1" a="1"/>
  <c r="D313" i="1" s="1"/>
  <c r="J322" i="1" s="1" a="1"/>
  <c r="J322" i="1" s="1"/>
  <c r="E313" i="1" a="1"/>
  <c r="E313" i="1" s="1"/>
  <c r="K322" i="1" s="1" a="1"/>
  <c r="K322" i="1" s="1"/>
  <c r="F313" i="1" a="1"/>
  <c r="F313" i="1" s="1"/>
  <c r="L322" i="1" s="1" a="1"/>
  <c r="L322" i="1" s="1"/>
  <c r="G313" i="1" a="1"/>
  <c r="G313" i="1" s="1"/>
  <c r="M322" i="1" s="1" a="1"/>
  <c r="M322" i="1" s="1"/>
  <c r="B314" i="1" a="1"/>
  <c r="B314" i="1" s="1"/>
  <c r="N322" i="1" s="1" a="1"/>
  <c r="N322" i="1" s="1"/>
  <c r="C314" i="1" a="1"/>
  <c r="C314" i="1" s="1"/>
  <c r="O322" i="1" s="1" a="1"/>
  <c r="O322" i="1" s="1"/>
  <c r="D314" i="1" a="1"/>
  <c r="D314" i="1" s="1"/>
  <c r="P322" i="1" s="1" a="1"/>
  <c r="P322" i="1" s="1"/>
  <c r="E314" i="1" a="1"/>
  <c r="E314" i="1" s="1"/>
  <c r="Q322" i="1" s="1" a="1"/>
  <c r="Q322" i="1" s="1"/>
  <c r="F314" i="1" a="1"/>
  <c r="F314" i="1" s="1"/>
  <c r="R322" i="1" s="1" a="1"/>
  <c r="R322" i="1" s="1"/>
  <c r="G314" i="1" a="1"/>
  <c r="G314" i="1" s="1"/>
  <c r="S322" i="1" s="1" a="1"/>
  <c r="S322" i="1" s="1"/>
  <c r="B315" i="1" a="1"/>
  <c r="B315" i="1" s="1"/>
  <c r="T322" i="1" s="1" a="1"/>
  <c r="T322" i="1" s="1"/>
  <c r="C315" i="1" a="1"/>
  <c r="C315" i="1" s="1"/>
  <c r="U322" i="1" s="1" a="1"/>
  <c r="U322" i="1" s="1"/>
  <c r="D315" i="1" a="1"/>
  <c r="D315" i="1" s="1"/>
  <c r="V322" i="1" s="1" a="1"/>
  <c r="V322" i="1" s="1"/>
  <c r="E315" i="1" a="1"/>
  <c r="E315" i="1" s="1"/>
  <c r="W322" i="1" s="1" a="1"/>
  <c r="W322" i="1" s="1"/>
  <c r="F315" i="1" a="1"/>
  <c r="F315" i="1" s="1"/>
  <c r="X322" i="1" s="1" a="1"/>
  <c r="X322" i="1" s="1"/>
  <c r="G315" i="1" a="1"/>
  <c r="G315" i="1" s="1"/>
  <c r="Y322" i="1" s="1" a="1"/>
  <c r="Y322" i="1" s="1"/>
  <c r="B316" i="1" a="1"/>
  <c r="B316" i="1" s="1"/>
  <c r="Z322" i="1" s="1" a="1"/>
  <c r="Z322" i="1" s="1"/>
  <c r="C316" i="1" a="1"/>
  <c r="C316" i="1" s="1"/>
  <c r="AA322" i="1" s="1" a="1"/>
  <c r="AA322" i="1" s="1"/>
  <c r="D316" i="1" a="1"/>
  <c r="D316" i="1" s="1"/>
  <c r="AB322" i="1" s="1" a="1"/>
  <c r="AB322" i="1" s="1"/>
  <c r="E316" i="1" a="1"/>
  <c r="E316" i="1" s="1"/>
  <c r="AC322" i="1" s="1" a="1"/>
  <c r="AC322" i="1" s="1"/>
  <c r="F316" i="1" a="1"/>
  <c r="F316" i="1" s="1"/>
  <c r="AD322" i="1" s="1" a="1"/>
  <c r="AD322" i="1" s="1"/>
  <c r="G316" i="1" a="1"/>
  <c r="G316" i="1" s="1"/>
  <c r="AE322" i="1" s="1" a="1"/>
  <c r="AE322" i="1" s="1"/>
  <c r="B317" i="1" a="1"/>
  <c r="B317" i="1" s="1"/>
  <c r="AF322" i="1" s="1" a="1"/>
  <c r="AF322" i="1" s="1"/>
  <c r="C317" i="1" a="1"/>
  <c r="C317" i="1" s="1"/>
  <c r="AG322" i="1" s="1" a="1"/>
  <c r="AG322" i="1" s="1"/>
  <c r="D317" i="1" a="1"/>
  <c r="D317" i="1" s="1"/>
  <c r="AH322" i="1" s="1" a="1"/>
  <c r="AH322" i="1" s="1"/>
  <c r="E317" i="1" a="1"/>
  <c r="E317" i="1" s="1"/>
  <c r="AI322" i="1" s="1" a="1"/>
  <c r="AI322" i="1" s="1"/>
  <c r="F317" i="1" a="1"/>
  <c r="F317" i="1" s="1"/>
  <c r="AJ322" i="1" s="1" a="1"/>
  <c r="AJ322" i="1" s="1"/>
  <c r="G317" i="1" a="1"/>
  <c r="G317" i="1" s="1"/>
  <c r="AK322" i="1" s="1" a="1"/>
  <c r="AK322" i="1" s="1"/>
  <c r="B318" i="1" a="1"/>
  <c r="B318" i="1" s="1"/>
  <c r="C318" i="1" a="1"/>
  <c r="C318" i="1" s="1"/>
  <c r="AM322" i="1" s="1" a="1"/>
  <c r="AM322" i="1" s="1"/>
  <c r="D318" i="1" a="1"/>
  <c r="D318" i="1" s="1"/>
  <c r="AN322" i="1" s="1" a="1"/>
  <c r="AN322" i="1" s="1"/>
  <c r="E318" i="1" a="1"/>
  <c r="E318" i="1" s="1"/>
  <c r="AO322" i="1" s="1" a="1"/>
  <c r="AO322" i="1" s="1"/>
  <c r="F318" i="1" a="1"/>
  <c r="F318" i="1" s="1"/>
  <c r="AP322" i="1" s="1" a="1"/>
  <c r="AP322" i="1" s="1"/>
  <c r="G318" i="1" a="1"/>
  <c r="G318" i="1" s="1"/>
  <c r="AQ322" i="1" s="1" a="1"/>
  <c r="AQ322" i="1" s="1"/>
  <c r="B319" i="1" a="1"/>
  <c r="B319" i="1" s="1"/>
  <c r="AR322" i="1" s="1" a="1"/>
  <c r="AR322" i="1" s="1"/>
  <c r="C319" i="1" a="1"/>
  <c r="C319" i="1" s="1"/>
  <c r="AS322" i="1" s="1" a="1"/>
  <c r="AS322" i="1" s="1"/>
  <c r="D319" i="1" a="1"/>
  <c r="D319" i="1" s="1"/>
  <c r="AT322" i="1" s="1" a="1"/>
  <c r="AT322" i="1" s="1"/>
  <c r="E319" i="1" a="1"/>
  <c r="E319" i="1" s="1"/>
  <c r="F319" i="1" a="1"/>
  <c r="F319" i="1" s="1"/>
  <c r="AV322" i="1" s="1" a="1"/>
  <c r="AV322" i="1" s="1"/>
  <c r="G319" i="1" a="1"/>
  <c r="G319" i="1" s="1"/>
  <c r="AW322" i="1" s="1" a="1"/>
  <c r="AW322" i="1" s="1"/>
  <c r="C312" i="1" a="1"/>
  <c r="C312" i="1" s="1"/>
  <c r="C322" i="1" s="1" a="1"/>
  <c r="C322" i="1" s="1"/>
  <c r="D312" i="1" a="1"/>
  <c r="D312" i="1" s="1"/>
  <c r="D322" i="1" s="1" a="1"/>
  <c r="D322" i="1" s="1"/>
  <c r="E312" i="1" a="1"/>
  <c r="E312" i="1" s="1"/>
  <c r="E322" i="1" s="1" a="1"/>
  <c r="E322" i="1" s="1"/>
  <c r="F312" i="1" a="1"/>
  <c r="F312" i="1" s="1"/>
  <c r="F322" i="1" s="1" a="1"/>
  <c r="F322" i="1" s="1"/>
  <c r="G312" i="1" a="1"/>
  <c r="G312" i="1" s="1"/>
  <c r="G322" i="1" s="1" a="1"/>
  <c r="G322" i="1" s="1"/>
  <c r="B285" i="1" a="1"/>
  <c r="B285" i="1" s="1"/>
  <c r="H294" i="1" s="1" a="1"/>
  <c r="H294" i="1" s="1"/>
  <c r="C285" i="1" a="1"/>
  <c r="C285" i="1" s="1"/>
  <c r="I294" i="1" s="1" a="1"/>
  <c r="I294" i="1" s="1"/>
  <c r="D285" i="1" a="1"/>
  <c r="D285" i="1" s="1"/>
  <c r="J294" i="1" s="1" a="1"/>
  <c r="J294" i="1" s="1"/>
  <c r="E285" i="1" a="1"/>
  <c r="E285" i="1" s="1"/>
  <c r="K294" i="1" s="1" a="1"/>
  <c r="K294" i="1" s="1"/>
  <c r="F285" i="1" a="1"/>
  <c r="F285" i="1" s="1"/>
  <c r="L294" i="1" s="1" a="1"/>
  <c r="L294" i="1" s="1"/>
  <c r="G285" i="1" a="1"/>
  <c r="G285" i="1" s="1"/>
  <c r="M294" i="1" s="1" a="1"/>
  <c r="M294" i="1" s="1"/>
  <c r="B286" i="1" a="1"/>
  <c r="B286" i="1" s="1"/>
  <c r="N294" i="1" s="1" a="1"/>
  <c r="N294" i="1" s="1"/>
  <c r="C286" i="1" a="1"/>
  <c r="C286" i="1" s="1"/>
  <c r="O294" i="1" s="1" a="1"/>
  <c r="O294" i="1" s="1"/>
  <c r="D286" i="1" a="1"/>
  <c r="D286" i="1" s="1"/>
  <c r="P294" i="1" s="1" a="1"/>
  <c r="P294" i="1" s="1"/>
  <c r="E286" i="1" a="1"/>
  <c r="E286" i="1" s="1"/>
  <c r="Q294" i="1" s="1" a="1"/>
  <c r="Q294" i="1" s="1"/>
  <c r="F286" i="1" a="1"/>
  <c r="F286" i="1" s="1"/>
  <c r="R294" i="1" s="1" a="1"/>
  <c r="R294" i="1" s="1"/>
  <c r="G286" i="1" a="1"/>
  <c r="G286" i="1" s="1"/>
  <c r="S294" i="1" s="1" a="1"/>
  <c r="S294" i="1" s="1"/>
  <c r="B287" i="1" a="1"/>
  <c r="B287" i="1" s="1"/>
  <c r="T294" i="1" s="1" a="1"/>
  <c r="T294" i="1" s="1"/>
  <c r="C287" i="1" a="1"/>
  <c r="C287" i="1" s="1"/>
  <c r="U294" i="1" s="1" a="1"/>
  <c r="U294" i="1" s="1"/>
  <c r="D287" i="1" a="1"/>
  <c r="D287" i="1" s="1"/>
  <c r="V294" i="1" s="1" a="1"/>
  <c r="V294" i="1" s="1"/>
  <c r="E287" i="1" a="1"/>
  <c r="E287" i="1" s="1"/>
  <c r="W294" i="1" s="1" a="1"/>
  <c r="W294" i="1" s="1"/>
  <c r="F287" i="1" a="1"/>
  <c r="F287" i="1" s="1"/>
  <c r="X294" i="1" s="1" a="1"/>
  <c r="X294" i="1" s="1"/>
  <c r="G287" i="1" a="1"/>
  <c r="G287" i="1" s="1"/>
  <c r="Y294" i="1" s="1" a="1"/>
  <c r="Y294" i="1" s="1"/>
  <c r="B288" i="1" a="1"/>
  <c r="B288" i="1" s="1"/>
  <c r="Z294" i="1" s="1" a="1"/>
  <c r="Z294" i="1" s="1"/>
  <c r="C288" i="1" a="1"/>
  <c r="C288" i="1" s="1"/>
  <c r="AA294" i="1" s="1" a="1"/>
  <c r="AA294" i="1" s="1"/>
  <c r="D288" i="1" a="1"/>
  <c r="D288" i="1" s="1"/>
  <c r="AB294" i="1" s="1" a="1"/>
  <c r="AB294" i="1" s="1"/>
  <c r="E288" i="1" a="1"/>
  <c r="E288" i="1" s="1"/>
  <c r="AC294" i="1" s="1" a="1"/>
  <c r="AC294" i="1" s="1"/>
  <c r="F288" i="1" a="1"/>
  <c r="F288" i="1" s="1"/>
  <c r="AD294" i="1" s="1" a="1"/>
  <c r="AD294" i="1" s="1"/>
  <c r="G288" i="1" a="1"/>
  <c r="G288" i="1" s="1"/>
  <c r="AE294" i="1" s="1" a="1"/>
  <c r="AE294" i="1" s="1"/>
  <c r="B289" i="1" a="1"/>
  <c r="B289" i="1" s="1"/>
  <c r="AF294" i="1" s="1" a="1"/>
  <c r="AF294" i="1" s="1"/>
  <c r="C289" i="1" a="1"/>
  <c r="C289" i="1" s="1"/>
  <c r="AG294" i="1" s="1" a="1"/>
  <c r="AG294" i="1" s="1"/>
  <c r="D289" i="1" a="1"/>
  <c r="D289" i="1" s="1"/>
  <c r="AH294" i="1" s="1" a="1"/>
  <c r="AH294" i="1" s="1"/>
  <c r="E289" i="1" a="1"/>
  <c r="E289" i="1" s="1"/>
  <c r="AI294" i="1" s="1" a="1"/>
  <c r="AI294" i="1" s="1"/>
  <c r="F289" i="1" a="1"/>
  <c r="F289" i="1" s="1"/>
  <c r="AJ294" i="1" s="1" a="1"/>
  <c r="AJ294" i="1" s="1"/>
  <c r="G289" i="1" a="1"/>
  <c r="G289" i="1" s="1"/>
  <c r="AK294" i="1" s="1" a="1"/>
  <c r="AK294" i="1" s="1"/>
  <c r="B290" i="1" a="1"/>
  <c r="B290" i="1" s="1"/>
  <c r="AL294" i="1" s="1" a="1"/>
  <c r="AL294" i="1" s="1"/>
  <c r="C290" i="1" a="1"/>
  <c r="C290" i="1" s="1"/>
  <c r="AM294" i="1" s="1" a="1"/>
  <c r="AM294" i="1" s="1"/>
  <c r="D290" i="1" a="1"/>
  <c r="D290" i="1" s="1"/>
  <c r="AN294" i="1" s="1" a="1"/>
  <c r="AN294" i="1" s="1"/>
  <c r="E290" i="1" a="1"/>
  <c r="E290" i="1" s="1"/>
  <c r="AO294" i="1" s="1" a="1"/>
  <c r="AO294" i="1" s="1"/>
  <c r="F290" i="1" a="1"/>
  <c r="F290" i="1" s="1"/>
  <c r="AP294" i="1" s="1" a="1"/>
  <c r="AP294" i="1" s="1"/>
  <c r="G290" i="1" a="1"/>
  <c r="G290" i="1" s="1"/>
  <c r="AQ294" i="1" s="1" a="1"/>
  <c r="AQ294" i="1" s="1"/>
  <c r="B291" i="1" a="1"/>
  <c r="B291" i="1" s="1"/>
  <c r="AR294" i="1" s="1" a="1"/>
  <c r="AR294" i="1" s="1"/>
  <c r="C291" i="1" a="1"/>
  <c r="C291" i="1" s="1"/>
  <c r="AS294" i="1" s="1" a="1"/>
  <c r="AS294" i="1" s="1"/>
  <c r="D291" i="1" a="1"/>
  <c r="D291" i="1" s="1"/>
  <c r="AT294" i="1" s="1" a="1"/>
  <c r="AT294" i="1" s="1"/>
  <c r="E291" i="1" a="1"/>
  <c r="E291" i="1" s="1"/>
  <c r="AU294" i="1" s="1" a="1"/>
  <c r="AU294" i="1" s="1"/>
  <c r="F291" i="1" a="1"/>
  <c r="F291" i="1" s="1"/>
  <c r="AV294" i="1" s="1" a="1"/>
  <c r="AV294" i="1" s="1"/>
  <c r="G291" i="1" a="1"/>
  <c r="G291" i="1" s="1"/>
  <c r="AW294" i="1" s="1" a="1"/>
  <c r="AW294" i="1" s="1"/>
  <c r="C284" i="1" a="1"/>
  <c r="C284" i="1" s="1"/>
  <c r="C294" i="1" s="1" a="1"/>
  <c r="C294" i="1" s="1"/>
  <c r="D284" i="1" a="1"/>
  <c r="D284" i="1" s="1"/>
  <c r="D294" i="1" s="1" a="1"/>
  <c r="D294" i="1" s="1"/>
  <c r="E284" i="1" a="1"/>
  <c r="E284" i="1" s="1"/>
  <c r="E294" i="1" s="1" a="1"/>
  <c r="E294" i="1" s="1"/>
  <c r="F284" i="1" a="1"/>
  <c r="F284" i="1" s="1"/>
  <c r="F294" i="1" s="1" a="1"/>
  <c r="F294" i="1" s="1"/>
  <c r="G284" i="1" a="1"/>
  <c r="G284" i="1" s="1"/>
  <c r="G294" i="1" s="1" a="1"/>
  <c r="G294" i="1" s="1"/>
  <c r="B257" i="1" a="1"/>
  <c r="B257" i="1" s="1"/>
  <c r="H266" i="1" s="1" a="1"/>
  <c r="H266" i="1" s="1"/>
  <c r="C257" i="1" a="1"/>
  <c r="C257" i="1" s="1"/>
  <c r="I266" i="1" s="1" a="1"/>
  <c r="I266" i="1" s="1"/>
  <c r="D257" i="1" a="1"/>
  <c r="D257" i="1" s="1"/>
  <c r="J266" i="1" s="1" a="1"/>
  <c r="J266" i="1" s="1"/>
  <c r="E257" i="1" a="1"/>
  <c r="E257" i="1" s="1"/>
  <c r="K266" i="1" s="1" a="1"/>
  <c r="K266" i="1" s="1"/>
  <c r="F257" i="1" a="1"/>
  <c r="F257" i="1" s="1"/>
  <c r="L266" i="1" s="1" a="1"/>
  <c r="L266" i="1" s="1"/>
  <c r="G257" i="1" a="1"/>
  <c r="G257" i="1" s="1"/>
  <c r="M266" i="1" s="1" a="1"/>
  <c r="M266" i="1" s="1"/>
  <c r="B258" i="1" a="1"/>
  <c r="B258" i="1" s="1"/>
  <c r="N266" i="1" s="1" a="1"/>
  <c r="N266" i="1" s="1"/>
  <c r="C258" i="1" a="1"/>
  <c r="C258" i="1" s="1"/>
  <c r="O266" i="1" s="1" a="1"/>
  <c r="O266" i="1" s="1"/>
  <c r="D258" i="1" a="1"/>
  <c r="D258" i="1" s="1"/>
  <c r="P266" i="1" s="1" a="1"/>
  <c r="P266" i="1" s="1"/>
  <c r="E258" i="1" a="1"/>
  <c r="E258" i="1" s="1"/>
  <c r="Q266" i="1" s="1" a="1"/>
  <c r="Q266" i="1" s="1"/>
  <c r="F258" i="1" a="1"/>
  <c r="F258" i="1" s="1"/>
  <c r="R266" i="1" s="1" a="1"/>
  <c r="R266" i="1" s="1"/>
  <c r="G258" i="1" a="1"/>
  <c r="G258" i="1" s="1"/>
  <c r="S266" i="1" s="1" a="1"/>
  <c r="S266" i="1" s="1"/>
  <c r="B259" i="1" a="1"/>
  <c r="B259" i="1" s="1"/>
  <c r="T266" i="1" s="1" a="1"/>
  <c r="T266" i="1" s="1"/>
  <c r="C259" i="1" a="1"/>
  <c r="C259" i="1" s="1"/>
  <c r="U266" i="1" s="1" a="1"/>
  <c r="U266" i="1" s="1"/>
  <c r="D259" i="1" a="1"/>
  <c r="D259" i="1" s="1"/>
  <c r="V266" i="1" s="1" a="1"/>
  <c r="V266" i="1" s="1"/>
  <c r="E259" i="1" a="1"/>
  <c r="E259" i="1" s="1"/>
  <c r="W266" i="1" s="1" a="1"/>
  <c r="W266" i="1" s="1"/>
  <c r="F259" i="1" a="1"/>
  <c r="F259" i="1" s="1"/>
  <c r="X266" i="1" s="1" a="1"/>
  <c r="X266" i="1" s="1"/>
  <c r="G259" i="1" a="1"/>
  <c r="G259" i="1" s="1"/>
  <c r="Y266" i="1" s="1" a="1"/>
  <c r="Y266" i="1" s="1"/>
  <c r="B260" i="1" a="1"/>
  <c r="B260" i="1" s="1"/>
  <c r="Z266" i="1" s="1" a="1"/>
  <c r="Z266" i="1" s="1"/>
  <c r="C260" i="1" a="1"/>
  <c r="C260" i="1" s="1"/>
  <c r="AA266" i="1" s="1" a="1"/>
  <c r="AA266" i="1" s="1"/>
  <c r="D260" i="1" a="1"/>
  <c r="D260" i="1" s="1"/>
  <c r="AB266" i="1" s="1" a="1"/>
  <c r="AB266" i="1" s="1"/>
  <c r="E260" i="1" a="1"/>
  <c r="E260" i="1" s="1"/>
  <c r="AC266" i="1" s="1" a="1"/>
  <c r="AC266" i="1" s="1"/>
  <c r="F260" i="1" a="1"/>
  <c r="F260" i="1" s="1"/>
  <c r="AD266" i="1" s="1" a="1"/>
  <c r="AD266" i="1" s="1"/>
  <c r="G260" i="1" a="1"/>
  <c r="G260" i="1" s="1"/>
  <c r="AE266" i="1" s="1" a="1"/>
  <c r="AE266" i="1" s="1"/>
  <c r="B261" i="1" a="1"/>
  <c r="B261" i="1" s="1"/>
  <c r="AF266" i="1" s="1" a="1"/>
  <c r="AF266" i="1" s="1"/>
  <c r="C261" i="1" a="1"/>
  <c r="C261" i="1" s="1"/>
  <c r="AG266" i="1" s="1" a="1"/>
  <c r="AG266" i="1" s="1"/>
  <c r="D261" i="1" a="1"/>
  <c r="D261" i="1" s="1"/>
  <c r="AH266" i="1" s="1" a="1"/>
  <c r="AH266" i="1" s="1"/>
  <c r="E261" i="1" a="1"/>
  <c r="E261" i="1" s="1"/>
  <c r="AI266" i="1" s="1" a="1"/>
  <c r="AI266" i="1" s="1"/>
  <c r="F261" i="1" a="1"/>
  <c r="F261" i="1" s="1"/>
  <c r="AJ266" i="1" s="1" a="1"/>
  <c r="AJ266" i="1" s="1"/>
  <c r="G261" i="1" a="1"/>
  <c r="G261" i="1" s="1"/>
  <c r="AK266" i="1" s="1" a="1"/>
  <c r="AK266" i="1" s="1"/>
  <c r="B262" i="1" a="1"/>
  <c r="B262" i="1" s="1"/>
  <c r="AL266" i="1" s="1" a="1"/>
  <c r="AL266" i="1" s="1"/>
  <c r="C262" i="1" a="1"/>
  <c r="C262" i="1" s="1"/>
  <c r="AM266" i="1" s="1" a="1"/>
  <c r="AM266" i="1" s="1"/>
  <c r="D262" i="1" a="1"/>
  <c r="D262" i="1" s="1"/>
  <c r="AN266" i="1" s="1" a="1"/>
  <c r="AN266" i="1" s="1"/>
  <c r="E262" i="1" a="1"/>
  <c r="E262" i="1" s="1"/>
  <c r="AO266" i="1" s="1" a="1"/>
  <c r="AO266" i="1" s="1"/>
  <c r="F262" i="1" a="1"/>
  <c r="F262" i="1" s="1"/>
  <c r="AP266" i="1" s="1" a="1"/>
  <c r="AP266" i="1" s="1"/>
  <c r="G262" i="1" a="1"/>
  <c r="G262" i="1" s="1"/>
  <c r="AQ266" i="1" s="1" a="1"/>
  <c r="AQ266" i="1" s="1"/>
  <c r="B263" i="1" a="1"/>
  <c r="B263" i="1" s="1"/>
  <c r="AR266" i="1" s="1" a="1"/>
  <c r="AR266" i="1" s="1"/>
  <c r="C263" i="1" a="1"/>
  <c r="C263" i="1" s="1"/>
  <c r="AS266" i="1" s="1" a="1"/>
  <c r="AS266" i="1" s="1"/>
  <c r="D263" i="1" a="1"/>
  <c r="D263" i="1" s="1"/>
  <c r="AT266" i="1" s="1" a="1"/>
  <c r="AT266" i="1" s="1"/>
  <c r="E263" i="1" a="1"/>
  <c r="E263" i="1" s="1"/>
  <c r="AU266" i="1" s="1" a="1"/>
  <c r="AU266" i="1" s="1"/>
  <c r="F263" i="1" a="1"/>
  <c r="F263" i="1" s="1"/>
  <c r="AV266" i="1" s="1" a="1"/>
  <c r="AV266" i="1" s="1"/>
  <c r="G263" i="1" a="1"/>
  <c r="G263" i="1" s="1"/>
  <c r="AW266" i="1" s="1" a="1"/>
  <c r="AW266" i="1" s="1"/>
  <c r="C256" i="1" a="1"/>
  <c r="C256" i="1" s="1"/>
  <c r="C266" i="1" s="1" a="1"/>
  <c r="C266" i="1" s="1"/>
  <c r="D256" i="1" a="1"/>
  <c r="D256" i="1" s="1"/>
  <c r="D266" i="1" s="1" a="1"/>
  <c r="D266" i="1" s="1"/>
  <c r="E256" i="1" a="1"/>
  <c r="E256" i="1" s="1"/>
  <c r="E266" i="1" s="1" a="1"/>
  <c r="E266" i="1" s="1"/>
  <c r="F256" i="1" a="1"/>
  <c r="F256" i="1" s="1"/>
  <c r="F266" i="1" s="1" a="1"/>
  <c r="F266" i="1" s="1"/>
  <c r="G256" i="1" a="1"/>
  <c r="G256" i="1" s="1"/>
  <c r="G266" i="1" s="1" a="1"/>
  <c r="G266" i="1" s="1"/>
  <c r="B256" i="1" a="1"/>
  <c r="B256" i="1" s="1"/>
  <c r="B266" i="1" s="1" a="1"/>
  <c r="B266" i="1" s="1"/>
  <c r="B229" i="1" a="1"/>
  <c r="B229" i="1" s="1"/>
  <c r="H238" i="1" s="1" a="1"/>
  <c r="H238" i="1" s="1"/>
  <c r="C229" i="1" a="1"/>
  <c r="C229" i="1" s="1"/>
  <c r="I238" i="1" s="1" a="1"/>
  <c r="I238" i="1" s="1"/>
  <c r="D229" i="1" a="1"/>
  <c r="D229" i="1" s="1"/>
  <c r="J238" i="1" s="1" a="1"/>
  <c r="J238" i="1" s="1"/>
  <c r="E229" i="1" a="1"/>
  <c r="E229" i="1" s="1"/>
  <c r="K238" i="1" s="1" a="1"/>
  <c r="K238" i="1" s="1"/>
  <c r="F229" i="1" a="1"/>
  <c r="F229" i="1" s="1"/>
  <c r="L238" i="1" s="1" a="1"/>
  <c r="L238" i="1" s="1"/>
  <c r="G229" i="1" a="1"/>
  <c r="G229" i="1" s="1"/>
  <c r="M238" i="1" s="1" a="1"/>
  <c r="M238" i="1" s="1"/>
  <c r="B230" i="1" a="1"/>
  <c r="B230" i="1" s="1"/>
  <c r="N238" i="1" s="1" a="1"/>
  <c r="N238" i="1" s="1"/>
  <c r="C230" i="1" a="1"/>
  <c r="C230" i="1" s="1"/>
  <c r="O238" i="1" s="1" a="1"/>
  <c r="O238" i="1" s="1"/>
  <c r="D230" i="1" a="1"/>
  <c r="D230" i="1" s="1"/>
  <c r="P238" i="1" s="1" a="1"/>
  <c r="P238" i="1" s="1"/>
  <c r="E230" i="1" a="1"/>
  <c r="E230" i="1" s="1"/>
  <c r="Q238" i="1" s="1" a="1"/>
  <c r="Q238" i="1" s="1"/>
  <c r="F230" i="1" a="1"/>
  <c r="F230" i="1" s="1"/>
  <c r="R238" i="1" s="1" a="1"/>
  <c r="R238" i="1" s="1"/>
  <c r="G230" i="1" a="1"/>
  <c r="G230" i="1" s="1"/>
  <c r="S238" i="1" s="1" a="1"/>
  <c r="S238" i="1" s="1"/>
  <c r="B231" i="1" a="1"/>
  <c r="B231" i="1" s="1"/>
  <c r="T238" i="1" s="1" a="1"/>
  <c r="T238" i="1" s="1"/>
  <c r="C231" i="1" a="1"/>
  <c r="C231" i="1" s="1"/>
  <c r="U238" i="1" s="1" a="1"/>
  <c r="U238" i="1" s="1"/>
  <c r="D231" i="1" a="1"/>
  <c r="D231" i="1" s="1"/>
  <c r="V238" i="1" s="1" a="1"/>
  <c r="V238" i="1" s="1"/>
  <c r="E231" i="1" a="1"/>
  <c r="E231" i="1" s="1"/>
  <c r="W238" i="1" s="1" a="1"/>
  <c r="W238" i="1" s="1"/>
  <c r="F231" i="1" a="1"/>
  <c r="F231" i="1" s="1"/>
  <c r="X238" i="1" s="1" a="1"/>
  <c r="X238" i="1" s="1"/>
  <c r="G231" i="1" a="1"/>
  <c r="G231" i="1" s="1"/>
  <c r="Y238" i="1" s="1" a="1"/>
  <c r="Y238" i="1" s="1"/>
  <c r="B232" i="1" a="1"/>
  <c r="B232" i="1" s="1"/>
  <c r="Z238" i="1" s="1" a="1"/>
  <c r="Z238" i="1" s="1"/>
  <c r="C232" i="1" a="1"/>
  <c r="C232" i="1" s="1"/>
  <c r="AA238" i="1" s="1" a="1"/>
  <c r="AA238" i="1" s="1"/>
  <c r="D232" i="1" a="1"/>
  <c r="D232" i="1" s="1"/>
  <c r="AB238" i="1" s="1" a="1"/>
  <c r="AB238" i="1" s="1"/>
  <c r="E232" i="1" a="1"/>
  <c r="E232" i="1" s="1"/>
  <c r="AC238" i="1" s="1" a="1"/>
  <c r="AC238" i="1" s="1"/>
  <c r="F232" i="1" a="1"/>
  <c r="F232" i="1" s="1"/>
  <c r="AD238" i="1" s="1" a="1"/>
  <c r="AD238" i="1" s="1"/>
  <c r="G232" i="1" a="1"/>
  <c r="G232" i="1" s="1"/>
  <c r="AE238" i="1" s="1" a="1"/>
  <c r="AE238" i="1" s="1"/>
  <c r="B233" i="1" a="1"/>
  <c r="B233" i="1" s="1"/>
  <c r="AF238" i="1" s="1" a="1"/>
  <c r="AF238" i="1" s="1"/>
  <c r="C233" i="1" a="1"/>
  <c r="C233" i="1" s="1"/>
  <c r="AG238" i="1" s="1" a="1"/>
  <c r="AG238" i="1" s="1"/>
  <c r="D233" i="1" a="1"/>
  <c r="D233" i="1" s="1"/>
  <c r="AH238" i="1" s="1" a="1"/>
  <c r="AH238" i="1" s="1"/>
  <c r="E233" i="1" a="1"/>
  <c r="E233" i="1" s="1"/>
  <c r="AI238" i="1" s="1" a="1"/>
  <c r="AI238" i="1" s="1"/>
  <c r="F233" i="1" a="1"/>
  <c r="F233" i="1" s="1"/>
  <c r="AJ238" i="1" s="1" a="1"/>
  <c r="AJ238" i="1" s="1"/>
  <c r="G233" i="1" a="1"/>
  <c r="G233" i="1" s="1"/>
  <c r="AK238" i="1" s="1" a="1"/>
  <c r="AK238" i="1" s="1"/>
  <c r="B234" i="1" a="1"/>
  <c r="B234" i="1" s="1"/>
  <c r="AL238" i="1" s="1" a="1"/>
  <c r="AL238" i="1" s="1"/>
  <c r="C234" i="1" a="1"/>
  <c r="C234" i="1" s="1"/>
  <c r="AM238" i="1" s="1" a="1"/>
  <c r="AM238" i="1" s="1"/>
  <c r="D234" i="1" a="1"/>
  <c r="D234" i="1" s="1"/>
  <c r="AN238" i="1" s="1" a="1"/>
  <c r="AN238" i="1" s="1"/>
  <c r="E234" i="1" a="1"/>
  <c r="E234" i="1" s="1"/>
  <c r="AO238" i="1" s="1" a="1"/>
  <c r="AO238" i="1" s="1"/>
  <c r="F234" i="1" a="1"/>
  <c r="F234" i="1" s="1"/>
  <c r="AP238" i="1" s="1" a="1"/>
  <c r="AP238" i="1" s="1"/>
  <c r="G234" i="1" a="1"/>
  <c r="G234" i="1" s="1"/>
  <c r="AQ238" i="1" s="1" a="1"/>
  <c r="AQ238" i="1" s="1"/>
  <c r="B235" i="1" a="1"/>
  <c r="B235" i="1" s="1"/>
  <c r="AR238" i="1" s="1" a="1"/>
  <c r="AR238" i="1" s="1"/>
  <c r="C235" i="1" a="1"/>
  <c r="C235" i="1" s="1"/>
  <c r="AS238" i="1" s="1" a="1"/>
  <c r="AS238" i="1" s="1"/>
  <c r="D235" i="1" a="1"/>
  <c r="D235" i="1" s="1"/>
  <c r="AT238" i="1" s="1" a="1"/>
  <c r="AT238" i="1" s="1"/>
  <c r="E235" i="1" a="1"/>
  <c r="E235" i="1" s="1"/>
  <c r="AU238" i="1" s="1" a="1"/>
  <c r="AU238" i="1" s="1"/>
  <c r="F235" i="1" a="1"/>
  <c r="F235" i="1" s="1"/>
  <c r="AV238" i="1" s="1" a="1"/>
  <c r="AV238" i="1" s="1"/>
  <c r="G235" i="1" a="1"/>
  <c r="G235" i="1" s="1"/>
  <c r="AW238" i="1" s="1" a="1"/>
  <c r="AW238" i="1" s="1"/>
  <c r="C228" i="1" a="1"/>
  <c r="C228" i="1" s="1"/>
  <c r="C238" i="1" s="1" a="1"/>
  <c r="C238" i="1" s="1"/>
  <c r="D228" i="1" a="1"/>
  <c r="D228" i="1" s="1"/>
  <c r="D238" i="1" s="1" a="1"/>
  <c r="D238" i="1" s="1"/>
  <c r="E228" i="1" a="1"/>
  <c r="E228" i="1" s="1"/>
  <c r="E238" i="1" s="1" a="1"/>
  <c r="E238" i="1" s="1"/>
  <c r="F228" i="1" a="1"/>
  <c r="F228" i="1" s="1"/>
  <c r="F238" i="1" s="1" a="1"/>
  <c r="F238" i="1" s="1"/>
  <c r="G228" i="1" a="1"/>
  <c r="G228" i="1" s="1"/>
  <c r="G238" i="1" s="1" a="1"/>
  <c r="G238" i="1" s="1"/>
  <c r="B228" i="1" a="1"/>
  <c r="B228" i="1" s="1"/>
  <c r="B238" i="1" s="1" a="1"/>
  <c r="B238" i="1" s="1"/>
  <c r="B201" i="1" a="1"/>
  <c r="B201" i="1" s="1"/>
  <c r="H210" i="1" s="1" a="1"/>
  <c r="H210" i="1" s="1"/>
  <c r="C201" i="1" a="1"/>
  <c r="C201" i="1" s="1"/>
  <c r="I210" i="1" s="1" a="1"/>
  <c r="I210" i="1" s="1"/>
  <c r="D201" i="1" a="1"/>
  <c r="D201" i="1" s="1"/>
  <c r="J210" i="1" s="1" a="1"/>
  <c r="J210" i="1" s="1"/>
  <c r="E201" i="1" a="1"/>
  <c r="E201" i="1" s="1"/>
  <c r="K210" i="1" s="1" a="1"/>
  <c r="K210" i="1" s="1"/>
  <c r="F201" i="1" a="1"/>
  <c r="F201" i="1" s="1"/>
  <c r="L210" i="1" s="1" a="1"/>
  <c r="L210" i="1" s="1"/>
  <c r="G201" i="1" a="1"/>
  <c r="G201" i="1" s="1"/>
  <c r="M210" i="1" s="1" a="1"/>
  <c r="M210" i="1" s="1"/>
  <c r="B202" i="1" a="1"/>
  <c r="B202" i="1" s="1"/>
  <c r="N210" i="1" s="1" a="1"/>
  <c r="N210" i="1" s="1"/>
  <c r="C202" i="1" a="1"/>
  <c r="C202" i="1" s="1"/>
  <c r="O210" i="1" s="1" a="1"/>
  <c r="O210" i="1" s="1"/>
  <c r="D202" i="1" a="1"/>
  <c r="D202" i="1" s="1"/>
  <c r="P210" i="1" s="1" a="1"/>
  <c r="P210" i="1" s="1"/>
  <c r="E202" i="1" a="1"/>
  <c r="E202" i="1" s="1"/>
  <c r="Q210" i="1" s="1" a="1"/>
  <c r="Q210" i="1" s="1"/>
  <c r="F202" i="1" a="1"/>
  <c r="F202" i="1" s="1"/>
  <c r="R210" i="1" s="1" a="1"/>
  <c r="R210" i="1" s="1"/>
  <c r="G202" i="1" a="1"/>
  <c r="G202" i="1" s="1"/>
  <c r="S210" i="1" s="1" a="1"/>
  <c r="S210" i="1" s="1"/>
  <c r="B203" i="1" a="1"/>
  <c r="B203" i="1" s="1"/>
  <c r="T210" i="1" s="1" a="1"/>
  <c r="T210" i="1" s="1"/>
  <c r="C203" i="1" a="1"/>
  <c r="C203" i="1" s="1"/>
  <c r="U210" i="1" s="1" a="1"/>
  <c r="U210" i="1" s="1"/>
  <c r="D203" i="1" a="1"/>
  <c r="D203" i="1" s="1"/>
  <c r="V210" i="1" s="1" a="1"/>
  <c r="V210" i="1" s="1"/>
  <c r="E203" i="1" a="1"/>
  <c r="E203" i="1" s="1"/>
  <c r="W210" i="1" s="1" a="1"/>
  <c r="W210" i="1" s="1"/>
  <c r="F203" i="1" a="1"/>
  <c r="F203" i="1" s="1"/>
  <c r="X210" i="1" s="1" a="1"/>
  <c r="X210" i="1" s="1"/>
  <c r="G203" i="1" a="1"/>
  <c r="G203" i="1" s="1"/>
  <c r="Y210" i="1" s="1" a="1"/>
  <c r="Y210" i="1" s="1"/>
  <c r="B204" i="1" a="1"/>
  <c r="B204" i="1" s="1"/>
  <c r="Z210" i="1" s="1" a="1"/>
  <c r="Z210" i="1" s="1"/>
  <c r="C204" i="1" a="1"/>
  <c r="C204" i="1" s="1"/>
  <c r="AA210" i="1" s="1" a="1"/>
  <c r="AA210" i="1" s="1"/>
  <c r="D204" i="1" a="1"/>
  <c r="D204" i="1" s="1"/>
  <c r="AB210" i="1" s="1" a="1"/>
  <c r="AB210" i="1" s="1"/>
  <c r="E204" i="1" a="1"/>
  <c r="E204" i="1" s="1"/>
  <c r="AC210" i="1" s="1" a="1"/>
  <c r="AC210" i="1" s="1"/>
  <c r="F204" i="1" a="1"/>
  <c r="F204" i="1" s="1"/>
  <c r="AD210" i="1" s="1" a="1"/>
  <c r="AD210" i="1" s="1"/>
  <c r="G204" i="1" a="1"/>
  <c r="G204" i="1" s="1"/>
  <c r="AE210" i="1" s="1" a="1"/>
  <c r="AE210" i="1" s="1"/>
  <c r="B205" i="1" a="1"/>
  <c r="B205" i="1" s="1"/>
  <c r="AF210" i="1" s="1" a="1"/>
  <c r="AF210" i="1" s="1"/>
  <c r="C205" i="1" a="1"/>
  <c r="C205" i="1" s="1"/>
  <c r="AG210" i="1" s="1" a="1"/>
  <c r="AG210" i="1" s="1"/>
  <c r="D205" i="1" a="1"/>
  <c r="D205" i="1" s="1"/>
  <c r="AH210" i="1" s="1" a="1"/>
  <c r="AH210" i="1" s="1"/>
  <c r="E205" i="1" a="1"/>
  <c r="E205" i="1" s="1"/>
  <c r="AI210" i="1" s="1" a="1"/>
  <c r="AI210" i="1" s="1"/>
  <c r="F205" i="1" a="1"/>
  <c r="F205" i="1" s="1"/>
  <c r="AJ210" i="1" s="1" a="1"/>
  <c r="AJ210" i="1" s="1"/>
  <c r="G205" i="1" a="1"/>
  <c r="G205" i="1" s="1"/>
  <c r="AK210" i="1" s="1" a="1"/>
  <c r="AK210" i="1" s="1"/>
  <c r="B206" i="1" a="1"/>
  <c r="B206" i="1" s="1"/>
  <c r="AL210" i="1" s="1" a="1"/>
  <c r="AL210" i="1" s="1"/>
  <c r="C206" i="1" a="1"/>
  <c r="C206" i="1" s="1"/>
  <c r="AM210" i="1" s="1" a="1"/>
  <c r="AM210" i="1" s="1"/>
  <c r="D206" i="1" a="1"/>
  <c r="D206" i="1" s="1"/>
  <c r="AN210" i="1" s="1" a="1"/>
  <c r="AN210" i="1" s="1"/>
  <c r="E206" i="1" a="1"/>
  <c r="E206" i="1" s="1"/>
  <c r="AO210" i="1" s="1" a="1"/>
  <c r="AO210" i="1" s="1"/>
  <c r="F206" i="1" a="1"/>
  <c r="F206" i="1" s="1"/>
  <c r="AP210" i="1" s="1" a="1"/>
  <c r="AP210" i="1" s="1"/>
  <c r="G206" i="1" a="1"/>
  <c r="G206" i="1" s="1"/>
  <c r="AQ210" i="1" s="1" a="1"/>
  <c r="AQ210" i="1" s="1"/>
  <c r="B207" i="1" a="1"/>
  <c r="B207" i="1" s="1"/>
  <c r="AR210" i="1" s="1" a="1"/>
  <c r="AR210" i="1" s="1"/>
  <c r="C207" i="1" a="1"/>
  <c r="C207" i="1" s="1"/>
  <c r="AS210" i="1" s="1" a="1"/>
  <c r="AS210" i="1" s="1"/>
  <c r="D207" i="1" a="1"/>
  <c r="D207" i="1" s="1"/>
  <c r="AT210" i="1" s="1" a="1"/>
  <c r="AT210" i="1" s="1"/>
  <c r="E207" i="1" a="1"/>
  <c r="E207" i="1" s="1"/>
  <c r="AU210" i="1" s="1" a="1"/>
  <c r="AU210" i="1" s="1"/>
  <c r="F207" i="1" a="1"/>
  <c r="F207" i="1" s="1"/>
  <c r="AV210" i="1" s="1" a="1"/>
  <c r="AV210" i="1" s="1"/>
  <c r="G207" i="1" a="1"/>
  <c r="G207" i="1" s="1"/>
  <c r="AW210" i="1" s="1" a="1"/>
  <c r="AW210" i="1" s="1"/>
  <c r="C200" i="1" a="1"/>
  <c r="C200" i="1" s="1"/>
  <c r="C210" i="1" s="1" a="1"/>
  <c r="C210" i="1" s="1"/>
  <c r="D200" i="1" a="1"/>
  <c r="D200" i="1" s="1"/>
  <c r="D210" i="1" s="1" a="1"/>
  <c r="D210" i="1" s="1"/>
  <c r="E200" i="1" a="1"/>
  <c r="E200" i="1" s="1"/>
  <c r="E210" i="1" s="1" a="1"/>
  <c r="E210" i="1" s="1"/>
  <c r="F200" i="1" a="1"/>
  <c r="F200" i="1" s="1"/>
  <c r="F210" i="1" s="1" a="1"/>
  <c r="F210" i="1" s="1"/>
  <c r="G200" i="1" a="1"/>
  <c r="G200" i="1" s="1"/>
  <c r="G210" i="1" s="1" a="1"/>
  <c r="G210" i="1" s="1"/>
  <c r="B200" i="1" a="1"/>
  <c r="B200" i="1" s="1"/>
  <c r="B210" i="1" s="1" a="1"/>
  <c r="B210" i="1" s="1"/>
  <c r="AI182" i="1" a="1"/>
  <c r="AI182" i="1" s="1"/>
  <c r="B172" i="1" a="1"/>
  <c r="B172" i="1" s="1"/>
  <c r="B182" i="1" s="1" a="1"/>
  <c r="B182" i="1" s="1"/>
  <c r="B173" i="1" a="1"/>
  <c r="B173" i="1" s="1"/>
  <c r="H182" i="1" s="1" a="1"/>
  <c r="H182" i="1" s="1"/>
  <c r="C173" i="1" a="1"/>
  <c r="C173" i="1" s="1"/>
  <c r="I182" i="1" s="1" a="1"/>
  <c r="I182" i="1" s="1"/>
  <c r="D173" i="1" a="1"/>
  <c r="D173" i="1" s="1"/>
  <c r="J182" i="1" s="1" a="1"/>
  <c r="J182" i="1" s="1"/>
  <c r="E173" i="1" a="1"/>
  <c r="E173" i="1" s="1"/>
  <c r="K182" i="1" s="1" a="1"/>
  <c r="K182" i="1" s="1"/>
  <c r="F173" i="1" a="1"/>
  <c r="F173" i="1" s="1"/>
  <c r="L182" i="1" s="1" a="1"/>
  <c r="L182" i="1" s="1"/>
  <c r="G173" i="1" a="1"/>
  <c r="G173" i="1" s="1"/>
  <c r="M182" i="1" s="1" a="1"/>
  <c r="M182" i="1" s="1"/>
  <c r="B174" i="1" a="1"/>
  <c r="B174" i="1" s="1"/>
  <c r="N182" i="1" s="1" a="1"/>
  <c r="N182" i="1" s="1"/>
  <c r="C174" i="1" a="1"/>
  <c r="C174" i="1" s="1"/>
  <c r="O182" i="1" s="1" a="1"/>
  <c r="O182" i="1" s="1"/>
  <c r="D174" i="1" a="1"/>
  <c r="D174" i="1" s="1"/>
  <c r="P182" i="1" s="1" a="1"/>
  <c r="P182" i="1" s="1"/>
  <c r="E174" i="1" a="1"/>
  <c r="E174" i="1" s="1"/>
  <c r="Q182" i="1" s="1" a="1"/>
  <c r="Q182" i="1" s="1"/>
  <c r="F174" i="1" a="1"/>
  <c r="F174" i="1" s="1"/>
  <c r="R182" i="1" s="1" a="1"/>
  <c r="R182" i="1" s="1"/>
  <c r="G174" i="1" a="1"/>
  <c r="G174" i="1" s="1"/>
  <c r="S182" i="1" s="1" a="1"/>
  <c r="S182" i="1" s="1"/>
  <c r="B175" i="1" a="1"/>
  <c r="B175" i="1" s="1"/>
  <c r="T182" i="1" s="1" a="1"/>
  <c r="T182" i="1" s="1"/>
  <c r="C175" i="1" a="1"/>
  <c r="C175" i="1" s="1"/>
  <c r="U182" i="1" s="1" a="1"/>
  <c r="U182" i="1" s="1"/>
  <c r="D175" i="1" a="1"/>
  <c r="D175" i="1" s="1"/>
  <c r="V182" i="1" s="1" a="1"/>
  <c r="V182" i="1" s="1"/>
  <c r="E175" i="1" a="1"/>
  <c r="E175" i="1" s="1"/>
  <c r="W182" i="1" s="1" a="1"/>
  <c r="W182" i="1" s="1"/>
  <c r="F175" i="1" a="1"/>
  <c r="F175" i="1" s="1"/>
  <c r="X182" i="1" s="1" a="1"/>
  <c r="X182" i="1" s="1"/>
  <c r="G175" i="1" a="1"/>
  <c r="G175" i="1"/>
  <c r="Y182" i="1" s="1" a="1"/>
  <c r="Y182" i="1" s="1"/>
  <c r="B176" i="1" a="1"/>
  <c r="B176" i="1" s="1"/>
  <c r="Z182" i="1" s="1" a="1"/>
  <c r="Z182" i="1" s="1"/>
  <c r="C176" i="1" a="1"/>
  <c r="C176" i="1" s="1"/>
  <c r="AA182" i="1" s="1" a="1"/>
  <c r="AA182" i="1" s="1"/>
  <c r="D176" i="1" a="1"/>
  <c r="D176" i="1" s="1"/>
  <c r="AB182" i="1" s="1" a="1"/>
  <c r="AB182" i="1" s="1"/>
  <c r="E176" i="1" a="1"/>
  <c r="E176" i="1" s="1"/>
  <c r="AC182" i="1" s="1" a="1"/>
  <c r="AC182" i="1" s="1"/>
  <c r="F176" i="1" a="1"/>
  <c r="F176" i="1" s="1"/>
  <c r="AD182" i="1" s="1" a="1"/>
  <c r="AD182" i="1" s="1"/>
  <c r="G176" i="1" a="1"/>
  <c r="G176" i="1" s="1"/>
  <c r="AE182" i="1" s="1" a="1"/>
  <c r="AE182" i="1" s="1"/>
  <c r="B177" i="1" a="1"/>
  <c r="B177" i="1" s="1"/>
  <c r="AF182" i="1" s="1" a="1"/>
  <c r="AF182" i="1" s="1"/>
  <c r="C177" i="1" a="1"/>
  <c r="C177" i="1" s="1"/>
  <c r="AG182" i="1" s="1" a="1"/>
  <c r="AG182" i="1" s="1"/>
  <c r="D177" i="1" a="1"/>
  <c r="D177" i="1" s="1"/>
  <c r="AH182" i="1" s="1" a="1"/>
  <c r="AH182" i="1" s="1"/>
  <c r="E177" i="1" a="1"/>
  <c r="E177" i="1" s="1"/>
  <c r="F177" i="1" a="1"/>
  <c r="F177" i="1" s="1"/>
  <c r="AJ182" i="1" s="1" a="1"/>
  <c r="AJ182" i="1" s="1"/>
  <c r="G177" i="1" a="1"/>
  <c r="G177" i="1" s="1"/>
  <c r="AK182" i="1" s="1" a="1"/>
  <c r="AK182" i="1" s="1"/>
  <c r="B178" i="1" a="1"/>
  <c r="B178" i="1" s="1"/>
  <c r="AL182" i="1" s="1" a="1"/>
  <c r="AL182" i="1" s="1"/>
  <c r="C178" i="1" a="1"/>
  <c r="C178" i="1" s="1"/>
  <c r="AM182" i="1" s="1" a="1"/>
  <c r="AM182" i="1" s="1"/>
  <c r="D178" i="1" a="1"/>
  <c r="D178" i="1" s="1"/>
  <c r="AN182" i="1" s="1" a="1"/>
  <c r="AN182" i="1" s="1"/>
  <c r="E178" i="1" a="1"/>
  <c r="E178" i="1" s="1"/>
  <c r="AO182" i="1" s="1" a="1"/>
  <c r="AO182" i="1" s="1"/>
  <c r="F178" i="1" a="1"/>
  <c r="F178" i="1" s="1"/>
  <c r="AP182" i="1" s="1" a="1"/>
  <c r="AP182" i="1" s="1"/>
  <c r="G178" i="1" a="1"/>
  <c r="G178" i="1" s="1"/>
  <c r="AQ182" i="1" s="1" a="1"/>
  <c r="AQ182" i="1" s="1"/>
  <c r="B179" i="1" a="1"/>
  <c r="B179" i="1" s="1"/>
  <c r="AR182" i="1" s="1" a="1"/>
  <c r="AR182" i="1" s="1"/>
  <c r="C179" i="1" a="1"/>
  <c r="C179" i="1" s="1"/>
  <c r="AS182" i="1" s="1" a="1"/>
  <c r="AS182" i="1" s="1"/>
  <c r="D179" i="1" a="1"/>
  <c r="D179" i="1" s="1"/>
  <c r="AT182" i="1" s="1" a="1"/>
  <c r="AT182" i="1" s="1"/>
  <c r="E179" i="1" a="1"/>
  <c r="E179" i="1" s="1"/>
  <c r="AU182" i="1" s="1" a="1"/>
  <c r="AU182" i="1" s="1"/>
  <c r="F179" i="1" a="1"/>
  <c r="F179" i="1" s="1"/>
  <c r="AV182" i="1" s="1" a="1"/>
  <c r="AV182" i="1" s="1"/>
  <c r="G179" i="1" a="1"/>
  <c r="G179" i="1" s="1"/>
  <c r="AW182" i="1" s="1" a="1"/>
  <c r="AW182" i="1" s="1"/>
  <c r="C172" i="1" a="1"/>
  <c r="C172" i="1" s="1"/>
  <c r="C182" i="1" s="1" a="1"/>
  <c r="C182" i="1" s="1"/>
  <c r="D172" i="1" a="1"/>
  <c r="D172" i="1" s="1"/>
  <c r="D182" i="1" s="1" a="1"/>
  <c r="D182" i="1" s="1"/>
  <c r="E172" i="1" a="1"/>
  <c r="E172" i="1" s="1"/>
  <c r="E182" i="1" s="1" a="1"/>
  <c r="E182" i="1" s="1"/>
  <c r="F172" i="1" a="1"/>
  <c r="F172" i="1" s="1"/>
  <c r="F182" i="1" s="1" a="1"/>
  <c r="F182" i="1" s="1"/>
  <c r="G172" i="1" a="1"/>
  <c r="G172" i="1" s="1"/>
  <c r="G182" i="1" s="1" a="1"/>
  <c r="G182" i="1" s="1"/>
  <c r="B145" i="1" a="1"/>
  <c r="B145" i="1" s="1"/>
  <c r="C145" i="1" a="1"/>
  <c r="C145" i="1" s="1"/>
  <c r="D145" i="1" a="1"/>
  <c r="D145" i="1" s="1"/>
  <c r="E145" i="1" a="1"/>
  <c r="E145" i="1" s="1"/>
  <c r="F145" i="1" a="1"/>
  <c r="F145" i="1"/>
  <c r="G145" i="1" a="1"/>
  <c r="G145" i="1" s="1"/>
  <c r="B146" i="1" a="1"/>
  <c r="B146" i="1" s="1"/>
  <c r="C146" i="1" a="1"/>
  <c r="C146" i="1" s="1"/>
  <c r="D146" i="1" a="1"/>
  <c r="D146" i="1" s="1"/>
  <c r="E146" i="1" a="1"/>
  <c r="E146" i="1" s="1"/>
  <c r="F146" i="1" a="1"/>
  <c r="F146" i="1" s="1"/>
  <c r="R154" i="1" s="1" a="1"/>
  <c r="R154" i="1" s="1"/>
  <c r="G146" i="1" a="1"/>
  <c r="G146" i="1" s="1"/>
  <c r="B147" i="1" a="1"/>
  <c r="B147" i="1" s="1"/>
  <c r="C147" i="1" a="1"/>
  <c r="C147" i="1" s="1"/>
  <c r="D147" i="1" a="1"/>
  <c r="D147" i="1" s="1"/>
  <c r="E147" i="1" a="1"/>
  <c r="E147" i="1" s="1"/>
  <c r="F147" i="1" a="1"/>
  <c r="F147" i="1" s="1"/>
  <c r="G147" i="1" a="1"/>
  <c r="G147" i="1" s="1"/>
  <c r="B148" i="1" a="1"/>
  <c r="B148" i="1" s="1"/>
  <c r="C148" i="1" a="1"/>
  <c r="C148" i="1" s="1"/>
  <c r="D148" i="1" a="1"/>
  <c r="D148" i="1" s="1"/>
  <c r="E148" i="1" a="1"/>
  <c r="E148" i="1" s="1"/>
  <c r="F148" i="1" a="1"/>
  <c r="F148" i="1" s="1"/>
  <c r="AD154" i="1" s="1" a="1"/>
  <c r="AD154" i="1" s="1"/>
  <c r="G148" i="1" a="1"/>
  <c r="G148" i="1" s="1"/>
  <c r="B149" i="1" a="1"/>
  <c r="B149" i="1" s="1"/>
  <c r="C149" i="1" a="1"/>
  <c r="C149" i="1" s="1"/>
  <c r="D149" i="1" a="1"/>
  <c r="D149" i="1" s="1"/>
  <c r="AH154" i="1" s="1" a="1"/>
  <c r="AH154" i="1" s="1"/>
  <c r="E149" i="1" a="1"/>
  <c r="E149" i="1" s="1"/>
  <c r="F149" i="1" a="1"/>
  <c r="F149" i="1" s="1"/>
  <c r="G149" i="1" a="1"/>
  <c r="G149" i="1" s="1"/>
  <c r="B150" i="1" a="1"/>
  <c r="B150" i="1" s="1"/>
  <c r="AL154" i="1" s="1" a="1"/>
  <c r="AL154" i="1" s="1"/>
  <c r="C150" i="1" a="1"/>
  <c r="C150" i="1" s="1"/>
  <c r="D150" i="1" a="1"/>
  <c r="D150" i="1" s="1"/>
  <c r="E150" i="1" a="1"/>
  <c r="E150" i="1" s="1"/>
  <c r="F150" i="1" a="1"/>
  <c r="F150" i="1" s="1"/>
  <c r="G150" i="1" a="1"/>
  <c r="G150" i="1" s="1"/>
  <c r="B151" i="1" a="1"/>
  <c r="B151" i="1" s="1"/>
  <c r="AR154" i="1" s="1" a="1"/>
  <c r="AR154" i="1" s="1"/>
  <c r="C151" i="1" a="1"/>
  <c r="C151" i="1" s="1"/>
  <c r="D151" i="1" a="1"/>
  <c r="D151" i="1" s="1"/>
  <c r="E151" i="1" a="1"/>
  <c r="E151" i="1" s="1"/>
  <c r="F151" i="1" a="1"/>
  <c r="F151" i="1" s="1"/>
  <c r="G151" i="1" a="1"/>
  <c r="G151" i="1" s="1"/>
  <c r="C144" i="1" a="1"/>
  <c r="C144" i="1" s="1"/>
  <c r="D144" i="1" a="1"/>
  <c r="D144" i="1" s="1"/>
  <c r="E144" i="1" a="1"/>
  <c r="E144" i="1" s="1"/>
  <c r="F144" i="1" a="1"/>
  <c r="F144" i="1" s="1"/>
  <c r="G144" i="1" a="1"/>
  <c r="G144" i="1" s="1"/>
  <c r="B144" i="1" a="1"/>
  <c r="B144" i="1" s="1"/>
  <c r="B88" i="1" a="1"/>
  <c r="B88" i="1" s="1"/>
  <c r="C88" i="1" a="1"/>
  <c r="C88" i="1" s="1"/>
  <c r="C98" i="1" s="1" a="1"/>
  <c r="C98" i="1" s="1"/>
  <c r="D88" i="1" a="1"/>
  <c r="D88" i="1" s="1"/>
  <c r="D98" i="1" s="1" a="1"/>
  <c r="D98" i="1" s="1"/>
  <c r="E88" i="1" a="1"/>
  <c r="E88" i="1" s="1"/>
  <c r="E98" i="1" s="1" a="1"/>
  <c r="E98" i="1" s="1"/>
  <c r="F88" i="1" a="1"/>
  <c r="F88" i="1" s="1"/>
  <c r="F98" i="1" s="1" a="1"/>
  <c r="F98" i="1" s="1"/>
  <c r="G88" i="1" a="1"/>
  <c r="G88" i="1" s="1"/>
  <c r="G98" i="1" s="1" a="1"/>
  <c r="G98" i="1" s="1"/>
  <c r="B89" i="1" a="1"/>
  <c r="B89" i="1" s="1"/>
  <c r="H98" i="1" s="1" a="1"/>
  <c r="H98" i="1" s="1"/>
  <c r="C89" i="1" a="1"/>
  <c r="C89" i="1" s="1"/>
  <c r="I98" i="1" s="1" a="1"/>
  <c r="I98" i="1" s="1"/>
  <c r="D89" i="1" a="1"/>
  <c r="D89" i="1" s="1"/>
  <c r="J98" i="1" s="1" a="1"/>
  <c r="J98" i="1" s="1"/>
  <c r="E89" i="1" a="1"/>
  <c r="E89" i="1" s="1"/>
  <c r="K98" i="1" s="1" a="1"/>
  <c r="K98" i="1" s="1"/>
  <c r="F89" i="1" a="1"/>
  <c r="F89" i="1" s="1"/>
  <c r="L98" i="1" s="1" a="1"/>
  <c r="L98" i="1" s="1"/>
  <c r="G89" i="1" a="1"/>
  <c r="G89" i="1" s="1"/>
  <c r="M98" i="1" s="1" a="1"/>
  <c r="M98" i="1" s="1"/>
  <c r="B90" i="1" a="1"/>
  <c r="B90" i="1" s="1"/>
  <c r="N98" i="1" s="1" a="1"/>
  <c r="N98" i="1" s="1"/>
  <c r="C90" i="1" a="1"/>
  <c r="C90" i="1" s="1"/>
  <c r="O98" i="1" s="1" a="1"/>
  <c r="O98" i="1" s="1"/>
  <c r="D90" i="1" a="1"/>
  <c r="D90" i="1" s="1"/>
  <c r="P98" i="1" s="1" a="1"/>
  <c r="P98" i="1" s="1"/>
  <c r="E90" i="1" a="1"/>
  <c r="E90" i="1" s="1"/>
  <c r="Q98" i="1" s="1" a="1"/>
  <c r="Q98" i="1" s="1"/>
  <c r="F90" i="1" a="1"/>
  <c r="F90" i="1" s="1"/>
  <c r="R98" i="1" s="1" a="1"/>
  <c r="R98" i="1" s="1"/>
  <c r="G90" i="1" a="1"/>
  <c r="G90" i="1"/>
  <c r="S98" i="1" s="1" a="1"/>
  <c r="S98" i="1" s="1"/>
  <c r="B91" i="1" a="1"/>
  <c r="B91" i="1" s="1"/>
  <c r="T98" i="1" s="1" a="1"/>
  <c r="T98" i="1" s="1"/>
  <c r="C91" i="1" a="1"/>
  <c r="C91" i="1" s="1"/>
  <c r="U98" i="1" s="1" a="1"/>
  <c r="U98" i="1" s="1"/>
  <c r="D91" i="1" a="1"/>
  <c r="D91" i="1" s="1"/>
  <c r="V98" i="1" s="1" a="1"/>
  <c r="V98" i="1" s="1"/>
  <c r="E91" i="1" a="1"/>
  <c r="E91" i="1" s="1"/>
  <c r="W98" i="1" s="1" a="1"/>
  <c r="W98" i="1" s="1"/>
  <c r="F91" i="1" a="1"/>
  <c r="F91" i="1" s="1"/>
  <c r="X98" i="1" s="1" a="1"/>
  <c r="X98" i="1" s="1"/>
  <c r="G91" i="1" a="1"/>
  <c r="G91" i="1" s="1"/>
  <c r="Y98" i="1" s="1" a="1"/>
  <c r="Y98" i="1" s="1"/>
  <c r="B92" i="1" a="1"/>
  <c r="B92" i="1" s="1"/>
  <c r="Z98" i="1" s="1" a="1"/>
  <c r="Z98" i="1" s="1"/>
  <c r="C92" i="1" a="1"/>
  <c r="C92" i="1" s="1"/>
  <c r="AA98" i="1" s="1" a="1"/>
  <c r="AA98" i="1" s="1"/>
  <c r="D92" i="1" a="1"/>
  <c r="D92" i="1" s="1"/>
  <c r="AB98" i="1" s="1" a="1"/>
  <c r="AB98" i="1" s="1"/>
  <c r="E92" i="1" a="1"/>
  <c r="E92" i="1" s="1"/>
  <c r="AC98" i="1" s="1" a="1"/>
  <c r="AC98" i="1" s="1"/>
  <c r="F92" i="1" a="1"/>
  <c r="F92" i="1" s="1"/>
  <c r="AD98" i="1" s="1" a="1"/>
  <c r="AD98" i="1" s="1"/>
  <c r="G92" i="1" a="1"/>
  <c r="G92" i="1" s="1"/>
  <c r="AE98" i="1" s="1" a="1"/>
  <c r="AE98" i="1" s="1"/>
  <c r="B93" i="1" a="1"/>
  <c r="B93" i="1" s="1"/>
  <c r="AF98" i="1" s="1" a="1"/>
  <c r="AF98" i="1" s="1"/>
  <c r="C93" i="1" a="1"/>
  <c r="C93" i="1" s="1"/>
  <c r="AG98" i="1" s="1" a="1"/>
  <c r="AG98" i="1" s="1"/>
  <c r="D93" i="1" a="1"/>
  <c r="D93" i="1" s="1"/>
  <c r="AH98" i="1" s="1" a="1"/>
  <c r="AH98" i="1" s="1"/>
  <c r="E93" i="1" a="1"/>
  <c r="E93" i="1" s="1"/>
  <c r="AI98" i="1" s="1" a="1"/>
  <c r="AI98" i="1" s="1"/>
  <c r="F93" i="1" a="1"/>
  <c r="F93" i="1" s="1"/>
  <c r="AJ98" i="1" s="1" a="1"/>
  <c r="AJ98" i="1" s="1"/>
  <c r="G93" i="1" a="1"/>
  <c r="G93" i="1" s="1"/>
  <c r="AK98" i="1" s="1" a="1"/>
  <c r="AK98" i="1" s="1"/>
  <c r="B94" i="1" a="1"/>
  <c r="B94" i="1" s="1"/>
  <c r="AL98" i="1" s="1" a="1"/>
  <c r="AL98" i="1" s="1"/>
  <c r="C94" i="1" a="1"/>
  <c r="C94" i="1" s="1"/>
  <c r="AM98" i="1" s="1" a="1"/>
  <c r="AM98" i="1" s="1"/>
  <c r="D94" i="1" a="1"/>
  <c r="D94" i="1" s="1"/>
  <c r="AN98" i="1" s="1" a="1"/>
  <c r="AN98" i="1" s="1"/>
  <c r="E94" i="1" a="1"/>
  <c r="E94" i="1" s="1"/>
  <c r="AO98" i="1" s="1" a="1"/>
  <c r="AO98" i="1" s="1"/>
  <c r="F94" i="1" a="1"/>
  <c r="F94" i="1" s="1"/>
  <c r="AP98" i="1" s="1" a="1"/>
  <c r="AP98" i="1" s="1"/>
  <c r="G94" i="1" a="1"/>
  <c r="G94" i="1" s="1"/>
  <c r="AQ98" i="1" s="1" a="1"/>
  <c r="AQ98" i="1" s="1"/>
  <c r="B95" i="1" a="1"/>
  <c r="B95" i="1" s="1"/>
  <c r="AR98" i="1" s="1" a="1"/>
  <c r="AR98" i="1" s="1"/>
  <c r="C95" i="1" a="1"/>
  <c r="C95" i="1" s="1"/>
  <c r="AS98" i="1" s="1" a="1"/>
  <c r="AS98" i="1" s="1"/>
  <c r="D95" i="1" a="1"/>
  <c r="D95" i="1" s="1"/>
  <c r="AT98" i="1" s="1" a="1"/>
  <c r="AT98" i="1" s="1"/>
  <c r="E95" i="1" a="1"/>
  <c r="E95" i="1" s="1"/>
  <c r="AU98" i="1" s="1" a="1"/>
  <c r="AU98" i="1" s="1"/>
  <c r="F95" i="1" a="1"/>
  <c r="F95" i="1" s="1"/>
  <c r="AV98" i="1" s="1" a="1"/>
  <c r="AV98" i="1" s="1"/>
  <c r="G95" i="1" a="1"/>
  <c r="G95" i="1" s="1"/>
  <c r="AW98" i="1" s="1" a="1"/>
  <c r="AW98" i="1" s="1"/>
  <c r="B50" i="1" a="1"/>
  <c r="B50" i="1" s="1"/>
  <c r="B60" i="1" s="1" a="1"/>
  <c r="B60" i="1" s="1"/>
  <c r="B51" i="1" a="1"/>
  <c r="B51" i="1" s="1"/>
  <c r="I60" i="1" s="1" a="1"/>
  <c r="I60" i="1" s="1"/>
  <c r="B116" i="1" a="1"/>
  <c r="B116" i="1" s="1"/>
  <c r="B117" i="1" a="1"/>
  <c r="B117" i="1" s="1"/>
  <c r="H126" i="1" s="1" a="1"/>
  <c r="H126" i="1" s="1"/>
  <c r="C117" i="1" a="1"/>
  <c r="C117" i="1" s="1"/>
  <c r="I126" i="1" s="1" a="1"/>
  <c r="I126" i="1" s="1"/>
  <c r="D117" i="1" a="1"/>
  <c r="D117" i="1" s="1"/>
  <c r="J126" i="1" s="1" a="1"/>
  <c r="J126" i="1" s="1"/>
  <c r="E117" i="1" a="1"/>
  <c r="E117" i="1" s="1"/>
  <c r="K126" i="1" s="1" a="1"/>
  <c r="K126" i="1" s="1"/>
  <c r="F117" i="1" a="1"/>
  <c r="F117" i="1" s="1"/>
  <c r="L126" i="1" s="1" a="1"/>
  <c r="L126" i="1" s="1"/>
  <c r="G117" i="1" a="1"/>
  <c r="G117" i="1" s="1"/>
  <c r="M126" i="1" s="1" a="1"/>
  <c r="M126" i="1" s="1"/>
  <c r="B118" i="1" a="1"/>
  <c r="B118" i="1" s="1"/>
  <c r="N126" i="1" s="1" a="1"/>
  <c r="N126" i="1" s="1"/>
  <c r="C118" i="1" a="1"/>
  <c r="C118" i="1" s="1"/>
  <c r="O126" i="1" s="1" a="1"/>
  <c r="O126" i="1" s="1"/>
  <c r="D118" i="1" a="1"/>
  <c r="D118" i="1" s="1"/>
  <c r="P126" i="1" s="1" a="1"/>
  <c r="P126" i="1" s="1"/>
  <c r="E118" i="1" a="1"/>
  <c r="E118" i="1" s="1"/>
  <c r="Q126" i="1" s="1" a="1"/>
  <c r="Q126" i="1" s="1"/>
  <c r="F118" i="1" a="1"/>
  <c r="F118" i="1" s="1"/>
  <c r="R126" i="1" s="1" a="1"/>
  <c r="R126" i="1" s="1"/>
  <c r="G118" i="1" a="1"/>
  <c r="G118" i="1" s="1"/>
  <c r="S126" i="1" s="1" a="1"/>
  <c r="S126" i="1" s="1"/>
  <c r="B119" i="1" a="1"/>
  <c r="B119" i="1" s="1"/>
  <c r="T126" i="1" s="1" a="1"/>
  <c r="T126" i="1" s="1"/>
  <c r="C119" i="1" a="1"/>
  <c r="C119" i="1" s="1"/>
  <c r="U126" i="1" s="1" a="1"/>
  <c r="U126" i="1" s="1"/>
  <c r="D119" i="1" a="1"/>
  <c r="D119" i="1" s="1"/>
  <c r="V126" i="1" s="1" a="1"/>
  <c r="V126" i="1" s="1"/>
  <c r="E119" i="1" a="1"/>
  <c r="E119" i="1" s="1"/>
  <c r="W126" i="1" s="1" a="1"/>
  <c r="W126" i="1" s="1"/>
  <c r="F119" i="1" a="1"/>
  <c r="F119" i="1" s="1"/>
  <c r="X126" i="1" s="1" a="1"/>
  <c r="X126" i="1" s="1"/>
  <c r="G119" i="1" a="1"/>
  <c r="G119" i="1" s="1"/>
  <c r="Y126" i="1" s="1" a="1"/>
  <c r="Y126" i="1" s="1"/>
  <c r="B120" i="1" a="1"/>
  <c r="B120" i="1" s="1"/>
  <c r="Z126" i="1" s="1" a="1"/>
  <c r="Z126" i="1" s="1"/>
  <c r="C120" i="1" a="1"/>
  <c r="C120" i="1" s="1"/>
  <c r="AA126" i="1" s="1" a="1"/>
  <c r="AA126" i="1" s="1"/>
  <c r="D120" i="1" a="1"/>
  <c r="D120" i="1" s="1"/>
  <c r="AB126" i="1" s="1" a="1"/>
  <c r="AB126" i="1" s="1"/>
  <c r="E120" i="1" a="1"/>
  <c r="E120" i="1" s="1"/>
  <c r="AC126" i="1" s="1" a="1"/>
  <c r="AC126" i="1" s="1"/>
  <c r="F120" i="1" a="1"/>
  <c r="F120" i="1" s="1"/>
  <c r="AD126" i="1" s="1" a="1"/>
  <c r="AD126" i="1" s="1"/>
  <c r="G120" i="1" a="1"/>
  <c r="G120" i="1" s="1"/>
  <c r="AE126" i="1" s="1" a="1"/>
  <c r="AE126" i="1" s="1"/>
  <c r="B121" i="1" a="1"/>
  <c r="B121" i="1" s="1"/>
  <c r="AF126" i="1" s="1" a="1"/>
  <c r="AF126" i="1" s="1"/>
  <c r="C121" i="1" a="1"/>
  <c r="C121" i="1" s="1"/>
  <c r="AG126" i="1" s="1" a="1"/>
  <c r="AG126" i="1" s="1"/>
  <c r="D121" i="1" a="1"/>
  <c r="D121" i="1" s="1"/>
  <c r="AH126" i="1" s="1" a="1"/>
  <c r="AH126" i="1" s="1"/>
  <c r="E121" i="1" a="1"/>
  <c r="E121" i="1" s="1"/>
  <c r="AI126" i="1" s="1" a="1"/>
  <c r="AI126" i="1" s="1"/>
  <c r="F121" i="1" a="1"/>
  <c r="F121" i="1" s="1"/>
  <c r="AJ126" i="1" s="1" a="1"/>
  <c r="AJ126" i="1" s="1"/>
  <c r="G121" i="1" a="1"/>
  <c r="G121" i="1" s="1"/>
  <c r="AK126" i="1" s="1" a="1"/>
  <c r="AK126" i="1" s="1"/>
  <c r="B122" i="1" a="1"/>
  <c r="B122" i="1" s="1"/>
  <c r="AL126" i="1" s="1" a="1"/>
  <c r="AL126" i="1" s="1"/>
  <c r="C122" i="1" a="1"/>
  <c r="C122" i="1" s="1"/>
  <c r="AM126" i="1" s="1" a="1"/>
  <c r="AM126" i="1" s="1"/>
  <c r="D122" i="1" a="1"/>
  <c r="D122" i="1" s="1"/>
  <c r="AN126" i="1" s="1" a="1"/>
  <c r="AN126" i="1" s="1"/>
  <c r="E122" i="1" a="1"/>
  <c r="E122" i="1" s="1"/>
  <c r="AO126" i="1" s="1" a="1"/>
  <c r="AO126" i="1" s="1"/>
  <c r="F122" i="1" a="1"/>
  <c r="F122" i="1" s="1"/>
  <c r="AP126" i="1" s="1" a="1"/>
  <c r="AP126" i="1" s="1"/>
  <c r="G122" i="1" a="1"/>
  <c r="G122" i="1" s="1"/>
  <c r="AQ126" i="1" s="1" a="1"/>
  <c r="AQ126" i="1" s="1"/>
  <c r="B123" i="1" a="1"/>
  <c r="B123" i="1" s="1"/>
  <c r="AR126" i="1" s="1" a="1"/>
  <c r="AR126" i="1" s="1"/>
  <c r="C123" i="1" a="1"/>
  <c r="C123" i="1" s="1"/>
  <c r="AS126" i="1" s="1" a="1"/>
  <c r="AS126" i="1" s="1"/>
  <c r="D123" i="1" a="1"/>
  <c r="D123" i="1" s="1"/>
  <c r="AT126" i="1" s="1" a="1"/>
  <c r="AT126" i="1" s="1"/>
  <c r="E123" i="1" a="1"/>
  <c r="E123" i="1" s="1"/>
  <c r="AU126" i="1" s="1" a="1"/>
  <c r="AU126" i="1" s="1"/>
  <c r="F123" i="1" a="1"/>
  <c r="F123" i="1" s="1"/>
  <c r="AV126" i="1" s="1" a="1"/>
  <c r="AV126" i="1" s="1"/>
  <c r="G123" i="1" a="1"/>
  <c r="G123" i="1" s="1"/>
  <c r="AW126" i="1" s="1" a="1"/>
  <c r="AW126" i="1" s="1"/>
  <c r="C116" i="1" a="1"/>
  <c r="C116" i="1" s="1"/>
  <c r="C126" i="1" s="1" a="1"/>
  <c r="C126" i="1" s="1"/>
  <c r="D116" i="1" a="1"/>
  <c r="D116" i="1" s="1"/>
  <c r="D126" i="1" s="1" a="1"/>
  <c r="D126" i="1" s="1"/>
  <c r="E116" i="1" a="1"/>
  <c r="E116" i="1" s="1"/>
  <c r="E126" i="1" s="1" a="1"/>
  <c r="E126" i="1" s="1"/>
  <c r="F116" i="1" a="1"/>
  <c r="F116" i="1" s="1"/>
  <c r="F126" i="1" s="1" a="1"/>
  <c r="F126" i="1" s="1"/>
  <c r="G116" i="1" a="1"/>
  <c r="G116" i="1" s="1"/>
  <c r="G126" i="1" s="1" a="1"/>
  <c r="G126" i="1" s="1"/>
  <c r="B36" i="1" a="1"/>
  <c r="B36" i="1" s="1"/>
  <c r="B46" i="1" s="1" a="1"/>
  <c r="B46" i="1" s="1"/>
  <c r="C51" i="1" a="1"/>
  <c r="C51" i="1" s="1"/>
  <c r="J60" i="1" s="1" a="1"/>
  <c r="J60" i="1" s="1"/>
  <c r="D51" i="1" a="1"/>
  <c r="D51" i="1" s="1"/>
  <c r="K60" i="1" s="1" a="1"/>
  <c r="K60" i="1" s="1"/>
  <c r="E51" i="1" a="1"/>
  <c r="E51" i="1" s="1"/>
  <c r="L60" i="1" s="1" a="1"/>
  <c r="L60" i="1" s="1"/>
  <c r="F51" i="1" a="1"/>
  <c r="F51" i="1" s="1"/>
  <c r="M60" i="1" s="1" a="1"/>
  <c r="M60" i="1" s="1"/>
  <c r="G51" i="1" a="1"/>
  <c r="G51" i="1" s="1"/>
  <c r="N60" i="1" s="1" a="1"/>
  <c r="N60" i="1" s="1"/>
  <c r="H51" i="1" a="1"/>
  <c r="H51" i="1" s="1"/>
  <c r="O60" i="1" s="1" a="1"/>
  <c r="O60" i="1" s="1"/>
  <c r="B52" i="1" a="1"/>
  <c r="B52" i="1" s="1"/>
  <c r="P60" i="1" s="1" a="1"/>
  <c r="P60" i="1" s="1"/>
  <c r="C52" i="1" a="1"/>
  <c r="C52" i="1" s="1"/>
  <c r="Q60" i="1" s="1" a="1"/>
  <c r="Q60" i="1" s="1"/>
  <c r="D52" i="1" a="1"/>
  <c r="D52" i="1" s="1"/>
  <c r="R60" i="1" s="1" a="1"/>
  <c r="R60" i="1" s="1"/>
  <c r="E52" i="1" a="1"/>
  <c r="E52" i="1" s="1"/>
  <c r="S60" i="1" s="1" a="1"/>
  <c r="S60" i="1" s="1"/>
  <c r="F52" i="1" a="1"/>
  <c r="F52" i="1" s="1"/>
  <c r="T60" i="1" s="1" a="1"/>
  <c r="T60" i="1" s="1"/>
  <c r="G52" i="1" a="1"/>
  <c r="G52" i="1" s="1"/>
  <c r="U60" i="1" s="1" a="1"/>
  <c r="U60" i="1" s="1"/>
  <c r="H52" i="1" a="1"/>
  <c r="H52" i="1" s="1"/>
  <c r="V60" i="1" s="1" a="1"/>
  <c r="V60" i="1" s="1"/>
  <c r="B53" i="1" a="1"/>
  <c r="B53" i="1" s="1"/>
  <c r="W60" i="1" s="1" a="1"/>
  <c r="W60" i="1" s="1"/>
  <c r="C53" i="1" a="1"/>
  <c r="C53" i="1" s="1"/>
  <c r="X60" i="1" s="1" a="1"/>
  <c r="X60" i="1" s="1"/>
  <c r="D53" i="1" a="1"/>
  <c r="D53" i="1" s="1"/>
  <c r="Y60" i="1" s="1" a="1"/>
  <c r="Y60" i="1" s="1"/>
  <c r="E53" i="1" a="1"/>
  <c r="E53" i="1" s="1"/>
  <c r="Z60" i="1" s="1" a="1"/>
  <c r="Z60" i="1" s="1"/>
  <c r="F53" i="1" a="1"/>
  <c r="F53" i="1" s="1"/>
  <c r="AA60" i="1" s="1" a="1"/>
  <c r="AA60" i="1" s="1"/>
  <c r="G53" i="1" a="1"/>
  <c r="G53" i="1" s="1"/>
  <c r="AB60" i="1" s="1" a="1"/>
  <c r="AB60" i="1" s="1"/>
  <c r="H53" i="1" a="1"/>
  <c r="H53" i="1" s="1"/>
  <c r="AC60" i="1" s="1" a="1"/>
  <c r="AC60" i="1" s="1"/>
  <c r="B54" i="1" a="1"/>
  <c r="B54" i="1" s="1"/>
  <c r="AD60" i="1" s="1" a="1"/>
  <c r="AD60" i="1" s="1"/>
  <c r="C54" i="1" a="1"/>
  <c r="C54" i="1" s="1"/>
  <c r="AE60" i="1" s="1" a="1"/>
  <c r="AE60" i="1" s="1"/>
  <c r="D54" i="1" a="1"/>
  <c r="D54" i="1" s="1"/>
  <c r="AF60" i="1" s="1" a="1"/>
  <c r="AF60" i="1" s="1"/>
  <c r="E54" i="1" a="1"/>
  <c r="E54" i="1" s="1"/>
  <c r="AG60" i="1" s="1" a="1"/>
  <c r="AG60" i="1" s="1"/>
  <c r="F54" i="1" a="1"/>
  <c r="F54" i="1" s="1"/>
  <c r="AH60" i="1" s="1" a="1"/>
  <c r="AH60" i="1" s="1"/>
  <c r="G54" i="1" a="1"/>
  <c r="G54" i="1" s="1"/>
  <c r="AI60" i="1" s="1" a="1"/>
  <c r="AI60" i="1" s="1"/>
  <c r="H54" i="1" a="1"/>
  <c r="H54" i="1" s="1"/>
  <c r="AJ60" i="1" s="1" a="1"/>
  <c r="AJ60" i="1" s="1"/>
  <c r="B55" i="1" a="1"/>
  <c r="B55" i="1" s="1"/>
  <c r="AK60" i="1" s="1" a="1"/>
  <c r="AK60" i="1" s="1"/>
  <c r="C55" i="1" a="1"/>
  <c r="C55" i="1" s="1"/>
  <c r="AL60" i="1" s="1" a="1"/>
  <c r="AL60" i="1" s="1"/>
  <c r="D55" i="1" a="1"/>
  <c r="D55" i="1" s="1"/>
  <c r="AM60" i="1" s="1" a="1"/>
  <c r="AM60" i="1" s="1"/>
  <c r="E55" i="1" a="1"/>
  <c r="E55" i="1" s="1"/>
  <c r="AN60" i="1" s="1" a="1"/>
  <c r="AN60" i="1" s="1"/>
  <c r="F55" i="1" a="1"/>
  <c r="F55" i="1" s="1"/>
  <c r="AO60" i="1" s="1" a="1"/>
  <c r="AO60" i="1" s="1"/>
  <c r="G55" i="1" a="1"/>
  <c r="G55" i="1" s="1"/>
  <c r="AP60" i="1" s="1" a="1"/>
  <c r="AP60" i="1" s="1"/>
  <c r="H55" i="1" a="1"/>
  <c r="H55" i="1" s="1"/>
  <c r="AQ60" i="1" s="1" a="1"/>
  <c r="AQ60" i="1" s="1"/>
  <c r="B56" i="1" a="1"/>
  <c r="B56" i="1" s="1"/>
  <c r="AR60" i="1" s="1" a="1"/>
  <c r="AR60" i="1" s="1"/>
  <c r="C56" i="1" a="1"/>
  <c r="C56" i="1" s="1"/>
  <c r="AS60" i="1" s="1" a="1"/>
  <c r="AS60" i="1" s="1"/>
  <c r="D56" i="1" a="1"/>
  <c r="D56" i="1" s="1"/>
  <c r="AT60" i="1" s="1" a="1"/>
  <c r="AT60" i="1" s="1"/>
  <c r="E56" i="1" a="1"/>
  <c r="E56" i="1" s="1"/>
  <c r="AU60" i="1" s="1" a="1"/>
  <c r="AU60" i="1" s="1"/>
  <c r="F56" i="1" a="1"/>
  <c r="F56" i="1" s="1"/>
  <c r="AV60" i="1" s="1" a="1"/>
  <c r="AV60" i="1" s="1"/>
  <c r="G56" i="1" a="1"/>
  <c r="G56" i="1" s="1"/>
  <c r="AW60" i="1" s="1" a="1"/>
  <c r="AW60" i="1" s="1"/>
  <c r="H56" i="1" a="1"/>
  <c r="H56" i="1" s="1"/>
  <c r="AX60" i="1" s="1" a="1"/>
  <c r="AX60" i="1" s="1"/>
  <c r="B57" i="1" a="1"/>
  <c r="B57" i="1" s="1"/>
  <c r="AY60" i="1" s="1" a="1"/>
  <c r="AY60" i="1" s="1"/>
  <c r="C57" i="1" a="1"/>
  <c r="C57" i="1" s="1"/>
  <c r="AZ60" i="1" s="1" a="1"/>
  <c r="AZ60" i="1" s="1"/>
  <c r="D57" i="1" a="1"/>
  <c r="D57" i="1" s="1"/>
  <c r="BA60" i="1" s="1" a="1"/>
  <c r="BA60" i="1" s="1"/>
  <c r="E57" i="1" a="1"/>
  <c r="E57" i="1" s="1"/>
  <c r="BB60" i="1" s="1" a="1"/>
  <c r="BB60" i="1" s="1"/>
  <c r="F57" i="1" a="1"/>
  <c r="F57" i="1" s="1"/>
  <c r="BC60" i="1" s="1" a="1"/>
  <c r="BC60" i="1" s="1"/>
  <c r="G57" i="1" a="1"/>
  <c r="G57" i="1" s="1"/>
  <c r="BD60" i="1" s="1" a="1"/>
  <c r="BD60" i="1" s="1"/>
  <c r="H57" i="1" a="1"/>
  <c r="H57" i="1" s="1"/>
  <c r="BE60" i="1" s="1" a="1"/>
  <c r="BE60" i="1" s="1"/>
  <c r="C50" i="1" a="1"/>
  <c r="C50" i="1" s="1"/>
  <c r="C60" i="1" s="1" a="1"/>
  <c r="C60" i="1" s="1"/>
  <c r="D50" i="1" a="1"/>
  <c r="D50" i="1" s="1"/>
  <c r="D60" i="1" s="1" a="1"/>
  <c r="D60" i="1" s="1"/>
  <c r="E50" i="1" a="1"/>
  <c r="E50" i="1" s="1"/>
  <c r="E60" i="1" s="1" a="1"/>
  <c r="E60" i="1" s="1"/>
  <c r="F50" i="1" a="1"/>
  <c r="F50" i="1" s="1"/>
  <c r="F60" i="1" s="1" a="1"/>
  <c r="F60" i="1" s="1"/>
  <c r="G50" i="1" a="1"/>
  <c r="G50" i="1" s="1"/>
  <c r="G60" i="1" s="1" a="1"/>
  <c r="G60" i="1" s="1"/>
  <c r="H50" i="1" a="1"/>
  <c r="H50" i="1" s="1"/>
  <c r="H60" i="1" s="1" a="1"/>
  <c r="H60" i="1" s="1"/>
  <c r="B39" i="1" a="1"/>
  <c r="B39" i="1" s="1"/>
  <c r="Z46" i="1" s="1" a="1"/>
  <c r="Z46" i="1" s="1"/>
  <c r="B37" i="1" a="1"/>
  <c r="B37" i="1" s="1"/>
  <c r="J46" i="1" s="1" a="1"/>
  <c r="J46" i="1" s="1"/>
  <c r="C37" i="1" a="1"/>
  <c r="C37" i="1" s="1"/>
  <c r="K46" i="1" s="1" a="1"/>
  <c r="K46" i="1" s="1"/>
  <c r="D37" i="1" a="1"/>
  <c r="D37" i="1" s="1"/>
  <c r="L46" i="1" s="1" a="1"/>
  <c r="L46" i="1" s="1"/>
  <c r="E37" i="1" a="1"/>
  <c r="E37" i="1" s="1"/>
  <c r="M46" i="1" s="1" a="1"/>
  <c r="M46" i="1" s="1"/>
  <c r="F37" i="1" a="1"/>
  <c r="F37" i="1" s="1"/>
  <c r="N46" i="1" s="1" a="1"/>
  <c r="N46" i="1" s="1"/>
  <c r="G37" i="1" a="1"/>
  <c r="G37" i="1" s="1"/>
  <c r="O46" i="1" s="1" a="1"/>
  <c r="O46" i="1" s="1"/>
  <c r="H37" i="1" a="1"/>
  <c r="H37" i="1" s="1"/>
  <c r="P46" i="1" s="1" a="1"/>
  <c r="P46" i="1" s="1"/>
  <c r="I37" i="1" a="1"/>
  <c r="I37" i="1" s="1"/>
  <c r="Q46" i="1" s="1" a="1"/>
  <c r="Q46" i="1" s="1"/>
  <c r="B38" i="1" a="1"/>
  <c r="B38" i="1" s="1"/>
  <c r="R46" i="1" s="1" a="1"/>
  <c r="R46" i="1" s="1"/>
  <c r="C38" i="1" a="1"/>
  <c r="C38" i="1" s="1"/>
  <c r="S46" i="1" s="1" a="1"/>
  <c r="S46" i="1" s="1"/>
  <c r="D38" i="1" a="1"/>
  <c r="D38" i="1" s="1"/>
  <c r="T46" i="1" s="1" a="1"/>
  <c r="T46" i="1" s="1"/>
  <c r="E38" i="1" a="1"/>
  <c r="E38" i="1" s="1"/>
  <c r="U46" i="1" s="1" a="1"/>
  <c r="U46" i="1" s="1"/>
  <c r="F38" i="1" a="1"/>
  <c r="F38" i="1" s="1"/>
  <c r="V46" i="1" s="1" a="1"/>
  <c r="V46" i="1" s="1"/>
  <c r="G38" i="1" a="1"/>
  <c r="G38" i="1" s="1"/>
  <c r="W46" i="1" s="1" a="1"/>
  <c r="W46" i="1" s="1"/>
  <c r="H38" i="1" a="1"/>
  <c r="H38" i="1" s="1"/>
  <c r="X46" i="1" s="1" a="1"/>
  <c r="X46" i="1" s="1"/>
  <c r="I38" i="1" a="1"/>
  <c r="I38" i="1" s="1"/>
  <c r="Y46" i="1" s="1" a="1"/>
  <c r="Y46" i="1" s="1"/>
  <c r="C39" i="1" a="1"/>
  <c r="C39" i="1" s="1"/>
  <c r="AA46" i="1" s="1" a="1"/>
  <c r="AA46" i="1" s="1"/>
  <c r="D39" i="1" a="1"/>
  <c r="D39" i="1" s="1"/>
  <c r="AB46" i="1" s="1" a="1"/>
  <c r="AB46" i="1" s="1"/>
  <c r="E39" i="1" a="1"/>
  <c r="E39" i="1" s="1"/>
  <c r="AC46" i="1" s="1" a="1"/>
  <c r="AC46" i="1" s="1"/>
  <c r="F39" i="1" a="1"/>
  <c r="F39" i="1" s="1"/>
  <c r="AD46" i="1" s="1" a="1"/>
  <c r="AD46" i="1" s="1"/>
  <c r="G39" i="1" a="1"/>
  <c r="G39" i="1" s="1"/>
  <c r="AE46" i="1" s="1" a="1"/>
  <c r="AE46" i="1" s="1"/>
  <c r="H39" i="1" a="1"/>
  <c r="H39" i="1" s="1"/>
  <c r="AF46" i="1" s="1" a="1"/>
  <c r="AF46" i="1" s="1"/>
  <c r="I39" i="1" a="1"/>
  <c r="I39" i="1" s="1"/>
  <c r="AG46" i="1" s="1" a="1"/>
  <c r="AG46" i="1" s="1"/>
  <c r="B40" i="1" a="1"/>
  <c r="B40" i="1" s="1"/>
  <c r="AH46" i="1" s="1" a="1"/>
  <c r="AH46" i="1" s="1"/>
  <c r="C40" i="1" a="1"/>
  <c r="C40" i="1" s="1"/>
  <c r="AI46" i="1" s="1" a="1"/>
  <c r="AI46" i="1" s="1"/>
  <c r="D40" i="1" a="1"/>
  <c r="D40" i="1" s="1"/>
  <c r="AJ46" i="1" s="1" a="1"/>
  <c r="AJ46" i="1" s="1"/>
  <c r="E40" i="1" a="1"/>
  <c r="E40" i="1" s="1"/>
  <c r="AK46" i="1" s="1" a="1"/>
  <c r="AK46" i="1" s="1"/>
  <c r="F40" i="1" a="1"/>
  <c r="F40" i="1" s="1"/>
  <c r="AL46" i="1" s="1" a="1"/>
  <c r="AL46" i="1" s="1"/>
  <c r="G40" i="1" a="1"/>
  <c r="G40" i="1" s="1"/>
  <c r="AM46" i="1" s="1" a="1"/>
  <c r="AM46" i="1" s="1"/>
  <c r="H40" i="1" a="1"/>
  <c r="H40" i="1" s="1"/>
  <c r="AN46" i="1" s="1" a="1"/>
  <c r="AN46" i="1" s="1"/>
  <c r="I40" i="1" a="1"/>
  <c r="I40" i="1" s="1"/>
  <c r="AO46" i="1" s="1" a="1"/>
  <c r="AO46" i="1" s="1"/>
  <c r="B41" i="1" a="1"/>
  <c r="B41" i="1" s="1"/>
  <c r="AP46" i="1" s="1" a="1"/>
  <c r="AP46" i="1" s="1"/>
  <c r="C41" i="1" a="1"/>
  <c r="C41" i="1" s="1"/>
  <c r="AQ46" i="1" s="1" a="1"/>
  <c r="AQ46" i="1" s="1"/>
  <c r="D41" i="1" a="1"/>
  <c r="D41" i="1" s="1"/>
  <c r="AR46" i="1" s="1" a="1"/>
  <c r="AR46" i="1" s="1"/>
  <c r="E41" i="1" a="1"/>
  <c r="E41" i="1" s="1"/>
  <c r="AS46" i="1" s="1" a="1"/>
  <c r="AS46" i="1" s="1"/>
  <c r="F41" i="1" a="1"/>
  <c r="F41" i="1" s="1"/>
  <c r="AT46" i="1" s="1" a="1"/>
  <c r="AT46" i="1" s="1"/>
  <c r="G41" i="1" a="1"/>
  <c r="G41" i="1" s="1"/>
  <c r="AU46" i="1" s="1" a="1"/>
  <c r="AU46" i="1" s="1"/>
  <c r="H41" i="1" a="1"/>
  <c r="H41" i="1" s="1"/>
  <c r="AV46" i="1" s="1" a="1"/>
  <c r="AV46" i="1" s="1"/>
  <c r="I41" i="1" a="1"/>
  <c r="I41" i="1" s="1"/>
  <c r="AW46" i="1" s="1" a="1"/>
  <c r="AW46" i="1" s="1"/>
  <c r="B42" i="1" a="1"/>
  <c r="B42" i="1" s="1"/>
  <c r="AX46" i="1" s="1" a="1"/>
  <c r="AX46" i="1" s="1"/>
  <c r="C42" i="1" a="1"/>
  <c r="C42" i="1" s="1"/>
  <c r="AY46" i="1" s="1" a="1"/>
  <c r="AY46" i="1" s="1"/>
  <c r="D42" i="1" a="1"/>
  <c r="D42" i="1" s="1"/>
  <c r="AZ46" i="1" s="1" a="1"/>
  <c r="AZ46" i="1" s="1"/>
  <c r="E42" i="1" a="1"/>
  <c r="E42" i="1" s="1"/>
  <c r="BA46" i="1" s="1" a="1"/>
  <c r="BA46" i="1" s="1"/>
  <c r="F42" i="1" a="1"/>
  <c r="F42" i="1" s="1"/>
  <c r="BB46" i="1" s="1" a="1"/>
  <c r="BB46" i="1" s="1"/>
  <c r="G42" i="1" a="1"/>
  <c r="G42" i="1" s="1"/>
  <c r="BC46" i="1" s="1" a="1"/>
  <c r="BC46" i="1" s="1"/>
  <c r="H42" i="1" a="1"/>
  <c r="H42" i="1" s="1"/>
  <c r="BD46" i="1" s="1" a="1"/>
  <c r="BD46" i="1" s="1"/>
  <c r="I42" i="1" a="1"/>
  <c r="I42" i="1" s="1"/>
  <c r="BE46" i="1" s="1" a="1"/>
  <c r="BE46" i="1" s="1"/>
  <c r="B43" i="1" a="1"/>
  <c r="B43" i="1" s="1"/>
  <c r="BF46" i="1" s="1" a="1"/>
  <c r="BF46" i="1" s="1"/>
  <c r="C43" i="1" a="1"/>
  <c r="C43" i="1" s="1"/>
  <c r="BG46" i="1" s="1" a="1"/>
  <c r="BG46" i="1" s="1"/>
  <c r="D43" i="1" a="1"/>
  <c r="D43" i="1" s="1"/>
  <c r="BH46" i="1" s="1" a="1"/>
  <c r="BH46" i="1" s="1"/>
  <c r="E43" i="1" a="1"/>
  <c r="E43" i="1" s="1"/>
  <c r="BI46" i="1" s="1" a="1"/>
  <c r="BI46" i="1" s="1"/>
  <c r="F43" i="1" a="1"/>
  <c r="F43" i="1" s="1"/>
  <c r="BJ46" i="1" s="1" a="1"/>
  <c r="BJ46" i="1" s="1"/>
  <c r="G43" i="1" a="1"/>
  <c r="G43" i="1" s="1"/>
  <c r="BK46" i="1" s="1" a="1"/>
  <c r="BK46" i="1" s="1"/>
  <c r="H43" i="1" a="1"/>
  <c r="H43" i="1" s="1"/>
  <c r="BL46" i="1" s="1" a="1"/>
  <c r="BL46" i="1" s="1"/>
  <c r="I43" i="1" a="1"/>
  <c r="I43" i="1" s="1"/>
  <c r="BM46" i="1" s="1" a="1"/>
  <c r="BM46" i="1" s="1"/>
  <c r="C36" i="1" a="1"/>
  <c r="C36" i="1" s="1"/>
  <c r="C46" i="1" s="1" a="1"/>
  <c r="C46" i="1" s="1"/>
  <c r="D36" i="1" a="1"/>
  <c r="D36" i="1" s="1"/>
  <c r="D46" i="1" s="1" a="1"/>
  <c r="D46" i="1" s="1"/>
  <c r="E36" i="1" a="1"/>
  <c r="E36" i="1" s="1"/>
  <c r="E46" i="1" s="1" a="1"/>
  <c r="E46" i="1" s="1"/>
  <c r="F36" i="1" a="1"/>
  <c r="F36" i="1" s="1"/>
  <c r="F46" i="1" s="1" a="1"/>
  <c r="F46" i="1" s="1"/>
  <c r="G36" i="1" a="1"/>
  <c r="G36" i="1" s="1"/>
  <c r="G46" i="1" s="1" a="1"/>
  <c r="G46" i="1" s="1"/>
  <c r="H36" i="1" a="1"/>
  <c r="H36" i="1" s="1"/>
  <c r="H46" i="1" s="1" a="1"/>
  <c r="H46" i="1" s="1"/>
  <c r="I36" i="1" a="1"/>
  <c r="I36" i="1" s="1"/>
  <c r="I46" i="1" s="1" a="1"/>
  <c r="I46" i="1" s="1"/>
  <c r="BN7" i="1"/>
  <c r="BO7" i="1"/>
  <c r="B556" i="1" l="1" a="1"/>
  <c r="B556" i="1" s="1"/>
  <c r="J556" i="1" a="1"/>
  <c r="J556" i="1" s="1"/>
  <c r="R556" i="1" a="1"/>
  <c r="R556" i="1" s="1"/>
  <c r="Z556" i="1" a="1"/>
  <c r="Z556" i="1" s="1"/>
  <c r="C556" i="1" a="1"/>
  <c r="C556" i="1" s="1"/>
  <c r="K556" i="1" a="1"/>
  <c r="K556" i="1" s="1"/>
  <c r="S556" i="1" a="1"/>
  <c r="S556" i="1" s="1"/>
  <c r="AA556" i="1" a="1"/>
  <c r="AA556" i="1" s="1"/>
  <c r="D556" i="1" a="1"/>
  <c r="D556" i="1" s="1"/>
  <c r="L556" i="1" a="1"/>
  <c r="L556" i="1" s="1"/>
  <c r="T556" i="1" a="1"/>
  <c r="T556" i="1" s="1"/>
  <c r="AB556" i="1" a="1"/>
  <c r="AB556" i="1" s="1"/>
  <c r="E556" i="1" a="1"/>
  <c r="E556" i="1" s="1"/>
  <c r="M556" i="1" a="1"/>
  <c r="M556" i="1" s="1"/>
  <c r="U556" i="1" a="1"/>
  <c r="U556" i="1" s="1"/>
  <c r="AC556" i="1" a="1"/>
  <c r="AC556" i="1" s="1"/>
  <c r="F556" i="1" a="1"/>
  <c r="F556" i="1" s="1"/>
  <c r="N556" i="1" a="1"/>
  <c r="N556" i="1" s="1"/>
  <c r="V556" i="1" a="1"/>
  <c r="V556" i="1" s="1"/>
  <c r="AD556" i="1" a="1"/>
  <c r="AD556" i="1" s="1"/>
  <c r="G556" i="1" a="1"/>
  <c r="G556" i="1" s="1"/>
  <c r="O556" i="1" a="1"/>
  <c r="O556" i="1" s="1"/>
  <c r="W556" i="1" a="1"/>
  <c r="W556" i="1" s="1"/>
  <c r="AE556" i="1" a="1"/>
  <c r="AE556" i="1" s="1"/>
  <c r="H556" i="1" a="1"/>
  <c r="H556" i="1" s="1"/>
  <c r="P556" i="1" a="1"/>
  <c r="P556" i="1" s="1"/>
  <c r="X556" i="1" a="1"/>
  <c r="X556" i="1" s="1"/>
  <c r="AF556" i="1" a="1"/>
  <c r="AF556" i="1" s="1"/>
  <c r="B524" i="1" a="1"/>
  <c r="B524" i="1" s="1"/>
  <c r="G534" i="1" s="1" a="1"/>
  <c r="G534" i="1" s="1"/>
  <c r="AW537" i="1" s="1" a="1"/>
  <c r="AW537" i="1" s="1"/>
  <c r="AW540" i="1" s="1"/>
  <c r="I556" i="1" a="1"/>
  <c r="I556" i="1" s="1"/>
  <c r="Q556" i="1" a="1"/>
  <c r="Q556" i="1" s="1"/>
  <c r="Y556" i="1" a="1"/>
  <c r="Y556" i="1" s="1"/>
  <c r="AG556" i="1" a="1"/>
  <c r="AG556" i="1" s="1"/>
  <c r="H524" i="1" a="1"/>
  <c r="H524" i="1" s="1"/>
  <c r="E528" i="1" s="1" a="1"/>
  <c r="E528" i="1" s="1"/>
  <c r="K537" i="1" s="1" a="1"/>
  <c r="K537" i="1" s="1"/>
  <c r="K540" i="1" s="1"/>
  <c r="O524" i="1" a="1"/>
  <c r="O524" i="1" s="1"/>
  <c r="D530" i="1" s="1" a="1"/>
  <c r="D530" i="1" s="1"/>
  <c r="V537" i="1" s="1" a="1"/>
  <c r="V537" i="1" s="1"/>
  <c r="V540" i="1" s="1"/>
  <c r="B523" i="1" a="1"/>
  <c r="B523" i="1" s="1"/>
  <c r="H523" i="1" a="1"/>
  <c r="H523" i="1" s="1"/>
  <c r="O523" i="1" a="1"/>
  <c r="O523" i="1" s="1"/>
  <c r="U524" i="1" a="1"/>
  <c r="U524" i="1" s="1"/>
  <c r="C523" i="1" a="1"/>
  <c r="C523" i="1" s="1"/>
  <c r="I523" i="1" a="1"/>
  <c r="I523" i="1" s="1"/>
  <c r="V523" i="1" a="1"/>
  <c r="V523" i="1" s="1"/>
  <c r="AB523" i="1" a="1"/>
  <c r="AB523" i="1" s="1"/>
  <c r="C524" i="1" a="1"/>
  <c r="C524" i="1" s="1"/>
  <c r="D527" i="1" s="1" a="1"/>
  <c r="D527" i="1" s="1"/>
  <c r="D537" i="1" s="1" a="1"/>
  <c r="D537" i="1" s="1"/>
  <c r="D540" i="1" s="1"/>
  <c r="I524" i="1" a="1"/>
  <c r="I524" i="1" s="1"/>
  <c r="V524" i="1" a="1"/>
  <c r="V524" i="1" s="1"/>
  <c r="AB524" i="1" a="1"/>
  <c r="AB524" i="1" s="1"/>
  <c r="E533" i="1" s="1" a="1"/>
  <c r="E533" i="1" s="1"/>
  <c r="AO537" i="1" s="1" a="1"/>
  <c r="AO537" i="1" s="1"/>
  <c r="AO540" i="1" s="1"/>
  <c r="J523" i="1" a="1"/>
  <c r="J523" i="1" s="1"/>
  <c r="P523" i="1" a="1"/>
  <c r="P523" i="1" s="1"/>
  <c r="W523" i="1" a="1"/>
  <c r="W523" i="1" s="1"/>
  <c r="AC523" i="1" a="1"/>
  <c r="AC523" i="1" s="1"/>
  <c r="J524" i="1" a="1"/>
  <c r="J524" i="1" s="1"/>
  <c r="P524" i="1" a="1"/>
  <c r="P524" i="1" s="1"/>
  <c r="E530" i="1" s="1" a="1"/>
  <c r="E530" i="1" s="1"/>
  <c r="W537" i="1" s="1" a="1"/>
  <c r="W537" i="1" s="1"/>
  <c r="W540" i="1" s="1"/>
  <c r="W524" i="1" a="1"/>
  <c r="W524" i="1" s="1"/>
  <c r="D532" i="1" s="1" a="1"/>
  <c r="D532" i="1" s="1"/>
  <c r="AH537" i="1" s="1" a="1"/>
  <c r="AH537" i="1" s="1"/>
  <c r="AH540" i="1" s="1"/>
  <c r="AC524" i="1" a="1"/>
  <c r="AC524" i="1" s="1"/>
  <c r="D523" i="1" a="1"/>
  <c r="D523" i="1" s="1"/>
  <c r="K523" i="1" a="1"/>
  <c r="K523" i="1" s="1"/>
  <c r="Q523" i="1" a="1"/>
  <c r="Q523" i="1" s="1"/>
  <c r="AD523" i="1" a="1"/>
  <c r="AD523" i="1" s="1"/>
  <c r="D524" i="1" a="1"/>
  <c r="D524" i="1" s="1"/>
  <c r="E527" i="1" s="1" a="1"/>
  <c r="E527" i="1" s="1"/>
  <c r="E537" i="1" s="1" a="1"/>
  <c r="E537" i="1" s="1"/>
  <c r="E540" i="1" s="1"/>
  <c r="K524" i="1" a="1"/>
  <c r="K524" i="1" s="1"/>
  <c r="D529" i="1" s="1" a="1"/>
  <c r="D529" i="1" s="1"/>
  <c r="P537" i="1" s="1" a="1"/>
  <c r="P537" i="1" s="1"/>
  <c r="P540" i="1" s="1"/>
  <c r="Q524" i="1" a="1"/>
  <c r="Q524" i="1" s="1"/>
  <c r="AD524" i="1" a="1"/>
  <c r="AD524" i="1" s="1"/>
  <c r="E523" i="1" a="1"/>
  <c r="E523" i="1" s="1"/>
  <c r="R523" i="1" a="1"/>
  <c r="R523" i="1" s="1"/>
  <c r="X523" i="1" a="1"/>
  <c r="X523" i="1" s="1"/>
  <c r="AE523" i="1" a="1"/>
  <c r="AE523" i="1" s="1"/>
  <c r="E524" i="1" a="1"/>
  <c r="E524" i="1" s="1"/>
  <c r="R524" i="1" a="1"/>
  <c r="R524" i="1" s="1"/>
  <c r="X524" i="1" a="1"/>
  <c r="X524" i="1" s="1"/>
  <c r="E532" i="1" s="1" a="1"/>
  <c r="E532" i="1" s="1"/>
  <c r="AI537" i="1" s="1" a="1"/>
  <c r="AI537" i="1" s="1"/>
  <c r="AI540" i="1" s="1"/>
  <c r="AE524" i="1" a="1"/>
  <c r="AE524" i="1" s="1"/>
  <c r="D534" i="1" s="1" a="1"/>
  <c r="D534" i="1" s="1"/>
  <c r="AT537" i="1" s="1" a="1"/>
  <c r="AT537" i="1" s="1"/>
  <c r="AT540" i="1" s="1"/>
  <c r="F523" i="1" a="1"/>
  <c r="F523" i="1" s="1"/>
  <c r="L523" i="1" a="1"/>
  <c r="L523" i="1" s="1"/>
  <c r="S523" i="1" a="1"/>
  <c r="S523" i="1" s="1"/>
  <c r="Y523" i="1" a="1"/>
  <c r="Y523" i="1" s="1"/>
  <c r="F524" i="1" a="1"/>
  <c r="F524" i="1" s="1"/>
  <c r="L524" i="1" a="1"/>
  <c r="L524" i="1" s="1"/>
  <c r="E529" i="1" s="1" a="1"/>
  <c r="E529" i="1" s="1"/>
  <c r="Q537" i="1" s="1" a="1"/>
  <c r="Q537" i="1" s="1"/>
  <c r="Q540" i="1" s="1"/>
  <c r="S524" i="1" a="1"/>
  <c r="S524" i="1" s="1"/>
  <c r="D531" i="1" s="1" a="1"/>
  <c r="D531" i="1" s="1"/>
  <c r="AB537" i="1" s="1" a="1"/>
  <c r="AB537" i="1" s="1"/>
  <c r="AB540" i="1" s="1"/>
  <c r="Y524" i="1" a="1"/>
  <c r="Y524" i="1" s="1"/>
  <c r="U523" i="1" a="1"/>
  <c r="U523" i="1" s="1"/>
  <c r="G523" i="1" a="1"/>
  <c r="G523" i="1" s="1"/>
  <c r="M523" i="1" a="1"/>
  <c r="M523" i="1" s="1"/>
  <c r="Z523" i="1" a="1"/>
  <c r="Z523" i="1" s="1"/>
  <c r="AF523" i="1" a="1"/>
  <c r="AF523" i="1" s="1"/>
  <c r="G524" i="1" a="1"/>
  <c r="G524" i="1" s="1"/>
  <c r="D528" i="1" s="1" a="1"/>
  <c r="D528" i="1" s="1"/>
  <c r="J537" i="1" s="1" a="1"/>
  <c r="J537" i="1" s="1"/>
  <c r="J540" i="1" s="1"/>
  <c r="M524" i="1" a="1"/>
  <c r="M524" i="1" s="1"/>
  <c r="Z524" i="1" a="1"/>
  <c r="Z524" i="1" s="1"/>
  <c r="AF524" i="1" a="1"/>
  <c r="AF524" i="1" s="1"/>
  <c r="E534" i="1" s="1" a="1"/>
  <c r="E534" i="1" s="1"/>
  <c r="AU537" i="1" s="1" a="1"/>
  <c r="AU537" i="1" s="1"/>
  <c r="AU540" i="1" s="1"/>
  <c r="N523" i="1" a="1"/>
  <c r="N523" i="1" s="1"/>
  <c r="T523" i="1" a="1"/>
  <c r="T523" i="1" s="1"/>
  <c r="AA523" i="1" a="1"/>
  <c r="AA523" i="1" s="1"/>
  <c r="AG523" i="1" a="1"/>
  <c r="AG523" i="1" s="1"/>
  <c r="N524" i="1" a="1"/>
  <c r="N524" i="1" s="1"/>
  <c r="T524" i="1" a="1"/>
  <c r="T524" i="1" s="1"/>
  <c r="E531" i="1" s="1" a="1"/>
  <c r="E531" i="1" s="1"/>
  <c r="AC537" i="1" s="1" a="1"/>
  <c r="AC537" i="1" s="1"/>
  <c r="AC540" i="1" s="1"/>
  <c r="AA524" i="1" a="1"/>
  <c r="AA524" i="1" s="1"/>
  <c r="D533" i="1" s="1" a="1"/>
  <c r="D533" i="1" s="1"/>
  <c r="AN537" i="1" s="1" a="1"/>
  <c r="AN537" i="1" s="1"/>
  <c r="AN540" i="1" s="1"/>
  <c r="AG524" i="1" a="1"/>
  <c r="AG524" i="1" s="1"/>
  <c r="F154" i="1" a="1"/>
  <c r="F154" i="1" s="1"/>
  <c r="AS154" i="1" a="1"/>
  <c r="AS154" i="1" s="1"/>
  <c r="AM154" i="1" a="1"/>
  <c r="AM154" i="1" s="1"/>
  <c r="Y154" i="1" a="1"/>
  <c r="Y154" i="1" s="1"/>
  <c r="S154" i="1" a="1"/>
  <c r="S154" i="1" s="1"/>
  <c r="E154" i="1" a="1"/>
  <c r="E154" i="1" s="1"/>
  <c r="X154" i="1" a="1"/>
  <c r="X154" i="1" s="1"/>
  <c r="K154" i="1" a="1"/>
  <c r="K154" i="1" s="1"/>
  <c r="T154" i="1" a="1"/>
  <c r="T154" i="1" s="1"/>
  <c r="AK154" i="1" a="1"/>
  <c r="AK154" i="1" s="1"/>
  <c r="AE154" i="1" a="1"/>
  <c r="AE154" i="1" s="1"/>
  <c r="Q154" i="1" a="1"/>
  <c r="Q154" i="1" s="1"/>
  <c r="AN154" i="1" a="1"/>
  <c r="AN154" i="1" s="1"/>
  <c r="AW154" i="1" a="1"/>
  <c r="AW154" i="1" s="1"/>
  <c r="AC154" i="1" a="1"/>
  <c r="AC154" i="1" s="1"/>
  <c r="O154" i="1" a="1"/>
  <c r="O154" i="1" s="1"/>
  <c r="AQ154" i="1" a="1"/>
  <c r="AQ154" i="1" s="1"/>
  <c r="AJ154" i="1" a="1"/>
  <c r="AJ154" i="1" s="1"/>
  <c r="P154" i="1" a="1"/>
  <c r="P154" i="1" s="1"/>
  <c r="AV154" i="1" a="1"/>
  <c r="AV154" i="1" s="1"/>
  <c r="AB154" i="1" a="1"/>
  <c r="AB154" i="1" s="1"/>
  <c r="H154" i="1" a="1"/>
  <c r="H154" i="1" s="1"/>
  <c r="AG154" i="1" a="1"/>
  <c r="AG154" i="1" s="1"/>
  <c r="AU154" i="1" a="1"/>
  <c r="AU154" i="1" s="1"/>
  <c r="AA154" i="1" a="1"/>
  <c r="AA154" i="1" s="1"/>
  <c r="M154" i="1" a="1"/>
  <c r="M154" i="1" s="1"/>
  <c r="AF154" i="1" a="1"/>
  <c r="AF154" i="1" s="1"/>
  <c r="AT154" i="1" a="1"/>
  <c r="AT154" i="1" s="1"/>
  <c r="C154" i="1" a="1"/>
  <c r="C154" i="1" s="1"/>
  <c r="I154" i="1" a="1"/>
  <c r="I154" i="1" s="1"/>
  <c r="AI154" i="1" a="1"/>
  <c r="AI154" i="1" s="1"/>
  <c r="Z154" i="1" a="1"/>
  <c r="Z154" i="1" s="1"/>
  <c r="B154" i="1" a="1"/>
  <c r="B154" i="1" s="1"/>
  <c r="AO154" i="1" a="1"/>
  <c r="AO154" i="1" s="1"/>
  <c r="G154" i="1" a="1"/>
  <c r="G154" i="1" s="1"/>
  <c r="W154" i="1" a="1"/>
  <c r="W154" i="1" s="1"/>
  <c r="V154" i="1" a="1"/>
  <c r="V154" i="1" s="1"/>
  <c r="N154" i="1" a="1"/>
  <c r="N154" i="1" s="1"/>
  <c r="AP154" i="1" a="1"/>
  <c r="AP154" i="1" s="1"/>
  <c r="J154" i="1" a="1"/>
  <c r="J154" i="1" s="1"/>
  <c r="U154" i="1" a="1"/>
  <c r="U154" i="1" s="1"/>
  <c r="L154" i="1" a="1"/>
  <c r="L154" i="1" s="1"/>
  <c r="D154" i="1" a="1"/>
  <c r="D154" i="1" s="1"/>
  <c r="B126" i="1" a="1"/>
  <c r="B126" i="1" s="1"/>
  <c r="B98" i="1" a="1"/>
  <c r="B98" i="1" s="1"/>
  <c r="C527" i="1" l="1" a="1"/>
  <c r="C527" i="1" s="1"/>
  <c r="C537" i="1" s="1" a="1"/>
  <c r="C537" i="1" s="1"/>
  <c r="C540" i="1" s="1"/>
  <c r="B528" i="1" a="1"/>
  <c r="B528" i="1" s="1"/>
  <c r="H537" i="1" s="1" a="1"/>
  <c r="H537" i="1" s="1"/>
  <c r="H540" i="1" s="1"/>
  <c r="F527" i="1" a="1"/>
  <c r="F527" i="1" s="1"/>
  <c r="F537" i="1" s="1" a="1"/>
  <c r="F537" i="1" s="1"/>
  <c r="F540" i="1" s="1"/>
  <c r="F534" i="1" a="1"/>
  <c r="F534" i="1" s="1"/>
  <c r="AV537" i="1" s="1" a="1"/>
  <c r="AV537" i="1" s="1"/>
  <c r="AV540" i="1" s="1"/>
  <c r="B527" i="1" a="1"/>
  <c r="B527" i="1" s="1"/>
  <c r="B537" i="1" s="1" a="1"/>
  <c r="B537" i="1" s="1"/>
  <c r="B540" i="1" s="1"/>
  <c r="G533" i="1" a="1"/>
  <c r="G533" i="1" s="1"/>
  <c r="AQ537" i="1" s="1" a="1"/>
  <c r="AQ537" i="1" s="1"/>
  <c r="AQ540" i="1" s="1"/>
  <c r="C534" i="1" a="1"/>
  <c r="C534" i="1" s="1"/>
  <c r="AS537" i="1" s="1" a="1"/>
  <c r="AS537" i="1" s="1"/>
  <c r="AS540" i="1" s="1"/>
  <c r="F533" i="1" a="1"/>
  <c r="F533" i="1" s="1"/>
  <c r="AP537" i="1" s="1" a="1"/>
  <c r="AP537" i="1" s="1"/>
  <c r="AP540" i="1" s="1"/>
  <c r="B534" i="1" a="1"/>
  <c r="B534" i="1" s="1"/>
  <c r="AR537" i="1" s="1" a="1"/>
  <c r="AR537" i="1" s="1"/>
  <c r="AR540" i="1" s="1"/>
  <c r="F531" i="1" a="1"/>
  <c r="F531" i="1" s="1"/>
  <c r="AD537" i="1" s="1" a="1"/>
  <c r="AD537" i="1" s="1"/>
  <c r="AD540" i="1" s="1"/>
  <c r="B532" i="1" a="1"/>
  <c r="B532" i="1" s="1"/>
  <c r="AF537" i="1" s="1" a="1"/>
  <c r="AF537" i="1" s="1"/>
  <c r="AF540" i="1" s="1"/>
  <c r="F529" i="1" a="1"/>
  <c r="F529" i="1" s="1"/>
  <c r="R537" i="1" s="1" a="1"/>
  <c r="R537" i="1" s="1"/>
  <c r="R540" i="1" s="1"/>
  <c r="B530" i="1" a="1"/>
  <c r="B530" i="1" s="1"/>
  <c r="T537" i="1" s="1" a="1"/>
  <c r="T537" i="1" s="1"/>
  <c r="T540" i="1" s="1"/>
  <c r="F530" i="1" a="1"/>
  <c r="F530" i="1" s="1"/>
  <c r="X537" i="1" s="1" a="1"/>
  <c r="X537" i="1" s="1"/>
  <c r="X540" i="1" s="1"/>
  <c r="B531" i="1" a="1"/>
  <c r="B531" i="1" s="1"/>
  <c r="Z537" i="1" s="1" a="1"/>
  <c r="Z537" i="1" s="1"/>
  <c r="Z540" i="1" s="1"/>
  <c r="G531" i="1" a="1"/>
  <c r="G531" i="1" s="1"/>
  <c r="AE537" i="1" s="1" a="1"/>
  <c r="AE537" i="1" s="1"/>
  <c r="AE540" i="1" s="1"/>
  <c r="C532" i="1" a="1"/>
  <c r="C532" i="1" s="1"/>
  <c r="AG537" i="1" s="1" a="1"/>
  <c r="AG537" i="1" s="1"/>
  <c r="AG540" i="1" s="1"/>
  <c r="G532" i="1" a="1"/>
  <c r="G532" i="1" s="1"/>
  <c r="AK537" i="1" s="1" a="1"/>
  <c r="AK537" i="1" s="1"/>
  <c r="AK540" i="1" s="1"/>
  <c r="C533" i="1" a="1"/>
  <c r="C533" i="1" s="1"/>
  <c r="AM537" i="1" s="1" a="1"/>
  <c r="AM537" i="1" s="1"/>
  <c r="AM540" i="1" s="1"/>
  <c r="F532" i="1" a="1"/>
  <c r="F532" i="1" s="1"/>
  <c r="AJ537" i="1" s="1" a="1"/>
  <c r="AJ537" i="1" s="1"/>
  <c r="AJ540" i="1" s="1"/>
  <c r="B533" i="1" a="1"/>
  <c r="B533" i="1" s="1"/>
  <c r="AL537" i="1" s="1" a="1"/>
  <c r="AL537" i="1" s="1"/>
  <c r="AL540" i="1" s="1"/>
  <c r="C530" i="1" a="1"/>
  <c r="C530" i="1" s="1"/>
  <c r="U537" i="1" s="1" a="1"/>
  <c r="U537" i="1" s="1"/>
  <c r="U540" i="1" s="1"/>
  <c r="G529" i="1" a="1"/>
  <c r="G529" i="1" s="1"/>
  <c r="S537" i="1" s="1" a="1"/>
  <c r="S537" i="1" s="1"/>
  <c r="S540" i="1" s="1"/>
  <c r="C531" i="1" a="1"/>
  <c r="C531" i="1" s="1"/>
  <c r="AA537" i="1" s="1" a="1"/>
  <c r="AA537" i="1" s="1"/>
  <c r="AA540" i="1" s="1"/>
  <c r="G530" i="1" a="1"/>
  <c r="G530" i="1" s="1"/>
  <c r="Y537" i="1" s="1" a="1"/>
  <c r="Y537" i="1" s="1"/>
  <c r="Y540" i="1" s="1"/>
  <c r="F528" i="1" a="1"/>
  <c r="F528" i="1" s="1"/>
  <c r="L537" i="1" s="1" a="1"/>
  <c r="L537" i="1" s="1"/>
  <c r="L540" i="1" s="1"/>
  <c r="B529" i="1" a="1"/>
  <c r="B529" i="1" s="1"/>
  <c r="N537" i="1" s="1" a="1"/>
  <c r="N537" i="1" s="1"/>
  <c r="N540" i="1" s="1"/>
  <c r="C529" i="1" a="1"/>
  <c r="C529" i="1" s="1"/>
  <c r="O537" i="1" s="1" a="1"/>
  <c r="O537" i="1" s="1"/>
  <c r="O540" i="1" s="1"/>
  <c r="G528" i="1" a="1"/>
  <c r="G528" i="1" s="1"/>
  <c r="M537" i="1" s="1" a="1"/>
  <c r="M537" i="1" s="1"/>
  <c r="M540" i="1" s="1"/>
  <c r="C528" i="1" a="1"/>
  <c r="C528" i="1" s="1"/>
  <c r="I537" i="1" s="1" a="1"/>
  <c r="I537" i="1" s="1"/>
  <c r="I540" i="1" s="1"/>
  <c r="G527" i="1" a="1"/>
  <c r="G527" i="1" s="1"/>
  <c r="G537" i="1" s="1" a="1"/>
  <c r="G537" i="1" s="1"/>
  <c r="G540" i="1" s="1"/>
  <c r="B548" i="1" l="1"/>
  <c r="E548" i="1" s="1"/>
  <c r="B547" i="1"/>
  <c r="B546" i="1"/>
  <c r="B549" i="1"/>
  <c r="B545" i="1"/>
  <c r="B551" i="1"/>
  <c r="B550" i="1"/>
  <c r="B544" i="1"/>
  <c r="D548" i="1" l="1"/>
  <c r="F548" i="1" s="1" a="1"/>
  <c r="F548" i="1" s="1"/>
  <c r="G548" i="1" s="1"/>
  <c r="D551" i="1"/>
  <c r="E551" i="1"/>
  <c r="D546" i="1"/>
  <c r="E546" i="1"/>
  <c r="D547" i="1"/>
  <c r="E547" i="1"/>
  <c r="D544" i="1"/>
  <c r="E544" i="1"/>
  <c r="D550" i="1"/>
  <c r="E550" i="1"/>
  <c r="D545" i="1"/>
  <c r="E545" i="1"/>
  <c r="D549" i="1"/>
  <c r="E549" i="1"/>
  <c r="F545" i="1" l="1" a="1"/>
  <c r="F545" i="1" s="1"/>
  <c r="G545" i="1" s="1"/>
  <c r="F546" i="1" a="1"/>
  <c r="F546" i="1" s="1"/>
  <c r="G546" i="1" s="1"/>
  <c r="F544" i="1" a="1"/>
  <c r="F544" i="1" s="1"/>
  <c r="G544" i="1" s="1"/>
  <c r="F551" i="1" a="1"/>
  <c r="F551" i="1" s="1"/>
  <c r="G551" i="1" s="1"/>
  <c r="F550" i="1" a="1"/>
  <c r="F550" i="1" s="1"/>
  <c r="G550" i="1" s="1"/>
  <c r="F549" i="1" a="1"/>
  <c r="F549" i="1" s="1"/>
  <c r="G549" i="1" s="1"/>
  <c r="F547" i="1" a="1"/>
  <c r="F547" i="1" s="1"/>
  <c r="G547" i="1" s="1"/>
  <c r="L545" i="1" l="1"/>
  <c r="T545" i="1"/>
  <c r="AM550" i="1" s="1" a="1"/>
  <c r="AM550" i="1" s="1"/>
  <c r="AE557" i="1" s="1"/>
  <c r="D567" i="1" s="1" a="1"/>
  <c r="D567" i="1" s="1"/>
  <c r="AB545" i="1"/>
  <c r="AH550" i="1" s="1" a="1"/>
  <c r="AH550" i="1" s="1"/>
  <c r="Z557" i="1" s="1"/>
  <c r="AJ545" i="1"/>
  <c r="M545" i="1"/>
  <c r="AN550" i="1" s="1" a="1"/>
  <c r="AN550" i="1" s="1"/>
  <c r="AF557" i="1" s="1"/>
  <c r="E567" i="1" s="1" a="1"/>
  <c r="E567" i="1" s="1"/>
  <c r="U545" i="1"/>
  <c r="AC545" i="1"/>
  <c r="AK545" i="1"/>
  <c r="N545" i="1"/>
  <c r="V545" i="1"/>
  <c r="AI550" i="1" s="1" a="1"/>
  <c r="AI550" i="1" s="1"/>
  <c r="AA557" i="1" s="1"/>
  <c r="D566" i="1" s="1" a="1"/>
  <c r="D566" i="1" s="1"/>
  <c r="AD545" i="1"/>
  <c r="AL545" i="1"/>
  <c r="W545" i="1"/>
  <c r="O545" i="1"/>
  <c r="AK550" i="1" s="1" a="1"/>
  <c r="AK550" i="1" s="1"/>
  <c r="AC557" i="1" s="1"/>
  <c r="AE545" i="1"/>
  <c r="AL550" i="1" s="1" a="1"/>
  <c r="AL550" i="1" s="1"/>
  <c r="AD557" i="1" s="1"/>
  <c r="AM545" i="1"/>
  <c r="AJ550" i="1" s="1" a="1"/>
  <c r="AJ550" i="1" s="1"/>
  <c r="AB557" i="1" s="1"/>
  <c r="E566" i="1" s="1" a="1"/>
  <c r="E566" i="1" s="1"/>
  <c r="P545" i="1"/>
  <c r="X545" i="1"/>
  <c r="AF545" i="1"/>
  <c r="AN545" i="1"/>
  <c r="Z545" i="1"/>
  <c r="AH545" i="1"/>
  <c r="AO550" i="1" s="1" a="1"/>
  <c r="AO550" i="1" s="1"/>
  <c r="AG557" i="1" s="1"/>
  <c r="S545" i="1"/>
  <c r="AA545" i="1"/>
  <c r="Q545" i="1"/>
  <c r="Y545" i="1"/>
  <c r="AG545" i="1"/>
  <c r="AO545" i="1"/>
  <c r="R545" i="1"/>
  <c r="K545" i="1"/>
  <c r="AI545" i="1"/>
  <c r="J545" i="1"/>
  <c r="AU570" i="1" l="1" a="1"/>
  <c r="AU570" i="1" s="1"/>
  <c r="AU573" i="1" s="1"/>
  <c r="AT570" i="1" a="1"/>
  <c r="AT570" i="1" s="1"/>
  <c r="AO570" i="1" a="1"/>
  <c r="AO570" i="1" s="1"/>
  <c r="AO573" i="1" s="1"/>
  <c r="AN570" i="1" a="1"/>
  <c r="AN570" i="1" s="1"/>
  <c r="AN573" i="1" s="1"/>
  <c r="B567" i="1" a="1"/>
  <c r="B567" i="1" s="1"/>
  <c r="F566" i="1" a="1"/>
  <c r="F566" i="1" s="1"/>
  <c r="B560" i="1" a="1"/>
  <c r="B560" i="1" s="1"/>
  <c r="F567" i="1" a="1"/>
  <c r="F567" i="1" s="1"/>
  <c r="C567" i="1" a="1"/>
  <c r="C567" i="1" s="1"/>
  <c r="G566" i="1" a="1"/>
  <c r="G566" i="1" s="1"/>
  <c r="C566" i="1" a="1"/>
  <c r="C566" i="1" s="1"/>
  <c r="G565" i="1" a="1"/>
  <c r="G565" i="1" s="1"/>
  <c r="R550" i="1" a="1"/>
  <c r="R550" i="1" s="1"/>
  <c r="J557" i="1" s="1"/>
  <c r="L550" i="1" a="1"/>
  <c r="L550" i="1" s="1"/>
  <c r="D557" i="1" s="1"/>
  <c r="O550" i="1" a="1"/>
  <c r="O550" i="1" s="1"/>
  <c r="G557" i="1" s="1"/>
  <c r="Z550" i="1" a="1"/>
  <c r="Z550" i="1" s="1"/>
  <c r="R557" i="1" s="1"/>
  <c r="P550" i="1" a="1"/>
  <c r="P550" i="1" s="1"/>
  <c r="H557" i="1" s="1"/>
  <c r="U550" i="1" a="1"/>
  <c r="U550" i="1" s="1"/>
  <c r="M557" i="1" s="1"/>
  <c r="AG550" i="1" a="1"/>
  <c r="AG550" i="1" s="1"/>
  <c r="Y557" i="1" s="1"/>
  <c r="Q550" i="1" a="1"/>
  <c r="Q550" i="1" s="1"/>
  <c r="I557" i="1" s="1"/>
  <c r="AC550" i="1" a="1"/>
  <c r="AC550" i="1" s="1"/>
  <c r="U557" i="1" s="1"/>
  <c r="AD550" i="1" a="1"/>
  <c r="AD550" i="1" s="1"/>
  <c r="V557" i="1" s="1"/>
  <c r="X550" i="1" a="1"/>
  <c r="X550" i="1" s="1"/>
  <c r="P557" i="1" s="1"/>
  <c r="N550" i="1" a="1"/>
  <c r="N550" i="1" s="1"/>
  <c r="F557" i="1" s="1"/>
  <c r="AE550" i="1" a="1"/>
  <c r="AE550" i="1" s="1"/>
  <c r="W557" i="1" s="1"/>
  <c r="Y550" i="1" a="1"/>
  <c r="Y550" i="1" s="1"/>
  <c r="Q557" i="1" s="1"/>
  <c r="T550" i="1" a="1"/>
  <c r="T550" i="1" s="1"/>
  <c r="L557" i="1" s="1"/>
  <c r="M550" i="1" a="1"/>
  <c r="M550" i="1" s="1"/>
  <c r="E557" i="1" s="1"/>
  <c r="W550" i="1" a="1"/>
  <c r="W550" i="1" s="1"/>
  <c r="O557" i="1" s="1"/>
  <c r="AB550" i="1" a="1"/>
  <c r="AB550" i="1" s="1"/>
  <c r="T557" i="1" s="1"/>
  <c r="J550" i="1" a="1"/>
  <c r="J550" i="1" s="1"/>
  <c r="B557" i="1" s="1"/>
  <c r="S550" i="1" a="1"/>
  <c r="S550" i="1" s="1"/>
  <c r="K557" i="1" s="1"/>
  <c r="AA550" i="1" a="1"/>
  <c r="AA550" i="1" s="1"/>
  <c r="S557" i="1" s="1"/>
  <c r="K550" i="1" a="1"/>
  <c r="K550" i="1" s="1"/>
  <c r="C557" i="1" s="1"/>
  <c r="V550" i="1" a="1"/>
  <c r="V550" i="1" s="1"/>
  <c r="N557" i="1" s="1"/>
  <c r="AF550" i="1" a="1"/>
  <c r="AF550" i="1" s="1"/>
  <c r="X557" i="1" s="1"/>
  <c r="AR570" i="1" l="1" a="1"/>
  <c r="AR570" i="1" s="1"/>
  <c r="AR573" i="1" s="1"/>
  <c r="AK570" i="1" a="1"/>
  <c r="AK570" i="1" s="1"/>
  <c r="AK573" i="1" s="1"/>
  <c r="AQ570" i="1" a="1"/>
  <c r="AQ570" i="1" s="1"/>
  <c r="AQ573" i="1" s="1"/>
  <c r="AS570" i="1" a="1"/>
  <c r="AS570" i="1" s="1"/>
  <c r="AS573" i="1" s="1"/>
  <c r="AT573" i="1"/>
  <c r="AM570" i="1" a="1"/>
  <c r="AM570" i="1" s="1"/>
  <c r="AM573" i="1" s="1"/>
  <c r="AP570" i="1" a="1"/>
  <c r="AP570" i="1" s="1"/>
  <c r="AP573" i="1" s="1"/>
  <c r="B570" i="1" a="1"/>
  <c r="B570" i="1" s="1"/>
  <c r="B573" i="1" s="1"/>
  <c r="AV570" i="1" a="1"/>
  <c r="AV570" i="1" s="1"/>
  <c r="AV573" i="1" s="1"/>
  <c r="D560" i="1" a="1"/>
  <c r="D560" i="1" s="1"/>
  <c r="D565" i="1" a="1"/>
  <c r="D565" i="1" s="1"/>
  <c r="E561" i="1" a="1"/>
  <c r="E561" i="1" s="1"/>
  <c r="E565" i="1" a="1"/>
  <c r="E565" i="1" s="1"/>
  <c r="E562" i="1" a="1"/>
  <c r="E562" i="1" s="1"/>
  <c r="D564" i="1" a="1"/>
  <c r="D564" i="1" s="1"/>
  <c r="E563" i="1" a="1"/>
  <c r="E563" i="1" s="1"/>
  <c r="D561" i="1" a="1"/>
  <c r="D561" i="1" s="1"/>
  <c r="D563" i="1" a="1"/>
  <c r="D563" i="1" s="1"/>
  <c r="D562" i="1" a="1"/>
  <c r="D562" i="1" s="1"/>
  <c r="E564" i="1" a="1"/>
  <c r="E564" i="1" s="1"/>
  <c r="E560" i="1" a="1"/>
  <c r="E560" i="1" s="1"/>
  <c r="C564" i="1" a="1"/>
  <c r="C564" i="1" s="1"/>
  <c r="G563" i="1" a="1"/>
  <c r="G563" i="1" s="1"/>
  <c r="C560" i="1" a="1"/>
  <c r="C560" i="1" s="1"/>
  <c r="G567" i="1" a="1"/>
  <c r="G567" i="1" s="1"/>
  <c r="F565" i="1" a="1"/>
  <c r="F565" i="1" s="1"/>
  <c r="B566" i="1" a="1"/>
  <c r="B566" i="1" s="1"/>
  <c r="F560" i="1" a="1"/>
  <c r="F560" i="1" s="1"/>
  <c r="B561" i="1" a="1"/>
  <c r="B561" i="1" s="1"/>
  <c r="C563" i="1" a="1"/>
  <c r="C563" i="1" s="1"/>
  <c r="G562" i="1" a="1"/>
  <c r="G562" i="1" s="1"/>
  <c r="F561" i="1" a="1"/>
  <c r="F561" i="1" s="1"/>
  <c r="B562" i="1" a="1"/>
  <c r="B562" i="1" s="1"/>
  <c r="C565" i="1" a="1"/>
  <c r="C565" i="1" s="1"/>
  <c r="G564" i="1" a="1"/>
  <c r="G564" i="1" s="1"/>
  <c r="B563" i="1" a="1"/>
  <c r="B563" i="1" s="1"/>
  <c r="F562" i="1" a="1"/>
  <c r="F562" i="1" s="1"/>
  <c r="G560" i="1" a="1"/>
  <c r="G560" i="1" s="1"/>
  <c r="C561" i="1" a="1"/>
  <c r="C561" i="1" s="1"/>
  <c r="F563" i="1" a="1"/>
  <c r="F563" i="1" s="1"/>
  <c r="B564" i="1" a="1"/>
  <c r="B564" i="1" s="1"/>
  <c r="B565" i="1" a="1"/>
  <c r="B565" i="1" s="1"/>
  <c r="F564" i="1" a="1"/>
  <c r="F564" i="1" s="1"/>
  <c r="G561" i="1" a="1"/>
  <c r="G561" i="1" s="1"/>
  <c r="C562" i="1" a="1"/>
  <c r="C562" i="1" s="1"/>
  <c r="AE570" i="1" l="1" a="1"/>
  <c r="AE570" i="1" s="1"/>
  <c r="AE573" i="1" s="1"/>
  <c r="AJ570" i="1" a="1"/>
  <c r="AJ570" i="1" s="1"/>
  <c r="AJ573" i="1" s="1"/>
  <c r="AL570" i="1" a="1"/>
  <c r="AL570" i="1" s="1"/>
  <c r="AL573" i="1" s="1"/>
  <c r="B583" i="1" s="1"/>
  <c r="E583" i="1" s="1"/>
  <c r="AI570" i="1" a="1"/>
  <c r="AI570" i="1" s="1"/>
  <c r="AI573" i="1" s="1"/>
  <c r="M570" i="1" a="1"/>
  <c r="M570" i="1" s="1"/>
  <c r="M573" i="1" s="1"/>
  <c r="AB570" i="1" a="1"/>
  <c r="AB570" i="1" s="1"/>
  <c r="AB573" i="1" s="1"/>
  <c r="AD570" i="1" a="1"/>
  <c r="AD570" i="1" s="1"/>
  <c r="AD573" i="1" s="1"/>
  <c r="S570" i="1" a="1"/>
  <c r="S570" i="1" s="1"/>
  <c r="S573" i="1" s="1"/>
  <c r="V570" i="1" a="1"/>
  <c r="V570" i="1" s="1"/>
  <c r="V573" i="1" s="1"/>
  <c r="Z570" i="1" a="1"/>
  <c r="Z570" i="1" s="1"/>
  <c r="Z573" i="1" s="1"/>
  <c r="N570" i="1" a="1"/>
  <c r="N570" i="1" s="1"/>
  <c r="N573" i="1" s="1"/>
  <c r="F570" i="1" a="1"/>
  <c r="F570" i="1" s="1"/>
  <c r="F573" i="1" s="1"/>
  <c r="K570" i="1" a="1"/>
  <c r="K570" i="1" s="1"/>
  <c r="K573" i="1" s="1"/>
  <c r="G570" i="1" a="1"/>
  <c r="G570" i="1" s="1"/>
  <c r="G573" i="1" s="1"/>
  <c r="U570" i="1" a="1"/>
  <c r="U570" i="1" s="1"/>
  <c r="U573" i="1" s="1"/>
  <c r="AA570" i="1" a="1"/>
  <c r="AA570" i="1" s="1"/>
  <c r="AA573" i="1" s="1"/>
  <c r="J570" i="1" a="1"/>
  <c r="J570" i="1" s="1"/>
  <c r="J573" i="1" s="1"/>
  <c r="AH570" i="1" a="1"/>
  <c r="AH570" i="1" s="1"/>
  <c r="AH573" i="1" s="1"/>
  <c r="O570" i="1" a="1"/>
  <c r="O570" i="1" s="1"/>
  <c r="O573" i="1" s="1"/>
  <c r="E570" i="1" a="1"/>
  <c r="E570" i="1" s="1"/>
  <c r="E573" i="1" s="1"/>
  <c r="W570" i="1" a="1"/>
  <c r="W570" i="1" s="1"/>
  <c r="W573" i="1" s="1"/>
  <c r="D570" i="1" a="1"/>
  <c r="D570" i="1" s="1"/>
  <c r="D573" i="1" s="1"/>
  <c r="AF570" i="1" a="1"/>
  <c r="AF570" i="1" s="1"/>
  <c r="AF573" i="1" s="1"/>
  <c r="X570" i="1" a="1"/>
  <c r="X570" i="1" s="1"/>
  <c r="X573" i="1" s="1"/>
  <c r="L570" i="1" a="1"/>
  <c r="L570" i="1" s="1"/>
  <c r="L573" i="1" s="1"/>
  <c r="C570" i="1" a="1"/>
  <c r="C570" i="1" s="1"/>
  <c r="C573" i="1" s="1"/>
  <c r="P570" i="1" a="1"/>
  <c r="P570" i="1" s="1"/>
  <c r="P573" i="1" s="1"/>
  <c r="Q570" i="1" a="1"/>
  <c r="Q570" i="1" s="1"/>
  <c r="Q573" i="1" s="1"/>
  <c r="AG570" i="1" a="1"/>
  <c r="AG570" i="1" s="1"/>
  <c r="AG573" i="1" s="1"/>
  <c r="AW570" i="1" a="1"/>
  <c r="AW570" i="1" s="1"/>
  <c r="AW573" i="1" s="1"/>
  <c r="B584" i="1" s="1"/>
  <c r="AC570" i="1" a="1"/>
  <c r="AC570" i="1" s="1"/>
  <c r="AC573" i="1" s="1"/>
  <c r="I570" i="1" a="1"/>
  <c r="I570" i="1" s="1"/>
  <c r="I573" i="1" s="1"/>
  <c r="Y570" i="1" a="1"/>
  <c r="Y570" i="1" s="1"/>
  <c r="Y573" i="1" s="1"/>
  <c r="T570" i="1" a="1"/>
  <c r="T570" i="1" s="1"/>
  <c r="T573" i="1" s="1"/>
  <c r="R570" i="1" a="1"/>
  <c r="R570" i="1" s="1"/>
  <c r="R573" i="1" s="1"/>
  <c r="H570" i="1" a="1"/>
  <c r="H570" i="1" s="1"/>
  <c r="H573" i="1" s="1"/>
  <c r="B578" i="1" l="1"/>
  <c r="D578" i="1" s="1"/>
  <c r="B579" i="1"/>
  <c r="D579" i="1" s="1"/>
  <c r="B582" i="1"/>
  <c r="D582" i="1" s="1"/>
  <c r="E584" i="1"/>
  <c r="D584" i="1"/>
  <c r="B580" i="1"/>
  <c r="E580" i="1" s="1"/>
  <c r="B577" i="1"/>
  <c r="E577" i="1" s="1"/>
  <c r="B581" i="1"/>
  <c r="D581" i="1" s="1"/>
  <c r="D583" i="1"/>
  <c r="F583" i="1" s="1" a="1"/>
  <c r="F583" i="1" s="1"/>
  <c r="G583" i="1" s="1"/>
  <c r="E579" i="1" l="1"/>
  <c r="F579" i="1" s="1" a="1"/>
  <c r="F579" i="1" s="1"/>
  <c r="G579" i="1" s="1"/>
  <c r="F584" i="1" a="1"/>
  <c r="F584" i="1" s="1"/>
  <c r="G584" i="1" s="1"/>
  <c r="E578" i="1"/>
  <c r="F578" i="1" s="1" a="1"/>
  <c r="F578" i="1" s="1"/>
  <c r="G578" i="1" s="1"/>
  <c r="E581" i="1"/>
  <c r="F581" i="1" s="1" a="1"/>
  <c r="F581" i="1" s="1"/>
  <c r="G581" i="1" s="1"/>
  <c r="D577" i="1"/>
  <c r="F577" i="1" s="1" a="1"/>
  <c r="F577" i="1" s="1"/>
  <c r="G577" i="1" s="1"/>
  <c r="E582" i="1"/>
  <c r="F582" i="1" s="1" a="1"/>
  <c r="F582" i="1" s="1"/>
  <c r="G582" i="1" s="1"/>
  <c r="D580" i="1"/>
  <c r="F580" i="1" s="1" a="1"/>
  <c r="F580" i="1" s="1"/>
  <c r="G580" i="1" s="1"/>
  <c r="AI578" i="1" l="1"/>
  <c r="AM578" i="1"/>
  <c r="AN578" i="1"/>
  <c r="AL578" i="1"/>
  <c r="AH578" i="1"/>
  <c r="AK578" i="1"/>
  <c r="AO578" i="1"/>
  <c r="AJ578" i="1"/>
  <c r="J578" i="1"/>
  <c r="P578" i="1"/>
  <c r="U578" i="1"/>
  <c r="Z578" i="1"/>
  <c r="AE578" i="1"/>
  <c r="M578" i="1"/>
  <c r="AG578" i="1"/>
  <c r="W578" i="1"/>
  <c r="AB578" i="1"/>
  <c r="AC578" i="1"/>
  <c r="X578" i="1"/>
  <c r="K578" i="1"/>
  <c r="Y578" i="1"/>
  <c r="O578" i="1"/>
  <c r="T578" i="1"/>
  <c r="Q578" i="1"/>
  <c r="AD578" i="1"/>
  <c r="L578" i="1"/>
  <c r="R578" i="1"/>
  <c r="V578" i="1"/>
  <c r="AA578" i="1"/>
  <c r="AF578" i="1"/>
  <c r="N578" i="1"/>
  <c r="S578" i="1"/>
  <c r="AB583" i="1" l="1" a="1"/>
  <c r="AB583" i="1" s="1"/>
  <c r="T590" i="1" s="1"/>
  <c r="P583" i="1" a="1"/>
  <c r="P583" i="1" s="1"/>
  <c r="H590" i="1" s="1"/>
  <c r="E594" i="1" s="1" a="1"/>
  <c r="E594" i="1" s="1"/>
  <c r="W583" i="1" a="1"/>
  <c r="W583" i="1" s="1"/>
  <c r="O590" i="1" s="1"/>
  <c r="D596" i="1" s="1" a="1"/>
  <c r="D596" i="1" s="1"/>
  <c r="J583" i="1" a="1"/>
  <c r="J583" i="1" s="1"/>
  <c r="B590" i="1" s="1"/>
  <c r="AL583" i="1" a="1"/>
  <c r="AL583" i="1" s="1"/>
  <c r="AD590" i="1" s="1"/>
  <c r="AO583" i="1" a="1"/>
  <c r="AO583" i="1" s="1"/>
  <c r="AG590" i="1" s="1"/>
  <c r="AE583" i="1" a="1"/>
  <c r="AE583" i="1" s="1"/>
  <c r="W590" i="1" s="1"/>
  <c r="AM583" i="1" a="1"/>
  <c r="AM583" i="1" s="1"/>
  <c r="AE590" i="1" s="1"/>
  <c r="D600" i="1" s="1" a="1"/>
  <c r="D600" i="1" s="1"/>
  <c r="AN583" i="1" a="1"/>
  <c r="AN583" i="1" s="1"/>
  <c r="AF590" i="1" s="1"/>
  <c r="E600" i="1" s="1" a="1"/>
  <c r="E600" i="1" s="1"/>
  <c r="AI583" i="1" a="1"/>
  <c r="AI583" i="1" s="1"/>
  <c r="AA590" i="1" s="1"/>
  <c r="D599" i="1" s="1" a="1"/>
  <c r="D599" i="1" s="1"/>
  <c r="Y583" i="1" a="1"/>
  <c r="Y583" i="1" s="1"/>
  <c r="Q590" i="1" s="1"/>
  <c r="AD583" i="1" a="1"/>
  <c r="AD583" i="1" s="1"/>
  <c r="V590" i="1" s="1"/>
  <c r="T583" i="1" a="1"/>
  <c r="T583" i="1" s="1"/>
  <c r="L590" i="1" s="1"/>
  <c r="E595" i="1" s="1" a="1"/>
  <c r="E595" i="1" s="1"/>
  <c r="Q583" i="1" a="1"/>
  <c r="Q583" i="1" s="1"/>
  <c r="I590" i="1" s="1"/>
  <c r="AG583" i="1" a="1"/>
  <c r="AG583" i="1" s="1"/>
  <c r="Y590" i="1" s="1"/>
  <c r="S583" i="1" a="1"/>
  <c r="S583" i="1" s="1"/>
  <c r="K590" i="1" s="1"/>
  <c r="D595" i="1" s="1" a="1"/>
  <c r="D595" i="1" s="1"/>
  <c r="O583" i="1" a="1"/>
  <c r="O583" i="1" s="1"/>
  <c r="G590" i="1" s="1"/>
  <c r="D594" i="1" s="1" a="1"/>
  <c r="D594" i="1" s="1"/>
  <c r="X583" i="1" a="1"/>
  <c r="X583" i="1" s="1"/>
  <c r="P590" i="1" s="1"/>
  <c r="E596" i="1" s="1" a="1"/>
  <c r="E596" i="1" s="1"/>
  <c r="AA583" i="1" a="1"/>
  <c r="AA583" i="1" s="1"/>
  <c r="S590" i="1" s="1"/>
  <c r="D597" i="1" s="1" a="1"/>
  <c r="D597" i="1" s="1"/>
  <c r="AK583" i="1" a="1"/>
  <c r="AK583" i="1" s="1"/>
  <c r="AC590" i="1" s="1"/>
  <c r="Z583" i="1" a="1"/>
  <c r="Z583" i="1" s="1"/>
  <c r="R590" i="1" s="1"/>
  <c r="AF583" i="1" a="1"/>
  <c r="AF583" i="1" s="1"/>
  <c r="X590" i="1" s="1"/>
  <c r="L583" i="1" a="1"/>
  <c r="L583" i="1" s="1"/>
  <c r="D590" i="1" s="1"/>
  <c r="E593" i="1" s="1" a="1"/>
  <c r="E593" i="1" s="1"/>
  <c r="K583" i="1" a="1"/>
  <c r="K583" i="1" s="1"/>
  <c r="C590" i="1" s="1"/>
  <c r="D593" i="1" s="1" a="1"/>
  <c r="D593" i="1" s="1"/>
  <c r="AJ583" i="1" a="1"/>
  <c r="AJ583" i="1" s="1"/>
  <c r="AB590" i="1" s="1"/>
  <c r="E599" i="1" s="1" a="1"/>
  <c r="E599" i="1" s="1"/>
  <c r="AC583" i="1" a="1"/>
  <c r="AC583" i="1" s="1"/>
  <c r="U590" i="1" s="1"/>
  <c r="V583" i="1" a="1"/>
  <c r="V583" i="1" s="1"/>
  <c r="N590" i="1" s="1"/>
  <c r="N583" i="1" a="1"/>
  <c r="N583" i="1" s="1"/>
  <c r="F590" i="1" s="1"/>
  <c r="M583" i="1" a="1"/>
  <c r="M583" i="1" s="1"/>
  <c r="E590" i="1" s="1"/>
  <c r="AH583" i="1" a="1"/>
  <c r="AH583" i="1" s="1"/>
  <c r="Z590" i="1" s="1"/>
  <c r="R583" i="1" a="1"/>
  <c r="R583" i="1" s="1"/>
  <c r="J590" i="1" s="1"/>
  <c r="U583" i="1" a="1"/>
  <c r="U583" i="1" s="1"/>
  <c r="M590" i="1" s="1"/>
  <c r="D603" i="1" l="1" a="1"/>
  <c r="D603" i="1" s="1"/>
  <c r="D606" i="1" s="1"/>
  <c r="P603" i="1" a="1"/>
  <c r="P603" i="1" s="1"/>
  <c r="P606" i="1" s="1"/>
  <c r="D598" i="1" a="1"/>
  <c r="D598" i="1" s="1"/>
  <c r="AO603" i="1" a="1"/>
  <c r="AO603" i="1" s="1"/>
  <c r="AO606" i="1" s="1"/>
  <c r="AT603" i="1" a="1"/>
  <c r="AT603" i="1" s="1"/>
  <c r="AT606" i="1" s="1"/>
  <c r="E603" i="1" a="1"/>
  <c r="E603" i="1" s="1"/>
  <c r="E606" i="1" s="1"/>
  <c r="E598" i="1" a="1"/>
  <c r="E598" i="1" s="1"/>
  <c r="Q603" i="1" a="1"/>
  <c r="Q603" i="1" s="1"/>
  <c r="Q606" i="1" s="1"/>
  <c r="J603" i="1" a="1"/>
  <c r="J603" i="1" s="1"/>
  <c r="J606" i="1" s="1"/>
  <c r="AB603" i="1" a="1"/>
  <c r="AB603" i="1" s="1"/>
  <c r="AB606" i="1" s="1"/>
  <c r="V603" i="1" a="1"/>
  <c r="V603" i="1" s="1"/>
  <c r="V606" i="1" s="1"/>
  <c r="AU603" i="1" a="1"/>
  <c r="AU603" i="1" s="1"/>
  <c r="AU606" i="1" s="1"/>
  <c r="W603" i="1" a="1"/>
  <c r="W603" i="1" s="1"/>
  <c r="W606" i="1" s="1"/>
  <c r="AN603" i="1" a="1"/>
  <c r="AN603" i="1" s="1"/>
  <c r="AN606" i="1" s="1"/>
  <c r="K603" i="1" a="1"/>
  <c r="K603" i="1" s="1"/>
  <c r="K606" i="1" s="1"/>
  <c r="E597" i="1" a="1"/>
  <c r="E597" i="1" s="1"/>
  <c r="B600" i="1" a="1"/>
  <c r="B600" i="1" s="1"/>
  <c r="F599" i="1" a="1"/>
  <c r="F599" i="1" s="1"/>
  <c r="G593" i="1" a="1"/>
  <c r="G593" i="1" s="1"/>
  <c r="C594" i="1" a="1"/>
  <c r="C594" i="1" s="1"/>
  <c r="C598" i="1" a="1"/>
  <c r="C598" i="1" s="1"/>
  <c r="G597" i="1" a="1"/>
  <c r="G597" i="1" s="1"/>
  <c r="C593" i="1" a="1"/>
  <c r="C593" i="1" s="1"/>
  <c r="G600" i="1" a="1"/>
  <c r="G600" i="1" s="1"/>
  <c r="G594" i="1" a="1"/>
  <c r="G594" i="1" s="1"/>
  <c r="C595" i="1" a="1"/>
  <c r="C595" i="1" s="1"/>
  <c r="C596" i="1" a="1"/>
  <c r="C596" i="1" s="1"/>
  <c r="G595" i="1" a="1"/>
  <c r="G595" i="1" s="1"/>
  <c r="F598" i="1" a="1"/>
  <c r="F598" i="1" s="1"/>
  <c r="B599" i="1" a="1"/>
  <c r="B599" i="1" s="1"/>
  <c r="F596" i="1" a="1"/>
  <c r="F596" i="1" s="1"/>
  <c r="B597" i="1" a="1"/>
  <c r="B597" i="1" s="1"/>
  <c r="B596" i="1" a="1"/>
  <c r="B596" i="1" s="1"/>
  <c r="F595" i="1" a="1"/>
  <c r="F595" i="1" s="1"/>
  <c r="G598" i="1" a="1"/>
  <c r="G598" i="1" s="1"/>
  <c r="C599" i="1" a="1"/>
  <c r="C599" i="1" s="1"/>
  <c r="B598" i="1" a="1"/>
  <c r="B598" i="1" s="1"/>
  <c r="F597" i="1" a="1"/>
  <c r="F597" i="1" s="1"/>
  <c r="F594" i="1" a="1"/>
  <c r="F594" i="1" s="1"/>
  <c r="B595" i="1" a="1"/>
  <c r="B595" i="1" s="1"/>
  <c r="B593" i="1" a="1"/>
  <c r="B593" i="1" s="1"/>
  <c r="F600" i="1" a="1"/>
  <c r="F600" i="1" s="1"/>
  <c r="F593" i="1" a="1"/>
  <c r="F593" i="1" s="1"/>
  <c r="B594" i="1" a="1"/>
  <c r="B594" i="1" s="1"/>
  <c r="G596" i="1" a="1"/>
  <c r="G596" i="1" s="1"/>
  <c r="C597" i="1" a="1"/>
  <c r="C597" i="1" s="1"/>
  <c r="C600" i="1" a="1"/>
  <c r="C600" i="1" s="1"/>
  <c r="G599" i="1" a="1"/>
  <c r="G599" i="1" s="1"/>
  <c r="AK603" i="1" l="1" a="1"/>
  <c r="AK603" i="1" s="1"/>
  <c r="AK606" i="1" s="1"/>
  <c r="B603" i="1" a="1"/>
  <c r="B603" i="1" s="1"/>
  <c r="B606" i="1" s="1"/>
  <c r="T603" i="1" a="1"/>
  <c r="T603" i="1" s="1"/>
  <c r="T606" i="1" s="1"/>
  <c r="M603" i="1" a="1"/>
  <c r="M603" i="1" s="1"/>
  <c r="M606" i="1" s="1"/>
  <c r="AR603" i="1" a="1"/>
  <c r="AR603" i="1" s="1"/>
  <c r="AR606" i="1" s="1"/>
  <c r="AM603" i="1" a="1"/>
  <c r="AM603" i="1" s="1"/>
  <c r="AM606" i="1" s="1"/>
  <c r="S603" i="1" a="1"/>
  <c r="S603" i="1" s="1"/>
  <c r="S606" i="1" s="1"/>
  <c r="I603" i="1" a="1"/>
  <c r="I603" i="1" s="1"/>
  <c r="I606" i="1" s="1"/>
  <c r="AI603" i="1" a="1"/>
  <c r="AI603" i="1" s="1"/>
  <c r="AI606" i="1" s="1"/>
  <c r="AV603" i="1" a="1"/>
  <c r="AV603" i="1" s="1"/>
  <c r="AV606" i="1" s="1"/>
  <c r="R603" i="1" a="1"/>
  <c r="R603" i="1" s="1"/>
  <c r="R606" i="1" s="1"/>
  <c r="O603" i="1" a="1"/>
  <c r="O603" i="1" s="1"/>
  <c r="O606" i="1" s="1"/>
  <c r="AP603" i="1" a="1"/>
  <c r="AP603" i="1" s="1"/>
  <c r="AP606" i="1" s="1"/>
  <c r="AQ603" i="1" a="1"/>
  <c r="AQ603" i="1" s="1"/>
  <c r="AQ606" i="1" s="1"/>
  <c r="N603" i="1" a="1"/>
  <c r="N603" i="1" s="1"/>
  <c r="N606" i="1" s="1"/>
  <c r="Z603" i="1" a="1"/>
  <c r="Z603" i="1" s="1"/>
  <c r="Z606" i="1" s="1"/>
  <c r="AW603" i="1" a="1"/>
  <c r="AW603" i="1" s="1"/>
  <c r="AW606" i="1" s="1"/>
  <c r="AH603" i="1" a="1"/>
  <c r="AH603" i="1" s="1"/>
  <c r="AH606" i="1" s="1"/>
  <c r="H603" i="1" a="1"/>
  <c r="H603" i="1" s="1"/>
  <c r="H606" i="1" s="1"/>
  <c r="U603" i="1" a="1"/>
  <c r="U603" i="1" s="1"/>
  <c r="U606" i="1" s="1"/>
  <c r="AS603" i="1" a="1"/>
  <c r="AS603" i="1" s="1"/>
  <c r="AS606" i="1" s="1"/>
  <c r="L603" i="1" a="1"/>
  <c r="L603" i="1" s="1"/>
  <c r="L606" i="1" s="1"/>
  <c r="X603" i="1" a="1"/>
  <c r="X603" i="1" s="1"/>
  <c r="X606" i="1" s="1"/>
  <c r="C603" i="1" a="1"/>
  <c r="C603" i="1" s="1"/>
  <c r="C606" i="1" s="1"/>
  <c r="AA603" i="1" a="1"/>
  <c r="AA603" i="1" s="1"/>
  <c r="AA606" i="1" s="1"/>
  <c r="AD603" i="1" a="1"/>
  <c r="AD603" i="1" s="1"/>
  <c r="AD606" i="1" s="1"/>
  <c r="AL603" i="1" a="1"/>
  <c r="AL603" i="1" s="1"/>
  <c r="AL606" i="1" s="1"/>
  <c r="AE603" i="1" a="1"/>
  <c r="AE603" i="1" s="1"/>
  <c r="AE606" i="1" s="1"/>
  <c r="AC603" i="1" a="1"/>
  <c r="AC603" i="1" s="1"/>
  <c r="AC606" i="1" s="1"/>
  <c r="F603" i="1" a="1"/>
  <c r="F603" i="1" s="1"/>
  <c r="F606" i="1" s="1"/>
  <c r="G603" i="1" a="1"/>
  <c r="G603" i="1" s="1"/>
  <c r="G606" i="1" s="1"/>
  <c r="Y603" i="1" a="1"/>
  <c r="Y603" i="1" s="1"/>
  <c r="Y606" i="1" s="1"/>
  <c r="AF603" i="1" a="1"/>
  <c r="AF603" i="1" s="1"/>
  <c r="AF606" i="1" s="1"/>
  <c r="AJ603" i="1" a="1"/>
  <c r="AJ603" i="1" s="1"/>
  <c r="AJ606" i="1" s="1"/>
  <c r="AG603" i="1" a="1"/>
  <c r="AG603" i="1" s="1"/>
  <c r="AG606" i="1" s="1"/>
  <c r="B612" i="1" l="1"/>
  <c r="D612" i="1" s="1"/>
  <c r="B616" i="1"/>
  <c r="D616" i="1" s="1"/>
  <c r="B615" i="1"/>
  <c r="D615" i="1" s="1"/>
  <c r="B617" i="1"/>
  <c r="E617" i="1" s="1"/>
  <c r="B614" i="1"/>
  <c r="E614" i="1" s="1"/>
  <c r="B610" i="1"/>
  <c r="E610" i="1" s="1"/>
  <c r="B611" i="1"/>
  <c r="E611" i="1" s="1"/>
  <c r="B613" i="1"/>
  <c r="E613" i="1" s="1"/>
  <c r="E612" i="1" l="1"/>
  <c r="F612" i="1" s="1" a="1"/>
  <c r="F612" i="1" s="1"/>
  <c r="G612" i="1" s="1"/>
  <c r="D617" i="1"/>
  <c r="F617" i="1" s="1" a="1"/>
  <c r="F617" i="1" s="1"/>
  <c r="G617" i="1" s="1"/>
  <c r="E615" i="1"/>
  <c r="F615" i="1" s="1" a="1"/>
  <c r="F615" i="1" s="1"/>
  <c r="G615" i="1" s="1"/>
  <c r="D614" i="1"/>
  <c r="F614" i="1" s="1" a="1"/>
  <c r="F614" i="1" s="1"/>
  <c r="G614" i="1" s="1"/>
  <c r="E616" i="1"/>
  <c r="F616" i="1" s="1" a="1"/>
  <c r="F616" i="1" s="1"/>
  <c r="G616" i="1" s="1"/>
  <c r="D610" i="1"/>
  <c r="F610" i="1" s="1" a="1"/>
  <c r="F610" i="1" s="1"/>
  <c r="G610" i="1" s="1"/>
  <c r="D611" i="1"/>
  <c r="F611" i="1" s="1" a="1"/>
  <c r="F611" i="1" s="1"/>
  <c r="G611" i="1" s="1"/>
  <c r="D613" i="1"/>
  <c r="F613" i="1" s="1" a="1"/>
  <c r="F613" i="1" s="1"/>
  <c r="G613" i="1" s="1"/>
  <c r="J611" i="1" l="1"/>
  <c r="AJ611" i="1"/>
  <c r="N611" i="1"/>
  <c r="AN611" i="1"/>
  <c r="AB611" i="1"/>
  <c r="K611" i="1"/>
  <c r="AE611" i="1"/>
  <c r="V611" i="1"/>
  <c r="Z611" i="1"/>
  <c r="AA611" i="1"/>
  <c r="U611" i="1"/>
  <c r="AL611" i="1"/>
  <c r="Q611" i="1"/>
  <c r="AM611" i="1"/>
  <c r="R611" i="1"/>
  <c r="S611" i="1"/>
  <c r="M611" i="1"/>
  <c r="AD611" i="1"/>
  <c r="AH611" i="1"/>
  <c r="AI611" i="1"/>
  <c r="AC611" i="1"/>
  <c r="O611" i="1"/>
  <c r="Y611" i="1"/>
  <c r="T611" i="1"/>
  <c r="W611" i="1"/>
  <c r="AO611" i="1"/>
  <c r="AF611" i="1"/>
  <c r="L611" i="1"/>
  <c r="AK611" i="1"/>
  <c r="P611" i="1"/>
  <c r="AG611" i="1"/>
  <c r="X611" i="1"/>
  <c r="AE616" i="1" l="1" a="1"/>
  <c r="AE616" i="1" s="1"/>
  <c r="W623" i="1" s="1"/>
  <c r="AC616" i="1" a="1"/>
  <c r="AC616" i="1" s="1"/>
  <c r="U623" i="1" s="1"/>
  <c r="Q616" i="1" a="1"/>
  <c r="Q616" i="1" s="1"/>
  <c r="I623" i="1" s="1"/>
  <c r="AN616" i="1" a="1"/>
  <c r="AN616" i="1" s="1"/>
  <c r="AF623" i="1" s="1"/>
  <c r="E633" i="1" s="1" a="1"/>
  <c r="E633" i="1" s="1"/>
  <c r="R616" i="1" a="1"/>
  <c r="R616" i="1" s="1"/>
  <c r="J623" i="1" s="1"/>
  <c r="S616" i="1" a="1"/>
  <c r="S616" i="1" s="1"/>
  <c r="K623" i="1" s="1"/>
  <c r="D628" i="1" s="1" a="1"/>
  <c r="D628" i="1" s="1"/>
  <c r="AM616" i="1" a="1"/>
  <c r="AM616" i="1" s="1"/>
  <c r="AE623" i="1" s="1"/>
  <c r="D633" i="1" s="1" a="1"/>
  <c r="D633" i="1" s="1"/>
  <c r="Y616" i="1" a="1"/>
  <c r="Y616" i="1" s="1"/>
  <c r="Q623" i="1" s="1"/>
  <c r="AI616" i="1" a="1"/>
  <c r="AI616" i="1" s="1"/>
  <c r="AA623" i="1" s="1"/>
  <c r="D632" i="1" s="1" a="1"/>
  <c r="D632" i="1" s="1"/>
  <c r="J616" i="1" a="1"/>
  <c r="J616" i="1" s="1"/>
  <c r="B623" i="1" s="1"/>
  <c r="Z616" i="1" a="1"/>
  <c r="Z616" i="1" s="1"/>
  <c r="R623" i="1" s="1"/>
  <c r="W616" i="1" a="1"/>
  <c r="W616" i="1" s="1"/>
  <c r="O623" i="1" s="1"/>
  <c r="D629" i="1" s="1" a="1"/>
  <c r="D629" i="1" s="1"/>
  <c r="AG616" i="1" a="1"/>
  <c r="AG616" i="1" s="1"/>
  <c r="Y623" i="1" s="1"/>
  <c r="AK616" i="1" a="1"/>
  <c r="AK616" i="1" s="1"/>
  <c r="AC623" i="1" s="1"/>
  <c r="AJ616" i="1" a="1"/>
  <c r="AJ616" i="1" s="1"/>
  <c r="AB623" i="1" s="1"/>
  <c r="E632" i="1" s="1" a="1"/>
  <c r="E632" i="1" s="1"/>
  <c r="P616" i="1" a="1"/>
  <c r="P616" i="1" s="1"/>
  <c r="H623" i="1" s="1"/>
  <c r="E627" i="1" s="1" a="1"/>
  <c r="E627" i="1" s="1"/>
  <c r="L616" i="1" a="1"/>
  <c r="L616" i="1" s="1"/>
  <c r="D623" i="1" s="1"/>
  <c r="E626" i="1" s="1" a="1"/>
  <c r="E626" i="1" s="1"/>
  <c r="AA616" i="1" a="1"/>
  <c r="AA616" i="1" s="1"/>
  <c r="S623" i="1" s="1"/>
  <c r="D630" i="1" s="1" a="1"/>
  <c r="D630" i="1" s="1"/>
  <c r="AH616" i="1" a="1"/>
  <c r="AH616" i="1" s="1"/>
  <c r="Z623" i="1" s="1"/>
  <c r="AD616" i="1" a="1"/>
  <c r="AD616" i="1" s="1"/>
  <c r="V623" i="1" s="1"/>
  <c r="N616" i="1" a="1"/>
  <c r="N616" i="1" s="1"/>
  <c r="F623" i="1" s="1"/>
  <c r="M616" i="1" a="1"/>
  <c r="M616" i="1" s="1"/>
  <c r="E623" i="1" s="1"/>
  <c r="AB616" i="1" a="1"/>
  <c r="AB616" i="1" s="1"/>
  <c r="T623" i="1" s="1"/>
  <c r="AL616" i="1" a="1"/>
  <c r="AL616" i="1" s="1"/>
  <c r="AD623" i="1" s="1"/>
  <c r="K616" i="1" a="1"/>
  <c r="K616" i="1" s="1"/>
  <c r="C623" i="1" s="1"/>
  <c r="D626" i="1" s="1" a="1"/>
  <c r="D626" i="1" s="1"/>
  <c r="AF616" i="1" a="1"/>
  <c r="AF616" i="1" s="1"/>
  <c r="X623" i="1" s="1"/>
  <c r="U616" i="1" a="1"/>
  <c r="U616" i="1" s="1"/>
  <c r="M623" i="1" s="1"/>
  <c r="X616" i="1" a="1"/>
  <c r="X616" i="1" s="1"/>
  <c r="P623" i="1" s="1"/>
  <c r="E629" i="1" s="1" a="1"/>
  <c r="E629" i="1" s="1"/>
  <c r="T616" i="1" a="1"/>
  <c r="T616" i="1" s="1"/>
  <c r="L623" i="1" s="1"/>
  <c r="E628" i="1" s="1" a="1"/>
  <c r="E628" i="1" s="1"/>
  <c r="AO616" i="1" a="1"/>
  <c r="AO616" i="1" s="1"/>
  <c r="AG623" i="1" s="1"/>
  <c r="O616" i="1" a="1"/>
  <c r="O616" i="1" s="1"/>
  <c r="G623" i="1" s="1"/>
  <c r="D627" i="1" s="1" a="1"/>
  <c r="D627" i="1" s="1"/>
  <c r="V616" i="1" a="1"/>
  <c r="V616" i="1" s="1"/>
  <c r="N623" i="1" s="1"/>
  <c r="AO636" i="1" l="1" a="1"/>
  <c r="AO636" i="1" s="1"/>
  <c r="AO639" i="1" s="1"/>
  <c r="P636" i="1" a="1"/>
  <c r="P636" i="1" s="1"/>
  <c r="P639" i="1" s="1"/>
  <c r="D636" i="1" a="1"/>
  <c r="D636" i="1" s="1"/>
  <c r="D639" i="1" s="1"/>
  <c r="E630" i="1" a="1"/>
  <c r="E630" i="1" s="1"/>
  <c r="Q636" i="1" a="1"/>
  <c r="Q636" i="1" s="1"/>
  <c r="Q639" i="1" s="1"/>
  <c r="J636" i="1" a="1"/>
  <c r="J636" i="1" s="1"/>
  <c r="J639" i="1" s="1"/>
  <c r="W636" i="1" a="1"/>
  <c r="W636" i="1" s="1"/>
  <c r="W639" i="1" s="1"/>
  <c r="V636" i="1" a="1"/>
  <c r="V636" i="1" s="1"/>
  <c r="V639" i="1" s="1"/>
  <c r="AU636" i="1" a="1"/>
  <c r="AU636" i="1" s="1"/>
  <c r="AU639" i="1" s="1"/>
  <c r="K636" i="1" a="1"/>
  <c r="K636" i="1" s="1"/>
  <c r="K639" i="1" s="1"/>
  <c r="AT636" i="1" a="1"/>
  <c r="AT636" i="1" s="1"/>
  <c r="AT639" i="1" s="1"/>
  <c r="E631" i="1" a="1"/>
  <c r="E631" i="1" s="1"/>
  <c r="AB636" i="1" a="1"/>
  <c r="AB636" i="1" s="1"/>
  <c r="AB639" i="1" s="1"/>
  <c r="E636" i="1" a="1"/>
  <c r="E636" i="1" s="1"/>
  <c r="E639" i="1" s="1"/>
  <c r="AN636" i="1" a="1"/>
  <c r="AN636" i="1" s="1"/>
  <c r="AN639" i="1" s="1"/>
  <c r="D631" i="1" a="1"/>
  <c r="D631" i="1" s="1"/>
  <c r="B629" i="1" a="1"/>
  <c r="B629" i="1" s="1"/>
  <c r="F628" i="1" a="1"/>
  <c r="F628" i="1" s="1"/>
  <c r="G629" i="1" a="1"/>
  <c r="G629" i="1" s="1"/>
  <c r="C630" i="1" a="1"/>
  <c r="C630" i="1" s="1"/>
  <c r="F627" i="1" a="1"/>
  <c r="F627" i="1" s="1"/>
  <c r="B628" i="1" a="1"/>
  <c r="B628" i="1" s="1"/>
  <c r="C629" i="1" a="1"/>
  <c r="C629" i="1" s="1"/>
  <c r="G628" i="1" a="1"/>
  <c r="G628" i="1" s="1"/>
  <c r="C631" i="1" a="1"/>
  <c r="C631" i="1" s="1"/>
  <c r="G630" i="1" a="1"/>
  <c r="G630" i="1" s="1"/>
  <c r="F629" i="1" a="1"/>
  <c r="F629" i="1" s="1"/>
  <c r="B630" i="1" a="1"/>
  <c r="B630" i="1" s="1"/>
  <c r="B626" i="1" a="1"/>
  <c r="B626" i="1" s="1"/>
  <c r="F633" i="1" a="1"/>
  <c r="F633" i="1" s="1"/>
  <c r="B633" i="1" a="1"/>
  <c r="B633" i="1" s="1"/>
  <c r="F632" i="1" a="1"/>
  <c r="F632" i="1" s="1"/>
  <c r="C626" i="1" a="1"/>
  <c r="C626" i="1" s="1"/>
  <c r="G633" i="1" a="1"/>
  <c r="G633" i="1" s="1"/>
  <c r="B631" i="1" a="1"/>
  <c r="B631" i="1" s="1"/>
  <c r="F630" i="1" a="1"/>
  <c r="F630" i="1" s="1"/>
  <c r="C633" i="1" a="1"/>
  <c r="C633" i="1" s="1"/>
  <c r="G632" i="1" a="1"/>
  <c r="G632" i="1" s="1"/>
  <c r="G631" i="1" a="1"/>
  <c r="G631" i="1" s="1"/>
  <c r="C632" i="1" a="1"/>
  <c r="C632" i="1" s="1"/>
  <c r="F626" i="1" a="1"/>
  <c r="F626" i="1" s="1"/>
  <c r="B627" i="1" a="1"/>
  <c r="B627" i="1" s="1"/>
  <c r="G626" i="1" a="1"/>
  <c r="G626" i="1" s="1"/>
  <c r="C627" i="1" a="1"/>
  <c r="C627" i="1" s="1"/>
  <c r="F631" i="1" a="1"/>
  <c r="F631" i="1" s="1"/>
  <c r="B632" i="1" a="1"/>
  <c r="B632" i="1" s="1"/>
  <c r="G627" i="1" a="1"/>
  <c r="G627" i="1" s="1"/>
  <c r="C628" i="1" a="1"/>
  <c r="C628" i="1" s="1"/>
  <c r="H636" i="1" l="1" a="1"/>
  <c r="H636" i="1" s="1"/>
  <c r="H639" i="1" s="1"/>
  <c r="AW636" i="1" a="1"/>
  <c r="AW636" i="1" s="1"/>
  <c r="AW639" i="1" s="1"/>
  <c r="AE636" i="1" a="1"/>
  <c r="AE636" i="1" s="1"/>
  <c r="AE639" i="1" s="1"/>
  <c r="R636" i="1" a="1"/>
  <c r="R636" i="1" s="1"/>
  <c r="R639" i="1" s="1"/>
  <c r="AC636" i="1" a="1"/>
  <c r="AC636" i="1" s="1"/>
  <c r="AC639" i="1" s="1"/>
  <c r="AF636" i="1" a="1"/>
  <c r="AF636" i="1" s="1"/>
  <c r="AF639" i="1" s="1"/>
  <c r="Y636" i="1" a="1"/>
  <c r="Y636" i="1" s="1"/>
  <c r="Y639" i="1" s="1"/>
  <c r="AG636" i="1" a="1"/>
  <c r="AG636" i="1" s="1"/>
  <c r="AG639" i="1" s="1"/>
  <c r="C636" i="1" a="1"/>
  <c r="C636" i="1" s="1"/>
  <c r="C639" i="1" s="1"/>
  <c r="O636" i="1" a="1"/>
  <c r="O636" i="1" s="1"/>
  <c r="O639" i="1" s="1"/>
  <c r="AM636" i="1" a="1"/>
  <c r="AM636" i="1" s="1"/>
  <c r="AM639" i="1" s="1"/>
  <c r="AP636" i="1" a="1"/>
  <c r="AP636" i="1" s="1"/>
  <c r="AP639" i="1" s="1"/>
  <c r="S636" i="1" a="1"/>
  <c r="S636" i="1" s="1"/>
  <c r="S639" i="1" s="1"/>
  <c r="M636" i="1" a="1"/>
  <c r="M636" i="1" s="1"/>
  <c r="M639" i="1" s="1"/>
  <c r="AK636" i="1" a="1"/>
  <c r="AK636" i="1" s="1"/>
  <c r="AK639" i="1" s="1"/>
  <c r="AR636" i="1" a="1"/>
  <c r="AR636" i="1" s="1"/>
  <c r="AR639" i="1" s="1"/>
  <c r="U636" i="1" a="1"/>
  <c r="U636" i="1" s="1"/>
  <c r="U639" i="1" s="1"/>
  <c r="AI636" i="1" a="1"/>
  <c r="AI636" i="1" s="1"/>
  <c r="AI639" i="1" s="1"/>
  <c r="AQ636" i="1" a="1"/>
  <c r="AQ636" i="1" s="1"/>
  <c r="AQ639" i="1" s="1"/>
  <c r="AV636" i="1" a="1"/>
  <c r="AV636" i="1" s="1"/>
  <c r="AV639" i="1" s="1"/>
  <c r="N636" i="1" a="1"/>
  <c r="N636" i="1" s="1"/>
  <c r="N639" i="1" s="1"/>
  <c r="AH636" i="1" a="1"/>
  <c r="AH636" i="1" s="1"/>
  <c r="AH639" i="1" s="1"/>
  <c r="G636" i="1" a="1"/>
  <c r="G636" i="1" s="1"/>
  <c r="G639" i="1" s="1"/>
  <c r="X636" i="1" a="1"/>
  <c r="X636" i="1" s="1"/>
  <c r="X639" i="1" s="1"/>
  <c r="AL636" i="1" a="1"/>
  <c r="AL636" i="1" s="1"/>
  <c r="AL639" i="1" s="1"/>
  <c r="AJ636" i="1" a="1"/>
  <c r="AJ636" i="1" s="1"/>
  <c r="AJ639" i="1" s="1"/>
  <c r="AS636" i="1" a="1"/>
  <c r="AS636" i="1" s="1"/>
  <c r="AS639" i="1" s="1"/>
  <c r="B636" i="1" a="1"/>
  <c r="B636" i="1" s="1"/>
  <c r="B639" i="1" s="1"/>
  <c r="L636" i="1" a="1"/>
  <c r="L636" i="1" s="1"/>
  <c r="L639" i="1" s="1"/>
  <c r="F636" i="1" a="1"/>
  <c r="F636" i="1" s="1"/>
  <c r="F639" i="1" s="1"/>
  <c r="T636" i="1" a="1"/>
  <c r="T636" i="1" s="1"/>
  <c r="T639" i="1" s="1"/>
  <c r="I636" i="1" a="1"/>
  <c r="I636" i="1" s="1"/>
  <c r="I639" i="1" s="1"/>
  <c r="AD636" i="1" a="1"/>
  <c r="AD636" i="1" s="1"/>
  <c r="AD639" i="1" s="1"/>
  <c r="Z636" i="1" a="1"/>
  <c r="Z636" i="1" s="1"/>
  <c r="Z639" i="1" s="1"/>
  <c r="AA636" i="1" a="1"/>
  <c r="AA636" i="1" s="1"/>
  <c r="AA639" i="1" s="1"/>
  <c r="B648" i="1" l="1"/>
  <c r="D648" i="1" s="1"/>
  <c r="B649" i="1"/>
  <c r="E649" i="1" s="1"/>
  <c r="B645" i="1"/>
  <c r="D645" i="1" s="1"/>
  <c r="B643" i="1"/>
  <c r="E643" i="1" s="1"/>
  <c r="B650" i="1"/>
  <c r="D650" i="1" s="1"/>
  <c r="B646" i="1"/>
  <c r="E646" i="1" s="1"/>
  <c r="B644" i="1"/>
  <c r="E644" i="1" s="1"/>
  <c r="B647" i="1"/>
  <c r="D647" i="1" s="1"/>
  <c r="E645" i="1" l="1"/>
  <c r="F645" i="1" s="1" a="1"/>
  <c r="F645" i="1" s="1"/>
  <c r="G645" i="1" s="1"/>
  <c r="D649" i="1"/>
  <c r="F649" i="1" s="1" a="1"/>
  <c r="F649" i="1" s="1"/>
  <c r="G649" i="1" s="1"/>
  <c r="D643" i="1"/>
  <c r="F643" i="1" s="1" a="1"/>
  <c r="F643" i="1" s="1"/>
  <c r="G643" i="1" s="1"/>
  <c r="E648" i="1"/>
  <c r="F648" i="1" s="1" a="1"/>
  <c r="F648" i="1" s="1"/>
  <c r="G648" i="1" s="1"/>
  <c r="D644" i="1"/>
  <c r="F644" i="1" s="1" a="1"/>
  <c r="F644" i="1" s="1"/>
  <c r="G644" i="1" s="1"/>
  <c r="E650" i="1"/>
  <c r="F650" i="1" s="1" a="1"/>
  <c r="F650" i="1" s="1"/>
  <c r="G650" i="1" s="1"/>
  <c r="D646" i="1"/>
  <c r="F646" i="1" s="1" a="1"/>
  <c r="F646" i="1" s="1"/>
  <c r="G646" i="1" s="1"/>
  <c r="E647" i="1"/>
  <c r="F647" i="1" s="1" a="1"/>
  <c r="F647" i="1" s="1"/>
  <c r="G647" i="1" s="1"/>
  <c r="J644" i="1" l="1"/>
  <c r="Y644" i="1"/>
  <c r="O644" i="1"/>
  <c r="U644" i="1"/>
  <c r="AA644" i="1"/>
  <c r="Q644" i="1"/>
  <c r="AL644" i="1"/>
  <c r="M644" i="1"/>
  <c r="S644" i="1"/>
  <c r="Z644" i="1"/>
  <c r="AD644" i="1"/>
  <c r="AE644" i="1"/>
  <c r="K644" i="1"/>
  <c r="AN644" i="1"/>
  <c r="V644" i="1"/>
  <c r="AJ644" i="1"/>
  <c r="AH644" i="1"/>
  <c r="AF644" i="1"/>
  <c r="N644" i="1"/>
  <c r="AB644" i="1"/>
  <c r="R644" i="1"/>
  <c r="X644" i="1"/>
  <c r="W644" i="1"/>
  <c r="T644" i="1"/>
  <c r="AO644" i="1"/>
  <c r="P644" i="1"/>
  <c r="AK644" i="1"/>
  <c r="L644" i="1"/>
  <c r="AG644" i="1"/>
  <c r="AM644" i="1"/>
  <c r="AC644" i="1"/>
  <c r="AI644" i="1"/>
  <c r="AO649" i="1" l="1" a="1"/>
  <c r="AO649" i="1" s="1"/>
  <c r="AG656" i="1" s="1"/>
  <c r="U649" i="1" a="1"/>
  <c r="U649" i="1" s="1"/>
  <c r="M656" i="1" s="1"/>
  <c r="AM649" i="1" a="1"/>
  <c r="AM649" i="1" s="1"/>
  <c r="AE656" i="1" s="1"/>
  <c r="D666" i="1" s="1" a="1"/>
  <c r="D666" i="1" s="1"/>
  <c r="AT669" i="1" s="1" a="1"/>
  <c r="AT669" i="1" s="1"/>
  <c r="AT672" i="1" s="1"/>
  <c r="AE649" i="1" a="1"/>
  <c r="AE649" i="1" s="1"/>
  <c r="W656" i="1" s="1"/>
  <c r="D664" i="1" s="1" a="1"/>
  <c r="D664" i="1" s="1"/>
  <c r="AH669" i="1" s="1" a="1"/>
  <c r="AH669" i="1" s="1"/>
  <c r="AH672" i="1" s="1"/>
  <c r="AN649" i="1" a="1"/>
  <c r="AN649" i="1" s="1"/>
  <c r="AF656" i="1" s="1"/>
  <c r="E666" i="1" s="1" a="1"/>
  <c r="E666" i="1" s="1"/>
  <c r="AU669" i="1" s="1" a="1"/>
  <c r="AU669" i="1" s="1"/>
  <c r="AU672" i="1" s="1"/>
  <c r="AD649" i="1" a="1"/>
  <c r="AD649" i="1" s="1"/>
  <c r="V656" i="1" s="1"/>
  <c r="L649" i="1" a="1"/>
  <c r="L649" i="1" s="1"/>
  <c r="D656" i="1" s="1"/>
  <c r="E659" i="1" s="1" a="1"/>
  <c r="E659" i="1" s="1"/>
  <c r="E669" i="1" s="1" a="1"/>
  <c r="E669" i="1" s="1"/>
  <c r="E672" i="1" s="1"/>
  <c r="N649" i="1" a="1"/>
  <c r="N649" i="1" s="1"/>
  <c r="F656" i="1" s="1"/>
  <c r="AJ649" i="1" a="1"/>
  <c r="AJ649" i="1" s="1"/>
  <c r="AB656" i="1" s="1"/>
  <c r="E665" i="1" s="1" a="1"/>
  <c r="E665" i="1" s="1"/>
  <c r="AO669" i="1" s="1" a="1"/>
  <c r="AO669" i="1" s="1"/>
  <c r="AO672" i="1" s="1"/>
  <c r="S649" i="1" a="1"/>
  <c r="S649" i="1" s="1"/>
  <c r="K656" i="1" s="1"/>
  <c r="D661" i="1" s="1" a="1"/>
  <c r="D661" i="1" s="1"/>
  <c r="P669" i="1" s="1" a="1"/>
  <c r="P669" i="1" s="1"/>
  <c r="P672" i="1" s="1"/>
  <c r="X649" i="1" a="1"/>
  <c r="X649" i="1" s="1"/>
  <c r="P656" i="1" s="1"/>
  <c r="E662" i="1" s="1" a="1"/>
  <c r="E662" i="1" s="1"/>
  <c r="W669" i="1" s="1" a="1"/>
  <c r="W669" i="1" s="1"/>
  <c r="W672" i="1" s="1"/>
  <c r="AA649" i="1" a="1"/>
  <c r="AA649" i="1" s="1"/>
  <c r="S656" i="1" s="1"/>
  <c r="D663" i="1" s="1" a="1"/>
  <c r="D663" i="1" s="1"/>
  <c r="AB669" i="1" s="1" a="1"/>
  <c r="AB669" i="1" s="1"/>
  <c r="AB672" i="1" s="1"/>
  <c r="AG649" i="1" a="1"/>
  <c r="AG649" i="1" s="1"/>
  <c r="Y656" i="1" s="1"/>
  <c r="R649" i="1" a="1"/>
  <c r="R649" i="1" s="1"/>
  <c r="J656" i="1" s="1"/>
  <c r="AB649" i="1" a="1"/>
  <c r="AB649" i="1" s="1"/>
  <c r="T656" i="1" s="1"/>
  <c r="E663" i="1" s="1" a="1"/>
  <c r="E663" i="1" s="1"/>
  <c r="AC669" i="1" s="1" a="1"/>
  <c r="AC669" i="1" s="1"/>
  <c r="AC672" i="1" s="1"/>
  <c r="AF649" i="1" a="1"/>
  <c r="AF649" i="1" s="1"/>
  <c r="X656" i="1" s="1"/>
  <c r="E664" i="1" s="1" a="1"/>
  <c r="E664" i="1" s="1"/>
  <c r="AI669" i="1" s="1" a="1"/>
  <c r="AI669" i="1" s="1"/>
  <c r="AI672" i="1" s="1"/>
  <c r="AL649" i="1" a="1"/>
  <c r="AL649" i="1" s="1"/>
  <c r="AD656" i="1" s="1"/>
  <c r="O649" i="1" a="1"/>
  <c r="O649" i="1" s="1"/>
  <c r="G656" i="1" s="1"/>
  <c r="D660" i="1" s="1" a="1"/>
  <c r="D660" i="1" s="1"/>
  <c r="J669" i="1" s="1" a="1"/>
  <c r="J669" i="1" s="1"/>
  <c r="J672" i="1" s="1"/>
  <c r="Y649" i="1" a="1"/>
  <c r="Y649" i="1" s="1"/>
  <c r="Q656" i="1" s="1"/>
  <c r="AC649" i="1" a="1"/>
  <c r="AC649" i="1" s="1"/>
  <c r="U656" i="1" s="1"/>
  <c r="W649" i="1" a="1"/>
  <c r="W649" i="1" s="1"/>
  <c r="O656" i="1" s="1"/>
  <c r="D662" i="1" s="1" a="1"/>
  <c r="D662" i="1" s="1"/>
  <c r="V669" i="1" s="1" a="1"/>
  <c r="V669" i="1" s="1"/>
  <c r="V672" i="1" s="1"/>
  <c r="AH649" i="1" a="1"/>
  <c r="AH649" i="1" s="1"/>
  <c r="Z656" i="1" s="1"/>
  <c r="M649" i="1" a="1"/>
  <c r="M649" i="1" s="1"/>
  <c r="E656" i="1" s="1"/>
  <c r="AK649" i="1" a="1"/>
  <c r="AK649" i="1" s="1"/>
  <c r="AC656" i="1" s="1"/>
  <c r="AI649" i="1" a="1"/>
  <c r="AI649" i="1" s="1"/>
  <c r="AA656" i="1" s="1"/>
  <c r="D665" i="1" s="1" a="1"/>
  <c r="D665" i="1" s="1"/>
  <c r="AN669" i="1" s="1" a="1"/>
  <c r="AN669" i="1" s="1"/>
  <c r="AN672" i="1" s="1"/>
  <c r="Z649" i="1" a="1"/>
  <c r="Z649" i="1" s="1"/>
  <c r="R656" i="1" s="1"/>
  <c r="P649" i="1" a="1"/>
  <c r="P649" i="1" s="1"/>
  <c r="H656" i="1" s="1"/>
  <c r="E660" i="1" s="1" a="1"/>
  <c r="E660" i="1" s="1"/>
  <c r="K669" i="1" s="1" a="1"/>
  <c r="K669" i="1" s="1"/>
  <c r="K672" i="1" s="1"/>
  <c r="V649" i="1" a="1"/>
  <c r="V649" i="1" s="1"/>
  <c r="N656" i="1" s="1"/>
  <c r="K649" i="1" a="1"/>
  <c r="K649" i="1" s="1"/>
  <c r="C656" i="1" s="1"/>
  <c r="D659" i="1" s="1" a="1"/>
  <c r="D659" i="1" s="1"/>
  <c r="D669" i="1" s="1" a="1"/>
  <c r="D669" i="1" s="1"/>
  <c r="D672" i="1" s="1"/>
  <c r="T649" i="1" a="1"/>
  <c r="T649" i="1" s="1"/>
  <c r="L656" i="1" s="1"/>
  <c r="E661" i="1" s="1" a="1"/>
  <c r="E661" i="1" s="1"/>
  <c r="Q669" i="1" s="1" a="1"/>
  <c r="Q669" i="1" s="1"/>
  <c r="Q672" i="1" s="1"/>
  <c r="Q649" i="1" a="1"/>
  <c r="Q649" i="1" s="1"/>
  <c r="I656" i="1" s="1"/>
  <c r="J649" i="1" a="1"/>
  <c r="J649" i="1" s="1"/>
  <c r="B656" i="1" s="1"/>
  <c r="C659" i="1" l="1" a="1"/>
  <c r="C659" i="1" s="1"/>
  <c r="C669" i="1" s="1" a="1"/>
  <c r="C669" i="1" s="1"/>
  <c r="C672" i="1" s="1"/>
  <c r="G666" i="1" a="1"/>
  <c r="G666" i="1" s="1"/>
  <c r="AW669" i="1" s="1" a="1"/>
  <c r="AW669" i="1" s="1"/>
  <c r="AW672" i="1" s="1"/>
  <c r="B666" i="1" a="1"/>
  <c r="B666" i="1" s="1"/>
  <c r="AR669" i="1" s="1" a="1"/>
  <c r="AR669" i="1" s="1"/>
  <c r="AR672" i="1" s="1"/>
  <c r="F665" i="1" a="1"/>
  <c r="F665" i="1" s="1"/>
  <c r="AP669" i="1" s="1" a="1"/>
  <c r="AP669" i="1" s="1"/>
  <c r="AP672" i="1" s="1"/>
  <c r="B664" i="1" a="1"/>
  <c r="B664" i="1" s="1"/>
  <c r="AF669" i="1" s="1" a="1"/>
  <c r="AF669" i="1" s="1"/>
  <c r="AF672" i="1" s="1"/>
  <c r="F663" i="1" a="1"/>
  <c r="F663" i="1" s="1"/>
  <c r="AD669" i="1" s="1" a="1"/>
  <c r="AD669" i="1" s="1"/>
  <c r="AD672" i="1" s="1"/>
  <c r="G659" i="1" a="1"/>
  <c r="G659" i="1" s="1"/>
  <c r="G669" i="1" s="1" a="1"/>
  <c r="G669" i="1" s="1"/>
  <c r="G672" i="1" s="1"/>
  <c r="C660" i="1" a="1"/>
  <c r="C660" i="1" s="1"/>
  <c r="I669" i="1" s="1" a="1"/>
  <c r="I669" i="1" s="1"/>
  <c r="I672" i="1" s="1"/>
  <c r="F660" i="1" a="1"/>
  <c r="F660" i="1" s="1"/>
  <c r="L669" i="1" s="1" a="1"/>
  <c r="L669" i="1" s="1"/>
  <c r="L672" i="1" s="1"/>
  <c r="B661" i="1" a="1"/>
  <c r="B661" i="1" s="1"/>
  <c r="N669" i="1" s="1" a="1"/>
  <c r="N669" i="1" s="1"/>
  <c r="N672" i="1" s="1"/>
  <c r="F659" i="1" a="1"/>
  <c r="F659" i="1" s="1"/>
  <c r="F669" i="1" s="1" a="1"/>
  <c r="F669" i="1" s="1"/>
  <c r="F672" i="1" s="1"/>
  <c r="B660" i="1" a="1"/>
  <c r="B660" i="1" s="1"/>
  <c r="H669" i="1" s="1" a="1"/>
  <c r="H669" i="1" s="1"/>
  <c r="H672" i="1" s="1"/>
  <c r="F662" i="1" a="1"/>
  <c r="F662" i="1" s="1"/>
  <c r="X669" i="1" s="1" a="1"/>
  <c r="X669" i="1" s="1"/>
  <c r="X672" i="1" s="1"/>
  <c r="B663" i="1" a="1"/>
  <c r="B663" i="1" s="1"/>
  <c r="Z669" i="1" s="1" a="1"/>
  <c r="Z669" i="1" s="1"/>
  <c r="Z672" i="1" s="1"/>
  <c r="C662" i="1" a="1"/>
  <c r="C662" i="1" s="1"/>
  <c r="U669" i="1" s="1" a="1"/>
  <c r="U669" i="1" s="1"/>
  <c r="U672" i="1" s="1"/>
  <c r="G661" i="1" a="1"/>
  <c r="G661" i="1" s="1"/>
  <c r="S669" i="1" s="1" a="1"/>
  <c r="S669" i="1" s="1"/>
  <c r="S672" i="1" s="1"/>
  <c r="G662" i="1" a="1"/>
  <c r="G662" i="1" s="1"/>
  <c r="Y669" i="1" s="1" a="1"/>
  <c r="Y669" i="1" s="1"/>
  <c r="Y672" i="1" s="1"/>
  <c r="C663" i="1" a="1"/>
  <c r="C663" i="1" s="1"/>
  <c r="AA669" i="1" s="1" a="1"/>
  <c r="AA669" i="1" s="1"/>
  <c r="AA672" i="1" s="1"/>
  <c r="G660" i="1" a="1"/>
  <c r="G660" i="1" s="1"/>
  <c r="M669" i="1" s="1" a="1"/>
  <c r="M669" i="1" s="1"/>
  <c r="M672" i="1" s="1"/>
  <c r="C661" i="1" a="1"/>
  <c r="C661" i="1" s="1"/>
  <c r="O669" i="1" s="1" a="1"/>
  <c r="O669" i="1" s="1"/>
  <c r="O672" i="1" s="1"/>
  <c r="C664" i="1" a="1"/>
  <c r="C664" i="1" s="1"/>
  <c r="AG669" i="1" s="1" a="1"/>
  <c r="AG669" i="1" s="1"/>
  <c r="AG672" i="1" s="1"/>
  <c r="G663" i="1" a="1"/>
  <c r="G663" i="1" s="1"/>
  <c r="AE669" i="1" s="1" a="1"/>
  <c r="AE669" i="1" s="1"/>
  <c r="AE672" i="1" s="1"/>
  <c r="G664" i="1" a="1"/>
  <c r="G664" i="1" s="1"/>
  <c r="AK669" i="1" s="1" a="1"/>
  <c r="AK669" i="1" s="1"/>
  <c r="AK672" i="1" s="1"/>
  <c r="C665" i="1" a="1"/>
  <c r="C665" i="1" s="1"/>
  <c r="AM669" i="1" s="1" a="1"/>
  <c r="AM669" i="1" s="1"/>
  <c r="AM672" i="1" s="1"/>
  <c r="B662" i="1" a="1"/>
  <c r="B662" i="1" s="1"/>
  <c r="T669" i="1" s="1" a="1"/>
  <c r="T669" i="1" s="1"/>
  <c r="T672" i="1" s="1"/>
  <c r="F661" i="1" a="1"/>
  <c r="F661" i="1" s="1"/>
  <c r="R669" i="1" s="1" a="1"/>
  <c r="R669" i="1" s="1"/>
  <c r="R672" i="1" s="1"/>
  <c r="C666" i="1" a="1"/>
  <c r="C666" i="1" s="1"/>
  <c r="AS669" i="1" s="1" a="1"/>
  <c r="AS669" i="1" s="1"/>
  <c r="AS672" i="1" s="1"/>
  <c r="G665" i="1" a="1"/>
  <c r="G665" i="1" s="1"/>
  <c r="AQ669" i="1" s="1" a="1"/>
  <c r="AQ669" i="1" s="1"/>
  <c r="AQ672" i="1" s="1"/>
  <c r="F664" i="1" a="1"/>
  <c r="F664" i="1" s="1"/>
  <c r="AJ669" i="1" s="1" a="1"/>
  <c r="AJ669" i="1" s="1"/>
  <c r="AJ672" i="1" s="1"/>
  <c r="B665" i="1" a="1"/>
  <c r="B665" i="1" s="1"/>
  <c r="AL669" i="1" s="1" a="1"/>
  <c r="AL669" i="1" s="1"/>
  <c r="AL672" i="1" s="1"/>
  <c r="B659" i="1" a="1"/>
  <c r="B659" i="1" s="1"/>
  <c r="B669" i="1" s="1" a="1"/>
  <c r="B669" i="1" s="1"/>
  <c r="B672" i="1" s="1"/>
  <c r="F666" i="1" a="1"/>
  <c r="F666" i="1" s="1"/>
  <c r="AV669" i="1" s="1" a="1"/>
  <c r="AV669" i="1" s="1"/>
  <c r="AV672" i="1" s="1"/>
  <c r="B677" i="1" l="1"/>
  <c r="D677" i="1" s="1"/>
  <c r="B678" i="1"/>
  <c r="B681" i="1"/>
  <c r="B679" i="1"/>
  <c r="B676" i="1"/>
  <c r="D676" i="1" s="1"/>
  <c r="B682" i="1"/>
  <c r="B680" i="1"/>
  <c r="B683" i="1"/>
  <c r="E677" i="1" l="1"/>
  <c r="F677" i="1" s="1" a="1"/>
  <c r="F677" i="1" s="1"/>
  <c r="G677" i="1" s="1"/>
  <c r="E676" i="1"/>
  <c r="F676" i="1" s="1" a="1"/>
  <c r="F676" i="1" s="1"/>
  <c r="G676" i="1" s="1"/>
  <c r="D681" i="1"/>
  <c r="E681" i="1"/>
  <c r="D683" i="1"/>
  <c r="E683" i="1"/>
  <c r="E678" i="1"/>
  <c r="D678" i="1"/>
  <c r="E680" i="1"/>
  <c r="D680" i="1"/>
  <c r="E682" i="1"/>
  <c r="D682" i="1"/>
  <c r="D679" i="1"/>
  <c r="E679" i="1"/>
  <c r="F679" i="1" l="1" a="1"/>
  <c r="F679" i="1" s="1"/>
  <c r="G679" i="1" s="1"/>
  <c r="F683" i="1" a="1"/>
  <c r="F683" i="1" s="1"/>
  <c r="G683" i="1" s="1"/>
  <c r="F680" i="1" a="1"/>
  <c r="F680" i="1" s="1"/>
  <c r="G680" i="1" s="1"/>
  <c r="F682" i="1" a="1"/>
  <c r="F682" i="1" s="1"/>
  <c r="G682" i="1" s="1"/>
  <c r="F681" i="1" a="1"/>
  <c r="F681" i="1" s="1"/>
  <c r="G681" i="1" s="1"/>
  <c r="F678" i="1" a="1"/>
  <c r="F678" i="1" s="1"/>
  <c r="G678" i="1" s="1"/>
  <c r="J677" i="1" l="1"/>
  <c r="R682" i="1" s="1" a="1"/>
  <c r="R682" i="1" s="1"/>
  <c r="J689" i="1" s="1"/>
  <c r="AN677" i="1"/>
  <c r="X682" i="1" s="1" a="1"/>
  <c r="X682" i="1" s="1"/>
  <c r="P689" i="1" s="1"/>
  <c r="E695" i="1" s="1" a="1"/>
  <c r="E695" i="1" s="1"/>
  <c r="AD677" i="1"/>
  <c r="M682" i="1" s="1" a="1"/>
  <c r="M682" i="1" s="1"/>
  <c r="E689" i="1" s="1"/>
  <c r="AB677" i="1"/>
  <c r="AH682" i="1" s="1" a="1"/>
  <c r="AH682" i="1" s="1"/>
  <c r="Z689" i="1" s="1"/>
  <c r="AL677" i="1"/>
  <c r="N682" i="1" s="1" a="1"/>
  <c r="N682" i="1" s="1"/>
  <c r="F689" i="1" s="1"/>
  <c r="Z677" i="1"/>
  <c r="Q682" i="1" s="1" a="1"/>
  <c r="Q682" i="1" s="1"/>
  <c r="I689" i="1" s="1"/>
  <c r="P677" i="1"/>
  <c r="K682" i="1" s="1" a="1"/>
  <c r="K682" i="1" s="1"/>
  <c r="C689" i="1" s="1"/>
  <c r="D692" i="1" s="1" a="1"/>
  <c r="D692" i="1" s="1"/>
  <c r="L677" i="1"/>
  <c r="AF682" i="1" s="1" a="1"/>
  <c r="AF682" i="1" s="1"/>
  <c r="X689" i="1" s="1"/>
  <c r="AF677" i="1"/>
  <c r="T682" i="1" s="1" a="1"/>
  <c r="T682" i="1" s="1"/>
  <c r="L689" i="1" s="1"/>
  <c r="E694" i="1" s="1" a="1"/>
  <c r="E694" i="1" s="1"/>
  <c r="AM677" i="1"/>
  <c r="AJ682" i="1" s="1" a="1"/>
  <c r="AJ682" i="1" s="1"/>
  <c r="AB689" i="1" s="1"/>
  <c r="E698" i="1" s="1" a="1"/>
  <c r="E698" i="1" s="1"/>
  <c r="AJ677" i="1"/>
  <c r="AE682" i="1" s="1" a="1"/>
  <c r="AE682" i="1" s="1"/>
  <c r="W689" i="1" s="1"/>
  <c r="X677" i="1"/>
  <c r="S682" i="1" s="1" a="1"/>
  <c r="S682" i="1" s="1"/>
  <c r="K689" i="1" s="1"/>
  <c r="D694" i="1" s="1" a="1"/>
  <c r="D694" i="1" s="1"/>
  <c r="T677" i="1"/>
  <c r="AM682" i="1" s="1" a="1"/>
  <c r="AM682" i="1" s="1"/>
  <c r="AE689" i="1" s="1"/>
  <c r="D699" i="1" s="1" a="1"/>
  <c r="D699" i="1" s="1"/>
  <c r="N677" i="1"/>
  <c r="V682" i="1" s="1" a="1"/>
  <c r="V682" i="1" s="1"/>
  <c r="N689" i="1" s="1"/>
  <c r="AK677" i="1"/>
  <c r="P682" i="1" s="1" a="1"/>
  <c r="P682" i="1" s="1"/>
  <c r="H689" i="1" s="1"/>
  <c r="E693" i="1" s="1" a="1"/>
  <c r="E693" i="1" s="1"/>
  <c r="AG677" i="1"/>
  <c r="AB682" i="1" s="1" a="1"/>
  <c r="AB682" i="1" s="1"/>
  <c r="T689" i="1" s="1"/>
  <c r="AC677" i="1"/>
  <c r="L682" i="1" s="1" a="1"/>
  <c r="L682" i="1" s="1"/>
  <c r="D689" i="1" s="1"/>
  <c r="E692" i="1" s="1" a="1"/>
  <c r="E692" i="1" s="1"/>
  <c r="Y677" i="1"/>
  <c r="J682" i="1" s="1" a="1"/>
  <c r="J682" i="1" s="1"/>
  <c r="B689" i="1" s="1"/>
  <c r="S677" i="1"/>
  <c r="Y682" i="1" s="1" a="1"/>
  <c r="Y682" i="1" s="1"/>
  <c r="Q689" i="1" s="1"/>
  <c r="AH677" i="1"/>
  <c r="AO682" i="1" s="1" a="1"/>
  <c r="AO682" i="1" s="1"/>
  <c r="AG689" i="1" s="1"/>
  <c r="V677" i="1"/>
  <c r="AI682" i="1" s="1" a="1"/>
  <c r="AI682" i="1" s="1"/>
  <c r="AA689" i="1" s="1"/>
  <c r="D698" i="1" s="1" a="1"/>
  <c r="D698" i="1" s="1"/>
  <c r="R677" i="1"/>
  <c r="AG682" i="1" s="1" a="1"/>
  <c r="AG682" i="1" s="1"/>
  <c r="Y689" i="1" s="1"/>
  <c r="AO677" i="1"/>
  <c r="AD682" i="1" s="1" a="1"/>
  <c r="AD682" i="1" s="1"/>
  <c r="V689" i="1" s="1"/>
  <c r="AI677" i="1"/>
  <c r="U682" i="1" s="1" a="1"/>
  <c r="U682" i="1" s="1"/>
  <c r="M689" i="1" s="1"/>
  <c r="AE677" i="1"/>
  <c r="AL682" i="1" s="1" a="1"/>
  <c r="AL682" i="1" s="1"/>
  <c r="AD689" i="1" s="1"/>
  <c r="AA677" i="1"/>
  <c r="W682" i="1" s="1" a="1"/>
  <c r="W682" i="1" s="1"/>
  <c r="O689" i="1" s="1"/>
  <c r="D695" i="1" s="1" a="1"/>
  <c r="D695" i="1" s="1"/>
  <c r="W677" i="1"/>
  <c r="AC682" i="1" s="1" a="1"/>
  <c r="AC682" i="1" s="1"/>
  <c r="U689" i="1" s="1"/>
  <c r="U677" i="1"/>
  <c r="O682" i="1" s="1" a="1"/>
  <c r="O682" i="1" s="1"/>
  <c r="G689" i="1" s="1"/>
  <c r="D693" i="1" s="1" a="1"/>
  <c r="D693" i="1" s="1"/>
  <c r="Q677" i="1"/>
  <c r="AA682" i="1" s="1" a="1"/>
  <c r="AA682" i="1" s="1"/>
  <c r="S689" i="1" s="1"/>
  <c r="D696" i="1" s="1" a="1"/>
  <c r="D696" i="1" s="1"/>
  <c r="O677" i="1"/>
  <c r="AK682" i="1" s="1" a="1"/>
  <c r="AK682" i="1" s="1"/>
  <c r="AC689" i="1" s="1"/>
  <c r="M677" i="1"/>
  <c r="AN682" i="1" s="1" a="1"/>
  <c r="AN682" i="1" s="1"/>
  <c r="AF689" i="1" s="1"/>
  <c r="E699" i="1" s="1" a="1"/>
  <c r="E699" i="1" s="1"/>
  <c r="K677" i="1"/>
  <c r="Z682" i="1" s="1" a="1"/>
  <c r="Z682" i="1" s="1"/>
  <c r="R689" i="1" s="1"/>
  <c r="V702" i="1" l="1" a="1"/>
  <c r="V702" i="1" s="1"/>
  <c r="V705" i="1" s="1"/>
  <c r="AO702" i="1" a="1"/>
  <c r="AO702" i="1" s="1"/>
  <c r="AO705" i="1" s="1"/>
  <c r="Q702" i="1" a="1"/>
  <c r="Q702" i="1" s="1"/>
  <c r="Q705" i="1" s="1"/>
  <c r="E697" i="1" a="1"/>
  <c r="E697" i="1" s="1"/>
  <c r="AU702" i="1" a="1"/>
  <c r="AU702" i="1" s="1"/>
  <c r="AU705" i="1" s="1"/>
  <c r="K702" i="1" a="1"/>
  <c r="K702" i="1" s="1"/>
  <c r="K705" i="1" s="1"/>
  <c r="D702" i="1" a="1"/>
  <c r="D702" i="1" s="1"/>
  <c r="D705" i="1" s="1"/>
  <c r="E702" i="1" a="1"/>
  <c r="E702" i="1" s="1"/>
  <c r="E705" i="1" s="1"/>
  <c r="E696" i="1" a="1"/>
  <c r="E696" i="1" s="1"/>
  <c r="AB702" i="1" a="1"/>
  <c r="AB702" i="1" s="1"/>
  <c r="AB705" i="1" s="1"/>
  <c r="AN702" i="1" a="1"/>
  <c r="AN702" i="1" s="1"/>
  <c r="AN705" i="1" s="1"/>
  <c r="AT702" i="1" a="1"/>
  <c r="AT702" i="1" s="1"/>
  <c r="AT705" i="1" s="1"/>
  <c r="J702" i="1" a="1"/>
  <c r="J702" i="1" s="1"/>
  <c r="J705" i="1" s="1"/>
  <c r="P702" i="1" a="1"/>
  <c r="P702" i="1" s="1"/>
  <c r="P705" i="1" s="1"/>
  <c r="D697" i="1" a="1"/>
  <c r="D697" i="1" s="1"/>
  <c r="W702" i="1" a="1"/>
  <c r="W702" i="1" s="1"/>
  <c r="W705" i="1" s="1"/>
  <c r="G695" i="1" a="1"/>
  <c r="G695" i="1" s="1"/>
  <c r="C696" i="1" a="1"/>
  <c r="C696" i="1" s="1"/>
  <c r="C697" i="1" a="1"/>
  <c r="C697" i="1" s="1"/>
  <c r="G696" i="1" a="1"/>
  <c r="G696" i="1" s="1"/>
  <c r="C699" i="1" a="1"/>
  <c r="C699" i="1" s="1"/>
  <c r="G698" i="1" a="1"/>
  <c r="G698" i="1" s="1"/>
  <c r="G693" i="1" a="1"/>
  <c r="G693" i="1" s="1"/>
  <c r="C694" i="1" a="1"/>
  <c r="C694" i="1" s="1"/>
  <c r="B695" i="1" a="1"/>
  <c r="B695" i="1" s="1"/>
  <c r="F694" i="1" a="1"/>
  <c r="F694" i="1" s="1"/>
  <c r="B699" i="1" a="1"/>
  <c r="B699" i="1" s="1"/>
  <c r="F698" i="1" a="1"/>
  <c r="F698" i="1" s="1"/>
  <c r="F697" i="1" a="1"/>
  <c r="F697" i="1" s="1"/>
  <c r="B698" i="1" a="1"/>
  <c r="B698" i="1" s="1"/>
  <c r="C695" i="1" a="1"/>
  <c r="C695" i="1" s="1"/>
  <c r="G694" i="1" a="1"/>
  <c r="G694" i="1" s="1"/>
  <c r="F693" i="1" a="1"/>
  <c r="F693" i="1" s="1"/>
  <c r="B694" i="1" a="1"/>
  <c r="B694" i="1" s="1"/>
  <c r="G692" i="1" a="1"/>
  <c r="G692" i="1" s="1"/>
  <c r="C693" i="1" a="1"/>
  <c r="C693" i="1" s="1"/>
  <c r="G697" i="1" a="1"/>
  <c r="G697" i="1" s="1"/>
  <c r="C698" i="1" a="1"/>
  <c r="C698" i="1" s="1"/>
  <c r="B697" i="1" a="1"/>
  <c r="B697" i="1" s="1"/>
  <c r="F696" i="1" a="1"/>
  <c r="F696" i="1" s="1"/>
  <c r="F695" i="1" a="1"/>
  <c r="F695" i="1" s="1"/>
  <c r="B696" i="1" a="1"/>
  <c r="B696" i="1" s="1"/>
  <c r="F692" i="1" a="1"/>
  <c r="F692" i="1" s="1"/>
  <c r="B693" i="1" a="1"/>
  <c r="B693" i="1" s="1"/>
  <c r="B692" i="1" a="1"/>
  <c r="B692" i="1" s="1"/>
  <c r="F699" i="1" a="1"/>
  <c r="F699" i="1" s="1"/>
  <c r="C692" i="1" a="1"/>
  <c r="C692" i="1" s="1"/>
  <c r="G699" i="1" a="1"/>
  <c r="G699" i="1" s="1"/>
  <c r="Z702" i="1" l="1" a="1"/>
  <c r="Z702" i="1" s="1"/>
  <c r="Z705" i="1" s="1"/>
  <c r="AA702" i="1" a="1"/>
  <c r="AA702" i="1" s="1"/>
  <c r="AA705" i="1" s="1"/>
  <c r="AI702" i="1" a="1"/>
  <c r="AI702" i="1" s="1"/>
  <c r="AI705" i="1" s="1"/>
  <c r="AC702" i="1" a="1"/>
  <c r="AC702" i="1" s="1"/>
  <c r="AC705" i="1" s="1"/>
  <c r="N702" i="1" a="1"/>
  <c r="N702" i="1" s="1"/>
  <c r="N705" i="1" s="1"/>
  <c r="R702" i="1" a="1"/>
  <c r="R702" i="1" s="1"/>
  <c r="R705" i="1" s="1"/>
  <c r="X702" i="1" a="1"/>
  <c r="X702" i="1" s="1"/>
  <c r="X705" i="1" s="1"/>
  <c r="L702" i="1" a="1"/>
  <c r="L702" i="1" s="1"/>
  <c r="L705" i="1" s="1"/>
  <c r="T702" i="1" a="1"/>
  <c r="T702" i="1" s="1"/>
  <c r="T705" i="1" s="1"/>
  <c r="Y702" i="1" a="1"/>
  <c r="Y702" i="1" s="1"/>
  <c r="Y705" i="1" s="1"/>
  <c r="AW702" i="1" a="1"/>
  <c r="AW702" i="1" s="1"/>
  <c r="AW705" i="1" s="1"/>
  <c r="AD702" i="1" a="1"/>
  <c r="AD702" i="1" s="1"/>
  <c r="AD705" i="1" s="1"/>
  <c r="S702" i="1" a="1"/>
  <c r="S702" i="1" s="1"/>
  <c r="S705" i="1" s="1"/>
  <c r="O702" i="1" a="1"/>
  <c r="O702" i="1" s="1"/>
  <c r="O705" i="1" s="1"/>
  <c r="G702" i="1" a="1"/>
  <c r="G702" i="1" s="1"/>
  <c r="G705" i="1" s="1"/>
  <c r="U702" i="1" a="1"/>
  <c r="U702" i="1" s="1"/>
  <c r="U705" i="1" s="1"/>
  <c r="M702" i="1" a="1"/>
  <c r="M702" i="1" s="1"/>
  <c r="M705" i="1" s="1"/>
  <c r="AR702" i="1" a="1"/>
  <c r="AR702" i="1" s="1"/>
  <c r="AR705" i="1" s="1"/>
  <c r="C702" i="1" a="1"/>
  <c r="C702" i="1" s="1"/>
  <c r="C705" i="1" s="1"/>
  <c r="AM702" i="1" a="1"/>
  <c r="AM702" i="1" s="1"/>
  <c r="AM705" i="1" s="1"/>
  <c r="B702" i="1" a="1"/>
  <c r="B702" i="1" s="1"/>
  <c r="B705" i="1" s="1"/>
  <c r="AK702" i="1" a="1"/>
  <c r="AK702" i="1" s="1"/>
  <c r="AK705" i="1" s="1"/>
  <c r="AJ702" i="1" a="1"/>
  <c r="AJ702" i="1" s="1"/>
  <c r="AJ705" i="1" s="1"/>
  <c r="AS702" i="1" a="1"/>
  <c r="AS702" i="1" s="1"/>
  <c r="AS705" i="1" s="1"/>
  <c r="F702" i="1" a="1"/>
  <c r="F702" i="1" s="1"/>
  <c r="F705" i="1" s="1"/>
  <c r="AG702" i="1" a="1"/>
  <c r="AG702" i="1" s="1"/>
  <c r="AG705" i="1" s="1"/>
  <c r="AF702" i="1" a="1"/>
  <c r="AF702" i="1" s="1"/>
  <c r="AF705" i="1" s="1"/>
  <c r="AV702" i="1" a="1"/>
  <c r="AV702" i="1" s="1"/>
  <c r="AV705" i="1" s="1"/>
  <c r="AL702" i="1" a="1"/>
  <c r="AL702" i="1" s="1"/>
  <c r="AL705" i="1" s="1"/>
  <c r="AQ702" i="1" a="1"/>
  <c r="AQ702" i="1" s="1"/>
  <c r="AQ705" i="1" s="1"/>
  <c r="H702" i="1" a="1"/>
  <c r="H702" i="1" s="1"/>
  <c r="H705" i="1" s="1"/>
  <c r="I702" i="1" a="1"/>
  <c r="I702" i="1" s="1"/>
  <c r="I705" i="1" s="1"/>
  <c r="AP702" i="1" a="1"/>
  <c r="AP702" i="1" s="1"/>
  <c r="AP705" i="1" s="1"/>
  <c r="AE702" i="1" a="1"/>
  <c r="AE702" i="1" s="1"/>
  <c r="AE705" i="1" s="1"/>
  <c r="AH702" i="1" a="1"/>
  <c r="AH702" i="1" s="1"/>
  <c r="AH705" i="1" s="1"/>
  <c r="B711" i="1" l="1"/>
  <c r="E711" i="1" s="1"/>
  <c r="B715" i="1"/>
  <c r="D715" i="1" s="1"/>
  <c r="B709" i="1"/>
  <c r="E709" i="1" s="1"/>
  <c r="B714" i="1"/>
  <c r="E714" i="1" s="1"/>
  <c r="B710" i="1"/>
  <c r="D710" i="1" s="1"/>
  <c r="B712" i="1"/>
  <c r="D712" i="1" s="1"/>
  <c r="B716" i="1"/>
  <c r="D716" i="1" s="1"/>
  <c r="B713" i="1"/>
  <c r="D713" i="1" s="1"/>
  <c r="D711" i="1" l="1"/>
  <c r="F711" i="1" s="1" a="1"/>
  <c r="F711" i="1" s="1"/>
  <c r="G711" i="1" s="1"/>
  <c r="E715" i="1"/>
  <c r="F715" i="1" s="1" a="1"/>
  <c r="F715" i="1" s="1"/>
  <c r="G715" i="1" s="1"/>
  <c r="D709" i="1"/>
  <c r="F709" i="1" s="1" a="1"/>
  <c r="F709" i="1" s="1"/>
  <c r="G709" i="1" s="1"/>
  <c r="D714" i="1"/>
  <c r="F714" i="1" s="1" a="1"/>
  <c r="F714" i="1" s="1"/>
  <c r="G714" i="1" s="1"/>
  <c r="E710" i="1"/>
  <c r="F710" i="1" s="1" a="1"/>
  <c r="F710" i="1" s="1"/>
  <c r="G710" i="1" s="1"/>
  <c r="E712" i="1"/>
  <c r="F712" i="1" s="1" a="1"/>
  <c r="F712" i="1" s="1"/>
  <c r="G712" i="1" s="1"/>
  <c r="E716" i="1"/>
  <c r="F716" i="1" s="1" a="1"/>
  <c r="F716" i="1" s="1"/>
  <c r="G716" i="1" s="1"/>
  <c r="E713" i="1"/>
  <c r="F713" i="1" s="1" a="1"/>
  <c r="F713" i="1" s="1"/>
  <c r="G713" i="1" s="1"/>
  <c r="S710" i="1" l="1"/>
  <c r="AH710" i="1"/>
  <c r="AF710" i="1"/>
  <c r="AD710" i="1"/>
  <c r="AB710" i="1"/>
  <c r="Q710" i="1"/>
  <c r="L710" i="1"/>
  <c r="M710" i="1"/>
  <c r="AL710" i="1"/>
  <c r="X710" i="1"/>
  <c r="R710" i="1"/>
  <c r="AO710" i="1"/>
  <c r="AK710" i="1"/>
  <c r="AI710" i="1"/>
  <c r="J710" i="1"/>
  <c r="K710" i="1"/>
  <c r="AJ710" i="1"/>
  <c r="V710" i="1"/>
  <c r="P710" i="1"/>
  <c r="AM710" i="1"/>
  <c r="AE710" i="1"/>
  <c r="AC710" i="1"/>
  <c r="AA710" i="1"/>
  <c r="O710" i="1"/>
  <c r="AN710" i="1"/>
  <c r="Z710" i="1"/>
  <c r="T710" i="1"/>
  <c r="N710" i="1"/>
  <c r="AG710" i="1"/>
  <c r="Y710" i="1"/>
  <c r="W710" i="1"/>
  <c r="U710" i="1"/>
  <c r="X715" i="1" l="1" a="1"/>
  <c r="X715" i="1" s="1"/>
  <c r="P722" i="1" s="1"/>
  <c r="E728" i="1" s="1" a="1"/>
  <c r="E728" i="1" s="1"/>
  <c r="Y715" i="1" a="1"/>
  <c r="Y715" i="1" s="1"/>
  <c r="Q722" i="1" s="1"/>
  <c r="O715" i="1" a="1"/>
  <c r="O715" i="1" s="1"/>
  <c r="G722" i="1" s="1"/>
  <c r="D726" i="1" s="1" a="1"/>
  <c r="D726" i="1" s="1"/>
  <c r="Z715" i="1" a="1"/>
  <c r="Z715" i="1" s="1"/>
  <c r="R722" i="1" s="1"/>
  <c r="AN715" i="1" a="1"/>
  <c r="AN715" i="1" s="1"/>
  <c r="AF722" i="1" s="1"/>
  <c r="E732" i="1" s="1" a="1"/>
  <c r="E732" i="1" s="1"/>
  <c r="AC715" i="1" a="1"/>
  <c r="AC715" i="1" s="1"/>
  <c r="U722" i="1" s="1"/>
  <c r="L715" i="1" a="1"/>
  <c r="L715" i="1" s="1"/>
  <c r="D722" i="1" s="1"/>
  <c r="E725" i="1" s="1" a="1"/>
  <c r="E725" i="1" s="1"/>
  <c r="AL715" i="1" a="1"/>
  <c r="AL715" i="1" s="1"/>
  <c r="AD722" i="1" s="1"/>
  <c r="W715" i="1" a="1"/>
  <c r="W715" i="1" s="1"/>
  <c r="O722" i="1" s="1"/>
  <c r="D728" i="1" s="1" a="1"/>
  <c r="D728" i="1" s="1"/>
  <c r="AH715" i="1" a="1"/>
  <c r="AH715" i="1" s="1"/>
  <c r="Z722" i="1" s="1"/>
  <c r="AE715" i="1" a="1"/>
  <c r="AE715" i="1" s="1"/>
  <c r="W722" i="1" s="1"/>
  <c r="AK715" i="1" a="1"/>
  <c r="AK715" i="1" s="1"/>
  <c r="AC722" i="1" s="1"/>
  <c r="R715" i="1" a="1"/>
  <c r="R715" i="1" s="1"/>
  <c r="J722" i="1" s="1"/>
  <c r="AF715" i="1" a="1"/>
  <c r="AF715" i="1" s="1"/>
  <c r="X722" i="1" s="1"/>
  <c r="J715" i="1" a="1"/>
  <c r="J715" i="1" s="1"/>
  <c r="B722" i="1" s="1"/>
  <c r="U715" i="1" a="1"/>
  <c r="U715" i="1" s="1"/>
  <c r="M722" i="1" s="1"/>
  <c r="AA715" i="1" a="1"/>
  <c r="AA715" i="1" s="1"/>
  <c r="S722" i="1" s="1"/>
  <c r="D729" i="1" s="1" a="1"/>
  <c r="D729" i="1" s="1"/>
  <c r="AB715" i="1" a="1"/>
  <c r="AB715" i="1" s="1"/>
  <c r="T722" i="1" s="1"/>
  <c r="P715" i="1" a="1"/>
  <c r="P715" i="1" s="1"/>
  <c r="H722" i="1" s="1"/>
  <c r="E726" i="1" s="1" a="1"/>
  <c r="E726" i="1" s="1"/>
  <c r="V715" i="1" a="1"/>
  <c r="V715" i="1" s="1"/>
  <c r="N722" i="1" s="1"/>
  <c r="AJ715" i="1" a="1"/>
  <c r="AJ715" i="1" s="1"/>
  <c r="AB722" i="1" s="1"/>
  <c r="E731" i="1" s="1" a="1"/>
  <c r="E731" i="1" s="1"/>
  <c r="AD715" i="1" a="1"/>
  <c r="AD715" i="1" s="1"/>
  <c r="V722" i="1" s="1"/>
  <c r="M715" i="1" a="1"/>
  <c r="M715" i="1" s="1"/>
  <c r="E722" i="1" s="1"/>
  <c r="AM715" i="1" a="1"/>
  <c r="AM715" i="1" s="1"/>
  <c r="AE722" i="1" s="1"/>
  <c r="D732" i="1" s="1" a="1"/>
  <c r="D732" i="1" s="1"/>
  <c r="K715" i="1" a="1"/>
  <c r="K715" i="1" s="1"/>
  <c r="C722" i="1" s="1"/>
  <c r="D725" i="1" s="1" a="1"/>
  <c r="D725" i="1" s="1"/>
  <c r="AG715" i="1" a="1"/>
  <c r="AG715" i="1" s="1"/>
  <c r="Y722" i="1" s="1"/>
  <c r="T715" i="1" a="1"/>
  <c r="T715" i="1" s="1"/>
  <c r="L722" i="1" s="1"/>
  <c r="E727" i="1" s="1" a="1"/>
  <c r="E727" i="1" s="1"/>
  <c r="N715" i="1" a="1"/>
  <c r="N715" i="1" s="1"/>
  <c r="F722" i="1" s="1"/>
  <c r="Q715" i="1" a="1"/>
  <c r="Q715" i="1" s="1"/>
  <c r="I722" i="1" s="1"/>
  <c r="AI715" i="1" a="1"/>
  <c r="AI715" i="1" s="1"/>
  <c r="AA722" i="1" s="1"/>
  <c r="D731" i="1" s="1" a="1"/>
  <c r="D731" i="1" s="1"/>
  <c r="S715" i="1" a="1"/>
  <c r="S715" i="1" s="1"/>
  <c r="K722" i="1" s="1"/>
  <c r="D727" i="1" s="1" a="1"/>
  <c r="D727" i="1" s="1"/>
  <c r="AO715" i="1" a="1"/>
  <c r="AO715" i="1" s="1"/>
  <c r="AG722" i="1" s="1"/>
  <c r="AT735" i="1" l="1" a="1"/>
  <c r="AT735" i="1" s="1"/>
  <c r="AT738" i="1" s="1"/>
  <c r="P735" i="1" a="1"/>
  <c r="P735" i="1" s="1"/>
  <c r="P738" i="1" s="1"/>
  <c r="E735" i="1" a="1"/>
  <c r="E735" i="1" s="1"/>
  <c r="E738" i="1" s="1"/>
  <c r="E730" i="1" a="1"/>
  <c r="E730" i="1" s="1"/>
  <c r="AU735" i="1" a="1"/>
  <c r="AU735" i="1" s="1"/>
  <c r="AU738" i="1" s="1"/>
  <c r="AN735" i="1" a="1"/>
  <c r="AN735" i="1" s="1"/>
  <c r="AN738" i="1" s="1"/>
  <c r="AO735" i="1" a="1"/>
  <c r="AO735" i="1" s="1"/>
  <c r="AO738" i="1" s="1"/>
  <c r="Q735" i="1" a="1"/>
  <c r="Q735" i="1" s="1"/>
  <c r="Q738" i="1" s="1"/>
  <c r="D730" i="1" a="1"/>
  <c r="D730" i="1" s="1"/>
  <c r="J735" i="1" a="1"/>
  <c r="J735" i="1" s="1"/>
  <c r="J738" i="1" s="1"/>
  <c r="K735" i="1" a="1"/>
  <c r="K735" i="1" s="1"/>
  <c r="K738" i="1" s="1"/>
  <c r="E729" i="1" a="1"/>
  <c r="E729" i="1" s="1"/>
  <c r="D735" i="1" a="1"/>
  <c r="D735" i="1" s="1"/>
  <c r="D738" i="1" s="1"/>
  <c r="AB735" i="1" a="1"/>
  <c r="AB735" i="1" s="1"/>
  <c r="AB738" i="1" s="1"/>
  <c r="V735" i="1" a="1"/>
  <c r="V735" i="1" s="1"/>
  <c r="V738" i="1" s="1"/>
  <c r="W735" i="1" a="1"/>
  <c r="W735" i="1" s="1"/>
  <c r="W738" i="1" s="1"/>
  <c r="F726" i="1" a="1"/>
  <c r="F726" i="1" s="1"/>
  <c r="B727" i="1" a="1"/>
  <c r="B727" i="1" s="1"/>
  <c r="B725" i="1" a="1"/>
  <c r="B725" i="1" s="1"/>
  <c r="F732" i="1" a="1"/>
  <c r="F732" i="1" s="1"/>
  <c r="G725" i="1" a="1"/>
  <c r="G725" i="1" s="1"/>
  <c r="C726" i="1" a="1"/>
  <c r="C726" i="1" s="1"/>
  <c r="C728" i="1" a="1"/>
  <c r="C728" i="1" s="1"/>
  <c r="G727" i="1" a="1"/>
  <c r="G727" i="1" s="1"/>
  <c r="B728" i="1" a="1"/>
  <c r="B728" i="1" s="1"/>
  <c r="F727" i="1" a="1"/>
  <c r="F727" i="1" s="1"/>
  <c r="B732" i="1" a="1"/>
  <c r="B732" i="1" s="1"/>
  <c r="F731" i="1" a="1"/>
  <c r="F731" i="1" s="1"/>
  <c r="C732" i="1" a="1"/>
  <c r="C732" i="1" s="1"/>
  <c r="G731" i="1" a="1"/>
  <c r="G731" i="1" s="1"/>
  <c r="G728" i="1" a="1"/>
  <c r="G728" i="1" s="1"/>
  <c r="C729" i="1" a="1"/>
  <c r="C729" i="1" s="1"/>
  <c r="G726" i="1" a="1"/>
  <c r="G726" i="1" s="1"/>
  <c r="C727" i="1" a="1"/>
  <c r="C727" i="1" s="1"/>
  <c r="F725" i="1" a="1"/>
  <c r="F725" i="1" s="1"/>
  <c r="B726" i="1" a="1"/>
  <c r="B726" i="1" s="1"/>
  <c r="C725" i="1" a="1"/>
  <c r="C725" i="1" s="1"/>
  <c r="G732" i="1" a="1"/>
  <c r="G732" i="1" s="1"/>
  <c r="F730" i="1" a="1"/>
  <c r="F730" i="1" s="1"/>
  <c r="B731" i="1" a="1"/>
  <c r="B731" i="1" s="1"/>
  <c r="C730" i="1" a="1"/>
  <c r="C730" i="1" s="1"/>
  <c r="G729" i="1" a="1"/>
  <c r="G729" i="1" s="1"/>
  <c r="G730" i="1" a="1"/>
  <c r="G730" i="1" s="1"/>
  <c r="C731" i="1" a="1"/>
  <c r="C731" i="1" s="1"/>
  <c r="B730" i="1" a="1"/>
  <c r="B730" i="1" s="1"/>
  <c r="F729" i="1" a="1"/>
  <c r="F729" i="1" s="1"/>
  <c r="F728" i="1" a="1"/>
  <c r="F728" i="1" s="1"/>
  <c r="B729" i="1" a="1"/>
  <c r="B729" i="1" s="1"/>
  <c r="T735" i="1" l="1" a="1"/>
  <c r="T735" i="1" s="1"/>
  <c r="T738" i="1" s="1"/>
  <c r="AK735" i="1" a="1"/>
  <c r="AK735" i="1" s="1"/>
  <c r="AK738" i="1" s="1"/>
  <c r="F735" i="1" a="1"/>
  <c r="F735" i="1" s="1"/>
  <c r="F738" i="1" s="1"/>
  <c r="AR735" i="1" a="1"/>
  <c r="AR735" i="1" s="1"/>
  <c r="AR738" i="1" s="1"/>
  <c r="B735" i="1" a="1"/>
  <c r="B735" i="1" s="1"/>
  <c r="B738" i="1" s="1"/>
  <c r="AH735" i="1" a="1"/>
  <c r="AH735" i="1" s="1"/>
  <c r="AH738" i="1" s="1"/>
  <c r="AE735" i="1" a="1"/>
  <c r="AE735" i="1" s="1"/>
  <c r="AE738" i="1" s="1"/>
  <c r="O735" i="1" a="1"/>
  <c r="O735" i="1" s="1"/>
  <c r="O738" i="1" s="1"/>
  <c r="R735" i="1" a="1"/>
  <c r="R735" i="1" s="1"/>
  <c r="R738" i="1" s="1"/>
  <c r="N735" i="1" a="1"/>
  <c r="N735" i="1" s="1"/>
  <c r="N738" i="1" s="1"/>
  <c r="AL735" i="1" a="1"/>
  <c r="AL735" i="1" s="1"/>
  <c r="AL738" i="1" s="1"/>
  <c r="M735" i="1" a="1"/>
  <c r="M735" i="1" s="1"/>
  <c r="M738" i="1" s="1"/>
  <c r="Z735" i="1" a="1"/>
  <c r="Z735" i="1" s="1"/>
  <c r="Z738" i="1" s="1"/>
  <c r="AA735" i="1" a="1"/>
  <c r="AA735" i="1" s="1"/>
  <c r="AA738" i="1" s="1"/>
  <c r="S735" i="1" a="1"/>
  <c r="S735" i="1" s="1"/>
  <c r="S738" i="1" s="1"/>
  <c r="AD735" i="1" a="1"/>
  <c r="AD735" i="1" s="1"/>
  <c r="AD738" i="1" s="1"/>
  <c r="AI735" i="1" a="1"/>
  <c r="AI735" i="1" s="1"/>
  <c r="AI738" i="1" s="1"/>
  <c r="AJ735" i="1" a="1"/>
  <c r="AJ735" i="1" s="1"/>
  <c r="AJ738" i="1" s="1"/>
  <c r="U735" i="1" a="1"/>
  <c r="U735" i="1" s="1"/>
  <c r="U738" i="1" s="1"/>
  <c r="AW735" i="1" a="1"/>
  <c r="AW735" i="1" s="1"/>
  <c r="AW738" i="1" s="1"/>
  <c r="AQ735" i="1" a="1"/>
  <c r="AQ735" i="1" s="1"/>
  <c r="AQ738" i="1" s="1"/>
  <c r="I735" i="1" a="1"/>
  <c r="I735" i="1" s="1"/>
  <c r="I738" i="1" s="1"/>
  <c r="AC735" i="1" a="1"/>
  <c r="AC735" i="1" s="1"/>
  <c r="AC738" i="1" s="1"/>
  <c r="AF735" i="1" a="1"/>
  <c r="AF735" i="1" s="1"/>
  <c r="AF738" i="1" s="1"/>
  <c r="C735" i="1" a="1"/>
  <c r="C735" i="1" s="1"/>
  <c r="C738" i="1" s="1"/>
  <c r="AS735" i="1" a="1"/>
  <c r="AS735" i="1" s="1"/>
  <c r="AS738" i="1" s="1"/>
  <c r="G735" i="1" a="1"/>
  <c r="G735" i="1" s="1"/>
  <c r="G738" i="1" s="1"/>
  <c r="AG735" i="1" a="1"/>
  <c r="AG735" i="1" s="1"/>
  <c r="AG738" i="1" s="1"/>
  <c r="L735" i="1" a="1"/>
  <c r="L735" i="1" s="1"/>
  <c r="L738" i="1" s="1"/>
  <c r="X735" i="1" a="1"/>
  <c r="X735" i="1" s="1"/>
  <c r="X738" i="1" s="1"/>
  <c r="Y735" i="1" a="1"/>
  <c r="Y735" i="1" s="1"/>
  <c r="Y738" i="1" s="1"/>
  <c r="AM735" i="1" a="1"/>
  <c r="AM735" i="1" s="1"/>
  <c r="AM738" i="1" s="1"/>
  <c r="H735" i="1" a="1"/>
  <c r="H735" i="1" s="1"/>
  <c r="H738" i="1" s="1"/>
  <c r="AP735" i="1" a="1"/>
  <c r="AP735" i="1" s="1"/>
  <c r="AP738" i="1" s="1"/>
  <c r="AV735" i="1" a="1"/>
  <c r="AV735" i="1" s="1"/>
  <c r="AV738" i="1" s="1"/>
  <c r="B742" i="1" l="1"/>
  <c r="D742" i="1" s="1"/>
  <c r="B746" i="1"/>
  <c r="E746" i="1" s="1"/>
  <c r="B745" i="1"/>
  <c r="D745" i="1" s="1"/>
  <c r="B748" i="1"/>
  <c r="D748" i="1" s="1"/>
  <c r="B744" i="1"/>
  <c r="D744" i="1" s="1"/>
  <c r="B749" i="1"/>
  <c r="E749" i="1" s="1"/>
  <c r="B743" i="1"/>
  <c r="D743" i="1" s="1"/>
  <c r="B747" i="1"/>
  <c r="D747" i="1" s="1"/>
  <c r="E742" i="1" l="1"/>
  <c r="F742" i="1" s="1" a="1"/>
  <c r="F742" i="1" s="1"/>
  <c r="G742" i="1" s="1"/>
  <c r="E745" i="1"/>
  <c r="F745" i="1" s="1" a="1"/>
  <c r="F745" i="1" s="1"/>
  <c r="G745" i="1" s="1"/>
  <c r="D746" i="1"/>
  <c r="F746" i="1" s="1" a="1"/>
  <c r="F746" i="1" s="1"/>
  <c r="G746" i="1" s="1"/>
  <c r="E748" i="1"/>
  <c r="F748" i="1" s="1" a="1"/>
  <c r="F748" i="1" s="1"/>
  <c r="G748" i="1" s="1"/>
  <c r="D749" i="1"/>
  <c r="F749" i="1" s="1" a="1"/>
  <c r="F749" i="1" s="1"/>
  <c r="G749" i="1" s="1"/>
  <c r="E744" i="1"/>
  <c r="F744" i="1" s="1" a="1"/>
  <c r="F744" i="1" s="1"/>
  <c r="G744" i="1" s="1"/>
  <c r="E747" i="1"/>
  <c r="F747" i="1" s="1" a="1"/>
  <c r="F747" i="1" s="1"/>
  <c r="G747" i="1" s="1"/>
  <c r="E743" i="1"/>
  <c r="F743" i="1" s="1" a="1"/>
  <c r="F743" i="1" s="1"/>
  <c r="G743" i="1" s="1"/>
  <c r="S743" i="1" l="1"/>
  <c r="AF743" i="1"/>
  <c r="T743" i="1"/>
  <c r="AJ743" i="1"/>
  <c r="R743" i="1"/>
  <c r="L743" i="1"/>
  <c r="AN743" i="1"/>
  <c r="AH743" i="1"/>
  <c r="X743" i="1"/>
  <c r="AO743" i="1"/>
  <c r="AI743" i="1"/>
  <c r="AL743" i="1"/>
  <c r="AB743" i="1"/>
  <c r="V743" i="1"/>
  <c r="N743" i="1"/>
  <c r="AC743" i="1"/>
  <c r="AD743" i="1"/>
  <c r="P743" i="1"/>
  <c r="AG743" i="1"/>
  <c r="AM743" i="1"/>
  <c r="AK743" i="1"/>
  <c r="Y743" i="1"/>
  <c r="AE743" i="1"/>
  <c r="AA743" i="1"/>
  <c r="Q743" i="1"/>
  <c r="W743" i="1"/>
  <c r="U743" i="1"/>
  <c r="J743" i="1"/>
  <c r="Z743" i="1"/>
  <c r="O743" i="1"/>
  <c r="M743" i="1"/>
  <c r="K743" i="1"/>
  <c r="AA748" i="1" l="1" a="1"/>
  <c r="AA748" i="1" s="1"/>
  <c r="S755" i="1" s="1"/>
  <c r="D762" i="1" s="1" a="1"/>
  <c r="D762" i="1" s="1"/>
  <c r="AC748" i="1" a="1"/>
  <c r="AC748" i="1" s="1"/>
  <c r="U755" i="1" s="1"/>
  <c r="O748" i="1" a="1"/>
  <c r="O748" i="1" s="1"/>
  <c r="G755" i="1" s="1"/>
  <c r="D759" i="1" s="1" a="1"/>
  <c r="D759" i="1" s="1"/>
  <c r="M748" i="1" a="1"/>
  <c r="M748" i="1" s="1"/>
  <c r="E755" i="1" s="1"/>
  <c r="W748" i="1" a="1"/>
  <c r="W748" i="1" s="1"/>
  <c r="O755" i="1" s="1"/>
  <c r="D761" i="1" s="1" a="1"/>
  <c r="D761" i="1" s="1"/>
  <c r="AO748" i="1" a="1"/>
  <c r="AO748" i="1" s="1"/>
  <c r="AG755" i="1" s="1"/>
  <c r="AL748" i="1" a="1"/>
  <c r="AL748" i="1" s="1"/>
  <c r="AD755" i="1" s="1"/>
  <c r="X748" i="1" a="1"/>
  <c r="X748" i="1" s="1"/>
  <c r="P755" i="1" s="1"/>
  <c r="E761" i="1" s="1" a="1"/>
  <c r="E761" i="1" s="1"/>
  <c r="J748" i="1" a="1"/>
  <c r="J748" i="1" s="1"/>
  <c r="B755" i="1" s="1"/>
  <c r="AI748" i="1" a="1"/>
  <c r="AI748" i="1" s="1"/>
  <c r="AA755" i="1" s="1"/>
  <c r="D764" i="1" s="1" a="1"/>
  <c r="D764" i="1" s="1"/>
  <c r="P748" i="1" a="1"/>
  <c r="P748" i="1" s="1"/>
  <c r="H755" i="1" s="1"/>
  <c r="E759" i="1" s="1" a="1"/>
  <c r="E759" i="1" s="1"/>
  <c r="AG748" i="1" a="1"/>
  <c r="AG748" i="1" s="1"/>
  <c r="Y755" i="1" s="1"/>
  <c r="K748" i="1" a="1"/>
  <c r="K748" i="1" s="1"/>
  <c r="C755" i="1" s="1"/>
  <c r="D758" i="1" s="1" a="1"/>
  <c r="D758" i="1" s="1"/>
  <c r="Z748" i="1" a="1"/>
  <c r="Z748" i="1" s="1"/>
  <c r="R755" i="1" s="1"/>
  <c r="L748" i="1" a="1"/>
  <c r="L748" i="1" s="1"/>
  <c r="D755" i="1" s="1"/>
  <c r="E758" i="1" s="1" a="1"/>
  <c r="E758" i="1" s="1"/>
  <c r="AN748" i="1" a="1"/>
  <c r="AN748" i="1" s="1"/>
  <c r="AF755" i="1" s="1"/>
  <c r="E765" i="1" s="1" a="1"/>
  <c r="E765" i="1" s="1"/>
  <c r="V748" i="1" a="1"/>
  <c r="V748" i="1" s="1"/>
  <c r="N755" i="1" s="1"/>
  <c r="AK748" i="1" a="1"/>
  <c r="AK748" i="1" s="1"/>
  <c r="AC755" i="1" s="1"/>
  <c r="AF748" i="1" a="1"/>
  <c r="AF748" i="1" s="1"/>
  <c r="X755" i="1" s="1"/>
  <c r="Q748" i="1" a="1"/>
  <c r="Q748" i="1" s="1"/>
  <c r="I755" i="1" s="1"/>
  <c r="AH748" i="1" a="1"/>
  <c r="AH748" i="1" s="1"/>
  <c r="Z755" i="1" s="1"/>
  <c r="R748" i="1" a="1"/>
  <c r="R748" i="1" s="1"/>
  <c r="J755" i="1" s="1"/>
  <c r="AJ748" i="1" a="1"/>
  <c r="AJ748" i="1" s="1"/>
  <c r="AB755" i="1" s="1"/>
  <c r="E764" i="1" s="1" a="1"/>
  <c r="E764" i="1" s="1"/>
  <c r="N748" i="1" a="1"/>
  <c r="N748" i="1" s="1"/>
  <c r="F755" i="1" s="1"/>
  <c r="AE748" i="1" a="1"/>
  <c r="AE748" i="1" s="1"/>
  <c r="W755" i="1" s="1"/>
  <c r="AB748" i="1" a="1"/>
  <c r="AB748" i="1" s="1"/>
  <c r="T755" i="1" s="1"/>
  <c r="U748" i="1" a="1"/>
  <c r="U748" i="1" s="1"/>
  <c r="M755" i="1" s="1"/>
  <c r="AM748" i="1" a="1"/>
  <c r="AM748" i="1" s="1"/>
  <c r="AE755" i="1" s="1"/>
  <c r="D765" i="1" s="1" a="1"/>
  <c r="D765" i="1" s="1"/>
  <c r="AD748" i="1" a="1"/>
  <c r="AD748" i="1" s="1"/>
  <c r="V755" i="1" s="1"/>
  <c r="T748" i="1" a="1"/>
  <c r="T748" i="1" s="1"/>
  <c r="L755" i="1" s="1"/>
  <c r="E760" i="1" s="1" a="1"/>
  <c r="E760" i="1" s="1"/>
  <c r="S748" i="1" a="1"/>
  <c r="S748" i="1" s="1"/>
  <c r="K755" i="1" s="1"/>
  <c r="D760" i="1" s="1" a="1"/>
  <c r="D760" i="1" s="1"/>
  <c r="Y748" i="1" a="1"/>
  <c r="Y748" i="1" s="1"/>
  <c r="Q755" i="1" s="1"/>
  <c r="E768" i="1" l="1" a="1"/>
  <c r="E768" i="1" s="1"/>
  <c r="E771" i="1" s="1"/>
  <c r="AU768" i="1" a="1"/>
  <c r="AU768" i="1" s="1"/>
  <c r="AU771" i="1" s="1"/>
  <c r="Q768" i="1" a="1"/>
  <c r="Q768" i="1" s="1"/>
  <c r="Q771" i="1" s="1"/>
  <c r="V768" i="1" a="1"/>
  <c r="V768" i="1" s="1"/>
  <c r="V771" i="1" s="1"/>
  <c r="AO768" i="1" a="1"/>
  <c r="AO768" i="1" s="1"/>
  <c r="AO771" i="1" s="1"/>
  <c r="D768" i="1" a="1"/>
  <c r="D768" i="1" s="1"/>
  <c r="D771" i="1" s="1"/>
  <c r="E763" i="1" a="1"/>
  <c r="E763" i="1" s="1"/>
  <c r="K768" i="1" a="1"/>
  <c r="K768" i="1" s="1"/>
  <c r="K771" i="1" s="1"/>
  <c r="J768" i="1" a="1"/>
  <c r="J768" i="1" s="1"/>
  <c r="J771" i="1" s="1"/>
  <c r="P768" i="1" a="1"/>
  <c r="P768" i="1" s="1"/>
  <c r="P771" i="1" s="1"/>
  <c r="E762" i="1" a="1"/>
  <c r="E762" i="1" s="1"/>
  <c r="AN768" i="1" a="1"/>
  <c r="AN768" i="1" s="1"/>
  <c r="AN771" i="1" s="1"/>
  <c r="W768" i="1" a="1"/>
  <c r="W768" i="1" s="1"/>
  <c r="W771" i="1" s="1"/>
  <c r="AT768" i="1" a="1"/>
  <c r="AT768" i="1" s="1"/>
  <c r="AT771" i="1" s="1"/>
  <c r="D763" i="1" a="1"/>
  <c r="D763" i="1" s="1"/>
  <c r="AB768" i="1" a="1"/>
  <c r="AB768" i="1" s="1"/>
  <c r="AB771" i="1" s="1"/>
  <c r="C763" i="1" a="1"/>
  <c r="C763" i="1" s="1"/>
  <c r="G762" i="1" a="1"/>
  <c r="G762" i="1" s="1"/>
  <c r="F761" i="1" a="1"/>
  <c r="F761" i="1" s="1"/>
  <c r="B762" i="1" a="1"/>
  <c r="B762" i="1" s="1"/>
  <c r="G758" i="1" a="1"/>
  <c r="G758" i="1" s="1"/>
  <c r="C759" i="1" a="1"/>
  <c r="C759" i="1" s="1"/>
  <c r="F759" i="1" a="1"/>
  <c r="F759" i="1" s="1"/>
  <c r="B760" i="1" a="1"/>
  <c r="B760" i="1" s="1"/>
  <c r="F763" i="1" a="1"/>
  <c r="F763" i="1" s="1"/>
  <c r="B764" i="1" a="1"/>
  <c r="B764" i="1" s="1"/>
  <c r="F758" i="1" a="1"/>
  <c r="F758" i="1" s="1"/>
  <c r="B759" i="1" a="1"/>
  <c r="B759" i="1" s="1"/>
  <c r="C765" i="1" a="1"/>
  <c r="C765" i="1" s="1"/>
  <c r="G764" i="1" a="1"/>
  <c r="G764" i="1" s="1"/>
  <c r="B761" i="1" a="1"/>
  <c r="B761" i="1" s="1"/>
  <c r="F760" i="1" a="1"/>
  <c r="F760" i="1" s="1"/>
  <c r="G759" i="1" a="1"/>
  <c r="G759" i="1" s="1"/>
  <c r="C760" i="1" a="1"/>
  <c r="C760" i="1" s="1"/>
  <c r="B765" i="1" a="1"/>
  <c r="B765" i="1" s="1"/>
  <c r="F764" i="1" a="1"/>
  <c r="F764" i="1" s="1"/>
  <c r="G761" i="1" a="1"/>
  <c r="G761" i="1" s="1"/>
  <c r="C762" i="1" a="1"/>
  <c r="C762" i="1" s="1"/>
  <c r="B758" i="1" a="1"/>
  <c r="B758" i="1" s="1"/>
  <c r="F765" i="1" a="1"/>
  <c r="F765" i="1" s="1"/>
  <c r="B763" i="1" a="1"/>
  <c r="B763" i="1" s="1"/>
  <c r="F762" i="1" a="1"/>
  <c r="F762" i="1" s="1"/>
  <c r="G763" i="1" a="1"/>
  <c r="G763" i="1" s="1"/>
  <c r="C764" i="1" a="1"/>
  <c r="C764" i="1" s="1"/>
  <c r="C761" i="1" a="1"/>
  <c r="C761" i="1" s="1"/>
  <c r="G760" i="1" a="1"/>
  <c r="G760" i="1" s="1"/>
  <c r="C758" i="1" a="1"/>
  <c r="C758" i="1" s="1"/>
  <c r="G765" i="1" a="1"/>
  <c r="G765" i="1" s="1"/>
  <c r="M768" i="1" l="1" a="1"/>
  <c r="M768" i="1" s="1"/>
  <c r="M771" i="1" s="1"/>
  <c r="T768" i="1" a="1"/>
  <c r="T768" i="1" s="1"/>
  <c r="T771" i="1" s="1"/>
  <c r="Y768" i="1" a="1"/>
  <c r="Y768" i="1" s="1"/>
  <c r="Y771" i="1" s="1"/>
  <c r="AM768" i="1" a="1"/>
  <c r="AM768" i="1" s="1"/>
  <c r="AM771" i="1" s="1"/>
  <c r="AP768" i="1" a="1"/>
  <c r="AP768" i="1" s="1"/>
  <c r="AP771" i="1" s="1"/>
  <c r="H768" i="1" a="1"/>
  <c r="H768" i="1" s="1"/>
  <c r="H771" i="1" s="1"/>
  <c r="Z768" i="1" a="1"/>
  <c r="Z768" i="1" s="1"/>
  <c r="Z771" i="1" s="1"/>
  <c r="AK768" i="1" a="1"/>
  <c r="AK768" i="1" s="1"/>
  <c r="AK771" i="1" s="1"/>
  <c r="AR768" i="1" a="1"/>
  <c r="AR768" i="1" s="1"/>
  <c r="AR771" i="1" s="1"/>
  <c r="F768" i="1" a="1"/>
  <c r="F768" i="1" s="1"/>
  <c r="F771" i="1" s="1"/>
  <c r="X768" i="1" a="1"/>
  <c r="X768" i="1" s="1"/>
  <c r="X771" i="1" s="1"/>
  <c r="AD768" i="1" a="1"/>
  <c r="AD768" i="1" s="1"/>
  <c r="AD771" i="1" s="1"/>
  <c r="O768" i="1" a="1"/>
  <c r="O768" i="1" s="1"/>
  <c r="O771" i="1" s="1"/>
  <c r="AL768" i="1" a="1"/>
  <c r="AL768" i="1" s="1"/>
  <c r="AL771" i="1" s="1"/>
  <c r="AE768" i="1" a="1"/>
  <c r="AE768" i="1" s="1"/>
  <c r="AE771" i="1" s="1"/>
  <c r="AI768" i="1" a="1"/>
  <c r="AI768" i="1" s="1"/>
  <c r="AI771" i="1" s="1"/>
  <c r="AW768" i="1" a="1"/>
  <c r="AW768" i="1" s="1"/>
  <c r="AW771" i="1" s="1"/>
  <c r="AV768" i="1" a="1"/>
  <c r="AV768" i="1" s="1"/>
  <c r="AV771" i="1" s="1"/>
  <c r="R768" i="1" a="1"/>
  <c r="R768" i="1" s="1"/>
  <c r="R771" i="1" s="1"/>
  <c r="N768" i="1" a="1"/>
  <c r="N768" i="1" s="1"/>
  <c r="N771" i="1" s="1"/>
  <c r="AH768" i="1" a="1"/>
  <c r="AH768" i="1" s="1"/>
  <c r="AH771" i="1" s="1"/>
  <c r="C768" i="1" a="1"/>
  <c r="C768" i="1" s="1"/>
  <c r="C771" i="1" s="1"/>
  <c r="L768" i="1" a="1"/>
  <c r="L768" i="1" s="1"/>
  <c r="L771" i="1" s="1"/>
  <c r="AF768" i="1" a="1"/>
  <c r="AF768" i="1" s="1"/>
  <c r="AF771" i="1" s="1"/>
  <c r="AJ768" i="1" a="1"/>
  <c r="AJ768" i="1" s="1"/>
  <c r="AJ771" i="1" s="1"/>
  <c r="AG768" i="1" a="1"/>
  <c r="AG768" i="1" s="1"/>
  <c r="AG771" i="1" s="1"/>
  <c r="B768" i="1" a="1"/>
  <c r="B768" i="1" s="1"/>
  <c r="B771" i="1" s="1"/>
  <c r="S768" i="1" a="1"/>
  <c r="S768" i="1" s="1"/>
  <c r="S771" i="1" s="1"/>
  <c r="AA768" i="1" a="1"/>
  <c r="AA768" i="1" s="1"/>
  <c r="AA771" i="1" s="1"/>
  <c r="AQ768" i="1" a="1"/>
  <c r="AQ768" i="1" s="1"/>
  <c r="AQ771" i="1" s="1"/>
  <c r="I768" i="1" a="1"/>
  <c r="I768" i="1" s="1"/>
  <c r="I771" i="1" s="1"/>
  <c r="U768" i="1" a="1"/>
  <c r="U768" i="1" s="1"/>
  <c r="U771" i="1" s="1"/>
  <c r="AS768" i="1" a="1"/>
  <c r="AS768" i="1" s="1"/>
  <c r="AS771" i="1" s="1"/>
  <c r="G768" i="1" a="1"/>
  <c r="G768" i="1" s="1"/>
  <c r="G771" i="1" s="1"/>
  <c r="AC768" i="1" a="1"/>
  <c r="AC768" i="1" s="1"/>
  <c r="AC771" i="1" s="1"/>
  <c r="B782" i="1" l="1"/>
  <c r="E782" i="1" s="1"/>
  <c r="B776" i="1"/>
  <c r="D776" i="1" s="1"/>
  <c r="B775" i="1"/>
  <c r="E775" i="1" s="1"/>
  <c r="B778" i="1"/>
  <c r="D778" i="1" s="1"/>
  <c r="B777" i="1"/>
  <c r="D777" i="1" s="1"/>
  <c r="B780" i="1"/>
  <c r="E780" i="1" s="1"/>
  <c r="B779" i="1"/>
  <c r="E779" i="1" s="1"/>
  <c r="B781" i="1"/>
  <c r="E781" i="1" s="1"/>
  <c r="D782" i="1" l="1"/>
  <c r="F782" i="1" s="1" a="1"/>
  <c r="F782" i="1" s="1"/>
  <c r="G782" i="1" s="1"/>
  <c r="E776" i="1"/>
  <c r="F776" i="1" s="1" a="1"/>
  <c r="F776" i="1" s="1"/>
  <c r="G776" i="1" s="1"/>
  <c r="D775" i="1"/>
  <c r="F775" i="1" s="1" a="1"/>
  <c r="F775" i="1" s="1"/>
  <c r="G775" i="1" s="1"/>
  <c r="D780" i="1"/>
  <c r="F780" i="1" s="1" a="1"/>
  <c r="F780" i="1" s="1"/>
  <c r="G780" i="1" s="1"/>
  <c r="E778" i="1"/>
  <c r="F778" i="1" s="1" a="1"/>
  <c r="F778" i="1" s="1"/>
  <c r="G778" i="1" s="1"/>
  <c r="E777" i="1"/>
  <c r="F777" i="1" s="1" a="1"/>
  <c r="F777" i="1" s="1"/>
  <c r="G777" i="1" s="1"/>
  <c r="D779" i="1"/>
  <c r="F779" i="1" s="1" a="1"/>
  <c r="F779" i="1" s="1"/>
  <c r="G779" i="1" s="1"/>
  <c r="D781" i="1"/>
  <c r="F781" i="1" s="1" a="1"/>
  <c r="F781" i="1" s="1"/>
  <c r="G781" i="1" s="1"/>
  <c r="J776" i="1" l="1"/>
  <c r="AH776" i="1"/>
  <c r="AM776" i="1"/>
  <c r="AO776" i="1"/>
  <c r="T776" i="1"/>
  <c r="AN776" i="1"/>
  <c r="W776" i="1"/>
  <c r="AK776" i="1"/>
  <c r="L776" i="1"/>
  <c r="N776" i="1"/>
  <c r="AB776" i="1"/>
  <c r="AF776" i="1"/>
  <c r="AI776" i="1"/>
  <c r="Y776" i="1"/>
  <c r="Z776" i="1"/>
  <c r="AE776" i="1"/>
  <c r="AC776" i="1"/>
  <c r="AL776" i="1"/>
  <c r="AA776" i="1"/>
  <c r="AD776" i="1"/>
  <c r="S776" i="1"/>
  <c r="AJ776" i="1"/>
  <c r="Q776" i="1"/>
  <c r="O776" i="1"/>
  <c r="X776" i="1"/>
  <c r="U776" i="1"/>
  <c r="P776" i="1"/>
  <c r="M776" i="1"/>
  <c r="R776" i="1"/>
  <c r="V776" i="1"/>
  <c r="AG776" i="1"/>
  <c r="K776" i="1"/>
  <c r="Z781" i="1" l="1" a="1"/>
  <c r="Z781" i="1" s="1"/>
  <c r="R788" i="1" s="1"/>
  <c r="Q781" i="1" a="1"/>
  <c r="Q781" i="1" s="1"/>
  <c r="I788" i="1" s="1"/>
  <c r="J781" i="1" a="1"/>
  <c r="J781" i="1" s="1"/>
  <c r="B788" i="1" s="1"/>
  <c r="S781" i="1" a="1"/>
  <c r="S781" i="1" s="1"/>
  <c r="K788" i="1" s="1"/>
  <c r="D793" i="1" s="1" a="1"/>
  <c r="D793" i="1" s="1"/>
  <c r="AB781" i="1" a="1"/>
  <c r="AB781" i="1" s="1"/>
  <c r="T788" i="1" s="1"/>
  <c r="U781" i="1" a="1"/>
  <c r="U781" i="1" s="1"/>
  <c r="M788" i="1" s="1"/>
  <c r="P781" i="1" a="1"/>
  <c r="P781" i="1" s="1"/>
  <c r="H788" i="1" s="1"/>
  <c r="E792" i="1" s="1" a="1"/>
  <c r="E792" i="1" s="1"/>
  <c r="X781" i="1" a="1"/>
  <c r="X781" i="1" s="1"/>
  <c r="P788" i="1" s="1"/>
  <c r="E794" i="1" s="1" a="1"/>
  <c r="E794" i="1" s="1"/>
  <c r="AD781" i="1" a="1"/>
  <c r="AD781" i="1" s="1"/>
  <c r="V788" i="1" s="1"/>
  <c r="AK781" i="1" a="1"/>
  <c r="AK781" i="1" s="1"/>
  <c r="AC788" i="1" s="1"/>
  <c r="AL781" i="1" a="1"/>
  <c r="AL781" i="1" s="1"/>
  <c r="AD788" i="1" s="1"/>
  <c r="AA781" i="1" a="1"/>
  <c r="AA781" i="1" s="1"/>
  <c r="S788" i="1" s="1"/>
  <c r="D795" i="1" s="1" a="1"/>
  <c r="D795" i="1" s="1"/>
  <c r="AC781" i="1" a="1"/>
  <c r="AC781" i="1" s="1"/>
  <c r="U788" i="1" s="1"/>
  <c r="AI781" i="1" a="1"/>
  <c r="AI781" i="1" s="1"/>
  <c r="AA788" i="1" s="1"/>
  <c r="D797" i="1" s="1" a="1"/>
  <c r="D797" i="1" s="1"/>
  <c r="AE781" i="1" a="1"/>
  <c r="AE781" i="1" s="1"/>
  <c r="W788" i="1" s="1"/>
  <c r="AG781" i="1" a="1"/>
  <c r="AG781" i="1" s="1"/>
  <c r="Y788" i="1" s="1"/>
  <c r="Y781" i="1" a="1"/>
  <c r="Y781" i="1" s="1"/>
  <c r="Q788" i="1" s="1"/>
  <c r="AM781" i="1" a="1"/>
  <c r="AM781" i="1" s="1"/>
  <c r="AE788" i="1" s="1"/>
  <c r="D798" i="1" s="1" a="1"/>
  <c r="D798" i="1" s="1"/>
  <c r="AN781" i="1" a="1"/>
  <c r="AN781" i="1" s="1"/>
  <c r="AF788" i="1" s="1"/>
  <c r="E798" i="1" s="1" a="1"/>
  <c r="E798" i="1" s="1"/>
  <c r="M781" i="1" a="1"/>
  <c r="M781" i="1" s="1"/>
  <c r="E788" i="1" s="1"/>
  <c r="T781" i="1" a="1"/>
  <c r="T781" i="1" s="1"/>
  <c r="L788" i="1" s="1"/>
  <c r="E793" i="1" s="1" a="1"/>
  <c r="E793" i="1" s="1"/>
  <c r="K781" i="1" a="1"/>
  <c r="K781" i="1" s="1"/>
  <c r="C788" i="1" s="1"/>
  <c r="D791" i="1" s="1" a="1"/>
  <c r="D791" i="1" s="1"/>
  <c r="W781" i="1" a="1"/>
  <c r="W781" i="1" s="1"/>
  <c r="O788" i="1" s="1"/>
  <c r="D794" i="1" s="1" a="1"/>
  <c r="D794" i="1" s="1"/>
  <c r="AH781" i="1" a="1"/>
  <c r="AH781" i="1" s="1"/>
  <c r="Z788" i="1" s="1"/>
  <c r="AJ781" i="1" a="1"/>
  <c r="AJ781" i="1" s="1"/>
  <c r="AB788" i="1" s="1"/>
  <c r="E797" i="1" s="1" a="1"/>
  <c r="E797" i="1" s="1"/>
  <c r="O781" i="1" a="1"/>
  <c r="O781" i="1" s="1"/>
  <c r="G788" i="1" s="1"/>
  <c r="D792" i="1" s="1" a="1"/>
  <c r="D792" i="1" s="1"/>
  <c r="N781" i="1" a="1"/>
  <c r="N781" i="1" s="1"/>
  <c r="F788" i="1" s="1"/>
  <c r="V781" i="1" a="1"/>
  <c r="V781" i="1" s="1"/>
  <c r="N788" i="1" s="1"/>
  <c r="AO781" i="1" a="1"/>
  <c r="AO781" i="1" s="1"/>
  <c r="AG788" i="1" s="1"/>
  <c r="L781" i="1" a="1"/>
  <c r="L781" i="1" s="1"/>
  <c r="D788" i="1" s="1"/>
  <c r="E791" i="1" s="1" a="1"/>
  <c r="E791" i="1" s="1"/>
  <c r="AF781" i="1" a="1"/>
  <c r="AF781" i="1" s="1"/>
  <c r="X788" i="1" s="1"/>
  <c r="R781" i="1" a="1"/>
  <c r="R781" i="1" s="1"/>
  <c r="J788" i="1" s="1"/>
  <c r="E801" i="1" l="1" a="1"/>
  <c r="E801" i="1" s="1"/>
  <c r="E804" i="1" s="1"/>
  <c r="W801" i="1" a="1"/>
  <c r="W801" i="1" s="1"/>
  <c r="W804" i="1" s="1"/>
  <c r="AO801" i="1" a="1"/>
  <c r="AO801" i="1" s="1"/>
  <c r="AO804" i="1" s="1"/>
  <c r="E796" i="1" a="1"/>
  <c r="E796" i="1" s="1"/>
  <c r="V801" i="1" a="1"/>
  <c r="V801" i="1" s="1"/>
  <c r="V804" i="1" s="1"/>
  <c r="D796" i="1" a="1"/>
  <c r="D796" i="1" s="1"/>
  <c r="K801" i="1" a="1"/>
  <c r="K801" i="1" s="1"/>
  <c r="K804" i="1" s="1"/>
  <c r="E795" i="1" a="1"/>
  <c r="E795" i="1" s="1"/>
  <c r="AB801" i="1" a="1"/>
  <c r="AB801" i="1" s="1"/>
  <c r="AB804" i="1" s="1"/>
  <c r="P801" i="1" a="1"/>
  <c r="P801" i="1" s="1"/>
  <c r="P804" i="1" s="1"/>
  <c r="AN801" i="1" a="1"/>
  <c r="AN801" i="1" s="1"/>
  <c r="AN804" i="1" s="1"/>
  <c r="Q801" i="1" a="1"/>
  <c r="Q801" i="1" s="1"/>
  <c r="Q804" i="1" s="1"/>
  <c r="AU801" i="1" a="1"/>
  <c r="AU801" i="1" s="1"/>
  <c r="AU804" i="1" s="1"/>
  <c r="D801" i="1" a="1"/>
  <c r="D801" i="1" s="1"/>
  <c r="D804" i="1" s="1"/>
  <c r="J801" i="1" a="1"/>
  <c r="J801" i="1" s="1"/>
  <c r="J804" i="1" s="1"/>
  <c r="AT801" i="1" a="1"/>
  <c r="AT801" i="1" s="1"/>
  <c r="AT804" i="1" s="1"/>
  <c r="F791" i="1" a="1"/>
  <c r="F791" i="1" s="1"/>
  <c r="B792" i="1" a="1"/>
  <c r="B792" i="1" s="1"/>
  <c r="G792" i="1" a="1"/>
  <c r="G792" i="1" s="1"/>
  <c r="C793" i="1" a="1"/>
  <c r="C793" i="1" s="1"/>
  <c r="C798" i="1" a="1"/>
  <c r="C798" i="1" s="1"/>
  <c r="G797" i="1" a="1"/>
  <c r="G797" i="1" s="1"/>
  <c r="C791" i="1" a="1"/>
  <c r="C791" i="1" s="1"/>
  <c r="G798" i="1" a="1"/>
  <c r="G798" i="1" s="1"/>
  <c r="F796" i="1" a="1"/>
  <c r="F796" i="1" s="1"/>
  <c r="B797" i="1" a="1"/>
  <c r="B797" i="1" s="1"/>
  <c r="C794" i="1" a="1"/>
  <c r="C794" i="1" s="1"/>
  <c r="G793" i="1" a="1"/>
  <c r="G793" i="1" s="1"/>
  <c r="G791" i="1" a="1"/>
  <c r="G791" i="1" s="1"/>
  <c r="C792" i="1" a="1"/>
  <c r="C792" i="1" s="1"/>
  <c r="B798" i="1" a="1"/>
  <c r="B798" i="1" s="1"/>
  <c r="F797" i="1" a="1"/>
  <c r="F797" i="1" s="1"/>
  <c r="B794" i="1" a="1"/>
  <c r="B794" i="1" s="1"/>
  <c r="F793" i="1" a="1"/>
  <c r="F793" i="1" s="1"/>
  <c r="F792" i="1" a="1"/>
  <c r="F792" i="1" s="1"/>
  <c r="B793" i="1" a="1"/>
  <c r="B793" i="1" s="1"/>
  <c r="G796" i="1" a="1"/>
  <c r="G796" i="1" s="1"/>
  <c r="C797" i="1" a="1"/>
  <c r="C797" i="1" s="1"/>
  <c r="B791" i="1" a="1"/>
  <c r="B791" i="1" s="1"/>
  <c r="F798" i="1" a="1"/>
  <c r="F798" i="1" s="1"/>
  <c r="F794" i="1" a="1"/>
  <c r="F794" i="1" s="1"/>
  <c r="B795" i="1" a="1"/>
  <c r="B795" i="1" s="1"/>
  <c r="B796" i="1" a="1"/>
  <c r="B796" i="1" s="1"/>
  <c r="F795" i="1" a="1"/>
  <c r="F795" i="1" s="1"/>
  <c r="C796" i="1" a="1"/>
  <c r="C796" i="1" s="1"/>
  <c r="G795" i="1" a="1"/>
  <c r="G795" i="1" s="1"/>
  <c r="G794" i="1" a="1"/>
  <c r="G794" i="1" s="1"/>
  <c r="C795" i="1" a="1"/>
  <c r="C795" i="1" s="1"/>
  <c r="Z801" i="1" l="1" a="1"/>
  <c r="Z801" i="1" s="1"/>
  <c r="Z804" i="1" s="1"/>
  <c r="R801" i="1" a="1"/>
  <c r="R801" i="1" s="1"/>
  <c r="R804" i="1" s="1"/>
  <c r="AL801" i="1" a="1"/>
  <c r="AL801" i="1" s="1"/>
  <c r="AL804" i="1" s="1"/>
  <c r="H801" i="1" a="1"/>
  <c r="H801" i="1" s="1"/>
  <c r="H804" i="1" s="1"/>
  <c r="X801" i="1" a="1"/>
  <c r="X801" i="1" s="1"/>
  <c r="X804" i="1" s="1"/>
  <c r="T801" i="1" a="1"/>
  <c r="T801" i="1" s="1"/>
  <c r="T804" i="1" s="1"/>
  <c r="AJ801" i="1" a="1"/>
  <c r="AJ801" i="1" s="1"/>
  <c r="AJ804" i="1" s="1"/>
  <c r="F801" i="1" a="1"/>
  <c r="F801" i="1" s="1"/>
  <c r="F804" i="1" s="1"/>
  <c r="AH801" i="1" a="1"/>
  <c r="AH801" i="1" s="1"/>
  <c r="AH804" i="1" s="1"/>
  <c r="AC801" i="1" a="1"/>
  <c r="AC801" i="1" s="1"/>
  <c r="AC804" i="1" s="1"/>
  <c r="AA801" i="1" a="1"/>
  <c r="AA801" i="1" s="1"/>
  <c r="AA804" i="1" s="1"/>
  <c r="AV801" i="1" a="1"/>
  <c r="AV801" i="1" s="1"/>
  <c r="AV804" i="1" s="1"/>
  <c r="AP801" i="1" a="1"/>
  <c r="AP801" i="1" s="1"/>
  <c r="AP804" i="1" s="1"/>
  <c r="AW801" i="1" a="1"/>
  <c r="AW801" i="1" s="1"/>
  <c r="AW804" i="1" s="1"/>
  <c r="Y801" i="1" a="1"/>
  <c r="Y801" i="1" s="1"/>
  <c r="Y804" i="1" s="1"/>
  <c r="B801" i="1" a="1"/>
  <c r="B801" i="1" s="1"/>
  <c r="B804" i="1" s="1"/>
  <c r="AR801" i="1" a="1"/>
  <c r="AR801" i="1" s="1"/>
  <c r="AR804" i="1" s="1"/>
  <c r="C801" i="1" a="1"/>
  <c r="C801" i="1" s="1"/>
  <c r="C804" i="1" s="1"/>
  <c r="S801" i="1" a="1"/>
  <c r="S801" i="1" s="1"/>
  <c r="S804" i="1" s="1"/>
  <c r="U801" i="1" a="1"/>
  <c r="U801" i="1" s="1"/>
  <c r="U804" i="1" s="1"/>
  <c r="AE801" i="1" a="1"/>
  <c r="AE801" i="1" s="1"/>
  <c r="AE804" i="1" s="1"/>
  <c r="AM801" i="1" a="1"/>
  <c r="AM801" i="1" s="1"/>
  <c r="AM804" i="1" s="1"/>
  <c r="I801" i="1" a="1"/>
  <c r="I801" i="1" s="1"/>
  <c r="I804" i="1" s="1"/>
  <c r="AQ801" i="1" a="1"/>
  <c r="AQ801" i="1" s="1"/>
  <c r="AQ804" i="1" s="1"/>
  <c r="N801" i="1" a="1"/>
  <c r="N801" i="1" s="1"/>
  <c r="N804" i="1" s="1"/>
  <c r="AF801" i="1" a="1"/>
  <c r="AF801" i="1" s="1"/>
  <c r="AF804" i="1" s="1"/>
  <c r="L801" i="1" a="1"/>
  <c r="L801" i="1" s="1"/>
  <c r="L804" i="1" s="1"/>
  <c r="M801" i="1" a="1"/>
  <c r="M801" i="1" s="1"/>
  <c r="M804" i="1" s="1"/>
  <c r="AG801" i="1" a="1"/>
  <c r="AG801" i="1" s="1"/>
  <c r="AG804" i="1" s="1"/>
  <c r="AK801" i="1" a="1"/>
  <c r="AK801" i="1" s="1"/>
  <c r="AK804" i="1" s="1"/>
  <c r="G801" i="1" a="1"/>
  <c r="G801" i="1" s="1"/>
  <c r="G804" i="1" s="1"/>
  <c r="AS801" i="1" a="1"/>
  <c r="AS801" i="1" s="1"/>
  <c r="AS804" i="1" s="1"/>
  <c r="AD801" i="1" a="1"/>
  <c r="AD801" i="1" s="1"/>
  <c r="AD804" i="1" s="1"/>
  <c r="O801" i="1" a="1"/>
  <c r="O801" i="1" s="1"/>
  <c r="O804" i="1" s="1"/>
  <c r="AI801" i="1" a="1"/>
  <c r="AI801" i="1" s="1"/>
  <c r="AI804" i="1" s="1"/>
  <c r="B809" i="1" l="1"/>
  <c r="E809" i="1" s="1"/>
  <c r="B808" i="1"/>
  <c r="E808" i="1" s="1"/>
  <c r="B812" i="1"/>
  <c r="E812" i="1" s="1"/>
  <c r="B815" i="1"/>
  <c r="E815" i="1" s="1"/>
  <c r="B811" i="1"/>
  <c r="E811" i="1" s="1"/>
  <c r="B814" i="1"/>
  <c r="D814" i="1" s="1"/>
  <c r="B813" i="1"/>
  <c r="E813" i="1" s="1"/>
  <c r="B810" i="1"/>
  <c r="D809" i="1" l="1"/>
  <c r="F809" i="1" s="1" a="1"/>
  <c r="F809" i="1" s="1"/>
  <c r="G809" i="1" s="1"/>
  <c r="D808" i="1"/>
  <c r="F808" i="1" s="1" a="1"/>
  <c r="F808" i="1" s="1"/>
  <c r="G808" i="1" s="1"/>
  <c r="E814" i="1"/>
  <c r="F814" i="1" s="1" a="1"/>
  <c r="F814" i="1" s="1"/>
  <c r="G814" i="1" s="1"/>
  <c r="D812" i="1"/>
  <c r="F812" i="1" s="1" a="1"/>
  <c r="F812" i="1" s="1"/>
  <c r="G812" i="1" s="1"/>
  <c r="D813" i="1"/>
  <c r="F813" i="1" s="1" a="1"/>
  <c r="F813" i="1" s="1"/>
  <c r="G813" i="1" s="1"/>
  <c r="D815" i="1"/>
  <c r="F815" i="1" s="1" a="1"/>
  <c r="F815" i="1" s="1"/>
  <c r="G815" i="1" s="1"/>
  <c r="D811" i="1"/>
  <c r="F811" i="1" s="1" a="1"/>
  <c r="F811" i="1" s="1"/>
  <c r="G811" i="1" s="1"/>
  <c r="D810" i="1"/>
  <c r="E810" i="1"/>
  <c r="F810" i="1" l="1" a="1"/>
  <c r="F810" i="1" s="1"/>
  <c r="G810" i="1" s="1"/>
  <c r="V809" i="1" l="1"/>
  <c r="AI814" i="1" s="1" a="1"/>
  <c r="AI814" i="1" s="1"/>
  <c r="AA821" i="1" s="1"/>
  <c r="D830" i="1" s="1" a="1"/>
  <c r="D830" i="1" s="1"/>
  <c r="AM809" i="1"/>
  <c r="AJ814" i="1" s="1" a="1"/>
  <c r="AJ814" i="1" s="1"/>
  <c r="AB821" i="1" s="1"/>
  <c r="E830" i="1" s="1" a="1"/>
  <c r="E830" i="1" s="1"/>
  <c r="AA809" i="1"/>
  <c r="W814" i="1" s="1" a="1"/>
  <c r="W814" i="1" s="1"/>
  <c r="O821" i="1" s="1"/>
  <c r="D827" i="1" s="1" a="1"/>
  <c r="D827" i="1" s="1"/>
  <c r="T809" i="1"/>
  <c r="AM814" i="1" s="1" a="1"/>
  <c r="AM814" i="1" s="1"/>
  <c r="AE821" i="1" s="1"/>
  <c r="D831" i="1" s="1" a="1"/>
  <c r="D831" i="1" s="1"/>
  <c r="M809" i="1"/>
  <c r="AC809" i="1"/>
  <c r="L814" i="1" s="1" a="1"/>
  <c r="L814" i="1" s="1"/>
  <c r="D821" i="1" s="1"/>
  <c r="E824" i="1" s="1" a="1"/>
  <c r="E824" i="1" s="1"/>
  <c r="N809" i="1"/>
  <c r="V814" i="1" s="1" a="1"/>
  <c r="V814" i="1" s="1"/>
  <c r="N821" i="1" s="1"/>
  <c r="K809" i="1"/>
  <c r="Z814" i="1" s="1" a="1"/>
  <c r="Z814" i="1" s="1"/>
  <c r="R821" i="1" s="1"/>
  <c r="Z809" i="1"/>
  <c r="Q814" i="1" s="1" a="1"/>
  <c r="Q814" i="1" s="1"/>
  <c r="I821" i="1" s="1"/>
  <c r="W809" i="1"/>
  <c r="Y809" i="1"/>
  <c r="J814" i="1" s="1" a="1"/>
  <c r="J814" i="1" s="1"/>
  <c r="B821" i="1" s="1"/>
  <c r="R809" i="1"/>
  <c r="AF809" i="1"/>
  <c r="AH809" i="1"/>
  <c r="AJ809" i="1"/>
  <c r="AE814" i="1" s="1" a="1"/>
  <c r="AE814" i="1" s="1"/>
  <c r="W821" i="1" s="1"/>
  <c r="AG809" i="1"/>
  <c r="S809" i="1"/>
  <c r="AI809" i="1"/>
  <c r="X809" i="1"/>
  <c r="AB809" i="1"/>
  <c r="U809" i="1"/>
  <c r="O814" i="1" s="1" a="1"/>
  <c r="O814" i="1" s="1"/>
  <c r="G821" i="1" s="1"/>
  <c r="D825" i="1" s="1" a="1"/>
  <c r="D825" i="1" s="1"/>
  <c r="AE809" i="1"/>
  <c r="AK809" i="1"/>
  <c r="P814" i="1" s="1" a="1"/>
  <c r="P814" i="1" s="1"/>
  <c r="H821" i="1" s="1"/>
  <c r="E825" i="1" s="1" a="1"/>
  <c r="E825" i="1" s="1"/>
  <c r="AD809" i="1"/>
  <c r="O809" i="1"/>
  <c r="Q809" i="1"/>
  <c r="AL809" i="1"/>
  <c r="P809" i="1"/>
  <c r="AN809" i="1"/>
  <c r="L809" i="1"/>
  <c r="J809" i="1"/>
  <c r="AO809" i="1"/>
  <c r="AO834" i="1" l="1" a="1"/>
  <c r="AO834" i="1" s="1"/>
  <c r="AO837" i="1" s="1"/>
  <c r="K834" i="1" a="1"/>
  <c r="K834" i="1" s="1"/>
  <c r="K837" i="1" s="1"/>
  <c r="D829" i="1" a="1"/>
  <c r="D829" i="1" s="1"/>
  <c r="E834" i="1" a="1"/>
  <c r="E834" i="1" s="1"/>
  <c r="E837" i="1" s="1"/>
  <c r="J834" i="1" a="1"/>
  <c r="J834" i="1" s="1"/>
  <c r="J837" i="1" s="1"/>
  <c r="AT834" i="1" a="1"/>
  <c r="AT834" i="1" s="1"/>
  <c r="AT837" i="1" s="1"/>
  <c r="V834" i="1" a="1"/>
  <c r="V834" i="1" s="1"/>
  <c r="V837" i="1" s="1"/>
  <c r="AN834" i="1" a="1"/>
  <c r="AN834" i="1" s="1"/>
  <c r="AN837" i="1" s="1"/>
  <c r="U814" i="1" a="1"/>
  <c r="U814" i="1" s="1"/>
  <c r="M821" i="1" s="1"/>
  <c r="B827" i="1" s="1" a="1"/>
  <c r="B827" i="1" s="1"/>
  <c r="AN814" i="1" a="1"/>
  <c r="AN814" i="1" s="1"/>
  <c r="AF821" i="1" s="1"/>
  <c r="E831" i="1" s="1" a="1"/>
  <c r="E831" i="1" s="1"/>
  <c r="C824" i="1" a="1"/>
  <c r="C824" i="1" s="1"/>
  <c r="G831" i="1" a="1"/>
  <c r="G831" i="1" s="1"/>
  <c r="C827" i="1" a="1"/>
  <c r="C827" i="1" s="1"/>
  <c r="G826" i="1" a="1"/>
  <c r="G826" i="1" s="1"/>
  <c r="F825" i="1" a="1"/>
  <c r="F825" i="1" s="1"/>
  <c r="B826" i="1" a="1"/>
  <c r="B826" i="1" s="1"/>
  <c r="G827" i="1" a="1"/>
  <c r="G827" i="1" s="1"/>
  <c r="C828" i="1" a="1"/>
  <c r="C828" i="1" s="1"/>
  <c r="S814" i="1" a="1"/>
  <c r="S814" i="1" s="1"/>
  <c r="K821" i="1" s="1"/>
  <c r="D826" i="1" s="1" a="1"/>
  <c r="D826" i="1" s="1"/>
  <c r="AL814" i="1" a="1"/>
  <c r="AL814" i="1" s="1"/>
  <c r="AD821" i="1" s="1"/>
  <c r="X814" i="1" a="1"/>
  <c r="X814" i="1" s="1"/>
  <c r="P821" i="1" s="1"/>
  <c r="E827" i="1" s="1" a="1"/>
  <c r="E827" i="1" s="1"/>
  <c r="K814" i="1" a="1"/>
  <c r="K814" i="1" s="1"/>
  <c r="C821" i="1" s="1"/>
  <c r="D824" i="1" s="1" a="1"/>
  <c r="D824" i="1" s="1"/>
  <c r="AA814" i="1" a="1"/>
  <c r="AA814" i="1" s="1"/>
  <c r="S821" i="1" s="1"/>
  <c r="D828" i="1" s="1" a="1"/>
  <c r="D828" i="1" s="1"/>
  <c r="Y814" i="1" a="1"/>
  <c r="Y814" i="1" s="1"/>
  <c r="Q821" i="1" s="1"/>
  <c r="T814" i="1" a="1"/>
  <c r="T814" i="1" s="1"/>
  <c r="L821" i="1" s="1"/>
  <c r="E826" i="1" s="1" a="1"/>
  <c r="E826" i="1" s="1"/>
  <c r="R814" i="1" a="1"/>
  <c r="R814" i="1" s="1"/>
  <c r="J821" i="1" s="1"/>
  <c r="AK814" i="1" a="1"/>
  <c r="AK814" i="1" s="1"/>
  <c r="AC821" i="1" s="1"/>
  <c r="AO814" i="1" a="1"/>
  <c r="AO814" i="1" s="1"/>
  <c r="AG821" i="1" s="1"/>
  <c r="AB814" i="1" a="1"/>
  <c r="AB814" i="1" s="1"/>
  <c r="T821" i="1" s="1"/>
  <c r="N814" i="1" a="1"/>
  <c r="N814" i="1" s="1"/>
  <c r="F821" i="1" s="1"/>
  <c r="AD814" i="1" a="1"/>
  <c r="AD814" i="1" s="1"/>
  <c r="V821" i="1" s="1"/>
  <c r="M814" i="1" a="1"/>
  <c r="M814" i="1" s="1"/>
  <c r="E821" i="1" s="1"/>
  <c r="AG814" i="1" a="1"/>
  <c r="AG814" i="1" s="1"/>
  <c r="Y821" i="1" s="1"/>
  <c r="AH814" i="1" a="1"/>
  <c r="AH814" i="1" s="1"/>
  <c r="Z821" i="1" s="1"/>
  <c r="AF814" i="1" a="1"/>
  <c r="AF814" i="1" s="1"/>
  <c r="X821" i="1" s="1"/>
  <c r="AC814" i="1" a="1"/>
  <c r="AC814" i="1" s="1"/>
  <c r="U821" i="1" s="1"/>
  <c r="E829" i="1" l="1" a="1"/>
  <c r="E829" i="1" s="1"/>
  <c r="P834" i="1" a="1"/>
  <c r="P834" i="1" s="1"/>
  <c r="P837" i="1" s="1"/>
  <c r="C834" i="1" a="1"/>
  <c r="C834" i="1" s="1"/>
  <c r="C837" i="1" s="1"/>
  <c r="AA834" i="1" a="1"/>
  <c r="AA834" i="1" s="1"/>
  <c r="AA837" i="1" s="1"/>
  <c r="AU834" i="1" a="1"/>
  <c r="AU834" i="1" s="1"/>
  <c r="AU837" i="1" s="1"/>
  <c r="T834" i="1" a="1"/>
  <c r="T834" i="1" s="1"/>
  <c r="T837" i="1" s="1"/>
  <c r="N834" i="1" a="1"/>
  <c r="N834" i="1" s="1"/>
  <c r="N837" i="1" s="1"/>
  <c r="AH834" i="1" a="1"/>
  <c r="AH834" i="1" s="1"/>
  <c r="AH837" i="1" s="1"/>
  <c r="AB834" i="1" a="1"/>
  <c r="AB834" i="1" s="1"/>
  <c r="AB837" i="1" s="1"/>
  <c r="L834" i="1" a="1"/>
  <c r="L834" i="1" s="1"/>
  <c r="L837" i="1" s="1"/>
  <c r="Q834" i="1" a="1"/>
  <c r="Q834" i="1" s="1"/>
  <c r="Q837" i="1" s="1"/>
  <c r="D834" i="1" a="1"/>
  <c r="D834" i="1" s="1"/>
  <c r="D837" i="1" s="1"/>
  <c r="S834" i="1" a="1"/>
  <c r="S834" i="1" s="1"/>
  <c r="S837" i="1" s="1"/>
  <c r="Y834" i="1" a="1"/>
  <c r="Y834" i="1" s="1"/>
  <c r="Y837" i="1" s="1"/>
  <c r="E828" i="1" a="1"/>
  <c r="E828" i="1" s="1"/>
  <c r="W834" i="1" a="1"/>
  <c r="W834" i="1" s="1"/>
  <c r="W837" i="1" s="1"/>
  <c r="U834" i="1" a="1"/>
  <c r="U834" i="1" s="1"/>
  <c r="U837" i="1" s="1"/>
  <c r="AW834" i="1" a="1"/>
  <c r="AW834" i="1" s="1"/>
  <c r="AW837" i="1" s="1"/>
  <c r="F826" i="1" a="1"/>
  <c r="F826" i="1" s="1"/>
  <c r="B831" i="1" a="1"/>
  <c r="B831" i="1" s="1"/>
  <c r="F830" i="1" a="1"/>
  <c r="F830" i="1" s="1"/>
  <c r="C831" i="1" a="1"/>
  <c r="C831" i="1" s="1"/>
  <c r="G830" i="1" a="1"/>
  <c r="G830" i="1" s="1"/>
  <c r="B824" i="1" a="1"/>
  <c r="B824" i="1" s="1"/>
  <c r="F831" i="1" a="1"/>
  <c r="F831" i="1" s="1"/>
  <c r="G825" i="1" a="1"/>
  <c r="G825" i="1" s="1"/>
  <c r="C826" i="1" a="1"/>
  <c r="C826" i="1" s="1"/>
  <c r="G829" i="1" a="1"/>
  <c r="G829" i="1" s="1"/>
  <c r="C830" i="1" a="1"/>
  <c r="C830" i="1" s="1"/>
  <c r="F829" i="1" a="1"/>
  <c r="F829" i="1" s="1"/>
  <c r="B830" i="1" a="1"/>
  <c r="B830" i="1" s="1"/>
  <c r="B829" i="1" a="1"/>
  <c r="B829" i="1" s="1"/>
  <c r="F828" i="1" a="1"/>
  <c r="F828" i="1" s="1"/>
  <c r="C829" i="1" a="1"/>
  <c r="C829" i="1" s="1"/>
  <c r="G828" i="1" a="1"/>
  <c r="G828" i="1" s="1"/>
  <c r="F827" i="1" a="1"/>
  <c r="F827" i="1" s="1"/>
  <c r="B828" i="1" a="1"/>
  <c r="B828" i="1" s="1"/>
  <c r="G824" i="1" a="1"/>
  <c r="G824" i="1" s="1"/>
  <c r="C825" i="1" a="1"/>
  <c r="C825" i="1" s="1"/>
  <c r="F824" i="1" a="1"/>
  <c r="F824" i="1" s="1"/>
  <c r="B825" i="1" a="1"/>
  <c r="B825" i="1" s="1"/>
  <c r="H834" i="1" l="1" a="1"/>
  <c r="H834" i="1" s="1"/>
  <c r="H837" i="1" s="1"/>
  <c r="AD834" i="1" a="1"/>
  <c r="AD834" i="1" s="1"/>
  <c r="AD837" i="1" s="1"/>
  <c r="AV834" i="1" a="1"/>
  <c r="AV834" i="1" s="1"/>
  <c r="AV837" i="1" s="1"/>
  <c r="F834" i="1" a="1"/>
  <c r="F834" i="1" s="1"/>
  <c r="F837" i="1" s="1"/>
  <c r="AF834" i="1" a="1"/>
  <c r="AF834" i="1" s="1"/>
  <c r="AF837" i="1" s="1"/>
  <c r="B834" i="1" a="1"/>
  <c r="B834" i="1" s="1"/>
  <c r="B837" i="1" s="1"/>
  <c r="I834" i="1" a="1"/>
  <c r="I834" i="1" s="1"/>
  <c r="I837" i="1" s="1"/>
  <c r="AQ834" i="1" a="1"/>
  <c r="AQ834" i="1" s="1"/>
  <c r="AQ837" i="1" s="1"/>
  <c r="M834" i="1" a="1"/>
  <c r="M834" i="1" s="1"/>
  <c r="M837" i="1" s="1"/>
  <c r="AL834" i="1" a="1"/>
  <c r="AL834" i="1" s="1"/>
  <c r="AL837" i="1" s="1"/>
  <c r="G834" i="1" a="1"/>
  <c r="G834" i="1" s="1"/>
  <c r="G837" i="1" s="1"/>
  <c r="AJ834" i="1" a="1"/>
  <c r="AJ834" i="1" s="1"/>
  <c r="AJ837" i="1" s="1"/>
  <c r="AS834" i="1" a="1"/>
  <c r="AS834" i="1" s="1"/>
  <c r="AS837" i="1" s="1"/>
  <c r="Z834" i="1" a="1"/>
  <c r="Z834" i="1" s="1"/>
  <c r="Z837" i="1" s="1"/>
  <c r="AG834" i="1" a="1"/>
  <c r="AG834" i="1" s="1"/>
  <c r="AG837" i="1" s="1"/>
  <c r="AC834" i="1" a="1"/>
  <c r="AC834" i="1" s="1"/>
  <c r="AC837" i="1" s="1"/>
  <c r="AM834" i="1" a="1"/>
  <c r="AM834" i="1" s="1"/>
  <c r="AM837" i="1" s="1"/>
  <c r="AP834" i="1" a="1"/>
  <c r="AP834" i="1" s="1"/>
  <c r="AP837" i="1" s="1"/>
  <c r="X834" i="1" a="1"/>
  <c r="X834" i="1" s="1"/>
  <c r="X837" i="1" s="1"/>
  <c r="B844" i="1" s="1"/>
  <c r="D844" i="1" s="1"/>
  <c r="AK834" i="1" a="1"/>
  <c r="AK834" i="1" s="1"/>
  <c r="AK837" i="1" s="1"/>
  <c r="AR834" i="1" a="1"/>
  <c r="AR834" i="1" s="1"/>
  <c r="AR837" i="1" s="1"/>
  <c r="AE834" i="1" a="1"/>
  <c r="AE834" i="1" s="1"/>
  <c r="AE837" i="1" s="1"/>
  <c r="O834" i="1" a="1"/>
  <c r="O834" i="1" s="1"/>
  <c r="O837" i="1" s="1"/>
  <c r="R834" i="1" a="1"/>
  <c r="R834" i="1" s="1"/>
  <c r="R837" i="1" s="1"/>
  <c r="AI834" i="1" a="1"/>
  <c r="AI834" i="1" s="1"/>
  <c r="AI837" i="1" s="1"/>
  <c r="B848" i="1" l="1"/>
  <c r="D848" i="1" s="1"/>
  <c r="B845" i="1"/>
  <c r="E845" i="1" s="1"/>
  <c r="B841" i="1"/>
  <c r="E841" i="1" s="1"/>
  <c r="B842" i="1"/>
  <c r="E842" i="1" s="1"/>
  <c r="B846" i="1"/>
  <c r="E846" i="1" s="1"/>
  <c r="B847" i="1"/>
  <c r="E847" i="1" s="1"/>
  <c r="E844" i="1"/>
  <c r="F844" i="1" s="1" a="1"/>
  <c r="F844" i="1" s="1"/>
  <c r="G844" i="1" s="1"/>
  <c r="B843" i="1"/>
  <c r="E848" i="1" l="1"/>
  <c r="F848" i="1" s="1" a="1"/>
  <c r="F848" i="1" s="1"/>
  <c r="G848" i="1" s="1"/>
  <c r="D845" i="1"/>
  <c r="F845" i="1" s="1" a="1"/>
  <c r="F845" i="1" s="1"/>
  <c r="G845" i="1" s="1"/>
  <c r="D841" i="1"/>
  <c r="F841" i="1" s="1" a="1"/>
  <c r="F841" i="1" s="1"/>
  <c r="G841" i="1" s="1"/>
  <c r="D842" i="1"/>
  <c r="F842" i="1" s="1" a="1"/>
  <c r="F842" i="1" s="1"/>
  <c r="G842" i="1" s="1"/>
  <c r="D846" i="1"/>
  <c r="F846" i="1" s="1" a="1"/>
  <c r="F846" i="1" s="1"/>
  <c r="G846" i="1" s="1"/>
  <c r="D847" i="1"/>
  <c r="F847" i="1" s="1" a="1"/>
  <c r="F847" i="1" s="1"/>
  <c r="G847" i="1" s="1"/>
  <c r="E843" i="1"/>
  <c r="D843" i="1"/>
  <c r="F843" i="1" l="1" a="1"/>
  <c r="F843" i="1" s="1"/>
  <c r="G843" i="1" s="1"/>
  <c r="U842" i="1" l="1"/>
  <c r="O847" i="1" s="1" a="1"/>
  <c r="O847" i="1" s="1"/>
  <c r="G854" i="1" s="1"/>
  <c r="D858" i="1" s="1" a="1"/>
  <c r="D858" i="1" s="1"/>
  <c r="AC842" i="1"/>
  <c r="L847" i="1" s="1" a="1"/>
  <c r="L847" i="1" s="1"/>
  <c r="D854" i="1" s="1"/>
  <c r="E857" i="1" s="1" a="1"/>
  <c r="E857" i="1" s="1"/>
  <c r="AK842" i="1"/>
  <c r="P847" i="1" s="1" a="1"/>
  <c r="P847" i="1" s="1"/>
  <c r="H854" i="1" s="1"/>
  <c r="E858" i="1" s="1" a="1"/>
  <c r="E858" i="1" s="1"/>
  <c r="Z842" i="1"/>
  <c r="AN842" i="1"/>
  <c r="AM842" i="1"/>
  <c r="Q842" i="1"/>
  <c r="M842" i="1"/>
  <c r="P842" i="1"/>
  <c r="K847" i="1" s="1" a="1"/>
  <c r="K847" i="1" s="1"/>
  <c r="C854" i="1" s="1"/>
  <c r="D857" i="1" s="1" a="1"/>
  <c r="D857" i="1" s="1"/>
  <c r="O842" i="1"/>
  <c r="AK847" i="1" s="1" a="1"/>
  <c r="AK847" i="1" s="1"/>
  <c r="AC854" i="1" s="1"/>
  <c r="S842" i="1"/>
  <c r="Y847" i="1" s="1" a="1"/>
  <c r="Y847" i="1" s="1"/>
  <c r="Q854" i="1" s="1"/>
  <c r="X842" i="1"/>
  <c r="W842" i="1"/>
  <c r="AE842" i="1"/>
  <c r="Y842" i="1"/>
  <c r="J847" i="1" s="1" a="1"/>
  <c r="J847" i="1" s="1"/>
  <c r="B854" i="1" s="1"/>
  <c r="AG842" i="1"/>
  <c r="AB847" i="1" s="1" a="1"/>
  <c r="AB847" i="1" s="1"/>
  <c r="T854" i="1" s="1"/>
  <c r="T842" i="1"/>
  <c r="J842" i="1"/>
  <c r="K842" i="1"/>
  <c r="N842" i="1"/>
  <c r="AH842" i="1"/>
  <c r="AB842" i="1"/>
  <c r="AJ842" i="1"/>
  <c r="AE847" i="1" s="1" a="1"/>
  <c r="AE847" i="1" s="1"/>
  <c r="W854" i="1" s="1"/>
  <c r="AA842" i="1"/>
  <c r="AO842" i="1"/>
  <c r="V842" i="1"/>
  <c r="AI847" i="1" s="1" a="1"/>
  <c r="AI847" i="1" s="1"/>
  <c r="AA854" i="1" s="1"/>
  <c r="D863" i="1" s="1" a="1"/>
  <c r="D863" i="1" s="1"/>
  <c r="AD842" i="1"/>
  <c r="M847" i="1" s="1" a="1"/>
  <c r="M847" i="1" s="1"/>
  <c r="E854" i="1" s="1"/>
  <c r="AI842" i="1"/>
  <c r="U847" i="1" s="1" a="1"/>
  <c r="U847" i="1" s="1"/>
  <c r="M854" i="1" s="1"/>
  <c r="R842" i="1"/>
  <c r="L842" i="1"/>
  <c r="AF847" i="1" s="1" a="1"/>
  <c r="AF847" i="1" s="1"/>
  <c r="X854" i="1" s="1"/>
  <c r="AL842" i="1"/>
  <c r="AF842" i="1"/>
  <c r="E861" i="1" l="1" a="1"/>
  <c r="E861" i="1" s="1"/>
  <c r="D862" i="1" a="1"/>
  <c r="D862" i="1" s="1"/>
  <c r="E862" i="1" a="1"/>
  <c r="E862" i="1" s="1"/>
  <c r="K867" i="1" a="1"/>
  <c r="K867" i="1" s="1"/>
  <c r="K870" i="1" s="1"/>
  <c r="E867" i="1" a="1"/>
  <c r="E867" i="1" s="1"/>
  <c r="E870" i="1" s="1"/>
  <c r="AN867" i="1" a="1"/>
  <c r="AN867" i="1" s="1"/>
  <c r="AN870" i="1" s="1"/>
  <c r="D867" i="1" a="1"/>
  <c r="D867" i="1" s="1"/>
  <c r="D870" i="1" s="1"/>
  <c r="J867" i="1" a="1"/>
  <c r="J867" i="1" s="1"/>
  <c r="J870" i="1" s="1"/>
  <c r="AA847" i="1" a="1"/>
  <c r="AA847" i="1" s="1"/>
  <c r="S854" i="1" s="1"/>
  <c r="D861" i="1" s="1" a="1"/>
  <c r="D861" i="1" s="1"/>
  <c r="F860" i="1" a="1"/>
  <c r="F860" i="1" s="1"/>
  <c r="B861" i="1" a="1"/>
  <c r="B861" i="1" s="1"/>
  <c r="B860" i="1" a="1"/>
  <c r="B860" i="1" s="1"/>
  <c r="F859" i="1" a="1"/>
  <c r="F859" i="1" s="1"/>
  <c r="B864" i="1" a="1"/>
  <c r="B864" i="1" s="1"/>
  <c r="F863" i="1" a="1"/>
  <c r="F863" i="1" s="1"/>
  <c r="F857" i="1" a="1"/>
  <c r="F857" i="1" s="1"/>
  <c r="B858" i="1" a="1"/>
  <c r="B858" i="1" s="1"/>
  <c r="C857" i="1" a="1"/>
  <c r="C857" i="1" s="1"/>
  <c r="G864" i="1" a="1"/>
  <c r="G864" i="1" s="1"/>
  <c r="AL847" i="1" a="1"/>
  <c r="AL847" i="1" s="1"/>
  <c r="AD854" i="1" s="1"/>
  <c r="Z847" i="1" a="1"/>
  <c r="Z847" i="1" s="1"/>
  <c r="R854" i="1" s="1"/>
  <c r="AG847" i="1" a="1"/>
  <c r="AG847" i="1" s="1"/>
  <c r="Y854" i="1" s="1"/>
  <c r="AC847" i="1" a="1"/>
  <c r="AC847" i="1" s="1"/>
  <c r="U854" i="1" s="1"/>
  <c r="AH847" i="1" a="1"/>
  <c r="AH847" i="1" s="1"/>
  <c r="Z854" i="1" s="1"/>
  <c r="R847" i="1" a="1"/>
  <c r="R847" i="1" s="1"/>
  <c r="J854" i="1" s="1"/>
  <c r="S847" i="1" a="1"/>
  <c r="S847" i="1" s="1"/>
  <c r="K854" i="1" s="1"/>
  <c r="D859" i="1" s="1" a="1"/>
  <c r="D859" i="1" s="1"/>
  <c r="AD847" i="1" a="1"/>
  <c r="AD847" i="1" s="1"/>
  <c r="V854" i="1" s="1"/>
  <c r="AJ847" i="1" a="1"/>
  <c r="AJ847" i="1" s="1"/>
  <c r="AB854" i="1" s="1"/>
  <c r="E863" i="1" s="1" a="1"/>
  <c r="E863" i="1" s="1"/>
  <c r="T847" i="1" a="1"/>
  <c r="T847" i="1" s="1"/>
  <c r="L854" i="1" s="1"/>
  <c r="E859" i="1" s="1" a="1"/>
  <c r="E859" i="1" s="1"/>
  <c r="W847" i="1" a="1"/>
  <c r="W847" i="1" s="1"/>
  <c r="O854" i="1" s="1"/>
  <c r="D860" i="1" s="1" a="1"/>
  <c r="D860" i="1" s="1"/>
  <c r="AO847" i="1" a="1"/>
  <c r="AO847" i="1" s="1"/>
  <c r="AG854" i="1" s="1"/>
  <c r="X847" i="1" a="1"/>
  <c r="X847" i="1" s="1"/>
  <c r="P854" i="1" s="1"/>
  <c r="E860" i="1" s="1" a="1"/>
  <c r="E860" i="1" s="1"/>
  <c r="N847" i="1" a="1"/>
  <c r="N847" i="1" s="1"/>
  <c r="F854" i="1" s="1"/>
  <c r="V847" i="1" a="1"/>
  <c r="V847" i="1" s="1"/>
  <c r="N854" i="1" s="1"/>
  <c r="Q847" i="1" a="1"/>
  <c r="Q847" i="1" s="1"/>
  <c r="I854" i="1" s="1"/>
  <c r="AN847" i="1" a="1"/>
  <c r="AN847" i="1" s="1"/>
  <c r="AF854" i="1" s="1"/>
  <c r="E864" i="1" s="1" a="1"/>
  <c r="E864" i="1" s="1"/>
  <c r="AM847" i="1" a="1"/>
  <c r="AM847" i="1" s="1"/>
  <c r="AE854" i="1" s="1"/>
  <c r="D864" i="1" s="1" a="1"/>
  <c r="D864" i="1" s="1"/>
  <c r="H867" i="1" l="1" a="1"/>
  <c r="H867" i="1" s="1"/>
  <c r="H870" i="1" s="1"/>
  <c r="W867" i="1" a="1"/>
  <c r="W867" i="1" s="1"/>
  <c r="W870" i="1" s="1"/>
  <c r="F867" i="1" a="1"/>
  <c r="F867" i="1" s="1"/>
  <c r="F870" i="1" s="1"/>
  <c r="AB867" i="1" a="1"/>
  <c r="AB867" i="1" s="1"/>
  <c r="AB870" i="1" s="1"/>
  <c r="AP867" i="1" a="1"/>
  <c r="AP867" i="1" s="1"/>
  <c r="AP870" i="1" s="1"/>
  <c r="V867" i="1" a="1"/>
  <c r="V867" i="1" s="1"/>
  <c r="V870" i="1" s="1"/>
  <c r="AR867" i="1" a="1"/>
  <c r="AR867" i="1" s="1"/>
  <c r="AR870" i="1" s="1"/>
  <c r="Q867" i="1" a="1"/>
  <c r="Q867" i="1" s="1"/>
  <c r="Q870" i="1" s="1"/>
  <c r="R867" i="1" a="1"/>
  <c r="R867" i="1" s="1"/>
  <c r="R870" i="1" s="1"/>
  <c r="AH867" i="1" a="1"/>
  <c r="AH867" i="1" s="1"/>
  <c r="AH870" i="1" s="1"/>
  <c r="AO867" i="1" a="1"/>
  <c r="AO867" i="1" s="1"/>
  <c r="AO870" i="1" s="1"/>
  <c r="T867" i="1" a="1"/>
  <c r="T867" i="1" s="1"/>
  <c r="T870" i="1" s="1"/>
  <c r="AI867" i="1" a="1"/>
  <c r="AI867" i="1" s="1"/>
  <c r="AI870" i="1" s="1"/>
  <c r="AT867" i="1" a="1"/>
  <c r="AT867" i="1" s="1"/>
  <c r="AT870" i="1" s="1"/>
  <c r="AW867" i="1" a="1"/>
  <c r="AW867" i="1" s="1"/>
  <c r="AW870" i="1" s="1"/>
  <c r="Z867" i="1" a="1"/>
  <c r="Z867" i="1" s="1"/>
  <c r="Z870" i="1" s="1"/>
  <c r="AU867" i="1" a="1"/>
  <c r="AU867" i="1" s="1"/>
  <c r="AU870" i="1" s="1"/>
  <c r="P867" i="1" a="1"/>
  <c r="P867" i="1" s="1"/>
  <c r="P870" i="1" s="1"/>
  <c r="C867" i="1" a="1"/>
  <c r="C867" i="1" s="1"/>
  <c r="C870" i="1" s="1"/>
  <c r="X867" i="1" a="1"/>
  <c r="X867" i="1" s="1"/>
  <c r="X870" i="1" s="1"/>
  <c r="AC867" i="1" a="1"/>
  <c r="AC867" i="1" s="1"/>
  <c r="AC870" i="1" s="1"/>
  <c r="G857" i="1" a="1"/>
  <c r="G857" i="1" s="1"/>
  <c r="C858" i="1" a="1"/>
  <c r="C858" i="1" s="1"/>
  <c r="G862" i="1" a="1"/>
  <c r="G862" i="1" s="1"/>
  <c r="C863" i="1" a="1"/>
  <c r="C863" i="1" s="1"/>
  <c r="B862" i="1" a="1"/>
  <c r="B862" i="1" s="1"/>
  <c r="F861" i="1" a="1"/>
  <c r="F861" i="1" s="1"/>
  <c r="G858" i="1" a="1"/>
  <c r="G858" i="1" s="1"/>
  <c r="C859" i="1" a="1"/>
  <c r="C859" i="1" s="1"/>
  <c r="F862" i="1" a="1"/>
  <c r="F862" i="1" s="1"/>
  <c r="B863" i="1" a="1"/>
  <c r="B863" i="1" s="1"/>
  <c r="G860" i="1" a="1"/>
  <c r="G860" i="1" s="1"/>
  <c r="C861" i="1" a="1"/>
  <c r="C861" i="1" s="1"/>
  <c r="B857" i="1" a="1"/>
  <c r="B857" i="1" s="1"/>
  <c r="F864" i="1" a="1"/>
  <c r="F864" i="1" s="1"/>
  <c r="C864" i="1" a="1"/>
  <c r="C864" i="1" s="1"/>
  <c r="G863" i="1" a="1"/>
  <c r="G863" i="1" s="1"/>
  <c r="F858" i="1" a="1"/>
  <c r="F858" i="1" s="1"/>
  <c r="B859" i="1" a="1"/>
  <c r="B859" i="1" s="1"/>
  <c r="C860" i="1" a="1"/>
  <c r="C860" i="1" s="1"/>
  <c r="G859" i="1" a="1"/>
  <c r="G859" i="1" s="1"/>
  <c r="C862" i="1" a="1"/>
  <c r="C862" i="1" s="1"/>
  <c r="G861" i="1" a="1"/>
  <c r="G861" i="1" s="1"/>
  <c r="U867" i="1" l="1" a="1"/>
  <c r="U867" i="1" s="1"/>
  <c r="U870" i="1" s="1"/>
  <c r="L867" i="1" a="1"/>
  <c r="L867" i="1" s="1"/>
  <c r="L870" i="1" s="1"/>
  <c r="AJ867" i="1" a="1"/>
  <c r="AJ867" i="1" s="1"/>
  <c r="AJ870" i="1" s="1"/>
  <c r="G867" i="1" a="1"/>
  <c r="G867" i="1" s="1"/>
  <c r="G870" i="1" s="1"/>
  <c r="AL867" i="1" a="1"/>
  <c r="AL867" i="1" s="1"/>
  <c r="AL870" i="1" s="1"/>
  <c r="AQ867" i="1" a="1"/>
  <c r="AQ867" i="1" s="1"/>
  <c r="AQ870" i="1" s="1"/>
  <c r="O867" i="1" a="1"/>
  <c r="O867" i="1" s="1"/>
  <c r="O870" i="1" s="1"/>
  <c r="N867" i="1" a="1"/>
  <c r="N867" i="1" s="1"/>
  <c r="N870" i="1" s="1"/>
  <c r="I867" i="1" a="1"/>
  <c r="I867" i="1" s="1"/>
  <c r="I870" i="1" s="1"/>
  <c r="AS867" i="1" a="1"/>
  <c r="AS867" i="1" s="1"/>
  <c r="AS870" i="1" s="1"/>
  <c r="M867" i="1" a="1"/>
  <c r="M867" i="1" s="1"/>
  <c r="M870" i="1" s="1"/>
  <c r="Y867" i="1" a="1"/>
  <c r="Y867" i="1" s="1"/>
  <c r="Y870" i="1" s="1"/>
  <c r="AK867" i="1" a="1"/>
  <c r="AK867" i="1" s="1"/>
  <c r="AK870" i="1" s="1"/>
  <c r="AE867" i="1" a="1"/>
  <c r="AE867" i="1" s="1"/>
  <c r="AE870" i="1" s="1"/>
  <c r="AD867" i="1" a="1"/>
  <c r="AD867" i="1" s="1"/>
  <c r="AD870" i="1" s="1"/>
  <c r="AV867" i="1" a="1"/>
  <c r="AV867" i="1" s="1"/>
  <c r="AV870" i="1" s="1"/>
  <c r="AG867" i="1" a="1"/>
  <c r="AG867" i="1" s="1"/>
  <c r="AG870" i="1" s="1"/>
  <c r="AF867" i="1" a="1"/>
  <c r="AF867" i="1" s="1"/>
  <c r="AF870" i="1" s="1"/>
  <c r="S867" i="1" a="1"/>
  <c r="S867" i="1" s="1"/>
  <c r="S870" i="1" s="1"/>
  <c r="AA867" i="1" a="1"/>
  <c r="AA867" i="1" s="1"/>
  <c r="AA870" i="1" s="1"/>
  <c r="AM867" i="1" a="1"/>
  <c r="AM867" i="1" s="1"/>
  <c r="AM870" i="1" s="1"/>
  <c r="B867" i="1" a="1"/>
  <c r="B867" i="1" s="1"/>
  <c r="B870" i="1" s="1"/>
  <c r="B874" i="1" l="1"/>
  <c r="E874" i="1" s="1"/>
  <c r="B878" i="1"/>
  <c r="D878" i="1" s="1"/>
  <c r="B876" i="1"/>
  <c r="E876" i="1" s="1"/>
  <c r="B879" i="1"/>
  <c r="D879" i="1" s="1"/>
  <c r="B881" i="1"/>
  <c r="E881" i="1" s="1"/>
  <c r="B875" i="1"/>
  <c r="D875" i="1" s="1"/>
  <c r="B880" i="1"/>
  <c r="E880" i="1" s="1"/>
  <c r="B877" i="1"/>
  <c r="E877" i="1" s="1"/>
  <c r="D874" i="1" l="1"/>
  <c r="F874" i="1" s="1" a="1"/>
  <c r="F874" i="1" s="1"/>
  <c r="G874" i="1" s="1"/>
  <c r="D876" i="1"/>
  <c r="F876" i="1" s="1" a="1"/>
  <c r="F876" i="1" s="1"/>
  <c r="G876" i="1" s="1"/>
  <c r="E878" i="1"/>
  <c r="F878" i="1" s="1" a="1"/>
  <c r="F878" i="1" s="1"/>
  <c r="G878" i="1" s="1"/>
  <c r="E879" i="1"/>
  <c r="F879" i="1" s="1" a="1"/>
  <c r="F879" i="1" s="1"/>
  <c r="G879" i="1" s="1"/>
  <c r="D881" i="1"/>
  <c r="F881" i="1" s="1" a="1"/>
  <c r="F881" i="1" s="1"/>
  <c r="G881" i="1" s="1"/>
  <c r="E875" i="1"/>
  <c r="F875" i="1" s="1" a="1"/>
  <c r="F875" i="1" s="1"/>
  <c r="G875" i="1" s="1"/>
  <c r="D877" i="1"/>
  <c r="F877" i="1" s="1" a="1"/>
  <c r="F877" i="1" s="1"/>
  <c r="G877" i="1" s="1"/>
  <c r="D880" i="1"/>
  <c r="F880" i="1" s="1" a="1"/>
  <c r="F880" i="1" s="1"/>
  <c r="G880" i="1" s="1"/>
  <c r="AO875" i="1" l="1"/>
  <c r="V875" i="1"/>
  <c r="AG875" i="1"/>
  <c r="N875" i="1"/>
  <c r="Y875" i="1"/>
  <c r="AE875" i="1"/>
  <c r="AK875" i="1"/>
  <c r="AI875" i="1"/>
  <c r="X875" i="1"/>
  <c r="AB875" i="1"/>
  <c r="P875" i="1"/>
  <c r="T875" i="1"/>
  <c r="AM875" i="1"/>
  <c r="L875" i="1"/>
  <c r="Q875" i="1"/>
  <c r="W875" i="1"/>
  <c r="AC875" i="1"/>
  <c r="AA875" i="1"/>
  <c r="R875" i="1"/>
  <c r="AD875" i="1"/>
  <c r="Z875" i="1"/>
  <c r="O875" i="1"/>
  <c r="U875" i="1"/>
  <c r="S875" i="1"/>
  <c r="AH875" i="1"/>
  <c r="AN875" i="1"/>
  <c r="M875" i="1"/>
  <c r="K875" i="1"/>
  <c r="AF875" i="1"/>
  <c r="AL875" i="1"/>
  <c r="AJ875" i="1"/>
  <c r="J875" i="1"/>
  <c r="Z880" i="1" l="1" a="1"/>
  <c r="Z880" i="1" s="1"/>
  <c r="R887" i="1" s="1"/>
  <c r="AN880" i="1" a="1"/>
  <c r="AN880" i="1" s="1"/>
  <c r="AF887" i="1" s="1"/>
  <c r="E897" i="1" s="1" a="1"/>
  <c r="E897" i="1" s="1"/>
  <c r="N880" i="1" a="1"/>
  <c r="N880" i="1" s="1"/>
  <c r="F887" i="1" s="1"/>
  <c r="AO880" i="1" a="1"/>
  <c r="AO880" i="1" s="1"/>
  <c r="AG887" i="1" s="1"/>
  <c r="W880" i="1" a="1"/>
  <c r="W880" i="1" s="1"/>
  <c r="O887" i="1" s="1"/>
  <c r="D893" i="1" s="1" a="1"/>
  <c r="D893" i="1" s="1"/>
  <c r="M880" i="1" a="1"/>
  <c r="M880" i="1" s="1"/>
  <c r="E887" i="1" s="1"/>
  <c r="AC880" i="1" a="1"/>
  <c r="AC880" i="1" s="1"/>
  <c r="U887" i="1" s="1"/>
  <c r="AM880" i="1" a="1"/>
  <c r="AM880" i="1" s="1"/>
  <c r="AE887" i="1" s="1"/>
  <c r="D897" i="1" s="1" a="1"/>
  <c r="D897" i="1" s="1"/>
  <c r="V880" i="1" a="1"/>
  <c r="V880" i="1" s="1"/>
  <c r="N887" i="1" s="1"/>
  <c r="R880" i="1" a="1"/>
  <c r="R880" i="1" s="1"/>
  <c r="J887" i="1" s="1"/>
  <c r="Y880" i="1" a="1"/>
  <c r="Y880" i="1" s="1"/>
  <c r="Q887" i="1" s="1"/>
  <c r="X880" i="1" a="1"/>
  <c r="X880" i="1" s="1"/>
  <c r="P887" i="1" s="1"/>
  <c r="E893" i="1" s="1" a="1"/>
  <c r="E893" i="1" s="1"/>
  <c r="AK880" i="1" a="1"/>
  <c r="AK880" i="1" s="1"/>
  <c r="AC887" i="1" s="1"/>
  <c r="T880" i="1" a="1"/>
  <c r="T880" i="1" s="1"/>
  <c r="L887" i="1" s="1"/>
  <c r="E892" i="1" s="1" a="1"/>
  <c r="E892" i="1" s="1"/>
  <c r="Q880" i="1" a="1"/>
  <c r="Q880" i="1" s="1"/>
  <c r="I887" i="1" s="1"/>
  <c r="L880" i="1" a="1"/>
  <c r="L880" i="1" s="1"/>
  <c r="D887" i="1" s="1"/>
  <c r="E890" i="1" s="1" a="1"/>
  <c r="E890" i="1" s="1"/>
  <c r="AG880" i="1" a="1"/>
  <c r="AG880" i="1" s="1"/>
  <c r="Y887" i="1" s="1"/>
  <c r="AA880" i="1" a="1"/>
  <c r="AA880" i="1" s="1"/>
  <c r="S887" i="1" s="1"/>
  <c r="D894" i="1" s="1" a="1"/>
  <c r="D894" i="1" s="1"/>
  <c r="K880" i="1" a="1"/>
  <c r="K880" i="1" s="1"/>
  <c r="C887" i="1" s="1"/>
  <c r="D890" i="1" s="1" a="1"/>
  <c r="D890" i="1" s="1"/>
  <c r="AB880" i="1" a="1"/>
  <c r="AB880" i="1" s="1"/>
  <c r="T887" i="1" s="1"/>
  <c r="P880" i="1" a="1"/>
  <c r="P880" i="1" s="1"/>
  <c r="H887" i="1" s="1"/>
  <c r="E891" i="1" s="1" a="1"/>
  <c r="E891" i="1" s="1"/>
  <c r="U880" i="1" a="1"/>
  <c r="U880" i="1" s="1"/>
  <c r="M887" i="1" s="1"/>
  <c r="O880" i="1" a="1"/>
  <c r="O880" i="1" s="1"/>
  <c r="G887" i="1" s="1"/>
  <c r="D891" i="1" s="1" a="1"/>
  <c r="D891" i="1" s="1"/>
  <c r="AF880" i="1" a="1"/>
  <c r="AF880" i="1" s="1"/>
  <c r="X887" i="1" s="1"/>
  <c r="AH880" i="1" a="1"/>
  <c r="AH880" i="1" s="1"/>
  <c r="Z887" i="1" s="1"/>
  <c r="AL880" i="1" a="1"/>
  <c r="AL880" i="1" s="1"/>
  <c r="AD887" i="1" s="1"/>
  <c r="AI880" i="1" a="1"/>
  <c r="AI880" i="1" s="1"/>
  <c r="AA887" i="1" s="1"/>
  <c r="D896" i="1" s="1" a="1"/>
  <c r="D896" i="1" s="1"/>
  <c r="AE880" i="1" a="1"/>
  <c r="AE880" i="1" s="1"/>
  <c r="W887" i="1" s="1"/>
  <c r="AJ880" i="1" a="1"/>
  <c r="AJ880" i="1" s="1"/>
  <c r="AB887" i="1" s="1"/>
  <c r="E896" i="1" s="1" a="1"/>
  <c r="E896" i="1" s="1"/>
  <c r="S880" i="1" a="1"/>
  <c r="S880" i="1" s="1"/>
  <c r="K887" i="1" s="1"/>
  <c r="D892" i="1" s="1" a="1"/>
  <c r="D892" i="1" s="1"/>
  <c r="J880" i="1" a="1"/>
  <c r="J880" i="1" s="1"/>
  <c r="B887" i="1" s="1"/>
  <c r="AD880" i="1" a="1"/>
  <c r="AD880" i="1" s="1"/>
  <c r="V887" i="1" s="1"/>
  <c r="E900" i="1" l="1" a="1"/>
  <c r="E900" i="1" s="1"/>
  <c r="E903" i="1" s="1"/>
  <c r="AT900" i="1" a="1"/>
  <c r="AT900" i="1" s="1"/>
  <c r="AT903" i="1" s="1"/>
  <c r="E895" i="1" a="1"/>
  <c r="E895" i="1" s="1"/>
  <c r="J900" i="1" a="1"/>
  <c r="J900" i="1" s="1"/>
  <c r="J903" i="1" s="1"/>
  <c r="Q900" i="1" a="1"/>
  <c r="Q900" i="1" s="1"/>
  <c r="Q903" i="1" s="1"/>
  <c r="K900" i="1" a="1"/>
  <c r="K900" i="1" s="1"/>
  <c r="K903" i="1" s="1"/>
  <c r="V900" i="1" a="1"/>
  <c r="V900" i="1" s="1"/>
  <c r="V903" i="1" s="1"/>
  <c r="E894" i="1" a="1"/>
  <c r="E894" i="1" s="1"/>
  <c r="W900" i="1" a="1"/>
  <c r="W900" i="1" s="1"/>
  <c r="W903" i="1" s="1"/>
  <c r="P900" i="1" a="1"/>
  <c r="P900" i="1" s="1"/>
  <c r="P903" i="1" s="1"/>
  <c r="AO900" i="1" a="1"/>
  <c r="AO900" i="1" s="1"/>
  <c r="AO903" i="1" s="1"/>
  <c r="D895" i="1" a="1"/>
  <c r="D895" i="1" s="1"/>
  <c r="AN900" i="1" a="1"/>
  <c r="AN900" i="1" s="1"/>
  <c r="AN903" i="1" s="1"/>
  <c r="D900" i="1" a="1"/>
  <c r="D900" i="1" s="1"/>
  <c r="D903" i="1" s="1"/>
  <c r="AB900" i="1" a="1"/>
  <c r="AB900" i="1" s="1"/>
  <c r="AB903" i="1" s="1"/>
  <c r="AU900" i="1" a="1"/>
  <c r="AU900" i="1" s="1"/>
  <c r="AU903" i="1" s="1"/>
  <c r="B890" i="1" a="1"/>
  <c r="B890" i="1" s="1"/>
  <c r="F897" i="1" a="1"/>
  <c r="F897" i="1" s="1"/>
  <c r="F891" i="1" a="1"/>
  <c r="F891" i="1" s="1"/>
  <c r="B892" i="1" a="1"/>
  <c r="B892" i="1" s="1"/>
  <c r="F893" i="1" a="1"/>
  <c r="F893" i="1" s="1"/>
  <c r="B894" i="1" a="1"/>
  <c r="B894" i="1" s="1"/>
  <c r="B895" i="1" a="1"/>
  <c r="B895" i="1" s="1"/>
  <c r="F894" i="1" a="1"/>
  <c r="F894" i="1" s="1"/>
  <c r="G890" i="1" a="1"/>
  <c r="G890" i="1" s="1"/>
  <c r="C891" i="1" a="1"/>
  <c r="C891" i="1" s="1"/>
  <c r="G891" i="1" a="1"/>
  <c r="G891" i="1" s="1"/>
  <c r="C892" i="1" a="1"/>
  <c r="C892" i="1" s="1"/>
  <c r="F890" i="1" a="1"/>
  <c r="F890" i="1" s="1"/>
  <c r="B891" i="1" a="1"/>
  <c r="B891" i="1" s="1"/>
  <c r="C897" i="1" a="1"/>
  <c r="C897" i="1" s="1"/>
  <c r="G896" i="1" a="1"/>
  <c r="G896" i="1" s="1"/>
  <c r="C895" i="1" a="1"/>
  <c r="C895" i="1" s="1"/>
  <c r="G894" i="1" a="1"/>
  <c r="G894" i="1" s="1"/>
  <c r="C890" i="1" a="1"/>
  <c r="C890" i="1" s="1"/>
  <c r="G897" i="1" a="1"/>
  <c r="G897" i="1" s="1"/>
  <c r="B893" i="1" a="1"/>
  <c r="B893" i="1" s="1"/>
  <c r="F892" i="1" a="1"/>
  <c r="F892" i="1" s="1"/>
  <c r="G895" i="1" a="1"/>
  <c r="G895" i="1" s="1"/>
  <c r="C896" i="1" a="1"/>
  <c r="C896" i="1" s="1"/>
  <c r="F895" i="1" a="1"/>
  <c r="F895" i="1" s="1"/>
  <c r="B896" i="1" a="1"/>
  <c r="B896" i="1" s="1"/>
  <c r="B897" i="1" a="1"/>
  <c r="B897" i="1" s="1"/>
  <c r="F896" i="1" a="1"/>
  <c r="F896" i="1" s="1"/>
  <c r="C893" i="1" a="1"/>
  <c r="C893" i="1" s="1"/>
  <c r="G892" i="1" a="1"/>
  <c r="G892" i="1" s="1"/>
  <c r="G893" i="1" a="1"/>
  <c r="G893" i="1" s="1"/>
  <c r="C894" i="1" a="1"/>
  <c r="C894" i="1" s="1"/>
  <c r="AK900" i="1" l="1" a="1"/>
  <c r="AK900" i="1" s="1"/>
  <c r="AK903" i="1" s="1"/>
  <c r="S900" i="1" a="1"/>
  <c r="S900" i="1" s="1"/>
  <c r="S903" i="1" s="1"/>
  <c r="T900" i="1" a="1"/>
  <c r="T900" i="1" s="1"/>
  <c r="T903" i="1" s="1"/>
  <c r="F900" i="1" a="1"/>
  <c r="F900" i="1" s="1"/>
  <c r="F903" i="1" s="1"/>
  <c r="X900" i="1" a="1"/>
  <c r="X900" i="1" s="1"/>
  <c r="X903" i="1" s="1"/>
  <c r="AW900" i="1" a="1"/>
  <c r="AW900" i="1" s="1"/>
  <c r="AW903" i="1" s="1"/>
  <c r="AH900" i="1" a="1"/>
  <c r="AH900" i="1" s="1"/>
  <c r="AH903" i="1" s="1"/>
  <c r="C900" i="1" a="1"/>
  <c r="C900" i="1" s="1"/>
  <c r="C903" i="1" s="1"/>
  <c r="L900" i="1" a="1"/>
  <c r="L900" i="1" s="1"/>
  <c r="L903" i="1" s="1"/>
  <c r="AC900" i="1" a="1"/>
  <c r="AC900" i="1" s="1"/>
  <c r="AC903" i="1" s="1"/>
  <c r="AP900" i="1" a="1"/>
  <c r="AP900" i="1" s="1"/>
  <c r="AP903" i="1" s="1"/>
  <c r="O900" i="1" a="1"/>
  <c r="O900" i="1" s="1"/>
  <c r="O903" i="1" s="1"/>
  <c r="N900" i="1" a="1"/>
  <c r="N900" i="1" s="1"/>
  <c r="N903" i="1" s="1"/>
  <c r="AR900" i="1" a="1"/>
  <c r="AR900" i="1" s="1"/>
  <c r="AR903" i="1" s="1"/>
  <c r="M900" i="1" a="1"/>
  <c r="M900" i="1" s="1"/>
  <c r="M903" i="1" s="1"/>
  <c r="AL900" i="1" a="1"/>
  <c r="AL900" i="1" s="1"/>
  <c r="AL903" i="1" s="1"/>
  <c r="AE900" i="1" a="1"/>
  <c r="AE900" i="1" s="1"/>
  <c r="AE903" i="1" s="1"/>
  <c r="I900" i="1" a="1"/>
  <c r="I900" i="1" s="1"/>
  <c r="I903" i="1" s="1"/>
  <c r="AV900" i="1" a="1"/>
  <c r="AV900" i="1" s="1"/>
  <c r="AV903" i="1" s="1"/>
  <c r="AI900" i="1" a="1"/>
  <c r="AI900" i="1" s="1"/>
  <c r="AI903" i="1" s="1"/>
  <c r="AM900" i="1" a="1"/>
  <c r="AM900" i="1" s="1"/>
  <c r="AM903" i="1" s="1"/>
  <c r="AD900" i="1" a="1"/>
  <c r="AD900" i="1" s="1"/>
  <c r="AD903" i="1" s="1"/>
  <c r="AJ900" i="1" a="1"/>
  <c r="AJ900" i="1" s="1"/>
  <c r="AJ903" i="1" s="1"/>
  <c r="AG900" i="1" a="1"/>
  <c r="AG900" i="1" s="1"/>
  <c r="AG903" i="1" s="1"/>
  <c r="G900" i="1" a="1"/>
  <c r="G900" i="1" s="1"/>
  <c r="G903" i="1" s="1"/>
  <c r="B900" i="1" a="1"/>
  <c r="B900" i="1" s="1"/>
  <c r="B903" i="1" s="1"/>
  <c r="AQ900" i="1" a="1"/>
  <c r="AQ900" i="1" s="1"/>
  <c r="AQ903" i="1" s="1"/>
  <c r="AS900" i="1" a="1"/>
  <c r="AS900" i="1" s="1"/>
  <c r="AS903" i="1" s="1"/>
  <c r="Y900" i="1" a="1"/>
  <c r="Y900" i="1" s="1"/>
  <c r="Y903" i="1" s="1"/>
  <c r="R900" i="1" a="1"/>
  <c r="R900" i="1" s="1"/>
  <c r="R903" i="1" s="1"/>
  <c r="H900" i="1" a="1"/>
  <c r="H900" i="1" s="1"/>
  <c r="H903" i="1" s="1"/>
  <c r="Z900" i="1" a="1"/>
  <c r="Z900" i="1" s="1"/>
  <c r="Z903" i="1" s="1"/>
  <c r="AA900" i="1" a="1"/>
  <c r="AA900" i="1" s="1"/>
  <c r="AA903" i="1" s="1"/>
  <c r="AF900" i="1" a="1"/>
  <c r="AF900" i="1" s="1"/>
  <c r="AF903" i="1" s="1"/>
  <c r="U900" i="1" a="1"/>
  <c r="U900" i="1" s="1"/>
  <c r="U903" i="1" s="1"/>
  <c r="B912" i="1" l="1"/>
  <c r="E912" i="1" s="1"/>
  <c r="B910" i="1"/>
  <c r="D910" i="1" s="1"/>
  <c r="B908" i="1"/>
  <c r="D908" i="1" s="1"/>
  <c r="B907" i="1"/>
  <c r="D907" i="1" s="1"/>
  <c r="B914" i="1"/>
  <c r="E914" i="1" s="1"/>
  <c r="B911" i="1"/>
  <c r="E911" i="1" s="1"/>
  <c r="B913" i="1"/>
  <c r="D913" i="1" s="1"/>
  <c r="B909" i="1"/>
  <c r="E909" i="1" s="1"/>
  <c r="D912" i="1" l="1"/>
  <c r="F912" i="1" s="1" a="1"/>
  <c r="F912" i="1" s="1"/>
  <c r="G912" i="1" s="1"/>
  <c r="E907" i="1"/>
  <c r="F907" i="1" s="1" a="1"/>
  <c r="F907" i="1" s="1"/>
  <c r="G907" i="1" s="1"/>
  <c r="E908" i="1"/>
  <c r="F908" i="1" s="1" a="1"/>
  <c r="F908" i="1" s="1"/>
  <c r="G908" i="1" s="1"/>
  <c r="D914" i="1"/>
  <c r="F914" i="1" s="1" a="1"/>
  <c r="F914" i="1" s="1"/>
  <c r="G914" i="1" s="1"/>
  <c r="E910" i="1"/>
  <c r="F910" i="1" s="1" a="1"/>
  <c r="F910" i="1" s="1"/>
  <c r="G910" i="1" s="1"/>
  <c r="E913" i="1"/>
  <c r="F913" i="1" s="1" a="1"/>
  <c r="F913" i="1" s="1"/>
  <c r="G913" i="1" s="1"/>
  <c r="D911" i="1"/>
  <c r="F911" i="1" s="1" a="1"/>
  <c r="F911" i="1" s="1"/>
  <c r="G911" i="1" s="1"/>
  <c r="D909" i="1"/>
  <c r="F909" i="1" s="1" a="1"/>
  <c r="F909" i="1" s="1"/>
  <c r="G909" i="1" s="1"/>
  <c r="L908" i="1" l="1"/>
  <c r="AF913" i="1" s="1" a="1"/>
  <c r="AF913" i="1" s="1"/>
  <c r="X920" i="1" s="1"/>
  <c r="J908" i="1"/>
  <c r="Q908" i="1"/>
  <c r="AM908" i="1"/>
  <c r="M908" i="1"/>
  <c r="S908" i="1"/>
  <c r="AN908" i="1"/>
  <c r="O908" i="1"/>
  <c r="K908" i="1"/>
  <c r="U908" i="1"/>
  <c r="AL908" i="1"/>
  <c r="Z908" i="1"/>
  <c r="X908" i="1"/>
  <c r="AD908" i="1"/>
  <c r="N908" i="1"/>
  <c r="AI908" i="1"/>
  <c r="AF908" i="1"/>
  <c r="W908" i="1"/>
  <c r="R908" i="1"/>
  <c r="P908" i="1"/>
  <c r="V908" i="1"/>
  <c r="AJ908" i="1"/>
  <c r="AO908" i="1"/>
  <c r="AA908" i="1"/>
  <c r="AK908" i="1"/>
  <c r="AB908" i="1"/>
  <c r="Y908" i="1"/>
  <c r="AH908" i="1"/>
  <c r="AG908" i="1"/>
  <c r="AE908" i="1"/>
  <c r="AC908" i="1"/>
  <c r="T908" i="1"/>
  <c r="E928" i="1" l="1" a="1"/>
  <c r="E928" i="1" s="1"/>
  <c r="K913" i="1" a="1"/>
  <c r="K913" i="1" s="1"/>
  <c r="C920" i="1" s="1"/>
  <c r="D923" i="1" s="1" a="1"/>
  <c r="D923" i="1" s="1"/>
  <c r="P913" i="1" a="1"/>
  <c r="P913" i="1" s="1"/>
  <c r="H920" i="1" s="1"/>
  <c r="E924" i="1" s="1" a="1"/>
  <c r="E924" i="1" s="1"/>
  <c r="U913" i="1" a="1"/>
  <c r="U913" i="1" s="1"/>
  <c r="M920" i="1" s="1"/>
  <c r="V913" i="1" a="1"/>
  <c r="V913" i="1" s="1"/>
  <c r="N920" i="1" s="1"/>
  <c r="J913" i="1" a="1"/>
  <c r="J913" i="1" s="1"/>
  <c r="B920" i="1" s="1"/>
  <c r="Z913" i="1" a="1"/>
  <c r="Z913" i="1" s="1"/>
  <c r="R920" i="1" s="1"/>
  <c r="X913" i="1" a="1"/>
  <c r="X913" i="1" s="1"/>
  <c r="P920" i="1" s="1"/>
  <c r="E926" i="1" s="1" a="1"/>
  <c r="E926" i="1" s="1"/>
  <c r="AE913" i="1" a="1"/>
  <c r="AE913" i="1" s="1"/>
  <c r="W920" i="1" s="1"/>
  <c r="AO913" i="1" a="1"/>
  <c r="AO913" i="1" s="1"/>
  <c r="AG920" i="1" s="1"/>
  <c r="Q913" i="1" a="1"/>
  <c r="Q913" i="1" s="1"/>
  <c r="I920" i="1" s="1"/>
  <c r="AJ913" i="1" a="1"/>
  <c r="AJ913" i="1" s="1"/>
  <c r="AB920" i="1" s="1"/>
  <c r="E929" i="1" s="1" a="1"/>
  <c r="E929" i="1" s="1"/>
  <c r="N913" i="1" a="1"/>
  <c r="N913" i="1" s="1"/>
  <c r="F920" i="1" s="1"/>
  <c r="T913" i="1" a="1"/>
  <c r="T913" i="1" s="1"/>
  <c r="L920" i="1" s="1"/>
  <c r="E925" i="1" s="1" a="1"/>
  <c r="E925" i="1" s="1"/>
  <c r="AM913" i="1" a="1"/>
  <c r="AM913" i="1" s="1"/>
  <c r="AE920" i="1" s="1"/>
  <c r="D930" i="1" s="1" a="1"/>
  <c r="D930" i="1" s="1"/>
  <c r="W913" i="1" a="1"/>
  <c r="W913" i="1" s="1"/>
  <c r="O920" i="1" s="1"/>
  <c r="D926" i="1" s="1" a="1"/>
  <c r="D926" i="1" s="1"/>
  <c r="AK913" i="1" a="1"/>
  <c r="AK913" i="1" s="1"/>
  <c r="AC920" i="1" s="1"/>
  <c r="L913" i="1" a="1"/>
  <c r="L913" i="1" s="1"/>
  <c r="D920" i="1" s="1"/>
  <c r="E923" i="1" s="1" a="1"/>
  <c r="E923" i="1" s="1"/>
  <c r="AD913" i="1" a="1"/>
  <c r="AD913" i="1" s="1"/>
  <c r="V920" i="1" s="1"/>
  <c r="AL913" i="1" a="1"/>
  <c r="AL913" i="1" s="1"/>
  <c r="AD920" i="1" s="1"/>
  <c r="M913" i="1" a="1"/>
  <c r="M913" i="1" s="1"/>
  <c r="E920" i="1" s="1"/>
  <c r="Y913" i="1" a="1"/>
  <c r="Y913" i="1" s="1"/>
  <c r="Q920" i="1" s="1"/>
  <c r="AB913" i="1" a="1"/>
  <c r="AB913" i="1" s="1"/>
  <c r="T920" i="1" s="1"/>
  <c r="AI913" i="1" a="1"/>
  <c r="AI913" i="1" s="1"/>
  <c r="AA920" i="1" s="1"/>
  <c r="D929" i="1" s="1" a="1"/>
  <c r="D929" i="1" s="1"/>
  <c r="S913" i="1" a="1"/>
  <c r="S913" i="1" s="1"/>
  <c r="K920" i="1" s="1"/>
  <c r="D925" i="1" s="1" a="1"/>
  <c r="D925" i="1" s="1"/>
  <c r="AN913" i="1" a="1"/>
  <c r="AN913" i="1" s="1"/>
  <c r="AF920" i="1" s="1"/>
  <c r="E930" i="1" s="1" a="1"/>
  <c r="E930" i="1" s="1"/>
  <c r="AA913" i="1" a="1"/>
  <c r="AA913" i="1" s="1"/>
  <c r="S920" i="1" s="1"/>
  <c r="D927" i="1" s="1" a="1"/>
  <c r="D927" i="1" s="1"/>
  <c r="AH913" i="1" a="1"/>
  <c r="AH913" i="1" s="1"/>
  <c r="Z920" i="1" s="1"/>
  <c r="AC913" i="1" a="1"/>
  <c r="AC913" i="1" s="1"/>
  <c r="U920" i="1" s="1"/>
  <c r="O913" i="1" a="1"/>
  <c r="O913" i="1" s="1"/>
  <c r="G920" i="1" s="1"/>
  <c r="D924" i="1" s="1" a="1"/>
  <c r="D924" i="1" s="1"/>
  <c r="R913" i="1" a="1"/>
  <c r="R913" i="1" s="1"/>
  <c r="J920" i="1" s="1"/>
  <c r="AG913" i="1" a="1"/>
  <c r="AG913" i="1" s="1"/>
  <c r="Y920" i="1" s="1"/>
  <c r="Q933" i="1" l="1" a="1"/>
  <c r="Q933" i="1" s="1"/>
  <c r="Q936" i="1" s="1"/>
  <c r="AO933" i="1" a="1"/>
  <c r="AO933" i="1" s="1"/>
  <c r="AO936" i="1" s="1"/>
  <c r="J933" i="1" a="1"/>
  <c r="J933" i="1" s="1"/>
  <c r="J936" i="1" s="1"/>
  <c r="K933" i="1" a="1"/>
  <c r="K933" i="1" s="1"/>
  <c r="K936" i="1" s="1"/>
  <c r="AU933" i="1" a="1"/>
  <c r="AU933" i="1" s="1"/>
  <c r="AU936" i="1" s="1"/>
  <c r="D933" i="1" a="1"/>
  <c r="D933" i="1" s="1"/>
  <c r="D936" i="1" s="1"/>
  <c r="D928" i="1" a="1"/>
  <c r="D928" i="1" s="1"/>
  <c r="E933" i="1" a="1"/>
  <c r="E933" i="1" s="1"/>
  <c r="E936" i="1" s="1"/>
  <c r="V933" i="1" a="1"/>
  <c r="V933" i="1" s="1"/>
  <c r="V936" i="1" s="1"/>
  <c r="W933" i="1" a="1"/>
  <c r="W933" i="1" s="1"/>
  <c r="W936" i="1" s="1"/>
  <c r="AB933" i="1" a="1"/>
  <c r="AB933" i="1" s="1"/>
  <c r="AB936" i="1" s="1"/>
  <c r="P933" i="1" a="1"/>
  <c r="P933" i="1" s="1"/>
  <c r="P936" i="1" s="1"/>
  <c r="AN933" i="1" a="1"/>
  <c r="AN933" i="1" s="1"/>
  <c r="AN936" i="1" s="1"/>
  <c r="E927" i="1" a="1"/>
  <c r="E927" i="1" s="1"/>
  <c r="AT933" i="1" a="1"/>
  <c r="AT933" i="1" s="1"/>
  <c r="AT936" i="1" s="1"/>
  <c r="AI933" i="1" a="1"/>
  <c r="AI933" i="1" s="1"/>
  <c r="AI936" i="1" s="1"/>
  <c r="B927" i="1" a="1"/>
  <c r="B927" i="1" s="1"/>
  <c r="F926" i="1" a="1"/>
  <c r="F926" i="1" s="1"/>
  <c r="B928" i="1" a="1"/>
  <c r="B928" i="1" s="1"/>
  <c r="F927" i="1" a="1"/>
  <c r="F927" i="1" s="1"/>
  <c r="F923" i="1" a="1"/>
  <c r="F923" i="1" s="1"/>
  <c r="B924" i="1" a="1"/>
  <c r="B924" i="1" s="1"/>
  <c r="B930" i="1" a="1"/>
  <c r="B930" i="1" s="1"/>
  <c r="F929" i="1" a="1"/>
  <c r="F929" i="1" s="1"/>
  <c r="G923" i="1" a="1"/>
  <c r="G923" i="1" s="1"/>
  <c r="C924" i="1" a="1"/>
  <c r="C924" i="1" s="1"/>
  <c r="C926" i="1" a="1"/>
  <c r="C926" i="1" s="1"/>
  <c r="G925" i="1" a="1"/>
  <c r="G925" i="1" s="1"/>
  <c r="F925" i="1" a="1"/>
  <c r="F925" i="1" s="1"/>
  <c r="B926" i="1" a="1"/>
  <c r="B926" i="1" s="1"/>
  <c r="G928" i="1" a="1"/>
  <c r="G928" i="1" s="1"/>
  <c r="C929" i="1" a="1"/>
  <c r="C929" i="1" s="1"/>
  <c r="G924" i="1" a="1"/>
  <c r="G924" i="1" s="1"/>
  <c r="C925" i="1" a="1"/>
  <c r="C925" i="1" s="1"/>
  <c r="C928" i="1" a="1"/>
  <c r="C928" i="1" s="1"/>
  <c r="G927" i="1" a="1"/>
  <c r="G927" i="1" s="1"/>
  <c r="B925" i="1" a="1"/>
  <c r="B925" i="1" s="1"/>
  <c r="F924" i="1" a="1"/>
  <c r="F924" i="1" s="1"/>
  <c r="G926" i="1" a="1"/>
  <c r="G926" i="1" s="1"/>
  <c r="C927" i="1" a="1"/>
  <c r="C927" i="1" s="1"/>
  <c r="B929" i="1" a="1"/>
  <c r="B929" i="1" s="1"/>
  <c r="F928" i="1" a="1"/>
  <c r="F928" i="1" s="1"/>
  <c r="C930" i="1" a="1"/>
  <c r="C930" i="1" s="1"/>
  <c r="G929" i="1" a="1"/>
  <c r="G929" i="1" s="1"/>
  <c r="B923" i="1" a="1"/>
  <c r="B923" i="1" s="1"/>
  <c r="F930" i="1" a="1"/>
  <c r="F930" i="1" s="1"/>
  <c r="C923" i="1" a="1"/>
  <c r="C923" i="1" s="1"/>
  <c r="G930" i="1" a="1"/>
  <c r="G930" i="1" s="1"/>
  <c r="AD933" i="1" l="1" a="1"/>
  <c r="AD933" i="1" s="1"/>
  <c r="AD936" i="1" s="1"/>
  <c r="AS933" i="1" a="1"/>
  <c r="AS933" i="1" s="1"/>
  <c r="AS936" i="1" s="1"/>
  <c r="AJ933" i="1" a="1"/>
  <c r="AJ933" i="1" s="1"/>
  <c r="AJ936" i="1" s="1"/>
  <c r="AL933" i="1" a="1"/>
  <c r="AL933" i="1" s="1"/>
  <c r="AL936" i="1" s="1"/>
  <c r="M933" i="1" a="1"/>
  <c r="M933" i="1" s="1"/>
  <c r="M936" i="1" s="1"/>
  <c r="G933" i="1" a="1"/>
  <c r="G933" i="1" s="1"/>
  <c r="G936" i="1" s="1"/>
  <c r="Z933" i="1" a="1"/>
  <c r="Z933" i="1" s="1"/>
  <c r="Z936" i="1" s="1"/>
  <c r="AQ933" i="1" a="1"/>
  <c r="AQ933" i="1" s="1"/>
  <c r="AQ936" i="1" s="1"/>
  <c r="S933" i="1" a="1"/>
  <c r="S933" i="1" s="1"/>
  <c r="S936" i="1" s="1"/>
  <c r="AW933" i="1" a="1"/>
  <c r="AW933" i="1" s="1"/>
  <c r="AW936" i="1" s="1"/>
  <c r="AA933" i="1" a="1"/>
  <c r="AA933" i="1" s="1"/>
  <c r="AA936" i="1" s="1"/>
  <c r="AM933" i="1" a="1"/>
  <c r="AM933" i="1" s="1"/>
  <c r="AM936" i="1" s="1"/>
  <c r="AP933" i="1" a="1"/>
  <c r="AP933" i="1" s="1"/>
  <c r="AP936" i="1" s="1"/>
  <c r="AF933" i="1" a="1"/>
  <c r="AF933" i="1" s="1"/>
  <c r="AF936" i="1" s="1"/>
  <c r="I933" i="1" a="1"/>
  <c r="I933" i="1" s="1"/>
  <c r="I936" i="1" s="1"/>
  <c r="AC933" i="1" a="1"/>
  <c r="AC933" i="1" s="1"/>
  <c r="AC936" i="1" s="1"/>
  <c r="Y933" i="1" a="1"/>
  <c r="Y933" i="1" s="1"/>
  <c r="Y936" i="1" s="1"/>
  <c r="AR933" i="1" a="1"/>
  <c r="AR933" i="1" s="1"/>
  <c r="AR936" i="1" s="1"/>
  <c r="AG933" i="1" a="1"/>
  <c r="AG933" i="1" s="1"/>
  <c r="AG936" i="1" s="1"/>
  <c r="O933" i="1" a="1"/>
  <c r="O933" i="1" s="1"/>
  <c r="O936" i="1" s="1"/>
  <c r="X933" i="1" a="1"/>
  <c r="X933" i="1" s="1"/>
  <c r="X936" i="1" s="1"/>
  <c r="C933" i="1" a="1"/>
  <c r="C933" i="1" s="1"/>
  <c r="C936" i="1" s="1"/>
  <c r="AK933" i="1" a="1"/>
  <c r="AK933" i="1" s="1"/>
  <c r="AK936" i="1" s="1"/>
  <c r="AV933" i="1" a="1"/>
  <c r="AV933" i="1" s="1"/>
  <c r="AV936" i="1" s="1"/>
  <c r="L933" i="1" a="1"/>
  <c r="L933" i="1" s="1"/>
  <c r="L936" i="1" s="1"/>
  <c r="T933" i="1" a="1"/>
  <c r="T933" i="1" s="1"/>
  <c r="T936" i="1" s="1"/>
  <c r="H933" i="1" a="1"/>
  <c r="H933" i="1" s="1"/>
  <c r="H936" i="1" s="1"/>
  <c r="AE933" i="1" a="1"/>
  <c r="AE933" i="1" s="1"/>
  <c r="AE936" i="1" s="1"/>
  <c r="U933" i="1" a="1"/>
  <c r="U933" i="1" s="1"/>
  <c r="U936" i="1" s="1"/>
  <c r="B933" i="1" a="1"/>
  <c r="B933" i="1" s="1"/>
  <c r="B936" i="1" s="1"/>
  <c r="N933" i="1" a="1"/>
  <c r="N933" i="1" s="1"/>
  <c r="N936" i="1" s="1"/>
  <c r="R933" i="1" a="1"/>
  <c r="R933" i="1" s="1"/>
  <c r="R936" i="1" s="1"/>
  <c r="F933" i="1" a="1"/>
  <c r="F933" i="1" s="1"/>
  <c r="F936" i="1" s="1"/>
  <c r="AH933" i="1" a="1"/>
  <c r="AH933" i="1" s="1"/>
  <c r="AH936" i="1" s="1"/>
  <c r="B947" i="1" l="1"/>
  <c r="D947" i="1" s="1"/>
  <c r="B941" i="1"/>
  <c r="E941" i="1" s="1"/>
  <c r="B945" i="1"/>
  <c r="E945" i="1" s="1"/>
  <c r="B940" i="1"/>
  <c r="D940" i="1" s="1"/>
  <c r="B943" i="1"/>
  <c r="D943" i="1" s="1"/>
  <c r="B944" i="1"/>
  <c r="E944" i="1" s="1"/>
  <c r="B946" i="1"/>
  <c r="E946" i="1" s="1"/>
  <c r="B942" i="1"/>
  <c r="E942" i="1" s="1"/>
  <c r="E947" i="1" l="1"/>
  <c r="D945" i="1"/>
  <c r="F945" i="1" s="1" a="1"/>
  <c r="F945" i="1" s="1"/>
  <c r="G945" i="1" s="1"/>
  <c r="D941" i="1"/>
  <c r="F941" i="1" s="1" a="1"/>
  <c r="F941" i="1" s="1"/>
  <c r="G941" i="1" s="1"/>
  <c r="E940" i="1"/>
  <c r="F940" i="1" s="1" a="1"/>
  <c r="F940" i="1" s="1"/>
  <c r="G940" i="1" s="1"/>
  <c r="E943" i="1"/>
  <c r="F943" i="1" s="1" a="1"/>
  <c r="F943" i="1" s="1"/>
  <c r="G943" i="1" s="1"/>
  <c r="D944" i="1"/>
  <c r="F944" i="1" s="1" a="1"/>
  <c r="F944" i="1" s="1"/>
  <c r="G944" i="1" s="1"/>
  <c r="D942" i="1"/>
  <c r="F942" i="1" s="1" a="1"/>
  <c r="F942" i="1" s="1"/>
  <c r="G942" i="1" s="1"/>
  <c r="D946" i="1"/>
  <c r="F946" i="1" s="1" a="1"/>
  <c r="F946" i="1" s="1"/>
  <c r="G946" i="1" s="1"/>
  <c r="F947" i="1" a="1"/>
  <c r="F947" i="1" s="1"/>
  <c r="G947" i="1" s="1"/>
  <c r="AB941" i="1" l="1"/>
  <c r="AH946" i="1" s="1" a="1"/>
  <c r="AH946" i="1" s="1"/>
  <c r="Z953" i="1" s="1"/>
  <c r="AH941" i="1"/>
  <c r="AG941" i="1"/>
  <c r="M941" i="1"/>
  <c r="S941" i="1"/>
  <c r="AK941" i="1"/>
  <c r="AC941" i="1"/>
  <c r="R941" i="1"/>
  <c r="X941" i="1"/>
  <c r="Z941" i="1"/>
  <c r="AO941" i="1"/>
  <c r="AF941" i="1"/>
  <c r="L941" i="1"/>
  <c r="AI941" i="1"/>
  <c r="U941" i="1"/>
  <c r="AL941" i="1"/>
  <c r="K941" i="1"/>
  <c r="J941" i="1"/>
  <c r="Y941" i="1"/>
  <c r="AD941" i="1"/>
  <c r="AJ941" i="1"/>
  <c r="Q941" i="1"/>
  <c r="AM941" i="1"/>
  <c r="V941" i="1"/>
  <c r="W941" i="1"/>
  <c r="O941" i="1"/>
  <c r="P941" i="1"/>
  <c r="AA941" i="1"/>
  <c r="AN941" i="1"/>
  <c r="AE941" i="1"/>
  <c r="N941" i="1"/>
  <c r="T941" i="1"/>
  <c r="G961" i="1" l="1" a="1"/>
  <c r="G961" i="1" s="1"/>
  <c r="C962" i="1" a="1"/>
  <c r="C962" i="1" s="1"/>
  <c r="AG946" i="1" a="1"/>
  <c r="AG946" i="1" s="1"/>
  <c r="Y953" i="1" s="1"/>
  <c r="AE946" i="1" a="1"/>
  <c r="AE946" i="1" s="1"/>
  <c r="W953" i="1" s="1"/>
  <c r="M946" i="1" a="1"/>
  <c r="M946" i="1" s="1"/>
  <c r="E953" i="1" s="1"/>
  <c r="X946" i="1" a="1"/>
  <c r="X946" i="1" s="1"/>
  <c r="P953" i="1" s="1"/>
  <c r="E959" i="1" s="1" a="1"/>
  <c r="E959" i="1" s="1"/>
  <c r="J946" i="1" a="1"/>
  <c r="J946" i="1" s="1"/>
  <c r="B953" i="1" s="1"/>
  <c r="U946" i="1" a="1"/>
  <c r="U946" i="1" s="1"/>
  <c r="M953" i="1" s="1"/>
  <c r="AD946" i="1" a="1"/>
  <c r="AD946" i="1" s="1"/>
  <c r="V953" i="1" s="1"/>
  <c r="Y946" i="1" a="1"/>
  <c r="Y946" i="1" s="1"/>
  <c r="Q953" i="1" s="1"/>
  <c r="O946" i="1" a="1"/>
  <c r="O946" i="1" s="1"/>
  <c r="G953" i="1" s="1"/>
  <c r="D957" i="1" s="1" a="1"/>
  <c r="D957" i="1" s="1"/>
  <c r="L946" i="1" a="1"/>
  <c r="L946" i="1" s="1"/>
  <c r="D953" i="1" s="1"/>
  <c r="E956" i="1" s="1" a="1"/>
  <c r="E956" i="1" s="1"/>
  <c r="AB946" i="1" a="1"/>
  <c r="AB946" i="1" s="1"/>
  <c r="T953" i="1" s="1"/>
  <c r="AK946" i="1" a="1"/>
  <c r="AK946" i="1" s="1"/>
  <c r="AC953" i="1" s="1"/>
  <c r="V946" i="1" a="1"/>
  <c r="V946" i="1" s="1"/>
  <c r="N953" i="1" s="1"/>
  <c r="AL946" i="1" a="1"/>
  <c r="AL946" i="1" s="1"/>
  <c r="AD953" i="1" s="1"/>
  <c r="R946" i="1" a="1"/>
  <c r="R946" i="1" s="1"/>
  <c r="J953" i="1" s="1"/>
  <c r="AF946" i="1" a="1"/>
  <c r="AF946" i="1" s="1"/>
  <c r="X953" i="1" s="1"/>
  <c r="AN946" i="1" a="1"/>
  <c r="AN946" i="1" s="1"/>
  <c r="AF953" i="1" s="1"/>
  <c r="E963" i="1" s="1" a="1"/>
  <c r="E963" i="1" s="1"/>
  <c r="W946" i="1" a="1"/>
  <c r="W946" i="1" s="1"/>
  <c r="O953" i="1" s="1"/>
  <c r="D959" i="1" s="1" a="1"/>
  <c r="D959" i="1" s="1"/>
  <c r="T946" i="1" a="1"/>
  <c r="T946" i="1" s="1"/>
  <c r="L953" i="1" s="1"/>
  <c r="E958" i="1" s="1" a="1"/>
  <c r="E958" i="1" s="1"/>
  <c r="Q946" i="1" a="1"/>
  <c r="Q946" i="1" s="1"/>
  <c r="I953" i="1" s="1"/>
  <c r="K946" i="1" a="1"/>
  <c r="K946" i="1" s="1"/>
  <c r="C953" i="1" s="1"/>
  <c r="D956" i="1" s="1" a="1"/>
  <c r="D956" i="1" s="1"/>
  <c r="AI946" i="1" a="1"/>
  <c r="AI946" i="1" s="1"/>
  <c r="AA953" i="1" s="1"/>
  <c r="D962" i="1" s="1" a="1"/>
  <c r="D962" i="1" s="1"/>
  <c r="Z946" i="1" a="1"/>
  <c r="Z946" i="1" s="1"/>
  <c r="R953" i="1" s="1"/>
  <c r="P946" i="1" a="1"/>
  <c r="P946" i="1" s="1"/>
  <c r="H953" i="1" s="1"/>
  <c r="E957" i="1" s="1" a="1"/>
  <c r="E957" i="1" s="1"/>
  <c r="AO946" i="1" a="1"/>
  <c r="AO946" i="1" s="1"/>
  <c r="AG953" i="1" s="1"/>
  <c r="AM946" i="1" a="1"/>
  <c r="AM946" i="1" s="1"/>
  <c r="AE953" i="1" s="1"/>
  <c r="D963" i="1" s="1" a="1"/>
  <c r="D963" i="1" s="1"/>
  <c r="AC946" i="1" a="1"/>
  <c r="AC946" i="1" s="1"/>
  <c r="U953" i="1" s="1"/>
  <c r="AJ946" i="1" a="1"/>
  <c r="AJ946" i="1" s="1"/>
  <c r="AB953" i="1" s="1"/>
  <c r="E962" i="1" s="1" a="1"/>
  <c r="E962" i="1" s="1"/>
  <c r="N946" i="1" a="1"/>
  <c r="N946" i="1" s="1"/>
  <c r="F953" i="1" s="1"/>
  <c r="S946" i="1" a="1"/>
  <c r="S946" i="1" s="1"/>
  <c r="K953" i="1" s="1"/>
  <c r="D958" i="1" s="1" a="1"/>
  <c r="D958" i="1" s="1"/>
  <c r="AA946" i="1" a="1"/>
  <c r="AA946" i="1" s="1"/>
  <c r="S953" i="1" s="1"/>
  <c r="D960" i="1" s="1" a="1"/>
  <c r="D960" i="1" s="1"/>
  <c r="W966" i="1" l="1" a="1"/>
  <c r="W966" i="1" s="1"/>
  <c r="W969" i="1" s="1"/>
  <c r="E960" i="1" a="1"/>
  <c r="E960" i="1" s="1"/>
  <c r="D966" i="1" a="1"/>
  <c r="D966" i="1" s="1"/>
  <c r="D969" i="1" s="1"/>
  <c r="V966" i="1" a="1"/>
  <c r="V966" i="1" s="1"/>
  <c r="V969" i="1" s="1"/>
  <c r="E966" i="1" a="1"/>
  <c r="E966" i="1" s="1"/>
  <c r="E969" i="1" s="1"/>
  <c r="D961" i="1" a="1"/>
  <c r="D961" i="1" s="1"/>
  <c r="AN966" i="1" a="1"/>
  <c r="AN966" i="1" s="1"/>
  <c r="AN969" i="1" s="1"/>
  <c r="Q966" i="1" a="1"/>
  <c r="Q966" i="1" s="1"/>
  <c r="Q969" i="1" s="1"/>
  <c r="AU966" i="1" a="1"/>
  <c r="AU966" i="1" s="1"/>
  <c r="AU969" i="1" s="1"/>
  <c r="J966" i="1" a="1"/>
  <c r="J966" i="1" s="1"/>
  <c r="J969" i="1" s="1"/>
  <c r="AO966" i="1" a="1"/>
  <c r="AO966" i="1" s="1"/>
  <c r="AO969" i="1" s="1"/>
  <c r="K966" i="1" a="1"/>
  <c r="K966" i="1" s="1"/>
  <c r="K969" i="1" s="1"/>
  <c r="E961" i="1" a="1"/>
  <c r="E961" i="1" s="1"/>
  <c r="AM966" i="1" a="1"/>
  <c r="AM966" i="1" s="1"/>
  <c r="AM969" i="1" s="1"/>
  <c r="P966" i="1" a="1"/>
  <c r="P966" i="1" s="1"/>
  <c r="P969" i="1" s="1"/>
  <c r="AT966" i="1" a="1"/>
  <c r="AT966" i="1" s="1"/>
  <c r="AT969" i="1" s="1"/>
  <c r="AB966" i="1" a="1"/>
  <c r="AB966" i="1" s="1"/>
  <c r="AB969" i="1" s="1"/>
  <c r="AK966" i="1" a="1"/>
  <c r="AK966" i="1" s="1"/>
  <c r="AK969" i="1" s="1"/>
  <c r="G957" i="1" a="1"/>
  <c r="G957" i="1" s="1"/>
  <c r="C958" i="1" a="1"/>
  <c r="C958" i="1" s="1"/>
  <c r="C961" i="1" a="1"/>
  <c r="C961" i="1" s="1"/>
  <c r="G960" i="1" a="1"/>
  <c r="G960" i="1" s="1"/>
  <c r="C963" i="1" a="1"/>
  <c r="C963" i="1" s="1"/>
  <c r="G962" i="1" a="1"/>
  <c r="G962" i="1" s="1"/>
  <c r="B959" i="1" a="1"/>
  <c r="B959" i="1" s="1"/>
  <c r="F958" i="1" a="1"/>
  <c r="F958" i="1" s="1"/>
  <c r="B961" i="1" a="1"/>
  <c r="B961" i="1" s="1"/>
  <c r="F960" i="1" a="1"/>
  <c r="F960" i="1" s="1"/>
  <c r="F956" i="1" a="1"/>
  <c r="F956" i="1" s="1"/>
  <c r="B957" i="1" a="1"/>
  <c r="B957" i="1" s="1"/>
  <c r="G956" i="1" a="1"/>
  <c r="G956" i="1" s="1"/>
  <c r="C957" i="1" a="1"/>
  <c r="C957" i="1" s="1"/>
  <c r="B956" i="1" a="1"/>
  <c r="B956" i="1" s="1"/>
  <c r="F963" i="1" a="1"/>
  <c r="F963" i="1" s="1"/>
  <c r="C959" i="1" a="1"/>
  <c r="C959" i="1" s="1"/>
  <c r="G958" i="1" a="1"/>
  <c r="G958" i="1" s="1"/>
  <c r="C956" i="1" a="1"/>
  <c r="C956" i="1" s="1"/>
  <c r="G963" i="1" a="1"/>
  <c r="G963" i="1" s="1"/>
  <c r="F961" i="1" a="1"/>
  <c r="F961" i="1" s="1"/>
  <c r="B962" i="1" a="1"/>
  <c r="B962" i="1" s="1"/>
  <c r="G959" i="1" a="1"/>
  <c r="G959" i="1" s="1"/>
  <c r="C960" i="1" a="1"/>
  <c r="C960" i="1" s="1"/>
  <c r="F957" i="1" a="1"/>
  <c r="F957" i="1" s="1"/>
  <c r="B958" i="1" a="1"/>
  <c r="B958" i="1" s="1"/>
  <c r="B963" i="1" a="1"/>
  <c r="B963" i="1" s="1"/>
  <c r="F962" i="1" a="1"/>
  <c r="F962" i="1" s="1"/>
  <c r="F959" i="1" a="1"/>
  <c r="F959" i="1" s="1"/>
  <c r="B960" i="1" a="1"/>
  <c r="B960" i="1" s="1"/>
  <c r="AR966" i="1" l="1" a="1"/>
  <c r="AR966" i="1" s="1"/>
  <c r="AR969" i="1" s="1"/>
  <c r="F966" i="1" a="1"/>
  <c r="F966" i="1" s="1"/>
  <c r="F969" i="1" s="1"/>
  <c r="L966" i="1" a="1"/>
  <c r="L966" i="1" s="1"/>
  <c r="L969" i="1" s="1"/>
  <c r="AV966" i="1" a="1"/>
  <c r="AV966" i="1" s="1"/>
  <c r="AV969" i="1" s="1"/>
  <c r="B966" i="1" a="1"/>
  <c r="B966" i="1" s="1"/>
  <c r="B969" i="1" s="1"/>
  <c r="Z966" i="1" a="1"/>
  <c r="Z966" i="1" s="1"/>
  <c r="Z969" i="1" s="1"/>
  <c r="AL966" i="1" a="1"/>
  <c r="AL966" i="1" s="1"/>
  <c r="AL969" i="1" s="1"/>
  <c r="I966" i="1" a="1"/>
  <c r="I966" i="1" s="1"/>
  <c r="I969" i="1" s="1"/>
  <c r="AQ966" i="1" a="1"/>
  <c r="AQ966" i="1" s="1"/>
  <c r="AQ969" i="1" s="1"/>
  <c r="AI966" i="1" a="1"/>
  <c r="AI966" i="1" s="1"/>
  <c r="AI969" i="1" s="1"/>
  <c r="U966" i="1" a="1"/>
  <c r="U966" i="1" s="1"/>
  <c r="U969" i="1" s="1"/>
  <c r="AF966" i="1" a="1"/>
  <c r="AF966" i="1" s="1"/>
  <c r="AF969" i="1" s="1"/>
  <c r="M966" i="1" a="1"/>
  <c r="M966" i="1" s="1"/>
  <c r="M969" i="1" s="1"/>
  <c r="AA966" i="1" a="1"/>
  <c r="AA966" i="1" s="1"/>
  <c r="AA969" i="1" s="1"/>
  <c r="R966" i="1" a="1"/>
  <c r="R966" i="1" s="1"/>
  <c r="R969" i="1" s="1"/>
  <c r="Y966" i="1" a="1"/>
  <c r="Y966" i="1" s="1"/>
  <c r="Y969" i="1" s="1"/>
  <c r="X966" i="1" a="1"/>
  <c r="X966" i="1" s="1"/>
  <c r="X969" i="1" s="1"/>
  <c r="AS966" i="1" a="1"/>
  <c r="AS966" i="1" s="1"/>
  <c r="AS969" i="1" s="1"/>
  <c r="T966" i="1" a="1"/>
  <c r="T966" i="1" s="1"/>
  <c r="T969" i="1" s="1"/>
  <c r="AJ966" i="1" a="1"/>
  <c r="AJ966" i="1" s="1"/>
  <c r="AJ969" i="1" s="1"/>
  <c r="G966" i="1" a="1"/>
  <c r="G966" i="1" s="1"/>
  <c r="G969" i="1" s="1"/>
  <c r="AP966" i="1" a="1"/>
  <c r="AP966" i="1" s="1"/>
  <c r="AP969" i="1" s="1"/>
  <c r="AW966" i="1" a="1"/>
  <c r="AW966" i="1" s="1"/>
  <c r="AW969" i="1" s="1"/>
  <c r="H966" i="1" a="1"/>
  <c r="H966" i="1" s="1"/>
  <c r="H969" i="1" s="1"/>
  <c r="AE966" i="1" a="1"/>
  <c r="AE966" i="1" s="1"/>
  <c r="AE969" i="1" s="1"/>
  <c r="AH966" i="1" a="1"/>
  <c r="AH966" i="1" s="1"/>
  <c r="AH969" i="1" s="1"/>
  <c r="C966" i="1" a="1"/>
  <c r="C966" i="1" s="1"/>
  <c r="C969" i="1" s="1"/>
  <c r="AG966" i="1" a="1"/>
  <c r="AG966" i="1" s="1"/>
  <c r="AG969" i="1" s="1"/>
  <c r="AD966" i="1" a="1"/>
  <c r="AD966" i="1" s="1"/>
  <c r="AD969" i="1" s="1"/>
  <c r="AC966" i="1" a="1"/>
  <c r="AC966" i="1" s="1"/>
  <c r="AC969" i="1" s="1"/>
  <c r="S966" i="1" a="1"/>
  <c r="S966" i="1" s="1"/>
  <c r="S969" i="1" s="1"/>
  <c r="N966" i="1" a="1"/>
  <c r="N966" i="1" s="1"/>
  <c r="N969" i="1" s="1"/>
  <c r="O966" i="1" a="1"/>
  <c r="O966" i="1" s="1"/>
  <c r="O969" i="1" s="1"/>
  <c r="B973" i="1" l="1"/>
  <c r="E973" i="1" s="1"/>
  <c r="B977" i="1"/>
  <c r="E977" i="1" s="1"/>
  <c r="B975" i="1"/>
  <c r="E975" i="1" s="1"/>
  <c r="B974" i="1"/>
  <c r="E974" i="1" s="1"/>
  <c r="B980" i="1"/>
  <c r="E980" i="1" s="1"/>
  <c r="B976" i="1"/>
  <c r="D976" i="1" s="1"/>
  <c r="B978" i="1"/>
  <c r="D978" i="1" s="1"/>
  <c r="B979" i="1"/>
  <c r="D973" i="1" l="1"/>
  <c r="F973" i="1" s="1" a="1"/>
  <c r="F973" i="1" s="1"/>
  <c r="G973" i="1" s="1"/>
  <c r="D977" i="1"/>
  <c r="F977" i="1" s="1" a="1"/>
  <c r="F977" i="1" s="1"/>
  <c r="G977" i="1" s="1"/>
  <c r="D974" i="1"/>
  <c r="F974" i="1" s="1" a="1"/>
  <c r="F974" i="1" s="1"/>
  <c r="G974" i="1" s="1"/>
  <c r="D975" i="1"/>
  <c r="F975" i="1" s="1" a="1"/>
  <c r="F975" i="1" s="1"/>
  <c r="G975" i="1" s="1"/>
  <c r="E978" i="1"/>
  <c r="F978" i="1" s="1" a="1"/>
  <c r="F978" i="1" s="1"/>
  <c r="G978" i="1" s="1"/>
  <c r="D980" i="1"/>
  <c r="F980" i="1" s="1" a="1"/>
  <c r="F980" i="1" s="1"/>
  <c r="G980" i="1" s="1"/>
  <c r="E976" i="1"/>
  <c r="F976" i="1" s="1" a="1"/>
  <c r="F976" i="1" s="1"/>
  <c r="G976" i="1" s="1"/>
  <c r="E979" i="1"/>
  <c r="D979" i="1"/>
  <c r="F979" i="1" l="1" a="1"/>
  <c r="F979" i="1" s="1"/>
  <c r="G979" i="1" s="1"/>
  <c r="AB974" i="1" l="1"/>
  <c r="AH979" i="1" s="1" a="1"/>
  <c r="AH979" i="1" s="1"/>
  <c r="Z986" i="1" s="1"/>
  <c r="AO974" i="1"/>
  <c r="AD979" i="1" s="1" a="1"/>
  <c r="AD979" i="1" s="1"/>
  <c r="V986" i="1" s="1"/>
  <c r="X974" i="1"/>
  <c r="S979" i="1" s="1" a="1"/>
  <c r="S979" i="1" s="1"/>
  <c r="K986" i="1" s="1"/>
  <c r="D991" i="1" s="1" a="1"/>
  <c r="D991" i="1" s="1"/>
  <c r="O974" i="1"/>
  <c r="AK979" i="1" s="1" a="1"/>
  <c r="AK979" i="1" s="1"/>
  <c r="AC986" i="1" s="1"/>
  <c r="AM974" i="1"/>
  <c r="AJ979" i="1" s="1" a="1"/>
  <c r="AJ979" i="1" s="1"/>
  <c r="AB986" i="1" s="1"/>
  <c r="E995" i="1" s="1" a="1"/>
  <c r="E995" i="1" s="1"/>
  <c r="AJ974" i="1"/>
  <c r="AG974" i="1"/>
  <c r="AB979" i="1" s="1" a="1"/>
  <c r="AB979" i="1" s="1"/>
  <c r="T986" i="1" s="1"/>
  <c r="L974" i="1"/>
  <c r="N974" i="1"/>
  <c r="V979" i="1" s="1" a="1"/>
  <c r="V979" i="1" s="1"/>
  <c r="N986" i="1" s="1"/>
  <c r="V974" i="1"/>
  <c r="AE974" i="1"/>
  <c r="AL979" i="1" s="1" a="1"/>
  <c r="AL979" i="1" s="1"/>
  <c r="AD986" i="1" s="1"/>
  <c r="AA974" i="1"/>
  <c r="W979" i="1" s="1" a="1"/>
  <c r="W979" i="1" s="1"/>
  <c r="O986" i="1" s="1"/>
  <c r="D992" i="1" s="1" a="1"/>
  <c r="D992" i="1" s="1"/>
  <c r="Y974" i="1"/>
  <c r="AK974" i="1"/>
  <c r="J974" i="1"/>
  <c r="M974" i="1"/>
  <c r="R974" i="1"/>
  <c r="T974" i="1"/>
  <c r="W974" i="1"/>
  <c r="AD974" i="1"/>
  <c r="AF974" i="1"/>
  <c r="AH974" i="1"/>
  <c r="P974" i="1"/>
  <c r="S974" i="1"/>
  <c r="AI974" i="1"/>
  <c r="AC974" i="1"/>
  <c r="K974" i="1"/>
  <c r="Z974" i="1"/>
  <c r="U974" i="1"/>
  <c r="AN974" i="1"/>
  <c r="AL974" i="1"/>
  <c r="Q974" i="1"/>
  <c r="V999" i="1" l="1" a="1"/>
  <c r="V999" i="1" s="1"/>
  <c r="V1002" i="1" s="1"/>
  <c r="E993" i="1" a="1"/>
  <c r="E993" i="1" s="1"/>
  <c r="AO999" i="1" a="1"/>
  <c r="AO999" i="1" s="1"/>
  <c r="AO1002" i="1" s="1"/>
  <c r="P999" i="1" a="1"/>
  <c r="P999" i="1" s="1"/>
  <c r="P1002" i="1" s="1"/>
  <c r="AF979" i="1" a="1"/>
  <c r="AF979" i="1" s="1"/>
  <c r="X986" i="1" s="1"/>
  <c r="AI979" i="1" a="1"/>
  <c r="AI979" i="1" s="1"/>
  <c r="AA986" i="1" s="1"/>
  <c r="D995" i="1" s="1" a="1"/>
  <c r="D995" i="1" s="1"/>
  <c r="C996" i="1" a="1"/>
  <c r="C996" i="1" s="1"/>
  <c r="G995" i="1" a="1"/>
  <c r="G995" i="1" s="1"/>
  <c r="B996" i="1" a="1"/>
  <c r="B996" i="1" s="1"/>
  <c r="F995" i="1" a="1"/>
  <c r="F995" i="1" s="1"/>
  <c r="C992" i="1" a="1"/>
  <c r="C992" i="1" s="1"/>
  <c r="G991" i="1" a="1"/>
  <c r="G991" i="1" s="1"/>
  <c r="G993" i="1" a="1"/>
  <c r="G993" i="1" s="1"/>
  <c r="C994" i="1" a="1"/>
  <c r="C994" i="1" s="1"/>
  <c r="G994" i="1" a="1"/>
  <c r="G994" i="1" s="1"/>
  <c r="C995" i="1" a="1"/>
  <c r="C995" i="1" s="1"/>
  <c r="AE979" i="1" a="1"/>
  <c r="AE979" i="1" s="1"/>
  <c r="W986" i="1" s="1"/>
  <c r="R979" i="1" a="1"/>
  <c r="R979" i="1" s="1"/>
  <c r="J986" i="1" s="1"/>
  <c r="AN979" i="1" a="1"/>
  <c r="AN979" i="1" s="1"/>
  <c r="AF986" i="1" s="1"/>
  <c r="E996" i="1" s="1" a="1"/>
  <c r="E996" i="1" s="1"/>
  <c r="P979" i="1" a="1"/>
  <c r="P979" i="1" s="1"/>
  <c r="H986" i="1" s="1"/>
  <c r="E990" i="1" s="1" a="1"/>
  <c r="E990" i="1" s="1"/>
  <c r="AC979" i="1" a="1"/>
  <c r="AC979" i="1" s="1"/>
  <c r="U986" i="1" s="1"/>
  <c r="J979" i="1" a="1"/>
  <c r="J979" i="1" s="1"/>
  <c r="B986" i="1" s="1"/>
  <c r="X979" i="1" a="1"/>
  <c r="X979" i="1" s="1"/>
  <c r="P986" i="1" s="1"/>
  <c r="E992" i="1" s="1" a="1"/>
  <c r="E992" i="1" s="1"/>
  <c r="Q979" i="1" a="1"/>
  <c r="Q979" i="1" s="1"/>
  <c r="I986" i="1" s="1"/>
  <c r="AA979" i="1" a="1"/>
  <c r="AA979" i="1" s="1"/>
  <c r="S986" i="1" s="1"/>
  <c r="D993" i="1" s="1" a="1"/>
  <c r="D993" i="1" s="1"/>
  <c r="Z979" i="1" a="1"/>
  <c r="Z979" i="1" s="1"/>
  <c r="R986" i="1" s="1"/>
  <c r="AO979" i="1" a="1"/>
  <c r="AO979" i="1" s="1"/>
  <c r="AG986" i="1" s="1"/>
  <c r="Y979" i="1" a="1"/>
  <c r="Y979" i="1" s="1"/>
  <c r="Q986" i="1" s="1"/>
  <c r="O979" i="1" a="1"/>
  <c r="O979" i="1" s="1"/>
  <c r="G986" i="1" s="1"/>
  <c r="D990" i="1" s="1" a="1"/>
  <c r="D990" i="1" s="1"/>
  <c r="N979" i="1" a="1"/>
  <c r="N979" i="1" s="1"/>
  <c r="F986" i="1" s="1"/>
  <c r="L979" i="1" a="1"/>
  <c r="L979" i="1" s="1"/>
  <c r="D986" i="1" s="1"/>
  <c r="E989" i="1" s="1" a="1"/>
  <c r="E989" i="1" s="1"/>
  <c r="K979" i="1" a="1"/>
  <c r="K979" i="1" s="1"/>
  <c r="C986" i="1" s="1"/>
  <c r="D989" i="1" s="1" a="1"/>
  <c r="D989" i="1" s="1"/>
  <c r="T979" i="1" a="1"/>
  <c r="T979" i="1" s="1"/>
  <c r="L986" i="1" s="1"/>
  <c r="E991" i="1" s="1" a="1"/>
  <c r="E991" i="1" s="1"/>
  <c r="AM979" i="1" a="1"/>
  <c r="AM979" i="1" s="1"/>
  <c r="AE986" i="1" s="1"/>
  <c r="D996" i="1" s="1" a="1"/>
  <c r="D996" i="1" s="1"/>
  <c r="U979" i="1" a="1"/>
  <c r="U979" i="1" s="1"/>
  <c r="M986" i="1" s="1"/>
  <c r="M979" i="1" a="1"/>
  <c r="M979" i="1" s="1"/>
  <c r="E986" i="1" s="1"/>
  <c r="AG979" i="1" a="1"/>
  <c r="AG979" i="1" s="1"/>
  <c r="Y986" i="1" s="1"/>
  <c r="Q999" i="1" l="1" a="1"/>
  <c r="Q999" i="1" s="1"/>
  <c r="Q1002" i="1" s="1"/>
  <c r="D994" i="1" a="1"/>
  <c r="D994" i="1" s="1"/>
  <c r="AR999" i="1" a="1"/>
  <c r="AR999" i="1" s="1"/>
  <c r="AR1002" i="1" s="1"/>
  <c r="D999" i="1" a="1"/>
  <c r="D999" i="1" s="1"/>
  <c r="D1002" i="1" s="1"/>
  <c r="AM999" i="1" a="1"/>
  <c r="AM999" i="1" s="1"/>
  <c r="AM1002" i="1" s="1"/>
  <c r="AQ999" i="1" a="1"/>
  <c r="AQ999" i="1" s="1"/>
  <c r="AQ1002" i="1" s="1"/>
  <c r="AB999" i="1" a="1"/>
  <c r="AB999" i="1" s="1"/>
  <c r="AB1002" i="1" s="1"/>
  <c r="E999" i="1" a="1"/>
  <c r="E999" i="1" s="1"/>
  <c r="E1002" i="1" s="1"/>
  <c r="W999" i="1" a="1"/>
  <c r="W999" i="1" s="1"/>
  <c r="W1002" i="1" s="1"/>
  <c r="AK999" i="1" a="1"/>
  <c r="AK999" i="1" s="1"/>
  <c r="AK1002" i="1" s="1"/>
  <c r="AS999" i="1" a="1"/>
  <c r="AS999" i="1" s="1"/>
  <c r="AS1002" i="1" s="1"/>
  <c r="AG999" i="1" a="1"/>
  <c r="AG999" i="1" s="1"/>
  <c r="AG1002" i="1" s="1"/>
  <c r="AN999" i="1" a="1"/>
  <c r="AN999" i="1" s="1"/>
  <c r="AN1002" i="1" s="1"/>
  <c r="AE999" i="1" a="1"/>
  <c r="AE999" i="1" s="1"/>
  <c r="AE1002" i="1" s="1"/>
  <c r="E994" i="1" a="1"/>
  <c r="E994" i="1" s="1"/>
  <c r="J999" i="1" a="1"/>
  <c r="J999" i="1" s="1"/>
  <c r="J1002" i="1" s="1"/>
  <c r="K999" i="1" a="1"/>
  <c r="K999" i="1" s="1"/>
  <c r="K1002" i="1" s="1"/>
  <c r="S999" i="1" a="1"/>
  <c r="S999" i="1" s="1"/>
  <c r="S1002" i="1" s="1"/>
  <c r="AC999" i="1" a="1"/>
  <c r="AC999" i="1" s="1"/>
  <c r="AC1002" i="1" s="1"/>
  <c r="AU999" i="1" a="1"/>
  <c r="AU999" i="1" s="1"/>
  <c r="AU1002" i="1" s="1"/>
  <c r="U999" i="1" a="1"/>
  <c r="U999" i="1" s="1"/>
  <c r="U1002" i="1" s="1"/>
  <c r="AT999" i="1" a="1"/>
  <c r="AT999" i="1" s="1"/>
  <c r="AT1002" i="1" s="1"/>
  <c r="AP999" i="1" a="1"/>
  <c r="AP999" i="1" s="1"/>
  <c r="AP1002" i="1" s="1"/>
  <c r="F989" i="1" a="1"/>
  <c r="F989" i="1" s="1"/>
  <c r="B990" i="1" a="1"/>
  <c r="B990" i="1" s="1"/>
  <c r="G992" i="1" a="1"/>
  <c r="G992" i="1" s="1"/>
  <c r="C993" i="1" a="1"/>
  <c r="C993" i="1" s="1"/>
  <c r="C989" i="1" a="1"/>
  <c r="C989" i="1" s="1"/>
  <c r="G996" i="1" a="1"/>
  <c r="G996" i="1" s="1"/>
  <c r="G990" i="1" a="1"/>
  <c r="G990" i="1" s="1"/>
  <c r="C991" i="1" a="1"/>
  <c r="C991" i="1" s="1"/>
  <c r="F990" i="1" a="1"/>
  <c r="F990" i="1" s="1"/>
  <c r="B991" i="1" a="1"/>
  <c r="B991" i="1" s="1"/>
  <c r="F992" i="1" a="1"/>
  <c r="F992" i="1" s="1"/>
  <c r="B993" i="1" a="1"/>
  <c r="B993" i="1" s="1"/>
  <c r="B992" i="1" a="1"/>
  <c r="B992" i="1" s="1"/>
  <c r="F991" i="1" a="1"/>
  <c r="F991" i="1" s="1"/>
  <c r="B989" i="1" a="1"/>
  <c r="B989" i="1" s="1"/>
  <c r="F996" i="1" a="1"/>
  <c r="F996" i="1" s="1"/>
  <c r="G989" i="1" a="1"/>
  <c r="G989" i="1" s="1"/>
  <c r="C990" i="1" a="1"/>
  <c r="C990" i="1" s="1"/>
  <c r="F994" i="1" a="1"/>
  <c r="F994" i="1" s="1"/>
  <c r="B995" i="1" a="1"/>
  <c r="B995" i="1" s="1"/>
  <c r="B994" i="1" a="1"/>
  <c r="B994" i="1" s="1"/>
  <c r="F993" i="1" a="1"/>
  <c r="F993" i="1" s="1"/>
  <c r="AD999" i="1" l="1" a="1"/>
  <c r="AD999" i="1" s="1"/>
  <c r="AD1002" i="1" s="1"/>
  <c r="R999" i="1" a="1"/>
  <c r="R999" i="1" s="1"/>
  <c r="R1002" i="1" s="1"/>
  <c r="AW999" i="1" a="1"/>
  <c r="AW999" i="1" s="1"/>
  <c r="AW1002" i="1" s="1"/>
  <c r="M999" i="1" a="1"/>
  <c r="M999" i="1" s="1"/>
  <c r="M1002" i="1" s="1"/>
  <c r="T999" i="1" a="1"/>
  <c r="T999" i="1" s="1"/>
  <c r="T1002" i="1" s="1"/>
  <c r="C999" i="1" a="1"/>
  <c r="C999" i="1" s="1"/>
  <c r="C1002" i="1" s="1"/>
  <c r="Z999" i="1" a="1"/>
  <c r="Z999" i="1" s="1"/>
  <c r="Z1002" i="1" s="1"/>
  <c r="AA999" i="1" a="1"/>
  <c r="AA999" i="1" s="1"/>
  <c r="AA1002" i="1" s="1"/>
  <c r="AI999" i="1" a="1"/>
  <c r="AI999" i="1" s="1"/>
  <c r="AI1002" i="1" s="1"/>
  <c r="B999" i="1" a="1"/>
  <c r="B999" i="1" s="1"/>
  <c r="B1002" i="1" s="1"/>
  <c r="AL999" i="1" a="1"/>
  <c r="AL999" i="1" s="1"/>
  <c r="AL1002" i="1" s="1"/>
  <c r="AJ999" i="1" a="1"/>
  <c r="AJ999" i="1" s="1"/>
  <c r="AJ1002" i="1" s="1"/>
  <c r="X999" i="1" a="1"/>
  <c r="X999" i="1" s="1"/>
  <c r="X1002" i="1" s="1"/>
  <c r="Y999" i="1" a="1"/>
  <c r="Y999" i="1" s="1"/>
  <c r="Y1002" i="1" s="1"/>
  <c r="AH999" i="1" a="1"/>
  <c r="AH999" i="1" s="1"/>
  <c r="AH1002" i="1" s="1"/>
  <c r="AF999" i="1" a="1"/>
  <c r="AF999" i="1" s="1"/>
  <c r="AF1002" i="1" s="1"/>
  <c r="I999" i="1" a="1"/>
  <c r="I999" i="1" s="1"/>
  <c r="I1002" i="1" s="1"/>
  <c r="AV999" i="1" a="1"/>
  <c r="AV999" i="1" s="1"/>
  <c r="AV1002" i="1" s="1"/>
  <c r="O999" i="1" a="1"/>
  <c r="O999" i="1" s="1"/>
  <c r="O1002" i="1" s="1"/>
  <c r="N999" i="1" a="1"/>
  <c r="N999" i="1" s="1"/>
  <c r="N1002" i="1" s="1"/>
  <c r="H999" i="1" a="1"/>
  <c r="H999" i="1" s="1"/>
  <c r="H1002" i="1" s="1"/>
  <c r="G999" i="1" a="1"/>
  <c r="G999" i="1" s="1"/>
  <c r="G1002" i="1" s="1"/>
  <c r="L999" i="1" a="1"/>
  <c r="L999" i="1" s="1"/>
  <c r="L1002" i="1" s="1"/>
  <c r="F999" i="1" a="1"/>
  <c r="F999" i="1" s="1"/>
  <c r="F1002" i="1" s="1"/>
  <c r="B1012" i="1" l="1"/>
  <c r="E1012" i="1" s="1"/>
  <c r="B1006" i="1"/>
  <c r="D1006" i="1" s="1"/>
  <c r="B1010" i="1"/>
  <c r="D1010" i="1" s="1"/>
  <c r="B1013" i="1"/>
  <c r="D1013" i="1" s="1"/>
  <c r="B1008" i="1"/>
  <c r="E1008" i="1" s="1"/>
  <c r="B1007" i="1"/>
  <c r="D1007" i="1" s="1"/>
  <c r="B1011" i="1"/>
  <c r="B1009" i="1"/>
  <c r="E1006" i="1" l="1"/>
  <c r="F1006" i="1" s="1" a="1"/>
  <c r="F1006" i="1" s="1"/>
  <c r="G1006" i="1" s="1"/>
  <c r="D1012" i="1"/>
  <c r="F1012" i="1" s="1" a="1"/>
  <c r="F1012" i="1" s="1"/>
  <c r="G1012" i="1" s="1"/>
  <c r="E1013" i="1"/>
  <c r="F1013" i="1" s="1" a="1"/>
  <c r="F1013" i="1" s="1"/>
  <c r="G1013" i="1" s="1"/>
  <c r="E1010" i="1"/>
  <c r="F1010" i="1" s="1" a="1"/>
  <c r="F1010" i="1" s="1"/>
  <c r="G1010" i="1" s="1"/>
  <c r="E1007" i="1"/>
  <c r="F1007" i="1" s="1" a="1"/>
  <c r="F1007" i="1" s="1"/>
  <c r="G1007" i="1" s="1"/>
  <c r="D1008" i="1"/>
  <c r="F1008" i="1" s="1" a="1"/>
  <c r="F1008" i="1" s="1"/>
  <c r="G1008" i="1" s="1"/>
  <c r="D1009" i="1"/>
  <c r="E1009" i="1"/>
  <c r="E1011" i="1"/>
  <c r="D1011" i="1"/>
  <c r="F1011" i="1" l="1" a="1"/>
  <c r="F1011" i="1" s="1"/>
  <c r="G1011" i="1" s="1"/>
  <c r="F1009" i="1" a="1"/>
  <c r="F1009" i="1" s="1"/>
  <c r="G1009" i="1" s="1"/>
  <c r="J1007" i="1" l="1"/>
  <c r="R1012" i="1" s="1" a="1"/>
  <c r="R1012" i="1" s="1"/>
  <c r="J1019" i="1" s="1"/>
  <c r="Z1007" i="1"/>
  <c r="Q1012" i="1" s="1" a="1"/>
  <c r="Q1012" i="1" s="1"/>
  <c r="I1019" i="1" s="1"/>
  <c r="AM1007" i="1"/>
  <c r="AJ1012" i="1" s="1" a="1"/>
  <c r="AJ1012" i="1" s="1"/>
  <c r="AB1019" i="1" s="1"/>
  <c r="E1028" i="1" s="1" a="1"/>
  <c r="E1028" i="1" s="1"/>
  <c r="AO1032" i="1" s="1" a="1"/>
  <c r="AO1032" i="1" s="1"/>
  <c r="AO1035" i="1" s="1"/>
  <c r="AB1007" i="1"/>
  <c r="AH1012" i="1" s="1" a="1"/>
  <c r="AH1012" i="1" s="1"/>
  <c r="Z1019" i="1" s="1"/>
  <c r="AE1007" i="1"/>
  <c r="AL1012" i="1" s="1" a="1"/>
  <c r="AL1012" i="1" s="1"/>
  <c r="AD1019" i="1" s="1"/>
  <c r="T1007" i="1"/>
  <c r="AM1012" i="1" s="1" a="1"/>
  <c r="AM1012" i="1" s="1"/>
  <c r="AE1019" i="1" s="1"/>
  <c r="D1029" i="1" s="1" a="1"/>
  <c r="D1029" i="1" s="1"/>
  <c r="AT1032" i="1" s="1" a="1"/>
  <c r="AT1032" i="1" s="1"/>
  <c r="AT1035" i="1" s="1"/>
  <c r="R1007" i="1"/>
  <c r="AG1012" i="1" s="1" a="1"/>
  <c r="AG1012" i="1" s="1"/>
  <c r="Y1019" i="1" s="1"/>
  <c r="AK1007" i="1"/>
  <c r="P1012" i="1" s="1" a="1"/>
  <c r="P1012" i="1" s="1"/>
  <c r="H1019" i="1" s="1"/>
  <c r="E1023" i="1" s="1" a="1"/>
  <c r="E1023" i="1" s="1"/>
  <c r="K1032" i="1" s="1" a="1"/>
  <c r="K1032" i="1" s="1"/>
  <c r="K1035" i="1" s="1"/>
  <c r="AO1007" i="1"/>
  <c r="AI1007" i="1"/>
  <c r="U1012" i="1" s="1" a="1"/>
  <c r="U1012" i="1" s="1"/>
  <c r="M1019" i="1" s="1"/>
  <c r="AG1007" i="1"/>
  <c r="AB1012" i="1" s="1" a="1"/>
  <c r="AB1012" i="1" s="1"/>
  <c r="T1019" i="1" s="1"/>
  <c r="E1026" i="1" s="1" a="1"/>
  <c r="E1026" i="1" s="1"/>
  <c r="AC1032" i="1" s="1" a="1"/>
  <c r="AC1032" i="1" s="1"/>
  <c r="AC1035" i="1" s="1"/>
  <c r="AA1007" i="1"/>
  <c r="W1012" i="1" s="1" a="1"/>
  <c r="W1012" i="1" s="1"/>
  <c r="O1019" i="1" s="1"/>
  <c r="D1025" i="1" s="1" a="1"/>
  <c r="D1025" i="1" s="1"/>
  <c r="V1032" i="1" s="1" a="1"/>
  <c r="V1032" i="1" s="1"/>
  <c r="V1035" i="1" s="1"/>
  <c r="Y1007" i="1"/>
  <c r="J1012" i="1" s="1" a="1"/>
  <c r="J1012" i="1" s="1"/>
  <c r="B1019" i="1" s="1"/>
  <c r="AL1007" i="1"/>
  <c r="N1012" i="1" s="1" a="1"/>
  <c r="N1012" i="1" s="1"/>
  <c r="F1019" i="1" s="1"/>
  <c r="M1007" i="1"/>
  <c r="AN1012" i="1" s="1" a="1"/>
  <c r="AN1012" i="1" s="1"/>
  <c r="AF1019" i="1" s="1"/>
  <c r="E1029" i="1" s="1" a="1"/>
  <c r="E1029" i="1" s="1"/>
  <c r="AU1032" i="1" s="1" a="1"/>
  <c r="AU1032" i="1" s="1"/>
  <c r="AU1035" i="1" s="1"/>
  <c r="S1007" i="1"/>
  <c r="AH1007" i="1"/>
  <c r="N1007" i="1"/>
  <c r="V1012" i="1" s="1" a="1"/>
  <c r="V1012" i="1" s="1"/>
  <c r="N1019" i="1" s="1"/>
  <c r="AN1007" i="1"/>
  <c r="X1012" i="1" s="1" a="1"/>
  <c r="X1012" i="1" s="1"/>
  <c r="P1019" i="1" s="1"/>
  <c r="E1025" i="1" s="1" a="1"/>
  <c r="E1025" i="1" s="1"/>
  <c r="W1032" i="1" s="1" a="1"/>
  <c r="W1032" i="1" s="1"/>
  <c r="W1035" i="1" s="1"/>
  <c r="W1007" i="1"/>
  <c r="L1007" i="1"/>
  <c r="O1007" i="1"/>
  <c r="AK1012" i="1" s="1" a="1"/>
  <c r="AK1012" i="1" s="1"/>
  <c r="AC1019" i="1" s="1"/>
  <c r="U1007" i="1"/>
  <c r="Q1007" i="1"/>
  <c r="AA1012" i="1" s="1" a="1"/>
  <c r="AA1012" i="1" s="1"/>
  <c r="S1019" i="1" s="1"/>
  <c r="D1026" i="1" s="1" a="1"/>
  <c r="D1026" i="1" s="1"/>
  <c r="AB1032" i="1" s="1" a="1"/>
  <c r="AB1032" i="1" s="1"/>
  <c r="AB1035" i="1" s="1"/>
  <c r="AD1007" i="1"/>
  <c r="M1012" i="1" s="1" a="1"/>
  <c r="M1012" i="1" s="1"/>
  <c r="E1019" i="1" s="1"/>
  <c r="AF1007" i="1"/>
  <c r="T1012" i="1" s="1" a="1"/>
  <c r="T1012" i="1" s="1"/>
  <c r="L1019" i="1" s="1"/>
  <c r="E1024" i="1" s="1" a="1"/>
  <c r="E1024" i="1" s="1"/>
  <c r="Q1032" i="1" s="1" a="1"/>
  <c r="Q1032" i="1" s="1"/>
  <c r="Q1035" i="1" s="1"/>
  <c r="K1007" i="1"/>
  <c r="AC1007" i="1"/>
  <c r="P1007" i="1"/>
  <c r="X1007" i="1"/>
  <c r="V1007" i="1"/>
  <c r="AJ1007" i="1"/>
  <c r="AE1012" i="1" s="1" a="1"/>
  <c r="AE1012" i="1" s="1"/>
  <c r="W1019" i="1" s="1"/>
  <c r="D1027" i="1" s="1" a="1"/>
  <c r="D1027" i="1" s="1"/>
  <c r="AH1032" i="1" s="1" a="1"/>
  <c r="AH1032" i="1" s="1"/>
  <c r="AH1035" i="1" s="1"/>
  <c r="B1025" i="1" l="1" a="1"/>
  <c r="B1025" i="1" s="1"/>
  <c r="T1032" i="1" s="1" a="1"/>
  <c r="T1032" i="1" s="1"/>
  <c r="T1035" i="1" s="1"/>
  <c r="F1024" i="1" a="1"/>
  <c r="F1024" i="1" s="1"/>
  <c r="R1032" i="1" s="1" a="1"/>
  <c r="R1032" i="1" s="1"/>
  <c r="R1035" i="1" s="1"/>
  <c r="C1029" i="1" a="1"/>
  <c r="C1029" i="1" s="1"/>
  <c r="AS1032" i="1" s="1" a="1"/>
  <c r="AS1032" i="1" s="1"/>
  <c r="AS1035" i="1" s="1"/>
  <c r="G1028" i="1" a="1"/>
  <c r="G1028" i="1" s="1"/>
  <c r="AQ1032" i="1" s="1" a="1"/>
  <c r="AQ1032" i="1" s="1"/>
  <c r="AQ1035" i="1" s="1"/>
  <c r="F1022" i="1" a="1"/>
  <c r="F1022" i="1" s="1"/>
  <c r="F1032" i="1" s="1" a="1"/>
  <c r="F1032" i="1" s="1"/>
  <c r="F1035" i="1" s="1"/>
  <c r="B1023" i="1" a="1"/>
  <c r="B1023" i="1" s="1"/>
  <c r="H1032" i="1" s="1" a="1"/>
  <c r="H1032" i="1" s="1"/>
  <c r="H1035" i="1" s="1"/>
  <c r="C1025" i="1" a="1"/>
  <c r="C1025" i="1" s="1"/>
  <c r="U1032" i="1" s="1" a="1"/>
  <c r="U1032" i="1" s="1"/>
  <c r="U1035" i="1" s="1"/>
  <c r="G1024" i="1" a="1"/>
  <c r="G1024" i="1" s="1"/>
  <c r="S1032" i="1" s="1" a="1"/>
  <c r="S1032" i="1" s="1"/>
  <c r="S1035" i="1" s="1"/>
  <c r="G1022" i="1" a="1"/>
  <c r="G1022" i="1" s="1"/>
  <c r="G1032" i="1" s="1" a="1"/>
  <c r="G1032" i="1" s="1"/>
  <c r="G1035" i="1" s="1"/>
  <c r="C1023" i="1" a="1"/>
  <c r="C1023" i="1" s="1"/>
  <c r="I1032" i="1" s="1" a="1"/>
  <c r="I1032" i="1" s="1"/>
  <c r="I1035" i="1" s="1"/>
  <c r="C1022" i="1" a="1"/>
  <c r="C1022" i="1" s="1"/>
  <c r="C1032" i="1" s="1" a="1"/>
  <c r="C1032" i="1" s="1"/>
  <c r="C1035" i="1" s="1"/>
  <c r="G1029" i="1" a="1"/>
  <c r="G1029" i="1" s="1"/>
  <c r="AW1032" i="1" s="1" a="1"/>
  <c r="AW1032" i="1" s="1"/>
  <c r="AW1035" i="1" s="1"/>
  <c r="G1027" i="1" a="1"/>
  <c r="G1027" i="1" s="1"/>
  <c r="AK1032" i="1" s="1" a="1"/>
  <c r="AK1032" i="1" s="1"/>
  <c r="AK1035" i="1" s="1"/>
  <c r="C1028" i="1" a="1"/>
  <c r="C1028" i="1" s="1"/>
  <c r="AM1032" i="1" s="1" a="1"/>
  <c r="AM1032" i="1" s="1"/>
  <c r="AM1035" i="1" s="1"/>
  <c r="F1023" i="1" a="1"/>
  <c r="F1023" i="1" s="1"/>
  <c r="L1032" i="1" s="1" a="1"/>
  <c r="L1032" i="1" s="1"/>
  <c r="L1035" i="1" s="1"/>
  <c r="B1024" i="1" a="1"/>
  <c r="B1024" i="1" s="1"/>
  <c r="N1032" i="1" s="1" a="1"/>
  <c r="N1032" i="1" s="1"/>
  <c r="N1035" i="1" s="1"/>
  <c r="B1029" i="1" a="1"/>
  <c r="B1029" i="1" s="1"/>
  <c r="AR1032" i="1" s="1" a="1"/>
  <c r="AR1032" i="1" s="1"/>
  <c r="AR1035" i="1" s="1"/>
  <c r="F1028" i="1" a="1"/>
  <c r="F1028" i="1" s="1"/>
  <c r="AP1032" i="1" s="1" a="1"/>
  <c r="AP1032" i="1" s="1"/>
  <c r="AP1035" i="1" s="1"/>
  <c r="F1027" i="1" a="1"/>
  <c r="F1027" i="1" s="1"/>
  <c r="AJ1032" i="1" s="1" a="1"/>
  <c r="AJ1032" i="1" s="1"/>
  <c r="AJ1035" i="1" s="1"/>
  <c r="B1028" i="1" a="1"/>
  <c r="B1028" i="1" s="1"/>
  <c r="AL1032" i="1" s="1" a="1"/>
  <c r="AL1032" i="1" s="1"/>
  <c r="AL1035" i="1" s="1"/>
  <c r="G1023" i="1" a="1"/>
  <c r="G1023" i="1" s="1"/>
  <c r="M1032" i="1" s="1" a="1"/>
  <c r="M1032" i="1" s="1"/>
  <c r="M1035" i="1" s="1"/>
  <c r="C1024" i="1" a="1"/>
  <c r="C1024" i="1" s="1"/>
  <c r="O1032" i="1" s="1" a="1"/>
  <c r="O1032" i="1" s="1"/>
  <c r="O1035" i="1" s="1"/>
  <c r="S1012" i="1" a="1"/>
  <c r="S1012" i="1" s="1"/>
  <c r="K1019" i="1" s="1"/>
  <c r="D1024" i="1" s="1" a="1"/>
  <c r="D1024" i="1" s="1"/>
  <c r="P1032" i="1" s="1" a="1"/>
  <c r="P1032" i="1" s="1"/>
  <c r="P1035" i="1" s="1"/>
  <c r="AI1012" i="1" a="1"/>
  <c r="AI1012" i="1" s="1"/>
  <c r="AA1019" i="1" s="1"/>
  <c r="D1028" i="1" s="1" a="1"/>
  <c r="D1028" i="1" s="1"/>
  <c r="AN1032" i="1" s="1" a="1"/>
  <c r="AN1032" i="1" s="1"/>
  <c r="AN1035" i="1" s="1"/>
  <c r="L1012" i="1" a="1"/>
  <c r="L1012" i="1" s="1"/>
  <c r="D1019" i="1" s="1"/>
  <c r="E1022" i="1" s="1" a="1"/>
  <c r="E1022" i="1" s="1"/>
  <c r="E1032" i="1" s="1" a="1"/>
  <c r="E1032" i="1" s="1"/>
  <c r="E1035" i="1" s="1"/>
  <c r="AC1012" i="1" a="1"/>
  <c r="AC1012" i="1" s="1"/>
  <c r="U1019" i="1" s="1"/>
  <c r="Z1012" i="1" a="1"/>
  <c r="Z1012" i="1" s="1"/>
  <c r="R1019" i="1" s="1"/>
  <c r="AO1012" i="1" a="1"/>
  <c r="AO1012" i="1" s="1"/>
  <c r="AG1019" i="1" s="1"/>
  <c r="AD1012" i="1" a="1"/>
  <c r="AD1012" i="1" s="1"/>
  <c r="V1019" i="1" s="1"/>
  <c r="K1012" i="1" a="1"/>
  <c r="K1012" i="1" s="1"/>
  <c r="C1019" i="1" s="1"/>
  <c r="D1022" i="1" s="1" a="1"/>
  <c r="D1022" i="1" s="1"/>
  <c r="D1032" i="1" s="1" a="1"/>
  <c r="D1032" i="1" s="1"/>
  <c r="D1035" i="1" s="1"/>
  <c r="O1012" i="1" a="1"/>
  <c r="O1012" i="1" s="1"/>
  <c r="G1019" i="1" s="1"/>
  <c r="D1023" i="1" s="1" a="1"/>
  <c r="D1023" i="1" s="1"/>
  <c r="J1032" i="1" s="1" a="1"/>
  <c r="J1032" i="1" s="1"/>
  <c r="J1035" i="1" s="1"/>
  <c r="Y1012" i="1" a="1"/>
  <c r="Y1012" i="1" s="1"/>
  <c r="Q1019" i="1" s="1"/>
  <c r="AF1012" i="1" a="1"/>
  <c r="AF1012" i="1" s="1"/>
  <c r="X1019" i="1" s="1"/>
  <c r="E1027" i="1" s="1" a="1"/>
  <c r="E1027" i="1" s="1"/>
  <c r="AI1032" i="1" s="1" a="1"/>
  <c r="AI1032" i="1" s="1"/>
  <c r="AI1035" i="1" s="1"/>
  <c r="B1041" i="1" l="1"/>
  <c r="E1041" i="1" s="1"/>
  <c r="B1040" i="1"/>
  <c r="B1045" i="1"/>
  <c r="G1025" i="1" a="1"/>
  <c r="G1025" i="1" s="1"/>
  <c r="Y1032" i="1" s="1" a="1"/>
  <c r="Y1032" i="1" s="1"/>
  <c r="Y1035" i="1" s="1"/>
  <c r="C1026" i="1" a="1"/>
  <c r="C1026" i="1" s="1"/>
  <c r="AA1032" i="1" s="1" a="1"/>
  <c r="AA1032" i="1" s="1"/>
  <c r="AA1035" i="1" s="1"/>
  <c r="B1027" i="1" a="1"/>
  <c r="B1027" i="1" s="1"/>
  <c r="AF1032" i="1" s="1" a="1"/>
  <c r="AF1032" i="1" s="1"/>
  <c r="AF1035" i="1" s="1"/>
  <c r="F1026" i="1" a="1"/>
  <c r="F1026" i="1" s="1"/>
  <c r="AD1032" i="1" s="1" a="1"/>
  <c r="AD1032" i="1" s="1"/>
  <c r="AD1035" i="1" s="1"/>
  <c r="B1022" i="1" a="1"/>
  <c r="B1022" i="1" s="1"/>
  <c r="B1032" i="1" s="1" a="1"/>
  <c r="B1032" i="1" s="1"/>
  <c r="B1035" i="1" s="1"/>
  <c r="B1039" i="1" s="1"/>
  <c r="F1029" i="1" a="1"/>
  <c r="F1029" i="1" s="1"/>
  <c r="AV1032" i="1" s="1" a="1"/>
  <c r="AV1032" i="1" s="1"/>
  <c r="AV1035" i="1" s="1"/>
  <c r="B1046" i="1" s="1"/>
  <c r="C1027" i="1" a="1"/>
  <c r="C1027" i="1" s="1"/>
  <c r="AG1032" i="1" s="1" a="1"/>
  <c r="AG1032" i="1" s="1"/>
  <c r="AG1035" i="1" s="1"/>
  <c r="G1026" i="1" a="1"/>
  <c r="G1026" i="1" s="1"/>
  <c r="AE1032" i="1" s="1" a="1"/>
  <c r="AE1032" i="1" s="1"/>
  <c r="AE1035" i="1" s="1"/>
  <c r="F1025" i="1" a="1"/>
  <c r="F1025" i="1" s="1"/>
  <c r="X1032" i="1" s="1" a="1"/>
  <c r="X1032" i="1" s="1"/>
  <c r="X1035" i="1" s="1"/>
  <c r="B1026" i="1" a="1"/>
  <c r="B1026" i="1" s="1"/>
  <c r="Z1032" i="1" s="1" a="1"/>
  <c r="Z1032" i="1" s="1"/>
  <c r="Z1035" i="1" s="1"/>
  <c r="B1042" i="1" l="1"/>
  <c r="D1042" i="1" s="1"/>
  <c r="B1043" i="1"/>
  <c r="E1043" i="1" s="1"/>
  <c r="D1041" i="1"/>
  <c r="F1041" i="1" s="1" a="1"/>
  <c r="F1041" i="1" s="1"/>
  <c r="G1041" i="1" s="1"/>
  <c r="D1046" i="1"/>
  <c r="E1046" i="1"/>
  <c r="D1045" i="1"/>
  <c r="E1045" i="1"/>
  <c r="E1040" i="1"/>
  <c r="D1040" i="1"/>
  <c r="B1044" i="1"/>
  <c r="E1039" i="1"/>
  <c r="D1039" i="1"/>
  <c r="E1042" i="1" l="1"/>
  <c r="F1042" i="1" s="1" a="1"/>
  <c r="F1042" i="1" s="1"/>
  <c r="G1042" i="1" s="1"/>
  <c r="F1039" i="1" a="1"/>
  <c r="F1039" i="1" s="1"/>
  <c r="G1039" i="1" s="1"/>
  <c r="D1043" i="1"/>
  <c r="F1043" i="1" s="1" a="1"/>
  <c r="F1043" i="1" s="1"/>
  <c r="G1043" i="1" s="1"/>
  <c r="F1040" i="1" a="1"/>
  <c r="F1040" i="1" s="1"/>
  <c r="G1040" i="1" s="1"/>
  <c r="F1046" i="1" a="1"/>
  <c r="F1046" i="1" s="1"/>
  <c r="G1046" i="1" s="1"/>
  <c r="F1045" i="1" a="1"/>
  <c r="F1045" i="1" s="1"/>
  <c r="G1045" i="1" s="1"/>
  <c r="D1044" i="1"/>
  <c r="E1044" i="1"/>
  <c r="F1044" i="1" l="1" a="1"/>
  <c r="F1044" i="1" s="1"/>
  <c r="G1044" i="1" s="1"/>
  <c r="AC1040" i="1" s="1"/>
  <c r="L1045" i="1" s="1" a="1"/>
  <c r="L1045" i="1" s="1"/>
  <c r="D1052" i="1" s="1"/>
  <c r="AL1040" i="1" l="1"/>
  <c r="N1045" i="1" s="1" a="1"/>
  <c r="N1045" i="1" s="1"/>
  <c r="F1052" i="1" s="1"/>
  <c r="AD1040" i="1"/>
  <c r="M1045" i="1" s="1" a="1"/>
  <c r="M1045" i="1" s="1"/>
  <c r="E1052" i="1" s="1"/>
  <c r="AE1040" i="1"/>
  <c r="AL1045" i="1" s="1" a="1"/>
  <c r="AL1045" i="1" s="1"/>
  <c r="AD1052" i="1" s="1"/>
  <c r="J1040" i="1"/>
  <c r="R1045" i="1" s="1" a="1"/>
  <c r="R1045" i="1" s="1"/>
  <c r="J1052" i="1" s="1"/>
  <c r="Y1040" i="1"/>
  <c r="J1045" i="1" s="1" a="1"/>
  <c r="J1045" i="1" s="1"/>
  <c r="B1052" i="1" s="1"/>
  <c r="T1040" i="1"/>
  <c r="AM1045" i="1" s="1" a="1"/>
  <c r="AM1045" i="1" s="1"/>
  <c r="AE1052" i="1" s="1"/>
  <c r="Q1040" i="1"/>
  <c r="AA1045" i="1" s="1" a="1"/>
  <c r="AA1045" i="1" s="1"/>
  <c r="S1052" i="1" s="1"/>
  <c r="AF1040" i="1"/>
  <c r="T1045" i="1" s="1" a="1"/>
  <c r="T1045" i="1" s="1"/>
  <c r="L1052" i="1" s="1"/>
  <c r="Z1040" i="1"/>
  <c r="Q1045" i="1" s="1" a="1"/>
  <c r="Q1045" i="1" s="1"/>
  <c r="I1052" i="1" s="1"/>
  <c r="W1040" i="1"/>
  <c r="AC1045" i="1" s="1" a="1"/>
  <c r="AC1045" i="1" s="1"/>
  <c r="U1052" i="1" s="1"/>
  <c r="N1040" i="1"/>
  <c r="V1045" i="1" s="1" a="1"/>
  <c r="V1045" i="1" s="1"/>
  <c r="N1052" i="1" s="1"/>
  <c r="O1040" i="1"/>
  <c r="AK1045" i="1" s="1" a="1"/>
  <c r="AK1045" i="1" s="1"/>
  <c r="AC1052" i="1" s="1"/>
  <c r="K1040" i="1"/>
  <c r="Z1045" i="1" s="1" a="1"/>
  <c r="Z1045" i="1" s="1"/>
  <c r="R1052" i="1" s="1"/>
  <c r="AJ1040" i="1"/>
  <c r="AE1045" i="1" s="1" a="1"/>
  <c r="AE1045" i="1" s="1"/>
  <c r="W1052" i="1" s="1"/>
  <c r="AM1040" i="1"/>
  <c r="AJ1045" i="1" s="1" a="1"/>
  <c r="AJ1045" i="1" s="1"/>
  <c r="AB1052" i="1" s="1"/>
  <c r="AB1040" i="1"/>
  <c r="AH1045" i="1" s="1" a="1"/>
  <c r="AH1045" i="1" s="1"/>
  <c r="Z1052" i="1" s="1"/>
  <c r="S1040" i="1"/>
  <c r="Y1045" i="1" s="1" a="1"/>
  <c r="Y1045" i="1" s="1"/>
  <c r="Q1052" i="1" s="1"/>
  <c r="AG1040" i="1"/>
  <c r="AB1045" i="1" s="1" a="1"/>
  <c r="AB1045" i="1" s="1"/>
  <c r="T1052" i="1" s="1"/>
  <c r="AO1040" i="1"/>
  <c r="AD1045" i="1" s="1" a="1"/>
  <c r="AD1045" i="1" s="1"/>
  <c r="V1052" i="1" s="1"/>
  <c r="AA1040" i="1"/>
  <c r="W1045" i="1" s="1" a="1"/>
  <c r="W1045" i="1" s="1"/>
  <c r="O1052" i="1" s="1"/>
  <c r="AI1040" i="1"/>
  <c r="U1045" i="1" s="1" a="1"/>
  <c r="U1045" i="1" s="1"/>
  <c r="M1052" i="1" s="1"/>
  <c r="X1040" i="1"/>
  <c r="S1045" i="1" s="1" a="1"/>
  <c r="S1045" i="1" s="1"/>
  <c r="K1052" i="1" s="1"/>
  <c r="L1040" i="1"/>
  <c r="AF1045" i="1" s="1" a="1"/>
  <c r="AF1045" i="1" s="1"/>
  <c r="X1052" i="1" s="1"/>
  <c r="AN1040" i="1"/>
  <c r="X1045" i="1" s="1" a="1"/>
  <c r="X1045" i="1" s="1"/>
  <c r="P1052" i="1" s="1"/>
  <c r="P1040" i="1"/>
  <c r="K1045" i="1" s="1" a="1"/>
  <c r="K1045" i="1" s="1"/>
  <c r="C1052" i="1" s="1"/>
  <c r="AK1040" i="1"/>
  <c r="P1045" i="1" s="1" a="1"/>
  <c r="P1045" i="1" s="1"/>
  <c r="H1052" i="1" s="1"/>
  <c r="V1040" i="1"/>
  <c r="AI1045" i="1" s="1" a="1"/>
  <c r="AI1045" i="1" s="1"/>
  <c r="AA1052" i="1" s="1"/>
  <c r="AH1040" i="1"/>
  <c r="AO1045" i="1" s="1" a="1"/>
  <c r="AO1045" i="1" s="1"/>
  <c r="AG1052" i="1" s="1"/>
  <c r="U1040" i="1"/>
  <c r="O1045" i="1" s="1" a="1"/>
  <c r="O1045" i="1" s="1"/>
  <c r="G1052" i="1" s="1"/>
  <c r="R1040" i="1"/>
  <c r="AG1045" i="1" s="1" a="1"/>
  <c r="AG1045" i="1" s="1"/>
  <c r="Y1052" i="1" s="1"/>
  <c r="M1040" i="1"/>
  <c r="AN1045" i="1" s="1" a="1"/>
  <c r="AN1045" i="1" s="1"/>
  <c r="AF1052" i="1" s="1"/>
  <c r="BD777" i="1"/>
  <c r="BD77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<sst xmlns="http://schemas.openxmlformats.org/spreadsheetml/2006/main" count="624" uniqueCount="284">
  <si>
    <t>M = 00123456789abcde</t>
  </si>
  <si>
    <t>K = 0133457799bbcdff</t>
  </si>
  <si>
    <t>M</t>
  </si>
  <si>
    <t>STT</t>
  </si>
  <si>
    <t>Bản rõ ban đầu</t>
  </si>
  <si>
    <t>Khóa ban đầu</t>
  </si>
  <si>
    <t>IP(M)</t>
  </si>
  <si>
    <t>K</t>
  </si>
  <si>
    <t>Bảng PC-1(K)</t>
  </si>
  <si>
    <t>PC-1(K)</t>
  </si>
  <si>
    <t>Sau khi hoán vị, ta được IP(M) như sau:</t>
  </si>
  <si>
    <t>C0</t>
  </si>
  <si>
    <t>D0</t>
  </si>
  <si>
    <t>C1</t>
  </si>
  <si>
    <t>D1</t>
  </si>
  <si>
    <t>BẢNG PC-2</t>
  </si>
  <si>
    <t>BẢNG PC-1</t>
  </si>
  <si>
    <t>BẢNG IP</t>
  </si>
  <si>
    <t>BẢNG IP-1</t>
  </si>
  <si>
    <t>BẢNG E</t>
  </si>
  <si>
    <t>C1D1</t>
  </si>
  <si>
    <t>=&gt; Ghép lại được bảng C1D1</t>
  </si>
  <si>
    <t>Bảng K1</t>
  </si>
  <si>
    <t>K1</t>
  </si>
  <si>
    <t>Tính K1</t>
  </si>
  <si>
    <t>Tính K2</t>
  </si>
  <si>
    <t>C2</t>
  </si>
  <si>
    <t>D2</t>
  </si>
  <si>
    <t>C2D2</t>
  </si>
  <si>
    <t>=&gt; Ghép lại được bảng C2D2</t>
  </si>
  <si>
    <t>Bảng K2</t>
  </si>
  <si>
    <t>K2</t>
  </si>
  <si>
    <t>Tính K3</t>
  </si>
  <si>
    <t>C3</t>
  </si>
  <si>
    <t>D3</t>
  </si>
  <si>
    <t>Bảng K3</t>
  </si>
  <si>
    <t>K3</t>
  </si>
  <si>
    <t>Tính K4</t>
  </si>
  <si>
    <t>C4</t>
  </si>
  <si>
    <t>D4</t>
  </si>
  <si>
    <t>=&gt; Ghép lại được bảng C3D3</t>
  </si>
  <si>
    <t>C3D3</t>
  </si>
  <si>
    <t>=&gt; Ghép lại được bảng C4D4</t>
  </si>
  <si>
    <t>C4D4</t>
  </si>
  <si>
    <t>Bảng K4</t>
  </si>
  <si>
    <t>K4</t>
  </si>
  <si>
    <t>Tính K5</t>
  </si>
  <si>
    <t>C5</t>
  </si>
  <si>
    <t>D5</t>
  </si>
  <si>
    <t>=&gt; Ghép lại được bảng C5D5</t>
  </si>
  <si>
    <t>C5D5</t>
  </si>
  <si>
    <t>Bảng K5</t>
  </si>
  <si>
    <t>K5</t>
  </si>
  <si>
    <t>Tính K6</t>
  </si>
  <si>
    <t>C6</t>
  </si>
  <si>
    <t>D6</t>
  </si>
  <si>
    <t>=&gt; Ghép lại được bảng C6D6</t>
  </si>
  <si>
    <t>C6D6</t>
  </si>
  <si>
    <t>Bảng K6</t>
  </si>
  <si>
    <t>K6</t>
  </si>
  <si>
    <t>Tính K7</t>
  </si>
  <si>
    <t>C7</t>
  </si>
  <si>
    <t>D7</t>
  </si>
  <si>
    <t>=&gt; Ghép lại được bảng C7D7</t>
  </si>
  <si>
    <t>C7D7</t>
  </si>
  <si>
    <t>K7</t>
  </si>
  <si>
    <t>Tính K8</t>
  </si>
  <si>
    <t>K8</t>
  </si>
  <si>
    <t>C8</t>
  </si>
  <si>
    <t>D8</t>
  </si>
  <si>
    <t>=&gt; Ghép lại được bảng C8D8</t>
  </si>
  <si>
    <t>C8D8</t>
  </si>
  <si>
    <t>Bảng K8</t>
  </si>
  <si>
    <t>BẢNG K7</t>
  </si>
  <si>
    <t>Tính K9</t>
  </si>
  <si>
    <t>C9</t>
  </si>
  <si>
    <t>D9</t>
  </si>
  <si>
    <t>=&gt; Ghép lại được bảng C9D9</t>
  </si>
  <si>
    <t>C9D9</t>
  </si>
  <si>
    <t>Bảng K9</t>
  </si>
  <si>
    <t>K9</t>
  </si>
  <si>
    <t>Tính K10</t>
  </si>
  <si>
    <t>C10</t>
  </si>
  <si>
    <t>D10</t>
  </si>
  <si>
    <t>=&gt; Ghép lại được bảng C10D10</t>
  </si>
  <si>
    <t>C10D10</t>
  </si>
  <si>
    <t>Bảng K10</t>
  </si>
  <si>
    <t>K10</t>
  </si>
  <si>
    <t>Tính K11</t>
  </si>
  <si>
    <t>C11</t>
  </si>
  <si>
    <t>D11</t>
  </si>
  <si>
    <t>=&gt; Ghép lại được bảng C11D11</t>
  </si>
  <si>
    <t>C11D11</t>
  </si>
  <si>
    <t>Bảng K11</t>
  </si>
  <si>
    <t>K11</t>
  </si>
  <si>
    <t>Tính K12</t>
  </si>
  <si>
    <t>C12</t>
  </si>
  <si>
    <t>D12</t>
  </si>
  <si>
    <t>=&gt; Ghép lại được bảng C12D12</t>
  </si>
  <si>
    <t>C12D12</t>
  </si>
  <si>
    <t>Bảng K12</t>
  </si>
  <si>
    <t>K12</t>
  </si>
  <si>
    <t>Tính K13</t>
  </si>
  <si>
    <t>C13</t>
  </si>
  <si>
    <t>D13</t>
  </si>
  <si>
    <t>=&gt; Ghép lại được bảng C13D13</t>
  </si>
  <si>
    <t>C13D13</t>
  </si>
  <si>
    <t>Bảng K13</t>
  </si>
  <si>
    <t>K13</t>
  </si>
  <si>
    <t>Tính K14</t>
  </si>
  <si>
    <t>C14</t>
  </si>
  <si>
    <t>D14</t>
  </si>
  <si>
    <t>=&gt; Ghép lại được bảng C14D14</t>
  </si>
  <si>
    <t>C14D14</t>
  </si>
  <si>
    <t>Bảng K14</t>
  </si>
  <si>
    <t>K14</t>
  </si>
  <si>
    <t>Tính K15</t>
  </si>
  <si>
    <t>C15</t>
  </si>
  <si>
    <t>D15</t>
  </si>
  <si>
    <t>=&gt; Ghép lại được bảng C15D15</t>
  </si>
  <si>
    <t>C15D15</t>
  </si>
  <si>
    <t>Bảng K15</t>
  </si>
  <si>
    <t>K15</t>
  </si>
  <si>
    <t>Tính K16</t>
  </si>
  <si>
    <t>C16</t>
  </si>
  <si>
    <t>D16</t>
  </si>
  <si>
    <t>=&gt; Ghép lại được bảng C16D16</t>
  </si>
  <si>
    <t>C16D16</t>
  </si>
  <si>
    <t>Bảng K16</t>
  </si>
  <si>
    <t>K16</t>
  </si>
  <si>
    <t>Tính các vòng</t>
  </si>
  <si>
    <t>Vòng 1</t>
  </si>
  <si>
    <t>L0</t>
  </si>
  <si>
    <t>R0</t>
  </si>
  <si>
    <t>E(R0)</t>
  </si>
  <si>
    <t>XOR(E(R0), K1)</t>
  </si>
  <si>
    <t>Bảng S</t>
  </si>
  <si>
    <t>Giá trị đầu vào</t>
  </si>
  <si>
    <t>Giá trị đầu ra</t>
  </si>
  <si>
    <t>Decimal</t>
  </si>
  <si>
    <t>Binary</t>
  </si>
  <si>
    <t>Hàng</t>
  </si>
  <si>
    <t>Cột</t>
  </si>
  <si>
    <t>BẢNG S1</t>
  </si>
  <si>
    <t>BẢNG S2</t>
  </si>
  <si>
    <t>BẢNG S3</t>
  </si>
  <si>
    <t>BẢNG S4</t>
  </si>
  <si>
    <t>BẢNG S5</t>
  </si>
  <si>
    <t>BẢNG S6</t>
  </si>
  <si>
    <t>BẢNG S7</t>
  </si>
  <si>
    <t>BẢNG S8</t>
  </si>
  <si>
    <t>Tính toán các giá trị khóa vòng</t>
  </si>
  <si>
    <t>Giá trị</t>
  </si>
  <si>
    <t>BẢNG P</t>
  </si>
  <si>
    <t>Kết quả f(R0, K1) trước khi hoán vị</t>
  </si>
  <si>
    <t>Kết quả f(R0, K1) sau khi hoán vị</t>
  </si>
  <si>
    <t>Kết quả vòng 1</t>
  </si>
  <si>
    <t>L1 = R0</t>
  </si>
  <si>
    <t>R1 = XOR(L0, f(R0, K1))</t>
  </si>
  <si>
    <t>Vòng 2</t>
  </si>
  <si>
    <t>E(R1)</t>
  </si>
  <si>
    <t>XOR(E(R1), K2)</t>
  </si>
  <si>
    <t>Kết quả f(R1, K2) trước khi hoán vị</t>
  </si>
  <si>
    <t>Kết quả f(R1, K2) sau khi hoán vị</t>
  </si>
  <si>
    <t>L2 = R1</t>
  </si>
  <si>
    <t>R2 = XOR(L1, f(R1, K2))</t>
  </si>
  <si>
    <t>Kết quả vòng 2</t>
  </si>
  <si>
    <t>Vòng 3</t>
  </si>
  <si>
    <t>E(R2)</t>
  </si>
  <si>
    <t>XOR(E(R2), K3)</t>
  </si>
  <si>
    <t>Kết quả f(R2, K3) trước khi hoán vị</t>
  </si>
  <si>
    <t>Kết quả f(R2, K3) sau khi hoán vị</t>
  </si>
  <si>
    <t>L3 = R2</t>
  </si>
  <si>
    <t>R3 = XOR(L2, f(R2, K3))</t>
  </si>
  <si>
    <t>Kết quả vòng 3</t>
  </si>
  <si>
    <t>Vòng 4</t>
  </si>
  <si>
    <t>E(R3)</t>
  </si>
  <si>
    <t>XOR(E(R3), K4)</t>
  </si>
  <si>
    <t>Kết quả f(R3, K4) trước khi hoán vị</t>
  </si>
  <si>
    <t>Kết quả f(R3, K4) sau khi hoán vị</t>
  </si>
  <si>
    <t>Kết quả vòng 4</t>
  </si>
  <si>
    <t>L4= R3</t>
  </si>
  <si>
    <t>R4 = XOR(L3, f(R3, K4))</t>
  </si>
  <si>
    <t>Vòng 5</t>
  </si>
  <si>
    <t>E(R4)</t>
  </si>
  <si>
    <t>XOR(E(R4), K5)</t>
  </si>
  <si>
    <t>Kết quả f(R4, K5) trước khi hoán vị</t>
  </si>
  <si>
    <t>Kết quả f(R4, K5) sau khi hoán vị</t>
  </si>
  <si>
    <t>L5= R4</t>
  </si>
  <si>
    <t>R5 = XOR(L4, f(R4, K5))</t>
  </si>
  <si>
    <t>Kết quả vòng 5</t>
  </si>
  <si>
    <t>Vòng 6</t>
  </si>
  <si>
    <t>E(R5)</t>
  </si>
  <si>
    <t>XOR(E(R5), K6)</t>
  </si>
  <si>
    <t>Kết quả f(R5, K6) trước khi hoán vị</t>
  </si>
  <si>
    <t>Kết quả f(R5, K6) sau khi hoán vị</t>
  </si>
  <si>
    <t>L6= R5</t>
  </si>
  <si>
    <t>R6 = XOR(L5, f(R5, K6))</t>
  </si>
  <si>
    <t>Kết quả vòng 6</t>
  </si>
  <si>
    <t>Vòng 7</t>
  </si>
  <si>
    <t>E(R6)</t>
  </si>
  <si>
    <t>XOR(E(R6), K7)</t>
  </si>
  <si>
    <t>Kết quả f(R6, K7) trước khi hoán vị</t>
  </si>
  <si>
    <t>Kết quả f(R6, K7) sau khi hoán vị</t>
  </si>
  <si>
    <t>Kết quả vòng 7</t>
  </si>
  <si>
    <t>L7= R6</t>
  </si>
  <si>
    <t>R7 = XOR(L6, f(R6, K7))</t>
  </si>
  <si>
    <t>Vòng 8</t>
  </si>
  <si>
    <t>E(R7)</t>
  </si>
  <si>
    <t>XOR(E(R7), K8)</t>
  </si>
  <si>
    <t>Kết quả f(R7, K8) trước khi hoán vị</t>
  </si>
  <si>
    <t>Kết quả f(R7, K8) sau khi hoán vị</t>
  </si>
  <si>
    <t>Kết quả vòng 8</t>
  </si>
  <si>
    <t>L8= R7</t>
  </si>
  <si>
    <t>R8 = XOR(L7, f(R7, K8))</t>
  </si>
  <si>
    <t>Vòng 9</t>
  </si>
  <si>
    <t>E(R8)</t>
  </si>
  <si>
    <t>XOR(E(R8), K9)</t>
  </si>
  <si>
    <t>Kết quả f(R8, K9) trước khi hoán vị</t>
  </si>
  <si>
    <t>Kết quả f(R8, K9) sau khi hoán vị</t>
  </si>
  <si>
    <t>L9= R8</t>
  </si>
  <si>
    <t>R9 = XOR(L8, f(R8, K9))</t>
  </si>
  <si>
    <t>Vòng 10</t>
  </si>
  <si>
    <t>E(R9)</t>
  </si>
  <si>
    <t>XOR(E(R9), K10)</t>
  </si>
  <si>
    <t>Kết quả f(R9, K10) trước khi hoán vị</t>
  </si>
  <si>
    <t>Kết quả f(R9, K10) sau khi hoán vị</t>
  </si>
  <si>
    <t>Kết quả vòng 10</t>
  </si>
  <si>
    <t>L10= R9</t>
  </si>
  <si>
    <t>R10 = XOR(L9, f(R9, K10))</t>
  </si>
  <si>
    <t>Vòng 11</t>
  </si>
  <si>
    <t>E(R10)</t>
  </si>
  <si>
    <t>Kết quả f(R10, K11) trước khi hoán vị</t>
  </si>
  <si>
    <t>Kết quả f(R10, K11) sau khi hoán vị</t>
  </si>
  <si>
    <t>Kết quả vòng 11</t>
  </si>
  <si>
    <t>L11= R10</t>
  </si>
  <si>
    <t>R11 = XOR(L10, f(R10, K11))</t>
  </si>
  <si>
    <t>Vòng 12</t>
  </si>
  <si>
    <t>E(R11)</t>
  </si>
  <si>
    <t>XOR(E(R11), K12)</t>
  </si>
  <si>
    <t>XOR(E(R10), K11)</t>
  </si>
  <si>
    <t>Kết quả f(R11, K12) trước khi hoán vị</t>
  </si>
  <si>
    <t>Kết quả f(R11, K12) sau khi hoán vị</t>
  </si>
  <si>
    <t>Kết quả vòng 12</t>
  </si>
  <si>
    <t>L12= R11</t>
  </si>
  <si>
    <t>R12 = XOR(L11, f(R11, K12))</t>
  </si>
  <si>
    <t>Vòng 13</t>
  </si>
  <si>
    <t>E(R12)</t>
  </si>
  <si>
    <t>XOR(E(R12), K13)</t>
  </si>
  <si>
    <t>Kết quả f(R12, K13) trước khi hoán vị</t>
  </si>
  <si>
    <t>Kết quả f(R12, K13) sau khi hoán vị</t>
  </si>
  <si>
    <t>Kết quả vòng 13</t>
  </si>
  <si>
    <t>L13= R12</t>
  </si>
  <si>
    <t>R13 = XOR(L12, f(R12, K13))</t>
  </si>
  <si>
    <t>Vòng 14</t>
  </si>
  <si>
    <t>E(R13)</t>
  </si>
  <si>
    <t>XOR(E(R13), K14)</t>
  </si>
  <si>
    <t>Kết quả f(R13, K14) trước khi hoán vị</t>
  </si>
  <si>
    <t>Kết quả f(R13, K14) sau khi hoán vị</t>
  </si>
  <si>
    <t>Kết quả vòng 14</t>
  </si>
  <si>
    <t>L14= R13</t>
  </si>
  <si>
    <t>R14 = XOR(L13, f(R13, K14))</t>
  </si>
  <si>
    <t>Vòng 15</t>
  </si>
  <si>
    <t>E(R14)</t>
  </si>
  <si>
    <t>XOR(E(R14), K15)</t>
  </si>
  <si>
    <t>Kết quả f(R14, K15) trước khi hoán vị</t>
  </si>
  <si>
    <t>Kết quả f(R14, K15) sau khi hoán vị</t>
  </si>
  <si>
    <t>Kết quả vòng 15</t>
  </si>
  <si>
    <t>L15= R14</t>
  </si>
  <si>
    <t>R15 = XOR(L14, f(R14, K15))</t>
  </si>
  <si>
    <t>Vòng 16</t>
  </si>
  <si>
    <t>E(R15)</t>
  </si>
  <si>
    <t>XOR(E(R15), K16)</t>
  </si>
  <si>
    <t>Kết quả f(R15, K16) trước khi hoán vị</t>
  </si>
  <si>
    <t>Kết quả f(R15, K16) sau khi hoán vị</t>
  </si>
  <si>
    <t>L16= R15</t>
  </si>
  <si>
    <t>R16 = XOR(L15, f(R15, K16))</t>
  </si>
  <si>
    <t>Kết quả vòng 16</t>
  </si>
  <si>
    <t>Kết quả trước khi hoán vị IP-1</t>
  </si>
  <si>
    <t>Giá trị bit</t>
  </si>
  <si>
    <t>Kết quả cuối cùng sau hoán vị</t>
  </si>
  <si>
    <t>Các nhóm 4 bit</t>
  </si>
  <si>
    <t>Hệ 16</t>
  </si>
  <si>
    <t>Kết quả vòng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</si>
</sst>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/>
    <xf numFmtId="0" fontId="2" fillId="0" borderId="0" xfId="0" quotePrefix="1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3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65"/>
  <sheetViews>
    <sheetView tabSelected="1" topLeftCell="A1044" zoomScale="70" zoomScaleNormal="70" workbookViewId="0">
      <selection activeCell="R1061" sqref="R1061"/>
    </sheetView>
  </sheetViews>
  <sheetFormatPr defaultRowHeight="21"/>
  <cols>
    <col min="1" max="1" width="37.5703125" style="5" customWidth="1"/>
    <col min="2" max="2" width="10.7109375" style="5" bestFit="1" customWidth="1"/>
    <col min="3" max="5" width="9.140625" style="5"/>
    <col min="6" max="6" width="12" style="5" customWidth="1"/>
    <col min="7" max="7" width="11.5703125" style="5" customWidth="1"/>
    <col min="8" max="8" width="9.140625" style="5"/>
    <col min="9" max="9" width="12.42578125" style="5" customWidth="1"/>
    <col min="10" max="10" width="9.140625" style="5"/>
    <col min="11" max="11" width="11.85546875" style="5" customWidth="1"/>
    <col min="12" max="20" width="9.140625" style="5"/>
    <col min="21" max="21" width="10.85546875" style="5" customWidth="1"/>
    <col min="22" max="27" width="9.140625" style="5"/>
    <col min="28" max="28" width="9.140625" style="5" customWidth="1"/>
    <col min="29" max="16384" width="9.140625" style="5"/>
  </cols>
  <sheetData>
    <row r="1" spans="1:67">
      <c r="A1" s="5" t="s">
        <v>0</v>
      </c>
      <c r="D1" s="6"/>
    </row>
    <row r="2" spans="1:67">
      <c r="A2" s="5" t="s">
        <v>1</v>
      </c>
      <c r="D2" s="6"/>
    </row>
    <row r="3" spans="1:67">
      <c r="D3" s="6"/>
    </row>
    <row r="4" spans="1:67">
      <c r="A4" s="20" t="s">
        <v>4</v>
      </c>
    </row>
    <row r="6" spans="1:67">
      <c r="A6" s="7" t="s">
        <v>3</v>
      </c>
      <c r="B6" s="7">
        <v>1</v>
      </c>
      <c r="C6" s="7">
        <v>2</v>
      </c>
      <c r="D6" s="7">
        <v>3</v>
      </c>
      <c r="E6" s="7">
        <v>4</v>
      </c>
      <c r="F6" s="7">
        <v>5</v>
      </c>
      <c r="G6" s="7">
        <v>6</v>
      </c>
      <c r="H6" s="7">
        <v>7</v>
      </c>
      <c r="I6" s="7">
        <v>8</v>
      </c>
      <c r="J6" s="7">
        <v>9</v>
      </c>
      <c r="K6" s="7">
        <v>10</v>
      </c>
      <c r="L6" s="7">
        <v>11</v>
      </c>
      <c r="M6" s="7">
        <v>12</v>
      </c>
      <c r="N6" s="7">
        <v>13</v>
      </c>
      <c r="O6" s="7">
        <v>14</v>
      </c>
      <c r="P6" s="7">
        <v>15</v>
      </c>
      <c r="Q6" s="7">
        <v>16</v>
      </c>
      <c r="R6" s="7">
        <v>17</v>
      </c>
      <c r="S6" s="7">
        <v>18</v>
      </c>
      <c r="T6" s="7">
        <v>19</v>
      </c>
      <c r="U6" s="7">
        <v>20</v>
      </c>
      <c r="V6" s="7">
        <v>21</v>
      </c>
      <c r="W6" s="7">
        <v>22</v>
      </c>
      <c r="X6" s="7">
        <v>23</v>
      </c>
      <c r="Y6" s="7">
        <v>24</v>
      </c>
      <c r="Z6" s="7">
        <v>25</v>
      </c>
      <c r="AA6" s="7">
        <v>26</v>
      </c>
      <c r="AB6" s="7">
        <v>27</v>
      </c>
      <c r="AC6" s="7">
        <v>28</v>
      </c>
      <c r="AD6" s="7">
        <v>29</v>
      </c>
      <c r="AE6" s="7">
        <v>30</v>
      </c>
      <c r="AF6" s="7">
        <v>31</v>
      </c>
      <c r="AG6" s="7">
        <v>32</v>
      </c>
      <c r="AH6" s="7">
        <v>33</v>
      </c>
      <c r="AI6" s="7">
        <v>34</v>
      </c>
      <c r="AJ6" s="7">
        <v>35</v>
      </c>
      <c r="AK6" s="7">
        <v>36</v>
      </c>
      <c r="AL6" s="7">
        <v>37</v>
      </c>
      <c r="AM6" s="7">
        <v>38</v>
      </c>
      <c r="AN6" s="7">
        <v>39</v>
      </c>
      <c r="AO6" s="7">
        <v>40</v>
      </c>
      <c r="AP6" s="7">
        <v>41</v>
      </c>
      <c r="AQ6" s="7">
        <v>42</v>
      </c>
      <c r="AR6" s="7">
        <v>43</v>
      </c>
      <c r="AS6" s="7">
        <v>44</v>
      </c>
      <c r="AT6" s="7">
        <v>45</v>
      </c>
      <c r="AU6" s="7">
        <v>46</v>
      </c>
      <c r="AV6" s="7">
        <v>47</v>
      </c>
      <c r="AW6" s="7">
        <v>48</v>
      </c>
      <c r="AX6" s="7">
        <v>49</v>
      </c>
      <c r="AY6" s="7">
        <v>50</v>
      </c>
      <c r="AZ6" s="7">
        <v>51</v>
      </c>
      <c r="BA6" s="7">
        <v>52</v>
      </c>
      <c r="BB6" s="7">
        <v>53</v>
      </c>
      <c r="BC6" s="7">
        <v>54</v>
      </c>
      <c r="BD6" s="7">
        <v>55</v>
      </c>
      <c r="BE6" s="7">
        <v>56</v>
      </c>
      <c r="BF6" s="7">
        <v>57</v>
      </c>
      <c r="BG6" s="7">
        <v>58</v>
      </c>
      <c r="BH6" s="7">
        <v>59</v>
      </c>
      <c r="BI6" s="7">
        <v>60</v>
      </c>
      <c r="BJ6" s="7">
        <v>61</v>
      </c>
      <c r="BK6" s="7">
        <v>62</v>
      </c>
      <c r="BL6" s="7">
        <v>63</v>
      </c>
      <c r="BM6" s="7">
        <v>64</v>
      </c>
    </row>
    <row r="7" spans="1:67">
      <c r="A7" s="7" t="s">
        <v>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1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0</v>
      </c>
      <c r="T7" s="7">
        <v>1</v>
      </c>
      <c r="U7" s="7">
        <v>1</v>
      </c>
      <c r="V7" s="7">
        <v>0</v>
      </c>
      <c r="W7" s="7">
        <v>1</v>
      </c>
      <c r="X7" s="7">
        <v>0</v>
      </c>
      <c r="Y7" s="7">
        <v>0</v>
      </c>
      <c r="Z7" s="7">
        <v>0</v>
      </c>
      <c r="AA7" s="7">
        <v>1</v>
      </c>
      <c r="AB7" s="7">
        <v>0</v>
      </c>
      <c r="AC7" s="7">
        <v>1</v>
      </c>
      <c r="AD7" s="7">
        <v>0</v>
      </c>
      <c r="AE7" s="7">
        <v>1</v>
      </c>
      <c r="AF7" s="7">
        <v>1</v>
      </c>
      <c r="AG7" s="7">
        <v>0</v>
      </c>
      <c r="AH7" s="7">
        <v>0</v>
      </c>
      <c r="AI7" s="7">
        <v>1</v>
      </c>
      <c r="AJ7" s="7">
        <v>1</v>
      </c>
      <c r="AK7" s="7">
        <v>1</v>
      </c>
      <c r="AL7" s="7">
        <v>1</v>
      </c>
      <c r="AM7" s="7">
        <v>0</v>
      </c>
      <c r="AN7" s="7">
        <v>0</v>
      </c>
      <c r="AO7" s="7">
        <v>0</v>
      </c>
      <c r="AP7" s="7">
        <v>1</v>
      </c>
      <c r="AQ7" s="7">
        <v>0</v>
      </c>
      <c r="AR7" s="7">
        <v>0</v>
      </c>
      <c r="AS7" s="7">
        <v>1</v>
      </c>
      <c r="AT7" s="7">
        <v>1</v>
      </c>
      <c r="AU7" s="7">
        <v>0</v>
      </c>
      <c r="AV7" s="7">
        <v>1</v>
      </c>
      <c r="AW7" s="7">
        <v>0</v>
      </c>
      <c r="AX7" s="7">
        <v>1</v>
      </c>
      <c r="AY7" s="7">
        <v>0</v>
      </c>
      <c r="AZ7" s="7">
        <v>1</v>
      </c>
      <c r="BA7" s="7">
        <v>1</v>
      </c>
      <c r="BB7" s="7">
        <v>1</v>
      </c>
      <c r="BC7" s="7">
        <v>1</v>
      </c>
      <c r="BD7" s="7">
        <v>0</v>
      </c>
      <c r="BE7" s="7">
        <v>0</v>
      </c>
      <c r="BF7" s="7">
        <v>1</v>
      </c>
      <c r="BG7" s="7">
        <v>1</v>
      </c>
      <c r="BH7" s="7">
        <v>0</v>
      </c>
      <c r="BI7" s="7">
        <v>1</v>
      </c>
      <c r="BJ7" s="7">
        <v>1</v>
      </c>
      <c r="BK7" s="7">
        <v>1</v>
      </c>
      <c r="BL7" s="7">
        <v>1</v>
      </c>
      <c r="BM7" s="7">
        <v>0</v>
      </c>
      <c r="BN7" s="8" t="str">
        <f t="shared" ref="BN7" si="0">MID($D$1,COLUMN(BP1),1)</f>
        <v/>
      </c>
      <c r="BO7" s="8" t="str">
        <f t="shared" ref="BO7" si="1">MID($D$1,COLUMN(BQ1),1)</f>
        <v/>
      </c>
    </row>
    <row r="9" spans="1:67">
      <c r="A9" s="20" t="s">
        <v>5</v>
      </c>
    </row>
    <row r="11" spans="1:67">
      <c r="A11" s="7" t="s">
        <v>3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  <c r="N11" s="7">
        <v>13</v>
      </c>
      <c r="O11" s="7">
        <v>14</v>
      </c>
      <c r="P11" s="7">
        <v>15</v>
      </c>
      <c r="Q11" s="7">
        <v>16</v>
      </c>
      <c r="R11" s="7">
        <v>17</v>
      </c>
      <c r="S11" s="7">
        <v>18</v>
      </c>
      <c r="T11" s="7">
        <v>19</v>
      </c>
      <c r="U11" s="7">
        <v>20</v>
      </c>
      <c r="V11" s="7">
        <v>21</v>
      </c>
      <c r="W11" s="7">
        <v>22</v>
      </c>
      <c r="X11" s="7">
        <v>23</v>
      </c>
      <c r="Y11" s="7">
        <v>24</v>
      </c>
      <c r="Z11" s="7">
        <v>25</v>
      </c>
      <c r="AA11" s="7">
        <v>26</v>
      </c>
      <c r="AB11" s="7">
        <v>27</v>
      </c>
      <c r="AC11" s="7">
        <v>28</v>
      </c>
      <c r="AD11" s="7">
        <v>29</v>
      </c>
      <c r="AE11" s="7">
        <v>30</v>
      </c>
      <c r="AF11" s="7">
        <v>31</v>
      </c>
      <c r="AG11" s="7">
        <v>32</v>
      </c>
      <c r="AH11" s="7">
        <v>33</v>
      </c>
      <c r="AI11" s="7">
        <v>34</v>
      </c>
      <c r="AJ11" s="7">
        <v>35</v>
      </c>
      <c r="AK11" s="7">
        <v>36</v>
      </c>
      <c r="AL11" s="7">
        <v>37</v>
      </c>
      <c r="AM11" s="7">
        <v>38</v>
      </c>
      <c r="AN11" s="7">
        <v>39</v>
      </c>
      <c r="AO11" s="7">
        <v>40</v>
      </c>
      <c r="AP11" s="7">
        <v>41</v>
      </c>
      <c r="AQ11" s="7">
        <v>42</v>
      </c>
      <c r="AR11" s="7">
        <v>43</v>
      </c>
      <c r="AS11" s="7">
        <v>44</v>
      </c>
      <c r="AT11" s="7">
        <v>45</v>
      </c>
      <c r="AU11" s="7">
        <v>46</v>
      </c>
      <c r="AV11" s="7">
        <v>47</v>
      </c>
      <c r="AW11" s="7">
        <v>48</v>
      </c>
      <c r="AX11" s="7">
        <v>49</v>
      </c>
      <c r="AY11" s="7">
        <v>50</v>
      </c>
      <c r="AZ11" s="7">
        <v>51</v>
      </c>
      <c r="BA11" s="7">
        <v>52</v>
      </c>
      <c r="BB11" s="7">
        <v>53</v>
      </c>
      <c r="BC11" s="7">
        <v>54</v>
      </c>
      <c r="BD11" s="7">
        <v>55</v>
      </c>
      <c r="BE11" s="7">
        <v>56</v>
      </c>
      <c r="BF11" s="7">
        <v>57</v>
      </c>
      <c r="BG11" s="7">
        <v>58</v>
      </c>
      <c r="BH11" s="7">
        <v>59</v>
      </c>
      <c r="BI11" s="7">
        <v>60</v>
      </c>
      <c r="BJ11" s="7">
        <v>61</v>
      </c>
      <c r="BK11" s="7">
        <v>62</v>
      </c>
      <c r="BL11" s="7">
        <v>63</v>
      </c>
      <c r="BM11" s="7">
        <v>64</v>
      </c>
    </row>
    <row r="12" spans="1:67">
      <c r="A12" s="7" t="s">
        <v>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7">
        <v>1</v>
      </c>
      <c r="M12" s="7">
        <v>1</v>
      </c>
      <c r="N12" s="7">
        <v>0</v>
      </c>
      <c r="O12" s="7">
        <v>0</v>
      </c>
      <c r="P12" s="7">
        <v>1</v>
      </c>
      <c r="Q12" s="7">
        <v>1</v>
      </c>
      <c r="R12" s="7">
        <v>0</v>
      </c>
      <c r="S12" s="7">
        <v>1</v>
      </c>
      <c r="T12" s="7">
        <v>0</v>
      </c>
      <c r="U12" s="7">
        <v>0</v>
      </c>
      <c r="V12" s="7">
        <v>0</v>
      </c>
      <c r="W12" s="7">
        <v>1</v>
      </c>
      <c r="X12" s="7">
        <v>0</v>
      </c>
      <c r="Y12" s="7">
        <v>1</v>
      </c>
      <c r="Z12" s="7">
        <v>0</v>
      </c>
      <c r="AA12" s="7">
        <v>1</v>
      </c>
      <c r="AB12" s="7">
        <v>1</v>
      </c>
      <c r="AC12" s="7">
        <v>1</v>
      </c>
      <c r="AD12" s="7">
        <v>0</v>
      </c>
      <c r="AE12" s="7">
        <v>1</v>
      </c>
      <c r="AF12" s="7">
        <v>1</v>
      </c>
      <c r="AG12" s="7">
        <v>1</v>
      </c>
      <c r="AH12" s="7">
        <v>1</v>
      </c>
      <c r="AI12" s="7">
        <v>0</v>
      </c>
      <c r="AJ12" s="7">
        <v>0</v>
      </c>
      <c r="AK12" s="7">
        <v>1</v>
      </c>
      <c r="AL12" s="7">
        <v>1</v>
      </c>
      <c r="AM12" s="7">
        <v>0</v>
      </c>
      <c r="AN12" s="7">
        <v>0</v>
      </c>
      <c r="AO12" s="7">
        <v>1</v>
      </c>
      <c r="AP12" s="7">
        <v>1</v>
      </c>
      <c r="AQ12" s="7">
        <v>0</v>
      </c>
      <c r="AR12" s="7">
        <v>1</v>
      </c>
      <c r="AS12" s="7">
        <v>1</v>
      </c>
      <c r="AT12" s="7">
        <v>1</v>
      </c>
      <c r="AU12" s="7">
        <v>0</v>
      </c>
      <c r="AV12" s="7">
        <v>1</v>
      </c>
      <c r="AW12" s="7">
        <v>1</v>
      </c>
      <c r="AX12" s="7">
        <v>1</v>
      </c>
      <c r="AY12" s="7">
        <v>1</v>
      </c>
      <c r="AZ12" s="7">
        <v>0</v>
      </c>
      <c r="BA12" s="7">
        <v>0</v>
      </c>
      <c r="BB12" s="7">
        <v>1</v>
      </c>
      <c r="BC12" s="7">
        <v>1</v>
      </c>
      <c r="BD12" s="7">
        <v>0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1</v>
      </c>
      <c r="BK12" s="7">
        <v>1</v>
      </c>
      <c r="BL12" s="7">
        <v>1</v>
      </c>
      <c r="BM12" s="7">
        <v>1</v>
      </c>
    </row>
    <row r="14" spans="1:67" ht="27" customHeight="1">
      <c r="B14" s="24" t="s">
        <v>17</v>
      </c>
      <c r="C14" s="25"/>
      <c r="D14" s="25"/>
      <c r="E14" s="25"/>
      <c r="F14" s="25"/>
      <c r="G14" s="25"/>
      <c r="H14" s="25"/>
      <c r="I14" s="26"/>
      <c r="K14" s="24" t="s">
        <v>18</v>
      </c>
      <c r="L14" s="25"/>
      <c r="M14" s="25"/>
      <c r="N14" s="25"/>
      <c r="O14" s="25"/>
      <c r="P14" s="25"/>
      <c r="Q14" s="25"/>
      <c r="R14" s="26"/>
      <c r="T14" s="24" t="s">
        <v>153</v>
      </c>
      <c r="U14" s="25"/>
      <c r="V14" s="25"/>
      <c r="W14" s="25"/>
      <c r="X14" s="25"/>
      <c r="Y14" s="25"/>
      <c r="Z14" s="25"/>
      <c r="AA14" s="26"/>
      <c r="AI14" s="9"/>
      <c r="AJ14" s="9"/>
      <c r="AK14" s="9"/>
      <c r="AL14" s="9"/>
      <c r="AM14" s="9"/>
      <c r="AN14" s="9"/>
      <c r="AO14" s="9"/>
      <c r="AP14" s="9"/>
      <c r="AQ14" s="9"/>
      <c r="AR14" s="10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</row>
    <row r="15" spans="1:67">
      <c r="B15" s="11">
        <v>58</v>
      </c>
      <c r="C15" s="12">
        <v>50</v>
      </c>
      <c r="D15" s="12">
        <v>42</v>
      </c>
      <c r="E15" s="12">
        <v>34</v>
      </c>
      <c r="F15" s="12">
        <v>26</v>
      </c>
      <c r="G15" s="12">
        <v>18</v>
      </c>
      <c r="H15" s="12">
        <v>10</v>
      </c>
      <c r="I15" s="12">
        <v>2</v>
      </c>
      <c r="K15" s="11">
        <v>40</v>
      </c>
      <c r="L15" s="12">
        <v>8</v>
      </c>
      <c r="M15" s="12">
        <v>48</v>
      </c>
      <c r="N15" s="12">
        <v>16</v>
      </c>
      <c r="O15" s="12">
        <v>56</v>
      </c>
      <c r="P15" s="12">
        <v>24</v>
      </c>
      <c r="Q15" s="12">
        <v>64</v>
      </c>
      <c r="R15" s="12">
        <v>32</v>
      </c>
      <c r="T15" s="13">
        <v>16</v>
      </c>
      <c r="U15" s="13">
        <v>7</v>
      </c>
      <c r="V15" s="13">
        <v>20</v>
      </c>
      <c r="W15" s="13">
        <v>21</v>
      </c>
      <c r="X15" s="13">
        <v>29</v>
      </c>
      <c r="Y15" s="13">
        <v>12</v>
      </c>
      <c r="Z15" s="13">
        <v>28</v>
      </c>
      <c r="AA15" s="13">
        <v>17</v>
      </c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spans="1:67">
      <c r="B16" s="12">
        <v>60</v>
      </c>
      <c r="C16" s="12">
        <v>52</v>
      </c>
      <c r="D16" s="12">
        <v>44</v>
      </c>
      <c r="E16" s="12">
        <v>36</v>
      </c>
      <c r="F16" s="12">
        <v>28</v>
      </c>
      <c r="G16" s="12">
        <v>20</v>
      </c>
      <c r="H16" s="12">
        <v>12</v>
      </c>
      <c r="I16" s="12">
        <v>4</v>
      </c>
      <c r="K16" s="12">
        <v>39</v>
      </c>
      <c r="L16" s="12">
        <v>7</v>
      </c>
      <c r="M16" s="12">
        <v>47</v>
      </c>
      <c r="N16" s="12">
        <v>15</v>
      </c>
      <c r="O16" s="12">
        <v>55</v>
      </c>
      <c r="P16" s="12">
        <v>23</v>
      </c>
      <c r="Q16" s="12">
        <v>63</v>
      </c>
      <c r="R16" s="12">
        <v>31</v>
      </c>
      <c r="T16" s="13">
        <v>1</v>
      </c>
      <c r="U16" s="13">
        <v>15</v>
      </c>
      <c r="V16" s="13">
        <v>23</v>
      </c>
      <c r="W16" s="13">
        <v>26</v>
      </c>
      <c r="X16" s="13">
        <v>5</v>
      </c>
      <c r="Y16" s="13">
        <v>18</v>
      </c>
      <c r="Z16" s="13">
        <v>31</v>
      </c>
      <c r="AA16" s="13">
        <v>10</v>
      </c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 spans="1:60">
      <c r="B17" s="12">
        <v>62</v>
      </c>
      <c r="C17" s="12">
        <v>54</v>
      </c>
      <c r="D17" s="12">
        <v>46</v>
      </c>
      <c r="E17" s="12">
        <v>38</v>
      </c>
      <c r="F17" s="12">
        <v>30</v>
      </c>
      <c r="G17" s="12">
        <v>22</v>
      </c>
      <c r="H17" s="12">
        <v>14</v>
      </c>
      <c r="I17" s="12">
        <v>6</v>
      </c>
      <c r="K17" s="12">
        <v>38</v>
      </c>
      <c r="L17" s="12">
        <v>6</v>
      </c>
      <c r="M17" s="12">
        <v>46</v>
      </c>
      <c r="N17" s="12">
        <v>14</v>
      </c>
      <c r="O17" s="12">
        <v>54</v>
      </c>
      <c r="P17" s="12">
        <v>22</v>
      </c>
      <c r="Q17" s="12">
        <v>62</v>
      </c>
      <c r="R17" s="12">
        <v>30</v>
      </c>
      <c r="T17" s="13">
        <v>2</v>
      </c>
      <c r="U17" s="13">
        <v>8</v>
      </c>
      <c r="V17" s="13">
        <v>24</v>
      </c>
      <c r="W17" s="13">
        <v>14</v>
      </c>
      <c r="X17" s="13">
        <v>32</v>
      </c>
      <c r="Y17" s="13">
        <v>27</v>
      </c>
      <c r="Z17" s="13">
        <v>3</v>
      </c>
      <c r="AA17" s="13">
        <v>9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</row>
    <row r="18" spans="1:60">
      <c r="B18" s="12">
        <v>64</v>
      </c>
      <c r="C18" s="12">
        <v>56</v>
      </c>
      <c r="D18" s="12">
        <v>48</v>
      </c>
      <c r="E18" s="12">
        <v>40</v>
      </c>
      <c r="F18" s="12">
        <v>32</v>
      </c>
      <c r="G18" s="12">
        <v>24</v>
      </c>
      <c r="H18" s="12">
        <v>16</v>
      </c>
      <c r="I18" s="12">
        <v>8</v>
      </c>
      <c r="K18" s="12">
        <v>37</v>
      </c>
      <c r="L18" s="12">
        <v>5</v>
      </c>
      <c r="M18" s="12">
        <v>45</v>
      </c>
      <c r="N18" s="12">
        <v>13</v>
      </c>
      <c r="O18" s="12">
        <v>53</v>
      </c>
      <c r="P18" s="12">
        <v>21</v>
      </c>
      <c r="Q18" s="12">
        <v>61</v>
      </c>
      <c r="R18" s="12">
        <v>29</v>
      </c>
      <c r="T18" s="13">
        <v>19</v>
      </c>
      <c r="U18" s="13">
        <v>13</v>
      </c>
      <c r="V18" s="13">
        <v>30</v>
      </c>
      <c r="W18" s="13">
        <v>6</v>
      </c>
      <c r="X18" s="13">
        <v>22</v>
      </c>
      <c r="Y18" s="13">
        <v>11</v>
      </c>
      <c r="Z18" s="13">
        <v>4</v>
      </c>
      <c r="AA18" s="13">
        <v>25</v>
      </c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</row>
    <row r="19" spans="1:60">
      <c r="B19" s="12">
        <v>57</v>
      </c>
      <c r="C19" s="12">
        <v>49</v>
      </c>
      <c r="D19" s="12">
        <v>41</v>
      </c>
      <c r="E19" s="12">
        <v>33</v>
      </c>
      <c r="F19" s="12">
        <v>25</v>
      </c>
      <c r="G19" s="12">
        <v>17</v>
      </c>
      <c r="H19" s="12">
        <v>9</v>
      </c>
      <c r="I19" s="12">
        <v>1</v>
      </c>
      <c r="K19" s="12">
        <v>36</v>
      </c>
      <c r="L19" s="12">
        <v>4</v>
      </c>
      <c r="M19" s="12">
        <v>44</v>
      </c>
      <c r="N19" s="12">
        <v>12</v>
      </c>
      <c r="O19" s="12">
        <v>52</v>
      </c>
      <c r="P19" s="12">
        <v>20</v>
      </c>
      <c r="Q19" s="12">
        <v>60</v>
      </c>
      <c r="R19" s="12">
        <v>28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</row>
    <row r="20" spans="1:60">
      <c r="B20" s="12">
        <v>59</v>
      </c>
      <c r="C20" s="12">
        <v>51</v>
      </c>
      <c r="D20" s="12">
        <v>43</v>
      </c>
      <c r="E20" s="12">
        <v>35</v>
      </c>
      <c r="F20" s="12">
        <v>27</v>
      </c>
      <c r="G20" s="12">
        <v>19</v>
      </c>
      <c r="H20" s="12">
        <v>11</v>
      </c>
      <c r="I20" s="12">
        <v>3</v>
      </c>
      <c r="K20" s="12">
        <v>35</v>
      </c>
      <c r="L20" s="12">
        <v>3</v>
      </c>
      <c r="M20" s="12">
        <v>43</v>
      </c>
      <c r="N20" s="12">
        <v>11</v>
      </c>
      <c r="O20" s="12">
        <v>51</v>
      </c>
      <c r="P20" s="12">
        <v>19</v>
      </c>
      <c r="Q20" s="12">
        <v>59</v>
      </c>
      <c r="R20" s="12">
        <v>27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10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</row>
    <row r="21" spans="1:60">
      <c r="B21" s="12">
        <v>61</v>
      </c>
      <c r="C21" s="12">
        <v>53</v>
      </c>
      <c r="D21" s="12">
        <v>45</v>
      </c>
      <c r="E21" s="12">
        <v>37</v>
      </c>
      <c r="F21" s="12">
        <v>29</v>
      </c>
      <c r="G21" s="12">
        <v>21</v>
      </c>
      <c r="H21" s="12">
        <v>13</v>
      </c>
      <c r="I21" s="12">
        <v>5</v>
      </c>
      <c r="K21" s="12">
        <v>34</v>
      </c>
      <c r="L21" s="12">
        <v>2</v>
      </c>
      <c r="M21" s="12">
        <v>42</v>
      </c>
      <c r="N21" s="12">
        <v>10</v>
      </c>
      <c r="O21" s="12">
        <v>50</v>
      </c>
      <c r="P21" s="12">
        <v>18</v>
      </c>
      <c r="Q21" s="12">
        <v>58</v>
      </c>
      <c r="R21" s="12">
        <v>26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>
      <c r="B22" s="12">
        <v>63</v>
      </c>
      <c r="C22" s="12">
        <v>55</v>
      </c>
      <c r="D22" s="12">
        <v>47</v>
      </c>
      <c r="E22" s="12">
        <v>39</v>
      </c>
      <c r="F22" s="12">
        <v>31</v>
      </c>
      <c r="G22" s="12">
        <v>23</v>
      </c>
      <c r="H22" s="12">
        <v>15</v>
      </c>
      <c r="I22" s="12">
        <v>7</v>
      </c>
      <c r="K22" s="12">
        <v>33</v>
      </c>
      <c r="L22" s="12">
        <v>1</v>
      </c>
      <c r="M22" s="12">
        <v>41</v>
      </c>
      <c r="N22" s="12">
        <v>9</v>
      </c>
      <c r="O22" s="12">
        <v>49</v>
      </c>
      <c r="P22" s="12">
        <v>17</v>
      </c>
      <c r="Q22" s="12">
        <v>57</v>
      </c>
      <c r="R22" s="12">
        <v>25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>
      <c r="A23" s="8"/>
      <c r="S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26.25" customHeight="1">
      <c r="A24" s="14"/>
      <c r="B24" s="27" t="s">
        <v>16</v>
      </c>
      <c r="C24" s="27"/>
      <c r="D24" s="27"/>
      <c r="E24" s="27"/>
      <c r="F24" s="27"/>
      <c r="G24" s="27"/>
      <c r="H24" s="27"/>
      <c r="J24" s="15"/>
      <c r="K24" s="24" t="s">
        <v>15</v>
      </c>
      <c r="L24" s="25"/>
      <c r="M24" s="25"/>
      <c r="N24" s="25"/>
      <c r="O24" s="25"/>
      <c r="P24" s="26"/>
      <c r="S24" s="10"/>
      <c r="T24" s="24" t="s">
        <v>19</v>
      </c>
      <c r="U24" s="25"/>
      <c r="V24" s="25"/>
      <c r="W24" s="25"/>
      <c r="X24" s="25"/>
      <c r="Y24" s="26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>
      <c r="B25" s="13">
        <v>57</v>
      </c>
      <c r="C25" s="13">
        <v>49</v>
      </c>
      <c r="D25" s="13">
        <v>41</v>
      </c>
      <c r="E25" s="13">
        <v>33</v>
      </c>
      <c r="F25" s="13">
        <v>25</v>
      </c>
      <c r="G25" s="13">
        <v>17</v>
      </c>
      <c r="H25" s="13">
        <v>9</v>
      </c>
      <c r="K25" s="12">
        <v>14</v>
      </c>
      <c r="L25" s="12">
        <v>17</v>
      </c>
      <c r="M25" s="12">
        <v>11</v>
      </c>
      <c r="N25" s="12">
        <v>24</v>
      </c>
      <c r="O25" s="12">
        <v>1</v>
      </c>
      <c r="P25" s="12">
        <v>5</v>
      </c>
      <c r="S25" s="10"/>
      <c r="T25" s="12">
        <v>32</v>
      </c>
      <c r="U25" s="12">
        <v>1</v>
      </c>
      <c r="V25" s="12">
        <v>2</v>
      </c>
      <c r="W25" s="12">
        <v>3</v>
      </c>
      <c r="X25" s="12">
        <v>4</v>
      </c>
      <c r="Y25" s="12">
        <v>5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>
      <c r="B26" s="13">
        <v>1</v>
      </c>
      <c r="C26" s="13">
        <v>58</v>
      </c>
      <c r="D26" s="13">
        <v>50</v>
      </c>
      <c r="E26" s="13">
        <v>42</v>
      </c>
      <c r="F26" s="13">
        <v>34</v>
      </c>
      <c r="G26" s="13">
        <v>26</v>
      </c>
      <c r="H26" s="13">
        <v>18</v>
      </c>
      <c r="K26" s="12">
        <v>3</v>
      </c>
      <c r="L26" s="12">
        <v>28</v>
      </c>
      <c r="M26" s="12">
        <v>15</v>
      </c>
      <c r="N26" s="12">
        <v>6</v>
      </c>
      <c r="O26" s="12">
        <v>21</v>
      </c>
      <c r="P26" s="12">
        <v>10</v>
      </c>
      <c r="S26" s="10"/>
      <c r="T26" s="12">
        <v>4</v>
      </c>
      <c r="U26" s="12">
        <v>5</v>
      </c>
      <c r="V26" s="12">
        <v>6</v>
      </c>
      <c r="W26" s="12">
        <v>7</v>
      </c>
      <c r="X26" s="12">
        <v>8</v>
      </c>
      <c r="Y26" s="12">
        <v>9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10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</row>
    <row r="27" spans="1:60">
      <c r="B27" s="13">
        <v>10</v>
      </c>
      <c r="C27" s="13">
        <v>2</v>
      </c>
      <c r="D27" s="13">
        <v>59</v>
      </c>
      <c r="E27" s="13">
        <v>51</v>
      </c>
      <c r="F27" s="13">
        <v>43</v>
      </c>
      <c r="G27" s="13">
        <v>35</v>
      </c>
      <c r="H27" s="13">
        <v>27</v>
      </c>
      <c r="K27" s="12">
        <v>23</v>
      </c>
      <c r="L27" s="12">
        <v>19</v>
      </c>
      <c r="M27" s="12">
        <v>12</v>
      </c>
      <c r="N27" s="12">
        <v>4</v>
      </c>
      <c r="O27" s="12">
        <v>26</v>
      </c>
      <c r="P27" s="12">
        <v>8</v>
      </c>
      <c r="S27" s="10"/>
      <c r="T27" s="12">
        <v>8</v>
      </c>
      <c r="U27" s="12">
        <v>9</v>
      </c>
      <c r="V27" s="12">
        <v>10</v>
      </c>
      <c r="W27" s="12">
        <v>11</v>
      </c>
      <c r="X27" s="12">
        <v>12</v>
      </c>
      <c r="Y27" s="12">
        <v>13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>
      <c r="B28" s="13">
        <v>19</v>
      </c>
      <c r="C28" s="13">
        <v>11</v>
      </c>
      <c r="D28" s="13">
        <v>3</v>
      </c>
      <c r="E28" s="13">
        <v>60</v>
      </c>
      <c r="F28" s="13">
        <v>52</v>
      </c>
      <c r="G28" s="13">
        <v>44</v>
      </c>
      <c r="H28" s="13">
        <v>36</v>
      </c>
      <c r="K28" s="12">
        <v>16</v>
      </c>
      <c r="L28" s="12">
        <v>7</v>
      </c>
      <c r="M28" s="12">
        <v>27</v>
      </c>
      <c r="N28" s="12">
        <v>20</v>
      </c>
      <c r="O28" s="12">
        <v>13</v>
      </c>
      <c r="P28" s="12">
        <v>2</v>
      </c>
      <c r="S28" s="10"/>
      <c r="T28" s="12">
        <v>12</v>
      </c>
      <c r="U28" s="12">
        <v>13</v>
      </c>
      <c r="V28" s="12">
        <v>14</v>
      </c>
      <c r="W28" s="12">
        <v>15</v>
      </c>
      <c r="X28" s="12">
        <v>16</v>
      </c>
      <c r="Y28" s="12">
        <v>17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>
      <c r="B29" s="13">
        <v>63</v>
      </c>
      <c r="C29" s="13">
        <v>55</v>
      </c>
      <c r="D29" s="13">
        <v>47</v>
      </c>
      <c r="E29" s="13">
        <v>39</v>
      </c>
      <c r="F29" s="13">
        <v>31</v>
      </c>
      <c r="G29" s="13">
        <v>23</v>
      </c>
      <c r="H29" s="13">
        <v>15</v>
      </c>
      <c r="K29" s="12">
        <v>41</v>
      </c>
      <c r="L29" s="12">
        <v>52</v>
      </c>
      <c r="M29" s="12">
        <v>31</v>
      </c>
      <c r="N29" s="12">
        <v>37</v>
      </c>
      <c r="O29" s="12">
        <v>47</v>
      </c>
      <c r="P29" s="12">
        <v>55</v>
      </c>
      <c r="S29" s="10"/>
      <c r="T29" s="12">
        <v>16</v>
      </c>
      <c r="U29" s="12">
        <v>17</v>
      </c>
      <c r="V29" s="12">
        <v>18</v>
      </c>
      <c r="W29" s="12">
        <v>19</v>
      </c>
      <c r="X29" s="12">
        <v>20</v>
      </c>
      <c r="Y29" s="12">
        <v>21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>
      <c r="B30" s="13">
        <v>7</v>
      </c>
      <c r="C30" s="13">
        <v>62</v>
      </c>
      <c r="D30" s="13">
        <v>54</v>
      </c>
      <c r="E30" s="13">
        <v>46</v>
      </c>
      <c r="F30" s="13">
        <v>38</v>
      </c>
      <c r="G30" s="13">
        <v>30</v>
      </c>
      <c r="H30" s="13">
        <v>22</v>
      </c>
      <c r="K30" s="12">
        <v>30</v>
      </c>
      <c r="L30" s="12">
        <v>40</v>
      </c>
      <c r="M30" s="12">
        <v>51</v>
      </c>
      <c r="N30" s="12">
        <v>45</v>
      </c>
      <c r="O30" s="12">
        <v>33</v>
      </c>
      <c r="P30" s="12">
        <v>48</v>
      </c>
      <c r="S30" s="10"/>
      <c r="T30" s="12">
        <v>20</v>
      </c>
      <c r="U30" s="12">
        <v>21</v>
      </c>
      <c r="V30" s="12">
        <v>22</v>
      </c>
      <c r="W30" s="12">
        <v>23</v>
      </c>
      <c r="X30" s="12">
        <v>24</v>
      </c>
      <c r="Y30" s="12">
        <v>25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>
      <c r="B31" s="13">
        <v>14</v>
      </c>
      <c r="C31" s="13">
        <v>6</v>
      </c>
      <c r="D31" s="13">
        <v>61</v>
      </c>
      <c r="E31" s="13">
        <v>53</v>
      </c>
      <c r="F31" s="13">
        <v>45</v>
      </c>
      <c r="G31" s="13">
        <v>37</v>
      </c>
      <c r="H31" s="13">
        <v>29</v>
      </c>
      <c r="K31" s="12">
        <v>44</v>
      </c>
      <c r="L31" s="12">
        <v>49</v>
      </c>
      <c r="M31" s="12">
        <v>39</v>
      </c>
      <c r="N31" s="12">
        <v>56</v>
      </c>
      <c r="O31" s="12">
        <v>34</v>
      </c>
      <c r="P31" s="12">
        <v>53</v>
      </c>
      <c r="T31" s="12">
        <v>24</v>
      </c>
      <c r="U31" s="12">
        <v>25</v>
      </c>
      <c r="V31" s="12">
        <v>26</v>
      </c>
      <c r="W31" s="12">
        <v>27</v>
      </c>
      <c r="X31" s="12">
        <v>28</v>
      </c>
      <c r="Y31" s="12">
        <v>29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>
      <c r="B32" s="13">
        <v>21</v>
      </c>
      <c r="C32" s="13">
        <v>13</v>
      </c>
      <c r="D32" s="13">
        <v>5</v>
      </c>
      <c r="E32" s="13">
        <v>28</v>
      </c>
      <c r="F32" s="13">
        <v>20</v>
      </c>
      <c r="G32" s="13">
        <v>12</v>
      </c>
      <c r="H32" s="13">
        <v>4</v>
      </c>
      <c r="K32" s="12">
        <v>46</v>
      </c>
      <c r="L32" s="12">
        <v>42</v>
      </c>
      <c r="M32" s="12">
        <v>50</v>
      </c>
      <c r="N32" s="12">
        <v>36</v>
      </c>
      <c r="O32" s="12">
        <v>29</v>
      </c>
      <c r="P32" s="12">
        <v>32</v>
      </c>
      <c r="T32" s="12">
        <v>28</v>
      </c>
      <c r="U32" s="12">
        <v>29</v>
      </c>
      <c r="V32" s="12">
        <v>30</v>
      </c>
      <c r="W32" s="12">
        <v>31</v>
      </c>
      <c r="X32" s="12">
        <v>32</v>
      </c>
      <c r="Y32" s="12">
        <v>1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10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</row>
    <row r="33" spans="1:65"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5">
      <c r="A34" s="5" t="s">
        <v>10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5"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5">
      <c r="A36" s="20" t="s">
        <v>6</v>
      </c>
      <c r="B36" s="7" cm="1">
        <f t="array" ref="B36">INDEX($B$7:$BS$7, B15)</f>
        <v>1</v>
      </c>
      <c r="C36" s="7" cm="1">
        <f t="array" ref="C36">INDEX($B$7:$BS$7, C15)</f>
        <v>0</v>
      </c>
      <c r="D36" s="7" cm="1">
        <f t="array" ref="D36">INDEX($B$7:$BS$7, D15)</f>
        <v>0</v>
      </c>
      <c r="E36" s="7" cm="1">
        <f t="array" ref="E36">INDEX($B$7:$BS$7, E15)</f>
        <v>1</v>
      </c>
      <c r="F36" s="7" cm="1">
        <f t="array" ref="F36">INDEX($B$7:$BS$7, F15)</f>
        <v>1</v>
      </c>
      <c r="G36" s="7" cm="1">
        <f t="array" ref="G36">INDEX($B$7:$BS$7, G15)</f>
        <v>0</v>
      </c>
      <c r="H36" s="7" cm="1">
        <f t="array" ref="H36">INDEX($B$7:$BS$7, H15)</f>
        <v>0</v>
      </c>
      <c r="I36" s="7" cm="1">
        <f t="array" ref="I36">INDEX($B$7:$BS$7, I15)</f>
        <v>0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5">
      <c r="B37" s="7" cm="1">
        <f t="array" ref="B37">INDEX($B$7:$BS$7, B16)</f>
        <v>1</v>
      </c>
      <c r="C37" s="7" cm="1">
        <f t="array" ref="C37">INDEX($B$7:$BS$7, C16)</f>
        <v>1</v>
      </c>
      <c r="D37" s="7" cm="1">
        <f t="array" ref="D37">INDEX($B$7:$BS$7, D16)</f>
        <v>1</v>
      </c>
      <c r="E37" s="7" cm="1">
        <f t="array" ref="E37">INDEX($B$7:$BS$7, E16)</f>
        <v>1</v>
      </c>
      <c r="F37" s="7" cm="1">
        <f t="array" ref="F37">INDEX($B$7:$BS$7, F16)</f>
        <v>1</v>
      </c>
      <c r="G37" s="7" cm="1">
        <f t="array" ref="G37">INDEX($B$7:$BS$7, G16)</f>
        <v>1</v>
      </c>
      <c r="H37" s="7" cm="1">
        <f t="array" ref="H37">INDEX($B$7:$BS$7, H16)</f>
        <v>1</v>
      </c>
      <c r="I37" s="7" cm="1">
        <f t="array" ref="I37">INDEX($B$7:$BS$7, I16)</f>
        <v>0</v>
      </c>
    </row>
    <row r="38" spans="1:65">
      <c r="B38" s="7" cm="1">
        <f t="array" ref="B38">INDEX($B$7:$BS$7, B17)</f>
        <v>1</v>
      </c>
      <c r="C38" s="7" cm="1">
        <f t="array" ref="C38">INDEX($B$7:$BS$7, C17)</f>
        <v>1</v>
      </c>
      <c r="D38" s="7" cm="1">
        <f t="array" ref="D38">INDEX($B$7:$BS$7, D17)</f>
        <v>0</v>
      </c>
      <c r="E38" s="7" cm="1">
        <f t="array" ref="E38">INDEX($B$7:$BS$7, E17)</f>
        <v>0</v>
      </c>
      <c r="F38" s="7" cm="1">
        <f t="array" ref="F38">INDEX($B$7:$BS$7, F17)</f>
        <v>1</v>
      </c>
      <c r="G38" s="7" cm="1">
        <f t="array" ref="G38">INDEX($B$7:$BS$7, G17)</f>
        <v>1</v>
      </c>
      <c r="H38" s="7" cm="1">
        <f t="array" ref="H38">INDEX($B$7:$BS$7, H17)</f>
        <v>0</v>
      </c>
      <c r="I38" s="7" cm="1">
        <f t="array" ref="I38">INDEX($B$7:$BS$7, I17)</f>
        <v>0</v>
      </c>
    </row>
    <row r="39" spans="1:65">
      <c r="B39" s="7" cm="1">
        <f t="array" ref="B39">INDEX($B$7:$BS$7, B18)</f>
        <v>0</v>
      </c>
      <c r="C39" s="7" cm="1">
        <f t="array" ref="C39">INDEX($B$7:$BS$7, C18)</f>
        <v>0</v>
      </c>
      <c r="D39" s="7" cm="1">
        <f t="array" ref="D39">INDEX($B$7:$BS$7, D18)</f>
        <v>0</v>
      </c>
      <c r="E39" s="7" cm="1">
        <f t="array" ref="E39">INDEX($B$7:$BS$7, E18)</f>
        <v>0</v>
      </c>
      <c r="F39" s="7" cm="1">
        <f t="array" ref="F39">INDEX($B$7:$BS$7, F18)</f>
        <v>0</v>
      </c>
      <c r="G39" s="7" cm="1">
        <f t="array" ref="G39">INDEX($B$7:$BS$7, G18)</f>
        <v>0</v>
      </c>
      <c r="H39" s="7" cm="1">
        <f t="array" ref="H39">INDEX($B$7:$BS$7, H18)</f>
        <v>0</v>
      </c>
      <c r="I39" s="7" cm="1">
        <f t="array" ref="I39">INDEX($B$7:$BS$7, I18)</f>
        <v>0</v>
      </c>
    </row>
    <row r="40" spans="1:65">
      <c r="B40" s="7" cm="1">
        <f t="array" ref="B40">INDEX($B$7:$BS$7, B19)</f>
        <v>1</v>
      </c>
      <c r="C40" s="7" cm="1">
        <f t="array" ref="C40">INDEX($B$7:$BS$7, C19)</f>
        <v>1</v>
      </c>
      <c r="D40" s="7" cm="1">
        <f t="array" ref="D40">INDEX($B$7:$BS$7, D19)</f>
        <v>1</v>
      </c>
      <c r="E40" s="7" cm="1">
        <f t="array" ref="E40">INDEX($B$7:$BS$7, E19)</f>
        <v>0</v>
      </c>
      <c r="F40" s="7" cm="1">
        <f t="array" ref="F40">INDEX($B$7:$BS$7, F19)</f>
        <v>0</v>
      </c>
      <c r="G40" s="7" cm="1">
        <f t="array" ref="G40">INDEX($B$7:$BS$7, G19)</f>
        <v>0</v>
      </c>
      <c r="H40" s="7" cm="1">
        <f t="array" ref="H40">INDEX($B$7:$BS$7, H19)</f>
        <v>0</v>
      </c>
      <c r="I40" s="7" cm="1">
        <f t="array" ref="I40">INDEX($B$7:$BS$7, I19)</f>
        <v>0</v>
      </c>
    </row>
    <row r="41" spans="1:65">
      <c r="B41" s="7" cm="1">
        <f t="array" ref="B41">INDEX($B$7:$BS$7, B20)</f>
        <v>0</v>
      </c>
      <c r="C41" s="7" cm="1">
        <f t="array" ref="C41">INDEX($B$7:$BS$7, C20)</f>
        <v>1</v>
      </c>
      <c r="D41" s="7" cm="1">
        <f t="array" ref="D41">INDEX($B$7:$BS$7, D20)</f>
        <v>0</v>
      </c>
      <c r="E41" s="7" cm="1">
        <f t="array" ref="E41">INDEX($B$7:$BS$7, E20)</f>
        <v>1</v>
      </c>
      <c r="F41" s="7" cm="1">
        <f t="array" ref="F41">INDEX($B$7:$BS$7, F20)</f>
        <v>0</v>
      </c>
      <c r="G41" s="7" cm="1">
        <f t="array" ref="G41">INDEX($B$7:$BS$7, G20)</f>
        <v>1</v>
      </c>
      <c r="H41" s="7" cm="1">
        <f t="array" ref="H41">INDEX($B$7:$BS$7, H20)</f>
        <v>0</v>
      </c>
      <c r="I41" s="7" cm="1">
        <f t="array" ref="I41">INDEX($B$7:$BS$7, I20)</f>
        <v>0</v>
      </c>
    </row>
    <row r="42" spans="1:65">
      <c r="B42" s="7" cm="1">
        <f t="array" ref="B42">INDEX($B$7:$BS$7, B21)</f>
        <v>1</v>
      </c>
      <c r="C42" s="7" cm="1">
        <f t="array" ref="C42">INDEX($B$7:$BS$7, C21)</f>
        <v>1</v>
      </c>
      <c r="D42" s="7" cm="1">
        <f t="array" ref="D42">INDEX($B$7:$BS$7, D21)</f>
        <v>1</v>
      </c>
      <c r="E42" s="7" cm="1">
        <f t="array" ref="E42">INDEX($B$7:$BS$7, E21)</f>
        <v>1</v>
      </c>
      <c r="F42" s="7" cm="1">
        <f t="array" ref="F42">INDEX($B$7:$BS$7, F21)</f>
        <v>0</v>
      </c>
      <c r="G42" s="7" cm="1">
        <f t="array" ref="G42">INDEX($B$7:$BS$7, G21)</f>
        <v>0</v>
      </c>
      <c r="H42" s="7" cm="1">
        <f t="array" ref="H42">INDEX($B$7:$BS$7, H21)</f>
        <v>0</v>
      </c>
      <c r="I42" s="7" cm="1">
        <f t="array" ref="I42">INDEX($B$7:$BS$7, I21)</f>
        <v>0</v>
      </c>
    </row>
    <row r="43" spans="1:65">
      <c r="B43" s="7" cm="1">
        <f t="array" ref="B43">INDEX($B$7:$BS$7, B22)</f>
        <v>1</v>
      </c>
      <c r="C43" s="7" cm="1">
        <f t="array" ref="C43">INDEX($B$7:$BS$7, C22)</f>
        <v>0</v>
      </c>
      <c r="D43" s="7" cm="1">
        <f t="array" ref="D43">INDEX($B$7:$BS$7, D22)</f>
        <v>1</v>
      </c>
      <c r="E43" s="7" cm="1">
        <f t="array" ref="E43">INDEX($B$7:$BS$7, E22)</f>
        <v>0</v>
      </c>
      <c r="F43" s="7" cm="1">
        <f t="array" ref="F43">INDEX($B$7:$BS$7, F22)</f>
        <v>1</v>
      </c>
      <c r="G43" s="7" cm="1">
        <f t="array" ref="G43">INDEX($B$7:$BS$7, G22)</f>
        <v>0</v>
      </c>
      <c r="H43" s="7" cm="1">
        <f t="array" ref="H43">INDEX($B$7:$BS$7, H22)</f>
        <v>1</v>
      </c>
      <c r="I43" s="7" cm="1">
        <f t="array" ref="I43">INDEX($B$7:$BS$7, I22)</f>
        <v>0</v>
      </c>
    </row>
    <row r="45" spans="1:65">
      <c r="A45" s="7" t="s">
        <v>3</v>
      </c>
      <c r="B45" s="7">
        <v>1</v>
      </c>
      <c r="C45" s="7">
        <v>2</v>
      </c>
      <c r="D45" s="7">
        <v>3</v>
      </c>
      <c r="E45" s="7">
        <v>4</v>
      </c>
      <c r="F45" s="7">
        <v>5</v>
      </c>
      <c r="G45" s="7">
        <v>6</v>
      </c>
      <c r="H45" s="7">
        <v>7</v>
      </c>
      <c r="I45" s="7">
        <v>8</v>
      </c>
      <c r="J45" s="7">
        <v>9</v>
      </c>
      <c r="K45" s="7">
        <v>10</v>
      </c>
      <c r="L45" s="7">
        <v>11</v>
      </c>
      <c r="M45" s="7">
        <v>12</v>
      </c>
      <c r="N45" s="7">
        <v>13</v>
      </c>
      <c r="O45" s="7">
        <v>14</v>
      </c>
      <c r="P45" s="7">
        <v>15</v>
      </c>
      <c r="Q45" s="7">
        <v>16</v>
      </c>
      <c r="R45" s="7">
        <v>17</v>
      </c>
      <c r="S45" s="7">
        <v>18</v>
      </c>
      <c r="T45" s="7">
        <v>19</v>
      </c>
      <c r="U45" s="7">
        <v>20</v>
      </c>
      <c r="V45" s="7">
        <v>21</v>
      </c>
      <c r="W45" s="7">
        <v>22</v>
      </c>
      <c r="X45" s="7">
        <v>23</v>
      </c>
      <c r="Y45" s="7">
        <v>24</v>
      </c>
      <c r="Z45" s="7">
        <v>25</v>
      </c>
      <c r="AA45" s="7">
        <v>26</v>
      </c>
      <c r="AB45" s="7">
        <v>27</v>
      </c>
      <c r="AC45" s="7">
        <v>28</v>
      </c>
      <c r="AD45" s="7">
        <v>29</v>
      </c>
      <c r="AE45" s="7">
        <v>30</v>
      </c>
      <c r="AF45" s="7">
        <v>31</v>
      </c>
      <c r="AG45" s="7">
        <v>32</v>
      </c>
      <c r="AH45" s="7">
        <v>33</v>
      </c>
      <c r="AI45" s="7">
        <v>34</v>
      </c>
      <c r="AJ45" s="7">
        <v>35</v>
      </c>
      <c r="AK45" s="7">
        <v>36</v>
      </c>
      <c r="AL45" s="7">
        <v>37</v>
      </c>
      <c r="AM45" s="7">
        <v>38</v>
      </c>
      <c r="AN45" s="7">
        <v>39</v>
      </c>
      <c r="AO45" s="7">
        <v>40</v>
      </c>
      <c r="AP45" s="7">
        <v>41</v>
      </c>
      <c r="AQ45" s="7">
        <v>42</v>
      </c>
      <c r="AR45" s="7">
        <v>43</v>
      </c>
      <c r="AS45" s="7">
        <v>44</v>
      </c>
      <c r="AT45" s="7">
        <v>45</v>
      </c>
      <c r="AU45" s="7">
        <v>46</v>
      </c>
      <c r="AV45" s="7">
        <v>47</v>
      </c>
      <c r="AW45" s="7">
        <v>48</v>
      </c>
      <c r="AX45" s="7">
        <v>49</v>
      </c>
      <c r="AY45" s="7">
        <v>50</v>
      </c>
      <c r="AZ45" s="7">
        <v>51</v>
      </c>
      <c r="BA45" s="7">
        <v>52</v>
      </c>
      <c r="BB45" s="7">
        <v>53</v>
      </c>
      <c r="BC45" s="7">
        <v>54</v>
      </c>
      <c r="BD45" s="7">
        <v>55</v>
      </c>
      <c r="BE45" s="7">
        <v>56</v>
      </c>
      <c r="BF45" s="7">
        <v>57</v>
      </c>
      <c r="BG45" s="7">
        <v>58</v>
      </c>
      <c r="BH45" s="7">
        <v>59</v>
      </c>
      <c r="BI45" s="7">
        <v>60</v>
      </c>
      <c r="BJ45" s="7">
        <v>61</v>
      </c>
      <c r="BK45" s="7">
        <v>62</v>
      </c>
      <c r="BL45" s="7">
        <v>63</v>
      </c>
      <c r="BM45" s="7">
        <v>64</v>
      </c>
    </row>
    <row r="46" spans="1:65">
      <c r="A46" s="7" t="s">
        <v>6</v>
      </c>
      <c r="B46" s="7" cm="1">
        <f t="array" ref="B46">INDEX($B$36:$I$43, INT((COLUMN(A1)-1)/8)+1, MOD(COLUMN(A1)-1,8)+1)</f>
        <v>1</v>
      </c>
      <c r="C46" s="7" cm="1">
        <f t="array" ref="C46">INDEX($B$36:$I$43, INT((COLUMN(B1)-1)/8)+1, MOD(COLUMN(B1)-1,8)+1)</f>
        <v>0</v>
      </c>
      <c r="D46" s="7" cm="1">
        <f t="array" ref="D46">INDEX($B$36:$I$43, INT((COLUMN(C1)-1)/8)+1, MOD(COLUMN(C1)-1,8)+1)</f>
        <v>0</v>
      </c>
      <c r="E46" s="7" cm="1">
        <f t="array" ref="E46">INDEX($B$36:$I$43, INT((COLUMN(D1)-1)/8)+1, MOD(COLUMN(D1)-1,8)+1)</f>
        <v>1</v>
      </c>
      <c r="F46" s="7" cm="1">
        <f t="array" ref="F46">INDEX($B$36:$I$43, INT((COLUMN(E1)-1)/8)+1, MOD(COLUMN(E1)-1,8)+1)</f>
        <v>1</v>
      </c>
      <c r="G46" s="7" cm="1">
        <f t="array" ref="G46">INDEX($B$36:$I$43, INT((COLUMN(F1)-1)/8)+1, MOD(COLUMN(F1)-1,8)+1)</f>
        <v>0</v>
      </c>
      <c r="H46" s="7" cm="1">
        <f t="array" ref="H46">INDEX($B$36:$I$43, INT((COLUMN(G1)-1)/8)+1, MOD(COLUMN(G1)-1,8)+1)</f>
        <v>0</v>
      </c>
      <c r="I46" s="7" cm="1">
        <f t="array" ref="I46">INDEX($B$36:$I$43, INT((COLUMN(H1)-1)/8)+1, MOD(COLUMN(H1)-1,8)+1)</f>
        <v>0</v>
      </c>
      <c r="J46" s="7" cm="1">
        <f t="array" ref="J46">INDEX($B$36:$I$43, INT((COLUMN(I1)-1)/8)+1, MOD(COLUMN(I1)-1,8)+1)</f>
        <v>1</v>
      </c>
      <c r="K46" s="7" cm="1">
        <f t="array" ref="K46">INDEX($B$36:$I$43, INT((COLUMN(J1)-1)/8)+1, MOD(COLUMN(J1)-1,8)+1)</f>
        <v>1</v>
      </c>
      <c r="L46" s="7" cm="1">
        <f t="array" ref="L46">INDEX($B$36:$I$43, INT((COLUMN(K1)-1)/8)+1, MOD(COLUMN(K1)-1,8)+1)</f>
        <v>1</v>
      </c>
      <c r="M46" s="7" cm="1">
        <f t="array" ref="M46">INDEX($B$36:$I$43, INT((COLUMN(L1)-1)/8)+1, MOD(COLUMN(L1)-1,8)+1)</f>
        <v>1</v>
      </c>
      <c r="N46" s="7" cm="1">
        <f t="array" ref="N46">INDEX($B$36:$I$43, INT((COLUMN(M1)-1)/8)+1, MOD(COLUMN(M1)-1,8)+1)</f>
        <v>1</v>
      </c>
      <c r="O46" s="7" cm="1">
        <f t="array" ref="O46">INDEX($B$36:$I$43, INT((COLUMN(N1)-1)/8)+1, MOD(COLUMN(N1)-1,8)+1)</f>
        <v>1</v>
      </c>
      <c r="P46" s="7" cm="1">
        <f t="array" ref="P46">INDEX($B$36:$I$43, INT((COLUMN(O1)-1)/8)+1, MOD(COLUMN(O1)-1,8)+1)</f>
        <v>1</v>
      </c>
      <c r="Q46" s="7" cm="1">
        <f t="array" ref="Q46">INDEX($B$36:$I$43, INT((COLUMN(P1)-1)/8)+1, MOD(COLUMN(P1)-1,8)+1)</f>
        <v>0</v>
      </c>
      <c r="R46" s="7" cm="1">
        <f t="array" ref="R46">INDEX($B$36:$I$43, INT((COLUMN(Q1)-1)/8)+1, MOD(COLUMN(Q1)-1,8)+1)</f>
        <v>1</v>
      </c>
      <c r="S46" s="7" cm="1">
        <f t="array" ref="S46">INDEX($B$36:$I$43, INT((COLUMN(R1)-1)/8)+1, MOD(COLUMN(R1)-1,8)+1)</f>
        <v>1</v>
      </c>
      <c r="T46" s="7" cm="1">
        <f t="array" ref="T46">INDEX($B$36:$I$43, INT((COLUMN(S1)-1)/8)+1, MOD(COLUMN(S1)-1,8)+1)</f>
        <v>0</v>
      </c>
      <c r="U46" s="7" cm="1">
        <f t="array" ref="U46">INDEX($B$36:$I$43, INT((COLUMN(T1)-1)/8)+1, MOD(COLUMN(T1)-1,8)+1)</f>
        <v>0</v>
      </c>
      <c r="V46" s="7" cm="1">
        <f t="array" ref="V46">INDEX($B$36:$I$43, INT((COLUMN(U1)-1)/8)+1, MOD(COLUMN(U1)-1,8)+1)</f>
        <v>1</v>
      </c>
      <c r="W46" s="7" cm="1">
        <f t="array" ref="W46">INDEX($B$36:$I$43, INT((COLUMN(V1)-1)/8)+1, MOD(COLUMN(V1)-1,8)+1)</f>
        <v>1</v>
      </c>
      <c r="X46" s="7" cm="1">
        <f t="array" ref="X46">INDEX($B$36:$I$43, INT((COLUMN(W1)-1)/8)+1, MOD(COLUMN(W1)-1,8)+1)</f>
        <v>0</v>
      </c>
      <c r="Y46" s="7" cm="1">
        <f t="array" ref="Y46">INDEX($B$36:$I$43, INT((COLUMN(X1)-1)/8)+1, MOD(COLUMN(X1)-1,8)+1)</f>
        <v>0</v>
      </c>
      <c r="Z46" s="7" cm="1">
        <f t="array" ref="Z46">INDEX($B$36:$I$43, INT((COLUMN(Y1)-1)/8)+1, MOD(COLUMN(Y1)-1,8)+1)</f>
        <v>0</v>
      </c>
      <c r="AA46" s="7" cm="1">
        <f t="array" ref="AA46">INDEX($B$36:$I$43, INT((COLUMN(Z1)-1)/8)+1, MOD(COLUMN(Z1)-1,8)+1)</f>
        <v>0</v>
      </c>
      <c r="AB46" s="7" cm="1">
        <f t="array" ref="AB46">INDEX($B$36:$I$43, INT((COLUMN(AA1)-1)/8)+1, MOD(COLUMN(AA1)-1,8)+1)</f>
        <v>0</v>
      </c>
      <c r="AC46" s="7" cm="1">
        <f t="array" ref="AC46">INDEX($B$36:$I$43, INT((COLUMN(AB1)-1)/8)+1, MOD(COLUMN(AB1)-1,8)+1)</f>
        <v>0</v>
      </c>
      <c r="AD46" s="7" cm="1">
        <f t="array" ref="AD46">INDEX($B$36:$I$43, INT((COLUMN(AC1)-1)/8)+1, MOD(COLUMN(AC1)-1,8)+1)</f>
        <v>0</v>
      </c>
      <c r="AE46" s="7" cm="1">
        <f t="array" ref="AE46">INDEX($B$36:$I$43, INT((COLUMN(AD1)-1)/8)+1, MOD(COLUMN(AD1)-1,8)+1)</f>
        <v>0</v>
      </c>
      <c r="AF46" s="7" cm="1">
        <f t="array" ref="AF46">INDEX($B$36:$I$43, INT((COLUMN(AE1)-1)/8)+1, MOD(COLUMN(AE1)-1,8)+1)</f>
        <v>0</v>
      </c>
      <c r="AG46" s="7" cm="1">
        <f t="array" ref="AG46">INDEX($B$36:$I$43, INT((COLUMN(AF1)-1)/8)+1, MOD(COLUMN(AF1)-1,8)+1)</f>
        <v>0</v>
      </c>
      <c r="AH46" s="7" cm="1">
        <f t="array" ref="AH46">INDEX($B$36:$I$43, INT((COLUMN(AG1)-1)/8)+1, MOD(COLUMN(AG1)-1,8)+1)</f>
        <v>1</v>
      </c>
      <c r="AI46" s="7" cm="1">
        <f t="array" ref="AI46">INDEX($B$36:$I$43, INT((COLUMN(AH1)-1)/8)+1, MOD(COLUMN(AH1)-1,8)+1)</f>
        <v>1</v>
      </c>
      <c r="AJ46" s="7" cm="1">
        <f t="array" ref="AJ46">INDEX($B$36:$I$43, INT((COLUMN(AI1)-1)/8)+1, MOD(COLUMN(AI1)-1,8)+1)</f>
        <v>1</v>
      </c>
      <c r="AK46" s="7" cm="1">
        <f t="array" ref="AK46">INDEX($B$36:$I$43, INT((COLUMN(AJ1)-1)/8)+1, MOD(COLUMN(AJ1)-1,8)+1)</f>
        <v>0</v>
      </c>
      <c r="AL46" s="7" cm="1">
        <f t="array" ref="AL46">INDEX($B$36:$I$43, INT((COLUMN(AK1)-1)/8)+1, MOD(COLUMN(AK1)-1,8)+1)</f>
        <v>0</v>
      </c>
      <c r="AM46" s="7" cm="1">
        <f t="array" ref="AM46">INDEX($B$36:$I$43, INT((COLUMN(AL1)-1)/8)+1, MOD(COLUMN(AL1)-1,8)+1)</f>
        <v>0</v>
      </c>
      <c r="AN46" s="7" cm="1">
        <f t="array" ref="AN46">INDEX($B$36:$I$43, INT((COLUMN(AM1)-1)/8)+1, MOD(COLUMN(AM1)-1,8)+1)</f>
        <v>0</v>
      </c>
      <c r="AO46" s="7" cm="1">
        <f t="array" ref="AO46">INDEX($B$36:$I$43, INT((COLUMN(AN1)-1)/8)+1, MOD(COLUMN(AN1)-1,8)+1)</f>
        <v>0</v>
      </c>
      <c r="AP46" s="7" cm="1">
        <f t="array" ref="AP46">INDEX($B$36:$I$43, INT((COLUMN(AO1)-1)/8)+1, MOD(COLUMN(AO1)-1,8)+1)</f>
        <v>0</v>
      </c>
      <c r="AQ46" s="7" cm="1">
        <f t="array" ref="AQ46">INDEX($B$36:$I$43, INT((COLUMN(AP1)-1)/8)+1, MOD(COLUMN(AP1)-1,8)+1)</f>
        <v>1</v>
      </c>
      <c r="AR46" s="7" cm="1">
        <f t="array" ref="AR46">INDEX($B$36:$I$43, INT((COLUMN(AQ1)-1)/8)+1, MOD(COLUMN(AQ1)-1,8)+1)</f>
        <v>0</v>
      </c>
      <c r="AS46" s="7" cm="1">
        <f t="array" ref="AS46">INDEX($B$36:$I$43, INT((COLUMN(AR1)-1)/8)+1, MOD(COLUMN(AR1)-1,8)+1)</f>
        <v>1</v>
      </c>
      <c r="AT46" s="7" cm="1">
        <f t="array" ref="AT46">INDEX($B$36:$I$43, INT((COLUMN(AS1)-1)/8)+1, MOD(COLUMN(AS1)-1,8)+1)</f>
        <v>0</v>
      </c>
      <c r="AU46" s="7" cm="1">
        <f t="array" ref="AU46">INDEX($B$36:$I$43, INT((COLUMN(AT1)-1)/8)+1, MOD(COLUMN(AT1)-1,8)+1)</f>
        <v>1</v>
      </c>
      <c r="AV46" s="7" cm="1">
        <f t="array" ref="AV46">INDEX($B$36:$I$43, INT((COLUMN(AU1)-1)/8)+1, MOD(COLUMN(AU1)-1,8)+1)</f>
        <v>0</v>
      </c>
      <c r="AW46" s="7" cm="1">
        <f t="array" ref="AW46">INDEX($B$36:$I$43, INT((COLUMN(AV1)-1)/8)+1, MOD(COLUMN(AV1)-1,8)+1)</f>
        <v>0</v>
      </c>
      <c r="AX46" s="7" cm="1">
        <f t="array" ref="AX46">INDEX($B$36:$I$43, INT((COLUMN(AW1)-1)/8)+1, MOD(COLUMN(AW1)-1,8)+1)</f>
        <v>1</v>
      </c>
      <c r="AY46" s="7" cm="1">
        <f t="array" ref="AY46">INDEX($B$36:$I$43, INT((COLUMN(AX1)-1)/8)+1, MOD(COLUMN(AX1)-1,8)+1)</f>
        <v>1</v>
      </c>
      <c r="AZ46" s="7" cm="1">
        <f t="array" ref="AZ46">INDEX($B$36:$I$43, INT((COLUMN(AY1)-1)/8)+1, MOD(COLUMN(AY1)-1,8)+1)</f>
        <v>1</v>
      </c>
      <c r="BA46" s="7" cm="1">
        <f t="array" ref="BA46">INDEX($B$36:$I$43, INT((COLUMN(AZ1)-1)/8)+1, MOD(COLUMN(AZ1)-1,8)+1)</f>
        <v>1</v>
      </c>
      <c r="BB46" s="7" cm="1">
        <f t="array" ref="BB46">INDEX($B$36:$I$43, INT((COLUMN(BA1)-1)/8)+1, MOD(COLUMN(BA1)-1,8)+1)</f>
        <v>0</v>
      </c>
      <c r="BC46" s="7" cm="1">
        <f t="array" ref="BC46">INDEX($B$36:$I$43, INT((COLUMN(BB1)-1)/8)+1, MOD(COLUMN(BB1)-1,8)+1)</f>
        <v>0</v>
      </c>
      <c r="BD46" s="7" cm="1">
        <f t="array" ref="BD46">INDEX($B$36:$I$43, INT((COLUMN(BC1)-1)/8)+1, MOD(COLUMN(BC1)-1,8)+1)</f>
        <v>0</v>
      </c>
      <c r="BE46" s="7" cm="1">
        <f t="array" ref="BE46">INDEX($B$36:$I$43, INT((COLUMN(BD1)-1)/8)+1, MOD(COLUMN(BD1)-1,8)+1)</f>
        <v>0</v>
      </c>
      <c r="BF46" s="7" cm="1">
        <f t="array" ref="BF46">INDEX($B$36:$I$43, INT((COLUMN(BE1)-1)/8)+1, MOD(COLUMN(BE1)-1,8)+1)</f>
        <v>1</v>
      </c>
      <c r="BG46" s="7" cm="1">
        <f t="array" ref="BG46">INDEX($B$36:$I$43, INT((COLUMN(BF1)-1)/8)+1, MOD(COLUMN(BF1)-1,8)+1)</f>
        <v>0</v>
      </c>
      <c r="BH46" s="7" cm="1">
        <f t="array" ref="BH46">INDEX($B$36:$I$43, INT((COLUMN(BG1)-1)/8)+1, MOD(COLUMN(BG1)-1,8)+1)</f>
        <v>1</v>
      </c>
      <c r="BI46" s="7" cm="1">
        <f t="array" ref="BI46">INDEX($B$36:$I$43, INT((COLUMN(BH1)-1)/8)+1, MOD(COLUMN(BH1)-1,8)+1)</f>
        <v>0</v>
      </c>
      <c r="BJ46" s="7" cm="1">
        <f t="array" ref="BJ46">INDEX($B$36:$I$43, INT((COLUMN(BI1)-1)/8)+1, MOD(COLUMN(BI1)-1,8)+1)</f>
        <v>1</v>
      </c>
      <c r="BK46" s="7" cm="1">
        <f t="array" ref="BK46">INDEX($B$36:$I$43, INT((COLUMN(BJ1)-1)/8)+1, MOD(COLUMN(BJ1)-1,8)+1)</f>
        <v>0</v>
      </c>
      <c r="BL46" s="7" cm="1">
        <f t="array" ref="BL46">INDEX($B$36:$I$43, INT((COLUMN(BK1)-1)/8)+1, MOD(COLUMN(BK1)-1,8)+1)</f>
        <v>1</v>
      </c>
      <c r="BM46" s="7" cm="1">
        <f t="array" ref="BM46">INDEX($B$36:$I$43, INT((COLUMN(BL1)-1)/8)+1, MOD(COLUMN(BL1)-1,8)+1)</f>
        <v>0</v>
      </c>
    </row>
    <row r="48" spans="1:65">
      <c r="A48" s="32" t="s">
        <v>151</v>
      </c>
      <c r="B48" s="32"/>
      <c r="C48" s="32"/>
    </row>
    <row r="50" spans="1:57">
      <c r="A50" s="20" t="s">
        <v>8</v>
      </c>
      <c r="B50" s="12" cm="1">
        <f t="array" ref="B50">INDEX($B$12:$BS$12, B25)</f>
        <v>1</v>
      </c>
      <c r="C50" s="12" cm="1">
        <f t="array" ref="C50">INDEX($B$12:$BS$12, C25)</f>
        <v>1</v>
      </c>
      <c r="D50" s="12" cm="1">
        <f t="array" ref="D50">INDEX($B$12:$BS$12, D25)</f>
        <v>1</v>
      </c>
      <c r="E50" s="12" cm="1">
        <f t="array" ref="E50">INDEX($B$12:$BS$12, E25)</f>
        <v>1</v>
      </c>
      <c r="F50" s="12" cm="1">
        <f t="array" ref="F50">INDEX($B$12:$BS$12, F25)</f>
        <v>0</v>
      </c>
      <c r="G50" s="12" cm="1">
        <f t="array" ref="G50">INDEX($B$12:$BS$12, G25)</f>
        <v>0</v>
      </c>
      <c r="H50" s="12" cm="1">
        <f t="array" ref="H50">INDEX($B$12:$BS$12, H25)</f>
        <v>0</v>
      </c>
    </row>
    <row r="51" spans="1:57">
      <c r="B51" s="12" cm="1">
        <f t="array" ref="B51">INDEX($B$12:$BS$12, B26)</f>
        <v>0</v>
      </c>
      <c r="C51" s="12" cm="1">
        <f t="array" ref="C51">INDEX($B$12:$BS$12, C26)</f>
        <v>1</v>
      </c>
      <c r="D51" s="12" cm="1">
        <f t="array" ref="D51">INDEX($B$12:$BS$12, D26)</f>
        <v>1</v>
      </c>
      <c r="E51" s="12" cm="1">
        <f t="array" ref="E51">INDEX($B$12:$BS$12, E26)</f>
        <v>0</v>
      </c>
      <c r="F51" s="12" cm="1">
        <f t="array" ref="F51">INDEX($B$12:$BS$12, F26)</f>
        <v>0</v>
      </c>
      <c r="G51" s="12" cm="1">
        <f t="array" ref="G51">INDEX($B$12:$BS$12, G26)</f>
        <v>1</v>
      </c>
      <c r="H51" s="12" cm="1">
        <f t="array" ref="H51">INDEX($B$12:$BS$12, H26)</f>
        <v>1</v>
      </c>
    </row>
    <row r="52" spans="1:57">
      <c r="B52" s="12" cm="1">
        <f t="array" ref="B52">INDEX($B$12:$BS$12, B27)</f>
        <v>0</v>
      </c>
      <c r="C52" s="12" cm="1">
        <f t="array" ref="C52">INDEX($B$12:$BS$12, C27)</f>
        <v>0</v>
      </c>
      <c r="D52" s="12" cm="1">
        <f t="array" ref="D52">INDEX($B$12:$BS$12, D27)</f>
        <v>1</v>
      </c>
      <c r="E52" s="12" cm="1">
        <f t="array" ref="E52">INDEX($B$12:$BS$12, E27)</f>
        <v>0</v>
      </c>
      <c r="F52" s="12" cm="1">
        <f t="array" ref="F52">INDEX($B$12:$BS$12, F27)</f>
        <v>1</v>
      </c>
      <c r="G52" s="12" cm="1">
        <f t="array" ref="G52">INDEX($B$12:$BS$12, G27)</f>
        <v>0</v>
      </c>
      <c r="H52" s="12" cm="1">
        <f t="array" ref="H52">INDEX($B$12:$BS$12, H27)</f>
        <v>1</v>
      </c>
    </row>
    <row r="53" spans="1:57">
      <c r="B53" s="12" cm="1">
        <f t="array" ref="B53">INDEX($B$12:$BS$12, B28)</f>
        <v>0</v>
      </c>
      <c r="C53" s="12" cm="1">
        <f t="array" ref="C53">INDEX($B$12:$BS$12, C28)</f>
        <v>1</v>
      </c>
      <c r="D53" s="12" cm="1">
        <f t="array" ref="D53">INDEX($B$12:$BS$12, D28)</f>
        <v>0</v>
      </c>
      <c r="E53" s="12" cm="1">
        <f t="array" ref="E53">INDEX($B$12:$BS$12, E28)</f>
        <v>1</v>
      </c>
      <c r="F53" s="12" cm="1">
        <f t="array" ref="F53">INDEX($B$12:$BS$12, F28)</f>
        <v>0</v>
      </c>
      <c r="G53" s="12" cm="1">
        <f t="array" ref="G53">INDEX($B$12:$BS$12, G28)</f>
        <v>1</v>
      </c>
      <c r="H53" s="12" cm="1">
        <f t="array" ref="H53">INDEX($B$12:$BS$12, H28)</f>
        <v>1</v>
      </c>
    </row>
    <row r="54" spans="1:57">
      <c r="B54" s="12" cm="1">
        <f t="array" ref="B54">INDEX($B$12:$BS$12, B29)</f>
        <v>1</v>
      </c>
      <c r="C54" s="12" cm="1">
        <f t="array" ref="C54">INDEX($B$12:$BS$12, C29)</f>
        <v>0</v>
      </c>
      <c r="D54" s="12" cm="1">
        <f t="array" ref="D54">INDEX($B$12:$BS$12, D29)</f>
        <v>1</v>
      </c>
      <c r="E54" s="12" cm="1">
        <f t="array" ref="E54">INDEX($B$12:$BS$12, E29)</f>
        <v>0</v>
      </c>
      <c r="F54" s="12" cm="1">
        <f t="array" ref="F54">INDEX($B$12:$BS$12, F29)</f>
        <v>1</v>
      </c>
      <c r="G54" s="12" cm="1">
        <f t="array" ref="G54">INDEX($B$12:$BS$12, G29)</f>
        <v>0</v>
      </c>
      <c r="H54" s="12" cm="1">
        <f t="array" ref="H54">INDEX($B$12:$BS$12, H29)</f>
        <v>1</v>
      </c>
    </row>
    <row r="55" spans="1:57">
      <c r="B55" s="12" cm="1">
        <f t="array" ref="B55">INDEX($B$12:$BS$12, B30)</f>
        <v>0</v>
      </c>
      <c r="C55" s="12" cm="1">
        <f t="array" ref="C55">INDEX($B$12:$BS$12, C30)</f>
        <v>1</v>
      </c>
      <c r="D55" s="12" cm="1">
        <f t="array" ref="D55">INDEX($B$12:$BS$12, D30)</f>
        <v>1</v>
      </c>
      <c r="E55" s="12" cm="1">
        <f t="array" ref="E55">INDEX($B$12:$BS$12, E30)</f>
        <v>0</v>
      </c>
      <c r="F55" s="12" cm="1">
        <f t="array" ref="F55">INDEX($B$12:$BS$12, F30)</f>
        <v>0</v>
      </c>
      <c r="G55" s="12" cm="1">
        <f t="array" ref="G55">INDEX($B$12:$BS$12, G30)</f>
        <v>1</v>
      </c>
      <c r="H55" s="12" cm="1">
        <f t="array" ref="H55">INDEX($B$12:$BS$12, H30)</f>
        <v>1</v>
      </c>
    </row>
    <row r="56" spans="1:57">
      <c r="B56" s="12" cm="1">
        <f t="array" ref="B56">INDEX($B$12:$BS$12, B31)</f>
        <v>0</v>
      </c>
      <c r="C56" s="12" cm="1">
        <f t="array" ref="C56">INDEX($B$12:$BS$12, C31)</f>
        <v>0</v>
      </c>
      <c r="D56" s="12" cm="1">
        <f t="array" ref="D56">INDEX($B$12:$BS$12, D31)</f>
        <v>1</v>
      </c>
      <c r="E56" s="12" cm="1">
        <f t="array" ref="E56">INDEX($B$12:$BS$12, E31)</f>
        <v>1</v>
      </c>
      <c r="F56" s="12" cm="1">
        <f t="array" ref="F56">INDEX($B$12:$BS$12, F31)</f>
        <v>1</v>
      </c>
      <c r="G56" s="12" cm="1">
        <f t="array" ref="G56">INDEX($B$12:$BS$12, G31)</f>
        <v>1</v>
      </c>
      <c r="H56" s="12" cm="1">
        <f t="array" ref="H56">INDEX($B$12:$BS$12, H31)</f>
        <v>0</v>
      </c>
    </row>
    <row r="57" spans="1:57">
      <c r="B57" s="12" cm="1">
        <f t="array" ref="B57">INDEX($B$12:$BS$12, B32)</f>
        <v>0</v>
      </c>
      <c r="C57" s="12" cm="1">
        <f t="array" ref="C57">INDEX($B$12:$BS$12, C32)</f>
        <v>0</v>
      </c>
      <c r="D57" s="12" cm="1">
        <f t="array" ref="D57">INDEX($B$12:$BS$12, D32)</f>
        <v>0</v>
      </c>
      <c r="E57" s="12" cm="1">
        <f t="array" ref="E57">INDEX($B$12:$BS$12, E32)</f>
        <v>1</v>
      </c>
      <c r="F57" s="12" cm="1">
        <f t="array" ref="F57">INDEX($B$12:$BS$12, F32)</f>
        <v>0</v>
      </c>
      <c r="G57" s="12" cm="1">
        <f t="array" ref="G57">INDEX($B$12:$BS$12, G32)</f>
        <v>1</v>
      </c>
      <c r="H57" s="12" cm="1">
        <f t="array" ref="H57">INDEX($B$12:$BS$12, H32)</f>
        <v>0</v>
      </c>
    </row>
    <row r="59" spans="1:57">
      <c r="A59" s="12" t="s">
        <v>3</v>
      </c>
      <c r="B59" s="12">
        <v>1</v>
      </c>
      <c r="C59" s="12">
        <v>2</v>
      </c>
      <c r="D59" s="12">
        <v>3</v>
      </c>
      <c r="E59" s="12">
        <v>4</v>
      </c>
      <c r="F59" s="12">
        <v>5</v>
      </c>
      <c r="G59" s="12">
        <v>6</v>
      </c>
      <c r="H59" s="12">
        <v>7</v>
      </c>
      <c r="I59" s="12">
        <v>8</v>
      </c>
      <c r="J59" s="12">
        <v>9</v>
      </c>
      <c r="K59" s="12">
        <v>10</v>
      </c>
      <c r="L59" s="12">
        <v>11</v>
      </c>
      <c r="M59" s="12">
        <v>12</v>
      </c>
      <c r="N59" s="12">
        <v>13</v>
      </c>
      <c r="O59" s="12">
        <v>14</v>
      </c>
      <c r="P59" s="12">
        <v>15</v>
      </c>
      <c r="Q59" s="12">
        <v>16</v>
      </c>
      <c r="R59" s="12">
        <v>17</v>
      </c>
      <c r="S59" s="12">
        <v>18</v>
      </c>
      <c r="T59" s="12">
        <v>19</v>
      </c>
      <c r="U59" s="12">
        <v>20</v>
      </c>
      <c r="V59" s="12">
        <v>21</v>
      </c>
      <c r="W59" s="12">
        <v>22</v>
      </c>
      <c r="X59" s="12">
        <v>23</v>
      </c>
      <c r="Y59" s="12">
        <v>24</v>
      </c>
      <c r="Z59" s="12">
        <v>25</v>
      </c>
      <c r="AA59" s="12">
        <v>26</v>
      </c>
      <c r="AB59" s="12">
        <v>27</v>
      </c>
      <c r="AC59" s="12">
        <v>28</v>
      </c>
      <c r="AD59" s="12">
        <v>29</v>
      </c>
      <c r="AE59" s="12">
        <v>30</v>
      </c>
      <c r="AF59" s="12">
        <v>31</v>
      </c>
      <c r="AG59" s="12">
        <v>32</v>
      </c>
      <c r="AH59" s="12">
        <v>33</v>
      </c>
      <c r="AI59" s="12">
        <v>34</v>
      </c>
      <c r="AJ59" s="12">
        <v>35</v>
      </c>
      <c r="AK59" s="12">
        <v>36</v>
      </c>
      <c r="AL59" s="12">
        <v>37</v>
      </c>
      <c r="AM59" s="12">
        <v>38</v>
      </c>
      <c r="AN59" s="12">
        <v>39</v>
      </c>
      <c r="AO59" s="12">
        <v>40</v>
      </c>
      <c r="AP59" s="12">
        <v>41</v>
      </c>
      <c r="AQ59" s="12">
        <v>42</v>
      </c>
      <c r="AR59" s="12">
        <v>43</v>
      </c>
      <c r="AS59" s="12">
        <v>44</v>
      </c>
      <c r="AT59" s="12">
        <v>45</v>
      </c>
      <c r="AU59" s="12">
        <v>46</v>
      </c>
      <c r="AV59" s="12">
        <v>47</v>
      </c>
      <c r="AW59" s="12">
        <v>48</v>
      </c>
      <c r="AX59" s="12">
        <v>49</v>
      </c>
      <c r="AY59" s="12">
        <v>50</v>
      </c>
      <c r="AZ59" s="12">
        <v>51</v>
      </c>
      <c r="BA59" s="12">
        <v>52</v>
      </c>
      <c r="BB59" s="12">
        <v>53</v>
      </c>
      <c r="BC59" s="12">
        <v>54</v>
      </c>
      <c r="BD59" s="12">
        <v>55</v>
      </c>
      <c r="BE59" s="12">
        <v>56</v>
      </c>
    </row>
    <row r="60" spans="1:57">
      <c r="A60" s="12" t="s">
        <v>9</v>
      </c>
      <c r="B60" s="12" cm="1">
        <f t="array" ref="B60">INDEX($B$50:$H$57, INT((COLUMN(A1)-1)/7)+1, MOD(COLUMN(A1)-1,7)+1)</f>
        <v>1</v>
      </c>
      <c r="C60" s="12" cm="1">
        <f t="array" ref="C60">INDEX($B$50:$H$57, INT((COLUMN(B1)-1)/7)+1, MOD(COLUMN(B1)-1,7)+1)</f>
        <v>1</v>
      </c>
      <c r="D60" s="12" cm="1">
        <f t="array" ref="D60">INDEX($B$50:$H$57, INT((COLUMN(C1)-1)/7)+1, MOD(COLUMN(C1)-1,7)+1)</f>
        <v>1</v>
      </c>
      <c r="E60" s="12" cm="1">
        <f t="array" ref="E60">INDEX($B$50:$H$57, INT((COLUMN(D1)-1)/7)+1, MOD(COLUMN(D1)-1,7)+1)</f>
        <v>1</v>
      </c>
      <c r="F60" s="12" cm="1">
        <f t="array" ref="F60">INDEX($B$50:$H$57, INT((COLUMN(E1)-1)/7)+1, MOD(COLUMN(E1)-1,7)+1)</f>
        <v>0</v>
      </c>
      <c r="G60" s="12" cm="1">
        <f t="array" ref="G60">INDEX($B$50:$H$57, INT((COLUMN(F1)-1)/7)+1, MOD(COLUMN(F1)-1,7)+1)</f>
        <v>0</v>
      </c>
      <c r="H60" s="12" cm="1">
        <f t="array" ref="H60">INDEX($B$50:$H$57, INT((COLUMN(G1)-1)/7)+1, MOD(COLUMN(G1)-1,7)+1)</f>
        <v>0</v>
      </c>
      <c r="I60" s="12" cm="1">
        <f t="array" ref="I60">INDEX($B$50:$H$57, INT((COLUMN(H1)-1)/7)+1, MOD(COLUMN(H1)-1,7)+1)</f>
        <v>0</v>
      </c>
      <c r="J60" s="12" cm="1">
        <f t="array" ref="J60">INDEX($B$50:$H$57, INT((COLUMN(I1)-1)/7)+1, MOD(COLUMN(I1)-1,7)+1)</f>
        <v>1</v>
      </c>
      <c r="K60" s="12" cm="1">
        <f t="array" ref="K60">INDEX($B$50:$H$57, INT((COLUMN(J1)-1)/7)+1, MOD(COLUMN(J1)-1,7)+1)</f>
        <v>1</v>
      </c>
      <c r="L60" s="12" cm="1">
        <f t="array" ref="L60">INDEX($B$50:$H$57, INT((COLUMN(K1)-1)/7)+1, MOD(COLUMN(K1)-1,7)+1)</f>
        <v>0</v>
      </c>
      <c r="M60" s="12" cm="1">
        <f t="array" ref="M60">INDEX($B$50:$H$57, INT((COLUMN(L1)-1)/7)+1, MOD(COLUMN(L1)-1,7)+1)</f>
        <v>0</v>
      </c>
      <c r="N60" s="12" cm="1">
        <f t="array" ref="N60">INDEX($B$50:$H$57, INT((COLUMN(M1)-1)/7)+1, MOD(COLUMN(M1)-1,7)+1)</f>
        <v>1</v>
      </c>
      <c r="O60" s="12" cm="1">
        <f t="array" ref="O60">INDEX($B$50:$H$57, INT((COLUMN(N1)-1)/7)+1, MOD(COLUMN(N1)-1,7)+1)</f>
        <v>1</v>
      </c>
      <c r="P60" s="12" cm="1">
        <f t="array" ref="P60">INDEX($B$50:$H$57, INT((COLUMN(O1)-1)/7)+1, MOD(COLUMN(O1)-1,7)+1)</f>
        <v>0</v>
      </c>
      <c r="Q60" s="12" cm="1">
        <f t="array" ref="Q60">INDEX($B$50:$H$57, INT((COLUMN(P1)-1)/7)+1, MOD(COLUMN(P1)-1,7)+1)</f>
        <v>0</v>
      </c>
      <c r="R60" s="12" cm="1">
        <f t="array" ref="R60">INDEX($B$50:$H$57, INT((COLUMN(Q1)-1)/7)+1, MOD(COLUMN(Q1)-1,7)+1)</f>
        <v>1</v>
      </c>
      <c r="S60" s="12" cm="1">
        <f t="array" ref="S60">INDEX($B$50:$H$57, INT((COLUMN(R1)-1)/7)+1, MOD(COLUMN(R1)-1,7)+1)</f>
        <v>0</v>
      </c>
      <c r="T60" s="12" cm="1">
        <f t="array" ref="T60">INDEX($B$50:$H$57, INT((COLUMN(S1)-1)/7)+1, MOD(COLUMN(S1)-1,7)+1)</f>
        <v>1</v>
      </c>
      <c r="U60" s="12" cm="1">
        <f t="array" ref="U60">INDEX($B$50:$H$57, INT((COLUMN(T1)-1)/7)+1, MOD(COLUMN(T1)-1,7)+1)</f>
        <v>0</v>
      </c>
      <c r="V60" s="12" cm="1">
        <f t="array" ref="V60">INDEX($B$50:$H$57, INT((COLUMN(U1)-1)/7)+1, MOD(COLUMN(U1)-1,7)+1)</f>
        <v>1</v>
      </c>
      <c r="W60" s="12" cm="1">
        <f t="array" ref="W60">INDEX($B$50:$H$57, INT((COLUMN(V1)-1)/7)+1, MOD(COLUMN(V1)-1,7)+1)</f>
        <v>0</v>
      </c>
      <c r="X60" s="12" cm="1">
        <f t="array" ref="X60">INDEX($B$50:$H$57, INT((COLUMN(W1)-1)/7)+1, MOD(COLUMN(W1)-1,7)+1)</f>
        <v>1</v>
      </c>
      <c r="Y60" s="12" cm="1">
        <f t="array" ref="Y60">INDEX($B$50:$H$57, INT((COLUMN(X1)-1)/7)+1, MOD(COLUMN(X1)-1,7)+1)</f>
        <v>0</v>
      </c>
      <c r="Z60" s="12" cm="1">
        <f t="array" ref="Z60">INDEX($B$50:$H$57, INT((COLUMN(Y1)-1)/7)+1, MOD(COLUMN(Y1)-1,7)+1)</f>
        <v>1</v>
      </c>
      <c r="AA60" s="12" cm="1">
        <f t="array" ref="AA60">INDEX($B$50:$H$57, INT((COLUMN(Z1)-1)/7)+1, MOD(COLUMN(Z1)-1,7)+1)</f>
        <v>0</v>
      </c>
      <c r="AB60" s="12" cm="1">
        <f t="array" ref="AB60">INDEX($B$50:$H$57, INT((COLUMN(AA1)-1)/7)+1, MOD(COLUMN(AA1)-1,7)+1)</f>
        <v>1</v>
      </c>
      <c r="AC60" s="12" cm="1">
        <f t="array" ref="AC60">INDEX($B$50:$H$57, INT((COLUMN(AB1)-1)/7)+1, MOD(COLUMN(AB1)-1,7)+1)</f>
        <v>1</v>
      </c>
      <c r="AD60" s="12" cm="1">
        <f t="array" ref="AD60">INDEX($B$50:$H$57, INT((COLUMN(AC1)-1)/7)+1, MOD(COLUMN(AC1)-1,7)+1)</f>
        <v>1</v>
      </c>
      <c r="AE60" s="12" cm="1">
        <f t="array" ref="AE60">INDEX($B$50:$H$57, INT((COLUMN(AD1)-1)/7)+1, MOD(COLUMN(AD1)-1,7)+1)</f>
        <v>0</v>
      </c>
      <c r="AF60" s="12" cm="1">
        <f t="array" ref="AF60">INDEX($B$50:$H$57, INT((COLUMN(AE1)-1)/7)+1, MOD(COLUMN(AE1)-1,7)+1)</f>
        <v>1</v>
      </c>
      <c r="AG60" s="12" cm="1">
        <f t="array" ref="AG60">INDEX($B$50:$H$57, INT((COLUMN(AF1)-1)/7)+1, MOD(COLUMN(AF1)-1,7)+1)</f>
        <v>0</v>
      </c>
      <c r="AH60" s="12" cm="1">
        <f t="array" ref="AH60">INDEX($B$50:$H$57, INT((COLUMN(AG1)-1)/7)+1, MOD(COLUMN(AG1)-1,7)+1)</f>
        <v>1</v>
      </c>
      <c r="AI60" s="12" cm="1">
        <f t="array" ref="AI60">INDEX($B$50:$H$57, INT((COLUMN(AH1)-1)/7)+1, MOD(COLUMN(AH1)-1,7)+1)</f>
        <v>0</v>
      </c>
      <c r="AJ60" s="12" cm="1">
        <f t="array" ref="AJ60">INDEX($B$50:$H$57, INT((COLUMN(AI1)-1)/7)+1, MOD(COLUMN(AI1)-1,7)+1)</f>
        <v>1</v>
      </c>
      <c r="AK60" s="12" cm="1">
        <f t="array" ref="AK60">INDEX($B$50:$H$57, INT((COLUMN(AJ1)-1)/7)+1, MOD(COLUMN(AJ1)-1,7)+1)</f>
        <v>0</v>
      </c>
      <c r="AL60" s="12" cm="1">
        <f t="array" ref="AL60">INDEX($B$50:$H$57, INT((COLUMN(AK1)-1)/7)+1, MOD(COLUMN(AK1)-1,7)+1)</f>
        <v>1</v>
      </c>
      <c r="AM60" s="12" cm="1">
        <f t="array" ref="AM60">INDEX($B$50:$H$57, INT((COLUMN(AL1)-1)/7)+1, MOD(COLUMN(AL1)-1,7)+1)</f>
        <v>1</v>
      </c>
      <c r="AN60" s="12" cm="1">
        <f t="array" ref="AN60">INDEX($B$50:$H$57, INT((COLUMN(AM1)-1)/7)+1, MOD(COLUMN(AM1)-1,7)+1)</f>
        <v>0</v>
      </c>
      <c r="AO60" s="12" cm="1">
        <f t="array" ref="AO60">INDEX($B$50:$H$57, INT((COLUMN(AN1)-1)/7)+1, MOD(COLUMN(AN1)-1,7)+1)</f>
        <v>0</v>
      </c>
      <c r="AP60" s="12" cm="1">
        <f t="array" ref="AP60">INDEX($B$50:$H$57, INT((COLUMN(AO1)-1)/7)+1, MOD(COLUMN(AO1)-1,7)+1)</f>
        <v>1</v>
      </c>
      <c r="AQ60" s="12" cm="1">
        <f t="array" ref="AQ60">INDEX($B$50:$H$57, INT((COLUMN(AP1)-1)/7)+1, MOD(COLUMN(AP1)-1,7)+1)</f>
        <v>1</v>
      </c>
      <c r="AR60" s="12" cm="1">
        <f t="array" ref="AR60">INDEX($B$50:$H$57, INT((COLUMN(AQ1)-1)/7)+1, MOD(COLUMN(AQ1)-1,7)+1)</f>
        <v>0</v>
      </c>
      <c r="AS60" s="12" cm="1">
        <f t="array" ref="AS60">INDEX($B$50:$H$57, INT((COLUMN(AR1)-1)/7)+1, MOD(COLUMN(AR1)-1,7)+1)</f>
        <v>0</v>
      </c>
      <c r="AT60" s="12" cm="1">
        <f t="array" ref="AT60">INDEX($B$50:$H$57, INT((COLUMN(AS1)-1)/7)+1, MOD(COLUMN(AS1)-1,7)+1)</f>
        <v>1</v>
      </c>
      <c r="AU60" s="12" cm="1">
        <f t="array" ref="AU60">INDEX($B$50:$H$57, INT((COLUMN(AT1)-1)/7)+1, MOD(COLUMN(AT1)-1,7)+1)</f>
        <v>1</v>
      </c>
      <c r="AV60" s="12" cm="1">
        <f t="array" ref="AV60">INDEX($B$50:$H$57, INT((COLUMN(AU1)-1)/7)+1, MOD(COLUMN(AU1)-1,7)+1)</f>
        <v>1</v>
      </c>
      <c r="AW60" s="12" cm="1">
        <f t="array" ref="AW60">INDEX($B$50:$H$57, INT((COLUMN(AV1)-1)/7)+1, MOD(COLUMN(AV1)-1,7)+1)</f>
        <v>1</v>
      </c>
      <c r="AX60" s="12" cm="1">
        <f t="array" ref="AX60">INDEX($B$50:$H$57, INT((COLUMN(AW1)-1)/7)+1, MOD(COLUMN(AW1)-1,7)+1)</f>
        <v>0</v>
      </c>
      <c r="AY60" s="12" cm="1">
        <f t="array" ref="AY60">INDEX($B$50:$H$57, INT((COLUMN(AX1)-1)/7)+1, MOD(COLUMN(AX1)-1,7)+1)</f>
        <v>0</v>
      </c>
      <c r="AZ60" s="12" cm="1">
        <f t="array" ref="AZ60">INDEX($B$50:$H$57, INT((COLUMN(AY1)-1)/7)+1, MOD(COLUMN(AY1)-1,7)+1)</f>
        <v>0</v>
      </c>
      <c r="BA60" s="12" cm="1">
        <f t="array" ref="BA60">INDEX($B$50:$H$57, INT((COLUMN(AZ1)-1)/7)+1, MOD(COLUMN(AZ1)-1,7)+1)</f>
        <v>0</v>
      </c>
      <c r="BB60" s="12" cm="1">
        <f t="array" ref="BB60">INDEX($B$50:$H$57, INT((COLUMN(BA1)-1)/7)+1, MOD(COLUMN(BA1)-1,7)+1)</f>
        <v>1</v>
      </c>
      <c r="BC60" s="12" cm="1">
        <f t="array" ref="BC60">INDEX($B$50:$H$57, INT((COLUMN(BB1)-1)/7)+1, MOD(COLUMN(BB1)-1,7)+1)</f>
        <v>0</v>
      </c>
      <c r="BD60" s="12" cm="1">
        <f t="array" ref="BD60">INDEX($B$50:$H$57, INT((COLUMN(BC1)-1)/7)+1, MOD(COLUMN(BC1)-1,7)+1)</f>
        <v>1</v>
      </c>
      <c r="BE60" s="12" cm="1">
        <f t="array" ref="BE60">INDEX($B$50:$H$57, INT((COLUMN(BD1)-1)/7)+1, MOD(COLUMN(BD1)-1,7)+1)</f>
        <v>0</v>
      </c>
    </row>
    <row r="62" spans="1:57">
      <c r="A62" s="22" t="s">
        <v>11</v>
      </c>
    </row>
    <row r="64" spans="1:57">
      <c r="A64" s="12" t="s">
        <v>3</v>
      </c>
      <c r="B64" s="12">
        <v>1</v>
      </c>
      <c r="C64" s="12">
        <v>2</v>
      </c>
      <c r="D64" s="12">
        <v>3</v>
      </c>
      <c r="E64" s="12">
        <v>4</v>
      </c>
      <c r="F64" s="12">
        <v>5</v>
      </c>
      <c r="G64" s="12">
        <v>6</v>
      </c>
      <c r="H64" s="12">
        <v>7</v>
      </c>
      <c r="I64" s="12">
        <v>8</v>
      </c>
      <c r="J64" s="12">
        <v>9</v>
      </c>
      <c r="K64" s="12">
        <v>10</v>
      </c>
      <c r="L64" s="12">
        <v>11</v>
      </c>
      <c r="M64" s="12">
        <v>12</v>
      </c>
      <c r="N64" s="12">
        <v>13</v>
      </c>
      <c r="O64" s="12">
        <v>14</v>
      </c>
      <c r="P64" s="12">
        <v>15</v>
      </c>
      <c r="Q64" s="12">
        <v>16</v>
      </c>
      <c r="R64" s="12">
        <v>17</v>
      </c>
      <c r="S64" s="12">
        <v>18</v>
      </c>
      <c r="T64" s="12">
        <v>19</v>
      </c>
      <c r="U64" s="12">
        <v>20</v>
      </c>
      <c r="V64" s="12">
        <v>21</v>
      </c>
      <c r="W64" s="12">
        <v>22</v>
      </c>
      <c r="X64" s="12">
        <v>23</v>
      </c>
      <c r="Y64" s="12">
        <v>24</v>
      </c>
      <c r="Z64" s="12">
        <v>25</v>
      </c>
      <c r="AA64" s="12">
        <v>26</v>
      </c>
      <c r="AB64" s="12">
        <v>27</v>
      </c>
      <c r="AC64" s="12">
        <v>28</v>
      </c>
    </row>
    <row r="65" spans="1:29">
      <c r="A65" s="12" t="s">
        <v>11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2">
        <v>0</v>
      </c>
      <c r="H65" s="12">
        <v>0</v>
      </c>
      <c r="I65" s="12">
        <v>0</v>
      </c>
      <c r="J65" s="12">
        <v>1</v>
      </c>
      <c r="K65" s="12">
        <v>1</v>
      </c>
      <c r="L65" s="12">
        <v>0</v>
      </c>
      <c r="M65" s="12">
        <v>0</v>
      </c>
      <c r="N65" s="12">
        <v>1</v>
      </c>
      <c r="O65" s="12">
        <v>1</v>
      </c>
      <c r="P65" s="12">
        <v>0</v>
      </c>
      <c r="Q65" s="12">
        <v>0</v>
      </c>
      <c r="R65" s="12">
        <v>1</v>
      </c>
      <c r="S65" s="12">
        <v>0</v>
      </c>
      <c r="T65" s="12">
        <v>1</v>
      </c>
      <c r="U65" s="12">
        <v>0</v>
      </c>
      <c r="V65" s="12">
        <v>1</v>
      </c>
      <c r="W65" s="12">
        <v>0</v>
      </c>
      <c r="X65" s="12">
        <v>1</v>
      </c>
      <c r="Y65" s="12">
        <v>0</v>
      </c>
      <c r="Z65" s="12">
        <v>1</v>
      </c>
      <c r="AA65" s="12">
        <v>0</v>
      </c>
      <c r="AB65" s="12">
        <v>1</v>
      </c>
      <c r="AC65" s="12">
        <v>1</v>
      </c>
    </row>
    <row r="67" spans="1:29">
      <c r="A67" s="22" t="s">
        <v>12</v>
      </c>
    </row>
    <row r="69" spans="1:29">
      <c r="A69" s="12" t="s">
        <v>3</v>
      </c>
      <c r="B69" s="12">
        <v>1</v>
      </c>
      <c r="C69" s="12">
        <v>2</v>
      </c>
      <c r="D69" s="12">
        <v>3</v>
      </c>
      <c r="E69" s="12">
        <v>4</v>
      </c>
      <c r="F69" s="12">
        <v>5</v>
      </c>
      <c r="G69" s="12">
        <v>6</v>
      </c>
      <c r="H69" s="12">
        <v>7</v>
      </c>
      <c r="I69" s="12">
        <v>8</v>
      </c>
      <c r="J69" s="12">
        <v>9</v>
      </c>
      <c r="K69" s="12">
        <v>10</v>
      </c>
      <c r="L69" s="12">
        <v>11</v>
      </c>
      <c r="M69" s="12">
        <v>12</v>
      </c>
      <c r="N69" s="12">
        <v>13</v>
      </c>
      <c r="O69" s="12">
        <v>14</v>
      </c>
      <c r="P69" s="12">
        <v>15</v>
      </c>
      <c r="Q69" s="12">
        <v>16</v>
      </c>
      <c r="R69" s="12">
        <v>17</v>
      </c>
      <c r="S69" s="12">
        <v>18</v>
      </c>
      <c r="T69" s="12">
        <v>19</v>
      </c>
      <c r="U69" s="12">
        <v>20</v>
      </c>
      <c r="V69" s="12">
        <v>21</v>
      </c>
      <c r="W69" s="12">
        <v>22</v>
      </c>
      <c r="X69" s="12">
        <v>23</v>
      </c>
      <c r="Y69" s="12">
        <v>24</v>
      </c>
      <c r="Z69" s="12">
        <v>25</v>
      </c>
      <c r="AA69" s="12">
        <v>26</v>
      </c>
      <c r="AB69" s="12">
        <v>27</v>
      </c>
      <c r="AC69" s="12">
        <v>28</v>
      </c>
    </row>
    <row r="70" spans="1:29">
      <c r="A70" s="12" t="s">
        <v>12</v>
      </c>
      <c r="B70" s="12">
        <v>1</v>
      </c>
      <c r="C70" s="12">
        <v>0</v>
      </c>
      <c r="D70" s="12">
        <v>1</v>
      </c>
      <c r="E70" s="12">
        <v>0</v>
      </c>
      <c r="F70" s="12">
        <v>1</v>
      </c>
      <c r="G70" s="12">
        <v>0</v>
      </c>
      <c r="H70" s="12">
        <v>1</v>
      </c>
      <c r="I70" s="12">
        <v>0</v>
      </c>
      <c r="J70" s="12">
        <v>1</v>
      </c>
      <c r="K70" s="12">
        <v>1</v>
      </c>
      <c r="L70" s="12">
        <v>0</v>
      </c>
      <c r="M70" s="12">
        <v>0</v>
      </c>
      <c r="N70" s="12">
        <v>1</v>
      </c>
      <c r="O70" s="12">
        <v>1</v>
      </c>
      <c r="P70" s="12">
        <v>0</v>
      </c>
      <c r="Q70" s="12">
        <v>0</v>
      </c>
      <c r="R70" s="12">
        <v>1</v>
      </c>
      <c r="S70" s="12">
        <v>1</v>
      </c>
      <c r="T70" s="12">
        <v>1</v>
      </c>
      <c r="U70" s="12">
        <v>1</v>
      </c>
      <c r="V70" s="12">
        <v>0</v>
      </c>
      <c r="W70" s="12">
        <v>0</v>
      </c>
      <c r="X70" s="12">
        <v>0</v>
      </c>
      <c r="Y70" s="12">
        <v>0</v>
      </c>
      <c r="Z70" s="12">
        <v>1</v>
      </c>
      <c r="AA70" s="12">
        <v>0</v>
      </c>
      <c r="AB70" s="12">
        <v>1</v>
      </c>
      <c r="AC70" s="12">
        <v>0</v>
      </c>
    </row>
    <row r="72" spans="1:29">
      <c r="A72" s="20" t="s">
        <v>24</v>
      </c>
    </row>
    <row r="73" spans="1:29">
      <c r="A73" s="5" t="s">
        <v>13</v>
      </c>
    </row>
    <row r="75" spans="1:29">
      <c r="A75" s="12" t="s">
        <v>3</v>
      </c>
      <c r="B75" s="12">
        <v>1</v>
      </c>
      <c r="C75" s="12">
        <v>2</v>
      </c>
      <c r="D75" s="12">
        <v>3</v>
      </c>
      <c r="E75" s="12">
        <v>4</v>
      </c>
      <c r="F75" s="12">
        <v>5</v>
      </c>
      <c r="G75" s="12">
        <v>6</v>
      </c>
      <c r="H75" s="12">
        <v>7</v>
      </c>
      <c r="I75" s="12">
        <v>8</v>
      </c>
      <c r="J75" s="12">
        <v>9</v>
      </c>
      <c r="K75" s="12">
        <v>10</v>
      </c>
      <c r="L75" s="12">
        <v>11</v>
      </c>
      <c r="M75" s="12">
        <v>12</v>
      </c>
      <c r="N75" s="12">
        <v>13</v>
      </c>
      <c r="O75" s="12">
        <v>14</v>
      </c>
      <c r="P75" s="12">
        <v>15</v>
      </c>
      <c r="Q75" s="12">
        <v>16</v>
      </c>
      <c r="R75" s="12">
        <v>17</v>
      </c>
      <c r="S75" s="12">
        <v>18</v>
      </c>
      <c r="T75" s="12">
        <v>19</v>
      </c>
      <c r="U75" s="12">
        <v>20</v>
      </c>
      <c r="V75" s="12">
        <v>21</v>
      </c>
      <c r="W75" s="12">
        <v>22</v>
      </c>
      <c r="X75" s="12">
        <v>23</v>
      </c>
      <c r="Y75" s="12">
        <v>24</v>
      </c>
      <c r="Z75" s="12">
        <v>25</v>
      </c>
      <c r="AA75" s="12">
        <v>26</v>
      </c>
      <c r="AB75" s="12">
        <v>27</v>
      </c>
      <c r="AC75" s="12">
        <v>28</v>
      </c>
    </row>
    <row r="76" spans="1:29">
      <c r="A76" s="12" t="s">
        <v>13</v>
      </c>
      <c r="B76" s="12">
        <v>1</v>
      </c>
      <c r="C76" s="12">
        <v>1</v>
      </c>
      <c r="D76" s="12">
        <v>1</v>
      </c>
      <c r="E76" s="12">
        <v>0</v>
      </c>
      <c r="F76" s="12">
        <v>0</v>
      </c>
      <c r="G76" s="12">
        <v>0</v>
      </c>
      <c r="H76" s="12">
        <v>0</v>
      </c>
      <c r="I76" s="12">
        <v>1</v>
      </c>
      <c r="J76" s="12">
        <v>1</v>
      </c>
      <c r="K76" s="12">
        <v>0</v>
      </c>
      <c r="L76" s="12">
        <v>0</v>
      </c>
      <c r="M76" s="12">
        <v>1</v>
      </c>
      <c r="N76" s="12">
        <v>1</v>
      </c>
      <c r="O76" s="12">
        <v>0</v>
      </c>
      <c r="P76" s="12">
        <v>0</v>
      </c>
      <c r="Q76" s="12">
        <v>1</v>
      </c>
      <c r="R76" s="12">
        <v>0</v>
      </c>
      <c r="S76" s="12">
        <v>1</v>
      </c>
      <c r="T76" s="12">
        <v>0</v>
      </c>
      <c r="U76" s="12">
        <v>1</v>
      </c>
      <c r="V76" s="12">
        <v>0</v>
      </c>
      <c r="W76" s="12">
        <v>1</v>
      </c>
      <c r="X76" s="12">
        <v>0</v>
      </c>
      <c r="Y76" s="12">
        <v>1</v>
      </c>
      <c r="Z76" s="12">
        <v>0</v>
      </c>
      <c r="AA76" s="12">
        <v>1</v>
      </c>
      <c r="AB76" s="12">
        <v>1</v>
      </c>
      <c r="AC76" s="16">
        <v>1</v>
      </c>
    </row>
    <row r="78" spans="1:29">
      <c r="A78" s="5" t="s">
        <v>14</v>
      </c>
    </row>
    <row r="80" spans="1:29">
      <c r="A80" s="12" t="s">
        <v>3</v>
      </c>
      <c r="B80" s="12">
        <v>1</v>
      </c>
      <c r="C80" s="12">
        <v>2</v>
      </c>
      <c r="D80" s="12">
        <v>3</v>
      </c>
      <c r="E80" s="12">
        <v>4</v>
      </c>
      <c r="F80" s="12">
        <v>5</v>
      </c>
      <c r="G80" s="12">
        <v>6</v>
      </c>
      <c r="H80" s="12">
        <v>7</v>
      </c>
      <c r="I80" s="12">
        <v>8</v>
      </c>
      <c r="J80" s="12">
        <v>9</v>
      </c>
      <c r="K80" s="12">
        <v>10</v>
      </c>
      <c r="L80" s="12">
        <v>11</v>
      </c>
      <c r="M80" s="12">
        <v>12</v>
      </c>
      <c r="N80" s="12">
        <v>13</v>
      </c>
      <c r="O80" s="12">
        <v>14</v>
      </c>
      <c r="P80" s="12">
        <v>15</v>
      </c>
      <c r="Q80" s="12">
        <v>16</v>
      </c>
      <c r="R80" s="12">
        <v>17</v>
      </c>
      <c r="S80" s="12">
        <v>18</v>
      </c>
      <c r="T80" s="12">
        <v>19</v>
      </c>
      <c r="U80" s="12">
        <v>20</v>
      </c>
      <c r="V80" s="12">
        <v>21</v>
      </c>
      <c r="W80" s="12">
        <v>22</v>
      </c>
      <c r="X80" s="12">
        <v>23</v>
      </c>
      <c r="Y80" s="12">
        <v>24</v>
      </c>
      <c r="Z80" s="12">
        <v>25</v>
      </c>
      <c r="AA80" s="12">
        <v>26</v>
      </c>
      <c r="AB80" s="12">
        <v>27</v>
      </c>
      <c r="AC80" s="12">
        <v>28</v>
      </c>
    </row>
    <row r="81" spans="1:65">
      <c r="A81" s="12" t="s">
        <v>14</v>
      </c>
      <c r="B81" s="12">
        <v>0</v>
      </c>
      <c r="C81" s="12">
        <v>1</v>
      </c>
      <c r="D81" s="12">
        <v>0</v>
      </c>
      <c r="E81" s="12">
        <v>1</v>
      </c>
      <c r="F81" s="12">
        <v>0</v>
      </c>
      <c r="G81" s="12">
        <v>1</v>
      </c>
      <c r="H81" s="12">
        <v>0</v>
      </c>
      <c r="I81" s="12">
        <v>1</v>
      </c>
      <c r="J81" s="12">
        <v>1</v>
      </c>
      <c r="K81" s="12">
        <v>0</v>
      </c>
      <c r="L81" s="12">
        <v>0</v>
      </c>
      <c r="M81" s="12">
        <v>1</v>
      </c>
      <c r="N81" s="12">
        <v>1</v>
      </c>
      <c r="O81" s="12">
        <v>0</v>
      </c>
      <c r="P81" s="12">
        <v>0</v>
      </c>
      <c r="Q81" s="12">
        <v>1</v>
      </c>
      <c r="R81" s="12">
        <v>1</v>
      </c>
      <c r="S81" s="12">
        <v>1</v>
      </c>
      <c r="T81" s="12">
        <v>1</v>
      </c>
      <c r="U81" s="12">
        <v>0</v>
      </c>
      <c r="V81" s="12">
        <v>0</v>
      </c>
      <c r="W81" s="12">
        <v>0</v>
      </c>
      <c r="X81" s="12">
        <v>0</v>
      </c>
      <c r="Y81" s="12">
        <v>1</v>
      </c>
      <c r="Z81" s="12">
        <v>0</v>
      </c>
      <c r="AA81" s="12">
        <v>1</v>
      </c>
      <c r="AB81" s="12">
        <v>0</v>
      </c>
      <c r="AC81" s="12">
        <v>1</v>
      </c>
    </row>
    <row r="83" spans="1:65">
      <c r="A83" s="6" t="s">
        <v>21</v>
      </c>
    </row>
    <row r="84" spans="1:65">
      <c r="BF84" s="10"/>
      <c r="BG84" s="10"/>
      <c r="BH84" s="10"/>
      <c r="BI84" s="10"/>
      <c r="BJ84" s="10"/>
      <c r="BK84" s="10"/>
      <c r="BL84" s="10"/>
      <c r="BM84" s="10"/>
    </row>
    <row r="85" spans="1:65">
      <c r="A85" s="12" t="s">
        <v>3</v>
      </c>
      <c r="B85" s="12">
        <v>1</v>
      </c>
      <c r="C85" s="12">
        <v>2</v>
      </c>
      <c r="D85" s="12">
        <v>3</v>
      </c>
      <c r="E85" s="12">
        <v>4</v>
      </c>
      <c r="F85" s="12">
        <v>5</v>
      </c>
      <c r="G85" s="12">
        <v>6</v>
      </c>
      <c r="H85" s="12">
        <v>7</v>
      </c>
      <c r="I85" s="12">
        <v>8</v>
      </c>
      <c r="J85" s="12">
        <v>9</v>
      </c>
      <c r="K85" s="12">
        <v>10</v>
      </c>
      <c r="L85" s="12">
        <v>11</v>
      </c>
      <c r="M85" s="12">
        <v>12</v>
      </c>
      <c r="N85" s="12">
        <v>13</v>
      </c>
      <c r="O85" s="12">
        <v>14</v>
      </c>
      <c r="P85" s="12">
        <v>15</v>
      </c>
      <c r="Q85" s="12">
        <v>16</v>
      </c>
      <c r="R85" s="12">
        <v>17</v>
      </c>
      <c r="S85" s="12">
        <v>18</v>
      </c>
      <c r="T85" s="12">
        <v>19</v>
      </c>
      <c r="U85" s="12">
        <v>20</v>
      </c>
      <c r="V85" s="12">
        <v>21</v>
      </c>
      <c r="W85" s="12">
        <v>22</v>
      </c>
      <c r="X85" s="12">
        <v>23</v>
      </c>
      <c r="Y85" s="12">
        <v>24</v>
      </c>
      <c r="Z85" s="12">
        <v>25</v>
      </c>
      <c r="AA85" s="12">
        <v>26</v>
      </c>
      <c r="AB85" s="12">
        <v>27</v>
      </c>
      <c r="AC85" s="12">
        <v>28</v>
      </c>
      <c r="AD85" s="12">
        <v>29</v>
      </c>
      <c r="AE85" s="12">
        <v>30</v>
      </c>
      <c r="AF85" s="12">
        <v>31</v>
      </c>
      <c r="AG85" s="12">
        <v>32</v>
      </c>
      <c r="AH85" s="12">
        <v>33</v>
      </c>
      <c r="AI85" s="12">
        <v>34</v>
      </c>
      <c r="AJ85" s="12">
        <v>35</v>
      </c>
      <c r="AK85" s="12">
        <v>36</v>
      </c>
      <c r="AL85" s="12">
        <v>37</v>
      </c>
      <c r="AM85" s="12">
        <v>38</v>
      </c>
      <c r="AN85" s="12">
        <v>39</v>
      </c>
      <c r="AO85" s="12">
        <v>40</v>
      </c>
      <c r="AP85" s="12">
        <v>41</v>
      </c>
      <c r="AQ85" s="12">
        <v>42</v>
      </c>
      <c r="AR85" s="12">
        <v>43</v>
      </c>
      <c r="AS85" s="12">
        <v>44</v>
      </c>
      <c r="AT85" s="12">
        <v>45</v>
      </c>
      <c r="AU85" s="12">
        <v>46</v>
      </c>
      <c r="AV85" s="12">
        <v>47</v>
      </c>
      <c r="AW85" s="12">
        <v>48</v>
      </c>
      <c r="AX85" s="12">
        <v>49</v>
      </c>
      <c r="AY85" s="12">
        <v>50</v>
      </c>
      <c r="AZ85" s="12">
        <v>51</v>
      </c>
      <c r="BA85" s="12">
        <v>52</v>
      </c>
      <c r="BB85" s="12">
        <v>53</v>
      </c>
      <c r="BC85" s="12">
        <v>54</v>
      </c>
      <c r="BD85" s="12">
        <v>55</v>
      </c>
      <c r="BE85" s="12">
        <v>56</v>
      </c>
    </row>
    <row r="86" spans="1:65">
      <c r="A86" s="12" t="s">
        <v>20</v>
      </c>
      <c r="B86" s="12">
        <v>1</v>
      </c>
      <c r="C86" s="12">
        <v>1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1</v>
      </c>
      <c r="J86" s="12">
        <v>1</v>
      </c>
      <c r="K86" s="12">
        <v>0</v>
      </c>
      <c r="L86" s="12">
        <v>0</v>
      </c>
      <c r="M86" s="12">
        <v>1</v>
      </c>
      <c r="N86" s="12">
        <v>1</v>
      </c>
      <c r="O86" s="12">
        <v>0</v>
      </c>
      <c r="P86" s="12">
        <v>0</v>
      </c>
      <c r="Q86" s="12">
        <v>1</v>
      </c>
      <c r="R86" s="12">
        <v>0</v>
      </c>
      <c r="S86" s="12">
        <v>1</v>
      </c>
      <c r="T86" s="12">
        <v>0</v>
      </c>
      <c r="U86" s="12">
        <v>1</v>
      </c>
      <c r="V86" s="12">
        <v>0</v>
      </c>
      <c r="W86" s="12">
        <v>1</v>
      </c>
      <c r="X86" s="12">
        <v>0</v>
      </c>
      <c r="Y86" s="12">
        <v>1</v>
      </c>
      <c r="Z86" s="12">
        <v>0</v>
      </c>
      <c r="AA86" s="12">
        <v>1</v>
      </c>
      <c r="AB86" s="12">
        <v>1</v>
      </c>
      <c r="AC86" s="16">
        <v>1</v>
      </c>
      <c r="AD86" s="12">
        <v>0</v>
      </c>
      <c r="AE86" s="12">
        <v>1</v>
      </c>
      <c r="AF86" s="12">
        <v>0</v>
      </c>
      <c r="AG86" s="12">
        <v>1</v>
      </c>
      <c r="AH86" s="12">
        <v>0</v>
      </c>
      <c r="AI86" s="12">
        <v>1</v>
      </c>
      <c r="AJ86" s="12">
        <v>0</v>
      </c>
      <c r="AK86" s="12">
        <v>1</v>
      </c>
      <c r="AL86" s="12">
        <v>1</v>
      </c>
      <c r="AM86" s="12">
        <v>0</v>
      </c>
      <c r="AN86" s="12">
        <v>0</v>
      </c>
      <c r="AO86" s="12">
        <v>1</v>
      </c>
      <c r="AP86" s="12">
        <v>1</v>
      </c>
      <c r="AQ86" s="12">
        <v>0</v>
      </c>
      <c r="AR86" s="12">
        <v>0</v>
      </c>
      <c r="AS86" s="12">
        <v>1</v>
      </c>
      <c r="AT86" s="12">
        <v>1</v>
      </c>
      <c r="AU86" s="12">
        <v>1</v>
      </c>
      <c r="AV86" s="12">
        <v>1</v>
      </c>
      <c r="AW86" s="12">
        <v>0</v>
      </c>
      <c r="AX86" s="12">
        <v>0</v>
      </c>
      <c r="AY86" s="12">
        <v>0</v>
      </c>
      <c r="AZ86" s="12">
        <v>0</v>
      </c>
      <c r="BA86" s="12">
        <v>1</v>
      </c>
      <c r="BB86" s="12">
        <v>0</v>
      </c>
      <c r="BC86" s="12">
        <v>1</v>
      </c>
      <c r="BD86" s="12">
        <v>0</v>
      </c>
      <c r="BE86" s="12">
        <v>1</v>
      </c>
    </row>
    <row r="88" spans="1:65">
      <c r="A88" s="5" t="s">
        <v>22</v>
      </c>
      <c r="B88" s="12" cm="1">
        <f t="array" ref="B88">INDEX($B$86:$BE$86, K25)</f>
        <v>0</v>
      </c>
      <c r="C88" s="12" cm="1">
        <f t="array" ref="C88">INDEX($B$86:$BE$86, L25)</f>
        <v>0</v>
      </c>
      <c r="D88" s="12" cm="1">
        <f t="array" ref="D88">INDEX($B$86:$BE$86, M25)</f>
        <v>0</v>
      </c>
      <c r="E88" s="12" cm="1">
        <f t="array" ref="E88">INDEX($B$86:$BE$86, N25)</f>
        <v>1</v>
      </c>
      <c r="F88" s="12" cm="1">
        <f t="array" ref="F88">INDEX($B$86:$BE$86, O25)</f>
        <v>1</v>
      </c>
      <c r="G88" s="12" cm="1">
        <f t="array" ref="G88">INDEX($B$86:$BE$86, P25)</f>
        <v>0</v>
      </c>
    </row>
    <row r="89" spans="1:65">
      <c r="B89" s="12" cm="1">
        <f t="array" ref="B89">INDEX($B$86:$BE$86, K26)</f>
        <v>1</v>
      </c>
      <c r="C89" s="12" cm="1">
        <f t="array" ref="C89">INDEX($B$86:$BE$86, L26)</f>
        <v>1</v>
      </c>
      <c r="D89" s="12" cm="1">
        <f t="array" ref="D89">INDEX($B$86:$BE$86, M26)</f>
        <v>0</v>
      </c>
      <c r="E89" s="12" cm="1">
        <f t="array" ref="E89">INDEX($B$86:$BE$86, N26)</f>
        <v>0</v>
      </c>
      <c r="F89" s="12" cm="1">
        <f t="array" ref="F89">INDEX($B$86:$BE$86, O26)</f>
        <v>0</v>
      </c>
      <c r="G89" s="12" cm="1">
        <f t="array" ref="G89">INDEX($B$86:$BE$86, P26)</f>
        <v>0</v>
      </c>
    </row>
    <row r="90" spans="1:65">
      <c r="B90" s="12" cm="1">
        <f t="array" ref="B90">INDEX($B$86:$BE$86, K27)</f>
        <v>0</v>
      </c>
      <c r="C90" s="12" cm="1">
        <f t="array" ref="C90">INDEX($B$86:$BE$86, L27)</f>
        <v>0</v>
      </c>
      <c r="D90" s="12" cm="1">
        <f t="array" ref="D90">INDEX($B$86:$BE$86, M27)</f>
        <v>1</v>
      </c>
      <c r="E90" s="12" cm="1">
        <f t="array" ref="E90">INDEX($B$86:$BE$86, N27)</f>
        <v>0</v>
      </c>
      <c r="F90" s="12" cm="1">
        <f t="array" ref="F90">INDEX($B$86:$BE$86, O27)</f>
        <v>1</v>
      </c>
      <c r="G90" s="12" cm="1">
        <f t="array" ref="G90">INDEX($B$86:$BE$86, P27)</f>
        <v>1</v>
      </c>
    </row>
    <row r="91" spans="1:65">
      <c r="B91" s="12" cm="1">
        <f t="array" ref="B91">INDEX($B$86:$BE$86, K28)</f>
        <v>1</v>
      </c>
      <c r="C91" s="12" cm="1">
        <f t="array" ref="C91">INDEX($B$86:$BE$86, L28)</f>
        <v>0</v>
      </c>
      <c r="D91" s="12" cm="1">
        <f t="array" ref="D91">INDEX($B$86:$BE$86, M28)</f>
        <v>1</v>
      </c>
      <c r="E91" s="12" cm="1">
        <f t="array" ref="E91">INDEX($B$86:$BE$86, N28)</f>
        <v>1</v>
      </c>
      <c r="F91" s="12" cm="1">
        <f t="array" ref="F91">INDEX($B$86:$BE$86, O28)</f>
        <v>1</v>
      </c>
      <c r="G91" s="12" cm="1">
        <f t="array" ref="G91">INDEX($B$86:$BE$86, P28)</f>
        <v>1</v>
      </c>
    </row>
    <row r="92" spans="1:65">
      <c r="B92" s="12" cm="1">
        <f t="array" ref="B92">INDEX($B$86:$BE$86, K29)</f>
        <v>1</v>
      </c>
      <c r="C92" s="12" cm="1">
        <f t="array" ref="C92">INDEX($B$86:$BE$86, L29)</f>
        <v>1</v>
      </c>
      <c r="D92" s="12" cm="1">
        <f t="array" ref="D92">INDEX($B$86:$BE$86, M29)</f>
        <v>0</v>
      </c>
      <c r="E92" s="12" cm="1">
        <f t="array" ref="E92">INDEX($B$86:$BE$86, N29)</f>
        <v>1</v>
      </c>
      <c r="F92" s="12" cm="1">
        <f t="array" ref="F92">INDEX($B$86:$BE$86, O29)</f>
        <v>1</v>
      </c>
      <c r="G92" s="12" cm="1">
        <f t="array" ref="G92">INDEX($B$86:$BE$86, P29)</f>
        <v>0</v>
      </c>
    </row>
    <row r="93" spans="1:65">
      <c r="B93" s="12" cm="1">
        <f t="array" ref="B93">INDEX($B$86:$BE$86, K30)</f>
        <v>1</v>
      </c>
      <c r="C93" s="12" cm="1">
        <f t="array" ref="C93">INDEX($B$86:$BE$86, L30)</f>
        <v>1</v>
      </c>
      <c r="D93" s="12" cm="1">
        <f t="array" ref="D93">INDEX($B$86:$BE$86, M30)</f>
        <v>0</v>
      </c>
      <c r="E93" s="12" cm="1">
        <f t="array" ref="E93">INDEX($B$86:$BE$86, N30)</f>
        <v>1</v>
      </c>
      <c r="F93" s="12" cm="1">
        <f t="array" ref="F93">INDEX($B$86:$BE$86, O30)</f>
        <v>0</v>
      </c>
      <c r="G93" s="12" cm="1">
        <f t="array" ref="G93">INDEX($B$86:$BE$86, P30)</f>
        <v>0</v>
      </c>
    </row>
    <row r="94" spans="1:65">
      <c r="B94" s="12" cm="1">
        <f t="array" ref="B94">INDEX($B$86:$BE$86, K31)</f>
        <v>1</v>
      </c>
      <c r="C94" s="12" cm="1">
        <f t="array" ref="C94">INDEX($B$86:$BE$86, L31)</f>
        <v>0</v>
      </c>
      <c r="D94" s="12" cm="1">
        <f t="array" ref="D94">INDEX($B$86:$BE$86, M31)</f>
        <v>0</v>
      </c>
      <c r="E94" s="12" cm="1">
        <f t="array" ref="E94">INDEX($B$86:$BE$86, N31)</f>
        <v>1</v>
      </c>
      <c r="F94" s="12" cm="1">
        <f t="array" ref="F94">INDEX($B$86:$BE$86, O31)</f>
        <v>1</v>
      </c>
      <c r="G94" s="12" cm="1">
        <f t="array" ref="G94">INDEX($B$86:$BE$86, P31)</f>
        <v>0</v>
      </c>
    </row>
    <row r="95" spans="1:65">
      <c r="B95" s="12" cm="1">
        <f t="array" ref="B95">INDEX($B$86:$BE$86, K32)</f>
        <v>1</v>
      </c>
      <c r="C95" s="12" cm="1">
        <f t="array" ref="C95">INDEX($B$86:$BE$86, L32)</f>
        <v>0</v>
      </c>
      <c r="D95" s="12" cm="1">
        <f t="array" ref="D95">INDEX($B$86:$BE$86, M32)</f>
        <v>0</v>
      </c>
      <c r="E95" s="12" cm="1">
        <f t="array" ref="E95">INDEX($B$86:$BE$86, N32)</f>
        <v>1</v>
      </c>
      <c r="F95" s="12" cm="1">
        <f t="array" ref="F95">INDEX($B$86:$BE$86, O32)</f>
        <v>0</v>
      </c>
      <c r="G95" s="12" cm="1">
        <f t="array" ref="G95">INDEX($B$86:$BE$86, P32)</f>
        <v>1</v>
      </c>
    </row>
    <row r="97" spans="1:49">
      <c r="A97" s="12" t="s">
        <v>3</v>
      </c>
      <c r="B97" s="12">
        <v>1</v>
      </c>
      <c r="C97" s="12">
        <v>2</v>
      </c>
      <c r="D97" s="12">
        <v>3</v>
      </c>
      <c r="E97" s="12">
        <v>4</v>
      </c>
      <c r="F97" s="12">
        <v>5</v>
      </c>
      <c r="G97" s="12">
        <v>6</v>
      </c>
      <c r="H97" s="12">
        <v>7</v>
      </c>
      <c r="I97" s="12">
        <v>8</v>
      </c>
      <c r="J97" s="12">
        <v>9</v>
      </c>
      <c r="K97" s="12">
        <v>10</v>
      </c>
      <c r="L97" s="12">
        <v>11</v>
      </c>
      <c r="M97" s="12">
        <v>12</v>
      </c>
      <c r="N97" s="12">
        <v>13</v>
      </c>
      <c r="O97" s="12">
        <v>14</v>
      </c>
      <c r="P97" s="12">
        <v>15</v>
      </c>
      <c r="Q97" s="12">
        <v>16</v>
      </c>
      <c r="R97" s="12">
        <v>17</v>
      </c>
      <c r="S97" s="12">
        <v>18</v>
      </c>
      <c r="T97" s="12">
        <v>19</v>
      </c>
      <c r="U97" s="12">
        <v>20</v>
      </c>
      <c r="V97" s="12">
        <v>21</v>
      </c>
      <c r="W97" s="12">
        <v>22</v>
      </c>
      <c r="X97" s="12">
        <v>23</v>
      </c>
      <c r="Y97" s="12">
        <v>24</v>
      </c>
      <c r="Z97" s="12">
        <v>25</v>
      </c>
      <c r="AA97" s="12">
        <v>26</v>
      </c>
      <c r="AB97" s="12">
        <v>27</v>
      </c>
      <c r="AC97" s="12">
        <v>28</v>
      </c>
      <c r="AD97" s="12">
        <v>29</v>
      </c>
      <c r="AE97" s="12">
        <v>30</v>
      </c>
      <c r="AF97" s="12">
        <v>31</v>
      </c>
      <c r="AG97" s="12">
        <v>32</v>
      </c>
      <c r="AH97" s="12">
        <v>33</v>
      </c>
      <c r="AI97" s="12">
        <v>34</v>
      </c>
      <c r="AJ97" s="12">
        <v>35</v>
      </c>
      <c r="AK97" s="12">
        <v>36</v>
      </c>
      <c r="AL97" s="12">
        <v>37</v>
      </c>
      <c r="AM97" s="12">
        <v>38</v>
      </c>
      <c r="AN97" s="12">
        <v>39</v>
      </c>
      <c r="AO97" s="12">
        <v>40</v>
      </c>
      <c r="AP97" s="12">
        <v>41</v>
      </c>
      <c r="AQ97" s="12">
        <v>42</v>
      </c>
      <c r="AR97" s="12">
        <v>43</v>
      </c>
      <c r="AS97" s="12">
        <v>44</v>
      </c>
      <c r="AT97" s="12">
        <v>45</v>
      </c>
      <c r="AU97" s="12">
        <v>46</v>
      </c>
      <c r="AV97" s="12">
        <v>47</v>
      </c>
      <c r="AW97" s="12">
        <v>48</v>
      </c>
    </row>
    <row r="98" spans="1:49">
      <c r="A98" s="12" t="s">
        <v>23</v>
      </c>
      <c r="B98" s="12" cm="1">
        <f t="array" ref="B98">INDEX($B$88:$G95, INT((COLUMN(A1)-1)/6)+1, MOD(COLUMN(A1)-1,6)+1)</f>
        <v>0</v>
      </c>
      <c r="C98" s="12" cm="1">
        <f t="array" ref="C98">INDEX($B$88:$G95, INT((COLUMN(B1)-1)/6)+1, MOD(COLUMN(B1)-1,6)+1)</f>
        <v>0</v>
      </c>
      <c r="D98" s="12" cm="1">
        <f t="array" ref="D98">INDEX($B$88:$G95, INT((COLUMN(C1)-1)/6)+1, MOD(COLUMN(C1)-1,6)+1)</f>
        <v>0</v>
      </c>
      <c r="E98" s="12" cm="1">
        <f t="array" ref="E98">INDEX($B$88:$G95, INT((COLUMN(D1)-1)/6)+1, MOD(COLUMN(D1)-1,6)+1)</f>
        <v>1</v>
      </c>
      <c r="F98" s="12" cm="1">
        <f t="array" ref="F98">INDEX($B$88:$G95, INT((COLUMN(E1)-1)/6)+1, MOD(COLUMN(E1)-1,6)+1)</f>
        <v>1</v>
      </c>
      <c r="G98" s="12" cm="1">
        <f t="array" ref="G98">INDEX($B$88:$G95, INT((COLUMN(F1)-1)/6)+1, MOD(COLUMN(F1)-1,6)+1)</f>
        <v>0</v>
      </c>
      <c r="H98" s="12" cm="1">
        <f t="array" ref="H98">INDEX($B$88:$G95, INT((COLUMN(G1)-1)/6)+1, MOD(COLUMN(G1)-1,6)+1)</f>
        <v>1</v>
      </c>
      <c r="I98" s="12" cm="1">
        <f t="array" ref="I98">INDEX($B$88:$G95, INT((COLUMN(H1)-1)/6)+1, MOD(COLUMN(H1)-1,6)+1)</f>
        <v>1</v>
      </c>
      <c r="J98" s="12" cm="1">
        <f t="array" ref="J98">INDEX($B$88:$G95, INT((COLUMN(I1)-1)/6)+1, MOD(COLUMN(I1)-1,6)+1)</f>
        <v>0</v>
      </c>
      <c r="K98" s="12" cm="1">
        <f t="array" ref="K98">INDEX($B$88:$G95, INT((COLUMN(J1)-1)/6)+1, MOD(COLUMN(J1)-1,6)+1)</f>
        <v>0</v>
      </c>
      <c r="L98" s="12" cm="1">
        <f t="array" ref="L98">INDEX($B$88:$G95, INT((COLUMN(K1)-1)/6)+1, MOD(COLUMN(K1)-1,6)+1)</f>
        <v>0</v>
      </c>
      <c r="M98" s="12" cm="1">
        <f t="array" ref="M98">INDEX($B$88:$G95, INT((COLUMN(L1)-1)/6)+1, MOD(COLUMN(L1)-1,6)+1)</f>
        <v>0</v>
      </c>
      <c r="N98" s="12" cm="1">
        <f t="array" ref="N98">INDEX($B$88:$G95, INT((COLUMN(M1)-1)/6)+1, MOD(COLUMN(M1)-1,6)+1)</f>
        <v>0</v>
      </c>
      <c r="O98" s="12" cm="1">
        <f t="array" ref="O98">INDEX($B$88:$G95, INT((COLUMN(N1)-1)/6)+1, MOD(COLUMN(N1)-1,6)+1)</f>
        <v>0</v>
      </c>
      <c r="P98" s="12" cm="1">
        <f t="array" ref="P98">INDEX($B$88:$G95, INT((COLUMN(O1)-1)/6)+1, MOD(COLUMN(O1)-1,6)+1)</f>
        <v>1</v>
      </c>
      <c r="Q98" s="12" cm="1">
        <f t="array" ref="Q98">INDEX($B$88:$G95, INT((COLUMN(P1)-1)/6)+1, MOD(COLUMN(P1)-1,6)+1)</f>
        <v>0</v>
      </c>
      <c r="R98" s="12" cm="1">
        <f t="array" ref="R98">INDEX($B$88:$G95, INT((COLUMN(Q1)-1)/6)+1, MOD(COLUMN(Q1)-1,6)+1)</f>
        <v>1</v>
      </c>
      <c r="S98" s="12" cm="1">
        <f t="array" ref="S98">INDEX($B$88:$G95, INT((COLUMN(R1)-1)/6)+1, MOD(COLUMN(R1)-1,6)+1)</f>
        <v>1</v>
      </c>
      <c r="T98" s="12" cm="1">
        <f t="array" ref="T98">INDEX($B$88:$G95, INT((COLUMN(S1)-1)/6)+1, MOD(COLUMN(S1)-1,6)+1)</f>
        <v>1</v>
      </c>
      <c r="U98" s="12" cm="1">
        <f t="array" ref="U98">INDEX($B$88:$G95, INT((COLUMN(T1)-1)/6)+1, MOD(COLUMN(T1)-1,6)+1)</f>
        <v>0</v>
      </c>
      <c r="V98" s="12" cm="1">
        <f t="array" ref="V98">INDEX($B$88:$G95, INT((COLUMN(U1)-1)/6)+1, MOD(COLUMN(U1)-1,6)+1)</f>
        <v>1</v>
      </c>
      <c r="W98" s="12" cm="1">
        <f t="array" ref="W98">INDEX($B$88:$G95, INT((COLUMN(V1)-1)/6)+1, MOD(COLUMN(V1)-1,6)+1)</f>
        <v>1</v>
      </c>
      <c r="X98" s="12" cm="1">
        <f t="array" ref="X98">INDEX($B$88:$G95, INT((COLUMN(W1)-1)/6)+1, MOD(COLUMN(W1)-1,6)+1)</f>
        <v>1</v>
      </c>
      <c r="Y98" s="12" cm="1">
        <f t="array" ref="Y98">INDEX($B$88:$G95, INT((COLUMN(X1)-1)/6)+1, MOD(COLUMN(X1)-1,6)+1)</f>
        <v>1</v>
      </c>
      <c r="Z98" s="12" cm="1">
        <f t="array" ref="Z98">INDEX($B$88:$G95, INT((COLUMN(Y1)-1)/6)+1, MOD(COLUMN(Y1)-1,6)+1)</f>
        <v>1</v>
      </c>
      <c r="AA98" s="12" cm="1">
        <f t="array" ref="AA98">INDEX($B$88:$G95, INT((COLUMN(Z1)-1)/6)+1, MOD(COLUMN(Z1)-1,6)+1)</f>
        <v>1</v>
      </c>
      <c r="AB98" s="12" cm="1">
        <f t="array" ref="AB98">INDEX($B$88:$G95, INT((COLUMN(AA1)-1)/6)+1, MOD(COLUMN(AA1)-1,6)+1)</f>
        <v>0</v>
      </c>
      <c r="AC98" s="12" cm="1">
        <f t="array" ref="AC98">INDEX($B$88:$G95, INT((COLUMN(AB1)-1)/6)+1, MOD(COLUMN(AB1)-1,6)+1)</f>
        <v>1</v>
      </c>
      <c r="AD98" s="12" cm="1">
        <f t="array" ref="AD98">INDEX($B$88:$G95, INT((COLUMN(AC1)-1)/6)+1, MOD(COLUMN(AC1)-1,6)+1)</f>
        <v>1</v>
      </c>
      <c r="AE98" s="12" cm="1">
        <f t="array" ref="AE98">INDEX($B$88:$G95, INT((COLUMN(AD1)-1)/6)+1, MOD(COLUMN(AD1)-1,6)+1)</f>
        <v>0</v>
      </c>
      <c r="AF98" s="12" cm="1">
        <f t="array" ref="AF98">INDEX($B$88:$G95, INT((COLUMN(AE1)-1)/6)+1, MOD(COLUMN(AE1)-1,6)+1)</f>
        <v>1</v>
      </c>
      <c r="AG98" s="12" cm="1">
        <f t="array" ref="AG98">INDEX($B$88:$G95, INT((COLUMN(AF1)-1)/6)+1, MOD(COLUMN(AF1)-1,6)+1)</f>
        <v>1</v>
      </c>
      <c r="AH98" s="12" cm="1">
        <f t="array" ref="AH98">INDEX($B$88:$G95, INT((COLUMN(AG1)-1)/6)+1, MOD(COLUMN(AG1)-1,6)+1)</f>
        <v>0</v>
      </c>
      <c r="AI98" s="12" cm="1">
        <f t="array" ref="AI98">INDEX($B$88:$G95, INT((COLUMN(AH1)-1)/6)+1, MOD(COLUMN(AH1)-1,6)+1)</f>
        <v>1</v>
      </c>
      <c r="AJ98" s="12" cm="1">
        <f t="array" ref="AJ98">INDEX($B$88:$G95, INT((COLUMN(AI1)-1)/6)+1, MOD(COLUMN(AI1)-1,6)+1)</f>
        <v>0</v>
      </c>
      <c r="AK98" s="12" cm="1">
        <f t="array" ref="AK98">INDEX($B$88:$G95, INT((COLUMN(AJ1)-1)/6)+1, MOD(COLUMN(AJ1)-1,6)+1)</f>
        <v>0</v>
      </c>
      <c r="AL98" s="12" cm="1">
        <f t="array" ref="AL98">INDEX($B$88:$G95, INT((COLUMN(AK1)-1)/6)+1, MOD(COLUMN(AK1)-1,6)+1)</f>
        <v>1</v>
      </c>
      <c r="AM98" s="12" cm="1">
        <f t="array" ref="AM98">INDEX($B$88:$G95, INT((COLUMN(AL1)-1)/6)+1, MOD(COLUMN(AL1)-1,6)+1)</f>
        <v>0</v>
      </c>
      <c r="AN98" s="12" cm="1">
        <f t="array" ref="AN98">INDEX($B$88:$G95, INT((COLUMN(AM1)-1)/6)+1, MOD(COLUMN(AM1)-1,6)+1)</f>
        <v>0</v>
      </c>
      <c r="AO98" s="12" cm="1">
        <f t="array" ref="AO98">INDEX($B$88:$G95, INT((COLUMN(AN1)-1)/6)+1, MOD(COLUMN(AN1)-1,6)+1)</f>
        <v>1</v>
      </c>
      <c r="AP98" s="12" cm="1">
        <f t="array" ref="AP98">INDEX($B$88:$G95, INT((COLUMN(AO1)-1)/6)+1, MOD(COLUMN(AO1)-1,6)+1)</f>
        <v>1</v>
      </c>
      <c r="AQ98" s="12" cm="1">
        <f t="array" ref="AQ98">INDEX($B$88:$G95, INT((COLUMN(AP1)-1)/6)+1, MOD(COLUMN(AP1)-1,6)+1)</f>
        <v>0</v>
      </c>
      <c r="AR98" s="12" cm="1">
        <f t="array" ref="AR98">INDEX($B$88:$G95, INT((COLUMN(AQ1)-1)/6)+1, MOD(COLUMN(AQ1)-1,6)+1)</f>
        <v>1</v>
      </c>
      <c r="AS98" s="12" cm="1">
        <f t="array" ref="AS98">INDEX($B$88:$G95, INT((COLUMN(AR1)-1)/6)+1, MOD(COLUMN(AR1)-1,6)+1)</f>
        <v>0</v>
      </c>
      <c r="AT98" s="12" cm="1">
        <f t="array" ref="AT98">INDEX($B$88:$G95, INT((COLUMN(AS1)-1)/6)+1, MOD(COLUMN(AS1)-1,6)+1)</f>
        <v>0</v>
      </c>
      <c r="AU98" s="12" cm="1">
        <f t="array" ref="AU98">INDEX($B$88:$G95, INT((COLUMN(AT1)-1)/6)+1, MOD(COLUMN(AT1)-1,6)+1)</f>
        <v>1</v>
      </c>
      <c r="AV98" s="12" cm="1">
        <f t="array" ref="AV98">INDEX($B$88:$G95, INT((COLUMN(AU1)-1)/6)+1, MOD(COLUMN(AU1)-1,6)+1)</f>
        <v>0</v>
      </c>
      <c r="AW98" s="12" cm="1">
        <f t="array" ref="AW98">INDEX($B$88:$G95, INT((COLUMN(AV1)-1)/6)+1, MOD(COLUMN(AV1)-1,6)+1)</f>
        <v>1</v>
      </c>
    </row>
    <row r="100" spans="1:49">
      <c r="A100" s="20" t="s">
        <v>25</v>
      </c>
    </row>
    <row r="101" spans="1:49">
      <c r="A101" s="5" t="s">
        <v>26</v>
      </c>
    </row>
    <row r="103" spans="1:49">
      <c r="A103" s="12" t="s">
        <v>3</v>
      </c>
      <c r="B103" s="12">
        <v>1</v>
      </c>
      <c r="C103" s="12">
        <v>2</v>
      </c>
      <c r="D103" s="12">
        <v>3</v>
      </c>
      <c r="E103" s="12">
        <v>4</v>
      </c>
      <c r="F103" s="12">
        <v>5</v>
      </c>
      <c r="G103" s="12">
        <v>6</v>
      </c>
      <c r="H103" s="12">
        <v>7</v>
      </c>
      <c r="I103" s="12">
        <v>8</v>
      </c>
      <c r="J103" s="12">
        <v>9</v>
      </c>
      <c r="K103" s="12">
        <v>10</v>
      </c>
      <c r="L103" s="12">
        <v>11</v>
      </c>
      <c r="M103" s="12">
        <v>12</v>
      </c>
      <c r="N103" s="12">
        <v>13</v>
      </c>
      <c r="O103" s="12">
        <v>14</v>
      </c>
      <c r="P103" s="12">
        <v>15</v>
      </c>
      <c r="Q103" s="12">
        <v>16</v>
      </c>
      <c r="R103" s="12">
        <v>17</v>
      </c>
      <c r="S103" s="12">
        <v>18</v>
      </c>
      <c r="T103" s="12">
        <v>19</v>
      </c>
      <c r="U103" s="12">
        <v>20</v>
      </c>
      <c r="V103" s="12">
        <v>21</v>
      </c>
      <c r="W103" s="12">
        <v>22</v>
      </c>
      <c r="X103" s="12">
        <v>23</v>
      </c>
      <c r="Y103" s="12">
        <v>24</v>
      </c>
      <c r="Z103" s="12">
        <v>25</v>
      </c>
      <c r="AA103" s="12">
        <v>26</v>
      </c>
      <c r="AB103" s="12">
        <v>27</v>
      </c>
      <c r="AC103" s="12">
        <v>28</v>
      </c>
    </row>
    <row r="104" spans="1:49">
      <c r="A104" s="12" t="s">
        <v>26</v>
      </c>
      <c r="B104" s="12">
        <v>1</v>
      </c>
      <c r="C104" s="12">
        <v>1</v>
      </c>
      <c r="D104" s="12">
        <v>0</v>
      </c>
      <c r="E104" s="12">
        <v>0</v>
      </c>
      <c r="F104" s="12">
        <v>0</v>
      </c>
      <c r="G104" s="12">
        <v>0</v>
      </c>
      <c r="H104" s="12">
        <v>1</v>
      </c>
      <c r="I104" s="12">
        <v>1</v>
      </c>
      <c r="J104" s="12">
        <v>0</v>
      </c>
      <c r="K104" s="12">
        <v>0</v>
      </c>
      <c r="L104" s="12">
        <v>1</v>
      </c>
      <c r="M104" s="12">
        <v>1</v>
      </c>
      <c r="N104" s="12">
        <v>0</v>
      </c>
      <c r="O104" s="12">
        <v>0</v>
      </c>
      <c r="P104" s="12">
        <v>1</v>
      </c>
      <c r="Q104" s="12">
        <v>0</v>
      </c>
      <c r="R104" s="12">
        <v>1</v>
      </c>
      <c r="S104" s="12">
        <v>0</v>
      </c>
      <c r="T104" s="12">
        <v>1</v>
      </c>
      <c r="U104" s="12">
        <v>0</v>
      </c>
      <c r="V104" s="12">
        <v>1</v>
      </c>
      <c r="W104" s="12">
        <v>0</v>
      </c>
      <c r="X104" s="12">
        <v>1</v>
      </c>
      <c r="Y104" s="12">
        <v>0</v>
      </c>
      <c r="Z104" s="12">
        <v>1</v>
      </c>
      <c r="AA104" s="12">
        <v>1</v>
      </c>
      <c r="AB104" s="16">
        <v>1</v>
      </c>
      <c r="AC104" s="16">
        <v>1</v>
      </c>
    </row>
    <row r="106" spans="1:49">
      <c r="A106" s="5" t="s">
        <v>27</v>
      </c>
    </row>
    <row r="108" spans="1:49">
      <c r="A108" s="12" t="s">
        <v>3</v>
      </c>
      <c r="B108" s="12">
        <v>1</v>
      </c>
      <c r="C108" s="12">
        <v>2</v>
      </c>
      <c r="D108" s="12">
        <v>3</v>
      </c>
      <c r="E108" s="12">
        <v>4</v>
      </c>
      <c r="F108" s="12">
        <v>5</v>
      </c>
      <c r="G108" s="12">
        <v>6</v>
      </c>
      <c r="H108" s="12">
        <v>7</v>
      </c>
      <c r="I108" s="12">
        <v>8</v>
      </c>
      <c r="J108" s="12">
        <v>9</v>
      </c>
      <c r="K108" s="12">
        <v>10</v>
      </c>
      <c r="L108" s="12">
        <v>11</v>
      </c>
      <c r="M108" s="12">
        <v>12</v>
      </c>
      <c r="N108" s="12">
        <v>13</v>
      </c>
      <c r="O108" s="12">
        <v>14</v>
      </c>
      <c r="P108" s="12">
        <v>15</v>
      </c>
      <c r="Q108" s="12">
        <v>16</v>
      </c>
      <c r="R108" s="12">
        <v>17</v>
      </c>
      <c r="S108" s="12">
        <v>18</v>
      </c>
      <c r="T108" s="12">
        <v>19</v>
      </c>
      <c r="U108" s="12">
        <v>20</v>
      </c>
      <c r="V108" s="12">
        <v>21</v>
      </c>
      <c r="W108" s="12">
        <v>22</v>
      </c>
      <c r="X108" s="12">
        <v>23</v>
      </c>
      <c r="Y108" s="12">
        <v>24</v>
      </c>
      <c r="Z108" s="12">
        <v>25</v>
      </c>
      <c r="AA108" s="12">
        <v>26</v>
      </c>
      <c r="AB108" s="12">
        <v>27</v>
      </c>
      <c r="AC108" s="12">
        <v>28</v>
      </c>
    </row>
    <row r="109" spans="1:49">
      <c r="A109" s="12" t="s">
        <v>27</v>
      </c>
      <c r="B109" s="12">
        <v>1</v>
      </c>
      <c r="C109" s="12">
        <v>0</v>
      </c>
      <c r="D109" s="12">
        <v>1</v>
      </c>
      <c r="E109" s="12">
        <v>0</v>
      </c>
      <c r="F109" s="12">
        <v>1</v>
      </c>
      <c r="G109" s="12">
        <v>0</v>
      </c>
      <c r="H109" s="12">
        <v>1</v>
      </c>
      <c r="I109" s="12">
        <v>1</v>
      </c>
      <c r="J109" s="12">
        <v>0</v>
      </c>
      <c r="K109" s="12">
        <v>0</v>
      </c>
      <c r="L109" s="12">
        <v>1</v>
      </c>
      <c r="M109" s="12">
        <v>1</v>
      </c>
      <c r="N109" s="12">
        <v>0</v>
      </c>
      <c r="O109" s="12">
        <v>0</v>
      </c>
      <c r="P109" s="12">
        <v>1</v>
      </c>
      <c r="Q109" s="12">
        <v>1</v>
      </c>
      <c r="R109" s="12">
        <v>1</v>
      </c>
      <c r="S109" s="12">
        <v>1</v>
      </c>
      <c r="T109" s="12">
        <v>0</v>
      </c>
      <c r="U109" s="12">
        <v>0</v>
      </c>
      <c r="V109" s="12">
        <v>0</v>
      </c>
      <c r="W109" s="12">
        <v>0</v>
      </c>
      <c r="X109" s="12">
        <v>1</v>
      </c>
      <c r="Y109" s="12">
        <v>0</v>
      </c>
      <c r="Z109" s="12">
        <v>1</v>
      </c>
      <c r="AA109" s="12">
        <v>0</v>
      </c>
      <c r="AB109" s="12">
        <v>1</v>
      </c>
      <c r="AC109" s="12">
        <v>0</v>
      </c>
    </row>
    <row r="111" spans="1:49">
      <c r="A111" s="6" t="s">
        <v>29</v>
      </c>
    </row>
    <row r="113" spans="1:57">
      <c r="A113" s="12" t="s">
        <v>3</v>
      </c>
      <c r="B113" s="12">
        <v>1</v>
      </c>
      <c r="C113" s="12">
        <v>2</v>
      </c>
      <c r="D113" s="12">
        <v>3</v>
      </c>
      <c r="E113" s="12">
        <v>4</v>
      </c>
      <c r="F113" s="12">
        <v>5</v>
      </c>
      <c r="G113" s="12">
        <v>6</v>
      </c>
      <c r="H113" s="12">
        <v>7</v>
      </c>
      <c r="I113" s="12">
        <v>8</v>
      </c>
      <c r="J113" s="12">
        <v>9</v>
      </c>
      <c r="K113" s="12">
        <v>10</v>
      </c>
      <c r="L113" s="12">
        <v>11</v>
      </c>
      <c r="M113" s="12">
        <v>12</v>
      </c>
      <c r="N113" s="12">
        <v>13</v>
      </c>
      <c r="O113" s="12">
        <v>14</v>
      </c>
      <c r="P113" s="12">
        <v>15</v>
      </c>
      <c r="Q113" s="12">
        <v>16</v>
      </c>
      <c r="R113" s="12">
        <v>17</v>
      </c>
      <c r="S113" s="12">
        <v>18</v>
      </c>
      <c r="T113" s="12">
        <v>19</v>
      </c>
      <c r="U113" s="12">
        <v>20</v>
      </c>
      <c r="V113" s="12">
        <v>21</v>
      </c>
      <c r="W113" s="12">
        <v>22</v>
      </c>
      <c r="X113" s="12">
        <v>23</v>
      </c>
      <c r="Y113" s="12">
        <v>24</v>
      </c>
      <c r="Z113" s="12">
        <v>25</v>
      </c>
      <c r="AA113" s="12">
        <v>26</v>
      </c>
      <c r="AB113" s="12">
        <v>27</v>
      </c>
      <c r="AC113" s="12">
        <v>28</v>
      </c>
      <c r="AD113" s="12">
        <v>29</v>
      </c>
      <c r="AE113" s="12">
        <v>30</v>
      </c>
      <c r="AF113" s="12">
        <v>31</v>
      </c>
      <c r="AG113" s="12">
        <v>32</v>
      </c>
      <c r="AH113" s="12">
        <v>33</v>
      </c>
      <c r="AI113" s="12">
        <v>34</v>
      </c>
      <c r="AJ113" s="12">
        <v>35</v>
      </c>
      <c r="AK113" s="12">
        <v>36</v>
      </c>
      <c r="AL113" s="12">
        <v>37</v>
      </c>
      <c r="AM113" s="12">
        <v>38</v>
      </c>
      <c r="AN113" s="12">
        <v>39</v>
      </c>
      <c r="AO113" s="12">
        <v>40</v>
      </c>
      <c r="AP113" s="12">
        <v>41</v>
      </c>
      <c r="AQ113" s="12">
        <v>42</v>
      </c>
      <c r="AR113" s="12">
        <v>43</v>
      </c>
      <c r="AS113" s="12">
        <v>44</v>
      </c>
      <c r="AT113" s="12">
        <v>45</v>
      </c>
      <c r="AU113" s="12">
        <v>46</v>
      </c>
      <c r="AV113" s="12">
        <v>47</v>
      </c>
      <c r="AW113" s="12">
        <v>48</v>
      </c>
      <c r="AX113" s="12">
        <v>49</v>
      </c>
      <c r="AY113" s="12">
        <v>50</v>
      </c>
      <c r="AZ113" s="12">
        <v>51</v>
      </c>
      <c r="BA113" s="12">
        <v>52</v>
      </c>
      <c r="BB113" s="12">
        <v>53</v>
      </c>
      <c r="BC113" s="12">
        <v>54</v>
      </c>
      <c r="BD113" s="12">
        <v>55</v>
      </c>
      <c r="BE113" s="12">
        <v>56</v>
      </c>
    </row>
    <row r="114" spans="1:57">
      <c r="A114" s="12" t="s">
        <v>28</v>
      </c>
      <c r="B114" s="12">
        <v>1</v>
      </c>
      <c r="C114" s="12">
        <v>1</v>
      </c>
      <c r="D114" s="12">
        <v>0</v>
      </c>
      <c r="E114" s="12">
        <v>0</v>
      </c>
      <c r="F114" s="12">
        <v>0</v>
      </c>
      <c r="G114" s="12">
        <v>0</v>
      </c>
      <c r="H114" s="12">
        <v>1</v>
      </c>
      <c r="I114" s="12">
        <v>1</v>
      </c>
      <c r="J114" s="12">
        <v>0</v>
      </c>
      <c r="K114" s="12">
        <v>0</v>
      </c>
      <c r="L114" s="12">
        <v>1</v>
      </c>
      <c r="M114" s="12">
        <v>1</v>
      </c>
      <c r="N114" s="12">
        <v>0</v>
      </c>
      <c r="O114" s="12">
        <v>0</v>
      </c>
      <c r="P114" s="12">
        <v>1</v>
      </c>
      <c r="Q114" s="12">
        <v>0</v>
      </c>
      <c r="R114" s="12">
        <v>1</v>
      </c>
      <c r="S114" s="12">
        <v>0</v>
      </c>
      <c r="T114" s="12">
        <v>1</v>
      </c>
      <c r="U114" s="12">
        <v>0</v>
      </c>
      <c r="V114" s="12">
        <v>1</v>
      </c>
      <c r="W114" s="12">
        <v>0</v>
      </c>
      <c r="X114" s="12">
        <v>1</v>
      </c>
      <c r="Y114" s="12">
        <v>0</v>
      </c>
      <c r="Z114" s="12">
        <v>1</v>
      </c>
      <c r="AA114" s="12">
        <v>1</v>
      </c>
      <c r="AB114" s="16">
        <v>1</v>
      </c>
      <c r="AC114" s="16">
        <v>1</v>
      </c>
      <c r="AD114" s="12">
        <v>1</v>
      </c>
      <c r="AE114" s="12">
        <v>0</v>
      </c>
      <c r="AF114" s="12">
        <v>1</v>
      </c>
      <c r="AG114" s="12">
        <v>0</v>
      </c>
      <c r="AH114" s="12">
        <v>1</v>
      </c>
      <c r="AI114" s="12">
        <v>0</v>
      </c>
      <c r="AJ114" s="12">
        <v>1</v>
      </c>
      <c r="AK114" s="12">
        <v>1</v>
      </c>
      <c r="AL114" s="12">
        <v>0</v>
      </c>
      <c r="AM114" s="12">
        <v>0</v>
      </c>
      <c r="AN114" s="12">
        <v>1</v>
      </c>
      <c r="AO114" s="12">
        <v>1</v>
      </c>
      <c r="AP114" s="12">
        <v>0</v>
      </c>
      <c r="AQ114" s="12">
        <v>0</v>
      </c>
      <c r="AR114" s="12">
        <v>1</v>
      </c>
      <c r="AS114" s="12">
        <v>1</v>
      </c>
      <c r="AT114" s="12">
        <v>1</v>
      </c>
      <c r="AU114" s="12">
        <v>1</v>
      </c>
      <c r="AV114" s="12">
        <v>0</v>
      </c>
      <c r="AW114" s="12">
        <v>0</v>
      </c>
      <c r="AX114" s="12">
        <v>0</v>
      </c>
      <c r="AY114" s="12">
        <v>0</v>
      </c>
      <c r="AZ114" s="12">
        <v>1</v>
      </c>
      <c r="BA114" s="12">
        <v>0</v>
      </c>
      <c r="BB114" s="12">
        <v>1</v>
      </c>
      <c r="BC114" s="12">
        <v>0</v>
      </c>
      <c r="BD114" s="12">
        <v>1</v>
      </c>
      <c r="BE114" s="12">
        <v>0</v>
      </c>
    </row>
    <row r="116" spans="1:57">
      <c r="A116" s="5" t="s">
        <v>30</v>
      </c>
      <c r="B116" s="12" cm="1">
        <f t="array" ref="B116">INDEX($B$114:$BE$114, K25)</f>
        <v>0</v>
      </c>
      <c r="C116" s="12" cm="1">
        <f t="array" ref="C116">INDEX($B$114:$BE$114, L25)</f>
        <v>1</v>
      </c>
      <c r="D116" s="12" cm="1">
        <f t="array" ref="D116">INDEX($B$114:$BE$114, M25)</f>
        <v>1</v>
      </c>
      <c r="E116" s="12" cm="1">
        <f t="array" ref="E116">INDEX($B$114:$BE$114, N25)</f>
        <v>0</v>
      </c>
      <c r="F116" s="12" cm="1">
        <f t="array" ref="F116">INDEX($B$114:$BE$114, O25)</f>
        <v>1</v>
      </c>
      <c r="G116" s="12" cm="1">
        <f t="array" ref="G116">INDEX($B$114:$BE$114, P25)</f>
        <v>0</v>
      </c>
    </row>
    <row r="117" spans="1:57">
      <c r="B117" s="12" cm="1">
        <f t="array" ref="B117">INDEX($B$114:$BE$114, K26)</f>
        <v>0</v>
      </c>
      <c r="C117" s="12" cm="1">
        <f t="array" ref="C117">INDEX($B$114:$BE$114, L26)</f>
        <v>1</v>
      </c>
      <c r="D117" s="12" cm="1">
        <f t="array" ref="D117">INDEX($B$114:$BE$114, M26)</f>
        <v>1</v>
      </c>
      <c r="E117" s="12" cm="1">
        <f t="array" ref="E117">INDEX($B$114:$BE$114, N26)</f>
        <v>0</v>
      </c>
      <c r="F117" s="12" cm="1">
        <f t="array" ref="F117">INDEX($B$114:$BE$114, O26)</f>
        <v>1</v>
      </c>
      <c r="G117" s="12" cm="1">
        <f t="array" ref="G117">INDEX($B$114:$BE$114, P26)</f>
        <v>0</v>
      </c>
    </row>
    <row r="118" spans="1:57">
      <c r="B118" s="12" cm="1">
        <f t="array" ref="B118">INDEX($B$114:$BE$114, K27)</f>
        <v>1</v>
      </c>
      <c r="C118" s="12" cm="1">
        <f t="array" ref="C118">INDEX($B$114:$BE$114, L27)</f>
        <v>1</v>
      </c>
      <c r="D118" s="12" cm="1">
        <f t="array" ref="D118">INDEX($B$114:$BE$114, M27)</f>
        <v>1</v>
      </c>
      <c r="E118" s="12" cm="1">
        <f t="array" ref="E118">INDEX($B$114:$BE$114, N27)</f>
        <v>0</v>
      </c>
      <c r="F118" s="12" cm="1">
        <f t="array" ref="F118">INDEX($B$114:$BE$114, O27)</f>
        <v>1</v>
      </c>
      <c r="G118" s="12" cm="1">
        <f t="array" ref="G118">INDEX($B$114:$BE$114, P27)</f>
        <v>1</v>
      </c>
    </row>
    <row r="119" spans="1:57">
      <c r="B119" s="12" cm="1">
        <f t="array" ref="B119">INDEX($B$114:$BE$114, K28)</f>
        <v>0</v>
      </c>
      <c r="C119" s="12" cm="1">
        <f t="array" ref="C119">INDEX($B$114:$BE$114, L28)</f>
        <v>1</v>
      </c>
      <c r="D119" s="12" cm="1">
        <f t="array" ref="D119">INDEX($B$114:$BE$114, M28)</f>
        <v>1</v>
      </c>
      <c r="E119" s="12" cm="1">
        <f t="array" ref="E119">INDEX($B$114:$BE$114, N28)</f>
        <v>0</v>
      </c>
      <c r="F119" s="12" cm="1">
        <f t="array" ref="F119">INDEX($B$114:$BE$114, O28)</f>
        <v>0</v>
      </c>
      <c r="G119" s="12" cm="1">
        <f t="array" ref="G119">INDEX($B$114:$BE$114, P28)</f>
        <v>1</v>
      </c>
    </row>
    <row r="120" spans="1:57">
      <c r="B120" s="12" cm="1">
        <f t="array" ref="B120">INDEX($B$114:$BE$114, K29)</f>
        <v>0</v>
      </c>
      <c r="C120" s="12" cm="1">
        <f t="array" ref="C120">INDEX($B$114:$BE$114, L29)</f>
        <v>0</v>
      </c>
      <c r="D120" s="12" cm="1">
        <f t="array" ref="D120">INDEX($B$114:$BE$114, M29)</f>
        <v>1</v>
      </c>
      <c r="E120" s="12" cm="1">
        <f t="array" ref="E120">INDEX($B$114:$BE$114, N29)</f>
        <v>0</v>
      </c>
      <c r="F120" s="12" cm="1">
        <f t="array" ref="F120">INDEX($B$114:$BE$114, O29)</f>
        <v>0</v>
      </c>
      <c r="G120" s="12" cm="1">
        <f t="array" ref="G120">INDEX($B$114:$BE$114, P29)</f>
        <v>1</v>
      </c>
    </row>
    <row r="121" spans="1:57">
      <c r="B121" s="12" cm="1">
        <f t="array" ref="B121">INDEX($B$114:$BE$114, K30)</f>
        <v>0</v>
      </c>
      <c r="C121" s="12" cm="1">
        <f t="array" ref="C121">INDEX($B$114:$BE$114, L30)</f>
        <v>1</v>
      </c>
      <c r="D121" s="12" cm="1">
        <f t="array" ref="D121">INDEX($B$114:$BE$114, M30)</f>
        <v>1</v>
      </c>
      <c r="E121" s="12" cm="1">
        <f t="array" ref="E121">INDEX($B$114:$BE$114, N30)</f>
        <v>1</v>
      </c>
      <c r="F121" s="12" cm="1">
        <f t="array" ref="F121">INDEX($B$114:$BE$114, O30)</f>
        <v>1</v>
      </c>
      <c r="G121" s="12" cm="1">
        <f t="array" ref="G121">INDEX($B$114:$BE$114, P30)</f>
        <v>0</v>
      </c>
    </row>
    <row r="122" spans="1:57">
      <c r="B122" s="12" cm="1">
        <f t="array" ref="B122">INDEX($B$114:$BE$114, K31)</f>
        <v>1</v>
      </c>
      <c r="C122" s="12" cm="1">
        <f t="array" ref="C122">INDEX($B$114:$BE$114, L31)</f>
        <v>0</v>
      </c>
      <c r="D122" s="12" cm="1">
        <f t="array" ref="D122">INDEX($B$114:$BE$114, M31)</f>
        <v>1</v>
      </c>
      <c r="E122" s="12" cm="1">
        <f t="array" ref="E122">INDEX($B$114:$BE$114, N31)</f>
        <v>0</v>
      </c>
      <c r="F122" s="12" cm="1">
        <f t="array" ref="F122">INDEX($B$114:$BE$114, O31)</f>
        <v>0</v>
      </c>
      <c r="G122" s="12" cm="1">
        <f t="array" ref="G122">INDEX($B$114:$BE$114, P31)</f>
        <v>1</v>
      </c>
    </row>
    <row r="123" spans="1:57">
      <c r="B123" s="12" cm="1">
        <f t="array" ref="B123">INDEX($B$114:$BE$114, K32)</f>
        <v>1</v>
      </c>
      <c r="C123" s="12" cm="1">
        <f t="array" ref="C123">INDEX($B$114:$BE$114, L32)</f>
        <v>0</v>
      </c>
      <c r="D123" s="12" cm="1">
        <f t="array" ref="D123">INDEX($B$114:$BE$114, M32)</f>
        <v>0</v>
      </c>
      <c r="E123" s="12" cm="1">
        <f t="array" ref="E123">INDEX($B$114:$BE$114, N32)</f>
        <v>1</v>
      </c>
      <c r="F123" s="12" cm="1">
        <f t="array" ref="F123">INDEX($B$114:$BE$114, O32)</f>
        <v>1</v>
      </c>
      <c r="G123" s="12" cm="1">
        <f t="array" ref="G123">INDEX($B$114:$BE$114, P32)</f>
        <v>0</v>
      </c>
    </row>
    <row r="125" spans="1:57">
      <c r="A125" s="12" t="s">
        <v>3</v>
      </c>
      <c r="B125" s="12">
        <v>1</v>
      </c>
      <c r="C125" s="12">
        <v>2</v>
      </c>
      <c r="D125" s="12">
        <v>3</v>
      </c>
      <c r="E125" s="12">
        <v>4</v>
      </c>
      <c r="F125" s="12">
        <v>5</v>
      </c>
      <c r="G125" s="12">
        <v>6</v>
      </c>
      <c r="H125" s="12">
        <v>7</v>
      </c>
      <c r="I125" s="12">
        <v>8</v>
      </c>
      <c r="J125" s="12">
        <v>9</v>
      </c>
      <c r="K125" s="12">
        <v>10</v>
      </c>
      <c r="L125" s="12">
        <v>11</v>
      </c>
      <c r="M125" s="12">
        <v>12</v>
      </c>
      <c r="N125" s="12">
        <v>13</v>
      </c>
      <c r="O125" s="12">
        <v>14</v>
      </c>
      <c r="P125" s="12">
        <v>15</v>
      </c>
      <c r="Q125" s="12">
        <v>16</v>
      </c>
      <c r="R125" s="12">
        <v>17</v>
      </c>
      <c r="S125" s="12">
        <v>18</v>
      </c>
      <c r="T125" s="12">
        <v>19</v>
      </c>
      <c r="U125" s="12">
        <v>20</v>
      </c>
      <c r="V125" s="12">
        <v>21</v>
      </c>
      <c r="W125" s="12">
        <v>22</v>
      </c>
      <c r="X125" s="12">
        <v>23</v>
      </c>
      <c r="Y125" s="12">
        <v>24</v>
      </c>
      <c r="Z125" s="12">
        <v>25</v>
      </c>
      <c r="AA125" s="12">
        <v>26</v>
      </c>
      <c r="AB125" s="12">
        <v>27</v>
      </c>
      <c r="AC125" s="12">
        <v>28</v>
      </c>
      <c r="AD125" s="12">
        <v>29</v>
      </c>
      <c r="AE125" s="12">
        <v>30</v>
      </c>
      <c r="AF125" s="12">
        <v>31</v>
      </c>
      <c r="AG125" s="12">
        <v>32</v>
      </c>
      <c r="AH125" s="12">
        <v>33</v>
      </c>
      <c r="AI125" s="12">
        <v>34</v>
      </c>
      <c r="AJ125" s="12">
        <v>35</v>
      </c>
      <c r="AK125" s="12">
        <v>36</v>
      </c>
      <c r="AL125" s="12">
        <v>37</v>
      </c>
      <c r="AM125" s="12">
        <v>38</v>
      </c>
      <c r="AN125" s="12">
        <v>39</v>
      </c>
      <c r="AO125" s="12">
        <v>40</v>
      </c>
      <c r="AP125" s="12">
        <v>41</v>
      </c>
      <c r="AQ125" s="12">
        <v>42</v>
      </c>
      <c r="AR125" s="12">
        <v>43</v>
      </c>
      <c r="AS125" s="12">
        <v>44</v>
      </c>
      <c r="AT125" s="12">
        <v>45</v>
      </c>
      <c r="AU125" s="12">
        <v>46</v>
      </c>
      <c r="AV125" s="12">
        <v>47</v>
      </c>
      <c r="AW125" s="12">
        <v>48</v>
      </c>
    </row>
    <row r="126" spans="1:57">
      <c r="A126" s="12" t="s">
        <v>31</v>
      </c>
      <c r="B126" s="12" cm="1">
        <f t="array" ref="B126">INDEX($B$116:$G123, INT((COLUMN(A29)-1)/6)+1, MOD(COLUMN(A29)-1,6)+1)</f>
        <v>0</v>
      </c>
      <c r="C126" s="12" cm="1">
        <f t="array" ref="C126">INDEX($B$116:$G123, INT((COLUMN(B29)-1)/6)+1, MOD(COLUMN(B29)-1,6)+1)</f>
        <v>1</v>
      </c>
      <c r="D126" s="12" cm="1">
        <f t="array" ref="D126">INDEX($B$116:$G123, INT((COLUMN(C29)-1)/6)+1, MOD(COLUMN(C29)-1,6)+1)</f>
        <v>1</v>
      </c>
      <c r="E126" s="12" cm="1">
        <f t="array" ref="E126">INDEX($B$116:$G123, INT((COLUMN(D29)-1)/6)+1, MOD(COLUMN(D29)-1,6)+1)</f>
        <v>0</v>
      </c>
      <c r="F126" s="12" cm="1">
        <f t="array" ref="F126">INDEX($B$116:$G123, INT((COLUMN(E29)-1)/6)+1, MOD(COLUMN(E29)-1,6)+1)</f>
        <v>1</v>
      </c>
      <c r="G126" s="12" cm="1">
        <f t="array" ref="G126">INDEX($B$116:$G123, INT((COLUMN(F29)-1)/6)+1, MOD(COLUMN(F29)-1,6)+1)</f>
        <v>0</v>
      </c>
      <c r="H126" s="12" cm="1">
        <f t="array" ref="H126">INDEX($B$116:$G123, INT((COLUMN(G29)-1)/6)+1, MOD(COLUMN(G29)-1,6)+1)</f>
        <v>0</v>
      </c>
      <c r="I126" s="12" cm="1">
        <f t="array" ref="I126">INDEX($B$116:$G123, INT((COLUMN(H29)-1)/6)+1, MOD(COLUMN(H29)-1,6)+1)</f>
        <v>1</v>
      </c>
      <c r="J126" s="12" cm="1">
        <f t="array" ref="J126">INDEX($B$116:$G123, INT((COLUMN(I29)-1)/6)+1, MOD(COLUMN(I29)-1,6)+1)</f>
        <v>1</v>
      </c>
      <c r="K126" s="12" cm="1">
        <f t="array" ref="K126">INDEX($B$116:$G123, INT((COLUMN(J29)-1)/6)+1, MOD(COLUMN(J29)-1,6)+1)</f>
        <v>0</v>
      </c>
      <c r="L126" s="12" cm="1">
        <f t="array" ref="L126">INDEX($B$116:$G123, INT((COLUMN(K29)-1)/6)+1, MOD(COLUMN(K29)-1,6)+1)</f>
        <v>1</v>
      </c>
      <c r="M126" s="12" cm="1">
        <f t="array" ref="M126">INDEX($B$116:$G123, INT((COLUMN(L29)-1)/6)+1, MOD(COLUMN(L29)-1,6)+1)</f>
        <v>0</v>
      </c>
      <c r="N126" s="12" cm="1">
        <f t="array" ref="N126">INDEX($B$116:$G123, INT((COLUMN(M29)-1)/6)+1, MOD(COLUMN(M29)-1,6)+1)</f>
        <v>1</v>
      </c>
      <c r="O126" s="12" cm="1">
        <f t="array" ref="O126">INDEX($B$116:$G123, INT((COLUMN(N29)-1)/6)+1, MOD(COLUMN(N29)-1,6)+1)</f>
        <v>1</v>
      </c>
      <c r="P126" s="12" cm="1">
        <f t="array" ref="P126">INDEX($B$116:$G123, INT((COLUMN(O29)-1)/6)+1, MOD(COLUMN(O29)-1,6)+1)</f>
        <v>1</v>
      </c>
      <c r="Q126" s="12" cm="1">
        <f t="array" ref="Q126">INDEX($B$116:$G123, INT((COLUMN(P29)-1)/6)+1, MOD(COLUMN(P29)-1,6)+1)</f>
        <v>0</v>
      </c>
      <c r="R126" s="12" cm="1">
        <f t="array" ref="R126">INDEX($B$116:$G123, INT((COLUMN(Q29)-1)/6)+1, MOD(COLUMN(Q29)-1,6)+1)</f>
        <v>1</v>
      </c>
      <c r="S126" s="12" cm="1">
        <f t="array" ref="S126">INDEX($B$116:$G123, INT((COLUMN(R29)-1)/6)+1, MOD(COLUMN(R29)-1,6)+1)</f>
        <v>1</v>
      </c>
      <c r="T126" s="12" cm="1">
        <f t="array" ref="T126">INDEX($B$116:$G123, INT((COLUMN(S29)-1)/6)+1, MOD(COLUMN(S29)-1,6)+1)</f>
        <v>0</v>
      </c>
      <c r="U126" s="12" cm="1">
        <f t="array" ref="U126">INDEX($B$116:$G123, INT((COLUMN(T29)-1)/6)+1, MOD(COLUMN(T29)-1,6)+1)</f>
        <v>1</v>
      </c>
      <c r="V126" s="12" cm="1">
        <f t="array" ref="V126">INDEX($B$116:$G123, INT((COLUMN(U29)-1)/6)+1, MOD(COLUMN(U29)-1,6)+1)</f>
        <v>1</v>
      </c>
      <c r="W126" s="12" cm="1">
        <f t="array" ref="W126">INDEX($B$116:$G123, INT((COLUMN(V29)-1)/6)+1, MOD(COLUMN(V29)-1,6)+1)</f>
        <v>0</v>
      </c>
      <c r="X126" s="12" cm="1">
        <f t="array" ref="X126">INDEX($B$116:$G123, INT((COLUMN(W29)-1)/6)+1, MOD(COLUMN(W29)-1,6)+1)</f>
        <v>0</v>
      </c>
      <c r="Y126" s="12" cm="1">
        <f t="array" ref="Y126">INDEX($B$116:$G123, INT((COLUMN(X29)-1)/6)+1, MOD(COLUMN(X29)-1,6)+1)</f>
        <v>1</v>
      </c>
      <c r="Z126" s="12" cm="1">
        <f t="array" ref="Z126">INDEX($B$116:$G123, INT((COLUMN(Y29)-1)/6)+1, MOD(COLUMN(Y29)-1,6)+1)</f>
        <v>0</v>
      </c>
      <c r="AA126" s="12" cm="1">
        <f t="array" ref="AA126">INDEX($B$116:$G123, INT((COLUMN(Z29)-1)/6)+1, MOD(COLUMN(Z29)-1,6)+1)</f>
        <v>0</v>
      </c>
      <c r="AB126" s="12" cm="1">
        <f t="array" ref="AB126">INDEX($B$116:$G123, INT((COLUMN(AA29)-1)/6)+1, MOD(COLUMN(AA29)-1,6)+1)</f>
        <v>1</v>
      </c>
      <c r="AC126" s="12" cm="1">
        <f t="array" ref="AC126">INDEX($B$116:$G123, INT((COLUMN(AB29)-1)/6)+1, MOD(COLUMN(AB29)-1,6)+1)</f>
        <v>0</v>
      </c>
      <c r="AD126" s="12" cm="1">
        <f t="array" ref="AD126">INDEX($B$116:$G123, INT((COLUMN(AC29)-1)/6)+1, MOD(COLUMN(AC29)-1,6)+1)</f>
        <v>0</v>
      </c>
      <c r="AE126" s="12" cm="1">
        <f t="array" ref="AE126">INDEX($B$116:$G123, INT((COLUMN(AD29)-1)/6)+1, MOD(COLUMN(AD29)-1,6)+1)</f>
        <v>1</v>
      </c>
      <c r="AF126" s="12" cm="1">
        <f t="array" ref="AF126">INDEX($B$116:$G123, INT((COLUMN(AE29)-1)/6)+1, MOD(COLUMN(AE29)-1,6)+1)</f>
        <v>0</v>
      </c>
      <c r="AG126" s="12" cm="1">
        <f t="array" ref="AG126">INDEX($B$116:$G123, INT((COLUMN(AF29)-1)/6)+1, MOD(COLUMN(AF29)-1,6)+1)</f>
        <v>1</v>
      </c>
      <c r="AH126" s="12" cm="1">
        <f t="array" ref="AH126">INDEX($B$116:$G123, INT((COLUMN(AG29)-1)/6)+1, MOD(COLUMN(AG29)-1,6)+1)</f>
        <v>1</v>
      </c>
      <c r="AI126" s="12" cm="1">
        <f t="array" ref="AI126">INDEX($B$116:$G123, INT((COLUMN(AH29)-1)/6)+1, MOD(COLUMN(AH29)-1,6)+1)</f>
        <v>1</v>
      </c>
      <c r="AJ126" s="12" cm="1">
        <f t="array" ref="AJ126">INDEX($B$116:$G123, INT((COLUMN(AI29)-1)/6)+1, MOD(COLUMN(AI29)-1,6)+1)</f>
        <v>1</v>
      </c>
      <c r="AK126" s="12" cm="1">
        <f t="array" ref="AK126">INDEX($B$116:$G123, INT((COLUMN(AJ29)-1)/6)+1, MOD(COLUMN(AJ29)-1,6)+1)</f>
        <v>0</v>
      </c>
      <c r="AL126" s="12" cm="1">
        <f t="array" ref="AL126">INDEX($B$116:$G123, INT((COLUMN(AK29)-1)/6)+1, MOD(COLUMN(AK29)-1,6)+1)</f>
        <v>1</v>
      </c>
      <c r="AM126" s="12" cm="1">
        <f t="array" ref="AM126">INDEX($B$116:$G123, INT((COLUMN(AL29)-1)/6)+1, MOD(COLUMN(AL29)-1,6)+1)</f>
        <v>0</v>
      </c>
      <c r="AN126" s="12" cm="1">
        <f t="array" ref="AN126">INDEX($B$116:$G123, INT((COLUMN(AM29)-1)/6)+1, MOD(COLUMN(AM29)-1,6)+1)</f>
        <v>1</v>
      </c>
      <c r="AO126" s="12" cm="1">
        <f t="array" ref="AO126">INDEX($B$116:$G123, INT((COLUMN(AN29)-1)/6)+1, MOD(COLUMN(AN29)-1,6)+1)</f>
        <v>0</v>
      </c>
      <c r="AP126" s="12" cm="1">
        <f t="array" ref="AP126">INDEX($B$116:$G123, INT((COLUMN(AO29)-1)/6)+1, MOD(COLUMN(AO29)-1,6)+1)</f>
        <v>0</v>
      </c>
      <c r="AQ126" s="12" cm="1">
        <f t="array" ref="AQ126">INDEX($B$116:$G123, INT((COLUMN(AP29)-1)/6)+1, MOD(COLUMN(AP29)-1,6)+1)</f>
        <v>1</v>
      </c>
      <c r="AR126" s="12" cm="1">
        <f t="array" ref="AR126">INDEX($B$116:$G123, INT((COLUMN(AQ29)-1)/6)+1, MOD(COLUMN(AQ29)-1,6)+1)</f>
        <v>1</v>
      </c>
      <c r="AS126" s="12" cm="1">
        <f t="array" ref="AS126">INDEX($B$116:$G123, INT((COLUMN(AR29)-1)/6)+1, MOD(COLUMN(AR29)-1,6)+1)</f>
        <v>0</v>
      </c>
      <c r="AT126" s="12" cm="1">
        <f t="array" ref="AT126">INDEX($B$116:$G123, INT((COLUMN(AS29)-1)/6)+1, MOD(COLUMN(AS29)-1,6)+1)</f>
        <v>0</v>
      </c>
      <c r="AU126" s="12" cm="1">
        <f t="array" ref="AU126">INDEX($B$116:$G123, INT((COLUMN(AT29)-1)/6)+1, MOD(COLUMN(AT29)-1,6)+1)</f>
        <v>1</v>
      </c>
      <c r="AV126" s="12" cm="1">
        <f t="array" ref="AV126">INDEX($B$116:$G123, INT((COLUMN(AU29)-1)/6)+1, MOD(COLUMN(AU29)-1,6)+1)</f>
        <v>1</v>
      </c>
      <c r="AW126" s="12" cm="1">
        <f t="array" ref="AW126">INDEX($B$116:$G123, INT((COLUMN(AV29)-1)/6)+1, MOD(COLUMN(AV29)-1,6)+1)</f>
        <v>0</v>
      </c>
    </row>
    <row r="128" spans="1:57">
      <c r="A128" s="20" t="s">
        <v>32</v>
      </c>
    </row>
    <row r="129" spans="1:57">
      <c r="A129" s="5" t="s">
        <v>33</v>
      </c>
    </row>
    <row r="131" spans="1:57">
      <c r="A131" s="12" t="s">
        <v>3</v>
      </c>
      <c r="B131" s="12">
        <v>1</v>
      </c>
      <c r="C131" s="12">
        <v>2</v>
      </c>
      <c r="D131" s="12">
        <v>3</v>
      </c>
      <c r="E131" s="12">
        <v>4</v>
      </c>
      <c r="F131" s="12">
        <v>5</v>
      </c>
      <c r="G131" s="12">
        <v>6</v>
      </c>
      <c r="H131" s="12">
        <v>7</v>
      </c>
      <c r="I131" s="12">
        <v>8</v>
      </c>
      <c r="J131" s="12">
        <v>9</v>
      </c>
      <c r="K131" s="12">
        <v>10</v>
      </c>
      <c r="L131" s="12">
        <v>11</v>
      </c>
      <c r="M131" s="12">
        <v>12</v>
      </c>
      <c r="N131" s="12">
        <v>13</v>
      </c>
      <c r="O131" s="12">
        <v>14</v>
      </c>
      <c r="P131" s="12">
        <v>15</v>
      </c>
      <c r="Q131" s="12">
        <v>16</v>
      </c>
      <c r="R131" s="12">
        <v>17</v>
      </c>
      <c r="S131" s="12">
        <v>18</v>
      </c>
      <c r="T131" s="12">
        <v>19</v>
      </c>
      <c r="U131" s="12">
        <v>20</v>
      </c>
      <c r="V131" s="12">
        <v>21</v>
      </c>
      <c r="W131" s="12">
        <v>22</v>
      </c>
      <c r="X131" s="12">
        <v>23</v>
      </c>
      <c r="Y131" s="12">
        <v>24</v>
      </c>
      <c r="Z131" s="12">
        <v>25</v>
      </c>
      <c r="AA131" s="12">
        <v>26</v>
      </c>
      <c r="AB131" s="12">
        <v>27</v>
      </c>
      <c r="AC131" s="12">
        <v>28</v>
      </c>
    </row>
    <row r="132" spans="1:57">
      <c r="A132" s="12" t="s">
        <v>33</v>
      </c>
      <c r="B132" s="12">
        <v>0</v>
      </c>
      <c r="C132" s="12">
        <v>0</v>
      </c>
      <c r="D132" s="12">
        <v>0</v>
      </c>
      <c r="E132" s="12">
        <v>0</v>
      </c>
      <c r="F132" s="12">
        <v>1</v>
      </c>
      <c r="G132" s="12">
        <v>1</v>
      </c>
      <c r="H132" s="12">
        <v>0</v>
      </c>
      <c r="I132" s="12">
        <v>0</v>
      </c>
      <c r="J132" s="12">
        <v>1</v>
      </c>
      <c r="K132" s="12">
        <v>1</v>
      </c>
      <c r="L132" s="12">
        <v>0</v>
      </c>
      <c r="M132" s="12">
        <v>0</v>
      </c>
      <c r="N132" s="12">
        <v>1</v>
      </c>
      <c r="O132" s="12">
        <v>0</v>
      </c>
      <c r="P132" s="12">
        <v>1</v>
      </c>
      <c r="Q132" s="12">
        <v>0</v>
      </c>
      <c r="R132" s="12">
        <v>1</v>
      </c>
      <c r="S132" s="12">
        <v>0</v>
      </c>
      <c r="T132" s="12">
        <v>1</v>
      </c>
      <c r="U132" s="12">
        <v>0</v>
      </c>
      <c r="V132" s="12">
        <v>1</v>
      </c>
      <c r="W132" s="12">
        <v>0</v>
      </c>
      <c r="X132" s="12">
        <v>1</v>
      </c>
      <c r="Y132" s="12">
        <v>1</v>
      </c>
      <c r="Z132" s="16">
        <v>1</v>
      </c>
      <c r="AA132" s="16">
        <v>1</v>
      </c>
      <c r="AB132" s="16">
        <v>1</v>
      </c>
      <c r="AC132" s="16">
        <v>1</v>
      </c>
    </row>
    <row r="134" spans="1:57">
      <c r="A134" s="5" t="s">
        <v>34</v>
      </c>
    </row>
    <row r="136" spans="1:57">
      <c r="A136" s="12" t="s">
        <v>3</v>
      </c>
      <c r="B136" s="12">
        <v>1</v>
      </c>
      <c r="C136" s="12">
        <v>2</v>
      </c>
      <c r="D136" s="12">
        <v>3</v>
      </c>
      <c r="E136" s="12">
        <v>4</v>
      </c>
      <c r="F136" s="12">
        <v>5</v>
      </c>
      <c r="G136" s="12">
        <v>6</v>
      </c>
      <c r="H136" s="12">
        <v>7</v>
      </c>
      <c r="I136" s="12">
        <v>8</v>
      </c>
      <c r="J136" s="12">
        <v>9</v>
      </c>
      <c r="K136" s="12">
        <v>10</v>
      </c>
      <c r="L136" s="12">
        <v>11</v>
      </c>
      <c r="M136" s="12">
        <v>12</v>
      </c>
      <c r="N136" s="12">
        <v>13</v>
      </c>
      <c r="O136" s="12">
        <v>14</v>
      </c>
      <c r="P136" s="12">
        <v>15</v>
      </c>
      <c r="Q136" s="12">
        <v>16</v>
      </c>
      <c r="R136" s="12">
        <v>17</v>
      </c>
      <c r="S136" s="12">
        <v>18</v>
      </c>
      <c r="T136" s="12">
        <v>19</v>
      </c>
      <c r="U136" s="12">
        <v>20</v>
      </c>
      <c r="V136" s="12">
        <v>21</v>
      </c>
      <c r="W136" s="12">
        <v>22</v>
      </c>
      <c r="X136" s="12">
        <v>23</v>
      </c>
      <c r="Y136" s="12">
        <v>24</v>
      </c>
      <c r="Z136" s="12">
        <v>25</v>
      </c>
      <c r="AA136" s="12">
        <v>26</v>
      </c>
      <c r="AB136" s="12">
        <v>27</v>
      </c>
      <c r="AC136" s="12">
        <v>28</v>
      </c>
    </row>
    <row r="137" spans="1:57">
      <c r="A137" s="12" t="s">
        <v>34</v>
      </c>
      <c r="B137" s="12">
        <v>1</v>
      </c>
      <c r="C137" s="12">
        <v>0</v>
      </c>
      <c r="D137" s="12">
        <v>1</v>
      </c>
      <c r="E137" s="12">
        <v>0</v>
      </c>
      <c r="F137" s="12">
        <v>1</v>
      </c>
      <c r="G137" s="12">
        <v>1</v>
      </c>
      <c r="H137" s="12">
        <v>0</v>
      </c>
      <c r="I137" s="12">
        <v>0</v>
      </c>
      <c r="J137" s="12">
        <v>1</v>
      </c>
      <c r="K137" s="12">
        <v>1</v>
      </c>
      <c r="L137" s="12">
        <v>0</v>
      </c>
      <c r="M137" s="12">
        <v>0</v>
      </c>
      <c r="N137" s="12">
        <v>1</v>
      </c>
      <c r="O137" s="12">
        <v>1</v>
      </c>
      <c r="P137" s="12">
        <v>1</v>
      </c>
      <c r="Q137" s="12">
        <v>1</v>
      </c>
      <c r="R137" s="12">
        <v>0</v>
      </c>
      <c r="S137" s="12">
        <v>0</v>
      </c>
      <c r="T137" s="12">
        <v>0</v>
      </c>
      <c r="U137" s="12">
        <v>0</v>
      </c>
      <c r="V137" s="12">
        <v>1</v>
      </c>
      <c r="W137" s="12">
        <v>0</v>
      </c>
      <c r="X137" s="12">
        <v>1</v>
      </c>
      <c r="Y137" s="12">
        <v>0</v>
      </c>
      <c r="Z137" s="12">
        <v>1</v>
      </c>
      <c r="AA137" s="12">
        <v>0</v>
      </c>
      <c r="AB137" s="12">
        <v>1</v>
      </c>
      <c r="AC137" s="12">
        <v>0</v>
      </c>
    </row>
    <row r="139" spans="1:57">
      <c r="A139" s="6" t="s">
        <v>40</v>
      </c>
    </row>
    <row r="141" spans="1:57">
      <c r="A141" s="12" t="s">
        <v>3</v>
      </c>
      <c r="B141" s="12">
        <v>1</v>
      </c>
      <c r="C141" s="12">
        <v>2</v>
      </c>
      <c r="D141" s="12">
        <v>3</v>
      </c>
      <c r="E141" s="12">
        <v>4</v>
      </c>
      <c r="F141" s="12">
        <v>5</v>
      </c>
      <c r="G141" s="12">
        <v>6</v>
      </c>
      <c r="H141" s="12">
        <v>7</v>
      </c>
      <c r="I141" s="12">
        <v>8</v>
      </c>
      <c r="J141" s="12">
        <v>9</v>
      </c>
      <c r="K141" s="12">
        <v>10</v>
      </c>
      <c r="L141" s="12">
        <v>11</v>
      </c>
      <c r="M141" s="12">
        <v>12</v>
      </c>
      <c r="N141" s="12">
        <v>13</v>
      </c>
      <c r="O141" s="12">
        <v>14</v>
      </c>
      <c r="P141" s="12">
        <v>15</v>
      </c>
      <c r="Q141" s="12">
        <v>16</v>
      </c>
      <c r="R141" s="12">
        <v>17</v>
      </c>
      <c r="S141" s="12">
        <v>18</v>
      </c>
      <c r="T141" s="12">
        <v>19</v>
      </c>
      <c r="U141" s="12">
        <v>20</v>
      </c>
      <c r="V141" s="12">
        <v>21</v>
      </c>
      <c r="W141" s="12">
        <v>22</v>
      </c>
      <c r="X141" s="12">
        <v>23</v>
      </c>
      <c r="Y141" s="12">
        <v>24</v>
      </c>
      <c r="Z141" s="12">
        <v>25</v>
      </c>
      <c r="AA141" s="12">
        <v>26</v>
      </c>
      <c r="AB141" s="12">
        <v>27</v>
      </c>
      <c r="AC141" s="12">
        <v>28</v>
      </c>
      <c r="AD141" s="12">
        <v>29</v>
      </c>
      <c r="AE141" s="12">
        <v>30</v>
      </c>
      <c r="AF141" s="12">
        <v>31</v>
      </c>
      <c r="AG141" s="12">
        <v>32</v>
      </c>
      <c r="AH141" s="12">
        <v>33</v>
      </c>
      <c r="AI141" s="12">
        <v>34</v>
      </c>
      <c r="AJ141" s="12">
        <v>35</v>
      </c>
      <c r="AK141" s="12">
        <v>36</v>
      </c>
      <c r="AL141" s="12">
        <v>37</v>
      </c>
      <c r="AM141" s="12">
        <v>38</v>
      </c>
      <c r="AN141" s="12">
        <v>39</v>
      </c>
      <c r="AO141" s="12">
        <v>40</v>
      </c>
      <c r="AP141" s="12">
        <v>41</v>
      </c>
      <c r="AQ141" s="12">
        <v>42</v>
      </c>
      <c r="AR141" s="12">
        <v>43</v>
      </c>
      <c r="AS141" s="12">
        <v>44</v>
      </c>
      <c r="AT141" s="12">
        <v>45</v>
      </c>
      <c r="AU141" s="12">
        <v>46</v>
      </c>
      <c r="AV141" s="12">
        <v>47</v>
      </c>
      <c r="AW141" s="12">
        <v>48</v>
      </c>
      <c r="AX141" s="12">
        <v>49</v>
      </c>
      <c r="AY141" s="12">
        <v>50</v>
      </c>
      <c r="AZ141" s="12">
        <v>51</v>
      </c>
      <c r="BA141" s="12">
        <v>52</v>
      </c>
      <c r="BB141" s="12">
        <v>53</v>
      </c>
      <c r="BC141" s="12">
        <v>54</v>
      </c>
      <c r="BD141" s="12">
        <v>55</v>
      </c>
      <c r="BE141" s="12">
        <v>56</v>
      </c>
    </row>
    <row r="142" spans="1:57">
      <c r="A142" s="12" t="s">
        <v>41</v>
      </c>
      <c r="B142" s="12">
        <v>0</v>
      </c>
      <c r="C142" s="12">
        <v>0</v>
      </c>
      <c r="D142" s="12">
        <v>0</v>
      </c>
      <c r="E142" s="12">
        <v>0</v>
      </c>
      <c r="F142" s="12">
        <v>1</v>
      </c>
      <c r="G142" s="12">
        <v>1</v>
      </c>
      <c r="H142" s="12">
        <v>0</v>
      </c>
      <c r="I142" s="12">
        <v>0</v>
      </c>
      <c r="J142" s="12">
        <v>1</v>
      </c>
      <c r="K142" s="12">
        <v>1</v>
      </c>
      <c r="L142" s="12">
        <v>0</v>
      </c>
      <c r="M142" s="12">
        <v>0</v>
      </c>
      <c r="N142" s="12">
        <v>1</v>
      </c>
      <c r="O142" s="12">
        <v>0</v>
      </c>
      <c r="P142" s="12">
        <v>1</v>
      </c>
      <c r="Q142" s="12">
        <v>0</v>
      </c>
      <c r="R142" s="12">
        <v>1</v>
      </c>
      <c r="S142" s="12">
        <v>0</v>
      </c>
      <c r="T142" s="12">
        <v>1</v>
      </c>
      <c r="U142" s="12">
        <v>0</v>
      </c>
      <c r="V142" s="12">
        <v>1</v>
      </c>
      <c r="W142" s="12">
        <v>0</v>
      </c>
      <c r="X142" s="12">
        <v>1</v>
      </c>
      <c r="Y142" s="12">
        <v>1</v>
      </c>
      <c r="Z142" s="16">
        <v>1</v>
      </c>
      <c r="AA142" s="16">
        <v>1</v>
      </c>
      <c r="AB142" s="16">
        <v>1</v>
      </c>
      <c r="AC142" s="16">
        <v>1</v>
      </c>
      <c r="AD142" s="12">
        <v>1</v>
      </c>
      <c r="AE142" s="12">
        <v>0</v>
      </c>
      <c r="AF142" s="12">
        <v>1</v>
      </c>
      <c r="AG142" s="12">
        <v>0</v>
      </c>
      <c r="AH142" s="12">
        <v>1</v>
      </c>
      <c r="AI142" s="12">
        <v>1</v>
      </c>
      <c r="AJ142" s="12">
        <v>0</v>
      </c>
      <c r="AK142" s="12">
        <v>0</v>
      </c>
      <c r="AL142" s="12">
        <v>1</v>
      </c>
      <c r="AM142" s="12">
        <v>1</v>
      </c>
      <c r="AN142" s="12">
        <v>0</v>
      </c>
      <c r="AO142" s="12">
        <v>0</v>
      </c>
      <c r="AP142" s="12">
        <v>1</v>
      </c>
      <c r="AQ142" s="12">
        <v>1</v>
      </c>
      <c r="AR142" s="12">
        <v>1</v>
      </c>
      <c r="AS142" s="12">
        <v>1</v>
      </c>
      <c r="AT142" s="12">
        <v>0</v>
      </c>
      <c r="AU142" s="12">
        <v>0</v>
      </c>
      <c r="AV142" s="12">
        <v>0</v>
      </c>
      <c r="AW142" s="12">
        <v>0</v>
      </c>
      <c r="AX142" s="12">
        <v>1</v>
      </c>
      <c r="AY142" s="12">
        <v>0</v>
      </c>
      <c r="AZ142" s="12">
        <v>1</v>
      </c>
      <c r="BA142" s="12">
        <v>0</v>
      </c>
      <c r="BB142" s="12">
        <v>1</v>
      </c>
      <c r="BC142" s="12">
        <v>0</v>
      </c>
      <c r="BD142" s="12">
        <v>1</v>
      </c>
      <c r="BE142" s="12">
        <v>0</v>
      </c>
    </row>
    <row r="144" spans="1:57">
      <c r="A144" s="5" t="s">
        <v>35</v>
      </c>
      <c r="B144" s="12" cm="1">
        <f t="array" ref="B144">INDEX($B$142:$BE$142, K25)</f>
        <v>0</v>
      </c>
      <c r="C144" s="12" cm="1">
        <f t="array" ref="C144">INDEX($B$142:$BE$142, L25)</f>
        <v>1</v>
      </c>
      <c r="D144" s="12" cm="1">
        <f t="array" ref="D144">INDEX($B$142:$BE$142, M25)</f>
        <v>0</v>
      </c>
      <c r="E144" s="12" cm="1">
        <f t="array" ref="E144">INDEX($B$142:$BE$142, N25)</f>
        <v>1</v>
      </c>
      <c r="F144" s="12" cm="1">
        <f t="array" ref="F144">INDEX($B$142:$BE$142, O25)</f>
        <v>0</v>
      </c>
      <c r="G144" s="12" cm="1">
        <f t="array" ref="G144">INDEX($B$142:$BE$142, P25)</f>
        <v>1</v>
      </c>
    </row>
    <row r="145" spans="1:49">
      <c r="B145" s="12" cm="1">
        <f t="array" ref="B145">INDEX($B$142:$BE$142, K26)</f>
        <v>0</v>
      </c>
      <c r="C145" s="12" cm="1">
        <f t="array" ref="C145">INDEX($B$142:$BE$142, L26)</f>
        <v>1</v>
      </c>
      <c r="D145" s="12" cm="1">
        <f t="array" ref="D145">INDEX($B$142:$BE$142, M26)</f>
        <v>1</v>
      </c>
      <c r="E145" s="12" cm="1">
        <f t="array" ref="E145">INDEX($B$142:$BE$142, N26)</f>
        <v>1</v>
      </c>
      <c r="F145" s="12" cm="1">
        <f t="array" ref="F145">INDEX($B$142:$BE$142, O26)</f>
        <v>1</v>
      </c>
      <c r="G145" s="12" cm="1">
        <f t="array" ref="G145">INDEX($B$142:$BE$142, P26)</f>
        <v>1</v>
      </c>
    </row>
    <row r="146" spans="1:49">
      <c r="B146" s="12" cm="1">
        <f t="array" ref="B146">INDEX($B$142:$BE$142, K27)</f>
        <v>1</v>
      </c>
      <c r="C146" s="12" cm="1">
        <f t="array" ref="C146">INDEX($B$142:$BE$142, L27)</f>
        <v>1</v>
      </c>
      <c r="D146" s="12" cm="1">
        <f t="array" ref="D146">INDEX($B$142:$BE$142, M27)</f>
        <v>0</v>
      </c>
      <c r="E146" s="12" cm="1">
        <f t="array" ref="E146">INDEX($B$142:$BE$142, N27)</f>
        <v>0</v>
      </c>
      <c r="F146" s="12" cm="1">
        <f t="array" ref="F146">INDEX($B$142:$BE$142, O27)</f>
        <v>1</v>
      </c>
      <c r="G146" s="12" cm="1">
        <f t="array" ref="G146">INDEX($B$142:$BE$142, P27)</f>
        <v>0</v>
      </c>
    </row>
    <row r="147" spans="1:49">
      <c r="B147" s="12" cm="1">
        <f t="array" ref="B147">INDEX($B$142:$BE$142, K28)</f>
        <v>0</v>
      </c>
      <c r="C147" s="12" cm="1">
        <f t="array" ref="C147">INDEX($B$142:$BE$142, L28)</f>
        <v>0</v>
      </c>
      <c r="D147" s="12" cm="1">
        <f t="array" ref="D147">INDEX($B$142:$BE$142, M28)</f>
        <v>1</v>
      </c>
      <c r="E147" s="12" cm="1">
        <f t="array" ref="E147">INDEX($B$142:$BE$142, N28)</f>
        <v>0</v>
      </c>
      <c r="F147" s="12" cm="1">
        <f t="array" ref="F147">INDEX($B$142:$BE$142, O28)</f>
        <v>1</v>
      </c>
      <c r="G147" s="12" cm="1">
        <f t="array" ref="G147">INDEX($B$142:$BE$142, P28)</f>
        <v>0</v>
      </c>
    </row>
    <row r="148" spans="1:49">
      <c r="B148" s="12" cm="1">
        <f t="array" ref="B148">INDEX($B$142:$BE$142, K29)</f>
        <v>1</v>
      </c>
      <c r="C148" s="12" cm="1">
        <f t="array" ref="C148">INDEX($B$142:$BE$142, L29)</f>
        <v>0</v>
      </c>
      <c r="D148" s="12" cm="1">
        <f t="array" ref="D148">INDEX($B$142:$BE$142, M29)</f>
        <v>1</v>
      </c>
      <c r="E148" s="12" cm="1">
        <f t="array" ref="E148">INDEX($B$142:$BE$142, N29)</f>
        <v>1</v>
      </c>
      <c r="F148" s="12" cm="1">
        <f t="array" ref="F148">INDEX($B$142:$BE$142, O29)</f>
        <v>0</v>
      </c>
      <c r="G148" s="12" cm="1">
        <f t="array" ref="G148">INDEX($B$142:$BE$142, P29)</f>
        <v>1</v>
      </c>
    </row>
    <row r="149" spans="1:49">
      <c r="B149" s="12" cm="1">
        <f t="array" ref="B149">INDEX($B$142:$BE$142, K30)</f>
        <v>0</v>
      </c>
      <c r="C149" s="12" cm="1">
        <f t="array" ref="C149">INDEX($B$142:$BE$142, L30)</f>
        <v>0</v>
      </c>
      <c r="D149" s="12" cm="1">
        <f t="array" ref="D149">INDEX($B$142:$BE$142, M30)</f>
        <v>1</v>
      </c>
      <c r="E149" s="12" cm="1">
        <f t="array" ref="E149">INDEX($B$142:$BE$142, N30)</f>
        <v>0</v>
      </c>
      <c r="F149" s="12" cm="1">
        <f t="array" ref="F149">INDEX($B$142:$BE$142, O30)</f>
        <v>1</v>
      </c>
      <c r="G149" s="12" cm="1">
        <f t="array" ref="G149">INDEX($B$142:$BE$142, P30)</f>
        <v>0</v>
      </c>
    </row>
    <row r="150" spans="1:49">
      <c r="B150" s="12" cm="1">
        <f t="array" ref="B150">INDEX($B$142:$BE$142, K31)</f>
        <v>1</v>
      </c>
      <c r="C150" s="12" cm="1">
        <f t="array" ref="C150">INDEX($B$142:$BE$142, L31)</f>
        <v>1</v>
      </c>
      <c r="D150" s="12" cm="1">
        <f t="array" ref="D150">INDEX($B$142:$BE$142, M31)</f>
        <v>0</v>
      </c>
      <c r="E150" s="12" cm="1">
        <f t="array" ref="E150">INDEX($B$142:$BE$142, N31)</f>
        <v>0</v>
      </c>
      <c r="F150" s="12" cm="1">
        <f t="array" ref="F150">INDEX($B$142:$BE$142, O31)</f>
        <v>1</v>
      </c>
      <c r="G150" s="12" cm="1">
        <f t="array" ref="G150">INDEX($B$142:$BE$142, P31)</f>
        <v>1</v>
      </c>
    </row>
    <row r="151" spans="1:49">
      <c r="B151" s="12" cm="1">
        <f t="array" ref="B151">INDEX($B$142:$BE$142, K32)</f>
        <v>0</v>
      </c>
      <c r="C151" s="12" cm="1">
        <f t="array" ref="C151">INDEX($B$142:$BE$142, L32)</f>
        <v>1</v>
      </c>
      <c r="D151" s="12" cm="1">
        <f t="array" ref="D151">INDEX($B$142:$BE$142, M32)</f>
        <v>0</v>
      </c>
      <c r="E151" s="12" cm="1">
        <f t="array" ref="E151">INDEX($B$142:$BE$142, N32)</f>
        <v>0</v>
      </c>
      <c r="F151" s="12" cm="1">
        <f t="array" ref="F151">INDEX($B$142:$BE$142, O32)</f>
        <v>1</v>
      </c>
      <c r="G151" s="12" cm="1">
        <f t="array" ref="G151">INDEX($B$142:$BE$142, P32)</f>
        <v>0</v>
      </c>
    </row>
    <row r="153" spans="1:49">
      <c r="A153" s="12" t="s">
        <v>3</v>
      </c>
      <c r="B153" s="12">
        <v>1</v>
      </c>
      <c r="C153" s="12">
        <v>2</v>
      </c>
      <c r="D153" s="12">
        <v>3</v>
      </c>
      <c r="E153" s="12">
        <v>4</v>
      </c>
      <c r="F153" s="12">
        <v>5</v>
      </c>
      <c r="G153" s="12">
        <v>6</v>
      </c>
      <c r="H153" s="12">
        <v>7</v>
      </c>
      <c r="I153" s="12">
        <v>8</v>
      </c>
      <c r="J153" s="12">
        <v>9</v>
      </c>
      <c r="K153" s="12">
        <v>10</v>
      </c>
      <c r="L153" s="12">
        <v>11</v>
      </c>
      <c r="M153" s="12">
        <v>12</v>
      </c>
      <c r="N153" s="12">
        <v>13</v>
      </c>
      <c r="O153" s="12">
        <v>14</v>
      </c>
      <c r="P153" s="12">
        <v>15</v>
      </c>
      <c r="Q153" s="12">
        <v>16</v>
      </c>
      <c r="R153" s="12">
        <v>17</v>
      </c>
      <c r="S153" s="12">
        <v>18</v>
      </c>
      <c r="T153" s="12">
        <v>19</v>
      </c>
      <c r="U153" s="12">
        <v>20</v>
      </c>
      <c r="V153" s="12">
        <v>21</v>
      </c>
      <c r="W153" s="12">
        <v>22</v>
      </c>
      <c r="X153" s="12">
        <v>23</v>
      </c>
      <c r="Y153" s="12">
        <v>24</v>
      </c>
      <c r="Z153" s="12">
        <v>25</v>
      </c>
      <c r="AA153" s="12">
        <v>26</v>
      </c>
      <c r="AB153" s="12">
        <v>27</v>
      </c>
      <c r="AC153" s="12">
        <v>28</v>
      </c>
      <c r="AD153" s="12">
        <v>29</v>
      </c>
      <c r="AE153" s="12">
        <v>30</v>
      </c>
      <c r="AF153" s="12">
        <v>31</v>
      </c>
      <c r="AG153" s="12">
        <v>32</v>
      </c>
      <c r="AH153" s="12">
        <v>33</v>
      </c>
      <c r="AI153" s="12">
        <v>34</v>
      </c>
      <c r="AJ153" s="12">
        <v>35</v>
      </c>
      <c r="AK153" s="12">
        <v>36</v>
      </c>
      <c r="AL153" s="12">
        <v>37</v>
      </c>
      <c r="AM153" s="12">
        <v>38</v>
      </c>
      <c r="AN153" s="12">
        <v>39</v>
      </c>
      <c r="AO153" s="12">
        <v>40</v>
      </c>
      <c r="AP153" s="12">
        <v>41</v>
      </c>
      <c r="AQ153" s="12">
        <v>42</v>
      </c>
      <c r="AR153" s="12">
        <v>43</v>
      </c>
      <c r="AS153" s="12">
        <v>44</v>
      </c>
      <c r="AT153" s="12">
        <v>45</v>
      </c>
      <c r="AU153" s="12">
        <v>46</v>
      </c>
      <c r="AV153" s="12">
        <v>47</v>
      </c>
      <c r="AW153" s="12">
        <v>48</v>
      </c>
    </row>
    <row r="154" spans="1:49">
      <c r="A154" s="12" t="s">
        <v>36</v>
      </c>
      <c r="B154" s="12" cm="1">
        <f t="array" ref="B154">INDEX($B$144:$G151, INT((COLUMN(A57)-1)/6)+1, MOD(COLUMN(A57)-1,6)+1)</f>
        <v>0</v>
      </c>
      <c r="C154" s="12" cm="1">
        <f t="array" ref="C154">INDEX($B$144:$G151, INT((COLUMN(B57)-1)/6)+1, MOD(COLUMN(B57)-1,6)+1)</f>
        <v>1</v>
      </c>
      <c r="D154" s="12" cm="1">
        <f t="array" ref="D154">INDEX($B$144:$G151, INT((COLUMN(C57)-1)/6)+1, MOD(COLUMN(C57)-1,6)+1)</f>
        <v>0</v>
      </c>
      <c r="E154" s="12" cm="1">
        <f t="array" ref="E154">INDEX($B$144:$G151, INT((COLUMN(D57)-1)/6)+1, MOD(COLUMN(D57)-1,6)+1)</f>
        <v>1</v>
      </c>
      <c r="F154" s="12" cm="1">
        <f t="array" ref="F154">INDEX($B$144:$G151, INT((COLUMN(E57)-1)/6)+1, MOD(COLUMN(E57)-1,6)+1)</f>
        <v>0</v>
      </c>
      <c r="G154" s="12" cm="1">
        <f t="array" ref="G154">INDEX($B$144:$G151, INT((COLUMN(F57)-1)/6)+1, MOD(COLUMN(F57)-1,6)+1)</f>
        <v>1</v>
      </c>
      <c r="H154" s="12" cm="1">
        <f t="array" ref="H154">INDEX($B$144:$G151, INT((COLUMN(G57)-1)/6)+1, MOD(COLUMN(G57)-1,6)+1)</f>
        <v>0</v>
      </c>
      <c r="I154" s="12" cm="1">
        <f t="array" ref="I154">INDEX($B$144:$G151, INT((COLUMN(H57)-1)/6)+1, MOD(COLUMN(H57)-1,6)+1)</f>
        <v>1</v>
      </c>
      <c r="J154" s="12" cm="1">
        <f t="array" ref="J154">INDEX($B$144:$G151, INT((COLUMN(I57)-1)/6)+1, MOD(COLUMN(I57)-1,6)+1)</f>
        <v>1</v>
      </c>
      <c r="K154" s="12" cm="1">
        <f t="array" ref="K154">INDEX($B$144:$G151, INT((COLUMN(J57)-1)/6)+1, MOD(COLUMN(J57)-1,6)+1)</f>
        <v>1</v>
      </c>
      <c r="L154" s="12" cm="1">
        <f t="array" ref="L154">INDEX($B$144:$G151, INT((COLUMN(K57)-1)/6)+1, MOD(COLUMN(K57)-1,6)+1)</f>
        <v>1</v>
      </c>
      <c r="M154" s="12" cm="1">
        <f t="array" ref="M154">INDEX($B$144:$G151, INT((COLUMN(L57)-1)/6)+1, MOD(COLUMN(L57)-1,6)+1)</f>
        <v>1</v>
      </c>
      <c r="N154" s="12" cm="1">
        <f t="array" ref="N154">INDEX($B$144:$G151, INT((COLUMN(M57)-1)/6)+1, MOD(COLUMN(M57)-1,6)+1)</f>
        <v>1</v>
      </c>
      <c r="O154" s="12" cm="1">
        <f t="array" ref="O154">INDEX($B$144:$G151, INT((COLUMN(N57)-1)/6)+1, MOD(COLUMN(N57)-1,6)+1)</f>
        <v>1</v>
      </c>
      <c r="P154" s="12" cm="1">
        <f t="array" ref="P154">INDEX($B$144:$G151, INT((COLUMN(O57)-1)/6)+1, MOD(COLUMN(O57)-1,6)+1)</f>
        <v>0</v>
      </c>
      <c r="Q154" s="12" cm="1">
        <f t="array" ref="Q154">INDEX($B$144:$G151, INT((COLUMN(P57)-1)/6)+1, MOD(COLUMN(P57)-1,6)+1)</f>
        <v>0</v>
      </c>
      <c r="R154" s="12" cm="1">
        <f t="array" ref="R154">INDEX($B$144:$G151, INT((COLUMN(Q57)-1)/6)+1, MOD(COLUMN(Q57)-1,6)+1)</f>
        <v>1</v>
      </c>
      <c r="S154" s="12" cm="1">
        <f t="array" ref="S154">INDEX($B$144:$G151, INT((COLUMN(R57)-1)/6)+1, MOD(COLUMN(R57)-1,6)+1)</f>
        <v>0</v>
      </c>
      <c r="T154" s="12" cm="1">
        <f t="array" ref="T154">INDEX($B$144:$G151, INT((COLUMN(S57)-1)/6)+1, MOD(COLUMN(S57)-1,6)+1)</f>
        <v>0</v>
      </c>
      <c r="U154" s="12" cm="1">
        <f t="array" ref="U154">INDEX($B$144:$G151, INT((COLUMN(T57)-1)/6)+1, MOD(COLUMN(T57)-1,6)+1)</f>
        <v>0</v>
      </c>
      <c r="V154" s="12" cm="1">
        <f t="array" ref="V154">INDEX($B$144:$G151, INT((COLUMN(U57)-1)/6)+1, MOD(COLUMN(U57)-1,6)+1)</f>
        <v>1</v>
      </c>
      <c r="W154" s="12" cm="1">
        <f t="array" ref="W154">INDEX($B$144:$G151, INT((COLUMN(V57)-1)/6)+1, MOD(COLUMN(V57)-1,6)+1)</f>
        <v>0</v>
      </c>
      <c r="X154" s="12" cm="1">
        <f t="array" ref="X154">INDEX($B$144:$G151, INT((COLUMN(W57)-1)/6)+1, MOD(COLUMN(W57)-1,6)+1)</f>
        <v>1</v>
      </c>
      <c r="Y154" s="12" cm="1">
        <f t="array" ref="Y154">INDEX($B$144:$G151, INT((COLUMN(X57)-1)/6)+1, MOD(COLUMN(X57)-1,6)+1)</f>
        <v>0</v>
      </c>
      <c r="Z154" s="12" cm="1">
        <f t="array" ref="Z154">INDEX($B$144:$G151, INT((COLUMN(Y57)-1)/6)+1, MOD(COLUMN(Y57)-1,6)+1)</f>
        <v>1</v>
      </c>
      <c r="AA154" s="12" cm="1">
        <f t="array" ref="AA154">INDEX($B$144:$G151, INT((COLUMN(Z57)-1)/6)+1, MOD(COLUMN(Z57)-1,6)+1)</f>
        <v>0</v>
      </c>
      <c r="AB154" s="12" cm="1">
        <f t="array" ref="AB154">INDEX($B$144:$G151, INT((COLUMN(AA57)-1)/6)+1, MOD(COLUMN(AA57)-1,6)+1)</f>
        <v>1</v>
      </c>
      <c r="AC154" s="12" cm="1">
        <f t="array" ref="AC154">INDEX($B$144:$G151, INT((COLUMN(AB57)-1)/6)+1, MOD(COLUMN(AB57)-1,6)+1)</f>
        <v>1</v>
      </c>
      <c r="AD154" s="12" cm="1">
        <f t="array" ref="AD154">INDEX($B$144:$G151, INT((COLUMN(AC57)-1)/6)+1, MOD(COLUMN(AC57)-1,6)+1)</f>
        <v>0</v>
      </c>
      <c r="AE154" s="12" cm="1">
        <f t="array" ref="AE154">INDEX($B$144:$G151, INT((COLUMN(AD57)-1)/6)+1, MOD(COLUMN(AD57)-1,6)+1)</f>
        <v>1</v>
      </c>
      <c r="AF154" s="12" cm="1">
        <f t="array" ref="AF154">INDEX($B$144:$G151, INT((COLUMN(AE57)-1)/6)+1, MOD(COLUMN(AE57)-1,6)+1)</f>
        <v>0</v>
      </c>
      <c r="AG154" s="12" cm="1">
        <f t="array" ref="AG154">INDEX($B$144:$G151, INT((COLUMN(AF57)-1)/6)+1, MOD(COLUMN(AF57)-1,6)+1)</f>
        <v>0</v>
      </c>
      <c r="AH154" s="12" cm="1">
        <f t="array" ref="AH154">INDEX($B$144:$G151, INT((COLUMN(AG57)-1)/6)+1, MOD(COLUMN(AG57)-1,6)+1)</f>
        <v>1</v>
      </c>
      <c r="AI154" s="12" cm="1">
        <f t="array" ref="AI154">INDEX($B$144:$G151, INT((COLUMN(AH57)-1)/6)+1, MOD(COLUMN(AH57)-1,6)+1)</f>
        <v>0</v>
      </c>
      <c r="AJ154" s="12" cm="1">
        <f t="array" ref="AJ154">INDEX($B$144:$G151, INT((COLUMN(AI57)-1)/6)+1, MOD(COLUMN(AI57)-1,6)+1)</f>
        <v>1</v>
      </c>
      <c r="AK154" s="12" cm="1">
        <f t="array" ref="AK154">INDEX($B$144:$G151, INT((COLUMN(AJ57)-1)/6)+1, MOD(COLUMN(AJ57)-1,6)+1)</f>
        <v>0</v>
      </c>
      <c r="AL154" s="12" cm="1">
        <f t="array" ref="AL154">INDEX($B$144:$G151, INT((COLUMN(AK57)-1)/6)+1, MOD(COLUMN(AK57)-1,6)+1)</f>
        <v>1</v>
      </c>
      <c r="AM154" s="12" cm="1">
        <f t="array" ref="AM154">INDEX($B$144:$G151, INT((COLUMN(AL57)-1)/6)+1, MOD(COLUMN(AL57)-1,6)+1)</f>
        <v>1</v>
      </c>
      <c r="AN154" s="12" cm="1">
        <f t="array" ref="AN154">INDEX($B$144:$G151, INT((COLUMN(AM57)-1)/6)+1, MOD(COLUMN(AM57)-1,6)+1)</f>
        <v>0</v>
      </c>
      <c r="AO154" s="12" cm="1">
        <f t="array" ref="AO154">INDEX($B$144:$G151, INT((COLUMN(AN57)-1)/6)+1, MOD(COLUMN(AN57)-1,6)+1)</f>
        <v>0</v>
      </c>
      <c r="AP154" s="12" cm="1">
        <f t="array" ref="AP154">INDEX($B$144:$G151, INT((COLUMN(AO57)-1)/6)+1, MOD(COLUMN(AO57)-1,6)+1)</f>
        <v>1</v>
      </c>
      <c r="AQ154" s="12" cm="1">
        <f t="array" ref="AQ154">INDEX($B$144:$G151, INT((COLUMN(AP57)-1)/6)+1, MOD(COLUMN(AP57)-1,6)+1)</f>
        <v>1</v>
      </c>
      <c r="AR154" s="12" cm="1">
        <f t="array" ref="AR154">INDEX($B$144:$G151, INT((COLUMN(AQ57)-1)/6)+1, MOD(COLUMN(AQ57)-1,6)+1)</f>
        <v>0</v>
      </c>
      <c r="AS154" s="12" cm="1">
        <f t="array" ref="AS154">INDEX($B$144:$G151, INT((COLUMN(AR57)-1)/6)+1, MOD(COLUMN(AR57)-1,6)+1)</f>
        <v>1</v>
      </c>
      <c r="AT154" s="12" cm="1">
        <f t="array" ref="AT154">INDEX($B$144:$G151, INT((COLUMN(AS57)-1)/6)+1, MOD(COLUMN(AS57)-1,6)+1)</f>
        <v>0</v>
      </c>
      <c r="AU154" s="12" cm="1">
        <f t="array" ref="AU154">INDEX($B$144:$G151, INT((COLUMN(AT57)-1)/6)+1, MOD(COLUMN(AT57)-1,6)+1)</f>
        <v>0</v>
      </c>
      <c r="AV154" s="12" cm="1">
        <f t="array" ref="AV154">INDEX($B$144:$G151, INT((COLUMN(AU57)-1)/6)+1, MOD(COLUMN(AU57)-1,6)+1)</f>
        <v>1</v>
      </c>
      <c r="AW154" s="12" cm="1">
        <f t="array" ref="AW154">INDEX($B$144:$G151, INT((COLUMN(AV57)-1)/6)+1, MOD(COLUMN(AV57)-1,6)+1)</f>
        <v>0</v>
      </c>
    </row>
    <row r="156" spans="1:49">
      <c r="A156" s="20" t="s">
        <v>37</v>
      </c>
    </row>
    <row r="157" spans="1:49">
      <c r="A157" s="5" t="s">
        <v>38</v>
      </c>
    </row>
    <row r="159" spans="1:49">
      <c r="A159" s="12" t="s">
        <v>3</v>
      </c>
      <c r="B159" s="12">
        <v>1</v>
      </c>
      <c r="C159" s="12">
        <v>2</v>
      </c>
      <c r="D159" s="12">
        <v>3</v>
      </c>
      <c r="E159" s="12">
        <v>4</v>
      </c>
      <c r="F159" s="12">
        <v>5</v>
      </c>
      <c r="G159" s="12">
        <v>6</v>
      </c>
      <c r="H159" s="12">
        <v>7</v>
      </c>
      <c r="I159" s="12">
        <v>8</v>
      </c>
      <c r="J159" s="12">
        <v>9</v>
      </c>
      <c r="K159" s="12">
        <v>10</v>
      </c>
      <c r="L159" s="12">
        <v>11</v>
      </c>
      <c r="M159" s="12">
        <v>12</v>
      </c>
      <c r="N159" s="12">
        <v>13</v>
      </c>
      <c r="O159" s="12">
        <v>14</v>
      </c>
      <c r="P159" s="12">
        <v>15</v>
      </c>
      <c r="Q159" s="12">
        <v>16</v>
      </c>
      <c r="R159" s="12">
        <v>17</v>
      </c>
      <c r="S159" s="12">
        <v>18</v>
      </c>
      <c r="T159" s="12">
        <v>19</v>
      </c>
      <c r="U159" s="12">
        <v>20</v>
      </c>
      <c r="V159" s="12">
        <v>21</v>
      </c>
      <c r="W159" s="12">
        <v>22</v>
      </c>
      <c r="X159" s="12">
        <v>23</v>
      </c>
      <c r="Y159" s="12">
        <v>24</v>
      </c>
      <c r="Z159" s="12">
        <v>25</v>
      </c>
      <c r="AA159" s="12">
        <v>26</v>
      </c>
      <c r="AB159" s="12">
        <v>27</v>
      </c>
      <c r="AC159" s="12">
        <v>28</v>
      </c>
    </row>
    <row r="160" spans="1:49">
      <c r="A160" s="12" t="s">
        <v>38</v>
      </c>
      <c r="B160" s="12">
        <v>0</v>
      </c>
      <c r="C160" s="12">
        <v>0</v>
      </c>
      <c r="D160" s="12">
        <v>1</v>
      </c>
      <c r="E160" s="12">
        <v>1</v>
      </c>
      <c r="F160" s="12">
        <v>0</v>
      </c>
      <c r="G160" s="12">
        <v>0</v>
      </c>
      <c r="H160" s="12">
        <v>1</v>
      </c>
      <c r="I160" s="12">
        <v>1</v>
      </c>
      <c r="J160" s="12">
        <v>0</v>
      </c>
      <c r="K160" s="12">
        <v>0</v>
      </c>
      <c r="L160" s="12">
        <v>1</v>
      </c>
      <c r="M160" s="12">
        <v>0</v>
      </c>
      <c r="N160" s="12">
        <v>1</v>
      </c>
      <c r="O160" s="12">
        <v>0</v>
      </c>
      <c r="P160" s="12">
        <v>1</v>
      </c>
      <c r="Q160" s="12">
        <v>0</v>
      </c>
      <c r="R160" s="12">
        <v>1</v>
      </c>
      <c r="S160" s="12">
        <v>0</v>
      </c>
      <c r="T160" s="12">
        <v>1</v>
      </c>
      <c r="U160" s="12">
        <v>0</v>
      </c>
      <c r="V160" s="12">
        <v>1</v>
      </c>
      <c r="W160" s="12">
        <v>1</v>
      </c>
      <c r="X160" s="16">
        <v>1</v>
      </c>
      <c r="Y160" s="16">
        <v>1</v>
      </c>
      <c r="Z160" s="16">
        <v>1</v>
      </c>
      <c r="AA160" s="16">
        <v>1</v>
      </c>
      <c r="AB160" s="16">
        <v>0</v>
      </c>
      <c r="AC160" s="16">
        <v>0</v>
      </c>
    </row>
    <row r="162" spans="1:57">
      <c r="A162" s="5" t="s">
        <v>39</v>
      </c>
    </row>
    <row r="164" spans="1:57">
      <c r="A164" s="12" t="s">
        <v>3</v>
      </c>
      <c r="B164" s="12">
        <v>1</v>
      </c>
      <c r="C164" s="12">
        <v>2</v>
      </c>
      <c r="D164" s="12">
        <v>3</v>
      </c>
      <c r="E164" s="12">
        <v>4</v>
      </c>
      <c r="F164" s="12">
        <v>5</v>
      </c>
      <c r="G164" s="12">
        <v>6</v>
      </c>
      <c r="H164" s="12">
        <v>7</v>
      </c>
      <c r="I164" s="12">
        <v>8</v>
      </c>
      <c r="J164" s="12">
        <v>9</v>
      </c>
      <c r="K164" s="12">
        <v>10</v>
      </c>
      <c r="L164" s="12">
        <v>11</v>
      </c>
      <c r="M164" s="12">
        <v>12</v>
      </c>
      <c r="N164" s="12">
        <v>13</v>
      </c>
      <c r="O164" s="12">
        <v>14</v>
      </c>
      <c r="P164" s="12">
        <v>15</v>
      </c>
      <c r="Q164" s="12">
        <v>16</v>
      </c>
      <c r="R164" s="12">
        <v>17</v>
      </c>
      <c r="S164" s="12">
        <v>18</v>
      </c>
      <c r="T164" s="12">
        <v>19</v>
      </c>
      <c r="U164" s="12">
        <v>20</v>
      </c>
      <c r="V164" s="12">
        <v>21</v>
      </c>
      <c r="W164" s="12">
        <v>22</v>
      </c>
      <c r="X164" s="12">
        <v>23</v>
      </c>
      <c r="Y164" s="12">
        <v>24</v>
      </c>
      <c r="Z164" s="12">
        <v>25</v>
      </c>
      <c r="AA164" s="12">
        <v>26</v>
      </c>
      <c r="AB164" s="12">
        <v>27</v>
      </c>
      <c r="AC164" s="12">
        <v>28</v>
      </c>
    </row>
    <row r="165" spans="1:57">
      <c r="A165" s="12" t="s">
        <v>39</v>
      </c>
      <c r="B165" s="12">
        <v>1</v>
      </c>
      <c r="C165" s="12">
        <v>0</v>
      </c>
      <c r="D165" s="12">
        <v>1</v>
      </c>
      <c r="E165" s="12">
        <v>1</v>
      </c>
      <c r="F165" s="12">
        <v>0</v>
      </c>
      <c r="G165" s="12">
        <v>0</v>
      </c>
      <c r="H165" s="12">
        <v>1</v>
      </c>
      <c r="I165" s="12">
        <v>1</v>
      </c>
      <c r="J165" s="12">
        <v>0</v>
      </c>
      <c r="K165" s="12">
        <v>0</v>
      </c>
      <c r="L165" s="12">
        <v>1</v>
      </c>
      <c r="M165" s="12">
        <v>1</v>
      </c>
      <c r="N165" s="12">
        <v>1</v>
      </c>
      <c r="O165" s="12">
        <v>1</v>
      </c>
      <c r="P165" s="12">
        <v>0</v>
      </c>
      <c r="Q165" s="12">
        <v>0</v>
      </c>
      <c r="R165" s="12">
        <v>0</v>
      </c>
      <c r="S165" s="12">
        <v>0</v>
      </c>
      <c r="T165" s="12">
        <v>1</v>
      </c>
      <c r="U165" s="12">
        <v>0</v>
      </c>
      <c r="V165" s="12">
        <v>1</v>
      </c>
      <c r="W165" s="12">
        <v>0</v>
      </c>
      <c r="X165" s="12">
        <v>1</v>
      </c>
      <c r="Y165" s="12">
        <v>0</v>
      </c>
      <c r="Z165" s="12">
        <v>1</v>
      </c>
      <c r="AA165" s="12">
        <v>0</v>
      </c>
      <c r="AB165" s="12">
        <v>1</v>
      </c>
      <c r="AC165" s="12">
        <v>0</v>
      </c>
    </row>
    <row r="167" spans="1:57">
      <c r="A167" s="6" t="s">
        <v>42</v>
      </c>
    </row>
    <row r="169" spans="1:57">
      <c r="A169" s="12" t="s">
        <v>3</v>
      </c>
      <c r="B169" s="12">
        <v>1</v>
      </c>
      <c r="C169" s="12">
        <v>2</v>
      </c>
      <c r="D169" s="12">
        <v>3</v>
      </c>
      <c r="E169" s="12">
        <v>4</v>
      </c>
      <c r="F169" s="12">
        <v>5</v>
      </c>
      <c r="G169" s="12">
        <v>6</v>
      </c>
      <c r="H169" s="12">
        <v>7</v>
      </c>
      <c r="I169" s="12">
        <v>8</v>
      </c>
      <c r="J169" s="12">
        <v>9</v>
      </c>
      <c r="K169" s="12">
        <v>10</v>
      </c>
      <c r="L169" s="12">
        <v>11</v>
      </c>
      <c r="M169" s="12">
        <v>12</v>
      </c>
      <c r="N169" s="12">
        <v>13</v>
      </c>
      <c r="O169" s="12">
        <v>14</v>
      </c>
      <c r="P169" s="12">
        <v>15</v>
      </c>
      <c r="Q169" s="12">
        <v>16</v>
      </c>
      <c r="R169" s="12">
        <v>17</v>
      </c>
      <c r="S169" s="12">
        <v>18</v>
      </c>
      <c r="T169" s="12">
        <v>19</v>
      </c>
      <c r="U169" s="12">
        <v>20</v>
      </c>
      <c r="V169" s="12">
        <v>21</v>
      </c>
      <c r="W169" s="12">
        <v>22</v>
      </c>
      <c r="X169" s="12">
        <v>23</v>
      </c>
      <c r="Y169" s="12">
        <v>24</v>
      </c>
      <c r="Z169" s="12">
        <v>25</v>
      </c>
      <c r="AA169" s="12">
        <v>26</v>
      </c>
      <c r="AB169" s="12">
        <v>27</v>
      </c>
      <c r="AC169" s="12">
        <v>28</v>
      </c>
      <c r="AD169" s="12">
        <v>29</v>
      </c>
      <c r="AE169" s="12">
        <v>30</v>
      </c>
      <c r="AF169" s="12">
        <v>31</v>
      </c>
      <c r="AG169" s="12">
        <v>32</v>
      </c>
      <c r="AH169" s="12">
        <v>33</v>
      </c>
      <c r="AI169" s="12">
        <v>34</v>
      </c>
      <c r="AJ169" s="12">
        <v>35</v>
      </c>
      <c r="AK169" s="12">
        <v>36</v>
      </c>
      <c r="AL169" s="12">
        <v>37</v>
      </c>
      <c r="AM169" s="12">
        <v>38</v>
      </c>
      <c r="AN169" s="12">
        <v>39</v>
      </c>
      <c r="AO169" s="12">
        <v>40</v>
      </c>
      <c r="AP169" s="12">
        <v>41</v>
      </c>
      <c r="AQ169" s="12">
        <v>42</v>
      </c>
      <c r="AR169" s="12">
        <v>43</v>
      </c>
      <c r="AS169" s="12">
        <v>44</v>
      </c>
      <c r="AT169" s="12">
        <v>45</v>
      </c>
      <c r="AU169" s="12">
        <v>46</v>
      </c>
      <c r="AV169" s="12">
        <v>47</v>
      </c>
      <c r="AW169" s="12">
        <v>48</v>
      </c>
      <c r="AX169" s="12">
        <v>49</v>
      </c>
      <c r="AY169" s="12">
        <v>50</v>
      </c>
      <c r="AZ169" s="12">
        <v>51</v>
      </c>
      <c r="BA169" s="12">
        <v>52</v>
      </c>
      <c r="BB169" s="12">
        <v>53</v>
      </c>
      <c r="BC169" s="12">
        <v>54</v>
      </c>
      <c r="BD169" s="12">
        <v>55</v>
      </c>
      <c r="BE169" s="12">
        <v>56</v>
      </c>
    </row>
    <row r="170" spans="1:57">
      <c r="A170" s="12" t="s">
        <v>43</v>
      </c>
      <c r="B170" s="12">
        <v>0</v>
      </c>
      <c r="C170" s="12">
        <v>0</v>
      </c>
      <c r="D170" s="12">
        <v>1</v>
      </c>
      <c r="E170" s="12">
        <v>1</v>
      </c>
      <c r="F170" s="12">
        <v>0</v>
      </c>
      <c r="G170" s="12">
        <v>0</v>
      </c>
      <c r="H170" s="12">
        <v>1</v>
      </c>
      <c r="I170" s="12">
        <v>1</v>
      </c>
      <c r="J170" s="12">
        <v>0</v>
      </c>
      <c r="K170" s="12">
        <v>0</v>
      </c>
      <c r="L170" s="12">
        <v>1</v>
      </c>
      <c r="M170" s="12">
        <v>0</v>
      </c>
      <c r="N170" s="12">
        <v>1</v>
      </c>
      <c r="O170" s="12">
        <v>0</v>
      </c>
      <c r="P170" s="12">
        <v>1</v>
      </c>
      <c r="Q170" s="12">
        <v>0</v>
      </c>
      <c r="R170" s="12">
        <v>1</v>
      </c>
      <c r="S170" s="12">
        <v>0</v>
      </c>
      <c r="T170" s="12">
        <v>1</v>
      </c>
      <c r="U170" s="12">
        <v>0</v>
      </c>
      <c r="V170" s="12">
        <v>1</v>
      </c>
      <c r="W170" s="12">
        <v>1</v>
      </c>
      <c r="X170" s="16">
        <v>1</v>
      </c>
      <c r="Y170" s="16">
        <v>1</v>
      </c>
      <c r="Z170" s="16">
        <v>1</v>
      </c>
      <c r="AA170" s="16">
        <v>1</v>
      </c>
      <c r="AB170" s="16">
        <v>0</v>
      </c>
      <c r="AC170" s="16">
        <v>0</v>
      </c>
      <c r="AD170" s="12">
        <v>1</v>
      </c>
      <c r="AE170" s="12">
        <v>0</v>
      </c>
      <c r="AF170" s="12">
        <v>1</v>
      </c>
      <c r="AG170" s="12">
        <v>1</v>
      </c>
      <c r="AH170" s="12">
        <v>0</v>
      </c>
      <c r="AI170" s="12">
        <v>0</v>
      </c>
      <c r="AJ170" s="12">
        <v>1</v>
      </c>
      <c r="AK170" s="12">
        <v>1</v>
      </c>
      <c r="AL170" s="12">
        <v>0</v>
      </c>
      <c r="AM170" s="12">
        <v>0</v>
      </c>
      <c r="AN170" s="12">
        <v>1</v>
      </c>
      <c r="AO170" s="12">
        <v>1</v>
      </c>
      <c r="AP170" s="12">
        <v>1</v>
      </c>
      <c r="AQ170" s="12">
        <v>1</v>
      </c>
      <c r="AR170" s="12">
        <v>0</v>
      </c>
      <c r="AS170" s="12">
        <v>0</v>
      </c>
      <c r="AT170" s="12">
        <v>0</v>
      </c>
      <c r="AU170" s="12">
        <v>0</v>
      </c>
      <c r="AV170" s="12">
        <v>1</v>
      </c>
      <c r="AW170" s="12">
        <v>0</v>
      </c>
      <c r="AX170" s="12">
        <v>1</v>
      </c>
      <c r="AY170" s="12">
        <v>0</v>
      </c>
      <c r="AZ170" s="12">
        <v>1</v>
      </c>
      <c r="BA170" s="12">
        <v>0</v>
      </c>
      <c r="BB170" s="12">
        <v>1</v>
      </c>
      <c r="BC170" s="12">
        <v>0</v>
      </c>
      <c r="BD170" s="12">
        <v>1</v>
      </c>
      <c r="BE170" s="12">
        <v>0</v>
      </c>
    </row>
    <row r="172" spans="1:57">
      <c r="A172" s="5" t="s">
        <v>44</v>
      </c>
      <c r="B172" s="12" cm="1">
        <f t="array" ref="B172">INDEX($B$170:$BE$170, K25)</f>
        <v>0</v>
      </c>
      <c r="C172" s="12" cm="1">
        <f t="array" ref="C172">INDEX($B$170:$BE$170, L25)</f>
        <v>1</v>
      </c>
      <c r="D172" s="12" cm="1">
        <f t="array" ref="D172">INDEX($B$170:$BE$170, M25)</f>
        <v>1</v>
      </c>
      <c r="E172" s="12" cm="1">
        <f t="array" ref="E172">INDEX($B$170:$BE$170, N25)</f>
        <v>1</v>
      </c>
      <c r="F172" s="12" cm="1">
        <f t="array" ref="F172">INDEX($B$170:$BE$170, O25)</f>
        <v>0</v>
      </c>
      <c r="G172" s="12" cm="1">
        <f t="array" ref="G172">INDEX($B$170:$BE$170, P25)</f>
        <v>0</v>
      </c>
    </row>
    <row r="173" spans="1:57">
      <c r="B173" s="12" cm="1">
        <f t="array" ref="B173">INDEX($B$170:$BE$170, K26)</f>
        <v>1</v>
      </c>
      <c r="C173" s="12" cm="1">
        <f t="array" ref="C173">INDEX($B$170:$BE$170, L26)</f>
        <v>0</v>
      </c>
      <c r="D173" s="12" cm="1">
        <f t="array" ref="D173">INDEX($B$170:$BE$170, M26)</f>
        <v>1</v>
      </c>
      <c r="E173" s="12" cm="1">
        <f t="array" ref="E173">INDEX($B$170:$BE$170, N26)</f>
        <v>0</v>
      </c>
      <c r="F173" s="12" cm="1">
        <f t="array" ref="F173">INDEX($B$170:$BE$170, O26)</f>
        <v>1</v>
      </c>
      <c r="G173" s="12" cm="1">
        <f t="array" ref="G173">INDEX($B$170:$BE$170, P26)</f>
        <v>0</v>
      </c>
    </row>
    <row r="174" spans="1:57">
      <c r="B174" s="12" cm="1">
        <f t="array" ref="B174">INDEX($B$170:$BE$170, K27)</f>
        <v>1</v>
      </c>
      <c r="C174" s="12" cm="1">
        <f t="array" ref="C174">INDEX($B$170:$BE$170, L27)</f>
        <v>1</v>
      </c>
      <c r="D174" s="12" cm="1">
        <f t="array" ref="D174">INDEX($B$170:$BE$170, M27)</f>
        <v>0</v>
      </c>
      <c r="E174" s="12" cm="1">
        <f t="array" ref="E174">INDEX($B$170:$BE$170, N27)</f>
        <v>1</v>
      </c>
      <c r="F174" s="12" cm="1">
        <f t="array" ref="F174">INDEX($B$170:$BE$170, O27)</f>
        <v>1</v>
      </c>
      <c r="G174" s="12" cm="1">
        <f t="array" ref="G174">INDEX($B$170:$BE$170, P27)</f>
        <v>1</v>
      </c>
    </row>
    <row r="175" spans="1:57">
      <c r="B175" s="12" cm="1">
        <f t="array" ref="B175">INDEX($B$170:$BE$170, K28)</f>
        <v>0</v>
      </c>
      <c r="C175" s="12" cm="1">
        <f t="array" ref="C175">INDEX($B$170:$BE$170, L28)</f>
        <v>1</v>
      </c>
      <c r="D175" s="12" cm="1">
        <f t="array" ref="D175">INDEX($B$170:$BE$170, M28)</f>
        <v>0</v>
      </c>
      <c r="E175" s="12" cm="1">
        <f t="array" ref="E175">INDEX($B$170:$BE$170, N28)</f>
        <v>0</v>
      </c>
      <c r="F175" s="12" cm="1">
        <f t="array" ref="F175">INDEX($B$170:$BE$170, O28)</f>
        <v>1</v>
      </c>
      <c r="G175" s="12" cm="1">
        <f t="array" ref="G175">INDEX($B$170:$BE$170, P28)</f>
        <v>0</v>
      </c>
    </row>
    <row r="176" spans="1:57">
      <c r="B176" s="12" cm="1">
        <f t="array" ref="B176">INDEX($B$170:$BE$170, K29)</f>
        <v>1</v>
      </c>
      <c r="C176" s="12" cm="1">
        <f t="array" ref="C176">INDEX($B$170:$BE$170, L29)</f>
        <v>0</v>
      </c>
      <c r="D176" s="12" cm="1">
        <f t="array" ref="D176">INDEX($B$170:$BE$170, M29)</f>
        <v>1</v>
      </c>
      <c r="E176" s="12" cm="1">
        <f t="array" ref="E176">INDEX($B$170:$BE$170, N29)</f>
        <v>0</v>
      </c>
      <c r="F176" s="12" cm="1">
        <f t="array" ref="F176">INDEX($B$170:$BE$170, O29)</f>
        <v>1</v>
      </c>
      <c r="G176" s="12" cm="1">
        <f t="array" ref="G176">INDEX($B$170:$BE$170, P29)</f>
        <v>1</v>
      </c>
    </row>
    <row r="177" spans="1:49">
      <c r="B177" s="12" cm="1">
        <f t="array" ref="B177">INDEX($B$170:$BE$170, K30)</f>
        <v>0</v>
      </c>
      <c r="C177" s="12" cm="1">
        <f t="array" ref="C177">INDEX($B$170:$BE$170, L30)</f>
        <v>1</v>
      </c>
      <c r="D177" s="12" cm="1">
        <f t="array" ref="D177">INDEX($B$170:$BE$170, M30)</f>
        <v>1</v>
      </c>
      <c r="E177" s="12" cm="1">
        <f t="array" ref="E177">INDEX($B$170:$BE$170, N30)</f>
        <v>0</v>
      </c>
      <c r="F177" s="12" cm="1">
        <f t="array" ref="F177">INDEX($B$170:$BE$170, O30)</f>
        <v>0</v>
      </c>
      <c r="G177" s="12" cm="1">
        <f t="array" ref="G177">INDEX($B$170:$BE$170, P30)</f>
        <v>0</v>
      </c>
    </row>
    <row r="178" spans="1:49">
      <c r="B178" s="12" cm="1">
        <f t="array" ref="B178">INDEX($B$170:$BE$170, K31)</f>
        <v>0</v>
      </c>
      <c r="C178" s="12" cm="1">
        <f t="array" ref="C178">INDEX($B$170:$BE$170, L31)</f>
        <v>1</v>
      </c>
      <c r="D178" s="12" cm="1">
        <f t="array" ref="D178">INDEX($B$170:$BE$170, M31)</f>
        <v>1</v>
      </c>
      <c r="E178" s="12" cm="1">
        <f t="array" ref="E178">INDEX($B$170:$BE$170, N31)</f>
        <v>0</v>
      </c>
      <c r="F178" s="12" cm="1">
        <f t="array" ref="F178">INDEX($B$170:$BE$170, O31)</f>
        <v>0</v>
      </c>
      <c r="G178" s="12" cm="1">
        <f t="array" ref="G178">INDEX($B$170:$BE$170, P31)</f>
        <v>1</v>
      </c>
    </row>
    <row r="179" spans="1:49">
      <c r="B179" s="12" cm="1">
        <f t="array" ref="B179">INDEX($B$170:$BE$170, K32)</f>
        <v>0</v>
      </c>
      <c r="C179" s="12" cm="1">
        <f t="array" ref="C179">INDEX($B$170:$BE$170, L32)</f>
        <v>1</v>
      </c>
      <c r="D179" s="12" cm="1">
        <f t="array" ref="D179">INDEX($B$170:$BE$170, M32)</f>
        <v>0</v>
      </c>
      <c r="E179" s="12" cm="1">
        <f t="array" ref="E179">INDEX($B$170:$BE$170, N32)</f>
        <v>1</v>
      </c>
      <c r="F179" s="12" cm="1">
        <f t="array" ref="F179">INDEX($B$170:$BE$170, O32)</f>
        <v>1</v>
      </c>
      <c r="G179" s="12" cm="1">
        <f t="array" ref="G179">INDEX($B$170:$BE$170, P32)</f>
        <v>1</v>
      </c>
    </row>
    <row r="181" spans="1:49">
      <c r="A181" s="12" t="s">
        <v>3</v>
      </c>
      <c r="B181" s="12">
        <v>1</v>
      </c>
      <c r="C181" s="12">
        <v>2</v>
      </c>
      <c r="D181" s="12">
        <v>3</v>
      </c>
      <c r="E181" s="12">
        <v>4</v>
      </c>
      <c r="F181" s="12">
        <v>5</v>
      </c>
      <c r="G181" s="12">
        <v>6</v>
      </c>
      <c r="H181" s="12">
        <v>7</v>
      </c>
      <c r="I181" s="12">
        <v>8</v>
      </c>
      <c r="J181" s="12">
        <v>9</v>
      </c>
      <c r="K181" s="12">
        <v>10</v>
      </c>
      <c r="L181" s="12">
        <v>11</v>
      </c>
      <c r="M181" s="12">
        <v>12</v>
      </c>
      <c r="N181" s="12">
        <v>13</v>
      </c>
      <c r="O181" s="12">
        <v>14</v>
      </c>
      <c r="P181" s="12">
        <v>15</v>
      </c>
      <c r="Q181" s="12">
        <v>16</v>
      </c>
      <c r="R181" s="12">
        <v>17</v>
      </c>
      <c r="S181" s="12">
        <v>18</v>
      </c>
      <c r="T181" s="12">
        <v>19</v>
      </c>
      <c r="U181" s="12">
        <v>20</v>
      </c>
      <c r="V181" s="12">
        <v>21</v>
      </c>
      <c r="W181" s="12">
        <v>22</v>
      </c>
      <c r="X181" s="12">
        <v>23</v>
      </c>
      <c r="Y181" s="12">
        <v>24</v>
      </c>
      <c r="Z181" s="12">
        <v>25</v>
      </c>
      <c r="AA181" s="12">
        <v>26</v>
      </c>
      <c r="AB181" s="12">
        <v>27</v>
      </c>
      <c r="AC181" s="12">
        <v>28</v>
      </c>
      <c r="AD181" s="12">
        <v>29</v>
      </c>
      <c r="AE181" s="12">
        <v>30</v>
      </c>
      <c r="AF181" s="12">
        <v>31</v>
      </c>
      <c r="AG181" s="12">
        <v>32</v>
      </c>
      <c r="AH181" s="12">
        <v>33</v>
      </c>
      <c r="AI181" s="12">
        <v>34</v>
      </c>
      <c r="AJ181" s="12">
        <v>35</v>
      </c>
      <c r="AK181" s="12">
        <v>36</v>
      </c>
      <c r="AL181" s="12">
        <v>37</v>
      </c>
      <c r="AM181" s="12">
        <v>38</v>
      </c>
      <c r="AN181" s="12">
        <v>39</v>
      </c>
      <c r="AO181" s="12">
        <v>40</v>
      </c>
      <c r="AP181" s="12">
        <v>41</v>
      </c>
      <c r="AQ181" s="12">
        <v>42</v>
      </c>
      <c r="AR181" s="12">
        <v>43</v>
      </c>
      <c r="AS181" s="12">
        <v>44</v>
      </c>
      <c r="AT181" s="12">
        <v>45</v>
      </c>
      <c r="AU181" s="12">
        <v>46</v>
      </c>
      <c r="AV181" s="12">
        <v>47</v>
      </c>
      <c r="AW181" s="12">
        <v>48</v>
      </c>
    </row>
    <row r="182" spans="1:49">
      <c r="A182" s="12" t="s">
        <v>45</v>
      </c>
      <c r="B182" s="12" cm="1">
        <f t="array" ref="B182">INDEX($B$172:$G$179, INT((COLUMN(A1)-1)/6)+1, MOD(COLUMN(A1)-1,6)+1)</f>
        <v>0</v>
      </c>
      <c r="C182" s="12" cm="1">
        <f t="array" ref="C182">INDEX($B$172:$G$179, INT((COLUMN(B1)-1)/6)+1, MOD(COLUMN(B1)-1,6)+1)</f>
        <v>1</v>
      </c>
      <c r="D182" s="12" cm="1">
        <f t="array" ref="D182">INDEX($B$172:$G$179, INT((COLUMN(C1)-1)/6)+1, MOD(COLUMN(C1)-1,6)+1)</f>
        <v>1</v>
      </c>
      <c r="E182" s="12" cm="1">
        <f t="array" ref="E182">INDEX($B$172:$G$179, INT((COLUMN(D1)-1)/6)+1, MOD(COLUMN(D1)-1,6)+1)</f>
        <v>1</v>
      </c>
      <c r="F182" s="12" cm="1">
        <f t="array" ref="F182">INDEX($B$172:$G$179, INT((COLUMN(E1)-1)/6)+1, MOD(COLUMN(E1)-1,6)+1)</f>
        <v>0</v>
      </c>
      <c r="G182" s="12" cm="1">
        <f t="array" ref="G182">INDEX($B$172:$G$179, INT((COLUMN(F1)-1)/6)+1, MOD(COLUMN(F1)-1,6)+1)</f>
        <v>0</v>
      </c>
      <c r="H182" s="12" cm="1">
        <f t="array" ref="H182">INDEX($B$172:$G$179, INT((COLUMN(G1)-1)/6)+1, MOD(COLUMN(G1)-1,6)+1)</f>
        <v>1</v>
      </c>
      <c r="I182" s="12" cm="1">
        <f t="array" ref="I182">INDEX($B$172:$G$179, INT((COLUMN(H1)-1)/6)+1, MOD(COLUMN(H1)-1,6)+1)</f>
        <v>0</v>
      </c>
      <c r="J182" s="12" cm="1">
        <f t="array" ref="J182">INDEX($B$172:$G$179, INT((COLUMN(I1)-1)/6)+1, MOD(COLUMN(I1)-1,6)+1)</f>
        <v>1</v>
      </c>
      <c r="K182" s="12" cm="1">
        <f t="array" ref="K182">INDEX($B$172:$G$179, INT((COLUMN(J1)-1)/6)+1, MOD(COLUMN(J1)-1,6)+1)</f>
        <v>0</v>
      </c>
      <c r="L182" s="12" cm="1">
        <f t="array" ref="L182">INDEX($B$172:$G$179, INT((COLUMN(K1)-1)/6)+1, MOD(COLUMN(K1)-1,6)+1)</f>
        <v>1</v>
      </c>
      <c r="M182" s="12" cm="1">
        <f t="array" ref="M182">INDEX($B$172:$G$179, INT((COLUMN(L1)-1)/6)+1, MOD(COLUMN(L1)-1,6)+1)</f>
        <v>0</v>
      </c>
      <c r="N182" s="12" cm="1">
        <f t="array" ref="N182">INDEX($B$172:$G$179, INT((COLUMN(M1)-1)/6)+1, MOD(COLUMN(M1)-1,6)+1)</f>
        <v>1</v>
      </c>
      <c r="O182" s="12" cm="1">
        <f t="array" ref="O182">INDEX($B$172:$G$179, INT((COLUMN(N1)-1)/6)+1, MOD(COLUMN(N1)-1,6)+1)</f>
        <v>1</v>
      </c>
      <c r="P182" s="12" cm="1">
        <f t="array" ref="P182">INDEX($B$172:$G$179, INT((COLUMN(O1)-1)/6)+1, MOD(COLUMN(O1)-1,6)+1)</f>
        <v>0</v>
      </c>
      <c r="Q182" s="12" cm="1">
        <f t="array" ref="Q182">INDEX($B$172:$G$179, INT((COLUMN(P1)-1)/6)+1, MOD(COLUMN(P1)-1,6)+1)</f>
        <v>1</v>
      </c>
      <c r="R182" s="12" cm="1">
        <f t="array" ref="R182">INDEX($B$172:$G$179, INT((COLUMN(Q1)-1)/6)+1, MOD(COLUMN(Q1)-1,6)+1)</f>
        <v>1</v>
      </c>
      <c r="S182" s="12" cm="1">
        <f t="array" ref="S182">INDEX($B$172:$G$179, INT((COLUMN(R1)-1)/6)+1, MOD(COLUMN(R1)-1,6)+1)</f>
        <v>1</v>
      </c>
      <c r="T182" s="12" cm="1">
        <f t="array" ref="T182">INDEX($B$172:$G$179, INT((COLUMN(S1)-1)/6)+1, MOD(COLUMN(S1)-1,6)+1)</f>
        <v>0</v>
      </c>
      <c r="U182" s="12" cm="1">
        <f t="array" ref="U182">INDEX($B$172:$G$179, INT((COLUMN(T1)-1)/6)+1, MOD(COLUMN(T1)-1,6)+1)</f>
        <v>1</v>
      </c>
      <c r="V182" s="12" cm="1">
        <f t="array" ref="V182">INDEX($B$172:$G$179, INT((COLUMN(U1)-1)/6)+1, MOD(COLUMN(U1)-1,6)+1)</f>
        <v>0</v>
      </c>
      <c r="W182" s="12" cm="1">
        <f t="array" ref="W182">INDEX($B$172:$G$179, INT((COLUMN(V1)-1)/6)+1, MOD(COLUMN(V1)-1,6)+1)</f>
        <v>0</v>
      </c>
      <c r="X182" s="12" cm="1">
        <f t="array" ref="X182">INDEX($B$172:$G$179, INT((COLUMN(W1)-1)/6)+1, MOD(COLUMN(W1)-1,6)+1)</f>
        <v>1</v>
      </c>
      <c r="Y182" s="12" cm="1">
        <f t="array" ref="Y182">INDEX($B$172:$G$179, INT((COLUMN(X1)-1)/6)+1, MOD(COLUMN(X1)-1,6)+1)</f>
        <v>0</v>
      </c>
      <c r="Z182" s="12" cm="1">
        <f t="array" ref="Z182">INDEX($B$172:$G$179, INT((COLUMN(Y1)-1)/6)+1, MOD(COLUMN(Y1)-1,6)+1)</f>
        <v>1</v>
      </c>
      <c r="AA182" s="12" cm="1">
        <f t="array" ref="AA182">INDEX($B$172:$G$179, INT((COLUMN(Z1)-1)/6)+1, MOD(COLUMN(Z1)-1,6)+1)</f>
        <v>0</v>
      </c>
      <c r="AB182" s="12" cm="1">
        <f t="array" ref="AB182">INDEX($B$172:$G$179, INT((COLUMN(AA1)-1)/6)+1, MOD(COLUMN(AA1)-1,6)+1)</f>
        <v>1</v>
      </c>
      <c r="AC182" s="12" cm="1">
        <f t="array" ref="AC182">INDEX($B$172:$G$179, INT((COLUMN(AB1)-1)/6)+1, MOD(COLUMN(AB1)-1,6)+1)</f>
        <v>0</v>
      </c>
      <c r="AD182" s="12" cm="1">
        <f t="array" ref="AD182">INDEX($B$172:$G$179, INT((COLUMN(AC1)-1)/6)+1, MOD(COLUMN(AC1)-1,6)+1)</f>
        <v>1</v>
      </c>
      <c r="AE182" s="12" cm="1">
        <f t="array" ref="AE182">INDEX($B$172:$G$179, INT((COLUMN(AD1)-1)/6)+1, MOD(COLUMN(AD1)-1,6)+1)</f>
        <v>1</v>
      </c>
      <c r="AF182" s="12" cm="1">
        <f t="array" ref="AF182">INDEX($B$172:$G$179, INT((COLUMN(AE1)-1)/6)+1, MOD(COLUMN(AE1)-1,6)+1)</f>
        <v>0</v>
      </c>
      <c r="AG182" s="12" cm="1">
        <f t="array" ref="AG182">INDEX($B$172:$G$179, INT((COLUMN(AF1)-1)/6)+1, MOD(COLUMN(AF1)-1,6)+1)</f>
        <v>1</v>
      </c>
      <c r="AH182" s="12" cm="1">
        <f t="array" ref="AH182">INDEX($B$172:$G$179, INT((COLUMN(AG1)-1)/6)+1, MOD(COLUMN(AG1)-1,6)+1)</f>
        <v>1</v>
      </c>
      <c r="AI182" s="12" cm="1">
        <f t="array" ref="AI182">INDEX($B$172:$G$179, INT((COLUMN(AH1)-1)/6)+1, MOD(COLUMN(AH1)-1,6)+1)</f>
        <v>0</v>
      </c>
      <c r="AJ182" s="12" cm="1">
        <f t="array" ref="AJ182">INDEX($B$172:$G$179, INT((COLUMN(AI1)-1)/6)+1, MOD(COLUMN(AI1)-1,6)+1)</f>
        <v>0</v>
      </c>
      <c r="AK182" s="12" cm="1">
        <f t="array" ref="AK182">INDEX($B$172:$G$179, INT((COLUMN(AJ1)-1)/6)+1, MOD(COLUMN(AJ1)-1,6)+1)</f>
        <v>0</v>
      </c>
      <c r="AL182" s="12" cm="1">
        <f t="array" ref="AL182">INDEX($B$172:$G$179, INT((COLUMN(AK1)-1)/6)+1, MOD(COLUMN(AK1)-1,6)+1)</f>
        <v>0</v>
      </c>
      <c r="AM182" s="12" cm="1">
        <f t="array" ref="AM182">INDEX($B$172:$G$179, INT((COLUMN(AL1)-1)/6)+1, MOD(COLUMN(AL1)-1,6)+1)</f>
        <v>1</v>
      </c>
      <c r="AN182" s="12" cm="1">
        <f t="array" ref="AN182">INDEX($B$172:$G$179, INT((COLUMN(AM1)-1)/6)+1, MOD(COLUMN(AM1)-1,6)+1)</f>
        <v>1</v>
      </c>
      <c r="AO182" s="12" cm="1">
        <f t="array" ref="AO182">INDEX($B$172:$G$179, INT((COLUMN(AN1)-1)/6)+1, MOD(COLUMN(AN1)-1,6)+1)</f>
        <v>0</v>
      </c>
      <c r="AP182" s="12" cm="1">
        <f t="array" ref="AP182">INDEX($B$172:$G$179, INT((COLUMN(AO1)-1)/6)+1, MOD(COLUMN(AO1)-1,6)+1)</f>
        <v>0</v>
      </c>
      <c r="AQ182" s="12" cm="1">
        <f t="array" ref="AQ182">INDEX($B$172:$G$179, INT((COLUMN(AP1)-1)/6)+1, MOD(COLUMN(AP1)-1,6)+1)</f>
        <v>1</v>
      </c>
      <c r="AR182" s="12" cm="1">
        <f t="array" ref="AR182">INDEX($B$172:$G$179, INT((COLUMN(AQ1)-1)/6)+1, MOD(COLUMN(AQ1)-1,6)+1)</f>
        <v>0</v>
      </c>
      <c r="AS182" s="12" cm="1">
        <f t="array" ref="AS182">INDEX($B$172:$G$179, INT((COLUMN(AR1)-1)/6)+1, MOD(COLUMN(AR1)-1,6)+1)</f>
        <v>1</v>
      </c>
      <c r="AT182" s="12" cm="1">
        <f t="array" ref="AT182">INDEX($B$172:$G$179, INT((COLUMN(AS1)-1)/6)+1, MOD(COLUMN(AS1)-1,6)+1)</f>
        <v>0</v>
      </c>
      <c r="AU182" s="12" cm="1">
        <f t="array" ref="AU182">INDEX($B$172:$G$179, INT((COLUMN(AT1)-1)/6)+1, MOD(COLUMN(AT1)-1,6)+1)</f>
        <v>1</v>
      </c>
      <c r="AV182" s="12" cm="1">
        <f t="array" ref="AV182">INDEX($B$172:$G$179, INT((COLUMN(AU1)-1)/6)+1, MOD(COLUMN(AU1)-1,6)+1)</f>
        <v>1</v>
      </c>
      <c r="AW182" s="12" cm="1">
        <f t="array" ref="AW182">INDEX($B$172:$G$179, INT((COLUMN(AV1)-1)/6)+1, MOD(COLUMN(AV1)-1,6)+1)</f>
        <v>1</v>
      </c>
    </row>
    <row r="184" spans="1:49">
      <c r="A184" s="20" t="s">
        <v>46</v>
      </c>
    </row>
    <row r="185" spans="1:49">
      <c r="A185" s="5" t="s">
        <v>47</v>
      </c>
    </row>
    <row r="187" spans="1:49">
      <c r="A187" s="12" t="s">
        <v>3</v>
      </c>
      <c r="B187" s="12">
        <v>1</v>
      </c>
      <c r="C187" s="12">
        <v>2</v>
      </c>
      <c r="D187" s="12">
        <v>3</v>
      </c>
      <c r="E187" s="12">
        <v>4</v>
      </c>
      <c r="F187" s="12">
        <v>5</v>
      </c>
      <c r="G187" s="12">
        <v>6</v>
      </c>
      <c r="H187" s="12">
        <v>7</v>
      </c>
      <c r="I187" s="12">
        <v>8</v>
      </c>
      <c r="J187" s="12">
        <v>9</v>
      </c>
      <c r="K187" s="12">
        <v>10</v>
      </c>
      <c r="L187" s="12">
        <v>11</v>
      </c>
      <c r="M187" s="12">
        <v>12</v>
      </c>
      <c r="N187" s="12">
        <v>13</v>
      </c>
      <c r="O187" s="12">
        <v>14</v>
      </c>
      <c r="P187" s="12">
        <v>15</v>
      </c>
      <c r="Q187" s="12">
        <v>16</v>
      </c>
      <c r="R187" s="12">
        <v>17</v>
      </c>
      <c r="S187" s="12">
        <v>18</v>
      </c>
      <c r="T187" s="12">
        <v>19</v>
      </c>
      <c r="U187" s="12">
        <v>20</v>
      </c>
      <c r="V187" s="12">
        <v>21</v>
      </c>
      <c r="W187" s="12">
        <v>22</v>
      </c>
      <c r="X187" s="12">
        <v>23</v>
      </c>
      <c r="Y187" s="12">
        <v>24</v>
      </c>
      <c r="Z187" s="12">
        <v>25</v>
      </c>
      <c r="AA187" s="12">
        <v>26</v>
      </c>
      <c r="AB187" s="12">
        <v>27</v>
      </c>
      <c r="AC187" s="12">
        <v>28</v>
      </c>
    </row>
    <row r="188" spans="1:49">
      <c r="A188" s="12" t="s">
        <v>47</v>
      </c>
      <c r="B188" s="12">
        <v>1</v>
      </c>
      <c r="C188" s="12">
        <v>1</v>
      </c>
      <c r="D188" s="12">
        <v>0</v>
      </c>
      <c r="E188" s="12">
        <v>0</v>
      </c>
      <c r="F188" s="12">
        <v>1</v>
      </c>
      <c r="G188" s="12">
        <v>1</v>
      </c>
      <c r="H188" s="12">
        <v>0</v>
      </c>
      <c r="I188" s="12">
        <v>0</v>
      </c>
      <c r="J188" s="12">
        <v>1</v>
      </c>
      <c r="K188" s="12">
        <v>0</v>
      </c>
      <c r="L188" s="12">
        <v>1</v>
      </c>
      <c r="M188" s="12">
        <v>0</v>
      </c>
      <c r="N188" s="12">
        <v>1</v>
      </c>
      <c r="O188" s="12">
        <v>0</v>
      </c>
      <c r="P188" s="12">
        <v>1</v>
      </c>
      <c r="Q188" s="12">
        <v>0</v>
      </c>
      <c r="R188" s="12">
        <v>1</v>
      </c>
      <c r="S188" s="12">
        <v>0</v>
      </c>
      <c r="T188" s="12">
        <v>1</v>
      </c>
      <c r="U188" s="12">
        <v>1</v>
      </c>
      <c r="V188" s="16">
        <v>1</v>
      </c>
      <c r="W188" s="16">
        <v>1</v>
      </c>
      <c r="X188" s="16">
        <v>1</v>
      </c>
      <c r="Y188" s="16">
        <v>1</v>
      </c>
      <c r="Z188" s="16">
        <v>0</v>
      </c>
      <c r="AA188" s="16">
        <v>0</v>
      </c>
      <c r="AB188" s="16">
        <v>0</v>
      </c>
      <c r="AC188" s="16">
        <v>0</v>
      </c>
    </row>
    <row r="190" spans="1:49">
      <c r="A190" s="5" t="s">
        <v>48</v>
      </c>
    </row>
    <row r="192" spans="1:49">
      <c r="A192" s="12" t="s">
        <v>3</v>
      </c>
      <c r="B192" s="12">
        <v>1</v>
      </c>
      <c r="C192" s="12">
        <v>2</v>
      </c>
      <c r="D192" s="12">
        <v>3</v>
      </c>
      <c r="E192" s="12">
        <v>4</v>
      </c>
      <c r="F192" s="12">
        <v>5</v>
      </c>
      <c r="G192" s="12">
        <v>6</v>
      </c>
      <c r="H192" s="12">
        <v>7</v>
      </c>
      <c r="I192" s="12">
        <v>8</v>
      </c>
      <c r="J192" s="12">
        <v>9</v>
      </c>
      <c r="K192" s="12">
        <v>10</v>
      </c>
      <c r="L192" s="12">
        <v>11</v>
      </c>
      <c r="M192" s="12">
        <v>12</v>
      </c>
      <c r="N192" s="12">
        <v>13</v>
      </c>
      <c r="O192" s="12">
        <v>14</v>
      </c>
      <c r="P192" s="12">
        <v>15</v>
      </c>
      <c r="Q192" s="12">
        <v>16</v>
      </c>
      <c r="R192" s="12">
        <v>17</v>
      </c>
      <c r="S192" s="12">
        <v>18</v>
      </c>
      <c r="T192" s="12">
        <v>19</v>
      </c>
      <c r="U192" s="12">
        <v>20</v>
      </c>
      <c r="V192" s="12">
        <v>21</v>
      </c>
      <c r="W192" s="12">
        <v>22</v>
      </c>
      <c r="X192" s="12">
        <v>23</v>
      </c>
      <c r="Y192" s="12">
        <v>24</v>
      </c>
      <c r="Z192" s="12">
        <v>25</v>
      </c>
      <c r="AA192" s="12">
        <v>26</v>
      </c>
      <c r="AB192" s="12">
        <v>27</v>
      </c>
      <c r="AC192" s="12">
        <v>28</v>
      </c>
    </row>
    <row r="193" spans="1:57">
      <c r="A193" s="12" t="s">
        <v>48</v>
      </c>
      <c r="B193" s="12">
        <v>1</v>
      </c>
      <c r="C193" s="12">
        <v>1</v>
      </c>
      <c r="D193" s="12">
        <v>0</v>
      </c>
      <c r="E193" s="12">
        <v>0</v>
      </c>
      <c r="F193" s="12">
        <v>1</v>
      </c>
      <c r="G193" s="12">
        <v>1</v>
      </c>
      <c r="H193" s="12">
        <v>0</v>
      </c>
      <c r="I193" s="12">
        <v>0</v>
      </c>
      <c r="J193" s="12">
        <v>1</v>
      </c>
      <c r="K193" s="12">
        <v>1</v>
      </c>
      <c r="L193" s="12">
        <v>1</v>
      </c>
      <c r="M193" s="12">
        <v>1</v>
      </c>
      <c r="N193" s="12">
        <v>0</v>
      </c>
      <c r="O193" s="12">
        <v>0</v>
      </c>
      <c r="P193" s="12">
        <v>0</v>
      </c>
      <c r="Q193" s="12">
        <v>0</v>
      </c>
      <c r="R193" s="12">
        <v>1</v>
      </c>
      <c r="S193" s="12">
        <v>0</v>
      </c>
      <c r="T193" s="12">
        <v>1</v>
      </c>
      <c r="U193" s="12">
        <v>0</v>
      </c>
      <c r="V193" s="12">
        <v>1</v>
      </c>
      <c r="W193" s="12">
        <v>0</v>
      </c>
      <c r="X193" s="12">
        <v>1</v>
      </c>
      <c r="Y193" s="12">
        <v>0</v>
      </c>
      <c r="Z193" s="12">
        <v>1</v>
      </c>
      <c r="AA193" s="12">
        <v>0</v>
      </c>
      <c r="AB193" s="12">
        <v>1</v>
      </c>
      <c r="AC193" s="12">
        <v>0</v>
      </c>
    </row>
    <row r="195" spans="1:57">
      <c r="A195" s="6" t="s">
        <v>49</v>
      </c>
    </row>
    <row r="197" spans="1:57">
      <c r="A197" s="12" t="s">
        <v>3</v>
      </c>
      <c r="B197" s="12">
        <v>1</v>
      </c>
      <c r="C197" s="12">
        <v>2</v>
      </c>
      <c r="D197" s="12">
        <v>3</v>
      </c>
      <c r="E197" s="12">
        <v>4</v>
      </c>
      <c r="F197" s="12">
        <v>5</v>
      </c>
      <c r="G197" s="12">
        <v>6</v>
      </c>
      <c r="H197" s="12">
        <v>7</v>
      </c>
      <c r="I197" s="12">
        <v>8</v>
      </c>
      <c r="J197" s="12">
        <v>9</v>
      </c>
      <c r="K197" s="12">
        <v>10</v>
      </c>
      <c r="L197" s="12">
        <v>11</v>
      </c>
      <c r="M197" s="12">
        <v>12</v>
      </c>
      <c r="N197" s="12">
        <v>13</v>
      </c>
      <c r="O197" s="12">
        <v>14</v>
      </c>
      <c r="P197" s="12">
        <v>15</v>
      </c>
      <c r="Q197" s="12">
        <v>16</v>
      </c>
      <c r="R197" s="12">
        <v>17</v>
      </c>
      <c r="S197" s="12">
        <v>18</v>
      </c>
      <c r="T197" s="12">
        <v>19</v>
      </c>
      <c r="U197" s="12">
        <v>20</v>
      </c>
      <c r="V197" s="12">
        <v>21</v>
      </c>
      <c r="W197" s="12">
        <v>22</v>
      </c>
      <c r="X197" s="12">
        <v>23</v>
      </c>
      <c r="Y197" s="12">
        <v>24</v>
      </c>
      <c r="Z197" s="12">
        <v>25</v>
      </c>
      <c r="AA197" s="12">
        <v>26</v>
      </c>
      <c r="AB197" s="12">
        <v>27</v>
      </c>
      <c r="AC197" s="12">
        <v>28</v>
      </c>
      <c r="AD197" s="12">
        <v>29</v>
      </c>
      <c r="AE197" s="12">
        <v>30</v>
      </c>
      <c r="AF197" s="12">
        <v>31</v>
      </c>
      <c r="AG197" s="12">
        <v>32</v>
      </c>
      <c r="AH197" s="12">
        <v>33</v>
      </c>
      <c r="AI197" s="12">
        <v>34</v>
      </c>
      <c r="AJ197" s="12">
        <v>35</v>
      </c>
      <c r="AK197" s="12">
        <v>36</v>
      </c>
      <c r="AL197" s="12">
        <v>37</v>
      </c>
      <c r="AM197" s="12">
        <v>38</v>
      </c>
      <c r="AN197" s="12">
        <v>39</v>
      </c>
      <c r="AO197" s="12">
        <v>40</v>
      </c>
      <c r="AP197" s="12">
        <v>41</v>
      </c>
      <c r="AQ197" s="12">
        <v>42</v>
      </c>
      <c r="AR197" s="12">
        <v>43</v>
      </c>
      <c r="AS197" s="12">
        <v>44</v>
      </c>
      <c r="AT197" s="12">
        <v>45</v>
      </c>
      <c r="AU197" s="12">
        <v>46</v>
      </c>
      <c r="AV197" s="12">
        <v>47</v>
      </c>
      <c r="AW197" s="12">
        <v>48</v>
      </c>
      <c r="AX197" s="12">
        <v>49</v>
      </c>
      <c r="AY197" s="12">
        <v>50</v>
      </c>
      <c r="AZ197" s="12">
        <v>51</v>
      </c>
      <c r="BA197" s="12">
        <v>52</v>
      </c>
      <c r="BB197" s="12">
        <v>53</v>
      </c>
      <c r="BC197" s="12">
        <v>54</v>
      </c>
      <c r="BD197" s="12">
        <v>55</v>
      </c>
      <c r="BE197" s="12">
        <v>56</v>
      </c>
    </row>
    <row r="198" spans="1:57">
      <c r="A198" s="12" t="s">
        <v>50</v>
      </c>
      <c r="B198" s="12">
        <v>1</v>
      </c>
      <c r="C198" s="12">
        <v>1</v>
      </c>
      <c r="D198" s="12">
        <v>0</v>
      </c>
      <c r="E198" s="12">
        <v>0</v>
      </c>
      <c r="F198" s="12">
        <v>1</v>
      </c>
      <c r="G198" s="12">
        <v>1</v>
      </c>
      <c r="H198" s="12">
        <v>0</v>
      </c>
      <c r="I198" s="12">
        <v>0</v>
      </c>
      <c r="J198" s="12">
        <v>1</v>
      </c>
      <c r="K198" s="12">
        <v>0</v>
      </c>
      <c r="L198" s="12">
        <v>1</v>
      </c>
      <c r="M198" s="12">
        <v>0</v>
      </c>
      <c r="N198" s="12">
        <v>1</v>
      </c>
      <c r="O198" s="12">
        <v>0</v>
      </c>
      <c r="P198" s="12">
        <v>1</v>
      </c>
      <c r="Q198" s="12">
        <v>0</v>
      </c>
      <c r="R198" s="12">
        <v>1</v>
      </c>
      <c r="S198" s="12">
        <v>0</v>
      </c>
      <c r="T198" s="12">
        <v>1</v>
      </c>
      <c r="U198" s="12">
        <v>1</v>
      </c>
      <c r="V198" s="16">
        <v>1</v>
      </c>
      <c r="W198" s="16">
        <v>1</v>
      </c>
      <c r="X198" s="16">
        <v>1</v>
      </c>
      <c r="Y198" s="16">
        <v>1</v>
      </c>
      <c r="Z198" s="16">
        <v>0</v>
      </c>
      <c r="AA198" s="16">
        <v>0</v>
      </c>
      <c r="AB198" s="16">
        <v>0</v>
      </c>
      <c r="AC198" s="16">
        <v>0</v>
      </c>
      <c r="AD198" s="12">
        <v>1</v>
      </c>
      <c r="AE198" s="12">
        <v>1</v>
      </c>
      <c r="AF198" s="12">
        <v>0</v>
      </c>
      <c r="AG198" s="12">
        <v>0</v>
      </c>
      <c r="AH198" s="12">
        <v>1</v>
      </c>
      <c r="AI198" s="12">
        <v>1</v>
      </c>
      <c r="AJ198" s="12">
        <v>0</v>
      </c>
      <c r="AK198" s="12">
        <v>0</v>
      </c>
      <c r="AL198" s="12">
        <v>1</v>
      </c>
      <c r="AM198" s="12">
        <v>1</v>
      </c>
      <c r="AN198" s="12">
        <v>1</v>
      </c>
      <c r="AO198" s="12">
        <v>1</v>
      </c>
      <c r="AP198" s="12">
        <v>0</v>
      </c>
      <c r="AQ198" s="12">
        <v>0</v>
      </c>
      <c r="AR198" s="12">
        <v>0</v>
      </c>
      <c r="AS198" s="12">
        <v>0</v>
      </c>
      <c r="AT198" s="12">
        <v>1</v>
      </c>
      <c r="AU198" s="12">
        <v>0</v>
      </c>
      <c r="AV198" s="12">
        <v>1</v>
      </c>
      <c r="AW198" s="12">
        <v>0</v>
      </c>
      <c r="AX198" s="12">
        <v>1</v>
      </c>
      <c r="AY198" s="12">
        <v>0</v>
      </c>
      <c r="AZ198" s="12">
        <v>1</v>
      </c>
      <c r="BA198" s="12">
        <v>0</v>
      </c>
      <c r="BB198" s="12">
        <v>1</v>
      </c>
      <c r="BC198" s="12">
        <v>0</v>
      </c>
      <c r="BD198" s="12">
        <v>1</v>
      </c>
      <c r="BE198" s="12">
        <v>0</v>
      </c>
    </row>
    <row r="200" spans="1:57">
      <c r="A200" s="5" t="s">
        <v>51</v>
      </c>
      <c r="B200" s="12" cm="1">
        <f t="array" ref="B200">INDEX($B$198:$BE$198, K25)</f>
        <v>0</v>
      </c>
      <c r="C200" s="12" cm="1">
        <f t="array" ref="C200">INDEX($B$198:$BE$198, L25)</f>
        <v>1</v>
      </c>
      <c r="D200" s="12" cm="1">
        <f t="array" ref="D200">INDEX($B$198:$BE$198, M25)</f>
        <v>1</v>
      </c>
      <c r="E200" s="12" cm="1">
        <f t="array" ref="E200">INDEX($B$198:$BE$198, N25)</f>
        <v>1</v>
      </c>
      <c r="F200" s="12" cm="1">
        <f t="array" ref="F200">INDEX($B$198:$BE$198, O25)</f>
        <v>1</v>
      </c>
      <c r="G200" s="12" cm="1">
        <f t="array" ref="G200">INDEX($B$198:$BE$198, P25)</f>
        <v>1</v>
      </c>
    </row>
    <row r="201" spans="1:57">
      <c r="B201" s="12" cm="1">
        <f t="array" ref="B201">INDEX($B$198:$BE$198, K26)</f>
        <v>0</v>
      </c>
      <c r="C201" s="12" cm="1">
        <f t="array" ref="C201">INDEX($B$198:$BE$198, L26)</f>
        <v>0</v>
      </c>
      <c r="D201" s="12" cm="1">
        <f t="array" ref="D201">INDEX($B$198:$BE$198, M26)</f>
        <v>1</v>
      </c>
      <c r="E201" s="12" cm="1">
        <f t="array" ref="E201">INDEX($B$198:$BE$198, N26)</f>
        <v>1</v>
      </c>
      <c r="F201" s="12" cm="1">
        <f t="array" ref="F201">INDEX($B$198:$BE$198, O26)</f>
        <v>1</v>
      </c>
      <c r="G201" s="12" cm="1">
        <f t="array" ref="G201">INDEX($B$198:$BE$198, P26)</f>
        <v>0</v>
      </c>
    </row>
    <row r="202" spans="1:57">
      <c r="B202" s="12" cm="1">
        <f t="array" ref="B202">INDEX($B$198:$BE$198, K27)</f>
        <v>1</v>
      </c>
      <c r="C202" s="12" cm="1">
        <f t="array" ref="C202">INDEX($B$198:$BE$198, L27)</f>
        <v>1</v>
      </c>
      <c r="D202" s="12" cm="1">
        <f t="array" ref="D202">INDEX($B$198:$BE$198, M27)</f>
        <v>0</v>
      </c>
      <c r="E202" s="12" cm="1">
        <f t="array" ref="E202">INDEX($B$198:$BE$198, N27)</f>
        <v>0</v>
      </c>
      <c r="F202" s="12" cm="1">
        <f t="array" ref="F202">INDEX($B$198:$BE$198, O27)</f>
        <v>0</v>
      </c>
      <c r="G202" s="12" cm="1">
        <f t="array" ref="G202">INDEX($B$198:$BE$198, P27)</f>
        <v>0</v>
      </c>
    </row>
    <row r="203" spans="1:57">
      <c r="B203" s="12" cm="1">
        <f t="array" ref="B203">INDEX($B$198:$BE$198, K28)</f>
        <v>0</v>
      </c>
      <c r="C203" s="12" cm="1">
        <f t="array" ref="C203">INDEX($B$198:$BE$198, L28)</f>
        <v>0</v>
      </c>
      <c r="D203" s="12" cm="1">
        <f t="array" ref="D203">INDEX($B$198:$BE$198, M28)</f>
        <v>0</v>
      </c>
      <c r="E203" s="12" cm="1">
        <f t="array" ref="E203">INDEX($B$198:$BE$198, N28)</f>
        <v>1</v>
      </c>
      <c r="F203" s="12" cm="1">
        <f t="array" ref="F203">INDEX($B$198:$BE$198, O28)</f>
        <v>1</v>
      </c>
      <c r="G203" s="12" cm="1">
        <f t="array" ref="G203">INDEX($B$198:$BE$198, P28)</f>
        <v>1</v>
      </c>
    </row>
    <row r="204" spans="1:57">
      <c r="B204" s="12" cm="1">
        <f t="array" ref="B204">INDEX($B$198:$BE$198, K29)</f>
        <v>0</v>
      </c>
      <c r="C204" s="12" cm="1">
        <f t="array" ref="C204">INDEX($B$198:$BE$198, L29)</f>
        <v>0</v>
      </c>
      <c r="D204" s="12" cm="1">
        <f t="array" ref="D204">INDEX($B$198:$BE$198, M29)</f>
        <v>0</v>
      </c>
      <c r="E204" s="12" cm="1">
        <f t="array" ref="E204">INDEX($B$198:$BE$198, N29)</f>
        <v>1</v>
      </c>
      <c r="F204" s="12" cm="1">
        <f t="array" ref="F204">INDEX($B$198:$BE$198, O29)</f>
        <v>1</v>
      </c>
      <c r="G204" s="12" cm="1">
        <f t="array" ref="G204">INDEX($B$198:$BE$198, P29)</f>
        <v>1</v>
      </c>
    </row>
    <row r="205" spans="1:57">
      <c r="B205" s="12" cm="1">
        <f t="array" ref="B205">INDEX($B$198:$BE$198, K30)</f>
        <v>1</v>
      </c>
      <c r="C205" s="12" cm="1">
        <f t="array" ref="C205">INDEX($B$198:$BE$198, L30)</f>
        <v>1</v>
      </c>
      <c r="D205" s="12" cm="1">
        <f t="array" ref="D205">INDEX($B$198:$BE$198, M30)</f>
        <v>1</v>
      </c>
      <c r="E205" s="12" cm="1">
        <f t="array" ref="E205">INDEX($B$198:$BE$198, N30)</f>
        <v>1</v>
      </c>
      <c r="F205" s="12" cm="1">
        <f t="array" ref="F205">INDEX($B$198:$BE$198, O30)</f>
        <v>1</v>
      </c>
      <c r="G205" s="12" cm="1">
        <f t="array" ref="G205">INDEX($B$198:$BE$198, P30)</f>
        <v>0</v>
      </c>
    </row>
    <row r="206" spans="1:57">
      <c r="B206" s="12" cm="1">
        <f t="array" ref="B206">INDEX($B$198:$BE$198, K31)</f>
        <v>0</v>
      </c>
      <c r="C206" s="12" cm="1">
        <f t="array" ref="C206">INDEX($B$198:$BE$198, L31)</f>
        <v>1</v>
      </c>
      <c r="D206" s="12" cm="1">
        <f t="array" ref="D206">INDEX($B$198:$BE$198, M31)</f>
        <v>1</v>
      </c>
      <c r="E206" s="12" cm="1">
        <f t="array" ref="E206">INDEX($B$198:$BE$198, N31)</f>
        <v>0</v>
      </c>
      <c r="F206" s="12" cm="1">
        <f t="array" ref="F206">INDEX($B$198:$BE$198, O31)</f>
        <v>1</v>
      </c>
      <c r="G206" s="12" cm="1">
        <f t="array" ref="G206">INDEX($B$198:$BE$198, P31)</f>
        <v>1</v>
      </c>
    </row>
    <row r="207" spans="1:57">
      <c r="B207" s="12" cm="1">
        <f t="array" ref="B207">INDEX($B$198:$BE$198, K32)</f>
        <v>0</v>
      </c>
      <c r="C207" s="12" cm="1">
        <f t="array" ref="C207">INDEX($B$198:$BE$198, L32)</f>
        <v>0</v>
      </c>
      <c r="D207" s="12" cm="1">
        <f t="array" ref="D207">INDEX($B$198:$BE$198, M32)</f>
        <v>0</v>
      </c>
      <c r="E207" s="12" cm="1">
        <f t="array" ref="E207">INDEX($B$198:$BE$198, N32)</f>
        <v>0</v>
      </c>
      <c r="F207" s="12" cm="1">
        <f t="array" ref="F207">INDEX($B$198:$BE$198, O32)</f>
        <v>1</v>
      </c>
      <c r="G207" s="12" cm="1">
        <f t="array" ref="G207">INDEX($B$198:$BE$198, P32)</f>
        <v>0</v>
      </c>
    </row>
    <row r="209" spans="1:49">
      <c r="A209" s="12" t="s">
        <v>3</v>
      </c>
      <c r="B209" s="12">
        <v>1</v>
      </c>
      <c r="C209" s="12">
        <v>2</v>
      </c>
      <c r="D209" s="12">
        <v>3</v>
      </c>
      <c r="E209" s="12">
        <v>4</v>
      </c>
      <c r="F209" s="12">
        <v>5</v>
      </c>
      <c r="G209" s="12">
        <v>6</v>
      </c>
      <c r="H209" s="12">
        <v>7</v>
      </c>
      <c r="I209" s="12">
        <v>8</v>
      </c>
      <c r="J209" s="12">
        <v>9</v>
      </c>
      <c r="K209" s="12">
        <v>10</v>
      </c>
      <c r="L209" s="12">
        <v>11</v>
      </c>
      <c r="M209" s="12">
        <v>12</v>
      </c>
      <c r="N209" s="12">
        <v>13</v>
      </c>
      <c r="O209" s="12">
        <v>14</v>
      </c>
      <c r="P209" s="12">
        <v>15</v>
      </c>
      <c r="Q209" s="12">
        <v>16</v>
      </c>
      <c r="R209" s="12">
        <v>17</v>
      </c>
      <c r="S209" s="12">
        <v>18</v>
      </c>
      <c r="T209" s="12">
        <v>19</v>
      </c>
      <c r="U209" s="12">
        <v>20</v>
      </c>
      <c r="V209" s="12">
        <v>21</v>
      </c>
      <c r="W209" s="12">
        <v>22</v>
      </c>
      <c r="X209" s="12">
        <v>23</v>
      </c>
      <c r="Y209" s="12">
        <v>24</v>
      </c>
      <c r="Z209" s="12">
        <v>25</v>
      </c>
      <c r="AA209" s="12">
        <v>26</v>
      </c>
      <c r="AB209" s="12">
        <v>27</v>
      </c>
      <c r="AC209" s="12">
        <v>28</v>
      </c>
      <c r="AD209" s="12">
        <v>29</v>
      </c>
      <c r="AE209" s="12">
        <v>30</v>
      </c>
      <c r="AF209" s="12">
        <v>31</v>
      </c>
      <c r="AG209" s="12">
        <v>32</v>
      </c>
      <c r="AH209" s="12">
        <v>33</v>
      </c>
      <c r="AI209" s="12">
        <v>34</v>
      </c>
      <c r="AJ209" s="12">
        <v>35</v>
      </c>
      <c r="AK209" s="12">
        <v>36</v>
      </c>
      <c r="AL209" s="12">
        <v>37</v>
      </c>
      <c r="AM209" s="12">
        <v>38</v>
      </c>
      <c r="AN209" s="12">
        <v>39</v>
      </c>
      <c r="AO209" s="12">
        <v>40</v>
      </c>
      <c r="AP209" s="12">
        <v>41</v>
      </c>
      <c r="AQ209" s="12">
        <v>42</v>
      </c>
      <c r="AR209" s="12">
        <v>43</v>
      </c>
      <c r="AS209" s="12">
        <v>44</v>
      </c>
      <c r="AT209" s="12">
        <v>45</v>
      </c>
      <c r="AU209" s="12">
        <v>46</v>
      </c>
      <c r="AV209" s="12">
        <v>47</v>
      </c>
      <c r="AW209" s="12">
        <v>48</v>
      </c>
    </row>
    <row r="210" spans="1:49">
      <c r="A210" s="12" t="s">
        <v>52</v>
      </c>
      <c r="B210" s="12" cm="1">
        <f t="array" ref="B210">INDEX($B$200:$G207, INT((COLUMN(A113)-1)/6)+1, MOD(COLUMN(A113)-1,6)+1)</f>
        <v>0</v>
      </c>
      <c r="C210" s="12" cm="1">
        <f t="array" ref="C210">INDEX($B$200:$G207, INT((COLUMN(B113)-1)/6)+1, MOD(COLUMN(B113)-1,6)+1)</f>
        <v>1</v>
      </c>
      <c r="D210" s="12" cm="1">
        <f t="array" ref="D210">INDEX($B$200:$G207, INT((COLUMN(C113)-1)/6)+1, MOD(COLUMN(C113)-1,6)+1)</f>
        <v>1</v>
      </c>
      <c r="E210" s="12" cm="1">
        <f t="array" ref="E210">INDEX($B$200:$G207, INT((COLUMN(D113)-1)/6)+1, MOD(COLUMN(D113)-1,6)+1)</f>
        <v>1</v>
      </c>
      <c r="F210" s="12" cm="1">
        <f t="array" ref="F210">INDEX($B$200:$G207, INT((COLUMN(E113)-1)/6)+1, MOD(COLUMN(E113)-1,6)+1)</f>
        <v>1</v>
      </c>
      <c r="G210" s="12" cm="1">
        <f t="array" ref="G210">INDEX($B$200:$G207, INT((COLUMN(F113)-1)/6)+1, MOD(COLUMN(F113)-1,6)+1)</f>
        <v>1</v>
      </c>
      <c r="H210" s="12" cm="1">
        <f t="array" ref="H210">INDEX($B$200:$G207, INT((COLUMN(G113)-1)/6)+1, MOD(COLUMN(G113)-1,6)+1)</f>
        <v>0</v>
      </c>
      <c r="I210" s="12" cm="1">
        <f t="array" ref="I210">INDEX($B$200:$G207, INT((COLUMN(H113)-1)/6)+1, MOD(COLUMN(H113)-1,6)+1)</f>
        <v>0</v>
      </c>
      <c r="J210" s="12" cm="1">
        <f t="array" ref="J210">INDEX($B$200:$G207, INT((COLUMN(I113)-1)/6)+1, MOD(COLUMN(I113)-1,6)+1)</f>
        <v>1</v>
      </c>
      <c r="K210" s="12" cm="1">
        <f t="array" ref="K210">INDEX($B$200:$G207, INT((COLUMN(J113)-1)/6)+1, MOD(COLUMN(J113)-1,6)+1)</f>
        <v>1</v>
      </c>
      <c r="L210" s="12" cm="1">
        <f t="array" ref="L210">INDEX($B$200:$G207, INT((COLUMN(K113)-1)/6)+1, MOD(COLUMN(K113)-1,6)+1)</f>
        <v>1</v>
      </c>
      <c r="M210" s="12" cm="1">
        <f t="array" ref="M210">INDEX($B$200:$G207, INT((COLUMN(L113)-1)/6)+1, MOD(COLUMN(L113)-1,6)+1)</f>
        <v>0</v>
      </c>
      <c r="N210" s="12" cm="1">
        <f t="array" ref="N210">INDEX($B$200:$G207, INT((COLUMN(M113)-1)/6)+1, MOD(COLUMN(M113)-1,6)+1)</f>
        <v>1</v>
      </c>
      <c r="O210" s="12" cm="1">
        <f t="array" ref="O210">INDEX($B$200:$G207, INT((COLUMN(N113)-1)/6)+1, MOD(COLUMN(N113)-1,6)+1)</f>
        <v>1</v>
      </c>
      <c r="P210" s="12" cm="1">
        <f t="array" ref="P210">INDEX($B$200:$G207, INT((COLUMN(O113)-1)/6)+1, MOD(COLUMN(O113)-1,6)+1)</f>
        <v>0</v>
      </c>
      <c r="Q210" s="12" cm="1">
        <f t="array" ref="Q210">INDEX($B$200:$G207, INT((COLUMN(P113)-1)/6)+1, MOD(COLUMN(P113)-1,6)+1)</f>
        <v>0</v>
      </c>
      <c r="R210" s="12" cm="1">
        <f t="array" ref="R210">INDEX($B$200:$G207, INT((COLUMN(Q113)-1)/6)+1, MOD(COLUMN(Q113)-1,6)+1)</f>
        <v>0</v>
      </c>
      <c r="S210" s="12" cm="1">
        <f t="array" ref="S210">INDEX($B$200:$G207, INT((COLUMN(R113)-1)/6)+1, MOD(COLUMN(R113)-1,6)+1)</f>
        <v>0</v>
      </c>
      <c r="T210" s="12" cm="1">
        <f t="array" ref="T210">INDEX($B$200:$G207, INT((COLUMN(S113)-1)/6)+1, MOD(COLUMN(S113)-1,6)+1)</f>
        <v>0</v>
      </c>
      <c r="U210" s="12" cm="1">
        <f t="array" ref="U210">INDEX($B$200:$G207, INT((COLUMN(T113)-1)/6)+1, MOD(COLUMN(T113)-1,6)+1)</f>
        <v>0</v>
      </c>
      <c r="V210" s="12" cm="1">
        <f t="array" ref="V210">INDEX($B$200:$G207, INT((COLUMN(U113)-1)/6)+1, MOD(COLUMN(U113)-1,6)+1)</f>
        <v>0</v>
      </c>
      <c r="W210" s="12" cm="1">
        <f t="array" ref="W210">INDEX($B$200:$G207, INT((COLUMN(V113)-1)/6)+1, MOD(COLUMN(V113)-1,6)+1)</f>
        <v>1</v>
      </c>
      <c r="X210" s="12" cm="1">
        <f t="array" ref="X210">INDEX($B$200:$G207, INT((COLUMN(W113)-1)/6)+1, MOD(COLUMN(W113)-1,6)+1)</f>
        <v>1</v>
      </c>
      <c r="Y210" s="12" cm="1">
        <f t="array" ref="Y210">INDEX($B$200:$G207, INT((COLUMN(X113)-1)/6)+1, MOD(COLUMN(X113)-1,6)+1)</f>
        <v>1</v>
      </c>
      <c r="Z210" s="12" cm="1">
        <f t="array" ref="Z210">INDEX($B$200:$G207, INT((COLUMN(Y113)-1)/6)+1, MOD(COLUMN(Y113)-1,6)+1)</f>
        <v>0</v>
      </c>
      <c r="AA210" s="12" cm="1">
        <f t="array" ref="AA210">INDEX($B$200:$G207, INT((COLUMN(Z113)-1)/6)+1, MOD(COLUMN(Z113)-1,6)+1)</f>
        <v>0</v>
      </c>
      <c r="AB210" s="12" cm="1">
        <f t="array" ref="AB210">INDEX($B$200:$G207, INT((COLUMN(AA113)-1)/6)+1, MOD(COLUMN(AA113)-1,6)+1)</f>
        <v>0</v>
      </c>
      <c r="AC210" s="12" cm="1">
        <f t="array" ref="AC210">INDEX($B$200:$G207, INT((COLUMN(AB113)-1)/6)+1, MOD(COLUMN(AB113)-1,6)+1)</f>
        <v>1</v>
      </c>
      <c r="AD210" s="12" cm="1">
        <f t="array" ref="AD210">INDEX($B$200:$G207, INT((COLUMN(AC113)-1)/6)+1, MOD(COLUMN(AC113)-1,6)+1)</f>
        <v>1</v>
      </c>
      <c r="AE210" s="12" cm="1">
        <f t="array" ref="AE210">INDEX($B$200:$G207, INT((COLUMN(AD113)-1)/6)+1, MOD(COLUMN(AD113)-1,6)+1)</f>
        <v>1</v>
      </c>
      <c r="AF210" s="12" cm="1">
        <f t="array" ref="AF210">INDEX($B$200:$G207, INT((COLUMN(AE113)-1)/6)+1, MOD(COLUMN(AE113)-1,6)+1)</f>
        <v>1</v>
      </c>
      <c r="AG210" s="12" cm="1">
        <f t="array" ref="AG210">INDEX($B$200:$G207, INT((COLUMN(AF113)-1)/6)+1, MOD(COLUMN(AF113)-1,6)+1)</f>
        <v>1</v>
      </c>
      <c r="AH210" s="12" cm="1">
        <f t="array" ref="AH210">INDEX($B$200:$G207, INT((COLUMN(AG113)-1)/6)+1, MOD(COLUMN(AG113)-1,6)+1)</f>
        <v>1</v>
      </c>
      <c r="AI210" s="12" cm="1">
        <f t="array" ref="AI210">INDEX($B$200:$G207, INT((COLUMN(AH113)-1)/6)+1, MOD(COLUMN(AH113)-1,6)+1)</f>
        <v>1</v>
      </c>
      <c r="AJ210" s="12" cm="1">
        <f t="array" ref="AJ210">INDEX($B$200:$G207, INT((COLUMN(AI113)-1)/6)+1, MOD(COLUMN(AI113)-1,6)+1)</f>
        <v>1</v>
      </c>
      <c r="AK210" s="12" cm="1">
        <f t="array" ref="AK210">INDEX($B$200:$G207, INT((COLUMN(AJ113)-1)/6)+1, MOD(COLUMN(AJ113)-1,6)+1)</f>
        <v>0</v>
      </c>
      <c r="AL210" s="12" cm="1">
        <f t="array" ref="AL210">INDEX($B$200:$G207, INT((COLUMN(AK113)-1)/6)+1, MOD(COLUMN(AK113)-1,6)+1)</f>
        <v>0</v>
      </c>
      <c r="AM210" s="12" cm="1">
        <f t="array" ref="AM210">INDEX($B$200:$G207, INT((COLUMN(AL113)-1)/6)+1, MOD(COLUMN(AL113)-1,6)+1)</f>
        <v>1</v>
      </c>
      <c r="AN210" s="12" cm="1">
        <f t="array" ref="AN210">INDEX($B$200:$G207, INT((COLUMN(AM113)-1)/6)+1, MOD(COLUMN(AM113)-1,6)+1)</f>
        <v>1</v>
      </c>
      <c r="AO210" s="12" cm="1">
        <f t="array" ref="AO210">INDEX($B$200:$G207, INT((COLUMN(AN113)-1)/6)+1, MOD(COLUMN(AN113)-1,6)+1)</f>
        <v>0</v>
      </c>
      <c r="AP210" s="12" cm="1">
        <f t="array" ref="AP210">INDEX($B$200:$G207, INT((COLUMN(AO113)-1)/6)+1, MOD(COLUMN(AO113)-1,6)+1)</f>
        <v>1</v>
      </c>
      <c r="AQ210" s="12" cm="1">
        <f t="array" ref="AQ210">INDEX($B$200:$G207, INT((COLUMN(AP113)-1)/6)+1, MOD(COLUMN(AP113)-1,6)+1)</f>
        <v>1</v>
      </c>
      <c r="AR210" s="12" cm="1">
        <f t="array" ref="AR210">INDEX($B$200:$G207, INT((COLUMN(AQ113)-1)/6)+1, MOD(COLUMN(AQ113)-1,6)+1)</f>
        <v>0</v>
      </c>
      <c r="AS210" s="12" cm="1">
        <f t="array" ref="AS210">INDEX($B$200:$G207, INT((COLUMN(AR113)-1)/6)+1, MOD(COLUMN(AR113)-1,6)+1)</f>
        <v>0</v>
      </c>
      <c r="AT210" s="12" cm="1">
        <f t="array" ref="AT210">INDEX($B$200:$G207, INT((COLUMN(AS113)-1)/6)+1, MOD(COLUMN(AS113)-1,6)+1)</f>
        <v>0</v>
      </c>
      <c r="AU210" s="12" cm="1">
        <f t="array" ref="AU210">INDEX($B$200:$G207, INT((COLUMN(AT113)-1)/6)+1, MOD(COLUMN(AT113)-1,6)+1)</f>
        <v>0</v>
      </c>
      <c r="AV210" s="12" cm="1">
        <f t="array" ref="AV210">INDEX($B$200:$G207, INT((COLUMN(AU113)-1)/6)+1, MOD(COLUMN(AU113)-1,6)+1)</f>
        <v>1</v>
      </c>
      <c r="AW210" s="12" cm="1">
        <f t="array" ref="AW210">INDEX($B$200:$G207, INT((COLUMN(AV113)-1)/6)+1, MOD(COLUMN(AV113)-1,6)+1)</f>
        <v>0</v>
      </c>
    </row>
    <row r="212" spans="1:49">
      <c r="A212" s="20" t="s">
        <v>53</v>
      </c>
    </row>
    <row r="213" spans="1:49">
      <c r="A213" s="5" t="s">
        <v>54</v>
      </c>
    </row>
    <row r="215" spans="1:49">
      <c r="A215" s="12" t="s">
        <v>3</v>
      </c>
      <c r="B215" s="12">
        <v>1</v>
      </c>
      <c r="C215" s="12">
        <v>2</v>
      </c>
      <c r="D215" s="12">
        <v>3</v>
      </c>
      <c r="E215" s="12">
        <v>4</v>
      </c>
      <c r="F215" s="12">
        <v>5</v>
      </c>
      <c r="G215" s="12">
        <v>6</v>
      </c>
      <c r="H215" s="12">
        <v>7</v>
      </c>
      <c r="I215" s="12">
        <v>8</v>
      </c>
      <c r="J215" s="12">
        <v>9</v>
      </c>
      <c r="K215" s="12">
        <v>10</v>
      </c>
      <c r="L215" s="12">
        <v>11</v>
      </c>
      <c r="M215" s="12">
        <v>12</v>
      </c>
      <c r="N215" s="12">
        <v>13</v>
      </c>
      <c r="O215" s="12">
        <v>14</v>
      </c>
      <c r="P215" s="12">
        <v>15</v>
      </c>
      <c r="Q215" s="12">
        <v>16</v>
      </c>
      <c r="R215" s="12">
        <v>17</v>
      </c>
      <c r="S215" s="12">
        <v>18</v>
      </c>
      <c r="T215" s="12">
        <v>19</v>
      </c>
      <c r="U215" s="12">
        <v>20</v>
      </c>
      <c r="V215" s="12">
        <v>21</v>
      </c>
      <c r="W215" s="12">
        <v>22</v>
      </c>
      <c r="X215" s="12">
        <v>23</v>
      </c>
      <c r="Y215" s="12">
        <v>24</v>
      </c>
      <c r="Z215" s="12">
        <v>25</v>
      </c>
      <c r="AA215" s="12">
        <v>26</v>
      </c>
      <c r="AB215" s="12">
        <v>27</v>
      </c>
      <c r="AC215" s="12">
        <v>28</v>
      </c>
    </row>
    <row r="216" spans="1:49">
      <c r="A216" s="12" t="s">
        <v>54</v>
      </c>
      <c r="B216" s="12">
        <v>0</v>
      </c>
      <c r="C216" s="12">
        <v>0</v>
      </c>
      <c r="D216" s="12">
        <v>1</v>
      </c>
      <c r="E216" s="12">
        <v>1</v>
      </c>
      <c r="F216" s="12">
        <v>0</v>
      </c>
      <c r="G216" s="12">
        <v>0</v>
      </c>
      <c r="H216" s="12">
        <v>1</v>
      </c>
      <c r="I216" s="12">
        <v>0</v>
      </c>
      <c r="J216" s="12">
        <v>1</v>
      </c>
      <c r="K216" s="12">
        <v>0</v>
      </c>
      <c r="L216" s="12">
        <v>1</v>
      </c>
      <c r="M216" s="12">
        <v>0</v>
      </c>
      <c r="N216" s="12">
        <v>1</v>
      </c>
      <c r="O216" s="12">
        <v>0</v>
      </c>
      <c r="P216" s="12">
        <v>1</v>
      </c>
      <c r="Q216" s="12">
        <v>0</v>
      </c>
      <c r="R216" s="12">
        <v>1</v>
      </c>
      <c r="S216" s="12">
        <v>1</v>
      </c>
      <c r="T216" s="16">
        <v>1</v>
      </c>
      <c r="U216" s="16">
        <v>1</v>
      </c>
      <c r="V216" s="16">
        <v>1</v>
      </c>
      <c r="W216" s="16">
        <v>1</v>
      </c>
      <c r="X216" s="16">
        <v>0</v>
      </c>
      <c r="Y216" s="16">
        <v>0</v>
      </c>
      <c r="Z216" s="16">
        <v>0</v>
      </c>
      <c r="AA216" s="16">
        <v>0</v>
      </c>
      <c r="AB216" s="16">
        <v>1</v>
      </c>
      <c r="AC216" s="16">
        <v>1</v>
      </c>
    </row>
    <row r="218" spans="1:49">
      <c r="A218" s="5" t="s">
        <v>55</v>
      </c>
    </row>
    <row r="220" spans="1:49">
      <c r="A220" s="12" t="s">
        <v>3</v>
      </c>
      <c r="B220" s="12">
        <v>1</v>
      </c>
      <c r="C220" s="12">
        <v>2</v>
      </c>
      <c r="D220" s="12">
        <v>3</v>
      </c>
      <c r="E220" s="12">
        <v>4</v>
      </c>
      <c r="F220" s="12">
        <v>5</v>
      </c>
      <c r="G220" s="12">
        <v>6</v>
      </c>
      <c r="H220" s="12">
        <v>7</v>
      </c>
      <c r="I220" s="12">
        <v>8</v>
      </c>
      <c r="J220" s="12">
        <v>9</v>
      </c>
      <c r="K220" s="12">
        <v>10</v>
      </c>
      <c r="L220" s="12">
        <v>11</v>
      </c>
      <c r="M220" s="12">
        <v>12</v>
      </c>
      <c r="N220" s="12">
        <v>13</v>
      </c>
      <c r="O220" s="12">
        <v>14</v>
      </c>
      <c r="P220" s="12">
        <v>15</v>
      </c>
      <c r="Q220" s="12">
        <v>16</v>
      </c>
      <c r="R220" s="12">
        <v>17</v>
      </c>
      <c r="S220" s="12">
        <v>18</v>
      </c>
      <c r="T220" s="12">
        <v>19</v>
      </c>
      <c r="U220" s="12">
        <v>20</v>
      </c>
      <c r="V220" s="12">
        <v>21</v>
      </c>
      <c r="W220" s="12">
        <v>22</v>
      </c>
      <c r="X220" s="12">
        <v>23</v>
      </c>
      <c r="Y220" s="12">
        <v>24</v>
      </c>
      <c r="Z220" s="12">
        <v>25</v>
      </c>
      <c r="AA220" s="12">
        <v>26</v>
      </c>
      <c r="AB220" s="12">
        <v>27</v>
      </c>
      <c r="AC220" s="12">
        <v>28</v>
      </c>
    </row>
    <row r="221" spans="1:49">
      <c r="A221" s="12" t="s">
        <v>55</v>
      </c>
      <c r="B221" s="12">
        <v>0</v>
      </c>
      <c r="C221" s="12">
        <v>0</v>
      </c>
      <c r="D221" s="12">
        <v>1</v>
      </c>
      <c r="E221" s="12">
        <v>1</v>
      </c>
      <c r="F221" s="12">
        <v>0</v>
      </c>
      <c r="G221" s="12">
        <v>0</v>
      </c>
      <c r="H221" s="12">
        <v>1</v>
      </c>
      <c r="I221" s="12">
        <v>1</v>
      </c>
      <c r="J221" s="12">
        <v>1</v>
      </c>
      <c r="K221" s="12">
        <v>1</v>
      </c>
      <c r="L221" s="12">
        <v>0</v>
      </c>
      <c r="M221" s="12">
        <v>0</v>
      </c>
      <c r="N221" s="12">
        <v>0</v>
      </c>
      <c r="O221" s="12">
        <v>0</v>
      </c>
      <c r="P221" s="12">
        <v>1</v>
      </c>
      <c r="Q221" s="12">
        <v>0</v>
      </c>
      <c r="R221" s="12">
        <v>1</v>
      </c>
      <c r="S221" s="12">
        <v>0</v>
      </c>
      <c r="T221" s="12">
        <v>1</v>
      </c>
      <c r="U221" s="12">
        <v>0</v>
      </c>
      <c r="V221" s="12">
        <v>1</v>
      </c>
      <c r="W221" s="12">
        <v>0</v>
      </c>
      <c r="X221" s="12">
        <v>1</v>
      </c>
      <c r="Y221" s="12">
        <v>0</v>
      </c>
      <c r="Z221" s="12">
        <v>1</v>
      </c>
      <c r="AA221" s="12">
        <v>0</v>
      </c>
      <c r="AB221" s="12">
        <v>1</v>
      </c>
      <c r="AC221" s="12">
        <v>1</v>
      </c>
    </row>
    <row r="223" spans="1:49">
      <c r="A223" s="6" t="s">
        <v>56</v>
      </c>
    </row>
    <row r="225" spans="1:57">
      <c r="A225" s="12" t="s">
        <v>3</v>
      </c>
      <c r="B225" s="12">
        <v>1</v>
      </c>
      <c r="C225" s="12">
        <v>2</v>
      </c>
      <c r="D225" s="12">
        <v>3</v>
      </c>
      <c r="E225" s="12">
        <v>4</v>
      </c>
      <c r="F225" s="12">
        <v>5</v>
      </c>
      <c r="G225" s="12">
        <v>6</v>
      </c>
      <c r="H225" s="12">
        <v>7</v>
      </c>
      <c r="I225" s="12">
        <v>8</v>
      </c>
      <c r="J225" s="12">
        <v>9</v>
      </c>
      <c r="K225" s="12">
        <v>10</v>
      </c>
      <c r="L225" s="12">
        <v>11</v>
      </c>
      <c r="M225" s="12">
        <v>12</v>
      </c>
      <c r="N225" s="12">
        <v>13</v>
      </c>
      <c r="O225" s="12">
        <v>14</v>
      </c>
      <c r="P225" s="12">
        <v>15</v>
      </c>
      <c r="Q225" s="12">
        <v>16</v>
      </c>
      <c r="R225" s="12">
        <v>17</v>
      </c>
      <c r="S225" s="12">
        <v>18</v>
      </c>
      <c r="T225" s="12">
        <v>19</v>
      </c>
      <c r="U225" s="12">
        <v>20</v>
      </c>
      <c r="V225" s="12">
        <v>21</v>
      </c>
      <c r="W225" s="12">
        <v>22</v>
      </c>
      <c r="X225" s="12">
        <v>23</v>
      </c>
      <c r="Y225" s="12">
        <v>24</v>
      </c>
      <c r="Z225" s="12">
        <v>25</v>
      </c>
      <c r="AA225" s="12">
        <v>26</v>
      </c>
      <c r="AB225" s="12">
        <v>27</v>
      </c>
      <c r="AC225" s="12">
        <v>28</v>
      </c>
      <c r="AD225" s="12">
        <v>29</v>
      </c>
      <c r="AE225" s="12">
        <v>30</v>
      </c>
      <c r="AF225" s="12">
        <v>31</v>
      </c>
      <c r="AG225" s="12">
        <v>32</v>
      </c>
      <c r="AH225" s="12">
        <v>33</v>
      </c>
      <c r="AI225" s="12">
        <v>34</v>
      </c>
      <c r="AJ225" s="12">
        <v>35</v>
      </c>
      <c r="AK225" s="12">
        <v>36</v>
      </c>
      <c r="AL225" s="12">
        <v>37</v>
      </c>
      <c r="AM225" s="12">
        <v>38</v>
      </c>
      <c r="AN225" s="12">
        <v>39</v>
      </c>
      <c r="AO225" s="12">
        <v>40</v>
      </c>
      <c r="AP225" s="12">
        <v>41</v>
      </c>
      <c r="AQ225" s="12">
        <v>42</v>
      </c>
      <c r="AR225" s="12">
        <v>43</v>
      </c>
      <c r="AS225" s="12">
        <v>44</v>
      </c>
      <c r="AT225" s="12">
        <v>45</v>
      </c>
      <c r="AU225" s="12">
        <v>46</v>
      </c>
      <c r="AV225" s="12">
        <v>47</v>
      </c>
      <c r="AW225" s="12">
        <v>48</v>
      </c>
      <c r="AX225" s="12">
        <v>49</v>
      </c>
      <c r="AY225" s="12">
        <v>50</v>
      </c>
      <c r="AZ225" s="12">
        <v>51</v>
      </c>
      <c r="BA225" s="12">
        <v>52</v>
      </c>
      <c r="BB225" s="12">
        <v>53</v>
      </c>
      <c r="BC225" s="12">
        <v>54</v>
      </c>
      <c r="BD225" s="12">
        <v>55</v>
      </c>
      <c r="BE225" s="12">
        <v>56</v>
      </c>
    </row>
    <row r="226" spans="1:57">
      <c r="A226" s="12" t="s">
        <v>57</v>
      </c>
      <c r="B226" s="12">
        <v>0</v>
      </c>
      <c r="C226" s="12">
        <v>0</v>
      </c>
      <c r="D226" s="12">
        <v>1</v>
      </c>
      <c r="E226" s="12">
        <v>1</v>
      </c>
      <c r="F226" s="12">
        <v>0</v>
      </c>
      <c r="G226" s="12">
        <v>0</v>
      </c>
      <c r="H226" s="12">
        <v>1</v>
      </c>
      <c r="I226" s="12">
        <v>0</v>
      </c>
      <c r="J226" s="12">
        <v>1</v>
      </c>
      <c r="K226" s="12">
        <v>0</v>
      </c>
      <c r="L226" s="12">
        <v>1</v>
      </c>
      <c r="M226" s="12">
        <v>0</v>
      </c>
      <c r="N226" s="12">
        <v>1</v>
      </c>
      <c r="O226" s="12">
        <v>0</v>
      </c>
      <c r="P226" s="12">
        <v>1</v>
      </c>
      <c r="Q226" s="12">
        <v>0</v>
      </c>
      <c r="R226" s="12">
        <v>1</v>
      </c>
      <c r="S226" s="12">
        <v>1</v>
      </c>
      <c r="T226" s="16">
        <v>1</v>
      </c>
      <c r="U226" s="16">
        <v>1</v>
      </c>
      <c r="V226" s="16">
        <v>1</v>
      </c>
      <c r="W226" s="16">
        <v>1</v>
      </c>
      <c r="X226" s="16">
        <v>0</v>
      </c>
      <c r="Y226" s="16">
        <v>0</v>
      </c>
      <c r="Z226" s="16">
        <v>0</v>
      </c>
      <c r="AA226" s="16">
        <v>0</v>
      </c>
      <c r="AB226" s="16">
        <v>1</v>
      </c>
      <c r="AC226" s="16">
        <v>1</v>
      </c>
      <c r="AD226" s="12">
        <v>0</v>
      </c>
      <c r="AE226" s="12">
        <v>0</v>
      </c>
      <c r="AF226" s="12">
        <v>1</v>
      </c>
      <c r="AG226" s="12">
        <v>1</v>
      </c>
      <c r="AH226" s="12">
        <v>0</v>
      </c>
      <c r="AI226" s="12">
        <v>0</v>
      </c>
      <c r="AJ226" s="12">
        <v>1</v>
      </c>
      <c r="AK226" s="12">
        <v>1</v>
      </c>
      <c r="AL226" s="12">
        <v>1</v>
      </c>
      <c r="AM226" s="12">
        <v>1</v>
      </c>
      <c r="AN226" s="12">
        <v>0</v>
      </c>
      <c r="AO226" s="12">
        <v>0</v>
      </c>
      <c r="AP226" s="12">
        <v>0</v>
      </c>
      <c r="AQ226" s="12">
        <v>0</v>
      </c>
      <c r="AR226" s="12">
        <v>1</v>
      </c>
      <c r="AS226" s="12">
        <v>0</v>
      </c>
      <c r="AT226" s="12">
        <v>1</v>
      </c>
      <c r="AU226" s="12">
        <v>0</v>
      </c>
      <c r="AV226" s="12">
        <v>1</v>
      </c>
      <c r="AW226" s="12">
        <v>0</v>
      </c>
      <c r="AX226" s="12">
        <v>1</v>
      </c>
      <c r="AY226" s="12">
        <v>0</v>
      </c>
      <c r="AZ226" s="12">
        <v>1</v>
      </c>
      <c r="BA226" s="12">
        <v>0</v>
      </c>
      <c r="BB226" s="12">
        <v>1</v>
      </c>
      <c r="BC226" s="12">
        <v>0</v>
      </c>
      <c r="BD226" s="12">
        <v>1</v>
      </c>
      <c r="BE226" s="12">
        <v>1</v>
      </c>
    </row>
    <row r="228" spans="1:57">
      <c r="A228" s="5" t="s">
        <v>58</v>
      </c>
      <c r="B228" s="12" cm="1">
        <f t="array" ref="B228">INDEX($B$226:$BE$226, K25)</f>
        <v>0</v>
      </c>
      <c r="C228" s="12" cm="1">
        <f t="array" ref="C228">INDEX($B$226:$BE$226, L25)</f>
        <v>1</v>
      </c>
      <c r="D228" s="12" cm="1">
        <f t="array" ref="D228">INDEX($B$226:$BE$226, M25)</f>
        <v>1</v>
      </c>
      <c r="E228" s="12" cm="1">
        <f t="array" ref="E228">INDEX($B$226:$BE$226, N25)</f>
        <v>0</v>
      </c>
      <c r="F228" s="12" cm="1">
        <f t="array" ref="F228">INDEX($B$226:$BE$226, O25)</f>
        <v>0</v>
      </c>
      <c r="G228" s="12" cm="1">
        <f t="array" ref="G228">INDEX($B$226:$BE$226, P25)</f>
        <v>0</v>
      </c>
    </row>
    <row r="229" spans="1:57">
      <c r="B229" s="12" cm="1">
        <f t="array" ref="B229">INDEX($B$226:$BE$226, K26)</f>
        <v>1</v>
      </c>
      <c r="C229" s="12" cm="1">
        <f t="array" ref="C229">INDEX($B$226:$BE$226, L26)</f>
        <v>1</v>
      </c>
      <c r="D229" s="12" cm="1">
        <f t="array" ref="D229">INDEX($B$226:$BE$226, M26)</f>
        <v>1</v>
      </c>
      <c r="E229" s="12" cm="1">
        <f t="array" ref="E229">INDEX($B$226:$BE$226, N26)</f>
        <v>0</v>
      </c>
      <c r="F229" s="12" cm="1">
        <f t="array" ref="F229">INDEX($B$226:$BE$226, O26)</f>
        <v>1</v>
      </c>
      <c r="G229" s="12" cm="1">
        <f t="array" ref="G229">INDEX($B$226:$BE$226, P26)</f>
        <v>0</v>
      </c>
    </row>
    <row r="230" spans="1:57">
      <c r="B230" s="12" cm="1">
        <f t="array" ref="B230">INDEX($B$226:$BE$226, K27)</f>
        <v>0</v>
      </c>
      <c r="C230" s="12" cm="1">
        <f t="array" ref="C230">INDEX($B$226:$BE$226, L27)</f>
        <v>1</v>
      </c>
      <c r="D230" s="12" cm="1">
        <f t="array" ref="D230">INDEX($B$226:$BE$226, M27)</f>
        <v>0</v>
      </c>
      <c r="E230" s="12" cm="1">
        <f t="array" ref="E230">INDEX($B$226:$BE$226, N27)</f>
        <v>1</v>
      </c>
      <c r="F230" s="12" cm="1">
        <f t="array" ref="F230">INDEX($B$226:$BE$226, O27)</f>
        <v>0</v>
      </c>
      <c r="G230" s="12" cm="1">
        <f t="array" ref="G230">INDEX($B$226:$BE$226, P27)</f>
        <v>0</v>
      </c>
    </row>
    <row r="231" spans="1:57">
      <c r="B231" s="12" cm="1">
        <f t="array" ref="B231">INDEX($B$226:$BE$226, K28)</f>
        <v>0</v>
      </c>
      <c r="C231" s="12" cm="1">
        <f t="array" ref="C231">INDEX($B$226:$BE$226, L28)</f>
        <v>1</v>
      </c>
      <c r="D231" s="12" cm="1">
        <f t="array" ref="D231">INDEX($B$226:$BE$226, M28)</f>
        <v>1</v>
      </c>
      <c r="E231" s="12" cm="1">
        <f t="array" ref="E231">INDEX($B$226:$BE$226, N28)</f>
        <v>1</v>
      </c>
      <c r="F231" s="12" cm="1">
        <f t="array" ref="F231">INDEX($B$226:$BE$226, O28)</f>
        <v>1</v>
      </c>
      <c r="G231" s="12" cm="1">
        <f t="array" ref="G231">INDEX($B$226:$BE$226, P28)</f>
        <v>0</v>
      </c>
    </row>
    <row r="232" spans="1:57">
      <c r="B232" s="12" cm="1">
        <f t="array" ref="B232">INDEX($B$226:$BE$226, K29)</f>
        <v>0</v>
      </c>
      <c r="C232" s="12" cm="1">
        <f t="array" ref="C232">INDEX($B$226:$BE$226, L29)</f>
        <v>0</v>
      </c>
      <c r="D232" s="12" cm="1">
        <f t="array" ref="D232">INDEX($B$226:$BE$226, M29)</f>
        <v>1</v>
      </c>
      <c r="E232" s="12" cm="1">
        <f t="array" ref="E232">INDEX($B$226:$BE$226, N29)</f>
        <v>1</v>
      </c>
      <c r="F232" s="12" cm="1">
        <f t="array" ref="F232">INDEX($B$226:$BE$226, O29)</f>
        <v>1</v>
      </c>
      <c r="G232" s="12" cm="1">
        <f t="array" ref="G232">INDEX($B$226:$BE$226, P29)</f>
        <v>1</v>
      </c>
    </row>
    <row r="233" spans="1:57">
      <c r="B233" s="12" cm="1">
        <f t="array" ref="B233">INDEX($B$226:$BE$226, K30)</f>
        <v>0</v>
      </c>
      <c r="C233" s="12" cm="1">
        <f t="array" ref="C233">INDEX($B$226:$BE$226, L30)</f>
        <v>0</v>
      </c>
      <c r="D233" s="12" cm="1">
        <f t="array" ref="D233">INDEX($B$226:$BE$226, M30)</f>
        <v>1</v>
      </c>
      <c r="E233" s="12" cm="1">
        <f t="array" ref="E233">INDEX($B$226:$BE$226, N30)</f>
        <v>1</v>
      </c>
      <c r="F233" s="12" cm="1">
        <f t="array" ref="F233">INDEX($B$226:$BE$226, O30)</f>
        <v>0</v>
      </c>
      <c r="G233" s="12" cm="1">
        <f t="array" ref="G233">INDEX($B$226:$BE$226, P30)</f>
        <v>0</v>
      </c>
    </row>
    <row r="234" spans="1:57">
      <c r="B234" s="12" cm="1">
        <f t="array" ref="B234">INDEX($B$226:$BE$226, K31)</f>
        <v>0</v>
      </c>
      <c r="C234" s="12" cm="1">
        <f t="array" ref="C234">INDEX($B$226:$BE$226, L31)</f>
        <v>1</v>
      </c>
      <c r="D234" s="12" cm="1">
        <f t="array" ref="D234">INDEX($B$226:$BE$226, M31)</f>
        <v>0</v>
      </c>
      <c r="E234" s="12" cm="1">
        <f t="array" ref="E234">INDEX($B$226:$BE$226, N31)</f>
        <v>1</v>
      </c>
      <c r="F234" s="12" cm="1">
        <f t="array" ref="F234">INDEX($B$226:$BE$226, O31)</f>
        <v>0</v>
      </c>
      <c r="G234" s="12" cm="1">
        <f t="array" ref="G234">INDEX($B$226:$BE$226, P31)</f>
        <v>1</v>
      </c>
    </row>
    <row r="235" spans="1:57">
      <c r="B235" s="12" cm="1">
        <f t="array" ref="B235">INDEX($B$226:$BE$226, K32)</f>
        <v>0</v>
      </c>
      <c r="C235" s="12" cm="1">
        <f t="array" ref="C235">INDEX($B$226:$BE$226, L32)</f>
        <v>0</v>
      </c>
      <c r="D235" s="12" cm="1">
        <f t="array" ref="D235">INDEX($B$226:$BE$226, M32)</f>
        <v>0</v>
      </c>
      <c r="E235" s="12" cm="1">
        <f t="array" ref="E235">INDEX($B$226:$BE$226, N32)</f>
        <v>1</v>
      </c>
      <c r="F235" s="12" cm="1">
        <f t="array" ref="F235">INDEX($B$226:$BE$226, O32)</f>
        <v>0</v>
      </c>
      <c r="G235" s="12" cm="1">
        <f t="array" ref="G235">INDEX($B$226:$BE$226, P32)</f>
        <v>1</v>
      </c>
    </row>
    <row r="237" spans="1:57">
      <c r="A237" s="12" t="s">
        <v>3</v>
      </c>
      <c r="B237" s="12">
        <v>1</v>
      </c>
      <c r="C237" s="12">
        <v>2</v>
      </c>
      <c r="D237" s="12">
        <v>3</v>
      </c>
      <c r="E237" s="12">
        <v>4</v>
      </c>
      <c r="F237" s="12">
        <v>5</v>
      </c>
      <c r="G237" s="12">
        <v>6</v>
      </c>
      <c r="H237" s="12">
        <v>7</v>
      </c>
      <c r="I237" s="12">
        <v>8</v>
      </c>
      <c r="J237" s="12">
        <v>9</v>
      </c>
      <c r="K237" s="12">
        <v>10</v>
      </c>
      <c r="L237" s="12">
        <v>11</v>
      </c>
      <c r="M237" s="12">
        <v>12</v>
      </c>
      <c r="N237" s="12">
        <v>13</v>
      </c>
      <c r="O237" s="12">
        <v>14</v>
      </c>
      <c r="P237" s="12">
        <v>15</v>
      </c>
      <c r="Q237" s="12">
        <v>16</v>
      </c>
      <c r="R237" s="12">
        <v>17</v>
      </c>
      <c r="S237" s="12">
        <v>18</v>
      </c>
      <c r="T237" s="12">
        <v>19</v>
      </c>
      <c r="U237" s="12">
        <v>20</v>
      </c>
      <c r="V237" s="12">
        <v>21</v>
      </c>
      <c r="W237" s="12">
        <v>22</v>
      </c>
      <c r="X237" s="12">
        <v>23</v>
      </c>
      <c r="Y237" s="12">
        <v>24</v>
      </c>
      <c r="Z237" s="12">
        <v>25</v>
      </c>
      <c r="AA237" s="12">
        <v>26</v>
      </c>
      <c r="AB237" s="12">
        <v>27</v>
      </c>
      <c r="AC237" s="12">
        <v>28</v>
      </c>
      <c r="AD237" s="12">
        <v>29</v>
      </c>
      <c r="AE237" s="12">
        <v>30</v>
      </c>
      <c r="AF237" s="12">
        <v>31</v>
      </c>
      <c r="AG237" s="12">
        <v>32</v>
      </c>
      <c r="AH237" s="12">
        <v>33</v>
      </c>
      <c r="AI237" s="12">
        <v>34</v>
      </c>
      <c r="AJ237" s="12">
        <v>35</v>
      </c>
      <c r="AK237" s="12">
        <v>36</v>
      </c>
      <c r="AL237" s="12">
        <v>37</v>
      </c>
      <c r="AM237" s="12">
        <v>38</v>
      </c>
      <c r="AN237" s="12">
        <v>39</v>
      </c>
      <c r="AO237" s="12">
        <v>40</v>
      </c>
      <c r="AP237" s="12">
        <v>41</v>
      </c>
      <c r="AQ237" s="12">
        <v>42</v>
      </c>
      <c r="AR237" s="12">
        <v>43</v>
      </c>
      <c r="AS237" s="12">
        <v>44</v>
      </c>
      <c r="AT237" s="12">
        <v>45</v>
      </c>
      <c r="AU237" s="12">
        <v>46</v>
      </c>
      <c r="AV237" s="12">
        <v>47</v>
      </c>
      <c r="AW237" s="12">
        <v>48</v>
      </c>
    </row>
    <row r="238" spans="1:57">
      <c r="A238" s="12" t="s">
        <v>59</v>
      </c>
      <c r="B238" s="12" cm="1">
        <f t="array" ref="B238">INDEX($B$228:$G235, INT((COLUMN(A141)-1)/6)+1, MOD(COLUMN(A141)-1,6)+1)</f>
        <v>0</v>
      </c>
      <c r="C238" s="12" cm="1">
        <f t="array" ref="C238">INDEX($B$228:$G235, INT((COLUMN(B141)-1)/6)+1, MOD(COLUMN(B141)-1,6)+1)</f>
        <v>1</v>
      </c>
      <c r="D238" s="12" cm="1">
        <f t="array" ref="D238">INDEX($B$228:$G235, INT((COLUMN(C141)-1)/6)+1, MOD(COLUMN(C141)-1,6)+1)</f>
        <v>1</v>
      </c>
      <c r="E238" s="12" cm="1">
        <f t="array" ref="E238">INDEX($B$228:$G235, INT((COLUMN(D141)-1)/6)+1, MOD(COLUMN(D141)-1,6)+1)</f>
        <v>0</v>
      </c>
      <c r="F238" s="12" cm="1">
        <f t="array" ref="F238">INDEX($B$228:$G235, INT((COLUMN(E141)-1)/6)+1, MOD(COLUMN(E141)-1,6)+1)</f>
        <v>0</v>
      </c>
      <c r="G238" s="12" cm="1">
        <f t="array" ref="G238">INDEX($B$228:$G235, INT((COLUMN(F141)-1)/6)+1, MOD(COLUMN(F141)-1,6)+1)</f>
        <v>0</v>
      </c>
      <c r="H238" s="12" cm="1">
        <f t="array" ref="H238">INDEX($B$228:$G235, INT((COLUMN(G141)-1)/6)+1, MOD(COLUMN(G141)-1,6)+1)</f>
        <v>1</v>
      </c>
      <c r="I238" s="12" cm="1">
        <f t="array" ref="I238">INDEX($B$228:$G235, INT((COLUMN(H141)-1)/6)+1, MOD(COLUMN(H141)-1,6)+1)</f>
        <v>1</v>
      </c>
      <c r="J238" s="12" cm="1">
        <f t="array" ref="J238">INDEX($B$228:$G235, INT((COLUMN(I141)-1)/6)+1, MOD(COLUMN(I141)-1,6)+1)</f>
        <v>1</v>
      </c>
      <c r="K238" s="12" cm="1">
        <f t="array" ref="K238">INDEX($B$228:$G235, INT((COLUMN(J141)-1)/6)+1, MOD(COLUMN(J141)-1,6)+1)</f>
        <v>0</v>
      </c>
      <c r="L238" s="12" cm="1">
        <f t="array" ref="L238">INDEX($B$228:$G235, INT((COLUMN(K141)-1)/6)+1, MOD(COLUMN(K141)-1,6)+1)</f>
        <v>1</v>
      </c>
      <c r="M238" s="12" cm="1">
        <f t="array" ref="M238">INDEX($B$228:$G235, INT((COLUMN(L141)-1)/6)+1, MOD(COLUMN(L141)-1,6)+1)</f>
        <v>0</v>
      </c>
      <c r="N238" s="12" cm="1">
        <f t="array" ref="N238">INDEX($B$228:$G235, INT((COLUMN(M141)-1)/6)+1, MOD(COLUMN(M141)-1,6)+1)</f>
        <v>0</v>
      </c>
      <c r="O238" s="12" cm="1">
        <f t="array" ref="O238">INDEX($B$228:$G235, INT((COLUMN(N141)-1)/6)+1, MOD(COLUMN(N141)-1,6)+1)</f>
        <v>1</v>
      </c>
      <c r="P238" s="12" cm="1">
        <f t="array" ref="P238">INDEX($B$228:$G235, INT((COLUMN(O141)-1)/6)+1, MOD(COLUMN(O141)-1,6)+1)</f>
        <v>0</v>
      </c>
      <c r="Q238" s="12" cm="1">
        <f t="array" ref="Q238">INDEX($B$228:$G235, INT((COLUMN(P141)-1)/6)+1, MOD(COLUMN(P141)-1,6)+1)</f>
        <v>1</v>
      </c>
      <c r="R238" s="12" cm="1">
        <f t="array" ref="R238">INDEX($B$228:$G235, INT((COLUMN(Q141)-1)/6)+1, MOD(COLUMN(Q141)-1,6)+1)</f>
        <v>0</v>
      </c>
      <c r="S238" s="12" cm="1">
        <f t="array" ref="S238">INDEX($B$228:$G235, INT((COLUMN(R141)-1)/6)+1, MOD(COLUMN(R141)-1,6)+1)</f>
        <v>0</v>
      </c>
      <c r="T238" s="12" cm="1">
        <f t="array" ref="T238">INDEX($B$228:$G235, INT((COLUMN(S141)-1)/6)+1, MOD(COLUMN(S141)-1,6)+1)</f>
        <v>0</v>
      </c>
      <c r="U238" s="12" cm="1">
        <f t="array" ref="U238">INDEX($B$228:$G235, INT((COLUMN(T141)-1)/6)+1, MOD(COLUMN(T141)-1,6)+1)</f>
        <v>1</v>
      </c>
      <c r="V238" s="12" cm="1">
        <f t="array" ref="V238">INDEX($B$228:$G235, INT((COLUMN(U141)-1)/6)+1, MOD(COLUMN(U141)-1,6)+1)</f>
        <v>1</v>
      </c>
      <c r="W238" s="12" cm="1">
        <f t="array" ref="W238">INDEX($B$228:$G235, INT((COLUMN(V141)-1)/6)+1, MOD(COLUMN(V141)-1,6)+1)</f>
        <v>1</v>
      </c>
      <c r="X238" s="12" cm="1">
        <f t="array" ref="X238">INDEX($B$228:$G235, INT((COLUMN(W141)-1)/6)+1, MOD(COLUMN(W141)-1,6)+1)</f>
        <v>1</v>
      </c>
      <c r="Y238" s="12" cm="1">
        <f t="array" ref="Y238">INDEX($B$228:$G235, INT((COLUMN(X141)-1)/6)+1, MOD(COLUMN(X141)-1,6)+1)</f>
        <v>0</v>
      </c>
      <c r="Z238" s="12" cm="1">
        <f t="array" ref="Z238">INDEX($B$228:$G235, INT((COLUMN(Y141)-1)/6)+1, MOD(COLUMN(Y141)-1,6)+1)</f>
        <v>0</v>
      </c>
      <c r="AA238" s="12" cm="1">
        <f t="array" ref="AA238">INDEX($B$228:$G235, INT((COLUMN(Z141)-1)/6)+1, MOD(COLUMN(Z141)-1,6)+1)</f>
        <v>0</v>
      </c>
      <c r="AB238" s="12" cm="1">
        <f t="array" ref="AB238">INDEX($B$228:$G235, INT((COLUMN(AA141)-1)/6)+1, MOD(COLUMN(AA141)-1,6)+1)</f>
        <v>1</v>
      </c>
      <c r="AC238" s="12" cm="1">
        <f t="array" ref="AC238">INDEX($B$228:$G235, INT((COLUMN(AB141)-1)/6)+1, MOD(COLUMN(AB141)-1,6)+1)</f>
        <v>1</v>
      </c>
      <c r="AD238" s="12" cm="1">
        <f t="array" ref="AD238">INDEX($B$228:$G235, INT((COLUMN(AC141)-1)/6)+1, MOD(COLUMN(AC141)-1,6)+1)</f>
        <v>1</v>
      </c>
      <c r="AE238" s="12" cm="1">
        <f t="array" ref="AE238">INDEX($B$228:$G235, INT((COLUMN(AD141)-1)/6)+1, MOD(COLUMN(AD141)-1,6)+1)</f>
        <v>1</v>
      </c>
      <c r="AF238" s="12" cm="1">
        <f t="array" ref="AF238">INDEX($B$228:$G235, INT((COLUMN(AE141)-1)/6)+1, MOD(COLUMN(AE141)-1,6)+1)</f>
        <v>0</v>
      </c>
      <c r="AG238" s="12" cm="1">
        <f t="array" ref="AG238">INDEX($B$228:$G235, INT((COLUMN(AF141)-1)/6)+1, MOD(COLUMN(AF141)-1,6)+1)</f>
        <v>0</v>
      </c>
      <c r="AH238" s="12" cm="1">
        <f t="array" ref="AH238">INDEX($B$228:$G235, INT((COLUMN(AG141)-1)/6)+1, MOD(COLUMN(AG141)-1,6)+1)</f>
        <v>1</v>
      </c>
      <c r="AI238" s="12" cm="1">
        <f t="array" ref="AI238">INDEX($B$228:$G235, INT((COLUMN(AH141)-1)/6)+1, MOD(COLUMN(AH141)-1,6)+1)</f>
        <v>1</v>
      </c>
      <c r="AJ238" s="12" cm="1">
        <f t="array" ref="AJ238">INDEX($B$228:$G235, INT((COLUMN(AI141)-1)/6)+1, MOD(COLUMN(AI141)-1,6)+1)</f>
        <v>0</v>
      </c>
      <c r="AK238" s="12" cm="1">
        <f t="array" ref="AK238">INDEX($B$228:$G235, INT((COLUMN(AJ141)-1)/6)+1, MOD(COLUMN(AJ141)-1,6)+1)</f>
        <v>0</v>
      </c>
      <c r="AL238" s="12" cm="1">
        <f t="array" ref="AL238">INDEX($B$228:$G235, INT((COLUMN(AK141)-1)/6)+1, MOD(COLUMN(AK141)-1,6)+1)</f>
        <v>0</v>
      </c>
      <c r="AM238" s="12" cm="1">
        <f t="array" ref="AM238">INDEX($B$228:$G235, INT((COLUMN(AL141)-1)/6)+1, MOD(COLUMN(AL141)-1,6)+1)</f>
        <v>1</v>
      </c>
      <c r="AN238" s="12" cm="1">
        <f t="array" ref="AN238">INDEX($B$228:$G235, INT((COLUMN(AM141)-1)/6)+1, MOD(COLUMN(AM141)-1,6)+1)</f>
        <v>0</v>
      </c>
      <c r="AO238" s="12" cm="1">
        <f t="array" ref="AO238">INDEX($B$228:$G235, INT((COLUMN(AN141)-1)/6)+1, MOD(COLUMN(AN141)-1,6)+1)</f>
        <v>1</v>
      </c>
      <c r="AP238" s="12" cm="1">
        <f t="array" ref="AP238">INDEX($B$228:$G235, INT((COLUMN(AO141)-1)/6)+1, MOD(COLUMN(AO141)-1,6)+1)</f>
        <v>0</v>
      </c>
      <c r="AQ238" s="12" cm="1">
        <f t="array" ref="AQ238">INDEX($B$228:$G235, INT((COLUMN(AP141)-1)/6)+1, MOD(COLUMN(AP141)-1,6)+1)</f>
        <v>1</v>
      </c>
      <c r="AR238" s="12" cm="1">
        <f t="array" ref="AR238">INDEX($B$228:$G235, INT((COLUMN(AQ141)-1)/6)+1, MOD(COLUMN(AQ141)-1,6)+1)</f>
        <v>0</v>
      </c>
      <c r="AS238" s="12" cm="1">
        <f t="array" ref="AS238">INDEX($B$228:$G235, INT((COLUMN(AR141)-1)/6)+1, MOD(COLUMN(AR141)-1,6)+1)</f>
        <v>0</v>
      </c>
      <c r="AT238" s="12" cm="1">
        <f t="array" ref="AT238">INDEX($B$228:$G235, INT((COLUMN(AS141)-1)/6)+1, MOD(COLUMN(AS141)-1,6)+1)</f>
        <v>0</v>
      </c>
      <c r="AU238" s="12" cm="1">
        <f t="array" ref="AU238">INDEX($B$228:$G235, INT((COLUMN(AT141)-1)/6)+1, MOD(COLUMN(AT141)-1,6)+1)</f>
        <v>1</v>
      </c>
      <c r="AV238" s="12" cm="1">
        <f t="array" ref="AV238">INDEX($B$228:$G235, INT((COLUMN(AU141)-1)/6)+1, MOD(COLUMN(AU141)-1,6)+1)</f>
        <v>0</v>
      </c>
      <c r="AW238" s="12" cm="1">
        <f t="array" ref="AW238">INDEX($B$228:$G235, INT((COLUMN(AV141)-1)/6)+1, MOD(COLUMN(AV141)-1,6)+1)</f>
        <v>1</v>
      </c>
    </row>
    <row r="240" spans="1:57">
      <c r="A240" s="20" t="s">
        <v>60</v>
      </c>
    </row>
    <row r="241" spans="1:57">
      <c r="A241" s="5" t="s">
        <v>61</v>
      </c>
    </row>
    <row r="243" spans="1:57">
      <c r="A243" s="12" t="s">
        <v>3</v>
      </c>
      <c r="B243" s="12">
        <v>1</v>
      </c>
      <c r="C243" s="12">
        <v>2</v>
      </c>
      <c r="D243" s="12">
        <v>3</v>
      </c>
      <c r="E243" s="12">
        <v>4</v>
      </c>
      <c r="F243" s="12">
        <v>5</v>
      </c>
      <c r="G243" s="12">
        <v>6</v>
      </c>
      <c r="H243" s="12">
        <v>7</v>
      </c>
      <c r="I243" s="12">
        <v>8</v>
      </c>
      <c r="J243" s="12">
        <v>9</v>
      </c>
      <c r="K243" s="12">
        <v>10</v>
      </c>
      <c r="L243" s="12">
        <v>11</v>
      </c>
      <c r="M243" s="12">
        <v>12</v>
      </c>
      <c r="N243" s="12">
        <v>13</v>
      </c>
      <c r="O243" s="12">
        <v>14</v>
      </c>
      <c r="P243" s="12">
        <v>15</v>
      </c>
      <c r="Q243" s="12">
        <v>16</v>
      </c>
      <c r="R243" s="12">
        <v>17</v>
      </c>
      <c r="S243" s="12">
        <v>18</v>
      </c>
      <c r="T243" s="12">
        <v>19</v>
      </c>
      <c r="U243" s="12">
        <v>20</v>
      </c>
      <c r="V243" s="12">
        <v>21</v>
      </c>
      <c r="W243" s="12">
        <v>22</v>
      </c>
      <c r="X243" s="12">
        <v>23</v>
      </c>
      <c r="Y243" s="12">
        <v>24</v>
      </c>
      <c r="Z243" s="12">
        <v>25</v>
      </c>
      <c r="AA243" s="12">
        <v>26</v>
      </c>
      <c r="AB243" s="12">
        <v>27</v>
      </c>
      <c r="AC243" s="12">
        <v>28</v>
      </c>
    </row>
    <row r="244" spans="1:57">
      <c r="A244" s="12" t="s">
        <v>61</v>
      </c>
      <c r="B244" s="12">
        <v>1</v>
      </c>
      <c r="C244" s="12">
        <v>1</v>
      </c>
      <c r="D244" s="12">
        <v>0</v>
      </c>
      <c r="E244" s="12">
        <v>0</v>
      </c>
      <c r="F244" s="12">
        <v>1</v>
      </c>
      <c r="G244" s="12">
        <v>0</v>
      </c>
      <c r="H244" s="12">
        <v>1</v>
      </c>
      <c r="I244" s="12">
        <v>0</v>
      </c>
      <c r="J244" s="12">
        <v>1</v>
      </c>
      <c r="K244" s="12">
        <v>0</v>
      </c>
      <c r="L244" s="12">
        <v>1</v>
      </c>
      <c r="M244" s="12">
        <v>0</v>
      </c>
      <c r="N244" s="12">
        <v>1</v>
      </c>
      <c r="O244" s="12">
        <v>0</v>
      </c>
      <c r="P244" s="12">
        <v>1</v>
      </c>
      <c r="Q244" s="12">
        <v>1</v>
      </c>
      <c r="R244" s="16">
        <v>1</v>
      </c>
      <c r="S244" s="16">
        <v>1</v>
      </c>
      <c r="T244" s="16">
        <v>1</v>
      </c>
      <c r="U244" s="16">
        <v>1</v>
      </c>
      <c r="V244" s="16">
        <v>0</v>
      </c>
      <c r="W244" s="16">
        <v>0</v>
      </c>
      <c r="X244" s="16">
        <v>0</v>
      </c>
      <c r="Y244" s="16">
        <v>0</v>
      </c>
      <c r="Z244" s="16">
        <v>1</v>
      </c>
      <c r="AA244" s="16">
        <v>1</v>
      </c>
      <c r="AB244" s="16">
        <v>0</v>
      </c>
      <c r="AC244" s="16">
        <v>0</v>
      </c>
    </row>
    <row r="246" spans="1:57">
      <c r="A246" s="5" t="s">
        <v>62</v>
      </c>
    </row>
    <row r="248" spans="1:57">
      <c r="A248" s="12" t="s">
        <v>3</v>
      </c>
      <c r="B248" s="12">
        <v>1</v>
      </c>
      <c r="C248" s="12">
        <v>2</v>
      </c>
      <c r="D248" s="12">
        <v>3</v>
      </c>
      <c r="E248" s="12">
        <v>4</v>
      </c>
      <c r="F248" s="12">
        <v>5</v>
      </c>
      <c r="G248" s="12">
        <v>6</v>
      </c>
      <c r="H248" s="12">
        <v>7</v>
      </c>
      <c r="I248" s="12">
        <v>8</v>
      </c>
      <c r="J248" s="12">
        <v>9</v>
      </c>
      <c r="K248" s="12">
        <v>10</v>
      </c>
      <c r="L248" s="12">
        <v>11</v>
      </c>
      <c r="M248" s="12">
        <v>12</v>
      </c>
      <c r="N248" s="12">
        <v>13</v>
      </c>
      <c r="O248" s="12">
        <v>14</v>
      </c>
      <c r="P248" s="12">
        <v>15</v>
      </c>
      <c r="Q248" s="12">
        <v>16</v>
      </c>
      <c r="R248" s="12">
        <v>17</v>
      </c>
      <c r="S248" s="12">
        <v>18</v>
      </c>
      <c r="T248" s="12">
        <v>19</v>
      </c>
      <c r="U248" s="12">
        <v>20</v>
      </c>
      <c r="V248" s="12">
        <v>21</v>
      </c>
      <c r="W248" s="12">
        <v>22</v>
      </c>
      <c r="X248" s="12">
        <v>23</v>
      </c>
      <c r="Y248" s="12">
        <v>24</v>
      </c>
      <c r="Z248" s="12">
        <v>25</v>
      </c>
      <c r="AA248" s="12">
        <v>26</v>
      </c>
      <c r="AB248" s="12">
        <v>27</v>
      </c>
      <c r="AC248" s="12">
        <v>28</v>
      </c>
    </row>
    <row r="249" spans="1:57">
      <c r="A249" s="12" t="s">
        <v>62</v>
      </c>
      <c r="B249" s="12">
        <v>1</v>
      </c>
      <c r="C249" s="12">
        <v>1</v>
      </c>
      <c r="D249" s="12">
        <v>0</v>
      </c>
      <c r="E249" s="12">
        <v>0</v>
      </c>
      <c r="F249" s="12">
        <v>1</v>
      </c>
      <c r="G249" s="12">
        <v>1</v>
      </c>
      <c r="H249" s="12">
        <v>1</v>
      </c>
      <c r="I249" s="12">
        <v>1</v>
      </c>
      <c r="J249" s="12">
        <v>0</v>
      </c>
      <c r="K249" s="12">
        <v>0</v>
      </c>
      <c r="L249" s="12">
        <v>0</v>
      </c>
      <c r="M249" s="12">
        <v>0</v>
      </c>
      <c r="N249" s="12">
        <v>1</v>
      </c>
      <c r="O249" s="12">
        <v>0</v>
      </c>
      <c r="P249" s="12">
        <v>1</v>
      </c>
      <c r="Q249" s="12">
        <v>0</v>
      </c>
      <c r="R249" s="12">
        <v>1</v>
      </c>
      <c r="S249" s="12">
        <v>0</v>
      </c>
      <c r="T249" s="12">
        <v>1</v>
      </c>
      <c r="U249" s="12">
        <v>0</v>
      </c>
      <c r="V249" s="12">
        <v>1</v>
      </c>
      <c r="W249" s="12">
        <v>0</v>
      </c>
      <c r="X249" s="12">
        <v>1</v>
      </c>
      <c r="Y249" s="12">
        <v>0</v>
      </c>
      <c r="Z249" s="12">
        <v>1</v>
      </c>
      <c r="AA249" s="12">
        <v>1</v>
      </c>
      <c r="AB249" s="12">
        <v>0</v>
      </c>
      <c r="AC249" s="12">
        <v>0</v>
      </c>
    </row>
    <row r="251" spans="1:57">
      <c r="A251" s="6" t="s">
        <v>63</v>
      </c>
    </row>
    <row r="253" spans="1:57">
      <c r="A253" s="12" t="s">
        <v>3</v>
      </c>
      <c r="B253" s="12">
        <v>1</v>
      </c>
      <c r="C253" s="12">
        <v>2</v>
      </c>
      <c r="D253" s="12">
        <v>3</v>
      </c>
      <c r="E253" s="12">
        <v>4</v>
      </c>
      <c r="F253" s="12">
        <v>5</v>
      </c>
      <c r="G253" s="12">
        <v>6</v>
      </c>
      <c r="H253" s="12">
        <v>7</v>
      </c>
      <c r="I253" s="12">
        <v>8</v>
      </c>
      <c r="J253" s="12">
        <v>9</v>
      </c>
      <c r="K253" s="12">
        <v>10</v>
      </c>
      <c r="L253" s="12">
        <v>11</v>
      </c>
      <c r="M253" s="12">
        <v>12</v>
      </c>
      <c r="N253" s="12">
        <v>13</v>
      </c>
      <c r="O253" s="12">
        <v>14</v>
      </c>
      <c r="P253" s="12">
        <v>15</v>
      </c>
      <c r="Q253" s="12">
        <v>16</v>
      </c>
      <c r="R253" s="12">
        <v>17</v>
      </c>
      <c r="S253" s="12">
        <v>18</v>
      </c>
      <c r="T253" s="12">
        <v>19</v>
      </c>
      <c r="U253" s="12">
        <v>20</v>
      </c>
      <c r="V253" s="12">
        <v>21</v>
      </c>
      <c r="W253" s="12">
        <v>22</v>
      </c>
      <c r="X253" s="12">
        <v>23</v>
      </c>
      <c r="Y253" s="12">
        <v>24</v>
      </c>
      <c r="Z253" s="12">
        <v>25</v>
      </c>
      <c r="AA253" s="12">
        <v>26</v>
      </c>
      <c r="AB253" s="12">
        <v>27</v>
      </c>
      <c r="AC253" s="12">
        <v>28</v>
      </c>
      <c r="AD253" s="12">
        <v>29</v>
      </c>
      <c r="AE253" s="12">
        <v>30</v>
      </c>
      <c r="AF253" s="12">
        <v>31</v>
      </c>
      <c r="AG253" s="12">
        <v>32</v>
      </c>
      <c r="AH253" s="12">
        <v>33</v>
      </c>
      <c r="AI253" s="12">
        <v>34</v>
      </c>
      <c r="AJ253" s="12">
        <v>35</v>
      </c>
      <c r="AK253" s="12">
        <v>36</v>
      </c>
      <c r="AL253" s="12">
        <v>37</v>
      </c>
      <c r="AM253" s="12">
        <v>38</v>
      </c>
      <c r="AN253" s="12">
        <v>39</v>
      </c>
      <c r="AO253" s="12">
        <v>40</v>
      </c>
      <c r="AP253" s="12">
        <v>41</v>
      </c>
      <c r="AQ253" s="12">
        <v>42</v>
      </c>
      <c r="AR253" s="12">
        <v>43</v>
      </c>
      <c r="AS253" s="12">
        <v>44</v>
      </c>
      <c r="AT253" s="12">
        <v>45</v>
      </c>
      <c r="AU253" s="12">
        <v>46</v>
      </c>
      <c r="AV253" s="12">
        <v>47</v>
      </c>
      <c r="AW253" s="12">
        <v>48</v>
      </c>
      <c r="AX253" s="12">
        <v>49</v>
      </c>
      <c r="AY253" s="12">
        <v>50</v>
      </c>
      <c r="AZ253" s="12">
        <v>51</v>
      </c>
      <c r="BA253" s="12">
        <v>52</v>
      </c>
      <c r="BB253" s="12">
        <v>53</v>
      </c>
      <c r="BC253" s="12">
        <v>54</v>
      </c>
      <c r="BD253" s="12">
        <v>55</v>
      </c>
      <c r="BE253" s="12">
        <v>56</v>
      </c>
    </row>
    <row r="254" spans="1:57">
      <c r="A254" s="12" t="s">
        <v>64</v>
      </c>
      <c r="B254" s="12">
        <v>1</v>
      </c>
      <c r="C254" s="12">
        <v>1</v>
      </c>
      <c r="D254" s="12">
        <v>0</v>
      </c>
      <c r="E254" s="12">
        <v>0</v>
      </c>
      <c r="F254" s="12">
        <v>1</v>
      </c>
      <c r="G254" s="12">
        <v>0</v>
      </c>
      <c r="H254" s="12">
        <v>1</v>
      </c>
      <c r="I254" s="12">
        <v>0</v>
      </c>
      <c r="J254" s="12">
        <v>1</v>
      </c>
      <c r="K254" s="12">
        <v>0</v>
      </c>
      <c r="L254" s="12">
        <v>1</v>
      </c>
      <c r="M254" s="12">
        <v>0</v>
      </c>
      <c r="N254" s="12">
        <v>1</v>
      </c>
      <c r="O254" s="12">
        <v>0</v>
      </c>
      <c r="P254" s="12">
        <v>1</v>
      </c>
      <c r="Q254" s="12">
        <v>1</v>
      </c>
      <c r="R254" s="16">
        <v>1</v>
      </c>
      <c r="S254" s="16">
        <v>1</v>
      </c>
      <c r="T254" s="16">
        <v>1</v>
      </c>
      <c r="U254" s="16">
        <v>1</v>
      </c>
      <c r="V254" s="16">
        <v>0</v>
      </c>
      <c r="W254" s="16">
        <v>0</v>
      </c>
      <c r="X254" s="16">
        <v>0</v>
      </c>
      <c r="Y254" s="16">
        <v>0</v>
      </c>
      <c r="Z254" s="16">
        <v>1</v>
      </c>
      <c r="AA254" s="16">
        <v>1</v>
      </c>
      <c r="AB254" s="16">
        <v>0</v>
      </c>
      <c r="AC254" s="16">
        <v>0</v>
      </c>
      <c r="AD254" s="12">
        <v>1</v>
      </c>
      <c r="AE254" s="12">
        <v>1</v>
      </c>
      <c r="AF254" s="12">
        <v>0</v>
      </c>
      <c r="AG254" s="12">
        <v>0</v>
      </c>
      <c r="AH254" s="12">
        <v>1</v>
      </c>
      <c r="AI254" s="12">
        <v>1</v>
      </c>
      <c r="AJ254" s="12">
        <v>1</v>
      </c>
      <c r="AK254" s="12">
        <v>1</v>
      </c>
      <c r="AL254" s="12">
        <v>0</v>
      </c>
      <c r="AM254" s="12">
        <v>0</v>
      </c>
      <c r="AN254" s="12">
        <v>0</v>
      </c>
      <c r="AO254" s="12">
        <v>0</v>
      </c>
      <c r="AP254" s="12">
        <v>1</v>
      </c>
      <c r="AQ254" s="12">
        <v>0</v>
      </c>
      <c r="AR254" s="12">
        <v>1</v>
      </c>
      <c r="AS254" s="12">
        <v>0</v>
      </c>
      <c r="AT254" s="12">
        <v>1</v>
      </c>
      <c r="AU254" s="12">
        <v>0</v>
      </c>
      <c r="AV254" s="12">
        <v>1</v>
      </c>
      <c r="AW254" s="12">
        <v>0</v>
      </c>
      <c r="AX254" s="12">
        <v>1</v>
      </c>
      <c r="AY254" s="12">
        <v>0</v>
      </c>
      <c r="AZ254" s="12">
        <v>1</v>
      </c>
      <c r="BA254" s="12">
        <v>0</v>
      </c>
      <c r="BB254" s="12">
        <v>1</v>
      </c>
      <c r="BC254" s="12">
        <v>1</v>
      </c>
      <c r="BD254" s="12">
        <v>0</v>
      </c>
      <c r="BE254" s="12">
        <v>0</v>
      </c>
    </row>
    <row r="256" spans="1:57">
      <c r="A256" s="5" t="s">
        <v>73</v>
      </c>
      <c r="B256" s="12" cm="1">
        <f t="array" ref="B256">INDEX($B$254:$BE$254, K25)</f>
        <v>0</v>
      </c>
      <c r="C256" s="12" cm="1">
        <f t="array" ref="C256">INDEX($B$254:$BE$254, L25)</f>
        <v>1</v>
      </c>
      <c r="D256" s="12" cm="1">
        <f t="array" ref="D256">INDEX($B$254:$BE$254, M25)</f>
        <v>1</v>
      </c>
      <c r="E256" s="12" cm="1">
        <f t="array" ref="E256">INDEX($B$254:$BE$254, N25)</f>
        <v>0</v>
      </c>
      <c r="F256" s="12" cm="1">
        <f t="array" ref="F256">INDEX($B$254:$BE$254, O25)</f>
        <v>1</v>
      </c>
      <c r="G256" s="12" cm="1">
        <f t="array" ref="G256">INDEX($B$254:$BE$254, P25)</f>
        <v>1</v>
      </c>
    </row>
    <row r="257" spans="1:49">
      <c r="B257" s="12" cm="1">
        <f t="array" ref="B257">INDEX($B$254:$BE$254, K26)</f>
        <v>0</v>
      </c>
      <c r="C257" s="12" cm="1">
        <f t="array" ref="C257">INDEX($B$254:$BE$254, L26)</f>
        <v>0</v>
      </c>
      <c r="D257" s="12" cm="1">
        <f t="array" ref="D257">INDEX($B$254:$BE$254, M26)</f>
        <v>1</v>
      </c>
      <c r="E257" s="12" cm="1">
        <f t="array" ref="E257">INDEX($B$254:$BE$254, N26)</f>
        <v>0</v>
      </c>
      <c r="F257" s="12" cm="1">
        <f t="array" ref="F257">INDEX($B$254:$BE$254, O26)</f>
        <v>0</v>
      </c>
      <c r="G257" s="12" cm="1">
        <f t="array" ref="G257">INDEX($B$254:$BE$254, P26)</f>
        <v>0</v>
      </c>
    </row>
    <row r="258" spans="1:49">
      <c r="B258" s="12" cm="1">
        <f t="array" ref="B258">INDEX($B$254:$BE$254, K27)</f>
        <v>0</v>
      </c>
      <c r="C258" s="12" cm="1">
        <f t="array" ref="C258">INDEX($B$254:$BE$254, L27)</f>
        <v>1</v>
      </c>
      <c r="D258" s="12" cm="1">
        <f t="array" ref="D258">INDEX($B$254:$BE$254, M27)</f>
        <v>0</v>
      </c>
      <c r="E258" s="12" cm="1">
        <f t="array" ref="E258">INDEX($B$254:$BE$254, N27)</f>
        <v>0</v>
      </c>
      <c r="F258" s="12" cm="1">
        <f t="array" ref="F258">INDEX($B$254:$BE$254, O27)</f>
        <v>1</v>
      </c>
      <c r="G258" s="12" cm="1">
        <f t="array" ref="G258">INDEX($B$254:$BE$254, P27)</f>
        <v>0</v>
      </c>
    </row>
    <row r="259" spans="1:49">
      <c r="B259" s="12" cm="1">
        <f t="array" ref="B259">INDEX($B$254:$BE$254, K28)</f>
        <v>1</v>
      </c>
      <c r="C259" s="12" cm="1">
        <f t="array" ref="C259">INDEX($B$254:$BE$254, L28)</f>
        <v>1</v>
      </c>
      <c r="D259" s="12" cm="1">
        <f t="array" ref="D259">INDEX($B$254:$BE$254, M28)</f>
        <v>0</v>
      </c>
      <c r="E259" s="12" cm="1">
        <f t="array" ref="E259">INDEX($B$254:$BE$254, N28)</f>
        <v>1</v>
      </c>
      <c r="F259" s="12" cm="1">
        <f t="array" ref="F259">INDEX($B$254:$BE$254, O28)</f>
        <v>1</v>
      </c>
      <c r="G259" s="12" cm="1">
        <f t="array" ref="G259">INDEX($B$254:$BE$254, P28)</f>
        <v>1</v>
      </c>
    </row>
    <row r="260" spans="1:49">
      <c r="B260" s="12" cm="1">
        <f t="array" ref="B260">INDEX($B$254:$BE$254, K29)</f>
        <v>1</v>
      </c>
      <c r="C260" s="12" cm="1">
        <f t="array" ref="C260">INDEX($B$254:$BE$254, L29)</f>
        <v>0</v>
      </c>
      <c r="D260" s="12" cm="1">
        <f t="array" ref="D260">INDEX($B$254:$BE$254, M29)</f>
        <v>0</v>
      </c>
      <c r="E260" s="12" cm="1">
        <f t="array" ref="E260">INDEX($B$254:$BE$254, N29)</f>
        <v>0</v>
      </c>
      <c r="F260" s="12" cm="1">
        <f t="array" ref="F260">INDEX($B$254:$BE$254, O29)</f>
        <v>1</v>
      </c>
      <c r="G260" s="12" cm="1">
        <f t="array" ref="G260">INDEX($B$254:$BE$254, P29)</f>
        <v>0</v>
      </c>
    </row>
    <row r="261" spans="1:49">
      <c r="B261" s="12" cm="1">
        <f t="array" ref="B261">INDEX($B$254:$BE$254, K30)</f>
        <v>1</v>
      </c>
      <c r="C261" s="12" cm="1">
        <f t="array" ref="C261">INDEX($B$254:$BE$254, L30)</f>
        <v>0</v>
      </c>
      <c r="D261" s="12" cm="1">
        <f t="array" ref="D261">INDEX($B$254:$BE$254, M30)</f>
        <v>1</v>
      </c>
      <c r="E261" s="12" cm="1">
        <f t="array" ref="E261">INDEX($B$254:$BE$254, N30)</f>
        <v>1</v>
      </c>
      <c r="F261" s="12" cm="1">
        <f t="array" ref="F261">INDEX($B$254:$BE$254, O30)</f>
        <v>1</v>
      </c>
      <c r="G261" s="12" cm="1">
        <f t="array" ref="G261">INDEX($B$254:$BE$254, P30)</f>
        <v>0</v>
      </c>
    </row>
    <row r="262" spans="1:49">
      <c r="B262" s="12" cm="1">
        <f t="array" ref="B262">INDEX($B$254:$BE$254, K31)</f>
        <v>0</v>
      </c>
      <c r="C262" s="12" cm="1">
        <f t="array" ref="C262">INDEX($B$254:$BE$254, L31)</f>
        <v>1</v>
      </c>
      <c r="D262" s="12" cm="1">
        <f t="array" ref="D262">INDEX($B$254:$BE$254, M31)</f>
        <v>0</v>
      </c>
      <c r="E262" s="12" cm="1">
        <f t="array" ref="E262">INDEX($B$254:$BE$254, N31)</f>
        <v>0</v>
      </c>
      <c r="F262" s="12" cm="1">
        <f t="array" ref="F262">INDEX($B$254:$BE$254, O31)</f>
        <v>1</v>
      </c>
      <c r="G262" s="12" cm="1">
        <f t="array" ref="G262">INDEX($B$254:$BE$254, P31)</f>
        <v>1</v>
      </c>
    </row>
    <row r="263" spans="1:49">
      <c r="B263" s="12" cm="1">
        <f t="array" ref="B263">INDEX($B$254:$BE$254, K32)</f>
        <v>0</v>
      </c>
      <c r="C263" s="12" cm="1">
        <f t="array" ref="C263">INDEX($B$254:$BE$254, L32)</f>
        <v>0</v>
      </c>
      <c r="D263" s="12" cm="1">
        <f t="array" ref="D263">INDEX($B$254:$BE$254, M32)</f>
        <v>0</v>
      </c>
      <c r="E263" s="12" cm="1">
        <f t="array" ref="E263">INDEX($B$254:$BE$254, N32)</f>
        <v>1</v>
      </c>
      <c r="F263" s="12" cm="1">
        <f t="array" ref="F263">INDEX($B$254:$BE$254, O32)</f>
        <v>1</v>
      </c>
      <c r="G263" s="12" cm="1">
        <f t="array" ref="G263">INDEX($B$254:$BE$254, P32)</f>
        <v>0</v>
      </c>
    </row>
    <row r="265" spans="1:49">
      <c r="A265" s="12" t="s">
        <v>3</v>
      </c>
      <c r="B265" s="12">
        <v>1</v>
      </c>
      <c r="C265" s="12">
        <v>2</v>
      </c>
      <c r="D265" s="12">
        <v>3</v>
      </c>
      <c r="E265" s="12">
        <v>4</v>
      </c>
      <c r="F265" s="12">
        <v>5</v>
      </c>
      <c r="G265" s="12">
        <v>6</v>
      </c>
      <c r="H265" s="12">
        <v>7</v>
      </c>
      <c r="I265" s="12">
        <v>8</v>
      </c>
      <c r="J265" s="12">
        <v>9</v>
      </c>
      <c r="K265" s="12">
        <v>10</v>
      </c>
      <c r="L265" s="12">
        <v>11</v>
      </c>
      <c r="M265" s="12">
        <v>12</v>
      </c>
      <c r="N265" s="12">
        <v>13</v>
      </c>
      <c r="O265" s="12">
        <v>14</v>
      </c>
      <c r="P265" s="12">
        <v>15</v>
      </c>
      <c r="Q265" s="12">
        <v>16</v>
      </c>
      <c r="R265" s="12">
        <v>17</v>
      </c>
      <c r="S265" s="12">
        <v>18</v>
      </c>
      <c r="T265" s="12">
        <v>19</v>
      </c>
      <c r="U265" s="12">
        <v>20</v>
      </c>
      <c r="V265" s="12">
        <v>21</v>
      </c>
      <c r="W265" s="12">
        <v>22</v>
      </c>
      <c r="X265" s="12">
        <v>23</v>
      </c>
      <c r="Y265" s="12">
        <v>24</v>
      </c>
      <c r="Z265" s="12">
        <v>25</v>
      </c>
      <c r="AA265" s="12">
        <v>26</v>
      </c>
      <c r="AB265" s="12">
        <v>27</v>
      </c>
      <c r="AC265" s="12">
        <v>28</v>
      </c>
      <c r="AD265" s="12">
        <v>29</v>
      </c>
      <c r="AE265" s="12">
        <v>30</v>
      </c>
      <c r="AF265" s="12">
        <v>31</v>
      </c>
      <c r="AG265" s="12">
        <v>32</v>
      </c>
      <c r="AH265" s="12">
        <v>33</v>
      </c>
      <c r="AI265" s="12">
        <v>34</v>
      </c>
      <c r="AJ265" s="12">
        <v>35</v>
      </c>
      <c r="AK265" s="12">
        <v>36</v>
      </c>
      <c r="AL265" s="12">
        <v>37</v>
      </c>
      <c r="AM265" s="12">
        <v>38</v>
      </c>
      <c r="AN265" s="12">
        <v>39</v>
      </c>
      <c r="AO265" s="12">
        <v>40</v>
      </c>
      <c r="AP265" s="12">
        <v>41</v>
      </c>
      <c r="AQ265" s="12">
        <v>42</v>
      </c>
      <c r="AR265" s="12">
        <v>43</v>
      </c>
      <c r="AS265" s="12">
        <v>44</v>
      </c>
      <c r="AT265" s="12">
        <v>45</v>
      </c>
      <c r="AU265" s="12">
        <v>46</v>
      </c>
      <c r="AV265" s="12">
        <v>47</v>
      </c>
      <c r="AW265" s="12">
        <v>48</v>
      </c>
    </row>
    <row r="266" spans="1:49">
      <c r="A266" s="12" t="s">
        <v>65</v>
      </c>
      <c r="B266" s="12" cm="1">
        <f t="array" ref="B266">INDEX($B$256:$G263, INT((COLUMN(A169)-1)/6)+1, MOD(COLUMN(A169)-1,6)+1)</f>
        <v>0</v>
      </c>
      <c r="C266" s="12" cm="1">
        <f t="array" ref="C266">INDEX($B$256:$G263, INT((COLUMN(B169)-1)/6)+1, MOD(COLUMN(B169)-1,6)+1)</f>
        <v>1</v>
      </c>
      <c r="D266" s="12" cm="1">
        <f t="array" ref="D266">INDEX($B$256:$G263, INT((COLUMN(C169)-1)/6)+1, MOD(COLUMN(C169)-1,6)+1)</f>
        <v>1</v>
      </c>
      <c r="E266" s="12" cm="1">
        <f t="array" ref="E266">INDEX($B$256:$G263, INT((COLUMN(D169)-1)/6)+1, MOD(COLUMN(D169)-1,6)+1)</f>
        <v>0</v>
      </c>
      <c r="F266" s="12" cm="1">
        <f t="array" ref="F266">INDEX($B$256:$G263, INT((COLUMN(E169)-1)/6)+1, MOD(COLUMN(E169)-1,6)+1)</f>
        <v>1</v>
      </c>
      <c r="G266" s="12" cm="1">
        <f t="array" ref="G266">INDEX($B$256:$G263, INT((COLUMN(F169)-1)/6)+1, MOD(COLUMN(F169)-1,6)+1)</f>
        <v>1</v>
      </c>
      <c r="H266" s="12" cm="1">
        <f t="array" ref="H266">INDEX($B$256:$G263, INT((COLUMN(G169)-1)/6)+1, MOD(COLUMN(G169)-1,6)+1)</f>
        <v>0</v>
      </c>
      <c r="I266" s="12" cm="1">
        <f t="array" ref="I266">INDEX($B$256:$G263, INT((COLUMN(H169)-1)/6)+1, MOD(COLUMN(H169)-1,6)+1)</f>
        <v>0</v>
      </c>
      <c r="J266" s="12" cm="1">
        <f t="array" ref="J266">INDEX($B$256:$G263, INT((COLUMN(I169)-1)/6)+1, MOD(COLUMN(I169)-1,6)+1)</f>
        <v>1</v>
      </c>
      <c r="K266" s="12" cm="1">
        <f t="array" ref="K266">INDEX($B$256:$G263, INT((COLUMN(J169)-1)/6)+1, MOD(COLUMN(J169)-1,6)+1)</f>
        <v>0</v>
      </c>
      <c r="L266" s="12" cm="1">
        <f t="array" ref="L266">INDEX($B$256:$G263, INT((COLUMN(K169)-1)/6)+1, MOD(COLUMN(K169)-1,6)+1)</f>
        <v>0</v>
      </c>
      <c r="M266" s="12" cm="1">
        <f t="array" ref="M266">INDEX($B$256:$G263, INT((COLUMN(L169)-1)/6)+1, MOD(COLUMN(L169)-1,6)+1)</f>
        <v>0</v>
      </c>
      <c r="N266" s="12" cm="1">
        <f t="array" ref="N266">INDEX($B$256:$G263, INT((COLUMN(M169)-1)/6)+1, MOD(COLUMN(M169)-1,6)+1)</f>
        <v>0</v>
      </c>
      <c r="O266" s="12" cm="1">
        <f t="array" ref="O266">INDEX($B$256:$G263, INT((COLUMN(N169)-1)/6)+1, MOD(COLUMN(N169)-1,6)+1)</f>
        <v>1</v>
      </c>
      <c r="P266" s="12" cm="1">
        <f t="array" ref="P266">INDEX($B$256:$G263, INT((COLUMN(O169)-1)/6)+1, MOD(COLUMN(O169)-1,6)+1)</f>
        <v>0</v>
      </c>
      <c r="Q266" s="12" cm="1">
        <f t="array" ref="Q266">INDEX($B$256:$G263, INT((COLUMN(P169)-1)/6)+1, MOD(COLUMN(P169)-1,6)+1)</f>
        <v>0</v>
      </c>
      <c r="R266" s="12" cm="1">
        <f t="array" ref="R266">INDEX($B$256:$G263, INT((COLUMN(Q169)-1)/6)+1, MOD(COLUMN(Q169)-1,6)+1)</f>
        <v>1</v>
      </c>
      <c r="S266" s="12" cm="1">
        <f t="array" ref="S266">INDEX($B$256:$G263, INT((COLUMN(R169)-1)/6)+1, MOD(COLUMN(R169)-1,6)+1)</f>
        <v>0</v>
      </c>
      <c r="T266" s="12" cm="1">
        <f t="array" ref="T266">INDEX($B$256:$G263, INT((COLUMN(S169)-1)/6)+1, MOD(COLUMN(S169)-1,6)+1)</f>
        <v>1</v>
      </c>
      <c r="U266" s="12" cm="1">
        <f t="array" ref="U266">INDEX($B$256:$G263, INT((COLUMN(T169)-1)/6)+1, MOD(COLUMN(T169)-1,6)+1)</f>
        <v>1</v>
      </c>
      <c r="V266" s="12" cm="1">
        <f t="array" ref="V266">INDEX($B$256:$G263, INT((COLUMN(U169)-1)/6)+1, MOD(COLUMN(U169)-1,6)+1)</f>
        <v>0</v>
      </c>
      <c r="W266" s="12" cm="1">
        <f t="array" ref="W266">INDEX($B$256:$G263, INT((COLUMN(V169)-1)/6)+1, MOD(COLUMN(V169)-1,6)+1)</f>
        <v>1</v>
      </c>
      <c r="X266" s="12" cm="1">
        <f t="array" ref="X266">INDEX($B$256:$G263, INT((COLUMN(W169)-1)/6)+1, MOD(COLUMN(W169)-1,6)+1)</f>
        <v>1</v>
      </c>
      <c r="Y266" s="12" cm="1">
        <f t="array" ref="Y266">INDEX($B$256:$G263, INT((COLUMN(X169)-1)/6)+1, MOD(COLUMN(X169)-1,6)+1)</f>
        <v>1</v>
      </c>
      <c r="Z266" s="12" cm="1">
        <f t="array" ref="Z266">INDEX($B$256:$G263, INT((COLUMN(Y169)-1)/6)+1, MOD(COLUMN(Y169)-1,6)+1)</f>
        <v>1</v>
      </c>
      <c r="AA266" s="12" cm="1">
        <f t="array" ref="AA266">INDEX($B$256:$G263, INT((COLUMN(Z169)-1)/6)+1, MOD(COLUMN(Z169)-1,6)+1)</f>
        <v>0</v>
      </c>
      <c r="AB266" s="12" cm="1">
        <f t="array" ref="AB266">INDEX($B$256:$G263, INT((COLUMN(AA169)-1)/6)+1, MOD(COLUMN(AA169)-1,6)+1)</f>
        <v>0</v>
      </c>
      <c r="AC266" s="12" cm="1">
        <f t="array" ref="AC266">INDEX($B$256:$G263, INT((COLUMN(AB169)-1)/6)+1, MOD(COLUMN(AB169)-1,6)+1)</f>
        <v>0</v>
      </c>
      <c r="AD266" s="12" cm="1">
        <f t="array" ref="AD266">INDEX($B$256:$G263, INT((COLUMN(AC169)-1)/6)+1, MOD(COLUMN(AC169)-1,6)+1)</f>
        <v>1</v>
      </c>
      <c r="AE266" s="12" cm="1">
        <f t="array" ref="AE266">INDEX($B$256:$G263, INT((COLUMN(AD169)-1)/6)+1, MOD(COLUMN(AD169)-1,6)+1)</f>
        <v>0</v>
      </c>
      <c r="AF266" s="12" cm="1">
        <f t="array" ref="AF266">INDEX($B$256:$G263, INT((COLUMN(AE169)-1)/6)+1, MOD(COLUMN(AE169)-1,6)+1)</f>
        <v>1</v>
      </c>
      <c r="AG266" s="12" cm="1">
        <f t="array" ref="AG266">INDEX($B$256:$G263, INT((COLUMN(AF169)-1)/6)+1, MOD(COLUMN(AF169)-1,6)+1)</f>
        <v>0</v>
      </c>
      <c r="AH266" s="12" cm="1">
        <f t="array" ref="AH266">INDEX($B$256:$G263, INT((COLUMN(AG169)-1)/6)+1, MOD(COLUMN(AG169)-1,6)+1)</f>
        <v>1</v>
      </c>
      <c r="AI266" s="12" cm="1">
        <f t="array" ref="AI266">INDEX($B$256:$G263, INT((COLUMN(AH169)-1)/6)+1, MOD(COLUMN(AH169)-1,6)+1)</f>
        <v>1</v>
      </c>
      <c r="AJ266" s="12" cm="1">
        <f t="array" ref="AJ266">INDEX($B$256:$G263, INT((COLUMN(AI169)-1)/6)+1, MOD(COLUMN(AI169)-1,6)+1)</f>
        <v>1</v>
      </c>
      <c r="AK266" s="12" cm="1">
        <f t="array" ref="AK266">INDEX($B$256:$G263, INT((COLUMN(AJ169)-1)/6)+1, MOD(COLUMN(AJ169)-1,6)+1)</f>
        <v>0</v>
      </c>
      <c r="AL266" s="12" cm="1">
        <f t="array" ref="AL266">INDEX($B$256:$G263, INT((COLUMN(AK169)-1)/6)+1, MOD(COLUMN(AK169)-1,6)+1)</f>
        <v>0</v>
      </c>
      <c r="AM266" s="12" cm="1">
        <f t="array" ref="AM266">INDEX($B$256:$G263, INT((COLUMN(AL169)-1)/6)+1, MOD(COLUMN(AL169)-1,6)+1)</f>
        <v>1</v>
      </c>
      <c r="AN266" s="12" cm="1">
        <f t="array" ref="AN266">INDEX($B$256:$G263, INT((COLUMN(AM169)-1)/6)+1, MOD(COLUMN(AM169)-1,6)+1)</f>
        <v>0</v>
      </c>
      <c r="AO266" s="12" cm="1">
        <f t="array" ref="AO266">INDEX($B$256:$G263, INT((COLUMN(AN169)-1)/6)+1, MOD(COLUMN(AN169)-1,6)+1)</f>
        <v>0</v>
      </c>
      <c r="AP266" s="12" cm="1">
        <f t="array" ref="AP266">INDEX($B$256:$G263, INT((COLUMN(AO169)-1)/6)+1, MOD(COLUMN(AO169)-1,6)+1)</f>
        <v>1</v>
      </c>
      <c r="AQ266" s="12" cm="1">
        <f t="array" ref="AQ266">INDEX($B$256:$G263, INT((COLUMN(AP169)-1)/6)+1, MOD(COLUMN(AP169)-1,6)+1)</f>
        <v>1</v>
      </c>
      <c r="AR266" s="12" cm="1">
        <f t="array" ref="AR266">INDEX($B$256:$G263, INT((COLUMN(AQ169)-1)/6)+1, MOD(COLUMN(AQ169)-1,6)+1)</f>
        <v>0</v>
      </c>
      <c r="AS266" s="12" cm="1">
        <f t="array" ref="AS266">INDEX($B$256:$G263, INT((COLUMN(AR169)-1)/6)+1, MOD(COLUMN(AR169)-1,6)+1)</f>
        <v>0</v>
      </c>
      <c r="AT266" s="12" cm="1">
        <f t="array" ref="AT266">INDEX($B$256:$G263, INT((COLUMN(AS169)-1)/6)+1, MOD(COLUMN(AS169)-1,6)+1)</f>
        <v>0</v>
      </c>
      <c r="AU266" s="12" cm="1">
        <f t="array" ref="AU266">INDEX($B$256:$G263, INT((COLUMN(AT169)-1)/6)+1, MOD(COLUMN(AT169)-1,6)+1)</f>
        <v>1</v>
      </c>
      <c r="AV266" s="12" cm="1">
        <f t="array" ref="AV266">INDEX($B$256:$G263, INT((COLUMN(AU169)-1)/6)+1, MOD(COLUMN(AU169)-1,6)+1)</f>
        <v>1</v>
      </c>
      <c r="AW266" s="12" cm="1">
        <f t="array" ref="AW266">INDEX($B$256:$G263, INT((COLUMN(AV169)-1)/6)+1, MOD(COLUMN(AV169)-1,6)+1)</f>
        <v>0</v>
      </c>
    </row>
    <row r="268" spans="1:49">
      <c r="A268" s="20" t="s">
        <v>66</v>
      </c>
    </row>
    <row r="269" spans="1:49">
      <c r="A269" s="5" t="s">
        <v>68</v>
      </c>
    </row>
    <row r="271" spans="1:49">
      <c r="A271" s="12" t="s">
        <v>3</v>
      </c>
      <c r="B271" s="12">
        <v>1</v>
      </c>
      <c r="C271" s="12">
        <v>2</v>
      </c>
      <c r="D271" s="12">
        <v>3</v>
      </c>
      <c r="E271" s="12">
        <v>4</v>
      </c>
      <c r="F271" s="12">
        <v>5</v>
      </c>
      <c r="G271" s="12">
        <v>6</v>
      </c>
      <c r="H271" s="12">
        <v>7</v>
      </c>
      <c r="I271" s="12">
        <v>8</v>
      </c>
      <c r="J271" s="12">
        <v>9</v>
      </c>
      <c r="K271" s="12">
        <v>10</v>
      </c>
      <c r="L271" s="12">
        <v>11</v>
      </c>
      <c r="M271" s="12">
        <v>12</v>
      </c>
      <c r="N271" s="12">
        <v>13</v>
      </c>
      <c r="O271" s="12">
        <v>14</v>
      </c>
      <c r="P271" s="12">
        <v>15</v>
      </c>
      <c r="Q271" s="12">
        <v>16</v>
      </c>
      <c r="R271" s="12">
        <v>17</v>
      </c>
      <c r="S271" s="12">
        <v>18</v>
      </c>
      <c r="T271" s="12">
        <v>19</v>
      </c>
      <c r="U271" s="12">
        <v>20</v>
      </c>
      <c r="V271" s="12">
        <v>21</v>
      </c>
      <c r="W271" s="12">
        <v>22</v>
      </c>
      <c r="X271" s="12">
        <v>23</v>
      </c>
      <c r="Y271" s="12">
        <v>24</v>
      </c>
      <c r="Z271" s="12">
        <v>25</v>
      </c>
      <c r="AA271" s="12">
        <v>26</v>
      </c>
      <c r="AB271" s="12">
        <v>27</v>
      </c>
      <c r="AC271" s="12">
        <v>28</v>
      </c>
    </row>
    <row r="272" spans="1:49">
      <c r="A272" s="12" t="s">
        <v>68</v>
      </c>
      <c r="B272" s="12">
        <v>0</v>
      </c>
      <c r="C272" s="12">
        <v>0</v>
      </c>
      <c r="D272" s="12">
        <v>1</v>
      </c>
      <c r="E272" s="12">
        <v>0</v>
      </c>
      <c r="F272" s="12">
        <v>1</v>
      </c>
      <c r="G272" s="12">
        <v>0</v>
      </c>
      <c r="H272" s="12">
        <v>1</v>
      </c>
      <c r="I272" s="12">
        <v>0</v>
      </c>
      <c r="J272" s="12">
        <v>1</v>
      </c>
      <c r="K272" s="12">
        <v>0</v>
      </c>
      <c r="L272" s="12">
        <v>1</v>
      </c>
      <c r="M272" s="12">
        <v>0</v>
      </c>
      <c r="N272" s="12">
        <v>1</v>
      </c>
      <c r="O272" s="12">
        <v>1</v>
      </c>
      <c r="P272" s="16">
        <v>1</v>
      </c>
      <c r="Q272" s="16">
        <v>1</v>
      </c>
      <c r="R272" s="16">
        <v>1</v>
      </c>
      <c r="S272" s="16">
        <v>1</v>
      </c>
      <c r="T272" s="16">
        <v>0</v>
      </c>
      <c r="U272" s="16">
        <v>0</v>
      </c>
      <c r="V272" s="16">
        <v>0</v>
      </c>
      <c r="W272" s="16">
        <v>0</v>
      </c>
      <c r="X272" s="16">
        <v>1</v>
      </c>
      <c r="Y272" s="16">
        <v>1</v>
      </c>
      <c r="Z272" s="16">
        <v>0</v>
      </c>
      <c r="AA272" s="16">
        <v>0</v>
      </c>
      <c r="AB272" s="16">
        <v>1</v>
      </c>
      <c r="AC272" s="16">
        <v>1</v>
      </c>
    </row>
    <row r="274" spans="1:57">
      <c r="A274" s="5" t="s">
        <v>69</v>
      </c>
    </row>
    <row r="276" spans="1:57">
      <c r="A276" s="12" t="s">
        <v>3</v>
      </c>
      <c r="B276" s="12">
        <v>1</v>
      </c>
      <c r="C276" s="12">
        <v>2</v>
      </c>
      <c r="D276" s="12">
        <v>3</v>
      </c>
      <c r="E276" s="12">
        <v>4</v>
      </c>
      <c r="F276" s="12">
        <v>5</v>
      </c>
      <c r="G276" s="12">
        <v>6</v>
      </c>
      <c r="H276" s="12">
        <v>7</v>
      </c>
      <c r="I276" s="12">
        <v>8</v>
      </c>
      <c r="J276" s="12">
        <v>9</v>
      </c>
      <c r="K276" s="12">
        <v>10</v>
      </c>
      <c r="L276" s="12">
        <v>11</v>
      </c>
      <c r="M276" s="12">
        <v>12</v>
      </c>
      <c r="N276" s="12">
        <v>13</v>
      </c>
      <c r="O276" s="12">
        <v>14</v>
      </c>
      <c r="P276" s="12">
        <v>15</v>
      </c>
      <c r="Q276" s="12">
        <v>16</v>
      </c>
      <c r="R276" s="12">
        <v>17</v>
      </c>
      <c r="S276" s="12">
        <v>18</v>
      </c>
      <c r="T276" s="12">
        <v>19</v>
      </c>
      <c r="U276" s="12">
        <v>20</v>
      </c>
      <c r="V276" s="12">
        <v>21</v>
      </c>
      <c r="W276" s="12">
        <v>22</v>
      </c>
      <c r="X276" s="12">
        <v>23</v>
      </c>
      <c r="Y276" s="12">
        <v>24</v>
      </c>
      <c r="Z276" s="12">
        <v>25</v>
      </c>
      <c r="AA276" s="12">
        <v>26</v>
      </c>
      <c r="AB276" s="12">
        <v>27</v>
      </c>
      <c r="AC276" s="12">
        <v>28</v>
      </c>
    </row>
    <row r="277" spans="1:57">
      <c r="A277" s="12" t="s">
        <v>69</v>
      </c>
      <c r="B277" s="12">
        <v>0</v>
      </c>
      <c r="C277" s="12">
        <v>0</v>
      </c>
      <c r="D277" s="12">
        <v>1</v>
      </c>
      <c r="E277" s="12">
        <v>1</v>
      </c>
      <c r="F277" s="12">
        <v>1</v>
      </c>
      <c r="G277" s="12">
        <v>1</v>
      </c>
      <c r="H277" s="12">
        <v>0</v>
      </c>
      <c r="I277" s="12">
        <v>0</v>
      </c>
      <c r="J277" s="12">
        <v>0</v>
      </c>
      <c r="K277" s="12">
        <v>0</v>
      </c>
      <c r="L277" s="12">
        <v>1</v>
      </c>
      <c r="M277" s="12">
        <v>0</v>
      </c>
      <c r="N277" s="12">
        <v>1</v>
      </c>
      <c r="O277" s="12">
        <v>0</v>
      </c>
      <c r="P277" s="12">
        <v>1</v>
      </c>
      <c r="Q277" s="12">
        <v>0</v>
      </c>
      <c r="R277" s="12">
        <v>1</v>
      </c>
      <c r="S277" s="12">
        <v>0</v>
      </c>
      <c r="T277" s="12">
        <v>1</v>
      </c>
      <c r="U277" s="12">
        <v>0</v>
      </c>
      <c r="V277" s="12">
        <v>1</v>
      </c>
      <c r="W277" s="12">
        <v>0</v>
      </c>
      <c r="X277" s="12">
        <v>1</v>
      </c>
      <c r="Y277" s="12">
        <v>1</v>
      </c>
      <c r="Z277" s="12">
        <v>0</v>
      </c>
      <c r="AA277" s="12">
        <v>0</v>
      </c>
      <c r="AB277" s="12">
        <v>1</v>
      </c>
      <c r="AC277" s="12">
        <v>1</v>
      </c>
    </row>
    <row r="279" spans="1:57">
      <c r="A279" s="6" t="s">
        <v>70</v>
      </c>
    </row>
    <row r="281" spans="1:57">
      <c r="A281" s="12" t="s">
        <v>3</v>
      </c>
      <c r="B281" s="12">
        <v>1</v>
      </c>
      <c r="C281" s="12">
        <v>2</v>
      </c>
      <c r="D281" s="12">
        <v>3</v>
      </c>
      <c r="E281" s="12">
        <v>4</v>
      </c>
      <c r="F281" s="12">
        <v>5</v>
      </c>
      <c r="G281" s="12">
        <v>6</v>
      </c>
      <c r="H281" s="12">
        <v>7</v>
      </c>
      <c r="I281" s="12">
        <v>8</v>
      </c>
      <c r="J281" s="12">
        <v>9</v>
      </c>
      <c r="K281" s="12">
        <v>10</v>
      </c>
      <c r="L281" s="12">
        <v>11</v>
      </c>
      <c r="M281" s="12">
        <v>12</v>
      </c>
      <c r="N281" s="12">
        <v>13</v>
      </c>
      <c r="O281" s="12">
        <v>14</v>
      </c>
      <c r="P281" s="12">
        <v>15</v>
      </c>
      <c r="Q281" s="12">
        <v>16</v>
      </c>
      <c r="R281" s="12">
        <v>17</v>
      </c>
      <c r="S281" s="12">
        <v>18</v>
      </c>
      <c r="T281" s="12">
        <v>19</v>
      </c>
      <c r="U281" s="12">
        <v>20</v>
      </c>
      <c r="V281" s="12">
        <v>21</v>
      </c>
      <c r="W281" s="12">
        <v>22</v>
      </c>
      <c r="X281" s="12">
        <v>23</v>
      </c>
      <c r="Y281" s="12">
        <v>24</v>
      </c>
      <c r="Z281" s="12">
        <v>25</v>
      </c>
      <c r="AA281" s="12">
        <v>26</v>
      </c>
      <c r="AB281" s="12">
        <v>27</v>
      </c>
      <c r="AC281" s="12">
        <v>28</v>
      </c>
      <c r="AD281" s="12">
        <v>29</v>
      </c>
      <c r="AE281" s="12">
        <v>30</v>
      </c>
      <c r="AF281" s="12">
        <v>31</v>
      </c>
      <c r="AG281" s="12">
        <v>32</v>
      </c>
      <c r="AH281" s="12">
        <v>33</v>
      </c>
      <c r="AI281" s="12">
        <v>34</v>
      </c>
      <c r="AJ281" s="12">
        <v>35</v>
      </c>
      <c r="AK281" s="12">
        <v>36</v>
      </c>
      <c r="AL281" s="12">
        <v>37</v>
      </c>
      <c r="AM281" s="12">
        <v>38</v>
      </c>
      <c r="AN281" s="12">
        <v>39</v>
      </c>
      <c r="AO281" s="12">
        <v>40</v>
      </c>
      <c r="AP281" s="12">
        <v>41</v>
      </c>
      <c r="AQ281" s="12">
        <v>42</v>
      </c>
      <c r="AR281" s="12">
        <v>43</v>
      </c>
      <c r="AS281" s="12">
        <v>44</v>
      </c>
      <c r="AT281" s="12">
        <v>45</v>
      </c>
      <c r="AU281" s="12">
        <v>46</v>
      </c>
      <c r="AV281" s="12">
        <v>47</v>
      </c>
      <c r="AW281" s="12">
        <v>48</v>
      </c>
      <c r="AX281" s="12">
        <v>49</v>
      </c>
      <c r="AY281" s="12">
        <v>50</v>
      </c>
      <c r="AZ281" s="12">
        <v>51</v>
      </c>
      <c r="BA281" s="12">
        <v>52</v>
      </c>
      <c r="BB281" s="12">
        <v>53</v>
      </c>
      <c r="BC281" s="12">
        <v>54</v>
      </c>
      <c r="BD281" s="12">
        <v>55</v>
      </c>
      <c r="BE281" s="12">
        <v>56</v>
      </c>
    </row>
    <row r="282" spans="1:57">
      <c r="A282" s="12" t="s">
        <v>71</v>
      </c>
      <c r="B282" s="12">
        <v>0</v>
      </c>
      <c r="C282" s="12">
        <v>0</v>
      </c>
      <c r="D282" s="12">
        <v>1</v>
      </c>
      <c r="E282" s="12">
        <v>0</v>
      </c>
      <c r="F282" s="12">
        <v>1</v>
      </c>
      <c r="G282" s="12">
        <v>0</v>
      </c>
      <c r="H282" s="12">
        <v>1</v>
      </c>
      <c r="I282" s="12">
        <v>0</v>
      </c>
      <c r="J282" s="12">
        <v>1</v>
      </c>
      <c r="K282" s="12">
        <v>0</v>
      </c>
      <c r="L282" s="12">
        <v>1</v>
      </c>
      <c r="M282" s="12">
        <v>0</v>
      </c>
      <c r="N282" s="12">
        <v>1</v>
      </c>
      <c r="O282" s="12">
        <v>1</v>
      </c>
      <c r="P282" s="16">
        <v>1</v>
      </c>
      <c r="Q282" s="16">
        <v>1</v>
      </c>
      <c r="R282" s="16">
        <v>1</v>
      </c>
      <c r="S282" s="16">
        <v>1</v>
      </c>
      <c r="T282" s="16">
        <v>0</v>
      </c>
      <c r="U282" s="16">
        <v>0</v>
      </c>
      <c r="V282" s="16">
        <v>0</v>
      </c>
      <c r="W282" s="16">
        <v>0</v>
      </c>
      <c r="X282" s="16">
        <v>1</v>
      </c>
      <c r="Y282" s="16">
        <v>1</v>
      </c>
      <c r="Z282" s="16">
        <v>0</v>
      </c>
      <c r="AA282" s="16">
        <v>0</v>
      </c>
      <c r="AB282" s="16">
        <v>1</v>
      </c>
      <c r="AC282" s="16">
        <v>1</v>
      </c>
      <c r="AD282" s="12">
        <v>0</v>
      </c>
      <c r="AE282" s="12">
        <v>0</v>
      </c>
      <c r="AF282" s="12">
        <v>1</v>
      </c>
      <c r="AG282" s="12">
        <v>1</v>
      </c>
      <c r="AH282" s="12">
        <v>1</v>
      </c>
      <c r="AI282" s="12">
        <v>1</v>
      </c>
      <c r="AJ282" s="12">
        <v>0</v>
      </c>
      <c r="AK282" s="12">
        <v>0</v>
      </c>
      <c r="AL282" s="12">
        <v>0</v>
      </c>
      <c r="AM282" s="12">
        <v>0</v>
      </c>
      <c r="AN282" s="12">
        <v>1</v>
      </c>
      <c r="AO282" s="12">
        <v>0</v>
      </c>
      <c r="AP282" s="12">
        <v>1</v>
      </c>
      <c r="AQ282" s="12">
        <v>0</v>
      </c>
      <c r="AR282" s="12">
        <v>1</v>
      </c>
      <c r="AS282" s="12">
        <v>0</v>
      </c>
      <c r="AT282" s="12">
        <v>1</v>
      </c>
      <c r="AU282" s="12">
        <v>0</v>
      </c>
      <c r="AV282" s="12">
        <v>1</v>
      </c>
      <c r="AW282" s="12">
        <v>0</v>
      </c>
      <c r="AX282" s="12">
        <v>1</v>
      </c>
      <c r="AY282" s="12">
        <v>0</v>
      </c>
      <c r="AZ282" s="12">
        <v>1</v>
      </c>
      <c r="BA282" s="12">
        <v>1</v>
      </c>
      <c r="BB282" s="12">
        <v>0</v>
      </c>
      <c r="BC282" s="12">
        <v>0</v>
      </c>
      <c r="BD282" s="12">
        <v>1</v>
      </c>
      <c r="BE282" s="12">
        <v>1</v>
      </c>
    </row>
    <row r="284" spans="1:57">
      <c r="A284" s="5" t="s">
        <v>72</v>
      </c>
      <c r="B284" s="12" cm="1">
        <f t="array" ref="B284">INDEX($B$282:$BE$282, K25)</f>
        <v>1</v>
      </c>
      <c r="C284" s="12" cm="1">
        <f t="array" ref="C284">INDEX($B$282:$BE$282, L25)</f>
        <v>1</v>
      </c>
      <c r="D284" s="12" cm="1">
        <f t="array" ref="D284">INDEX($B$282:$BE$282, M25)</f>
        <v>1</v>
      </c>
      <c r="E284" s="12" cm="1">
        <f t="array" ref="E284">INDEX($B$282:$BE$282, N25)</f>
        <v>1</v>
      </c>
      <c r="F284" s="12" cm="1">
        <f t="array" ref="F284">INDEX($B$282:$BE$282, O25)</f>
        <v>0</v>
      </c>
      <c r="G284" s="12" cm="1">
        <f t="array" ref="G284">INDEX($B$282:$BE$282, P25)</f>
        <v>1</v>
      </c>
    </row>
    <row r="285" spans="1:57">
      <c r="B285" s="12" cm="1">
        <f t="array" ref="B285">INDEX($B$282:$BE$282, K26)</f>
        <v>1</v>
      </c>
      <c r="C285" s="12" cm="1">
        <f t="array" ref="C285">INDEX($B$282:$BE$282, L26)</f>
        <v>1</v>
      </c>
      <c r="D285" s="12" cm="1">
        <f t="array" ref="D285">INDEX($B$282:$BE$282, M26)</f>
        <v>1</v>
      </c>
      <c r="E285" s="12" cm="1">
        <f t="array" ref="E285">INDEX($B$282:$BE$282, N26)</f>
        <v>0</v>
      </c>
      <c r="F285" s="12" cm="1">
        <f t="array" ref="F285">INDEX($B$282:$BE$282, O26)</f>
        <v>0</v>
      </c>
      <c r="G285" s="12" cm="1">
        <f t="array" ref="G285">INDEX($B$282:$BE$282, P26)</f>
        <v>0</v>
      </c>
    </row>
    <row r="286" spans="1:57">
      <c r="B286" s="12" cm="1">
        <f t="array" ref="B286">INDEX($B$282:$BE$282, K27)</f>
        <v>1</v>
      </c>
      <c r="C286" s="12" cm="1">
        <f t="array" ref="C286">INDEX($B$282:$BE$282, L27)</f>
        <v>0</v>
      </c>
      <c r="D286" s="12" cm="1">
        <f t="array" ref="D286">INDEX($B$282:$BE$282, M27)</f>
        <v>0</v>
      </c>
      <c r="E286" s="12" cm="1">
        <f t="array" ref="E286">INDEX($B$282:$BE$282, N27)</f>
        <v>0</v>
      </c>
      <c r="F286" s="12" cm="1">
        <f t="array" ref="F286">INDEX($B$282:$BE$282, O27)</f>
        <v>0</v>
      </c>
      <c r="G286" s="12" cm="1">
        <f t="array" ref="G286">INDEX($B$282:$BE$282, P27)</f>
        <v>0</v>
      </c>
    </row>
    <row r="287" spans="1:57">
      <c r="B287" s="12" cm="1">
        <f t="array" ref="B287">INDEX($B$282:$BE$282, K28)</f>
        <v>1</v>
      </c>
      <c r="C287" s="12" cm="1">
        <f t="array" ref="C287">INDEX($B$282:$BE$282, L28)</f>
        <v>1</v>
      </c>
      <c r="D287" s="12" cm="1">
        <f t="array" ref="D287">INDEX($B$282:$BE$282, M28)</f>
        <v>1</v>
      </c>
      <c r="E287" s="12" cm="1">
        <f t="array" ref="E287">INDEX($B$282:$BE$282, N28)</f>
        <v>0</v>
      </c>
      <c r="F287" s="12" cm="1">
        <f t="array" ref="F287">INDEX($B$282:$BE$282, O28)</f>
        <v>1</v>
      </c>
      <c r="G287" s="12" cm="1">
        <f t="array" ref="G287">INDEX($B$282:$BE$282, P28)</f>
        <v>0</v>
      </c>
    </row>
    <row r="288" spans="1:57">
      <c r="B288" s="12" cm="1">
        <f t="array" ref="B288">INDEX($B$282:$BE$282, K29)</f>
        <v>1</v>
      </c>
      <c r="C288" s="12" cm="1">
        <f t="array" ref="C288">INDEX($B$282:$BE$282, L29)</f>
        <v>1</v>
      </c>
      <c r="D288" s="12" cm="1">
        <f t="array" ref="D288">INDEX($B$282:$BE$282, M29)</f>
        <v>1</v>
      </c>
      <c r="E288" s="12" cm="1">
        <f t="array" ref="E288">INDEX($B$282:$BE$282, N29)</f>
        <v>0</v>
      </c>
      <c r="F288" s="12" cm="1">
        <f t="array" ref="F288">INDEX($B$282:$BE$282, O29)</f>
        <v>1</v>
      </c>
      <c r="G288" s="12" cm="1">
        <f t="array" ref="G288">INDEX($B$282:$BE$282, P29)</f>
        <v>1</v>
      </c>
    </row>
    <row r="289" spans="1:49">
      <c r="B289" s="12" cm="1">
        <f t="array" ref="B289">INDEX($B$282:$BE$282, K30)</f>
        <v>0</v>
      </c>
      <c r="C289" s="12" cm="1">
        <f t="array" ref="C289">INDEX($B$282:$BE$282, L30)</f>
        <v>0</v>
      </c>
      <c r="D289" s="12" cm="1">
        <f t="array" ref="D289">INDEX($B$282:$BE$282, M30)</f>
        <v>1</v>
      </c>
      <c r="E289" s="12" cm="1">
        <f t="array" ref="E289">INDEX($B$282:$BE$282, N30)</f>
        <v>1</v>
      </c>
      <c r="F289" s="12" cm="1">
        <f t="array" ref="F289">INDEX($B$282:$BE$282, O30)</f>
        <v>1</v>
      </c>
      <c r="G289" s="12" cm="1">
        <f t="array" ref="G289">INDEX($B$282:$BE$282, P30)</f>
        <v>0</v>
      </c>
    </row>
    <row r="290" spans="1:49">
      <c r="B290" s="12" cm="1">
        <f t="array" ref="B290">INDEX($B$282:$BE$282, K31)</f>
        <v>0</v>
      </c>
      <c r="C290" s="12" cm="1">
        <f t="array" ref="C290">INDEX($B$282:$BE$282, L31)</f>
        <v>1</v>
      </c>
      <c r="D290" s="12" cm="1">
        <f t="array" ref="D290">INDEX($B$282:$BE$282, M31)</f>
        <v>1</v>
      </c>
      <c r="E290" s="12" cm="1">
        <f t="array" ref="E290">INDEX($B$282:$BE$282, N31)</f>
        <v>1</v>
      </c>
      <c r="F290" s="12" cm="1">
        <f t="array" ref="F290">INDEX($B$282:$BE$282, O31)</f>
        <v>1</v>
      </c>
      <c r="G290" s="12" cm="1">
        <f t="array" ref="G290">INDEX($B$282:$BE$282, P31)</f>
        <v>0</v>
      </c>
    </row>
    <row r="291" spans="1:49">
      <c r="B291" s="12" cm="1">
        <f t="array" ref="B291">INDEX($B$282:$BE$282, K32)</f>
        <v>0</v>
      </c>
      <c r="C291" s="12" cm="1">
        <f t="array" ref="C291">INDEX($B$282:$BE$282, L32)</f>
        <v>0</v>
      </c>
      <c r="D291" s="12" cm="1">
        <f t="array" ref="D291">INDEX($B$282:$BE$282, M32)</f>
        <v>0</v>
      </c>
      <c r="E291" s="12" cm="1">
        <f t="array" ref="E291">INDEX($B$282:$BE$282, N32)</f>
        <v>0</v>
      </c>
      <c r="F291" s="12" cm="1">
        <f t="array" ref="F291">INDEX($B$282:$BE$282, O32)</f>
        <v>0</v>
      </c>
      <c r="G291" s="12" cm="1">
        <f t="array" ref="G291">INDEX($B$282:$BE$282, P32)</f>
        <v>1</v>
      </c>
    </row>
    <row r="293" spans="1:49">
      <c r="A293" s="12" t="s">
        <v>3</v>
      </c>
      <c r="B293" s="12">
        <v>1</v>
      </c>
      <c r="C293" s="12">
        <v>2</v>
      </c>
      <c r="D293" s="12">
        <v>3</v>
      </c>
      <c r="E293" s="12">
        <v>4</v>
      </c>
      <c r="F293" s="12">
        <v>5</v>
      </c>
      <c r="G293" s="12">
        <v>6</v>
      </c>
      <c r="H293" s="12">
        <v>7</v>
      </c>
      <c r="I293" s="12">
        <v>8</v>
      </c>
      <c r="J293" s="12">
        <v>9</v>
      </c>
      <c r="K293" s="12">
        <v>10</v>
      </c>
      <c r="L293" s="12">
        <v>11</v>
      </c>
      <c r="M293" s="12">
        <v>12</v>
      </c>
      <c r="N293" s="12">
        <v>13</v>
      </c>
      <c r="O293" s="12">
        <v>14</v>
      </c>
      <c r="P293" s="12">
        <v>15</v>
      </c>
      <c r="Q293" s="12">
        <v>16</v>
      </c>
      <c r="R293" s="12">
        <v>17</v>
      </c>
      <c r="S293" s="12">
        <v>18</v>
      </c>
      <c r="T293" s="12">
        <v>19</v>
      </c>
      <c r="U293" s="12">
        <v>20</v>
      </c>
      <c r="V293" s="12">
        <v>21</v>
      </c>
      <c r="W293" s="12">
        <v>22</v>
      </c>
      <c r="X293" s="12">
        <v>23</v>
      </c>
      <c r="Y293" s="12">
        <v>24</v>
      </c>
      <c r="Z293" s="12">
        <v>25</v>
      </c>
      <c r="AA293" s="12">
        <v>26</v>
      </c>
      <c r="AB293" s="12">
        <v>27</v>
      </c>
      <c r="AC293" s="12">
        <v>28</v>
      </c>
      <c r="AD293" s="12">
        <v>29</v>
      </c>
      <c r="AE293" s="12">
        <v>30</v>
      </c>
      <c r="AF293" s="12">
        <v>31</v>
      </c>
      <c r="AG293" s="12">
        <v>32</v>
      </c>
      <c r="AH293" s="12">
        <v>33</v>
      </c>
      <c r="AI293" s="12">
        <v>34</v>
      </c>
      <c r="AJ293" s="12">
        <v>35</v>
      </c>
      <c r="AK293" s="12">
        <v>36</v>
      </c>
      <c r="AL293" s="12">
        <v>37</v>
      </c>
      <c r="AM293" s="12">
        <v>38</v>
      </c>
      <c r="AN293" s="12">
        <v>39</v>
      </c>
      <c r="AO293" s="12">
        <v>40</v>
      </c>
      <c r="AP293" s="12">
        <v>41</v>
      </c>
      <c r="AQ293" s="12">
        <v>42</v>
      </c>
      <c r="AR293" s="12">
        <v>43</v>
      </c>
      <c r="AS293" s="12">
        <v>44</v>
      </c>
      <c r="AT293" s="12">
        <v>45</v>
      </c>
      <c r="AU293" s="12">
        <v>46</v>
      </c>
      <c r="AV293" s="12">
        <v>47</v>
      </c>
      <c r="AW293" s="12">
        <v>48</v>
      </c>
    </row>
    <row r="294" spans="1:49">
      <c r="A294" s="12" t="s">
        <v>67</v>
      </c>
      <c r="B294" s="12" cm="1">
        <f t="array" ref="B294">INDEX($B$284:$G291, INT((COLUMN(A197)-1)/6)+1, MOD(COLUMN(A197)-1,6)+1)</f>
        <v>1</v>
      </c>
      <c r="C294" s="12" cm="1">
        <f t="array" ref="C294">INDEX($B$284:$G291, INT((COLUMN(B197)-1)/6)+1, MOD(COLUMN(B197)-1,6)+1)</f>
        <v>1</v>
      </c>
      <c r="D294" s="12" cm="1">
        <f t="array" ref="D294">INDEX($B$284:$G291, INT((COLUMN(C197)-1)/6)+1, MOD(COLUMN(C197)-1,6)+1)</f>
        <v>1</v>
      </c>
      <c r="E294" s="12" cm="1">
        <f t="array" ref="E294">INDEX($B$284:$G291, INT((COLUMN(D197)-1)/6)+1, MOD(COLUMN(D197)-1,6)+1)</f>
        <v>1</v>
      </c>
      <c r="F294" s="12" cm="1">
        <f t="array" ref="F294">INDEX($B$284:$G291, INT((COLUMN(E197)-1)/6)+1, MOD(COLUMN(E197)-1,6)+1)</f>
        <v>0</v>
      </c>
      <c r="G294" s="12" cm="1">
        <f t="array" ref="G294">INDEX($B$284:$G291, INT((COLUMN(F197)-1)/6)+1, MOD(COLUMN(F197)-1,6)+1)</f>
        <v>1</v>
      </c>
      <c r="H294" s="12" cm="1">
        <f t="array" ref="H294">INDEX($B$284:$G291, INT((COLUMN(G197)-1)/6)+1, MOD(COLUMN(G197)-1,6)+1)</f>
        <v>1</v>
      </c>
      <c r="I294" s="12" cm="1">
        <f t="array" ref="I294">INDEX($B$284:$G291, INT((COLUMN(H197)-1)/6)+1, MOD(COLUMN(H197)-1,6)+1)</f>
        <v>1</v>
      </c>
      <c r="J294" s="12" cm="1">
        <f t="array" ref="J294">INDEX($B$284:$G291, INT((COLUMN(I197)-1)/6)+1, MOD(COLUMN(I197)-1,6)+1)</f>
        <v>1</v>
      </c>
      <c r="K294" s="12" cm="1">
        <f t="array" ref="K294">INDEX($B$284:$G291, INT((COLUMN(J197)-1)/6)+1, MOD(COLUMN(J197)-1,6)+1)</f>
        <v>0</v>
      </c>
      <c r="L294" s="12" cm="1">
        <f t="array" ref="L294">INDEX($B$284:$G291, INT((COLUMN(K197)-1)/6)+1, MOD(COLUMN(K197)-1,6)+1)</f>
        <v>0</v>
      </c>
      <c r="M294" s="12" cm="1">
        <f t="array" ref="M294">INDEX($B$284:$G291, INT((COLUMN(L197)-1)/6)+1, MOD(COLUMN(L197)-1,6)+1)</f>
        <v>0</v>
      </c>
      <c r="N294" s="12" cm="1">
        <f t="array" ref="N294">INDEX($B$284:$G291, INT((COLUMN(M197)-1)/6)+1, MOD(COLUMN(M197)-1,6)+1)</f>
        <v>1</v>
      </c>
      <c r="O294" s="12" cm="1">
        <f t="array" ref="O294">INDEX($B$284:$G291, INT((COLUMN(N197)-1)/6)+1, MOD(COLUMN(N197)-1,6)+1)</f>
        <v>0</v>
      </c>
      <c r="P294" s="12" cm="1">
        <f t="array" ref="P294">INDEX($B$284:$G291, INT((COLUMN(O197)-1)/6)+1, MOD(COLUMN(O197)-1,6)+1)</f>
        <v>0</v>
      </c>
      <c r="Q294" s="12" cm="1">
        <f t="array" ref="Q294">INDEX($B$284:$G291, INT((COLUMN(P197)-1)/6)+1, MOD(COLUMN(P197)-1,6)+1)</f>
        <v>0</v>
      </c>
      <c r="R294" s="12" cm="1">
        <f t="array" ref="R294">INDEX($B$284:$G291, INT((COLUMN(Q197)-1)/6)+1, MOD(COLUMN(Q197)-1,6)+1)</f>
        <v>0</v>
      </c>
      <c r="S294" s="12" cm="1">
        <f t="array" ref="S294">INDEX($B$284:$G291, INT((COLUMN(R197)-1)/6)+1, MOD(COLUMN(R197)-1,6)+1)</f>
        <v>0</v>
      </c>
      <c r="T294" s="12" cm="1">
        <f t="array" ref="T294">INDEX($B$284:$G291, INT((COLUMN(S197)-1)/6)+1, MOD(COLUMN(S197)-1,6)+1)</f>
        <v>1</v>
      </c>
      <c r="U294" s="12" cm="1">
        <f t="array" ref="U294">INDEX($B$284:$G291, INT((COLUMN(T197)-1)/6)+1, MOD(COLUMN(T197)-1,6)+1)</f>
        <v>1</v>
      </c>
      <c r="V294" s="12" cm="1">
        <f t="array" ref="V294">INDEX($B$284:$G291, INT((COLUMN(U197)-1)/6)+1, MOD(COLUMN(U197)-1,6)+1)</f>
        <v>1</v>
      </c>
      <c r="W294" s="12" cm="1">
        <f t="array" ref="W294">INDEX($B$284:$G291, INT((COLUMN(V197)-1)/6)+1, MOD(COLUMN(V197)-1,6)+1)</f>
        <v>0</v>
      </c>
      <c r="X294" s="12" cm="1">
        <f t="array" ref="X294">INDEX($B$284:$G291, INT((COLUMN(W197)-1)/6)+1, MOD(COLUMN(W197)-1,6)+1)</f>
        <v>1</v>
      </c>
      <c r="Y294" s="12" cm="1">
        <f t="array" ref="Y294">INDEX($B$284:$G291, INT((COLUMN(X197)-1)/6)+1, MOD(COLUMN(X197)-1,6)+1)</f>
        <v>0</v>
      </c>
      <c r="Z294" s="12" cm="1">
        <f t="array" ref="Z294">INDEX($B$284:$G291, INT((COLUMN(Y197)-1)/6)+1, MOD(COLUMN(Y197)-1,6)+1)</f>
        <v>1</v>
      </c>
      <c r="AA294" s="12" cm="1">
        <f t="array" ref="AA294">INDEX($B$284:$G291, INT((COLUMN(Z197)-1)/6)+1, MOD(COLUMN(Z197)-1,6)+1)</f>
        <v>1</v>
      </c>
      <c r="AB294" s="12" cm="1">
        <f t="array" ref="AB294">INDEX($B$284:$G291, INT((COLUMN(AA197)-1)/6)+1, MOD(COLUMN(AA197)-1,6)+1)</f>
        <v>1</v>
      </c>
      <c r="AC294" s="12" cm="1">
        <f t="array" ref="AC294">INDEX($B$284:$G291, INT((COLUMN(AB197)-1)/6)+1, MOD(COLUMN(AB197)-1,6)+1)</f>
        <v>0</v>
      </c>
      <c r="AD294" s="12" cm="1">
        <f t="array" ref="AD294">INDEX($B$284:$G291, INT((COLUMN(AC197)-1)/6)+1, MOD(COLUMN(AC197)-1,6)+1)</f>
        <v>1</v>
      </c>
      <c r="AE294" s="12" cm="1">
        <f t="array" ref="AE294">INDEX($B$284:$G291, INT((COLUMN(AD197)-1)/6)+1, MOD(COLUMN(AD197)-1,6)+1)</f>
        <v>1</v>
      </c>
      <c r="AF294" s="12" cm="1">
        <f t="array" ref="AF294">INDEX($B$284:$G291, INT((COLUMN(AE197)-1)/6)+1, MOD(COLUMN(AE197)-1,6)+1)</f>
        <v>0</v>
      </c>
      <c r="AG294" s="12" cm="1">
        <f t="array" ref="AG294">INDEX($B$284:$G291, INT((COLUMN(AF197)-1)/6)+1, MOD(COLUMN(AF197)-1,6)+1)</f>
        <v>0</v>
      </c>
      <c r="AH294" s="12" cm="1">
        <f t="array" ref="AH294">INDEX($B$284:$G291, INT((COLUMN(AG197)-1)/6)+1, MOD(COLUMN(AG197)-1,6)+1)</f>
        <v>1</v>
      </c>
      <c r="AI294" s="12" cm="1">
        <f t="array" ref="AI294">INDEX($B$284:$G291, INT((COLUMN(AH197)-1)/6)+1, MOD(COLUMN(AH197)-1,6)+1)</f>
        <v>1</v>
      </c>
      <c r="AJ294" s="12" cm="1">
        <f t="array" ref="AJ294">INDEX($B$284:$G291, INT((COLUMN(AI197)-1)/6)+1, MOD(COLUMN(AI197)-1,6)+1)</f>
        <v>1</v>
      </c>
      <c r="AK294" s="12" cm="1">
        <f t="array" ref="AK294">INDEX($B$284:$G291, INT((COLUMN(AJ197)-1)/6)+1, MOD(COLUMN(AJ197)-1,6)+1)</f>
        <v>0</v>
      </c>
      <c r="AL294" s="12" cm="1">
        <f t="array" ref="AL294">INDEX($B$284:$G291, INT((COLUMN(AK197)-1)/6)+1, MOD(COLUMN(AK197)-1,6)+1)</f>
        <v>0</v>
      </c>
      <c r="AM294" s="12" cm="1">
        <f t="array" ref="AM294">INDEX($B$284:$G291, INT((COLUMN(AL197)-1)/6)+1, MOD(COLUMN(AL197)-1,6)+1)</f>
        <v>1</v>
      </c>
      <c r="AN294" s="12" cm="1">
        <f t="array" ref="AN294">INDEX($B$284:$G291, INT((COLUMN(AM197)-1)/6)+1, MOD(COLUMN(AM197)-1,6)+1)</f>
        <v>1</v>
      </c>
      <c r="AO294" s="12" cm="1">
        <f t="array" ref="AO294">INDEX($B$284:$G291, INT((COLUMN(AN197)-1)/6)+1, MOD(COLUMN(AN197)-1,6)+1)</f>
        <v>1</v>
      </c>
      <c r="AP294" s="12" cm="1">
        <f t="array" ref="AP294">INDEX($B$284:$G291, INT((COLUMN(AO197)-1)/6)+1, MOD(COLUMN(AO197)-1,6)+1)</f>
        <v>1</v>
      </c>
      <c r="AQ294" s="12" cm="1">
        <f t="array" ref="AQ294">INDEX($B$284:$G291, INT((COLUMN(AP197)-1)/6)+1, MOD(COLUMN(AP197)-1,6)+1)</f>
        <v>0</v>
      </c>
      <c r="AR294" s="12" cm="1">
        <f t="array" ref="AR294">INDEX($B$284:$G291, INT((COLUMN(AQ197)-1)/6)+1, MOD(COLUMN(AQ197)-1,6)+1)</f>
        <v>0</v>
      </c>
      <c r="AS294" s="12" cm="1">
        <f t="array" ref="AS294">INDEX($B$284:$G291, INT((COLUMN(AR197)-1)/6)+1, MOD(COLUMN(AR197)-1,6)+1)</f>
        <v>0</v>
      </c>
      <c r="AT294" s="12" cm="1">
        <f t="array" ref="AT294">INDEX($B$284:$G291, INT((COLUMN(AS197)-1)/6)+1, MOD(COLUMN(AS197)-1,6)+1)</f>
        <v>0</v>
      </c>
      <c r="AU294" s="12" cm="1">
        <f t="array" ref="AU294">INDEX($B$284:$G291, INT((COLUMN(AT197)-1)/6)+1, MOD(COLUMN(AT197)-1,6)+1)</f>
        <v>0</v>
      </c>
      <c r="AV294" s="12" cm="1">
        <f t="array" ref="AV294">INDEX($B$284:$G291, INT((COLUMN(AU197)-1)/6)+1, MOD(COLUMN(AU197)-1,6)+1)</f>
        <v>0</v>
      </c>
      <c r="AW294" s="12" cm="1">
        <f t="array" ref="AW294">INDEX($B$284:$G291, INT((COLUMN(AV197)-1)/6)+1, MOD(COLUMN(AV197)-1,6)+1)</f>
        <v>1</v>
      </c>
    </row>
    <row r="296" spans="1:49">
      <c r="A296" s="20" t="s">
        <v>74</v>
      </c>
    </row>
    <row r="297" spans="1:49">
      <c r="A297" s="5" t="s">
        <v>75</v>
      </c>
    </row>
    <row r="299" spans="1:49">
      <c r="A299" s="12" t="s">
        <v>3</v>
      </c>
      <c r="B299" s="12">
        <v>1</v>
      </c>
      <c r="C299" s="12">
        <v>2</v>
      </c>
      <c r="D299" s="12">
        <v>3</v>
      </c>
      <c r="E299" s="12">
        <v>4</v>
      </c>
      <c r="F299" s="12">
        <v>5</v>
      </c>
      <c r="G299" s="12">
        <v>6</v>
      </c>
      <c r="H299" s="12">
        <v>7</v>
      </c>
      <c r="I299" s="12">
        <v>8</v>
      </c>
      <c r="J299" s="12">
        <v>9</v>
      </c>
      <c r="K299" s="12">
        <v>10</v>
      </c>
      <c r="L299" s="12">
        <v>11</v>
      </c>
      <c r="M299" s="12">
        <v>12</v>
      </c>
      <c r="N299" s="12">
        <v>13</v>
      </c>
      <c r="O299" s="12">
        <v>14</v>
      </c>
      <c r="P299" s="12">
        <v>15</v>
      </c>
      <c r="Q299" s="12">
        <v>16</v>
      </c>
      <c r="R299" s="12">
        <v>17</v>
      </c>
      <c r="S299" s="12">
        <v>18</v>
      </c>
      <c r="T299" s="12">
        <v>19</v>
      </c>
      <c r="U299" s="12">
        <v>20</v>
      </c>
      <c r="V299" s="12">
        <v>21</v>
      </c>
      <c r="W299" s="12">
        <v>22</v>
      </c>
      <c r="X299" s="12">
        <v>23</v>
      </c>
      <c r="Y299" s="12">
        <v>24</v>
      </c>
      <c r="Z299" s="12">
        <v>25</v>
      </c>
      <c r="AA299" s="12">
        <v>26</v>
      </c>
      <c r="AB299" s="12">
        <v>27</v>
      </c>
      <c r="AC299" s="12">
        <v>28</v>
      </c>
    </row>
    <row r="300" spans="1:49">
      <c r="A300" s="12" t="s">
        <v>75</v>
      </c>
      <c r="B300" s="12">
        <v>0</v>
      </c>
      <c r="C300" s="12">
        <v>1</v>
      </c>
      <c r="D300" s="12">
        <v>0</v>
      </c>
      <c r="E300" s="12">
        <v>1</v>
      </c>
      <c r="F300" s="12">
        <v>0</v>
      </c>
      <c r="G300" s="12">
        <v>1</v>
      </c>
      <c r="H300" s="12">
        <v>0</v>
      </c>
      <c r="I300" s="12">
        <v>1</v>
      </c>
      <c r="J300" s="12">
        <v>0</v>
      </c>
      <c r="K300" s="12">
        <v>1</v>
      </c>
      <c r="L300" s="12">
        <v>0</v>
      </c>
      <c r="M300" s="12">
        <v>1</v>
      </c>
      <c r="N300" s="12">
        <v>1</v>
      </c>
      <c r="O300" s="16">
        <v>1</v>
      </c>
      <c r="P300" s="16">
        <v>1</v>
      </c>
      <c r="Q300" s="16">
        <v>1</v>
      </c>
      <c r="R300" s="16">
        <v>1</v>
      </c>
      <c r="S300" s="16">
        <v>0</v>
      </c>
      <c r="T300" s="16">
        <v>0</v>
      </c>
      <c r="U300" s="16">
        <v>0</v>
      </c>
      <c r="V300" s="16">
        <v>0</v>
      </c>
      <c r="W300" s="16">
        <v>1</v>
      </c>
      <c r="X300" s="16">
        <v>1</v>
      </c>
      <c r="Y300" s="16">
        <v>0</v>
      </c>
      <c r="Z300" s="16">
        <v>0</v>
      </c>
      <c r="AA300" s="16">
        <v>1</v>
      </c>
      <c r="AB300" s="16">
        <v>1</v>
      </c>
      <c r="AC300" s="16">
        <v>0</v>
      </c>
    </row>
    <row r="302" spans="1:49">
      <c r="A302" s="5" t="s">
        <v>76</v>
      </c>
    </row>
    <row r="304" spans="1:49">
      <c r="A304" s="12" t="s">
        <v>3</v>
      </c>
      <c r="B304" s="12">
        <v>1</v>
      </c>
      <c r="C304" s="12">
        <v>2</v>
      </c>
      <c r="D304" s="12">
        <v>3</v>
      </c>
      <c r="E304" s="12">
        <v>4</v>
      </c>
      <c r="F304" s="12">
        <v>5</v>
      </c>
      <c r="G304" s="12">
        <v>6</v>
      </c>
      <c r="H304" s="12">
        <v>7</v>
      </c>
      <c r="I304" s="12">
        <v>8</v>
      </c>
      <c r="J304" s="12">
        <v>9</v>
      </c>
      <c r="K304" s="12">
        <v>10</v>
      </c>
      <c r="L304" s="12">
        <v>11</v>
      </c>
      <c r="M304" s="12">
        <v>12</v>
      </c>
      <c r="N304" s="12">
        <v>13</v>
      </c>
      <c r="O304" s="12">
        <v>14</v>
      </c>
      <c r="P304" s="12">
        <v>15</v>
      </c>
      <c r="Q304" s="12">
        <v>16</v>
      </c>
      <c r="R304" s="12">
        <v>17</v>
      </c>
      <c r="S304" s="12">
        <v>18</v>
      </c>
      <c r="T304" s="12">
        <v>19</v>
      </c>
      <c r="U304" s="12">
        <v>20</v>
      </c>
      <c r="V304" s="12">
        <v>21</v>
      </c>
      <c r="W304" s="12">
        <v>22</v>
      </c>
      <c r="X304" s="12">
        <v>23</v>
      </c>
      <c r="Y304" s="12">
        <v>24</v>
      </c>
      <c r="Z304" s="12">
        <v>25</v>
      </c>
      <c r="AA304" s="12">
        <v>26</v>
      </c>
      <c r="AB304" s="12">
        <v>27</v>
      </c>
      <c r="AC304" s="12">
        <v>28</v>
      </c>
    </row>
    <row r="305" spans="1:57">
      <c r="A305" s="12" t="s">
        <v>76</v>
      </c>
      <c r="B305" s="12">
        <v>0</v>
      </c>
      <c r="C305" s="12">
        <v>1</v>
      </c>
      <c r="D305" s="12">
        <v>1</v>
      </c>
      <c r="E305" s="12">
        <v>1</v>
      </c>
      <c r="F305" s="12">
        <v>1</v>
      </c>
      <c r="G305" s="12">
        <v>0</v>
      </c>
      <c r="H305" s="12">
        <v>0</v>
      </c>
      <c r="I305" s="12">
        <v>0</v>
      </c>
      <c r="J305" s="12">
        <v>0</v>
      </c>
      <c r="K305" s="12">
        <v>1</v>
      </c>
      <c r="L305" s="12">
        <v>0</v>
      </c>
      <c r="M305" s="12">
        <v>1</v>
      </c>
      <c r="N305" s="12">
        <v>0</v>
      </c>
      <c r="O305" s="12">
        <v>1</v>
      </c>
      <c r="P305" s="12">
        <v>0</v>
      </c>
      <c r="Q305" s="12">
        <v>1</v>
      </c>
      <c r="R305" s="12">
        <v>0</v>
      </c>
      <c r="S305" s="12">
        <v>1</v>
      </c>
      <c r="T305" s="12">
        <v>0</v>
      </c>
      <c r="U305" s="12">
        <v>1</v>
      </c>
      <c r="V305" s="12">
        <v>0</v>
      </c>
      <c r="W305" s="12">
        <v>1</v>
      </c>
      <c r="X305" s="12">
        <v>1</v>
      </c>
      <c r="Y305" s="12">
        <v>0</v>
      </c>
      <c r="Z305" s="12">
        <v>0</v>
      </c>
      <c r="AA305" s="12">
        <v>1</v>
      </c>
      <c r="AB305" s="12">
        <v>1</v>
      </c>
      <c r="AC305" s="12">
        <v>0</v>
      </c>
    </row>
    <row r="307" spans="1:57">
      <c r="A307" s="6" t="s">
        <v>77</v>
      </c>
    </row>
    <row r="309" spans="1:57">
      <c r="A309" s="12" t="s">
        <v>3</v>
      </c>
      <c r="B309" s="12">
        <v>1</v>
      </c>
      <c r="C309" s="12">
        <v>2</v>
      </c>
      <c r="D309" s="12">
        <v>3</v>
      </c>
      <c r="E309" s="12">
        <v>4</v>
      </c>
      <c r="F309" s="12">
        <v>5</v>
      </c>
      <c r="G309" s="12">
        <v>6</v>
      </c>
      <c r="H309" s="12">
        <v>7</v>
      </c>
      <c r="I309" s="12">
        <v>8</v>
      </c>
      <c r="J309" s="12">
        <v>9</v>
      </c>
      <c r="K309" s="12">
        <v>10</v>
      </c>
      <c r="L309" s="12">
        <v>11</v>
      </c>
      <c r="M309" s="12">
        <v>12</v>
      </c>
      <c r="N309" s="12">
        <v>13</v>
      </c>
      <c r="O309" s="12">
        <v>14</v>
      </c>
      <c r="P309" s="12">
        <v>15</v>
      </c>
      <c r="Q309" s="12">
        <v>16</v>
      </c>
      <c r="R309" s="12">
        <v>17</v>
      </c>
      <c r="S309" s="12">
        <v>18</v>
      </c>
      <c r="T309" s="12">
        <v>19</v>
      </c>
      <c r="U309" s="12">
        <v>20</v>
      </c>
      <c r="V309" s="12">
        <v>21</v>
      </c>
      <c r="W309" s="12">
        <v>22</v>
      </c>
      <c r="X309" s="12">
        <v>23</v>
      </c>
      <c r="Y309" s="12">
        <v>24</v>
      </c>
      <c r="Z309" s="12">
        <v>25</v>
      </c>
      <c r="AA309" s="12">
        <v>26</v>
      </c>
      <c r="AB309" s="12">
        <v>27</v>
      </c>
      <c r="AC309" s="12">
        <v>28</v>
      </c>
      <c r="AD309" s="12">
        <v>29</v>
      </c>
      <c r="AE309" s="12">
        <v>30</v>
      </c>
      <c r="AF309" s="12">
        <v>31</v>
      </c>
      <c r="AG309" s="12">
        <v>32</v>
      </c>
      <c r="AH309" s="12">
        <v>33</v>
      </c>
      <c r="AI309" s="12">
        <v>34</v>
      </c>
      <c r="AJ309" s="12">
        <v>35</v>
      </c>
      <c r="AK309" s="12">
        <v>36</v>
      </c>
      <c r="AL309" s="12">
        <v>37</v>
      </c>
      <c r="AM309" s="12">
        <v>38</v>
      </c>
      <c r="AN309" s="12">
        <v>39</v>
      </c>
      <c r="AO309" s="12">
        <v>40</v>
      </c>
      <c r="AP309" s="12">
        <v>41</v>
      </c>
      <c r="AQ309" s="12">
        <v>42</v>
      </c>
      <c r="AR309" s="12">
        <v>43</v>
      </c>
      <c r="AS309" s="12">
        <v>44</v>
      </c>
      <c r="AT309" s="12">
        <v>45</v>
      </c>
      <c r="AU309" s="12">
        <v>46</v>
      </c>
      <c r="AV309" s="12">
        <v>47</v>
      </c>
      <c r="AW309" s="12">
        <v>48</v>
      </c>
      <c r="AX309" s="12">
        <v>49</v>
      </c>
      <c r="AY309" s="12">
        <v>50</v>
      </c>
      <c r="AZ309" s="12">
        <v>51</v>
      </c>
      <c r="BA309" s="12">
        <v>52</v>
      </c>
      <c r="BB309" s="12">
        <v>53</v>
      </c>
      <c r="BC309" s="12">
        <v>54</v>
      </c>
      <c r="BD309" s="12">
        <v>55</v>
      </c>
      <c r="BE309" s="12">
        <v>56</v>
      </c>
    </row>
    <row r="310" spans="1:57">
      <c r="A310" s="12" t="s">
        <v>78</v>
      </c>
      <c r="B310" s="12">
        <v>0</v>
      </c>
      <c r="C310" s="12">
        <v>1</v>
      </c>
      <c r="D310" s="12">
        <v>0</v>
      </c>
      <c r="E310" s="12">
        <v>1</v>
      </c>
      <c r="F310" s="12">
        <v>0</v>
      </c>
      <c r="G310" s="12">
        <v>1</v>
      </c>
      <c r="H310" s="12">
        <v>0</v>
      </c>
      <c r="I310" s="12">
        <v>1</v>
      </c>
      <c r="J310" s="12">
        <v>0</v>
      </c>
      <c r="K310" s="12">
        <v>1</v>
      </c>
      <c r="L310" s="12">
        <v>0</v>
      </c>
      <c r="M310" s="12">
        <v>1</v>
      </c>
      <c r="N310" s="12">
        <v>1</v>
      </c>
      <c r="O310" s="16">
        <v>1</v>
      </c>
      <c r="P310" s="16">
        <v>1</v>
      </c>
      <c r="Q310" s="16">
        <v>1</v>
      </c>
      <c r="R310" s="16">
        <v>1</v>
      </c>
      <c r="S310" s="16">
        <v>0</v>
      </c>
      <c r="T310" s="16">
        <v>0</v>
      </c>
      <c r="U310" s="16">
        <v>0</v>
      </c>
      <c r="V310" s="16">
        <v>0</v>
      </c>
      <c r="W310" s="16">
        <v>1</v>
      </c>
      <c r="X310" s="16">
        <v>1</v>
      </c>
      <c r="Y310" s="16">
        <v>0</v>
      </c>
      <c r="Z310" s="16">
        <v>0</v>
      </c>
      <c r="AA310" s="16">
        <v>1</v>
      </c>
      <c r="AB310" s="16">
        <v>1</v>
      </c>
      <c r="AC310" s="16">
        <v>0</v>
      </c>
      <c r="AD310" s="12">
        <v>0</v>
      </c>
      <c r="AE310" s="12">
        <v>1</v>
      </c>
      <c r="AF310" s="12">
        <v>1</v>
      </c>
      <c r="AG310" s="12">
        <v>1</v>
      </c>
      <c r="AH310" s="12">
        <v>1</v>
      </c>
      <c r="AI310" s="12">
        <v>0</v>
      </c>
      <c r="AJ310" s="12">
        <v>0</v>
      </c>
      <c r="AK310" s="12">
        <v>0</v>
      </c>
      <c r="AL310" s="12">
        <v>0</v>
      </c>
      <c r="AM310" s="12">
        <v>1</v>
      </c>
      <c r="AN310" s="12">
        <v>0</v>
      </c>
      <c r="AO310" s="12">
        <v>1</v>
      </c>
      <c r="AP310" s="12">
        <v>0</v>
      </c>
      <c r="AQ310" s="12">
        <v>1</v>
      </c>
      <c r="AR310" s="12">
        <v>0</v>
      </c>
      <c r="AS310" s="12">
        <v>1</v>
      </c>
      <c r="AT310" s="12">
        <v>0</v>
      </c>
      <c r="AU310" s="12">
        <v>1</v>
      </c>
      <c r="AV310" s="12">
        <v>0</v>
      </c>
      <c r="AW310" s="12">
        <v>1</v>
      </c>
      <c r="AX310" s="12">
        <v>0</v>
      </c>
      <c r="AY310" s="12">
        <v>1</v>
      </c>
      <c r="AZ310" s="12">
        <v>1</v>
      </c>
      <c r="BA310" s="12">
        <v>0</v>
      </c>
      <c r="BB310" s="12">
        <v>0</v>
      </c>
      <c r="BC310" s="12">
        <v>1</v>
      </c>
      <c r="BD310" s="12">
        <v>1</v>
      </c>
      <c r="BE310" s="12">
        <v>0</v>
      </c>
    </row>
    <row r="312" spans="1:57">
      <c r="A312" s="5" t="s">
        <v>79</v>
      </c>
      <c r="B312" s="12" cm="1">
        <f t="array" ref="B312">INDEX($B$310:$BE$310, K25)</f>
        <v>1</v>
      </c>
      <c r="C312" s="12" cm="1">
        <f t="array" ref="C312">INDEX($B$310:$BE$310, L25)</f>
        <v>1</v>
      </c>
      <c r="D312" s="12" cm="1">
        <f t="array" ref="D312">INDEX($B$310:$BE$310, M25)</f>
        <v>0</v>
      </c>
      <c r="E312" s="12" cm="1">
        <f t="array" ref="E312">INDEX($B$310:$BE$310, N25)</f>
        <v>0</v>
      </c>
      <c r="F312" s="12" cm="1">
        <f t="array" ref="F312">INDEX($B$310:$BE$310, O25)</f>
        <v>0</v>
      </c>
      <c r="G312" s="12" cm="1">
        <f t="array" ref="G312">INDEX($B$310:$BE$310, P25)</f>
        <v>0</v>
      </c>
    </row>
    <row r="313" spans="1:57">
      <c r="B313" s="12" cm="1">
        <f t="array" ref="B313">INDEX($B$310:$BE$310, K26)</f>
        <v>0</v>
      </c>
      <c r="C313" s="12" cm="1">
        <f t="array" ref="C313">INDEX($B$310:$BE$310, L26)</f>
        <v>0</v>
      </c>
      <c r="D313" s="12" cm="1">
        <f t="array" ref="D313">INDEX($B$310:$BE$310, M26)</f>
        <v>1</v>
      </c>
      <c r="E313" s="12" cm="1">
        <f t="array" ref="E313">INDEX($B$310:$BE$310, N26)</f>
        <v>1</v>
      </c>
      <c r="F313" s="12" cm="1">
        <f t="array" ref="F313">INDEX($B$310:$BE$310, O26)</f>
        <v>0</v>
      </c>
      <c r="G313" s="12" cm="1">
        <f t="array" ref="G313">INDEX($B$310:$BE$310, P26)</f>
        <v>1</v>
      </c>
    </row>
    <row r="314" spans="1:57">
      <c r="B314" s="12" cm="1">
        <f t="array" ref="B314">INDEX($B$310:$BE$310, K27)</f>
        <v>1</v>
      </c>
      <c r="C314" s="12" cm="1">
        <f t="array" ref="C314">INDEX($B$310:$BE$310, L27)</f>
        <v>0</v>
      </c>
      <c r="D314" s="12" cm="1">
        <f t="array" ref="D314">INDEX($B$310:$BE$310, M27)</f>
        <v>1</v>
      </c>
      <c r="E314" s="12" cm="1">
        <f t="array" ref="E314">INDEX($B$310:$BE$310, N27)</f>
        <v>1</v>
      </c>
      <c r="F314" s="12" cm="1">
        <f t="array" ref="F314">INDEX($B$310:$BE$310, O27)</f>
        <v>1</v>
      </c>
      <c r="G314" s="12" cm="1">
        <f t="array" ref="G314">INDEX($B$310:$BE$310, P27)</f>
        <v>1</v>
      </c>
    </row>
    <row r="315" spans="1:57">
      <c r="B315" s="12" cm="1">
        <f t="array" ref="B315">INDEX($B$310:$BE$310, K28)</f>
        <v>1</v>
      </c>
      <c r="C315" s="12" cm="1">
        <f t="array" ref="C315">INDEX($B$310:$BE$310, L28)</f>
        <v>0</v>
      </c>
      <c r="D315" s="12" cm="1">
        <f t="array" ref="D315">INDEX($B$310:$BE$310, M28)</f>
        <v>1</v>
      </c>
      <c r="E315" s="12" cm="1">
        <f t="array" ref="E315">INDEX($B$310:$BE$310, N28)</f>
        <v>0</v>
      </c>
      <c r="F315" s="12" cm="1">
        <f t="array" ref="F315">INDEX($B$310:$BE$310, O28)</f>
        <v>1</v>
      </c>
      <c r="G315" s="12" cm="1">
        <f t="array" ref="G315">INDEX($B$310:$BE$310, P28)</f>
        <v>1</v>
      </c>
    </row>
    <row r="316" spans="1:57">
      <c r="B316" s="12" cm="1">
        <f t="array" ref="B316">INDEX($B$310:$BE$310, K29)</f>
        <v>0</v>
      </c>
      <c r="C316" s="12" cm="1">
        <f t="array" ref="C316">INDEX($B$310:$BE$310, L29)</f>
        <v>0</v>
      </c>
      <c r="D316" s="12" cm="1">
        <f t="array" ref="D316">INDEX($B$310:$BE$310, M29)</f>
        <v>1</v>
      </c>
      <c r="E316" s="12" cm="1">
        <f t="array" ref="E316">INDEX($B$310:$BE$310, N29)</f>
        <v>0</v>
      </c>
      <c r="F316" s="12" cm="1">
        <f t="array" ref="F316">INDEX($B$310:$BE$310, O29)</f>
        <v>0</v>
      </c>
      <c r="G316" s="12" cm="1">
        <f t="array" ref="G316">INDEX($B$310:$BE$310, P29)</f>
        <v>1</v>
      </c>
    </row>
    <row r="317" spans="1:57">
      <c r="B317" s="12" cm="1">
        <f t="array" ref="B317">INDEX($B$310:$BE$310, K30)</f>
        <v>1</v>
      </c>
      <c r="C317" s="12" cm="1">
        <f t="array" ref="C317">INDEX($B$310:$BE$310, L30)</f>
        <v>1</v>
      </c>
      <c r="D317" s="12" cm="1">
        <f t="array" ref="D317">INDEX($B$310:$BE$310, M30)</f>
        <v>1</v>
      </c>
      <c r="E317" s="12" cm="1">
        <f t="array" ref="E317">INDEX($B$310:$BE$310, N30)</f>
        <v>0</v>
      </c>
      <c r="F317" s="12" cm="1">
        <f t="array" ref="F317">INDEX($B$310:$BE$310, O30)</f>
        <v>1</v>
      </c>
      <c r="G317" s="12" cm="1">
        <f t="array" ref="G317">INDEX($B$310:$BE$310, P30)</f>
        <v>1</v>
      </c>
    </row>
    <row r="318" spans="1:57">
      <c r="B318" s="12" cm="1">
        <f t="array" ref="B318">INDEX($B$310:$BE$310, K31)</f>
        <v>1</v>
      </c>
      <c r="C318" s="12" cm="1">
        <f t="array" ref="C318">INDEX($B$310:$BE$310, L31)</f>
        <v>0</v>
      </c>
      <c r="D318" s="12" cm="1">
        <f t="array" ref="D318">INDEX($B$310:$BE$310, M31)</f>
        <v>0</v>
      </c>
      <c r="E318" s="12" cm="1">
        <f t="array" ref="E318">INDEX($B$310:$BE$310, N31)</f>
        <v>0</v>
      </c>
      <c r="F318" s="12" cm="1">
        <f t="array" ref="F318">INDEX($B$310:$BE$310, O31)</f>
        <v>0</v>
      </c>
      <c r="G318" s="12" cm="1">
        <f t="array" ref="G318">INDEX($B$310:$BE$310, P31)</f>
        <v>0</v>
      </c>
    </row>
    <row r="319" spans="1:57">
      <c r="B319" s="12" cm="1">
        <f t="array" ref="B319">INDEX($B$310:$BE$310, K32)</f>
        <v>1</v>
      </c>
      <c r="C319" s="12" cm="1">
        <f t="array" ref="C319">INDEX($B$310:$BE$310, L32)</f>
        <v>1</v>
      </c>
      <c r="D319" s="12" cm="1">
        <f t="array" ref="D319">INDEX($B$310:$BE$310, M32)</f>
        <v>1</v>
      </c>
      <c r="E319" s="12" cm="1">
        <f t="array" ref="E319">INDEX($B$310:$BE$310, N32)</f>
        <v>0</v>
      </c>
      <c r="F319" s="12" cm="1">
        <f t="array" ref="F319">INDEX($B$310:$BE$310, O32)</f>
        <v>0</v>
      </c>
      <c r="G319" s="12" cm="1">
        <f t="array" ref="G319">INDEX($B$310:$BE$310, P32)</f>
        <v>1</v>
      </c>
    </row>
    <row r="321" spans="1:49">
      <c r="A321" s="12" t="s">
        <v>3</v>
      </c>
      <c r="B321" s="12">
        <v>1</v>
      </c>
      <c r="C321" s="12">
        <v>2</v>
      </c>
      <c r="D321" s="12">
        <v>3</v>
      </c>
      <c r="E321" s="12">
        <v>4</v>
      </c>
      <c r="F321" s="12">
        <v>5</v>
      </c>
      <c r="G321" s="12">
        <v>6</v>
      </c>
      <c r="H321" s="12">
        <v>7</v>
      </c>
      <c r="I321" s="12">
        <v>8</v>
      </c>
      <c r="J321" s="12">
        <v>9</v>
      </c>
      <c r="K321" s="12">
        <v>10</v>
      </c>
      <c r="L321" s="12">
        <v>11</v>
      </c>
      <c r="M321" s="12">
        <v>12</v>
      </c>
      <c r="N321" s="12">
        <v>13</v>
      </c>
      <c r="O321" s="12">
        <v>14</v>
      </c>
      <c r="P321" s="12">
        <v>15</v>
      </c>
      <c r="Q321" s="12">
        <v>16</v>
      </c>
      <c r="R321" s="12">
        <v>17</v>
      </c>
      <c r="S321" s="12">
        <v>18</v>
      </c>
      <c r="T321" s="12">
        <v>19</v>
      </c>
      <c r="U321" s="12">
        <v>20</v>
      </c>
      <c r="V321" s="12">
        <v>21</v>
      </c>
      <c r="W321" s="12">
        <v>22</v>
      </c>
      <c r="X321" s="12">
        <v>23</v>
      </c>
      <c r="Y321" s="12">
        <v>24</v>
      </c>
      <c r="Z321" s="12">
        <v>25</v>
      </c>
      <c r="AA321" s="12">
        <v>26</v>
      </c>
      <c r="AB321" s="12">
        <v>27</v>
      </c>
      <c r="AC321" s="12">
        <v>28</v>
      </c>
      <c r="AD321" s="12">
        <v>29</v>
      </c>
      <c r="AE321" s="12">
        <v>30</v>
      </c>
      <c r="AF321" s="12">
        <v>31</v>
      </c>
      <c r="AG321" s="12">
        <v>32</v>
      </c>
      <c r="AH321" s="12">
        <v>33</v>
      </c>
      <c r="AI321" s="12">
        <v>34</v>
      </c>
      <c r="AJ321" s="12">
        <v>35</v>
      </c>
      <c r="AK321" s="12">
        <v>36</v>
      </c>
      <c r="AL321" s="12">
        <v>37</v>
      </c>
      <c r="AM321" s="12">
        <v>38</v>
      </c>
      <c r="AN321" s="12">
        <v>39</v>
      </c>
      <c r="AO321" s="12">
        <v>40</v>
      </c>
      <c r="AP321" s="12">
        <v>41</v>
      </c>
      <c r="AQ321" s="12">
        <v>42</v>
      </c>
      <c r="AR321" s="12">
        <v>43</v>
      </c>
      <c r="AS321" s="12">
        <v>44</v>
      </c>
      <c r="AT321" s="12">
        <v>45</v>
      </c>
      <c r="AU321" s="12">
        <v>46</v>
      </c>
      <c r="AV321" s="12">
        <v>47</v>
      </c>
      <c r="AW321" s="12">
        <v>48</v>
      </c>
    </row>
    <row r="322" spans="1:49">
      <c r="A322" s="12" t="s">
        <v>80</v>
      </c>
      <c r="B322" s="12" cm="1">
        <f t="array" ref="B322">INDEX($B$312:$G319, INT((COLUMN(A225)-1)/6)+1, MOD(COLUMN(A225)-1,6)+1)</f>
        <v>1</v>
      </c>
      <c r="C322" s="12" cm="1">
        <f t="array" ref="C322">INDEX($B$312:$G319, INT((COLUMN(B225)-1)/6)+1, MOD(COLUMN(B225)-1,6)+1)</f>
        <v>1</v>
      </c>
      <c r="D322" s="12" cm="1">
        <f t="array" ref="D322">INDEX($B$312:$G319, INT((COLUMN(C225)-1)/6)+1, MOD(COLUMN(C225)-1,6)+1)</f>
        <v>0</v>
      </c>
      <c r="E322" s="12" cm="1">
        <f t="array" ref="E322">INDEX($B$312:$G319, INT((COLUMN(D225)-1)/6)+1, MOD(COLUMN(D225)-1,6)+1)</f>
        <v>0</v>
      </c>
      <c r="F322" s="12" cm="1">
        <f t="array" ref="F322">INDEX($B$312:$G319, INT((COLUMN(E225)-1)/6)+1, MOD(COLUMN(E225)-1,6)+1)</f>
        <v>0</v>
      </c>
      <c r="G322" s="12" cm="1">
        <f t="array" ref="G322">INDEX($B$312:$G319, INT((COLUMN(F225)-1)/6)+1, MOD(COLUMN(F225)-1,6)+1)</f>
        <v>0</v>
      </c>
      <c r="H322" s="12" cm="1">
        <f t="array" ref="H322">INDEX($B$312:$G319, INT((COLUMN(G225)-1)/6)+1, MOD(COLUMN(G225)-1,6)+1)</f>
        <v>0</v>
      </c>
      <c r="I322" s="12" cm="1">
        <f t="array" ref="I322">INDEX($B$312:$G319, INT((COLUMN(H225)-1)/6)+1, MOD(COLUMN(H225)-1,6)+1)</f>
        <v>0</v>
      </c>
      <c r="J322" s="12" cm="1">
        <f t="array" ref="J322">INDEX($B$312:$G319, INT((COLUMN(I225)-1)/6)+1, MOD(COLUMN(I225)-1,6)+1)</f>
        <v>1</v>
      </c>
      <c r="K322" s="12" cm="1">
        <f t="array" ref="K322">INDEX($B$312:$G319, INT((COLUMN(J225)-1)/6)+1, MOD(COLUMN(J225)-1,6)+1)</f>
        <v>1</v>
      </c>
      <c r="L322" s="12" cm="1">
        <f t="array" ref="L322">INDEX($B$312:$G319, INT((COLUMN(K225)-1)/6)+1, MOD(COLUMN(K225)-1,6)+1)</f>
        <v>0</v>
      </c>
      <c r="M322" s="12" cm="1">
        <f t="array" ref="M322">INDEX($B$312:$G319, INT((COLUMN(L225)-1)/6)+1, MOD(COLUMN(L225)-1,6)+1)</f>
        <v>1</v>
      </c>
      <c r="N322" s="12" cm="1">
        <f t="array" ref="N322">INDEX($B$312:$G319, INT((COLUMN(M225)-1)/6)+1, MOD(COLUMN(M225)-1,6)+1)</f>
        <v>1</v>
      </c>
      <c r="O322" s="12" cm="1">
        <f t="array" ref="O322">INDEX($B$312:$G319, INT((COLUMN(N225)-1)/6)+1, MOD(COLUMN(N225)-1,6)+1)</f>
        <v>0</v>
      </c>
      <c r="P322" s="12" cm="1">
        <f t="array" ref="P322">INDEX($B$312:$G319, INT((COLUMN(O225)-1)/6)+1, MOD(COLUMN(O225)-1,6)+1)</f>
        <v>1</v>
      </c>
      <c r="Q322" s="12" cm="1">
        <f t="array" ref="Q322">INDEX($B$312:$G319, INT((COLUMN(P225)-1)/6)+1, MOD(COLUMN(P225)-1,6)+1)</f>
        <v>1</v>
      </c>
      <c r="R322" s="12" cm="1">
        <f t="array" ref="R322">INDEX($B$312:$G319, INT((COLUMN(Q225)-1)/6)+1, MOD(COLUMN(Q225)-1,6)+1)</f>
        <v>1</v>
      </c>
      <c r="S322" s="12" cm="1">
        <f t="array" ref="S322">INDEX($B$312:$G319, INT((COLUMN(R225)-1)/6)+1, MOD(COLUMN(R225)-1,6)+1)</f>
        <v>1</v>
      </c>
      <c r="T322" s="12" cm="1">
        <f t="array" ref="T322">INDEX($B$312:$G319, INT((COLUMN(S225)-1)/6)+1, MOD(COLUMN(S225)-1,6)+1)</f>
        <v>1</v>
      </c>
      <c r="U322" s="12" cm="1">
        <f t="array" ref="U322">INDEX($B$312:$G319, INT((COLUMN(T225)-1)/6)+1, MOD(COLUMN(T225)-1,6)+1)</f>
        <v>0</v>
      </c>
      <c r="V322" s="12" cm="1">
        <f t="array" ref="V322">INDEX($B$312:$G319, INT((COLUMN(U225)-1)/6)+1, MOD(COLUMN(U225)-1,6)+1)</f>
        <v>1</v>
      </c>
      <c r="W322" s="12" cm="1">
        <f t="array" ref="W322">INDEX($B$312:$G319, INT((COLUMN(V225)-1)/6)+1, MOD(COLUMN(V225)-1,6)+1)</f>
        <v>0</v>
      </c>
      <c r="X322" s="12" cm="1">
        <f t="array" ref="X322">INDEX($B$312:$G319, INT((COLUMN(W225)-1)/6)+1, MOD(COLUMN(W225)-1,6)+1)</f>
        <v>1</v>
      </c>
      <c r="Y322" s="12" cm="1">
        <f t="array" ref="Y322">INDEX($B$312:$G319, INT((COLUMN(X225)-1)/6)+1, MOD(COLUMN(X225)-1,6)+1)</f>
        <v>1</v>
      </c>
      <c r="Z322" s="12" cm="1">
        <f t="array" ref="Z322">INDEX($B$312:$G319, INT((COLUMN(Y225)-1)/6)+1, MOD(COLUMN(Y225)-1,6)+1)</f>
        <v>0</v>
      </c>
      <c r="AA322" s="12" cm="1">
        <f t="array" ref="AA322">INDEX($B$312:$G319, INT((COLUMN(Z225)-1)/6)+1, MOD(COLUMN(Z225)-1,6)+1)</f>
        <v>0</v>
      </c>
      <c r="AB322" s="12" cm="1">
        <f t="array" ref="AB322">INDEX($B$312:$G319, INT((COLUMN(AA225)-1)/6)+1, MOD(COLUMN(AA225)-1,6)+1)</f>
        <v>1</v>
      </c>
      <c r="AC322" s="12" cm="1">
        <f t="array" ref="AC322">INDEX($B$312:$G319, INT((COLUMN(AB225)-1)/6)+1, MOD(COLUMN(AB225)-1,6)+1)</f>
        <v>0</v>
      </c>
      <c r="AD322" s="12" cm="1">
        <f t="array" ref="AD322">INDEX($B$312:$G319, INT((COLUMN(AC225)-1)/6)+1, MOD(COLUMN(AC225)-1,6)+1)</f>
        <v>0</v>
      </c>
      <c r="AE322" s="12" cm="1">
        <f t="array" ref="AE322">INDEX($B$312:$G319, INT((COLUMN(AD225)-1)/6)+1, MOD(COLUMN(AD225)-1,6)+1)</f>
        <v>1</v>
      </c>
      <c r="AF322" s="12" cm="1">
        <f t="array" ref="AF322">INDEX($B$312:$G319, INT((COLUMN(AE225)-1)/6)+1, MOD(COLUMN(AE225)-1,6)+1)</f>
        <v>1</v>
      </c>
      <c r="AG322" s="12" cm="1">
        <f t="array" ref="AG322">INDEX($B$312:$G319, INT((COLUMN(AF225)-1)/6)+1, MOD(COLUMN(AF225)-1,6)+1)</f>
        <v>1</v>
      </c>
      <c r="AH322" s="12" cm="1">
        <f t="array" ref="AH322">INDEX($B$312:$G319, INT((COLUMN(AG225)-1)/6)+1, MOD(COLUMN(AG225)-1,6)+1)</f>
        <v>1</v>
      </c>
      <c r="AI322" s="12" cm="1">
        <f t="array" ref="AI322">INDEX($B$312:$G319, INT((COLUMN(AH225)-1)/6)+1, MOD(COLUMN(AH225)-1,6)+1)</f>
        <v>0</v>
      </c>
      <c r="AJ322" s="12" cm="1">
        <f t="array" ref="AJ322">INDEX($B$312:$G319, INT((COLUMN(AI225)-1)/6)+1, MOD(COLUMN(AI225)-1,6)+1)</f>
        <v>1</v>
      </c>
      <c r="AK322" s="12" cm="1">
        <f t="array" ref="AK322">INDEX($B$312:$G319, INT((COLUMN(AJ225)-1)/6)+1, MOD(COLUMN(AJ225)-1,6)+1)</f>
        <v>1</v>
      </c>
      <c r="AL322" s="12" cm="1">
        <f t="array" ref="AL322">INDEX($B$312:$G319, INT((COLUMN(AK225)-1)/6)+1, MOD(COLUMN(AK225)-1,6)+1)</f>
        <v>1</v>
      </c>
      <c r="AM322" s="12" cm="1">
        <f t="array" ref="AM322">INDEX($B$312:$G319, INT((COLUMN(AL225)-1)/6)+1, MOD(COLUMN(AL225)-1,6)+1)</f>
        <v>0</v>
      </c>
      <c r="AN322" s="12" cm="1">
        <f t="array" ref="AN322">INDEX($B$312:$G319, INT((COLUMN(AM225)-1)/6)+1, MOD(COLUMN(AM225)-1,6)+1)</f>
        <v>0</v>
      </c>
      <c r="AO322" s="12" cm="1">
        <f t="array" ref="AO322">INDEX($B$312:$G319, INT((COLUMN(AN225)-1)/6)+1, MOD(COLUMN(AN225)-1,6)+1)</f>
        <v>0</v>
      </c>
      <c r="AP322" s="12" cm="1">
        <f t="array" ref="AP322">INDEX($B$312:$G319, INT((COLUMN(AO225)-1)/6)+1, MOD(COLUMN(AO225)-1,6)+1)</f>
        <v>0</v>
      </c>
      <c r="AQ322" s="12" cm="1">
        <f t="array" ref="AQ322">INDEX($B$312:$G319, INT((COLUMN(AP225)-1)/6)+1, MOD(COLUMN(AP225)-1,6)+1)</f>
        <v>0</v>
      </c>
      <c r="AR322" s="12" cm="1">
        <f t="array" ref="AR322">INDEX($B$312:$G319, INT((COLUMN(AQ225)-1)/6)+1, MOD(COLUMN(AQ225)-1,6)+1)</f>
        <v>1</v>
      </c>
      <c r="AS322" s="12" cm="1">
        <f t="array" ref="AS322">INDEX($B$312:$G319, INT((COLUMN(AR225)-1)/6)+1, MOD(COLUMN(AR225)-1,6)+1)</f>
        <v>1</v>
      </c>
      <c r="AT322" s="12" cm="1">
        <f t="array" ref="AT322">INDEX($B$312:$G319, INT((COLUMN(AS225)-1)/6)+1, MOD(COLUMN(AS225)-1,6)+1)</f>
        <v>1</v>
      </c>
      <c r="AU322" s="12" cm="1">
        <f t="array" ref="AU322">INDEX($B$312:$G319, INT((COLUMN(AT225)-1)/6)+1, MOD(COLUMN(AT225)-1,6)+1)</f>
        <v>0</v>
      </c>
      <c r="AV322" s="12" cm="1">
        <f t="array" ref="AV322">INDEX($B$312:$G319, INT((COLUMN(AU225)-1)/6)+1, MOD(COLUMN(AU225)-1,6)+1)</f>
        <v>0</v>
      </c>
      <c r="AW322" s="12" cm="1">
        <f t="array" ref="AW322">INDEX($B$312:$G319, INT((COLUMN(AV225)-1)/6)+1, MOD(COLUMN(AV225)-1,6)+1)</f>
        <v>1</v>
      </c>
    </row>
    <row r="324" spans="1:49">
      <c r="A324" s="20" t="s">
        <v>81</v>
      </c>
    </row>
    <row r="325" spans="1:49">
      <c r="A325" s="5" t="s">
        <v>82</v>
      </c>
    </row>
    <row r="327" spans="1:49">
      <c r="A327" s="12" t="s">
        <v>3</v>
      </c>
      <c r="B327" s="12">
        <v>1</v>
      </c>
      <c r="C327" s="12">
        <v>2</v>
      </c>
      <c r="D327" s="12">
        <v>3</v>
      </c>
      <c r="E327" s="12">
        <v>4</v>
      </c>
      <c r="F327" s="12">
        <v>5</v>
      </c>
      <c r="G327" s="12">
        <v>6</v>
      </c>
      <c r="H327" s="12">
        <v>7</v>
      </c>
      <c r="I327" s="12">
        <v>8</v>
      </c>
      <c r="J327" s="12">
        <v>9</v>
      </c>
      <c r="K327" s="12">
        <v>10</v>
      </c>
      <c r="L327" s="12">
        <v>11</v>
      </c>
      <c r="M327" s="12">
        <v>12</v>
      </c>
      <c r="N327" s="12">
        <v>13</v>
      </c>
      <c r="O327" s="12">
        <v>14</v>
      </c>
      <c r="P327" s="12">
        <v>15</v>
      </c>
      <c r="Q327" s="12">
        <v>16</v>
      </c>
      <c r="R327" s="12">
        <v>17</v>
      </c>
      <c r="S327" s="12">
        <v>18</v>
      </c>
      <c r="T327" s="12">
        <v>19</v>
      </c>
      <c r="U327" s="12">
        <v>20</v>
      </c>
      <c r="V327" s="12">
        <v>21</v>
      </c>
      <c r="W327" s="12">
        <v>22</v>
      </c>
      <c r="X327" s="12">
        <v>23</v>
      </c>
      <c r="Y327" s="12">
        <v>24</v>
      </c>
      <c r="Z327" s="12">
        <v>25</v>
      </c>
      <c r="AA327" s="12">
        <v>26</v>
      </c>
      <c r="AB327" s="12">
        <v>27</v>
      </c>
      <c r="AC327" s="12">
        <v>28</v>
      </c>
    </row>
    <row r="328" spans="1:49">
      <c r="A328" s="12" t="s">
        <v>82</v>
      </c>
      <c r="B328" s="12">
        <v>0</v>
      </c>
      <c r="C328" s="12">
        <v>1</v>
      </c>
      <c r="D328" s="12">
        <v>0</v>
      </c>
      <c r="E328" s="12">
        <v>1</v>
      </c>
      <c r="F328" s="12">
        <v>0</v>
      </c>
      <c r="G328" s="12">
        <v>1</v>
      </c>
      <c r="H328" s="12">
        <v>0</v>
      </c>
      <c r="I328" s="12">
        <v>1</v>
      </c>
      <c r="J328" s="12">
        <v>0</v>
      </c>
      <c r="K328" s="12">
        <v>1</v>
      </c>
      <c r="L328" s="12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0</v>
      </c>
      <c r="R328" s="16">
        <v>0</v>
      </c>
      <c r="S328" s="16">
        <v>0</v>
      </c>
      <c r="T328" s="16">
        <v>0</v>
      </c>
      <c r="U328" s="16">
        <v>1</v>
      </c>
      <c r="V328" s="16">
        <v>1</v>
      </c>
      <c r="W328" s="16">
        <v>0</v>
      </c>
      <c r="X328" s="16">
        <v>0</v>
      </c>
      <c r="Y328" s="16">
        <v>1</v>
      </c>
      <c r="Z328" s="16">
        <v>1</v>
      </c>
      <c r="AA328" s="16">
        <v>0</v>
      </c>
      <c r="AB328" s="16">
        <v>0</v>
      </c>
      <c r="AC328" s="16">
        <v>1</v>
      </c>
    </row>
    <row r="330" spans="1:49">
      <c r="A330" s="5" t="s">
        <v>83</v>
      </c>
    </row>
    <row r="332" spans="1:49">
      <c r="A332" s="12" t="s">
        <v>3</v>
      </c>
      <c r="B332" s="12">
        <v>1</v>
      </c>
      <c r="C332" s="12">
        <v>2</v>
      </c>
      <c r="D332" s="12">
        <v>3</v>
      </c>
      <c r="E332" s="12">
        <v>4</v>
      </c>
      <c r="F332" s="12">
        <v>5</v>
      </c>
      <c r="G332" s="12">
        <v>6</v>
      </c>
      <c r="H332" s="12">
        <v>7</v>
      </c>
      <c r="I332" s="12">
        <v>8</v>
      </c>
      <c r="J332" s="12">
        <v>9</v>
      </c>
      <c r="K332" s="12">
        <v>10</v>
      </c>
      <c r="L332" s="12">
        <v>11</v>
      </c>
      <c r="M332" s="12">
        <v>12</v>
      </c>
      <c r="N332" s="12">
        <v>13</v>
      </c>
      <c r="O332" s="12">
        <v>14</v>
      </c>
      <c r="P332" s="12">
        <v>15</v>
      </c>
      <c r="Q332" s="12">
        <v>16</v>
      </c>
      <c r="R332" s="12">
        <v>17</v>
      </c>
      <c r="S332" s="12">
        <v>18</v>
      </c>
      <c r="T332" s="12">
        <v>19</v>
      </c>
      <c r="U332" s="12">
        <v>20</v>
      </c>
      <c r="V332" s="12">
        <v>21</v>
      </c>
      <c r="W332" s="12">
        <v>22</v>
      </c>
      <c r="X332" s="12">
        <v>23</v>
      </c>
      <c r="Y332" s="12">
        <v>24</v>
      </c>
      <c r="Z332" s="12">
        <v>25</v>
      </c>
      <c r="AA332" s="12">
        <v>26</v>
      </c>
      <c r="AB332" s="12">
        <v>27</v>
      </c>
      <c r="AC332" s="12">
        <v>28</v>
      </c>
    </row>
    <row r="333" spans="1:49">
      <c r="A333" s="12" t="s">
        <v>83</v>
      </c>
      <c r="B333" s="12">
        <v>1</v>
      </c>
      <c r="C333" s="12">
        <v>1</v>
      </c>
      <c r="D333" s="12">
        <v>1</v>
      </c>
      <c r="E333" s="12">
        <v>0</v>
      </c>
      <c r="F333" s="12">
        <v>0</v>
      </c>
      <c r="G333" s="12">
        <v>0</v>
      </c>
      <c r="H333" s="12">
        <v>0</v>
      </c>
      <c r="I333" s="12">
        <v>1</v>
      </c>
      <c r="J333" s="12">
        <v>0</v>
      </c>
      <c r="K333" s="12">
        <v>1</v>
      </c>
      <c r="L333" s="12">
        <v>0</v>
      </c>
      <c r="M333" s="12">
        <v>1</v>
      </c>
      <c r="N333" s="12">
        <v>0</v>
      </c>
      <c r="O333" s="12">
        <v>1</v>
      </c>
      <c r="P333" s="12">
        <v>0</v>
      </c>
      <c r="Q333" s="12">
        <v>1</v>
      </c>
      <c r="R333" s="12">
        <v>0</v>
      </c>
      <c r="S333" s="12">
        <v>1</v>
      </c>
      <c r="T333" s="12">
        <v>0</v>
      </c>
      <c r="U333" s="12">
        <v>1</v>
      </c>
      <c r="V333" s="12">
        <v>1</v>
      </c>
      <c r="W333" s="12">
        <v>0</v>
      </c>
      <c r="X333" s="12">
        <v>0</v>
      </c>
      <c r="Y333" s="12">
        <v>1</v>
      </c>
      <c r="Z333" s="12">
        <v>1</v>
      </c>
      <c r="AA333" s="12">
        <v>0</v>
      </c>
      <c r="AB333" s="12">
        <v>0</v>
      </c>
      <c r="AC333" s="12">
        <v>1</v>
      </c>
    </row>
    <row r="335" spans="1:49">
      <c r="A335" s="6" t="s">
        <v>84</v>
      </c>
    </row>
    <row r="337" spans="1:57">
      <c r="A337" s="12" t="s">
        <v>3</v>
      </c>
      <c r="B337" s="12">
        <v>1</v>
      </c>
      <c r="C337" s="12">
        <v>2</v>
      </c>
      <c r="D337" s="12">
        <v>3</v>
      </c>
      <c r="E337" s="12">
        <v>4</v>
      </c>
      <c r="F337" s="12">
        <v>5</v>
      </c>
      <c r="G337" s="12">
        <v>6</v>
      </c>
      <c r="H337" s="12">
        <v>7</v>
      </c>
      <c r="I337" s="12">
        <v>8</v>
      </c>
      <c r="J337" s="12">
        <v>9</v>
      </c>
      <c r="K337" s="12">
        <v>10</v>
      </c>
      <c r="L337" s="12">
        <v>11</v>
      </c>
      <c r="M337" s="12">
        <v>12</v>
      </c>
      <c r="N337" s="12">
        <v>13</v>
      </c>
      <c r="O337" s="12">
        <v>14</v>
      </c>
      <c r="P337" s="12">
        <v>15</v>
      </c>
      <c r="Q337" s="12">
        <v>16</v>
      </c>
      <c r="R337" s="12">
        <v>17</v>
      </c>
      <c r="S337" s="12">
        <v>18</v>
      </c>
      <c r="T337" s="12">
        <v>19</v>
      </c>
      <c r="U337" s="12">
        <v>20</v>
      </c>
      <c r="V337" s="12">
        <v>21</v>
      </c>
      <c r="W337" s="12">
        <v>22</v>
      </c>
      <c r="X337" s="12">
        <v>23</v>
      </c>
      <c r="Y337" s="12">
        <v>24</v>
      </c>
      <c r="Z337" s="12">
        <v>25</v>
      </c>
      <c r="AA337" s="12">
        <v>26</v>
      </c>
      <c r="AB337" s="12">
        <v>27</v>
      </c>
      <c r="AC337" s="12">
        <v>28</v>
      </c>
      <c r="AD337" s="12">
        <v>29</v>
      </c>
      <c r="AE337" s="12">
        <v>30</v>
      </c>
      <c r="AF337" s="12">
        <v>31</v>
      </c>
      <c r="AG337" s="12">
        <v>32</v>
      </c>
      <c r="AH337" s="12">
        <v>33</v>
      </c>
      <c r="AI337" s="12">
        <v>34</v>
      </c>
      <c r="AJ337" s="12">
        <v>35</v>
      </c>
      <c r="AK337" s="12">
        <v>36</v>
      </c>
      <c r="AL337" s="12">
        <v>37</v>
      </c>
      <c r="AM337" s="12">
        <v>38</v>
      </c>
      <c r="AN337" s="12">
        <v>39</v>
      </c>
      <c r="AO337" s="12">
        <v>40</v>
      </c>
      <c r="AP337" s="12">
        <v>41</v>
      </c>
      <c r="AQ337" s="12">
        <v>42</v>
      </c>
      <c r="AR337" s="12">
        <v>43</v>
      </c>
      <c r="AS337" s="12">
        <v>44</v>
      </c>
      <c r="AT337" s="12">
        <v>45</v>
      </c>
      <c r="AU337" s="12">
        <v>46</v>
      </c>
      <c r="AV337" s="12">
        <v>47</v>
      </c>
      <c r="AW337" s="12">
        <v>48</v>
      </c>
      <c r="AX337" s="12">
        <v>49</v>
      </c>
      <c r="AY337" s="12">
        <v>50</v>
      </c>
      <c r="AZ337" s="12">
        <v>51</v>
      </c>
      <c r="BA337" s="12">
        <v>52</v>
      </c>
      <c r="BB337" s="12">
        <v>53</v>
      </c>
      <c r="BC337" s="12">
        <v>54</v>
      </c>
      <c r="BD337" s="12">
        <v>55</v>
      </c>
      <c r="BE337" s="12">
        <v>56</v>
      </c>
    </row>
    <row r="338" spans="1:57">
      <c r="A338" s="12" t="s">
        <v>85</v>
      </c>
      <c r="B338" s="12">
        <v>0</v>
      </c>
      <c r="C338" s="12">
        <v>1</v>
      </c>
      <c r="D338" s="12">
        <v>0</v>
      </c>
      <c r="E338" s="12">
        <v>1</v>
      </c>
      <c r="F338" s="12">
        <v>0</v>
      </c>
      <c r="G338" s="12">
        <v>1</v>
      </c>
      <c r="H338" s="12">
        <v>0</v>
      </c>
      <c r="I338" s="12">
        <v>1</v>
      </c>
      <c r="J338" s="12">
        <v>0</v>
      </c>
      <c r="K338" s="12">
        <v>1</v>
      </c>
      <c r="L338" s="12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0</v>
      </c>
      <c r="R338" s="16">
        <v>0</v>
      </c>
      <c r="S338" s="16">
        <v>0</v>
      </c>
      <c r="T338" s="16">
        <v>0</v>
      </c>
      <c r="U338" s="16">
        <v>1</v>
      </c>
      <c r="V338" s="16">
        <v>1</v>
      </c>
      <c r="W338" s="16">
        <v>0</v>
      </c>
      <c r="X338" s="16">
        <v>0</v>
      </c>
      <c r="Y338" s="16">
        <v>1</v>
      </c>
      <c r="Z338" s="16">
        <v>1</v>
      </c>
      <c r="AA338" s="16">
        <v>0</v>
      </c>
      <c r="AB338" s="16">
        <v>0</v>
      </c>
      <c r="AC338" s="16">
        <v>1</v>
      </c>
      <c r="AD338" s="12">
        <v>1</v>
      </c>
      <c r="AE338" s="12">
        <v>1</v>
      </c>
      <c r="AF338" s="12">
        <v>1</v>
      </c>
      <c r="AG338" s="12">
        <v>0</v>
      </c>
      <c r="AH338" s="12">
        <v>0</v>
      </c>
      <c r="AI338" s="12">
        <v>0</v>
      </c>
      <c r="AJ338" s="12">
        <v>0</v>
      </c>
      <c r="AK338" s="12">
        <v>1</v>
      </c>
      <c r="AL338" s="12">
        <v>0</v>
      </c>
      <c r="AM338" s="12">
        <v>1</v>
      </c>
      <c r="AN338" s="12">
        <v>0</v>
      </c>
      <c r="AO338" s="12">
        <v>1</v>
      </c>
      <c r="AP338" s="12">
        <v>0</v>
      </c>
      <c r="AQ338" s="12">
        <v>1</v>
      </c>
      <c r="AR338" s="12">
        <v>0</v>
      </c>
      <c r="AS338" s="12">
        <v>1</v>
      </c>
      <c r="AT338" s="12">
        <v>0</v>
      </c>
      <c r="AU338" s="12">
        <v>1</v>
      </c>
      <c r="AV338" s="12">
        <v>0</v>
      </c>
      <c r="AW338" s="12">
        <v>1</v>
      </c>
      <c r="AX338" s="12">
        <v>1</v>
      </c>
      <c r="AY338" s="12">
        <v>0</v>
      </c>
      <c r="AZ338" s="12">
        <v>0</v>
      </c>
      <c r="BA338" s="12">
        <v>1</v>
      </c>
      <c r="BB338" s="12">
        <v>1</v>
      </c>
      <c r="BC338" s="12">
        <v>0</v>
      </c>
      <c r="BD338" s="12">
        <v>0</v>
      </c>
      <c r="BE338" s="12">
        <v>1</v>
      </c>
    </row>
    <row r="340" spans="1:57">
      <c r="A340" s="5" t="s">
        <v>86</v>
      </c>
      <c r="B340" s="12" cm="1">
        <f t="array" ref="B340">INDEX($B$338:$BE$338, K25)</f>
        <v>1</v>
      </c>
      <c r="C340" s="12" cm="1">
        <f t="array" ref="C340">INDEX($B$338:$BE$338, L25)</f>
        <v>0</v>
      </c>
      <c r="D340" s="12" cm="1">
        <f t="array" ref="D340">INDEX($B$338:$BE$338, M25)</f>
        <v>1</v>
      </c>
      <c r="E340" s="12" cm="1">
        <f t="array" ref="E340">INDEX($B$338:$BE$338, N25)</f>
        <v>1</v>
      </c>
      <c r="F340" s="12" cm="1">
        <f t="array" ref="F340">INDEX($B$338:$BE$338, O25)</f>
        <v>0</v>
      </c>
      <c r="G340" s="12" cm="1">
        <f t="array" ref="G340">INDEX($B$338:$BE$338, P25)</f>
        <v>0</v>
      </c>
    </row>
    <row r="341" spans="1:57">
      <c r="B341" s="12" cm="1">
        <f t="array" ref="B341">INDEX($B$338:$BE$338, K26)</f>
        <v>0</v>
      </c>
      <c r="C341" s="12" cm="1">
        <f t="array" ref="C341">INDEX($B$338:$BE$338, L26)</f>
        <v>1</v>
      </c>
      <c r="D341" s="12" cm="1">
        <f t="array" ref="D341">INDEX($B$338:$BE$338, M26)</f>
        <v>1</v>
      </c>
      <c r="E341" s="12" cm="1">
        <f t="array" ref="E341">INDEX($B$338:$BE$338, N26)</f>
        <v>1</v>
      </c>
      <c r="F341" s="12" cm="1">
        <f t="array" ref="F341">INDEX($B$338:$BE$338, O26)</f>
        <v>1</v>
      </c>
      <c r="G341" s="12" cm="1">
        <f t="array" ref="G341">INDEX($B$338:$BE$338, P26)</f>
        <v>1</v>
      </c>
    </row>
    <row r="342" spans="1:57">
      <c r="B342" s="12" cm="1">
        <f t="array" ref="B342">INDEX($B$338:$BE$338, K27)</f>
        <v>0</v>
      </c>
      <c r="C342" s="12" cm="1">
        <f t="array" ref="C342">INDEX($B$338:$BE$338, L27)</f>
        <v>0</v>
      </c>
      <c r="D342" s="12" cm="1">
        <f t="array" ref="D342">INDEX($B$338:$BE$338, M27)</f>
        <v>1</v>
      </c>
      <c r="E342" s="12" cm="1">
        <f t="array" ref="E342">INDEX($B$338:$BE$338, N27)</f>
        <v>1</v>
      </c>
      <c r="F342" s="12" cm="1">
        <f t="array" ref="F342">INDEX($B$338:$BE$338, O27)</f>
        <v>0</v>
      </c>
      <c r="G342" s="12" cm="1">
        <f t="array" ref="G342">INDEX($B$338:$BE$338, P27)</f>
        <v>1</v>
      </c>
    </row>
    <row r="343" spans="1:57">
      <c r="B343" s="12" cm="1">
        <f t="array" ref="B343">INDEX($B$338:$BE$338, K28)</f>
        <v>0</v>
      </c>
      <c r="C343" s="12" cm="1">
        <f t="array" ref="C343">INDEX($B$338:$BE$338, L28)</f>
        <v>0</v>
      </c>
      <c r="D343" s="12" cm="1">
        <f t="array" ref="D343">INDEX($B$338:$BE$338, M28)</f>
        <v>0</v>
      </c>
      <c r="E343" s="12" cm="1">
        <f t="array" ref="E343">INDEX($B$338:$BE$338, N28)</f>
        <v>1</v>
      </c>
      <c r="F343" s="12" cm="1">
        <f t="array" ref="F343">INDEX($B$338:$BE$338, O28)</f>
        <v>1</v>
      </c>
      <c r="G343" s="12" cm="1">
        <f t="array" ref="G343">INDEX($B$338:$BE$338, P28)</f>
        <v>1</v>
      </c>
    </row>
    <row r="344" spans="1:57">
      <c r="B344" s="12" cm="1">
        <f t="array" ref="B344">INDEX($B$338:$BE$338, K29)</f>
        <v>0</v>
      </c>
      <c r="C344" s="12" cm="1">
        <f t="array" ref="C344">INDEX($B$338:$BE$338, L29)</f>
        <v>1</v>
      </c>
      <c r="D344" s="12" cm="1">
        <f t="array" ref="D344">INDEX($B$338:$BE$338, M29)</f>
        <v>1</v>
      </c>
      <c r="E344" s="12" cm="1">
        <f t="array" ref="E344">INDEX($B$338:$BE$338, N29)</f>
        <v>0</v>
      </c>
      <c r="F344" s="12" cm="1">
        <f t="array" ref="F344">INDEX($B$338:$BE$338, O29)</f>
        <v>0</v>
      </c>
      <c r="G344" s="12" cm="1">
        <f t="array" ref="G344">INDEX($B$338:$BE$338, P29)</f>
        <v>0</v>
      </c>
    </row>
    <row r="345" spans="1:57">
      <c r="B345" s="12" cm="1">
        <f t="array" ref="B345">INDEX($B$338:$BE$338, K30)</f>
        <v>1</v>
      </c>
      <c r="C345" s="12" cm="1">
        <f t="array" ref="C345">INDEX($B$338:$BE$338, L30)</f>
        <v>1</v>
      </c>
      <c r="D345" s="12" cm="1">
        <f t="array" ref="D345">INDEX($B$338:$BE$338, M30)</f>
        <v>0</v>
      </c>
      <c r="E345" s="12" cm="1">
        <f t="array" ref="E345">INDEX($B$338:$BE$338, N30)</f>
        <v>0</v>
      </c>
      <c r="F345" s="12" cm="1">
        <f t="array" ref="F345">INDEX($B$338:$BE$338, O30)</f>
        <v>0</v>
      </c>
      <c r="G345" s="12" cm="1">
        <f t="array" ref="G345">INDEX($B$338:$BE$338, P30)</f>
        <v>1</v>
      </c>
    </row>
    <row r="346" spans="1:57">
      <c r="B346" s="12" cm="1">
        <f t="array" ref="B346">INDEX($B$338:$BE$338, K31)</f>
        <v>1</v>
      </c>
      <c r="C346" s="12" cm="1">
        <f t="array" ref="C346">INDEX($B$338:$BE$338, L31)</f>
        <v>1</v>
      </c>
      <c r="D346" s="12" cm="1">
        <f t="array" ref="D346">INDEX($B$338:$BE$338, M31)</f>
        <v>0</v>
      </c>
      <c r="E346" s="12" cm="1">
        <f t="array" ref="E346">INDEX($B$338:$BE$338, N31)</f>
        <v>1</v>
      </c>
      <c r="F346" s="12" cm="1">
        <f t="array" ref="F346">INDEX($B$338:$BE$338, O31)</f>
        <v>0</v>
      </c>
      <c r="G346" s="12" cm="1">
        <f t="array" ref="G346">INDEX($B$338:$BE$338, P31)</f>
        <v>1</v>
      </c>
    </row>
    <row r="347" spans="1:57">
      <c r="B347" s="12" cm="1">
        <f t="array" ref="B347">INDEX($B$338:$BE$338, K32)</f>
        <v>1</v>
      </c>
      <c r="C347" s="12" cm="1">
        <f t="array" ref="C347">INDEX($B$338:$BE$338, L32)</f>
        <v>1</v>
      </c>
      <c r="D347" s="12" cm="1">
        <f t="array" ref="D347">INDEX($B$338:$BE$338, M32)</f>
        <v>0</v>
      </c>
      <c r="E347" s="12" cm="1">
        <f t="array" ref="E347">INDEX($B$338:$BE$338, N32)</f>
        <v>1</v>
      </c>
      <c r="F347" s="12" cm="1">
        <f t="array" ref="F347">INDEX($B$338:$BE$338, O32)</f>
        <v>1</v>
      </c>
      <c r="G347" s="12" cm="1">
        <f t="array" ref="G347">INDEX($B$338:$BE$338, P32)</f>
        <v>0</v>
      </c>
    </row>
    <row r="349" spans="1:57">
      <c r="A349" s="12" t="s">
        <v>3</v>
      </c>
      <c r="B349" s="12">
        <v>1</v>
      </c>
      <c r="C349" s="12">
        <v>2</v>
      </c>
      <c r="D349" s="12">
        <v>3</v>
      </c>
      <c r="E349" s="12">
        <v>4</v>
      </c>
      <c r="F349" s="12">
        <v>5</v>
      </c>
      <c r="G349" s="12">
        <v>6</v>
      </c>
      <c r="H349" s="12">
        <v>7</v>
      </c>
      <c r="I349" s="12">
        <v>8</v>
      </c>
      <c r="J349" s="12">
        <v>9</v>
      </c>
      <c r="K349" s="12">
        <v>10</v>
      </c>
      <c r="L349" s="12">
        <v>11</v>
      </c>
      <c r="M349" s="12">
        <v>12</v>
      </c>
      <c r="N349" s="12">
        <v>13</v>
      </c>
      <c r="O349" s="12">
        <v>14</v>
      </c>
      <c r="P349" s="12">
        <v>15</v>
      </c>
      <c r="Q349" s="12">
        <v>16</v>
      </c>
      <c r="R349" s="12">
        <v>17</v>
      </c>
      <c r="S349" s="12">
        <v>18</v>
      </c>
      <c r="T349" s="12">
        <v>19</v>
      </c>
      <c r="U349" s="12">
        <v>20</v>
      </c>
      <c r="V349" s="12">
        <v>21</v>
      </c>
      <c r="W349" s="12">
        <v>22</v>
      </c>
      <c r="X349" s="12">
        <v>23</v>
      </c>
      <c r="Y349" s="12">
        <v>24</v>
      </c>
      <c r="Z349" s="12">
        <v>25</v>
      </c>
      <c r="AA349" s="12">
        <v>26</v>
      </c>
      <c r="AB349" s="12">
        <v>27</v>
      </c>
      <c r="AC349" s="12">
        <v>28</v>
      </c>
      <c r="AD349" s="12">
        <v>29</v>
      </c>
      <c r="AE349" s="12">
        <v>30</v>
      </c>
      <c r="AF349" s="12">
        <v>31</v>
      </c>
      <c r="AG349" s="12">
        <v>32</v>
      </c>
      <c r="AH349" s="12">
        <v>33</v>
      </c>
      <c r="AI349" s="12">
        <v>34</v>
      </c>
      <c r="AJ349" s="12">
        <v>35</v>
      </c>
      <c r="AK349" s="12">
        <v>36</v>
      </c>
      <c r="AL349" s="12">
        <v>37</v>
      </c>
      <c r="AM349" s="12">
        <v>38</v>
      </c>
      <c r="AN349" s="12">
        <v>39</v>
      </c>
      <c r="AO349" s="12">
        <v>40</v>
      </c>
      <c r="AP349" s="12">
        <v>41</v>
      </c>
      <c r="AQ349" s="12">
        <v>42</v>
      </c>
      <c r="AR349" s="12">
        <v>43</v>
      </c>
      <c r="AS349" s="12">
        <v>44</v>
      </c>
      <c r="AT349" s="12">
        <v>45</v>
      </c>
      <c r="AU349" s="12">
        <v>46</v>
      </c>
      <c r="AV349" s="12">
        <v>47</v>
      </c>
      <c r="AW349" s="12">
        <v>48</v>
      </c>
    </row>
    <row r="350" spans="1:57">
      <c r="A350" s="12" t="s">
        <v>87</v>
      </c>
      <c r="B350" s="12" cm="1">
        <f t="array" ref="B350">INDEX($B$340:$G347, INT((COLUMN(A253)-1)/6)+1, MOD(COLUMN(A253)-1,6)+1)</f>
        <v>1</v>
      </c>
      <c r="C350" s="12" cm="1">
        <f t="array" ref="C350">INDEX($B$340:$G347, INT((COLUMN(B253)-1)/6)+1, MOD(COLUMN(B253)-1,6)+1)</f>
        <v>0</v>
      </c>
      <c r="D350" s="12" cm="1">
        <f t="array" ref="D350">INDEX($B$340:$G347, INT((COLUMN(C253)-1)/6)+1, MOD(COLUMN(C253)-1,6)+1)</f>
        <v>1</v>
      </c>
      <c r="E350" s="12" cm="1">
        <f t="array" ref="E350">INDEX($B$340:$G347, INT((COLUMN(D253)-1)/6)+1, MOD(COLUMN(D253)-1,6)+1)</f>
        <v>1</v>
      </c>
      <c r="F350" s="12" cm="1">
        <f t="array" ref="F350">INDEX($B$340:$G347, INT((COLUMN(E253)-1)/6)+1, MOD(COLUMN(E253)-1,6)+1)</f>
        <v>0</v>
      </c>
      <c r="G350" s="12" cm="1">
        <f t="array" ref="G350">INDEX($B$340:$G347, INT((COLUMN(F253)-1)/6)+1, MOD(COLUMN(F253)-1,6)+1)</f>
        <v>0</v>
      </c>
      <c r="H350" s="12" cm="1">
        <f t="array" ref="H350">INDEX($B$340:$G347, INT((COLUMN(G253)-1)/6)+1, MOD(COLUMN(G253)-1,6)+1)</f>
        <v>0</v>
      </c>
      <c r="I350" s="12" cm="1">
        <f t="array" ref="I350">INDEX($B$340:$G347, INT((COLUMN(H253)-1)/6)+1, MOD(COLUMN(H253)-1,6)+1)</f>
        <v>1</v>
      </c>
      <c r="J350" s="12" cm="1">
        <f t="array" ref="J350">INDEX($B$340:$G347, INT((COLUMN(I253)-1)/6)+1, MOD(COLUMN(I253)-1,6)+1)</f>
        <v>1</v>
      </c>
      <c r="K350" s="12" cm="1">
        <f t="array" ref="K350">INDEX($B$340:$G347, INT((COLUMN(J253)-1)/6)+1, MOD(COLUMN(J253)-1,6)+1)</f>
        <v>1</v>
      </c>
      <c r="L350" s="12" cm="1">
        <f t="array" ref="L350">INDEX($B$340:$G347, INT((COLUMN(K253)-1)/6)+1, MOD(COLUMN(K253)-1,6)+1)</f>
        <v>1</v>
      </c>
      <c r="M350" s="12" cm="1">
        <f t="array" ref="M350">INDEX($B$340:$G347, INT((COLUMN(L253)-1)/6)+1, MOD(COLUMN(L253)-1,6)+1)</f>
        <v>1</v>
      </c>
      <c r="N350" s="12" cm="1">
        <f t="array" ref="N350">INDEX($B$340:$G347, INT((COLUMN(M253)-1)/6)+1, MOD(COLUMN(M253)-1,6)+1)</f>
        <v>0</v>
      </c>
      <c r="O350" s="12" cm="1">
        <f t="array" ref="O350">INDEX($B$340:$G347, INT((COLUMN(N253)-1)/6)+1, MOD(COLUMN(N253)-1,6)+1)</f>
        <v>0</v>
      </c>
      <c r="P350" s="12" cm="1">
        <f t="array" ref="P350">INDEX($B$340:$G347, INT((COLUMN(O253)-1)/6)+1, MOD(COLUMN(O253)-1,6)+1)</f>
        <v>1</v>
      </c>
      <c r="Q350" s="12" cm="1">
        <f t="array" ref="Q350">INDEX($B$340:$G347, INT((COLUMN(P253)-1)/6)+1, MOD(COLUMN(P253)-1,6)+1)</f>
        <v>1</v>
      </c>
      <c r="R350" s="12" cm="1">
        <f t="array" ref="R350">INDEX($B$340:$G347, INT((COLUMN(Q253)-1)/6)+1, MOD(COLUMN(Q253)-1,6)+1)</f>
        <v>0</v>
      </c>
      <c r="S350" s="12" cm="1">
        <f t="array" ref="S350">INDEX($B$340:$G347, INT((COLUMN(R253)-1)/6)+1, MOD(COLUMN(R253)-1,6)+1)</f>
        <v>1</v>
      </c>
      <c r="T350" s="12" cm="1">
        <f t="array" ref="T350">INDEX($B$340:$G347, INT((COLUMN(S253)-1)/6)+1, MOD(COLUMN(S253)-1,6)+1)</f>
        <v>0</v>
      </c>
      <c r="U350" s="12" cm="1">
        <f t="array" ref="U350">INDEX($B$340:$G347, INT((COLUMN(T253)-1)/6)+1, MOD(COLUMN(T253)-1,6)+1)</f>
        <v>0</v>
      </c>
      <c r="V350" s="12" cm="1">
        <f t="array" ref="V350">INDEX($B$340:$G347, INT((COLUMN(U253)-1)/6)+1, MOD(COLUMN(U253)-1,6)+1)</f>
        <v>0</v>
      </c>
      <c r="W350" s="12" cm="1">
        <f t="array" ref="W350">INDEX($B$340:$G347, INT((COLUMN(V253)-1)/6)+1, MOD(COLUMN(V253)-1,6)+1)</f>
        <v>1</v>
      </c>
      <c r="X350" s="12" cm="1">
        <f t="array" ref="X350">INDEX($B$340:$G347, INT((COLUMN(W253)-1)/6)+1, MOD(COLUMN(W253)-1,6)+1)</f>
        <v>1</v>
      </c>
      <c r="Y350" s="12" cm="1">
        <f t="array" ref="Y350">INDEX($B$340:$G347, INT((COLUMN(X253)-1)/6)+1, MOD(COLUMN(X253)-1,6)+1)</f>
        <v>1</v>
      </c>
      <c r="Z350" s="12" cm="1">
        <f t="array" ref="Z350">INDEX($B$340:$G347, INT((COLUMN(Y253)-1)/6)+1, MOD(COLUMN(Y253)-1,6)+1)</f>
        <v>0</v>
      </c>
      <c r="AA350" s="12" cm="1">
        <f t="array" ref="AA350">INDEX($B$340:$G347, INT((COLUMN(Z253)-1)/6)+1, MOD(COLUMN(Z253)-1,6)+1)</f>
        <v>1</v>
      </c>
      <c r="AB350" s="12" cm="1">
        <f t="array" ref="AB350">INDEX($B$340:$G347, INT((COLUMN(AA253)-1)/6)+1, MOD(COLUMN(AA253)-1,6)+1)</f>
        <v>1</v>
      </c>
      <c r="AC350" s="12" cm="1">
        <f t="array" ref="AC350">INDEX($B$340:$G347, INT((COLUMN(AB253)-1)/6)+1, MOD(COLUMN(AB253)-1,6)+1)</f>
        <v>0</v>
      </c>
      <c r="AD350" s="12" cm="1">
        <f t="array" ref="AD350">INDEX($B$340:$G347, INT((COLUMN(AC253)-1)/6)+1, MOD(COLUMN(AC253)-1,6)+1)</f>
        <v>0</v>
      </c>
      <c r="AE350" s="12" cm="1">
        <f t="array" ref="AE350">INDEX($B$340:$G347, INT((COLUMN(AD253)-1)/6)+1, MOD(COLUMN(AD253)-1,6)+1)</f>
        <v>0</v>
      </c>
      <c r="AF350" s="12" cm="1">
        <f t="array" ref="AF350">INDEX($B$340:$G347, INT((COLUMN(AE253)-1)/6)+1, MOD(COLUMN(AE253)-1,6)+1)</f>
        <v>1</v>
      </c>
      <c r="AG350" s="12" cm="1">
        <f t="array" ref="AG350">INDEX($B$340:$G347, INT((COLUMN(AF253)-1)/6)+1, MOD(COLUMN(AF253)-1,6)+1)</f>
        <v>1</v>
      </c>
      <c r="AH350" s="12" cm="1">
        <f t="array" ref="AH350">INDEX($B$340:$G347, INT((COLUMN(AG253)-1)/6)+1, MOD(COLUMN(AG253)-1,6)+1)</f>
        <v>0</v>
      </c>
      <c r="AI350" s="12" cm="1">
        <f t="array" ref="AI350">INDEX($B$340:$G347, INT((COLUMN(AH253)-1)/6)+1, MOD(COLUMN(AH253)-1,6)+1)</f>
        <v>0</v>
      </c>
      <c r="AJ350" s="12" cm="1">
        <f t="array" ref="AJ350">INDEX($B$340:$G347, INT((COLUMN(AI253)-1)/6)+1, MOD(COLUMN(AI253)-1,6)+1)</f>
        <v>0</v>
      </c>
      <c r="AK350" s="12" cm="1">
        <f t="array" ref="AK350">INDEX($B$340:$G347, INT((COLUMN(AJ253)-1)/6)+1, MOD(COLUMN(AJ253)-1,6)+1)</f>
        <v>1</v>
      </c>
      <c r="AL350" s="12" cm="1">
        <f t="array" ref="AL350">INDEX($B$340:$G347, INT((COLUMN(AK253)-1)/6)+1, MOD(COLUMN(AK253)-1,6)+1)</f>
        <v>1</v>
      </c>
      <c r="AM350" s="12" cm="1">
        <f t="array" ref="AM350">INDEX($B$340:$G347, INT((COLUMN(AL253)-1)/6)+1, MOD(COLUMN(AL253)-1,6)+1)</f>
        <v>1</v>
      </c>
      <c r="AN350" s="12" cm="1">
        <f t="array" ref="AN350">INDEX($B$340:$G347, INT((COLUMN(AM253)-1)/6)+1, MOD(COLUMN(AM253)-1,6)+1)</f>
        <v>0</v>
      </c>
      <c r="AO350" s="12" cm="1">
        <f t="array" ref="AO350">INDEX($B$340:$G347, INT((COLUMN(AN253)-1)/6)+1, MOD(COLUMN(AN253)-1,6)+1)</f>
        <v>1</v>
      </c>
      <c r="AP350" s="12" cm="1">
        <f t="array" ref="AP350">INDEX($B$340:$G347, INT((COLUMN(AO253)-1)/6)+1, MOD(COLUMN(AO253)-1,6)+1)</f>
        <v>0</v>
      </c>
      <c r="AQ350" s="12" cm="1">
        <f t="array" ref="AQ350">INDEX($B$340:$G347, INT((COLUMN(AP253)-1)/6)+1, MOD(COLUMN(AP253)-1,6)+1)</f>
        <v>1</v>
      </c>
      <c r="AR350" s="12" cm="1">
        <f t="array" ref="AR350">INDEX($B$340:$G347, INT((COLUMN(AQ253)-1)/6)+1, MOD(COLUMN(AQ253)-1,6)+1)</f>
        <v>1</v>
      </c>
      <c r="AS350" s="12" cm="1">
        <f t="array" ref="AS350">INDEX($B$340:$G347, INT((COLUMN(AR253)-1)/6)+1, MOD(COLUMN(AR253)-1,6)+1)</f>
        <v>1</v>
      </c>
      <c r="AT350" s="12" cm="1">
        <f t="array" ref="AT350">INDEX($B$340:$G347, INT((COLUMN(AS253)-1)/6)+1, MOD(COLUMN(AS253)-1,6)+1)</f>
        <v>0</v>
      </c>
      <c r="AU350" s="12" cm="1">
        <f t="array" ref="AU350">INDEX($B$340:$G347, INT((COLUMN(AT253)-1)/6)+1, MOD(COLUMN(AT253)-1,6)+1)</f>
        <v>1</v>
      </c>
      <c r="AV350" s="12" cm="1">
        <f t="array" ref="AV350">INDEX($B$340:$G347, INT((COLUMN(AU253)-1)/6)+1, MOD(COLUMN(AU253)-1,6)+1)</f>
        <v>1</v>
      </c>
      <c r="AW350" s="12" cm="1">
        <f t="array" ref="AW350">INDEX($B$340:$G347, INT((COLUMN(AV253)-1)/6)+1, MOD(COLUMN(AV253)-1,6)+1)</f>
        <v>0</v>
      </c>
    </row>
    <row r="352" spans="1:57">
      <c r="A352" s="20" t="s">
        <v>88</v>
      </c>
    </row>
    <row r="353" spans="1:57">
      <c r="A353" s="5" t="s">
        <v>89</v>
      </c>
    </row>
    <row r="355" spans="1:57">
      <c r="A355" s="12" t="s">
        <v>3</v>
      </c>
      <c r="B355" s="12">
        <v>1</v>
      </c>
      <c r="C355" s="12">
        <v>2</v>
      </c>
      <c r="D355" s="12">
        <v>3</v>
      </c>
      <c r="E355" s="12">
        <v>4</v>
      </c>
      <c r="F355" s="12">
        <v>5</v>
      </c>
      <c r="G355" s="12">
        <v>6</v>
      </c>
      <c r="H355" s="12">
        <v>7</v>
      </c>
      <c r="I355" s="12">
        <v>8</v>
      </c>
      <c r="J355" s="12">
        <v>9</v>
      </c>
      <c r="K355" s="12">
        <v>10</v>
      </c>
      <c r="L355" s="12">
        <v>11</v>
      </c>
      <c r="M355" s="12">
        <v>12</v>
      </c>
      <c r="N355" s="12">
        <v>13</v>
      </c>
      <c r="O355" s="12">
        <v>14</v>
      </c>
      <c r="P355" s="12">
        <v>15</v>
      </c>
      <c r="Q355" s="12">
        <v>16</v>
      </c>
      <c r="R355" s="12">
        <v>17</v>
      </c>
      <c r="S355" s="12">
        <v>18</v>
      </c>
      <c r="T355" s="12">
        <v>19</v>
      </c>
      <c r="U355" s="12">
        <v>20</v>
      </c>
      <c r="V355" s="12">
        <v>21</v>
      </c>
      <c r="W355" s="12">
        <v>22</v>
      </c>
      <c r="X355" s="12">
        <v>23</v>
      </c>
      <c r="Y355" s="12">
        <v>24</v>
      </c>
      <c r="Z355" s="12">
        <v>25</v>
      </c>
      <c r="AA355" s="12">
        <v>26</v>
      </c>
      <c r="AB355" s="12">
        <v>27</v>
      </c>
      <c r="AC355" s="12">
        <v>28</v>
      </c>
    </row>
    <row r="356" spans="1:57">
      <c r="A356" s="12" t="s">
        <v>89</v>
      </c>
      <c r="B356" s="12">
        <v>0</v>
      </c>
      <c r="C356" s="12">
        <v>1</v>
      </c>
      <c r="D356" s="12">
        <v>0</v>
      </c>
      <c r="E356" s="12">
        <v>1</v>
      </c>
      <c r="F356" s="12">
        <v>0</v>
      </c>
      <c r="G356" s="12">
        <v>1</v>
      </c>
      <c r="H356" s="12">
        <v>0</v>
      </c>
      <c r="I356" s="12">
        <v>1</v>
      </c>
      <c r="J356" s="12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0</v>
      </c>
      <c r="P356" s="16">
        <v>0</v>
      </c>
      <c r="Q356" s="16">
        <v>0</v>
      </c>
      <c r="R356" s="16">
        <v>0</v>
      </c>
      <c r="S356" s="16">
        <v>1</v>
      </c>
      <c r="T356" s="16">
        <v>1</v>
      </c>
      <c r="U356" s="16">
        <v>0</v>
      </c>
      <c r="V356" s="16">
        <v>0</v>
      </c>
      <c r="W356" s="16">
        <v>1</v>
      </c>
      <c r="X356" s="16">
        <v>1</v>
      </c>
      <c r="Y356" s="16">
        <v>0</v>
      </c>
      <c r="Z356" s="16">
        <v>0</v>
      </c>
      <c r="AA356" s="16">
        <v>1</v>
      </c>
      <c r="AB356" s="16">
        <v>0</v>
      </c>
      <c r="AC356" s="16">
        <v>1</v>
      </c>
    </row>
    <row r="358" spans="1:57">
      <c r="A358" s="5" t="s">
        <v>90</v>
      </c>
    </row>
    <row r="360" spans="1:57">
      <c r="A360" s="12" t="s">
        <v>3</v>
      </c>
      <c r="B360" s="12">
        <v>1</v>
      </c>
      <c r="C360" s="12">
        <v>2</v>
      </c>
      <c r="D360" s="12">
        <v>3</v>
      </c>
      <c r="E360" s="12">
        <v>4</v>
      </c>
      <c r="F360" s="12">
        <v>5</v>
      </c>
      <c r="G360" s="12">
        <v>6</v>
      </c>
      <c r="H360" s="12">
        <v>7</v>
      </c>
      <c r="I360" s="12">
        <v>8</v>
      </c>
      <c r="J360" s="12">
        <v>9</v>
      </c>
      <c r="K360" s="12">
        <v>10</v>
      </c>
      <c r="L360" s="12">
        <v>11</v>
      </c>
      <c r="M360" s="12">
        <v>12</v>
      </c>
      <c r="N360" s="12">
        <v>13</v>
      </c>
      <c r="O360" s="12">
        <v>14</v>
      </c>
      <c r="P360" s="12">
        <v>15</v>
      </c>
      <c r="Q360" s="12">
        <v>16</v>
      </c>
      <c r="R360" s="12">
        <v>17</v>
      </c>
      <c r="S360" s="12">
        <v>18</v>
      </c>
      <c r="T360" s="12">
        <v>19</v>
      </c>
      <c r="U360" s="12">
        <v>20</v>
      </c>
      <c r="V360" s="12">
        <v>21</v>
      </c>
      <c r="W360" s="12">
        <v>22</v>
      </c>
      <c r="X360" s="12">
        <v>23</v>
      </c>
      <c r="Y360" s="12">
        <v>24</v>
      </c>
      <c r="Z360" s="12">
        <v>25</v>
      </c>
      <c r="AA360" s="12">
        <v>26</v>
      </c>
      <c r="AB360" s="12">
        <v>27</v>
      </c>
      <c r="AC360" s="12">
        <v>28</v>
      </c>
    </row>
    <row r="361" spans="1:57">
      <c r="A361" s="12" t="s">
        <v>90</v>
      </c>
      <c r="B361" s="12">
        <v>1</v>
      </c>
      <c r="C361" s="12">
        <v>0</v>
      </c>
      <c r="D361" s="12">
        <v>0</v>
      </c>
      <c r="E361" s="12">
        <v>0</v>
      </c>
      <c r="F361" s="12">
        <v>0</v>
      </c>
      <c r="G361" s="12">
        <v>1</v>
      </c>
      <c r="H361" s="12">
        <v>0</v>
      </c>
      <c r="I361" s="12">
        <v>1</v>
      </c>
      <c r="J361" s="12">
        <v>0</v>
      </c>
      <c r="K361" s="12">
        <v>1</v>
      </c>
      <c r="L361" s="12">
        <v>0</v>
      </c>
      <c r="M361" s="12">
        <v>1</v>
      </c>
      <c r="N361" s="12">
        <v>0</v>
      </c>
      <c r="O361" s="12">
        <v>1</v>
      </c>
      <c r="P361" s="12">
        <v>0</v>
      </c>
      <c r="Q361" s="12">
        <v>1</v>
      </c>
      <c r="R361" s="12">
        <v>0</v>
      </c>
      <c r="S361" s="12">
        <v>1</v>
      </c>
      <c r="T361" s="12">
        <v>1</v>
      </c>
      <c r="U361" s="12">
        <v>0</v>
      </c>
      <c r="V361" s="12">
        <v>0</v>
      </c>
      <c r="W361" s="12">
        <v>1</v>
      </c>
      <c r="X361" s="12">
        <v>1</v>
      </c>
      <c r="Y361" s="12">
        <v>0</v>
      </c>
      <c r="Z361" s="12">
        <v>0</v>
      </c>
      <c r="AA361" s="12">
        <v>1</v>
      </c>
      <c r="AB361" s="12">
        <v>1</v>
      </c>
      <c r="AC361" s="12">
        <v>1</v>
      </c>
    </row>
    <row r="363" spans="1:57">
      <c r="A363" s="6" t="s">
        <v>91</v>
      </c>
    </row>
    <row r="365" spans="1:57">
      <c r="A365" s="12" t="s">
        <v>3</v>
      </c>
      <c r="B365" s="12">
        <v>1</v>
      </c>
      <c r="C365" s="12">
        <v>2</v>
      </c>
      <c r="D365" s="12">
        <v>3</v>
      </c>
      <c r="E365" s="12">
        <v>4</v>
      </c>
      <c r="F365" s="12">
        <v>5</v>
      </c>
      <c r="G365" s="12">
        <v>6</v>
      </c>
      <c r="H365" s="12">
        <v>7</v>
      </c>
      <c r="I365" s="12">
        <v>8</v>
      </c>
      <c r="J365" s="12">
        <v>9</v>
      </c>
      <c r="K365" s="12">
        <v>10</v>
      </c>
      <c r="L365" s="12">
        <v>11</v>
      </c>
      <c r="M365" s="12">
        <v>12</v>
      </c>
      <c r="N365" s="12">
        <v>13</v>
      </c>
      <c r="O365" s="12">
        <v>14</v>
      </c>
      <c r="P365" s="12">
        <v>15</v>
      </c>
      <c r="Q365" s="12">
        <v>16</v>
      </c>
      <c r="R365" s="12">
        <v>17</v>
      </c>
      <c r="S365" s="12">
        <v>18</v>
      </c>
      <c r="T365" s="12">
        <v>19</v>
      </c>
      <c r="U365" s="12">
        <v>20</v>
      </c>
      <c r="V365" s="12">
        <v>21</v>
      </c>
      <c r="W365" s="12">
        <v>22</v>
      </c>
      <c r="X365" s="12">
        <v>23</v>
      </c>
      <c r="Y365" s="12">
        <v>24</v>
      </c>
      <c r="Z365" s="12">
        <v>25</v>
      </c>
      <c r="AA365" s="12">
        <v>26</v>
      </c>
      <c r="AB365" s="12">
        <v>27</v>
      </c>
      <c r="AC365" s="12">
        <v>28</v>
      </c>
      <c r="AD365" s="12">
        <v>29</v>
      </c>
      <c r="AE365" s="12">
        <v>30</v>
      </c>
      <c r="AF365" s="12">
        <v>31</v>
      </c>
      <c r="AG365" s="12">
        <v>32</v>
      </c>
      <c r="AH365" s="12">
        <v>33</v>
      </c>
      <c r="AI365" s="12">
        <v>34</v>
      </c>
      <c r="AJ365" s="12">
        <v>35</v>
      </c>
      <c r="AK365" s="12">
        <v>36</v>
      </c>
      <c r="AL365" s="12">
        <v>37</v>
      </c>
      <c r="AM365" s="12">
        <v>38</v>
      </c>
      <c r="AN365" s="12">
        <v>39</v>
      </c>
      <c r="AO365" s="12">
        <v>40</v>
      </c>
      <c r="AP365" s="12">
        <v>41</v>
      </c>
      <c r="AQ365" s="12">
        <v>42</v>
      </c>
      <c r="AR365" s="12">
        <v>43</v>
      </c>
      <c r="AS365" s="12">
        <v>44</v>
      </c>
      <c r="AT365" s="12">
        <v>45</v>
      </c>
      <c r="AU365" s="12">
        <v>46</v>
      </c>
      <c r="AV365" s="12">
        <v>47</v>
      </c>
      <c r="AW365" s="12">
        <v>48</v>
      </c>
      <c r="AX365" s="12">
        <v>49</v>
      </c>
      <c r="AY365" s="12">
        <v>50</v>
      </c>
      <c r="AZ365" s="12">
        <v>51</v>
      </c>
      <c r="BA365" s="12">
        <v>52</v>
      </c>
      <c r="BB365" s="12">
        <v>53</v>
      </c>
      <c r="BC365" s="12">
        <v>54</v>
      </c>
      <c r="BD365" s="12">
        <v>55</v>
      </c>
      <c r="BE365" s="12">
        <v>56</v>
      </c>
    </row>
    <row r="366" spans="1:57">
      <c r="A366" s="12" t="s">
        <v>92</v>
      </c>
      <c r="B366" s="12">
        <v>0</v>
      </c>
      <c r="C366" s="12">
        <v>1</v>
      </c>
      <c r="D366" s="12">
        <v>0</v>
      </c>
      <c r="E366" s="12">
        <v>1</v>
      </c>
      <c r="F366" s="12">
        <v>0</v>
      </c>
      <c r="G366" s="12">
        <v>1</v>
      </c>
      <c r="H366" s="12">
        <v>0</v>
      </c>
      <c r="I366" s="12">
        <v>1</v>
      </c>
      <c r="J366" s="12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0</v>
      </c>
      <c r="P366" s="16">
        <v>0</v>
      </c>
      <c r="Q366" s="16">
        <v>0</v>
      </c>
      <c r="R366" s="16">
        <v>0</v>
      </c>
      <c r="S366" s="16">
        <v>1</v>
      </c>
      <c r="T366" s="16">
        <v>1</v>
      </c>
      <c r="U366" s="16">
        <v>0</v>
      </c>
      <c r="V366" s="16">
        <v>0</v>
      </c>
      <c r="W366" s="16">
        <v>1</v>
      </c>
      <c r="X366" s="16">
        <v>1</v>
      </c>
      <c r="Y366" s="16">
        <v>0</v>
      </c>
      <c r="Z366" s="16">
        <v>0</v>
      </c>
      <c r="AA366" s="16">
        <v>1</v>
      </c>
      <c r="AB366" s="16">
        <v>0</v>
      </c>
      <c r="AC366" s="16">
        <v>1</v>
      </c>
      <c r="AD366" s="12">
        <v>1</v>
      </c>
      <c r="AE366" s="12">
        <v>0</v>
      </c>
      <c r="AF366" s="12">
        <v>0</v>
      </c>
      <c r="AG366" s="12">
        <v>0</v>
      </c>
      <c r="AH366" s="12">
        <v>0</v>
      </c>
      <c r="AI366" s="12">
        <v>1</v>
      </c>
      <c r="AJ366" s="12">
        <v>0</v>
      </c>
      <c r="AK366" s="12">
        <v>1</v>
      </c>
      <c r="AL366" s="12">
        <v>0</v>
      </c>
      <c r="AM366" s="12">
        <v>1</v>
      </c>
      <c r="AN366" s="12">
        <v>0</v>
      </c>
      <c r="AO366" s="12">
        <v>1</v>
      </c>
      <c r="AP366" s="12">
        <v>0</v>
      </c>
      <c r="AQ366" s="12">
        <v>1</v>
      </c>
      <c r="AR366" s="12">
        <v>0</v>
      </c>
      <c r="AS366" s="12">
        <v>1</v>
      </c>
      <c r="AT366" s="12">
        <v>0</v>
      </c>
      <c r="AU366" s="12">
        <v>1</v>
      </c>
      <c r="AV366" s="12">
        <v>1</v>
      </c>
      <c r="AW366" s="12">
        <v>0</v>
      </c>
      <c r="AX366" s="12">
        <v>0</v>
      </c>
      <c r="AY366" s="12">
        <v>1</v>
      </c>
      <c r="AZ366" s="12">
        <v>1</v>
      </c>
      <c r="BA366" s="12">
        <v>0</v>
      </c>
      <c r="BB366" s="12">
        <v>0</v>
      </c>
      <c r="BC366" s="12">
        <v>1</v>
      </c>
      <c r="BD366" s="12">
        <v>1</v>
      </c>
      <c r="BE366" s="12">
        <v>1</v>
      </c>
    </row>
    <row r="368" spans="1:57">
      <c r="A368" s="5" t="s">
        <v>93</v>
      </c>
      <c r="B368" s="12" cm="1">
        <f t="array" ref="B368">INDEX($B$366:$BE$366, K25)</f>
        <v>0</v>
      </c>
      <c r="C368" s="12" cm="1">
        <f t="array" ref="C368">INDEX($B$366:$BE$366, L25)</f>
        <v>0</v>
      </c>
      <c r="D368" s="12" cm="1">
        <f t="array" ref="D368">INDEX($B$366:$BE$366, M25)</f>
        <v>1</v>
      </c>
      <c r="E368" s="12" cm="1">
        <f t="array" ref="E368">INDEX($B$366:$BE$366, N25)</f>
        <v>0</v>
      </c>
      <c r="F368" s="12" cm="1">
        <f t="array" ref="F368">INDEX($B$366:$BE$366, O25)</f>
        <v>0</v>
      </c>
      <c r="G368" s="12" cm="1">
        <f t="array" ref="G368">INDEX($B$366:$BE$366, P25)</f>
        <v>0</v>
      </c>
    </row>
    <row r="369" spans="1:49">
      <c r="B369" s="12" cm="1">
        <f t="array" ref="B369">INDEX($B$366:$BE$366, K26)</f>
        <v>0</v>
      </c>
      <c r="C369" s="12" cm="1">
        <f t="array" ref="C369">INDEX($B$366:$BE$366, L26)</f>
        <v>1</v>
      </c>
      <c r="D369" s="12" cm="1">
        <f t="array" ref="D369">INDEX($B$366:$BE$366, M26)</f>
        <v>0</v>
      </c>
      <c r="E369" s="12" cm="1">
        <f t="array" ref="E369">INDEX($B$366:$BE$366, N26)</f>
        <v>1</v>
      </c>
      <c r="F369" s="12" cm="1">
        <f t="array" ref="F369">INDEX($B$366:$BE$366, O26)</f>
        <v>0</v>
      </c>
      <c r="G369" s="12" cm="1">
        <f t="array" ref="G369">INDEX($B$366:$BE$366, P26)</f>
        <v>1</v>
      </c>
    </row>
    <row r="370" spans="1:49">
      <c r="B370" s="12" cm="1">
        <f t="array" ref="B370">INDEX($B$366:$BE$366, K27)</f>
        <v>1</v>
      </c>
      <c r="C370" s="12" cm="1">
        <f t="array" ref="C370">INDEX($B$366:$BE$366, L27)</f>
        <v>1</v>
      </c>
      <c r="D370" s="12" cm="1">
        <f t="array" ref="D370">INDEX($B$366:$BE$366, M27)</f>
        <v>1</v>
      </c>
      <c r="E370" s="12" cm="1">
        <f t="array" ref="E370">INDEX($B$366:$BE$366, N27)</f>
        <v>1</v>
      </c>
      <c r="F370" s="12" cm="1">
        <f t="array" ref="F370">INDEX($B$366:$BE$366, O27)</f>
        <v>1</v>
      </c>
      <c r="G370" s="12" cm="1">
        <f t="array" ref="G370">INDEX($B$366:$BE$366, P27)</f>
        <v>1</v>
      </c>
    </row>
    <row r="371" spans="1:49">
      <c r="B371" s="12" cm="1">
        <f t="array" ref="B371">INDEX($B$366:$BE$366, K28)</f>
        <v>0</v>
      </c>
      <c r="C371" s="12" cm="1">
        <f t="array" ref="C371">INDEX($B$366:$BE$366, L28)</f>
        <v>0</v>
      </c>
      <c r="D371" s="12" cm="1">
        <f t="array" ref="D371">INDEX($B$366:$BE$366, M28)</f>
        <v>0</v>
      </c>
      <c r="E371" s="12" cm="1">
        <f t="array" ref="E371">INDEX($B$366:$BE$366, N28)</f>
        <v>0</v>
      </c>
      <c r="F371" s="12" cm="1">
        <f t="array" ref="F371">INDEX($B$366:$BE$366, O28)</f>
        <v>1</v>
      </c>
      <c r="G371" s="12" cm="1">
        <f t="array" ref="G371">INDEX($B$366:$BE$366, P28)</f>
        <v>1</v>
      </c>
    </row>
    <row r="372" spans="1:49">
      <c r="B372" s="12" cm="1">
        <f t="array" ref="B372">INDEX($B$366:$BE$366, K29)</f>
        <v>0</v>
      </c>
      <c r="C372" s="12" cm="1">
        <f t="array" ref="C372">INDEX($B$366:$BE$366, L29)</f>
        <v>0</v>
      </c>
      <c r="D372" s="12" cm="1">
        <f t="array" ref="D372">INDEX($B$366:$BE$366, M29)</f>
        <v>0</v>
      </c>
      <c r="E372" s="12" cm="1">
        <f t="array" ref="E372">INDEX($B$366:$BE$366, N29)</f>
        <v>0</v>
      </c>
      <c r="F372" s="12" cm="1">
        <f t="array" ref="F372">INDEX($B$366:$BE$366, O29)</f>
        <v>1</v>
      </c>
      <c r="G372" s="12" cm="1">
        <f t="array" ref="G372">INDEX($B$366:$BE$366, P29)</f>
        <v>1</v>
      </c>
    </row>
    <row r="373" spans="1:49">
      <c r="B373" s="12" cm="1">
        <f t="array" ref="B373">INDEX($B$366:$BE$366, K30)</f>
        <v>0</v>
      </c>
      <c r="C373" s="12" cm="1">
        <f t="array" ref="C373">INDEX($B$366:$BE$366, L30)</f>
        <v>1</v>
      </c>
      <c r="D373" s="12" cm="1">
        <f t="array" ref="D373">INDEX($B$366:$BE$366, M30)</f>
        <v>1</v>
      </c>
      <c r="E373" s="12" cm="1">
        <f t="array" ref="E373">INDEX($B$366:$BE$366, N30)</f>
        <v>0</v>
      </c>
      <c r="F373" s="12" cm="1">
        <f t="array" ref="F373">INDEX($B$366:$BE$366, O30)</f>
        <v>0</v>
      </c>
      <c r="G373" s="12" cm="1">
        <f t="array" ref="G373">INDEX($B$366:$BE$366, P30)</f>
        <v>0</v>
      </c>
    </row>
    <row r="374" spans="1:49">
      <c r="B374" s="12" cm="1">
        <f t="array" ref="B374">INDEX($B$366:$BE$366, K31)</f>
        <v>1</v>
      </c>
      <c r="C374" s="12" cm="1">
        <f t="array" ref="C374">INDEX($B$366:$BE$366, L31)</f>
        <v>0</v>
      </c>
      <c r="D374" s="12" cm="1">
        <f t="array" ref="D374">INDEX($B$366:$BE$366, M31)</f>
        <v>0</v>
      </c>
      <c r="E374" s="12" cm="1">
        <f t="array" ref="E374">INDEX($B$366:$BE$366, N31)</f>
        <v>1</v>
      </c>
      <c r="F374" s="12" cm="1">
        <f t="array" ref="F374">INDEX($B$366:$BE$366, O31)</f>
        <v>1</v>
      </c>
      <c r="G374" s="12" cm="1">
        <f t="array" ref="G374">INDEX($B$366:$BE$366, P31)</f>
        <v>0</v>
      </c>
    </row>
    <row r="375" spans="1:49">
      <c r="B375" s="12" cm="1">
        <f t="array" ref="B375">INDEX($B$366:$BE$366, K32)</f>
        <v>1</v>
      </c>
      <c r="C375" s="12" cm="1">
        <f t="array" ref="C375">INDEX($B$366:$BE$366, L32)</f>
        <v>1</v>
      </c>
      <c r="D375" s="12" cm="1">
        <f t="array" ref="D375">INDEX($B$366:$BE$366, M32)</f>
        <v>1</v>
      </c>
      <c r="E375" s="12" cm="1">
        <f t="array" ref="E375">INDEX($B$366:$BE$366, N32)</f>
        <v>1</v>
      </c>
      <c r="F375" s="12" cm="1">
        <f t="array" ref="F375">INDEX($B$366:$BE$366, O32)</f>
        <v>1</v>
      </c>
      <c r="G375" s="12" cm="1">
        <f t="array" ref="G375">INDEX($B$366:$BE$366, P32)</f>
        <v>0</v>
      </c>
    </row>
    <row r="377" spans="1:49">
      <c r="A377" s="12" t="s">
        <v>3</v>
      </c>
      <c r="B377" s="12">
        <v>1</v>
      </c>
      <c r="C377" s="12">
        <v>2</v>
      </c>
      <c r="D377" s="12">
        <v>3</v>
      </c>
      <c r="E377" s="12">
        <v>4</v>
      </c>
      <c r="F377" s="12">
        <v>5</v>
      </c>
      <c r="G377" s="12">
        <v>6</v>
      </c>
      <c r="H377" s="12">
        <v>7</v>
      </c>
      <c r="I377" s="12">
        <v>8</v>
      </c>
      <c r="J377" s="12">
        <v>9</v>
      </c>
      <c r="K377" s="12">
        <v>10</v>
      </c>
      <c r="L377" s="12">
        <v>11</v>
      </c>
      <c r="M377" s="12">
        <v>12</v>
      </c>
      <c r="N377" s="12">
        <v>13</v>
      </c>
      <c r="O377" s="12">
        <v>14</v>
      </c>
      <c r="P377" s="12">
        <v>15</v>
      </c>
      <c r="Q377" s="12">
        <v>16</v>
      </c>
      <c r="R377" s="12">
        <v>17</v>
      </c>
      <c r="S377" s="12">
        <v>18</v>
      </c>
      <c r="T377" s="12">
        <v>19</v>
      </c>
      <c r="U377" s="12">
        <v>20</v>
      </c>
      <c r="V377" s="12">
        <v>21</v>
      </c>
      <c r="W377" s="12">
        <v>22</v>
      </c>
      <c r="X377" s="12">
        <v>23</v>
      </c>
      <c r="Y377" s="12">
        <v>24</v>
      </c>
      <c r="Z377" s="12">
        <v>25</v>
      </c>
      <c r="AA377" s="12">
        <v>26</v>
      </c>
      <c r="AB377" s="12">
        <v>27</v>
      </c>
      <c r="AC377" s="12">
        <v>28</v>
      </c>
      <c r="AD377" s="12">
        <v>29</v>
      </c>
      <c r="AE377" s="12">
        <v>30</v>
      </c>
      <c r="AF377" s="12">
        <v>31</v>
      </c>
      <c r="AG377" s="12">
        <v>32</v>
      </c>
      <c r="AH377" s="12">
        <v>33</v>
      </c>
      <c r="AI377" s="12">
        <v>34</v>
      </c>
      <c r="AJ377" s="12">
        <v>35</v>
      </c>
      <c r="AK377" s="12">
        <v>36</v>
      </c>
      <c r="AL377" s="12">
        <v>37</v>
      </c>
      <c r="AM377" s="12">
        <v>38</v>
      </c>
      <c r="AN377" s="12">
        <v>39</v>
      </c>
      <c r="AO377" s="12">
        <v>40</v>
      </c>
      <c r="AP377" s="12">
        <v>41</v>
      </c>
      <c r="AQ377" s="12">
        <v>42</v>
      </c>
      <c r="AR377" s="12">
        <v>43</v>
      </c>
      <c r="AS377" s="12">
        <v>44</v>
      </c>
      <c r="AT377" s="12">
        <v>45</v>
      </c>
      <c r="AU377" s="12">
        <v>46</v>
      </c>
      <c r="AV377" s="12">
        <v>47</v>
      </c>
      <c r="AW377" s="12">
        <v>48</v>
      </c>
    </row>
    <row r="378" spans="1:49">
      <c r="A378" s="12" t="s">
        <v>94</v>
      </c>
      <c r="B378" s="12" cm="1">
        <f t="array" ref="B378">INDEX($B$368:$G375, INT((COLUMN(A281)-1)/6)+1, MOD(COLUMN(A281)-1,6)+1)</f>
        <v>0</v>
      </c>
      <c r="C378" s="12" cm="1">
        <f t="array" ref="C378">INDEX($B$368:$G375, INT((COLUMN(B281)-1)/6)+1, MOD(COLUMN(B281)-1,6)+1)</f>
        <v>0</v>
      </c>
      <c r="D378" s="12" cm="1">
        <f t="array" ref="D378">INDEX($B$368:$G375, INT((COLUMN(C281)-1)/6)+1, MOD(COLUMN(C281)-1,6)+1)</f>
        <v>1</v>
      </c>
      <c r="E378" s="12" cm="1">
        <f t="array" ref="E378">INDEX($B$368:$G375, INT((COLUMN(D281)-1)/6)+1, MOD(COLUMN(D281)-1,6)+1)</f>
        <v>0</v>
      </c>
      <c r="F378" s="12" cm="1">
        <f t="array" ref="F378">INDEX($B$368:$G375, INT((COLUMN(E281)-1)/6)+1, MOD(COLUMN(E281)-1,6)+1)</f>
        <v>0</v>
      </c>
      <c r="G378" s="12" cm="1">
        <f t="array" ref="G378">INDEX($B$368:$G375, INT((COLUMN(F281)-1)/6)+1, MOD(COLUMN(F281)-1,6)+1)</f>
        <v>0</v>
      </c>
      <c r="H378" s="12" cm="1">
        <f t="array" ref="H378">INDEX($B$368:$G375, INT((COLUMN(G281)-1)/6)+1, MOD(COLUMN(G281)-1,6)+1)</f>
        <v>0</v>
      </c>
      <c r="I378" s="12" cm="1">
        <f t="array" ref="I378">INDEX($B$368:$G375, INT((COLUMN(H281)-1)/6)+1, MOD(COLUMN(H281)-1,6)+1)</f>
        <v>1</v>
      </c>
      <c r="J378" s="12" cm="1">
        <f t="array" ref="J378">INDEX($B$368:$G375, INT((COLUMN(I281)-1)/6)+1, MOD(COLUMN(I281)-1,6)+1)</f>
        <v>0</v>
      </c>
      <c r="K378" s="12" cm="1">
        <f t="array" ref="K378">INDEX($B$368:$G375, INT((COLUMN(J281)-1)/6)+1, MOD(COLUMN(J281)-1,6)+1)</f>
        <v>1</v>
      </c>
      <c r="L378" s="12" cm="1">
        <f t="array" ref="L378">INDEX($B$368:$G375, INT((COLUMN(K281)-1)/6)+1, MOD(COLUMN(K281)-1,6)+1)</f>
        <v>0</v>
      </c>
      <c r="M378" s="12" cm="1">
        <f t="array" ref="M378">INDEX($B$368:$G375, INT((COLUMN(L281)-1)/6)+1, MOD(COLUMN(L281)-1,6)+1)</f>
        <v>1</v>
      </c>
      <c r="N378" s="12" cm="1">
        <f t="array" ref="N378">INDEX($B$368:$G375, INT((COLUMN(M281)-1)/6)+1, MOD(COLUMN(M281)-1,6)+1)</f>
        <v>1</v>
      </c>
      <c r="O378" s="12" cm="1">
        <f t="array" ref="O378">INDEX($B$368:$G375, INT((COLUMN(N281)-1)/6)+1, MOD(COLUMN(N281)-1,6)+1)</f>
        <v>1</v>
      </c>
      <c r="P378" s="12" cm="1">
        <f t="array" ref="P378">INDEX($B$368:$G375, INT((COLUMN(O281)-1)/6)+1, MOD(COLUMN(O281)-1,6)+1)</f>
        <v>1</v>
      </c>
      <c r="Q378" s="12" cm="1">
        <f t="array" ref="Q378">INDEX($B$368:$G375, INT((COLUMN(P281)-1)/6)+1, MOD(COLUMN(P281)-1,6)+1)</f>
        <v>1</v>
      </c>
      <c r="R378" s="12" cm="1">
        <f t="array" ref="R378">INDEX($B$368:$G375, INT((COLUMN(Q281)-1)/6)+1, MOD(COLUMN(Q281)-1,6)+1)</f>
        <v>1</v>
      </c>
      <c r="S378" s="12" cm="1">
        <f t="array" ref="S378">INDEX($B$368:$G375, INT((COLUMN(R281)-1)/6)+1, MOD(COLUMN(R281)-1,6)+1)</f>
        <v>1</v>
      </c>
      <c r="T378" s="12" cm="1">
        <f t="array" ref="T378">INDEX($B$368:$G375, INT((COLUMN(S281)-1)/6)+1, MOD(COLUMN(S281)-1,6)+1)</f>
        <v>0</v>
      </c>
      <c r="U378" s="12" cm="1">
        <f t="array" ref="U378">INDEX($B$368:$G375, INT((COLUMN(T281)-1)/6)+1, MOD(COLUMN(T281)-1,6)+1)</f>
        <v>0</v>
      </c>
      <c r="V378" s="12" cm="1">
        <f t="array" ref="V378">INDEX($B$368:$G375, INT((COLUMN(U281)-1)/6)+1, MOD(COLUMN(U281)-1,6)+1)</f>
        <v>0</v>
      </c>
      <c r="W378" s="12" cm="1">
        <f t="array" ref="W378">INDEX($B$368:$G375, INT((COLUMN(V281)-1)/6)+1, MOD(COLUMN(V281)-1,6)+1)</f>
        <v>0</v>
      </c>
      <c r="X378" s="12" cm="1">
        <f t="array" ref="X378">INDEX($B$368:$G375, INT((COLUMN(W281)-1)/6)+1, MOD(COLUMN(W281)-1,6)+1)</f>
        <v>1</v>
      </c>
      <c r="Y378" s="12" cm="1">
        <f t="array" ref="Y378">INDEX($B$368:$G375, INT((COLUMN(X281)-1)/6)+1, MOD(COLUMN(X281)-1,6)+1)</f>
        <v>1</v>
      </c>
      <c r="Z378" s="12" cm="1">
        <f t="array" ref="Z378">INDEX($B$368:$G375, INT((COLUMN(Y281)-1)/6)+1, MOD(COLUMN(Y281)-1,6)+1)</f>
        <v>0</v>
      </c>
      <c r="AA378" s="12" cm="1">
        <f t="array" ref="AA378">INDEX($B$368:$G375, INT((COLUMN(Z281)-1)/6)+1, MOD(COLUMN(Z281)-1,6)+1)</f>
        <v>0</v>
      </c>
      <c r="AB378" s="12" cm="1">
        <f t="array" ref="AB378">INDEX($B$368:$G375, INT((COLUMN(AA281)-1)/6)+1, MOD(COLUMN(AA281)-1,6)+1)</f>
        <v>0</v>
      </c>
      <c r="AC378" s="12" cm="1">
        <f t="array" ref="AC378">INDEX($B$368:$G375, INT((COLUMN(AB281)-1)/6)+1, MOD(COLUMN(AB281)-1,6)+1)</f>
        <v>0</v>
      </c>
      <c r="AD378" s="12" cm="1">
        <f t="array" ref="AD378">INDEX($B$368:$G375, INT((COLUMN(AC281)-1)/6)+1, MOD(COLUMN(AC281)-1,6)+1)</f>
        <v>1</v>
      </c>
      <c r="AE378" s="12" cm="1">
        <f t="array" ref="AE378">INDEX($B$368:$G375, INT((COLUMN(AD281)-1)/6)+1, MOD(COLUMN(AD281)-1,6)+1)</f>
        <v>1</v>
      </c>
      <c r="AF378" s="12" cm="1">
        <f t="array" ref="AF378">INDEX($B$368:$G375, INT((COLUMN(AE281)-1)/6)+1, MOD(COLUMN(AE281)-1,6)+1)</f>
        <v>0</v>
      </c>
      <c r="AG378" s="12" cm="1">
        <f t="array" ref="AG378">INDEX($B$368:$G375, INT((COLUMN(AF281)-1)/6)+1, MOD(COLUMN(AF281)-1,6)+1)</f>
        <v>1</v>
      </c>
      <c r="AH378" s="12" cm="1">
        <f t="array" ref="AH378">INDEX($B$368:$G375, INT((COLUMN(AG281)-1)/6)+1, MOD(COLUMN(AG281)-1,6)+1)</f>
        <v>1</v>
      </c>
      <c r="AI378" s="12" cm="1">
        <f t="array" ref="AI378">INDEX($B$368:$G375, INT((COLUMN(AH281)-1)/6)+1, MOD(COLUMN(AH281)-1,6)+1)</f>
        <v>0</v>
      </c>
      <c r="AJ378" s="12" cm="1">
        <f t="array" ref="AJ378">INDEX($B$368:$G375, INT((COLUMN(AI281)-1)/6)+1, MOD(COLUMN(AI281)-1,6)+1)</f>
        <v>0</v>
      </c>
      <c r="AK378" s="12" cm="1">
        <f t="array" ref="AK378">INDEX($B$368:$G375, INT((COLUMN(AJ281)-1)/6)+1, MOD(COLUMN(AJ281)-1,6)+1)</f>
        <v>0</v>
      </c>
      <c r="AL378" s="12" cm="1">
        <f t="array" ref="AL378">INDEX($B$368:$G375, INT((COLUMN(AK281)-1)/6)+1, MOD(COLUMN(AK281)-1,6)+1)</f>
        <v>1</v>
      </c>
      <c r="AM378" s="12" cm="1">
        <f t="array" ref="AM378">INDEX($B$368:$G375, INT((COLUMN(AL281)-1)/6)+1, MOD(COLUMN(AL281)-1,6)+1)</f>
        <v>0</v>
      </c>
      <c r="AN378" s="12" cm="1">
        <f t="array" ref="AN378">INDEX($B$368:$G375, INT((COLUMN(AM281)-1)/6)+1, MOD(COLUMN(AM281)-1,6)+1)</f>
        <v>0</v>
      </c>
      <c r="AO378" s="12" cm="1">
        <f t="array" ref="AO378">INDEX($B$368:$G375, INT((COLUMN(AN281)-1)/6)+1, MOD(COLUMN(AN281)-1,6)+1)</f>
        <v>1</v>
      </c>
      <c r="AP378" s="12" cm="1">
        <f t="array" ref="AP378">INDEX($B$368:$G375, INT((COLUMN(AO281)-1)/6)+1, MOD(COLUMN(AO281)-1,6)+1)</f>
        <v>1</v>
      </c>
      <c r="AQ378" s="12" cm="1">
        <f t="array" ref="AQ378">INDEX($B$368:$G375, INT((COLUMN(AP281)-1)/6)+1, MOD(COLUMN(AP281)-1,6)+1)</f>
        <v>0</v>
      </c>
      <c r="AR378" s="12" cm="1">
        <f t="array" ref="AR378">INDEX($B$368:$G375, INT((COLUMN(AQ281)-1)/6)+1, MOD(COLUMN(AQ281)-1,6)+1)</f>
        <v>1</v>
      </c>
      <c r="AS378" s="12" cm="1">
        <f t="array" ref="AS378">INDEX($B$368:$G375, INT((COLUMN(AR281)-1)/6)+1, MOD(COLUMN(AR281)-1,6)+1)</f>
        <v>1</v>
      </c>
      <c r="AT378" s="12" cm="1">
        <f t="array" ref="AT378">INDEX($B$368:$G375, INT((COLUMN(AS281)-1)/6)+1, MOD(COLUMN(AS281)-1,6)+1)</f>
        <v>1</v>
      </c>
      <c r="AU378" s="12" cm="1">
        <f t="array" ref="AU378">INDEX($B$368:$G375, INT((COLUMN(AT281)-1)/6)+1, MOD(COLUMN(AT281)-1,6)+1)</f>
        <v>1</v>
      </c>
      <c r="AV378" s="12" cm="1">
        <f t="array" ref="AV378">INDEX($B$368:$G375, INT((COLUMN(AU281)-1)/6)+1, MOD(COLUMN(AU281)-1,6)+1)</f>
        <v>1</v>
      </c>
      <c r="AW378" s="12" cm="1">
        <f t="array" ref="AW378">INDEX($B$368:$G375, INT((COLUMN(AV281)-1)/6)+1, MOD(COLUMN(AV281)-1,6)+1)</f>
        <v>0</v>
      </c>
    </row>
    <row r="380" spans="1:49">
      <c r="A380" s="20" t="s">
        <v>95</v>
      </c>
    </row>
    <row r="381" spans="1:49">
      <c r="A381" s="5" t="s">
        <v>96</v>
      </c>
    </row>
    <row r="383" spans="1:49">
      <c r="A383" s="12" t="s">
        <v>3</v>
      </c>
      <c r="B383" s="12">
        <v>1</v>
      </c>
      <c r="C383" s="12">
        <v>2</v>
      </c>
      <c r="D383" s="12">
        <v>3</v>
      </c>
      <c r="E383" s="12">
        <v>4</v>
      </c>
      <c r="F383" s="12">
        <v>5</v>
      </c>
      <c r="G383" s="12">
        <v>6</v>
      </c>
      <c r="H383" s="12">
        <v>7</v>
      </c>
      <c r="I383" s="12">
        <v>8</v>
      </c>
      <c r="J383" s="12">
        <v>9</v>
      </c>
      <c r="K383" s="12">
        <v>10</v>
      </c>
      <c r="L383" s="12">
        <v>11</v>
      </c>
      <c r="M383" s="12">
        <v>12</v>
      </c>
      <c r="N383" s="12">
        <v>13</v>
      </c>
      <c r="O383" s="12">
        <v>14</v>
      </c>
      <c r="P383" s="12">
        <v>15</v>
      </c>
      <c r="Q383" s="12">
        <v>16</v>
      </c>
      <c r="R383" s="12">
        <v>17</v>
      </c>
      <c r="S383" s="12">
        <v>18</v>
      </c>
      <c r="T383" s="12">
        <v>19</v>
      </c>
      <c r="U383" s="12">
        <v>20</v>
      </c>
      <c r="V383" s="12">
        <v>21</v>
      </c>
      <c r="W383" s="12">
        <v>22</v>
      </c>
      <c r="X383" s="12">
        <v>23</v>
      </c>
      <c r="Y383" s="12">
        <v>24</v>
      </c>
      <c r="Z383" s="12">
        <v>25</v>
      </c>
      <c r="AA383" s="12">
        <v>26</v>
      </c>
      <c r="AB383" s="12">
        <v>27</v>
      </c>
      <c r="AC383" s="12">
        <v>28</v>
      </c>
    </row>
    <row r="384" spans="1:49">
      <c r="A384" s="12" t="s">
        <v>96</v>
      </c>
      <c r="B384" s="12">
        <v>0</v>
      </c>
      <c r="C384" s="12">
        <v>1</v>
      </c>
      <c r="D384" s="12">
        <v>0</v>
      </c>
      <c r="E384" s="12">
        <v>1</v>
      </c>
      <c r="F384" s="12">
        <v>0</v>
      </c>
      <c r="G384" s="12">
        <v>1</v>
      </c>
      <c r="H384" s="12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0</v>
      </c>
      <c r="N384" s="16">
        <v>0</v>
      </c>
      <c r="O384" s="16">
        <v>0</v>
      </c>
      <c r="P384" s="16">
        <v>0</v>
      </c>
      <c r="Q384" s="16">
        <v>1</v>
      </c>
      <c r="R384" s="16">
        <v>1</v>
      </c>
      <c r="S384" s="16">
        <v>0</v>
      </c>
      <c r="T384" s="16">
        <v>0</v>
      </c>
      <c r="U384" s="16">
        <v>1</v>
      </c>
      <c r="V384" s="16">
        <v>1</v>
      </c>
      <c r="W384" s="16">
        <v>0</v>
      </c>
      <c r="X384" s="16">
        <v>0</v>
      </c>
      <c r="Y384" s="16">
        <v>1</v>
      </c>
      <c r="Z384" s="16">
        <v>0</v>
      </c>
      <c r="AA384" s="16">
        <v>1</v>
      </c>
      <c r="AB384" s="16">
        <v>0</v>
      </c>
      <c r="AC384" s="16">
        <v>1</v>
      </c>
    </row>
    <row r="386" spans="1:57">
      <c r="A386" s="5" t="s">
        <v>97</v>
      </c>
    </row>
    <row r="388" spans="1:57">
      <c r="A388" s="12" t="s">
        <v>3</v>
      </c>
      <c r="B388" s="12">
        <v>1</v>
      </c>
      <c r="C388" s="12">
        <v>2</v>
      </c>
      <c r="D388" s="12">
        <v>3</v>
      </c>
      <c r="E388" s="12">
        <v>4</v>
      </c>
      <c r="F388" s="12">
        <v>5</v>
      </c>
      <c r="G388" s="12">
        <v>6</v>
      </c>
      <c r="H388" s="12">
        <v>7</v>
      </c>
      <c r="I388" s="12">
        <v>8</v>
      </c>
      <c r="J388" s="12">
        <v>9</v>
      </c>
      <c r="K388" s="12">
        <v>10</v>
      </c>
      <c r="L388" s="12">
        <v>11</v>
      </c>
      <c r="M388" s="12">
        <v>12</v>
      </c>
      <c r="N388" s="12">
        <v>13</v>
      </c>
      <c r="O388" s="12">
        <v>14</v>
      </c>
      <c r="P388" s="12">
        <v>15</v>
      </c>
      <c r="Q388" s="12">
        <v>16</v>
      </c>
      <c r="R388" s="12">
        <v>17</v>
      </c>
      <c r="S388" s="12">
        <v>18</v>
      </c>
      <c r="T388" s="12">
        <v>19</v>
      </c>
      <c r="U388" s="12">
        <v>20</v>
      </c>
      <c r="V388" s="12">
        <v>21</v>
      </c>
      <c r="W388" s="12">
        <v>22</v>
      </c>
      <c r="X388" s="12">
        <v>23</v>
      </c>
      <c r="Y388" s="12">
        <v>24</v>
      </c>
      <c r="Z388" s="12">
        <v>25</v>
      </c>
      <c r="AA388" s="12">
        <v>26</v>
      </c>
      <c r="AB388" s="12">
        <v>27</v>
      </c>
      <c r="AC388" s="12">
        <v>28</v>
      </c>
    </row>
    <row r="389" spans="1:57">
      <c r="A389" s="12" t="s">
        <v>97</v>
      </c>
      <c r="B389" s="12">
        <v>0</v>
      </c>
      <c r="C389" s="12">
        <v>0</v>
      </c>
      <c r="D389" s="12">
        <v>0</v>
      </c>
      <c r="E389" s="12">
        <v>1</v>
      </c>
      <c r="F389" s="12">
        <v>0</v>
      </c>
      <c r="G389" s="12">
        <v>1</v>
      </c>
      <c r="H389" s="12">
        <v>0</v>
      </c>
      <c r="I389" s="12">
        <v>1</v>
      </c>
      <c r="J389" s="12">
        <v>0</v>
      </c>
      <c r="K389" s="12">
        <v>1</v>
      </c>
      <c r="L389" s="12">
        <v>0</v>
      </c>
      <c r="M389" s="12">
        <v>1</v>
      </c>
      <c r="N389" s="12">
        <v>0</v>
      </c>
      <c r="O389" s="12">
        <v>1</v>
      </c>
      <c r="P389" s="12">
        <v>0</v>
      </c>
      <c r="Q389" s="12">
        <v>1</v>
      </c>
      <c r="R389" s="12">
        <v>1</v>
      </c>
      <c r="S389" s="12">
        <v>0</v>
      </c>
      <c r="T389" s="12">
        <v>0</v>
      </c>
      <c r="U389" s="12">
        <v>1</v>
      </c>
      <c r="V389" s="12">
        <v>1</v>
      </c>
      <c r="W389" s="12">
        <v>0</v>
      </c>
      <c r="X389" s="12">
        <v>0</v>
      </c>
      <c r="Y389" s="12">
        <v>1</v>
      </c>
      <c r="Z389" s="12">
        <v>1</v>
      </c>
      <c r="AA389" s="12">
        <v>1</v>
      </c>
      <c r="AB389" s="12">
        <v>1</v>
      </c>
      <c r="AC389" s="12">
        <v>0</v>
      </c>
    </row>
    <row r="391" spans="1:57">
      <c r="A391" s="6" t="s">
        <v>98</v>
      </c>
    </row>
    <row r="393" spans="1:57">
      <c r="A393" s="12" t="s">
        <v>3</v>
      </c>
      <c r="B393" s="12">
        <v>1</v>
      </c>
      <c r="C393" s="12">
        <v>2</v>
      </c>
      <c r="D393" s="12">
        <v>3</v>
      </c>
      <c r="E393" s="12">
        <v>4</v>
      </c>
      <c r="F393" s="12">
        <v>5</v>
      </c>
      <c r="G393" s="12">
        <v>6</v>
      </c>
      <c r="H393" s="12">
        <v>7</v>
      </c>
      <c r="I393" s="12">
        <v>8</v>
      </c>
      <c r="J393" s="12">
        <v>9</v>
      </c>
      <c r="K393" s="12">
        <v>10</v>
      </c>
      <c r="L393" s="12">
        <v>11</v>
      </c>
      <c r="M393" s="12">
        <v>12</v>
      </c>
      <c r="N393" s="12">
        <v>13</v>
      </c>
      <c r="O393" s="12">
        <v>14</v>
      </c>
      <c r="P393" s="12">
        <v>15</v>
      </c>
      <c r="Q393" s="12">
        <v>16</v>
      </c>
      <c r="R393" s="12">
        <v>17</v>
      </c>
      <c r="S393" s="12">
        <v>18</v>
      </c>
      <c r="T393" s="12">
        <v>19</v>
      </c>
      <c r="U393" s="12">
        <v>20</v>
      </c>
      <c r="V393" s="12">
        <v>21</v>
      </c>
      <c r="W393" s="12">
        <v>22</v>
      </c>
      <c r="X393" s="12">
        <v>23</v>
      </c>
      <c r="Y393" s="12">
        <v>24</v>
      </c>
      <c r="Z393" s="12">
        <v>25</v>
      </c>
      <c r="AA393" s="12">
        <v>26</v>
      </c>
      <c r="AB393" s="12">
        <v>27</v>
      </c>
      <c r="AC393" s="12">
        <v>28</v>
      </c>
      <c r="AD393" s="12">
        <v>29</v>
      </c>
      <c r="AE393" s="12">
        <v>30</v>
      </c>
      <c r="AF393" s="12">
        <v>31</v>
      </c>
      <c r="AG393" s="12">
        <v>32</v>
      </c>
      <c r="AH393" s="12">
        <v>33</v>
      </c>
      <c r="AI393" s="12">
        <v>34</v>
      </c>
      <c r="AJ393" s="12">
        <v>35</v>
      </c>
      <c r="AK393" s="12">
        <v>36</v>
      </c>
      <c r="AL393" s="12">
        <v>37</v>
      </c>
      <c r="AM393" s="12">
        <v>38</v>
      </c>
      <c r="AN393" s="12">
        <v>39</v>
      </c>
      <c r="AO393" s="12">
        <v>40</v>
      </c>
      <c r="AP393" s="12">
        <v>41</v>
      </c>
      <c r="AQ393" s="12">
        <v>42</v>
      </c>
      <c r="AR393" s="12">
        <v>43</v>
      </c>
      <c r="AS393" s="12">
        <v>44</v>
      </c>
      <c r="AT393" s="12">
        <v>45</v>
      </c>
      <c r="AU393" s="12">
        <v>46</v>
      </c>
      <c r="AV393" s="12">
        <v>47</v>
      </c>
      <c r="AW393" s="12">
        <v>48</v>
      </c>
      <c r="AX393" s="12">
        <v>49</v>
      </c>
      <c r="AY393" s="12">
        <v>50</v>
      </c>
      <c r="AZ393" s="12">
        <v>51</v>
      </c>
      <c r="BA393" s="12">
        <v>52</v>
      </c>
      <c r="BB393" s="12">
        <v>53</v>
      </c>
      <c r="BC393" s="12">
        <v>54</v>
      </c>
      <c r="BD393" s="12">
        <v>55</v>
      </c>
      <c r="BE393" s="12">
        <v>56</v>
      </c>
    </row>
    <row r="394" spans="1:57">
      <c r="A394" s="12" t="s">
        <v>99</v>
      </c>
      <c r="B394" s="12">
        <v>0</v>
      </c>
      <c r="C394" s="12">
        <v>1</v>
      </c>
      <c r="D394" s="12">
        <v>0</v>
      </c>
      <c r="E394" s="12">
        <v>1</v>
      </c>
      <c r="F394" s="12">
        <v>0</v>
      </c>
      <c r="G394" s="12">
        <v>1</v>
      </c>
      <c r="H394" s="12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0</v>
      </c>
      <c r="N394" s="16">
        <v>0</v>
      </c>
      <c r="O394" s="16">
        <v>0</v>
      </c>
      <c r="P394" s="16">
        <v>0</v>
      </c>
      <c r="Q394" s="16">
        <v>1</v>
      </c>
      <c r="R394" s="16">
        <v>1</v>
      </c>
      <c r="S394" s="16">
        <v>0</v>
      </c>
      <c r="T394" s="16">
        <v>0</v>
      </c>
      <c r="U394" s="16">
        <v>1</v>
      </c>
      <c r="V394" s="16">
        <v>1</v>
      </c>
      <c r="W394" s="16">
        <v>0</v>
      </c>
      <c r="X394" s="16">
        <v>0</v>
      </c>
      <c r="Y394" s="16">
        <v>1</v>
      </c>
      <c r="Z394" s="16">
        <v>0</v>
      </c>
      <c r="AA394" s="16">
        <v>1</v>
      </c>
      <c r="AB394" s="16">
        <v>0</v>
      </c>
      <c r="AC394" s="16">
        <v>1</v>
      </c>
      <c r="AD394" s="12">
        <v>0</v>
      </c>
      <c r="AE394" s="12">
        <v>0</v>
      </c>
      <c r="AF394" s="12">
        <v>0</v>
      </c>
      <c r="AG394" s="12">
        <v>1</v>
      </c>
      <c r="AH394" s="12">
        <v>0</v>
      </c>
      <c r="AI394" s="12">
        <v>1</v>
      </c>
      <c r="AJ394" s="12">
        <v>0</v>
      </c>
      <c r="AK394" s="12">
        <v>1</v>
      </c>
      <c r="AL394" s="12">
        <v>0</v>
      </c>
      <c r="AM394" s="12">
        <v>1</v>
      </c>
      <c r="AN394" s="12">
        <v>0</v>
      </c>
      <c r="AO394" s="12">
        <v>1</v>
      </c>
      <c r="AP394" s="12">
        <v>0</v>
      </c>
      <c r="AQ394" s="12">
        <v>1</v>
      </c>
      <c r="AR394" s="12">
        <v>0</v>
      </c>
      <c r="AS394" s="12">
        <v>1</v>
      </c>
      <c r="AT394" s="12">
        <v>1</v>
      </c>
      <c r="AU394" s="12">
        <v>0</v>
      </c>
      <c r="AV394" s="12">
        <v>0</v>
      </c>
      <c r="AW394" s="12">
        <v>1</v>
      </c>
      <c r="AX394" s="12">
        <v>1</v>
      </c>
      <c r="AY394" s="12">
        <v>0</v>
      </c>
      <c r="AZ394" s="12">
        <v>0</v>
      </c>
      <c r="BA394" s="12">
        <v>1</v>
      </c>
      <c r="BB394" s="12">
        <v>1</v>
      </c>
      <c r="BC394" s="12">
        <v>1</v>
      </c>
      <c r="BD394" s="12">
        <v>1</v>
      </c>
      <c r="BE394" s="12">
        <v>0</v>
      </c>
    </row>
    <row r="396" spans="1:57">
      <c r="A396" s="5" t="s">
        <v>100</v>
      </c>
      <c r="B396" s="12" cm="1">
        <f t="array" ref="B396">INDEX($B$394:$BE$394, K25)</f>
        <v>0</v>
      </c>
      <c r="C396" s="12" cm="1">
        <f t="array" ref="C396">INDEX($B$394:$BE$394, L25)</f>
        <v>1</v>
      </c>
      <c r="D396" s="12" cm="1">
        <f t="array" ref="D396">INDEX($B$394:$BE$394, M25)</f>
        <v>1</v>
      </c>
      <c r="E396" s="12" cm="1">
        <f t="array" ref="E396">INDEX($B$394:$BE$394, N25)</f>
        <v>1</v>
      </c>
      <c r="F396" s="12" cm="1">
        <f t="array" ref="F396">INDEX($B$394:$BE$394, O25)</f>
        <v>0</v>
      </c>
      <c r="G396" s="12" cm="1">
        <f t="array" ref="G396">INDEX($B$394:$BE$394, P25)</f>
        <v>0</v>
      </c>
    </row>
    <row r="397" spans="1:57">
      <c r="B397" s="12" cm="1">
        <f t="array" ref="B397">INDEX($B$394:$BE$394, K26)</f>
        <v>0</v>
      </c>
      <c r="C397" s="12" cm="1">
        <f t="array" ref="C397">INDEX($B$394:$BE$394, L26)</f>
        <v>1</v>
      </c>
      <c r="D397" s="12" cm="1">
        <f t="array" ref="D397">INDEX($B$394:$BE$394, M26)</f>
        <v>0</v>
      </c>
      <c r="E397" s="12" cm="1">
        <f t="array" ref="E397">INDEX($B$394:$BE$394, N26)</f>
        <v>1</v>
      </c>
      <c r="F397" s="12" cm="1">
        <f t="array" ref="F397">INDEX($B$394:$BE$394, O26)</f>
        <v>1</v>
      </c>
      <c r="G397" s="12" cm="1">
        <f t="array" ref="G397">INDEX($B$394:$BE$394, P26)</f>
        <v>1</v>
      </c>
    </row>
    <row r="398" spans="1:57">
      <c r="B398" s="12" cm="1">
        <f t="array" ref="B398">INDEX($B$394:$BE$394, K27)</f>
        <v>0</v>
      </c>
      <c r="C398" s="12" cm="1">
        <f t="array" ref="C398">INDEX($B$394:$BE$394, L27)</f>
        <v>0</v>
      </c>
      <c r="D398" s="12" cm="1">
        <f t="array" ref="D398">INDEX($B$394:$BE$394, M27)</f>
        <v>0</v>
      </c>
      <c r="E398" s="12" cm="1">
        <f t="array" ref="E398">INDEX($B$394:$BE$394, N27)</f>
        <v>1</v>
      </c>
      <c r="F398" s="12" cm="1">
        <f t="array" ref="F398">INDEX($B$394:$BE$394, O27)</f>
        <v>1</v>
      </c>
      <c r="G398" s="12" cm="1">
        <f t="array" ref="G398">INDEX($B$394:$BE$394, P27)</f>
        <v>1</v>
      </c>
    </row>
    <row r="399" spans="1:57">
      <c r="B399" s="12" cm="1">
        <f t="array" ref="B399">INDEX($B$394:$BE$394, K28)</f>
        <v>1</v>
      </c>
      <c r="C399" s="12" cm="1">
        <f t="array" ref="C399">INDEX($B$394:$BE$394, L28)</f>
        <v>1</v>
      </c>
      <c r="D399" s="12" cm="1">
        <f t="array" ref="D399">INDEX($B$394:$BE$394, M28)</f>
        <v>0</v>
      </c>
      <c r="E399" s="12" cm="1">
        <f t="array" ref="E399">INDEX($B$394:$BE$394, N28)</f>
        <v>1</v>
      </c>
      <c r="F399" s="12" cm="1">
        <f t="array" ref="F399">INDEX($B$394:$BE$394, O28)</f>
        <v>0</v>
      </c>
      <c r="G399" s="12" cm="1">
        <f t="array" ref="G399">INDEX($B$394:$BE$394, P28)</f>
        <v>1</v>
      </c>
    </row>
    <row r="400" spans="1:57">
      <c r="B400" s="12" cm="1">
        <f t="array" ref="B400">INDEX($B$394:$BE$394, K29)</f>
        <v>0</v>
      </c>
      <c r="C400" s="12" cm="1">
        <f t="array" ref="C400">INDEX($B$394:$BE$394, L29)</f>
        <v>1</v>
      </c>
      <c r="D400" s="12" cm="1">
        <f t="array" ref="D400">INDEX($B$394:$BE$394, M29)</f>
        <v>0</v>
      </c>
      <c r="E400" s="12" cm="1">
        <f t="array" ref="E400">INDEX($B$394:$BE$394, N29)</f>
        <v>0</v>
      </c>
      <c r="F400" s="12" cm="1">
        <f t="array" ref="F400">INDEX($B$394:$BE$394, O29)</f>
        <v>0</v>
      </c>
      <c r="G400" s="12" cm="1">
        <f t="array" ref="G400">INDEX($B$394:$BE$394, P29)</f>
        <v>1</v>
      </c>
    </row>
    <row r="401" spans="1:49">
      <c r="B401" s="12" cm="1">
        <f t="array" ref="B401">INDEX($B$394:$BE$394, K30)</f>
        <v>0</v>
      </c>
      <c r="C401" s="12" cm="1">
        <f t="array" ref="C401">INDEX($B$394:$BE$394, L30)</f>
        <v>1</v>
      </c>
      <c r="D401" s="12" cm="1">
        <f t="array" ref="D401">INDEX($B$394:$BE$394, M30)</f>
        <v>0</v>
      </c>
      <c r="E401" s="12" cm="1">
        <f t="array" ref="E401">INDEX($B$394:$BE$394, N30)</f>
        <v>1</v>
      </c>
      <c r="F401" s="12" cm="1">
        <f t="array" ref="F401">INDEX($B$394:$BE$394, O30)</f>
        <v>0</v>
      </c>
      <c r="G401" s="12" cm="1">
        <f t="array" ref="G401">INDEX($B$394:$BE$394, P30)</f>
        <v>1</v>
      </c>
    </row>
    <row r="402" spans="1:49">
      <c r="B402" s="12" cm="1">
        <f t="array" ref="B402">INDEX($B$394:$BE$394, K31)</f>
        <v>1</v>
      </c>
      <c r="C402" s="12" cm="1">
        <f t="array" ref="C402">INDEX($B$394:$BE$394, L31)</f>
        <v>1</v>
      </c>
      <c r="D402" s="12" cm="1">
        <f t="array" ref="D402">INDEX($B$394:$BE$394, M31)</f>
        <v>0</v>
      </c>
      <c r="E402" s="12" cm="1">
        <f t="array" ref="E402">INDEX($B$394:$BE$394, N31)</f>
        <v>0</v>
      </c>
      <c r="F402" s="12" cm="1">
        <f t="array" ref="F402">INDEX($B$394:$BE$394, O31)</f>
        <v>1</v>
      </c>
      <c r="G402" s="12" cm="1">
        <f t="array" ref="G402">INDEX($B$394:$BE$394, P31)</f>
        <v>1</v>
      </c>
    </row>
    <row r="403" spans="1:49">
      <c r="B403" s="12" cm="1">
        <f t="array" ref="B403">INDEX($B$394:$BE$394, K32)</f>
        <v>0</v>
      </c>
      <c r="C403" s="12" cm="1">
        <f t="array" ref="C403">INDEX($B$394:$BE$394, L32)</f>
        <v>1</v>
      </c>
      <c r="D403" s="12" cm="1">
        <f t="array" ref="D403">INDEX($B$394:$BE$394, M32)</f>
        <v>0</v>
      </c>
      <c r="E403" s="12" cm="1">
        <f t="array" ref="E403">INDEX($B$394:$BE$394, N32)</f>
        <v>1</v>
      </c>
      <c r="F403" s="12" cm="1">
        <f t="array" ref="F403">INDEX($B$394:$BE$394, O32)</f>
        <v>0</v>
      </c>
      <c r="G403" s="12" cm="1">
        <f t="array" ref="G403">INDEX($B$394:$BE$394, P32)</f>
        <v>1</v>
      </c>
    </row>
    <row r="405" spans="1:49">
      <c r="A405" s="12" t="s">
        <v>3</v>
      </c>
      <c r="B405" s="12">
        <v>1</v>
      </c>
      <c r="C405" s="12">
        <v>2</v>
      </c>
      <c r="D405" s="12">
        <v>3</v>
      </c>
      <c r="E405" s="12">
        <v>4</v>
      </c>
      <c r="F405" s="12">
        <v>5</v>
      </c>
      <c r="G405" s="12">
        <v>6</v>
      </c>
      <c r="H405" s="12">
        <v>7</v>
      </c>
      <c r="I405" s="12">
        <v>8</v>
      </c>
      <c r="J405" s="12">
        <v>9</v>
      </c>
      <c r="K405" s="12">
        <v>10</v>
      </c>
      <c r="L405" s="12">
        <v>11</v>
      </c>
      <c r="M405" s="12">
        <v>12</v>
      </c>
      <c r="N405" s="12">
        <v>13</v>
      </c>
      <c r="O405" s="12">
        <v>14</v>
      </c>
      <c r="P405" s="12">
        <v>15</v>
      </c>
      <c r="Q405" s="12">
        <v>16</v>
      </c>
      <c r="R405" s="12">
        <v>17</v>
      </c>
      <c r="S405" s="12">
        <v>18</v>
      </c>
      <c r="T405" s="12">
        <v>19</v>
      </c>
      <c r="U405" s="12">
        <v>20</v>
      </c>
      <c r="V405" s="12">
        <v>21</v>
      </c>
      <c r="W405" s="12">
        <v>22</v>
      </c>
      <c r="X405" s="12">
        <v>23</v>
      </c>
      <c r="Y405" s="12">
        <v>24</v>
      </c>
      <c r="Z405" s="12">
        <v>25</v>
      </c>
      <c r="AA405" s="12">
        <v>26</v>
      </c>
      <c r="AB405" s="12">
        <v>27</v>
      </c>
      <c r="AC405" s="12">
        <v>28</v>
      </c>
      <c r="AD405" s="12">
        <v>29</v>
      </c>
      <c r="AE405" s="12">
        <v>30</v>
      </c>
      <c r="AF405" s="12">
        <v>31</v>
      </c>
      <c r="AG405" s="12">
        <v>32</v>
      </c>
      <c r="AH405" s="12">
        <v>33</v>
      </c>
      <c r="AI405" s="12">
        <v>34</v>
      </c>
      <c r="AJ405" s="12">
        <v>35</v>
      </c>
      <c r="AK405" s="12">
        <v>36</v>
      </c>
      <c r="AL405" s="12">
        <v>37</v>
      </c>
      <c r="AM405" s="12">
        <v>38</v>
      </c>
      <c r="AN405" s="12">
        <v>39</v>
      </c>
      <c r="AO405" s="12">
        <v>40</v>
      </c>
      <c r="AP405" s="12">
        <v>41</v>
      </c>
      <c r="AQ405" s="12">
        <v>42</v>
      </c>
      <c r="AR405" s="12">
        <v>43</v>
      </c>
      <c r="AS405" s="12">
        <v>44</v>
      </c>
      <c r="AT405" s="12">
        <v>45</v>
      </c>
      <c r="AU405" s="12">
        <v>46</v>
      </c>
      <c r="AV405" s="12">
        <v>47</v>
      </c>
      <c r="AW405" s="12">
        <v>48</v>
      </c>
    </row>
    <row r="406" spans="1:49">
      <c r="A406" s="12" t="s">
        <v>101</v>
      </c>
      <c r="B406" s="12" cm="1">
        <f t="array" ref="B406">INDEX($B$396:$G403, INT((COLUMN(A309)-1)/6)+1, MOD(COLUMN(A309)-1,6)+1)</f>
        <v>0</v>
      </c>
      <c r="C406" s="12" cm="1">
        <f t="array" ref="C406">INDEX($B$396:$G403, INT((COLUMN(B309)-1)/6)+1, MOD(COLUMN(B309)-1,6)+1)</f>
        <v>1</v>
      </c>
      <c r="D406" s="12" cm="1">
        <f t="array" ref="D406">INDEX($B$396:$G403, INT((COLUMN(C309)-1)/6)+1, MOD(COLUMN(C309)-1,6)+1)</f>
        <v>1</v>
      </c>
      <c r="E406" s="12" cm="1">
        <f t="array" ref="E406">INDEX($B$396:$G403, INT((COLUMN(D309)-1)/6)+1, MOD(COLUMN(D309)-1,6)+1)</f>
        <v>1</v>
      </c>
      <c r="F406" s="12" cm="1">
        <f t="array" ref="F406">INDEX($B$396:$G403, INT((COLUMN(E309)-1)/6)+1, MOD(COLUMN(E309)-1,6)+1)</f>
        <v>0</v>
      </c>
      <c r="G406" s="12" cm="1">
        <f t="array" ref="G406">INDEX($B$396:$G403, INT((COLUMN(F309)-1)/6)+1, MOD(COLUMN(F309)-1,6)+1)</f>
        <v>0</v>
      </c>
      <c r="H406" s="12" cm="1">
        <f t="array" ref="H406">INDEX($B$396:$G403, INT((COLUMN(G309)-1)/6)+1, MOD(COLUMN(G309)-1,6)+1)</f>
        <v>0</v>
      </c>
      <c r="I406" s="12" cm="1">
        <f t="array" ref="I406">INDEX($B$396:$G403, INT((COLUMN(H309)-1)/6)+1, MOD(COLUMN(H309)-1,6)+1)</f>
        <v>1</v>
      </c>
      <c r="J406" s="12" cm="1">
        <f t="array" ref="J406">INDEX($B$396:$G403, INT((COLUMN(I309)-1)/6)+1, MOD(COLUMN(I309)-1,6)+1)</f>
        <v>0</v>
      </c>
      <c r="K406" s="12" cm="1">
        <f t="array" ref="K406">INDEX($B$396:$G403, INT((COLUMN(J309)-1)/6)+1, MOD(COLUMN(J309)-1,6)+1)</f>
        <v>1</v>
      </c>
      <c r="L406" s="12" cm="1">
        <f t="array" ref="L406">INDEX($B$396:$G403, INT((COLUMN(K309)-1)/6)+1, MOD(COLUMN(K309)-1,6)+1)</f>
        <v>1</v>
      </c>
      <c r="M406" s="12" cm="1">
        <f t="array" ref="M406">INDEX($B$396:$G403, INT((COLUMN(L309)-1)/6)+1, MOD(COLUMN(L309)-1,6)+1)</f>
        <v>1</v>
      </c>
      <c r="N406" s="12" cm="1">
        <f t="array" ref="N406">INDEX($B$396:$G403, INT((COLUMN(M309)-1)/6)+1, MOD(COLUMN(M309)-1,6)+1)</f>
        <v>0</v>
      </c>
      <c r="O406" s="12" cm="1">
        <f t="array" ref="O406">INDEX($B$396:$G403, INT((COLUMN(N309)-1)/6)+1, MOD(COLUMN(N309)-1,6)+1)</f>
        <v>0</v>
      </c>
      <c r="P406" s="12" cm="1">
        <f t="array" ref="P406">INDEX($B$396:$G403, INT((COLUMN(O309)-1)/6)+1, MOD(COLUMN(O309)-1,6)+1)</f>
        <v>0</v>
      </c>
      <c r="Q406" s="12" cm="1">
        <f t="array" ref="Q406">INDEX($B$396:$G403, INT((COLUMN(P309)-1)/6)+1, MOD(COLUMN(P309)-1,6)+1)</f>
        <v>1</v>
      </c>
      <c r="R406" s="12" cm="1">
        <f t="array" ref="R406">INDEX($B$396:$G403, INT((COLUMN(Q309)-1)/6)+1, MOD(COLUMN(Q309)-1,6)+1)</f>
        <v>1</v>
      </c>
      <c r="S406" s="12" cm="1">
        <f t="array" ref="S406">INDEX($B$396:$G403, INT((COLUMN(R309)-1)/6)+1, MOD(COLUMN(R309)-1,6)+1)</f>
        <v>1</v>
      </c>
      <c r="T406" s="12" cm="1">
        <f t="array" ref="T406">INDEX($B$396:$G403, INT((COLUMN(S309)-1)/6)+1, MOD(COLUMN(S309)-1,6)+1)</f>
        <v>1</v>
      </c>
      <c r="U406" s="12" cm="1">
        <f t="array" ref="U406">INDEX($B$396:$G403, INT((COLUMN(T309)-1)/6)+1, MOD(COLUMN(T309)-1,6)+1)</f>
        <v>1</v>
      </c>
      <c r="V406" s="12" cm="1">
        <f t="array" ref="V406">INDEX($B$396:$G403, INT((COLUMN(U309)-1)/6)+1, MOD(COLUMN(U309)-1,6)+1)</f>
        <v>0</v>
      </c>
      <c r="W406" s="12" cm="1">
        <f t="array" ref="W406">INDEX($B$396:$G403, INT((COLUMN(V309)-1)/6)+1, MOD(COLUMN(V309)-1,6)+1)</f>
        <v>1</v>
      </c>
      <c r="X406" s="12" cm="1">
        <f t="array" ref="X406">INDEX($B$396:$G403, INT((COLUMN(W309)-1)/6)+1, MOD(COLUMN(W309)-1,6)+1)</f>
        <v>0</v>
      </c>
      <c r="Y406" s="12" cm="1">
        <f t="array" ref="Y406">INDEX($B$396:$G403, INT((COLUMN(X309)-1)/6)+1, MOD(COLUMN(X309)-1,6)+1)</f>
        <v>1</v>
      </c>
      <c r="Z406" s="12" cm="1">
        <f t="array" ref="Z406">INDEX($B$396:$G403, INT((COLUMN(Y309)-1)/6)+1, MOD(COLUMN(Y309)-1,6)+1)</f>
        <v>0</v>
      </c>
      <c r="AA406" s="12" cm="1">
        <f t="array" ref="AA406">INDEX($B$396:$G403, INT((COLUMN(Z309)-1)/6)+1, MOD(COLUMN(Z309)-1,6)+1)</f>
        <v>1</v>
      </c>
      <c r="AB406" s="12" cm="1">
        <f t="array" ref="AB406">INDEX($B$396:$G403, INT((COLUMN(AA309)-1)/6)+1, MOD(COLUMN(AA309)-1,6)+1)</f>
        <v>0</v>
      </c>
      <c r="AC406" s="12" cm="1">
        <f t="array" ref="AC406">INDEX($B$396:$G403, INT((COLUMN(AB309)-1)/6)+1, MOD(COLUMN(AB309)-1,6)+1)</f>
        <v>0</v>
      </c>
      <c r="AD406" s="12" cm="1">
        <f t="array" ref="AD406">INDEX($B$396:$G403, INT((COLUMN(AC309)-1)/6)+1, MOD(COLUMN(AC309)-1,6)+1)</f>
        <v>0</v>
      </c>
      <c r="AE406" s="12" cm="1">
        <f t="array" ref="AE406">INDEX($B$396:$G403, INT((COLUMN(AD309)-1)/6)+1, MOD(COLUMN(AD309)-1,6)+1)</f>
        <v>1</v>
      </c>
      <c r="AF406" s="12" cm="1">
        <f t="array" ref="AF406">INDEX($B$396:$G403, INT((COLUMN(AE309)-1)/6)+1, MOD(COLUMN(AE309)-1,6)+1)</f>
        <v>0</v>
      </c>
      <c r="AG406" s="12" cm="1">
        <f t="array" ref="AG406">INDEX($B$396:$G403, INT((COLUMN(AF309)-1)/6)+1, MOD(COLUMN(AF309)-1,6)+1)</f>
        <v>1</v>
      </c>
      <c r="AH406" s="12" cm="1">
        <f t="array" ref="AH406">INDEX($B$396:$G403, INT((COLUMN(AG309)-1)/6)+1, MOD(COLUMN(AG309)-1,6)+1)</f>
        <v>0</v>
      </c>
      <c r="AI406" s="12" cm="1">
        <f t="array" ref="AI406">INDEX($B$396:$G403, INT((COLUMN(AH309)-1)/6)+1, MOD(COLUMN(AH309)-1,6)+1)</f>
        <v>1</v>
      </c>
      <c r="AJ406" s="12" cm="1">
        <f t="array" ref="AJ406">INDEX($B$396:$G403, INT((COLUMN(AI309)-1)/6)+1, MOD(COLUMN(AI309)-1,6)+1)</f>
        <v>0</v>
      </c>
      <c r="AK406" s="12" cm="1">
        <f t="array" ref="AK406">INDEX($B$396:$G403, INT((COLUMN(AJ309)-1)/6)+1, MOD(COLUMN(AJ309)-1,6)+1)</f>
        <v>1</v>
      </c>
      <c r="AL406" s="12" cm="1">
        <f t="array" ref="AL406">INDEX($B$396:$G403, INT((COLUMN(AK309)-1)/6)+1, MOD(COLUMN(AK309)-1,6)+1)</f>
        <v>1</v>
      </c>
      <c r="AM406" s="12" cm="1">
        <f t="array" ref="AM406">INDEX($B$396:$G403, INT((COLUMN(AL309)-1)/6)+1, MOD(COLUMN(AL309)-1,6)+1)</f>
        <v>1</v>
      </c>
      <c r="AN406" s="12" cm="1">
        <f t="array" ref="AN406">INDEX($B$396:$G403, INT((COLUMN(AM309)-1)/6)+1, MOD(COLUMN(AM309)-1,6)+1)</f>
        <v>0</v>
      </c>
      <c r="AO406" s="12" cm="1">
        <f t="array" ref="AO406">INDEX($B$396:$G403, INT((COLUMN(AN309)-1)/6)+1, MOD(COLUMN(AN309)-1,6)+1)</f>
        <v>0</v>
      </c>
      <c r="AP406" s="12" cm="1">
        <f t="array" ref="AP406">INDEX($B$396:$G403, INT((COLUMN(AO309)-1)/6)+1, MOD(COLUMN(AO309)-1,6)+1)</f>
        <v>1</v>
      </c>
      <c r="AQ406" s="12" cm="1">
        <f t="array" ref="AQ406">INDEX($B$396:$G403, INT((COLUMN(AP309)-1)/6)+1, MOD(COLUMN(AP309)-1,6)+1)</f>
        <v>1</v>
      </c>
      <c r="AR406" s="12" cm="1">
        <f t="array" ref="AR406">INDEX($B$396:$G403, INT((COLUMN(AQ309)-1)/6)+1, MOD(COLUMN(AQ309)-1,6)+1)</f>
        <v>0</v>
      </c>
      <c r="AS406" s="12" cm="1">
        <f t="array" ref="AS406">INDEX($B$396:$G403, INT((COLUMN(AR309)-1)/6)+1, MOD(COLUMN(AR309)-1,6)+1)</f>
        <v>1</v>
      </c>
      <c r="AT406" s="12" cm="1">
        <f t="array" ref="AT406">INDEX($B$396:$G403, INT((COLUMN(AS309)-1)/6)+1, MOD(COLUMN(AS309)-1,6)+1)</f>
        <v>0</v>
      </c>
      <c r="AU406" s="12" cm="1">
        <f t="array" ref="AU406">INDEX($B$396:$G403, INT((COLUMN(AT309)-1)/6)+1, MOD(COLUMN(AT309)-1,6)+1)</f>
        <v>1</v>
      </c>
      <c r="AV406" s="12" cm="1">
        <f t="array" ref="AV406">INDEX($B$396:$G403, INT((COLUMN(AU309)-1)/6)+1, MOD(COLUMN(AU309)-1,6)+1)</f>
        <v>0</v>
      </c>
      <c r="AW406" s="12" cm="1">
        <f t="array" ref="AW406">INDEX($B$396:$G403, INT((COLUMN(AV309)-1)/6)+1, MOD(COLUMN(AV309)-1,6)+1)</f>
        <v>1</v>
      </c>
    </row>
    <row r="408" spans="1:49">
      <c r="A408" s="20" t="s">
        <v>102</v>
      </c>
    </row>
    <row r="409" spans="1:49">
      <c r="A409" s="5" t="s">
        <v>103</v>
      </c>
    </row>
    <row r="411" spans="1:49">
      <c r="A411" s="12" t="s">
        <v>3</v>
      </c>
      <c r="B411" s="12">
        <v>1</v>
      </c>
      <c r="C411" s="12">
        <v>2</v>
      </c>
      <c r="D411" s="12">
        <v>3</v>
      </c>
      <c r="E411" s="12">
        <v>4</v>
      </c>
      <c r="F411" s="12">
        <v>5</v>
      </c>
      <c r="G411" s="12">
        <v>6</v>
      </c>
      <c r="H411" s="12">
        <v>7</v>
      </c>
      <c r="I411" s="12">
        <v>8</v>
      </c>
      <c r="J411" s="12">
        <v>9</v>
      </c>
      <c r="K411" s="12">
        <v>10</v>
      </c>
      <c r="L411" s="12">
        <v>11</v>
      </c>
      <c r="M411" s="12">
        <v>12</v>
      </c>
      <c r="N411" s="12">
        <v>13</v>
      </c>
      <c r="O411" s="12">
        <v>14</v>
      </c>
      <c r="P411" s="12">
        <v>15</v>
      </c>
      <c r="Q411" s="12">
        <v>16</v>
      </c>
      <c r="R411" s="12">
        <v>17</v>
      </c>
      <c r="S411" s="12">
        <v>18</v>
      </c>
      <c r="T411" s="12">
        <v>19</v>
      </c>
      <c r="U411" s="12">
        <v>20</v>
      </c>
      <c r="V411" s="12">
        <v>21</v>
      </c>
      <c r="W411" s="12">
        <v>22</v>
      </c>
      <c r="X411" s="12">
        <v>23</v>
      </c>
      <c r="Y411" s="12">
        <v>24</v>
      </c>
      <c r="Z411" s="12">
        <v>25</v>
      </c>
      <c r="AA411" s="12">
        <v>26</v>
      </c>
      <c r="AB411" s="12">
        <v>27</v>
      </c>
      <c r="AC411" s="12">
        <v>28</v>
      </c>
    </row>
    <row r="412" spans="1:49">
      <c r="A412" s="12" t="s">
        <v>103</v>
      </c>
      <c r="B412" s="12">
        <v>0</v>
      </c>
      <c r="C412" s="12">
        <v>1</v>
      </c>
      <c r="D412" s="12">
        <v>0</v>
      </c>
      <c r="E412" s="12">
        <v>1</v>
      </c>
      <c r="F412" s="12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0</v>
      </c>
      <c r="L412" s="16">
        <v>0</v>
      </c>
      <c r="M412" s="16">
        <v>0</v>
      </c>
      <c r="N412" s="16">
        <v>0</v>
      </c>
      <c r="O412" s="16">
        <v>1</v>
      </c>
      <c r="P412" s="16">
        <v>1</v>
      </c>
      <c r="Q412" s="16">
        <v>0</v>
      </c>
      <c r="R412" s="16">
        <v>0</v>
      </c>
      <c r="S412" s="16">
        <v>1</v>
      </c>
      <c r="T412" s="16">
        <v>1</v>
      </c>
      <c r="U412" s="16">
        <v>0</v>
      </c>
      <c r="V412" s="16">
        <v>0</v>
      </c>
      <c r="W412" s="16">
        <v>1</v>
      </c>
      <c r="X412" s="16">
        <v>0</v>
      </c>
      <c r="Y412" s="16">
        <v>1</v>
      </c>
      <c r="Z412" s="16">
        <v>0</v>
      </c>
      <c r="AA412" s="16">
        <v>1</v>
      </c>
      <c r="AB412" s="16">
        <v>0</v>
      </c>
      <c r="AC412" s="16">
        <v>1</v>
      </c>
    </row>
    <row r="414" spans="1:49">
      <c r="A414" s="5" t="s">
        <v>104</v>
      </c>
    </row>
    <row r="416" spans="1:49">
      <c r="A416" s="12" t="s">
        <v>3</v>
      </c>
      <c r="B416" s="12">
        <v>1</v>
      </c>
      <c r="C416" s="12">
        <v>2</v>
      </c>
      <c r="D416" s="12">
        <v>3</v>
      </c>
      <c r="E416" s="12">
        <v>4</v>
      </c>
      <c r="F416" s="12">
        <v>5</v>
      </c>
      <c r="G416" s="12">
        <v>6</v>
      </c>
      <c r="H416" s="12">
        <v>7</v>
      </c>
      <c r="I416" s="12">
        <v>8</v>
      </c>
      <c r="J416" s="12">
        <v>9</v>
      </c>
      <c r="K416" s="12">
        <v>10</v>
      </c>
      <c r="L416" s="12">
        <v>11</v>
      </c>
      <c r="M416" s="12">
        <v>12</v>
      </c>
      <c r="N416" s="12">
        <v>13</v>
      </c>
      <c r="O416" s="12">
        <v>14</v>
      </c>
      <c r="P416" s="12">
        <v>15</v>
      </c>
      <c r="Q416" s="12">
        <v>16</v>
      </c>
      <c r="R416" s="12">
        <v>17</v>
      </c>
      <c r="S416" s="12">
        <v>18</v>
      </c>
      <c r="T416" s="12">
        <v>19</v>
      </c>
      <c r="U416" s="12">
        <v>20</v>
      </c>
      <c r="V416" s="12">
        <v>21</v>
      </c>
      <c r="W416" s="12">
        <v>22</v>
      </c>
      <c r="X416" s="12">
        <v>23</v>
      </c>
      <c r="Y416" s="12">
        <v>24</v>
      </c>
      <c r="Z416" s="12">
        <v>25</v>
      </c>
      <c r="AA416" s="12">
        <v>26</v>
      </c>
      <c r="AB416" s="12">
        <v>27</v>
      </c>
      <c r="AC416" s="12">
        <v>28</v>
      </c>
    </row>
    <row r="417" spans="1:57">
      <c r="A417" s="12" t="s">
        <v>104</v>
      </c>
      <c r="B417" s="12">
        <v>0</v>
      </c>
      <c r="C417" s="12">
        <v>1</v>
      </c>
      <c r="D417" s="12">
        <v>0</v>
      </c>
      <c r="E417" s="12">
        <v>1</v>
      </c>
      <c r="F417" s="12">
        <v>0</v>
      </c>
      <c r="G417" s="12">
        <v>1</v>
      </c>
      <c r="H417" s="12">
        <v>0</v>
      </c>
      <c r="I417" s="12">
        <v>1</v>
      </c>
      <c r="J417" s="12">
        <v>0</v>
      </c>
      <c r="K417" s="12">
        <v>1</v>
      </c>
      <c r="L417" s="12">
        <v>0</v>
      </c>
      <c r="M417" s="12">
        <v>1</v>
      </c>
      <c r="N417" s="12">
        <v>0</v>
      </c>
      <c r="O417" s="12">
        <v>1</v>
      </c>
      <c r="P417" s="12">
        <v>1</v>
      </c>
      <c r="Q417" s="12">
        <v>0</v>
      </c>
      <c r="R417" s="12">
        <v>0</v>
      </c>
      <c r="S417" s="12">
        <v>1</v>
      </c>
      <c r="T417" s="12">
        <v>1</v>
      </c>
      <c r="U417" s="12">
        <v>0</v>
      </c>
      <c r="V417" s="12">
        <v>0</v>
      </c>
      <c r="W417" s="12">
        <v>1</v>
      </c>
      <c r="X417" s="12">
        <v>1</v>
      </c>
      <c r="Y417" s="12">
        <v>1</v>
      </c>
      <c r="Z417" s="12">
        <v>1</v>
      </c>
      <c r="AA417" s="12">
        <v>0</v>
      </c>
      <c r="AB417" s="12">
        <v>0</v>
      </c>
      <c r="AC417" s="12">
        <v>0</v>
      </c>
    </row>
    <row r="419" spans="1:57">
      <c r="A419" s="6" t="s">
        <v>105</v>
      </c>
    </row>
    <row r="421" spans="1:57">
      <c r="A421" s="12" t="s">
        <v>3</v>
      </c>
      <c r="B421" s="12">
        <v>1</v>
      </c>
      <c r="C421" s="12">
        <v>2</v>
      </c>
      <c r="D421" s="12">
        <v>3</v>
      </c>
      <c r="E421" s="12">
        <v>4</v>
      </c>
      <c r="F421" s="12">
        <v>5</v>
      </c>
      <c r="G421" s="12">
        <v>6</v>
      </c>
      <c r="H421" s="12">
        <v>7</v>
      </c>
      <c r="I421" s="12">
        <v>8</v>
      </c>
      <c r="J421" s="12">
        <v>9</v>
      </c>
      <c r="K421" s="12">
        <v>10</v>
      </c>
      <c r="L421" s="12">
        <v>11</v>
      </c>
      <c r="M421" s="12">
        <v>12</v>
      </c>
      <c r="N421" s="12">
        <v>13</v>
      </c>
      <c r="O421" s="12">
        <v>14</v>
      </c>
      <c r="P421" s="12">
        <v>15</v>
      </c>
      <c r="Q421" s="12">
        <v>16</v>
      </c>
      <c r="R421" s="12">
        <v>17</v>
      </c>
      <c r="S421" s="12">
        <v>18</v>
      </c>
      <c r="T421" s="12">
        <v>19</v>
      </c>
      <c r="U421" s="12">
        <v>20</v>
      </c>
      <c r="V421" s="12">
        <v>21</v>
      </c>
      <c r="W421" s="12">
        <v>22</v>
      </c>
      <c r="X421" s="12">
        <v>23</v>
      </c>
      <c r="Y421" s="12">
        <v>24</v>
      </c>
      <c r="Z421" s="12">
        <v>25</v>
      </c>
      <c r="AA421" s="12">
        <v>26</v>
      </c>
      <c r="AB421" s="12">
        <v>27</v>
      </c>
      <c r="AC421" s="12">
        <v>28</v>
      </c>
      <c r="AD421" s="12">
        <v>29</v>
      </c>
      <c r="AE421" s="12">
        <v>30</v>
      </c>
      <c r="AF421" s="12">
        <v>31</v>
      </c>
      <c r="AG421" s="12">
        <v>32</v>
      </c>
      <c r="AH421" s="12">
        <v>33</v>
      </c>
      <c r="AI421" s="12">
        <v>34</v>
      </c>
      <c r="AJ421" s="12">
        <v>35</v>
      </c>
      <c r="AK421" s="12">
        <v>36</v>
      </c>
      <c r="AL421" s="12">
        <v>37</v>
      </c>
      <c r="AM421" s="12">
        <v>38</v>
      </c>
      <c r="AN421" s="12">
        <v>39</v>
      </c>
      <c r="AO421" s="12">
        <v>40</v>
      </c>
      <c r="AP421" s="12">
        <v>41</v>
      </c>
      <c r="AQ421" s="12">
        <v>42</v>
      </c>
      <c r="AR421" s="12">
        <v>43</v>
      </c>
      <c r="AS421" s="12">
        <v>44</v>
      </c>
      <c r="AT421" s="12">
        <v>45</v>
      </c>
      <c r="AU421" s="12">
        <v>46</v>
      </c>
      <c r="AV421" s="12">
        <v>47</v>
      </c>
      <c r="AW421" s="12">
        <v>48</v>
      </c>
      <c r="AX421" s="12">
        <v>49</v>
      </c>
      <c r="AY421" s="12">
        <v>50</v>
      </c>
      <c r="AZ421" s="12">
        <v>51</v>
      </c>
      <c r="BA421" s="12">
        <v>52</v>
      </c>
      <c r="BB421" s="12">
        <v>53</v>
      </c>
      <c r="BC421" s="12">
        <v>54</v>
      </c>
      <c r="BD421" s="12">
        <v>55</v>
      </c>
      <c r="BE421" s="12">
        <v>56</v>
      </c>
    </row>
    <row r="422" spans="1:57">
      <c r="A422" s="12" t="s">
        <v>106</v>
      </c>
      <c r="B422" s="12">
        <v>0</v>
      </c>
      <c r="C422" s="12">
        <v>1</v>
      </c>
      <c r="D422" s="12">
        <v>0</v>
      </c>
      <c r="E422" s="12">
        <v>1</v>
      </c>
      <c r="F422" s="12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0</v>
      </c>
      <c r="L422" s="16">
        <v>0</v>
      </c>
      <c r="M422" s="16">
        <v>0</v>
      </c>
      <c r="N422" s="16">
        <v>0</v>
      </c>
      <c r="O422" s="16">
        <v>1</v>
      </c>
      <c r="P422" s="16">
        <v>1</v>
      </c>
      <c r="Q422" s="16">
        <v>0</v>
      </c>
      <c r="R422" s="16">
        <v>0</v>
      </c>
      <c r="S422" s="16">
        <v>1</v>
      </c>
      <c r="T422" s="16">
        <v>1</v>
      </c>
      <c r="U422" s="16">
        <v>0</v>
      </c>
      <c r="V422" s="16">
        <v>0</v>
      </c>
      <c r="W422" s="16">
        <v>1</v>
      </c>
      <c r="X422" s="16">
        <v>0</v>
      </c>
      <c r="Y422" s="16">
        <v>1</v>
      </c>
      <c r="Z422" s="16">
        <v>0</v>
      </c>
      <c r="AA422" s="16">
        <v>1</v>
      </c>
      <c r="AB422" s="16">
        <v>0</v>
      </c>
      <c r="AC422" s="16">
        <v>1</v>
      </c>
      <c r="AD422" s="12">
        <v>0</v>
      </c>
      <c r="AE422" s="12">
        <v>1</v>
      </c>
      <c r="AF422" s="12">
        <v>0</v>
      </c>
      <c r="AG422" s="12">
        <v>1</v>
      </c>
      <c r="AH422" s="12">
        <v>0</v>
      </c>
      <c r="AI422" s="12">
        <v>1</v>
      </c>
      <c r="AJ422" s="12">
        <v>0</v>
      </c>
      <c r="AK422" s="12">
        <v>1</v>
      </c>
      <c r="AL422" s="12">
        <v>0</v>
      </c>
      <c r="AM422" s="12">
        <v>1</v>
      </c>
      <c r="AN422" s="12">
        <v>0</v>
      </c>
      <c r="AO422" s="12">
        <v>1</v>
      </c>
      <c r="AP422" s="12">
        <v>0</v>
      </c>
      <c r="AQ422" s="12">
        <v>1</v>
      </c>
      <c r="AR422" s="12">
        <v>1</v>
      </c>
      <c r="AS422" s="12">
        <v>0</v>
      </c>
      <c r="AT422" s="12">
        <v>0</v>
      </c>
      <c r="AU422" s="12">
        <v>1</v>
      </c>
      <c r="AV422" s="12">
        <v>1</v>
      </c>
      <c r="AW422" s="12">
        <v>0</v>
      </c>
      <c r="AX422" s="12">
        <v>0</v>
      </c>
      <c r="AY422" s="12">
        <v>1</v>
      </c>
      <c r="AZ422" s="12">
        <v>1</v>
      </c>
      <c r="BA422" s="12">
        <v>1</v>
      </c>
      <c r="BB422" s="12">
        <v>1</v>
      </c>
      <c r="BC422" s="12">
        <v>0</v>
      </c>
      <c r="BD422" s="12">
        <v>0</v>
      </c>
      <c r="BE422" s="12">
        <v>0</v>
      </c>
    </row>
    <row r="424" spans="1:57">
      <c r="A424" s="5" t="s">
        <v>107</v>
      </c>
      <c r="B424" s="12" cm="1">
        <f t="array" ref="B424">INDEX($B$422:$BE$422, K25)</f>
        <v>1</v>
      </c>
      <c r="C424" s="12" cm="1">
        <f t="array" ref="C424">INDEX($B$422:$BE$422, L25)</f>
        <v>0</v>
      </c>
      <c r="D424" s="12" cm="1">
        <f t="array" ref="D424">INDEX($B$422:$BE$422, M25)</f>
        <v>0</v>
      </c>
      <c r="E424" s="12" cm="1">
        <f t="array" ref="E424">INDEX($B$422:$BE$422, N25)</f>
        <v>1</v>
      </c>
      <c r="F424" s="12" cm="1">
        <f t="array" ref="F424">INDEX($B$422:$BE$422, O25)</f>
        <v>0</v>
      </c>
      <c r="G424" s="12" cm="1">
        <f t="array" ref="G424">INDEX($B$422:$BE$422, P25)</f>
        <v>1</v>
      </c>
    </row>
    <row r="425" spans="1:57">
      <c r="B425" s="12" cm="1">
        <f t="array" ref="B425">INDEX($B$422:$BE$422, K26)</f>
        <v>0</v>
      </c>
      <c r="C425" s="12" cm="1">
        <f t="array" ref="C425">INDEX($B$422:$BE$422, L26)</f>
        <v>1</v>
      </c>
      <c r="D425" s="12" cm="1">
        <f t="array" ref="D425">INDEX($B$422:$BE$422, M26)</f>
        <v>1</v>
      </c>
      <c r="E425" s="12" cm="1">
        <f t="array" ref="E425">INDEX($B$422:$BE$422, N26)</f>
        <v>1</v>
      </c>
      <c r="F425" s="12" cm="1">
        <f t="array" ref="F425">INDEX($B$422:$BE$422, O26)</f>
        <v>0</v>
      </c>
      <c r="G425" s="12" cm="1">
        <f t="array" ref="G425">INDEX($B$422:$BE$422, P26)</f>
        <v>0</v>
      </c>
    </row>
    <row r="426" spans="1:57">
      <c r="B426" s="12" cm="1">
        <f t="array" ref="B426">INDEX($B$422:$BE$422, K27)</f>
        <v>0</v>
      </c>
      <c r="C426" s="12" cm="1">
        <f t="array" ref="C426">INDEX($B$422:$BE$422, L27)</f>
        <v>1</v>
      </c>
      <c r="D426" s="12" cm="1">
        <f t="array" ref="D426">INDEX($B$422:$BE$422, M27)</f>
        <v>0</v>
      </c>
      <c r="E426" s="12" cm="1">
        <f t="array" ref="E426">INDEX($B$422:$BE$422, N27)</f>
        <v>1</v>
      </c>
      <c r="F426" s="12" cm="1">
        <f t="array" ref="F426">INDEX($B$422:$BE$422, O27)</f>
        <v>1</v>
      </c>
      <c r="G426" s="12" cm="1">
        <f t="array" ref="G426">INDEX($B$422:$BE$422, P27)</f>
        <v>1</v>
      </c>
    </row>
    <row r="427" spans="1:57">
      <c r="B427" s="12" cm="1">
        <f t="array" ref="B427">INDEX($B$422:$BE$422, K28)</f>
        <v>0</v>
      </c>
      <c r="C427" s="12" cm="1">
        <f t="array" ref="C427">INDEX($B$422:$BE$422, L28)</f>
        <v>1</v>
      </c>
      <c r="D427" s="12" cm="1">
        <f t="array" ref="D427">INDEX($B$422:$BE$422, M28)</f>
        <v>0</v>
      </c>
      <c r="E427" s="12" cm="1">
        <f t="array" ref="E427">INDEX($B$422:$BE$422, N28)</f>
        <v>0</v>
      </c>
      <c r="F427" s="12" cm="1">
        <f t="array" ref="F427">INDEX($B$422:$BE$422, O28)</f>
        <v>0</v>
      </c>
      <c r="G427" s="12" cm="1">
        <f t="array" ref="G427">INDEX($B$422:$BE$422, P28)</f>
        <v>1</v>
      </c>
    </row>
    <row r="428" spans="1:57">
      <c r="B428" s="12" cm="1">
        <f t="array" ref="B428">INDEX($B$422:$BE$422, K29)</f>
        <v>0</v>
      </c>
      <c r="C428" s="12" cm="1">
        <f t="array" ref="C428">INDEX($B$422:$BE$422, L29)</f>
        <v>1</v>
      </c>
      <c r="D428" s="12" cm="1">
        <f t="array" ref="D428">INDEX($B$422:$BE$422, M29)</f>
        <v>0</v>
      </c>
      <c r="E428" s="12" cm="1">
        <f t="array" ref="E428">INDEX($B$422:$BE$422, N29)</f>
        <v>0</v>
      </c>
      <c r="F428" s="12" cm="1">
        <f t="array" ref="F428">INDEX($B$422:$BE$422, O29)</f>
        <v>1</v>
      </c>
      <c r="G428" s="12" cm="1">
        <f t="array" ref="G428">INDEX($B$422:$BE$422, P29)</f>
        <v>0</v>
      </c>
    </row>
    <row r="429" spans="1:57">
      <c r="B429" s="12" cm="1">
        <f t="array" ref="B429">INDEX($B$422:$BE$422, K30)</f>
        <v>1</v>
      </c>
      <c r="C429" s="12" cm="1">
        <f t="array" ref="C429">INDEX($B$422:$BE$422, L30)</f>
        <v>1</v>
      </c>
      <c r="D429" s="12" cm="1">
        <f t="array" ref="D429">INDEX($B$422:$BE$422, M30)</f>
        <v>1</v>
      </c>
      <c r="E429" s="12" cm="1">
        <f t="array" ref="E429">INDEX($B$422:$BE$422, N30)</f>
        <v>0</v>
      </c>
      <c r="F429" s="12" cm="1">
        <f t="array" ref="F429">INDEX($B$422:$BE$422, O30)</f>
        <v>0</v>
      </c>
      <c r="G429" s="12" cm="1">
        <f t="array" ref="G429">INDEX($B$422:$BE$422, P30)</f>
        <v>0</v>
      </c>
    </row>
    <row r="430" spans="1:57">
      <c r="B430" s="12" cm="1">
        <f t="array" ref="B430">INDEX($B$422:$BE$422, K31)</f>
        <v>0</v>
      </c>
      <c r="C430" s="12" cm="1">
        <f t="array" ref="C430">INDEX($B$422:$BE$422, L31)</f>
        <v>0</v>
      </c>
      <c r="D430" s="12" cm="1">
        <f t="array" ref="D430">INDEX($B$422:$BE$422, M31)</f>
        <v>0</v>
      </c>
      <c r="E430" s="12" cm="1">
        <f t="array" ref="E430">INDEX($B$422:$BE$422, N31)</f>
        <v>0</v>
      </c>
      <c r="F430" s="12" cm="1">
        <f t="array" ref="F430">INDEX($B$422:$BE$422, O31)</f>
        <v>1</v>
      </c>
      <c r="G430" s="12" cm="1">
        <f t="array" ref="G430">INDEX($B$422:$BE$422, P31)</f>
        <v>1</v>
      </c>
    </row>
    <row r="431" spans="1:57">
      <c r="B431" s="12" cm="1">
        <f t="array" ref="B431">INDEX($B$422:$BE$422, K32)</f>
        <v>1</v>
      </c>
      <c r="C431" s="12" cm="1">
        <f t="array" ref="C431">INDEX($B$422:$BE$422, L32)</f>
        <v>1</v>
      </c>
      <c r="D431" s="12" cm="1">
        <f t="array" ref="D431">INDEX($B$422:$BE$422, M32)</f>
        <v>1</v>
      </c>
      <c r="E431" s="12" cm="1">
        <f t="array" ref="E431">INDEX($B$422:$BE$422, N32)</f>
        <v>1</v>
      </c>
      <c r="F431" s="12" cm="1">
        <f t="array" ref="F431">INDEX($B$422:$BE$422, O32)</f>
        <v>0</v>
      </c>
      <c r="G431" s="12" cm="1">
        <f t="array" ref="G431">INDEX($B$422:$BE$422, P32)</f>
        <v>1</v>
      </c>
    </row>
    <row r="433" spans="1:49">
      <c r="A433" s="12" t="s">
        <v>3</v>
      </c>
      <c r="B433" s="12">
        <v>1</v>
      </c>
      <c r="C433" s="12">
        <v>2</v>
      </c>
      <c r="D433" s="12">
        <v>3</v>
      </c>
      <c r="E433" s="12">
        <v>4</v>
      </c>
      <c r="F433" s="12">
        <v>5</v>
      </c>
      <c r="G433" s="12">
        <v>6</v>
      </c>
      <c r="H433" s="12">
        <v>7</v>
      </c>
      <c r="I433" s="12">
        <v>8</v>
      </c>
      <c r="J433" s="12">
        <v>9</v>
      </c>
      <c r="K433" s="12">
        <v>10</v>
      </c>
      <c r="L433" s="12">
        <v>11</v>
      </c>
      <c r="M433" s="12">
        <v>12</v>
      </c>
      <c r="N433" s="12">
        <v>13</v>
      </c>
      <c r="O433" s="12">
        <v>14</v>
      </c>
      <c r="P433" s="12">
        <v>15</v>
      </c>
      <c r="Q433" s="12">
        <v>16</v>
      </c>
      <c r="R433" s="12">
        <v>17</v>
      </c>
      <c r="S433" s="12">
        <v>18</v>
      </c>
      <c r="T433" s="12">
        <v>19</v>
      </c>
      <c r="U433" s="12">
        <v>20</v>
      </c>
      <c r="V433" s="12">
        <v>21</v>
      </c>
      <c r="W433" s="12">
        <v>22</v>
      </c>
      <c r="X433" s="12">
        <v>23</v>
      </c>
      <c r="Y433" s="12">
        <v>24</v>
      </c>
      <c r="Z433" s="12">
        <v>25</v>
      </c>
      <c r="AA433" s="12">
        <v>26</v>
      </c>
      <c r="AB433" s="12">
        <v>27</v>
      </c>
      <c r="AC433" s="12">
        <v>28</v>
      </c>
      <c r="AD433" s="12">
        <v>29</v>
      </c>
      <c r="AE433" s="12">
        <v>30</v>
      </c>
      <c r="AF433" s="12">
        <v>31</v>
      </c>
      <c r="AG433" s="12">
        <v>32</v>
      </c>
      <c r="AH433" s="12">
        <v>33</v>
      </c>
      <c r="AI433" s="12">
        <v>34</v>
      </c>
      <c r="AJ433" s="12">
        <v>35</v>
      </c>
      <c r="AK433" s="12">
        <v>36</v>
      </c>
      <c r="AL433" s="12">
        <v>37</v>
      </c>
      <c r="AM433" s="12">
        <v>38</v>
      </c>
      <c r="AN433" s="12">
        <v>39</v>
      </c>
      <c r="AO433" s="12">
        <v>40</v>
      </c>
      <c r="AP433" s="12">
        <v>41</v>
      </c>
      <c r="AQ433" s="12">
        <v>42</v>
      </c>
      <c r="AR433" s="12">
        <v>43</v>
      </c>
      <c r="AS433" s="12">
        <v>44</v>
      </c>
      <c r="AT433" s="12">
        <v>45</v>
      </c>
      <c r="AU433" s="12">
        <v>46</v>
      </c>
      <c r="AV433" s="12">
        <v>47</v>
      </c>
      <c r="AW433" s="12">
        <v>48</v>
      </c>
    </row>
    <row r="434" spans="1:49">
      <c r="A434" s="12" t="s">
        <v>108</v>
      </c>
      <c r="B434" s="12" cm="1">
        <f t="array" ref="B434">INDEX($B$424:$G431, INT((COLUMN(A337)-1)/6)+1, MOD(COLUMN(A337)-1,6)+1)</f>
        <v>1</v>
      </c>
      <c r="C434" s="12" cm="1">
        <f t="array" ref="C434">INDEX($B$424:$G431, INT((COLUMN(B337)-1)/6)+1, MOD(COLUMN(B337)-1,6)+1)</f>
        <v>0</v>
      </c>
      <c r="D434" s="12" cm="1">
        <f t="array" ref="D434">INDEX($B$424:$G431, INT((COLUMN(C337)-1)/6)+1, MOD(COLUMN(C337)-1,6)+1)</f>
        <v>0</v>
      </c>
      <c r="E434" s="12" cm="1">
        <f t="array" ref="E434">INDEX($B$424:$G431, INT((COLUMN(D337)-1)/6)+1, MOD(COLUMN(D337)-1,6)+1)</f>
        <v>1</v>
      </c>
      <c r="F434" s="12" cm="1">
        <f t="array" ref="F434">INDEX($B$424:$G431, INT((COLUMN(E337)-1)/6)+1, MOD(COLUMN(E337)-1,6)+1)</f>
        <v>0</v>
      </c>
      <c r="G434" s="12" cm="1">
        <f t="array" ref="G434">INDEX($B$424:$G431, INT((COLUMN(F337)-1)/6)+1, MOD(COLUMN(F337)-1,6)+1)</f>
        <v>1</v>
      </c>
      <c r="H434" s="12" cm="1">
        <f t="array" ref="H434">INDEX($B$424:$G431, INT((COLUMN(G337)-1)/6)+1, MOD(COLUMN(G337)-1,6)+1)</f>
        <v>0</v>
      </c>
      <c r="I434" s="12" cm="1">
        <f t="array" ref="I434">INDEX($B$424:$G431, INT((COLUMN(H337)-1)/6)+1, MOD(COLUMN(H337)-1,6)+1)</f>
        <v>1</v>
      </c>
      <c r="J434" s="12" cm="1">
        <f t="array" ref="J434">INDEX($B$424:$G431, INT((COLUMN(I337)-1)/6)+1, MOD(COLUMN(I337)-1,6)+1)</f>
        <v>1</v>
      </c>
      <c r="K434" s="12" cm="1">
        <f t="array" ref="K434">INDEX($B$424:$G431, INT((COLUMN(J337)-1)/6)+1, MOD(COLUMN(J337)-1,6)+1)</f>
        <v>1</v>
      </c>
      <c r="L434" s="12" cm="1">
        <f t="array" ref="L434">INDEX($B$424:$G431, INT((COLUMN(K337)-1)/6)+1, MOD(COLUMN(K337)-1,6)+1)</f>
        <v>0</v>
      </c>
      <c r="M434" s="12" cm="1">
        <f t="array" ref="M434">INDEX($B$424:$G431, INT((COLUMN(L337)-1)/6)+1, MOD(COLUMN(L337)-1,6)+1)</f>
        <v>0</v>
      </c>
      <c r="N434" s="12" cm="1">
        <f t="array" ref="N434">INDEX($B$424:$G431, INT((COLUMN(M337)-1)/6)+1, MOD(COLUMN(M337)-1,6)+1)</f>
        <v>0</v>
      </c>
      <c r="O434" s="12" cm="1">
        <f t="array" ref="O434">INDEX($B$424:$G431, INT((COLUMN(N337)-1)/6)+1, MOD(COLUMN(N337)-1,6)+1)</f>
        <v>1</v>
      </c>
      <c r="P434" s="12" cm="1">
        <f t="array" ref="P434">INDEX($B$424:$G431, INT((COLUMN(O337)-1)/6)+1, MOD(COLUMN(O337)-1,6)+1)</f>
        <v>0</v>
      </c>
      <c r="Q434" s="12" cm="1">
        <f t="array" ref="Q434">INDEX($B$424:$G431, INT((COLUMN(P337)-1)/6)+1, MOD(COLUMN(P337)-1,6)+1)</f>
        <v>1</v>
      </c>
      <c r="R434" s="12" cm="1">
        <f t="array" ref="R434">INDEX($B$424:$G431, INT((COLUMN(Q337)-1)/6)+1, MOD(COLUMN(Q337)-1,6)+1)</f>
        <v>1</v>
      </c>
      <c r="S434" s="12" cm="1">
        <f t="array" ref="S434">INDEX($B$424:$G431, INT((COLUMN(R337)-1)/6)+1, MOD(COLUMN(R337)-1,6)+1)</f>
        <v>1</v>
      </c>
      <c r="T434" s="12" cm="1">
        <f t="array" ref="T434">INDEX($B$424:$G431, INT((COLUMN(S337)-1)/6)+1, MOD(COLUMN(S337)-1,6)+1)</f>
        <v>0</v>
      </c>
      <c r="U434" s="12" cm="1">
        <f t="array" ref="U434">INDEX($B$424:$G431, INT((COLUMN(T337)-1)/6)+1, MOD(COLUMN(T337)-1,6)+1)</f>
        <v>1</v>
      </c>
      <c r="V434" s="12" cm="1">
        <f t="array" ref="V434">INDEX($B$424:$G431, INT((COLUMN(U337)-1)/6)+1, MOD(COLUMN(U337)-1,6)+1)</f>
        <v>0</v>
      </c>
      <c r="W434" s="12" cm="1">
        <f t="array" ref="W434">INDEX($B$424:$G431, INT((COLUMN(V337)-1)/6)+1, MOD(COLUMN(V337)-1,6)+1)</f>
        <v>0</v>
      </c>
      <c r="X434" s="12" cm="1">
        <f t="array" ref="X434">INDEX($B$424:$G431, INT((COLUMN(W337)-1)/6)+1, MOD(COLUMN(W337)-1,6)+1)</f>
        <v>0</v>
      </c>
      <c r="Y434" s="12" cm="1">
        <f t="array" ref="Y434">INDEX($B$424:$G431, INT((COLUMN(X337)-1)/6)+1, MOD(COLUMN(X337)-1,6)+1)</f>
        <v>1</v>
      </c>
      <c r="Z434" s="12" cm="1">
        <f t="array" ref="Z434">INDEX($B$424:$G431, INT((COLUMN(Y337)-1)/6)+1, MOD(COLUMN(Y337)-1,6)+1)</f>
        <v>0</v>
      </c>
      <c r="AA434" s="12" cm="1">
        <f t="array" ref="AA434">INDEX($B$424:$G431, INT((COLUMN(Z337)-1)/6)+1, MOD(COLUMN(Z337)-1,6)+1)</f>
        <v>1</v>
      </c>
      <c r="AB434" s="12" cm="1">
        <f t="array" ref="AB434">INDEX($B$424:$G431, INT((COLUMN(AA337)-1)/6)+1, MOD(COLUMN(AA337)-1,6)+1)</f>
        <v>0</v>
      </c>
      <c r="AC434" s="12" cm="1">
        <f t="array" ref="AC434">INDEX($B$424:$G431, INT((COLUMN(AB337)-1)/6)+1, MOD(COLUMN(AB337)-1,6)+1)</f>
        <v>0</v>
      </c>
      <c r="AD434" s="12" cm="1">
        <f t="array" ref="AD434">INDEX($B$424:$G431, INT((COLUMN(AC337)-1)/6)+1, MOD(COLUMN(AC337)-1,6)+1)</f>
        <v>1</v>
      </c>
      <c r="AE434" s="12" cm="1">
        <f t="array" ref="AE434">INDEX($B$424:$G431, INT((COLUMN(AD337)-1)/6)+1, MOD(COLUMN(AD337)-1,6)+1)</f>
        <v>0</v>
      </c>
      <c r="AF434" s="12" cm="1">
        <f t="array" ref="AF434">INDEX($B$424:$G431, INT((COLUMN(AE337)-1)/6)+1, MOD(COLUMN(AE337)-1,6)+1)</f>
        <v>1</v>
      </c>
      <c r="AG434" s="12" cm="1">
        <f t="array" ref="AG434">INDEX($B$424:$G431, INT((COLUMN(AF337)-1)/6)+1, MOD(COLUMN(AF337)-1,6)+1)</f>
        <v>1</v>
      </c>
      <c r="AH434" s="12" cm="1">
        <f t="array" ref="AH434">INDEX($B$424:$G431, INT((COLUMN(AG337)-1)/6)+1, MOD(COLUMN(AG337)-1,6)+1)</f>
        <v>1</v>
      </c>
      <c r="AI434" s="12" cm="1">
        <f t="array" ref="AI434">INDEX($B$424:$G431, INT((COLUMN(AH337)-1)/6)+1, MOD(COLUMN(AH337)-1,6)+1)</f>
        <v>0</v>
      </c>
      <c r="AJ434" s="12" cm="1">
        <f t="array" ref="AJ434">INDEX($B$424:$G431, INT((COLUMN(AI337)-1)/6)+1, MOD(COLUMN(AI337)-1,6)+1)</f>
        <v>0</v>
      </c>
      <c r="AK434" s="12" cm="1">
        <f t="array" ref="AK434">INDEX($B$424:$G431, INT((COLUMN(AJ337)-1)/6)+1, MOD(COLUMN(AJ337)-1,6)+1)</f>
        <v>0</v>
      </c>
      <c r="AL434" s="12" cm="1">
        <f t="array" ref="AL434">INDEX($B$424:$G431, INT((COLUMN(AK337)-1)/6)+1, MOD(COLUMN(AK337)-1,6)+1)</f>
        <v>0</v>
      </c>
      <c r="AM434" s="12" cm="1">
        <f t="array" ref="AM434">INDEX($B$424:$G431, INT((COLUMN(AL337)-1)/6)+1, MOD(COLUMN(AL337)-1,6)+1)</f>
        <v>0</v>
      </c>
      <c r="AN434" s="12" cm="1">
        <f t="array" ref="AN434">INDEX($B$424:$G431, INT((COLUMN(AM337)-1)/6)+1, MOD(COLUMN(AM337)-1,6)+1)</f>
        <v>0</v>
      </c>
      <c r="AO434" s="12" cm="1">
        <f t="array" ref="AO434">INDEX($B$424:$G431, INT((COLUMN(AN337)-1)/6)+1, MOD(COLUMN(AN337)-1,6)+1)</f>
        <v>0</v>
      </c>
      <c r="AP434" s="12" cm="1">
        <f t="array" ref="AP434">INDEX($B$424:$G431, INT((COLUMN(AO337)-1)/6)+1, MOD(COLUMN(AO337)-1,6)+1)</f>
        <v>1</v>
      </c>
      <c r="AQ434" s="12" cm="1">
        <f t="array" ref="AQ434">INDEX($B$424:$G431, INT((COLUMN(AP337)-1)/6)+1, MOD(COLUMN(AP337)-1,6)+1)</f>
        <v>1</v>
      </c>
      <c r="AR434" s="12" cm="1">
        <f t="array" ref="AR434">INDEX($B$424:$G431, INT((COLUMN(AQ337)-1)/6)+1, MOD(COLUMN(AQ337)-1,6)+1)</f>
        <v>1</v>
      </c>
      <c r="AS434" s="12" cm="1">
        <f t="array" ref="AS434">INDEX($B$424:$G431, INT((COLUMN(AR337)-1)/6)+1, MOD(COLUMN(AR337)-1,6)+1)</f>
        <v>1</v>
      </c>
      <c r="AT434" s="12" cm="1">
        <f t="array" ref="AT434">INDEX($B$424:$G431, INT((COLUMN(AS337)-1)/6)+1, MOD(COLUMN(AS337)-1,6)+1)</f>
        <v>1</v>
      </c>
      <c r="AU434" s="12" cm="1">
        <f t="array" ref="AU434">INDEX($B$424:$G431, INT((COLUMN(AT337)-1)/6)+1, MOD(COLUMN(AT337)-1,6)+1)</f>
        <v>1</v>
      </c>
      <c r="AV434" s="12" cm="1">
        <f t="array" ref="AV434">INDEX($B$424:$G431, INT((COLUMN(AU337)-1)/6)+1, MOD(COLUMN(AU337)-1,6)+1)</f>
        <v>0</v>
      </c>
      <c r="AW434" s="12" cm="1">
        <f t="array" ref="AW434">INDEX($B$424:$G431, INT((COLUMN(AV337)-1)/6)+1, MOD(COLUMN(AV337)-1,6)+1)</f>
        <v>1</v>
      </c>
    </row>
    <row r="436" spans="1:49">
      <c r="A436" s="20" t="s">
        <v>109</v>
      </c>
    </row>
    <row r="437" spans="1:49">
      <c r="A437" s="5" t="s">
        <v>110</v>
      </c>
    </row>
    <row r="439" spans="1:49">
      <c r="A439" s="12" t="s">
        <v>3</v>
      </c>
      <c r="B439" s="12">
        <v>1</v>
      </c>
      <c r="C439" s="12">
        <v>2</v>
      </c>
      <c r="D439" s="12">
        <v>3</v>
      </c>
      <c r="E439" s="12">
        <v>4</v>
      </c>
      <c r="F439" s="12">
        <v>5</v>
      </c>
      <c r="G439" s="12">
        <v>6</v>
      </c>
      <c r="H439" s="12">
        <v>7</v>
      </c>
      <c r="I439" s="12">
        <v>8</v>
      </c>
      <c r="J439" s="12">
        <v>9</v>
      </c>
      <c r="K439" s="12">
        <v>10</v>
      </c>
      <c r="L439" s="12">
        <v>11</v>
      </c>
      <c r="M439" s="12">
        <v>12</v>
      </c>
      <c r="N439" s="12">
        <v>13</v>
      </c>
      <c r="O439" s="12">
        <v>14</v>
      </c>
      <c r="P439" s="12">
        <v>15</v>
      </c>
      <c r="Q439" s="12">
        <v>16</v>
      </c>
      <c r="R439" s="12">
        <v>17</v>
      </c>
      <c r="S439" s="12">
        <v>18</v>
      </c>
      <c r="T439" s="12">
        <v>19</v>
      </c>
      <c r="U439" s="12">
        <v>20</v>
      </c>
      <c r="V439" s="12">
        <v>21</v>
      </c>
      <c r="W439" s="12">
        <v>22</v>
      </c>
      <c r="X439" s="12">
        <v>23</v>
      </c>
      <c r="Y439" s="12">
        <v>24</v>
      </c>
      <c r="Z439" s="12">
        <v>25</v>
      </c>
      <c r="AA439" s="12">
        <v>26</v>
      </c>
      <c r="AB439" s="12">
        <v>27</v>
      </c>
      <c r="AC439" s="12">
        <v>28</v>
      </c>
    </row>
    <row r="440" spans="1:49">
      <c r="A440" s="12" t="s">
        <v>110</v>
      </c>
      <c r="B440" s="12">
        <v>0</v>
      </c>
      <c r="C440" s="12">
        <v>1</v>
      </c>
      <c r="D440" s="12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0</v>
      </c>
      <c r="J440" s="16">
        <v>0</v>
      </c>
      <c r="K440" s="16">
        <v>0</v>
      </c>
      <c r="L440" s="16">
        <v>0</v>
      </c>
      <c r="M440" s="16">
        <v>1</v>
      </c>
      <c r="N440" s="16">
        <v>1</v>
      </c>
      <c r="O440" s="16">
        <v>0</v>
      </c>
      <c r="P440" s="16">
        <v>0</v>
      </c>
      <c r="Q440" s="16">
        <v>1</v>
      </c>
      <c r="R440" s="16">
        <v>1</v>
      </c>
      <c r="S440" s="16">
        <v>0</v>
      </c>
      <c r="T440" s="16">
        <v>0</v>
      </c>
      <c r="U440" s="16">
        <v>1</v>
      </c>
      <c r="V440" s="16">
        <v>0</v>
      </c>
      <c r="W440" s="16">
        <v>1</v>
      </c>
      <c r="X440" s="16">
        <v>0</v>
      </c>
      <c r="Y440" s="16">
        <v>1</v>
      </c>
      <c r="Z440" s="16">
        <v>0</v>
      </c>
      <c r="AA440" s="16">
        <v>1</v>
      </c>
      <c r="AB440" s="16">
        <v>0</v>
      </c>
      <c r="AC440" s="16">
        <v>1</v>
      </c>
    </row>
    <row r="442" spans="1:49">
      <c r="A442" s="5" t="s">
        <v>111</v>
      </c>
    </row>
    <row r="444" spans="1:49">
      <c r="A444" s="12" t="s">
        <v>3</v>
      </c>
      <c r="B444" s="12">
        <v>1</v>
      </c>
      <c r="C444" s="12">
        <v>2</v>
      </c>
      <c r="D444" s="12">
        <v>3</v>
      </c>
      <c r="E444" s="12">
        <v>4</v>
      </c>
      <c r="F444" s="12">
        <v>5</v>
      </c>
      <c r="G444" s="12">
        <v>6</v>
      </c>
      <c r="H444" s="12">
        <v>7</v>
      </c>
      <c r="I444" s="12">
        <v>8</v>
      </c>
      <c r="J444" s="12">
        <v>9</v>
      </c>
      <c r="K444" s="12">
        <v>10</v>
      </c>
      <c r="L444" s="12">
        <v>11</v>
      </c>
      <c r="M444" s="12">
        <v>12</v>
      </c>
      <c r="N444" s="12">
        <v>13</v>
      </c>
      <c r="O444" s="12">
        <v>14</v>
      </c>
      <c r="P444" s="12">
        <v>15</v>
      </c>
      <c r="Q444" s="12">
        <v>16</v>
      </c>
      <c r="R444" s="12">
        <v>17</v>
      </c>
      <c r="S444" s="12">
        <v>18</v>
      </c>
      <c r="T444" s="12">
        <v>19</v>
      </c>
      <c r="U444" s="12">
        <v>20</v>
      </c>
      <c r="V444" s="12">
        <v>21</v>
      </c>
      <c r="W444" s="12">
        <v>22</v>
      </c>
      <c r="X444" s="12">
        <v>23</v>
      </c>
      <c r="Y444" s="12">
        <v>24</v>
      </c>
      <c r="Z444" s="12">
        <v>25</v>
      </c>
      <c r="AA444" s="12">
        <v>26</v>
      </c>
      <c r="AB444" s="12">
        <v>27</v>
      </c>
      <c r="AC444" s="12">
        <v>28</v>
      </c>
    </row>
    <row r="445" spans="1:49">
      <c r="A445" s="12" t="s">
        <v>111</v>
      </c>
      <c r="B445" s="12">
        <v>0</v>
      </c>
      <c r="C445" s="12">
        <v>1</v>
      </c>
      <c r="D445" s="12">
        <v>0</v>
      </c>
      <c r="E445" s="12">
        <v>1</v>
      </c>
      <c r="F445" s="12">
        <v>0</v>
      </c>
      <c r="G445" s="12">
        <v>1</v>
      </c>
      <c r="H445" s="12">
        <v>0</v>
      </c>
      <c r="I445" s="12">
        <v>1</v>
      </c>
      <c r="J445" s="12">
        <v>0</v>
      </c>
      <c r="K445" s="12">
        <v>1</v>
      </c>
      <c r="L445" s="12">
        <v>0</v>
      </c>
      <c r="M445" s="12">
        <v>1</v>
      </c>
      <c r="N445" s="12">
        <v>1</v>
      </c>
      <c r="O445" s="12">
        <v>0</v>
      </c>
      <c r="P445" s="12">
        <v>0</v>
      </c>
      <c r="Q445" s="12">
        <v>1</v>
      </c>
      <c r="R445" s="12">
        <v>1</v>
      </c>
      <c r="S445" s="12">
        <v>0</v>
      </c>
      <c r="T445" s="12">
        <v>0</v>
      </c>
      <c r="U445" s="12">
        <v>1</v>
      </c>
      <c r="V445" s="12">
        <v>1</v>
      </c>
      <c r="W445" s="12">
        <v>1</v>
      </c>
      <c r="X445" s="12">
        <v>1</v>
      </c>
      <c r="Y445" s="12">
        <v>0</v>
      </c>
      <c r="Z445" s="12">
        <v>0</v>
      </c>
      <c r="AA445" s="12">
        <v>0</v>
      </c>
      <c r="AB445" s="12">
        <v>0</v>
      </c>
      <c r="AC445" s="12">
        <v>1</v>
      </c>
    </row>
    <row r="447" spans="1:49">
      <c r="A447" s="6" t="s">
        <v>112</v>
      </c>
    </row>
    <row r="449" spans="1:57">
      <c r="A449" s="12" t="s">
        <v>3</v>
      </c>
      <c r="B449" s="12">
        <v>1</v>
      </c>
      <c r="C449" s="12">
        <v>2</v>
      </c>
      <c r="D449" s="12">
        <v>3</v>
      </c>
      <c r="E449" s="12">
        <v>4</v>
      </c>
      <c r="F449" s="12">
        <v>5</v>
      </c>
      <c r="G449" s="12">
        <v>6</v>
      </c>
      <c r="H449" s="12">
        <v>7</v>
      </c>
      <c r="I449" s="12">
        <v>8</v>
      </c>
      <c r="J449" s="12">
        <v>9</v>
      </c>
      <c r="K449" s="12">
        <v>10</v>
      </c>
      <c r="L449" s="12">
        <v>11</v>
      </c>
      <c r="M449" s="12">
        <v>12</v>
      </c>
      <c r="N449" s="12">
        <v>13</v>
      </c>
      <c r="O449" s="12">
        <v>14</v>
      </c>
      <c r="P449" s="12">
        <v>15</v>
      </c>
      <c r="Q449" s="12">
        <v>16</v>
      </c>
      <c r="R449" s="12">
        <v>17</v>
      </c>
      <c r="S449" s="12">
        <v>18</v>
      </c>
      <c r="T449" s="12">
        <v>19</v>
      </c>
      <c r="U449" s="12">
        <v>20</v>
      </c>
      <c r="V449" s="12">
        <v>21</v>
      </c>
      <c r="W449" s="12">
        <v>22</v>
      </c>
      <c r="X449" s="12">
        <v>23</v>
      </c>
      <c r="Y449" s="12">
        <v>24</v>
      </c>
      <c r="Z449" s="12">
        <v>25</v>
      </c>
      <c r="AA449" s="12">
        <v>26</v>
      </c>
      <c r="AB449" s="12">
        <v>27</v>
      </c>
      <c r="AC449" s="12">
        <v>28</v>
      </c>
      <c r="AD449" s="12">
        <v>29</v>
      </c>
      <c r="AE449" s="12">
        <v>30</v>
      </c>
      <c r="AF449" s="12">
        <v>31</v>
      </c>
      <c r="AG449" s="12">
        <v>32</v>
      </c>
      <c r="AH449" s="12">
        <v>33</v>
      </c>
      <c r="AI449" s="12">
        <v>34</v>
      </c>
      <c r="AJ449" s="12">
        <v>35</v>
      </c>
      <c r="AK449" s="12">
        <v>36</v>
      </c>
      <c r="AL449" s="12">
        <v>37</v>
      </c>
      <c r="AM449" s="12">
        <v>38</v>
      </c>
      <c r="AN449" s="12">
        <v>39</v>
      </c>
      <c r="AO449" s="12">
        <v>40</v>
      </c>
      <c r="AP449" s="12">
        <v>41</v>
      </c>
      <c r="AQ449" s="12">
        <v>42</v>
      </c>
      <c r="AR449" s="12">
        <v>43</v>
      </c>
      <c r="AS449" s="12">
        <v>44</v>
      </c>
      <c r="AT449" s="12">
        <v>45</v>
      </c>
      <c r="AU449" s="12">
        <v>46</v>
      </c>
      <c r="AV449" s="12">
        <v>47</v>
      </c>
      <c r="AW449" s="12">
        <v>48</v>
      </c>
      <c r="AX449" s="12">
        <v>49</v>
      </c>
      <c r="AY449" s="12">
        <v>50</v>
      </c>
      <c r="AZ449" s="12">
        <v>51</v>
      </c>
      <c r="BA449" s="12">
        <v>52</v>
      </c>
      <c r="BB449" s="12">
        <v>53</v>
      </c>
      <c r="BC449" s="12">
        <v>54</v>
      </c>
      <c r="BD449" s="12">
        <v>55</v>
      </c>
      <c r="BE449" s="12">
        <v>56</v>
      </c>
    </row>
    <row r="450" spans="1:57">
      <c r="A450" s="12" t="s">
        <v>113</v>
      </c>
      <c r="B450" s="12">
        <v>0</v>
      </c>
      <c r="C450" s="12">
        <v>1</v>
      </c>
      <c r="D450" s="12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0</v>
      </c>
      <c r="J450" s="16">
        <v>0</v>
      </c>
      <c r="K450" s="16">
        <v>0</v>
      </c>
      <c r="L450" s="16">
        <v>0</v>
      </c>
      <c r="M450" s="16">
        <v>1</v>
      </c>
      <c r="N450" s="16">
        <v>1</v>
      </c>
      <c r="O450" s="16">
        <v>0</v>
      </c>
      <c r="P450" s="16">
        <v>0</v>
      </c>
      <c r="Q450" s="16">
        <v>1</v>
      </c>
      <c r="R450" s="16">
        <v>1</v>
      </c>
      <c r="S450" s="16">
        <v>0</v>
      </c>
      <c r="T450" s="16">
        <v>0</v>
      </c>
      <c r="U450" s="16">
        <v>1</v>
      </c>
      <c r="V450" s="16">
        <v>0</v>
      </c>
      <c r="W450" s="16">
        <v>1</v>
      </c>
      <c r="X450" s="16">
        <v>0</v>
      </c>
      <c r="Y450" s="16">
        <v>1</v>
      </c>
      <c r="Z450" s="16">
        <v>0</v>
      </c>
      <c r="AA450" s="16">
        <v>1</v>
      </c>
      <c r="AB450" s="16">
        <v>0</v>
      </c>
      <c r="AC450" s="16">
        <v>1</v>
      </c>
      <c r="AD450" s="12">
        <v>0</v>
      </c>
      <c r="AE450" s="12">
        <v>1</v>
      </c>
      <c r="AF450" s="12">
        <v>0</v>
      </c>
      <c r="AG450" s="12">
        <v>1</v>
      </c>
      <c r="AH450" s="12">
        <v>0</v>
      </c>
      <c r="AI450" s="12">
        <v>1</v>
      </c>
      <c r="AJ450" s="12">
        <v>0</v>
      </c>
      <c r="AK450" s="12">
        <v>1</v>
      </c>
      <c r="AL450" s="12">
        <v>0</v>
      </c>
      <c r="AM450" s="12">
        <v>1</v>
      </c>
      <c r="AN450" s="12">
        <v>0</v>
      </c>
      <c r="AO450" s="12">
        <v>1</v>
      </c>
      <c r="AP450" s="12">
        <v>1</v>
      </c>
      <c r="AQ450" s="12">
        <v>0</v>
      </c>
      <c r="AR450" s="12">
        <v>0</v>
      </c>
      <c r="AS450" s="12">
        <v>1</v>
      </c>
      <c r="AT450" s="12">
        <v>1</v>
      </c>
      <c r="AU450" s="12">
        <v>0</v>
      </c>
      <c r="AV450" s="12">
        <v>0</v>
      </c>
      <c r="AW450" s="12">
        <v>1</v>
      </c>
      <c r="AX450" s="12">
        <v>1</v>
      </c>
      <c r="AY450" s="12">
        <v>1</v>
      </c>
      <c r="AZ450" s="12">
        <v>1</v>
      </c>
      <c r="BA450" s="12">
        <v>0</v>
      </c>
      <c r="BB450" s="12">
        <v>0</v>
      </c>
      <c r="BC450" s="12">
        <v>0</v>
      </c>
      <c r="BD450" s="12">
        <v>0</v>
      </c>
      <c r="BE450" s="12">
        <v>1</v>
      </c>
    </row>
    <row r="452" spans="1:57">
      <c r="A452" s="5" t="s">
        <v>114</v>
      </c>
      <c r="B452" s="12" cm="1">
        <f t="array" ref="B452">INDEX($B$450:$BE$450, K25)</f>
        <v>0</v>
      </c>
      <c r="C452" s="12" cm="1">
        <f t="array" ref="C452">INDEX($B$450:$BE$450, L25)</f>
        <v>1</v>
      </c>
      <c r="D452" s="12" cm="1">
        <f t="array" ref="D452">INDEX($B$450:$BE$450, M25)</f>
        <v>0</v>
      </c>
      <c r="E452" s="12" cm="1">
        <f t="array" ref="E452">INDEX($B$450:$BE$450, N25)</f>
        <v>1</v>
      </c>
      <c r="F452" s="12" cm="1">
        <f t="array" ref="F452">INDEX($B$450:$BE$450, O25)</f>
        <v>0</v>
      </c>
      <c r="G452" s="12" cm="1">
        <f t="array" ref="G452">INDEX($B$450:$BE$450, P25)</f>
        <v>1</v>
      </c>
    </row>
    <row r="453" spans="1:57">
      <c r="B453" s="12" cm="1">
        <f t="array" ref="B453">INDEX($B$450:$BE$450, K26)</f>
        <v>1</v>
      </c>
      <c r="C453" s="12" cm="1">
        <f t="array" ref="C453">INDEX($B$450:$BE$450, L26)</f>
        <v>1</v>
      </c>
      <c r="D453" s="12" cm="1">
        <f t="array" ref="D453">INDEX($B$450:$BE$450, M26)</f>
        <v>0</v>
      </c>
      <c r="E453" s="12" cm="1">
        <f t="array" ref="E453">INDEX($B$450:$BE$450, N26)</f>
        <v>1</v>
      </c>
      <c r="F453" s="12" cm="1">
        <f t="array" ref="F453">INDEX($B$450:$BE$450, O26)</f>
        <v>0</v>
      </c>
      <c r="G453" s="12" cm="1">
        <f t="array" ref="G453">INDEX($B$450:$BE$450, P26)</f>
        <v>0</v>
      </c>
    </row>
    <row r="454" spans="1:57">
      <c r="B454" s="12" cm="1">
        <f t="array" ref="B454">INDEX($B$450:$BE$450, K27)</f>
        <v>0</v>
      </c>
      <c r="C454" s="12" cm="1">
        <f t="array" ref="C454">INDEX($B$450:$BE$450, L27)</f>
        <v>0</v>
      </c>
      <c r="D454" s="12" cm="1">
        <f t="array" ref="D454">INDEX($B$450:$BE$450, M27)</f>
        <v>1</v>
      </c>
      <c r="E454" s="12" cm="1">
        <f t="array" ref="E454">INDEX($B$450:$BE$450, N27)</f>
        <v>1</v>
      </c>
      <c r="F454" s="12" cm="1">
        <f t="array" ref="F454">INDEX($B$450:$BE$450, O27)</f>
        <v>1</v>
      </c>
      <c r="G454" s="12" cm="1">
        <f t="array" ref="G454">INDEX($B$450:$BE$450, P27)</f>
        <v>0</v>
      </c>
    </row>
    <row r="455" spans="1:57">
      <c r="B455" s="12" cm="1">
        <f t="array" ref="B455">INDEX($B$450:$BE$450, K28)</f>
        <v>1</v>
      </c>
      <c r="C455" s="12" cm="1">
        <f t="array" ref="C455">INDEX($B$450:$BE$450, L28)</f>
        <v>1</v>
      </c>
      <c r="D455" s="12" cm="1">
        <f t="array" ref="D455">INDEX($B$450:$BE$450, M28)</f>
        <v>0</v>
      </c>
      <c r="E455" s="12" cm="1">
        <f t="array" ref="E455">INDEX($B$450:$BE$450, N28)</f>
        <v>1</v>
      </c>
      <c r="F455" s="12" cm="1">
        <f t="array" ref="F455">INDEX($B$450:$BE$450, O28)</f>
        <v>1</v>
      </c>
      <c r="G455" s="12" cm="1">
        <f t="array" ref="G455">INDEX($B$450:$BE$450, P28)</f>
        <v>1</v>
      </c>
    </row>
    <row r="456" spans="1:57">
      <c r="B456" s="12" cm="1">
        <f t="array" ref="B456">INDEX($B$450:$BE$450, K29)</f>
        <v>1</v>
      </c>
      <c r="C456" s="12" cm="1">
        <f t="array" ref="C456">INDEX($B$450:$BE$450, L29)</f>
        <v>0</v>
      </c>
      <c r="D456" s="12" cm="1">
        <f t="array" ref="D456">INDEX($B$450:$BE$450, M29)</f>
        <v>0</v>
      </c>
      <c r="E456" s="12" cm="1">
        <f t="array" ref="E456">INDEX($B$450:$BE$450, N29)</f>
        <v>0</v>
      </c>
      <c r="F456" s="12" cm="1">
        <f t="array" ref="F456">INDEX($B$450:$BE$450, O29)</f>
        <v>0</v>
      </c>
      <c r="G456" s="12" cm="1">
        <f t="array" ref="G456">INDEX($B$450:$BE$450, P29)</f>
        <v>0</v>
      </c>
    </row>
    <row r="457" spans="1:57">
      <c r="B457" s="12" cm="1">
        <f t="array" ref="B457">INDEX($B$450:$BE$450, K30)</f>
        <v>1</v>
      </c>
      <c r="C457" s="12" cm="1">
        <f t="array" ref="C457">INDEX($B$450:$BE$450, L30)</f>
        <v>1</v>
      </c>
      <c r="D457" s="12" cm="1">
        <f t="array" ref="D457">INDEX($B$450:$BE$450, M30)</f>
        <v>1</v>
      </c>
      <c r="E457" s="12" cm="1">
        <f t="array" ref="E457">INDEX($B$450:$BE$450, N30)</f>
        <v>1</v>
      </c>
      <c r="F457" s="12" cm="1">
        <f t="array" ref="F457">INDEX($B$450:$BE$450, O30)</f>
        <v>0</v>
      </c>
      <c r="G457" s="12" cm="1">
        <f t="array" ref="G457">INDEX($B$450:$BE$450, P30)</f>
        <v>1</v>
      </c>
    </row>
    <row r="458" spans="1:57">
      <c r="B458" s="12" cm="1">
        <f t="array" ref="B458">INDEX($B$450:$BE$450, K31)</f>
        <v>1</v>
      </c>
      <c r="C458" s="12" cm="1">
        <f t="array" ref="C458">INDEX($B$450:$BE$450, L31)</f>
        <v>1</v>
      </c>
      <c r="D458" s="12" cm="1">
        <f t="array" ref="D458">INDEX($B$450:$BE$450, M31)</f>
        <v>0</v>
      </c>
      <c r="E458" s="12" cm="1">
        <f t="array" ref="E458">INDEX($B$450:$BE$450, N31)</f>
        <v>1</v>
      </c>
      <c r="F458" s="12" cm="1">
        <f t="array" ref="F458">INDEX($B$450:$BE$450, O31)</f>
        <v>1</v>
      </c>
      <c r="G458" s="12" cm="1">
        <f t="array" ref="G458">INDEX($B$450:$BE$450, P31)</f>
        <v>0</v>
      </c>
    </row>
    <row r="459" spans="1:57">
      <c r="B459" s="12" cm="1">
        <f t="array" ref="B459">INDEX($B$450:$BE$450, K32)</f>
        <v>0</v>
      </c>
      <c r="C459" s="12" cm="1">
        <f t="array" ref="C459">INDEX($B$450:$BE$450, L32)</f>
        <v>0</v>
      </c>
      <c r="D459" s="12" cm="1">
        <f t="array" ref="D459">INDEX($B$450:$BE$450, M32)</f>
        <v>1</v>
      </c>
      <c r="E459" s="12" cm="1">
        <f t="array" ref="E459">INDEX($B$450:$BE$450, N32)</f>
        <v>1</v>
      </c>
      <c r="F459" s="12" cm="1">
        <f t="array" ref="F459">INDEX($B$450:$BE$450, O32)</f>
        <v>0</v>
      </c>
      <c r="G459" s="12" cm="1">
        <f t="array" ref="G459">INDEX($B$450:$BE$450, P32)</f>
        <v>1</v>
      </c>
    </row>
    <row r="461" spans="1:57">
      <c r="A461" s="12" t="s">
        <v>3</v>
      </c>
      <c r="B461" s="12">
        <v>1</v>
      </c>
      <c r="C461" s="12">
        <v>2</v>
      </c>
      <c r="D461" s="12">
        <v>3</v>
      </c>
      <c r="E461" s="12">
        <v>4</v>
      </c>
      <c r="F461" s="12">
        <v>5</v>
      </c>
      <c r="G461" s="12">
        <v>6</v>
      </c>
      <c r="H461" s="12">
        <v>7</v>
      </c>
      <c r="I461" s="12">
        <v>8</v>
      </c>
      <c r="J461" s="12">
        <v>9</v>
      </c>
      <c r="K461" s="12">
        <v>10</v>
      </c>
      <c r="L461" s="12">
        <v>11</v>
      </c>
      <c r="M461" s="12">
        <v>12</v>
      </c>
      <c r="N461" s="12">
        <v>13</v>
      </c>
      <c r="O461" s="12">
        <v>14</v>
      </c>
      <c r="P461" s="12">
        <v>15</v>
      </c>
      <c r="Q461" s="12">
        <v>16</v>
      </c>
      <c r="R461" s="12">
        <v>17</v>
      </c>
      <c r="S461" s="12">
        <v>18</v>
      </c>
      <c r="T461" s="12">
        <v>19</v>
      </c>
      <c r="U461" s="12">
        <v>20</v>
      </c>
      <c r="V461" s="12">
        <v>21</v>
      </c>
      <c r="W461" s="12">
        <v>22</v>
      </c>
      <c r="X461" s="12">
        <v>23</v>
      </c>
      <c r="Y461" s="12">
        <v>24</v>
      </c>
      <c r="Z461" s="12">
        <v>25</v>
      </c>
      <c r="AA461" s="12">
        <v>26</v>
      </c>
      <c r="AB461" s="12">
        <v>27</v>
      </c>
      <c r="AC461" s="12">
        <v>28</v>
      </c>
      <c r="AD461" s="12">
        <v>29</v>
      </c>
      <c r="AE461" s="12">
        <v>30</v>
      </c>
      <c r="AF461" s="12">
        <v>31</v>
      </c>
      <c r="AG461" s="12">
        <v>32</v>
      </c>
      <c r="AH461" s="12">
        <v>33</v>
      </c>
      <c r="AI461" s="12">
        <v>34</v>
      </c>
      <c r="AJ461" s="12">
        <v>35</v>
      </c>
      <c r="AK461" s="12">
        <v>36</v>
      </c>
      <c r="AL461" s="12">
        <v>37</v>
      </c>
      <c r="AM461" s="12">
        <v>38</v>
      </c>
      <c r="AN461" s="12">
        <v>39</v>
      </c>
      <c r="AO461" s="12">
        <v>40</v>
      </c>
      <c r="AP461" s="12">
        <v>41</v>
      </c>
      <c r="AQ461" s="12">
        <v>42</v>
      </c>
      <c r="AR461" s="12">
        <v>43</v>
      </c>
      <c r="AS461" s="12">
        <v>44</v>
      </c>
      <c r="AT461" s="12">
        <v>45</v>
      </c>
      <c r="AU461" s="12">
        <v>46</v>
      </c>
      <c r="AV461" s="12">
        <v>47</v>
      </c>
      <c r="AW461" s="12">
        <v>48</v>
      </c>
    </row>
    <row r="462" spans="1:57">
      <c r="A462" s="12" t="s">
        <v>115</v>
      </c>
      <c r="B462" s="12" cm="1">
        <f t="array" ref="B462">INDEX($B$452:$G459, INT((COLUMN(A365)-1)/6)+1, MOD(COLUMN(A365)-1,6)+1)</f>
        <v>0</v>
      </c>
      <c r="C462" s="12" cm="1">
        <f t="array" ref="C462">INDEX($B$452:$G459, INT((COLUMN(B365)-1)/6)+1, MOD(COLUMN(B365)-1,6)+1)</f>
        <v>1</v>
      </c>
      <c r="D462" s="12" cm="1">
        <f t="array" ref="D462">INDEX($B$452:$G459, INT((COLUMN(C365)-1)/6)+1, MOD(COLUMN(C365)-1,6)+1)</f>
        <v>0</v>
      </c>
      <c r="E462" s="12" cm="1">
        <f t="array" ref="E462">INDEX($B$452:$G459, INT((COLUMN(D365)-1)/6)+1, MOD(COLUMN(D365)-1,6)+1)</f>
        <v>1</v>
      </c>
      <c r="F462" s="12" cm="1">
        <f t="array" ref="F462">INDEX($B$452:$G459, INT((COLUMN(E365)-1)/6)+1, MOD(COLUMN(E365)-1,6)+1)</f>
        <v>0</v>
      </c>
      <c r="G462" s="12" cm="1">
        <f t="array" ref="G462">INDEX($B$452:$G459, INT((COLUMN(F365)-1)/6)+1, MOD(COLUMN(F365)-1,6)+1)</f>
        <v>1</v>
      </c>
      <c r="H462" s="12" cm="1">
        <f t="array" ref="H462">INDEX($B$452:$G459, INT((COLUMN(G365)-1)/6)+1, MOD(COLUMN(G365)-1,6)+1)</f>
        <v>1</v>
      </c>
      <c r="I462" s="12" cm="1">
        <f t="array" ref="I462">INDEX($B$452:$G459, INT((COLUMN(H365)-1)/6)+1, MOD(COLUMN(H365)-1,6)+1)</f>
        <v>1</v>
      </c>
      <c r="J462" s="12" cm="1">
        <f t="array" ref="J462">INDEX($B$452:$G459, INT((COLUMN(I365)-1)/6)+1, MOD(COLUMN(I365)-1,6)+1)</f>
        <v>0</v>
      </c>
      <c r="K462" s="12" cm="1">
        <f t="array" ref="K462">INDEX($B$452:$G459, INT((COLUMN(J365)-1)/6)+1, MOD(COLUMN(J365)-1,6)+1)</f>
        <v>1</v>
      </c>
      <c r="L462" s="12" cm="1">
        <f t="array" ref="L462">INDEX($B$452:$G459, INT((COLUMN(K365)-1)/6)+1, MOD(COLUMN(K365)-1,6)+1)</f>
        <v>0</v>
      </c>
      <c r="M462" s="12" cm="1">
        <f t="array" ref="M462">INDEX($B$452:$G459, INT((COLUMN(L365)-1)/6)+1, MOD(COLUMN(L365)-1,6)+1)</f>
        <v>0</v>
      </c>
      <c r="N462" s="12" cm="1">
        <f t="array" ref="N462">INDEX($B$452:$G459, INT((COLUMN(M365)-1)/6)+1, MOD(COLUMN(M365)-1,6)+1)</f>
        <v>0</v>
      </c>
      <c r="O462" s="12" cm="1">
        <f t="array" ref="O462">INDEX($B$452:$G459, INT((COLUMN(N365)-1)/6)+1, MOD(COLUMN(N365)-1,6)+1)</f>
        <v>0</v>
      </c>
      <c r="P462" s="12" cm="1">
        <f t="array" ref="P462">INDEX($B$452:$G459, INT((COLUMN(O365)-1)/6)+1, MOD(COLUMN(O365)-1,6)+1)</f>
        <v>1</v>
      </c>
      <c r="Q462" s="12" cm="1">
        <f t="array" ref="Q462">INDEX($B$452:$G459, INT((COLUMN(P365)-1)/6)+1, MOD(COLUMN(P365)-1,6)+1)</f>
        <v>1</v>
      </c>
      <c r="R462" s="12" cm="1">
        <f t="array" ref="R462">INDEX($B$452:$G459, INT((COLUMN(Q365)-1)/6)+1, MOD(COLUMN(Q365)-1,6)+1)</f>
        <v>1</v>
      </c>
      <c r="S462" s="12" cm="1">
        <f t="array" ref="S462">INDEX($B$452:$G459, INT((COLUMN(R365)-1)/6)+1, MOD(COLUMN(R365)-1,6)+1)</f>
        <v>0</v>
      </c>
      <c r="T462" s="12" cm="1">
        <f t="array" ref="T462">INDEX($B$452:$G459, INT((COLUMN(S365)-1)/6)+1, MOD(COLUMN(S365)-1,6)+1)</f>
        <v>1</v>
      </c>
      <c r="U462" s="12" cm="1">
        <f t="array" ref="U462">INDEX($B$452:$G459, INT((COLUMN(T365)-1)/6)+1, MOD(COLUMN(T365)-1,6)+1)</f>
        <v>1</v>
      </c>
      <c r="V462" s="12" cm="1">
        <f t="array" ref="V462">INDEX($B$452:$G459, INT((COLUMN(U365)-1)/6)+1, MOD(COLUMN(U365)-1,6)+1)</f>
        <v>0</v>
      </c>
      <c r="W462" s="12" cm="1">
        <f t="array" ref="W462">INDEX($B$452:$G459, INT((COLUMN(V365)-1)/6)+1, MOD(COLUMN(V365)-1,6)+1)</f>
        <v>1</v>
      </c>
      <c r="X462" s="12" cm="1">
        <f t="array" ref="X462">INDEX($B$452:$G459, INT((COLUMN(W365)-1)/6)+1, MOD(COLUMN(W365)-1,6)+1)</f>
        <v>1</v>
      </c>
      <c r="Y462" s="12" cm="1">
        <f t="array" ref="Y462">INDEX($B$452:$G459, INT((COLUMN(X365)-1)/6)+1, MOD(COLUMN(X365)-1,6)+1)</f>
        <v>1</v>
      </c>
      <c r="Z462" s="12" cm="1">
        <f t="array" ref="Z462">INDEX($B$452:$G459, INT((COLUMN(Y365)-1)/6)+1, MOD(COLUMN(Y365)-1,6)+1)</f>
        <v>1</v>
      </c>
      <c r="AA462" s="12" cm="1">
        <f t="array" ref="AA462">INDEX($B$452:$G459, INT((COLUMN(Z365)-1)/6)+1, MOD(COLUMN(Z365)-1,6)+1)</f>
        <v>0</v>
      </c>
      <c r="AB462" s="12" cm="1">
        <f t="array" ref="AB462">INDEX($B$452:$G459, INT((COLUMN(AA365)-1)/6)+1, MOD(COLUMN(AA365)-1,6)+1)</f>
        <v>0</v>
      </c>
      <c r="AC462" s="12" cm="1">
        <f t="array" ref="AC462">INDEX($B$452:$G459, INT((COLUMN(AB365)-1)/6)+1, MOD(COLUMN(AB365)-1,6)+1)</f>
        <v>0</v>
      </c>
      <c r="AD462" s="12" cm="1">
        <f t="array" ref="AD462">INDEX($B$452:$G459, INT((COLUMN(AC365)-1)/6)+1, MOD(COLUMN(AC365)-1,6)+1)</f>
        <v>0</v>
      </c>
      <c r="AE462" s="12" cm="1">
        <f t="array" ref="AE462">INDEX($B$452:$G459, INT((COLUMN(AD365)-1)/6)+1, MOD(COLUMN(AD365)-1,6)+1)</f>
        <v>0</v>
      </c>
      <c r="AF462" s="12" cm="1">
        <f t="array" ref="AF462">INDEX($B$452:$G459, INT((COLUMN(AE365)-1)/6)+1, MOD(COLUMN(AE365)-1,6)+1)</f>
        <v>1</v>
      </c>
      <c r="AG462" s="12" cm="1">
        <f t="array" ref="AG462">INDEX($B$452:$G459, INT((COLUMN(AF365)-1)/6)+1, MOD(COLUMN(AF365)-1,6)+1)</f>
        <v>1</v>
      </c>
      <c r="AH462" s="12" cm="1">
        <f t="array" ref="AH462">INDEX($B$452:$G459, INT((COLUMN(AG365)-1)/6)+1, MOD(COLUMN(AG365)-1,6)+1)</f>
        <v>1</v>
      </c>
      <c r="AI462" s="12" cm="1">
        <f t="array" ref="AI462">INDEX($B$452:$G459, INT((COLUMN(AH365)-1)/6)+1, MOD(COLUMN(AH365)-1,6)+1)</f>
        <v>1</v>
      </c>
      <c r="AJ462" s="12" cm="1">
        <f t="array" ref="AJ462">INDEX($B$452:$G459, INT((COLUMN(AI365)-1)/6)+1, MOD(COLUMN(AI365)-1,6)+1)</f>
        <v>0</v>
      </c>
      <c r="AK462" s="12" cm="1">
        <f t="array" ref="AK462">INDEX($B$452:$G459, INT((COLUMN(AJ365)-1)/6)+1, MOD(COLUMN(AJ365)-1,6)+1)</f>
        <v>1</v>
      </c>
      <c r="AL462" s="12" cm="1">
        <f t="array" ref="AL462">INDEX($B$452:$G459, INT((COLUMN(AK365)-1)/6)+1, MOD(COLUMN(AK365)-1,6)+1)</f>
        <v>1</v>
      </c>
      <c r="AM462" s="12" cm="1">
        <f t="array" ref="AM462">INDEX($B$452:$G459, INT((COLUMN(AL365)-1)/6)+1, MOD(COLUMN(AL365)-1,6)+1)</f>
        <v>1</v>
      </c>
      <c r="AN462" s="12" cm="1">
        <f t="array" ref="AN462">INDEX($B$452:$G459, INT((COLUMN(AM365)-1)/6)+1, MOD(COLUMN(AM365)-1,6)+1)</f>
        <v>0</v>
      </c>
      <c r="AO462" s="12" cm="1">
        <f t="array" ref="AO462">INDEX($B$452:$G459, INT((COLUMN(AN365)-1)/6)+1, MOD(COLUMN(AN365)-1,6)+1)</f>
        <v>1</v>
      </c>
      <c r="AP462" s="12" cm="1">
        <f t="array" ref="AP462">INDEX($B$452:$G459, INT((COLUMN(AO365)-1)/6)+1, MOD(COLUMN(AO365)-1,6)+1)</f>
        <v>1</v>
      </c>
      <c r="AQ462" s="12" cm="1">
        <f t="array" ref="AQ462">INDEX($B$452:$G459, INT((COLUMN(AP365)-1)/6)+1, MOD(COLUMN(AP365)-1,6)+1)</f>
        <v>0</v>
      </c>
      <c r="AR462" s="12" cm="1">
        <f t="array" ref="AR462">INDEX($B$452:$G459, INT((COLUMN(AQ365)-1)/6)+1, MOD(COLUMN(AQ365)-1,6)+1)</f>
        <v>0</v>
      </c>
      <c r="AS462" s="12" cm="1">
        <f t="array" ref="AS462">INDEX($B$452:$G459, INT((COLUMN(AR365)-1)/6)+1, MOD(COLUMN(AR365)-1,6)+1)</f>
        <v>0</v>
      </c>
      <c r="AT462" s="12" cm="1">
        <f t="array" ref="AT462">INDEX($B$452:$G459, INT((COLUMN(AS365)-1)/6)+1, MOD(COLUMN(AS365)-1,6)+1)</f>
        <v>1</v>
      </c>
      <c r="AU462" s="12" cm="1">
        <f t="array" ref="AU462">INDEX($B$452:$G459, INT((COLUMN(AT365)-1)/6)+1, MOD(COLUMN(AT365)-1,6)+1)</f>
        <v>1</v>
      </c>
      <c r="AV462" s="12" cm="1">
        <f t="array" ref="AV462">INDEX($B$452:$G459, INT((COLUMN(AU365)-1)/6)+1, MOD(COLUMN(AU365)-1,6)+1)</f>
        <v>0</v>
      </c>
      <c r="AW462" s="12" cm="1">
        <f t="array" ref="AW462">INDEX($B$452:$G459, INT((COLUMN(AV365)-1)/6)+1, MOD(COLUMN(AV365)-1,6)+1)</f>
        <v>1</v>
      </c>
    </row>
    <row r="464" spans="1:57">
      <c r="A464" s="20" t="s">
        <v>116</v>
      </c>
    </row>
    <row r="465" spans="1:57">
      <c r="A465" s="5" t="s">
        <v>117</v>
      </c>
    </row>
    <row r="467" spans="1:57">
      <c r="A467" s="12" t="s">
        <v>3</v>
      </c>
      <c r="B467" s="12">
        <v>1</v>
      </c>
      <c r="C467" s="12">
        <v>2</v>
      </c>
      <c r="D467" s="12">
        <v>3</v>
      </c>
      <c r="E467" s="12">
        <v>4</v>
      </c>
      <c r="F467" s="12">
        <v>5</v>
      </c>
      <c r="G467" s="12">
        <v>6</v>
      </c>
      <c r="H467" s="12">
        <v>7</v>
      </c>
      <c r="I467" s="12">
        <v>8</v>
      </c>
      <c r="J467" s="12">
        <v>9</v>
      </c>
      <c r="K467" s="12">
        <v>10</v>
      </c>
      <c r="L467" s="12">
        <v>11</v>
      </c>
      <c r="M467" s="12">
        <v>12</v>
      </c>
      <c r="N467" s="12">
        <v>13</v>
      </c>
      <c r="O467" s="12">
        <v>14</v>
      </c>
      <c r="P467" s="12">
        <v>15</v>
      </c>
      <c r="Q467" s="12">
        <v>16</v>
      </c>
      <c r="R467" s="12">
        <v>17</v>
      </c>
      <c r="S467" s="12">
        <v>18</v>
      </c>
      <c r="T467" s="12">
        <v>19</v>
      </c>
      <c r="U467" s="12">
        <v>20</v>
      </c>
      <c r="V467" s="12">
        <v>21</v>
      </c>
      <c r="W467" s="12">
        <v>22</v>
      </c>
      <c r="X467" s="12">
        <v>23</v>
      </c>
      <c r="Y467" s="12">
        <v>24</v>
      </c>
      <c r="Z467" s="12">
        <v>25</v>
      </c>
      <c r="AA467" s="12">
        <v>26</v>
      </c>
      <c r="AB467" s="12">
        <v>27</v>
      </c>
      <c r="AC467" s="12">
        <v>28</v>
      </c>
    </row>
    <row r="468" spans="1:57">
      <c r="A468" s="12" t="s">
        <v>117</v>
      </c>
      <c r="B468" s="12">
        <v>1</v>
      </c>
      <c r="C468" s="16">
        <v>1</v>
      </c>
      <c r="D468" s="16">
        <v>1</v>
      </c>
      <c r="E468" s="16">
        <v>1</v>
      </c>
      <c r="F468" s="16">
        <v>1</v>
      </c>
      <c r="G468" s="16">
        <v>0</v>
      </c>
      <c r="H468" s="16">
        <v>0</v>
      </c>
      <c r="I468" s="16">
        <v>0</v>
      </c>
      <c r="J468" s="16">
        <v>0</v>
      </c>
      <c r="K468" s="16">
        <v>1</v>
      </c>
      <c r="L468" s="16">
        <v>1</v>
      </c>
      <c r="M468" s="16">
        <v>0</v>
      </c>
      <c r="N468" s="16">
        <v>0</v>
      </c>
      <c r="O468" s="16">
        <v>1</v>
      </c>
      <c r="P468" s="16">
        <v>1</v>
      </c>
      <c r="Q468" s="16">
        <v>0</v>
      </c>
      <c r="R468" s="16">
        <v>0</v>
      </c>
      <c r="S468" s="16">
        <v>1</v>
      </c>
      <c r="T468" s="16">
        <v>0</v>
      </c>
      <c r="U468" s="16">
        <v>1</v>
      </c>
      <c r="V468" s="16">
        <v>0</v>
      </c>
      <c r="W468" s="16">
        <v>1</v>
      </c>
      <c r="X468" s="16">
        <v>0</v>
      </c>
      <c r="Y468" s="16">
        <v>1</v>
      </c>
      <c r="Z468" s="16">
        <v>0</v>
      </c>
      <c r="AA468" s="16">
        <v>1</v>
      </c>
      <c r="AB468" s="16">
        <v>0</v>
      </c>
      <c r="AC468" s="16">
        <v>1</v>
      </c>
    </row>
    <row r="470" spans="1:57">
      <c r="A470" s="5" t="s">
        <v>118</v>
      </c>
    </row>
    <row r="472" spans="1:57">
      <c r="A472" s="12" t="s">
        <v>3</v>
      </c>
      <c r="B472" s="12">
        <v>1</v>
      </c>
      <c r="C472" s="12">
        <v>2</v>
      </c>
      <c r="D472" s="12">
        <v>3</v>
      </c>
      <c r="E472" s="12">
        <v>4</v>
      </c>
      <c r="F472" s="12">
        <v>5</v>
      </c>
      <c r="G472" s="12">
        <v>6</v>
      </c>
      <c r="H472" s="12">
        <v>7</v>
      </c>
      <c r="I472" s="12">
        <v>8</v>
      </c>
      <c r="J472" s="12">
        <v>9</v>
      </c>
      <c r="K472" s="12">
        <v>10</v>
      </c>
      <c r="L472" s="12">
        <v>11</v>
      </c>
      <c r="M472" s="12">
        <v>12</v>
      </c>
      <c r="N472" s="12">
        <v>13</v>
      </c>
      <c r="O472" s="12">
        <v>14</v>
      </c>
      <c r="P472" s="12">
        <v>15</v>
      </c>
      <c r="Q472" s="12">
        <v>16</v>
      </c>
      <c r="R472" s="12">
        <v>17</v>
      </c>
      <c r="S472" s="12">
        <v>18</v>
      </c>
      <c r="T472" s="12">
        <v>19</v>
      </c>
      <c r="U472" s="12">
        <v>20</v>
      </c>
      <c r="V472" s="12">
        <v>21</v>
      </c>
      <c r="W472" s="12">
        <v>22</v>
      </c>
      <c r="X472" s="12">
        <v>23</v>
      </c>
      <c r="Y472" s="12">
        <v>24</v>
      </c>
      <c r="Z472" s="12">
        <v>25</v>
      </c>
      <c r="AA472" s="12">
        <v>26</v>
      </c>
      <c r="AB472" s="12">
        <v>27</v>
      </c>
      <c r="AC472" s="12">
        <v>28</v>
      </c>
    </row>
    <row r="473" spans="1:57">
      <c r="A473" s="12" t="s">
        <v>118</v>
      </c>
      <c r="B473" s="12">
        <v>0</v>
      </c>
      <c r="C473" s="12">
        <v>1</v>
      </c>
      <c r="D473" s="12">
        <v>0</v>
      </c>
      <c r="E473" s="12">
        <v>1</v>
      </c>
      <c r="F473" s="12">
        <v>0</v>
      </c>
      <c r="G473" s="12">
        <v>1</v>
      </c>
      <c r="H473" s="12">
        <v>0</v>
      </c>
      <c r="I473" s="12">
        <v>1</v>
      </c>
      <c r="J473" s="12">
        <v>0</v>
      </c>
      <c r="K473" s="12">
        <v>1</v>
      </c>
      <c r="L473" s="12">
        <v>1</v>
      </c>
      <c r="M473" s="12">
        <v>0</v>
      </c>
      <c r="N473" s="12">
        <v>0</v>
      </c>
      <c r="O473" s="12">
        <v>1</v>
      </c>
      <c r="P473" s="12">
        <v>1</v>
      </c>
      <c r="Q473" s="12">
        <v>0</v>
      </c>
      <c r="R473" s="12">
        <v>0</v>
      </c>
      <c r="S473" s="12">
        <v>1</v>
      </c>
      <c r="T473" s="12">
        <v>1</v>
      </c>
      <c r="U473" s="12">
        <v>1</v>
      </c>
      <c r="V473" s="12">
        <v>1</v>
      </c>
      <c r="W473" s="12">
        <v>0</v>
      </c>
      <c r="X473" s="12">
        <v>0</v>
      </c>
      <c r="Y473" s="12">
        <v>0</v>
      </c>
      <c r="Z473" s="12">
        <v>0</v>
      </c>
      <c r="AA473" s="12">
        <v>1</v>
      </c>
      <c r="AB473" s="12">
        <v>0</v>
      </c>
      <c r="AC473" s="12">
        <v>1</v>
      </c>
    </row>
    <row r="475" spans="1:57">
      <c r="A475" s="6" t="s">
        <v>119</v>
      </c>
    </row>
    <row r="477" spans="1:57">
      <c r="A477" s="12" t="s">
        <v>3</v>
      </c>
      <c r="B477" s="12">
        <v>1</v>
      </c>
      <c r="C477" s="12">
        <v>2</v>
      </c>
      <c r="D477" s="12">
        <v>3</v>
      </c>
      <c r="E477" s="12">
        <v>4</v>
      </c>
      <c r="F477" s="12">
        <v>5</v>
      </c>
      <c r="G477" s="12">
        <v>6</v>
      </c>
      <c r="H477" s="12">
        <v>7</v>
      </c>
      <c r="I477" s="12">
        <v>8</v>
      </c>
      <c r="J477" s="12">
        <v>9</v>
      </c>
      <c r="K477" s="12">
        <v>10</v>
      </c>
      <c r="L477" s="12">
        <v>11</v>
      </c>
      <c r="M477" s="12">
        <v>12</v>
      </c>
      <c r="N477" s="12">
        <v>13</v>
      </c>
      <c r="O477" s="12">
        <v>14</v>
      </c>
      <c r="P477" s="12">
        <v>15</v>
      </c>
      <c r="Q477" s="12">
        <v>16</v>
      </c>
      <c r="R477" s="12">
        <v>17</v>
      </c>
      <c r="S477" s="12">
        <v>18</v>
      </c>
      <c r="T477" s="12">
        <v>19</v>
      </c>
      <c r="U477" s="12">
        <v>20</v>
      </c>
      <c r="V477" s="12">
        <v>21</v>
      </c>
      <c r="W477" s="12">
        <v>22</v>
      </c>
      <c r="X477" s="12">
        <v>23</v>
      </c>
      <c r="Y477" s="12">
        <v>24</v>
      </c>
      <c r="Z477" s="12">
        <v>25</v>
      </c>
      <c r="AA477" s="12">
        <v>26</v>
      </c>
      <c r="AB477" s="12">
        <v>27</v>
      </c>
      <c r="AC477" s="12">
        <v>28</v>
      </c>
      <c r="AD477" s="12">
        <v>29</v>
      </c>
      <c r="AE477" s="12">
        <v>30</v>
      </c>
      <c r="AF477" s="12">
        <v>31</v>
      </c>
      <c r="AG477" s="12">
        <v>32</v>
      </c>
      <c r="AH477" s="12">
        <v>33</v>
      </c>
      <c r="AI477" s="12">
        <v>34</v>
      </c>
      <c r="AJ477" s="12">
        <v>35</v>
      </c>
      <c r="AK477" s="12">
        <v>36</v>
      </c>
      <c r="AL477" s="12">
        <v>37</v>
      </c>
      <c r="AM477" s="12">
        <v>38</v>
      </c>
      <c r="AN477" s="12">
        <v>39</v>
      </c>
      <c r="AO477" s="12">
        <v>40</v>
      </c>
      <c r="AP477" s="12">
        <v>41</v>
      </c>
      <c r="AQ477" s="12">
        <v>42</v>
      </c>
      <c r="AR477" s="12">
        <v>43</v>
      </c>
      <c r="AS477" s="12">
        <v>44</v>
      </c>
      <c r="AT477" s="12">
        <v>45</v>
      </c>
      <c r="AU477" s="12">
        <v>46</v>
      </c>
      <c r="AV477" s="12">
        <v>47</v>
      </c>
      <c r="AW477" s="12">
        <v>48</v>
      </c>
      <c r="AX477" s="12">
        <v>49</v>
      </c>
      <c r="AY477" s="12">
        <v>50</v>
      </c>
      <c r="AZ477" s="12">
        <v>51</v>
      </c>
      <c r="BA477" s="12">
        <v>52</v>
      </c>
      <c r="BB477" s="12">
        <v>53</v>
      </c>
      <c r="BC477" s="12">
        <v>54</v>
      </c>
      <c r="BD477" s="12">
        <v>55</v>
      </c>
      <c r="BE477" s="12">
        <v>56</v>
      </c>
    </row>
    <row r="478" spans="1:57">
      <c r="A478" s="12" t="s">
        <v>120</v>
      </c>
      <c r="B478" s="12">
        <v>1</v>
      </c>
      <c r="C478" s="16">
        <v>1</v>
      </c>
      <c r="D478" s="16">
        <v>1</v>
      </c>
      <c r="E478" s="16">
        <v>1</v>
      </c>
      <c r="F478" s="16">
        <v>1</v>
      </c>
      <c r="G478" s="16">
        <v>0</v>
      </c>
      <c r="H478" s="16">
        <v>0</v>
      </c>
      <c r="I478" s="16">
        <v>0</v>
      </c>
      <c r="J478" s="16">
        <v>0</v>
      </c>
      <c r="K478" s="16">
        <v>1</v>
      </c>
      <c r="L478" s="16">
        <v>1</v>
      </c>
      <c r="M478" s="16">
        <v>0</v>
      </c>
      <c r="N478" s="16">
        <v>0</v>
      </c>
      <c r="O478" s="16">
        <v>1</v>
      </c>
      <c r="P478" s="16">
        <v>1</v>
      </c>
      <c r="Q478" s="16">
        <v>0</v>
      </c>
      <c r="R478" s="16">
        <v>0</v>
      </c>
      <c r="S478" s="16">
        <v>1</v>
      </c>
      <c r="T478" s="16">
        <v>0</v>
      </c>
      <c r="U478" s="16">
        <v>1</v>
      </c>
      <c r="V478" s="16">
        <v>0</v>
      </c>
      <c r="W478" s="16">
        <v>1</v>
      </c>
      <c r="X478" s="16">
        <v>0</v>
      </c>
      <c r="Y478" s="16">
        <v>1</v>
      </c>
      <c r="Z478" s="16">
        <v>0</v>
      </c>
      <c r="AA478" s="16">
        <v>1</v>
      </c>
      <c r="AB478" s="16">
        <v>0</v>
      </c>
      <c r="AC478" s="16">
        <v>1</v>
      </c>
      <c r="AD478" s="12">
        <v>0</v>
      </c>
      <c r="AE478" s="12">
        <v>1</v>
      </c>
      <c r="AF478" s="12">
        <v>0</v>
      </c>
      <c r="AG478" s="12">
        <v>1</v>
      </c>
      <c r="AH478" s="12">
        <v>0</v>
      </c>
      <c r="AI478" s="12">
        <v>1</v>
      </c>
      <c r="AJ478" s="12">
        <v>0</v>
      </c>
      <c r="AK478" s="12">
        <v>1</v>
      </c>
      <c r="AL478" s="12">
        <v>0</v>
      </c>
      <c r="AM478" s="12">
        <v>1</v>
      </c>
      <c r="AN478" s="12">
        <v>1</v>
      </c>
      <c r="AO478" s="12">
        <v>0</v>
      </c>
      <c r="AP478" s="12">
        <v>0</v>
      </c>
      <c r="AQ478" s="12">
        <v>1</v>
      </c>
      <c r="AR478" s="12">
        <v>1</v>
      </c>
      <c r="AS478" s="12">
        <v>0</v>
      </c>
      <c r="AT478" s="12">
        <v>0</v>
      </c>
      <c r="AU478" s="12">
        <v>1</v>
      </c>
      <c r="AV478" s="12">
        <v>1</v>
      </c>
      <c r="AW478" s="12">
        <v>1</v>
      </c>
      <c r="AX478" s="12">
        <v>1</v>
      </c>
      <c r="AY478" s="12">
        <v>0</v>
      </c>
      <c r="AZ478" s="12">
        <v>0</v>
      </c>
      <c r="BA478" s="12">
        <v>0</v>
      </c>
      <c r="BB478" s="12">
        <v>0</v>
      </c>
      <c r="BC478" s="12">
        <v>1</v>
      </c>
      <c r="BD478" s="12">
        <v>0</v>
      </c>
      <c r="BE478" s="12">
        <v>1</v>
      </c>
    </row>
    <row r="480" spans="1:57">
      <c r="A480" s="5" t="s">
        <v>121</v>
      </c>
      <c r="B480" s="12" cm="1">
        <f t="array" ref="B480">INDEX($B$478:$BE$478, K25)</f>
        <v>1</v>
      </c>
      <c r="C480" s="12" cm="1">
        <f t="array" ref="C480">INDEX($B$478:$BE$478, L25)</f>
        <v>0</v>
      </c>
      <c r="D480" s="12" cm="1">
        <f t="array" ref="D480">INDEX($B$478:$BE$478, M25)</f>
        <v>1</v>
      </c>
      <c r="E480" s="12" cm="1">
        <f t="array" ref="E480">INDEX($B$478:$BE$478, N25)</f>
        <v>1</v>
      </c>
      <c r="F480" s="12" cm="1">
        <f t="array" ref="F480">INDEX($B$478:$BE$478, O25)</f>
        <v>1</v>
      </c>
      <c r="G480" s="12" cm="1">
        <f t="array" ref="G480">INDEX($B$478:$BE$478, P25)</f>
        <v>1</v>
      </c>
    </row>
    <row r="481" spans="1:49">
      <c r="B481" s="12" cm="1">
        <f t="array" ref="B481">INDEX($B$478:$BE$478, K26)</f>
        <v>1</v>
      </c>
      <c r="C481" s="12" cm="1">
        <f t="array" ref="C481">INDEX($B$478:$BE$478, L26)</f>
        <v>1</v>
      </c>
      <c r="D481" s="12" cm="1">
        <f t="array" ref="D481">INDEX($B$478:$BE$478, M26)</f>
        <v>1</v>
      </c>
      <c r="E481" s="12" cm="1">
        <f t="array" ref="E481">INDEX($B$478:$BE$478, N26)</f>
        <v>0</v>
      </c>
      <c r="F481" s="12" cm="1">
        <f t="array" ref="F481">INDEX($B$478:$BE$478, O26)</f>
        <v>0</v>
      </c>
      <c r="G481" s="12" cm="1">
        <f t="array" ref="G481">INDEX($B$478:$BE$478, P26)</f>
        <v>1</v>
      </c>
    </row>
    <row r="482" spans="1:49">
      <c r="B482" s="12" cm="1">
        <f t="array" ref="B482">INDEX($B$478:$BE$478, K27)</f>
        <v>0</v>
      </c>
      <c r="C482" s="12" cm="1">
        <f t="array" ref="C482">INDEX($B$478:$BE$478, L27)</f>
        <v>0</v>
      </c>
      <c r="D482" s="12" cm="1">
        <f t="array" ref="D482">INDEX($B$478:$BE$478, M27)</f>
        <v>0</v>
      </c>
      <c r="E482" s="12" cm="1">
        <f t="array" ref="E482">INDEX($B$478:$BE$478, N27)</f>
        <v>1</v>
      </c>
      <c r="F482" s="12" cm="1">
        <f t="array" ref="F482">INDEX($B$478:$BE$478, O27)</f>
        <v>1</v>
      </c>
      <c r="G482" s="12" cm="1">
        <f t="array" ref="G482">INDEX($B$478:$BE$478, P27)</f>
        <v>0</v>
      </c>
    </row>
    <row r="483" spans="1:49">
      <c r="B483" s="12" cm="1">
        <f t="array" ref="B483">INDEX($B$478:$BE$478, K28)</f>
        <v>0</v>
      </c>
      <c r="C483" s="12" cm="1">
        <f t="array" ref="C483">INDEX($B$478:$BE$478, L28)</f>
        <v>0</v>
      </c>
      <c r="D483" s="12" cm="1">
        <f t="array" ref="D483">INDEX($B$478:$BE$478, M28)</f>
        <v>0</v>
      </c>
      <c r="E483" s="12" cm="1">
        <f t="array" ref="E483">INDEX($B$478:$BE$478, N28)</f>
        <v>1</v>
      </c>
      <c r="F483" s="12" cm="1">
        <f t="array" ref="F483">INDEX($B$478:$BE$478, O28)</f>
        <v>0</v>
      </c>
      <c r="G483" s="12" cm="1">
        <f t="array" ref="G483">INDEX($B$478:$BE$478, P28)</f>
        <v>1</v>
      </c>
    </row>
    <row r="484" spans="1:49">
      <c r="B484" s="12" cm="1">
        <f t="array" ref="B484">INDEX($B$478:$BE$478, K29)</f>
        <v>0</v>
      </c>
      <c r="C484" s="12" cm="1">
        <f t="array" ref="C484">INDEX($B$478:$BE$478, L29)</f>
        <v>0</v>
      </c>
      <c r="D484" s="12" cm="1">
        <f t="array" ref="D484">INDEX($B$478:$BE$478, M29)</f>
        <v>0</v>
      </c>
      <c r="E484" s="12" cm="1">
        <f t="array" ref="E484">INDEX($B$478:$BE$478, N29)</f>
        <v>0</v>
      </c>
      <c r="F484" s="12" cm="1">
        <f t="array" ref="F484">INDEX($B$478:$BE$478, O29)</f>
        <v>1</v>
      </c>
      <c r="G484" s="12" cm="1">
        <f t="array" ref="G484">INDEX($B$478:$BE$478, P29)</f>
        <v>0</v>
      </c>
    </row>
    <row r="485" spans="1:49">
      <c r="B485" s="12" cm="1">
        <f t="array" ref="B485">INDEX($B$478:$BE$478, K30)</f>
        <v>1</v>
      </c>
      <c r="C485" s="12" cm="1">
        <f t="array" ref="C485">INDEX($B$478:$BE$478, L30)</f>
        <v>0</v>
      </c>
      <c r="D485" s="12" cm="1">
        <f t="array" ref="D485">INDEX($B$478:$BE$478, M30)</f>
        <v>0</v>
      </c>
      <c r="E485" s="12" cm="1">
        <f t="array" ref="E485">INDEX($B$478:$BE$478, N30)</f>
        <v>0</v>
      </c>
      <c r="F485" s="12" cm="1">
        <f t="array" ref="F485">INDEX($B$478:$BE$478, O30)</f>
        <v>0</v>
      </c>
      <c r="G485" s="12" cm="1">
        <f t="array" ref="G485">INDEX($B$478:$BE$478, P30)</f>
        <v>1</v>
      </c>
    </row>
    <row r="486" spans="1:49">
      <c r="B486" s="12" cm="1">
        <f t="array" ref="B486">INDEX($B$478:$BE$478, K31)</f>
        <v>0</v>
      </c>
      <c r="C486" s="12" cm="1">
        <f t="array" ref="C486">INDEX($B$478:$BE$478, L31)</f>
        <v>1</v>
      </c>
      <c r="D486" s="12" cm="1">
        <f t="array" ref="D486">INDEX($B$478:$BE$478, M31)</f>
        <v>1</v>
      </c>
      <c r="E486" s="12" cm="1">
        <f t="array" ref="E486">INDEX($B$478:$BE$478, N31)</f>
        <v>1</v>
      </c>
      <c r="F486" s="12" cm="1">
        <f t="array" ref="F486">INDEX($B$478:$BE$478, O31)</f>
        <v>1</v>
      </c>
      <c r="G486" s="12" cm="1">
        <f t="array" ref="G486">INDEX($B$478:$BE$478, P31)</f>
        <v>0</v>
      </c>
    </row>
    <row r="487" spans="1:49">
      <c r="B487" s="12" cm="1">
        <f t="array" ref="B487">INDEX($B$478:$BE$478, K32)</f>
        <v>1</v>
      </c>
      <c r="C487" s="12" cm="1">
        <f t="array" ref="C487">INDEX($B$478:$BE$478, L32)</f>
        <v>1</v>
      </c>
      <c r="D487" s="12" cm="1">
        <f t="array" ref="D487">INDEX($B$478:$BE$478, M32)</f>
        <v>0</v>
      </c>
      <c r="E487" s="12" cm="1">
        <f t="array" ref="E487">INDEX($B$478:$BE$478, N32)</f>
        <v>1</v>
      </c>
      <c r="F487" s="12" cm="1">
        <f t="array" ref="F487">INDEX($B$478:$BE$478, O32)</f>
        <v>0</v>
      </c>
      <c r="G487" s="12" cm="1">
        <f t="array" ref="G487">INDEX($B$478:$BE$478, P32)</f>
        <v>1</v>
      </c>
    </row>
    <row r="489" spans="1:49">
      <c r="A489" s="12" t="s">
        <v>3</v>
      </c>
      <c r="B489" s="12">
        <v>1</v>
      </c>
      <c r="C489" s="12">
        <v>2</v>
      </c>
      <c r="D489" s="12">
        <v>3</v>
      </c>
      <c r="E489" s="12">
        <v>4</v>
      </c>
      <c r="F489" s="12">
        <v>5</v>
      </c>
      <c r="G489" s="12">
        <v>6</v>
      </c>
      <c r="H489" s="12">
        <v>7</v>
      </c>
      <c r="I489" s="12">
        <v>8</v>
      </c>
      <c r="J489" s="12">
        <v>9</v>
      </c>
      <c r="K489" s="12">
        <v>10</v>
      </c>
      <c r="L489" s="12">
        <v>11</v>
      </c>
      <c r="M489" s="12">
        <v>12</v>
      </c>
      <c r="N489" s="12">
        <v>13</v>
      </c>
      <c r="O489" s="12">
        <v>14</v>
      </c>
      <c r="P489" s="12">
        <v>15</v>
      </c>
      <c r="Q489" s="12">
        <v>16</v>
      </c>
      <c r="R489" s="12">
        <v>17</v>
      </c>
      <c r="S489" s="12">
        <v>18</v>
      </c>
      <c r="T489" s="12">
        <v>19</v>
      </c>
      <c r="U489" s="12">
        <v>20</v>
      </c>
      <c r="V489" s="12">
        <v>21</v>
      </c>
      <c r="W489" s="12">
        <v>22</v>
      </c>
      <c r="X489" s="12">
        <v>23</v>
      </c>
      <c r="Y489" s="12">
        <v>24</v>
      </c>
      <c r="Z489" s="12">
        <v>25</v>
      </c>
      <c r="AA489" s="12">
        <v>26</v>
      </c>
      <c r="AB489" s="12">
        <v>27</v>
      </c>
      <c r="AC489" s="12">
        <v>28</v>
      </c>
      <c r="AD489" s="12">
        <v>29</v>
      </c>
      <c r="AE489" s="12">
        <v>30</v>
      </c>
      <c r="AF489" s="12">
        <v>31</v>
      </c>
      <c r="AG489" s="12">
        <v>32</v>
      </c>
      <c r="AH489" s="12">
        <v>33</v>
      </c>
      <c r="AI489" s="12">
        <v>34</v>
      </c>
      <c r="AJ489" s="12">
        <v>35</v>
      </c>
      <c r="AK489" s="12">
        <v>36</v>
      </c>
      <c r="AL489" s="12">
        <v>37</v>
      </c>
      <c r="AM489" s="12">
        <v>38</v>
      </c>
      <c r="AN489" s="12">
        <v>39</v>
      </c>
      <c r="AO489" s="12">
        <v>40</v>
      </c>
      <c r="AP489" s="12">
        <v>41</v>
      </c>
      <c r="AQ489" s="12">
        <v>42</v>
      </c>
      <c r="AR489" s="12">
        <v>43</v>
      </c>
      <c r="AS489" s="12">
        <v>44</v>
      </c>
      <c r="AT489" s="12">
        <v>45</v>
      </c>
      <c r="AU489" s="12">
        <v>46</v>
      </c>
      <c r="AV489" s="12">
        <v>47</v>
      </c>
      <c r="AW489" s="12">
        <v>48</v>
      </c>
    </row>
    <row r="490" spans="1:49">
      <c r="A490" s="12" t="s">
        <v>122</v>
      </c>
      <c r="B490" s="12" cm="1">
        <f t="array" ref="B490">INDEX($B$480:$G487, INT((COLUMN(A393)-1)/6)+1, MOD(COLUMN(A393)-1,6)+1)</f>
        <v>1</v>
      </c>
      <c r="C490" s="12" cm="1">
        <f t="array" ref="C490">INDEX($B$480:$G487, INT((COLUMN(B393)-1)/6)+1, MOD(COLUMN(B393)-1,6)+1)</f>
        <v>0</v>
      </c>
      <c r="D490" s="12" cm="1">
        <f t="array" ref="D490">INDEX($B$480:$G487, INT((COLUMN(C393)-1)/6)+1, MOD(COLUMN(C393)-1,6)+1)</f>
        <v>1</v>
      </c>
      <c r="E490" s="12" cm="1">
        <f t="array" ref="E490">INDEX($B$480:$G487, INT((COLUMN(D393)-1)/6)+1, MOD(COLUMN(D393)-1,6)+1)</f>
        <v>1</v>
      </c>
      <c r="F490" s="12" cm="1">
        <f t="array" ref="F490">INDEX($B$480:$G487, INT((COLUMN(E393)-1)/6)+1, MOD(COLUMN(E393)-1,6)+1)</f>
        <v>1</v>
      </c>
      <c r="G490" s="12" cm="1">
        <f t="array" ref="G490">INDEX($B$480:$G487, INT((COLUMN(F393)-1)/6)+1, MOD(COLUMN(F393)-1,6)+1)</f>
        <v>1</v>
      </c>
      <c r="H490" s="12" cm="1">
        <f t="array" ref="H490">INDEX($B$480:$G487, INT((COLUMN(G393)-1)/6)+1, MOD(COLUMN(G393)-1,6)+1)</f>
        <v>1</v>
      </c>
      <c r="I490" s="12" cm="1">
        <f t="array" ref="I490">INDEX($B$480:$G487, INT((COLUMN(H393)-1)/6)+1, MOD(COLUMN(H393)-1,6)+1)</f>
        <v>1</v>
      </c>
      <c r="J490" s="12" cm="1">
        <f t="array" ref="J490">INDEX($B$480:$G487, INT((COLUMN(I393)-1)/6)+1, MOD(COLUMN(I393)-1,6)+1)</f>
        <v>1</v>
      </c>
      <c r="K490" s="12" cm="1">
        <f t="array" ref="K490">INDEX($B$480:$G487, INT((COLUMN(J393)-1)/6)+1, MOD(COLUMN(J393)-1,6)+1)</f>
        <v>0</v>
      </c>
      <c r="L490" s="12" cm="1">
        <f t="array" ref="L490">INDEX($B$480:$G487, INT((COLUMN(K393)-1)/6)+1, MOD(COLUMN(K393)-1,6)+1)</f>
        <v>0</v>
      </c>
      <c r="M490" s="12" cm="1">
        <f t="array" ref="M490">INDEX($B$480:$G487, INT((COLUMN(L393)-1)/6)+1, MOD(COLUMN(L393)-1,6)+1)</f>
        <v>1</v>
      </c>
      <c r="N490" s="12" cm="1">
        <f t="array" ref="N490">INDEX($B$480:$G487, INT((COLUMN(M393)-1)/6)+1, MOD(COLUMN(M393)-1,6)+1)</f>
        <v>0</v>
      </c>
      <c r="O490" s="12" cm="1">
        <f t="array" ref="O490">INDEX($B$480:$G487, INT((COLUMN(N393)-1)/6)+1, MOD(COLUMN(N393)-1,6)+1)</f>
        <v>0</v>
      </c>
      <c r="P490" s="12" cm="1">
        <f t="array" ref="P490">INDEX($B$480:$G487, INT((COLUMN(O393)-1)/6)+1, MOD(COLUMN(O393)-1,6)+1)</f>
        <v>0</v>
      </c>
      <c r="Q490" s="12" cm="1">
        <f t="array" ref="Q490">INDEX($B$480:$G487, INT((COLUMN(P393)-1)/6)+1, MOD(COLUMN(P393)-1,6)+1)</f>
        <v>1</v>
      </c>
      <c r="R490" s="12" cm="1">
        <f t="array" ref="R490">INDEX($B$480:$G487, INT((COLUMN(Q393)-1)/6)+1, MOD(COLUMN(Q393)-1,6)+1)</f>
        <v>1</v>
      </c>
      <c r="S490" s="12" cm="1">
        <f t="array" ref="S490">INDEX($B$480:$G487, INT((COLUMN(R393)-1)/6)+1, MOD(COLUMN(R393)-1,6)+1)</f>
        <v>0</v>
      </c>
      <c r="T490" s="12" cm="1">
        <f t="array" ref="T490">INDEX($B$480:$G487, INT((COLUMN(S393)-1)/6)+1, MOD(COLUMN(S393)-1,6)+1)</f>
        <v>0</v>
      </c>
      <c r="U490" s="12" cm="1">
        <f t="array" ref="U490">INDEX($B$480:$G487, INT((COLUMN(T393)-1)/6)+1, MOD(COLUMN(T393)-1,6)+1)</f>
        <v>0</v>
      </c>
      <c r="V490" s="12" cm="1">
        <f t="array" ref="V490">INDEX($B$480:$G487, INT((COLUMN(U393)-1)/6)+1, MOD(COLUMN(U393)-1,6)+1)</f>
        <v>0</v>
      </c>
      <c r="W490" s="12" cm="1">
        <f t="array" ref="W490">INDEX($B$480:$G487, INT((COLUMN(V393)-1)/6)+1, MOD(COLUMN(V393)-1,6)+1)</f>
        <v>1</v>
      </c>
      <c r="X490" s="12" cm="1">
        <f t="array" ref="X490">INDEX($B$480:$G487, INT((COLUMN(W393)-1)/6)+1, MOD(COLUMN(W393)-1,6)+1)</f>
        <v>0</v>
      </c>
      <c r="Y490" s="12" cm="1">
        <f t="array" ref="Y490">INDEX($B$480:$G487, INT((COLUMN(X393)-1)/6)+1, MOD(COLUMN(X393)-1,6)+1)</f>
        <v>1</v>
      </c>
      <c r="Z490" s="12" cm="1">
        <f t="array" ref="Z490">INDEX($B$480:$G487, INT((COLUMN(Y393)-1)/6)+1, MOD(COLUMN(Y393)-1,6)+1)</f>
        <v>0</v>
      </c>
      <c r="AA490" s="12" cm="1">
        <f t="array" ref="AA490">INDEX($B$480:$G487, INT((COLUMN(Z393)-1)/6)+1, MOD(COLUMN(Z393)-1,6)+1)</f>
        <v>0</v>
      </c>
      <c r="AB490" s="12" cm="1">
        <f t="array" ref="AB490">INDEX($B$480:$G487, INT((COLUMN(AA393)-1)/6)+1, MOD(COLUMN(AA393)-1,6)+1)</f>
        <v>0</v>
      </c>
      <c r="AC490" s="12" cm="1">
        <f t="array" ref="AC490">INDEX($B$480:$G487, INT((COLUMN(AB393)-1)/6)+1, MOD(COLUMN(AB393)-1,6)+1)</f>
        <v>0</v>
      </c>
      <c r="AD490" s="12" cm="1">
        <f t="array" ref="AD490">INDEX($B$480:$G487, INT((COLUMN(AC393)-1)/6)+1, MOD(COLUMN(AC393)-1,6)+1)</f>
        <v>1</v>
      </c>
      <c r="AE490" s="12" cm="1">
        <f t="array" ref="AE490">INDEX($B$480:$G487, INT((COLUMN(AD393)-1)/6)+1, MOD(COLUMN(AD393)-1,6)+1)</f>
        <v>0</v>
      </c>
      <c r="AF490" s="12" cm="1">
        <f t="array" ref="AF490">INDEX($B$480:$G487, INT((COLUMN(AE393)-1)/6)+1, MOD(COLUMN(AE393)-1,6)+1)</f>
        <v>1</v>
      </c>
      <c r="AG490" s="12" cm="1">
        <f t="array" ref="AG490">INDEX($B$480:$G487, INT((COLUMN(AF393)-1)/6)+1, MOD(COLUMN(AF393)-1,6)+1)</f>
        <v>0</v>
      </c>
      <c r="AH490" s="12" cm="1">
        <f t="array" ref="AH490">INDEX($B$480:$G487, INT((COLUMN(AG393)-1)/6)+1, MOD(COLUMN(AG393)-1,6)+1)</f>
        <v>0</v>
      </c>
      <c r="AI490" s="12" cm="1">
        <f t="array" ref="AI490">INDEX($B$480:$G487, INT((COLUMN(AH393)-1)/6)+1, MOD(COLUMN(AH393)-1,6)+1)</f>
        <v>0</v>
      </c>
      <c r="AJ490" s="12" cm="1">
        <f t="array" ref="AJ490">INDEX($B$480:$G487, INT((COLUMN(AI393)-1)/6)+1, MOD(COLUMN(AI393)-1,6)+1)</f>
        <v>0</v>
      </c>
      <c r="AK490" s="12" cm="1">
        <f t="array" ref="AK490">INDEX($B$480:$G487, INT((COLUMN(AJ393)-1)/6)+1, MOD(COLUMN(AJ393)-1,6)+1)</f>
        <v>1</v>
      </c>
      <c r="AL490" s="12" cm="1">
        <f t="array" ref="AL490">INDEX($B$480:$G487, INT((COLUMN(AK393)-1)/6)+1, MOD(COLUMN(AK393)-1,6)+1)</f>
        <v>0</v>
      </c>
      <c r="AM490" s="12" cm="1">
        <f t="array" ref="AM490">INDEX($B$480:$G487, INT((COLUMN(AL393)-1)/6)+1, MOD(COLUMN(AL393)-1,6)+1)</f>
        <v>1</v>
      </c>
      <c r="AN490" s="12" cm="1">
        <f t="array" ref="AN490">INDEX($B$480:$G487, INT((COLUMN(AM393)-1)/6)+1, MOD(COLUMN(AM393)-1,6)+1)</f>
        <v>1</v>
      </c>
      <c r="AO490" s="12" cm="1">
        <f t="array" ref="AO490">INDEX($B$480:$G487, INT((COLUMN(AN393)-1)/6)+1, MOD(COLUMN(AN393)-1,6)+1)</f>
        <v>1</v>
      </c>
      <c r="AP490" s="12" cm="1">
        <f t="array" ref="AP490">INDEX($B$480:$G487, INT((COLUMN(AO393)-1)/6)+1, MOD(COLUMN(AO393)-1,6)+1)</f>
        <v>1</v>
      </c>
      <c r="AQ490" s="12" cm="1">
        <f t="array" ref="AQ490">INDEX($B$480:$G487, INT((COLUMN(AP393)-1)/6)+1, MOD(COLUMN(AP393)-1,6)+1)</f>
        <v>0</v>
      </c>
      <c r="AR490" s="12" cm="1">
        <f t="array" ref="AR490">INDEX($B$480:$G487, INT((COLUMN(AQ393)-1)/6)+1, MOD(COLUMN(AQ393)-1,6)+1)</f>
        <v>1</v>
      </c>
      <c r="AS490" s="12" cm="1">
        <f t="array" ref="AS490">INDEX($B$480:$G487, INT((COLUMN(AR393)-1)/6)+1, MOD(COLUMN(AR393)-1,6)+1)</f>
        <v>1</v>
      </c>
      <c r="AT490" s="12" cm="1">
        <f t="array" ref="AT490">INDEX($B$480:$G487, INT((COLUMN(AS393)-1)/6)+1, MOD(COLUMN(AS393)-1,6)+1)</f>
        <v>0</v>
      </c>
      <c r="AU490" s="12" cm="1">
        <f t="array" ref="AU490">INDEX($B$480:$G487, INT((COLUMN(AT393)-1)/6)+1, MOD(COLUMN(AT393)-1,6)+1)</f>
        <v>1</v>
      </c>
      <c r="AV490" s="12" cm="1">
        <f t="array" ref="AV490">INDEX($B$480:$G487, INT((COLUMN(AU393)-1)/6)+1, MOD(COLUMN(AU393)-1,6)+1)</f>
        <v>0</v>
      </c>
      <c r="AW490" s="12" cm="1">
        <f t="array" ref="AW490">INDEX($B$480:$G487, INT((COLUMN(AV393)-1)/6)+1, MOD(COLUMN(AV393)-1,6)+1)</f>
        <v>1</v>
      </c>
    </row>
    <row r="492" spans="1:49">
      <c r="A492" s="20" t="s">
        <v>123</v>
      </c>
    </row>
    <row r="493" spans="1:49">
      <c r="A493" s="5" t="s">
        <v>124</v>
      </c>
    </row>
    <row r="495" spans="1:49">
      <c r="A495" s="12" t="s">
        <v>3</v>
      </c>
      <c r="B495" s="12">
        <v>1</v>
      </c>
      <c r="C495" s="12">
        <v>2</v>
      </c>
      <c r="D495" s="12">
        <v>3</v>
      </c>
      <c r="E495" s="12">
        <v>4</v>
      </c>
      <c r="F495" s="12">
        <v>5</v>
      </c>
      <c r="G495" s="12">
        <v>6</v>
      </c>
      <c r="H495" s="12">
        <v>7</v>
      </c>
      <c r="I495" s="12">
        <v>8</v>
      </c>
      <c r="J495" s="12">
        <v>9</v>
      </c>
      <c r="K495" s="12">
        <v>10</v>
      </c>
      <c r="L495" s="12">
        <v>11</v>
      </c>
      <c r="M495" s="12">
        <v>12</v>
      </c>
      <c r="N495" s="12">
        <v>13</v>
      </c>
      <c r="O495" s="12">
        <v>14</v>
      </c>
      <c r="P495" s="12">
        <v>15</v>
      </c>
      <c r="Q495" s="12">
        <v>16</v>
      </c>
      <c r="R495" s="12">
        <v>17</v>
      </c>
      <c r="S495" s="12">
        <v>18</v>
      </c>
      <c r="T495" s="12">
        <v>19</v>
      </c>
      <c r="U495" s="12">
        <v>20</v>
      </c>
      <c r="V495" s="12">
        <v>21</v>
      </c>
      <c r="W495" s="12">
        <v>22</v>
      </c>
      <c r="X495" s="12">
        <v>23</v>
      </c>
      <c r="Y495" s="12">
        <v>24</v>
      </c>
      <c r="Z495" s="12">
        <v>25</v>
      </c>
      <c r="AA495" s="12">
        <v>26</v>
      </c>
      <c r="AB495" s="12">
        <v>27</v>
      </c>
      <c r="AC495" s="12">
        <v>28</v>
      </c>
    </row>
    <row r="496" spans="1:49">
      <c r="A496" s="12" t="s">
        <v>124</v>
      </c>
      <c r="B496" s="16">
        <v>1</v>
      </c>
      <c r="C496" s="16">
        <v>1</v>
      </c>
      <c r="D496" s="16">
        <v>1</v>
      </c>
      <c r="E496" s="16">
        <v>1</v>
      </c>
      <c r="F496" s="16">
        <v>0</v>
      </c>
      <c r="G496" s="16">
        <v>0</v>
      </c>
      <c r="H496" s="16">
        <v>0</v>
      </c>
      <c r="I496" s="16">
        <v>0</v>
      </c>
      <c r="J496" s="16">
        <v>1</v>
      </c>
      <c r="K496" s="16">
        <v>1</v>
      </c>
      <c r="L496" s="16">
        <v>0</v>
      </c>
      <c r="M496" s="16">
        <v>0</v>
      </c>
      <c r="N496" s="16">
        <v>1</v>
      </c>
      <c r="O496" s="16">
        <v>1</v>
      </c>
      <c r="P496" s="16">
        <v>0</v>
      </c>
      <c r="Q496" s="16">
        <v>0</v>
      </c>
      <c r="R496" s="16">
        <v>1</v>
      </c>
      <c r="S496" s="16">
        <v>0</v>
      </c>
      <c r="T496" s="16">
        <v>1</v>
      </c>
      <c r="U496" s="16">
        <v>0</v>
      </c>
      <c r="V496" s="16">
        <v>1</v>
      </c>
      <c r="W496" s="16">
        <v>0</v>
      </c>
      <c r="X496" s="16">
        <v>1</v>
      </c>
      <c r="Y496" s="16">
        <v>0</v>
      </c>
      <c r="Z496" s="16">
        <v>1</v>
      </c>
      <c r="AA496" s="16">
        <v>0</v>
      </c>
      <c r="AB496" s="16">
        <v>1</v>
      </c>
      <c r="AC496" s="16">
        <v>1</v>
      </c>
    </row>
    <row r="498" spans="1:57">
      <c r="A498" s="5" t="s">
        <v>125</v>
      </c>
    </row>
    <row r="500" spans="1:57">
      <c r="A500" s="12" t="s">
        <v>3</v>
      </c>
      <c r="B500" s="12">
        <v>1</v>
      </c>
      <c r="C500" s="12">
        <v>2</v>
      </c>
      <c r="D500" s="12">
        <v>3</v>
      </c>
      <c r="E500" s="12">
        <v>4</v>
      </c>
      <c r="F500" s="12">
        <v>5</v>
      </c>
      <c r="G500" s="12">
        <v>6</v>
      </c>
      <c r="H500" s="12">
        <v>7</v>
      </c>
      <c r="I500" s="12">
        <v>8</v>
      </c>
      <c r="J500" s="12">
        <v>9</v>
      </c>
      <c r="K500" s="12">
        <v>10</v>
      </c>
      <c r="L500" s="12">
        <v>11</v>
      </c>
      <c r="M500" s="12">
        <v>12</v>
      </c>
      <c r="N500" s="12">
        <v>13</v>
      </c>
      <c r="O500" s="12">
        <v>14</v>
      </c>
      <c r="P500" s="12">
        <v>15</v>
      </c>
      <c r="Q500" s="12">
        <v>16</v>
      </c>
      <c r="R500" s="12">
        <v>17</v>
      </c>
      <c r="S500" s="12">
        <v>18</v>
      </c>
      <c r="T500" s="12">
        <v>19</v>
      </c>
      <c r="U500" s="12">
        <v>20</v>
      </c>
      <c r="V500" s="12">
        <v>21</v>
      </c>
      <c r="W500" s="12">
        <v>22</v>
      </c>
      <c r="X500" s="12">
        <v>23</v>
      </c>
      <c r="Y500" s="12">
        <v>24</v>
      </c>
      <c r="Z500" s="12">
        <v>25</v>
      </c>
      <c r="AA500" s="12">
        <v>26</v>
      </c>
      <c r="AB500" s="12">
        <v>27</v>
      </c>
      <c r="AC500" s="12">
        <v>28</v>
      </c>
    </row>
    <row r="501" spans="1:57">
      <c r="A501" s="12" t="s">
        <v>125</v>
      </c>
      <c r="B501" s="12">
        <v>1</v>
      </c>
      <c r="C501" s="12">
        <v>0</v>
      </c>
      <c r="D501" s="12">
        <v>1</v>
      </c>
      <c r="E501" s="12">
        <v>0</v>
      </c>
      <c r="F501" s="12">
        <v>1</v>
      </c>
      <c r="G501" s="12">
        <v>0</v>
      </c>
      <c r="H501" s="12">
        <v>1</v>
      </c>
      <c r="I501" s="12">
        <v>0</v>
      </c>
      <c r="J501" s="12">
        <v>1</v>
      </c>
      <c r="K501" s="12">
        <v>1</v>
      </c>
      <c r="L501" s="12">
        <v>0</v>
      </c>
      <c r="M501" s="12">
        <v>0</v>
      </c>
      <c r="N501" s="12">
        <v>1</v>
      </c>
      <c r="O501" s="12">
        <v>1</v>
      </c>
      <c r="P501" s="12">
        <v>0</v>
      </c>
      <c r="Q501" s="12">
        <v>0</v>
      </c>
      <c r="R501" s="12">
        <v>1</v>
      </c>
      <c r="S501" s="12">
        <v>1</v>
      </c>
      <c r="T501" s="12">
        <v>1</v>
      </c>
      <c r="U501" s="12">
        <v>1</v>
      </c>
      <c r="V501" s="12">
        <v>0</v>
      </c>
      <c r="W501" s="12">
        <v>0</v>
      </c>
      <c r="X501" s="12">
        <v>0</v>
      </c>
      <c r="Y501" s="12">
        <v>0</v>
      </c>
      <c r="Z501" s="12">
        <v>1</v>
      </c>
      <c r="AA501" s="12">
        <v>0</v>
      </c>
      <c r="AB501" s="12">
        <v>1</v>
      </c>
      <c r="AC501" s="12">
        <v>0</v>
      </c>
    </row>
    <row r="503" spans="1:57">
      <c r="A503" s="6" t="s">
        <v>126</v>
      </c>
    </row>
    <row r="505" spans="1:57">
      <c r="A505" s="12" t="s">
        <v>3</v>
      </c>
      <c r="B505" s="12">
        <v>1</v>
      </c>
      <c r="C505" s="12">
        <v>2</v>
      </c>
      <c r="D505" s="12">
        <v>3</v>
      </c>
      <c r="E505" s="12">
        <v>4</v>
      </c>
      <c r="F505" s="12">
        <v>5</v>
      </c>
      <c r="G505" s="12">
        <v>6</v>
      </c>
      <c r="H505" s="12">
        <v>7</v>
      </c>
      <c r="I505" s="12">
        <v>8</v>
      </c>
      <c r="J505" s="12">
        <v>9</v>
      </c>
      <c r="K505" s="12">
        <v>10</v>
      </c>
      <c r="L505" s="12">
        <v>11</v>
      </c>
      <c r="M505" s="12">
        <v>12</v>
      </c>
      <c r="N505" s="12">
        <v>13</v>
      </c>
      <c r="O505" s="12">
        <v>14</v>
      </c>
      <c r="P505" s="12">
        <v>15</v>
      </c>
      <c r="Q505" s="12">
        <v>16</v>
      </c>
      <c r="R505" s="12">
        <v>17</v>
      </c>
      <c r="S505" s="12">
        <v>18</v>
      </c>
      <c r="T505" s="12">
        <v>19</v>
      </c>
      <c r="U505" s="12">
        <v>20</v>
      </c>
      <c r="V505" s="12">
        <v>21</v>
      </c>
      <c r="W505" s="12">
        <v>22</v>
      </c>
      <c r="X505" s="12">
        <v>23</v>
      </c>
      <c r="Y505" s="12">
        <v>24</v>
      </c>
      <c r="Z505" s="12">
        <v>25</v>
      </c>
      <c r="AA505" s="12">
        <v>26</v>
      </c>
      <c r="AB505" s="12">
        <v>27</v>
      </c>
      <c r="AC505" s="12">
        <v>28</v>
      </c>
      <c r="AD505" s="12">
        <v>29</v>
      </c>
      <c r="AE505" s="12">
        <v>30</v>
      </c>
      <c r="AF505" s="12">
        <v>31</v>
      </c>
      <c r="AG505" s="12">
        <v>32</v>
      </c>
      <c r="AH505" s="12">
        <v>33</v>
      </c>
      <c r="AI505" s="12">
        <v>34</v>
      </c>
      <c r="AJ505" s="12">
        <v>35</v>
      </c>
      <c r="AK505" s="12">
        <v>36</v>
      </c>
      <c r="AL505" s="12">
        <v>37</v>
      </c>
      <c r="AM505" s="12">
        <v>38</v>
      </c>
      <c r="AN505" s="12">
        <v>39</v>
      </c>
      <c r="AO505" s="12">
        <v>40</v>
      </c>
      <c r="AP505" s="12">
        <v>41</v>
      </c>
      <c r="AQ505" s="12">
        <v>42</v>
      </c>
      <c r="AR505" s="12">
        <v>43</v>
      </c>
      <c r="AS505" s="12">
        <v>44</v>
      </c>
      <c r="AT505" s="12">
        <v>45</v>
      </c>
      <c r="AU505" s="12">
        <v>46</v>
      </c>
      <c r="AV505" s="12">
        <v>47</v>
      </c>
      <c r="AW505" s="12">
        <v>48</v>
      </c>
      <c r="AX505" s="12">
        <v>49</v>
      </c>
      <c r="AY505" s="12">
        <v>50</v>
      </c>
      <c r="AZ505" s="12">
        <v>51</v>
      </c>
      <c r="BA505" s="12">
        <v>52</v>
      </c>
      <c r="BB505" s="12">
        <v>53</v>
      </c>
      <c r="BC505" s="12">
        <v>54</v>
      </c>
      <c r="BD505" s="12">
        <v>55</v>
      </c>
      <c r="BE505" s="12">
        <v>56</v>
      </c>
    </row>
    <row r="506" spans="1:57">
      <c r="A506" s="12" t="s">
        <v>127</v>
      </c>
      <c r="B506" s="16">
        <v>1</v>
      </c>
      <c r="C506" s="16">
        <v>1</v>
      </c>
      <c r="D506" s="16">
        <v>1</v>
      </c>
      <c r="E506" s="16">
        <v>1</v>
      </c>
      <c r="F506" s="16">
        <v>0</v>
      </c>
      <c r="G506" s="16">
        <v>0</v>
      </c>
      <c r="H506" s="16">
        <v>0</v>
      </c>
      <c r="I506" s="16">
        <v>0</v>
      </c>
      <c r="J506" s="16">
        <v>1</v>
      </c>
      <c r="K506" s="16">
        <v>1</v>
      </c>
      <c r="L506" s="16">
        <v>0</v>
      </c>
      <c r="M506" s="16">
        <v>0</v>
      </c>
      <c r="N506" s="16">
        <v>1</v>
      </c>
      <c r="O506" s="16">
        <v>1</v>
      </c>
      <c r="P506" s="16">
        <v>0</v>
      </c>
      <c r="Q506" s="16">
        <v>0</v>
      </c>
      <c r="R506" s="16">
        <v>1</v>
      </c>
      <c r="S506" s="16">
        <v>0</v>
      </c>
      <c r="T506" s="16">
        <v>1</v>
      </c>
      <c r="U506" s="16">
        <v>0</v>
      </c>
      <c r="V506" s="16">
        <v>1</v>
      </c>
      <c r="W506" s="16">
        <v>0</v>
      </c>
      <c r="X506" s="16">
        <v>1</v>
      </c>
      <c r="Y506" s="16">
        <v>0</v>
      </c>
      <c r="Z506" s="16">
        <v>1</v>
      </c>
      <c r="AA506" s="16">
        <v>0</v>
      </c>
      <c r="AB506" s="16">
        <v>1</v>
      </c>
      <c r="AC506" s="16">
        <v>1</v>
      </c>
      <c r="AD506" s="12">
        <v>1</v>
      </c>
      <c r="AE506" s="12">
        <v>0</v>
      </c>
      <c r="AF506" s="12">
        <v>1</v>
      </c>
      <c r="AG506" s="12">
        <v>0</v>
      </c>
      <c r="AH506" s="12">
        <v>1</v>
      </c>
      <c r="AI506" s="12">
        <v>0</v>
      </c>
      <c r="AJ506" s="12">
        <v>1</v>
      </c>
      <c r="AK506" s="12">
        <v>0</v>
      </c>
      <c r="AL506" s="12">
        <v>1</v>
      </c>
      <c r="AM506" s="12">
        <v>1</v>
      </c>
      <c r="AN506" s="12">
        <v>0</v>
      </c>
      <c r="AO506" s="12">
        <v>0</v>
      </c>
      <c r="AP506" s="12">
        <v>1</v>
      </c>
      <c r="AQ506" s="12">
        <v>1</v>
      </c>
      <c r="AR506" s="12">
        <v>0</v>
      </c>
      <c r="AS506" s="12">
        <v>0</v>
      </c>
      <c r="AT506" s="12">
        <v>1</v>
      </c>
      <c r="AU506" s="12">
        <v>1</v>
      </c>
      <c r="AV506" s="12">
        <v>1</v>
      </c>
      <c r="AW506" s="12">
        <v>1</v>
      </c>
      <c r="AX506" s="12">
        <v>0</v>
      </c>
      <c r="AY506" s="12">
        <v>0</v>
      </c>
      <c r="AZ506" s="12">
        <v>0</v>
      </c>
      <c r="BA506" s="12">
        <v>0</v>
      </c>
      <c r="BB506" s="12">
        <v>1</v>
      </c>
      <c r="BC506" s="12">
        <v>0</v>
      </c>
      <c r="BD506" s="12">
        <v>1</v>
      </c>
      <c r="BE506" s="12">
        <v>0</v>
      </c>
    </row>
    <row r="508" spans="1:57">
      <c r="A508" s="5" t="s">
        <v>128</v>
      </c>
      <c r="B508" s="12" cm="1">
        <f t="array" ref="B508">INDEX($B$506:$BE$506, K25)</f>
        <v>1</v>
      </c>
      <c r="C508" s="12" cm="1">
        <f t="array" ref="C508">INDEX($B$506:$BE$506, L25)</f>
        <v>1</v>
      </c>
      <c r="D508" s="12" cm="1">
        <f t="array" ref="D508">INDEX($B$506:$BE$506, M25)</f>
        <v>0</v>
      </c>
      <c r="E508" s="12" cm="1">
        <f t="array" ref="E508">INDEX($B$506:$BE$506, N25)</f>
        <v>0</v>
      </c>
      <c r="F508" s="12" cm="1">
        <f t="array" ref="F508">INDEX($B$506:$BE$506, O25)</f>
        <v>1</v>
      </c>
      <c r="G508" s="12" cm="1">
        <f t="array" ref="G508">INDEX($B$506:$BE$506, P25)</f>
        <v>0</v>
      </c>
    </row>
    <row r="509" spans="1:57">
      <c r="B509" s="12" cm="1">
        <f t="array" ref="B509">INDEX($B$506:$BE$506, K26)</f>
        <v>1</v>
      </c>
      <c r="C509" s="12" cm="1">
        <f t="array" ref="C509">INDEX($B$506:$BE$506, L26)</f>
        <v>1</v>
      </c>
      <c r="D509" s="12" cm="1">
        <f t="array" ref="D509">INDEX($B$506:$BE$506, M26)</f>
        <v>0</v>
      </c>
      <c r="E509" s="12" cm="1">
        <f t="array" ref="E509">INDEX($B$506:$BE$506, N26)</f>
        <v>0</v>
      </c>
      <c r="F509" s="12" cm="1">
        <f t="array" ref="F509">INDEX($B$506:$BE$506, O26)</f>
        <v>1</v>
      </c>
      <c r="G509" s="12" cm="1">
        <f t="array" ref="G509">INDEX($B$506:$BE$506, P26)</f>
        <v>1</v>
      </c>
    </row>
    <row r="510" spans="1:57">
      <c r="B510" s="12" cm="1">
        <f t="array" ref="B510">INDEX($B$506:$BE$506, K27)</f>
        <v>1</v>
      </c>
      <c r="C510" s="12" cm="1">
        <f t="array" ref="C510">INDEX($B$506:$BE$506, L27)</f>
        <v>1</v>
      </c>
      <c r="D510" s="12" cm="1">
        <f t="array" ref="D510">INDEX($B$506:$BE$506, M27)</f>
        <v>0</v>
      </c>
      <c r="E510" s="12" cm="1">
        <f t="array" ref="E510">INDEX($B$506:$BE$506, N27)</f>
        <v>1</v>
      </c>
      <c r="F510" s="12" cm="1">
        <f t="array" ref="F510">INDEX($B$506:$BE$506, O27)</f>
        <v>0</v>
      </c>
      <c r="G510" s="12" cm="1">
        <f t="array" ref="G510">INDEX($B$506:$BE$506, P27)</f>
        <v>0</v>
      </c>
    </row>
    <row r="511" spans="1:57">
      <c r="B511" s="12" cm="1">
        <f t="array" ref="B511">INDEX($B$506:$BE$506, K28)</f>
        <v>0</v>
      </c>
      <c r="C511" s="12" cm="1">
        <f t="array" ref="C511">INDEX($B$506:$BE$506, L28)</f>
        <v>0</v>
      </c>
      <c r="D511" s="12" cm="1">
        <f t="array" ref="D511">INDEX($B$506:$BE$506, M28)</f>
        <v>1</v>
      </c>
      <c r="E511" s="12" cm="1">
        <f t="array" ref="E511">INDEX($B$506:$BE$506, N28)</f>
        <v>0</v>
      </c>
      <c r="F511" s="12" cm="1">
        <f t="array" ref="F511">INDEX($B$506:$BE$506, O28)</f>
        <v>1</v>
      </c>
      <c r="G511" s="12" cm="1">
        <f t="array" ref="G511">INDEX($B$506:$BE$506, P28)</f>
        <v>1</v>
      </c>
    </row>
    <row r="512" spans="1:57">
      <c r="B512" s="12" cm="1">
        <f t="array" ref="B512">INDEX($B$506:$BE$506, K29)</f>
        <v>1</v>
      </c>
      <c r="C512" s="12" cm="1">
        <f t="array" ref="C512">INDEX($B$506:$BE$506, L29)</f>
        <v>0</v>
      </c>
      <c r="D512" s="12" cm="1">
        <f t="array" ref="D512">INDEX($B$506:$BE$506, M29)</f>
        <v>1</v>
      </c>
      <c r="E512" s="12" cm="1">
        <f t="array" ref="E512">INDEX($B$506:$BE$506, N29)</f>
        <v>1</v>
      </c>
      <c r="F512" s="12" cm="1">
        <f t="array" ref="F512">INDEX($B$506:$BE$506, O29)</f>
        <v>1</v>
      </c>
      <c r="G512" s="12" cm="1">
        <f t="array" ref="G512">INDEX($B$506:$BE$506, P29)</f>
        <v>1</v>
      </c>
    </row>
    <row r="513" spans="1:49">
      <c r="B513" s="12" cm="1">
        <f t="array" ref="B513">INDEX($B$506:$BE$506, K30)</f>
        <v>0</v>
      </c>
      <c r="C513" s="12" cm="1">
        <f t="array" ref="C513">INDEX($B$506:$BE$506, L30)</f>
        <v>0</v>
      </c>
      <c r="D513" s="12" cm="1">
        <f t="array" ref="D513">INDEX($B$506:$BE$506, M30)</f>
        <v>0</v>
      </c>
      <c r="E513" s="12" cm="1">
        <f t="array" ref="E513">INDEX($B$506:$BE$506, N30)</f>
        <v>1</v>
      </c>
      <c r="F513" s="12" cm="1">
        <f t="array" ref="F513">INDEX($B$506:$BE$506, O30)</f>
        <v>1</v>
      </c>
      <c r="G513" s="12" cm="1">
        <f t="array" ref="G513">INDEX($B$506:$BE$506, P30)</f>
        <v>1</v>
      </c>
    </row>
    <row r="514" spans="1:49">
      <c r="B514" s="12" cm="1">
        <f t="array" ref="B514">INDEX($B$506:$BE$506, K31)</f>
        <v>0</v>
      </c>
      <c r="C514" s="12" cm="1">
        <f t="array" ref="C514">INDEX($B$506:$BE$506, L31)</f>
        <v>0</v>
      </c>
      <c r="D514" s="12" cm="1">
        <f t="array" ref="D514">INDEX($B$506:$BE$506, M31)</f>
        <v>0</v>
      </c>
      <c r="E514" s="12" cm="1">
        <f t="array" ref="E514">INDEX($B$506:$BE$506, N31)</f>
        <v>0</v>
      </c>
      <c r="F514" s="12" cm="1">
        <f t="array" ref="F514">INDEX($B$506:$BE$506, O31)</f>
        <v>0</v>
      </c>
      <c r="G514" s="12" cm="1">
        <f t="array" ref="G514">INDEX($B$506:$BE$506, P31)</f>
        <v>1</v>
      </c>
    </row>
    <row r="515" spans="1:49">
      <c r="B515" s="12" cm="1">
        <f t="array" ref="B515">INDEX($B$506:$BE$506, K32)</f>
        <v>1</v>
      </c>
      <c r="C515" s="12" cm="1">
        <f t="array" ref="C515">INDEX($B$506:$BE$506, L32)</f>
        <v>1</v>
      </c>
      <c r="D515" s="12" cm="1">
        <f t="array" ref="D515">INDEX($B$506:$BE$506, M32)</f>
        <v>0</v>
      </c>
      <c r="E515" s="12" cm="1">
        <f t="array" ref="E515">INDEX($B$506:$BE$506, N32)</f>
        <v>0</v>
      </c>
      <c r="F515" s="12" cm="1">
        <f t="array" ref="F515">INDEX($B$506:$BE$506, O32)</f>
        <v>1</v>
      </c>
      <c r="G515" s="12" cm="1">
        <f t="array" ref="G515">INDEX($B$506:$BE$506, P32)</f>
        <v>0</v>
      </c>
    </row>
    <row r="517" spans="1:49">
      <c r="A517" s="12" t="s">
        <v>3</v>
      </c>
      <c r="B517" s="12">
        <v>1</v>
      </c>
      <c r="C517" s="12">
        <v>2</v>
      </c>
      <c r="D517" s="12">
        <v>3</v>
      </c>
      <c r="E517" s="12">
        <v>4</v>
      </c>
      <c r="F517" s="12">
        <v>5</v>
      </c>
      <c r="G517" s="12">
        <v>6</v>
      </c>
      <c r="H517" s="12">
        <v>7</v>
      </c>
      <c r="I517" s="12">
        <v>8</v>
      </c>
      <c r="J517" s="12">
        <v>9</v>
      </c>
      <c r="K517" s="12">
        <v>10</v>
      </c>
      <c r="L517" s="12">
        <v>11</v>
      </c>
      <c r="M517" s="12">
        <v>12</v>
      </c>
      <c r="N517" s="12">
        <v>13</v>
      </c>
      <c r="O517" s="12">
        <v>14</v>
      </c>
      <c r="P517" s="12">
        <v>15</v>
      </c>
      <c r="Q517" s="12">
        <v>16</v>
      </c>
      <c r="R517" s="12">
        <v>17</v>
      </c>
      <c r="S517" s="12">
        <v>18</v>
      </c>
      <c r="T517" s="12">
        <v>19</v>
      </c>
      <c r="U517" s="12">
        <v>20</v>
      </c>
      <c r="V517" s="12">
        <v>21</v>
      </c>
      <c r="W517" s="12">
        <v>22</v>
      </c>
      <c r="X517" s="12">
        <v>23</v>
      </c>
      <c r="Y517" s="12">
        <v>24</v>
      </c>
      <c r="Z517" s="12">
        <v>25</v>
      </c>
      <c r="AA517" s="12">
        <v>26</v>
      </c>
      <c r="AB517" s="12">
        <v>27</v>
      </c>
      <c r="AC517" s="12">
        <v>28</v>
      </c>
      <c r="AD517" s="12">
        <v>29</v>
      </c>
      <c r="AE517" s="12">
        <v>30</v>
      </c>
      <c r="AF517" s="12">
        <v>31</v>
      </c>
      <c r="AG517" s="12">
        <v>32</v>
      </c>
      <c r="AH517" s="12">
        <v>33</v>
      </c>
      <c r="AI517" s="12">
        <v>34</v>
      </c>
      <c r="AJ517" s="12">
        <v>35</v>
      </c>
      <c r="AK517" s="12">
        <v>36</v>
      </c>
      <c r="AL517" s="12">
        <v>37</v>
      </c>
      <c r="AM517" s="12">
        <v>38</v>
      </c>
      <c r="AN517" s="12">
        <v>39</v>
      </c>
      <c r="AO517" s="12">
        <v>40</v>
      </c>
      <c r="AP517" s="12">
        <v>41</v>
      </c>
      <c r="AQ517" s="12">
        <v>42</v>
      </c>
      <c r="AR517" s="12">
        <v>43</v>
      </c>
      <c r="AS517" s="12">
        <v>44</v>
      </c>
      <c r="AT517" s="12">
        <v>45</v>
      </c>
      <c r="AU517" s="12">
        <v>46</v>
      </c>
      <c r="AV517" s="12">
        <v>47</v>
      </c>
      <c r="AW517" s="12">
        <v>48</v>
      </c>
    </row>
    <row r="518" spans="1:49">
      <c r="A518" s="12" t="s">
        <v>129</v>
      </c>
      <c r="B518" s="12" cm="1">
        <f t="array" ref="B518">INDEX($B$508:$G515, INT((COLUMN(A421)-1)/6)+1, MOD(COLUMN(A421)-1,6)+1)</f>
        <v>1</v>
      </c>
      <c r="C518" s="12" cm="1">
        <f t="array" ref="C518">INDEX($B$508:$G515, INT((COLUMN(B421)-1)/6)+1, MOD(COLUMN(B421)-1,6)+1)</f>
        <v>1</v>
      </c>
      <c r="D518" s="12" cm="1">
        <f t="array" ref="D518">INDEX($B$508:$G515, INT((COLUMN(C421)-1)/6)+1, MOD(COLUMN(C421)-1,6)+1)</f>
        <v>0</v>
      </c>
      <c r="E518" s="12" cm="1">
        <f t="array" ref="E518">INDEX($B$508:$G515, INT((COLUMN(D421)-1)/6)+1, MOD(COLUMN(D421)-1,6)+1)</f>
        <v>0</v>
      </c>
      <c r="F518" s="12" cm="1">
        <f t="array" ref="F518">INDEX($B$508:$G515, INT((COLUMN(E421)-1)/6)+1, MOD(COLUMN(E421)-1,6)+1)</f>
        <v>1</v>
      </c>
      <c r="G518" s="12" cm="1">
        <f t="array" ref="G518">INDEX($B$508:$G515, INT((COLUMN(F421)-1)/6)+1, MOD(COLUMN(F421)-1,6)+1)</f>
        <v>0</v>
      </c>
      <c r="H518" s="12" cm="1">
        <f t="array" ref="H518">INDEX($B$508:$G515, INT((COLUMN(G421)-1)/6)+1, MOD(COLUMN(G421)-1,6)+1)</f>
        <v>1</v>
      </c>
      <c r="I518" s="12" cm="1">
        <f t="array" ref="I518">INDEX($B$508:$G515, INT((COLUMN(H421)-1)/6)+1, MOD(COLUMN(H421)-1,6)+1)</f>
        <v>1</v>
      </c>
      <c r="J518" s="12" cm="1">
        <f t="array" ref="J518">INDEX($B$508:$G515, INT((COLUMN(I421)-1)/6)+1, MOD(COLUMN(I421)-1,6)+1)</f>
        <v>0</v>
      </c>
      <c r="K518" s="12" cm="1">
        <f t="array" ref="K518">INDEX($B$508:$G515, INT((COLUMN(J421)-1)/6)+1, MOD(COLUMN(J421)-1,6)+1)</f>
        <v>0</v>
      </c>
      <c r="L518" s="12" cm="1">
        <f t="array" ref="L518">INDEX($B$508:$G515, INT((COLUMN(K421)-1)/6)+1, MOD(COLUMN(K421)-1,6)+1)</f>
        <v>1</v>
      </c>
      <c r="M518" s="12" cm="1">
        <f t="array" ref="M518">INDEX($B$508:$G515, INT((COLUMN(L421)-1)/6)+1, MOD(COLUMN(L421)-1,6)+1)</f>
        <v>1</v>
      </c>
      <c r="N518" s="12" cm="1">
        <f t="array" ref="N518">INDEX($B$508:$G515, INT((COLUMN(M421)-1)/6)+1, MOD(COLUMN(M421)-1,6)+1)</f>
        <v>1</v>
      </c>
      <c r="O518" s="12" cm="1">
        <f t="array" ref="O518">INDEX($B$508:$G515, INT((COLUMN(N421)-1)/6)+1, MOD(COLUMN(N421)-1,6)+1)</f>
        <v>1</v>
      </c>
      <c r="P518" s="12" cm="1">
        <f t="array" ref="P518">INDEX($B$508:$G515, INT((COLUMN(O421)-1)/6)+1, MOD(COLUMN(O421)-1,6)+1)</f>
        <v>0</v>
      </c>
      <c r="Q518" s="12" cm="1">
        <f t="array" ref="Q518">INDEX($B$508:$G515, INT((COLUMN(P421)-1)/6)+1, MOD(COLUMN(P421)-1,6)+1)</f>
        <v>1</v>
      </c>
      <c r="R518" s="12" cm="1">
        <f t="array" ref="R518">INDEX($B$508:$G515, INT((COLUMN(Q421)-1)/6)+1, MOD(COLUMN(Q421)-1,6)+1)</f>
        <v>0</v>
      </c>
      <c r="S518" s="12" cm="1">
        <f t="array" ref="S518">INDEX($B$508:$G515, INT((COLUMN(R421)-1)/6)+1, MOD(COLUMN(R421)-1,6)+1)</f>
        <v>0</v>
      </c>
      <c r="T518" s="12" cm="1">
        <f t="array" ref="T518">INDEX($B$508:$G515, INT((COLUMN(S421)-1)/6)+1, MOD(COLUMN(S421)-1,6)+1)</f>
        <v>0</v>
      </c>
      <c r="U518" s="12" cm="1">
        <f t="array" ref="U518">INDEX($B$508:$G515, INT((COLUMN(T421)-1)/6)+1, MOD(COLUMN(T421)-1,6)+1)</f>
        <v>0</v>
      </c>
      <c r="V518" s="12" cm="1">
        <f t="array" ref="V518">INDEX($B$508:$G515, INT((COLUMN(U421)-1)/6)+1, MOD(COLUMN(U421)-1,6)+1)</f>
        <v>1</v>
      </c>
      <c r="W518" s="12" cm="1">
        <f t="array" ref="W518">INDEX($B$508:$G515, INT((COLUMN(V421)-1)/6)+1, MOD(COLUMN(V421)-1,6)+1)</f>
        <v>0</v>
      </c>
      <c r="X518" s="12" cm="1">
        <f t="array" ref="X518">INDEX($B$508:$G515, INT((COLUMN(W421)-1)/6)+1, MOD(COLUMN(W421)-1,6)+1)</f>
        <v>1</v>
      </c>
      <c r="Y518" s="12" cm="1">
        <f t="array" ref="Y518">INDEX($B$508:$G515, INT((COLUMN(X421)-1)/6)+1, MOD(COLUMN(X421)-1,6)+1)</f>
        <v>1</v>
      </c>
      <c r="Z518" s="12" cm="1">
        <f t="array" ref="Z518">INDEX($B$508:$G515, INT((COLUMN(Y421)-1)/6)+1, MOD(COLUMN(Y421)-1,6)+1)</f>
        <v>1</v>
      </c>
      <c r="AA518" s="12" cm="1">
        <f t="array" ref="AA518">INDEX($B$508:$G515, INT((COLUMN(Z421)-1)/6)+1, MOD(COLUMN(Z421)-1,6)+1)</f>
        <v>0</v>
      </c>
      <c r="AB518" s="12" cm="1">
        <f t="array" ref="AB518">INDEX($B$508:$G515, INT((COLUMN(AA421)-1)/6)+1, MOD(COLUMN(AA421)-1,6)+1)</f>
        <v>1</v>
      </c>
      <c r="AC518" s="12" cm="1">
        <f t="array" ref="AC518">INDEX($B$508:$G515, INT((COLUMN(AB421)-1)/6)+1, MOD(COLUMN(AB421)-1,6)+1)</f>
        <v>1</v>
      </c>
      <c r="AD518" s="12" cm="1">
        <f t="array" ref="AD518">INDEX($B$508:$G515, INT((COLUMN(AC421)-1)/6)+1, MOD(COLUMN(AC421)-1,6)+1)</f>
        <v>1</v>
      </c>
      <c r="AE518" s="12" cm="1">
        <f t="array" ref="AE518">INDEX($B$508:$G515, INT((COLUMN(AD421)-1)/6)+1, MOD(COLUMN(AD421)-1,6)+1)</f>
        <v>1</v>
      </c>
      <c r="AF518" s="12" cm="1">
        <f t="array" ref="AF518">INDEX($B$508:$G515, INT((COLUMN(AE421)-1)/6)+1, MOD(COLUMN(AE421)-1,6)+1)</f>
        <v>0</v>
      </c>
      <c r="AG518" s="12" cm="1">
        <f t="array" ref="AG518">INDEX($B$508:$G515, INT((COLUMN(AF421)-1)/6)+1, MOD(COLUMN(AF421)-1,6)+1)</f>
        <v>0</v>
      </c>
      <c r="AH518" s="12" cm="1">
        <f t="array" ref="AH518">INDEX($B$508:$G515, INT((COLUMN(AG421)-1)/6)+1, MOD(COLUMN(AG421)-1,6)+1)</f>
        <v>0</v>
      </c>
      <c r="AI518" s="12" cm="1">
        <f t="array" ref="AI518">INDEX($B$508:$G515, INT((COLUMN(AH421)-1)/6)+1, MOD(COLUMN(AH421)-1,6)+1)</f>
        <v>1</v>
      </c>
      <c r="AJ518" s="12" cm="1">
        <f t="array" ref="AJ518">INDEX($B$508:$G515, INT((COLUMN(AI421)-1)/6)+1, MOD(COLUMN(AI421)-1,6)+1)</f>
        <v>1</v>
      </c>
      <c r="AK518" s="12" cm="1">
        <f t="array" ref="AK518">INDEX($B$508:$G515, INT((COLUMN(AJ421)-1)/6)+1, MOD(COLUMN(AJ421)-1,6)+1)</f>
        <v>1</v>
      </c>
      <c r="AL518" s="12" cm="1">
        <f t="array" ref="AL518">INDEX($B$508:$G515, INT((COLUMN(AK421)-1)/6)+1, MOD(COLUMN(AK421)-1,6)+1)</f>
        <v>0</v>
      </c>
      <c r="AM518" s="12" cm="1">
        <f t="array" ref="AM518">INDEX($B$508:$G515, INT((COLUMN(AL421)-1)/6)+1, MOD(COLUMN(AL421)-1,6)+1)</f>
        <v>0</v>
      </c>
      <c r="AN518" s="12" cm="1">
        <f t="array" ref="AN518">INDEX($B$508:$G515, INT((COLUMN(AM421)-1)/6)+1, MOD(COLUMN(AM421)-1,6)+1)</f>
        <v>0</v>
      </c>
      <c r="AO518" s="12" cm="1">
        <f t="array" ref="AO518">INDEX($B$508:$G515, INT((COLUMN(AN421)-1)/6)+1, MOD(COLUMN(AN421)-1,6)+1)</f>
        <v>0</v>
      </c>
      <c r="AP518" s="12" cm="1">
        <f t="array" ref="AP518">INDEX($B$508:$G515, INT((COLUMN(AO421)-1)/6)+1, MOD(COLUMN(AO421)-1,6)+1)</f>
        <v>0</v>
      </c>
      <c r="AQ518" s="12" cm="1">
        <f t="array" ref="AQ518">INDEX($B$508:$G515, INT((COLUMN(AP421)-1)/6)+1, MOD(COLUMN(AP421)-1,6)+1)</f>
        <v>1</v>
      </c>
      <c r="AR518" s="12" cm="1">
        <f t="array" ref="AR518">INDEX($B$508:$G515, INT((COLUMN(AQ421)-1)/6)+1, MOD(COLUMN(AQ421)-1,6)+1)</f>
        <v>1</v>
      </c>
      <c r="AS518" s="12" cm="1">
        <f t="array" ref="AS518">INDEX($B$508:$G515, INT((COLUMN(AR421)-1)/6)+1, MOD(COLUMN(AR421)-1,6)+1)</f>
        <v>1</v>
      </c>
      <c r="AT518" s="12" cm="1">
        <f t="array" ref="AT518">INDEX($B$508:$G515, INT((COLUMN(AS421)-1)/6)+1, MOD(COLUMN(AS421)-1,6)+1)</f>
        <v>0</v>
      </c>
      <c r="AU518" s="12" cm="1">
        <f t="array" ref="AU518">INDEX($B$508:$G515, INT((COLUMN(AT421)-1)/6)+1, MOD(COLUMN(AT421)-1,6)+1)</f>
        <v>0</v>
      </c>
      <c r="AV518" s="12" cm="1">
        <f t="array" ref="AV518">INDEX($B$508:$G515, INT((COLUMN(AU421)-1)/6)+1, MOD(COLUMN(AU421)-1,6)+1)</f>
        <v>1</v>
      </c>
      <c r="AW518" s="12" cm="1">
        <f t="array" ref="AW518">INDEX($B$508:$G515, INT((COLUMN(AV421)-1)/6)+1, MOD(COLUMN(AV421)-1,6)+1)</f>
        <v>0</v>
      </c>
    </row>
    <row r="520" spans="1:49">
      <c r="A520" s="23" t="s">
        <v>130</v>
      </c>
    </row>
    <row r="522" spans="1:49">
      <c r="A522" s="12" t="s">
        <v>3</v>
      </c>
      <c r="B522" s="12">
        <v>1</v>
      </c>
      <c r="C522" s="12">
        <v>2</v>
      </c>
      <c r="D522" s="12">
        <v>3</v>
      </c>
      <c r="E522" s="12">
        <v>4</v>
      </c>
      <c r="F522" s="12">
        <v>5</v>
      </c>
      <c r="G522" s="12">
        <v>6</v>
      </c>
      <c r="H522" s="12">
        <v>7</v>
      </c>
      <c r="I522" s="12">
        <v>8</v>
      </c>
      <c r="J522" s="12">
        <v>9</v>
      </c>
      <c r="K522" s="12">
        <v>10</v>
      </c>
      <c r="L522" s="12">
        <v>11</v>
      </c>
      <c r="M522" s="12">
        <v>12</v>
      </c>
      <c r="N522" s="12">
        <v>13</v>
      </c>
      <c r="O522" s="12">
        <v>14</v>
      </c>
      <c r="P522" s="12">
        <v>15</v>
      </c>
      <c r="Q522" s="12">
        <v>16</v>
      </c>
      <c r="R522" s="12">
        <v>17</v>
      </c>
      <c r="S522" s="12">
        <v>18</v>
      </c>
      <c r="T522" s="12">
        <v>19</v>
      </c>
      <c r="U522" s="12">
        <v>20</v>
      </c>
      <c r="V522" s="12">
        <v>21</v>
      </c>
      <c r="W522" s="12">
        <v>22</v>
      </c>
      <c r="X522" s="12">
        <v>23</v>
      </c>
      <c r="Y522" s="12">
        <v>24</v>
      </c>
      <c r="Z522" s="12">
        <v>25</v>
      </c>
      <c r="AA522" s="12">
        <v>26</v>
      </c>
      <c r="AB522" s="12">
        <v>27</v>
      </c>
      <c r="AC522" s="12">
        <v>28</v>
      </c>
      <c r="AD522" s="12">
        <v>29</v>
      </c>
      <c r="AE522" s="12">
        <v>30</v>
      </c>
      <c r="AF522" s="12">
        <v>31</v>
      </c>
      <c r="AG522" s="12">
        <v>32</v>
      </c>
    </row>
    <row r="523" spans="1:49">
      <c r="A523" s="12" t="s">
        <v>132</v>
      </c>
      <c r="B523" s="12" cm="1">
        <f t="array" ref="B523">INDEX($B$36:$I$43, INT((COLUMN(A476)-1)/8)+1, MOD(COLUMN(A476)-1,8)+1)</f>
        <v>1</v>
      </c>
      <c r="C523" s="12" cm="1">
        <f t="array" ref="C523">INDEX($B$36:$I$43, INT((COLUMN(B476)-1)/8)+1, MOD(COLUMN(B476)-1,8)+1)</f>
        <v>0</v>
      </c>
      <c r="D523" s="12" cm="1">
        <f t="array" ref="D523">INDEX($B$36:$I$43, INT((COLUMN(C476)-1)/8)+1, MOD(COLUMN(C476)-1,8)+1)</f>
        <v>0</v>
      </c>
      <c r="E523" s="12" cm="1">
        <f t="array" ref="E523">INDEX($B$36:$I$43, INT((COLUMN(D476)-1)/8)+1, MOD(COLUMN(D476)-1,8)+1)</f>
        <v>1</v>
      </c>
      <c r="F523" s="12" cm="1">
        <f t="array" ref="F523">INDEX($B$36:$I$43, INT((COLUMN(E476)-1)/8)+1, MOD(COLUMN(E476)-1,8)+1)</f>
        <v>1</v>
      </c>
      <c r="G523" s="12" cm="1">
        <f t="array" ref="G523">INDEX($B$36:$I$43, INT((COLUMN(F476)-1)/8)+1, MOD(COLUMN(F476)-1,8)+1)</f>
        <v>0</v>
      </c>
      <c r="H523" s="12" cm="1">
        <f t="array" ref="H523">INDEX($B$36:$I$43, INT((COLUMN(G476)-1)/8)+1, MOD(COLUMN(G476)-1,8)+1)</f>
        <v>0</v>
      </c>
      <c r="I523" s="12" cm="1">
        <f t="array" ref="I523">INDEX($B$36:$I$43, INT((COLUMN(H476)-1)/8)+1, MOD(COLUMN(H476)-1,8)+1)</f>
        <v>0</v>
      </c>
      <c r="J523" s="12" cm="1">
        <f t="array" ref="J523">INDEX($B$36:$I$43, INT((COLUMN(I476)-1)/8)+1, MOD(COLUMN(I476)-1,8)+1)</f>
        <v>1</v>
      </c>
      <c r="K523" s="12" cm="1">
        <f t="array" ref="K523">INDEX($B$36:$I$43, INT((COLUMN(J476)-1)/8)+1, MOD(COLUMN(J476)-1,8)+1)</f>
        <v>1</v>
      </c>
      <c r="L523" s="12" cm="1">
        <f t="array" ref="L523">INDEX($B$36:$I$43, INT((COLUMN(K476)-1)/8)+1, MOD(COLUMN(K476)-1,8)+1)</f>
        <v>1</v>
      </c>
      <c r="M523" s="12" cm="1">
        <f t="array" ref="M523">INDEX($B$36:$I$43, INT((COLUMN(L476)-1)/8)+1, MOD(COLUMN(L476)-1,8)+1)</f>
        <v>1</v>
      </c>
      <c r="N523" s="12" cm="1">
        <f t="array" ref="N523">INDEX($B$36:$I$43, INT((COLUMN(M476)-1)/8)+1, MOD(COLUMN(M476)-1,8)+1)</f>
        <v>1</v>
      </c>
      <c r="O523" s="12" cm="1">
        <f t="array" ref="O523">INDEX($B$36:$I$43, INT((COLUMN(N476)-1)/8)+1, MOD(COLUMN(N476)-1,8)+1)</f>
        <v>1</v>
      </c>
      <c r="P523" s="12" cm="1">
        <f t="array" ref="P523">INDEX($B$36:$I$43, INT((COLUMN(O476)-1)/8)+1, MOD(COLUMN(O476)-1,8)+1)</f>
        <v>1</v>
      </c>
      <c r="Q523" s="12" cm="1">
        <f t="array" ref="Q523">INDEX($B$36:$I$43, INT((COLUMN(P476)-1)/8)+1, MOD(COLUMN(P476)-1,8)+1)</f>
        <v>0</v>
      </c>
      <c r="R523" s="12" cm="1">
        <f t="array" ref="R523">INDEX($B$36:$I$43, INT((COLUMN(Q476)-1)/8)+1, MOD(COLUMN(Q476)-1,8)+1)</f>
        <v>1</v>
      </c>
      <c r="S523" s="12" cm="1">
        <f t="array" ref="S523">INDEX($B$36:$I$43, INT((COLUMN(R476)-1)/8)+1, MOD(COLUMN(R476)-1,8)+1)</f>
        <v>1</v>
      </c>
      <c r="T523" s="12" cm="1">
        <f t="array" ref="T523">INDEX($B$36:$I$43, INT((COLUMN(S476)-1)/8)+1, MOD(COLUMN(S476)-1,8)+1)</f>
        <v>0</v>
      </c>
      <c r="U523" s="12" cm="1">
        <f t="array" ref="U523">INDEX($B$36:$I$43, INT((COLUMN(T476)-1)/8)+1, MOD(COLUMN(T476)-1,8)+1)</f>
        <v>0</v>
      </c>
      <c r="V523" s="12" cm="1">
        <f t="array" ref="V523">INDEX($B$36:$I$43, INT((COLUMN(U476)-1)/8)+1, MOD(COLUMN(U476)-1,8)+1)</f>
        <v>1</v>
      </c>
      <c r="W523" s="12" cm="1">
        <f t="array" ref="W523">INDEX($B$36:$I$43, INT((COLUMN(V476)-1)/8)+1, MOD(COLUMN(V476)-1,8)+1)</f>
        <v>1</v>
      </c>
      <c r="X523" s="12" cm="1">
        <f t="array" ref="X523">INDEX($B$36:$I$43, INT((COLUMN(W476)-1)/8)+1, MOD(COLUMN(W476)-1,8)+1)</f>
        <v>0</v>
      </c>
      <c r="Y523" s="12" cm="1">
        <f t="array" ref="Y523">INDEX($B$36:$I$43, INT((COLUMN(X476)-1)/8)+1, MOD(COLUMN(X476)-1,8)+1)</f>
        <v>0</v>
      </c>
      <c r="Z523" s="12" cm="1">
        <f t="array" ref="Z523">INDEX($B$36:$I$43, INT((COLUMN(Y476)-1)/8)+1, MOD(COLUMN(Y476)-1,8)+1)</f>
        <v>0</v>
      </c>
      <c r="AA523" s="12" cm="1">
        <f t="array" ref="AA523">INDEX($B$36:$I$43, INT((COLUMN(Z476)-1)/8)+1, MOD(COLUMN(Z476)-1,8)+1)</f>
        <v>0</v>
      </c>
      <c r="AB523" s="12" cm="1">
        <f t="array" ref="AB523">INDEX($B$36:$I$43, INT((COLUMN(AA476)-1)/8)+1, MOD(COLUMN(AA476)-1,8)+1)</f>
        <v>0</v>
      </c>
      <c r="AC523" s="12" cm="1">
        <f t="array" ref="AC523">INDEX($B$36:$I$43, INT((COLUMN(AB476)-1)/8)+1, MOD(COLUMN(AB476)-1,8)+1)</f>
        <v>0</v>
      </c>
      <c r="AD523" s="12" cm="1">
        <f t="array" ref="AD523">INDEX($B$36:$I$43, INT((COLUMN(AC476)-1)/8)+1, MOD(COLUMN(AC476)-1,8)+1)</f>
        <v>0</v>
      </c>
      <c r="AE523" s="12" cm="1">
        <f t="array" ref="AE523">INDEX($B$36:$I$43, INT((COLUMN(AD476)-1)/8)+1, MOD(COLUMN(AD476)-1,8)+1)</f>
        <v>0</v>
      </c>
      <c r="AF523" s="12" cm="1">
        <f t="array" ref="AF523">INDEX($B$36:$I$43, INT((COLUMN(AE476)-1)/8)+1, MOD(COLUMN(AE476)-1,8)+1)</f>
        <v>0</v>
      </c>
      <c r="AG523" s="12" cm="1">
        <f t="array" ref="AG523">INDEX($B$36:$I$43, INT((COLUMN(AF476)-1)/8)+1, MOD(COLUMN(AF476)-1,8)+1)</f>
        <v>0</v>
      </c>
    </row>
    <row r="524" spans="1:49">
      <c r="A524" s="12" t="s">
        <v>133</v>
      </c>
      <c r="B524" s="12" cm="1">
        <f t="array" ref="B524">INDEX($B$36:$I$43, INT((COLUMN(AG476)-1)/8)+1, MOD(COLUMN(AG476)-1,8)+1)</f>
        <v>1</v>
      </c>
      <c r="C524" s="12" cm="1">
        <f t="array" ref="C524">INDEX($B$36:$I$43, INT((COLUMN(AH476)-1)/8)+1, MOD(COLUMN(AH476)-1,8)+1)</f>
        <v>1</v>
      </c>
      <c r="D524" s="12" cm="1">
        <f t="array" ref="D524">INDEX($B$36:$I$43, INT((COLUMN(AI476)-1)/8)+1, MOD(COLUMN(AI476)-1,8)+1)</f>
        <v>1</v>
      </c>
      <c r="E524" s="12" cm="1">
        <f t="array" ref="E524">INDEX($B$36:$I$43, INT((COLUMN(AJ476)-1)/8)+1, MOD(COLUMN(AJ476)-1,8)+1)</f>
        <v>0</v>
      </c>
      <c r="F524" s="12" cm="1">
        <f t="array" ref="F524">INDEX($B$36:$I$43, INT((COLUMN(AK476)-1)/8)+1, MOD(COLUMN(AK476)-1,8)+1)</f>
        <v>0</v>
      </c>
      <c r="G524" s="12" cm="1">
        <f t="array" ref="G524">INDEX($B$36:$I$43, INT((COLUMN(AL476)-1)/8)+1, MOD(COLUMN(AL476)-1,8)+1)</f>
        <v>0</v>
      </c>
      <c r="H524" s="12" cm="1">
        <f t="array" ref="H524">INDEX($B$36:$I$43, INT((COLUMN(AM476)-1)/8)+1, MOD(COLUMN(AM476)-1,8)+1)</f>
        <v>0</v>
      </c>
      <c r="I524" s="12" cm="1">
        <f t="array" ref="I524">INDEX($B$36:$I$43, INT((COLUMN(AN476)-1)/8)+1, MOD(COLUMN(AN476)-1,8)+1)</f>
        <v>0</v>
      </c>
      <c r="J524" s="12" cm="1">
        <f t="array" ref="J524">INDEX($B$36:$I$43, INT((COLUMN(AO476)-1)/8)+1, MOD(COLUMN(AO476)-1,8)+1)</f>
        <v>0</v>
      </c>
      <c r="K524" s="12" cm="1">
        <f t="array" ref="K524">INDEX($B$36:$I$43, INT((COLUMN(AP476)-1)/8)+1, MOD(COLUMN(AP476)-1,8)+1)</f>
        <v>1</v>
      </c>
      <c r="L524" s="12" cm="1">
        <f t="array" ref="L524">INDEX($B$36:$I$43, INT((COLUMN(AQ476)-1)/8)+1, MOD(COLUMN(AQ476)-1,8)+1)</f>
        <v>0</v>
      </c>
      <c r="M524" s="12" cm="1">
        <f t="array" ref="M524">INDEX($B$36:$I$43, INT((COLUMN(AR476)-1)/8)+1, MOD(COLUMN(AR476)-1,8)+1)</f>
        <v>1</v>
      </c>
      <c r="N524" s="12" cm="1">
        <f t="array" ref="N524">INDEX($B$36:$I$43, INT((COLUMN(AS476)-1)/8)+1, MOD(COLUMN(AS476)-1,8)+1)</f>
        <v>0</v>
      </c>
      <c r="O524" s="12" cm="1">
        <f t="array" ref="O524">INDEX($B$36:$I$43, INT((COLUMN(AT476)-1)/8)+1, MOD(COLUMN(AT476)-1,8)+1)</f>
        <v>1</v>
      </c>
      <c r="P524" s="12" cm="1">
        <f t="array" ref="P524">INDEX($B$36:$I$43, INT((COLUMN(AU476)-1)/8)+1, MOD(COLUMN(AU476)-1,8)+1)</f>
        <v>0</v>
      </c>
      <c r="Q524" s="12" cm="1">
        <f t="array" ref="Q524">INDEX($B$36:$I$43, INT((COLUMN(AV476)-1)/8)+1, MOD(COLUMN(AV476)-1,8)+1)</f>
        <v>0</v>
      </c>
      <c r="R524" s="12" cm="1">
        <f t="array" ref="R524">INDEX($B$36:$I$43, INT((COLUMN(AW476)-1)/8)+1, MOD(COLUMN(AW476)-1,8)+1)</f>
        <v>1</v>
      </c>
      <c r="S524" s="12" cm="1">
        <f t="array" ref="S524">INDEX($B$36:$I$43, INT((COLUMN(AX476)-1)/8)+1, MOD(COLUMN(AX476)-1,8)+1)</f>
        <v>1</v>
      </c>
      <c r="T524" s="12" cm="1">
        <f t="array" ref="T524">INDEX($B$36:$I$43, INT((COLUMN(AY476)-1)/8)+1, MOD(COLUMN(AY476)-1,8)+1)</f>
        <v>1</v>
      </c>
      <c r="U524" s="12" cm="1">
        <f t="array" ref="U524">INDEX($B$36:$I$43, INT((COLUMN(AZ476)-1)/8)+1, MOD(COLUMN(AZ476)-1,8)+1)</f>
        <v>1</v>
      </c>
      <c r="V524" s="12" cm="1">
        <f t="array" ref="V524">INDEX($B$36:$I$43, INT((COLUMN(BA476)-1)/8)+1, MOD(COLUMN(BA476)-1,8)+1)</f>
        <v>0</v>
      </c>
      <c r="W524" s="12" cm="1">
        <f t="array" ref="W524">INDEX($B$36:$I$43, INT((COLUMN(BB476)-1)/8)+1, MOD(COLUMN(BB476)-1,8)+1)</f>
        <v>0</v>
      </c>
      <c r="X524" s="12" cm="1">
        <f t="array" ref="X524">INDEX($B$36:$I$43, INT((COLUMN(BC476)-1)/8)+1, MOD(COLUMN(BC476)-1,8)+1)</f>
        <v>0</v>
      </c>
      <c r="Y524" s="12" cm="1">
        <f t="array" ref="Y524">INDEX($B$36:$I$43, INT((COLUMN(BD476)-1)/8)+1, MOD(COLUMN(BD476)-1,8)+1)</f>
        <v>0</v>
      </c>
      <c r="Z524" s="12" cm="1">
        <f t="array" ref="Z524">INDEX($B$36:$I$43, INT((COLUMN(BE476)-1)/8)+1, MOD(COLUMN(BE476)-1,8)+1)</f>
        <v>1</v>
      </c>
      <c r="AA524" s="12" cm="1">
        <f t="array" ref="AA524">INDEX($B$36:$I$43, INT((COLUMN(BF476)-1)/8)+1, MOD(COLUMN(BF476)-1,8)+1)</f>
        <v>0</v>
      </c>
      <c r="AB524" s="12" cm="1">
        <f t="array" ref="AB524">INDEX($B$36:$I$43, INT((COLUMN(BG476)-1)/8)+1, MOD(COLUMN(BG476)-1,8)+1)</f>
        <v>1</v>
      </c>
      <c r="AC524" s="12" cm="1">
        <f t="array" ref="AC524">INDEX($B$36:$I$43, INT((COLUMN(BH476)-1)/8)+1, MOD(COLUMN(BH476)-1,8)+1)</f>
        <v>0</v>
      </c>
      <c r="AD524" s="12" cm="1">
        <f t="array" ref="AD524">INDEX($B$36:$I$43, INT((COLUMN(BI476)-1)/8)+1, MOD(COLUMN(BI476)-1,8)+1)</f>
        <v>1</v>
      </c>
      <c r="AE524" s="12" cm="1">
        <f t="array" ref="AE524">INDEX($B$36:$I$43, INT((COLUMN(BJ476)-1)/8)+1, MOD(COLUMN(BJ476)-1,8)+1)</f>
        <v>0</v>
      </c>
      <c r="AF524" s="12" cm="1">
        <f t="array" ref="AF524">INDEX($B$36:$I$43, INT((COLUMN(BK476)-1)/8)+1, MOD(COLUMN(BK476)-1,8)+1)</f>
        <v>1</v>
      </c>
      <c r="AG524" s="12" cm="1">
        <f t="array" ref="AG524">INDEX($B$36:$I$43, INT((COLUMN(BL476)-1)/8)+1, MOD(COLUMN(BL476)-1,8)+1)</f>
        <v>0</v>
      </c>
    </row>
    <row r="526" spans="1:49">
      <c r="A526" s="21" t="s">
        <v>131</v>
      </c>
    </row>
    <row r="527" spans="1:49">
      <c r="A527" s="5" t="s">
        <v>134</v>
      </c>
      <c r="B527" s="12" cm="1">
        <f t="array" ref="B527">INDEX($B$524:$AG$524, T25)</f>
        <v>0</v>
      </c>
      <c r="C527" s="12" cm="1">
        <f t="array" ref="C527">INDEX($B$524:$AG$524, U25)</f>
        <v>1</v>
      </c>
      <c r="D527" s="12" cm="1">
        <f t="array" ref="D527">INDEX($B$524:$AG$524, V25)</f>
        <v>1</v>
      </c>
      <c r="E527" s="12" cm="1">
        <f t="array" ref="E527">INDEX($B$524:$AG$524, W25)</f>
        <v>1</v>
      </c>
      <c r="F527" s="12" cm="1">
        <f t="array" ref="F527">INDEX($B$524:$AG$524, X25)</f>
        <v>0</v>
      </c>
      <c r="G527" s="12" cm="1">
        <f t="array" ref="G527">INDEX($B$524:$AG$524, Y25)</f>
        <v>0</v>
      </c>
    </row>
    <row r="528" spans="1:49">
      <c r="B528" s="12" cm="1">
        <f t="array" ref="B528">INDEX($B$524:$AG$524, T26)</f>
        <v>0</v>
      </c>
      <c r="C528" s="12" cm="1">
        <f t="array" ref="C528">INDEX($B$524:$AG$524, U26)</f>
        <v>0</v>
      </c>
      <c r="D528" s="12" cm="1">
        <f t="array" ref="D528">INDEX($B$524:$AG$524, V26)</f>
        <v>0</v>
      </c>
      <c r="E528" s="12" cm="1">
        <f t="array" ref="E528">INDEX($B$524:$AG$524, W26)</f>
        <v>0</v>
      </c>
      <c r="F528" s="12" cm="1">
        <f t="array" ref="F528">INDEX($B$524:$AG$524, X26)</f>
        <v>0</v>
      </c>
      <c r="G528" s="12" cm="1">
        <f t="array" ref="G528">INDEX($B$524:$AG$524, Y26)</f>
        <v>0</v>
      </c>
    </row>
    <row r="529" spans="1:49">
      <c r="B529" s="12" cm="1">
        <f t="array" ref="B529">INDEX($B$524:$AG$524, T27)</f>
        <v>0</v>
      </c>
      <c r="C529" s="12" cm="1">
        <f t="array" ref="C529">INDEX($B$524:$AG$524, U27)</f>
        <v>0</v>
      </c>
      <c r="D529" s="12" cm="1">
        <f t="array" ref="D529">INDEX($B$524:$AG$524, V27)</f>
        <v>1</v>
      </c>
      <c r="E529" s="12" cm="1">
        <f t="array" ref="E529">INDEX($B$524:$AG$524, W27)</f>
        <v>0</v>
      </c>
      <c r="F529" s="12" cm="1">
        <f t="array" ref="F529">INDEX($B$524:$AG$524, X27)</f>
        <v>1</v>
      </c>
      <c r="G529" s="12" cm="1">
        <f t="array" ref="G529">INDEX($B$524:$AG$524, Y27)</f>
        <v>0</v>
      </c>
    </row>
    <row r="530" spans="1:49">
      <c r="B530" s="12" cm="1">
        <f t="array" ref="B530">INDEX($B$524:$AG$524, T28)</f>
        <v>1</v>
      </c>
      <c r="C530" s="12" cm="1">
        <f t="array" ref="C530">INDEX($B$524:$AG$524, U28)</f>
        <v>0</v>
      </c>
      <c r="D530" s="12" cm="1">
        <f t="array" ref="D530">INDEX($B$524:$AG$524, V28)</f>
        <v>1</v>
      </c>
      <c r="E530" s="12" cm="1">
        <f t="array" ref="E530">INDEX($B$524:$AG$524, W28)</f>
        <v>0</v>
      </c>
      <c r="F530" s="12" cm="1">
        <f t="array" ref="F530">INDEX($B$524:$AG$524, X28)</f>
        <v>0</v>
      </c>
      <c r="G530" s="12" cm="1">
        <f t="array" ref="G530">INDEX($B$524:$AG$524, Y28)</f>
        <v>1</v>
      </c>
    </row>
    <row r="531" spans="1:49">
      <c r="B531" s="12" cm="1">
        <f t="array" ref="B531">INDEX($B$524:$AG$524, T29)</f>
        <v>0</v>
      </c>
      <c r="C531" s="12" cm="1">
        <f t="array" ref="C531">INDEX($B$524:$AG$524, U29)</f>
        <v>1</v>
      </c>
      <c r="D531" s="12" cm="1">
        <f t="array" ref="D531">INDEX($B$524:$AG$524, V29)</f>
        <v>1</v>
      </c>
      <c r="E531" s="12" cm="1">
        <f t="array" ref="E531">INDEX($B$524:$AG$524, W29)</f>
        <v>1</v>
      </c>
      <c r="F531" s="12" cm="1">
        <f t="array" ref="F531">INDEX($B$524:$AG$524, X29)</f>
        <v>1</v>
      </c>
      <c r="G531" s="12" cm="1">
        <f t="array" ref="G531">INDEX($B$524:$AG$524, Y29)</f>
        <v>0</v>
      </c>
    </row>
    <row r="532" spans="1:49">
      <c r="B532" s="12" cm="1">
        <f t="array" ref="B532">INDEX($B$524:$AG$524, T30)</f>
        <v>1</v>
      </c>
      <c r="C532" s="12" cm="1">
        <f t="array" ref="C532">INDEX($B$524:$AG$524, U30)</f>
        <v>0</v>
      </c>
      <c r="D532" s="12" cm="1">
        <f t="array" ref="D532">INDEX($B$524:$AG$524, V30)</f>
        <v>0</v>
      </c>
      <c r="E532" s="12" cm="1">
        <f t="array" ref="E532">INDEX($B$524:$AG$524, W30)</f>
        <v>0</v>
      </c>
      <c r="F532" s="12" cm="1">
        <f t="array" ref="F532">INDEX($B$524:$AG$524, X30)</f>
        <v>0</v>
      </c>
      <c r="G532" s="12" cm="1">
        <f t="array" ref="G532">INDEX($B$524:$AG$524, Y30)</f>
        <v>1</v>
      </c>
    </row>
    <row r="533" spans="1:49">
      <c r="B533" s="12" cm="1">
        <f t="array" ref="B533">INDEX($B$524:$AG$524, T31)</f>
        <v>0</v>
      </c>
      <c r="C533" s="12" cm="1">
        <f t="array" ref="C533">INDEX($B$524:$AG$524, U31)</f>
        <v>1</v>
      </c>
      <c r="D533" s="12" cm="1">
        <f t="array" ref="D533">INDEX($B$524:$AG$524, V31)</f>
        <v>0</v>
      </c>
      <c r="E533" s="12" cm="1">
        <f t="array" ref="E533">INDEX($B$524:$AG$524, W31)</f>
        <v>1</v>
      </c>
      <c r="F533" s="12" cm="1">
        <f t="array" ref="F533">INDEX($B$524:$AG$524, X31)</f>
        <v>0</v>
      </c>
      <c r="G533" s="12" cm="1">
        <f t="array" ref="G533">INDEX($B$524:$AG$524, Y31)</f>
        <v>1</v>
      </c>
    </row>
    <row r="534" spans="1:49">
      <c r="B534" s="12" cm="1">
        <f t="array" ref="B534">INDEX($B$524:$AG$524, T32)</f>
        <v>0</v>
      </c>
      <c r="C534" s="12" cm="1">
        <f t="array" ref="C534">INDEX($B$524:$AG$524, U32)</f>
        <v>1</v>
      </c>
      <c r="D534" s="12" cm="1">
        <f t="array" ref="D534">INDEX($B$524:$AG$524, V32)</f>
        <v>0</v>
      </c>
      <c r="E534" s="12" cm="1">
        <f t="array" ref="E534">INDEX($B$524:$AG$524, W32)</f>
        <v>1</v>
      </c>
      <c r="F534" s="12" cm="1">
        <f t="array" ref="F534">INDEX($B$524:$AG$524, X32)</f>
        <v>0</v>
      </c>
      <c r="G534" s="12" cm="1">
        <f t="array" ref="G534">INDEX($B$524:$AG$524, Y32)</f>
        <v>1</v>
      </c>
    </row>
    <row r="536" spans="1:49">
      <c r="A536" s="12" t="s">
        <v>3</v>
      </c>
      <c r="B536" s="12">
        <v>1</v>
      </c>
      <c r="C536" s="12">
        <v>2</v>
      </c>
      <c r="D536" s="12">
        <v>3</v>
      </c>
      <c r="E536" s="12">
        <v>4</v>
      </c>
      <c r="F536" s="12">
        <v>5</v>
      </c>
      <c r="G536" s="12">
        <v>6</v>
      </c>
      <c r="H536" s="12">
        <v>7</v>
      </c>
      <c r="I536" s="12">
        <v>8</v>
      </c>
      <c r="J536" s="12">
        <v>9</v>
      </c>
      <c r="K536" s="12">
        <v>10</v>
      </c>
      <c r="L536" s="12">
        <v>11</v>
      </c>
      <c r="M536" s="12">
        <v>12</v>
      </c>
      <c r="N536" s="12">
        <v>13</v>
      </c>
      <c r="O536" s="12">
        <v>14</v>
      </c>
      <c r="P536" s="12">
        <v>15</v>
      </c>
      <c r="Q536" s="12">
        <v>16</v>
      </c>
      <c r="R536" s="12">
        <v>17</v>
      </c>
      <c r="S536" s="12">
        <v>18</v>
      </c>
      <c r="T536" s="12">
        <v>19</v>
      </c>
      <c r="U536" s="12">
        <v>20</v>
      </c>
      <c r="V536" s="12">
        <v>21</v>
      </c>
      <c r="W536" s="12">
        <v>22</v>
      </c>
      <c r="X536" s="12">
        <v>23</v>
      </c>
      <c r="Y536" s="12">
        <v>24</v>
      </c>
      <c r="Z536" s="12">
        <v>25</v>
      </c>
      <c r="AA536" s="12">
        <v>26</v>
      </c>
      <c r="AB536" s="12">
        <v>27</v>
      </c>
      <c r="AC536" s="12">
        <v>28</v>
      </c>
      <c r="AD536" s="12">
        <v>29</v>
      </c>
      <c r="AE536" s="12">
        <v>30</v>
      </c>
      <c r="AF536" s="12">
        <v>31</v>
      </c>
      <c r="AG536" s="12">
        <v>32</v>
      </c>
      <c r="AH536" s="12">
        <v>33</v>
      </c>
      <c r="AI536" s="12">
        <v>34</v>
      </c>
      <c r="AJ536" s="12">
        <v>35</v>
      </c>
      <c r="AK536" s="12">
        <v>36</v>
      </c>
      <c r="AL536" s="12">
        <v>37</v>
      </c>
      <c r="AM536" s="12">
        <v>38</v>
      </c>
      <c r="AN536" s="12">
        <v>39</v>
      </c>
      <c r="AO536" s="12">
        <v>40</v>
      </c>
      <c r="AP536" s="12">
        <v>41</v>
      </c>
      <c r="AQ536" s="12">
        <v>42</v>
      </c>
      <c r="AR536" s="12">
        <v>43</v>
      </c>
      <c r="AS536" s="12">
        <v>44</v>
      </c>
      <c r="AT536" s="12">
        <v>45</v>
      </c>
      <c r="AU536" s="12">
        <v>46</v>
      </c>
      <c r="AV536" s="12">
        <v>47</v>
      </c>
      <c r="AW536" s="12">
        <v>48</v>
      </c>
    </row>
    <row r="537" spans="1:49">
      <c r="A537" s="7" t="s">
        <v>134</v>
      </c>
      <c r="B537" s="16" cm="1">
        <f t="array" ref="B537">INDEX($B$527:$G534, INT((COLUMN(A393)-1)/6)+1, MOD(COLUMN(A393)-1,6)+1)</f>
        <v>0</v>
      </c>
      <c r="C537" s="16" cm="1">
        <f t="array" ref="C537">INDEX($B$527:$G534, INT((COLUMN(B393)-1)/6)+1, MOD(COLUMN(B393)-1,6)+1)</f>
        <v>1</v>
      </c>
      <c r="D537" s="16" cm="1">
        <f t="array" ref="D537">INDEX($B$527:$G534, INT((COLUMN(C393)-1)/6)+1, MOD(COLUMN(C393)-1,6)+1)</f>
        <v>1</v>
      </c>
      <c r="E537" s="16" cm="1">
        <f t="array" ref="E537">INDEX($B$527:$G534, INT((COLUMN(D393)-1)/6)+1, MOD(COLUMN(D393)-1,6)+1)</f>
        <v>1</v>
      </c>
      <c r="F537" s="16" cm="1">
        <f t="array" ref="F537">INDEX($B$527:$G534, INT((COLUMN(E393)-1)/6)+1, MOD(COLUMN(E393)-1,6)+1)</f>
        <v>0</v>
      </c>
      <c r="G537" s="16" cm="1">
        <f t="array" ref="G537">INDEX($B$527:$G534, INT((COLUMN(F393)-1)/6)+1, MOD(COLUMN(F393)-1,6)+1)</f>
        <v>0</v>
      </c>
      <c r="H537" s="16" cm="1">
        <f t="array" ref="H537">INDEX($B$527:$G534, INT((COLUMN(G393)-1)/6)+1, MOD(COLUMN(G393)-1,6)+1)</f>
        <v>0</v>
      </c>
      <c r="I537" s="16" cm="1">
        <f t="array" ref="I537">INDEX($B$527:$G534, INT((COLUMN(H393)-1)/6)+1, MOD(COLUMN(H393)-1,6)+1)</f>
        <v>0</v>
      </c>
      <c r="J537" s="16" cm="1">
        <f t="array" ref="J537">INDEX($B$527:$G534, INT((COLUMN(I393)-1)/6)+1, MOD(COLUMN(I393)-1,6)+1)</f>
        <v>0</v>
      </c>
      <c r="K537" s="16" cm="1">
        <f t="array" ref="K537">INDEX($B$527:$G534, INT((COLUMN(J393)-1)/6)+1, MOD(COLUMN(J393)-1,6)+1)</f>
        <v>0</v>
      </c>
      <c r="L537" s="16" cm="1">
        <f t="array" ref="L537">INDEX($B$527:$G534, INT((COLUMN(K393)-1)/6)+1, MOD(COLUMN(K393)-1,6)+1)</f>
        <v>0</v>
      </c>
      <c r="M537" s="16" cm="1">
        <f t="array" ref="M537">INDEX($B$527:$G534, INT((COLUMN(L393)-1)/6)+1, MOD(COLUMN(L393)-1,6)+1)</f>
        <v>0</v>
      </c>
      <c r="N537" s="16" cm="1">
        <f t="array" ref="N537">INDEX($B$527:$G534, INT((COLUMN(M393)-1)/6)+1, MOD(COLUMN(M393)-1,6)+1)</f>
        <v>0</v>
      </c>
      <c r="O537" s="16" cm="1">
        <f t="array" ref="O537">INDEX($B$527:$G534, INT((COLUMN(N393)-1)/6)+1, MOD(COLUMN(N393)-1,6)+1)</f>
        <v>0</v>
      </c>
      <c r="P537" s="16" cm="1">
        <f t="array" ref="P537">INDEX($B$527:$G534, INT((COLUMN(O393)-1)/6)+1, MOD(COLUMN(O393)-1,6)+1)</f>
        <v>1</v>
      </c>
      <c r="Q537" s="16" cm="1">
        <f t="array" ref="Q537">INDEX($B$527:$G534, INT((COLUMN(P393)-1)/6)+1, MOD(COLUMN(P393)-1,6)+1)</f>
        <v>0</v>
      </c>
      <c r="R537" s="16" cm="1">
        <f t="array" ref="R537">INDEX($B$527:$G534, INT((COLUMN(Q393)-1)/6)+1, MOD(COLUMN(Q393)-1,6)+1)</f>
        <v>1</v>
      </c>
      <c r="S537" s="16" cm="1">
        <f t="array" ref="S537">INDEX($B$527:$G534, INT((COLUMN(R393)-1)/6)+1, MOD(COLUMN(R393)-1,6)+1)</f>
        <v>0</v>
      </c>
      <c r="T537" s="16" cm="1">
        <f t="array" ref="T537">INDEX($B$527:$G534, INT((COLUMN(S393)-1)/6)+1, MOD(COLUMN(S393)-1,6)+1)</f>
        <v>1</v>
      </c>
      <c r="U537" s="16" cm="1">
        <f t="array" ref="U537">INDEX($B$527:$G534, INT((COLUMN(T393)-1)/6)+1, MOD(COLUMN(T393)-1,6)+1)</f>
        <v>0</v>
      </c>
      <c r="V537" s="16" cm="1">
        <f t="array" ref="V537">INDEX($B$527:$G534, INT((COLUMN(U393)-1)/6)+1, MOD(COLUMN(U393)-1,6)+1)</f>
        <v>1</v>
      </c>
      <c r="W537" s="16" cm="1">
        <f t="array" ref="W537">INDEX($B$527:$G534, INT((COLUMN(V393)-1)/6)+1, MOD(COLUMN(V393)-1,6)+1)</f>
        <v>0</v>
      </c>
      <c r="X537" s="16" cm="1">
        <f t="array" ref="X537">INDEX($B$527:$G534, INT((COLUMN(W393)-1)/6)+1, MOD(COLUMN(W393)-1,6)+1)</f>
        <v>0</v>
      </c>
      <c r="Y537" s="16" cm="1">
        <f t="array" ref="Y537">INDEX($B$527:$G534, INT((COLUMN(X393)-1)/6)+1, MOD(COLUMN(X393)-1,6)+1)</f>
        <v>1</v>
      </c>
      <c r="Z537" s="16" cm="1">
        <f t="array" ref="Z537">INDEX($B$527:$G534, INT((COLUMN(Y393)-1)/6)+1, MOD(COLUMN(Y393)-1,6)+1)</f>
        <v>0</v>
      </c>
      <c r="AA537" s="16" cm="1">
        <f t="array" ref="AA537">INDEX($B$527:$G534, INT((COLUMN(Z393)-1)/6)+1, MOD(COLUMN(Z393)-1,6)+1)</f>
        <v>1</v>
      </c>
      <c r="AB537" s="16" cm="1">
        <f t="array" ref="AB537">INDEX($B$527:$G534, INT((COLUMN(AA393)-1)/6)+1, MOD(COLUMN(AA393)-1,6)+1)</f>
        <v>1</v>
      </c>
      <c r="AC537" s="16" cm="1">
        <f t="array" ref="AC537">INDEX($B$527:$G534, INT((COLUMN(AB393)-1)/6)+1, MOD(COLUMN(AB393)-1,6)+1)</f>
        <v>1</v>
      </c>
      <c r="AD537" s="16" cm="1">
        <f t="array" ref="AD537">INDEX($B$527:$G534, INT((COLUMN(AC393)-1)/6)+1, MOD(COLUMN(AC393)-1,6)+1)</f>
        <v>1</v>
      </c>
      <c r="AE537" s="16" cm="1">
        <f t="array" ref="AE537">INDEX($B$527:$G534, INT((COLUMN(AD393)-1)/6)+1, MOD(COLUMN(AD393)-1,6)+1)</f>
        <v>0</v>
      </c>
      <c r="AF537" s="16" cm="1">
        <f t="array" ref="AF537">INDEX($B$527:$G534, INT((COLUMN(AE393)-1)/6)+1, MOD(COLUMN(AE393)-1,6)+1)</f>
        <v>1</v>
      </c>
      <c r="AG537" s="16" cm="1">
        <f t="array" ref="AG537">INDEX($B$527:$G534, INT((COLUMN(AF393)-1)/6)+1, MOD(COLUMN(AF393)-1,6)+1)</f>
        <v>0</v>
      </c>
      <c r="AH537" s="16" cm="1">
        <f t="array" ref="AH537">INDEX($B$527:$G534, INT((COLUMN(AG393)-1)/6)+1, MOD(COLUMN(AG393)-1,6)+1)</f>
        <v>0</v>
      </c>
      <c r="AI537" s="16" cm="1">
        <f t="array" ref="AI537">INDEX($B$527:$G534, INT((COLUMN(AH393)-1)/6)+1, MOD(COLUMN(AH393)-1,6)+1)</f>
        <v>0</v>
      </c>
      <c r="AJ537" s="16" cm="1">
        <f t="array" ref="AJ537">INDEX($B$527:$G534, INT((COLUMN(AI393)-1)/6)+1, MOD(COLUMN(AI393)-1,6)+1)</f>
        <v>0</v>
      </c>
      <c r="AK537" s="16" cm="1">
        <f t="array" ref="AK537">INDEX($B$527:$G534, INT((COLUMN(AJ393)-1)/6)+1, MOD(COLUMN(AJ393)-1,6)+1)</f>
        <v>1</v>
      </c>
      <c r="AL537" s="16" cm="1">
        <f t="array" ref="AL537">INDEX($B$527:$G534, INT((COLUMN(AK393)-1)/6)+1, MOD(COLUMN(AK393)-1,6)+1)</f>
        <v>0</v>
      </c>
      <c r="AM537" s="16" cm="1">
        <f t="array" ref="AM537">INDEX($B$527:$G534, INT((COLUMN(AL393)-1)/6)+1, MOD(COLUMN(AL393)-1,6)+1)</f>
        <v>1</v>
      </c>
      <c r="AN537" s="16" cm="1">
        <f t="array" ref="AN537">INDEX($B$527:$G534, INT((COLUMN(AM393)-1)/6)+1, MOD(COLUMN(AM393)-1,6)+1)</f>
        <v>0</v>
      </c>
      <c r="AO537" s="16" cm="1">
        <f t="array" ref="AO537">INDEX($B$527:$G534, INT((COLUMN(AN393)-1)/6)+1, MOD(COLUMN(AN393)-1,6)+1)</f>
        <v>1</v>
      </c>
      <c r="AP537" s="16" cm="1">
        <f t="array" ref="AP537">INDEX($B$527:$G534, INT((COLUMN(AO393)-1)/6)+1, MOD(COLUMN(AO393)-1,6)+1)</f>
        <v>0</v>
      </c>
      <c r="AQ537" s="16" cm="1">
        <f t="array" ref="AQ537">INDEX($B$527:$G534, INT((COLUMN(AP393)-1)/6)+1, MOD(COLUMN(AP393)-1,6)+1)</f>
        <v>1</v>
      </c>
      <c r="AR537" s="16" cm="1">
        <f t="array" ref="AR537">INDEX($B$527:$G534, INT((COLUMN(AQ393)-1)/6)+1, MOD(COLUMN(AQ393)-1,6)+1)</f>
        <v>0</v>
      </c>
      <c r="AS537" s="16" cm="1">
        <f t="array" ref="AS537">INDEX($B$527:$G534, INT((COLUMN(AR393)-1)/6)+1, MOD(COLUMN(AR393)-1,6)+1)</f>
        <v>1</v>
      </c>
      <c r="AT537" s="16" cm="1">
        <f t="array" ref="AT537">INDEX($B$527:$G534, INT((COLUMN(AS393)-1)/6)+1, MOD(COLUMN(AS393)-1,6)+1)</f>
        <v>0</v>
      </c>
      <c r="AU537" s="16" cm="1">
        <f t="array" ref="AU537">INDEX($B$527:$G534, INT((COLUMN(AT393)-1)/6)+1, MOD(COLUMN(AT393)-1,6)+1)</f>
        <v>1</v>
      </c>
      <c r="AV537" s="16" cm="1">
        <f t="array" ref="AV537">INDEX($B$527:$G534, INT((COLUMN(AU393)-1)/6)+1, MOD(COLUMN(AU393)-1,6)+1)</f>
        <v>0</v>
      </c>
      <c r="AW537" s="16" cm="1">
        <f t="array" ref="AW537">INDEX($B$527:$G534, INT((COLUMN(AV393)-1)/6)+1, MOD(COLUMN(AV393)-1,6)+1)</f>
        <v>1</v>
      </c>
    </row>
    <row r="539" spans="1:49">
      <c r="A539" s="12" t="s">
        <v>3</v>
      </c>
      <c r="B539" s="12">
        <v>1</v>
      </c>
      <c r="C539" s="12">
        <v>2</v>
      </c>
      <c r="D539" s="12">
        <v>3</v>
      </c>
      <c r="E539" s="12">
        <v>4</v>
      </c>
      <c r="F539" s="12">
        <v>5</v>
      </c>
      <c r="G539" s="12">
        <v>6</v>
      </c>
      <c r="H539" s="12">
        <v>7</v>
      </c>
      <c r="I539" s="12">
        <v>8</v>
      </c>
      <c r="J539" s="12">
        <v>9</v>
      </c>
      <c r="K539" s="12">
        <v>10</v>
      </c>
      <c r="L539" s="12">
        <v>11</v>
      </c>
      <c r="M539" s="12">
        <v>12</v>
      </c>
      <c r="N539" s="12">
        <v>13</v>
      </c>
      <c r="O539" s="12">
        <v>14</v>
      </c>
      <c r="P539" s="12">
        <v>15</v>
      </c>
      <c r="Q539" s="12">
        <v>16</v>
      </c>
      <c r="R539" s="12">
        <v>17</v>
      </c>
      <c r="S539" s="12">
        <v>18</v>
      </c>
      <c r="T539" s="12">
        <v>19</v>
      </c>
      <c r="U539" s="12">
        <v>20</v>
      </c>
      <c r="V539" s="12">
        <v>21</v>
      </c>
      <c r="W539" s="12">
        <v>22</v>
      </c>
      <c r="X539" s="12">
        <v>23</v>
      </c>
      <c r="Y539" s="12">
        <v>24</v>
      </c>
      <c r="Z539" s="12">
        <v>25</v>
      </c>
      <c r="AA539" s="12">
        <v>26</v>
      </c>
      <c r="AB539" s="12">
        <v>27</v>
      </c>
      <c r="AC539" s="12">
        <v>28</v>
      </c>
      <c r="AD539" s="12">
        <v>29</v>
      </c>
      <c r="AE539" s="12">
        <v>30</v>
      </c>
      <c r="AF539" s="12">
        <v>31</v>
      </c>
      <c r="AG539" s="12">
        <v>32</v>
      </c>
      <c r="AH539" s="12">
        <v>33</v>
      </c>
      <c r="AI539" s="12">
        <v>34</v>
      </c>
      <c r="AJ539" s="12">
        <v>35</v>
      </c>
      <c r="AK539" s="12">
        <v>36</v>
      </c>
      <c r="AL539" s="12">
        <v>37</v>
      </c>
      <c r="AM539" s="12">
        <v>38</v>
      </c>
      <c r="AN539" s="12">
        <v>39</v>
      </c>
      <c r="AO539" s="12">
        <v>40</v>
      </c>
      <c r="AP539" s="12">
        <v>41</v>
      </c>
      <c r="AQ539" s="12">
        <v>42</v>
      </c>
      <c r="AR539" s="12">
        <v>43</v>
      </c>
      <c r="AS539" s="12">
        <v>44</v>
      </c>
      <c r="AT539" s="12">
        <v>45</v>
      </c>
      <c r="AU539" s="12">
        <v>46</v>
      </c>
      <c r="AV539" s="12">
        <v>47</v>
      </c>
      <c r="AW539" s="12">
        <v>48</v>
      </c>
    </row>
    <row r="540" spans="1:49">
      <c r="A540" s="7" t="s">
        <v>135</v>
      </c>
      <c r="B540" s="16">
        <f>_xlfn.BITXOR(B537, B98)</f>
        <v>0</v>
      </c>
      <c r="C540" s="16">
        <f t="shared" ref="C540:AW540" si="2">_xlfn.BITXOR(C537, C98)</f>
        <v>1</v>
      </c>
      <c r="D540" s="16">
        <f t="shared" si="2"/>
        <v>1</v>
      </c>
      <c r="E540" s="16">
        <f t="shared" si="2"/>
        <v>0</v>
      </c>
      <c r="F540" s="16">
        <f t="shared" si="2"/>
        <v>1</v>
      </c>
      <c r="G540" s="16">
        <f t="shared" si="2"/>
        <v>0</v>
      </c>
      <c r="H540" s="16">
        <f t="shared" si="2"/>
        <v>1</v>
      </c>
      <c r="I540" s="16">
        <f t="shared" si="2"/>
        <v>1</v>
      </c>
      <c r="J540" s="16">
        <f t="shared" si="2"/>
        <v>0</v>
      </c>
      <c r="K540" s="16">
        <f t="shared" si="2"/>
        <v>0</v>
      </c>
      <c r="L540" s="16">
        <f t="shared" si="2"/>
        <v>0</v>
      </c>
      <c r="M540" s="16">
        <f t="shared" si="2"/>
        <v>0</v>
      </c>
      <c r="N540" s="16">
        <f t="shared" si="2"/>
        <v>0</v>
      </c>
      <c r="O540" s="16">
        <f t="shared" si="2"/>
        <v>0</v>
      </c>
      <c r="P540" s="16">
        <f t="shared" si="2"/>
        <v>0</v>
      </c>
      <c r="Q540" s="16">
        <f t="shared" si="2"/>
        <v>0</v>
      </c>
      <c r="R540" s="16">
        <f t="shared" si="2"/>
        <v>0</v>
      </c>
      <c r="S540" s="16">
        <f t="shared" si="2"/>
        <v>1</v>
      </c>
      <c r="T540" s="16">
        <f t="shared" si="2"/>
        <v>0</v>
      </c>
      <c r="U540" s="16">
        <f t="shared" si="2"/>
        <v>0</v>
      </c>
      <c r="V540" s="16">
        <f t="shared" si="2"/>
        <v>0</v>
      </c>
      <c r="W540" s="16">
        <f t="shared" si="2"/>
        <v>1</v>
      </c>
      <c r="X540" s="16">
        <f t="shared" si="2"/>
        <v>1</v>
      </c>
      <c r="Y540" s="16">
        <f t="shared" si="2"/>
        <v>0</v>
      </c>
      <c r="Z540" s="16">
        <f t="shared" si="2"/>
        <v>1</v>
      </c>
      <c r="AA540" s="16">
        <f t="shared" si="2"/>
        <v>0</v>
      </c>
      <c r="AB540" s="16">
        <f t="shared" si="2"/>
        <v>1</v>
      </c>
      <c r="AC540" s="16">
        <f t="shared" si="2"/>
        <v>0</v>
      </c>
      <c r="AD540" s="16">
        <f t="shared" si="2"/>
        <v>0</v>
      </c>
      <c r="AE540" s="16">
        <f t="shared" si="2"/>
        <v>0</v>
      </c>
      <c r="AF540" s="16">
        <f t="shared" si="2"/>
        <v>0</v>
      </c>
      <c r="AG540" s="16">
        <f t="shared" si="2"/>
        <v>1</v>
      </c>
      <c r="AH540" s="16">
        <f t="shared" si="2"/>
        <v>0</v>
      </c>
      <c r="AI540" s="16">
        <f t="shared" si="2"/>
        <v>1</v>
      </c>
      <c r="AJ540" s="16">
        <f t="shared" si="2"/>
        <v>0</v>
      </c>
      <c r="AK540" s="16">
        <f t="shared" si="2"/>
        <v>1</v>
      </c>
      <c r="AL540" s="16">
        <f t="shared" si="2"/>
        <v>1</v>
      </c>
      <c r="AM540" s="16">
        <f t="shared" si="2"/>
        <v>1</v>
      </c>
      <c r="AN540" s="16">
        <f t="shared" si="2"/>
        <v>0</v>
      </c>
      <c r="AO540" s="16">
        <f t="shared" si="2"/>
        <v>0</v>
      </c>
      <c r="AP540" s="16">
        <f t="shared" si="2"/>
        <v>1</v>
      </c>
      <c r="AQ540" s="16">
        <f t="shared" si="2"/>
        <v>1</v>
      </c>
      <c r="AR540" s="16">
        <f t="shared" si="2"/>
        <v>1</v>
      </c>
      <c r="AS540" s="16">
        <f t="shared" si="2"/>
        <v>1</v>
      </c>
      <c r="AT540" s="16">
        <f t="shared" si="2"/>
        <v>0</v>
      </c>
      <c r="AU540" s="16">
        <f t="shared" si="2"/>
        <v>0</v>
      </c>
      <c r="AV540" s="16">
        <f t="shared" si="2"/>
        <v>0</v>
      </c>
      <c r="AW540" s="16">
        <f t="shared" si="2"/>
        <v>0</v>
      </c>
    </row>
    <row r="542" spans="1:49">
      <c r="A542" s="27" t="s">
        <v>136</v>
      </c>
      <c r="B542" s="27" t="s">
        <v>137</v>
      </c>
      <c r="C542" s="27"/>
      <c r="D542" s="27" t="s">
        <v>141</v>
      </c>
      <c r="E542" s="27" t="s">
        <v>142</v>
      </c>
      <c r="F542" s="28" t="s">
        <v>138</v>
      </c>
      <c r="G542" s="28"/>
      <c r="I542" s="5" t="s">
        <v>154</v>
      </c>
    </row>
    <row r="543" spans="1:49">
      <c r="A543" s="27"/>
      <c r="B543" s="27"/>
      <c r="C543" s="27"/>
      <c r="D543" s="27"/>
      <c r="E543" s="27"/>
      <c r="F543" s="7" t="s">
        <v>139</v>
      </c>
      <c r="G543" s="7" t="s">
        <v>140</v>
      </c>
    </row>
    <row r="544" spans="1:49">
      <c r="A544" s="7">
        <v>1</v>
      </c>
      <c r="B544" s="29" t="str">
        <f ca="1">_xlfn.TEXTJOIN("", TRUE, OFFSET($B$540,0,(ROW(A1)-1)*6,1,6))</f>
        <v>011010</v>
      </c>
      <c r="C544" s="30"/>
      <c r="D544" s="7">
        <f ca="1">BIN2DEC(LEFT(B544,1) &amp; RIGHT(B544,1))</f>
        <v>0</v>
      </c>
      <c r="E544" s="12">
        <f ca="1">BIN2DEC(MID(B544,2,4))</f>
        <v>13</v>
      </c>
      <c r="F544" s="12" cm="1">
        <f t="array" aca="1" ref="F544" ca="1">INDEX(OFFSET('S-box'!$A$2, (A544-1)*6, 0, 4, 16), D544+1, E544+1)</f>
        <v>9</v>
      </c>
      <c r="G544" s="17" t="str">
        <f ca="1">DEC2BIN(F544, 4)</f>
        <v>1001</v>
      </c>
      <c r="I544" s="12" t="s">
        <v>3</v>
      </c>
      <c r="J544" s="12">
        <v>1</v>
      </c>
      <c r="K544" s="12">
        <v>2</v>
      </c>
      <c r="L544" s="12">
        <v>3</v>
      </c>
      <c r="M544" s="12">
        <v>4</v>
      </c>
      <c r="N544" s="12">
        <v>5</v>
      </c>
      <c r="O544" s="12">
        <v>6</v>
      </c>
      <c r="P544" s="12">
        <v>7</v>
      </c>
      <c r="Q544" s="12">
        <v>8</v>
      </c>
      <c r="R544" s="12">
        <v>9</v>
      </c>
      <c r="S544" s="12">
        <v>10</v>
      </c>
      <c r="T544" s="12">
        <v>11</v>
      </c>
      <c r="U544" s="12">
        <v>12</v>
      </c>
      <c r="V544" s="12">
        <v>13</v>
      </c>
      <c r="W544" s="12">
        <v>14</v>
      </c>
      <c r="X544" s="12">
        <v>15</v>
      </c>
      <c r="Y544" s="12">
        <v>16</v>
      </c>
      <c r="Z544" s="12">
        <v>17</v>
      </c>
      <c r="AA544" s="12">
        <v>18</v>
      </c>
      <c r="AB544" s="12">
        <v>19</v>
      </c>
      <c r="AC544" s="12">
        <v>20</v>
      </c>
      <c r="AD544" s="12">
        <v>21</v>
      </c>
      <c r="AE544" s="12">
        <v>22</v>
      </c>
      <c r="AF544" s="12">
        <v>23</v>
      </c>
      <c r="AG544" s="12">
        <v>24</v>
      </c>
      <c r="AH544" s="12">
        <v>25</v>
      </c>
      <c r="AI544" s="12">
        <v>26</v>
      </c>
      <c r="AJ544" s="12">
        <v>27</v>
      </c>
      <c r="AK544" s="12">
        <v>28</v>
      </c>
      <c r="AL544" s="12">
        <v>29</v>
      </c>
      <c r="AM544" s="12">
        <v>30</v>
      </c>
      <c r="AN544" s="12">
        <v>31</v>
      </c>
      <c r="AO544" s="12">
        <v>32</v>
      </c>
    </row>
    <row r="545" spans="1:41">
      <c r="A545" s="7">
        <v>2</v>
      </c>
      <c r="B545" s="29" t="str">
        <f t="shared" ref="B545:B551" ca="1" si="3">_xlfn.TEXTJOIN("", TRUE, OFFSET($B$540,0,(ROW(A2)-1)*6,1,6))</f>
        <v>110000</v>
      </c>
      <c r="C545" s="30"/>
      <c r="D545" s="7">
        <f t="shared" ref="D545:D551" ca="1" si="4">BIN2DEC(LEFT(B545,1) &amp; RIGHT(B545,1))</f>
        <v>2</v>
      </c>
      <c r="E545" s="12">
        <f t="shared" ref="E545:E551" ca="1" si="5">BIN2DEC(MID(B545,2,4))</f>
        <v>8</v>
      </c>
      <c r="F545" s="12" cm="1">
        <f t="array" aca="1" ref="F545" ca="1">INDEX(OFFSET('S-box'!$A$2, (A545-1)*6, 0, 4, 16), D545+1, E545+1)</f>
        <v>5</v>
      </c>
      <c r="G545" s="17" t="str">
        <f t="shared" ref="G545:G551" ca="1" si="6">DEC2BIN(F545, 4)</f>
        <v>0101</v>
      </c>
      <c r="I545" s="12" t="s">
        <v>152</v>
      </c>
      <c r="J545" s="12" t="str">
        <f t="shared" ref="J545:AO545" ca="1" si="7">MID(_xlfn.TEXTJOIN("",TRUE,$G$544:$G$551), COLUMN(A1), 1)</f>
        <v>1</v>
      </c>
      <c r="K545" s="12" t="str">
        <f t="shared" ca="1" si="7"/>
        <v>0</v>
      </c>
      <c r="L545" s="12" t="str">
        <f t="shared" ca="1" si="7"/>
        <v>0</v>
      </c>
      <c r="M545" s="12" t="str">
        <f t="shared" ca="1" si="7"/>
        <v>1</v>
      </c>
      <c r="N545" s="12" t="str">
        <f t="shared" ca="1" si="7"/>
        <v>0</v>
      </c>
      <c r="O545" s="12" t="str">
        <f t="shared" ca="1" si="7"/>
        <v>1</v>
      </c>
      <c r="P545" s="12" t="str">
        <f t="shared" ca="1" si="7"/>
        <v>0</v>
      </c>
      <c r="Q545" s="12" t="str">
        <f t="shared" ca="1" si="7"/>
        <v>1</v>
      </c>
      <c r="R545" s="12" t="str">
        <f t="shared" ca="1" si="7"/>
        <v>1</v>
      </c>
      <c r="S545" s="12" t="str">
        <f t="shared" ca="1" si="7"/>
        <v>1</v>
      </c>
      <c r="T545" s="12" t="str">
        <f t="shared" ca="1" si="7"/>
        <v>0</v>
      </c>
      <c r="U545" s="12" t="str">
        <f t="shared" ca="1" si="7"/>
        <v>1</v>
      </c>
      <c r="V545" s="12" t="str">
        <f t="shared" ca="1" si="7"/>
        <v>0</v>
      </c>
      <c r="W545" s="12" t="str">
        <f t="shared" ca="1" si="7"/>
        <v>0</v>
      </c>
      <c r="X545" s="12" t="str">
        <f t="shared" ca="1" si="7"/>
        <v>1</v>
      </c>
      <c r="Y545" s="12" t="str">
        <f t="shared" ca="1" si="7"/>
        <v>1</v>
      </c>
      <c r="Z545" s="12" t="str">
        <f t="shared" ca="1" si="7"/>
        <v>1</v>
      </c>
      <c r="AA545" s="12" t="str">
        <f t="shared" ca="1" si="7"/>
        <v>0</v>
      </c>
      <c r="AB545" s="12" t="str">
        <f t="shared" ca="1" si="7"/>
        <v>1</v>
      </c>
      <c r="AC545" s="12" t="str">
        <f t="shared" ca="1" si="7"/>
        <v>0</v>
      </c>
      <c r="AD545" s="12" t="str">
        <f t="shared" ca="1" si="7"/>
        <v>1</v>
      </c>
      <c r="AE545" s="12" t="str">
        <f t="shared" ca="1" si="7"/>
        <v>1</v>
      </c>
      <c r="AF545" s="12" t="str">
        <f t="shared" ca="1" si="7"/>
        <v>0</v>
      </c>
      <c r="AG545" s="12" t="str">
        <f t="shared" ca="1" si="7"/>
        <v>1</v>
      </c>
      <c r="AH545" s="12" t="str">
        <f t="shared" ca="1" si="7"/>
        <v>0</v>
      </c>
      <c r="AI545" s="12" t="str">
        <f t="shared" ca="1" si="7"/>
        <v>1</v>
      </c>
      <c r="AJ545" s="12" t="str">
        <f t="shared" ca="1" si="7"/>
        <v>0</v>
      </c>
      <c r="AK545" s="12" t="str">
        <f t="shared" ca="1" si="7"/>
        <v>1</v>
      </c>
      <c r="AL545" s="12" t="str">
        <f t="shared" ca="1" si="7"/>
        <v>0</v>
      </c>
      <c r="AM545" s="12" t="str">
        <f t="shared" ca="1" si="7"/>
        <v>0</v>
      </c>
      <c r="AN545" s="12" t="str">
        <f t="shared" ca="1" si="7"/>
        <v>0</v>
      </c>
      <c r="AO545" s="12" t="str">
        <f t="shared" ca="1" si="7"/>
        <v>0</v>
      </c>
    </row>
    <row r="546" spans="1:41">
      <c r="A546" s="7">
        <v>3</v>
      </c>
      <c r="B546" s="29" t="str">
        <f t="shared" ca="1" si="3"/>
        <v>000001</v>
      </c>
      <c r="C546" s="30"/>
      <c r="D546" s="7">
        <f t="shared" ca="1" si="4"/>
        <v>1</v>
      </c>
      <c r="E546" s="12">
        <f t="shared" ca="1" si="5"/>
        <v>0</v>
      </c>
      <c r="F546" s="12" cm="1">
        <f t="array" aca="1" ref="F546" ca="1">INDEX(OFFSET('S-box'!$A$2, (A546-1)*6, 0, 4, 16), D546+1, E546+1)</f>
        <v>13</v>
      </c>
      <c r="G546" s="17" t="str">
        <f t="shared" ca="1" si="6"/>
        <v>1101</v>
      </c>
    </row>
    <row r="547" spans="1:41">
      <c r="A547" s="7">
        <v>4</v>
      </c>
      <c r="B547" s="29" t="str">
        <f t="shared" ca="1" si="3"/>
        <v>000110</v>
      </c>
      <c r="C547" s="30"/>
      <c r="D547" s="7">
        <f t="shared" ca="1" si="4"/>
        <v>0</v>
      </c>
      <c r="E547" s="12">
        <f t="shared" ca="1" si="5"/>
        <v>3</v>
      </c>
      <c r="F547" s="12" cm="1">
        <f t="array" aca="1" ref="F547" ca="1">INDEX(OFFSET('S-box'!$A$2, (A547-1)*6, 0, 4, 16), D547+1, E547+1)</f>
        <v>3</v>
      </c>
      <c r="G547" s="17" t="str">
        <f t="shared" ca="1" si="6"/>
        <v>0011</v>
      </c>
      <c r="I547" s="5" t="s">
        <v>155</v>
      </c>
    </row>
    <row r="548" spans="1:41">
      <c r="A548" s="7">
        <v>5</v>
      </c>
      <c r="B548" s="29" t="str">
        <f t="shared" ca="1" si="3"/>
        <v>101000</v>
      </c>
      <c r="C548" s="30"/>
      <c r="D548" s="7">
        <f t="shared" ca="1" si="4"/>
        <v>2</v>
      </c>
      <c r="E548" s="12">
        <f t="shared" ca="1" si="5"/>
        <v>4</v>
      </c>
      <c r="F548" s="12" cm="1">
        <f t="array" aca="1" ref="F548" ca="1">INDEX(OFFSET('S-box'!$A$2, (A548-1)*6, 0, 4, 16), D548+1, E548+1)</f>
        <v>10</v>
      </c>
      <c r="G548" s="17" t="str">
        <f t="shared" ca="1" si="6"/>
        <v>1010</v>
      </c>
    </row>
    <row r="549" spans="1:41">
      <c r="A549" s="7">
        <v>6</v>
      </c>
      <c r="B549" s="29" t="str">
        <f t="shared" ca="1" si="3"/>
        <v>010101</v>
      </c>
      <c r="C549" s="30"/>
      <c r="D549" s="7">
        <f t="shared" ca="1" si="4"/>
        <v>1</v>
      </c>
      <c r="E549" s="12">
        <f t="shared" ca="1" si="5"/>
        <v>10</v>
      </c>
      <c r="F549" s="12" cm="1">
        <f t="array" aca="1" ref="F549" ca="1">INDEX(OFFSET('S-box'!$A$2, (A549-1)*6, 0, 4, 16), D549+1, E549+1)</f>
        <v>13</v>
      </c>
      <c r="G549" s="17" t="str">
        <f t="shared" ca="1" si="6"/>
        <v>1101</v>
      </c>
      <c r="I549" s="12" t="s">
        <v>3</v>
      </c>
      <c r="J549" s="12">
        <v>1</v>
      </c>
      <c r="K549" s="12">
        <v>2</v>
      </c>
      <c r="L549" s="12">
        <v>3</v>
      </c>
      <c r="M549" s="12">
        <v>4</v>
      </c>
      <c r="N549" s="12">
        <v>5</v>
      </c>
      <c r="O549" s="12">
        <v>6</v>
      </c>
      <c r="P549" s="12">
        <v>7</v>
      </c>
      <c r="Q549" s="12">
        <v>8</v>
      </c>
      <c r="R549" s="12">
        <v>9</v>
      </c>
      <c r="S549" s="12">
        <v>10</v>
      </c>
      <c r="T549" s="12">
        <v>11</v>
      </c>
      <c r="U549" s="12">
        <v>12</v>
      </c>
      <c r="V549" s="12">
        <v>13</v>
      </c>
      <c r="W549" s="12">
        <v>14</v>
      </c>
      <c r="X549" s="12">
        <v>15</v>
      </c>
      <c r="Y549" s="12">
        <v>16</v>
      </c>
      <c r="Z549" s="12">
        <v>17</v>
      </c>
      <c r="AA549" s="12">
        <v>18</v>
      </c>
      <c r="AB549" s="12">
        <v>19</v>
      </c>
      <c r="AC549" s="12">
        <v>20</v>
      </c>
      <c r="AD549" s="12">
        <v>21</v>
      </c>
      <c r="AE549" s="12">
        <v>22</v>
      </c>
      <c r="AF549" s="12">
        <v>23</v>
      </c>
      <c r="AG549" s="12">
        <v>24</v>
      </c>
      <c r="AH549" s="12">
        <v>25</v>
      </c>
      <c r="AI549" s="12">
        <v>26</v>
      </c>
      <c r="AJ549" s="12">
        <v>27</v>
      </c>
      <c r="AK549" s="12">
        <v>28</v>
      </c>
      <c r="AL549" s="12">
        <v>29</v>
      </c>
      <c r="AM549" s="12">
        <v>30</v>
      </c>
      <c r="AN549" s="12">
        <v>31</v>
      </c>
      <c r="AO549" s="12">
        <v>32</v>
      </c>
    </row>
    <row r="550" spans="1:41">
      <c r="A550" s="7">
        <v>7</v>
      </c>
      <c r="B550" s="29" t="str">
        <f t="shared" ca="1" si="3"/>
        <v>110011</v>
      </c>
      <c r="C550" s="30"/>
      <c r="D550" s="7">
        <f t="shared" ca="1" si="4"/>
        <v>3</v>
      </c>
      <c r="E550" s="12">
        <f t="shared" ca="1" si="5"/>
        <v>9</v>
      </c>
      <c r="F550" s="12" cm="1">
        <f t="array" aca="1" ref="F550" ca="1">INDEX(OFFSET('S-box'!$A$2, (A550-1)*6, 0, 4, 16), D550+1, E550+1)</f>
        <v>5</v>
      </c>
      <c r="G550" s="17" t="str">
        <f t="shared" ca="1" si="6"/>
        <v>0101</v>
      </c>
      <c r="I550" s="18" t="s">
        <v>152</v>
      </c>
      <c r="J550" s="12" t="str" cm="1">
        <f t="array" aca="1" ref="J550" ca="1">INDEX($J$545:$AO$545, INDEX($T$15:$AA$18, INT((COLUMN(A1)-1)/8)+1, MOD(COLUMN(A1)-1,8)+1))</f>
        <v>1</v>
      </c>
      <c r="K550" s="12" t="str" cm="1">
        <f t="array" aca="1" ref="K550" ca="1">INDEX($J$545:$AO$545, INDEX($T$15:$AA$18, INT((COLUMN(B1)-1)/8)+1, MOD(COLUMN(B1)-1,8)+1))</f>
        <v>0</v>
      </c>
      <c r="L550" s="12" t="str" cm="1">
        <f t="array" aca="1" ref="L550" ca="1">INDEX($J$545:$AO$545, INDEX($T$15:$AA$18, INT((COLUMN(C1)-1)/8)+1, MOD(COLUMN(C1)-1,8)+1))</f>
        <v>0</v>
      </c>
      <c r="M550" s="12" t="str" cm="1">
        <f t="array" aca="1" ref="M550" ca="1">INDEX($J$545:$AO$545, INDEX($T$15:$AA$18, INT((COLUMN(D1)-1)/8)+1, MOD(COLUMN(D1)-1,8)+1))</f>
        <v>1</v>
      </c>
      <c r="N550" s="12" t="str" cm="1">
        <f t="array" aca="1" ref="N550" ca="1">INDEX($J$545:$AO$545, INDEX($T$15:$AA$18, INT((COLUMN(E1)-1)/8)+1, MOD(COLUMN(E1)-1,8)+1))</f>
        <v>0</v>
      </c>
      <c r="O550" s="12" t="str" cm="1">
        <f t="array" aca="1" ref="O550" ca="1">INDEX($J$545:$AO$545, INDEX($T$15:$AA$18, INT((COLUMN(F1)-1)/8)+1, MOD(COLUMN(F1)-1,8)+1))</f>
        <v>1</v>
      </c>
      <c r="P550" s="12" t="str" cm="1">
        <f t="array" aca="1" ref="P550" ca="1">INDEX($J$545:$AO$545, INDEX($T$15:$AA$18, INT((COLUMN(G1)-1)/8)+1, MOD(COLUMN(G1)-1,8)+1))</f>
        <v>1</v>
      </c>
      <c r="Q550" s="12" t="str" cm="1">
        <f t="array" aca="1" ref="Q550" ca="1">INDEX($J$545:$AO$545, INDEX($T$15:$AA$18, INT((COLUMN(H1)-1)/8)+1, MOD(COLUMN(H1)-1,8)+1))</f>
        <v>1</v>
      </c>
      <c r="R550" s="12" t="str" cm="1">
        <f t="array" aca="1" ref="R550" ca="1">INDEX($J$545:$AO$545, INDEX($T$15:$AA$18, INT((COLUMN(I1)-1)/8)+1, MOD(COLUMN(I1)-1,8)+1))</f>
        <v>1</v>
      </c>
      <c r="S550" s="12" t="str" cm="1">
        <f t="array" aca="1" ref="S550" ca="1">INDEX($J$545:$AO$545, INDEX($T$15:$AA$18, INT((COLUMN(J1)-1)/8)+1, MOD(COLUMN(J1)-1,8)+1))</f>
        <v>1</v>
      </c>
      <c r="T550" s="12" t="str" cm="1">
        <f t="array" aca="1" ref="T550" ca="1">INDEX($J$545:$AO$545, INDEX($T$15:$AA$18, INT((COLUMN(K1)-1)/8)+1, MOD(COLUMN(K1)-1,8)+1))</f>
        <v>0</v>
      </c>
      <c r="U550" s="12" t="str" cm="1">
        <f t="array" aca="1" ref="U550" ca="1">INDEX($J$545:$AO$545, INDEX($T$15:$AA$18, INT((COLUMN(L1)-1)/8)+1, MOD(COLUMN(L1)-1,8)+1))</f>
        <v>1</v>
      </c>
      <c r="V550" s="12" t="str" cm="1">
        <f t="array" aca="1" ref="V550" ca="1">INDEX($J$545:$AO$545, INDEX($T$15:$AA$18, INT((COLUMN(M1)-1)/8)+1, MOD(COLUMN(M1)-1,8)+1))</f>
        <v>0</v>
      </c>
      <c r="W550" s="12" t="str" cm="1">
        <f t="array" aca="1" ref="W550" ca="1">INDEX($J$545:$AO$545, INDEX($T$15:$AA$18, INT((COLUMN(N1)-1)/8)+1, MOD(COLUMN(N1)-1,8)+1))</f>
        <v>0</v>
      </c>
      <c r="X550" s="12" t="str" cm="1">
        <f t="array" aca="1" ref="X550" ca="1">INDEX($J$545:$AO$545, INDEX($T$15:$AA$18, INT((COLUMN(O1)-1)/8)+1, MOD(COLUMN(O1)-1,8)+1))</f>
        <v>0</v>
      </c>
      <c r="Y550" s="12" t="str" cm="1">
        <f t="array" aca="1" ref="Y550" ca="1">INDEX($J$545:$AO$545, INDEX($T$15:$AA$18, INT((COLUMN(P1)-1)/8)+1, MOD(COLUMN(P1)-1,8)+1))</f>
        <v>1</v>
      </c>
      <c r="Z550" s="12" t="str" cm="1">
        <f t="array" aca="1" ref="Z550" ca="1">INDEX($J$545:$AO$545, INDEX($T$15:$AA$18, INT((COLUMN(Q1)-1)/8)+1, MOD(COLUMN(Q1)-1,8)+1))</f>
        <v>0</v>
      </c>
      <c r="AA550" s="12" t="str" cm="1">
        <f t="array" aca="1" ref="AA550" ca="1">INDEX($J$545:$AO$545, INDEX($T$15:$AA$18, INT((COLUMN(R1)-1)/8)+1, MOD(COLUMN(R1)-1,8)+1))</f>
        <v>1</v>
      </c>
      <c r="AB550" s="12" t="str" cm="1">
        <f t="array" aca="1" ref="AB550" ca="1">INDEX($J$545:$AO$545, INDEX($T$15:$AA$18, INT((COLUMN(S1)-1)/8)+1, MOD(COLUMN(S1)-1,8)+1))</f>
        <v>1</v>
      </c>
      <c r="AC550" s="12" t="str" cm="1">
        <f t="array" aca="1" ref="AC550" ca="1">INDEX($J$545:$AO$545, INDEX($T$15:$AA$18, INT((COLUMN(T1)-1)/8)+1, MOD(COLUMN(T1)-1,8)+1))</f>
        <v>0</v>
      </c>
      <c r="AD550" s="12" t="str" cm="1">
        <f t="array" aca="1" ref="AD550" ca="1">INDEX($J$545:$AO$545, INDEX($T$15:$AA$18, INT((COLUMN(U1)-1)/8)+1, MOD(COLUMN(U1)-1,8)+1))</f>
        <v>0</v>
      </c>
      <c r="AE550" s="12" t="str" cm="1">
        <f t="array" aca="1" ref="AE550" ca="1">INDEX($J$545:$AO$545, INDEX($T$15:$AA$18, INT((COLUMN(V1)-1)/8)+1, MOD(COLUMN(V1)-1,8)+1))</f>
        <v>0</v>
      </c>
      <c r="AF550" s="12" t="str" cm="1">
        <f t="array" aca="1" ref="AF550" ca="1">INDEX($J$545:$AO$545, INDEX($T$15:$AA$18, INT((COLUMN(W1)-1)/8)+1, MOD(COLUMN(W1)-1,8)+1))</f>
        <v>0</v>
      </c>
      <c r="AG550" s="12" t="str" cm="1">
        <f t="array" aca="1" ref="AG550" ca="1">INDEX($J$545:$AO$545, INDEX($T$15:$AA$18, INT((COLUMN(X1)-1)/8)+1, MOD(COLUMN(X1)-1,8)+1))</f>
        <v>1</v>
      </c>
      <c r="AH550" s="12" t="str" cm="1">
        <f t="array" aca="1" ref="AH550" ca="1">INDEX($J$545:$AO$545, INDEX($T$15:$AA$18, INT((COLUMN(Y1)-1)/8)+1, MOD(COLUMN(Y1)-1,8)+1))</f>
        <v>1</v>
      </c>
      <c r="AI550" s="12" t="str" cm="1">
        <f t="array" aca="1" ref="AI550" ca="1">INDEX($J$545:$AO$545, INDEX($T$15:$AA$18, INT((COLUMN(Z1)-1)/8)+1, MOD(COLUMN(Z1)-1,8)+1))</f>
        <v>0</v>
      </c>
      <c r="AJ550" s="12" t="str" cm="1">
        <f t="array" aca="1" ref="AJ550" ca="1">INDEX($J$545:$AO$545, INDEX($T$15:$AA$18, INT((COLUMN(AA1)-1)/8)+1, MOD(COLUMN(AA1)-1,8)+1))</f>
        <v>0</v>
      </c>
      <c r="AK550" s="12" t="str" cm="1">
        <f t="array" aca="1" ref="AK550" ca="1">INDEX($J$545:$AO$545, INDEX($T$15:$AA$18, INT((COLUMN(AB1)-1)/8)+1, MOD(COLUMN(AB1)-1,8)+1))</f>
        <v>1</v>
      </c>
      <c r="AL550" s="12" t="str" cm="1">
        <f t="array" aca="1" ref="AL550" ca="1">INDEX($J$545:$AO$545, INDEX($T$15:$AA$18, INT((COLUMN(AC1)-1)/8)+1, MOD(COLUMN(AC1)-1,8)+1))</f>
        <v>1</v>
      </c>
      <c r="AM550" s="12" t="str" cm="1">
        <f t="array" aca="1" ref="AM550" ca="1">INDEX($J$545:$AO$545, INDEX($T$15:$AA$18, INT((COLUMN(AD1)-1)/8)+1, MOD(COLUMN(AD1)-1,8)+1))</f>
        <v>0</v>
      </c>
      <c r="AN550" s="12" t="str" cm="1">
        <f t="array" aca="1" ref="AN550" ca="1">INDEX($J$545:$AO$545, INDEX($T$15:$AA$18, INT((COLUMN(AE1)-1)/8)+1, MOD(COLUMN(AE1)-1,8)+1))</f>
        <v>1</v>
      </c>
      <c r="AO550" s="12" t="str" cm="1">
        <f t="array" aca="1" ref="AO550" ca="1">INDEX($J$545:$AO$545, INDEX($T$15:$AA$18, INT((COLUMN(AF1)-1)/8)+1, MOD(COLUMN(AF1)-1,8)+1))</f>
        <v>0</v>
      </c>
    </row>
    <row r="551" spans="1:41">
      <c r="A551" s="7">
        <v>8</v>
      </c>
      <c r="B551" s="29" t="str">
        <f t="shared" ca="1" si="3"/>
        <v>110000</v>
      </c>
      <c r="C551" s="30"/>
      <c r="D551" s="7">
        <f t="shared" ca="1" si="4"/>
        <v>2</v>
      </c>
      <c r="E551" s="12">
        <f t="shared" ca="1" si="5"/>
        <v>8</v>
      </c>
      <c r="F551" s="12" cm="1">
        <f t="array" aca="1" ref="F551" ca="1">INDEX(OFFSET('S-box'!$A$2, (A551-1)*6, 0, 4, 16), D551+1, E551+1)</f>
        <v>0</v>
      </c>
      <c r="G551" s="17" t="str">
        <f t="shared" ca="1" si="6"/>
        <v>0000</v>
      </c>
    </row>
    <row r="553" spans="1:41">
      <c r="A553" s="20" t="s">
        <v>156</v>
      </c>
    </row>
    <row r="555" spans="1:41">
      <c r="A555" s="12" t="s">
        <v>3</v>
      </c>
      <c r="B555" s="12">
        <v>1</v>
      </c>
      <c r="C555" s="12">
        <v>2</v>
      </c>
      <c r="D555" s="12">
        <v>3</v>
      </c>
      <c r="E555" s="12">
        <v>4</v>
      </c>
      <c r="F555" s="12">
        <v>5</v>
      </c>
      <c r="G555" s="12">
        <v>6</v>
      </c>
      <c r="H555" s="12">
        <v>7</v>
      </c>
      <c r="I555" s="12">
        <v>8</v>
      </c>
      <c r="J555" s="12">
        <v>9</v>
      </c>
      <c r="K555" s="12">
        <v>10</v>
      </c>
      <c r="L555" s="12">
        <v>11</v>
      </c>
      <c r="M555" s="12">
        <v>12</v>
      </c>
      <c r="N555" s="12">
        <v>13</v>
      </c>
      <c r="O555" s="12">
        <v>14</v>
      </c>
      <c r="P555" s="12">
        <v>15</v>
      </c>
      <c r="Q555" s="12">
        <v>16</v>
      </c>
      <c r="R555" s="12">
        <v>17</v>
      </c>
      <c r="S555" s="12">
        <v>18</v>
      </c>
      <c r="T555" s="12">
        <v>19</v>
      </c>
      <c r="U555" s="12">
        <v>20</v>
      </c>
      <c r="V555" s="12">
        <v>21</v>
      </c>
      <c r="W555" s="12">
        <v>22</v>
      </c>
      <c r="X555" s="12">
        <v>23</v>
      </c>
      <c r="Y555" s="12">
        <v>24</v>
      </c>
      <c r="Z555" s="12">
        <v>25</v>
      </c>
      <c r="AA555" s="12">
        <v>26</v>
      </c>
      <c r="AB555" s="12">
        <v>27</v>
      </c>
      <c r="AC555" s="12">
        <v>28</v>
      </c>
      <c r="AD555" s="12">
        <v>29</v>
      </c>
      <c r="AE555" s="12">
        <v>30</v>
      </c>
      <c r="AF555" s="12">
        <v>31</v>
      </c>
      <c r="AG555" s="12">
        <v>32</v>
      </c>
    </row>
    <row r="556" spans="1:41">
      <c r="A556" s="12" t="s">
        <v>157</v>
      </c>
      <c r="B556" s="12" cm="1">
        <f t="array" ref="B556">INDEX($B$36:$I$43, INT((COLUMN(AG508)-1)/8)+1, MOD(COLUMN(AG508)-1,8)+1)</f>
        <v>1</v>
      </c>
      <c r="C556" s="12" cm="1">
        <f t="array" ref="C556">INDEX($B$36:$I$43, INT((COLUMN(AH508)-1)/8)+1, MOD(COLUMN(AH508)-1,8)+1)</f>
        <v>1</v>
      </c>
      <c r="D556" s="12" cm="1">
        <f t="array" ref="D556">INDEX($B$36:$I$43, INT((COLUMN(AI508)-1)/8)+1, MOD(COLUMN(AI508)-1,8)+1)</f>
        <v>1</v>
      </c>
      <c r="E556" s="12" cm="1">
        <f t="array" ref="E556">INDEX($B$36:$I$43, INT((COLUMN(AJ508)-1)/8)+1, MOD(COLUMN(AJ508)-1,8)+1)</f>
        <v>0</v>
      </c>
      <c r="F556" s="12" cm="1">
        <f t="array" ref="F556">INDEX($B$36:$I$43, INT((COLUMN(AK508)-1)/8)+1, MOD(COLUMN(AK508)-1,8)+1)</f>
        <v>0</v>
      </c>
      <c r="G556" s="12" cm="1">
        <f t="array" ref="G556">INDEX($B$36:$I$43, INT((COLUMN(AL508)-1)/8)+1, MOD(COLUMN(AL508)-1,8)+1)</f>
        <v>0</v>
      </c>
      <c r="H556" s="12" cm="1">
        <f t="array" ref="H556">INDEX($B$36:$I$43, INT((COLUMN(AM508)-1)/8)+1, MOD(COLUMN(AM508)-1,8)+1)</f>
        <v>0</v>
      </c>
      <c r="I556" s="12" cm="1">
        <f t="array" ref="I556">INDEX($B$36:$I$43, INT((COLUMN(AN508)-1)/8)+1, MOD(COLUMN(AN508)-1,8)+1)</f>
        <v>0</v>
      </c>
      <c r="J556" s="12" cm="1">
        <f t="array" ref="J556">INDEX($B$36:$I$43, INT((COLUMN(AO508)-1)/8)+1, MOD(COLUMN(AO508)-1,8)+1)</f>
        <v>0</v>
      </c>
      <c r="K556" s="12" cm="1">
        <f t="array" ref="K556">INDEX($B$36:$I$43, INT((COLUMN(AP508)-1)/8)+1, MOD(COLUMN(AP508)-1,8)+1)</f>
        <v>1</v>
      </c>
      <c r="L556" s="12" cm="1">
        <f t="array" ref="L556">INDEX($B$36:$I$43, INT((COLUMN(AQ508)-1)/8)+1, MOD(COLUMN(AQ508)-1,8)+1)</f>
        <v>0</v>
      </c>
      <c r="M556" s="12" cm="1">
        <f t="array" ref="M556">INDEX($B$36:$I$43, INT((COLUMN(AR508)-1)/8)+1, MOD(COLUMN(AR508)-1,8)+1)</f>
        <v>1</v>
      </c>
      <c r="N556" s="12" cm="1">
        <f t="array" ref="N556">INDEX($B$36:$I$43, INT((COLUMN(AS508)-1)/8)+1, MOD(COLUMN(AS508)-1,8)+1)</f>
        <v>0</v>
      </c>
      <c r="O556" s="12" cm="1">
        <f t="array" ref="O556">INDEX($B$36:$I$43, INT((COLUMN(AT508)-1)/8)+1, MOD(COLUMN(AT508)-1,8)+1)</f>
        <v>1</v>
      </c>
      <c r="P556" s="12" cm="1">
        <f t="array" ref="P556">INDEX($B$36:$I$43, INT((COLUMN(AU508)-1)/8)+1, MOD(COLUMN(AU508)-1,8)+1)</f>
        <v>0</v>
      </c>
      <c r="Q556" s="12" cm="1">
        <f t="array" ref="Q556">INDEX($B$36:$I$43, INT((COLUMN(AV508)-1)/8)+1, MOD(COLUMN(AV508)-1,8)+1)</f>
        <v>0</v>
      </c>
      <c r="R556" s="12" cm="1">
        <f t="array" ref="R556">INDEX($B$36:$I$43, INT((COLUMN(AW508)-1)/8)+1, MOD(COLUMN(AW508)-1,8)+1)</f>
        <v>1</v>
      </c>
      <c r="S556" s="12" cm="1">
        <f t="array" ref="S556">INDEX($B$36:$I$43, INT((COLUMN(AX508)-1)/8)+1, MOD(COLUMN(AX508)-1,8)+1)</f>
        <v>1</v>
      </c>
      <c r="T556" s="12" cm="1">
        <f t="array" ref="T556">INDEX($B$36:$I$43, INT((COLUMN(AY508)-1)/8)+1, MOD(COLUMN(AY508)-1,8)+1)</f>
        <v>1</v>
      </c>
      <c r="U556" s="12" cm="1">
        <f t="array" ref="U556">INDEX($B$36:$I$43, INT((COLUMN(AZ508)-1)/8)+1, MOD(COLUMN(AZ508)-1,8)+1)</f>
        <v>1</v>
      </c>
      <c r="V556" s="12" cm="1">
        <f t="array" ref="V556">INDEX($B$36:$I$43, INT((COLUMN(BA508)-1)/8)+1, MOD(COLUMN(BA508)-1,8)+1)</f>
        <v>0</v>
      </c>
      <c r="W556" s="12" cm="1">
        <f t="array" ref="W556">INDEX($B$36:$I$43, INT((COLUMN(BB508)-1)/8)+1, MOD(COLUMN(BB508)-1,8)+1)</f>
        <v>0</v>
      </c>
      <c r="X556" s="12" cm="1">
        <f t="array" ref="X556">INDEX($B$36:$I$43, INT((COLUMN(BC508)-1)/8)+1, MOD(COLUMN(BC508)-1,8)+1)</f>
        <v>0</v>
      </c>
      <c r="Y556" s="12" cm="1">
        <f t="array" ref="Y556">INDEX($B$36:$I$43, INT((COLUMN(BD508)-1)/8)+1, MOD(COLUMN(BD508)-1,8)+1)</f>
        <v>0</v>
      </c>
      <c r="Z556" s="12" cm="1">
        <f t="array" ref="Z556">INDEX($B$36:$I$43, INT((COLUMN(BE508)-1)/8)+1, MOD(COLUMN(BE508)-1,8)+1)</f>
        <v>1</v>
      </c>
      <c r="AA556" s="12" cm="1">
        <f t="array" ref="AA556">INDEX($B$36:$I$43, INT((COLUMN(BF508)-1)/8)+1, MOD(COLUMN(BF508)-1,8)+1)</f>
        <v>0</v>
      </c>
      <c r="AB556" s="12" cm="1">
        <f t="array" ref="AB556">INDEX($B$36:$I$43, INT((COLUMN(BG508)-1)/8)+1, MOD(COLUMN(BG508)-1,8)+1)</f>
        <v>1</v>
      </c>
      <c r="AC556" s="12" cm="1">
        <f t="array" ref="AC556">INDEX($B$36:$I$43, INT((COLUMN(BH508)-1)/8)+1, MOD(COLUMN(BH508)-1,8)+1)</f>
        <v>0</v>
      </c>
      <c r="AD556" s="12" cm="1">
        <f t="array" ref="AD556">INDEX($B$36:$I$43, INT((COLUMN(BI508)-1)/8)+1, MOD(COLUMN(BI508)-1,8)+1)</f>
        <v>1</v>
      </c>
      <c r="AE556" s="12" cm="1">
        <f t="array" ref="AE556">INDEX($B$36:$I$43, INT((COLUMN(BJ508)-1)/8)+1, MOD(COLUMN(BJ508)-1,8)+1)</f>
        <v>0</v>
      </c>
      <c r="AF556" s="12" cm="1">
        <f t="array" ref="AF556">INDEX($B$36:$I$43, INT((COLUMN(BK508)-1)/8)+1, MOD(COLUMN(BK508)-1,8)+1)</f>
        <v>1</v>
      </c>
      <c r="AG556" s="12" cm="1">
        <f t="array" ref="AG556">INDEX($B$36:$I$43, INT((COLUMN(BL508)-1)/8)+1, MOD(COLUMN(BL508)-1,8)+1)</f>
        <v>0</v>
      </c>
    </row>
    <row r="557" spans="1:41">
      <c r="A557" s="12" t="s">
        <v>158</v>
      </c>
      <c r="B557" s="12">
        <f ca="1">_xlfn.BITXOR(B523,J550)</f>
        <v>0</v>
      </c>
      <c r="C557" s="12">
        <f t="shared" ref="C557:AG557" ca="1" si="8">_xlfn.BITXOR(C523,K550)</f>
        <v>0</v>
      </c>
      <c r="D557" s="12">
        <f t="shared" ca="1" si="8"/>
        <v>0</v>
      </c>
      <c r="E557" s="12">
        <f t="shared" ca="1" si="8"/>
        <v>0</v>
      </c>
      <c r="F557" s="12">
        <f t="shared" ca="1" si="8"/>
        <v>1</v>
      </c>
      <c r="G557" s="12">
        <f t="shared" ca="1" si="8"/>
        <v>1</v>
      </c>
      <c r="H557" s="12">
        <f t="shared" ca="1" si="8"/>
        <v>1</v>
      </c>
      <c r="I557" s="12">
        <f t="shared" ca="1" si="8"/>
        <v>1</v>
      </c>
      <c r="J557" s="12">
        <f t="shared" ca="1" si="8"/>
        <v>0</v>
      </c>
      <c r="K557" s="12">
        <f t="shared" ca="1" si="8"/>
        <v>0</v>
      </c>
      <c r="L557" s="12">
        <f t="shared" ca="1" si="8"/>
        <v>1</v>
      </c>
      <c r="M557" s="12">
        <f t="shared" ca="1" si="8"/>
        <v>0</v>
      </c>
      <c r="N557" s="12">
        <f t="shared" ca="1" si="8"/>
        <v>1</v>
      </c>
      <c r="O557" s="12">
        <f t="shared" ca="1" si="8"/>
        <v>1</v>
      </c>
      <c r="P557" s="12">
        <f t="shared" ca="1" si="8"/>
        <v>1</v>
      </c>
      <c r="Q557" s="12">
        <f t="shared" ca="1" si="8"/>
        <v>1</v>
      </c>
      <c r="R557" s="12">
        <f t="shared" ca="1" si="8"/>
        <v>1</v>
      </c>
      <c r="S557" s="12">
        <f t="shared" ca="1" si="8"/>
        <v>0</v>
      </c>
      <c r="T557" s="12">
        <f t="shared" ca="1" si="8"/>
        <v>1</v>
      </c>
      <c r="U557" s="12">
        <f t="shared" ca="1" si="8"/>
        <v>0</v>
      </c>
      <c r="V557" s="12">
        <f t="shared" ca="1" si="8"/>
        <v>1</v>
      </c>
      <c r="W557" s="12">
        <f t="shared" ca="1" si="8"/>
        <v>1</v>
      </c>
      <c r="X557" s="12">
        <f t="shared" ca="1" si="8"/>
        <v>0</v>
      </c>
      <c r="Y557" s="12">
        <f t="shared" ca="1" si="8"/>
        <v>1</v>
      </c>
      <c r="Z557" s="12">
        <f t="shared" ca="1" si="8"/>
        <v>1</v>
      </c>
      <c r="AA557" s="12">
        <f t="shared" ca="1" si="8"/>
        <v>0</v>
      </c>
      <c r="AB557" s="12">
        <f t="shared" ca="1" si="8"/>
        <v>0</v>
      </c>
      <c r="AC557" s="12">
        <f t="shared" ca="1" si="8"/>
        <v>1</v>
      </c>
      <c r="AD557" s="12">
        <f t="shared" ca="1" si="8"/>
        <v>1</v>
      </c>
      <c r="AE557" s="12">
        <f t="shared" ca="1" si="8"/>
        <v>0</v>
      </c>
      <c r="AF557" s="12">
        <f t="shared" ca="1" si="8"/>
        <v>1</v>
      </c>
      <c r="AG557" s="12">
        <f t="shared" ca="1" si="8"/>
        <v>0</v>
      </c>
    </row>
    <row r="559" spans="1:41">
      <c r="A559" s="21" t="s">
        <v>159</v>
      </c>
    </row>
    <row r="560" spans="1:41">
      <c r="A560" s="8" t="s">
        <v>160</v>
      </c>
      <c r="B560" s="12" cm="1">
        <f t="array" aca="1" ref="B560" ca="1">INDEX($B$557:$AG$557, T25)</f>
        <v>0</v>
      </c>
      <c r="C560" s="12" cm="1">
        <f t="array" aca="1" ref="C560" ca="1">INDEX($B$557:$AG$557, U25)</f>
        <v>0</v>
      </c>
      <c r="D560" s="12" cm="1">
        <f t="array" aca="1" ref="D560" ca="1">INDEX($B$557:$AG$557, V25)</f>
        <v>0</v>
      </c>
      <c r="E560" s="12" cm="1">
        <f t="array" aca="1" ref="E560" ca="1">INDEX($B$557:$AG$557, W25)</f>
        <v>0</v>
      </c>
      <c r="F560" s="12" cm="1">
        <f t="array" aca="1" ref="F560" ca="1">INDEX($B$557:$AG$557, X25)</f>
        <v>0</v>
      </c>
      <c r="G560" s="12" cm="1">
        <f t="array" aca="1" ref="G560" ca="1">INDEX($B$557:$AG$557, Y25)</f>
        <v>1</v>
      </c>
    </row>
    <row r="561" spans="1:49">
      <c r="B561" s="12" cm="1">
        <f t="array" aca="1" ref="B561" ca="1">INDEX($B$557:$AG$557, T26)</f>
        <v>0</v>
      </c>
      <c r="C561" s="12" cm="1">
        <f t="array" aca="1" ref="C561" ca="1">INDEX($B$557:$AG$557, U26)</f>
        <v>1</v>
      </c>
      <c r="D561" s="12" cm="1">
        <f t="array" aca="1" ref="D561" ca="1">INDEX($B$557:$AG$557, V26)</f>
        <v>1</v>
      </c>
      <c r="E561" s="12" cm="1">
        <f t="array" aca="1" ref="E561" ca="1">INDEX($B$557:$AG$557, W26)</f>
        <v>1</v>
      </c>
      <c r="F561" s="12" cm="1">
        <f t="array" aca="1" ref="F561" ca="1">INDEX($B$557:$AG$557, X26)</f>
        <v>1</v>
      </c>
      <c r="G561" s="12" cm="1">
        <f t="array" aca="1" ref="G561" ca="1">INDEX($B$557:$AG$557, Y26)</f>
        <v>0</v>
      </c>
    </row>
    <row r="562" spans="1:49">
      <c r="B562" s="12" cm="1">
        <f t="array" aca="1" ref="B562" ca="1">INDEX($B$557:$AG$557, T27)</f>
        <v>1</v>
      </c>
      <c r="C562" s="12" cm="1">
        <f t="array" aca="1" ref="C562" ca="1">INDEX($B$557:$AG$557, U27)</f>
        <v>0</v>
      </c>
      <c r="D562" s="12" cm="1">
        <f t="array" aca="1" ref="D562" ca="1">INDEX($B$557:$AG$557, V27)</f>
        <v>0</v>
      </c>
      <c r="E562" s="12" cm="1">
        <f t="array" aca="1" ref="E562" ca="1">INDEX($B$557:$AG$557, W27)</f>
        <v>1</v>
      </c>
      <c r="F562" s="12" cm="1">
        <f t="array" aca="1" ref="F562" ca="1">INDEX($B$557:$AG$557, X27)</f>
        <v>0</v>
      </c>
      <c r="G562" s="12" cm="1">
        <f t="array" aca="1" ref="G562" ca="1">INDEX($B$557:$AG$557, Y27)</f>
        <v>1</v>
      </c>
    </row>
    <row r="563" spans="1:49">
      <c r="B563" s="12" cm="1">
        <f t="array" aca="1" ref="B563" ca="1">INDEX($B$557:$AG$557, T28)</f>
        <v>0</v>
      </c>
      <c r="C563" s="12" cm="1">
        <f t="array" aca="1" ref="C563" ca="1">INDEX($B$557:$AG$557, U28)</f>
        <v>1</v>
      </c>
      <c r="D563" s="12" cm="1">
        <f t="array" aca="1" ref="D563" ca="1">INDEX($B$557:$AG$557, V28)</f>
        <v>1</v>
      </c>
      <c r="E563" s="12" cm="1">
        <f t="array" aca="1" ref="E563" ca="1">INDEX($B$557:$AG$557, W28)</f>
        <v>1</v>
      </c>
      <c r="F563" s="12" cm="1">
        <f t="array" aca="1" ref="F563" ca="1">INDEX($B$557:$AG$557, X28)</f>
        <v>1</v>
      </c>
      <c r="G563" s="12" cm="1">
        <f t="array" aca="1" ref="G563" ca="1">INDEX($B$557:$AG$557, Y28)</f>
        <v>1</v>
      </c>
    </row>
    <row r="564" spans="1:49">
      <c r="B564" s="12" cm="1">
        <f t="array" aca="1" ref="B564" ca="1">INDEX($B$557:$AG$557, T29)</f>
        <v>1</v>
      </c>
      <c r="C564" s="12" cm="1">
        <f t="array" aca="1" ref="C564" ca="1">INDEX($B$557:$AG$557, U29)</f>
        <v>1</v>
      </c>
      <c r="D564" s="12" cm="1">
        <f t="array" aca="1" ref="D564" ca="1">INDEX($B$557:$AG$557, V29)</f>
        <v>0</v>
      </c>
      <c r="E564" s="12" cm="1">
        <f t="array" aca="1" ref="E564" ca="1">INDEX($B$557:$AG$557, W29)</f>
        <v>1</v>
      </c>
      <c r="F564" s="12" cm="1">
        <f t="array" aca="1" ref="F564" ca="1">INDEX($B$557:$AG$557, X29)</f>
        <v>0</v>
      </c>
      <c r="G564" s="12" cm="1">
        <f t="array" aca="1" ref="G564" ca="1">INDEX($B$557:$AG$557, Y29)</f>
        <v>1</v>
      </c>
    </row>
    <row r="565" spans="1:49">
      <c r="B565" s="12" cm="1">
        <f t="array" aca="1" ref="B565" ca="1">INDEX($B$557:$AG$557, T30)</f>
        <v>0</v>
      </c>
      <c r="C565" s="12" cm="1">
        <f t="array" aca="1" ref="C565" ca="1">INDEX($B$557:$AG$557, U30)</f>
        <v>1</v>
      </c>
      <c r="D565" s="12" cm="1">
        <f t="array" aca="1" ref="D565" ca="1">INDEX($B$557:$AG$557, V30)</f>
        <v>1</v>
      </c>
      <c r="E565" s="12" cm="1">
        <f t="array" aca="1" ref="E565" ca="1">INDEX($B$557:$AG$557, W30)</f>
        <v>0</v>
      </c>
      <c r="F565" s="12" cm="1">
        <f t="array" aca="1" ref="F565" ca="1">INDEX($B$557:$AG$557, X30)</f>
        <v>1</v>
      </c>
      <c r="G565" s="12" cm="1">
        <f t="array" aca="1" ref="G565" ca="1">INDEX($B$557:$AG$557, Y30)</f>
        <v>1</v>
      </c>
    </row>
    <row r="566" spans="1:49">
      <c r="B566" s="12" cm="1">
        <f t="array" aca="1" ref="B566" ca="1">INDEX($B$557:$AG$557, T31)</f>
        <v>1</v>
      </c>
      <c r="C566" s="12" cm="1">
        <f t="array" aca="1" ref="C566" ca="1">INDEX($B$557:$AG$557, U31)</f>
        <v>1</v>
      </c>
      <c r="D566" s="12" cm="1">
        <f t="array" aca="1" ref="D566" ca="1">INDEX($B$557:$AG$557, V31)</f>
        <v>0</v>
      </c>
      <c r="E566" s="12" cm="1">
        <f t="array" aca="1" ref="E566" ca="1">INDEX($B$557:$AG$557, W31)</f>
        <v>0</v>
      </c>
      <c r="F566" s="12" cm="1">
        <f t="array" aca="1" ref="F566" ca="1">INDEX($B$557:$AG$557, X31)</f>
        <v>1</v>
      </c>
      <c r="G566" s="12" cm="1">
        <f t="array" aca="1" ref="G566" ca="1">INDEX($B$557:$AG$557, Y31)</f>
        <v>1</v>
      </c>
    </row>
    <row r="567" spans="1:49">
      <c r="B567" s="12" cm="1">
        <f t="array" aca="1" ref="B567" ca="1">INDEX($B$557:$AG$557, T32)</f>
        <v>1</v>
      </c>
      <c r="C567" s="12" cm="1">
        <f t="array" aca="1" ref="C567" ca="1">INDEX($B$557:$AG$557, U32)</f>
        <v>1</v>
      </c>
      <c r="D567" s="12" cm="1">
        <f t="array" aca="1" ref="D567" ca="1">INDEX($B$557:$AG$557, V32)</f>
        <v>0</v>
      </c>
      <c r="E567" s="12" cm="1">
        <f t="array" aca="1" ref="E567" ca="1">INDEX($B$557:$AG$557, W32)</f>
        <v>1</v>
      </c>
      <c r="F567" s="12" cm="1">
        <f t="array" aca="1" ref="F567" ca="1">INDEX($B$557:$AG$557, X32)</f>
        <v>0</v>
      </c>
      <c r="G567" s="12" cm="1">
        <f t="array" aca="1" ref="G567" ca="1">INDEX($B$557:$AG$557, Y32)</f>
        <v>0</v>
      </c>
    </row>
    <row r="569" spans="1:49">
      <c r="A569" s="12" t="s">
        <v>3</v>
      </c>
      <c r="B569" s="12">
        <v>1</v>
      </c>
      <c r="C569" s="12">
        <v>2</v>
      </c>
      <c r="D569" s="12">
        <v>3</v>
      </c>
      <c r="E569" s="12">
        <v>4</v>
      </c>
      <c r="F569" s="12">
        <v>5</v>
      </c>
      <c r="G569" s="12">
        <v>6</v>
      </c>
      <c r="H569" s="12">
        <v>7</v>
      </c>
      <c r="I569" s="12">
        <v>8</v>
      </c>
      <c r="J569" s="12">
        <v>9</v>
      </c>
      <c r="K569" s="12">
        <v>10</v>
      </c>
      <c r="L569" s="12">
        <v>11</v>
      </c>
      <c r="M569" s="12">
        <v>12</v>
      </c>
      <c r="N569" s="12">
        <v>13</v>
      </c>
      <c r="O569" s="12">
        <v>14</v>
      </c>
      <c r="P569" s="12">
        <v>15</v>
      </c>
      <c r="Q569" s="12">
        <v>16</v>
      </c>
      <c r="R569" s="12">
        <v>17</v>
      </c>
      <c r="S569" s="12">
        <v>18</v>
      </c>
      <c r="T569" s="12">
        <v>19</v>
      </c>
      <c r="U569" s="12">
        <v>20</v>
      </c>
      <c r="V569" s="12">
        <v>21</v>
      </c>
      <c r="W569" s="12">
        <v>22</v>
      </c>
      <c r="X569" s="12">
        <v>23</v>
      </c>
      <c r="Y569" s="12">
        <v>24</v>
      </c>
      <c r="Z569" s="12">
        <v>25</v>
      </c>
      <c r="AA569" s="12">
        <v>26</v>
      </c>
      <c r="AB569" s="12">
        <v>27</v>
      </c>
      <c r="AC569" s="12">
        <v>28</v>
      </c>
      <c r="AD569" s="12">
        <v>29</v>
      </c>
      <c r="AE569" s="12">
        <v>30</v>
      </c>
      <c r="AF569" s="12">
        <v>31</v>
      </c>
      <c r="AG569" s="12">
        <v>32</v>
      </c>
      <c r="AH569" s="12">
        <v>33</v>
      </c>
      <c r="AI569" s="12">
        <v>34</v>
      </c>
      <c r="AJ569" s="12">
        <v>35</v>
      </c>
      <c r="AK569" s="12">
        <v>36</v>
      </c>
      <c r="AL569" s="12">
        <v>37</v>
      </c>
      <c r="AM569" s="12">
        <v>38</v>
      </c>
      <c r="AN569" s="12">
        <v>39</v>
      </c>
      <c r="AO569" s="12">
        <v>40</v>
      </c>
      <c r="AP569" s="12">
        <v>41</v>
      </c>
      <c r="AQ569" s="12">
        <v>42</v>
      </c>
      <c r="AR569" s="12">
        <v>43</v>
      </c>
      <c r="AS569" s="12">
        <v>44</v>
      </c>
      <c r="AT569" s="12">
        <v>45</v>
      </c>
      <c r="AU569" s="12">
        <v>46</v>
      </c>
      <c r="AV569" s="12">
        <v>47</v>
      </c>
      <c r="AW569" s="12">
        <v>48</v>
      </c>
    </row>
    <row r="570" spans="1:49">
      <c r="A570" s="7" t="s">
        <v>160</v>
      </c>
      <c r="B570" s="16" cm="1">
        <f t="array" aca="1" ref="B570" ca="1">INDEX($B$560:$G567, INT((COLUMN(A426)-1)/6)+1, MOD(COLUMN(A426)-1,6)+1)</f>
        <v>0</v>
      </c>
      <c r="C570" s="16" cm="1">
        <f t="array" aca="1" ref="C570" ca="1">INDEX($B$560:$G567, INT((COLUMN(B426)-1)/6)+1, MOD(COLUMN(B426)-1,6)+1)</f>
        <v>0</v>
      </c>
      <c r="D570" s="16" cm="1">
        <f t="array" aca="1" ref="D570" ca="1">INDEX($B$560:$G567, INT((COLUMN(C426)-1)/6)+1, MOD(COLUMN(C426)-1,6)+1)</f>
        <v>0</v>
      </c>
      <c r="E570" s="16" cm="1">
        <f t="array" aca="1" ref="E570" ca="1">INDEX($B$560:$G567, INT((COLUMN(D426)-1)/6)+1, MOD(COLUMN(D426)-1,6)+1)</f>
        <v>0</v>
      </c>
      <c r="F570" s="16" cm="1">
        <f t="array" aca="1" ref="F570" ca="1">INDEX($B$560:$G567, INT((COLUMN(E426)-1)/6)+1, MOD(COLUMN(E426)-1,6)+1)</f>
        <v>0</v>
      </c>
      <c r="G570" s="16" cm="1">
        <f t="array" aca="1" ref="G570" ca="1">INDEX($B$560:$G567, INT((COLUMN(F426)-1)/6)+1, MOD(COLUMN(F426)-1,6)+1)</f>
        <v>1</v>
      </c>
      <c r="H570" s="16" cm="1">
        <f t="array" aca="1" ref="H570" ca="1">INDEX($B$560:$G567, INT((COLUMN(G426)-1)/6)+1, MOD(COLUMN(G426)-1,6)+1)</f>
        <v>0</v>
      </c>
      <c r="I570" s="16" cm="1">
        <f t="array" aca="1" ref="I570" ca="1">INDEX($B$560:$G567, INT((COLUMN(H426)-1)/6)+1, MOD(COLUMN(H426)-1,6)+1)</f>
        <v>1</v>
      </c>
      <c r="J570" s="16" cm="1">
        <f t="array" aca="1" ref="J570" ca="1">INDEX($B$560:$G567, INT((COLUMN(I426)-1)/6)+1, MOD(COLUMN(I426)-1,6)+1)</f>
        <v>1</v>
      </c>
      <c r="K570" s="16" cm="1">
        <f t="array" aca="1" ref="K570" ca="1">INDEX($B$560:$G567, INT((COLUMN(J426)-1)/6)+1, MOD(COLUMN(J426)-1,6)+1)</f>
        <v>1</v>
      </c>
      <c r="L570" s="16" cm="1">
        <f t="array" aca="1" ref="L570" ca="1">INDEX($B$560:$G567, INT((COLUMN(K426)-1)/6)+1, MOD(COLUMN(K426)-1,6)+1)</f>
        <v>1</v>
      </c>
      <c r="M570" s="16" cm="1">
        <f t="array" aca="1" ref="M570" ca="1">INDEX($B$560:$G567, INT((COLUMN(L426)-1)/6)+1, MOD(COLUMN(L426)-1,6)+1)</f>
        <v>0</v>
      </c>
      <c r="N570" s="16" cm="1">
        <f t="array" aca="1" ref="N570" ca="1">INDEX($B$560:$G567, INT((COLUMN(M426)-1)/6)+1, MOD(COLUMN(M426)-1,6)+1)</f>
        <v>1</v>
      </c>
      <c r="O570" s="16" cm="1">
        <f t="array" aca="1" ref="O570" ca="1">INDEX($B$560:$G567, INT((COLUMN(N426)-1)/6)+1, MOD(COLUMN(N426)-1,6)+1)</f>
        <v>0</v>
      </c>
      <c r="P570" s="16" cm="1">
        <f t="array" aca="1" ref="P570" ca="1">INDEX($B$560:$G567, INT((COLUMN(O426)-1)/6)+1, MOD(COLUMN(O426)-1,6)+1)</f>
        <v>0</v>
      </c>
      <c r="Q570" s="16" cm="1">
        <f t="array" aca="1" ref="Q570" ca="1">INDEX($B$560:$G567, INT((COLUMN(P426)-1)/6)+1, MOD(COLUMN(P426)-1,6)+1)</f>
        <v>1</v>
      </c>
      <c r="R570" s="16" cm="1">
        <f t="array" aca="1" ref="R570" ca="1">INDEX($B$560:$G567, INT((COLUMN(Q426)-1)/6)+1, MOD(COLUMN(Q426)-1,6)+1)</f>
        <v>0</v>
      </c>
      <c r="S570" s="16" cm="1">
        <f t="array" aca="1" ref="S570" ca="1">INDEX($B$560:$G567, INT((COLUMN(R426)-1)/6)+1, MOD(COLUMN(R426)-1,6)+1)</f>
        <v>1</v>
      </c>
      <c r="T570" s="16" cm="1">
        <f t="array" aca="1" ref="T570" ca="1">INDEX($B$560:$G567, INT((COLUMN(S426)-1)/6)+1, MOD(COLUMN(S426)-1,6)+1)</f>
        <v>0</v>
      </c>
      <c r="U570" s="16" cm="1">
        <f t="array" aca="1" ref="U570" ca="1">INDEX($B$560:$G567, INT((COLUMN(T426)-1)/6)+1, MOD(COLUMN(T426)-1,6)+1)</f>
        <v>1</v>
      </c>
      <c r="V570" s="16" cm="1">
        <f t="array" aca="1" ref="V570" ca="1">INDEX($B$560:$G567, INT((COLUMN(U426)-1)/6)+1, MOD(COLUMN(U426)-1,6)+1)</f>
        <v>1</v>
      </c>
      <c r="W570" s="16" cm="1">
        <f t="array" aca="1" ref="W570" ca="1">INDEX($B$560:$G567, INT((COLUMN(V426)-1)/6)+1, MOD(COLUMN(V426)-1,6)+1)</f>
        <v>1</v>
      </c>
      <c r="X570" s="16" cm="1">
        <f t="array" aca="1" ref="X570" ca="1">INDEX($B$560:$G567, INT((COLUMN(W426)-1)/6)+1, MOD(COLUMN(W426)-1,6)+1)</f>
        <v>1</v>
      </c>
      <c r="Y570" s="16" cm="1">
        <f t="array" aca="1" ref="Y570" ca="1">INDEX($B$560:$G567, INT((COLUMN(X426)-1)/6)+1, MOD(COLUMN(X426)-1,6)+1)</f>
        <v>1</v>
      </c>
      <c r="Z570" s="16" cm="1">
        <f t="array" aca="1" ref="Z570" ca="1">INDEX($B$560:$G567, INT((COLUMN(Y426)-1)/6)+1, MOD(COLUMN(Y426)-1,6)+1)</f>
        <v>1</v>
      </c>
      <c r="AA570" s="16" cm="1">
        <f t="array" aca="1" ref="AA570" ca="1">INDEX($B$560:$G567, INT((COLUMN(Z426)-1)/6)+1, MOD(COLUMN(Z426)-1,6)+1)</f>
        <v>1</v>
      </c>
      <c r="AB570" s="16" cm="1">
        <f t="array" aca="1" ref="AB570" ca="1">INDEX($B$560:$G567, INT((COLUMN(AA426)-1)/6)+1, MOD(COLUMN(AA426)-1,6)+1)</f>
        <v>0</v>
      </c>
      <c r="AC570" s="16" cm="1">
        <f t="array" aca="1" ref="AC570" ca="1">INDEX($B$560:$G567, INT((COLUMN(AB426)-1)/6)+1, MOD(COLUMN(AB426)-1,6)+1)</f>
        <v>1</v>
      </c>
      <c r="AD570" s="16" cm="1">
        <f t="array" aca="1" ref="AD570" ca="1">INDEX($B$560:$G567, INT((COLUMN(AC426)-1)/6)+1, MOD(COLUMN(AC426)-1,6)+1)</f>
        <v>0</v>
      </c>
      <c r="AE570" s="16" cm="1">
        <f t="array" aca="1" ref="AE570" ca="1">INDEX($B$560:$G567, INT((COLUMN(AD426)-1)/6)+1, MOD(COLUMN(AD426)-1,6)+1)</f>
        <v>1</v>
      </c>
      <c r="AF570" s="16" cm="1">
        <f t="array" aca="1" ref="AF570" ca="1">INDEX($B$560:$G567, INT((COLUMN(AE426)-1)/6)+1, MOD(COLUMN(AE426)-1,6)+1)</f>
        <v>0</v>
      </c>
      <c r="AG570" s="16" cm="1">
        <f t="array" aca="1" ref="AG570" ca="1">INDEX($B$560:$G567, INT((COLUMN(AF426)-1)/6)+1, MOD(COLUMN(AF426)-1,6)+1)</f>
        <v>1</v>
      </c>
      <c r="AH570" s="16" cm="1">
        <f t="array" aca="1" ref="AH570" ca="1">INDEX($B$560:$G567, INT((COLUMN(AG426)-1)/6)+1, MOD(COLUMN(AG426)-1,6)+1)</f>
        <v>1</v>
      </c>
      <c r="AI570" s="16" cm="1">
        <f t="array" aca="1" ref="AI570" ca="1">INDEX($B$560:$G567, INT((COLUMN(AH426)-1)/6)+1, MOD(COLUMN(AH426)-1,6)+1)</f>
        <v>0</v>
      </c>
      <c r="AJ570" s="16" cm="1">
        <f t="array" aca="1" ref="AJ570" ca="1">INDEX($B$560:$G567, INT((COLUMN(AI426)-1)/6)+1, MOD(COLUMN(AI426)-1,6)+1)</f>
        <v>1</v>
      </c>
      <c r="AK570" s="16" cm="1">
        <f t="array" aca="1" ref="AK570" ca="1">INDEX($B$560:$G567, INT((COLUMN(AJ426)-1)/6)+1, MOD(COLUMN(AJ426)-1,6)+1)</f>
        <v>1</v>
      </c>
      <c r="AL570" s="16" cm="1">
        <f t="array" aca="1" ref="AL570" ca="1">INDEX($B$560:$G567, INT((COLUMN(AK426)-1)/6)+1, MOD(COLUMN(AK426)-1,6)+1)</f>
        <v>1</v>
      </c>
      <c r="AM570" s="16" cm="1">
        <f t="array" aca="1" ref="AM570" ca="1">INDEX($B$560:$G567, INT((COLUMN(AL426)-1)/6)+1, MOD(COLUMN(AL426)-1,6)+1)</f>
        <v>1</v>
      </c>
      <c r="AN570" s="16" cm="1">
        <f t="array" aca="1" ref="AN570" ca="1">INDEX($B$560:$G567, INT((COLUMN(AM426)-1)/6)+1, MOD(COLUMN(AM426)-1,6)+1)</f>
        <v>0</v>
      </c>
      <c r="AO570" s="16" cm="1">
        <f t="array" aca="1" ref="AO570" ca="1">INDEX($B$560:$G567, INT((COLUMN(AN426)-1)/6)+1, MOD(COLUMN(AN426)-1,6)+1)</f>
        <v>0</v>
      </c>
      <c r="AP570" s="16" cm="1">
        <f t="array" aca="1" ref="AP570" ca="1">INDEX($B$560:$G567, INT((COLUMN(AO426)-1)/6)+1, MOD(COLUMN(AO426)-1,6)+1)</f>
        <v>1</v>
      </c>
      <c r="AQ570" s="16" cm="1">
        <f t="array" aca="1" ref="AQ570" ca="1">INDEX($B$560:$G567, INT((COLUMN(AP426)-1)/6)+1, MOD(COLUMN(AP426)-1,6)+1)</f>
        <v>1</v>
      </c>
      <c r="AR570" s="16" cm="1">
        <f t="array" aca="1" ref="AR570" ca="1">INDEX($B$560:$G567, INT((COLUMN(AQ426)-1)/6)+1, MOD(COLUMN(AQ426)-1,6)+1)</f>
        <v>1</v>
      </c>
      <c r="AS570" s="16" cm="1">
        <f t="array" aca="1" ref="AS570" ca="1">INDEX($B$560:$G567, INT((COLUMN(AR426)-1)/6)+1, MOD(COLUMN(AR426)-1,6)+1)</f>
        <v>1</v>
      </c>
      <c r="AT570" s="16" cm="1">
        <f t="array" aca="1" ref="AT570" ca="1">INDEX($B$560:$G567, INT((COLUMN(AS426)-1)/6)+1, MOD(COLUMN(AS426)-1,6)+1)</f>
        <v>0</v>
      </c>
      <c r="AU570" s="16" cm="1">
        <f t="array" aca="1" ref="AU570" ca="1">INDEX($B$560:$G567, INT((COLUMN(AT426)-1)/6)+1, MOD(COLUMN(AT426)-1,6)+1)</f>
        <v>1</v>
      </c>
      <c r="AV570" s="16" cm="1">
        <f t="array" aca="1" ref="AV570" ca="1">INDEX($B$560:$G567, INT((COLUMN(AU426)-1)/6)+1, MOD(COLUMN(AU426)-1,6)+1)</f>
        <v>0</v>
      </c>
      <c r="AW570" s="16" cm="1">
        <f t="array" aca="1" ref="AW570" ca="1">INDEX($B$560:$G567, INT((COLUMN(AV426)-1)/6)+1, MOD(COLUMN(AV426)-1,6)+1)</f>
        <v>0</v>
      </c>
    </row>
    <row r="571" spans="1:49">
      <c r="A571" s="19"/>
    </row>
    <row r="572" spans="1:49">
      <c r="A572" s="12" t="s">
        <v>3</v>
      </c>
      <c r="B572" s="12">
        <v>1</v>
      </c>
      <c r="C572" s="12">
        <v>2</v>
      </c>
      <c r="D572" s="12">
        <v>3</v>
      </c>
      <c r="E572" s="12">
        <v>4</v>
      </c>
      <c r="F572" s="12">
        <v>5</v>
      </c>
      <c r="G572" s="12">
        <v>6</v>
      </c>
      <c r="H572" s="12">
        <v>7</v>
      </c>
      <c r="I572" s="12">
        <v>8</v>
      </c>
      <c r="J572" s="12">
        <v>9</v>
      </c>
      <c r="K572" s="12">
        <v>10</v>
      </c>
      <c r="L572" s="12">
        <v>11</v>
      </c>
      <c r="M572" s="12">
        <v>12</v>
      </c>
      <c r="N572" s="12">
        <v>13</v>
      </c>
      <c r="O572" s="12">
        <v>14</v>
      </c>
      <c r="P572" s="12">
        <v>15</v>
      </c>
      <c r="Q572" s="12">
        <v>16</v>
      </c>
      <c r="R572" s="12">
        <v>17</v>
      </c>
      <c r="S572" s="12">
        <v>18</v>
      </c>
      <c r="T572" s="12">
        <v>19</v>
      </c>
      <c r="U572" s="12">
        <v>20</v>
      </c>
      <c r="V572" s="12">
        <v>21</v>
      </c>
      <c r="W572" s="12">
        <v>22</v>
      </c>
      <c r="X572" s="12">
        <v>23</v>
      </c>
      <c r="Y572" s="12">
        <v>24</v>
      </c>
      <c r="Z572" s="12">
        <v>25</v>
      </c>
      <c r="AA572" s="12">
        <v>26</v>
      </c>
      <c r="AB572" s="12">
        <v>27</v>
      </c>
      <c r="AC572" s="12">
        <v>28</v>
      </c>
      <c r="AD572" s="12">
        <v>29</v>
      </c>
      <c r="AE572" s="12">
        <v>30</v>
      </c>
      <c r="AF572" s="12">
        <v>31</v>
      </c>
      <c r="AG572" s="12">
        <v>32</v>
      </c>
      <c r="AH572" s="12">
        <v>33</v>
      </c>
      <c r="AI572" s="12">
        <v>34</v>
      </c>
      <c r="AJ572" s="12">
        <v>35</v>
      </c>
      <c r="AK572" s="12">
        <v>36</v>
      </c>
      <c r="AL572" s="12">
        <v>37</v>
      </c>
      <c r="AM572" s="12">
        <v>38</v>
      </c>
      <c r="AN572" s="12">
        <v>39</v>
      </c>
      <c r="AO572" s="12">
        <v>40</v>
      </c>
      <c r="AP572" s="12">
        <v>41</v>
      </c>
      <c r="AQ572" s="12">
        <v>42</v>
      </c>
      <c r="AR572" s="12">
        <v>43</v>
      </c>
      <c r="AS572" s="12">
        <v>44</v>
      </c>
      <c r="AT572" s="12">
        <v>45</v>
      </c>
      <c r="AU572" s="12">
        <v>46</v>
      </c>
      <c r="AV572" s="12">
        <v>47</v>
      </c>
      <c r="AW572" s="12">
        <v>48</v>
      </c>
    </row>
    <row r="573" spans="1:49">
      <c r="A573" s="7" t="s">
        <v>161</v>
      </c>
      <c r="B573" s="16">
        <f ca="1">_xlfn.BITXOR(B570, B126)</f>
        <v>0</v>
      </c>
      <c r="C573" s="16">
        <f t="shared" ref="C573:AG573" ca="1" si="9">_xlfn.BITXOR(C570, C126)</f>
        <v>1</v>
      </c>
      <c r="D573" s="16">
        <f t="shared" ca="1" si="9"/>
        <v>1</v>
      </c>
      <c r="E573" s="16">
        <f t="shared" ca="1" si="9"/>
        <v>0</v>
      </c>
      <c r="F573" s="16">
        <f t="shared" ca="1" si="9"/>
        <v>1</v>
      </c>
      <c r="G573" s="16">
        <f t="shared" ca="1" si="9"/>
        <v>1</v>
      </c>
      <c r="H573" s="16">
        <f t="shared" ca="1" si="9"/>
        <v>0</v>
      </c>
      <c r="I573" s="16">
        <f t="shared" ca="1" si="9"/>
        <v>0</v>
      </c>
      <c r="J573" s="16">
        <f t="shared" ca="1" si="9"/>
        <v>0</v>
      </c>
      <c r="K573" s="16">
        <f t="shared" ca="1" si="9"/>
        <v>1</v>
      </c>
      <c r="L573" s="16">
        <f t="shared" ca="1" si="9"/>
        <v>0</v>
      </c>
      <c r="M573" s="16">
        <f t="shared" ca="1" si="9"/>
        <v>0</v>
      </c>
      <c r="N573" s="16">
        <f t="shared" ca="1" si="9"/>
        <v>0</v>
      </c>
      <c r="O573" s="16">
        <f t="shared" ca="1" si="9"/>
        <v>1</v>
      </c>
      <c r="P573" s="16">
        <f t="shared" ca="1" si="9"/>
        <v>1</v>
      </c>
      <c r="Q573" s="16">
        <f t="shared" ca="1" si="9"/>
        <v>1</v>
      </c>
      <c r="R573" s="16">
        <f t="shared" ca="1" si="9"/>
        <v>1</v>
      </c>
      <c r="S573" s="16">
        <f t="shared" ca="1" si="9"/>
        <v>0</v>
      </c>
      <c r="T573" s="16">
        <f t="shared" ca="1" si="9"/>
        <v>0</v>
      </c>
      <c r="U573" s="16">
        <f t="shared" ca="1" si="9"/>
        <v>0</v>
      </c>
      <c r="V573" s="16">
        <f t="shared" ca="1" si="9"/>
        <v>0</v>
      </c>
      <c r="W573" s="16">
        <f t="shared" ca="1" si="9"/>
        <v>1</v>
      </c>
      <c r="X573" s="16">
        <f t="shared" ca="1" si="9"/>
        <v>1</v>
      </c>
      <c r="Y573" s="16">
        <f t="shared" ca="1" si="9"/>
        <v>0</v>
      </c>
      <c r="Z573" s="16">
        <f t="shared" ca="1" si="9"/>
        <v>1</v>
      </c>
      <c r="AA573" s="16">
        <f t="shared" ca="1" si="9"/>
        <v>1</v>
      </c>
      <c r="AB573" s="16">
        <f t="shared" ca="1" si="9"/>
        <v>1</v>
      </c>
      <c r="AC573" s="16">
        <f t="shared" ca="1" si="9"/>
        <v>1</v>
      </c>
      <c r="AD573" s="16">
        <f t="shared" ca="1" si="9"/>
        <v>0</v>
      </c>
      <c r="AE573" s="16">
        <f t="shared" ca="1" si="9"/>
        <v>0</v>
      </c>
      <c r="AF573" s="16">
        <f t="shared" ca="1" si="9"/>
        <v>0</v>
      </c>
      <c r="AG573" s="16">
        <f t="shared" ca="1" si="9"/>
        <v>0</v>
      </c>
      <c r="AH573" s="16">
        <f t="shared" ref="AH573:AW573" ca="1" si="10">_xlfn.BITXOR(AH570, AH126)</f>
        <v>0</v>
      </c>
      <c r="AI573" s="16">
        <f t="shared" ca="1" si="10"/>
        <v>1</v>
      </c>
      <c r="AJ573" s="16">
        <f t="shared" ca="1" si="10"/>
        <v>0</v>
      </c>
      <c r="AK573" s="16">
        <f t="shared" ca="1" si="10"/>
        <v>1</v>
      </c>
      <c r="AL573" s="16">
        <f t="shared" ca="1" si="10"/>
        <v>0</v>
      </c>
      <c r="AM573" s="16">
        <f t="shared" ca="1" si="10"/>
        <v>1</v>
      </c>
      <c r="AN573" s="16">
        <f t="shared" ca="1" si="10"/>
        <v>1</v>
      </c>
      <c r="AO573" s="16">
        <f t="shared" ca="1" si="10"/>
        <v>0</v>
      </c>
      <c r="AP573" s="16">
        <f t="shared" ca="1" si="10"/>
        <v>1</v>
      </c>
      <c r="AQ573" s="16">
        <f t="shared" ca="1" si="10"/>
        <v>0</v>
      </c>
      <c r="AR573" s="16">
        <f t="shared" ca="1" si="10"/>
        <v>0</v>
      </c>
      <c r="AS573" s="16">
        <f t="shared" ca="1" si="10"/>
        <v>1</v>
      </c>
      <c r="AT573" s="16">
        <f t="shared" ca="1" si="10"/>
        <v>0</v>
      </c>
      <c r="AU573" s="16">
        <f t="shared" ca="1" si="10"/>
        <v>0</v>
      </c>
      <c r="AV573" s="16">
        <f t="shared" ca="1" si="10"/>
        <v>1</v>
      </c>
      <c r="AW573" s="16">
        <f t="shared" ca="1" si="10"/>
        <v>0</v>
      </c>
    </row>
    <row r="575" spans="1:49">
      <c r="A575" s="27" t="s">
        <v>136</v>
      </c>
      <c r="B575" s="27" t="s">
        <v>137</v>
      </c>
      <c r="C575" s="27"/>
      <c r="D575" s="27" t="s">
        <v>141</v>
      </c>
      <c r="E575" s="27" t="s">
        <v>142</v>
      </c>
      <c r="F575" s="28" t="s">
        <v>138</v>
      </c>
      <c r="G575" s="28"/>
      <c r="I575" s="5" t="s">
        <v>162</v>
      </c>
    </row>
    <row r="576" spans="1:49">
      <c r="A576" s="27"/>
      <c r="B576" s="27"/>
      <c r="C576" s="27"/>
      <c r="D576" s="27"/>
      <c r="E576" s="27"/>
      <c r="F576" s="7" t="s">
        <v>139</v>
      </c>
      <c r="G576" s="7" t="s">
        <v>140</v>
      </c>
    </row>
    <row r="577" spans="1:41">
      <c r="A577" s="7">
        <v>1</v>
      </c>
      <c r="B577" s="29" t="str">
        <f ca="1">_xlfn.TEXTJOIN("", TRUE, OFFSET($B$573,0,(ROW(A1)-1)*6,1,6))</f>
        <v>011011</v>
      </c>
      <c r="C577" s="30"/>
      <c r="D577" s="7">
        <f ca="1">BIN2DEC(LEFT(B577,1) &amp; RIGHT(B577,1))</f>
        <v>1</v>
      </c>
      <c r="E577" s="12">
        <f ca="1">BIN2DEC(MID(B577,2,4))</f>
        <v>13</v>
      </c>
      <c r="F577" s="12" cm="1">
        <f t="array" aca="1" ref="F577" ca="1">INDEX(OFFSET('S-box'!$A$2, (A577-1)*6, 0, 4, 16), D577+1, E577+1)</f>
        <v>5</v>
      </c>
      <c r="G577" s="17" t="str">
        <f ca="1">DEC2BIN(F577, 4)</f>
        <v>0101</v>
      </c>
      <c r="I577" s="12" t="s">
        <v>3</v>
      </c>
      <c r="J577" s="12">
        <v>1</v>
      </c>
      <c r="K577" s="12">
        <v>2</v>
      </c>
      <c r="L577" s="12">
        <v>3</v>
      </c>
      <c r="M577" s="12">
        <v>4</v>
      </c>
      <c r="N577" s="12">
        <v>5</v>
      </c>
      <c r="O577" s="12">
        <v>6</v>
      </c>
      <c r="P577" s="12">
        <v>7</v>
      </c>
      <c r="Q577" s="12">
        <v>8</v>
      </c>
      <c r="R577" s="12">
        <v>9</v>
      </c>
      <c r="S577" s="12">
        <v>10</v>
      </c>
      <c r="T577" s="12">
        <v>11</v>
      </c>
      <c r="U577" s="12">
        <v>12</v>
      </c>
      <c r="V577" s="12">
        <v>13</v>
      </c>
      <c r="W577" s="12">
        <v>14</v>
      </c>
      <c r="X577" s="12">
        <v>15</v>
      </c>
      <c r="Y577" s="12">
        <v>16</v>
      </c>
      <c r="Z577" s="12">
        <v>17</v>
      </c>
      <c r="AA577" s="12">
        <v>18</v>
      </c>
      <c r="AB577" s="12">
        <v>19</v>
      </c>
      <c r="AC577" s="12">
        <v>20</v>
      </c>
      <c r="AD577" s="12">
        <v>21</v>
      </c>
      <c r="AE577" s="12">
        <v>22</v>
      </c>
      <c r="AF577" s="12">
        <v>23</v>
      </c>
      <c r="AG577" s="12">
        <v>24</v>
      </c>
      <c r="AH577" s="12">
        <v>25</v>
      </c>
      <c r="AI577" s="12">
        <v>26</v>
      </c>
      <c r="AJ577" s="12">
        <v>27</v>
      </c>
      <c r="AK577" s="12">
        <v>28</v>
      </c>
      <c r="AL577" s="12">
        <v>29</v>
      </c>
      <c r="AM577" s="12">
        <v>30</v>
      </c>
      <c r="AN577" s="12">
        <v>31</v>
      </c>
      <c r="AO577" s="12">
        <v>32</v>
      </c>
    </row>
    <row r="578" spans="1:41">
      <c r="A578" s="7">
        <v>2</v>
      </c>
      <c r="B578" s="29" t="str">
        <f t="shared" ref="B578:B584" ca="1" si="11">_xlfn.TEXTJOIN("", TRUE, OFFSET($B$573,0,(ROW(A2)-1)*6,1,6))</f>
        <v>000100</v>
      </c>
      <c r="C578" s="30"/>
      <c r="D578" s="7">
        <f t="shared" ref="D578:D584" ca="1" si="12">BIN2DEC(LEFT(B578,1) &amp; RIGHT(B578,1))</f>
        <v>0</v>
      </c>
      <c r="E578" s="12">
        <f t="shared" ref="E578:E584" ca="1" si="13">BIN2DEC(MID(B578,2,4))</f>
        <v>2</v>
      </c>
      <c r="F578" s="12" cm="1">
        <f t="array" aca="1" ref="F578" ca="1">INDEX(OFFSET('S-box'!$A$2, (A578-1)*6, 0, 4, 16), D578+1, E578+1)</f>
        <v>8</v>
      </c>
      <c r="G578" s="17" t="str">
        <f t="shared" ref="G578:G584" ca="1" si="14">DEC2BIN(F578, 4)</f>
        <v>1000</v>
      </c>
      <c r="I578" s="12" t="s">
        <v>152</v>
      </c>
      <c r="J578" s="12" t="str">
        <f ca="1">MID(_xlfn.TEXTJOIN("",TRUE,$G$577:$G$584), COLUMN(A34), 1)</f>
        <v>0</v>
      </c>
      <c r="K578" s="12" t="str">
        <f t="shared" ref="K578:AG578" ca="1" si="15">MID(_xlfn.TEXTJOIN("",TRUE,$G$577:$G$584), COLUMN(B34), 1)</f>
        <v>1</v>
      </c>
      <c r="L578" s="12" t="str">
        <f t="shared" ca="1" si="15"/>
        <v>0</v>
      </c>
      <c r="M578" s="12" t="str">
        <f t="shared" ca="1" si="15"/>
        <v>1</v>
      </c>
      <c r="N578" s="12" t="str">
        <f t="shared" ca="1" si="15"/>
        <v>1</v>
      </c>
      <c r="O578" s="12" t="str">
        <f t="shared" ca="1" si="15"/>
        <v>0</v>
      </c>
      <c r="P578" s="12" t="str">
        <f t="shared" ca="1" si="15"/>
        <v>0</v>
      </c>
      <c r="Q578" s="12" t="str">
        <f t="shared" ca="1" si="15"/>
        <v>0</v>
      </c>
      <c r="R578" s="12" t="str">
        <f t="shared" ca="1" si="15"/>
        <v>1</v>
      </c>
      <c r="S578" s="12" t="str">
        <f t="shared" ca="1" si="15"/>
        <v>0</v>
      </c>
      <c r="T578" s="12" t="str">
        <f t="shared" ca="1" si="15"/>
        <v>0</v>
      </c>
      <c r="U578" s="12" t="str">
        <f t="shared" ca="1" si="15"/>
        <v>0</v>
      </c>
      <c r="V578" s="12" t="str">
        <f t="shared" ca="1" si="15"/>
        <v>0</v>
      </c>
      <c r="W578" s="12" t="str">
        <f t="shared" ca="1" si="15"/>
        <v>0</v>
      </c>
      <c r="X578" s="12" t="str">
        <f t="shared" ca="1" si="15"/>
        <v>1</v>
      </c>
      <c r="Y578" s="12" t="str">
        <f t="shared" ca="1" si="15"/>
        <v>1</v>
      </c>
      <c r="Z578" s="12" t="str">
        <f t="shared" ca="1" si="15"/>
        <v>0</v>
      </c>
      <c r="AA578" s="12" t="str">
        <f t="shared" ca="1" si="15"/>
        <v>0</v>
      </c>
      <c r="AB578" s="12" t="str">
        <f t="shared" ca="1" si="15"/>
        <v>0</v>
      </c>
      <c r="AC578" s="12" t="str">
        <f t="shared" ca="1" si="15"/>
        <v>0</v>
      </c>
      <c r="AD578" s="12" t="str">
        <f t="shared" ca="1" si="15"/>
        <v>0</v>
      </c>
      <c r="AE578" s="12" t="str">
        <f t="shared" ca="1" si="15"/>
        <v>1</v>
      </c>
      <c r="AF578" s="12" t="str">
        <f t="shared" ca="1" si="15"/>
        <v>0</v>
      </c>
      <c r="AG578" s="12" t="str">
        <f t="shared" ca="1" si="15"/>
        <v>0</v>
      </c>
      <c r="AH578" s="12" t="str">
        <f t="shared" ref="AH578" ca="1" si="16">MID(_xlfn.TEXTJOIN("",TRUE,$G$577:$G$584), COLUMN(Y34), 1)</f>
        <v>1</v>
      </c>
      <c r="AI578" s="12" t="str">
        <f t="shared" ref="AI578" ca="1" si="17">MID(_xlfn.TEXTJOIN("",TRUE,$G$577:$G$584), COLUMN(Z34), 1)</f>
        <v>0</v>
      </c>
      <c r="AJ578" s="12" t="str">
        <f t="shared" ref="AJ578" ca="1" si="18">MID(_xlfn.TEXTJOIN("",TRUE,$G$577:$G$584), COLUMN(AA34), 1)</f>
        <v>1</v>
      </c>
      <c r="AK578" s="12" t="str">
        <f t="shared" ref="AK578" ca="1" si="19">MID(_xlfn.TEXTJOIN("",TRUE,$G$577:$G$584), COLUMN(AB34), 1)</f>
        <v>0</v>
      </c>
      <c r="AL578" s="12" t="str">
        <f t="shared" ref="AL578" ca="1" si="20">MID(_xlfn.TEXTJOIN("",TRUE,$G$577:$G$584), COLUMN(AC34), 1)</f>
        <v>1</v>
      </c>
      <c r="AM578" s="12" t="str">
        <f t="shared" ref="AM578" ca="1" si="21">MID(_xlfn.TEXTJOIN("",TRUE,$G$577:$G$584), COLUMN(AD34), 1)</f>
        <v>0</v>
      </c>
      <c r="AN578" s="12" t="str">
        <f t="shared" ref="AN578" ca="1" si="22">MID(_xlfn.TEXTJOIN("",TRUE,$G$577:$G$584), COLUMN(AE34), 1)</f>
        <v>0</v>
      </c>
      <c r="AO578" s="12" t="str">
        <f t="shared" ref="AO578" ca="1" si="23">MID(_xlfn.TEXTJOIN("",TRUE,$G$577:$G$584), COLUMN(AF34), 1)</f>
        <v>1</v>
      </c>
    </row>
    <row r="579" spans="1:41">
      <c r="A579" s="7">
        <v>3</v>
      </c>
      <c r="B579" s="29" t="str">
        <f t="shared" ca="1" si="11"/>
        <v>011110</v>
      </c>
      <c r="C579" s="30"/>
      <c r="D579" s="7">
        <f t="shared" ca="1" si="12"/>
        <v>0</v>
      </c>
      <c r="E579" s="12">
        <f t="shared" ca="1" si="13"/>
        <v>15</v>
      </c>
      <c r="F579" s="12" cm="1">
        <f t="array" aca="1" ref="F579" ca="1">INDEX(OFFSET('S-box'!$A$2, (A579-1)*6, 0, 4, 16), D579+1, E579+1)</f>
        <v>8</v>
      </c>
      <c r="G579" s="17" t="str">
        <f t="shared" ca="1" si="14"/>
        <v>1000</v>
      </c>
    </row>
    <row r="580" spans="1:41">
      <c r="A580" s="7">
        <v>4</v>
      </c>
      <c r="B580" s="29" t="str">
        <f t="shared" ca="1" si="11"/>
        <v>000110</v>
      </c>
      <c r="C580" s="30"/>
      <c r="D580" s="7">
        <f t="shared" ca="1" si="12"/>
        <v>0</v>
      </c>
      <c r="E580" s="12">
        <f t="shared" ca="1" si="13"/>
        <v>3</v>
      </c>
      <c r="F580" s="12" cm="1">
        <f t="array" aca="1" ref="F580" ca="1">INDEX(OFFSET('S-box'!$A$2, (A580-1)*6, 0, 4, 16), D580+1, E580+1)</f>
        <v>3</v>
      </c>
      <c r="G580" s="17" t="str">
        <f t="shared" ca="1" si="14"/>
        <v>0011</v>
      </c>
      <c r="I580" s="5" t="s">
        <v>163</v>
      </c>
    </row>
    <row r="581" spans="1:41">
      <c r="A581" s="7">
        <v>5</v>
      </c>
      <c r="B581" s="29" t="str">
        <f t="shared" ca="1" si="11"/>
        <v>111100</v>
      </c>
      <c r="C581" s="30"/>
      <c r="D581" s="7">
        <f t="shared" ca="1" si="12"/>
        <v>2</v>
      </c>
      <c r="E581" s="12">
        <f t="shared" ca="1" si="13"/>
        <v>14</v>
      </c>
      <c r="F581" s="12" cm="1">
        <f t="array" aca="1" ref="F581" ca="1">INDEX(OFFSET('S-box'!$A$2, (A581-1)*6, 0, 4, 16), D581+1, E581+1)</f>
        <v>0</v>
      </c>
      <c r="G581" s="17" t="str">
        <f t="shared" ca="1" si="14"/>
        <v>0000</v>
      </c>
    </row>
    <row r="582" spans="1:41">
      <c r="A582" s="7">
        <v>6</v>
      </c>
      <c r="B582" s="29" t="str">
        <f t="shared" ca="1" si="11"/>
        <v>000101</v>
      </c>
      <c r="C582" s="30"/>
      <c r="D582" s="7">
        <f t="shared" ca="1" si="12"/>
        <v>1</v>
      </c>
      <c r="E582" s="12">
        <f t="shared" ca="1" si="13"/>
        <v>2</v>
      </c>
      <c r="F582" s="12" cm="1">
        <f t="array" aca="1" ref="F582" ca="1">INDEX(OFFSET('S-box'!$A$2, (A582-1)*6, 0, 4, 16), D582+1, E582+1)</f>
        <v>4</v>
      </c>
      <c r="G582" s="17" t="str">
        <f t="shared" ca="1" si="14"/>
        <v>0100</v>
      </c>
      <c r="I582" s="12" t="s">
        <v>3</v>
      </c>
      <c r="J582" s="12">
        <v>1</v>
      </c>
      <c r="K582" s="12">
        <v>2</v>
      </c>
      <c r="L582" s="12">
        <v>3</v>
      </c>
      <c r="M582" s="12">
        <v>4</v>
      </c>
      <c r="N582" s="12">
        <v>5</v>
      </c>
      <c r="O582" s="12">
        <v>6</v>
      </c>
      <c r="P582" s="12">
        <v>7</v>
      </c>
      <c r="Q582" s="12">
        <v>8</v>
      </c>
      <c r="R582" s="12">
        <v>9</v>
      </c>
      <c r="S582" s="12">
        <v>10</v>
      </c>
      <c r="T582" s="12">
        <v>11</v>
      </c>
      <c r="U582" s="12">
        <v>12</v>
      </c>
      <c r="V582" s="12">
        <v>13</v>
      </c>
      <c r="W582" s="12">
        <v>14</v>
      </c>
      <c r="X582" s="12">
        <v>15</v>
      </c>
      <c r="Y582" s="12">
        <v>16</v>
      </c>
      <c r="Z582" s="12">
        <v>17</v>
      </c>
      <c r="AA582" s="12">
        <v>18</v>
      </c>
      <c r="AB582" s="12">
        <v>19</v>
      </c>
      <c r="AC582" s="12">
        <v>20</v>
      </c>
      <c r="AD582" s="12">
        <v>21</v>
      </c>
      <c r="AE582" s="12">
        <v>22</v>
      </c>
      <c r="AF582" s="12">
        <v>23</v>
      </c>
      <c r="AG582" s="12">
        <v>24</v>
      </c>
      <c r="AH582" s="12">
        <v>25</v>
      </c>
      <c r="AI582" s="12">
        <v>26</v>
      </c>
      <c r="AJ582" s="12">
        <v>27</v>
      </c>
      <c r="AK582" s="12">
        <v>28</v>
      </c>
      <c r="AL582" s="12">
        <v>29</v>
      </c>
      <c r="AM582" s="12">
        <v>30</v>
      </c>
      <c r="AN582" s="12">
        <v>31</v>
      </c>
      <c r="AO582" s="12">
        <v>32</v>
      </c>
    </row>
    <row r="583" spans="1:41">
      <c r="A583" s="7">
        <v>7</v>
      </c>
      <c r="B583" s="29" t="str">
        <f t="shared" ca="1" si="11"/>
        <v>011010</v>
      </c>
      <c r="C583" s="30"/>
      <c r="D583" s="7">
        <f t="shared" ca="1" si="12"/>
        <v>0</v>
      </c>
      <c r="E583" s="12">
        <f t="shared" ca="1" si="13"/>
        <v>13</v>
      </c>
      <c r="F583" s="12" cm="1">
        <f t="array" aca="1" ref="F583" ca="1">INDEX(OFFSET('S-box'!$A$2, (A583-1)*6, 0, 4, 16), D583+1, E583+1)</f>
        <v>10</v>
      </c>
      <c r="G583" s="17" t="str">
        <f t="shared" ca="1" si="14"/>
        <v>1010</v>
      </c>
      <c r="I583" s="18" t="s">
        <v>152</v>
      </c>
      <c r="J583" s="12" t="str" cm="1">
        <f t="array" aca="1" ref="J583" ca="1">INDEX($J$578:$AO$578, INDEX($T$15:$AA$18, INT((COLUMN(A34)-1)/8)+1, MOD(COLUMN(A34)-1,8)+1))</f>
        <v>1</v>
      </c>
      <c r="K583" s="12" t="str" cm="1">
        <f t="array" aca="1" ref="K583" ca="1">INDEX($J$578:$AO$578, INDEX($T$15:$AA$18, INT((COLUMN(B34)-1)/8)+1, MOD(COLUMN(B34)-1,8)+1))</f>
        <v>0</v>
      </c>
      <c r="L583" s="12" t="str" cm="1">
        <f t="array" aca="1" ref="L583" ca="1">INDEX($J$578:$AO$578, INDEX($T$15:$AA$18, INT((COLUMN(C34)-1)/8)+1, MOD(COLUMN(C34)-1,8)+1))</f>
        <v>0</v>
      </c>
      <c r="M583" s="12" t="str" cm="1">
        <f t="array" aca="1" ref="M583" ca="1">INDEX($J$578:$AO$578, INDEX($T$15:$AA$18, INT((COLUMN(D34)-1)/8)+1, MOD(COLUMN(D34)-1,8)+1))</f>
        <v>0</v>
      </c>
      <c r="N583" s="12" t="str" cm="1">
        <f t="array" aca="1" ref="N583" ca="1">INDEX($J$578:$AO$578, INDEX($T$15:$AA$18, INT((COLUMN(E34)-1)/8)+1, MOD(COLUMN(E34)-1,8)+1))</f>
        <v>1</v>
      </c>
      <c r="O583" s="12" t="str" cm="1">
        <f t="array" aca="1" ref="O583" ca="1">INDEX($J$578:$AO$578, INDEX($T$15:$AA$18, INT((COLUMN(F34)-1)/8)+1, MOD(COLUMN(F34)-1,8)+1))</f>
        <v>0</v>
      </c>
      <c r="P583" s="12" t="str" cm="1">
        <f t="array" aca="1" ref="P583" ca="1">INDEX($J$578:$AO$578, INDEX($T$15:$AA$18, INT((COLUMN(G34)-1)/8)+1, MOD(COLUMN(G34)-1,8)+1))</f>
        <v>0</v>
      </c>
      <c r="Q583" s="12" t="str" cm="1">
        <f t="array" aca="1" ref="Q583" ca="1">INDEX($J$578:$AO$578, INDEX($T$15:$AA$18, INT((COLUMN(H34)-1)/8)+1, MOD(COLUMN(H34)-1,8)+1))</f>
        <v>0</v>
      </c>
      <c r="R583" s="12" t="str" cm="1">
        <f t="array" aca="1" ref="R583" ca="1">INDEX($J$578:$AO$578, INDEX($T$15:$AA$18, INT((COLUMN(I34)-1)/8)+1, MOD(COLUMN(I34)-1,8)+1))</f>
        <v>0</v>
      </c>
      <c r="S583" s="12" t="str" cm="1">
        <f t="array" aca="1" ref="S583" ca="1">INDEX($J$578:$AO$578, INDEX($T$15:$AA$18, INT((COLUMN(J34)-1)/8)+1, MOD(COLUMN(J34)-1,8)+1))</f>
        <v>1</v>
      </c>
      <c r="T583" s="12" t="str" cm="1">
        <f t="array" aca="1" ref="T583" ca="1">INDEX($J$578:$AO$578, INDEX($T$15:$AA$18, INT((COLUMN(K34)-1)/8)+1, MOD(COLUMN(K34)-1,8)+1))</f>
        <v>0</v>
      </c>
      <c r="U583" s="12" t="str" cm="1">
        <f t="array" aca="1" ref="U583" ca="1">INDEX($J$578:$AO$578, INDEX($T$15:$AA$18, INT((COLUMN(L34)-1)/8)+1, MOD(COLUMN(L34)-1,8)+1))</f>
        <v>0</v>
      </c>
      <c r="V583" s="12" t="str" cm="1">
        <f t="array" aca="1" ref="V583" ca="1">INDEX($J$578:$AO$578, INDEX($T$15:$AA$18, INT((COLUMN(M34)-1)/8)+1, MOD(COLUMN(M34)-1,8)+1))</f>
        <v>1</v>
      </c>
      <c r="W583" s="12" t="str" cm="1">
        <f t="array" aca="1" ref="W583" ca="1">INDEX($J$578:$AO$578, INDEX($T$15:$AA$18, INT((COLUMN(N34)-1)/8)+1, MOD(COLUMN(N34)-1,8)+1))</f>
        <v>0</v>
      </c>
      <c r="X583" s="12" t="str" cm="1">
        <f t="array" aca="1" ref="X583" ca="1">INDEX($J$578:$AO$578, INDEX($T$15:$AA$18, INT((COLUMN(O34)-1)/8)+1, MOD(COLUMN(O34)-1,8)+1))</f>
        <v>0</v>
      </c>
      <c r="Y583" s="12" t="str" cm="1">
        <f t="array" aca="1" ref="Y583" ca="1">INDEX($J$578:$AO$578, INDEX($T$15:$AA$18, INT((COLUMN(P34)-1)/8)+1, MOD(COLUMN(P34)-1,8)+1))</f>
        <v>0</v>
      </c>
      <c r="Z583" s="12" t="str" cm="1">
        <f t="array" aca="1" ref="Z583" ca="1">INDEX($J$578:$AO$578, INDEX($T$15:$AA$18, INT((COLUMN(Q34)-1)/8)+1, MOD(COLUMN(Q34)-1,8)+1))</f>
        <v>1</v>
      </c>
      <c r="AA583" s="12" t="str" cm="1">
        <f t="array" aca="1" ref="AA583" ca="1">INDEX($J$578:$AO$578, INDEX($T$15:$AA$18, INT((COLUMN(R34)-1)/8)+1, MOD(COLUMN(R34)-1,8)+1))</f>
        <v>0</v>
      </c>
      <c r="AB583" s="12" t="str" cm="1">
        <f t="array" aca="1" ref="AB583" ca="1">INDEX($J$578:$AO$578, INDEX($T$15:$AA$18, INT((COLUMN(S34)-1)/8)+1, MOD(COLUMN(S34)-1,8)+1))</f>
        <v>0</v>
      </c>
      <c r="AC583" s="12" t="str" cm="1">
        <f t="array" aca="1" ref="AC583" ca="1">INDEX($J$578:$AO$578, INDEX($T$15:$AA$18, INT((COLUMN(T34)-1)/8)+1, MOD(COLUMN(T34)-1,8)+1))</f>
        <v>0</v>
      </c>
      <c r="AD583" s="12" t="str" cm="1">
        <f t="array" aca="1" ref="AD583" ca="1">INDEX($J$578:$AO$578, INDEX($T$15:$AA$18, INT((COLUMN(U34)-1)/8)+1, MOD(COLUMN(U34)-1,8)+1))</f>
        <v>1</v>
      </c>
      <c r="AE583" s="12" t="str" cm="1">
        <f t="array" aca="1" ref="AE583" ca="1">INDEX($J$578:$AO$578, INDEX($T$15:$AA$18, INT((COLUMN(V34)-1)/8)+1, MOD(COLUMN(V34)-1,8)+1))</f>
        <v>1</v>
      </c>
      <c r="AF583" s="12" t="str" cm="1">
        <f t="array" aca="1" ref="AF583" ca="1">INDEX($J$578:$AO$578, INDEX($T$15:$AA$18, INT((COLUMN(W34)-1)/8)+1, MOD(COLUMN(W34)-1,8)+1))</f>
        <v>0</v>
      </c>
      <c r="AG583" s="12" t="str" cm="1">
        <f t="array" aca="1" ref="AG583" ca="1">INDEX($J$578:$AO$578, INDEX($T$15:$AA$18, INT((COLUMN(X34)-1)/8)+1, MOD(COLUMN(X34)-1,8)+1))</f>
        <v>1</v>
      </c>
      <c r="AH583" s="12" t="str" cm="1">
        <f t="array" aca="1" ref="AH583" ca="1">INDEX($J$578:$AO$578, INDEX($T$15:$AA$18, INT((COLUMN(Y34)-1)/8)+1, MOD(COLUMN(Y34)-1,8)+1))</f>
        <v>0</v>
      </c>
      <c r="AI583" s="12" t="str" cm="1">
        <f t="array" aca="1" ref="AI583" ca="1">INDEX($J$578:$AO$578, INDEX($T$15:$AA$18, INT((COLUMN(Z34)-1)/8)+1, MOD(COLUMN(Z34)-1,8)+1))</f>
        <v>0</v>
      </c>
      <c r="AJ583" s="12" t="str" cm="1">
        <f t="array" aca="1" ref="AJ583" ca="1">INDEX($J$578:$AO$578, INDEX($T$15:$AA$18, INT((COLUMN(AA34)-1)/8)+1, MOD(COLUMN(AA34)-1,8)+1))</f>
        <v>0</v>
      </c>
      <c r="AK583" s="12" t="str" cm="1">
        <f t="array" aca="1" ref="AK583" ca="1">INDEX($J$578:$AO$578, INDEX($T$15:$AA$18, INT((COLUMN(AB34)-1)/8)+1, MOD(COLUMN(AB34)-1,8)+1))</f>
        <v>0</v>
      </c>
      <c r="AL583" s="12" t="str" cm="1">
        <f t="array" aca="1" ref="AL583" ca="1">INDEX($J$578:$AO$578, INDEX($T$15:$AA$18, INT((COLUMN(AC34)-1)/8)+1, MOD(COLUMN(AC34)-1,8)+1))</f>
        <v>1</v>
      </c>
      <c r="AM583" s="12" t="str" cm="1">
        <f t="array" aca="1" ref="AM583" ca="1">INDEX($J$578:$AO$578, INDEX($T$15:$AA$18, INT((COLUMN(AD34)-1)/8)+1, MOD(COLUMN(AD34)-1,8)+1))</f>
        <v>0</v>
      </c>
      <c r="AN583" s="12" t="str" cm="1">
        <f t="array" aca="1" ref="AN583" ca="1">INDEX($J$578:$AO$578, INDEX($T$15:$AA$18, INT((COLUMN(AE34)-1)/8)+1, MOD(COLUMN(AE34)-1,8)+1))</f>
        <v>1</v>
      </c>
      <c r="AO583" s="12" t="str" cm="1">
        <f t="array" aca="1" ref="AO583" ca="1">INDEX($J$578:$AO$578, INDEX($T$15:$AA$18, INT((COLUMN(AF34)-1)/8)+1, MOD(COLUMN(AF34)-1,8)+1))</f>
        <v>1</v>
      </c>
    </row>
    <row r="584" spans="1:41">
      <c r="A584" s="7">
        <v>8</v>
      </c>
      <c r="B584" s="29" t="str">
        <f t="shared" ca="1" si="11"/>
        <v>010010</v>
      </c>
      <c r="C584" s="30"/>
      <c r="D584" s="7">
        <f t="shared" ca="1" si="12"/>
        <v>0</v>
      </c>
      <c r="E584" s="12">
        <f t="shared" ca="1" si="13"/>
        <v>9</v>
      </c>
      <c r="F584" s="12" cm="1">
        <f t="array" aca="1" ref="F584" ca="1">INDEX(OFFSET('S-box'!$A$2, (A584-1)*6, 0, 4, 16), D584+1, E584+1)</f>
        <v>9</v>
      </c>
      <c r="G584" s="17" t="str">
        <f t="shared" ca="1" si="14"/>
        <v>1001</v>
      </c>
    </row>
    <row r="586" spans="1:41">
      <c r="A586" s="20" t="s">
        <v>166</v>
      </c>
    </row>
    <row r="588" spans="1:41">
      <c r="A588" s="12" t="s">
        <v>3</v>
      </c>
      <c r="B588" s="12">
        <v>1</v>
      </c>
      <c r="C588" s="12">
        <v>2</v>
      </c>
      <c r="D588" s="12">
        <v>3</v>
      </c>
      <c r="E588" s="12">
        <v>4</v>
      </c>
      <c r="F588" s="12">
        <v>5</v>
      </c>
      <c r="G588" s="12">
        <v>6</v>
      </c>
      <c r="H588" s="12">
        <v>7</v>
      </c>
      <c r="I588" s="12">
        <v>8</v>
      </c>
      <c r="J588" s="12">
        <v>9</v>
      </c>
      <c r="K588" s="12">
        <v>10</v>
      </c>
      <c r="L588" s="12">
        <v>11</v>
      </c>
      <c r="M588" s="12">
        <v>12</v>
      </c>
      <c r="N588" s="12">
        <v>13</v>
      </c>
      <c r="O588" s="12">
        <v>14</v>
      </c>
      <c r="P588" s="12">
        <v>15</v>
      </c>
      <c r="Q588" s="12">
        <v>16</v>
      </c>
      <c r="R588" s="12">
        <v>17</v>
      </c>
      <c r="S588" s="12">
        <v>18</v>
      </c>
      <c r="T588" s="12">
        <v>19</v>
      </c>
      <c r="U588" s="12">
        <v>20</v>
      </c>
      <c r="V588" s="12">
        <v>21</v>
      </c>
      <c r="W588" s="12">
        <v>22</v>
      </c>
      <c r="X588" s="12">
        <v>23</v>
      </c>
      <c r="Y588" s="12">
        <v>24</v>
      </c>
      <c r="Z588" s="12">
        <v>25</v>
      </c>
      <c r="AA588" s="12">
        <v>26</v>
      </c>
      <c r="AB588" s="12">
        <v>27</v>
      </c>
      <c r="AC588" s="12">
        <v>28</v>
      </c>
      <c r="AD588" s="12">
        <v>29</v>
      </c>
      <c r="AE588" s="12">
        <v>30</v>
      </c>
      <c r="AF588" s="12">
        <v>31</v>
      </c>
      <c r="AG588" s="12">
        <v>32</v>
      </c>
    </row>
    <row r="589" spans="1:41">
      <c r="A589" s="12" t="s">
        <v>164</v>
      </c>
      <c r="B589" s="12">
        <v>0</v>
      </c>
      <c r="C589" s="12">
        <v>0</v>
      </c>
      <c r="D589" s="12">
        <v>0</v>
      </c>
      <c r="E589" s="12">
        <v>0</v>
      </c>
      <c r="F589" s="12">
        <v>1</v>
      </c>
      <c r="G589" s="12">
        <v>1</v>
      </c>
      <c r="H589" s="12">
        <v>1</v>
      </c>
      <c r="I589" s="12">
        <v>1</v>
      </c>
      <c r="J589" s="12">
        <v>0</v>
      </c>
      <c r="K589" s="12">
        <v>0</v>
      </c>
      <c r="L589" s="12">
        <v>1</v>
      </c>
      <c r="M589" s="12">
        <v>0</v>
      </c>
      <c r="N589" s="12">
        <v>1</v>
      </c>
      <c r="O589" s="12">
        <v>1</v>
      </c>
      <c r="P589" s="12">
        <v>1</v>
      </c>
      <c r="Q589" s="12">
        <v>1</v>
      </c>
      <c r="R589" s="12">
        <v>1</v>
      </c>
      <c r="S589" s="12">
        <v>0</v>
      </c>
      <c r="T589" s="12">
        <v>1</v>
      </c>
      <c r="U589" s="12">
        <v>0</v>
      </c>
      <c r="V589" s="12">
        <v>1</v>
      </c>
      <c r="W589" s="12">
        <v>1</v>
      </c>
      <c r="X589" s="12">
        <v>0</v>
      </c>
      <c r="Y589" s="12">
        <v>1</v>
      </c>
      <c r="Z589" s="12">
        <v>1</v>
      </c>
      <c r="AA589" s="12">
        <v>0</v>
      </c>
      <c r="AB589" s="12">
        <v>0</v>
      </c>
      <c r="AC589" s="12">
        <v>1</v>
      </c>
      <c r="AD589" s="12">
        <v>1</v>
      </c>
      <c r="AE589" s="12">
        <v>0</v>
      </c>
      <c r="AF589" s="12">
        <v>1</v>
      </c>
      <c r="AG589" s="12">
        <v>0</v>
      </c>
    </row>
    <row r="590" spans="1:41">
      <c r="A590" s="12" t="s">
        <v>165</v>
      </c>
      <c r="B590" s="12">
        <f ca="1">_xlfn.BITXOR(B556,J583)</f>
        <v>0</v>
      </c>
      <c r="C590" s="12">
        <f t="shared" ref="C590:AG590" ca="1" si="24">_xlfn.BITXOR(C556,K583)</f>
        <v>1</v>
      </c>
      <c r="D590" s="12">
        <f t="shared" ca="1" si="24"/>
        <v>1</v>
      </c>
      <c r="E590" s="12">
        <f t="shared" ca="1" si="24"/>
        <v>0</v>
      </c>
      <c r="F590" s="12">
        <f t="shared" ca="1" si="24"/>
        <v>1</v>
      </c>
      <c r="G590" s="12">
        <f t="shared" ca="1" si="24"/>
        <v>0</v>
      </c>
      <c r="H590" s="12">
        <f t="shared" ca="1" si="24"/>
        <v>0</v>
      </c>
      <c r="I590" s="12">
        <f t="shared" ca="1" si="24"/>
        <v>0</v>
      </c>
      <c r="J590" s="12">
        <f t="shared" ca="1" si="24"/>
        <v>0</v>
      </c>
      <c r="K590" s="12">
        <f t="shared" ca="1" si="24"/>
        <v>0</v>
      </c>
      <c r="L590" s="12">
        <f t="shared" ca="1" si="24"/>
        <v>0</v>
      </c>
      <c r="M590" s="12">
        <f t="shared" ca="1" si="24"/>
        <v>1</v>
      </c>
      <c r="N590" s="12">
        <f t="shared" ca="1" si="24"/>
        <v>1</v>
      </c>
      <c r="O590" s="12">
        <f t="shared" ca="1" si="24"/>
        <v>1</v>
      </c>
      <c r="P590" s="12">
        <f t="shared" ca="1" si="24"/>
        <v>0</v>
      </c>
      <c r="Q590" s="12">
        <f t="shared" ca="1" si="24"/>
        <v>0</v>
      </c>
      <c r="R590" s="12">
        <f t="shared" ca="1" si="24"/>
        <v>0</v>
      </c>
      <c r="S590" s="12">
        <f t="shared" ca="1" si="24"/>
        <v>1</v>
      </c>
      <c r="T590" s="12">
        <f t="shared" ca="1" si="24"/>
        <v>1</v>
      </c>
      <c r="U590" s="12">
        <f t="shared" ca="1" si="24"/>
        <v>1</v>
      </c>
      <c r="V590" s="12">
        <f t="shared" ca="1" si="24"/>
        <v>1</v>
      </c>
      <c r="W590" s="12">
        <f t="shared" ca="1" si="24"/>
        <v>1</v>
      </c>
      <c r="X590" s="12">
        <f t="shared" ca="1" si="24"/>
        <v>0</v>
      </c>
      <c r="Y590" s="12">
        <f t="shared" ca="1" si="24"/>
        <v>1</v>
      </c>
      <c r="Z590" s="12">
        <f t="shared" ca="1" si="24"/>
        <v>1</v>
      </c>
      <c r="AA590" s="12">
        <f t="shared" ca="1" si="24"/>
        <v>0</v>
      </c>
      <c r="AB590" s="12">
        <f t="shared" ca="1" si="24"/>
        <v>1</v>
      </c>
      <c r="AC590" s="12">
        <f t="shared" ca="1" si="24"/>
        <v>0</v>
      </c>
      <c r="AD590" s="12">
        <f t="shared" ca="1" si="24"/>
        <v>0</v>
      </c>
      <c r="AE590" s="12">
        <f t="shared" ca="1" si="24"/>
        <v>0</v>
      </c>
      <c r="AF590" s="12">
        <f t="shared" ca="1" si="24"/>
        <v>0</v>
      </c>
      <c r="AG590" s="12">
        <f t="shared" ca="1" si="24"/>
        <v>1</v>
      </c>
    </row>
    <row r="592" spans="1:41">
      <c r="A592" s="21" t="s">
        <v>167</v>
      </c>
    </row>
    <row r="593" spans="1:49">
      <c r="A593" s="8" t="s">
        <v>168</v>
      </c>
      <c r="B593" s="12" cm="1">
        <f t="array" aca="1" ref="B593" ca="1">INDEX($B$590:$AG$590, T25)</f>
        <v>1</v>
      </c>
      <c r="C593" s="12" cm="1">
        <f t="array" aca="1" ref="C593" ca="1">INDEX($B$590:$AG$590, U25)</f>
        <v>0</v>
      </c>
      <c r="D593" s="12" cm="1">
        <f t="array" aca="1" ref="D593" ca="1">INDEX($B$590:$AG$590, V25)</f>
        <v>1</v>
      </c>
      <c r="E593" s="12" cm="1">
        <f t="array" aca="1" ref="E593" ca="1">INDEX($B$590:$AG$590, W25)</f>
        <v>1</v>
      </c>
      <c r="F593" s="12" cm="1">
        <f t="array" aca="1" ref="F593" ca="1">INDEX($B$590:$AG$590, X25)</f>
        <v>0</v>
      </c>
      <c r="G593" s="12" cm="1">
        <f t="array" aca="1" ref="G593" ca="1">INDEX($B$590:$AG$590, Y25)</f>
        <v>1</v>
      </c>
    </row>
    <row r="594" spans="1:49">
      <c r="B594" s="12" cm="1">
        <f t="array" aca="1" ref="B594" ca="1">INDEX($B$590:$AG$590, T26)</f>
        <v>0</v>
      </c>
      <c r="C594" s="12" cm="1">
        <f t="array" aca="1" ref="C594" ca="1">INDEX($B$590:$AG$590, U26)</f>
        <v>1</v>
      </c>
      <c r="D594" s="12" cm="1">
        <f t="array" aca="1" ref="D594" ca="1">INDEX($B$590:$AG$590, V26)</f>
        <v>0</v>
      </c>
      <c r="E594" s="12" cm="1">
        <f t="array" aca="1" ref="E594" ca="1">INDEX($B$590:$AG$590, W26)</f>
        <v>0</v>
      </c>
      <c r="F594" s="12" cm="1">
        <f t="array" aca="1" ref="F594" ca="1">INDEX($B$590:$AG$590, X26)</f>
        <v>0</v>
      </c>
      <c r="G594" s="12" cm="1">
        <f t="array" aca="1" ref="G594" ca="1">INDEX($B$590:$AG$590, Y26)</f>
        <v>0</v>
      </c>
    </row>
    <row r="595" spans="1:49">
      <c r="B595" s="12" cm="1">
        <f t="array" aca="1" ref="B595" ca="1">INDEX($B$590:$AG$590, T27)</f>
        <v>0</v>
      </c>
      <c r="C595" s="12" cm="1">
        <f t="array" aca="1" ref="C595" ca="1">INDEX($B$590:$AG$590, U27)</f>
        <v>0</v>
      </c>
      <c r="D595" s="12" cm="1">
        <f t="array" aca="1" ref="D595" ca="1">INDEX($B$590:$AG$590, V27)</f>
        <v>0</v>
      </c>
      <c r="E595" s="12" cm="1">
        <f t="array" aca="1" ref="E595" ca="1">INDEX($B$590:$AG$590, W27)</f>
        <v>0</v>
      </c>
      <c r="F595" s="12" cm="1">
        <f t="array" aca="1" ref="F595" ca="1">INDEX($B$590:$AG$590, X27)</f>
        <v>1</v>
      </c>
      <c r="G595" s="12" cm="1">
        <f t="array" aca="1" ref="G595" ca="1">INDEX($B$590:$AG$590, Y27)</f>
        <v>1</v>
      </c>
    </row>
    <row r="596" spans="1:49">
      <c r="B596" s="12" cm="1">
        <f t="array" aca="1" ref="B596" ca="1">INDEX($B$590:$AG$590, T28)</f>
        <v>1</v>
      </c>
      <c r="C596" s="12" cm="1">
        <f t="array" aca="1" ref="C596" ca="1">INDEX($B$590:$AG$590, U28)</f>
        <v>1</v>
      </c>
      <c r="D596" s="12" cm="1">
        <f t="array" aca="1" ref="D596" ca="1">INDEX($B$590:$AG$590, V28)</f>
        <v>1</v>
      </c>
      <c r="E596" s="12" cm="1">
        <f t="array" aca="1" ref="E596" ca="1">INDEX($B$590:$AG$590, W28)</f>
        <v>0</v>
      </c>
      <c r="F596" s="12" cm="1">
        <f t="array" aca="1" ref="F596" ca="1">INDEX($B$590:$AG$590, X28)</f>
        <v>0</v>
      </c>
      <c r="G596" s="12" cm="1">
        <f t="array" aca="1" ref="G596" ca="1">INDEX($B$590:$AG$590, Y28)</f>
        <v>0</v>
      </c>
    </row>
    <row r="597" spans="1:49">
      <c r="B597" s="12" cm="1">
        <f t="array" aca="1" ref="B597" ca="1">INDEX($B$590:$AG$590, T29)</f>
        <v>0</v>
      </c>
      <c r="C597" s="12" cm="1">
        <f t="array" aca="1" ref="C597" ca="1">INDEX($B$590:$AG$590, U29)</f>
        <v>0</v>
      </c>
      <c r="D597" s="12" cm="1">
        <f t="array" aca="1" ref="D597" ca="1">INDEX($B$590:$AG$590, V29)</f>
        <v>1</v>
      </c>
      <c r="E597" s="12" cm="1">
        <f t="array" aca="1" ref="E597" ca="1">INDEX($B$590:$AG$590, W29)</f>
        <v>1</v>
      </c>
      <c r="F597" s="12" cm="1">
        <f t="array" aca="1" ref="F597" ca="1">INDEX($B$590:$AG$590, X29)</f>
        <v>1</v>
      </c>
      <c r="G597" s="12" cm="1">
        <f t="array" aca="1" ref="G597" ca="1">INDEX($B$590:$AG$590, Y29)</f>
        <v>1</v>
      </c>
    </row>
    <row r="598" spans="1:49">
      <c r="B598" s="12" cm="1">
        <f t="array" aca="1" ref="B598" ca="1">INDEX($B$590:$AG$590, T30)</f>
        <v>1</v>
      </c>
      <c r="C598" s="12" cm="1">
        <f t="array" aca="1" ref="C598" ca="1">INDEX($B$590:$AG$590, U30)</f>
        <v>1</v>
      </c>
      <c r="D598" s="12" cm="1">
        <f t="array" aca="1" ref="D598" ca="1">INDEX($B$590:$AG$590, V30)</f>
        <v>1</v>
      </c>
      <c r="E598" s="12" cm="1">
        <f t="array" aca="1" ref="E598" ca="1">INDEX($B$590:$AG$590, W30)</f>
        <v>0</v>
      </c>
      <c r="F598" s="12" cm="1">
        <f t="array" aca="1" ref="F598" ca="1">INDEX($B$590:$AG$590, X30)</f>
        <v>1</v>
      </c>
      <c r="G598" s="12" cm="1">
        <f t="array" aca="1" ref="G598" ca="1">INDEX($B$590:$AG$590, Y30)</f>
        <v>1</v>
      </c>
    </row>
    <row r="599" spans="1:49">
      <c r="B599" s="12" cm="1">
        <f t="array" aca="1" ref="B599" ca="1">INDEX($B$590:$AG$590, T31)</f>
        <v>1</v>
      </c>
      <c r="C599" s="12" cm="1">
        <f t="array" aca="1" ref="C599" ca="1">INDEX($B$590:$AG$590, U31)</f>
        <v>1</v>
      </c>
      <c r="D599" s="12" cm="1">
        <f t="array" aca="1" ref="D599" ca="1">INDEX($B$590:$AG$590, V31)</f>
        <v>0</v>
      </c>
      <c r="E599" s="12" cm="1">
        <f t="array" aca="1" ref="E599" ca="1">INDEX($B$590:$AG$590, W31)</f>
        <v>1</v>
      </c>
      <c r="F599" s="12" cm="1">
        <f t="array" aca="1" ref="F599" ca="1">INDEX($B$590:$AG$590, X31)</f>
        <v>0</v>
      </c>
      <c r="G599" s="12" cm="1">
        <f t="array" aca="1" ref="G599" ca="1">INDEX($B$590:$AG$590, Y31)</f>
        <v>0</v>
      </c>
    </row>
    <row r="600" spans="1:49">
      <c r="B600" s="12" cm="1">
        <f t="array" aca="1" ref="B600" ca="1">INDEX($B$590:$AG$590, T32)</f>
        <v>0</v>
      </c>
      <c r="C600" s="12" cm="1">
        <f t="array" aca="1" ref="C600" ca="1">INDEX($B$590:$AG$590, U32)</f>
        <v>0</v>
      </c>
      <c r="D600" s="12" cm="1">
        <f t="array" aca="1" ref="D600" ca="1">INDEX($B$590:$AG$590, V32)</f>
        <v>0</v>
      </c>
      <c r="E600" s="12" cm="1">
        <f t="array" aca="1" ref="E600" ca="1">INDEX($B$590:$AG$590, W32)</f>
        <v>0</v>
      </c>
      <c r="F600" s="12" cm="1">
        <f t="array" aca="1" ref="F600" ca="1">INDEX($B$590:$AG$590, X32)</f>
        <v>1</v>
      </c>
      <c r="G600" s="12" cm="1">
        <f t="array" aca="1" ref="G600" ca="1">INDEX($B$590:$AG$590, Y32)</f>
        <v>0</v>
      </c>
    </row>
    <row r="602" spans="1:49">
      <c r="A602" s="12" t="s">
        <v>3</v>
      </c>
      <c r="B602" s="12">
        <v>1</v>
      </c>
      <c r="C602" s="12">
        <v>2</v>
      </c>
      <c r="D602" s="12">
        <v>3</v>
      </c>
      <c r="E602" s="12">
        <v>4</v>
      </c>
      <c r="F602" s="12">
        <v>5</v>
      </c>
      <c r="G602" s="12">
        <v>6</v>
      </c>
      <c r="H602" s="12">
        <v>7</v>
      </c>
      <c r="I602" s="12">
        <v>8</v>
      </c>
      <c r="J602" s="12">
        <v>9</v>
      </c>
      <c r="K602" s="12">
        <v>10</v>
      </c>
      <c r="L602" s="12">
        <v>11</v>
      </c>
      <c r="M602" s="12">
        <v>12</v>
      </c>
      <c r="N602" s="12">
        <v>13</v>
      </c>
      <c r="O602" s="12">
        <v>14</v>
      </c>
      <c r="P602" s="12">
        <v>15</v>
      </c>
      <c r="Q602" s="12">
        <v>16</v>
      </c>
      <c r="R602" s="12">
        <v>17</v>
      </c>
      <c r="S602" s="12">
        <v>18</v>
      </c>
      <c r="T602" s="12">
        <v>19</v>
      </c>
      <c r="U602" s="12">
        <v>20</v>
      </c>
      <c r="V602" s="12">
        <v>21</v>
      </c>
      <c r="W602" s="12">
        <v>22</v>
      </c>
      <c r="X602" s="12">
        <v>23</v>
      </c>
      <c r="Y602" s="12">
        <v>24</v>
      </c>
      <c r="Z602" s="12">
        <v>25</v>
      </c>
      <c r="AA602" s="12">
        <v>26</v>
      </c>
      <c r="AB602" s="12">
        <v>27</v>
      </c>
      <c r="AC602" s="12">
        <v>28</v>
      </c>
      <c r="AD602" s="12">
        <v>29</v>
      </c>
      <c r="AE602" s="12">
        <v>30</v>
      </c>
      <c r="AF602" s="12">
        <v>31</v>
      </c>
      <c r="AG602" s="12">
        <v>32</v>
      </c>
      <c r="AH602" s="12">
        <v>33</v>
      </c>
      <c r="AI602" s="12">
        <v>34</v>
      </c>
      <c r="AJ602" s="12">
        <v>35</v>
      </c>
      <c r="AK602" s="12">
        <v>36</v>
      </c>
      <c r="AL602" s="12">
        <v>37</v>
      </c>
      <c r="AM602" s="12">
        <v>38</v>
      </c>
      <c r="AN602" s="12">
        <v>39</v>
      </c>
      <c r="AO602" s="12">
        <v>40</v>
      </c>
      <c r="AP602" s="12">
        <v>41</v>
      </c>
      <c r="AQ602" s="12">
        <v>42</v>
      </c>
      <c r="AR602" s="12">
        <v>43</v>
      </c>
      <c r="AS602" s="12">
        <v>44</v>
      </c>
      <c r="AT602" s="12">
        <v>45</v>
      </c>
      <c r="AU602" s="12">
        <v>46</v>
      </c>
      <c r="AV602" s="12">
        <v>47</v>
      </c>
      <c r="AW602" s="12">
        <v>48</v>
      </c>
    </row>
    <row r="603" spans="1:49">
      <c r="A603" s="7" t="s">
        <v>168</v>
      </c>
      <c r="B603" s="16" cm="1">
        <f t="array" aca="1" ref="B603" ca="1">INDEX($B$593:$G600, INT((COLUMN(A459)-1)/6)+1, MOD(COLUMN(A459)-1,6)+1)</f>
        <v>1</v>
      </c>
      <c r="C603" s="16" cm="1">
        <f t="array" aca="1" ref="C603" ca="1">INDEX($B$593:$G600, INT((COLUMN(B459)-1)/6)+1, MOD(COLUMN(B459)-1,6)+1)</f>
        <v>0</v>
      </c>
      <c r="D603" s="16" cm="1">
        <f t="array" aca="1" ref="D603" ca="1">INDEX($B$593:$G600, INT((COLUMN(C459)-1)/6)+1, MOD(COLUMN(C459)-1,6)+1)</f>
        <v>1</v>
      </c>
      <c r="E603" s="16" cm="1">
        <f t="array" aca="1" ref="E603" ca="1">INDEX($B$593:$G600, INT((COLUMN(D459)-1)/6)+1, MOD(COLUMN(D459)-1,6)+1)</f>
        <v>1</v>
      </c>
      <c r="F603" s="16" cm="1">
        <f t="array" aca="1" ref="F603" ca="1">INDEX($B$593:$G600, INT((COLUMN(E459)-1)/6)+1, MOD(COLUMN(E459)-1,6)+1)</f>
        <v>0</v>
      </c>
      <c r="G603" s="16" cm="1">
        <f t="array" aca="1" ref="G603" ca="1">INDEX($B$593:$G600, INT((COLUMN(F459)-1)/6)+1, MOD(COLUMN(F459)-1,6)+1)</f>
        <v>1</v>
      </c>
      <c r="H603" s="16" cm="1">
        <f t="array" aca="1" ref="H603" ca="1">INDEX($B$593:$G600, INT((COLUMN(G459)-1)/6)+1, MOD(COLUMN(G459)-1,6)+1)</f>
        <v>0</v>
      </c>
      <c r="I603" s="16" cm="1">
        <f t="array" aca="1" ref="I603" ca="1">INDEX($B$593:$G600, INT((COLUMN(H459)-1)/6)+1, MOD(COLUMN(H459)-1,6)+1)</f>
        <v>1</v>
      </c>
      <c r="J603" s="16" cm="1">
        <f t="array" aca="1" ref="J603" ca="1">INDEX($B$593:$G600, INT((COLUMN(I459)-1)/6)+1, MOD(COLUMN(I459)-1,6)+1)</f>
        <v>0</v>
      </c>
      <c r="K603" s="16" cm="1">
        <f t="array" aca="1" ref="K603" ca="1">INDEX($B$593:$G600, INT((COLUMN(J459)-1)/6)+1, MOD(COLUMN(J459)-1,6)+1)</f>
        <v>0</v>
      </c>
      <c r="L603" s="16" cm="1">
        <f t="array" aca="1" ref="L603" ca="1">INDEX($B$593:$G600, INT((COLUMN(K459)-1)/6)+1, MOD(COLUMN(K459)-1,6)+1)</f>
        <v>0</v>
      </c>
      <c r="M603" s="16" cm="1">
        <f t="array" aca="1" ref="M603" ca="1">INDEX($B$593:$G600, INT((COLUMN(L459)-1)/6)+1, MOD(COLUMN(L459)-1,6)+1)</f>
        <v>0</v>
      </c>
      <c r="N603" s="16" cm="1">
        <f t="array" aca="1" ref="N603" ca="1">INDEX($B$593:$G600, INT((COLUMN(M459)-1)/6)+1, MOD(COLUMN(M459)-1,6)+1)</f>
        <v>0</v>
      </c>
      <c r="O603" s="16" cm="1">
        <f t="array" aca="1" ref="O603" ca="1">INDEX($B$593:$G600, INT((COLUMN(N459)-1)/6)+1, MOD(COLUMN(N459)-1,6)+1)</f>
        <v>0</v>
      </c>
      <c r="P603" s="16" cm="1">
        <f t="array" aca="1" ref="P603" ca="1">INDEX($B$593:$G600, INT((COLUMN(O459)-1)/6)+1, MOD(COLUMN(O459)-1,6)+1)</f>
        <v>0</v>
      </c>
      <c r="Q603" s="16" cm="1">
        <f t="array" aca="1" ref="Q603" ca="1">INDEX($B$593:$G600, INT((COLUMN(P459)-1)/6)+1, MOD(COLUMN(P459)-1,6)+1)</f>
        <v>0</v>
      </c>
      <c r="R603" s="16" cm="1">
        <f t="array" aca="1" ref="R603" ca="1">INDEX($B$593:$G600, INT((COLUMN(Q459)-1)/6)+1, MOD(COLUMN(Q459)-1,6)+1)</f>
        <v>1</v>
      </c>
      <c r="S603" s="16" cm="1">
        <f t="array" aca="1" ref="S603" ca="1">INDEX($B$593:$G600, INT((COLUMN(R459)-1)/6)+1, MOD(COLUMN(R459)-1,6)+1)</f>
        <v>1</v>
      </c>
      <c r="T603" s="16" cm="1">
        <f t="array" aca="1" ref="T603" ca="1">INDEX($B$593:$G600, INT((COLUMN(S459)-1)/6)+1, MOD(COLUMN(S459)-1,6)+1)</f>
        <v>1</v>
      </c>
      <c r="U603" s="16" cm="1">
        <f t="array" aca="1" ref="U603" ca="1">INDEX($B$593:$G600, INT((COLUMN(T459)-1)/6)+1, MOD(COLUMN(T459)-1,6)+1)</f>
        <v>1</v>
      </c>
      <c r="V603" s="16" cm="1">
        <f t="array" aca="1" ref="V603" ca="1">INDEX($B$593:$G600, INT((COLUMN(U459)-1)/6)+1, MOD(COLUMN(U459)-1,6)+1)</f>
        <v>1</v>
      </c>
      <c r="W603" s="16" cm="1">
        <f t="array" aca="1" ref="W603" ca="1">INDEX($B$593:$G600, INT((COLUMN(V459)-1)/6)+1, MOD(COLUMN(V459)-1,6)+1)</f>
        <v>0</v>
      </c>
      <c r="X603" s="16" cm="1">
        <f t="array" aca="1" ref="X603" ca="1">INDEX($B$593:$G600, INT((COLUMN(W459)-1)/6)+1, MOD(COLUMN(W459)-1,6)+1)</f>
        <v>0</v>
      </c>
      <c r="Y603" s="16" cm="1">
        <f t="array" aca="1" ref="Y603" ca="1">INDEX($B$593:$G600, INT((COLUMN(X459)-1)/6)+1, MOD(COLUMN(X459)-1,6)+1)</f>
        <v>0</v>
      </c>
      <c r="Z603" s="16" cm="1">
        <f t="array" aca="1" ref="Z603" ca="1">INDEX($B$593:$G600, INT((COLUMN(Y459)-1)/6)+1, MOD(COLUMN(Y459)-1,6)+1)</f>
        <v>0</v>
      </c>
      <c r="AA603" s="16" cm="1">
        <f t="array" aca="1" ref="AA603" ca="1">INDEX($B$593:$G600, INT((COLUMN(Z459)-1)/6)+1, MOD(COLUMN(Z459)-1,6)+1)</f>
        <v>0</v>
      </c>
      <c r="AB603" s="16" cm="1">
        <f t="array" aca="1" ref="AB603" ca="1">INDEX($B$593:$G600, INT((COLUMN(AA459)-1)/6)+1, MOD(COLUMN(AA459)-1,6)+1)</f>
        <v>1</v>
      </c>
      <c r="AC603" s="16" cm="1">
        <f t="array" aca="1" ref="AC603" ca="1">INDEX($B$593:$G600, INT((COLUMN(AB459)-1)/6)+1, MOD(COLUMN(AB459)-1,6)+1)</f>
        <v>1</v>
      </c>
      <c r="AD603" s="16" cm="1">
        <f t="array" aca="1" ref="AD603" ca="1">INDEX($B$593:$G600, INT((COLUMN(AC459)-1)/6)+1, MOD(COLUMN(AC459)-1,6)+1)</f>
        <v>1</v>
      </c>
      <c r="AE603" s="16" cm="1">
        <f t="array" aca="1" ref="AE603" ca="1">INDEX($B$593:$G600, INT((COLUMN(AD459)-1)/6)+1, MOD(COLUMN(AD459)-1,6)+1)</f>
        <v>1</v>
      </c>
      <c r="AF603" s="16" cm="1">
        <f t="array" aca="1" ref="AF603" ca="1">INDEX($B$593:$G600, INT((COLUMN(AE459)-1)/6)+1, MOD(COLUMN(AE459)-1,6)+1)</f>
        <v>1</v>
      </c>
      <c r="AG603" s="16" cm="1">
        <f t="array" aca="1" ref="AG603" ca="1">INDEX($B$593:$G600, INT((COLUMN(AF459)-1)/6)+1, MOD(COLUMN(AF459)-1,6)+1)</f>
        <v>1</v>
      </c>
      <c r="AH603" s="16" cm="1">
        <f t="array" aca="1" ref="AH603" ca="1">INDEX($B$593:$G600, INT((COLUMN(AG459)-1)/6)+1, MOD(COLUMN(AG459)-1,6)+1)</f>
        <v>1</v>
      </c>
      <c r="AI603" s="16" cm="1">
        <f t="array" aca="1" ref="AI603" ca="1">INDEX($B$593:$G600, INT((COLUMN(AH459)-1)/6)+1, MOD(COLUMN(AH459)-1,6)+1)</f>
        <v>0</v>
      </c>
      <c r="AJ603" s="16" cm="1">
        <f t="array" aca="1" ref="AJ603" ca="1">INDEX($B$593:$G600, INT((COLUMN(AI459)-1)/6)+1, MOD(COLUMN(AI459)-1,6)+1)</f>
        <v>1</v>
      </c>
      <c r="AK603" s="16" cm="1">
        <f t="array" aca="1" ref="AK603" ca="1">INDEX($B$593:$G600, INT((COLUMN(AJ459)-1)/6)+1, MOD(COLUMN(AJ459)-1,6)+1)</f>
        <v>1</v>
      </c>
      <c r="AL603" s="16" cm="1">
        <f t="array" aca="1" ref="AL603" ca="1">INDEX($B$593:$G600, INT((COLUMN(AK459)-1)/6)+1, MOD(COLUMN(AK459)-1,6)+1)</f>
        <v>1</v>
      </c>
      <c r="AM603" s="16" cm="1">
        <f t="array" aca="1" ref="AM603" ca="1">INDEX($B$593:$G600, INT((COLUMN(AL459)-1)/6)+1, MOD(COLUMN(AL459)-1,6)+1)</f>
        <v>1</v>
      </c>
      <c r="AN603" s="16" cm="1">
        <f t="array" aca="1" ref="AN603" ca="1">INDEX($B$593:$G600, INT((COLUMN(AM459)-1)/6)+1, MOD(COLUMN(AM459)-1,6)+1)</f>
        <v>0</v>
      </c>
      <c r="AO603" s="16" cm="1">
        <f t="array" aca="1" ref="AO603" ca="1">INDEX($B$593:$G600, INT((COLUMN(AN459)-1)/6)+1, MOD(COLUMN(AN459)-1,6)+1)</f>
        <v>1</v>
      </c>
      <c r="AP603" s="16" cm="1">
        <f t="array" aca="1" ref="AP603" ca="1">INDEX($B$593:$G600, INT((COLUMN(AO459)-1)/6)+1, MOD(COLUMN(AO459)-1,6)+1)</f>
        <v>0</v>
      </c>
      <c r="AQ603" s="16" cm="1">
        <f t="array" aca="1" ref="AQ603" ca="1">INDEX($B$593:$G600, INT((COLUMN(AP459)-1)/6)+1, MOD(COLUMN(AP459)-1,6)+1)</f>
        <v>0</v>
      </c>
      <c r="AR603" s="16" cm="1">
        <f t="array" aca="1" ref="AR603" ca="1">INDEX($B$593:$G600, INT((COLUMN(AQ459)-1)/6)+1, MOD(COLUMN(AQ459)-1,6)+1)</f>
        <v>0</v>
      </c>
      <c r="AS603" s="16" cm="1">
        <f t="array" aca="1" ref="AS603" ca="1">INDEX($B$593:$G600, INT((COLUMN(AR459)-1)/6)+1, MOD(COLUMN(AR459)-1,6)+1)</f>
        <v>0</v>
      </c>
      <c r="AT603" s="16" cm="1">
        <f t="array" aca="1" ref="AT603" ca="1">INDEX($B$593:$G600, INT((COLUMN(AS459)-1)/6)+1, MOD(COLUMN(AS459)-1,6)+1)</f>
        <v>0</v>
      </c>
      <c r="AU603" s="16" cm="1">
        <f t="array" aca="1" ref="AU603" ca="1">INDEX($B$593:$G600, INT((COLUMN(AT459)-1)/6)+1, MOD(COLUMN(AT459)-1,6)+1)</f>
        <v>0</v>
      </c>
      <c r="AV603" s="16" cm="1">
        <f t="array" aca="1" ref="AV603" ca="1">INDEX($B$593:$G600, INT((COLUMN(AU459)-1)/6)+1, MOD(COLUMN(AU459)-1,6)+1)</f>
        <v>1</v>
      </c>
      <c r="AW603" s="16" cm="1">
        <f t="array" aca="1" ref="AW603" ca="1">INDEX($B$593:$G600, INT((COLUMN(AV459)-1)/6)+1, MOD(COLUMN(AV459)-1,6)+1)</f>
        <v>0</v>
      </c>
    </row>
    <row r="604" spans="1:49">
      <c r="A604" s="19"/>
    </row>
    <row r="605" spans="1:49">
      <c r="A605" s="12" t="s">
        <v>3</v>
      </c>
      <c r="B605" s="12">
        <v>1</v>
      </c>
      <c r="C605" s="12">
        <v>2</v>
      </c>
      <c r="D605" s="12">
        <v>3</v>
      </c>
      <c r="E605" s="12">
        <v>4</v>
      </c>
      <c r="F605" s="12">
        <v>5</v>
      </c>
      <c r="G605" s="12">
        <v>6</v>
      </c>
      <c r="H605" s="12">
        <v>7</v>
      </c>
      <c r="I605" s="12">
        <v>8</v>
      </c>
      <c r="J605" s="12">
        <v>9</v>
      </c>
      <c r="K605" s="12">
        <v>10</v>
      </c>
      <c r="L605" s="12">
        <v>11</v>
      </c>
      <c r="M605" s="12">
        <v>12</v>
      </c>
      <c r="N605" s="12">
        <v>13</v>
      </c>
      <c r="O605" s="12">
        <v>14</v>
      </c>
      <c r="P605" s="12">
        <v>15</v>
      </c>
      <c r="Q605" s="12">
        <v>16</v>
      </c>
      <c r="R605" s="12">
        <v>17</v>
      </c>
      <c r="S605" s="12">
        <v>18</v>
      </c>
      <c r="T605" s="12">
        <v>19</v>
      </c>
      <c r="U605" s="12">
        <v>20</v>
      </c>
      <c r="V605" s="12">
        <v>21</v>
      </c>
      <c r="W605" s="12">
        <v>22</v>
      </c>
      <c r="X605" s="12">
        <v>23</v>
      </c>
      <c r="Y605" s="12">
        <v>24</v>
      </c>
      <c r="Z605" s="12">
        <v>25</v>
      </c>
      <c r="AA605" s="12">
        <v>26</v>
      </c>
      <c r="AB605" s="12">
        <v>27</v>
      </c>
      <c r="AC605" s="12">
        <v>28</v>
      </c>
      <c r="AD605" s="12">
        <v>29</v>
      </c>
      <c r="AE605" s="12">
        <v>30</v>
      </c>
      <c r="AF605" s="12">
        <v>31</v>
      </c>
      <c r="AG605" s="12">
        <v>32</v>
      </c>
      <c r="AH605" s="12">
        <v>33</v>
      </c>
      <c r="AI605" s="12">
        <v>34</v>
      </c>
      <c r="AJ605" s="12">
        <v>35</v>
      </c>
      <c r="AK605" s="12">
        <v>36</v>
      </c>
      <c r="AL605" s="12">
        <v>37</v>
      </c>
      <c r="AM605" s="12">
        <v>38</v>
      </c>
      <c r="AN605" s="12">
        <v>39</v>
      </c>
      <c r="AO605" s="12">
        <v>40</v>
      </c>
      <c r="AP605" s="12">
        <v>41</v>
      </c>
      <c r="AQ605" s="12">
        <v>42</v>
      </c>
      <c r="AR605" s="12">
        <v>43</v>
      </c>
      <c r="AS605" s="12">
        <v>44</v>
      </c>
      <c r="AT605" s="12">
        <v>45</v>
      </c>
      <c r="AU605" s="12">
        <v>46</v>
      </c>
      <c r="AV605" s="12">
        <v>47</v>
      </c>
      <c r="AW605" s="12">
        <v>48</v>
      </c>
    </row>
    <row r="606" spans="1:49">
      <c r="A606" s="7" t="s">
        <v>169</v>
      </c>
      <c r="B606" s="16">
        <f ca="1">_xlfn.BITXOR(B603, B154)</f>
        <v>1</v>
      </c>
      <c r="C606" s="16">
        <f t="shared" ref="C606:AW606" ca="1" si="25">_xlfn.BITXOR(C603, C154)</f>
        <v>1</v>
      </c>
      <c r="D606" s="16">
        <f t="shared" ca="1" si="25"/>
        <v>1</v>
      </c>
      <c r="E606" s="16">
        <f t="shared" ca="1" si="25"/>
        <v>0</v>
      </c>
      <c r="F606" s="16">
        <f t="shared" ca="1" si="25"/>
        <v>0</v>
      </c>
      <c r="G606" s="16">
        <f t="shared" ca="1" si="25"/>
        <v>0</v>
      </c>
      <c r="H606" s="16">
        <f t="shared" ca="1" si="25"/>
        <v>0</v>
      </c>
      <c r="I606" s="16">
        <f t="shared" ca="1" si="25"/>
        <v>0</v>
      </c>
      <c r="J606" s="16">
        <f t="shared" ca="1" si="25"/>
        <v>1</v>
      </c>
      <c r="K606" s="16">
        <f t="shared" ca="1" si="25"/>
        <v>1</v>
      </c>
      <c r="L606" s="16">
        <f t="shared" ca="1" si="25"/>
        <v>1</v>
      </c>
      <c r="M606" s="16">
        <f t="shared" ca="1" si="25"/>
        <v>1</v>
      </c>
      <c r="N606" s="16">
        <f t="shared" ca="1" si="25"/>
        <v>1</v>
      </c>
      <c r="O606" s="16">
        <f t="shared" ca="1" si="25"/>
        <v>1</v>
      </c>
      <c r="P606" s="16">
        <f t="shared" ca="1" si="25"/>
        <v>0</v>
      </c>
      <c r="Q606" s="16">
        <f t="shared" ca="1" si="25"/>
        <v>0</v>
      </c>
      <c r="R606" s="16">
        <f t="shared" ca="1" si="25"/>
        <v>0</v>
      </c>
      <c r="S606" s="16">
        <f t="shared" ca="1" si="25"/>
        <v>1</v>
      </c>
      <c r="T606" s="16">
        <f t="shared" ca="1" si="25"/>
        <v>1</v>
      </c>
      <c r="U606" s="16">
        <f t="shared" ca="1" si="25"/>
        <v>1</v>
      </c>
      <c r="V606" s="16">
        <f t="shared" ca="1" si="25"/>
        <v>0</v>
      </c>
      <c r="W606" s="16">
        <f t="shared" ca="1" si="25"/>
        <v>0</v>
      </c>
      <c r="X606" s="16">
        <f t="shared" ca="1" si="25"/>
        <v>1</v>
      </c>
      <c r="Y606" s="16">
        <f t="shared" ca="1" si="25"/>
        <v>0</v>
      </c>
      <c r="Z606" s="16">
        <f t="shared" ca="1" si="25"/>
        <v>1</v>
      </c>
      <c r="AA606" s="16">
        <f t="shared" ca="1" si="25"/>
        <v>0</v>
      </c>
      <c r="AB606" s="16">
        <f t="shared" ca="1" si="25"/>
        <v>0</v>
      </c>
      <c r="AC606" s="16">
        <f t="shared" ca="1" si="25"/>
        <v>0</v>
      </c>
      <c r="AD606" s="16">
        <f t="shared" ca="1" si="25"/>
        <v>1</v>
      </c>
      <c r="AE606" s="16">
        <f t="shared" ca="1" si="25"/>
        <v>0</v>
      </c>
      <c r="AF606" s="16">
        <f t="shared" ca="1" si="25"/>
        <v>1</v>
      </c>
      <c r="AG606" s="16">
        <f t="shared" ca="1" si="25"/>
        <v>1</v>
      </c>
      <c r="AH606" s="16">
        <f t="shared" ca="1" si="25"/>
        <v>0</v>
      </c>
      <c r="AI606" s="16">
        <f t="shared" ca="1" si="25"/>
        <v>0</v>
      </c>
      <c r="AJ606" s="16">
        <f t="shared" ca="1" si="25"/>
        <v>0</v>
      </c>
      <c r="AK606" s="16">
        <f t="shared" ca="1" si="25"/>
        <v>1</v>
      </c>
      <c r="AL606" s="16">
        <f t="shared" ca="1" si="25"/>
        <v>0</v>
      </c>
      <c r="AM606" s="16">
        <f t="shared" ca="1" si="25"/>
        <v>0</v>
      </c>
      <c r="AN606" s="16">
        <f t="shared" ca="1" si="25"/>
        <v>0</v>
      </c>
      <c r="AO606" s="16">
        <f t="shared" ca="1" si="25"/>
        <v>1</v>
      </c>
      <c r="AP606" s="16">
        <f t="shared" ca="1" si="25"/>
        <v>1</v>
      </c>
      <c r="AQ606" s="16">
        <f t="shared" ca="1" si="25"/>
        <v>1</v>
      </c>
      <c r="AR606" s="16">
        <f t="shared" ca="1" si="25"/>
        <v>0</v>
      </c>
      <c r="AS606" s="16">
        <f t="shared" ca="1" si="25"/>
        <v>1</v>
      </c>
      <c r="AT606" s="16">
        <f t="shared" ca="1" si="25"/>
        <v>0</v>
      </c>
      <c r="AU606" s="16">
        <f t="shared" ca="1" si="25"/>
        <v>0</v>
      </c>
      <c r="AV606" s="16">
        <f t="shared" ca="1" si="25"/>
        <v>0</v>
      </c>
      <c r="AW606" s="16">
        <f t="shared" ca="1" si="25"/>
        <v>0</v>
      </c>
    </row>
    <row r="608" spans="1:49">
      <c r="A608" s="27" t="s">
        <v>136</v>
      </c>
      <c r="B608" s="27" t="s">
        <v>137</v>
      </c>
      <c r="C608" s="27"/>
      <c r="D608" s="27" t="s">
        <v>141</v>
      </c>
      <c r="E608" s="27" t="s">
        <v>142</v>
      </c>
      <c r="F608" s="28" t="s">
        <v>138</v>
      </c>
      <c r="G608" s="28"/>
      <c r="I608" s="5" t="s">
        <v>170</v>
      </c>
    </row>
    <row r="609" spans="1:41">
      <c r="A609" s="27"/>
      <c r="B609" s="27"/>
      <c r="C609" s="27"/>
      <c r="D609" s="27"/>
      <c r="E609" s="27"/>
      <c r="F609" s="7" t="s">
        <v>139</v>
      </c>
      <c r="G609" s="7" t="s">
        <v>140</v>
      </c>
    </row>
    <row r="610" spans="1:41">
      <c r="A610" s="7">
        <v>1</v>
      </c>
      <c r="B610" s="29" t="str">
        <f ca="1">_xlfn.TEXTJOIN("", TRUE, OFFSET($B$606,0,(ROW(A1)-1)*6,1,6))</f>
        <v>111000</v>
      </c>
      <c r="C610" s="30"/>
      <c r="D610" s="7">
        <f ca="1">BIN2DEC(LEFT(B610,1) &amp; RIGHT(B610,1))</f>
        <v>2</v>
      </c>
      <c r="E610" s="12">
        <f ca="1">BIN2DEC(MID(B610,2,4))</f>
        <v>12</v>
      </c>
      <c r="F610" s="12" cm="1">
        <f t="array" aca="1" ref="F610" ca="1">INDEX(OFFSET('S-box'!$A$2, (A610-1)*6, 0, 4, 16), D610+1, E610+1)</f>
        <v>3</v>
      </c>
      <c r="G610" s="17" t="str">
        <f ca="1">DEC2BIN(F610, 4)</f>
        <v>0011</v>
      </c>
      <c r="I610" s="12" t="s">
        <v>3</v>
      </c>
      <c r="J610" s="12">
        <v>1</v>
      </c>
      <c r="K610" s="12">
        <v>2</v>
      </c>
      <c r="L610" s="12">
        <v>3</v>
      </c>
      <c r="M610" s="12">
        <v>4</v>
      </c>
      <c r="N610" s="12">
        <v>5</v>
      </c>
      <c r="O610" s="12">
        <v>6</v>
      </c>
      <c r="P610" s="12">
        <v>7</v>
      </c>
      <c r="Q610" s="12">
        <v>8</v>
      </c>
      <c r="R610" s="12">
        <v>9</v>
      </c>
      <c r="S610" s="12">
        <v>10</v>
      </c>
      <c r="T610" s="12">
        <v>11</v>
      </c>
      <c r="U610" s="12">
        <v>12</v>
      </c>
      <c r="V610" s="12">
        <v>13</v>
      </c>
      <c r="W610" s="12">
        <v>14</v>
      </c>
      <c r="X610" s="12">
        <v>15</v>
      </c>
      <c r="Y610" s="12">
        <v>16</v>
      </c>
      <c r="Z610" s="12">
        <v>17</v>
      </c>
      <c r="AA610" s="12">
        <v>18</v>
      </c>
      <c r="AB610" s="12">
        <v>19</v>
      </c>
      <c r="AC610" s="12">
        <v>20</v>
      </c>
      <c r="AD610" s="12">
        <v>21</v>
      </c>
      <c r="AE610" s="12">
        <v>22</v>
      </c>
      <c r="AF610" s="12">
        <v>23</v>
      </c>
      <c r="AG610" s="12">
        <v>24</v>
      </c>
      <c r="AH610" s="12">
        <v>25</v>
      </c>
      <c r="AI610" s="12">
        <v>26</v>
      </c>
      <c r="AJ610" s="12">
        <v>27</v>
      </c>
      <c r="AK610" s="12">
        <v>28</v>
      </c>
      <c r="AL610" s="12">
        <v>29</v>
      </c>
      <c r="AM610" s="12">
        <v>30</v>
      </c>
      <c r="AN610" s="12">
        <v>31</v>
      </c>
      <c r="AO610" s="12">
        <v>32</v>
      </c>
    </row>
    <row r="611" spans="1:41">
      <c r="A611" s="7">
        <v>2</v>
      </c>
      <c r="B611" s="29" t="str">
        <f t="shared" ref="B611:B617" ca="1" si="26">_xlfn.TEXTJOIN("", TRUE, OFFSET($B$606,0,(ROW(A2)-1)*6,1,6))</f>
        <v>001111</v>
      </c>
      <c r="C611" s="30"/>
      <c r="D611" s="7">
        <f t="shared" ref="D611:D617" ca="1" si="27">BIN2DEC(LEFT(B611,1) &amp; RIGHT(B611,1))</f>
        <v>1</v>
      </c>
      <c r="E611" s="12">
        <f t="shared" ref="E611:E617" ca="1" si="28">BIN2DEC(MID(B611,2,4))</f>
        <v>7</v>
      </c>
      <c r="F611" s="12" cm="1">
        <f t="array" aca="1" ref="F611" ca="1">INDEX(OFFSET('S-box'!$A$2, (A611-1)*6, 0, 4, 16), D611+1, E611+1)</f>
        <v>14</v>
      </c>
      <c r="G611" s="17" t="str">
        <f t="shared" ref="G611:G617" ca="1" si="29">DEC2BIN(F611, 4)</f>
        <v>1110</v>
      </c>
      <c r="I611" s="12" t="s">
        <v>152</v>
      </c>
      <c r="J611" s="12" t="str">
        <f ca="1">MID(_xlfn.TEXTJOIN("",TRUE,$G$610:$G$617), COLUMN(A67), 1)</f>
        <v>0</v>
      </c>
      <c r="K611" s="12" t="str">
        <f t="shared" ref="K611:AO611" ca="1" si="30">MID(_xlfn.TEXTJOIN("",TRUE,$G$610:$G$617), COLUMN(B67), 1)</f>
        <v>0</v>
      </c>
      <c r="L611" s="12" t="str">
        <f t="shared" ca="1" si="30"/>
        <v>1</v>
      </c>
      <c r="M611" s="12" t="str">
        <f t="shared" ca="1" si="30"/>
        <v>1</v>
      </c>
      <c r="N611" s="12" t="str">
        <f t="shared" ca="1" si="30"/>
        <v>1</v>
      </c>
      <c r="O611" s="12" t="str">
        <f t="shared" ca="1" si="30"/>
        <v>1</v>
      </c>
      <c r="P611" s="12" t="str">
        <f t="shared" ca="1" si="30"/>
        <v>1</v>
      </c>
      <c r="Q611" s="12" t="str">
        <f t="shared" ca="1" si="30"/>
        <v>0</v>
      </c>
      <c r="R611" s="12" t="str">
        <f t="shared" ca="1" si="30"/>
        <v>0</v>
      </c>
      <c r="S611" s="12" t="str">
        <f t="shared" ca="1" si="30"/>
        <v>1</v>
      </c>
      <c r="T611" s="12" t="str">
        <f t="shared" ca="1" si="30"/>
        <v>0</v>
      </c>
      <c r="U611" s="12" t="str">
        <f t="shared" ca="1" si="30"/>
        <v>0</v>
      </c>
      <c r="V611" s="12" t="str">
        <f t="shared" ca="1" si="30"/>
        <v>0</v>
      </c>
      <c r="W611" s="12" t="str">
        <f t="shared" ca="1" si="30"/>
        <v>0</v>
      </c>
      <c r="X611" s="12" t="str">
        <f t="shared" ca="1" si="30"/>
        <v>0</v>
      </c>
      <c r="Y611" s="12" t="str">
        <f t="shared" ca="1" si="30"/>
        <v>1</v>
      </c>
      <c r="Z611" s="12" t="str">
        <f t="shared" ca="1" si="30"/>
        <v>0</v>
      </c>
      <c r="AA611" s="12" t="str">
        <f t="shared" ca="1" si="30"/>
        <v>0</v>
      </c>
      <c r="AB611" s="12" t="str">
        <f t="shared" ca="1" si="30"/>
        <v>1</v>
      </c>
      <c r="AC611" s="12" t="str">
        <f t="shared" ca="1" si="30"/>
        <v>0</v>
      </c>
      <c r="AD611" s="12" t="str">
        <f t="shared" ca="1" si="30"/>
        <v>1</v>
      </c>
      <c r="AE611" s="12" t="str">
        <f t="shared" ca="1" si="30"/>
        <v>0</v>
      </c>
      <c r="AF611" s="12" t="str">
        <f t="shared" ca="1" si="30"/>
        <v>1</v>
      </c>
      <c r="AG611" s="12" t="str">
        <f t="shared" ca="1" si="30"/>
        <v>1</v>
      </c>
      <c r="AH611" s="12" t="str">
        <f t="shared" ca="1" si="30"/>
        <v>0</v>
      </c>
      <c r="AI611" s="12" t="str">
        <f t="shared" ca="1" si="30"/>
        <v>1</v>
      </c>
      <c r="AJ611" s="12" t="str">
        <f t="shared" ca="1" si="30"/>
        <v>1</v>
      </c>
      <c r="AK611" s="12" t="str">
        <f t="shared" ca="1" si="30"/>
        <v>1</v>
      </c>
      <c r="AL611" s="12" t="str">
        <f t="shared" ca="1" si="30"/>
        <v>1</v>
      </c>
      <c r="AM611" s="12" t="str">
        <f t="shared" ca="1" si="30"/>
        <v>0</v>
      </c>
      <c r="AN611" s="12" t="str">
        <f t="shared" ca="1" si="30"/>
        <v>1</v>
      </c>
      <c r="AO611" s="12" t="str">
        <f t="shared" ca="1" si="30"/>
        <v>0</v>
      </c>
    </row>
    <row r="612" spans="1:41">
      <c r="A612" s="7">
        <v>3</v>
      </c>
      <c r="B612" s="29" t="str">
        <f t="shared" ca="1" si="26"/>
        <v>110001</v>
      </c>
      <c r="C612" s="30"/>
      <c r="D612" s="7">
        <f t="shared" ca="1" si="27"/>
        <v>3</v>
      </c>
      <c r="E612" s="12">
        <f t="shared" ca="1" si="28"/>
        <v>8</v>
      </c>
      <c r="F612" s="12" cm="1">
        <f t="array" aca="1" ref="F612" ca="1">INDEX(OFFSET('S-box'!$A$2, (A612-1)*6, 0, 4, 16), D612+1, E612+1)</f>
        <v>4</v>
      </c>
      <c r="G612" s="17" t="str">
        <f t="shared" ca="1" si="29"/>
        <v>0100</v>
      </c>
    </row>
    <row r="613" spans="1:41">
      <c r="A613" s="7">
        <v>4</v>
      </c>
      <c r="B613" s="29" t="str">
        <f t="shared" ca="1" si="26"/>
        <v>110010</v>
      </c>
      <c r="C613" s="30"/>
      <c r="D613" s="7">
        <f t="shared" ca="1" si="27"/>
        <v>2</v>
      </c>
      <c r="E613" s="12">
        <f t="shared" ca="1" si="28"/>
        <v>9</v>
      </c>
      <c r="F613" s="12" cm="1">
        <f t="array" aca="1" ref="F613" ca="1">INDEX(OFFSET('S-box'!$A$2, (A613-1)*6, 0, 4, 16), D613+1, E613+1)</f>
        <v>1</v>
      </c>
      <c r="G613" s="17" t="str">
        <f t="shared" ca="1" si="29"/>
        <v>0001</v>
      </c>
      <c r="I613" s="5" t="s">
        <v>171</v>
      </c>
    </row>
    <row r="614" spans="1:41">
      <c r="A614" s="7">
        <v>5</v>
      </c>
      <c r="B614" s="29" t="str">
        <f t="shared" ca="1" si="26"/>
        <v>100010</v>
      </c>
      <c r="C614" s="30"/>
      <c r="D614" s="7">
        <f t="shared" ca="1" si="27"/>
        <v>2</v>
      </c>
      <c r="E614" s="12">
        <f t="shared" ca="1" si="28"/>
        <v>1</v>
      </c>
      <c r="F614" s="12" cm="1">
        <f t="array" aca="1" ref="F614" ca="1">INDEX(OFFSET('S-box'!$A$2, (A614-1)*6, 0, 4, 16), D614+1, E614+1)</f>
        <v>2</v>
      </c>
      <c r="G614" s="17" t="str">
        <f t="shared" ca="1" si="29"/>
        <v>0010</v>
      </c>
    </row>
    <row r="615" spans="1:41">
      <c r="A615" s="7">
        <v>6</v>
      </c>
      <c r="B615" s="29" t="str">
        <f t="shared" ca="1" si="26"/>
        <v>110001</v>
      </c>
      <c r="C615" s="30"/>
      <c r="D615" s="7">
        <f t="shared" ca="1" si="27"/>
        <v>3</v>
      </c>
      <c r="E615" s="12">
        <f t="shared" ca="1" si="28"/>
        <v>8</v>
      </c>
      <c r="F615" s="12" cm="1">
        <f t="array" aca="1" ref="F615" ca="1">INDEX(OFFSET('S-box'!$A$2, (A615-1)*6, 0, 4, 16), D615+1, E615+1)</f>
        <v>11</v>
      </c>
      <c r="G615" s="17" t="str">
        <f t="shared" ca="1" si="29"/>
        <v>1011</v>
      </c>
      <c r="I615" s="12" t="s">
        <v>3</v>
      </c>
      <c r="J615" s="12">
        <v>1</v>
      </c>
      <c r="K615" s="12">
        <v>2</v>
      </c>
      <c r="L615" s="12">
        <v>3</v>
      </c>
      <c r="M615" s="12">
        <v>4</v>
      </c>
      <c r="N615" s="12">
        <v>5</v>
      </c>
      <c r="O615" s="12">
        <v>6</v>
      </c>
      <c r="P615" s="12">
        <v>7</v>
      </c>
      <c r="Q615" s="12">
        <v>8</v>
      </c>
      <c r="R615" s="12">
        <v>9</v>
      </c>
      <c r="S615" s="12">
        <v>10</v>
      </c>
      <c r="T615" s="12">
        <v>11</v>
      </c>
      <c r="U615" s="12">
        <v>12</v>
      </c>
      <c r="V615" s="12">
        <v>13</v>
      </c>
      <c r="W615" s="12">
        <v>14</v>
      </c>
      <c r="X615" s="12">
        <v>15</v>
      </c>
      <c r="Y615" s="12">
        <v>16</v>
      </c>
      <c r="Z615" s="12">
        <v>17</v>
      </c>
      <c r="AA615" s="12">
        <v>18</v>
      </c>
      <c r="AB615" s="12">
        <v>19</v>
      </c>
      <c r="AC615" s="12">
        <v>20</v>
      </c>
      <c r="AD615" s="12">
        <v>21</v>
      </c>
      <c r="AE615" s="12">
        <v>22</v>
      </c>
      <c r="AF615" s="12">
        <v>23</v>
      </c>
      <c r="AG615" s="12">
        <v>24</v>
      </c>
      <c r="AH615" s="12">
        <v>25</v>
      </c>
      <c r="AI615" s="12">
        <v>26</v>
      </c>
      <c r="AJ615" s="12">
        <v>27</v>
      </c>
      <c r="AK615" s="12">
        <v>28</v>
      </c>
      <c r="AL615" s="12">
        <v>29</v>
      </c>
      <c r="AM615" s="12">
        <v>30</v>
      </c>
      <c r="AN615" s="12">
        <v>31</v>
      </c>
      <c r="AO615" s="12">
        <v>32</v>
      </c>
    </row>
    <row r="616" spans="1:41">
      <c r="A616" s="7">
        <v>7</v>
      </c>
      <c r="B616" s="29" t="str">
        <f t="shared" ca="1" si="26"/>
        <v>000111</v>
      </c>
      <c r="C616" s="30"/>
      <c r="D616" s="7">
        <f t="shared" ca="1" si="27"/>
        <v>1</v>
      </c>
      <c r="E616" s="12">
        <f t="shared" ca="1" si="28"/>
        <v>3</v>
      </c>
      <c r="F616" s="12" cm="1">
        <f t="array" aca="1" ref="F616" ca="1">INDEX(OFFSET('S-box'!$A$2, (A616-1)*6, 0, 4, 16), D616+1, E616+1)</f>
        <v>7</v>
      </c>
      <c r="G616" s="17" t="str">
        <f t="shared" ca="1" si="29"/>
        <v>0111</v>
      </c>
      <c r="I616" s="18" t="s">
        <v>152</v>
      </c>
      <c r="J616" s="12" t="str" cm="1">
        <f t="array" aca="1" ref="J616" ca="1">INDEX($J$611:$AO$611, INDEX($T$15:$AA$18, INT((COLUMN(A67)-1)/8)+1, MOD(COLUMN(A67)-1,8)+1))</f>
        <v>1</v>
      </c>
      <c r="K616" s="12" t="str" cm="1">
        <f t="array" aca="1" ref="K616" ca="1">INDEX($J$611:$AO$611, INDEX($T$15:$AA$18, INT((COLUMN(B67)-1)/8)+1, MOD(COLUMN(B67)-1,8)+1))</f>
        <v>1</v>
      </c>
      <c r="L616" s="12" t="str" cm="1">
        <f t="array" aca="1" ref="L616" ca="1">INDEX($J$611:$AO$611, INDEX($T$15:$AA$18, INT((COLUMN(C67)-1)/8)+1, MOD(COLUMN(C67)-1,8)+1))</f>
        <v>0</v>
      </c>
      <c r="M616" s="12" t="str" cm="1">
        <f t="array" aca="1" ref="M616" ca="1">INDEX($J$611:$AO$611, INDEX($T$15:$AA$18, INT((COLUMN(D67)-1)/8)+1, MOD(COLUMN(D67)-1,8)+1))</f>
        <v>1</v>
      </c>
      <c r="N616" s="12" t="str" cm="1">
        <f t="array" aca="1" ref="N616" ca="1">INDEX($J$611:$AO$611, INDEX($T$15:$AA$18, INT((COLUMN(E67)-1)/8)+1, MOD(COLUMN(E67)-1,8)+1))</f>
        <v>1</v>
      </c>
      <c r="O616" s="12" t="str" cm="1">
        <f t="array" aca="1" ref="O616" ca="1">INDEX($J$611:$AO$611, INDEX($T$15:$AA$18, INT((COLUMN(F67)-1)/8)+1, MOD(COLUMN(F67)-1,8)+1))</f>
        <v>0</v>
      </c>
      <c r="P616" s="12" t="str" cm="1">
        <f t="array" aca="1" ref="P616" ca="1">INDEX($J$611:$AO$611, INDEX($T$15:$AA$18, INT((COLUMN(G67)-1)/8)+1, MOD(COLUMN(G67)-1,8)+1))</f>
        <v>1</v>
      </c>
      <c r="Q616" s="12" t="str" cm="1">
        <f t="array" aca="1" ref="Q616" ca="1">INDEX($J$611:$AO$611, INDEX($T$15:$AA$18, INT((COLUMN(H67)-1)/8)+1, MOD(COLUMN(H67)-1,8)+1))</f>
        <v>0</v>
      </c>
      <c r="R616" s="12" t="str" cm="1">
        <f t="array" aca="1" ref="R616" ca="1">INDEX($J$611:$AO$611, INDEX($T$15:$AA$18, INT((COLUMN(I67)-1)/8)+1, MOD(COLUMN(I67)-1,8)+1))</f>
        <v>0</v>
      </c>
      <c r="S616" s="12" t="str" cm="1">
        <f t="array" aca="1" ref="S616" ca="1">INDEX($J$611:$AO$611, INDEX($T$15:$AA$18, INT((COLUMN(J67)-1)/8)+1, MOD(COLUMN(J67)-1,8)+1))</f>
        <v>0</v>
      </c>
      <c r="T616" s="12" t="str" cm="1">
        <f t="array" aca="1" ref="T616" ca="1">INDEX($J$611:$AO$611, INDEX($T$15:$AA$18, INT((COLUMN(K67)-1)/8)+1, MOD(COLUMN(K67)-1,8)+1))</f>
        <v>1</v>
      </c>
      <c r="U616" s="12" t="str" cm="1">
        <f t="array" aca="1" ref="U616" ca="1">INDEX($J$611:$AO$611, INDEX($T$15:$AA$18, INT((COLUMN(L67)-1)/8)+1, MOD(COLUMN(L67)-1,8)+1))</f>
        <v>1</v>
      </c>
      <c r="V616" s="12" t="str" cm="1">
        <f t="array" aca="1" ref="V616" ca="1">INDEX($J$611:$AO$611, INDEX($T$15:$AA$18, INT((COLUMN(M67)-1)/8)+1, MOD(COLUMN(M67)-1,8)+1))</f>
        <v>1</v>
      </c>
      <c r="W616" s="12" t="str" cm="1">
        <f t="array" aca="1" ref="W616" ca="1">INDEX($J$611:$AO$611, INDEX($T$15:$AA$18, INT((COLUMN(N67)-1)/8)+1, MOD(COLUMN(N67)-1,8)+1))</f>
        <v>0</v>
      </c>
      <c r="X616" s="12" t="str" cm="1">
        <f t="array" aca="1" ref="X616" ca="1">INDEX($J$611:$AO$611, INDEX($T$15:$AA$18, INT((COLUMN(O67)-1)/8)+1, MOD(COLUMN(O67)-1,8)+1))</f>
        <v>1</v>
      </c>
      <c r="Y616" s="12" t="str" cm="1">
        <f t="array" aca="1" ref="Y616" ca="1">INDEX($J$611:$AO$611, INDEX($T$15:$AA$18, INT((COLUMN(P67)-1)/8)+1, MOD(COLUMN(P67)-1,8)+1))</f>
        <v>1</v>
      </c>
      <c r="Z616" s="12" t="str" cm="1">
        <f t="array" aca="1" ref="Z616" ca="1">INDEX($J$611:$AO$611, INDEX($T$15:$AA$18, INT((COLUMN(Q67)-1)/8)+1, MOD(COLUMN(Q67)-1,8)+1))</f>
        <v>0</v>
      </c>
      <c r="AA616" s="12" t="str" cm="1">
        <f t="array" aca="1" ref="AA616" ca="1">INDEX($J$611:$AO$611, INDEX($T$15:$AA$18, INT((COLUMN(R67)-1)/8)+1, MOD(COLUMN(R67)-1,8)+1))</f>
        <v>0</v>
      </c>
      <c r="AB616" s="12" t="str" cm="1">
        <f t="array" aca="1" ref="AB616" ca="1">INDEX($J$611:$AO$611, INDEX($T$15:$AA$18, INT((COLUMN(S67)-1)/8)+1, MOD(COLUMN(S67)-1,8)+1))</f>
        <v>1</v>
      </c>
      <c r="AC616" s="12" t="str" cm="1">
        <f t="array" aca="1" ref="AC616" ca="1">INDEX($J$611:$AO$611, INDEX($T$15:$AA$18, INT((COLUMN(T67)-1)/8)+1, MOD(COLUMN(T67)-1,8)+1))</f>
        <v>0</v>
      </c>
      <c r="AD616" s="12" t="str" cm="1">
        <f t="array" aca="1" ref="AD616" ca="1">INDEX($J$611:$AO$611, INDEX($T$15:$AA$18, INT((COLUMN(U67)-1)/8)+1, MOD(COLUMN(U67)-1,8)+1))</f>
        <v>0</v>
      </c>
      <c r="AE616" s="12" t="str" cm="1">
        <f t="array" aca="1" ref="AE616" ca="1">INDEX($J$611:$AO$611, INDEX($T$15:$AA$18, INT((COLUMN(V67)-1)/8)+1, MOD(COLUMN(V67)-1,8)+1))</f>
        <v>1</v>
      </c>
      <c r="AF616" s="12" t="str" cm="1">
        <f t="array" aca="1" ref="AF616" ca="1">INDEX($J$611:$AO$611, INDEX($T$15:$AA$18, INT((COLUMN(W67)-1)/8)+1, MOD(COLUMN(W67)-1,8)+1))</f>
        <v>1</v>
      </c>
      <c r="AG616" s="12" t="str" cm="1">
        <f t="array" aca="1" ref="AG616" ca="1">INDEX($J$611:$AO$611, INDEX($T$15:$AA$18, INT((COLUMN(X67)-1)/8)+1, MOD(COLUMN(X67)-1,8)+1))</f>
        <v>0</v>
      </c>
      <c r="AH616" s="12" t="str" cm="1">
        <f t="array" aca="1" ref="AH616" ca="1">INDEX($J$611:$AO$611, INDEX($T$15:$AA$18, INT((COLUMN(Y67)-1)/8)+1, MOD(COLUMN(Y67)-1,8)+1))</f>
        <v>1</v>
      </c>
      <c r="AI616" s="12" t="str" cm="1">
        <f t="array" aca="1" ref="AI616" ca="1">INDEX($J$611:$AO$611, INDEX($T$15:$AA$18, INT((COLUMN(Z67)-1)/8)+1, MOD(COLUMN(Z67)-1,8)+1))</f>
        <v>0</v>
      </c>
      <c r="AJ616" s="12" t="str" cm="1">
        <f t="array" aca="1" ref="AJ616" ca="1">INDEX($J$611:$AO$611, INDEX($T$15:$AA$18, INT((COLUMN(AA67)-1)/8)+1, MOD(COLUMN(AA67)-1,8)+1))</f>
        <v>0</v>
      </c>
      <c r="AK616" s="12" t="str" cm="1">
        <f t="array" aca="1" ref="AK616" ca="1">INDEX($J$611:$AO$611, INDEX($T$15:$AA$18, INT((COLUMN(AB67)-1)/8)+1, MOD(COLUMN(AB67)-1,8)+1))</f>
        <v>1</v>
      </c>
      <c r="AL616" s="12" t="str" cm="1">
        <f t="array" aca="1" ref="AL616" ca="1">INDEX($J$611:$AO$611, INDEX($T$15:$AA$18, INT((COLUMN(AC67)-1)/8)+1, MOD(COLUMN(AC67)-1,8)+1))</f>
        <v>0</v>
      </c>
      <c r="AM616" s="12" t="str" cm="1">
        <f t="array" aca="1" ref="AM616" ca="1">INDEX($J$611:$AO$611, INDEX($T$15:$AA$18, INT((COLUMN(AD67)-1)/8)+1, MOD(COLUMN(AD67)-1,8)+1))</f>
        <v>0</v>
      </c>
      <c r="AN616" s="12" t="str" cm="1">
        <f t="array" aca="1" ref="AN616" ca="1">INDEX($J$611:$AO$611, INDEX($T$15:$AA$18, INT((COLUMN(AE67)-1)/8)+1, MOD(COLUMN(AE67)-1,8)+1))</f>
        <v>1</v>
      </c>
      <c r="AO616" s="12" t="str" cm="1">
        <f t="array" aca="1" ref="AO616" ca="1">INDEX($J$611:$AO$611, INDEX($T$15:$AA$18, INT((COLUMN(AF67)-1)/8)+1, MOD(COLUMN(AF67)-1,8)+1))</f>
        <v>0</v>
      </c>
    </row>
    <row r="617" spans="1:41">
      <c r="A617" s="7">
        <v>8</v>
      </c>
      <c r="B617" s="29" t="str">
        <f t="shared" ca="1" si="26"/>
        <v>010000</v>
      </c>
      <c r="C617" s="30"/>
      <c r="D617" s="7">
        <f t="shared" ca="1" si="27"/>
        <v>0</v>
      </c>
      <c r="E617" s="12">
        <f t="shared" ca="1" si="28"/>
        <v>8</v>
      </c>
      <c r="F617" s="12" cm="1">
        <f t="array" aca="1" ref="F617" ca="1">INDEX(OFFSET('S-box'!$A$2, (A617-1)*6, 0, 4, 16), D617+1, E617+1)</f>
        <v>10</v>
      </c>
      <c r="G617" s="17" t="str">
        <f t="shared" ca="1" si="29"/>
        <v>1010</v>
      </c>
    </row>
    <row r="619" spans="1:41">
      <c r="A619" s="20" t="s">
        <v>174</v>
      </c>
    </row>
    <row r="621" spans="1:41">
      <c r="A621" s="12" t="s">
        <v>3</v>
      </c>
      <c r="B621" s="12">
        <v>1</v>
      </c>
      <c r="C621" s="12">
        <v>2</v>
      </c>
      <c r="D621" s="12">
        <v>3</v>
      </c>
      <c r="E621" s="12">
        <v>4</v>
      </c>
      <c r="F621" s="12">
        <v>5</v>
      </c>
      <c r="G621" s="12">
        <v>6</v>
      </c>
      <c r="H621" s="12">
        <v>7</v>
      </c>
      <c r="I621" s="12">
        <v>8</v>
      </c>
      <c r="J621" s="12">
        <v>9</v>
      </c>
      <c r="K621" s="12">
        <v>10</v>
      </c>
      <c r="L621" s="12">
        <v>11</v>
      </c>
      <c r="M621" s="12">
        <v>12</v>
      </c>
      <c r="N621" s="12">
        <v>13</v>
      </c>
      <c r="O621" s="12">
        <v>14</v>
      </c>
      <c r="P621" s="12">
        <v>15</v>
      </c>
      <c r="Q621" s="12">
        <v>16</v>
      </c>
      <c r="R621" s="12">
        <v>17</v>
      </c>
      <c r="S621" s="12">
        <v>18</v>
      </c>
      <c r="T621" s="12">
        <v>19</v>
      </c>
      <c r="U621" s="12">
        <v>20</v>
      </c>
      <c r="V621" s="12">
        <v>21</v>
      </c>
      <c r="W621" s="12">
        <v>22</v>
      </c>
      <c r="X621" s="12">
        <v>23</v>
      </c>
      <c r="Y621" s="12">
        <v>24</v>
      </c>
      <c r="Z621" s="12">
        <v>25</v>
      </c>
      <c r="AA621" s="12">
        <v>26</v>
      </c>
      <c r="AB621" s="12">
        <v>27</v>
      </c>
      <c r="AC621" s="12">
        <v>28</v>
      </c>
      <c r="AD621" s="12">
        <v>29</v>
      </c>
      <c r="AE621" s="12">
        <v>30</v>
      </c>
      <c r="AF621" s="12">
        <v>31</v>
      </c>
      <c r="AG621" s="12">
        <v>32</v>
      </c>
    </row>
    <row r="622" spans="1:41">
      <c r="A622" s="12" t="s">
        <v>172</v>
      </c>
      <c r="B622" s="12">
        <v>0</v>
      </c>
      <c r="C622" s="12">
        <v>1</v>
      </c>
      <c r="D622" s="12">
        <v>1</v>
      </c>
      <c r="E622" s="12">
        <v>0</v>
      </c>
      <c r="F622" s="12">
        <v>1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1</v>
      </c>
      <c r="N622" s="12">
        <v>1</v>
      </c>
      <c r="O622" s="12">
        <v>1</v>
      </c>
      <c r="P622" s="12">
        <v>0</v>
      </c>
      <c r="Q622" s="12">
        <v>0</v>
      </c>
      <c r="R622" s="12">
        <v>0</v>
      </c>
      <c r="S622" s="12">
        <v>1</v>
      </c>
      <c r="T622" s="12">
        <v>1</v>
      </c>
      <c r="U622" s="12">
        <v>1</v>
      </c>
      <c r="V622" s="12">
        <v>1</v>
      </c>
      <c r="W622" s="12">
        <v>1</v>
      </c>
      <c r="X622" s="12">
        <v>0</v>
      </c>
      <c r="Y622" s="12">
        <v>1</v>
      </c>
      <c r="Z622" s="12">
        <v>1</v>
      </c>
      <c r="AA622" s="12">
        <v>0</v>
      </c>
      <c r="AB622" s="12">
        <v>1</v>
      </c>
      <c r="AC622" s="12">
        <v>0</v>
      </c>
      <c r="AD622" s="12">
        <v>0</v>
      </c>
      <c r="AE622" s="12">
        <v>0</v>
      </c>
      <c r="AF622" s="12">
        <v>0</v>
      </c>
      <c r="AG622" s="12">
        <v>1</v>
      </c>
    </row>
    <row r="623" spans="1:41">
      <c r="A623" s="12" t="s">
        <v>173</v>
      </c>
      <c r="B623" s="12">
        <f ca="1">_xlfn.BITXOR(B589,J616)</f>
        <v>1</v>
      </c>
      <c r="C623" s="12">
        <f t="shared" ref="C623:AG623" ca="1" si="31">_xlfn.BITXOR(C589,K616)</f>
        <v>1</v>
      </c>
      <c r="D623" s="12">
        <f t="shared" ca="1" si="31"/>
        <v>0</v>
      </c>
      <c r="E623" s="12">
        <f t="shared" ca="1" si="31"/>
        <v>1</v>
      </c>
      <c r="F623" s="12">
        <f t="shared" ca="1" si="31"/>
        <v>0</v>
      </c>
      <c r="G623" s="12">
        <f t="shared" ca="1" si="31"/>
        <v>1</v>
      </c>
      <c r="H623" s="12">
        <f t="shared" ca="1" si="31"/>
        <v>0</v>
      </c>
      <c r="I623" s="12">
        <f t="shared" ca="1" si="31"/>
        <v>1</v>
      </c>
      <c r="J623" s="12">
        <f t="shared" ca="1" si="31"/>
        <v>0</v>
      </c>
      <c r="K623" s="12">
        <f t="shared" ca="1" si="31"/>
        <v>0</v>
      </c>
      <c r="L623" s="12">
        <f t="shared" ca="1" si="31"/>
        <v>0</v>
      </c>
      <c r="M623" s="12">
        <f t="shared" ca="1" si="31"/>
        <v>1</v>
      </c>
      <c r="N623" s="12">
        <f t="shared" ca="1" si="31"/>
        <v>0</v>
      </c>
      <c r="O623" s="12">
        <f t="shared" ca="1" si="31"/>
        <v>1</v>
      </c>
      <c r="P623" s="12">
        <f t="shared" ca="1" si="31"/>
        <v>0</v>
      </c>
      <c r="Q623" s="12">
        <f t="shared" ca="1" si="31"/>
        <v>0</v>
      </c>
      <c r="R623" s="12">
        <f t="shared" ca="1" si="31"/>
        <v>1</v>
      </c>
      <c r="S623" s="12">
        <f t="shared" ca="1" si="31"/>
        <v>0</v>
      </c>
      <c r="T623" s="12">
        <f t="shared" ca="1" si="31"/>
        <v>0</v>
      </c>
      <c r="U623" s="12">
        <f t="shared" ca="1" si="31"/>
        <v>0</v>
      </c>
      <c r="V623" s="12">
        <f t="shared" ca="1" si="31"/>
        <v>1</v>
      </c>
      <c r="W623" s="12">
        <f t="shared" ca="1" si="31"/>
        <v>0</v>
      </c>
      <c r="X623" s="12">
        <f t="shared" ca="1" si="31"/>
        <v>1</v>
      </c>
      <c r="Y623" s="12">
        <f t="shared" ca="1" si="31"/>
        <v>1</v>
      </c>
      <c r="Z623" s="12">
        <f t="shared" ca="1" si="31"/>
        <v>0</v>
      </c>
      <c r="AA623" s="12">
        <f t="shared" ca="1" si="31"/>
        <v>0</v>
      </c>
      <c r="AB623" s="12">
        <f t="shared" ca="1" si="31"/>
        <v>0</v>
      </c>
      <c r="AC623" s="12">
        <f t="shared" ca="1" si="31"/>
        <v>0</v>
      </c>
      <c r="AD623" s="12">
        <f t="shared" ca="1" si="31"/>
        <v>1</v>
      </c>
      <c r="AE623" s="12">
        <f t="shared" ca="1" si="31"/>
        <v>0</v>
      </c>
      <c r="AF623" s="12">
        <f t="shared" ca="1" si="31"/>
        <v>0</v>
      </c>
      <c r="AG623" s="12">
        <f t="shared" ca="1" si="31"/>
        <v>0</v>
      </c>
    </row>
    <row r="625" spans="1:49">
      <c r="A625" s="21" t="s">
        <v>175</v>
      </c>
    </row>
    <row r="626" spans="1:49">
      <c r="A626" s="8" t="s">
        <v>176</v>
      </c>
      <c r="B626" s="12" cm="1">
        <f t="array" aca="1" ref="B626" ca="1">INDEX($B$623:$AG$623, T25)</f>
        <v>0</v>
      </c>
      <c r="C626" s="12" cm="1">
        <f t="array" aca="1" ref="C626" ca="1">INDEX($B$623:$AG$623, U25)</f>
        <v>1</v>
      </c>
      <c r="D626" s="12" cm="1">
        <f t="array" aca="1" ref="D626" ca="1">INDEX($B$623:$AG$623, V25)</f>
        <v>1</v>
      </c>
      <c r="E626" s="12" cm="1">
        <f t="array" aca="1" ref="E626" ca="1">INDEX($B$623:$AG$623, W25)</f>
        <v>0</v>
      </c>
      <c r="F626" s="12" cm="1">
        <f t="array" aca="1" ref="F626" ca="1">INDEX($B$623:$AG$623, X25)</f>
        <v>1</v>
      </c>
      <c r="G626" s="12" cm="1">
        <f t="array" aca="1" ref="G626" ca="1">INDEX($B$623:$AG$623, Y25)</f>
        <v>0</v>
      </c>
    </row>
    <row r="627" spans="1:49">
      <c r="B627" s="12" cm="1">
        <f t="array" aca="1" ref="B627" ca="1">INDEX($B$623:$AG$623, T26)</f>
        <v>1</v>
      </c>
      <c r="C627" s="12" cm="1">
        <f t="array" aca="1" ref="C627" ca="1">INDEX($B$623:$AG$623, U26)</f>
        <v>0</v>
      </c>
      <c r="D627" s="12" cm="1">
        <f t="array" aca="1" ref="D627" ca="1">INDEX($B$623:$AG$623, V26)</f>
        <v>1</v>
      </c>
      <c r="E627" s="12" cm="1">
        <f t="array" aca="1" ref="E627" ca="1">INDEX($B$623:$AG$623, W26)</f>
        <v>0</v>
      </c>
      <c r="F627" s="12" cm="1">
        <f t="array" aca="1" ref="F627" ca="1">INDEX($B$623:$AG$623, X26)</f>
        <v>1</v>
      </c>
      <c r="G627" s="12" cm="1">
        <f t="array" aca="1" ref="G627" ca="1">INDEX($B$623:$AG$623, Y26)</f>
        <v>0</v>
      </c>
    </row>
    <row r="628" spans="1:49">
      <c r="B628" s="12" cm="1">
        <f t="array" aca="1" ref="B628" ca="1">INDEX($B$623:$AG$623, T27)</f>
        <v>1</v>
      </c>
      <c r="C628" s="12" cm="1">
        <f t="array" aca="1" ref="C628" ca="1">INDEX($B$623:$AG$623, U27)</f>
        <v>0</v>
      </c>
      <c r="D628" s="12" cm="1">
        <f t="array" aca="1" ref="D628" ca="1">INDEX($B$623:$AG$623, V27)</f>
        <v>0</v>
      </c>
      <c r="E628" s="12" cm="1">
        <f t="array" aca="1" ref="E628" ca="1">INDEX($B$623:$AG$623, W27)</f>
        <v>0</v>
      </c>
      <c r="F628" s="12" cm="1">
        <f t="array" aca="1" ref="F628" ca="1">INDEX($B$623:$AG$623, X27)</f>
        <v>1</v>
      </c>
      <c r="G628" s="12" cm="1">
        <f t="array" aca="1" ref="G628" ca="1">INDEX($B$623:$AG$623, Y27)</f>
        <v>0</v>
      </c>
    </row>
    <row r="629" spans="1:49">
      <c r="B629" s="12" cm="1">
        <f t="array" aca="1" ref="B629" ca="1">INDEX($B$623:$AG$623, T28)</f>
        <v>1</v>
      </c>
      <c r="C629" s="12" cm="1">
        <f t="array" aca="1" ref="C629" ca="1">INDEX($B$623:$AG$623, U28)</f>
        <v>0</v>
      </c>
      <c r="D629" s="12" cm="1">
        <f t="array" aca="1" ref="D629" ca="1">INDEX($B$623:$AG$623, V28)</f>
        <v>1</v>
      </c>
      <c r="E629" s="12" cm="1">
        <f t="array" aca="1" ref="E629" ca="1">INDEX($B$623:$AG$623, W28)</f>
        <v>0</v>
      </c>
      <c r="F629" s="12" cm="1">
        <f t="array" aca="1" ref="F629" ca="1">INDEX($B$623:$AG$623, X28)</f>
        <v>0</v>
      </c>
      <c r="G629" s="12" cm="1">
        <f t="array" aca="1" ref="G629" ca="1">INDEX($B$623:$AG$623, Y28)</f>
        <v>1</v>
      </c>
    </row>
    <row r="630" spans="1:49">
      <c r="B630" s="12" cm="1">
        <f t="array" aca="1" ref="B630" ca="1">INDEX($B$623:$AG$623, T29)</f>
        <v>0</v>
      </c>
      <c r="C630" s="12" cm="1">
        <f t="array" aca="1" ref="C630" ca="1">INDEX($B$623:$AG$623, U29)</f>
        <v>1</v>
      </c>
      <c r="D630" s="12" cm="1">
        <f t="array" aca="1" ref="D630" ca="1">INDEX($B$623:$AG$623, V29)</f>
        <v>0</v>
      </c>
      <c r="E630" s="12" cm="1">
        <f t="array" aca="1" ref="E630" ca="1">INDEX($B$623:$AG$623, W29)</f>
        <v>0</v>
      </c>
      <c r="F630" s="12" cm="1">
        <f t="array" aca="1" ref="F630" ca="1">INDEX($B$623:$AG$623, X29)</f>
        <v>0</v>
      </c>
      <c r="G630" s="12" cm="1">
        <f t="array" aca="1" ref="G630" ca="1">INDEX($B$623:$AG$623, Y29)</f>
        <v>1</v>
      </c>
    </row>
    <row r="631" spans="1:49">
      <c r="B631" s="12" cm="1">
        <f t="array" aca="1" ref="B631" ca="1">INDEX($B$623:$AG$623, T30)</f>
        <v>0</v>
      </c>
      <c r="C631" s="12" cm="1">
        <f t="array" aca="1" ref="C631" ca="1">INDEX($B$623:$AG$623, U30)</f>
        <v>1</v>
      </c>
      <c r="D631" s="12" cm="1">
        <f t="array" aca="1" ref="D631" ca="1">INDEX($B$623:$AG$623, V30)</f>
        <v>0</v>
      </c>
      <c r="E631" s="12" cm="1">
        <f t="array" aca="1" ref="E631" ca="1">INDEX($B$623:$AG$623, W30)</f>
        <v>1</v>
      </c>
      <c r="F631" s="12" cm="1">
        <f t="array" aca="1" ref="F631" ca="1">INDEX($B$623:$AG$623, X30)</f>
        <v>1</v>
      </c>
      <c r="G631" s="12" cm="1">
        <f t="array" aca="1" ref="G631" ca="1">INDEX($B$623:$AG$623, Y30)</f>
        <v>0</v>
      </c>
    </row>
    <row r="632" spans="1:49">
      <c r="B632" s="12" cm="1">
        <f t="array" aca="1" ref="B632" ca="1">INDEX($B$623:$AG$623, T31)</f>
        <v>1</v>
      </c>
      <c r="C632" s="12" cm="1">
        <f t="array" aca="1" ref="C632" ca="1">INDEX($B$623:$AG$623, U31)</f>
        <v>0</v>
      </c>
      <c r="D632" s="12" cm="1">
        <f t="array" aca="1" ref="D632" ca="1">INDEX($B$623:$AG$623, V31)</f>
        <v>0</v>
      </c>
      <c r="E632" s="12" cm="1">
        <f t="array" aca="1" ref="E632" ca="1">INDEX($B$623:$AG$623, W31)</f>
        <v>0</v>
      </c>
      <c r="F632" s="12" cm="1">
        <f t="array" aca="1" ref="F632" ca="1">INDEX($B$623:$AG$623, X31)</f>
        <v>0</v>
      </c>
      <c r="G632" s="12" cm="1">
        <f t="array" aca="1" ref="G632" ca="1">INDEX($B$623:$AG$623, Y31)</f>
        <v>1</v>
      </c>
    </row>
    <row r="633" spans="1:49">
      <c r="B633" s="12" cm="1">
        <f t="array" aca="1" ref="B633" ca="1">INDEX($B$623:$AG$623, T32)</f>
        <v>0</v>
      </c>
      <c r="C633" s="12" cm="1">
        <f t="array" aca="1" ref="C633" ca="1">INDEX($B$623:$AG$623, U32)</f>
        <v>1</v>
      </c>
      <c r="D633" s="12" cm="1">
        <f t="array" aca="1" ref="D633" ca="1">INDEX($B$623:$AG$623, V32)</f>
        <v>0</v>
      </c>
      <c r="E633" s="12" cm="1">
        <f t="array" aca="1" ref="E633" ca="1">INDEX($B$623:$AG$623, W32)</f>
        <v>0</v>
      </c>
      <c r="F633" s="12" cm="1">
        <f t="array" aca="1" ref="F633" ca="1">INDEX($B$623:$AG$623, X32)</f>
        <v>0</v>
      </c>
      <c r="G633" s="12" cm="1">
        <f t="array" aca="1" ref="G633" ca="1">INDEX($B$623:$AG$623, Y32)</f>
        <v>1</v>
      </c>
    </row>
    <row r="635" spans="1:49">
      <c r="A635" s="12" t="s">
        <v>3</v>
      </c>
      <c r="B635" s="12">
        <v>1</v>
      </c>
      <c r="C635" s="12">
        <v>2</v>
      </c>
      <c r="D635" s="12">
        <v>3</v>
      </c>
      <c r="E635" s="12">
        <v>4</v>
      </c>
      <c r="F635" s="12">
        <v>5</v>
      </c>
      <c r="G635" s="12">
        <v>6</v>
      </c>
      <c r="H635" s="12">
        <v>7</v>
      </c>
      <c r="I635" s="12">
        <v>8</v>
      </c>
      <c r="J635" s="12">
        <v>9</v>
      </c>
      <c r="K635" s="12">
        <v>10</v>
      </c>
      <c r="L635" s="12">
        <v>11</v>
      </c>
      <c r="M635" s="12">
        <v>12</v>
      </c>
      <c r="N635" s="12">
        <v>13</v>
      </c>
      <c r="O635" s="12">
        <v>14</v>
      </c>
      <c r="P635" s="12">
        <v>15</v>
      </c>
      <c r="Q635" s="12">
        <v>16</v>
      </c>
      <c r="R635" s="12">
        <v>17</v>
      </c>
      <c r="S635" s="12">
        <v>18</v>
      </c>
      <c r="T635" s="12">
        <v>19</v>
      </c>
      <c r="U635" s="12">
        <v>20</v>
      </c>
      <c r="V635" s="12">
        <v>21</v>
      </c>
      <c r="W635" s="12">
        <v>22</v>
      </c>
      <c r="X635" s="12">
        <v>23</v>
      </c>
      <c r="Y635" s="12">
        <v>24</v>
      </c>
      <c r="Z635" s="12">
        <v>25</v>
      </c>
      <c r="AA635" s="12">
        <v>26</v>
      </c>
      <c r="AB635" s="12">
        <v>27</v>
      </c>
      <c r="AC635" s="12">
        <v>28</v>
      </c>
      <c r="AD635" s="12">
        <v>29</v>
      </c>
      <c r="AE635" s="12">
        <v>30</v>
      </c>
      <c r="AF635" s="12">
        <v>31</v>
      </c>
      <c r="AG635" s="12">
        <v>32</v>
      </c>
      <c r="AH635" s="12">
        <v>33</v>
      </c>
      <c r="AI635" s="12">
        <v>34</v>
      </c>
      <c r="AJ635" s="12">
        <v>35</v>
      </c>
      <c r="AK635" s="12">
        <v>36</v>
      </c>
      <c r="AL635" s="12">
        <v>37</v>
      </c>
      <c r="AM635" s="12">
        <v>38</v>
      </c>
      <c r="AN635" s="12">
        <v>39</v>
      </c>
      <c r="AO635" s="12">
        <v>40</v>
      </c>
      <c r="AP635" s="12">
        <v>41</v>
      </c>
      <c r="AQ635" s="12">
        <v>42</v>
      </c>
      <c r="AR635" s="12">
        <v>43</v>
      </c>
      <c r="AS635" s="12">
        <v>44</v>
      </c>
      <c r="AT635" s="12">
        <v>45</v>
      </c>
      <c r="AU635" s="12">
        <v>46</v>
      </c>
      <c r="AV635" s="12">
        <v>47</v>
      </c>
      <c r="AW635" s="12">
        <v>48</v>
      </c>
    </row>
    <row r="636" spans="1:49">
      <c r="A636" s="7" t="s">
        <v>176</v>
      </c>
      <c r="B636" s="16" cm="1">
        <f t="array" aca="1" ref="B636" ca="1">INDEX($B$626:$G633, INT((COLUMN(A492)-1)/6)+1, MOD(COLUMN(A492)-1,6)+1)</f>
        <v>0</v>
      </c>
      <c r="C636" s="16" cm="1">
        <f t="array" aca="1" ref="C636" ca="1">INDEX($B$626:$G633, INT((COLUMN(B492)-1)/6)+1, MOD(COLUMN(B492)-1,6)+1)</f>
        <v>1</v>
      </c>
      <c r="D636" s="16" cm="1">
        <f t="array" aca="1" ref="D636" ca="1">INDEX($B$626:$G633, INT((COLUMN(C492)-1)/6)+1, MOD(COLUMN(C492)-1,6)+1)</f>
        <v>1</v>
      </c>
      <c r="E636" s="16" cm="1">
        <f t="array" aca="1" ref="E636" ca="1">INDEX($B$626:$G633, INT((COLUMN(D492)-1)/6)+1, MOD(COLUMN(D492)-1,6)+1)</f>
        <v>0</v>
      </c>
      <c r="F636" s="16" cm="1">
        <f t="array" aca="1" ref="F636" ca="1">INDEX($B$626:$G633, INT((COLUMN(E492)-1)/6)+1, MOD(COLUMN(E492)-1,6)+1)</f>
        <v>1</v>
      </c>
      <c r="G636" s="16" cm="1">
        <f t="array" aca="1" ref="G636" ca="1">INDEX($B$626:$G633, INT((COLUMN(F492)-1)/6)+1, MOD(COLUMN(F492)-1,6)+1)</f>
        <v>0</v>
      </c>
      <c r="H636" s="16" cm="1">
        <f t="array" aca="1" ref="H636" ca="1">INDEX($B$626:$G633, INT((COLUMN(G492)-1)/6)+1, MOD(COLUMN(G492)-1,6)+1)</f>
        <v>1</v>
      </c>
      <c r="I636" s="16" cm="1">
        <f t="array" aca="1" ref="I636" ca="1">INDEX($B$626:$G633, INT((COLUMN(H492)-1)/6)+1, MOD(COLUMN(H492)-1,6)+1)</f>
        <v>0</v>
      </c>
      <c r="J636" s="16" cm="1">
        <f t="array" aca="1" ref="J636" ca="1">INDEX($B$626:$G633, INT((COLUMN(I492)-1)/6)+1, MOD(COLUMN(I492)-1,6)+1)</f>
        <v>1</v>
      </c>
      <c r="K636" s="16" cm="1">
        <f t="array" aca="1" ref="K636" ca="1">INDEX($B$626:$G633, INT((COLUMN(J492)-1)/6)+1, MOD(COLUMN(J492)-1,6)+1)</f>
        <v>0</v>
      </c>
      <c r="L636" s="16" cm="1">
        <f t="array" aca="1" ref="L636" ca="1">INDEX($B$626:$G633, INT((COLUMN(K492)-1)/6)+1, MOD(COLUMN(K492)-1,6)+1)</f>
        <v>1</v>
      </c>
      <c r="M636" s="16" cm="1">
        <f t="array" aca="1" ref="M636" ca="1">INDEX($B$626:$G633, INT((COLUMN(L492)-1)/6)+1, MOD(COLUMN(L492)-1,6)+1)</f>
        <v>0</v>
      </c>
      <c r="N636" s="16" cm="1">
        <f t="array" aca="1" ref="N636" ca="1">INDEX($B$626:$G633, INT((COLUMN(M492)-1)/6)+1, MOD(COLUMN(M492)-1,6)+1)</f>
        <v>1</v>
      </c>
      <c r="O636" s="16" cm="1">
        <f t="array" aca="1" ref="O636" ca="1">INDEX($B$626:$G633, INT((COLUMN(N492)-1)/6)+1, MOD(COLUMN(N492)-1,6)+1)</f>
        <v>0</v>
      </c>
      <c r="P636" s="16" cm="1">
        <f t="array" aca="1" ref="P636" ca="1">INDEX($B$626:$G633, INT((COLUMN(O492)-1)/6)+1, MOD(COLUMN(O492)-1,6)+1)</f>
        <v>0</v>
      </c>
      <c r="Q636" s="16" cm="1">
        <f t="array" aca="1" ref="Q636" ca="1">INDEX($B$626:$G633, INT((COLUMN(P492)-1)/6)+1, MOD(COLUMN(P492)-1,6)+1)</f>
        <v>0</v>
      </c>
      <c r="R636" s="16" cm="1">
        <f t="array" aca="1" ref="R636" ca="1">INDEX($B$626:$G633, INT((COLUMN(Q492)-1)/6)+1, MOD(COLUMN(Q492)-1,6)+1)</f>
        <v>1</v>
      </c>
      <c r="S636" s="16" cm="1">
        <f t="array" aca="1" ref="S636" ca="1">INDEX($B$626:$G633, INT((COLUMN(R492)-1)/6)+1, MOD(COLUMN(R492)-1,6)+1)</f>
        <v>0</v>
      </c>
      <c r="T636" s="16" cm="1">
        <f t="array" aca="1" ref="T636" ca="1">INDEX($B$626:$G633, INT((COLUMN(S492)-1)/6)+1, MOD(COLUMN(S492)-1,6)+1)</f>
        <v>1</v>
      </c>
      <c r="U636" s="16" cm="1">
        <f t="array" aca="1" ref="U636" ca="1">INDEX($B$626:$G633, INT((COLUMN(T492)-1)/6)+1, MOD(COLUMN(T492)-1,6)+1)</f>
        <v>0</v>
      </c>
      <c r="V636" s="16" cm="1">
        <f t="array" aca="1" ref="V636" ca="1">INDEX($B$626:$G633, INT((COLUMN(U492)-1)/6)+1, MOD(COLUMN(U492)-1,6)+1)</f>
        <v>1</v>
      </c>
      <c r="W636" s="16" cm="1">
        <f t="array" aca="1" ref="W636" ca="1">INDEX($B$626:$G633, INT((COLUMN(V492)-1)/6)+1, MOD(COLUMN(V492)-1,6)+1)</f>
        <v>0</v>
      </c>
      <c r="X636" s="16" cm="1">
        <f t="array" aca="1" ref="X636" ca="1">INDEX($B$626:$G633, INT((COLUMN(W492)-1)/6)+1, MOD(COLUMN(W492)-1,6)+1)</f>
        <v>0</v>
      </c>
      <c r="Y636" s="16" cm="1">
        <f t="array" aca="1" ref="Y636" ca="1">INDEX($B$626:$G633, INT((COLUMN(X492)-1)/6)+1, MOD(COLUMN(X492)-1,6)+1)</f>
        <v>1</v>
      </c>
      <c r="Z636" s="16" cm="1">
        <f t="array" aca="1" ref="Z636" ca="1">INDEX($B$626:$G633, INT((COLUMN(Y492)-1)/6)+1, MOD(COLUMN(Y492)-1,6)+1)</f>
        <v>0</v>
      </c>
      <c r="AA636" s="16" cm="1">
        <f t="array" aca="1" ref="AA636" ca="1">INDEX($B$626:$G633, INT((COLUMN(Z492)-1)/6)+1, MOD(COLUMN(Z492)-1,6)+1)</f>
        <v>1</v>
      </c>
      <c r="AB636" s="16" cm="1">
        <f t="array" aca="1" ref="AB636" ca="1">INDEX($B$626:$G633, INT((COLUMN(AA492)-1)/6)+1, MOD(COLUMN(AA492)-1,6)+1)</f>
        <v>0</v>
      </c>
      <c r="AC636" s="16" cm="1">
        <f t="array" aca="1" ref="AC636" ca="1">INDEX($B$626:$G633, INT((COLUMN(AB492)-1)/6)+1, MOD(COLUMN(AB492)-1,6)+1)</f>
        <v>0</v>
      </c>
      <c r="AD636" s="16" cm="1">
        <f t="array" aca="1" ref="AD636" ca="1">INDEX($B$626:$G633, INT((COLUMN(AC492)-1)/6)+1, MOD(COLUMN(AC492)-1,6)+1)</f>
        <v>0</v>
      </c>
      <c r="AE636" s="16" cm="1">
        <f t="array" aca="1" ref="AE636" ca="1">INDEX($B$626:$G633, INT((COLUMN(AD492)-1)/6)+1, MOD(COLUMN(AD492)-1,6)+1)</f>
        <v>1</v>
      </c>
      <c r="AF636" s="16" cm="1">
        <f t="array" aca="1" ref="AF636" ca="1">INDEX($B$626:$G633, INT((COLUMN(AE492)-1)/6)+1, MOD(COLUMN(AE492)-1,6)+1)</f>
        <v>0</v>
      </c>
      <c r="AG636" s="16" cm="1">
        <f t="array" aca="1" ref="AG636" ca="1">INDEX($B$626:$G633, INT((COLUMN(AF492)-1)/6)+1, MOD(COLUMN(AF492)-1,6)+1)</f>
        <v>1</v>
      </c>
      <c r="AH636" s="16" cm="1">
        <f t="array" aca="1" ref="AH636" ca="1">INDEX($B$626:$G633, INT((COLUMN(AG492)-1)/6)+1, MOD(COLUMN(AG492)-1,6)+1)</f>
        <v>0</v>
      </c>
      <c r="AI636" s="16" cm="1">
        <f t="array" aca="1" ref="AI636" ca="1">INDEX($B$626:$G633, INT((COLUMN(AH492)-1)/6)+1, MOD(COLUMN(AH492)-1,6)+1)</f>
        <v>1</v>
      </c>
      <c r="AJ636" s="16" cm="1">
        <f t="array" aca="1" ref="AJ636" ca="1">INDEX($B$626:$G633, INT((COLUMN(AI492)-1)/6)+1, MOD(COLUMN(AI492)-1,6)+1)</f>
        <v>1</v>
      </c>
      <c r="AK636" s="16" cm="1">
        <f t="array" aca="1" ref="AK636" ca="1">INDEX($B$626:$G633, INT((COLUMN(AJ492)-1)/6)+1, MOD(COLUMN(AJ492)-1,6)+1)</f>
        <v>0</v>
      </c>
      <c r="AL636" s="16" cm="1">
        <f t="array" aca="1" ref="AL636" ca="1">INDEX($B$626:$G633, INT((COLUMN(AK492)-1)/6)+1, MOD(COLUMN(AK492)-1,6)+1)</f>
        <v>1</v>
      </c>
      <c r="AM636" s="16" cm="1">
        <f t="array" aca="1" ref="AM636" ca="1">INDEX($B$626:$G633, INT((COLUMN(AL492)-1)/6)+1, MOD(COLUMN(AL492)-1,6)+1)</f>
        <v>0</v>
      </c>
      <c r="AN636" s="16" cm="1">
        <f t="array" aca="1" ref="AN636" ca="1">INDEX($B$626:$G633, INT((COLUMN(AM492)-1)/6)+1, MOD(COLUMN(AM492)-1,6)+1)</f>
        <v>0</v>
      </c>
      <c r="AO636" s="16" cm="1">
        <f t="array" aca="1" ref="AO636" ca="1">INDEX($B$626:$G633, INT((COLUMN(AN492)-1)/6)+1, MOD(COLUMN(AN492)-1,6)+1)</f>
        <v>0</v>
      </c>
      <c r="AP636" s="16" cm="1">
        <f t="array" aca="1" ref="AP636" ca="1">INDEX($B$626:$G633, INT((COLUMN(AO492)-1)/6)+1, MOD(COLUMN(AO492)-1,6)+1)</f>
        <v>0</v>
      </c>
      <c r="AQ636" s="16" cm="1">
        <f t="array" aca="1" ref="AQ636" ca="1">INDEX($B$626:$G633, INT((COLUMN(AP492)-1)/6)+1, MOD(COLUMN(AP492)-1,6)+1)</f>
        <v>1</v>
      </c>
      <c r="AR636" s="16" cm="1">
        <f t="array" aca="1" ref="AR636" ca="1">INDEX($B$626:$G633, INT((COLUMN(AQ492)-1)/6)+1, MOD(COLUMN(AQ492)-1,6)+1)</f>
        <v>0</v>
      </c>
      <c r="AS636" s="16" cm="1">
        <f t="array" aca="1" ref="AS636" ca="1">INDEX($B$626:$G633, INT((COLUMN(AR492)-1)/6)+1, MOD(COLUMN(AR492)-1,6)+1)</f>
        <v>1</v>
      </c>
      <c r="AT636" s="16" cm="1">
        <f t="array" aca="1" ref="AT636" ca="1">INDEX($B$626:$G633, INT((COLUMN(AS492)-1)/6)+1, MOD(COLUMN(AS492)-1,6)+1)</f>
        <v>0</v>
      </c>
      <c r="AU636" s="16" cm="1">
        <f t="array" aca="1" ref="AU636" ca="1">INDEX($B$626:$G633, INT((COLUMN(AT492)-1)/6)+1, MOD(COLUMN(AT492)-1,6)+1)</f>
        <v>0</v>
      </c>
      <c r="AV636" s="16" cm="1">
        <f t="array" aca="1" ref="AV636" ca="1">INDEX($B$626:$G633, INT((COLUMN(AU492)-1)/6)+1, MOD(COLUMN(AU492)-1,6)+1)</f>
        <v>0</v>
      </c>
      <c r="AW636" s="16" cm="1">
        <f t="array" aca="1" ref="AW636" ca="1">INDEX($B$626:$G633, INT((COLUMN(AV492)-1)/6)+1, MOD(COLUMN(AV492)-1,6)+1)</f>
        <v>1</v>
      </c>
    </row>
    <row r="637" spans="1:49">
      <c r="A637" s="19"/>
    </row>
    <row r="638" spans="1:49">
      <c r="A638" s="12" t="s">
        <v>3</v>
      </c>
      <c r="B638" s="12">
        <v>1</v>
      </c>
      <c r="C638" s="12">
        <v>2</v>
      </c>
      <c r="D638" s="12">
        <v>3</v>
      </c>
      <c r="E638" s="12">
        <v>4</v>
      </c>
      <c r="F638" s="12">
        <v>5</v>
      </c>
      <c r="G638" s="12">
        <v>6</v>
      </c>
      <c r="H638" s="12">
        <v>7</v>
      </c>
      <c r="I638" s="12">
        <v>8</v>
      </c>
      <c r="J638" s="12">
        <v>9</v>
      </c>
      <c r="K638" s="12">
        <v>10</v>
      </c>
      <c r="L638" s="12">
        <v>11</v>
      </c>
      <c r="M638" s="12">
        <v>12</v>
      </c>
      <c r="N638" s="12">
        <v>13</v>
      </c>
      <c r="O638" s="12">
        <v>14</v>
      </c>
      <c r="P638" s="12">
        <v>15</v>
      </c>
      <c r="Q638" s="12">
        <v>16</v>
      </c>
      <c r="R638" s="12">
        <v>17</v>
      </c>
      <c r="S638" s="12">
        <v>18</v>
      </c>
      <c r="T638" s="12">
        <v>19</v>
      </c>
      <c r="U638" s="12">
        <v>20</v>
      </c>
      <c r="V638" s="12">
        <v>21</v>
      </c>
      <c r="W638" s="12">
        <v>22</v>
      </c>
      <c r="X638" s="12">
        <v>23</v>
      </c>
      <c r="Y638" s="12">
        <v>24</v>
      </c>
      <c r="Z638" s="12">
        <v>25</v>
      </c>
      <c r="AA638" s="12">
        <v>26</v>
      </c>
      <c r="AB638" s="12">
        <v>27</v>
      </c>
      <c r="AC638" s="12">
        <v>28</v>
      </c>
      <c r="AD638" s="12">
        <v>29</v>
      </c>
      <c r="AE638" s="12">
        <v>30</v>
      </c>
      <c r="AF638" s="12">
        <v>31</v>
      </c>
      <c r="AG638" s="12">
        <v>32</v>
      </c>
      <c r="AH638" s="12">
        <v>33</v>
      </c>
      <c r="AI638" s="12">
        <v>34</v>
      </c>
      <c r="AJ638" s="12">
        <v>35</v>
      </c>
      <c r="AK638" s="12">
        <v>36</v>
      </c>
      <c r="AL638" s="12">
        <v>37</v>
      </c>
      <c r="AM638" s="12">
        <v>38</v>
      </c>
      <c r="AN638" s="12">
        <v>39</v>
      </c>
      <c r="AO638" s="12">
        <v>40</v>
      </c>
      <c r="AP638" s="12">
        <v>41</v>
      </c>
      <c r="AQ638" s="12">
        <v>42</v>
      </c>
      <c r="AR638" s="12">
        <v>43</v>
      </c>
      <c r="AS638" s="12">
        <v>44</v>
      </c>
      <c r="AT638" s="12">
        <v>45</v>
      </c>
      <c r="AU638" s="12">
        <v>46</v>
      </c>
      <c r="AV638" s="12">
        <v>47</v>
      </c>
      <c r="AW638" s="12">
        <v>48</v>
      </c>
    </row>
    <row r="639" spans="1:49">
      <c r="A639" s="7" t="s">
        <v>177</v>
      </c>
      <c r="B639" s="16">
        <f ca="1">_xlfn.BITXOR(B636, B182)</f>
        <v>0</v>
      </c>
      <c r="C639" s="16">
        <f t="shared" ref="C639:AW639" ca="1" si="32">_xlfn.BITXOR(C636, C182)</f>
        <v>0</v>
      </c>
      <c r="D639" s="16">
        <f t="shared" ca="1" si="32"/>
        <v>0</v>
      </c>
      <c r="E639" s="16">
        <f t="shared" ca="1" si="32"/>
        <v>1</v>
      </c>
      <c r="F639" s="16">
        <f t="shared" ca="1" si="32"/>
        <v>1</v>
      </c>
      <c r="G639" s="16">
        <f t="shared" ca="1" si="32"/>
        <v>0</v>
      </c>
      <c r="H639" s="16">
        <f t="shared" ca="1" si="32"/>
        <v>0</v>
      </c>
      <c r="I639" s="16">
        <f t="shared" ca="1" si="32"/>
        <v>0</v>
      </c>
      <c r="J639" s="16">
        <f t="shared" ca="1" si="32"/>
        <v>0</v>
      </c>
      <c r="K639" s="16">
        <f t="shared" ca="1" si="32"/>
        <v>0</v>
      </c>
      <c r="L639" s="16">
        <f t="shared" ca="1" si="32"/>
        <v>0</v>
      </c>
      <c r="M639" s="16">
        <f t="shared" ca="1" si="32"/>
        <v>0</v>
      </c>
      <c r="N639" s="16">
        <f t="shared" ca="1" si="32"/>
        <v>0</v>
      </c>
      <c r="O639" s="16">
        <f t="shared" ca="1" si="32"/>
        <v>1</v>
      </c>
      <c r="P639" s="16">
        <f t="shared" ca="1" si="32"/>
        <v>0</v>
      </c>
      <c r="Q639" s="16">
        <f t="shared" ca="1" si="32"/>
        <v>1</v>
      </c>
      <c r="R639" s="16">
        <f t="shared" ca="1" si="32"/>
        <v>0</v>
      </c>
      <c r="S639" s="16">
        <f t="shared" ca="1" si="32"/>
        <v>1</v>
      </c>
      <c r="T639" s="16">
        <f t="shared" ca="1" si="32"/>
        <v>1</v>
      </c>
      <c r="U639" s="16">
        <f t="shared" ca="1" si="32"/>
        <v>1</v>
      </c>
      <c r="V639" s="16">
        <f t="shared" ca="1" si="32"/>
        <v>1</v>
      </c>
      <c r="W639" s="16">
        <f t="shared" ca="1" si="32"/>
        <v>0</v>
      </c>
      <c r="X639" s="16">
        <f t="shared" ca="1" si="32"/>
        <v>1</v>
      </c>
      <c r="Y639" s="16">
        <f t="shared" ca="1" si="32"/>
        <v>1</v>
      </c>
      <c r="Z639" s="16">
        <f t="shared" ca="1" si="32"/>
        <v>1</v>
      </c>
      <c r="AA639" s="16">
        <f t="shared" ca="1" si="32"/>
        <v>1</v>
      </c>
      <c r="AB639" s="16">
        <f t="shared" ca="1" si="32"/>
        <v>1</v>
      </c>
      <c r="AC639" s="16">
        <f t="shared" ca="1" si="32"/>
        <v>0</v>
      </c>
      <c r="AD639" s="16">
        <f t="shared" ca="1" si="32"/>
        <v>1</v>
      </c>
      <c r="AE639" s="16">
        <f t="shared" ca="1" si="32"/>
        <v>0</v>
      </c>
      <c r="AF639" s="16">
        <f t="shared" ca="1" si="32"/>
        <v>0</v>
      </c>
      <c r="AG639" s="16">
        <f t="shared" ca="1" si="32"/>
        <v>0</v>
      </c>
      <c r="AH639" s="16">
        <f t="shared" ca="1" si="32"/>
        <v>1</v>
      </c>
      <c r="AI639" s="16">
        <f t="shared" ca="1" si="32"/>
        <v>1</v>
      </c>
      <c r="AJ639" s="16">
        <f t="shared" ca="1" si="32"/>
        <v>1</v>
      </c>
      <c r="AK639" s="16">
        <f t="shared" ca="1" si="32"/>
        <v>0</v>
      </c>
      <c r="AL639" s="16">
        <f t="shared" ca="1" si="32"/>
        <v>1</v>
      </c>
      <c r="AM639" s="16">
        <f t="shared" ca="1" si="32"/>
        <v>1</v>
      </c>
      <c r="AN639" s="16">
        <f t="shared" ca="1" si="32"/>
        <v>1</v>
      </c>
      <c r="AO639" s="16">
        <f t="shared" ca="1" si="32"/>
        <v>0</v>
      </c>
      <c r="AP639" s="16">
        <f t="shared" ca="1" si="32"/>
        <v>0</v>
      </c>
      <c r="AQ639" s="16">
        <f t="shared" ca="1" si="32"/>
        <v>0</v>
      </c>
      <c r="AR639" s="16">
        <f t="shared" ca="1" si="32"/>
        <v>0</v>
      </c>
      <c r="AS639" s="16">
        <f t="shared" ca="1" si="32"/>
        <v>0</v>
      </c>
      <c r="AT639" s="16">
        <f t="shared" ca="1" si="32"/>
        <v>0</v>
      </c>
      <c r="AU639" s="16">
        <f t="shared" ca="1" si="32"/>
        <v>1</v>
      </c>
      <c r="AV639" s="16">
        <f t="shared" ca="1" si="32"/>
        <v>1</v>
      </c>
      <c r="AW639" s="16">
        <f t="shared" ca="1" si="32"/>
        <v>0</v>
      </c>
    </row>
    <row r="641" spans="1:41">
      <c r="A641" s="27" t="s">
        <v>136</v>
      </c>
      <c r="B641" s="27" t="s">
        <v>137</v>
      </c>
      <c r="C641" s="27"/>
      <c r="D641" s="27" t="s">
        <v>141</v>
      </c>
      <c r="E641" s="27" t="s">
        <v>142</v>
      </c>
      <c r="F641" s="28" t="s">
        <v>138</v>
      </c>
      <c r="G641" s="28"/>
      <c r="I641" s="5" t="s">
        <v>178</v>
      </c>
    </row>
    <row r="642" spans="1:41">
      <c r="A642" s="27"/>
      <c r="B642" s="27"/>
      <c r="C642" s="27"/>
      <c r="D642" s="27"/>
      <c r="E642" s="27"/>
      <c r="F642" s="7" t="s">
        <v>139</v>
      </c>
      <c r="G642" s="7" t="s">
        <v>140</v>
      </c>
    </row>
    <row r="643" spans="1:41">
      <c r="A643" s="7">
        <v>1</v>
      </c>
      <c r="B643" s="29" t="str">
        <f ca="1">_xlfn.TEXTJOIN("", TRUE, OFFSET($B$639,0,(ROW(A1)-1)*6,1,6))</f>
        <v>000110</v>
      </c>
      <c r="C643" s="30"/>
      <c r="D643" s="7">
        <f ca="1">BIN2DEC(LEFT(B643,1) &amp; RIGHT(B643,1))</f>
        <v>0</v>
      </c>
      <c r="E643" s="12">
        <f ca="1">BIN2DEC(MID(B643,2,4))</f>
        <v>3</v>
      </c>
      <c r="F643" s="12" cm="1">
        <f t="array" aca="1" ref="F643" ca="1">INDEX(OFFSET('S-box'!$A$2, (A643-1)*6, 0, 4, 16), D643+1, E643+1)</f>
        <v>1</v>
      </c>
      <c r="G643" s="17" t="str">
        <f ca="1">DEC2BIN(F643, 4)</f>
        <v>0001</v>
      </c>
      <c r="I643" s="12" t="s">
        <v>3</v>
      </c>
      <c r="J643" s="12">
        <v>1</v>
      </c>
      <c r="K643" s="12">
        <v>2</v>
      </c>
      <c r="L643" s="12">
        <v>3</v>
      </c>
      <c r="M643" s="12">
        <v>4</v>
      </c>
      <c r="N643" s="12">
        <v>5</v>
      </c>
      <c r="O643" s="12">
        <v>6</v>
      </c>
      <c r="P643" s="12">
        <v>7</v>
      </c>
      <c r="Q643" s="12">
        <v>8</v>
      </c>
      <c r="R643" s="12">
        <v>9</v>
      </c>
      <c r="S643" s="12">
        <v>10</v>
      </c>
      <c r="T643" s="12">
        <v>11</v>
      </c>
      <c r="U643" s="12">
        <v>12</v>
      </c>
      <c r="V643" s="12">
        <v>13</v>
      </c>
      <c r="W643" s="12">
        <v>14</v>
      </c>
      <c r="X643" s="12">
        <v>15</v>
      </c>
      <c r="Y643" s="12">
        <v>16</v>
      </c>
      <c r="Z643" s="12">
        <v>17</v>
      </c>
      <c r="AA643" s="12">
        <v>18</v>
      </c>
      <c r="AB643" s="12">
        <v>19</v>
      </c>
      <c r="AC643" s="12">
        <v>20</v>
      </c>
      <c r="AD643" s="12">
        <v>21</v>
      </c>
      <c r="AE643" s="12">
        <v>22</v>
      </c>
      <c r="AF643" s="12">
        <v>23</v>
      </c>
      <c r="AG643" s="12">
        <v>24</v>
      </c>
      <c r="AH643" s="12">
        <v>25</v>
      </c>
      <c r="AI643" s="12">
        <v>26</v>
      </c>
      <c r="AJ643" s="12">
        <v>27</v>
      </c>
      <c r="AK643" s="12">
        <v>28</v>
      </c>
      <c r="AL643" s="12">
        <v>29</v>
      </c>
      <c r="AM643" s="12">
        <v>30</v>
      </c>
      <c r="AN643" s="12">
        <v>31</v>
      </c>
      <c r="AO643" s="12">
        <v>32</v>
      </c>
    </row>
    <row r="644" spans="1:41">
      <c r="A644" s="7">
        <v>2</v>
      </c>
      <c r="B644" s="29" t="str">
        <f t="shared" ref="B644:B650" ca="1" si="33">_xlfn.TEXTJOIN("", TRUE, OFFSET($B$639,0,(ROW(A2)-1)*6,1,6))</f>
        <v>000000</v>
      </c>
      <c r="C644" s="30"/>
      <c r="D644" s="7">
        <f t="shared" ref="D644:D650" ca="1" si="34">BIN2DEC(LEFT(B644,1) &amp; RIGHT(B644,1))</f>
        <v>0</v>
      </c>
      <c r="E644" s="12">
        <f t="shared" ref="E644:E650" ca="1" si="35">BIN2DEC(MID(B644,2,4))</f>
        <v>0</v>
      </c>
      <c r="F644" s="12" cm="1">
        <f t="array" aca="1" ref="F644" ca="1">INDEX(OFFSET('S-box'!$A$2, (A644-1)*6, 0, 4, 16), D644+1, E644+1)</f>
        <v>15</v>
      </c>
      <c r="G644" s="17" t="str">
        <f t="shared" ref="G644:G650" ca="1" si="36">DEC2BIN(F644, 4)</f>
        <v>1111</v>
      </c>
      <c r="I644" s="12" t="s">
        <v>152</v>
      </c>
      <c r="J644" s="12" t="str">
        <f ca="1">MID(_xlfn.TEXTJOIN("",TRUE,$G$643:$G$650), COLUMN(A100), 1)</f>
        <v>0</v>
      </c>
      <c r="K644" s="12" t="str">
        <f t="shared" ref="K644:AO644" ca="1" si="37">MID(_xlfn.TEXTJOIN("",TRUE,$G$643:$G$650), COLUMN(B100), 1)</f>
        <v>0</v>
      </c>
      <c r="L644" s="12" t="str">
        <f t="shared" ca="1" si="37"/>
        <v>0</v>
      </c>
      <c r="M644" s="12" t="str">
        <f t="shared" ca="1" si="37"/>
        <v>1</v>
      </c>
      <c r="N644" s="12" t="str">
        <f t="shared" ca="1" si="37"/>
        <v>1</v>
      </c>
      <c r="O644" s="12" t="str">
        <f t="shared" ca="1" si="37"/>
        <v>1</v>
      </c>
      <c r="P644" s="12" t="str">
        <f t="shared" ca="1" si="37"/>
        <v>1</v>
      </c>
      <c r="Q644" s="12" t="str">
        <f t="shared" ca="1" si="37"/>
        <v>1</v>
      </c>
      <c r="R644" s="12" t="str">
        <f t="shared" ca="1" si="37"/>
        <v>0</v>
      </c>
      <c r="S644" s="12" t="str">
        <f t="shared" ca="1" si="37"/>
        <v>1</v>
      </c>
      <c r="T644" s="12" t="str">
        <f t="shared" ca="1" si="37"/>
        <v>0</v>
      </c>
      <c r="U644" s="12" t="str">
        <f t="shared" ca="1" si="37"/>
        <v>1</v>
      </c>
      <c r="V644" s="12" t="str">
        <f t="shared" ca="1" si="37"/>
        <v>0</v>
      </c>
      <c r="W644" s="12" t="str">
        <f t="shared" ca="1" si="37"/>
        <v>1</v>
      </c>
      <c r="X644" s="12" t="str">
        <f t="shared" ca="1" si="37"/>
        <v>1</v>
      </c>
      <c r="Y644" s="12" t="str">
        <f t="shared" ca="1" si="37"/>
        <v>1</v>
      </c>
      <c r="Z644" s="12" t="str">
        <f t="shared" ca="1" si="37"/>
        <v>0</v>
      </c>
      <c r="AA644" s="12" t="str">
        <f t="shared" ca="1" si="37"/>
        <v>0</v>
      </c>
      <c r="AB644" s="12" t="str">
        <f t="shared" ca="1" si="37"/>
        <v>1</v>
      </c>
      <c r="AC644" s="12" t="str">
        <f t="shared" ca="1" si="37"/>
        <v>1</v>
      </c>
      <c r="AD644" s="12" t="str">
        <f t="shared" ca="1" si="37"/>
        <v>1</v>
      </c>
      <c r="AE644" s="12" t="str">
        <f t="shared" ca="1" si="37"/>
        <v>0</v>
      </c>
      <c r="AF644" s="12" t="str">
        <f t="shared" ca="1" si="37"/>
        <v>0</v>
      </c>
      <c r="AG644" s="12" t="str">
        <f t="shared" ca="1" si="37"/>
        <v>0</v>
      </c>
      <c r="AH644" s="12" t="str">
        <f t="shared" ca="1" si="37"/>
        <v>0</v>
      </c>
      <c r="AI644" s="12" t="str">
        <f t="shared" ca="1" si="37"/>
        <v>0</v>
      </c>
      <c r="AJ644" s="12" t="str">
        <f t="shared" ca="1" si="37"/>
        <v>0</v>
      </c>
      <c r="AK644" s="12" t="str">
        <f t="shared" ca="1" si="37"/>
        <v>0</v>
      </c>
      <c r="AL644" s="12" t="str">
        <f t="shared" ca="1" si="37"/>
        <v>0</v>
      </c>
      <c r="AM644" s="12" t="str">
        <f t="shared" ca="1" si="37"/>
        <v>1</v>
      </c>
      <c r="AN644" s="12" t="str">
        <f t="shared" ca="1" si="37"/>
        <v>0</v>
      </c>
      <c r="AO644" s="12" t="str">
        <f t="shared" ca="1" si="37"/>
        <v>0</v>
      </c>
    </row>
    <row r="645" spans="1:41">
      <c r="A645" s="7">
        <v>3</v>
      </c>
      <c r="B645" s="29" t="str">
        <f t="shared" ca="1" si="33"/>
        <v>010101</v>
      </c>
      <c r="C645" s="30"/>
      <c r="D645" s="7">
        <f t="shared" ca="1" si="34"/>
        <v>1</v>
      </c>
      <c r="E645" s="12">
        <f t="shared" ca="1" si="35"/>
        <v>10</v>
      </c>
      <c r="F645" s="12" cm="1">
        <f t="array" aca="1" ref="F645" ca="1">INDEX(OFFSET('S-box'!$A$2, (A645-1)*6, 0, 4, 16), D645+1, E645+1)</f>
        <v>5</v>
      </c>
      <c r="G645" s="17" t="str">
        <f t="shared" ca="1" si="36"/>
        <v>0101</v>
      </c>
    </row>
    <row r="646" spans="1:41">
      <c r="A646" s="7">
        <v>4</v>
      </c>
      <c r="B646" s="29" t="str">
        <f t="shared" ca="1" si="33"/>
        <v>111011</v>
      </c>
      <c r="C646" s="30"/>
      <c r="D646" s="7">
        <f t="shared" ca="1" si="34"/>
        <v>3</v>
      </c>
      <c r="E646" s="12">
        <f t="shared" ca="1" si="35"/>
        <v>13</v>
      </c>
      <c r="F646" s="12" cm="1">
        <f t="array" aca="1" ref="F646" ca="1">INDEX(OFFSET('S-box'!$A$2, (A646-1)*6, 0, 4, 16), D646+1, E646+1)</f>
        <v>7</v>
      </c>
      <c r="G646" s="17" t="str">
        <f t="shared" ca="1" si="36"/>
        <v>0111</v>
      </c>
      <c r="I646" s="5" t="s">
        <v>179</v>
      </c>
    </row>
    <row r="647" spans="1:41">
      <c r="A647" s="7">
        <v>5</v>
      </c>
      <c r="B647" s="29" t="str">
        <f t="shared" ca="1" si="33"/>
        <v>111010</v>
      </c>
      <c r="C647" s="30"/>
      <c r="D647" s="7">
        <f t="shared" ca="1" si="34"/>
        <v>2</v>
      </c>
      <c r="E647" s="12">
        <f t="shared" ca="1" si="35"/>
        <v>13</v>
      </c>
      <c r="F647" s="12" cm="1">
        <f t="array" aca="1" ref="F647" ca="1">INDEX(OFFSET('S-box'!$A$2, (A647-1)*6, 0, 4, 16), D647+1, E647+1)</f>
        <v>3</v>
      </c>
      <c r="G647" s="17" t="str">
        <f t="shared" ca="1" si="36"/>
        <v>0011</v>
      </c>
    </row>
    <row r="648" spans="1:41">
      <c r="A648" s="7">
        <v>6</v>
      </c>
      <c r="B648" s="29" t="str">
        <f t="shared" ca="1" si="33"/>
        <v>001110</v>
      </c>
      <c r="C648" s="30"/>
      <c r="D648" s="7">
        <f t="shared" ca="1" si="34"/>
        <v>0</v>
      </c>
      <c r="E648" s="12">
        <f t="shared" ca="1" si="35"/>
        <v>7</v>
      </c>
      <c r="F648" s="12" cm="1">
        <f t="array" aca="1" ref="F648" ca="1">INDEX(OFFSET('S-box'!$A$2, (A648-1)*6, 0, 4, 16), D648+1, E648+1)</f>
        <v>8</v>
      </c>
      <c r="G648" s="17" t="str">
        <f t="shared" ca="1" si="36"/>
        <v>1000</v>
      </c>
      <c r="I648" s="12" t="s">
        <v>3</v>
      </c>
      <c r="J648" s="12">
        <v>1</v>
      </c>
      <c r="K648" s="12">
        <v>2</v>
      </c>
      <c r="L648" s="12">
        <v>3</v>
      </c>
      <c r="M648" s="12">
        <v>4</v>
      </c>
      <c r="N648" s="12">
        <v>5</v>
      </c>
      <c r="O648" s="12">
        <v>6</v>
      </c>
      <c r="P648" s="12">
        <v>7</v>
      </c>
      <c r="Q648" s="12">
        <v>8</v>
      </c>
      <c r="R648" s="12">
        <v>9</v>
      </c>
      <c r="S648" s="12">
        <v>10</v>
      </c>
      <c r="T648" s="12">
        <v>11</v>
      </c>
      <c r="U648" s="12">
        <v>12</v>
      </c>
      <c r="V648" s="12">
        <v>13</v>
      </c>
      <c r="W648" s="12">
        <v>14</v>
      </c>
      <c r="X648" s="12">
        <v>15</v>
      </c>
      <c r="Y648" s="12">
        <v>16</v>
      </c>
      <c r="Z648" s="12">
        <v>17</v>
      </c>
      <c r="AA648" s="12">
        <v>18</v>
      </c>
      <c r="AB648" s="12">
        <v>19</v>
      </c>
      <c r="AC648" s="12">
        <v>20</v>
      </c>
      <c r="AD648" s="12">
        <v>21</v>
      </c>
      <c r="AE648" s="12">
        <v>22</v>
      </c>
      <c r="AF648" s="12">
        <v>23</v>
      </c>
      <c r="AG648" s="12">
        <v>24</v>
      </c>
      <c r="AH648" s="12">
        <v>25</v>
      </c>
      <c r="AI648" s="12">
        <v>26</v>
      </c>
      <c r="AJ648" s="12">
        <v>27</v>
      </c>
      <c r="AK648" s="12">
        <v>28</v>
      </c>
      <c r="AL648" s="12">
        <v>29</v>
      </c>
      <c r="AM648" s="12">
        <v>30</v>
      </c>
      <c r="AN648" s="12">
        <v>31</v>
      </c>
      <c r="AO648" s="12">
        <v>32</v>
      </c>
    </row>
    <row r="649" spans="1:41">
      <c r="A649" s="7">
        <v>7</v>
      </c>
      <c r="B649" s="29" t="str">
        <f t="shared" ca="1" si="33"/>
        <v>111000</v>
      </c>
      <c r="C649" s="30"/>
      <c r="D649" s="7">
        <f t="shared" ca="1" si="34"/>
        <v>2</v>
      </c>
      <c r="E649" s="12">
        <f t="shared" ca="1" si="35"/>
        <v>12</v>
      </c>
      <c r="F649" s="12" cm="1">
        <f t="array" aca="1" ref="F649" ca="1">INDEX(OFFSET('S-box'!$A$2, (A649-1)*6, 0, 4, 16), D649+1, E649+1)</f>
        <v>0</v>
      </c>
      <c r="G649" s="17" t="str">
        <f t="shared" ca="1" si="36"/>
        <v>0000</v>
      </c>
      <c r="I649" s="18" t="s">
        <v>152</v>
      </c>
      <c r="J649" s="12" t="str" cm="1">
        <f t="array" aca="1" ref="J649" ca="1">INDEX($J$644:$AO$644, INDEX($T$15:$AA$18, INT((COLUMN(A100)-1)/8)+1, MOD(COLUMN(A100)-1,8)+1))</f>
        <v>1</v>
      </c>
      <c r="K649" s="12" t="str" cm="1">
        <f t="array" aca="1" ref="K649" ca="1">INDEX($J$644:$AO$644, INDEX($T$15:$AA$18, INT((COLUMN(B100)-1)/8)+1, MOD(COLUMN(B100)-1,8)+1))</f>
        <v>1</v>
      </c>
      <c r="L649" s="12" t="str" cm="1">
        <f t="array" aca="1" ref="L649" ca="1">INDEX($J$644:$AO$644, INDEX($T$15:$AA$18, INT((COLUMN(C100)-1)/8)+1, MOD(COLUMN(C100)-1,8)+1))</f>
        <v>1</v>
      </c>
      <c r="M649" s="12" t="str" cm="1">
        <f t="array" aca="1" ref="M649" ca="1">INDEX($J$644:$AO$644, INDEX($T$15:$AA$18, INT((COLUMN(D100)-1)/8)+1, MOD(COLUMN(D100)-1,8)+1))</f>
        <v>1</v>
      </c>
      <c r="N649" s="12" t="str" cm="1">
        <f t="array" aca="1" ref="N649" ca="1">INDEX($J$644:$AO$644, INDEX($T$15:$AA$18, INT((COLUMN(E100)-1)/8)+1, MOD(COLUMN(E100)-1,8)+1))</f>
        <v>0</v>
      </c>
      <c r="O649" s="12" t="str" cm="1">
        <f t="array" aca="1" ref="O649" ca="1">INDEX($J$644:$AO$644, INDEX($T$15:$AA$18, INT((COLUMN(F100)-1)/8)+1, MOD(COLUMN(F100)-1,8)+1))</f>
        <v>1</v>
      </c>
      <c r="P649" s="12" t="str" cm="1">
        <f t="array" aca="1" ref="P649" ca="1">INDEX($J$644:$AO$644, INDEX($T$15:$AA$18, INT((COLUMN(G100)-1)/8)+1, MOD(COLUMN(G100)-1,8)+1))</f>
        <v>0</v>
      </c>
      <c r="Q649" s="12" t="str" cm="1">
        <f t="array" aca="1" ref="Q649" ca="1">INDEX($J$644:$AO$644, INDEX($T$15:$AA$18, INT((COLUMN(H100)-1)/8)+1, MOD(COLUMN(H100)-1,8)+1))</f>
        <v>0</v>
      </c>
      <c r="R649" s="12" t="str" cm="1">
        <f t="array" aca="1" ref="R649" ca="1">INDEX($J$644:$AO$644, INDEX($T$15:$AA$18, INT((COLUMN(I100)-1)/8)+1, MOD(COLUMN(I100)-1,8)+1))</f>
        <v>0</v>
      </c>
      <c r="S649" s="12" t="str" cm="1">
        <f t="array" aca="1" ref="S649" ca="1">INDEX($J$644:$AO$644, INDEX($T$15:$AA$18, INT((COLUMN(J100)-1)/8)+1, MOD(COLUMN(J100)-1,8)+1))</f>
        <v>1</v>
      </c>
      <c r="T649" s="12" t="str" cm="1">
        <f t="array" aca="1" ref="T649" ca="1">INDEX($J$644:$AO$644, INDEX($T$15:$AA$18, INT((COLUMN(K100)-1)/8)+1, MOD(COLUMN(K100)-1,8)+1))</f>
        <v>0</v>
      </c>
      <c r="U649" s="12" t="str" cm="1">
        <f t="array" aca="1" ref="U649" ca="1">INDEX($J$644:$AO$644, INDEX($T$15:$AA$18, INT((COLUMN(L100)-1)/8)+1, MOD(COLUMN(L100)-1,8)+1))</f>
        <v>0</v>
      </c>
      <c r="V649" s="12" t="str" cm="1">
        <f t="array" aca="1" ref="V649" ca="1">INDEX($J$644:$AO$644, INDEX($T$15:$AA$18, INT((COLUMN(M100)-1)/8)+1, MOD(COLUMN(M100)-1,8)+1))</f>
        <v>1</v>
      </c>
      <c r="W649" s="12" t="str" cm="1">
        <f t="array" aca="1" ref="W649" ca="1">INDEX($J$644:$AO$644, INDEX($T$15:$AA$18, INT((COLUMN(N100)-1)/8)+1, MOD(COLUMN(N100)-1,8)+1))</f>
        <v>0</v>
      </c>
      <c r="X649" s="12" t="str" cm="1">
        <f t="array" aca="1" ref="X649" ca="1">INDEX($J$644:$AO$644, INDEX($T$15:$AA$18, INT((COLUMN(O100)-1)/8)+1, MOD(COLUMN(O100)-1,8)+1))</f>
        <v>0</v>
      </c>
      <c r="Y649" s="12" t="str" cm="1">
        <f t="array" aca="1" ref="Y649" ca="1">INDEX($J$644:$AO$644, INDEX($T$15:$AA$18, INT((COLUMN(P100)-1)/8)+1, MOD(COLUMN(P100)-1,8)+1))</f>
        <v>1</v>
      </c>
      <c r="Z649" s="12" t="str" cm="1">
        <f t="array" aca="1" ref="Z649" ca="1">INDEX($J$644:$AO$644, INDEX($T$15:$AA$18, INT((COLUMN(Q100)-1)/8)+1, MOD(COLUMN(Q100)-1,8)+1))</f>
        <v>0</v>
      </c>
      <c r="AA649" s="12" t="str" cm="1">
        <f t="array" aca="1" ref="AA649" ca="1">INDEX($J$644:$AO$644, INDEX($T$15:$AA$18, INT((COLUMN(R100)-1)/8)+1, MOD(COLUMN(R100)-1,8)+1))</f>
        <v>1</v>
      </c>
      <c r="AB649" s="12" t="str" cm="1">
        <f t="array" aca="1" ref="AB649" ca="1">INDEX($J$644:$AO$644, INDEX($T$15:$AA$18, INT((COLUMN(S100)-1)/8)+1, MOD(COLUMN(S100)-1,8)+1))</f>
        <v>0</v>
      </c>
      <c r="AC649" s="12" t="str" cm="1">
        <f t="array" aca="1" ref="AC649" ca="1">INDEX($J$644:$AO$644, INDEX($T$15:$AA$18, INT((COLUMN(T100)-1)/8)+1, MOD(COLUMN(T100)-1,8)+1))</f>
        <v>1</v>
      </c>
      <c r="AD649" s="12" t="str" cm="1">
        <f t="array" aca="1" ref="AD649" ca="1">INDEX($J$644:$AO$644, INDEX($T$15:$AA$18, INT((COLUMN(U100)-1)/8)+1, MOD(COLUMN(U100)-1,8)+1))</f>
        <v>0</v>
      </c>
      <c r="AE649" s="12" t="str" cm="1">
        <f t="array" aca="1" ref="AE649" ca="1">INDEX($J$644:$AO$644, INDEX($T$15:$AA$18, INT((COLUMN(V100)-1)/8)+1, MOD(COLUMN(V100)-1,8)+1))</f>
        <v>0</v>
      </c>
      <c r="AF649" s="12" t="str" cm="1">
        <f t="array" aca="1" ref="AF649" ca="1">INDEX($J$644:$AO$644, INDEX($T$15:$AA$18, INT((COLUMN(W100)-1)/8)+1, MOD(COLUMN(W100)-1,8)+1))</f>
        <v>0</v>
      </c>
      <c r="AG649" s="12" t="str" cm="1">
        <f t="array" aca="1" ref="AG649" ca="1">INDEX($J$644:$AO$644, INDEX($T$15:$AA$18, INT((COLUMN(X100)-1)/8)+1, MOD(COLUMN(X100)-1,8)+1))</f>
        <v>0</v>
      </c>
      <c r="AH649" s="12" t="str" cm="1">
        <f t="array" aca="1" ref="AH649" ca="1">INDEX($J$644:$AO$644, INDEX($T$15:$AA$18, INT((COLUMN(Y100)-1)/8)+1, MOD(COLUMN(Y100)-1,8)+1))</f>
        <v>1</v>
      </c>
      <c r="AI649" s="12" t="str" cm="1">
        <f t="array" aca="1" ref="AI649" ca="1">INDEX($J$644:$AO$644, INDEX($T$15:$AA$18, INT((COLUMN(Z100)-1)/8)+1, MOD(COLUMN(Z100)-1,8)+1))</f>
        <v>0</v>
      </c>
      <c r="AJ649" s="12" t="str" cm="1">
        <f t="array" aca="1" ref="AJ649" ca="1">INDEX($J$644:$AO$644, INDEX($T$15:$AA$18, INT((COLUMN(AA100)-1)/8)+1, MOD(COLUMN(AA100)-1,8)+1))</f>
        <v>1</v>
      </c>
      <c r="AK649" s="12" t="str" cm="1">
        <f t="array" aca="1" ref="AK649" ca="1">INDEX($J$644:$AO$644, INDEX($T$15:$AA$18, INT((COLUMN(AB100)-1)/8)+1, MOD(COLUMN(AB100)-1,8)+1))</f>
        <v>1</v>
      </c>
      <c r="AL649" s="12" t="str" cm="1">
        <f t="array" aca="1" ref="AL649" ca="1">INDEX($J$644:$AO$644, INDEX($T$15:$AA$18, INT((COLUMN(AC100)-1)/8)+1, MOD(COLUMN(AC100)-1,8)+1))</f>
        <v>0</v>
      </c>
      <c r="AM649" s="12" t="str" cm="1">
        <f t="array" aca="1" ref="AM649" ca="1">INDEX($J$644:$AO$644, INDEX($T$15:$AA$18, INT((COLUMN(AD100)-1)/8)+1, MOD(COLUMN(AD100)-1,8)+1))</f>
        <v>0</v>
      </c>
      <c r="AN649" s="12" t="str" cm="1">
        <f t="array" aca="1" ref="AN649" ca="1">INDEX($J$644:$AO$644, INDEX($T$15:$AA$18, INT((COLUMN(AE100)-1)/8)+1, MOD(COLUMN(AE100)-1,8)+1))</f>
        <v>1</v>
      </c>
      <c r="AO649" s="12" t="str" cm="1">
        <f t="array" aca="1" ref="AO649" ca="1">INDEX($J$644:$AO$644, INDEX($T$15:$AA$18, INT((COLUMN(AF100)-1)/8)+1, MOD(COLUMN(AF100)-1,8)+1))</f>
        <v>0</v>
      </c>
    </row>
    <row r="650" spans="1:41">
      <c r="A650" s="7">
        <v>8</v>
      </c>
      <c r="B650" s="29" t="str">
        <f t="shared" ca="1" si="33"/>
        <v>000110</v>
      </c>
      <c r="C650" s="30"/>
      <c r="D650" s="7">
        <f t="shared" ca="1" si="34"/>
        <v>0</v>
      </c>
      <c r="E650" s="12">
        <f t="shared" ca="1" si="35"/>
        <v>3</v>
      </c>
      <c r="F650" s="12" cm="1">
        <f t="array" aca="1" ref="F650" ca="1">INDEX(OFFSET('S-box'!$A$2, (A650-1)*6, 0, 4, 16), D650+1, E650+1)</f>
        <v>4</v>
      </c>
      <c r="G650" s="17" t="str">
        <f t="shared" ca="1" si="36"/>
        <v>0100</v>
      </c>
    </row>
    <row r="652" spans="1:41">
      <c r="A652" s="20" t="s">
        <v>180</v>
      </c>
    </row>
    <row r="654" spans="1:41">
      <c r="A654" s="12" t="s">
        <v>3</v>
      </c>
      <c r="B654" s="12">
        <v>1</v>
      </c>
      <c r="C654" s="12">
        <v>2</v>
      </c>
      <c r="D654" s="12">
        <v>3</v>
      </c>
      <c r="E654" s="12">
        <v>4</v>
      </c>
      <c r="F654" s="12">
        <v>5</v>
      </c>
      <c r="G654" s="12">
        <v>6</v>
      </c>
      <c r="H654" s="12">
        <v>7</v>
      </c>
      <c r="I654" s="12">
        <v>8</v>
      </c>
      <c r="J654" s="12">
        <v>9</v>
      </c>
      <c r="K654" s="12">
        <v>10</v>
      </c>
      <c r="L654" s="12">
        <v>11</v>
      </c>
      <c r="M654" s="12">
        <v>12</v>
      </c>
      <c r="N654" s="12">
        <v>13</v>
      </c>
      <c r="O654" s="12">
        <v>14</v>
      </c>
      <c r="P654" s="12">
        <v>15</v>
      </c>
      <c r="Q654" s="12">
        <v>16</v>
      </c>
      <c r="R654" s="12">
        <v>17</v>
      </c>
      <c r="S654" s="12">
        <v>18</v>
      </c>
      <c r="T654" s="12">
        <v>19</v>
      </c>
      <c r="U654" s="12">
        <v>20</v>
      </c>
      <c r="V654" s="12">
        <v>21</v>
      </c>
      <c r="W654" s="12">
        <v>22</v>
      </c>
      <c r="X654" s="12">
        <v>23</v>
      </c>
      <c r="Y654" s="12">
        <v>24</v>
      </c>
      <c r="Z654" s="12">
        <v>25</v>
      </c>
      <c r="AA654" s="12">
        <v>26</v>
      </c>
      <c r="AB654" s="12">
        <v>27</v>
      </c>
      <c r="AC654" s="12">
        <v>28</v>
      </c>
      <c r="AD654" s="12">
        <v>29</v>
      </c>
      <c r="AE654" s="12">
        <v>30</v>
      </c>
      <c r="AF654" s="12">
        <v>31</v>
      </c>
      <c r="AG654" s="12">
        <v>32</v>
      </c>
    </row>
    <row r="655" spans="1:41">
      <c r="A655" s="12" t="s">
        <v>181</v>
      </c>
      <c r="B655" s="12">
        <v>1</v>
      </c>
      <c r="C655" s="12">
        <v>1</v>
      </c>
      <c r="D655" s="12">
        <v>0</v>
      </c>
      <c r="E655" s="12">
        <v>1</v>
      </c>
      <c r="F655" s="12">
        <v>0</v>
      </c>
      <c r="G655" s="12">
        <v>1</v>
      </c>
      <c r="H655" s="12">
        <v>0</v>
      </c>
      <c r="I655" s="12">
        <v>1</v>
      </c>
      <c r="J655" s="12">
        <v>0</v>
      </c>
      <c r="K655" s="12">
        <v>0</v>
      </c>
      <c r="L655" s="12">
        <v>0</v>
      </c>
      <c r="M655" s="12">
        <v>1</v>
      </c>
      <c r="N655" s="12">
        <v>0</v>
      </c>
      <c r="O655" s="12">
        <v>1</v>
      </c>
      <c r="P655" s="12">
        <v>0</v>
      </c>
      <c r="Q655" s="12">
        <v>0</v>
      </c>
      <c r="R655" s="12">
        <v>1</v>
      </c>
      <c r="S655" s="12">
        <v>0</v>
      </c>
      <c r="T655" s="12">
        <v>0</v>
      </c>
      <c r="U655" s="12">
        <v>0</v>
      </c>
      <c r="V655" s="12">
        <v>1</v>
      </c>
      <c r="W655" s="12">
        <v>0</v>
      </c>
      <c r="X655" s="12">
        <v>1</v>
      </c>
      <c r="Y655" s="12">
        <v>1</v>
      </c>
      <c r="Z655" s="12">
        <v>0</v>
      </c>
      <c r="AA655" s="12">
        <v>0</v>
      </c>
      <c r="AB655" s="12">
        <v>0</v>
      </c>
      <c r="AC655" s="12">
        <v>0</v>
      </c>
      <c r="AD655" s="12">
        <v>1</v>
      </c>
      <c r="AE655" s="12">
        <v>0</v>
      </c>
      <c r="AF655" s="12">
        <v>0</v>
      </c>
      <c r="AG655" s="12">
        <v>0</v>
      </c>
    </row>
    <row r="656" spans="1:41">
      <c r="A656" s="12" t="s">
        <v>182</v>
      </c>
      <c r="B656" s="12">
        <f ca="1">_xlfn.BITXOR(B622,J649)</f>
        <v>1</v>
      </c>
      <c r="C656" s="12">
        <f t="shared" ref="C656" ca="1" si="38">_xlfn.BITXOR(C622,K649)</f>
        <v>0</v>
      </c>
      <c r="D656" s="12">
        <f t="shared" ref="D656" ca="1" si="39">_xlfn.BITXOR(D622,L649)</f>
        <v>0</v>
      </c>
      <c r="E656" s="12">
        <f t="shared" ref="E656" ca="1" si="40">_xlfn.BITXOR(E622,M649)</f>
        <v>1</v>
      </c>
      <c r="F656" s="12">
        <f t="shared" ref="F656" ca="1" si="41">_xlfn.BITXOR(F622,N649)</f>
        <v>1</v>
      </c>
      <c r="G656" s="12">
        <f t="shared" ref="G656" ca="1" si="42">_xlfn.BITXOR(G622,O649)</f>
        <v>1</v>
      </c>
      <c r="H656" s="12">
        <f t="shared" ref="H656" ca="1" si="43">_xlfn.BITXOR(H622,P649)</f>
        <v>0</v>
      </c>
      <c r="I656" s="12">
        <f t="shared" ref="I656" ca="1" si="44">_xlfn.BITXOR(I622,Q649)</f>
        <v>0</v>
      </c>
      <c r="J656" s="12">
        <f t="shared" ref="J656" ca="1" si="45">_xlfn.BITXOR(J622,R649)</f>
        <v>0</v>
      </c>
      <c r="K656" s="12">
        <f t="shared" ref="K656" ca="1" si="46">_xlfn.BITXOR(K622,S649)</f>
        <v>1</v>
      </c>
      <c r="L656" s="12">
        <f t="shared" ref="L656" ca="1" si="47">_xlfn.BITXOR(L622,T649)</f>
        <v>0</v>
      </c>
      <c r="M656" s="12">
        <f t="shared" ref="M656" ca="1" si="48">_xlfn.BITXOR(M622,U649)</f>
        <v>1</v>
      </c>
      <c r="N656" s="12">
        <f t="shared" ref="N656" ca="1" si="49">_xlfn.BITXOR(N622,V649)</f>
        <v>0</v>
      </c>
      <c r="O656" s="12">
        <f t="shared" ref="O656" ca="1" si="50">_xlfn.BITXOR(O622,W649)</f>
        <v>1</v>
      </c>
      <c r="P656" s="12">
        <f t="shared" ref="P656" ca="1" si="51">_xlfn.BITXOR(P622,X649)</f>
        <v>0</v>
      </c>
      <c r="Q656" s="12">
        <f t="shared" ref="Q656" ca="1" si="52">_xlfn.BITXOR(Q622,Y649)</f>
        <v>1</v>
      </c>
      <c r="R656" s="12">
        <f t="shared" ref="R656" ca="1" si="53">_xlfn.BITXOR(R622,Z649)</f>
        <v>0</v>
      </c>
      <c r="S656" s="12">
        <f t="shared" ref="S656" ca="1" si="54">_xlfn.BITXOR(S622,AA649)</f>
        <v>0</v>
      </c>
      <c r="T656" s="12">
        <f t="shared" ref="T656" ca="1" si="55">_xlfn.BITXOR(T622,AB649)</f>
        <v>1</v>
      </c>
      <c r="U656" s="12">
        <f t="shared" ref="U656" ca="1" si="56">_xlfn.BITXOR(U622,AC649)</f>
        <v>0</v>
      </c>
      <c r="V656" s="12">
        <f t="shared" ref="V656" ca="1" si="57">_xlfn.BITXOR(V622,AD649)</f>
        <v>1</v>
      </c>
      <c r="W656" s="12">
        <f t="shared" ref="W656" ca="1" si="58">_xlfn.BITXOR(W622,AE649)</f>
        <v>1</v>
      </c>
      <c r="X656" s="12">
        <f t="shared" ref="X656" ca="1" si="59">_xlfn.BITXOR(X622,AF649)</f>
        <v>0</v>
      </c>
      <c r="Y656" s="12">
        <f t="shared" ref="Y656" ca="1" si="60">_xlfn.BITXOR(Y622,AG649)</f>
        <v>1</v>
      </c>
      <c r="Z656" s="12">
        <f t="shared" ref="Z656" ca="1" si="61">_xlfn.BITXOR(Z622,AH649)</f>
        <v>0</v>
      </c>
      <c r="AA656" s="12">
        <f t="shared" ref="AA656" ca="1" si="62">_xlfn.BITXOR(AA622,AI649)</f>
        <v>0</v>
      </c>
      <c r="AB656" s="12">
        <f t="shared" ref="AB656" ca="1" si="63">_xlfn.BITXOR(AB622,AJ649)</f>
        <v>0</v>
      </c>
      <c r="AC656" s="12">
        <f t="shared" ref="AC656" ca="1" si="64">_xlfn.BITXOR(AC622,AK649)</f>
        <v>1</v>
      </c>
      <c r="AD656" s="12">
        <f t="shared" ref="AD656" ca="1" si="65">_xlfn.BITXOR(AD622,AL649)</f>
        <v>0</v>
      </c>
      <c r="AE656" s="12">
        <f t="shared" ref="AE656" ca="1" si="66">_xlfn.BITXOR(AE622,AM649)</f>
        <v>0</v>
      </c>
      <c r="AF656" s="12">
        <f t="shared" ref="AF656" ca="1" si="67">_xlfn.BITXOR(AF622,AN649)</f>
        <v>1</v>
      </c>
      <c r="AG656" s="12">
        <f t="shared" ref="AG656" ca="1" si="68">_xlfn.BITXOR(AG622,AO649)</f>
        <v>1</v>
      </c>
    </row>
    <row r="658" spans="1:49">
      <c r="A658" s="21" t="s">
        <v>183</v>
      </c>
    </row>
    <row r="659" spans="1:49">
      <c r="A659" s="8" t="s">
        <v>184</v>
      </c>
      <c r="B659" s="12" cm="1">
        <f t="array" aca="1" ref="B659" ca="1">INDEX($B$656:$AG$656, T25)</f>
        <v>1</v>
      </c>
      <c r="C659" s="12" cm="1">
        <f t="array" aca="1" ref="C659" ca="1">INDEX($B$656:$AG$656, U25)</f>
        <v>1</v>
      </c>
      <c r="D659" s="12" cm="1">
        <f t="array" aca="1" ref="D659" ca="1">INDEX($B$656:$AG$656, V25)</f>
        <v>0</v>
      </c>
      <c r="E659" s="12" cm="1">
        <f t="array" aca="1" ref="E659" ca="1">INDEX($B$656:$AG$656, W25)</f>
        <v>0</v>
      </c>
      <c r="F659" s="12" cm="1">
        <f t="array" aca="1" ref="F659" ca="1">INDEX($B$656:$AG$656, X25)</f>
        <v>1</v>
      </c>
      <c r="G659" s="12" cm="1">
        <f t="array" aca="1" ref="G659" ca="1">INDEX($B$656:$AG$656, Y25)</f>
        <v>1</v>
      </c>
    </row>
    <row r="660" spans="1:49">
      <c r="B660" s="12" cm="1">
        <f t="array" aca="1" ref="B660" ca="1">INDEX($B$656:$AG$656, T26)</f>
        <v>1</v>
      </c>
      <c r="C660" s="12" cm="1">
        <f t="array" aca="1" ref="C660" ca="1">INDEX($B$656:$AG$656, U26)</f>
        <v>1</v>
      </c>
      <c r="D660" s="12" cm="1">
        <f t="array" aca="1" ref="D660" ca="1">INDEX($B$656:$AG$656, V26)</f>
        <v>1</v>
      </c>
      <c r="E660" s="12" cm="1">
        <f t="array" aca="1" ref="E660" ca="1">INDEX($B$656:$AG$656, W26)</f>
        <v>0</v>
      </c>
      <c r="F660" s="12" cm="1">
        <f t="array" aca="1" ref="F660" ca="1">INDEX($B$656:$AG$656, X26)</f>
        <v>0</v>
      </c>
      <c r="G660" s="12" cm="1">
        <f t="array" aca="1" ref="G660" ca="1">INDEX($B$656:$AG$656, Y26)</f>
        <v>0</v>
      </c>
    </row>
    <row r="661" spans="1:49">
      <c r="B661" s="12" cm="1">
        <f t="array" aca="1" ref="B661" ca="1">INDEX($B$656:$AG$656, T27)</f>
        <v>0</v>
      </c>
      <c r="C661" s="12" cm="1">
        <f t="array" aca="1" ref="C661" ca="1">INDEX($B$656:$AG$656, U27)</f>
        <v>0</v>
      </c>
      <c r="D661" s="12" cm="1">
        <f t="array" aca="1" ref="D661" ca="1">INDEX($B$656:$AG$656, V27)</f>
        <v>1</v>
      </c>
      <c r="E661" s="12" cm="1">
        <f t="array" aca="1" ref="E661" ca="1">INDEX($B$656:$AG$656, W27)</f>
        <v>0</v>
      </c>
      <c r="F661" s="12" cm="1">
        <f t="array" aca="1" ref="F661" ca="1">INDEX($B$656:$AG$656, X27)</f>
        <v>1</v>
      </c>
      <c r="G661" s="12" cm="1">
        <f t="array" aca="1" ref="G661" ca="1">INDEX($B$656:$AG$656, Y27)</f>
        <v>0</v>
      </c>
    </row>
    <row r="662" spans="1:49">
      <c r="B662" s="12" cm="1">
        <f t="array" aca="1" ref="B662" ca="1">INDEX($B$656:$AG$656, T28)</f>
        <v>1</v>
      </c>
      <c r="C662" s="12" cm="1">
        <f t="array" aca="1" ref="C662" ca="1">INDEX($B$656:$AG$656, U28)</f>
        <v>0</v>
      </c>
      <c r="D662" s="12" cm="1">
        <f t="array" aca="1" ref="D662" ca="1">INDEX($B$656:$AG$656, V28)</f>
        <v>1</v>
      </c>
      <c r="E662" s="12" cm="1">
        <f t="array" aca="1" ref="E662" ca="1">INDEX($B$656:$AG$656, W28)</f>
        <v>0</v>
      </c>
      <c r="F662" s="12" cm="1">
        <f t="array" aca="1" ref="F662" ca="1">INDEX($B$656:$AG$656, X28)</f>
        <v>1</v>
      </c>
      <c r="G662" s="12" cm="1">
        <f t="array" aca="1" ref="G662" ca="1">INDEX($B$656:$AG$656, Y28)</f>
        <v>0</v>
      </c>
    </row>
    <row r="663" spans="1:49">
      <c r="B663" s="12" cm="1">
        <f t="array" aca="1" ref="B663" ca="1">INDEX($B$656:$AG$656, T29)</f>
        <v>1</v>
      </c>
      <c r="C663" s="12" cm="1">
        <f t="array" aca="1" ref="C663" ca="1">INDEX($B$656:$AG$656, U29)</f>
        <v>0</v>
      </c>
      <c r="D663" s="12" cm="1">
        <f t="array" aca="1" ref="D663" ca="1">INDEX($B$656:$AG$656, V29)</f>
        <v>0</v>
      </c>
      <c r="E663" s="12" cm="1">
        <f t="array" aca="1" ref="E663" ca="1">INDEX($B$656:$AG$656, W29)</f>
        <v>1</v>
      </c>
      <c r="F663" s="12" cm="1">
        <f t="array" aca="1" ref="F663" ca="1">INDEX($B$656:$AG$656, X29)</f>
        <v>0</v>
      </c>
      <c r="G663" s="12" cm="1">
        <f t="array" aca="1" ref="G663" ca="1">INDEX($B$656:$AG$656, Y29)</f>
        <v>1</v>
      </c>
    </row>
    <row r="664" spans="1:49">
      <c r="B664" s="12" cm="1">
        <f t="array" aca="1" ref="B664" ca="1">INDEX($B$656:$AG$656, T30)</f>
        <v>0</v>
      </c>
      <c r="C664" s="12" cm="1">
        <f t="array" aca="1" ref="C664" ca="1">INDEX($B$656:$AG$656, U30)</f>
        <v>1</v>
      </c>
      <c r="D664" s="12" cm="1">
        <f t="array" aca="1" ref="D664" ca="1">INDEX($B$656:$AG$656, V30)</f>
        <v>1</v>
      </c>
      <c r="E664" s="12" cm="1">
        <f t="array" aca="1" ref="E664" ca="1">INDEX($B$656:$AG$656, W30)</f>
        <v>0</v>
      </c>
      <c r="F664" s="12" cm="1">
        <f t="array" aca="1" ref="F664" ca="1">INDEX($B$656:$AG$656, X30)</f>
        <v>1</v>
      </c>
      <c r="G664" s="12" cm="1">
        <f t="array" aca="1" ref="G664" ca="1">INDEX($B$656:$AG$656, Y30)</f>
        <v>0</v>
      </c>
    </row>
    <row r="665" spans="1:49">
      <c r="B665" s="12" cm="1">
        <f t="array" aca="1" ref="B665" ca="1">INDEX($B$656:$AG$656, T31)</f>
        <v>1</v>
      </c>
      <c r="C665" s="12" cm="1">
        <f t="array" aca="1" ref="C665" ca="1">INDEX($B$656:$AG$656, U31)</f>
        <v>0</v>
      </c>
      <c r="D665" s="12" cm="1">
        <f t="array" aca="1" ref="D665" ca="1">INDEX($B$656:$AG$656, V31)</f>
        <v>0</v>
      </c>
      <c r="E665" s="12" cm="1">
        <f t="array" aca="1" ref="E665" ca="1">INDEX($B$656:$AG$656, W31)</f>
        <v>0</v>
      </c>
      <c r="F665" s="12" cm="1">
        <f t="array" aca="1" ref="F665" ca="1">INDEX($B$656:$AG$656, X31)</f>
        <v>1</v>
      </c>
      <c r="G665" s="12" cm="1">
        <f t="array" aca="1" ref="G665" ca="1">INDEX($B$656:$AG$656, Y31)</f>
        <v>0</v>
      </c>
    </row>
    <row r="666" spans="1:49">
      <c r="B666" s="12" cm="1">
        <f t="array" aca="1" ref="B666" ca="1">INDEX($B$656:$AG$656, T32)</f>
        <v>1</v>
      </c>
      <c r="C666" s="12" cm="1">
        <f t="array" aca="1" ref="C666" ca="1">INDEX($B$656:$AG$656, U32)</f>
        <v>0</v>
      </c>
      <c r="D666" s="12" cm="1">
        <f t="array" aca="1" ref="D666" ca="1">INDEX($B$656:$AG$656, V32)</f>
        <v>0</v>
      </c>
      <c r="E666" s="12" cm="1">
        <f t="array" aca="1" ref="E666" ca="1">INDEX($B$656:$AG$656, W32)</f>
        <v>1</v>
      </c>
      <c r="F666" s="12" cm="1">
        <f t="array" aca="1" ref="F666" ca="1">INDEX($B$656:$AG$656, X32)</f>
        <v>1</v>
      </c>
      <c r="G666" s="12" cm="1">
        <f t="array" aca="1" ref="G666" ca="1">INDEX($B$656:$AG$656, Y32)</f>
        <v>1</v>
      </c>
    </row>
    <row r="668" spans="1:49">
      <c r="A668" s="12" t="s">
        <v>3</v>
      </c>
      <c r="B668" s="12">
        <v>1</v>
      </c>
      <c r="C668" s="12">
        <v>2</v>
      </c>
      <c r="D668" s="12">
        <v>3</v>
      </c>
      <c r="E668" s="12">
        <v>4</v>
      </c>
      <c r="F668" s="12">
        <v>5</v>
      </c>
      <c r="G668" s="12">
        <v>6</v>
      </c>
      <c r="H668" s="12">
        <v>7</v>
      </c>
      <c r="I668" s="12">
        <v>8</v>
      </c>
      <c r="J668" s="12">
        <v>9</v>
      </c>
      <c r="K668" s="12">
        <v>10</v>
      </c>
      <c r="L668" s="12">
        <v>11</v>
      </c>
      <c r="M668" s="12">
        <v>12</v>
      </c>
      <c r="N668" s="12">
        <v>13</v>
      </c>
      <c r="O668" s="12">
        <v>14</v>
      </c>
      <c r="P668" s="12">
        <v>15</v>
      </c>
      <c r="Q668" s="12">
        <v>16</v>
      </c>
      <c r="R668" s="12">
        <v>17</v>
      </c>
      <c r="S668" s="12">
        <v>18</v>
      </c>
      <c r="T668" s="12">
        <v>19</v>
      </c>
      <c r="U668" s="12">
        <v>20</v>
      </c>
      <c r="V668" s="12">
        <v>21</v>
      </c>
      <c r="W668" s="12">
        <v>22</v>
      </c>
      <c r="X668" s="12">
        <v>23</v>
      </c>
      <c r="Y668" s="12">
        <v>24</v>
      </c>
      <c r="Z668" s="12">
        <v>25</v>
      </c>
      <c r="AA668" s="12">
        <v>26</v>
      </c>
      <c r="AB668" s="12">
        <v>27</v>
      </c>
      <c r="AC668" s="12">
        <v>28</v>
      </c>
      <c r="AD668" s="12">
        <v>29</v>
      </c>
      <c r="AE668" s="12">
        <v>30</v>
      </c>
      <c r="AF668" s="12">
        <v>31</v>
      </c>
      <c r="AG668" s="12">
        <v>32</v>
      </c>
      <c r="AH668" s="12">
        <v>33</v>
      </c>
      <c r="AI668" s="12">
        <v>34</v>
      </c>
      <c r="AJ668" s="12">
        <v>35</v>
      </c>
      <c r="AK668" s="12">
        <v>36</v>
      </c>
      <c r="AL668" s="12">
        <v>37</v>
      </c>
      <c r="AM668" s="12">
        <v>38</v>
      </c>
      <c r="AN668" s="12">
        <v>39</v>
      </c>
      <c r="AO668" s="12">
        <v>40</v>
      </c>
      <c r="AP668" s="12">
        <v>41</v>
      </c>
      <c r="AQ668" s="12">
        <v>42</v>
      </c>
      <c r="AR668" s="12">
        <v>43</v>
      </c>
      <c r="AS668" s="12">
        <v>44</v>
      </c>
      <c r="AT668" s="12">
        <v>45</v>
      </c>
      <c r="AU668" s="12">
        <v>46</v>
      </c>
      <c r="AV668" s="12">
        <v>47</v>
      </c>
      <c r="AW668" s="12">
        <v>48</v>
      </c>
    </row>
    <row r="669" spans="1:49">
      <c r="A669" s="7" t="s">
        <v>184</v>
      </c>
      <c r="B669" s="16" cm="1">
        <f t="array" aca="1" ref="B669" ca="1">INDEX($B$659:$G666, INT((COLUMN(A525)-1)/6)+1, MOD(COLUMN(A525)-1,6)+1)</f>
        <v>1</v>
      </c>
      <c r="C669" s="16" cm="1">
        <f t="array" aca="1" ref="C669" ca="1">INDEX($B$659:$G666, INT((COLUMN(B525)-1)/6)+1, MOD(COLUMN(B525)-1,6)+1)</f>
        <v>1</v>
      </c>
      <c r="D669" s="16" cm="1">
        <f t="array" aca="1" ref="D669" ca="1">INDEX($B$659:$G666, INT((COLUMN(C525)-1)/6)+1, MOD(COLUMN(C525)-1,6)+1)</f>
        <v>0</v>
      </c>
      <c r="E669" s="16" cm="1">
        <f t="array" aca="1" ref="E669" ca="1">INDEX($B$659:$G666, INT((COLUMN(D525)-1)/6)+1, MOD(COLUMN(D525)-1,6)+1)</f>
        <v>0</v>
      </c>
      <c r="F669" s="16" cm="1">
        <f t="array" aca="1" ref="F669" ca="1">INDEX($B$659:$G666, INT((COLUMN(E525)-1)/6)+1, MOD(COLUMN(E525)-1,6)+1)</f>
        <v>1</v>
      </c>
      <c r="G669" s="16" cm="1">
        <f t="array" aca="1" ref="G669" ca="1">INDEX($B$659:$G666, INT((COLUMN(F525)-1)/6)+1, MOD(COLUMN(F525)-1,6)+1)</f>
        <v>1</v>
      </c>
      <c r="H669" s="16" cm="1">
        <f t="array" aca="1" ref="H669" ca="1">INDEX($B$659:$G666, INT((COLUMN(G525)-1)/6)+1, MOD(COLUMN(G525)-1,6)+1)</f>
        <v>1</v>
      </c>
      <c r="I669" s="16" cm="1">
        <f t="array" aca="1" ref="I669" ca="1">INDEX($B$659:$G666, INT((COLUMN(H525)-1)/6)+1, MOD(COLUMN(H525)-1,6)+1)</f>
        <v>1</v>
      </c>
      <c r="J669" s="16" cm="1">
        <f t="array" aca="1" ref="J669" ca="1">INDEX($B$659:$G666, INT((COLUMN(I525)-1)/6)+1, MOD(COLUMN(I525)-1,6)+1)</f>
        <v>1</v>
      </c>
      <c r="K669" s="16" cm="1">
        <f t="array" aca="1" ref="K669" ca="1">INDEX($B$659:$G666, INT((COLUMN(J525)-1)/6)+1, MOD(COLUMN(J525)-1,6)+1)</f>
        <v>0</v>
      </c>
      <c r="L669" s="16" cm="1">
        <f t="array" aca="1" ref="L669" ca="1">INDEX($B$659:$G666, INT((COLUMN(K525)-1)/6)+1, MOD(COLUMN(K525)-1,6)+1)</f>
        <v>0</v>
      </c>
      <c r="M669" s="16" cm="1">
        <f t="array" aca="1" ref="M669" ca="1">INDEX($B$659:$G666, INT((COLUMN(L525)-1)/6)+1, MOD(COLUMN(L525)-1,6)+1)</f>
        <v>0</v>
      </c>
      <c r="N669" s="16" cm="1">
        <f t="array" aca="1" ref="N669" ca="1">INDEX($B$659:$G666, INT((COLUMN(M525)-1)/6)+1, MOD(COLUMN(M525)-1,6)+1)</f>
        <v>0</v>
      </c>
      <c r="O669" s="16" cm="1">
        <f t="array" aca="1" ref="O669" ca="1">INDEX($B$659:$G666, INT((COLUMN(N525)-1)/6)+1, MOD(COLUMN(N525)-1,6)+1)</f>
        <v>0</v>
      </c>
      <c r="P669" s="16" cm="1">
        <f t="array" aca="1" ref="P669" ca="1">INDEX($B$659:$G666, INT((COLUMN(O525)-1)/6)+1, MOD(COLUMN(O525)-1,6)+1)</f>
        <v>1</v>
      </c>
      <c r="Q669" s="16" cm="1">
        <f t="array" aca="1" ref="Q669" ca="1">INDEX($B$659:$G666, INT((COLUMN(P525)-1)/6)+1, MOD(COLUMN(P525)-1,6)+1)</f>
        <v>0</v>
      </c>
      <c r="R669" s="16" cm="1">
        <f t="array" aca="1" ref="R669" ca="1">INDEX($B$659:$G666, INT((COLUMN(Q525)-1)/6)+1, MOD(COLUMN(Q525)-1,6)+1)</f>
        <v>1</v>
      </c>
      <c r="S669" s="16" cm="1">
        <f t="array" aca="1" ref="S669" ca="1">INDEX($B$659:$G666, INT((COLUMN(R525)-1)/6)+1, MOD(COLUMN(R525)-1,6)+1)</f>
        <v>0</v>
      </c>
      <c r="T669" s="16" cm="1">
        <f t="array" aca="1" ref="T669" ca="1">INDEX($B$659:$G666, INT((COLUMN(S525)-1)/6)+1, MOD(COLUMN(S525)-1,6)+1)</f>
        <v>1</v>
      </c>
      <c r="U669" s="16" cm="1">
        <f t="array" aca="1" ref="U669" ca="1">INDEX($B$659:$G666, INT((COLUMN(T525)-1)/6)+1, MOD(COLUMN(T525)-1,6)+1)</f>
        <v>0</v>
      </c>
      <c r="V669" s="16" cm="1">
        <f t="array" aca="1" ref="V669" ca="1">INDEX($B$659:$G666, INT((COLUMN(U525)-1)/6)+1, MOD(COLUMN(U525)-1,6)+1)</f>
        <v>1</v>
      </c>
      <c r="W669" s="16" cm="1">
        <f t="array" aca="1" ref="W669" ca="1">INDEX($B$659:$G666, INT((COLUMN(V525)-1)/6)+1, MOD(COLUMN(V525)-1,6)+1)</f>
        <v>0</v>
      </c>
      <c r="X669" s="16" cm="1">
        <f t="array" aca="1" ref="X669" ca="1">INDEX($B$659:$G666, INT((COLUMN(W525)-1)/6)+1, MOD(COLUMN(W525)-1,6)+1)</f>
        <v>1</v>
      </c>
      <c r="Y669" s="16" cm="1">
        <f t="array" aca="1" ref="Y669" ca="1">INDEX($B$659:$G666, INT((COLUMN(X525)-1)/6)+1, MOD(COLUMN(X525)-1,6)+1)</f>
        <v>0</v>
      </c>
      <c r="Z669" s="16" cm="1">
        <f t="array" aca="1" ref="Z669" ca="1">INDEX($B$659:$G666, INT((COLUMN(Y525)-1)/6)+1, MOD(COLUMN(Y525)-1,6)+1)</f>
        <v>1</v>
      </c>
      <c r="AA669" s="16" cm="1">
        <f t="array" aca="1" ref="AA669" ca="1">INDEX($B$659:$G666, INT((COLUMN(Z525)-1)/6)+1, MOD(COLUMN(Z525)-1,6)+1)</f>
        <v>0</v>
      </c>
      <c r="AB669" s="16" cm="1">
        <f t="array" aca="1" ref="AB669" ca="1">INDEX($B$659:$G666, INT((COLUMN(AA525)-1)/6)+1, MOD(COLUMN(AA525)-1,6)+1)</f>
        <v>0</v>
      </c>
      <c r="AC669" s="16" cm="1">
        <f t="array" aca="1" ref="AC669" ca="1">INDEX($B$659:$G666, INT((COLUMN(AB525)-1)/6)+1, MOD(COLUMN(AB525)-1,6)+1)</f>
        <v>1</v>
      </c>
      <c r="AD669" s="16" cm="1">
        <f t="array" aca="1" ref="AD669" ca="1">INDEX($B$659:$G666, INT((COLUMN(AC525)-1)/6)+1, MOD(COLUMN(AC525)-1,6)+1)</f>
        <v>0</v>
      </c>
      <c r="AE669" s="16" cm="1">
        <f t="array" aca="1" ref="AE669" ca="1">INDEX($B$659:$G666, INT((COLUMN(AD525)-1)/6)+1, MOD(COLUMN(AD525)-1,6)+1)</f>
        <v>1</v>
      </c>
      <c r="AF669" s="16" cm="1">
        <f t="array" aca="1" ref="AF669" ca="1">INDEX($B$659:$G666, INT((COLUMN(AE525)-1)/6)+1, MOD(COLUMN(AE525)-1,6)+1)</f>
        <v>0</v>
      </c>
      <c r="AG669" s="16" cm="1">
        <f t="array" aca="1" ref="AG669" ca="1">INDEX($B$659:$G666, INT((COLUMN(AF525)-1)/6)+1, MOD(COLUMN(AF525)-1,6)+1)</f>
        <v>1</v>
      </c>
      <c r="AH669" s="16" cm="1">
        <f t="array" aca="1" ref="AH669" ca="1">INDEX($B$659:$G666, INT((COLUMN(AG525)-1)/6)+1, MOD(COLUMN(AG525)-1,6)+1)</f>
        <v>1</v>
      </c>
      <c r="AI669" s="16" cm="1">
        <f t="array" aca="1" ref="AI669" ca="1">INDEX($B$659:$G666, INT((COLUMN(AH525)-1)/6)+1, MOD(COLUMN(AH525)-1,6)+1)</f>
        <v>0</v>
      </c>
      <c r="AJ669" s="16" cm="1">
        <f t="array" aca="1" ref="AJ669" ca="1">INDEX($B$659:$G666, INT((COLUMN(AI525)-1)/6)+1, MOD(COLUMN(AI525)-1,6)+1)</f>
        <v>1</v>
      </c>
      <c r="AK669" s="16" cm="1">
        <f t="array" aca="1" ref="AK669" ca="1">INDEX($B$659:$G666, INT((COLUMN(AJ525)-1)/6)+1, MOD(COLUMN(AJ525)-1,6)+1)</f>
        <v>0</v>
      </c>
      <c r="AL669" s="16" cm="1">
        <f t="array" aca="1" ref="AL669" ca="1">INDEX($B$659:$G666, INT((COLUMN(AK525)-1)/6)+1, MOD(COLUMN(AK525)-1,6)+1)</f>
        <v>1</v>
      </c>
      <c r="AM669" s="16" cm="1">
        <f t="array" aca="1" ref="AM669" ca="1">INDEX($B$659:$G666, INT((COLUMN(AL525)-1)/6)+1, MOD(COLUMN(AL525)-1,6)+1)</f>
        <v>0</v>
      </c>
      <c r="AN669" s="16" cm="1">
        <f t="array" aca="1" ref="AN669" ca="1">INDEX($B$659:$G666, INT((COLUMN(AM525)-1)/6)+1, MOD(COLUMN(AM525)-1,6)+1)</f>
        <v>0</v>
      </c>
      <c r="AO669" s="16" cm="1">
        <f t="array" aca="1" ref="AO669" ca="1">INDEX($B$659:$G666, INT((COLUMN(AN525)-1)/6)+1, MOD(COLUMN(AN525)-1,6)+1)</f>
        <v>0</v>
      </c>
      <c r="AP669" s="16" cm="1">
        <f t="array" aca="1" ref="AP669" ca="1">INDEX($B$659:$G666, INT((COLUMN(AO525)-1)/6)+1, MOD(COLUMN(AO525)-1,6)+1)</f>
        <v>1</v>
      </c>
      <c r="AQ669" s="16" cm="1">
        <f t="array" aca="1" ref="AQ669" ca="1">INDEX($B$659:$G666, INT((COLUMN(AP525)-1)/6)+1, MOD(COLUMN(AP525)-1,6)+1)</f>
        <v>0</v>
      </c>
      <c r="AR669" s="16" cm="1">
        <f t="array" aca="1" ref="AR669" ca="1">INDEX($B$659:$G666, INT((COLUMN(AQ525)-1)/6)+1, MOD(COLUMN(AQ525)-1,6)+1)</f>
        <v>1</v>
      </c>
      <c r="AS669" s="16" cm="1">
        <f t="array" aca="1" ref="AS669" ca="1">INDEX($B$659:$G666, INT((COLUMN(AR525)-1)/6)+1, MOD(COLUMN(AR525)-1,6)+1)</f>
        <v>0</v>
      </c>
      <c r="AT669" s="16" cm="1">
        <f t="array" aca="1" ref="AT669" ca="1">INDEX($B$659:$G666, INT((COLUMN(AS525)-1)/6)+1, MOD(COLUMN(AS525)-1,6)+1)</f>
        <v>0</v>
      </c>
      <c r="AU669" s="16" cm="1">
        <f t="array" aca="1" ref="AU669" ca="1">INDEX($B$659:$G666, INT((COLUMN(AT525)-1)/6)+1, MOD(COLUMN(AT525)-1,6)+1)</f>
        <v>1</v>
      </c>
      <c r="AV669" s="16" cm="1">
        <f t="array" aca="1" ref="AV669" ca="1">INDEX($B$659:$G666, INT((COLUMN(AU525)-1)/6)+1, MOD(COLUMN(AU525)-1,6)+1)</f>
        <v>1</v>
      </c>
      <c r="AW669" s="16" cm="1">
        <f t="array" aca="1" ref="AW669" ca="1">INDEX($B$659:$G666, INT((COLUMN(AV525)-1)/6)+1, MOD(COLUMN(AV525)-1,6)+1)</f>
        <v>1</v>
      </c>
    </row>
    <row r="670" spans="1:49">
      <c r="A670" s="19"/>
    </row>
    <row r="671" spans="1:49">
      <c r="A671" s="12" t="s">
        <v>3</v>
      </c>
      <c r="B671" s="12">
        <v>1</v>
      </c>
      <c r="C671" s="12">
        <v>2</v>
      </c>
      <c r="D671" s="12">
        <v>3</v>
      </c>
      <c r="E671" s="12">
        <v>4</v>
      </c>
      <c r="F671" s="12">
        <v>5</v>
      </c>
      <c r="G671" s="12">
        <v>6</v>
      </c>
      <c r="H671" s="12">
        <v>7</v>
      </c>
      <c r="I671" s="12">
        <v>8</v>
      </c>
      <c r="J671" s="12">
        <v>9</v>
      </c>
      <c r="K671" s="12">
        <v>10</v>
      </c>
      <c r="L671" s="12">
        <v>11</v>
      </c>
      <c r="M671" s="12">
        <v>12</v>
      </c>
      <c r="N671" s="12">
        <v>13</v>
      </c>
      <c r="O671" s="12">
        <v>14</v>
      </c>
      <c r="P671" s="12">
        <v>15</v>
      </c>
      <c r="Q671" s="12">
        <v>16</v>
      </c>
      <c r="R671" s="12">
        <v>17</v>
      </c>
      <c r="S671" s="12">
        <v>18</v>
      </c>
      <c r="T671" s="12">
        <v>19</v>
      </c>
      <c r="U671" s="12">
        <v>20</v>
      </c>
      <c r="V671" s="12">
        <v>21</v>
      </c>
      <c r="W671" s="12">
        <v>22</v>
      </c>
      <c r="X671" s="12">
        <v>23</v>
      </c>
      <c r="Y671" s="12">
        <v>24</v>
      </c>
      <c r="Z671" s="12">
        <v>25</v>
      </c>
      <c r="AA671" s="12">
        <v>26</v>
      </c>
      <c r="AB671" s="12">
        <v>27</v>
      </c>
      <c r="AC671" s="12">
        <v>28</v>
      </c>
      <c r="AD671" s="12">
        <v>29</v>
      </c>
      <c r="AE671" s="12">
        <v>30</v>
      </c>
      <c r="AF671" s="12">
        <v>31</v>
      </c>
      <c r="AG671" s="12">
        <v>32</v>
      </c>
      <c r="AH671" s="12">
        <v>33</v>
      </c>
      <c r="AI671" s="12">
        <v>34</v>
      </c>
      <c r="AJ671" s="12">
        <v>35</v>
      </c>
      <c r="AK671" s="12">
        <v>36</v>
      </c>
      <c r="AL671" s="12">
        <v>37</v>
      </c>
      <c r="AM671" s="12">
        <v>38</v>
      </c>
      <c r="AN671" s="12">
        <v>39</v>
      </c>
      <c r="AO671" s="12">
        <v>40</v>
      </c>
      <c r="AP671" s="12">
        <v>41</v>
      </c>
      <c r="AQ671" s="12">
        <v>42</v>
      </c>
      <c r="AR671" s="12">
        <v>43</v>
      </c>
      <c r="AS671" s="12">
        <v>44</v>
      </c>
      <c r="AT671" s="12">
        <v>45</v>
      </c>
      <c r="AU671" s="12">
        <v>46</v>
      </c>
      <c r="AV671" s="12">
        <v>47</v>
      </c>
      <c r="AW671" s="12">
        <v>48</v>
      </c>
    </row>
    <row r="672" spans="1:49">
      <c r="A672" s="7" t="s">
        <v>185</v>
      </c>
      <c r="B672" s="16">
        <f ca="1">_xlfn.BITXOR(B669, B210)</f>
        <v>1</v>
      </c>
      <c r="C672" s="16">
        <f t="shared" ref="C672:AW672" ca="1" si="69">_xlfn.BITXOR(C669, C210)</f>
        <v>0</v>
      </c>
      <c r="D672" s="16">
        <f t="shared" ca="1" si="69"/>
        <v>1</v>
      </c>
      <c r="E672" s="16">
        <f t="shared" ca="1" si="69"/>
        <v>1</v>
      </c>
      <c r="F672" s="16">
        <f t="shared" ca="1" si="69"/>
        <v>0</v>
      </c>
      <c r="G672" s="16">
        <f t="shared" ca="1" si="69"/>
        <v>0</v>
      </c>
      <c r="H672" s="16">
        <f t="shared" ca="1" si="69"/>
        <v>1</v>
      </c>
      <c r="I672" s="16">
        <f t="shared" ca="1" si="69"/>
        <v>1</v>
      </c>
      <c r="J672" s="16">
        <f t="shared" ca="1" si="69"/>
        <v>0</v>
      </c>
      <c r="K672" s="16">
        <f t="shared" ca="1" si="69"/>
        <v>1</v>
      </c>
      <c r="L672" s="16">
        <f t="shared" ca="1" si="69"/>
        <v>1</v>
      </c>
      <c r="M672" s="16">
        <f t="shared" ca="1" si="69"/>
        <v>0</v>
      </c>
      <c r="N672" s="16">
        <f t="shared" ca="1" si="69"/>
        <v>1</v>
      </c>
      <c r="O672" s="16">
        <f t="shared" ca="1" si="69"/>
        <v>1</v>
      </c>
      <c r="P672" s="16">
        <f t="shared" ca="1" si="69"/>
        <v>1</v>
      </c>
      <c r="Q672" s="16">
        <f t="shared" ca="1" si="69"/>
        <v>0</v>
      </c>
      <c r="R672" s="16">
        <f t="shared" ca="1" si="69"/>
        <v>1</v>
      </c>
      <c r="S672" s="16">
        <f t="shared" ca="1" si="69"/>
        <v>0</v>
      </c>
      <c r="T672" s="16">
        <f t="shared" ca="1" si="69"/>
        <v>1</v>
      </c>
      <c r="U672" s="16">
        <f t="shared" ca="1" si="69"/>
        <v>0</v>
      </c>
      <c r="V672" s="16">
        <f t="shared" ca="1" si="69"/>
        <v>1</v>
      </c>
      <c r="W672" s="16">
        <f t="shared" ca="1" si="69"/>
        <v>1</v>
      </c>
      <c r="X672" s="16">
        <f t="shared" ca="1" si="69"/>
        <v>0</v>
      </c>
      <c r="Y672" s="16">
        <f t="shared" ca="1" si="69"/>
        <v>1</v>
      </c>
      <c r="Z672" s="16">
        <f t="shared" ca="1" si="69"/>
        <v>1</v>
      </c>
      <c r="AA672" s="16">
        <f t="shared" ca="1" si="69"/>
        <v>0</v>
      </c>
      <c r="AB672" s="16">
        <f t="shared" ca="1" si="69"/>
        <v>0</v>
      </c>
      <c r="AC672" s="16">
        <f t="shared" ca="1" si="69"/>
        <v>0</v>
      </c>
      <c r="AD672" s="16">
        <f t="shared" ca="1" si="69"/>
        <v>1</v>
      </c>
      <c r="AE672" s="16">
        <f t="shared" ca="1" si="69"/>
        <v>0</v>
      </c>
      <c r="AF672" s="16">
        <f t="shared" ca="1" si="69"/>
        <v>1</v>
      </c>
      <c r="AG672" s="16">
        <f t="shared" ca="1" si="69"/>
        <v>0</v>
      </c>
      <c r="AH672" s="16">
        <f t="shared" ca="1" si="69"/>
        <v>0</v>
      </c>
      <c r="AI672" s="16">
        <f t="shared" ca="1" si="69"/>
        <v>1</v>
      </c>
      <c r="AJ672" s="16">
        <f t="shared" ca="1" si="69"/>
        <v>0</v>
      </c>
      <c r="AK672" s="16">
        <f t="shared" ca="1" si="69"/>
        <v>0</v>
      </c>
      <c r="AL672" s="16">
        <f t="shared" ca="1" si="69"/>
        <v>1</v>
      </c>
      <c r="AM672" s="16">
        <f t="shared" ca="1" si="69"/>
        <v>1</v>
      </c>
      <c r="AN672" s="16">
        <f t="shared" ca="1" si="69"/>
        <v>1</v>
      </c>
      <c r="AO672" s="16">
        <f t="shared" ca="1" si="69"/>
        <v>0</v>
      </c>
      <c r="AP672" s="16">
        <f t="shared" ca="1" si="69"/>
        <v>0</v>
      </c>
      <c r="AQ672" s="16">
        <f t="shared" ca="1" si="69"/>
        <v>1</v>
      </c>
      <c r="AR672" s="16">
        <f t="shared" ca="1" si="69"/>
        <v>1</v>
      </c>
      <c r="AS672" s="16">
        <f t="shared" ca="1" si="69"/>
        <v>0</v>
      </c>
      <c r="AT672" s="16">
        <f t="shared" ca="1" si="69"/>
        <v>0</v>
      </c>
      <c r="AU672" s="16">
        <f t="shared" ca="1" si="69"/>
        <v>1</v>
      </c>
      <c r="AV672" s="16">
        <f t="shared" ca="1" si="69"/>
        <v>0</v>
      </c>
      <c r="AW672" s="16">
        <f t="shared" ca="1" si="69"/>
        <v>1</v>
      </c>
    </row>
    <row r="674" spans="1:41">
      <c r="A674" s="27" t="s">
        <v>136</v>
      </c>
      <c r="B674" s="27" t="s">
        <v>137</v>
      </c>
      <c r="C674" s="27"/>
      <c r="D674" s="27" t="s">
        <v>141</v>
      </c>
      <c r="E674" s="27" t="s">
        <v>142</v>
      </c>
      <c r="F674" s="28" t="s">
        <v>138</v>
      </c>
      <c r="G674" s="28"/>
      <c r="I674" s="5" t="s">
        <v>186</v>
      </c>
    </row>
    <row r="675" spans="1:41">
      <c r="A675" s="27"/>
      <c r="B675" s="27"/>
      <c r="C675" s="27"/>
      <c r="D675" s="27"/>
      <c r="E675" s="27"/>
      <c r="F675" s="7" t="s">
        <v>139</v>
      </c>
      <c r="G675" s="7" t="s">
        <v>140</v>
      </c>
    </row>
    <row r="676" spans="1:41">
      <c r="A676" s="7">
        <v>1</v>
      </c>
      <c r="B676" s="29" t="str">
        <f ca="1">_xlfn.TEXTJOIN("", TRUE, OFFSET($B$672,0,(ROW(A1)-1)*6,1,6))</f>
        <v>101100</v>
      </c>
      <c r="C676" s="30"/>
      <c r="D676" s="7">
        <f ca="1">BIN2DEC(LEFT(B676,1) &amp; RIGHT(B676,1))</f>
        <v>2</v>
      </c>
      <c r="E676" s="12">
        <f ca="1">BIN2DEC(MID(B676,2,4))</f>
        <v>6</v>
      </c>
      <c r="F676" s="12" cm="1">
        <f t="array" aca="1" ref="F676" ca="1">INDEX(OFFSET('S-box'!$A$2, (A676-1)*6, 0, 4, 16), D676+1, E676+1)</f>
        <v>2</v>
      </c>
      <c r="G676" s="17" t="str">
        <f ca="1">DEC2BIN(F676, 4)</f>
        <v>0010</v>
      </c>
      <c r="I676" s="12" t="s">
        <v>3</v>
      </c>
      <c r="J676" s="12">
        <v>1</v>
      </c>
      <c r="K676" s="12">
        <v>2</v>
      </c>
      <c r="L676" s="12">
        <v>3</v>
      </c>
      <c r="M676" s="12">
        <v>4</v>
      </c>
      <c r="N676" s="12">
        <v>5</v>
      </c>
      <c r="O676" s="12">
        <v>6</v>
      </c>
      <c r="P676" s="12">
        <v>7</v>
      </c>
      <c r="Q676" s="12">
        <v>8</v>
      </c>
      <c r="R676" s="12">
        <v>9</v>
      </c>
      <c r="S676" s="12">
        <v>10</v>
      </c>
      <c r="T676" s="12">
        <v>11</v>
      </c>
      <c r="U676" s="12">
        <v>12</v>
      </c>
      <c r="V676" s="12">
        <v>13</v>
      </c>
      <c r="W676" s="12">
        <v>14</v>
      </c>
      <c r="X676" s="12">
        <v>15</v>
      </c>
      <c r="Y676" s="12">
        <v>16</v>
      </c>
      <c r="Z676" s="12">
        <v>17</v>
      </c>
      <c r="AA676" s="12">
        <v>18</v>
      </c>
      <c r="AB676" s="12">
        <v>19</v>
      </c>
      <c r="AC676" s="12">
        <v>20</v>
      </c>
      <c r="AD676" s="12">
        <v>21</v>
      </c>
      <c r="AE676" s="12">
        <v>22</v>
      </c>
      <c r="AF676" s="12">
        <v>23</v>
      </c>
      <c r="AG676" s="12">
        <v>24</v>
      </c>
      <c r="AH676" s="12">
        <v>25</v>
      </c>
      <c r="AI676" s="12">
        <v>26</v>
      </c>
      <c r="AJ676" s="12">
        <v>27</v>
      </c>
      <c r="AK676" s="12">
        <v>28</v>
      </c>
      <c r="AL676" s="12">
        <v>29</v>
      </c>
      <c r="AM676" s="12">
        <v>30</v>
      </c>
      <c r="AN676" s="12">
        <v>31</v>
      </c>
      <c r="AO676" s="12">
        <v>32</v>
      </c>
    </row>
    <row r="677" spans="1:41">
      <c r="A677" s="7">
        <v>2</v>
      </c>
      <c r="B677" s="29" t="str">
        <f t="shared" ref="B677:B683" ca="1" si="70">_xlfn.TEXTJOIN("", TRUE, OFFSET($B$672,0,(ROW(A2)-1)*6,1,6))</f>
        <v>110110</v>
      </c>
      <c r="C677" s="30"/>
      <c r="D677" s="7">
        <f t="shared" ref="D677:D683" ca="1" si="71">BIN2DEC(LEFT(B677,1) &amp; RIGHT(B677,1))</f>
        <v>2</v>
      </c>
      <c r="E677" s="12">
        <f t="shared" ref="E677:E683" ca="1" si="72">BIN2DEC(MID(B677,2,4))</f>
        <v>11</v>
      </c>
      <c r="F677" s="12" cm="1">
        <f t="array" aca="1" ref="F677" ca="1">INDEX(OFFSET('S-box'!$A$2, (A677-1)*6, 0, 4, 16), D677+1, E677+1)</f>
        <v>6</v>
      </c>
      <c r="G677" s="17" t="str">
        <f t="shared" ref="G677:G683" ca="1" si="73">DEC2BIN(F677, 4)</f>
        <v>0110</v>
      </c>
      <c r="I677" s="12" t="s">
        <v>152</v>
      </c>
      <c r="J677" s="12" t="str">
        <f ca="1">MID(_xlfn.TEXTJOIN("",TRUE,$G$676:$G$683), COLUMN(A133), 1)</f>
        <v>0</v>
      </c>
      <c r="K677" s="12" t="str">
        <f t="shared" ref="K677:AO677" ca="1" si="74">MID(_xlfn.TEXTJOIN("",TRUE,$G$676:$G$683), COLUMN(B133), 1)</f>
        <v>0</v>
      </c>
      <c r="L677" s="12" t="str">
        <f t="shared" ca="1" si="74"/>
        <v>1</v>
      </c>
      <c r="M677" s="12" t="str">
        <f t="shared" ca="1" si="74"/>
        <v>0</v>
      </c>
      <c r="N677" s="12" t="str">
        <f t="shared" ca="1" si="74"/>
        <v>0</v>
      </c>
      <c r="O677" s="12" t="str">
        <f t="shared" ca="1" si="74"/>
        <v>1</v>
      </c>
      <c r="P677" s="12" t="str">
        <f t="shared" ca="1" si="74"/>
        <v>1</v>
      </c>
      <c r="Q677" s="12" t="str">
        <f t="shared" ca="1" si="74"/>
        <v>0</v>
      </c>
      <c r="R677" s="12" t="str">
        <f t="shared" ca="1" si="74"/>
        <v>1</v>
      </c>
      <c r="S677" s="12" t="str">
        <f t="shared" ca="1" si="74"/>
        <v>0</v>
      </c>
      <c r="T677" s="12" t="str">
        <f t="shared" ca="1" si="74"/>
        <v>1</v>
      </c>
      <c r="U677" s="12" t="str">
        <f t="shared" ca="1" si="74"/>
        <v>0</v>
      </c>
      <c r="V677" s="12" t="str">
        <f t="shared" ca="1" si="74"/>
        <v>1</v>
      </c>
      <c r="W677" s="12" t="str">
        <f t="shared" ca="1" si="74"/>
        <v>1</v>
      </c>
      <c r="X677" s="12" t="str">
        <f t="shared" ca="1" si="74"/>
        <v>0</v>
      </c>
      <c r="Y677" s="12" t="str">
        <f t="shared" ca="1" si="74"/>
        <v>1</v>
      </c>
      <c r="Z677" s="12" t="str">
        <f t="shared" ca="1" si="74"/>
        <v>0</v>
      </c>
      <c r="AA677" s="12" t="str">
        <f t="shared" ca="1" si="74"/>
        <v>0</v>
      </c>
      <c r="AB677" s="12" t="str">
        <f t="shared" ca="1" si="74"/>
        <v>1</v>
      </c>
      <c r="AC677" s="12" t="str">
        <f t="shared" ca="1" si="74"/>
        <v>0</v>
      </c>
      <c r="AD677" s="12" t="str">
        <f t="shared" ca="1" si="74"/>
        <v>1</v>
      </c>
      <c r="AE677" s="12" t="str">
        <f t="shared" ca="1" si="74"/>
        <v>1</v>
      </c>
      <c r="AF677" s="12" t="str">
        <f t="shared" ca="1" si="74"/>
        <v>1</v>
      </c>
      <c r="AG677" s="12" t="str">
        <f t="shared" ca="1" si="74"/>
        <v>1</v>
      </c>
      <c r="AH677" s="12" t="str">
        <f t="shared" ca="1" si="74"/>
        <v>1</v>
      </c>
      <c r="AI677" s="12" t="str">
        <f t="shared" ca="1" si="74"/>
        <v>1</v>
      </c>
      <c r="AJ677" s="12" t="str">
        <f t="shared" ca="1" si="74"/>
        <v>1</v>
      </c>
      <c r="AK677" s="12" t="str">
        <f t="shared" ca="1" si="74"/>
        <v>0</v>
      </c>
      <c r="AL677" s="12" t="str">
        <f t="shared" ca="1" si="74"/>
        <v>1</v>
      </c>
      <c r="AM677" s="12" t="str">
        <f t="shared" ca="1" si="74"/>
        <v>1</v>
      </c>
      <c r="AN677" s="12" t="str">
        <f t="shared" ca="1" si="74"/>
        <v>1</v>
      </c>
      <c r="AO677" s="12" t="str">
        <f t="shared" ca="1" si="74"/>
        <v>0</v>
      </c>
    </row>
    <row r="678" spans="1:41">
      <c r="A678" s="7">
        <v>3</v>
      </c>
      <c r="B678" s="29" t="str">
        <f t="shared" ca="1" si="70"/>
        <v>111010</v>
      </c>
      <c r="C678" s="30"/>
      <c r="D678" s="7">
        <f t="shared" ca="1" si="71"/>
        <v>2</v>
      </c>
      <c r="E678" s="12">
        <f t="shared" ca="1" si="72"/>
        <v>13</v>
      </c>
      <c r="F678" s="12" cm="1">
        <f t="array" aca="1" ref="F678" ca="1">INDEX(OFFSET('S-box'!$A$2, (A678-1)*6, 0, 4, 16), D678+1, E678+1)</f>
        <v>10</v>
      </c>
      <c r="G678" s="17" t="str">
        <f t="shared" ca="1" si="73"/>
        <v>1010</v>
      </c>
    </row>
    <row r="679" spans="1:41">
      <c r="A679" s="7">
        <v>4</v>
      </c>
      <c r="B679" s="29" t="str">
        <f t="shared" ca="1" si="70"/>
        <v>101101</v>
      </c>
      <c r="C679" s="30"/>
      <c r="D679" s="7">
        <f t="shared" ca="1" si="71"/>
        <v>3</v>
      </c>
      <c r="E679" s="12">
        <f t="shared" ca="1" si="72"/>
        <v>6</v>
      </c>
      <c r="F679" s="12" cm="1">
        <f t="array" aca="1" ref="F679" ca="1">INDEX(OFFSET('S-box'!$A$2, (A679-1)*6, 0, 4, 16), D679+1, E679+1)</f>
        <v>13</v>
      </c>
      <c r="G679" s="17" t="str">
        <f t="shared" ca="1" si="73"/>
        <v>1101</v>
      </c>
      <c r="I679" s="5" t="s">
        <v>187</v>
      </c>
    </row>
    <row r="680" spans="1:41">
      <c r="A680" s="7">
        <v>5</v>
      </c>
      <c r="B680" s="29" t="str">
        <f t="shared" ca="1" si="70"/>
        <v>100010</v>
      </c>
      <c r="C680" s="30"/>
      <c r="D680" s="7">
        <f t="shared" ca="1" si="71"/>
        <v>2</v>
      </c>
      <c r="E680" s="12">
        <f t="shared" ca="1" si="72"/>
        <v>1</v>
      </c>
      <c r="F680" s="12" cm="1">
        <f t="array" aca="1" ref="F680" ca="1">INDEX(OFFSET('S-box'!$A$2, (A680-1)*6, 0, 4, 16), D680+1, E680+1)</f>
        <v>2</v>
      </c>
      <c r="G680" s="17" t="str">
        <f t="shared" ca="1" si="73"/>
        <v>0010</v>
      </c>
    </row>
    <row r="681" spans="1:41">
      <c r="A681" s="7">
        <v>6</v>
      </c>
      <c r="B681" s="29" t="str">
        <f t="shared" ca="1" si="70"/>
        <v>100100</v>
      </c>
      <c r="C681" s="30"/>
      <c r="D681" s="7">
        <f t="shared" ca="1" si="71"/>
        <v>2</v>
      </c>
      <c r="E681" s="12">
        <f t="shared" ca="1" si="72"/>
        <v>2</v>
      </c>
      <c r="F681" s="12" cm="1">
        <f t="array" aca="1" ref="F681" ca="1">INDEX(OFFSET('S-box'!$A$2, (A681-1)*6, 0, 4, 16), D681+1, E681+1)</f>
        <v>15</v>
      </c>
      <c r="G681" s="17" t="str">
        <f t="shared" ca="1" si="73"/>
        <v>1111</v>
      </c>
      <c r="I681" s="12" t="s">
        <v>3</v>
      </c>
      <c r="J681" s="12">
        <v>1</v>
      </c>
      <c r="K681" s="12">
        <v>2</v>
      </c>
      <c r="L681" s="12">
        <v>3</v>
      </c>
      <c r="M681" s="12">
        <v>4</v>
      </c>
      <c r="N681" s="12">
        <v>5</v>
      </c>
      <c r="O681" s="12">
        <v>6</v>
      </c>
      <c r="P681" s="12">
        <v>7</v>
      </c>
      <c r="Q681" s="12">
        <v>8</v>
      </c>
      <c r="R681" s="12">
        <v>9</v>
      </c>
      <c r="S681" s="12">
        <v>10</v>
      </c>
      <c r="T681" s="12">
        <v>11</v>
      </c>
      <c r="U681" s="12">
        <v>12</v>
      </c>
      <c r="V681" s="12">
        <v>13</v>
      </c>
      <c r="W681" s="12">
        <v>14</v>
      </c>
      <c r="X681" s="12">
        <v>15</v>
      </c>
      <c r="Y681" s="12">
        <v>16</v>
      </c>
      <c r="Z681" s="12">
        <v>17</v>
      </c>
      <c r="AA681" s="12">
        <v>18</v>
      </c>
      <c r="AB681" s="12">
        <v>19</v>
      </c>
      <c r="AC681" s="12">
        <v>20</v>
      </c>
      <c r="AD681" s="12">
        <v>21</v>
      </c>
      <c r="AE681" s="12">
        <v>22</v>
      </c>
      <c r="AF681" s="12">
        <v>23</v>
      </c>
      <c r="AG681" s="12">
        <v>24</v>
      </c>
      <c r="AH681" s="12">
        <v>25</v>
      </c>
      <c r="AI681" s="12">
        <v>26</v>
      </c>
      <c r="AJ681" s="12">
        <v>27</v>
      </c>
      <c r="AK681" s="12">
        <v>28</v>
      </c>
      <c r="AL681" s="12">
        <v>29</v>
      </c>
      <c r="AM681" s="12">
        <v>30</v>
      </c>
      <c r="AN681" s="12">
        <v>31</v>
      </c>
      <c r="AO681" s="12">
        <v>32</v>
      </c>
    </row>
    <row r="682" spans="1:41">
      <c r="A682" s="7">
        <v>7</v>
      </c>
      <c r="B682" s="29" t="str">
        <f t="shared" ca="1" si="70"/>
        <v>111001</v>
      </c>
      <c r="C682" s="30"/>
      <c r="D682" s="7">
        <f t="shared" ca="1" si="71"/>
        <v>3</v>
      </c>
      <c r="E682" s="12">
        <f t="shared" ca="1" si="72"/>
        <v>12</v>
      </c>
      <c r="F682" s="12" cm="1">
        <f t="array" aca="1" ref="F682" ca="1">INDEX(OFFSET('S-box'!$A$2, (A682-1)*6, 0, 4, 16), D682+1, E682+1)</f>
        <v>14</v>
      </c>
      <c r="G682" s="17" t="str">
        <f t="shared" ca="1" si="73"/>
        <v>1110</v>
      </c>
      <c r="I682" s="18" t="s">
        <v>152</v>
      </c>
      <c r="J682" s="12" t="str" cm="1">
        <f t="array" aca="1" ref="J682" ca="1">INDEX($J$677:$AO$677, INDEX($T$15:$AA$18, INT((COLUMN(A133)-1)/8)+1, MOD(COLUMN(A133)-1,8)+1))</f>
        <v>1</v>
      </c>
      <c r="K682" s="12" t="str" cm="1">
        <f t="array" aca="1" ref="K682" ca="1">INDEX($J$677:$AO$677, INDEX($T$15:$AA$18, INT((COLUMN(B133)-1)/8)+1, MOD(COLUMN(B133)-1,8)+1))</f>
        <v>1</v>
      </c>
      <c r="L682" s="12" t="str" cm="1">
        <f t="array" aca="1" ref="L682" ca="1">INDEX($J$677:$AO$677, INDEX($T$15:$AA$18, INT((COLUMN(C133)-1)/8)+1, MOD(COLUMN(C133)-1,8)+1))</f>
        <v>0</v>
      </c>
      <c r="M682" s="12" t="str" cm="1">
        <f t="array" aca="1" ref="M682" ca="1">INDEX($J$677:$AO$677, INDEX($T$15:$AA$18, INT((COLUMN(D133)-1)/8)+1, MOD(COLUMN(D133)-1,8)+1))</f>
        <v>1</v>
      </c>
      <c r="N682" s="12" t="str" cm="1">
        <f t="array" aca="1" ref="N682" ca="1">INDEX($J$677:$AO$677, INDEX($T$15:$AA$18, INT((COLUMN(E133)-1)/8)+1, MOD(COLUMN(E133)-1,8)+1))</f>
        <v>1</v>
      </c>
      <c r="O682" s="12" t="str" cm="1">
        <f t="array" aca="1" ref="O682" ca="1">INDEX($J$677:$AO$677, INDEX($T$15:$AA$18, INT((COLUMN(F133)-1)/8)+1, MOD(COLUMN(F133)-1,8)+1))</f>
        <v>0</v>
      </c>
      <c r="P682" s="12" t="str" cm="1">
        <f t="array" aca="1" ref="P682" ca="1">INDEX($J$677:$AO$677, INDEX($T$15:$AA$18, INT((COLUMN(G133)-1)/8)+1, MOD(COLUMN(G133)-1,8)+1))</f>
        <v>0</v>
      </c>
      <c r="Q682" s="12" t="str" cm="1">
        <f t="array" aca="1" ref="Q682" ca="1">INDEX($J$677:$AO$677, INDEX($T$15:$AA$18, INT((COLUMN(H133)-1)/8)+1, MOD(COLUMN(H133)-1,8)+1))</f>
        <v>0</v>
      </c>
      <c r="R682" s="12" t="str" cm="1">
        <f t="array" aca="1" ref="R682" ca="1">INDEX($J$677:$AO$677, INDEX($T$15:$AA$18, INT((COLUMN(I133)-1)/8)+1, MOD(COLUMN(I133)-1,8)+1))</f>
        <v>0</v>
      </c>
      <c r="S682" s="12" t="str" cm="1">
        <f t="array" aca="1" ref="S682" ca="1">INDEX($J$677:$AO$677, INDEX($T$15:$AA$18, INT((COLUMN(J133)-1)/8)+1, MOD(COLUMN(J133)-1,8)+1))</f>
        <v>0</v>
      </c>
      <c r="T682" s="12" t="str" cm="1">
        <f t="array" aca="1" ref="T682" ca="1">INDEX($J$677:$AO$677, INDEX($T$15:$AA$18, INT((COLUMN(K133)-1)/8)+1, MOD(COLUMN(K133)-1,8)+1))</f>
        <v>1</v>
      </c>
      <c r="U682" s="12" t="str" cm="1">
        <f t="array" aca="1" ref="U682" ca="1">INDEX($J$677:$AO$677, INDEX($T$15:$AA$18, INT((COLUMN(L133)-1)/8)+1, MOD(COLUMN(L133)-1,8)+1))</f>
        <v>1</v>
      </c>
      <c r="V682" s="12" t="str" cm="1">
        <f t="array" aca="1" ref="V682" ca="1">INDEX($J$677:$AO$677, INDEX($T$15:$AA$18, INT((COLUMN(M133)-1)/8)+1, MOD(COLUMN(M133)-1,8)+1))</f>
        <v>0</v>
      </c>
      <c r="W682" s="12" t="str" cm="1">
        <f t="array" aca="1" ref="W682" ca="1">INDEX($J$677:$AO$677, INDEX($T$15:$AA$18, INT((COLUMN(N133)-1)/8)+1, MOD(COLUMN(N133)-1,8)+1))</f>
        <v>0</v>
      </c>
      <c r="X682" s="12" t="str" cm="1">
        <f t="array" aca="1" ref="X682" ca="1">INDEX($J$677:$AO$677, INDEX($T$15:$AA$18, INT((COLUMN(O133)-1)/8)+1, MOD(COLUMN(O133)-1,8)+1))</f>
        <v>1</v>
      </c>
      <c r="Y682" s="12" t="str" cm="1">
        <f t="array" aca="1" ref="Y682" ca="1">INDEX($J$677:$AO$677, INDEX($T$15:$AA$18, INT((COLUMN(P133)-1)/8)+1, MOD(COLUMN(P133)-1,8)+1))</f>
        <v>0</v>
      </c>
      <c r="Z682" s="12" t="str" cm="1">
        <f t="array" aca="1" ref="Z682" ca="1">INDEX($J$677:$AO$677, INDEX($T$15:$AA$18, INT((COLUMN(Q133)-1)/8)+1, MOD(COLUMN(Q133)-1,8)+1))</f>
        <v>0</v>
      </c>
      <c r="AA682" s="12" t="str" cm="1">
        <f t="array" aca="1" ref="AA682" ca="1">INDEX($J$677:$AO$677, INDEX($T$15:$AA$18, INT((COLUMN(R133)-1)/8)+1, MOD(COLUMN(R133)-1,8)+1))</f>
        <v>0</v>
      </c>
      <c r="AB682" s="12" t="str" cm="1">
        <f t="array" aca="1" ref="AB682" ca="1">INDEX($J$677:$AO$677, INDEX($T$15:$AA$18, INT((COLUMN(S133)-1)/8)+1, MOD(COLUMN(S133)-1,8)+1))</f>
        <v>1</v>
      </c>
      <c r="AC682" s="12" t="str" cm="1">
        <f t="array" aca="1" ref="AC682" ca="1">INDEX($J$677:$AO$677, INDEX($T$15:$AA$18, INT((COLUMN(T133)-1)/8)+1, MOD(COLUMN(T133)-1,8)+1))</f>
        <v>1</v>
      </c>
      <c r="AD682" s="12" t="str" cm="1">
        <f t="array" aca="1" ref="AD682" ca="1">INDEX($J$677:$AO$677, INDEX($T$15:$AA$18, INT((COLUMN(U133)-1)/8)+1, MOD(COLUMN(U133)-1,8)+1))</f>
        <v>0</v>
      </c>
      <c r="AE682" s="12" t="str" cm="1">
        <f t="array" aca="1" ref="AE682" ca="1">INDEX($J$677:$AO$677, INDEX($T$15:$AA$18, INT((COLUMN(V133)-1)/8)+1, MOD(COLUMN(V133)-1,8)+1))</f>
        <v>1</v>
      </c>
      <c r="AF682" s="12" t="str" cm="1">
        <f t="array" aca="1" ref="AF682" ca="1">INDEX($J$677:$AO$677, INDEX($T$15:$AA$18, INT((COLUMN(W133)-1)/8)+1, MOD(COLUMN(W133)-1,8)+1))</f>
        <v>1</v>
      </c>
      <c r="AG682" s="12" t="str" cm="1">
        <f t="array" aca="1" ref="AG682" ca="1">INDEX($J$677:$AO$677, INDEX($T$15:$AA$18, INT((COLUMN(X133)-1)/8)+1, MOD(COLUMN(X133)-1,8)+1))</f>
        <v>1</v>
      </c>
      <c r="AH682" s="12" t="str" cm="1">
        <f t="array" aca="1" ref="AH682" ca="1">INDEX($J$677:$AO$677, INDEX($T$15:$AA$18, INT((COLUMN(Y133)-1)/8)+1, MOD(COLUMN(Y133)-1,8)+1))</f>
        <v>1</v>
      </c>
      <c r="AI682" s="12" t="str" cm="1">
        <f t="array" aca="1" ref="AI682" ca="1">INDEX($J$677:$AO$677, INDEX($T$15:$AA$18, INT((COLUMN(Z133)-1)/8)+1, MOD(COLUMN(Z133)-1,8)+1))</f>
        <v>1</v>
      </c>
      <c r="AJ682" s="12" t="str" cm="1">
        <f t="array" aca="1" ref="AJ682" ca="1">INDEX($J$677:$AO$677, INDEX($T$15:$AA$18, INT((COLUMN(AA133)-1)/8)+1, MOD(COLUMN(AA133)-1,8)+1))</f>
        <v>1</v>
      </c>
      <c r="AK682" s="12" t="str" cm="1">
        <f t="array" aca="1" ref="AK682" ca="1">INDEX($J$677:$AO$677, INDEX($T$15:$AA$18, INT((COLUMN(AB133)-1)/8)+1, MOD(COLUMN(AB133)-1,8)+1))</f>
        <v>1</v>
      </c>
      <c r="AL682" s="12" t="str" cm="1">
        <f t="array" aca="1" ref="AL682" ca="1">INDEX($J$677:$AO$677, INDEX($T$15:$AA$18, INT((COLUMN(AC133)-1)/8)+1, MOD(COLUMN(AC133)-1,8)+1))</f>
        <v>1</v>
      </c>
      <c r="AM682" s="12" t="str" cm="1">
        <f t="array" aca="1" ref="AM682" ca="1">INDEX($J$677:$AO$677, INDEX($T$15:$AA$18, INT((COLUMN(AD133)-1)/8)+1, MOD(COLUMN(AD133)-1,8)+1))</f>
        <v>1</v>
      </c>
      <c r="AN682" s="12" t="str" cm="1">
        <f t="array" aca="1" ref="AN682" ca="1">INDEX($J$677:$AO$677, INDEX($T$15:$AA$18, INT((COLUMN(AE133)-1)/8)+1, MOD(COLUMN(AE133)-1,8)+1))</f>
        <v>0</v>
      </c>
      <c r="AO682" s="12" t="str" cm="1">
        <f t="array" aca="1" ref="AO682" ca="1">INDEX($J$677:$AO$677, INDEX($T$15:$AA$18, INT((COLUMN(AF133)-1)/8)+1, MOD(COLUMN(AF133)-1,8)+1))</f>
        <v>1</v>
      </c>
    </row>
    <row r="683" spans="1:41">
      <c r="A683" s="7">
        <v>8</v>
      </c>
      <c r="B683" s="29" t="str">
        <f t="shared" ca="1" si="70"/>
        <v>100101</v>
      </c>
      <c r="C683" s="30"/>
      <c r="D683" s="7">
        <f t="shared" ca="1" si="71"/>
        <v>3</v>
      </c>
      <c r="E683" s="12">
        <f t="shared" ca="1" si="72"/>
        <v>2</v>
      </c>
      <c r="F683" s="12" cm="1">
        <f t="array" aca="1" ref="F683" ca="1">INDEX(OFFSET('S-box'!$A$2, (A683-1)*6, 0, 4, 16), D683+1, E683+1)</f>
        <v>14</v>
      </c>
      <c r="G683" s="17" t="str">
        <f t="shared" ca="1" si="73"/>
        <v>1110</v>
      </c>
    </row>
    <row r="685" spans="1:41">
      <c r="A685" s="20" t="s">
        <v>190</v>
      </c>
    </row>
    <row r="687" spans="1:41">
      <c r="A687" s="12" t="s">
        <v>3</v>
      </c>
      <c r="B687" s="12">
        <v>1</v>
      </c>
      <c r="C687" s="12">
        <v>2</v>
      </c>
      <c r="D687" s="12">
        <v>3</v>
      </c>
      <c r="E687" s="12">
        <v>4</v>
      </c>
      <c r="F687" s="12">
        <v>5</v>
      </c>
      <c r="G687" s="12">
        <v>6</v>
      </c>
      <c r="H687" s="12">
        <v>7</v>
      </c>
      <c r="I687" s="12">
        <v>8</v>
      </c>
      <c r="J687" s="12">
        <v>9</v>
      </c>
      <c r="K687" s="12">
        <v>10</v>
      </c>
      <c r="L687" s="12">
        <v>11</v>
      </c>
      <c r="M687" s="12">
        <v>12</v>
      </c>
      <c r="N687" s="12">
        <v>13</v>
      </c>
      <c r="O687" s="12">
        <v>14</v>
      </c>
      <c r="P687" s="12">
        <v>15</v>
      </c>
      <c r="Q687" s="12">
        <v>16</v>
      </c>
      <c r="R687" s="12">
        <v>17</v>
      </c>
      <c r="S687" s="12">
        <v>18</v>
      </c>
      <c r="T687" s="12">
        <v>19</v>
      </c>
      <c r="U687" s="12">
        <v>20</v>
      </c>
      <c r="V687" s="12">
        <v>21</v>
      </c>
      <c r="W687" s="12">
        <v>22</v>
      </c>
      <c r="X687" s="12">
        <v>23</v>
      </c>
      <c r="Y687" s="12">
        <v>24</v>
      </c>
      <c r="Z687" s="12">
        <v>25</v>
      </c>
      <c r="AA687" s="12">
        <v>26</v>
      </c>
      <c r="AB687" s="12">
        <v>27</v>
      </c>
      <c r="AC687" s="12">
        <v>28</v>
      </c>
      <c r="AD687" s="12">
        <v>29</v>
      </c>
      <c r="AE687" s="12">
        <v>30</v>
      </c>
      <c r="AF687" s="12">
        <v>31</v>
      </c>
      <c r="AG687" s="12">
        <v>32</v>
      </c>
    </row>
    <row r="688" spans="1:41">
      <c r="A688" s="12" t="s">
        <v>188</v>
      </c>
      <c r="B688" s="12">
        <v>1</v>
      </c>
      <c r="C688" s="12">
        <v>0</v>
      </c>
      <c r="D688" s="12">
        <v>0</v>
      </c>
      <c r="E688" s="12">
        <v>1</v>
      </c>
      <c r="F688" s="12">
        <v>1</v>
      </c>
      <c r="G688" s="12">
        <v>1</v>
      </c>
      <c r="H688" s="12">
        <v>0</v>
      </c>
      <c r="I688" s="12">
        <v>0</v>
      </c>
      <c r="J688" s="12">
        <v>0</v>
      </c>
      <c r="K688" s="12">
        <v>1</v>
      </c>
      <c r="L688" s="12">
        <v>0</v>
      </c>
      <c r="M688" s="12">
        <v>1</v>
      </c>
      <c r="N688" s="12">
        <v>0</v>
      </c>
      <c r="O688" s="12">
        <v>1</v>
      </c>
      <c r="P688" s="12">
        <v>0</v>
      </c>
      <c r="Q688" s="12">
        <v>1</v>
      </c>
      <c r="R688" s="12">
        <v>0</v>
      </c>
      <c r="S688" s="12">
        <v>0</v>
      </c>
      <c r="T688" s="12">
        <v>1</v>
      </c>
      <c r="U688" s="12">
        <v>0</v>
      </c>
      <c r="V688" s="12">
        <v>1</v>
      </c>
      <c r="W688" s="12">
        <v>1</v>
      </c>
      <c r="X688" s="12">
        <v>0</v>
      </c>
      <c r="Y688" s="12">
        <v>1</v>
      </c>
      <c r="Z688" s="12">
        <v>0</v>
      </c>
      <c r="AA688" s="12">
        <v>0</v>
      </c>
      <c r="AB688" s="12">
        <v>0</v>
      </c>
      <c r="AC688" s="12">
        <v>1</v>
      </c>
      <c r="AD688" s="12">
        <v>0</v>
      </c>
      <c r="AE688" s="12">
        <v>0</v>
      </c>
      <c r="AF688" s="12">
        <v>1</v>
      </c>
      <c r="AG688" s="12">
        <v>1</v>
      </c>
    </row>
    <row r="689" spans="1:49">
      <c r="A689" s="12" t="s">
        <v>189</v>
      </c>
      <c r="B689" s="12">
        <f ca="1">_xlfn.BITXOR(B655,J682)</f>
        <v>0</v>
      </c>
      <c r="C689" s="12">
        <f t="shared" ref="C689" ca="1" si="75">_xlfn.BITXOR(C655,K682)</f>
        <v>0</v>
      </c>
      <c r="D689" s="12">
        <f t="shared" ref="D689" ca="1" si="76">_xlfn.BITXOR(D655,L682)</f>
        <v>0</v>
      </c>
      <c r="E689" s="12">
        <f t="shared" ref="E689" ca="1" si="77">_xlfn.BITXOR(E655,M682)</f>
        <v>0</v>
      </c>
      <c r="F689" s="12">
        <f t="shared" ref="F689" ca="1" si="78">_xlfn.BITXOR(F655,N682)</f>
        <v>1</v>
      </c>
      <c r="G689" s="12">
        <f t="shared" ref="G689" ca="1" si="79">_xlfn.BITXOR(G655,O682)</f>
        <v>1</v>
      </c>
      <c r="H689" s="12">
        <f t="shared" ref="H689" ca="1" si="80">_xlfn.BITXOR(H655,P682)</f>
        <v>0</v>
      </c>
      <c r="I689" s="12">
        <f t="shared" ref="I689" ca="1" si="81">_xlfn.BITXOR(I655,Q682)</f>
        <v>1</v>
      </c>
      <c r="J689" s="12">
        <f t="shared" ref="J689" ca="1" si="82">_xlfn.BITXOR(J655,R682)</f>
        <v>0</v>
      </c>
      <c r="K689" s="12">
        <f t="shared" ref="K689" ca="1" si="83">_xlfn.BITXOR(K655,S682)</f>
        <v>0</v>
      </c>
      <c r="L689" s="12">
        <f t="shared" ref="L689" ca="1" si="84">_xlfn.BITXOR(L655,T682)</f>
        <v>1</v>
      </c>
      <c r="M689" s="12">
        <f t="shared" ref="M689" ca="1" si="85">_xlfn.BITXOR(M655,U682)</f>
        <v>0</v>
      </c>
      <c r="N689" s="12">
        <f t="shared" ref="N689" ca="1" si="86">_xlfn.BITXOR(N655,V682)</f>
        <v>0</v>
      </c>
      <c r="O689" s="12">
        <f t="shared" ref="O689" ca="1" si="87">_xlfn.BITXOR(O655,W682)</f>
        <v>1</v>
      </c>
      <c r="P689" s="12">
        <f t="shared" ref="P689" ca="1" si="88">_xlfn.BITXOR(P655,X682)</f>
        <v>1</v>
      </c>
      <c r="Q689" s="12">
        <f t="shared" ref="Q689" ca="1" si="89">_xlfn.BITXOR(Q655,Y682)</f>
        <v>0</v>
      </c>
      <c r="R689" s="12">
        <f t="shared" ref="R689" ca="1" si="90">_xlfn.BITXOR(R655,Z682)</f>
        <v>1</v>
      </c>
      <c r="S689" s="12">
        <f t="shared" ref="S689" ca="1" si="91">_xlfn.BITXOR(S655,AA682)</f>
        <v>0</v>
      </c>
      <c r="T689" s="12">
        <f t="shared" ref="T689" ca="1" si="92">_xlfn.BITXOR(T655,AB682)</f>
        <v>1</v>
      </c>
      <c r="U689" s="12">
        <f t="shared" ref="U689" ca="1" si="93">_xlfn.BITXOR(U655,AC682)</f>
        <v>1</v>
      </c>
      <c r="V689" s="12">
        <f t="shared" ref="V689" ca="1" si="94">_xlfn.BITXOR(V655,AD682)</f>
        <v>1</v>
      </c>
      <c r="W689" s="12">
        <f t="shared" ref="W689" ca="1" si="95">_xlfn.BITXOR(W655,AE682)</f>
        <v>1</v>
      </c>
      <c r="X689" s="12">
        <f t="shared" ref="X689" ca="1" si="96">_xlfn.BITXOR(X655,AF682)</f>
        <v>0</v>
      </c>
      <c r="Y689" s="12">
        <f t="shared" ref="Y689" ca="1" si="97">_xlfn.BITXOR(Y655,AG682)</f>
        <v>0</v>
      </c>
      <c r="Z689" s="12">
        <f t="shared" ref="Z689" ca="1" si="98">_xlfn.BITXOR(Z655,AH682)</f>
        <v>1</v>
      </c>
      <c r="AA689" s="12">
        <f t="shared" ref="AA689" ca="1" si="99">_xlfn.BITXOR(AA655,AI682)</f>
        <v>1</v>
      </c>
      <c r="AB689" s="12">
        <f t="shared" ref="AB689" ca="1" si="100">_xlfn.BITXOR(AB655,AJ682)</f>
        <v>1</v>
      </c>
      <c r="AC689" s="12">
        <f t="shared" ref="AC689" ca="1" si="101">_xlfn.BITXOR(AC655,AK682)</f>
        <v>1</v>
      </c>
      <c r="AD689" s="12">
        <f t="shared" ref="AD689" ca="1" si="102">_xlfn.BITXOR(AD655,AL682)</f>
        <v>0</v>
      </c>
      <c r="AE689" s="12">
        <f t="shared" ref="AE689" ca="1" si="103">_xlfn.BITXOR(AE655,AM682)</f>
        <v>1</v>
      </c>
      <c r="AF689" s="12">
        <f t="shared" ref="AF689" ca="1" si="104">_xlfn.BITXOR(AF655,AN682)</f>
        <v>0</v>
      </c>
      <c r="AG689" s="12">
        <f t="shared" ref="AG689" ca="1" si="105">_xlfn.BITXOR(AG655,AO682)</f>
        <v>1</v>
      </c>
    </row>
    <row r="691" spans="1:49">
      <c r="A691" s="21" t="s">
        <v>191</v>
      </c>
    </row>
    <row r="692" spans="1:49">
      <c r="A692" s="8" t="s">
        <v>192</v>
      </c>
      <c r="B692" s="12" cm="1">
        <f t="array" aca="1" ref="B692" ca="1">INDEX($B$689:$AG$689, T25)</f>
        <v>1</v>
      </c>
      <c r="C692" s="12" cm="1">
        <f t="array" aca="1" ref="C692" ca="1">INDEX($B$689:$AG$689, U25)</f>
        <v>0</v>
      </c>
      <c r="D692" s="12" cm="1">
        <f t="array" aca="1" ref="D692" ca="1">INDEX($B$689:$AG$689, V25)</f>
        <v>0</v>
      </c>
      <c r="E692" s="12" cm="1">
        <f t="array" aca="1" ref="E692" ca="1">INDEX($B$689:$AG$689, W25)</f>
        <v>0</v>
      </c>
      <c r="F692" s="12" cm="1">
        <f t="array" aca="1" ref="F692" ca="1">INDEX($B$689:$AG$689, X25)</f>
        <v>0</v>
      </c>
      <c r="G692" s="12" cm="1">
        <f t="array" aca="1" ref="G692" ca="1">INDEX($B$689:$AG$689, Y25)</f>
        <v>1</v>
      </c>
    </row>
    <row r="693" spans="1:49">
      <c r="B693" s="12" cm="1">
        <f t="array" aca="1" ref="B693" ca="1">INDEX($B$689:$AG$689, T26)</f>
        <v>0</v>
      </c>
      <c r="C693" s="12" cm="1">
        <f t="array" aca="1" ref="C693" ca="1">INDEX($B$689:$AG$689, U26)</f>
        <v>1</v>
      </c>
      <c r="D693" s="12" cm="1">
        <f t="array" aca="1" ref="D693" ca="1">INDEX($B$689:$AG$689, V26)</f>
        <v>1</v>
      </c>
      <c r="E693" s="12" cm="1">
        <f t="array" aca="1" ref="E693" ca="1">INDEX($B$689:$AG$689, W26)</f>
        <v>0</v>
      </c>
      <c r="F693" s="12" cm="1">
        <f t="array" aca="1" ref="F693" ca="1">INDEX($B$689:$AG$689, X26)</f>
        <v>1</v>
      </c>
      <c r="G693" s="12" cm="1">
        <f t="array" aca="1" ref="G693" ca="1">INDEX($B$689:$AG$689, Y26)</f>
        <v>0</v>
      </c>
    </row>
    <row r="694" spans="1:49">
      <c r="B694" s="12" cm="1">
        <f t="array" aca="1" ref="B694" ca="1">INDEX($B$689:$AG$689, T27)</f>
        <v>1</v>
      </c>
      <c r="C694" s="12" cm="1">
        <f t="array" aca="1" ref="C694" ca="1">INDEX($B$689:$AG$689, U27)</f>
        <v>0</v>
      </c>
      <c r="D694" s="12" cm="1">
        <f t="array" aca="1" ref="D694" ca="1">INDEX($B$689:$AG$689, V27)</f>
        <v>0</v>
      </c>
      <c r="E694" s="12" cm="1">
        <f t="array" aca="1" ref="E694" ca="1">INDEX($B$689:$AG$689, W27)</f>
        <v>1</v>
      </c>
      <c r="F694" s="12" cm="1">
        <f t="array" aca="1" ref="F694" ca="1">INDEX($B$689:$AG$689, X27)</f>
        <v>0</v>
      </c>
      <c r="G694" s="12" cm="1">
        <f t="array" aca="1" ref="G694" ca="1">INDEX($B$689:$AG$689, Y27)</f>
        <v>0</v>
      </c>
    </row>
    <row r="695" spans="1:49">
      <c r="B695" s="12" cm="1">
        <f t="array" aca="1" ref="B695" ca="1">INDEX($B$689:$AG$689, T28)</f>
        <v>0</v>
      </c>
      <c r="C695" s="12" cm="1">
        <f t="array" aca="1" ref="C695" ca="1">INDEX($B$689:$AG$689, U28)</f>
        <v>0</v>
      </c>
      <c r="D695" s="12" cm="1">
        <f t="array" aca="1" ref="D695" ca="1">INDEX($B$689:$AG$689, V28)</f>
        <v>1</v>
      </c>
      <c r="E695" s="12" cm="1">
        <f t="array" aca="1" ref="E695" ca="1">INDEX($B$689:$AG$689, W28)</f>
        <v>1</v>
      </c>
      <c r="F695" s="12" cm="1">
        <f t="array" aca="1" ref="F695" ca="1">INDEX($B$689:$AG$689, X28)</f>
        <v>0</v>
      </c>
      <c r="G695" s="12" cm="1">
        <f t="array" aca="1" ref="G695" ca="1">INDEX($B$689:$AG$689, Y28)</f>
        <v>1</v>
      </c>
    </row>
    <row r="696" spans="1:49">
      <c r="B696" s="12" cm="1">
        <f t="array" aca="1" ref="B696" ca="1">INDEX($B$689:$AG$689, T29)</f>
        <v>0</v>
      </c>
      <c r="C696" s="12" cm="1">
        <f t="array" aca="1" ref="C696" ca="1">INDEX($B$689:$AG$689, U29)</f>
        <v>1</v>
      </c>
      <c r="D696" s="12" cm="1">
        <f t="array" aca="1" ref="D696" ca="1">INDEX($B$689:$AG$689, V29)</f>
        <v>0</v>
      </c>
      <c r="E696" s="12" cm="1">
        <f t="array" aca="1" ref="E696" ca="1">INDEX($B$689:$AG$689, W29)</f>
        <v>1</v>
      </c>
      <c r="F696" s="12" cm="1">
        <f t="array" aca="1" ref="F696" ca="1">INDEX($B$689:$AG$689, X29)</f>
        <v>1</v>
      </c>
      <c r="G696" s="12" cm="1">
        <f t="array" aca="1" ref="G696" ca="1">INDEX($B$689:$AG$689, Y29)</f>
        <v>1</v>
      </c>
    </row>
    <row r="697" spans="1:49">
      <c r="B697" s="12" cm="1">
        <f t="array" aca="1" ref="B697" ca="1">INDEX($B$689:$AG$689, T30)</f>
        <v>1</v>
      </c>
      <c r="C697" s="12" cm="1">
        <f t="array" aca="1" ref="C697" ca="1">INDEX($B$689:$AG$689, U30)</f>
        <v>1</v>
      </c>
      <c r="D697" s="12" cm="1">
        <f t="array" aca="1" ref="D697" ca="1">INDEX($B$689:$AG$689, V30)</f>
        <v>1</v>
      </c>
      <c r="E697" s="12" cm="1">
        <f t="array" aca="1" ref="E697" ca="1">INDEX($B$689:$AG$689, W30)</f>
        <v>0</v>
      </c>
      <c r="F697" s="12" cm="1">
        <f t="array" aca="1" ref="F697" ca="1">INDEX($B$689:$AG$689, X30)</f>
        <v>0</v>
      </c>
      <c r="G697" s="12" cm="1">
        <f t="array" aca="1" ref="G697" ca="1">INDEX($B$689:$AG$689, Y30)</f>
        <v>1</v>
      </c>
    </row>
    <row r="698" spans="1:49">
      <c r="B698" s="12" cm="1">
        <f t="array" aca="1" ref="B698" ca="1">INDEX($B$689:$AG$689, T31)</f>
        <v>0</v>
      </c>
      <c r="C698" s="12" cm="1">
        <f t="array" aca="1" ref="C698" ca="1">INDEX($B$689:$AG$689, U31)</f>
        <v>1</v>
      </c>
      <c r="D698" s="12" cm="1">
        <f t="array" aca="1" ref="D698" ca="1">INDEX($B$689:$AG$689, V31)</f>
        <v>1</v>
      </c>
      <c r="E698" s="12" cm="1">
        <f t="array" aca="1" ref="E698" ca="1">INDEX($B$689:$AG$689, W31)</f>
        <v>1</v>
      </c>
      <c r="F698" s="12" cm="1">
        <f t="array" aca="1" ref="F698" ca="1">INDEX($B$689:$AG$689, X31)</f>
        <v>1</v>
      </c>
      <c r="G698" s="12" cm="1">
        <f t="array" aca="1" ref="G698" ca="1">INDEX($B$689:$AG$689, Y31)</f>
        <v>0</v>
      </c>
    </row>
    <row r="699" spans="1:49">
      <c r="B699" s="12" cm="1">
        <f t="array" aca="1" ref="B699" ca="1">INDEX($B$689:$AG$689, T32)</f>
        <v>1</v>
      </c>
      <c r="C699" s="12" cm="1">
        <f t="array" aca="1" ref="C699" ca="1">INDEX($B$689:$AG$689, U32)</f>
        <v>0</v>
      </c>
      <c r="D699" s="12" cm="1">
        <f t="array" aca="1" ref="D699" ca="1">INDEX($B$689:$AG$689, V32)</f>
        <v>1</v>
      </c>
      <c r="E699" s="12" cm="1">
        <f t="array" aca="1" ref="E699" ca="1">INDEX($B$689:$AG$689, W32)</f>
        <v>0</v>
      </c>
      <c r="F699" s="12" cm="1">
        <f t="array" aca="1" ref="F699" ca="1">INDEX($B$689:$AG$689, X32)</f>
        <v>1</v>
      </c>
      <c r="G699" s="12" cm="1">
        <f t="array" aca="1" ref="G699" ca="1">INDEX($B$689:$AG$689, Y32)</f>
        <v>0</v>
      </c>
    </row>
    <row r="701" spans="1:49">
      <c r="A701" s="12" t="s">
        <v>3</v>
      </c>
      <c r="B701" s="12">
        <v>1</v>
      </c>
      <c r="C701" s="12">
        <v>2</v>
      </c>
      <c r="D701" s="12">
        <v>3</v>
      </c>
      <c r="E701" s="12">
        <v>4</v>
      </c>
      <c r="F701" s="12">
        <v>5</v>
      </c>
      <c r="G701" s="12">
        <v>6</v>
      </c>
      <c r="H701" s="12">
        <v>7</v>
      </c>
      <c r="I701" s="12">
        <v>8</v>
      </c>
      <c r="J701" s="12">
        <v>9</v>
      </c>
      <c r="K701" s="12">
        <v>10</v>
      </c>
      <c r="L701" s="12">
        <v>11</v>
      </c>
      <c r="M701" s="12">
        <v>12</v>
      </c>
      <c r="N701" s="12">
        <v>13</v>
      </c>
      <c r="O701" s="12">
        <v>14</v>
      </c>
      <c r="P701" s="12">
        <v>15</v>
      </c>
      <c r="Q701" s="12">
        <v>16</v>
      </c>
      <c r="R701" s="12">
        <v>17</v>
      </c>
      <c r="S701" s="12">
        <v>18</v>
      </c>
      <c r="T701" s="12">
        <v>19</v>
      </c>
      <c r="U701" s="12">
        <v>20</v>
      </c>
      <c r="V701" s="12">
        <v>21</v>
      </c>
      <c r="W701" s="12">
        <v>22</v>
      </c>
      <c r="X701" s="12">
        <v>23</v>
      </c>
      <c r="Y701" s="12">
        <v>24</v>
      </c>
      <c r="Z701" s="12">
        <v>25</v>
      </c>
      <c r="AA701" s="12">
        <v>26</v>
      </c>
      <c r="AB701" s="12">
        <v>27</v>
      </c>
      <c r="AC701" s="12">
        <v>28</v>
      </c>
      <c r="AD701" s="12">
        <v>29</v>
      </c>
      <c r="AE701" s="12">
        <v>30</v>
      </c>
      <c r="AF701" s="12">
        <v>31</v>
      </c>
      <c r="AG701" s="12">
        <v>32</v>
      </c>
      <c r="AH701" s="12">
        <v>33</v>
      </c>
      <c r="AI701" s="12">
        <v>34</v>
      </c>
      <c r="AJ701" s="12">
        <v>35</v>
      </c>
      <c r="AK701" s="12">
        <v>36</v>
      </c>
      <c r="AL701" s="12">
        <v>37</v>
      </c>
      <c r="AM701" s="12">
        <v>38</v>
      </c>
      <c r="AN701" s="12">
        <v>39</v>
      </c>
      <c r="AO701" s="12">
        <v>40</v>
      </c>
      <c r="AP701" s="12">
        <v>41</v>
      </c>
      <c r="AQ701" s="12">
        <v>42</v>
      </c>
      <c r="AR701" s="12">
        <v>43</v>
      </c>
      <c r="AS701" s="12">
        <v>44</v>
      </c>
      <c r="AT701" s="12">
        <v>45</v>
      </c>
      <c r="AU701" s="12">
        <v>46</v>
      </c>
      <c r="AV701" s="12">
        <v>47</v>
      </c>
      <c r="AW701" s="12">
        <v>48</v>
      </c>
    </row>
    <row r="702" spans="1:49">
      <c r="A702" s="7" t="s">
        <v>192</v>
      </c>
      <c r="B702" s="16" cm="1">
        <f t="array" aca="1" ref="B702" ca="1">INDEX($B$692:$G699, INT((COLUMN(A558)-1)/6)+1, MOD(COLUMN(A558)-1,6)+1)</f>
        <v>1</v>
      </c>
      <c r="C702" s="16" cm="1">
        <f t="array" aca="1" ref="C702" ca="1">INDEX($B$692:$G699, INT((COLUMN(B558)-1)/6)+1, MOD(COLUMN(B558)-1,6)+1)</f>
        <v>0</v>
      </c>
      <c r="D702" s="16" cm="1">
        <f t="array" aca="1" ref="D702" ca="1">INDEX($B$692:$G699, INT((COLUMN(C558)-1)/6)+1, MOD(COLUMN(C558)-1,6)+1)</f>
        <v>0</v>
      </c>
      <c r="E702" s="16" cm="1">
        <f t="array" aca="1" ref="E702" ca="1">INDEX($B$692:$G699, INT((COLUMN(D558)-1)/6)+1, MOD(COLUMN(D558)-1,6)+1)</f>
        <v>0</v>
      </c>
      <c r="F702" s="16" cm="1">
        <f t="array" aca="1" ref="F702" ca="1">INDEX($B$692:$G699, INT((COLUMN(E558)-1)/6)+1, MOD(COLUMN(E558)-1,6)+1)</f>
        <v>0</v>
      </c>
      <c r="G702" s="16" cm="1">
        <f t="array" aca="1" ref="G702" ca="1">INDEX($B$692:$G699, INT((COLUMN(F558)-1)/6)+1, MOD(COLUMN(F558)-1,6)+1)</f>
        <v>1</v>
      </c>
      <c r="H702" s="16" cm="1">
        <f t="array" aca="1" ref="H702" ca="1">INDEX($B$692:$G699, INT((COLUMN(G558)-1)/6)+1, MOD(COLUMN(G558)-1,6)+1)</f>
        <v>0</v>
      </c>
      <c r="I702" s="16" cm="1">
        <f t="array" aca="1" ref="I702" ca="1">INDEX($B$692:$G699, INT((COLUMN(H558)-1)/6)+1, MOD(COLUMN(H558)-1,6)+1)</f>
        <v>1</v>
      </c>
      <c r="J702" s="16" cm="1">
        <f t="array" aca="1" ref="J702" ca="1">INDEX($B$692:$G699, INT((COLUMN(I558)-1)/6)+1, MOD(COLUMN(I558)-1,6)+1)</f>
        <v>1</v>
      </c>
      <c r="K702" s="16" cm="1">
        <f t="array" aca="1" ref="K702" ca="1">INDEX($B$692:$G699, INT((COLUMN(J558)-1)/6)+1, MOD(COLUMN(J558)-1,6)+1)</f>
        <v>0</v>
      </c>
      <c r="L702" s="16" cm="1">
        <f t="array" aca="1" ref="L702" ca="1">INDEX($B$692:$G699, INT((COLUMN(K558)-1)/6)+1, MOD(COLUMN(K558)-1,6)+1)</f>
        <v>1</v>
      </c>
      <c r="M702" s="16" cm="1">
        <f t="array" aca="1" ref="M702" ca="1">INDEX($B$692:$G699, INT((COLUMN(L558)-1)/6)+1, MOD(COLUMN(L558)-1,6)+1)</f>
        <v>0</v>
      </c>
      <c r="N702" s="16" cm="1">
        <f t="array" aca="1" ref="N702" ca="1">INDEX($B$692:$G699, INT((COLUMN(M558)-1)/6)+1, MOD(COLUMN(M558)-1,6)+1)</f>
        <v>1</v>
      </c>
      <c r="O702" s="16" cm="1">
        <f t="array" aca="1" ref="O702" ca="1">INDEX($B$692:$G699, INT((COLUMN(N558)-1)/6)+1, MOD(COLUMN(N558)-1,6)+1)</f>
        <v>0</v>
      </c>
      <c r="P702" s="16" cm="1">
        <f t="array" aca="1" ref="P702" ca="1">INDEX($B$692:$G699, INT((COLUMN(O558)-1)/6)+1, MOD(COLUMN(O558)-1,6)+1)</f>
        <v>0</v>
      </c>
      <c r="Q702" s="16" cm="1">
        <f t="array" aca="1" ref="Q702" ca="1">INDEX($B$692:$G699, INT((COLUMN(P558)-1)/6)+1, MOD(COLUMN(P558)-1,6)+1)</f>
        <v>1</v>
      </c>
      <c r="R702" s="16" cm="1">
        <f t="array" aca="1" ref="R702" ca="1">INDEX($B$692:$G699, INT((COLUMN(Q558)-1)/6)+1, MOD(COLUMN(Q558)-1,6)+1)</f>
        <v>0</v>
      </c>
      <c r="S702" s="16" cm="1">
        <f t="array" aca="1" ref="S702" ca="1">INDEX($B$692:$G699, INT((COLUMN(R558)-1)/6)+1, MOD(COLUMN(R558)-1,6)+1)</f>
        <v>0</v>
      </c>
      <c r="T702" s="16" cm="1">
        <f t="array" aca="1" ref="T702" ca="1">INDEX($B$692:$G699, INT((COLUMN(S558)-1)/6)+1, MOD(COLUMN(S558)-1,6)+1)</f>
        <v>0</v>
      </c>
      <c r="U702" s="16" cm="1">
        <f t="array" aca="1" ref="U702" ca="1">INDEX($B$692:$G699, INT((COLUMN(T558)-1)/6)+1, MOD(COLUMN(T558)-1,6)+1)</f>
        <v>0</v>
      </c>
      <c r="V702" s="16" cm="1">
        <f t="array" aca="1" ref="V702" ca="1">INDEX($B$692:$G699, INT((COLUMN(U558)-1)/6)+1, MOD(COLUMN(U558)-1,6)+1)</f>
        <v>1</v>
      </c>
      <c r="W702" s="16" cm="1">
        <f t="array" aca="1" ref="W702" ca="1">INDEX($B$692:$G699, INT((COLUMN(V558)-1)/6)+1, MOD(COLUMN(V558)-1,6)+1)</f>
        <v>1</v>
      </c>
      <c r="X702" s="16" cm="1">
        <f t="array" aca="1" ref="X702" ca="1">INDEX($B$692:$G699, INT((COLUMN(W558)-1)/6)+1, MOD(COLUMN(W558)-1,6)+1)</f>
        <v>0</v>
      </c>
      <c r="Y702" s="16" cm="1">
        <f t="array" aca="1" ref="Y702" ca="1">INDEX($B$692:$G699, INT((COLUMN(X558)-1)/6)+1, MOD(COLUMN(X558)-1,6)+1)</f>
        <v>1</v>
      </c>
      <c r="Z702" s="16" cm="1">
        <f t="array" aca="1" ref="Z702" ca="1">INDEX($B$692:$G699, INT((COLUMN(Y558)-1)/6)+1, MOD(COLUMN(Y558)-1,6)+1)</f>
        <v>0</v>
      </c>
      <c r="AA702" s="16" cm="1">
        <f t="array" aca="1" ref="AA702" ca="1">INDEX($B$692:$G699, INT((COLUMN(Z558)-1)/6)+1, MOD(COLUMN(Z558)-1,6)+1)</f>
        <v>1</v>
      </c>
      <c r="AB702" s="16" cm="1">
        <f t="array" aca="1" ref="AB702" ca="1">INDEX($B$692:$G699, INT((COLUMN(AA558)-1)/6)+1, MOD(COLUMN(AA558)-1,6)+1)</f>
        <v>0</v>
      </c>
      <c r="AC702" s="16" cm="1">
        <f t="array" aca="1" ref="AC702" ca="1">INDEX($B$692:$G699, INT((COLUMN(AB558)-1)/6)+1, MOD(COLUMN(AB558)-1,6)+1)</f>
        <v>1</v>
      </c>
      <c r="AD702" s="16" cm="1">
        <f t="array" aca="1" ref="AD702" ca="1">INDEX($B$692:$G699, INT((COLUMN(AC558)-1)/6)+1, MOD(COLUMN(AC558)-1,6)+1)</f>
        <v>1</v>
      </c>
      <c r="AE702" s="16" cm="1">
        <f t="array" aca="1" ref="AE702" ca="1">INDEX($B$692:$G699, INT((COLUMN(AD558)-1)/6)+1, MOD(COLUMN(AD558)-1,6)+1)</f>
        <v>1</v>
      </c>
      <c r="AF702" s="16" cm="1">
        <f t="array" aca="1" ref="AF702" ca="1">INDEX($B$692:$G699, INT((COLUMN(AE558)-1)/6)+1, MOD(COLUMN(AE558)-1,6)+1)</f>
        <v>1</v>
      </c>
      <c r="AG702" s="16" cm="1">
        <f t="array" aca="1" ref="AG702" ca="1">INDEX($B$692:$G699, INT((COLUMN(AF558)-1)/6)+1, MOD(COLUMN(AF558)-1,6)+1)</f>
        <v>1</v>
      </c>
      <c r="AH702" s="16" cm="1">
        <f t="array" aca="1" ref="AH702" ca="1">INDEX($B$692:$G699, INT((COLUMN(AG558)-1)/6)+1, MOD(COLUMN(AG558)-1,6)+1)</f>
        <v>1</v>
      </c>
      <c r="AI702" s="16" cm="1">
        <f t="array" aca="1" ref="AI702" ca="1">INDEX($B$692:$G699, INT((COLUMN(AH558)-1)/6)+1, MOD(COLUMN(AH558)-1,6)+1)</f>
        <v>0</v>
      </c>
      <c r="AJ702" s="16" cm="1">
        <f t="array" aca="1" ref="AJ702" ca="1">INDEX($B$692:$G699, INT((COLUMN(AI558)-1)/6)+1, MOD(COLUMN(AI558)-1,6)+1)</f>
        <v>0</v>
      </c>
      <c r="AK702" s="16" cm="1">
        <f t="array" aca="1" ref="AK702" ca="1">INDEX($B$692:$G699, INT((COLUMN(AJ558)-1)/6)+1, MOD(COLUMN(AJ558)-1,6)+1)</f>
        <v>1</v>
      </c>
      <c r="AL702" s="16" cm="1">
        <f t="array" aca="1" ref="AL702" ca="1">INDEX($B$692:$G699, INT((COLUMN(AK558)-1)/6)+1, MOD(COLUMN(AK558)-1,6)+1)</f>
        <v>0</v>
      </c>
      <c r="AM702" s="16" cm="1">
        <f t="array" aca="1" ref="AM702" ca="1">INDEX($B$692:$G699, INT((COLUMN(AL558)-1)/6)+1, MOD(COLUMN(AL558)-1,6)+1)</f>
        <v>1</v>
      </c>
      <c r="AN702" s="16" cm="1">
        <f t="array" aca="1" ref="AN702" ca="1">INDEX($B$692:$G699, INT((COLUMN(AM558)-1)/6)+1, MOD(COLUMN(AM558)-1,6)+1)</f>
        <v>1</v>
      </c>
      <c r="AO702" s="16" cm="1">
        <f t="array" aca="1" ref="AO702" ca="1">INDEX($B$692:$G699, INT((COLUMN(AN558)-1)/6)+1, MOD(COLUMN(AN558)-1,6)+1)</f>
        <v>1</v>
      </c>
      <c r="AP702" s="16" cm="1">
        <f t="array" aca="1" ref="AP702" ca="1">INDEX($B$692:$G699, INT((COLUMN(AO558)-1)/6)+1, MOD(COLUMN(AO558)-1,6)+1)</f>
        <v>1</v>
      </c>
      <c r="AQ702" s="16" cm="1">
        <f t="array" aca="1" ref="AQ702" ca="1">INDEX($B$692:$G699, INT((COLUMN(AP558)-1)/6)+1, MOD(COLUMN(AP558)-1,6)+1)</f>
        <v>0</v>
      </c>
      <c r="AR702" s="16" cm="1">
        <f t="array" aca="1" ref="AR702" ca="1">INDEX($B$692:$G699, INT((COLUMN(AQ558)-1)/6)+1, MOD(COLUMN(AQ558)-1,6)+1)</f>
        <v>1</v>
      </c>
      <c r="AS702" s="16" cm="1">
        <f t="array" aca="1" ref="AS702" ca="1">INDEX($B$692:$G699, INT((COLUMN(AR558)-1)/6)+1, MOD(COLUMN(AR558)-1,6)+1)</f>
        <v>0</v>
      </c>
      <c r="AT702" s="16" cm="1">
        <f t="array" aca="1" ref="AT702" ca="1">INDEX($B$692:$G699, INT((COLUMN(AS558)-1)/6)+1, MOD(COLUMN(AS558)-1,6)+1)</f>
        <v>1</v>
      </c>
      <c r="AU702" s="16" cm="1">
        <f t="array" aca="1" ref="AU702" ca="1">INDEX($B$692:$G699, INT((COLUMN(AT558)-1)/6)+1, MOD(COLUMN(AT558)-1,6)+1)</f>
        <v>0</v>
      </c>
      <c r="AV702" s="16" cm="1">
        <f t="array" aca="1" ref="AV702" ca="1">INDEX($B$692:$G699, INT((COLUMN(AU558)-1)/6)+1, MOD(COLUMN(AU558)-1,6)+1)</f>
        <v>1</v>
      </c>
      <c r="AW702" s="16" cm="1">
        <f t="array" aca="1" ref="AW702" ca="1">INDEX($B$692:$G699, INT((COLUMN(AV558)-1)/6)+1, MOD(COLUMN(AV558)-1,6)+1)</f>
        <v>0</v>
      </c>
    </row>
    <row r="703" spans="1:49">
      <c r="A703" s="19"/>
    </row>
    <row r="704" spans="1:49">
      <c r="A704" s="12" t="s">
        <v>3</v>
      </c>
      <c r="B704" s="12">
        <v>1</v>
      </c>
      <c r="C704" s="12">
        <v>2</v>
      </c>
      <c r="D704" s="12">
        <v>3</v>
      </c>
      <c r="E704" s="12">
        <v>4</v>
      </c>
      <c r="F704" s="12">
        <v>5</v>
      </c>
      <c r="G704" s="12">
        <v>6</v>
      </c>
      <c r="H704" s="12">
        <v>7</v>
      </c>
      <c r="I704" s="12">
        <v>8</v>
      </c>
      <c r="J704" s="12">
        <v>9</v>
      </c>
      <c r="K704" s="12">
        <v>10</v>
      </c>
      <c r="L704" s="12">
        <v>11</v>
      </c>
      <c r="M704" s="12">
        <v>12</v>
      </c>
      <c r="N704" s="12">
        <v>13</v>
      </c>
      <c r="O704" s="12">
        <v>14</v>
      </c>
      <c r="P704" s="12">
        <v>15</v>
      </c>
      <c r="Q704" s="12">
        <v>16</v>
      </c>
      <c r="R704" s="12">
        <v>17</v>
      </c>
      <c r="S704" s="12">
        <v>18</v>
      </c>
      <c r="T704" s="12">
        <v>19</v>
      </c>
      <c r="U704" s="12">
        <v>20</v>
      </c>
      <c r="V704" s="12">
        <v>21</v>
      </c>
      <c r="W704" s="12">
        <v>22</v>
      </c>
      <c r="X704" s="12">
        <v>23</v>
      </c>
      <c r="Y704" s="12">
        <v>24</v>
      </c>
      <c r="Z704" s="12">
        <v>25</v>
      </c>
      <c r="AA704" s="12">
        <v>26</v>
      </c>
      <c r="AB704" s="12">
        <v>27</v>
      </c>
      <c r="AC704" s="12">
        <v>28</v>
      </c>
      <c r="AD704" s="12">
        <v>29</v>
      </c>
      <c r="AE704" s="12">
        <v>30</v>
      </c>
      <c r="AF704" s="12">
        <v>31</v>
      </c>
      <c r="AG704" s="12">
        <v>32</v>
      </c>
      <c r="AH704" s="12">
        <v>33</v>
      </c>
      <c r="AI704" s="12">
        <v>34</v>
      </c>
      <c r="AJ704" s="12">
        <v>35</v>
      </c>
      <c r="AK704" s="12">
        <v>36</v>
      </c>
      <c r="AL704" s="12">
        <v>37</v>
      </c>
      <c r="AM704" s="12">
        <v>38</v>
      </c>
      <c r="AN704" s="12">
        <v>39</v>
      </c>
      <c r="AO704" s="12">
        <v>40</v>
      </c>
      <c r="AP704" s="12">
        <v>41</v>
      </c>
      <c r="AQ704" s="12">
        <v>42</v>
      </c>
      <c r="AR704" s="12">
        <v>43</v>
      </c>
      <c r="AS704" s="12">
        <v>44</v>
      </c>
      <c r="AT704" s="12">
        <v>45</v>
      </c>
      <c r="AU704" s="12">
        <v>46</v>
      </c>
      <c r="AV704" s="12">
        <v>47</v>
      </c>
      <c r="AW704" s="12">
        <v>48</v>
      </c>
    </row>
    <row r="705" spans="1:49">
      <c r="A705" s="7" t="s">
        <v>193</v>
      </c>
      <c r="B705" s="16">
        <f ca="1">_xlfn.BITXOR(B702, B238)</f>
        <v>1</v>
      </c>
      <c r="C705" s="16">
        <f t="shared" ref="C705:AW705" ca="1" si="106">_xlfn.BITXOR(C702, C238)</f>
        <v>1</v>
      </c>
      <c r="D705" s="16">
        <f t="shared" ca="1" si="106"/>
        <v>1</v>
      </c>
      <c r="E705" s="16">
        <f t="shared" ca="1" si="106"/>
        <v>0</v>
      </c>
      <c r="F705" s="16">
        <f t="shared" ca="1" si="106"/>
        <v>0</v>
      </c>
      <c r="G705" s="16">
        <f t="shared" ca="1" si="106"/>
        <v>1</v>
      </c>
      <c r="H705" s="16">
        <f t="shared" ca="1" si="106"/>
        <v>1</v>
      </c>
      <c r="I705" s="16">
        <f t="shared" ca="1" si="106"/>
        <v>0</v>
      </c>
      <c r="J705" s="16">
        <f t="shared" ca="1" si="106"/>
        <v>0</v>
      </c>
      <c r="K705" s="16">
        <f t="shared" ca="1" si="106"/>
        <v>0</v>
      </c>
      <c r="L705" s="16">
        <f t="shared" ca="1" si="106"/>
        <v>0</v>
      </c>
      <c r="M705" s="16">
        <f t="shared" ca="1" si="106"/>
        <v>0</v>
      </c>
      <c r="N705" s="16">
        <f t="shared" ca="1" si="106"/>
        <v>1</v>
      </c>
      <c r="O705" s="16">
        <f t="shared" ca="1" si="106"/>
        <v>1</v>
      </c>
      <c r="P705" s="16">
        <f t="shared" ca="1" si="106"/>
        <v>0</v>
      </c>
      <c r="Q705" s="16">
        <f t="shared" ca="1" si="106"/>
        <v>0</v>
      </c>
      <c r="R705" s="16">
        <f t="shared" ca="1" si="106"/>
        <v>0</v>
      </c>
      <c r="S705" s="16">
        <f t="shared" ca="1" si="106"/>
        <v>0</v>
      </c>
      <c r="T705" s="16">
        <f t="shared" ca="1" si="106"/>
        <v>0</v>
      </c>
      <c r="U705" s="16">
        <f t="shared" ca="1" si="106"/>
        <v>1</v>
      </c>
      <c r="V705" s="16">
        <f t="shared" ca="1" si="106"/>
        <v>0</v>
      </c>
      <c r="W705" s="16">
        <f t="shared" ca="1" si="106"/>
        <v>0</v>
      </c>
      <c r="X705" s="16">
        <f t="shared" ca="1" si="106"/>
        <v>1</v>
      </c>
      <c r="Y705" s="16">
        <f t="shared" ca="1" si="106"/>
        <v>1</v>
      </c>
      <c r="Z705" s="16">
        <f t="shared" ca="1" si="106"/>
        <v>0</v>
      </c>
      <c r="AA705" s="16">
        <f t="shared" ca="1" si="106"/>
        <v>1</v>
      </c>
      <c r="AB705" s="16">
        <f t="shared" ca="1" si="106"/>
        <v>1</v>
      </c>
      <c r="AC705" s="16">
        <f t="shared" ca="1" si="106"/>
        <v>0</v>
      </c>
      <c r="AD705" s="16">
        <f t="shared" ca="1" si="106"/>
        <v>0</v>
      </c>
      <c r="AE705" s="16">
        <f t="shared" ca="1" si="106"/>
        <v>0</v>
      </c>
      <c r="AF705" s="16">
        <f t="shared" ca="1" si="106"/>
        <v>1</v>
      </c>
      <c r="AG705" s="16">
        <f t="shared" ca="1" si="106"/>
        <v>1</v>
      </c>
      <c r="AH705" s="16">
        <f t="shared" ca="1" si="106"/>
        <v>0</v>
      </c>
      <c r="AI705" s="16">
        <f t="shared" ca="1" si="106"/>
        <v>1</v>
      </c>
      <c r="AJ705" s="16">
        <f t="shared" ca="1" si="106"/>
        <v>0</v>
      </c>
      <c r="AK705" s="16">
        <f t="shared" ca="1" si="106"/>
        <v>1</v>
      </c>
      <c r="AL705" s="16">
        <f t="shared" ca="1" si="106"/>
        <v>0</v>
      </c>
      <c r="AM705" s="16">
        <f t="shared" ca="1" si="106"/>
        <v>0</v>
      </c>
      <c r="AN705" s="16">
        <f t="shared" ca="1" si="106"/>
        <v>1</v>
      </c>
      <c r="AO705" s="16">
        <f t="shared" ca="1" si="106"/>
        <v>0</v>
      </c>
      <c r="AP705" s="16">
        <f t="shared" ca="1" si="106"/>
        <v>1</v>
      </c>
      <c r="AQ705" s="16">
        <f t="shared" ca="1" si="106"/>
        <v>1</v>
      </c>
      <c r="AR705" s="16">
        <f t="shared" ca="1" si="106"/>
        <v>1</v>
      </c>
      <c r="AS705" s="16">
        <f t="shared" ca="1" si="106"/>
        <v>0</v>
      </c>
      <c r="AT705" s="16">
        <f t="shared" ca="1" si="106"/>
        <v>1</v>
      </c>
      <c r="AU705" s="16">
        <f t="shared" ca="1" si="106"/>
        <v>1</v>
      </c>
      <c r="AV705" s="16">
        <f t="shared" ca="1" si="106"/>
        <v>1</v>
      </c>
      <c r="AW705" s="16">
        <f t="shared" ca="1" si="106"/>
        <v>1</v>
      </c>
    </row>
    <row r="707" spans="1:49">
      <c r="A707" s="27" t="s">
        <v>136</v>
      </c>
      <c r="B707" s="27" t="s">
        <v>137</v>
      </c>
      <c r="C707" s="27"/>
      <c r="D707" s="27" t="s">
        <v>141</v>
      </c>
      <c r="E707" s="27" t="s">
        <v>142</v>
      </c>
      <c r="F707" s="28" t="s">
        <v>138</v>
      </c>
      <c r="G707" s="28"/>
      <c r="I707" s="5" t="s">
        <v>194</v>
      </c>
    </row>
    <row r="708" spans="1:49">
      <c r="A708" s="27"/>
      <c r="B708" s="27"/>
      <c r="C708" s="27"/>
      <c r="D708" s="27"/>
      <c r="E708" s="27"/>
      <c r="F708" s="7" t="s">
        <v>139</v>
      </c>
      <c r="G708" s="7" t="s">
        <v>140</v>
      </c>
    </row>
    <row r="709" spans="1:49">
      <c r="A709" s="7">
        <v>1</v>
      </c>
      <c r="B709" s="29" t="str">
        <f ca="1">_xlfn.TEXTJOIN("", TRUE, OFFSET($B$705,0,(ROW(A1)-1)*6,1,6))</f>
        <v>111001</v>
      </c>
      <c r="C709" s="30"/>
      <c r="D709" s="7">
        <f ca="1">BIN2DEC(LEFT(B709,1) &amp; RIGHT(B709,1))</f>
        <v>3</v>
      </c>
      <c r="E709" s="12">
        <f ca="1">BIN2DEC(MID(B709,2,4))</f>
        <v>12</v>
      </c>
      <c r="F709" s="12" cm="1">
        <f t="array" aca="1" ref="F709" ca="1">INDEX(OFFSET('S-box'!$A$2, (A709-1)*6, 0, 4, 16), D709+1, E709+1)</f>
        <v>10</v>
      </c>
      <c r="G709" s="17" t="str">
        <f ca="1">DEC2BIN(F709, 4)</f>
        <v>1010</v>
      </c>
      <c r="I709" s="12" t="s">
        <v>3</v>
      </c>
      <c r="J709" s="12">
        <v>1</v>
      </c>
      <c r="K709" s="12">
        <v>2</v>
      </c>
      <c r="L709" s="12">
        <v>3</v>
      </c>
      <c r="M709" s="12">
        <v>4</v>
      </c>
      <c r="N709" s="12">
        <v>5</v>
      </c>
      <c r="O709" s="12">
        <v>6</v>
      </c>
      <c r="P709" s="12">
        <v>7</v>
      </c>
      <c r="Q709" s="12">
        <v>8</v>
      </c>
      <c r="R709" s="12">
        <v>9</v>
      </c>
      <c r="S709" s="12">
        <v>10</v>
      </c>
      <c r="T709" s="12">
        <v>11</v>
      </c>
      <c r="U709" s="12">
        <v>12</v>
      </c>
      <c r="V709" s="12">
        <v>13</v>
      </c>
      <c r="W709" s="12">
        <v>14</v>
      </c>
      <c r="X709" s="12">
        <v>15</v>
      </c>
      <c r="Y709" s="12">
        <v>16</v>
      </c>
      <c r="Z709" s="12">
        <v>17</v>
      </c>
      <c r="AA709" s="12">
        <v>18</v>
      </c>
      <c r="AB709" s="12">
        <v>19</v>
      </c>
      <c r="AC709" s="12">
        <v>20</v>
      </c>
      <c r="AD709" s="12">
        <v>21</v>
      </c>
      <c r="AE709" s="12">
        <v>22</v>
      </c>
      <c r="AF709" s="12">
        <v>23</v>
      </c>
      <c r="AG709" s="12">
        <v>24</v>
      </c>
      <c r="AH709" s="12">
        <v>25</v>
      </c>
      <c r="AI709" s="12">
        <v>26</v>
      </c>
      <c r="AJ709" s="12">
        <v>27</v>
      </c>
      <c r="AK709" s="12">
        <v>28</v>
      </c>
      <c r="AL709" s="12">
        <v>29</v>
      </c>
      <c r="AM709" s="12">
        <v>30</v>
      </c>
      <c r="AN709" s="12">
        <v>31</v>
      </c>
      <c r="AO709" s="12">
        <v>32</v>
      </c>
    </row>
    <row r="710" spans="1:49">
      <c r="A710" s="7">
        <v>2</v>
      </c>
      <c r="B710" s="29" t="str">
        <f t="shared" ref="B710:B716" ca="1" si="107">_xlfn.TEXTJOIN("", TRUE, OFFSET($B$705,0,(ROW(A2)-1)*6,1,6))</f>
        <v>100000</v>
      </c>
      <c r="C710" s="30"/>
      <c r="D710" s="7">
        <f t="shared" ref="D710:D716" ca="1" si="108">BIN2DEC(LEFT(B710,1) &amp; RIGHT(B710,1))</f>
        <v>2</v>
      </c>
      <c r="E710" s="12">
        <f t="shared" ref="E710:E716" ca="1" si="109">BIN2DEC(MID(B710,2,4))</f>
        <v>0</v>
      </c>
      <c r="F710" s="12" cm="1">
        <f t="array" aca="1" ref="F710" ca="1">INDEX(OFFSET('S-box'!$A$2, (A710-1)*6, 0, 4, 16), D710+1, E710+1)</f>
        <v>0</v>
      </c>
      <c r="G710" s="17" t="str">
        <f t="shared" ref="G710:G716" ca="1" si="110">DEC2BIN(F710, 4)</f>
        <v>0000</v>
      </c>
      <c r="I710" s="12" t="s">
        <v>152</v>
      </c>
      <c r="J710" s="12" t="str">
        <f ca="1">MID(_xlfn.TEXTJOIN("",TRUE,$G$709:$G$716), COLUMN(A166), 1)</f>
        <v>1</v>
      </c>
      <c r="K710" s="12" t="str">
        <f t="shared" ref="K710:AO710" ca="1" si="111">MID(_xlfn.TEXTJOIN("",TRUE,$G$709:$G$716), COLUMN(B166), 1)</f>
        <v>0</v>
      </c>
      <c r="L710" s="12" t="str">
        <f t="shared" ca="1" si="111"/>
        <v>1</v>
      </c>
      <c r="M710" s="12" t="str">
        <f t="shared" ca="1" si="111"/>
        <v>0</v>
      </c>
      <c r="N710" s="12" t="str">
        <f t="shared" ca="1" si="111"/>
        <v>0</v>
      </c>
      <c r="O710" s="12" t="str">
        <f t="shared" ca="1" si="111"/>
        <v>0</v>
      </c>
      <c r="P710" s="12" t="str">
        <f t="shared" ca="1" si="111"/>
        <v>0</v>
      </c>
      <c r="Q710" s="12" t="str">
        <f t="shared" ca="1" si="111"/>
        <v>0</v>
      </c>
      <c r="R710" s="12" t="str">
        <f t="shared" ca="1" si="111"/>
        <v>1</v>
      </c>
      <c r="S710" s="12" t="str">
        <f t="shared" ca="1" si="111"/>
        <v>0</v>
      </c>
      <c r="T710" s="12" t="str">
        <f t="shared" ca="1" si="111"/>
        <v>1</v>
      </c>
      <c r="U710" s="12" t="str">
        <f t="shared" ca="1" si="111"/>
        <v>1</v>
      </c>
      <c r="V710" s="12" t="str">
        <f t="shared" ca="1" si="111"/>
        <v>0</v>
      </c>
      <c r="W710" s="12" t="str">
        <f t="shared" ca="1" si="111"/>
        <v>1</v>
      </c>
      <c r="X710" s="12" t="str">
        <f t="shared" ca="1" si="111"/>
        <v>1</v>
      </c>
      <c r="Y710" s="12" t="str">
        <f t="shared" ca="1" si="111"/>
        <v>1</v>
      </c>
      <c r="Z710" s="12" t="str">
        <f t="shared" ca="1" si="111"/>
        <v>1</v>
      </c>
      <c r="AA710" s="12" t="str">
        <f t="shared" ca="1" si="111"/>
        <v>1</v>
      </c>
      <c r="AB710" s="12" t="str">
        <f t="shared" ca="1" si="111"/>
        <v>0</v>
      </c>
      <c r="AC710" s="12" t="str">
        <f t="shared" ca="1" si="111"/>
        <v>1</v>
      </c>
      <c r="AD710" s="12" t="str">
        <f t="shared" ca="1" si="111"/>
        <v>0</v>
      </c>
      <c r="AE710" s="12" t="str">
        <f t="shared" ca="1" si="111"/>
        <v>0</v>
      </c>
      <c r="AF710" s="12" t="str">
        <f t="shared" ca="1" si="111"/>
        <v>0</v>
      </c>
      <c r="AG710" s="12" t="str">
        <f t="shared" ca="1" si="111"/>
        <v>1</v>
      </c>
      <c r="AH710" s="12" t="str">
        <f t="shared" ca="1" si="111"/>
        <v>1</v>
      </c>
      <c r="AI710" s="12" t="str">
        <f t="shared" ca="1" si="111"/>
        <v>0</v>
      </c>
      <c r="AJ710" s="12" t="str">
        <f t="shared" ca="1" si="111"/>
        <v>0</v>
      </c>
      <c r="AK710" s="12" t="str">
        <f t="shared" ca="1" si="111"/>
        <v>1</v>
      </c>
      <c r="AL710" s="12" t="str">
        <f t="shared" ca="1" si="111"/>
        <v>1</v>
      </c>
      <c r="AM710" s="12" t="str">
        <f t="shared" ca="1" si="111"/>
        <v>1</v>
      </c>
      <c r="AN710" s="12" t="str">
        <f t="shared" ca="1" si="111"/>
        <v>0</v>
      </c>
      <c r="AO710" s="12" t="str">
        <f t="shared" ca="1" si="111"/>
        <v>1</v>
      </c>
    </row>
    <row r="711" spans="1:49">
      <c r="A711" s="7">
        <v>3</v>
      </c>
      <c r="B711" s="29" t="str">
        <f t="shared" ca="1" si="107"/>
        <v>110000</v>
      </c>
      <c r="C711" s="30"/>
      <c r="D711" s="7">
        <f t="shared" ca="1" si="108"/>
        <v>2</v>
      </c>
      <c r="E711" s="12">
        <f t="shared" ca="1" si="109"/>
        <v>8</v>
      </c>
      <c r="F711" s="12" cm="1">
        <f t="array" aca="1" ref="F711" ca="1">INDEX(OFFSET('S-box'!$A$2, (A711-1)*6, 0, 4, 16), D711+1, E711+1)</f>
        <v>11</v>
      </c>
      <c r="G711" s="17" t="str">
        <f t="shared" ca="1" si="110"/>
        <v>1011</v>
      </c>
    </row>
    <row r="712" spans="1:49">
      <c r="A712" s="7">
        <v>4</v>
      </c>
      <c r="B712" s="29" t="str">
        <f t="shared" ca="1" si="107"/>
        <v>010011</v>
      </c>
      <c r="C712" s="30"/>
      <c r="D712" s="7">
        <f t="shared" ca="1" si="108"/>
        <v>1</v>
      </c>
      <c r="E712" s="12">
        <f t="shared" ca="1" si="109"/>
        <v>9</v>
      </c>
      <c r="F712" s="12" cm="1">
        <f t="array" aca="1" ref="F712" ca="1">INDEX(OFFSET('S-box'!$A$2, (A712-1)*6, 0, 4, 16), D712+1, E712+1)</f>
        <v>7</v>
      </c>
      <c r="G712" s="17" t="str">
        <f t="shared" ca="1" si="110"/>
        <v>0111</v>
      </c>
      <c r="I712" s="5" t="s">
        <v>195</v>
      </c>
    </row>
    <row r="713" spans="1:49">
      <c r="A713" s="7">
        <v>5</v>
      </c>
      <c r="B713" s="29" t="str">
        <f t="shared" ca="1" si="107"/>
        <v>011000</v>
      </c>
      <c r="C713" s="30"/>
      <c r="D713" s="7">
        <f t="shared" ca="1" si="108"/>
        <v>0</v>
      </c>
      <c r="E713" s="12">
        <f t="shared" ca="1" si="109"/>
        <v>12</v>
      </c>
      <c r="F713" s="12" cm="1">
        <f t="array" aca="1" ref="F713" ca="1">INDEX(OFFSET('S-box'!$A$2, (A713-1)*6, 0, 4, 16), D713+1, E713+1)</f>
        <v>13</v>
      </c>
      <c r="G713" s="17" t="str">
        <f t="shared" ca="1" si="110"/>
        <v>1101</v>
      </c>
    </row>
    <row r="714" spans="1:49">
      <c r="A714" s="7">
        <v>6</v>
      </c>
      <c r="B714" s="29" t="str">
        <f t="shared" ca="1" si="107"/>
        <v>110101</v>
      </c>
      <c r="C714" s="30"/>
      <c r="D714" s="7">
        <f t="shared" ca="1" si="108"/>
        <v>3</v>
      </c>
      <c r="E714" s="12">
        <f t="shared" ca="1" si="109"/>
        <v>10</v>
      </c>
      <c r="F714" s="12" cm="1">
        <f t="array" aca="1" ref="F714" ca="1">INDEX(OFFSET('S-box'!$A$2, (A714-1)*6, 0, 4, 16), D714+1, E714+1)</f>
        <v>1</v>
      </c>
      <c r="G714" s="17" t="str">
        <f t="shared" ca="1" si="110"/>
        <v>0001</v>
      </c>
      <c r="I714" s="12" t="s">
        <v>3</v>
      </c>
      <c r="J714" s="12">
        <v>1</v>
      </c>
      <c r="K714" s="12">
        <v>2</v>
      </c>
      <c r="L714" s="12">
        <v>3</v>
      </c>
      <c r="M714" s="12">
        <v>4</v>
      </c>
      <c r="N714" s="12">
        <v>5</v>
      </c>
      <c r="O714" s="12">
        <v>6</v>
      </c>
      <c r="P714" s="12">
        <v>7</v>
      </c>
      <c r="Q714" s="12">
        <v>8</v>
      </c>
      <c r="R714" s="12">
        <v>9</v>
      </c>
      <c r="S714" s="12">
        <v>10</v>
      </c>
      <c r="T714" s="12">
        <v>11</v>
      </c>
      <c r="U714" s="12">
        <v>12</v>
      </c>
      <c r="V714" s="12">
        <v>13</v>
      </c>
      <c r="W714" s="12">
        <v>14</v>
      </c>
      <c r="X714" s="12">
        <v>15</v>
      </c>
      <c r="Y714" s="12">
        <v>16</v>
      </c>
      <c r="Z714" s="12">
        <v>17</v>
      </c>
      <c r="AA714" s="12">
        <v>18</v>
      </c>
      <c r="AB714" s="12">
        <v>19</v>
      </c>
      <c r="AC714" s="12">
        <v>20</v>
      </c>
      <c r="AD714" s="12">
        <v>21</v>
      </c>
      <c r="AE714" s="12">
        <v>22</v>
      </c>
      <c r="AF714" s="12">
        <v>23</v>
      </c>
      <c r="AG714" s="12">
        <v>24</v>
      </c>
      <c r="AH714" s="12">
        <v>25</v>
      </c>
      <c r="AI714" s="12">
        <v>26</v>
      </c>
      <c r="AJ714" s="12">
        <v>27</v>
      </c>
      <c r="AK714" s="12">
        <v>28</v>
      </c>
      <c r="AL714" s="12">
        <v>29</v>
      </c>
      <c r="AM714" s="12">
        <v>30</v>
      </c>
      <c r="AN714" s="12">
        <v>31</v>
      </c>
      <c r="AO714" s="12">
        <v>32</v>
      </c>
    </row>
    <row r="715" spans="1:49">
      <c r="A715" s="7">
        <v>7</v>
      </c>
      <c r="B715" s="29" t="str">
        <f t="shared" ca="1" si="107"/>
        <v>001011</v>
      </c>
      <c r="C715" s="30"/>
      <c r="D715" s="7">
        <f t="shared" ca="1" si="108"/>
        <v>1</v>
      </c>
      <c r="E715" s="12">
        <f t="shared" ca="1" si="109"/>
        <v>5</v>
      </c>
      <c r="F715" s="12" cm="1">
        <f t="array" aca="1" ref="F715" ca="1">INDEX(OFFSET('S-box'!$A$2, (A715-1)*6, 0, 4, 16), D715+1, E715+1)</f>
        <v>9</v>
      </c>
      <c r="G715" s="17" t="str">
        <f t="shared" ca="1" si="110"/>
        <v>1001</v>
      </c>
      <c r="I715" s="18" t="s">
        <v>152</v>
      </c>
      <c r="J715" s="12" t="str" cm="1">
        <f t="array" aca="1" ref="J715" ca="1">INDEX($J$710:$AO$710, INDEX($T$15:$AA$18, INT((COLUMN(A166)-1)/8)+1, MOD(COLUMN(A166)-1,8)+1))</f>
        <v>1</v>
      </c>
      <c r="K715" s="12" t="str" cm="1">
        <f t="array" aca="1" ref="K715" ca="1">INDEX($J$710:$AO$710, INDEX($T$15:$AA$18, INT((COLUMN(B166)-1)/8)+1, MOD(COLUMN(B166)-1,8)+1))</f>
        <v>0</v>
      </c>
      <c r="L715" s="12" t="str" cm="1">
        <f t="array" aca="1" ref="L715" ca="1">INDEX($J$710:$AO$710, INDEX($T$15:$AA$18, INT((COLUMN(C166)-1)/8)+1, MOD(COLUMN(C166)-1,8)+1))</f>
        <v>1</v>
      </c>
      <c r="M715" s="12" t="str" cm="1">
        <f t="array" aca="1" ref="M715" ca="1">INDEX($J$710:$AO$710, INDEX($T$15:$AA$18, INT((COLUMN(D166)-1)/8)+1, MOD(COLUMN(D166)-1,8)+1))</f>
        <v>0</v>
      </c>
      <c r="N715" s="12" t="str" cm="1">
        <f t="array" aca="1" ref="N715" ca="1">INDEX($J$710:$AO$710, INDEX($T$15:$AA$18, INT((COLUMN(E166)-1)/8)+1, MOD(COLUMN(E166)-1,8)+1))</f>
        <v>1</v>
      </c>
      <c r="O715" s="12" t="str" cm="1">
        <f t="array" aca="1" ref="O715" ca="1">INDEX($J$710:$AO$710, INDEX($T$15:$AA$18, INT((COLUMN(F166)-1)/8)+1, MOD(COLUMN(F166)-1,8)+1))</f>
        <v>1</v>
      </c>
      <c r="P715" s="12" t="str" cm="1">
        <f t="array" aca="1" ref="P715" ca="1">INDEX($J$710:$AO$710, INDEX($T$15:$AA$18, INT((COLUMN(G166)-1)/8)+1, MOD(COLUMN(G166)-1,8)+1))</f>
        <v>1</v>
      </c>
      <c r="Q715" s="12" t="str" cm="1">
        <f t="array" aca="1" ref="Q715" ca="1">INDEX($J$710:$AO$710, INDEX($T$15:$AA$18, INT((COLUMN(H166)-1)/8)+1, MOD(COLUMN(H166)-1,8)+1))</f>
        <v>1</v>
      </c>
      <c r="R715" s="12" t="str" cm="1">
        <f t="array" aca="1" ref="R715" ca="1">INDEX($J$710:$AO$710, INDEX($T$15:$AA$18, INT((COLUMN(I166)-1)/8)+1, MOD(COLUMN(I166)-1,8)+1))</f>
        <v>1</v>
      </c>
      <c r="S715" s="12" t="str" cm="1">
        <f t="array" aca="1" ref="S715" ca="1">INDEX($J$710:$AO$710, INDEX($T$15:$AA$18, INT((COLUMN(J166)-1)/8)+1, MOD(COLUMN(J166)-1,8)+1))</f>
        <v>1</v>
      </c>
      <c r="T715" s="12" t="str" cm="1">
        <f t="array" aca="1" ref="T715" ca="1">INDEX($J$710:$AO$710, INDEX($T$15:$AA$18, INT((COLUMN(K166)-1)/8)+1, MOD(COLUMN(K166)-1,8)+1))</f>
        <v>0</v>
      </c>
      <c r="U715" s="12" t="str" cm="1">
        <f t="array" aca="1" ref="U715" ca="1">INDEX($J$710:$AO$710, INDEX($T$15:$AA$18, INT((COLUMN(L166)-1)/8)+1, MOD(COLUMN(L166)-1,8)+1))</f>
        <v>0</v>
      </c>
      <c r="V715" s="12" t="str" cm="1">
        <f t="array" aca="1" ref="V715" ca="1">INDEX($J$710:$AO$710, INDEX($T$15:$AA$18, INT((COLUMN(M166)-1)/8)+1, MOD(COLUMN(M166)-1,8)+1))</f>
        <v>0</v>
      </c>
      <c r="W715" s="12" t="str" cm="1">
        <f t="array" aca="1" ref="W715" ca="1">INDEX($J$710:$AO$710, INDEX($T$15:$AA$18, INT((COLUMN(N166)-1)/8)+1, MOD(COLUMN(N166)-1,8)+1))</f>
        <v>1</v>
      </c>
      <c r="X715" s="12" t="str" cm="1">
        <f t="array" aca="1" ref="X715" ca="1">INDEX($J$710:$AO$710, INDEX($T$15:$AA$18, INT((COLUMN(O166)-1)/8)+1, MOD(COLUMN(O166)-1,8)+1))</f>
        <v>0</v>
      </c>
      <c r="Y715" s="12" t="str" cm="1">
        <f t="array" aca="1" ref="Y715" ca="1">INDEX($J$710:$AO$710, INDEX($T$15:$AA$18, INT((COLUMN(P166)-1)/8)+1, MOD(COLUMN(P166)-1,8)+1))</f>
        <v>0</v>
      </c>
      <c r="Z715" s="12" t="str" cm="1">
        <f t="array" aca="1" ref="Z715" ca="1">INDEX($J$710:$AO$710, INDEX($T$15:$AA$18, INT((COLUMN(Q166)-1)/8)+1, MOD(COLUMN(Q166)-1,8)+1))</f>
        <v>0</v>
      </c>
      <c r="AA715" s="12" t="str" cm="1">
        <f t="array" aca="1" ref="AA715" ca="1">INDEX($J$710:$AO$710, INDEX($T$15:$AA$18, INT((COLUMN(R166)-1)/8)+1, MOD(COLUMN(R166)-1,8)+1))</f>
        <v>0</v>
      </c>
      <c r="AB715" s="12" t="str" cm="1">
        <f t="array" aca="1" ref="AB715" ca="1">INDEX($J$710:$AO$710, INDEX($T$15:$AA$18, INT((COLUMN(S166)-1)/8)+1, MOD(COLUMN(S166)-1,8)+1))</f>
        <v>1</v>
      </c>
      <c r="AC715" s="12" t="str" cm="1">
        <f t="array" aca="1" ref="AC715" ca="1">INDEX($J$710:$AO$710, INDEX($T$15:$AA$18, INT((COLUMN(T166)-1)/8)+1, MOD(COLUMN(T166)-1,8)+1))</f>
        <v>1</v>
      </c>
      <c r="AD715" s="12" t="str" cm="1">
        <f t="array" aca="1" ref="AD715" ca="1">INDEX($J$710:$AO$710, INDEX($T$15:$AA$18, INT((COLUMN(U166)-1)/8)+1, MOD(COLUMN(U166)-1,8)+1))</f>
        <v>1</v>
      </c>
      <c r="AE715" s="12" t="str" cm="1">
        <f t="array" aca="1" ref="AE715" ca="1">INDEX($J$710:$AO$710, INDEX($T$15:$AA$18, INT((COLUMN(V166)-1)/8)+1, MOD(COLUMN(V166)-1,8)+1))</f>
        <v>0</v>
      </c>
      <c r="AF715" s="12" t="str" cm="1">
        <f t="array" aca="1" ref="AF715" ca="1">INDEX($J$710:$AO$710, INDEX($T$15:$AA$18, INT((COLUMN(W166)-1)/8)+1, MOD(COLUMN(W166)-1,8)+1))</f>
        <v>1</v>
      </c>
      <c r="AG715" s="12" t="str" cm="1">
        <f t="array" aca="1" ref="AG715" ca="1">INDEX($J$710:$AO$710, INDEX($T$15:$AA$18, INT((COLUMN(X166)-1)/8)+1, MOD(COLUMN(X166)-1,8)+1))</f>
        <v>1</v>
      </c>
      <c r="AH715" s="12" t="str" cm="1">
        <f t="array" aca="1" ref="AH715" ca="1">INDEX($J$710:$AO$710, INDEX($T$15:$AA$18, INT((COLUMN(Y166)-1)/8)+1, MOD(COLUMN(Y166)-1,8)+1))</f>
        <v>0</v>
      </c>
      <c r="AI715" s="12" t="str" cm="1">
        <f t="array" aca="1" ref="AI715" ca="1">INDEX($J$710:$AO$710, INDEX($T$15:$AA$18, INT((COLUMN(Z166)-1)/8)+1, MOD(COLUMN(Z166)-1,8)+1))</f>
        <v>0</v>
      </c>
      <c r="AJ715" s="12" t="str" cm="1">
        <f t="array" aca="1" ref="AJ715" ca="1">INDEX($J$710:$AO$710, INDEX($T$15:$AA$18, INT((COLUMN(AA166)-1)/8)+1, MOD(COLUMN(AA166)-1,8)+1))</f>
        <v>1</v>
      </c>
      <c r="AK715" s="12" t="str" cm="1">
        <f t="array" aca="1" ref="AK715" ca="1">INDEX($J$710:$AO$710, INDEX($T$15:$AA$18, INT((COLUMN(AB166)-1)/8)+1, MOD(COLUMN(AB166)-1,8)+1))</f>
        <v>0</v>
      </c>
      <c r="AL715" s="12" t="str" cm="1">
        <f t="array" aca="1" ref="AL715" ca="1">INDEX($J$710:$AO$710, INDEX($T$15:$AA$18, INT((COLUMN(AC166)-1)/8)+1, MOD(COLUMN(AC166)-1,8)+1))</f>
        <v>0</v>
      </c>
      <c r="AM715" s="12" t="str" cm="1">
        <f t="array" aca="1" ref="AM715" ca="1">INDEX($J$710:$AO$710, INDEX($T$15:$AA$18, INT((COLUMN(AD166)-1)/8)+1, MOD(COLUMN(AD166)-1,8)+1))</f>
        <v>1</v>
      </c>
      <c r="AN715" s="12" t="str" cm="1">
        <f t="array" aca="1" ref="AN715" ca="1">INDEX($J$710:$AO$710, INDEX($T$15:$AA$18, INT((COLUMN(AE166)-1)/8)+1, MOD(COLUMN(AE166)-1,8)+1))</f>
        <v>0</v>
      </c>
      <c r="AO715" s="12" t="str" cm="1">
        <f t="array" aca="1" ref="AO715" ca="1">INDEX($J$710:$AO$710, INDEX($T$15:$AA$18, INT((COLUMN(AF166)-1)/8)+1, MOD(COLUMN(AF166)-1,8)+1))</f>
        <v>1</v>
      </c>
    </row>
    <row r="716" spans="1:49">
      <c r="A716" s="7">
        <v>8</v>
      </c>
      <c r="B716" s="29" t="str">
        <f t="shared" ca="1" si="107"/>
        <v>101111</v>
      </c>
      <c r="C716" s="30"/>
      <c r="D716" s="7">
        <f t="shared" ca="1" si="108"/>
        <v>3</v>
      </c>
      <c r="E716" s="12">
        <f t="shared" ca="1" si="109"/>
        <v>7</v>
      </c>
      <c r="F716" s="12" cm="1">
        <f t="array" aca="1" ref="F716" ca="1">INDEX(OFFSET('S-box'!$A$2, (A716-1)*6, 0, 4, 16), D716+1, E716+1)</f>
        <v>13</v>
      </c>
      <c r="G716" s="17" t="str">
        <f t="shared" ca="1" si="110"/>
        <v>1101</v>
      </c>
    </row>
    <row r="718" spans="1:49">
      <c r="A718" s="20" t="s">
        <v>198</v>
      </c>
    </row>
    <row r="720" spans="1:49">
      <c r="A720" s="12" t="s">
        <v>3</v>
      </c>
      <c r="B720" s="12">
        <v>1</v>
      </c>
      <c r="C720" s="12">
        <v>2</v>
      </c>
      <c r="D720" s="12">
        <v>3</v>
      </c>
      <c r="E720" s="12">
        <v>4</v>
      </c>
      <c r="F720" s="12">
        <v>5</v>
      </c>
      <c r="G720" s="12">
        <v>6</v>
      </c>
      <c r="H720" s="12">
        <v>7</v>
      </c>
      <c r="I720" s="12">
        <v>8</v>
      </c>
      <c r="J720" s="12">
        <v>9</v>
      </c>
      <c r="K720" s="12">
        <v>10</v>
      </c>
      <c r="L720" s="12">
        <v>11</v>
      </c>
      <c r="M720" s="12">
        <v>12</v>
      </c>
      <c r="N720" s="12">
        <v>13</v>
      </c>
      <c r="O720" s="12">
        <v>14</v>
      </c>
      <c r="P720" s="12">
        <v>15</v>
      </c>
      <c r="Q720" s="12">
        <v>16</v>
      </c>
      <c r="R720" s="12">
        <v>17</v>
      </c>
      <c r="S720" s="12">
        <v>18</v>
      </c>
      <c r="T720" s="12">
        <v>19</v>
      </c>
      <c r="U720" s="12">
        <v>20</v>
      </c>
      <c r="V720" s="12">
        <v>21</v>
      </c>
      <c r="W720" s="12">
        <v>22</v>
      </c>
      <c r="X720" s="12">
        <v>23</v>
      </c>
      <c r="Y720" s="12">
        <v>24</v>
      </c>
      <c r="Z720" s="12">
        <v>25</v>
      </c>
      <c r="AA720" s="12">
        <v>26</v>
      </c>
      <c r="AB720" s="12">
        <v>27</v>
      </c>
      <c r="AC720" s="12">
        <v>28</v>
      </c>
      <c r="AD720" s="12">
        <v>29</v>
      </c>
      <c r="AE720" s="12">
        <v>30</v>
      </c>
      <c r="AF720" s="12">
        <v>31</v>
      </c>
      <c r="AG720" s="12">
        <v>32</v>
      </c>
    </row>
    <row r="721" spans="1:49">
      <c r="A721" s="12" t="s">
        <v>196</v>
      </c>
      <c r="B721" s="12">
        <v>0</v>
      </c>
      <c r="C721" s="12">
        <v>0</v>
      </c>
      <c r="D721" s="12">
        <v>0</v>
      </c>
      <c r="E721" s="12">
        <v>0</v>
      </c>
      <c r="F721" s="12">
        <v>1</v>
      </c>
      <c r="G721" s="12">
        <v>1</v>
      </c>
      <c r="H721" s="12">
        <v>0</v>
      </c>
      <c r="I721" s="12">
        <v>1</v>
      </c>
      <c r="J721" s="12">
        <v>0</v>
      </c>
      <c r="K721" s="12">
        <v>0</v>
      </c>
      <c r="L721" s="12">
        <v>1</v>
      </c>
      <c r="M721" s="12">
        <v>0</v>
      </c>
      <c r="N721" s="12">
        <v>0</v>
      </c>
      <c r="O721" s="12">
        <v>1</v>
      </c>
      <c r="P721" s="12">
        <v>1</v>
      </c>
      <c r="Q721" s="12">
        <v>0</v>
      </c>
      <c r="R721" s="12">
        <v>1</v>
      </c>
      <c r="S721" s="12">
        <v>0</v>
      </c>
      <c r="T721" s="12">
        <v>1</v>
      </c>
      <c r="U721" s="12">
        <v>1</v>
      </c>
      <c r="V721" s="12">
        <v>1</v>
      </c>
      <c r="W721" s="12">
        <v>1</v>
      </c>
      <c r="X721" s="12">
        <v>0</v>
      </c>
      <c r="Y721" s="12">
        <v>0</v>
      </c>
      <c r="Z721" s="12">
        <v>1</v>
      </c>
      <c r="AA721" s="12">
        <v>1</v>
      </c>
      <c r="AB721" s="12">
        <v>1</v>
      </c>
      <c r="AC721" s="12">
        <v>1</v>
      </c>
      <c r="AD721" s="12">
        <v>0</v>
      </c>
      <c r="AE721" s="12">
        <v>1</v>
      </c>
      <c r="AF721" s="12">
        <v>0</v>
      </c>
      <c r="AG721" s="12">
        <v>1</v>
      </c>
    </row>
    <row r="722" spans="1:49">
      <c r="A722" s="12" t="s">
        <v>197</v>
      </c>
      <c r="B722" s="12">
        <f ca="1">_xlfn.BITXOR(B688,J715)</f>
        <v>0</v>
      </c>
      <c r="C722" s="12">
        <f t="shared" ref="C722" ca="1" si="112">_xlfn.BITXOR(C688,K715)</f>
        <v>0</v>
      </c>
      <c r="D722" s="12">
        <f t="shared" ref="D722" ca="1" si="113">_xlfn.BITXOR(D688,L715)</f>
        <v>1</v>
      </c>
      <c r="E722" s="12">
        <f t="shared" ref="E722" ca="1" si="114">_xlfn.BITXOR(E688,M715)</f>
        <v>1</v>
      </c>
      <c r="F722" s="12">
        <f t="shared" ref="F722" ca="1" si="115">_xlfn.BITXOR(F688,N715)</f>
        <v>0</v>
      </c>
      <c r="G722" s="12">
        <f t="shared" ref="G722" ca="1" si="116">_xlfn.BITXOR(G688,O715)</f>
        <v>0</v>
      </c>
      <c r="H722" s="12">
        <f t="shared" ref="H722" ca="1" si="117">_xlfn.BITXOR(H688,P715)</f>
        <v>1</v>
      </c>
      <c r="I722" s="12">
        <f t="shared" ref="I722" ca="1" si="118">_xlfn.BITXOR(I688,Q715)</f>
        <v>1</v>
      </c>
      <c r="J722" s="12">
        <f t="shared" ref="J722" ca="1" si="119">_xlfn.BITXOR(J688,R715)</f>
        <v>1</v>
      </c>
      <c r="K722" s="12">
        <f t="shared" ref="K722" ca="1" si="120">_xlfn.BITXOR(K688,S715)</f>
        <v>0</v>
      </c>
      <c r="L722" s="12">
        <f t="shared" ref="L722" ca="1" si="121">_xlfn.BITXOR(L688,T715)</f>
        <v>0</v>
      </c>
      <c r="M722" s="12">
        <f t="shared" ref="M722" ca="1" si="122">_xlfn.BITXOR(M688,U715)</f>
        <v>1</v>
      </c>
      <c r="N722" s="12">
        <f t="shared" ref="N722" ca="1" si="123">_xlfn.BITXOR(N688,V715)</f>
        <v>0</v>
      </c>
      <c r="O722" s="12">
        <f t="shared" ref="O722" ca="1" si="124">_xlfn.BITXOR(O688,W715)</f>
        <v>0</v>
      </c>
      <c r="P722" s="12">
        <f t="shared" ref="P722" ca="1" si="125">_xlfn.BITXOR(P688,X715)</f>
        <v>0</v>
      </c>
      <c r="Q722" s="12">
        <f t="shared" ref="Q722" ca="1" si="126">_xlfn.BITXOR(Q688,Y715)</f>
        <v>1</v>
      </c>
      <c r="R722" s="12">
        <f t="shared" ref="R722" ca="1" si="127">_xlfn.BITXOR(R688,Z715)</f>
        <v>0</v>
      </c>
      <c r="S722" s="12">
        <f t="shared" ref="S722" ca="1" si="128">_xlfn.BITXOR(S688,AA715)</f>
        <v>0</v>
      </c>
      <c r="T722" s="12">
        <f t="shared" ref="T722" ca="1" si="129">_xlfn.BITXOR(T688,AB715)</f>
        <v>0</v>
      </c>
      <c r="U722" s="12">
        <f t="shared" ref="U722" ca="1" si="130">_xlfn.BITXOR(U688,AC715)</f>
        <v>1</v>
      </c>
      <c r="V722" s="12">
        <f t="shared" ref="V722" ca="1" si="131">_xlfn.BITXOR(V688,AD715)</f>
        <v>0</v>
      </c>
      <c r="W722" s="12">
        <f t="shared" ref="W722" ca="1" si="132">_xlfn.BITXOR(W688,AE715)</f>
        <v>1</v>
      </c>
      <c r="X722" s="12">
        <f t="shared" ref="X722" ca="1" si="133">_xlfn.BITXOR(X688,AF715)</f>
        <v>1</v>
      </c>
      <c r="Y722" s="12">
        <f t="shared" ref="Y722" ca="1" si="134">_xlfn.BITXOR(Y688,AG715)</f>
        <v>0</v>
      </c>
      <c r="Z722" s="12">
        <f t="shared" ref="Z722" ca="1" si="135">_xlfn.BITXOR(Z688,AH715)</f>
        <v>0</v>
      </c>
      <c r="AA722" s="12">
        <f t="shared" ref="AA722" ca="1" si="136">_xlfn.BITXOR(AA688,AI715)</f>
        <v>0</v>
      </c>
      <c r="AB722" s="12">
        <f t="shared" ref="AB722" ca="1" si="137">_xlfn.BITXOR(AB688,AJ715)</f>
        <v>1</v>
      </c>
      <c r="AC722" s="12">
        <f t="shared" ref="AC722" ca="1" si="138">_xlfn.BITXOR(AC688,AK715)</f>
        <v>1</v>
      </c>
      <c r="AD722" s="12">
        <f t="shared" ref="AD722" ca="1" si="139">_xlfn.BITXOR(AD688,AL715)</f>
        <v>0</v>
      </c>
      <c r="AE722" s="12">
        <f t="shared" ref="AE722" ca="1" si="140">_xlfn.BITXOR(AE688,AM715)</f>
        <v>1</v>
      </c>
      <c r="AF722" s="12">
        <f t="shared" ref="AF722" ca="1" si="141">_xlfn.BITXOR(AF688,AN715)</f>
        <v>1</v>
      </c>
      <c r="AG722" s="12">
        <f t="shared" ref="AG722" ca="1" si="142">_xlfn.BITXOR(AG688,AO715)</f>
        <v>0</v>
      </c>
    </row>
    <row r="724" spans="1:49">
      <c r="A724" s="21" t="s">
        <v>199</v>
      </c>
    </row>
    <row r="725" spans="1:49">
      <c r="A725" s="5" t="s">
        <v>200</v>
      </c>
      <c r="B725" s="12" cm="1">
        <f t="array" aca="1" ref="B725" ca="1">INDEX($B$722:$AG$722, T25)</f>
        <v>0</v>
      </c>
      <c r="C725" s="12" cm="1">
        <f t="array" aca="1" ref="C725" ca="1">INDEX($B$722:$AG$722, U25)</f>
        <v>0</v>
      </c>
      <c r="D725" s="12" cm="1">
        <f t="array" aca="1" ref="D725" ca="1">INDEX($B$722:$AG$722, V25)</f>
        <v>0</v>
      </c>
      <c r="E725" s="12" cm="1">
        <f t="array" aca="1" ref="E725" ca="1">INDEX($B$722:$AG$722, W25)</f>
        <v>1</v>
      </c>
      <c r="F725" s="12" cm="1">
        <f t="array" aca="1" ref="F725" ca="1">INDEX($B$722:$AG$722, X25)</f>
        <v>1</v>
      </c>
      <c r="G725" s="12" cm="1">
        <f t="array" aca="1" ref="G725" ca="1">INDEX($B$722:$AG$722, Y25)</f>
        <v>0</v>
      </c>
    </row>
    <row r="726" spans="1:49">
      <c r="B726" s="12" cm="1">
        <f t="array" aca="1" ref="B726" ca="1">INDEX($B$722:$AG$722, T26)</f>
        <v>1</v>
      </c>
      <c r="C726" s="12" cm="1">
        <f t="array" aca="1" ref="C726" ca="1">INDEX($B$722:$AG$722, U26)</f>
        <v>0</v>
      </c>
      <c r="D726" s="12" cm="1">
        <f t="array" aca="1" ref="D726" ca="1">INDEX($B$722:$AG$722, V26)</f>
        <v>0</v>
      </c>
      <c r="E726" s="12" cm="1">
        <f t="array" aca="1" ref="E726" ca="1">INDEX($B$722:$AG$722, W26)</f>
        <v>1</v>
      </c>
      <c r="F726" s="12" cm="1">
        <f t="array" aca="1" ref="F726" ca="1">INDEX($B$722:$AG$722, X26)</f>
        <v>1</v>
      </c>
      <c r="G726" s="12" cm="1">
        <f t="array" aca="1" ref="G726" ca="1">INDEX($B$722:$AG$722, Y26)</f>
        <v>1</v>
      </c>
    </row>
    <row r="727" spans="1:49">
      <c r="B727" s="12" cm="1">
        <f t="array" aca="1" ref="B727" ca="1">INDEX($B$722:$AG$722, T27)</f>
        <v>1</v>
      </c>
      <c r="C727" s="12" cm="1">
        <f t="array" aca="1" ref="C727" ca="1">INDEX($B$722:$AG$722, U27)</f>
        <v>1</v>
      </c>
      <c r="D727" s="12" cm="1">
        <f t="array" aca="1" ref="D727" ca="1">INDEX($B$722:$AG$722, V27)</f>
        <v>0</v>
      </c>
      <c r="E727" s="12" cm="1">
        <f t="array" aca="1" ref="E727" ca="1">INDEX($B$722:$AG$722, W27)</f>
        <v>0</v>
      </c>
      <c r="F727" s="12" cm="1">
        <f t="array" aca="1" ref="F727" ca="1">INDEX($B$722:$AG$722, X27)</f>
        <v>1</v>
      </c>
      <c r="G727" s="12" cm="1">
        <f t="array" aca="1" ref="G727" ca="1">INDEX($B$722:$AG$722, Y27)</f>
        <v>0</v>
      </c>
    </row>
    <row r="728" spans="1:49">
      <c r="B728" s="12" cm="1">
        <f t="array" aca="1" ref="B728" ca="1">INDEX($B$722:$AG$722, T28)</f>
        <v>1</v>
      </c>
      <c r="C728" s="12" cm="1">
        <f t="array" aca="1" ref="C728" ca="1">INDEX($B$722:$AG$722, U28)</f>
        <v>0</v>
      </c>
      <c r="D728" s="12" cm="1">
        <f t="array" aca="1" ref="D728" ca="1">INDEX($B$722:$AG$722, V28)</f>
        <v>0</v>
      </c>
      <c r="E728" s="12" cm="1">
        <f t="array" aca="1" ref="E728" ca="1">INDEX($B$722:$AG$722, W28)</f>
        <v>0</v>
      </c>
      <c r="F728" s="12" cm="1">
        <f t="array" aca="1" ref="F728" ca="1">INDEX($B$722:$AG$722, X28)</f>
        <v>1</v>
      </c>
      <c r="G728" s="12" cm="1">
        <f t="array" aca="1" ref="G728" ca="1">INDEX($B$722:$AG$722, Y28)</f>
        <v>0</v>
      </c>
    </row>
    <row r="729" spans="1:49">
      <c r="B729" s="12" cm="1">
        <f t="array" aca="1" ref="B729" ca="1">INDEX($B$722:$AG$722, T29)</f>
        <v>1</v>
      </c>
      <c r="C729" s="12" cm="1">
        <f t="array" aca="1" ref="C729" ca="1">INDEX($B$722:$AG$722, U29)</f>
        <v>0</v>
      </c>
      <c r="D729" s="12" cm="1">
        <f t="array" aca="1" ref="D729" ca="1">INDEX($B$722:$AG$722, V29)</f>
        <v>0</v>
      </c>
      <c r="E729" s="12" cm="1">
        <f t="array" aca="1" ref="E729" ca="1">INDEX($B$722:$AG$722, W29)</f>
        <v>0</v>
      </c>
      <c r="F729" s="12" cm="1">
        <f t="array" aca="1" ref="F729" ca="1">INDEX($B$722:$AG$722, X29)</f>
        <v>1</v>
      </c>
      <c r="G729" s="12" cm="1">
        <f t="array" aca="1" ref="G729" ca="1">INDEX($B$722:$AG$722, Y29)</f>
        <v>0</v>
      </c>
    </row>
    <row r="730" spans="1:49">
      <c r="B730" s="12" cm="1">
        <f t="array" aca="1" ref="B730" ca="1">INDEX($B$722:$AG$722, T30)</f>
        <v>1</v>
      </c>
      <c r="C730" s="12" cm="1">
        <f t="array" aca="1" ref="C730" ca="1">INDEX($B$722:$AG$722, U30)</f>
        <v>0</v>
      </c>
      <c r="D730" s="12" cm="1">
        <f t="array" aca="1" ref="D730" ca="1">INDEX($B$722:$AG$722, V30)</f>
        <v>1</v>
      </c>
      <c r="E730" s="12" cm="1">
        <f t="array" aca="1" ref="E730" ca="1">INDEX($B$722:$AG$722, W30)</f>
        <v>1</v>
      </c>
      <c r="F730" s="12" cm="1">
        <f t="array" aca="1" ref="F730" ca="1">INDEX($B$722:$AG$722, X30)</f>
        <v>0</v>
      </c>
      <c r="G730" s="12" cm="1">
        <f t="array" aca="1" ref="G730" ca="1">INDEX($B$722:$AG$722, Y30)</f>
        <v>0</v>
      </c>
    </row>
    <row r="731" spans="1:49">
      <c r="B731" s="12" cm="1">
        <f t="array" aca="1" ref="B731" ca="1">INDEX($B$722:$AG$722, T31)</f>
        <v>0</v>
      </c>
      <c r="C731" s="12" cm="1">
        <f t="array" aca="1" ref="C731" ca="1">INDEX($B$722:$AG$722, U31)</f>
        <v>0</v>
      </c>
      <c r="D731" s="12" cm="1">
        <f t="array" aca="1" ref="D731" ca="1">INDEX($B$722:$AG$722, V31)</f>
        <v>0</v>
      </c>
      <c r="E731" s="12" cm="1">
        <f t="array" aca="1" ref="E731" ca="1">INDEX($B$722:$AG$722, W31)</f>
        <v>1</v>
      </c>
      <c r="F731" s="12" cm="1">
        <f t="array" aca="1" ref="F731" ca="1">INDEX($B$722:$AG$722, X31)</f>
        <v>1</v>
      </c>
      <c r="G731" s="12" cm="1">
        <f t="array" aca="1" ref="G731" ca="1">INDEX($B$722:$AG$722, Y31)</f>
        <v>0</v>
      </c>
    </row>
    <row r="732" spans="1:49">
      <c r="B732" s="12" cm="1">
        <f t="array" aca="1" ref="B732" ca="1">INDEX($B$722:$AG$722, T32)</f>
        <v>1</v>
      </c>
      <c r="C732" s="12" cm="1">
        <f t="array" aca="1" ref="C732" ca="1">INDEX($B$722:$AG$722, U32)</f>
        <v>0</v>
      </c>
      <c r="D732" s="12" cm="1">
        <f t="array" aca="1" ref="D732" ca="1">INDEX($B$722:$AG$722, V32)</f>
        <v>1</v>
      </c>
      <c r="E732" s="12" cm="1">
        <f t="array" aca="1" ref="E732" ca="1">INDEX($B$722:$AG$722, W32)</f>
        <v>1</v>
      </c>
      <c r="F732" s="12" cm="1">
        <f t="array" aca="1" ref="F732" ca="1">INDEX($B$722:$AG$722, X32)</f>
        <v>0</v>
      </c>
      <c r="G732" s="12" cm="1">
        <f t="array" aca="1" ref="G732" ca="1">INDEX($B$722:$AG$722, Y32)</f>
        <v>0</v>
      </c>
    </row>
    <row r="734" spans="1:49">
      <c r="A734" s="12" t="s">
        <v>3</v>
      </c>
      <c r="B734" s="12">
        <v>1</v>
      </c>
      <c r="C734" s="12">
        <v>2</v>
      </c>
      <c r="D734" s="12">
        <v>3</v>
      </c>
      <c r="E734" s="12">
        <v>4</v>
      </c>
      <c r="F734" s="12">
        <v>5</v>
      </c>
      <c r="G734" s="12">
        <v>6</v>
      </c>
      <c r="H734" s="12">
        <v>7</v>
      </c>
      <c r="I734" s="12">
        <v>8</v>
      </c>
      <c r="J734" s="12">
        <v>9</v>
      </c>
      <c r="K734" s="12">
        <v>10</v>
      </c>
      <c r="L734" s="12">
        <v>11</v>
      </c>
      <c r="M734" s="12">
        <v>12</v>
      </c>
      <c r="N734" s="12">
        <v>13</v>
      </c>
      <c r="O734" s="12">
        <v>14</v>
      </c>
      <c r="P734" s="12">
        <v>15</v>
      </c>
      <c r="Q734" s="12">
        <v>16</v>
      </c>
      <c r="R734" s="12">
        <v>17</v>
      </c>
      <c r="S734" s="12">
        <v>18</v>
      </c>
      <c r="T734" s="12">
        <v>19</v>
      </c>
      <c r="U734" s="12">
        <v>20</v>
      </c>
      <c r="V734" s="12">
        <v>21</v>
      </c>
      <c r="W734" s="12">
        <v>22</v>
      </c>
      <c r="X734" s="12">
        <v>23</v>
      </c>
      <c r="Y734" s="12">
        <v>24</v>
      </c>
      <c r="Z734" s="12">
        <v>25</v>
      </c>
      <c r="AA734" s="12">
        <v>26</v>
      </c>
      <c r="AB734" s="12">
        <v>27</v>
      </c>
      <c r="AC734" s="12">
        <v>28</v>
      </c>
      <c r="AD734" s="12">
        <v>29</v>
      </c>
      <c r="AE734" s="12">
        <v>30</v>
      </c>
      <c r="AF734" s="12">
        <v>31</v>
      </c>
      <c r="AG734" s="12">
        <v>32</v>
      </c>
      <c r="AH734" s="12">
        <v>33</v>
      </c>
      <c r="AI734" s="12">
        <v>34</v>
      </c>
      <c r="AJ734" s="12">
        <v>35</v>
      </c>
      <c r="AK734" s="12">
        <v>36</v>
      </c>
      <c r="AL734" s="12">
        <v>37</v>
      </c>
      <c r="AM734" s="12">
        <v>38</v>
      </c>
      <c r="AN734" s="12">
        <v>39</v>
      </c>
      <c r="AO734" s="12">
        <v>40</v>
      </c>
      <c r="AP734" s="12">
        <v>41</v>
      </c>
      <c r="AQ734" s="12">
        <v>42</v>
      </c>
      <c r="AR734" s="12">
        <v>43</v>
      </c>
      <c r="AS734" s="12">
        <v>44</v>
      </c>
      <c r="AT734" s="12">
        <v>45</v>
      </c>
      <c r="AU734" s="12">
        <v>46</v>
      </c>
      <c r="AV734" s="12">
        <v>47</v>
      </c>
      <c r="AW734" s="12">
        <v>48</v>
      </c>
    </row>
    <row r="735" spans="1:49">
      <c r="A735" s="7" t="s">
        <v>200</v>
      </c>
      <c r="B735" s="16" cm="1">
        <f t="array" aca="1" ref="B735" ca="1">INDEX($B$725:$G732, INT((COLUMN(A591)-1)/6)+1, MOD(COLUMN(A591)-1,6)+1)</f>
        <v>0</v>
      </c>
      <c r="C735" s="16" cm="1">
        <f t="array" aca="1" ref="C735" ca="1">INDEX($B$725:$G732, INT((COLUMN(B591)-1)/6)+1, MOD(COLUMN(B591)-1,6)+1)</f>
        <v>0</v>
      </c>
      <c r="D735" s="16" cm="1">
        <f t="array" aca="1" ref="D735" ca="1">INDEX($B$725:$G732, INT((COLUMN(C591)-1)/6)+1, MOD(COLUMN(C591)-1,6)+1)</f>
        <v>0</v>
      </c>
      <c r="E735" s="16" cm="1">
        <f t="array" aca="1" ref="E735" ca="1">INDEX($B$725:$G732, INT((COLUMN(D591)-1)/6)+1, MOD(COLUMN(D591)-1,6)+1)</f>
        <v>1</v>
      </c>
      <c r="F735" s="16" cm="1">
        <f t="array" aca="1" ref="F735" ca="1">INDEX($B$725:$G732, INT((COLUMN(E591)-1)/6)+1, MOD(COLUMN(E591)-1,6)+1)</f>
        <v>1</v>
      </c>
      <c r="G735" s="16" cm="1">
        <f t="array" aca="1" ref="G735" ca="1">INDEX($B$725:$G732, INT((COLUMN(F591)-1)/6)+1, MOD(COLUMN(F591)-1,6)+1)</f>
        <v>0</v>
      </c>
      <c r="H735" s="16" cm="1">
        <f t="array" aca="1" ref="H735" ca="1">INDEX($B$725:$G732, INT((COLUMN(G591)-1)/6)+1, MOD(COLUMN(G591)-1,6)+1)</f>
        <v>1</v>
      </c>
      <c r="I735" s="16" cm="1">
        <f t="array" aca="1" ref="I735" ca="1">INDEX($B$725:$G732, INT((COLUMN(H591)-1)/6)+1, MOD(COLUMN(H591)-1,6)+1)</f>
        <v>0</v>
      </c>
      <c r="J735" s="16" cm="1">
        <f t="array" aca="1" ref="J735" ca="1">INDEX($B$725:$G732, INT((COLUMN(I591)-1)/6)+1, MOD(COLUMN(I591)-1,6)+1)</f>
        <v>0</v>
      </c>
      <c r="K735" s="16" cm="1">
        <f t="array" aca="1" ref="K735" ca="1">INDEX($B$725:$G732, INT((COLUMN(J591)-1)/6)+1, MOD(COLUMN(J591)-1,6)+1)</f>
        <v>1</v>
      </c>
      <c r="L735" s="16" cm="1">
        <f t="array" aca="1" ref="L735" ca="1">INDEX($B$725:$G732, INT((COLUMN(K591)-1)/6)+1, MOD(COLUMN(K591)-1,6)+1)</f>
        <v>1</v>
      </c>
      <c r="M735" s="16" cm="1">
        <f t="array" aca="1" ref="M735" ca="1">INDEX($B$725:$G732, INT((COLUMN(L591)-1)/6)+1, MOD(COLUMN(L591)-1,6)+1)</f>
        <v>1</v>
      </c>
      <c r="N735" s="16" cm="1">
        <f t="array" aca="1" ref="N735" ca="1">INDEX($B$725:$G732, INT((COLUMN(M591)-1)/6)+1, MOD(COLUMN(M591)-1,6)+1)</f>
        <v>1</v>
      </c>
      <c r="O735" s="16" cm="1">
        <f t="array" aca="1" ref="O735" ca="1">INDEX($B$725:$G732, INT((COLUMN(N591)-1)/6)+1, MOD(COLUMN(N591)-1,6)+1)</f>
        <v>1</v>
      </c>
      <c r="P735" s="16" cm="1">
        <f t="array" aca="1" ref="P735" ca="1">INDEX($B$725:$G732, INT((COLUMN(O591)-1)/6)+1, MOD(COLUMN(O591)-1,6)+1)</f>
        <v>0</v>
      </c>
      <c r="Q735" s="16" cm="1">
        <f t="array" aca="1" ref="Q735" ca="1">INDEX($B$725:$G732, INT((COLUMN(P591)-1)/6)+1, MOD(COLUMN(P591)-1,6)+1)</f>
        <v>0</v>
      </c>
      <c r="R735" s="16" cm="1">
        <f t="array" aca="1" ref="R735" ca="1">INDEX($B$725:$G732, INT((COLUMN(Q591)-1)/6)+1, MOD(COLUMN(Q591)-1,6)+1)</f>
        <v>1</v>
      </c>
      <c r="S735" s="16" cm="1">
        <f t="array" aca="1" ref="S735" ca="1">INDEX($B$725:$G732, INT((COLUMN(R591)-1)/6)+1, MOD(COLUMN(R591)-1,6)+1)</f>
        <v>0</v>
      </c>
      <c r="T735" s="16" cm="1">
        <f t="array" aca="1" ref="T735" ca="1">INDEX($B$725:$G732, INT((COLUMN(S591)-1)/6)+1, MOD(COLUMN(S591)-1,6)+1)</f>
        <v>1</v>
      </c>
      <c r="U735" s="16" cm="1">
        <f t="array" aca="1" ref="U735" ca="1">INDEX($B$725:$G732, INT((COLUMN(T591)-1)/6)+1, MOD(COLUMN(T591)-1,6)+1)</f>
        <v>0</v>
      </c>
      <c r="V735" s="16" cm="1">
        <f t="array" aca="1" ref="V735" ca="1">INDEX($B$725:$G732, INT((COLUMN(U591)-1)/6)+1, MOD(COLUMN(U591)-1,6)+1)</f>
        <v>0</v>
      </c>
      <c r="W735" s="16" cm="1">
        <f t="array" aca="1" ref="W735" ca="1">INDEX($B$725:$G732, INT((COLUMN(V591)-1)/6)+1, MOD(COLUMN(V591)-1,6)+1)</f>
        <v>0</v>
      </c>
      <c r="X735" s="16" cm="1">
        <f t="array" aca="1" ref="X735" ca="1">INDEX($B$725:$G732, INT((COLUMN(W591)-1)/6)+1, MOD(COLUMN(W591)-1,6)+1)</f>
        <v>1</v>
      </c>
      <c r="Y735" s="16" cm="1">
        <f t="array" aca="1" ref="Y735" ca="1">INDEX($B$725:$G732, INT((COLUMN(X591)-1)/6)+1, MOD(COLUMN(X591)-1,6)+1)</f>
        <v>0</v>
      </c>
      <c r="Z735" s="16" cm="1">
        <f t="array" aca="1" ref="Z735" ca="1">INDEX($B$725:$G732, INT((COLUMN(Y591)-1)/6)+1, MOD(COLUMN(Y591)-1,6)+1)</f>
        <v>1</v>
      </c>
      <c r="AA735" s="16" cm="1">
        <f t="array" aca="1" ref="AA735" ca="1">INDEX($B$725:$G732, INT((COLUMN(Z591)-1)/6)+1, MOD(COLUMN(Z591)-1,6)+1)</f>
        <v>0</v>
      </c>
      <c r="AB735" s="16" cm="1">
        <f t="array" aca="1" ref="AB735" ca="1">INDEX($B$725:$G732, INT((COLUMN(AA591)-1)/6)+1, MOD(COLUMN(AA591)-1,6)+1)</f>
        <v>0</v>
      </c>
      <c r="AC735" s="16" cm="1">
        <f t="array" aca="1" ref="AC735" ca="1">INDEX($B$725:$G732, INT((COLUMN(AB591)-1)/6)+1, MOD(COLUMN(AB591)-1,6)+1)</f>
        <v>0</v>
      </c>
      <c r="AD735" s="16" cm="1">
        <f t="array" aca="1" ref="AD735" ca="1">INDEX($B$725:$G732, INT((COLUMN(AC591)-1)/6)+1, MOD(COLUMN(AC591)-1,6)+1)</f>
        <v>1</v>
      </c>
      <c r="AE735" s="16" cm="1">
        <f t="array" aca="1" ref="AE735" ca="1">INDEX($B$725:$G732, INT((COLUMN(AD591)-1)/6)+1, MOD(COLUMN(AD591)-1,6)+1)</f>
        <v>0</v>
      </c>
      <c r="AF735" s="16" cm="1">
        <f t="array" aca="1" ref="AF735" ca="1">INDEX($B$725:$G732, INT((COLUMN(AE591)-1)/6)+1, MOD(COLUMN(AE591)-1,6)+1)</f>
        <v>1</v>
      </c>
      <c r="AG735" s="16" cm="1">
        <f t="array" aca="1" ref="AG735" ca="1">INDEX($B$725:$G732, INT((COLUMN(AF591)-1)/6)+1, MOD(COLUMN(AF591)-1,6)+1)</f>
        <v>0</v>
      </c>
      <c r="AH735" s="16" cm="1">
        <f t="array" aca="1" ref="AH735" ca="1">INDEX($B$725:$G732, INT((COLUMN(AG591)-1)/6)+1, MOD(COLUMN(AG591)-1,6)+1)</f>
        <v>1</v>
      </c>
      <c r="AI735" s="16" cm="1">
        <f t="array" aca="1" ref="AI735" ca="1">INDEX($B$725:$G732, INT((COLUMN(AH591)-1)/6)+1, MOD(COLUMN(AH591)-1,6)+1)</f>
        <v>1</v>
      </c>
      <c r="AJ735" s="16" cm="1">
        <f t="array" aca="1" ref="AJ735" ca="1">INDEX($B$725:$G732, INT((COLUMN(AI591)-1)/6)+1, MOD(COLUMN(AI591)-1,6)+1)</f>
        <v>0</v>
      </c>
      <c r="AK735" s="16" cm="1">
        <f t="array" aca="1" ref="AK735" ca="1">INDEX($B$725:$G732, INT((COLUMN(AJ591)-1)/6)+1, MOD(COLUMN(AJ591)-1,6)+1)</f>
        <v>0</v>
      </c>
      <c r="AL735" s="16" cm="1">
        <f t="array" aca="1" ref="AL735" ca="1">INDEX($B$725:$G732, INT((COLUMN(AK591)-1)/6)+1, MOD(COLUMN(AK591)-1,6)+1)</f>
        <v>0</v>
      </c>
      <c r="AM735" s="16" cm="1">
        <f t="array" aca="1" ref="AM735" ca="1">INDEX($B$725:$G732, INT((COLUMN(AL591)-1)/6)+1, MOD(COLUMN(AL591)-1,6)+1)</f>
        <v>0</v>
      </c>
      <c r="AN735" s="16" cm="1">
        <f t="array" aca="1" ref="AN735" ca="1">INDEX($B$725:$G732, INT((COLUMN(AM591)-1)/6)+1, MOD(COLUMN(AM591)-1,6)+1)</f>
        <v>0</v>
      </c>
      <c r="AO735" s="16" cm="1">
        <f t="array" aca="1" ref="AO735" ca="1">INDEX($B$725:$G732, INT((COLUMN(AN591)-1)/6)+1, MOD(COLUMN(AN591)-1,6)+1)</f>
        <v>1</v>
      </c>
      <c r="AP735" s="16" cm="1">
        <f t="array" aca="1" ref="AP735" ca="1">INDEX($B$725:$G732, INT((COLUMN(AO591)-1)/6)+1, MOD(COLUMN(AO591)-1,6)+1)</f>
        <v>1</v>
      </c>
      <c r="AQ735" s="16" cm="1">
        <f t="array" aca="1" ref="AQ735" ca="1">INDEX($B$725:$G732, INT((COLUMN(AP591)-1)/6)+1, MOD(COLUMN(AP591)-1,6)+1)</f>
        <v>0</v>
      </c>
      <c r="AR735" s="16" cm="1">
        <f t="array" aca="1" ref="AR735" ca="1">INDEX($B$725:$G732, INT((COLUMN(AQ591)-1)/6)+1, MOD(COLUMN(AQ591)-1,6)+1)</f>
        <v>1</v>
      </c>
      <c r="AS735" s="16" cm="1">
        <f t="array" aca="1" ref="AS735" ca="1">INDEX($B$725:$G732, INT((COLUMN(AR591)-1)/6)+1, MOD(COLUMN(AR591)-1,6)+1)</f>
        <v>0</v>
      </c>
      <c r="AT735" s="16" cm="1">
        <f t="array" aca="1" ref="AT735" ca="1">INDEX($B$725:$G732, INT((COLUMN(AS591)-1)/6)+1, MOD(COLUMN(AS591)-1,6)+1)</f>
        <v>1</v>
      </c>
      <c r="AU735" s="16" cm="1">
        <f t="array" aca="1" ref="AU735" ca="1">INDEX($B$725:$G732, INT((COLUMN(AT591)-1)/6)+1, MOD(COLUMN(AT591)-1,6)+1)</f>
        <v>1</v>
      </c>
      <c r="AV735" s="16" cm="1">
        <f t="array" aca="1" ref="AV735" ca="1">INDEX($B$725:$G732, INT((COLUMN(AU591)-1)/6)+1, MOD(COLUMN(AU591)-1,6)+1)</f>
        <v>0</v>
      </c>
      <c r="AW735" s="16" cm="1">
        <f t="array" aca="1" ref="AW735" ca="1">INDEX($B$725:$G732, INT((COLUMN(AV591)-1)/6)+1, MOD(COLUMN(AV591)-1,6)+1)</f>
        <v>0</v>
      </c>
    </row>
    <row r="736" spans="1:49">
      <c r="A736" s="19"/>
    </row>
    <row r="737" spans="1:49">
      <c r="A737" s="12" t="s">
        <v>3</v>
      </c>
      <c r="B737" s="12">
        <v>1</v>
      </c>
      <c r="C737" s="12">
        <v>2</v>
      </c>
      <c r="D737" s="12">
        <v>3</v>
      </c>
      <c r="E737" s="12">
        <v>4</v>
      </c>
      <c r="F737" s="12">
        <v>5</v>
      </c>
      <c r="G737" s="12">
        <v>6</v>
      </c>
      <c r="H737" s="12">
        <v>7</v>
      </c>
      <c r="I737" s="12">
        <v>8</v>
      </c>
      <c r="J737" s="12">
        <v>9</v>
      </c>
      <c r="K737" s="12">
        <v>10</v>
      </c>
      <c r="L737" s="12">
        <v>11</v>
      </c>
      <c r="M737" s="12">
        <v>12</v>
      </c>
      <c r="N737" s="12">
        <v>13</v>
      </c>
      <c r="O737" s="12">
        <v>14</v>
      </c>
      <c r="P737" s="12">
        <v>15</v>
      </c>
      <c r="Q737" s="12">
        <v>16</v>
      </c>
      <c r="R737" s="12">
        <v>17</v>
      </c>
      <c r="S737" s="12">
        <v>18</v>
      </c>
      <c r="T737" s="12">
        <v>19</v>
      </c>
      <c r="U737" s="12">
        <v>20</v>
      </c>
      <c r="V737" s="12">
        <v>21</v>
      </c>
      <c r="W737" s="12">
        <v>22</v>
      </c>
      <c r="X737" s="12">
        <v>23</v>
      </c>
      <c r="Y737" s="12">
        <v>24</v>
      </c>
      <c r="Z737" s="12">
        <v>25</v>
      </c>
      <c r="AA737" s="12">
        <v>26</v>
      </c>
      <c r="AB737" s="12">
        <v>27</v>
      </c>
      <c r="AC737" s="12">
        <v>28</v>
      </c>
      <c r="AD737" s="12">
        <v>29</v>
      </c>
      <c r="AE737" s="12">
        <v>30</v>
      </c>
      <c r="AF737" s="12">
        <v>31</v>
      </c>
      <c r="AG737" s="12">
        <v>32</v>
      </c>
      <c r="AH737" s="12">
        <v>33</v>
      </c>
      <c r="AI737" s="12">
        <v>34</v>
      </c>
      <c r="AJ737" s="12">
        <v>35</v>
      </c>
      <c r="AK737" s="12">
        <v>36</v>
      </c>
      <c r="AL737" s="12">
        <v>37</v>
      </c>
      <c r="AM737" s="12">
        <v>38</v>
      </c>
      <c r="AN737" s="12">
        <v>39</v>
      </c>
      <c r="AO737" s="12">
        <v>40</v>
      </c>
      <c r="AP737" s="12">
        <v>41</v>
      </c>
      <c r="AQ737" s="12">
        <v>42</v>
      </c>
      <c r="AR737" s="12">
        <v>43</v>
      </c>
      <c r="AS737" s="12">
        <v>44</v>
      </c>
      <c r="AT737" s="12">
        <v>45</v>
      </c>
      <c r="AU737" s="12">
        <v>46</v>
      </c>
      <c r="AV737" s="12">
        <v>47</v>
      </c>
      <c r="AW737" s="12">
        <v>48</v>
      </c>
    </row>
    <row r="738" spans="1:49">
      <c r="A738" s="7" t="s">
        <v>201</v>
      </c>
      <c r="B738" s="16">
        <f ca="1">_xlfn.BITXOR(B735, B266)</f>
        <v>0</v>
      </c>
      <c r="C738" s="16">
        <f t="shared" ref="C738:AW738" ca="1" si="143">_xlfn.BITXOR(C735, C266)</f>
        <v>1</v>
      </c>
      <c r="D738" s="16">
        <f t="shared" ca="1" si="143"/>
        <v>1</v>
      </c>
      <c r="E738" s="16">
        <f t="shared" ca="1" si="143"/>
        <v>1</v>
      </c>
      <c r="F738" s="16">
        <f t="shared" ca="1" si="143"/>
        <v>0</v>
      </c>
      <c r="G738" s="16">
        <f t="shared" ca="1" si="143"/>
        <v>1</v>
      </c>
      <c r="H738" s="16">
        <f t="shared" ca="1" si="143"/>
        <v>1</v>
      </c>
      <c r="I738" s="16">
        <f t="shared" ca="1" si="143"/>
        <v>0</v>
      </c>
      <c r="J738" s="16">
        <f t="shared" ca="1" si="143"/>
        <v>1</v>
      </c>
      <c r="K738" s="16">
        <f t="shared" ca="1" si="143"/>
        <v>1</v>
      </c>
      <c r="L738" s="16">
        <f t="shared" ca="1" si="143"/>
        <v>1</v>
      </c>
      <c r="M738" s="16">
        <f t="shared" ca="1" si="143"/>
        <v>1</v>
      </c>
      <c r="N738" s="16">
        <f t="shared" ca="1" si="143"/>
        <v>1</v>
      </c>
      <c r="O738" s="16">
        <f t="shared" ca="1" si="143"/>
        <v>0</v>
      </c>
      <c r="P738" s="16">
        <f t="shared" ca="1" si="143"/>
        <v>0</v>
      </c>
      <c r="Q738" s="16">
        <f t="shared" ca="1" si="143"/>
        <v>0</v>
      </c>
      <c r="R738" s="16">
        <f t="shared" ca="1" si="143"/>
        <v>0</v>
      </c>
      <c r="S738" s="16">
        <f t="shared" ca="1" si="143"/>
        <v>0</v>
      </c>
      <c r="T738" s="16">
        <f t="shared" ca="1" si="143"/>
        <v>0</v>
      </c>
      <c r="U738" s="16">
        <f t="shared" ca="1" si="143"/>
        <v>1</v>
      </c>
      <c r="V738" s="16">
        <f t="shared" ca="1" si="143"/>
        <v>0</v>
      </c>
      <c r="W738" s="16">
        <f t="shared" ca="1" si="143"/>
        <v>1</v>
      </c>
      <c r="X738" s="16">
        <f t="shared" ca="1" si="143"/>
        <v>0</v>
      </c>
      <c r="Y738" s="16">
        <f t="shared" ca="1" si="143"/>
        <v>1</v>
      </c>
      <c r="Z738" s="16">
        <f t="shared" ca="1" si="143"/>
        <v>0</v>
      </c>
      <c r="AA738" s="16">
        <f t="shared" ca="1" si="143"/>
        <v>0</v>
      </c>
      <c r="AB738" s="16">
        <f t="shared" ca="1" si="143"/>
        <v>0</v>
      </c>
      <c r="AC738" s="16">
        <f t="shared" ca="1" si="143"/>
        <v>0</v>
      </c>
      <c r="AD738" s="16">
        <f t="shared" ca="1" si="143"/>
        <v>0</v>
      </c>
      <c r="AE738" s="16">
        <f t="shared" ca="1" si="143"/>
        <v>0</v>
      </c>
      <c r="AF738" s="16">
        <f t="shared" ca="1" si="143"/>
        <v>0</v>
      </c>
      <c r="AG738" s="16">
        <f t="shared" ca="1" si="143"/>
        <v>0</v>
      </c>
      <c r="AH738" s="16">
        <f t="shared" ca="1" si="143"/>
        <v>0</v>
      </c>
      <c r="AI738" s="16">
        <f t="shared" ca="1" si="143"/>
        <v>0</v>
      </c>
      <c r="AJ738" s="16">
        <f t="shared" ca="1" si="143"/>
        <v>1</v>
      </c>
      <c r="AK738" s="16">
        <f t="shared" ca="1" si="143"/>
        <v>0</v>
      </c>
      <c r="AL738" s="16">
        <f t="shared" ca="1" si="143"/>
        <v>0</v>
      </c>
      <c r="AM738" s="16">
        <f t="shared" ca="1" si="143"/>
        <v>1</v>
      </c>
      <c r="AN738" s="16">
        <f t="shared" ca="1" si="143"/>
        <v>0</v>
      </c>
      <c r="AO738" s="16">
        <f t="shared" ca="1" si="143"/>
        <v>1</v>
      </c>
      <c r="AP738" s="16">
        <f t="shared" ca="1" si="143"/>
        <v>0</v>
      </c>
      <c r="AQ738" s="16">
        <f t="shared" ca="1" si="143"/>
        <v>1</v>
      </c>
      <c r="AR738" s="16">
        <f t="shared" ca="1" si="143"/>
        <v>1</v>
      </c>
      <c r="AS738" s="16">
        <f t="shared" ca="1" si="143"/>
        <v>0</v>
      </c>
      <c r="AT738" s="16">
        <f t="shared" ca="1" si="143"/>
        <v>1</v>
      </c>
      <c r="AU738" s="16">
        <f t="shared" ca="1" si="143"/>
        <v>0</v>
      </c>
      <c r="AV738" s="16">
        <f t="shared" ca="1" si="143"/>
        <v>1</v>
      </c>
      <c r="AW738" s="16">
        <f t="shared" ca="1" si="143"/>
        <v>0</v>
      </c>
    </row>
    <row r="740" spans="1:49">
      <c r="A740" s="27" t="s">
        <v>136</v>
      </c>
      <c r="B740" s="27" t="s">
        <v>137</v>
      </c>
      <c r="C740" s="27"/>
      <c r="D740" s="27" t="s">
        <v>141</v>
      </c>
      <c r="E740" s="27" t="s">
        <v>142</v>
      </c>
      <c r="F740" s="28" t="s">
        <v>138</v>
      </c>
      <c r="G740" s="28"/>
      <c r="I740" s="5" t="s">
        <v>202</v>
      </c>
    </row>
    <row r="741" spans="1:49">
      <c r="A741" s="27"/>
      <c r="B741" s="27"/>
      <c r="C741" s="27"/>
      <c r="D741" s="27"/>
      <c r="E741" s="27"/>
      <c r="F741" s="7" t="s">
        <v>139</v>
      </c>
      <c r="G741" s="7" t="s">
        <v>140</v>
      </c>
    </row>
    <row r="742" spans="1:49">
      <c r="A742" s="7">
        <v>1</v>
      </c>
      <c r="B742" s="29" t="str">
        <f ca="1">_xlfn.TEXTJOIN("", TRUE, OFFSET($B$738,0,(ROW(A1)-1)*6,1,6))</f>
        <v>011101</v>
      </c>
      <c r="C742" s="30"/>
      <c r="D742" s="7">
        <f ca="1">BIN2DEC(LEFT(B742,1) &amp; RIGHT(B742,1))</f>
        <v>1</v>
      </c>
      <c r="E742" s="12">
        <f ca="1">BIN2DEC(MID(B742,2,4))</f>
        <v>14</v>
      </c>
      <c r="F742" s="12" cm="1">
        <f t="array" aca="1" ref="F742" ca="1">INDEX(OFFSET('S-box'!$A$2, (A742-1)*6, 0, 4, 16), D742+1, E742+1)</f>
        <v>3</v>
      </c>
      <c r="G742" s="17" t="str">
        <f ca="1">DEC2BIN(F742, 4)</f>
        <v>0011</v>
      </c>
      <c r="I742" s="12" t="s">
        <v>3</v>
      </c>
      <c r="J742" s="12">
        <v>1</v>
      </c>
      <c r="K742" s="12">
        <v>2</v>
      </c>
      <c r="L742" s="12">
        <v>3</v>
      </c>
      <c r="M742" s="12">
        <v>4</v>
      </c>
      <c r="N742" s="12">
        <v>5</v>
      </c>
      <c r="O742" s="12">
        <v>6</v>
      </c>
      <c r="P742" s="12">
        <v>7</v>
      </c>
      <c r="Q742" s="12">
        <v>8</v>
      </c>
      <c r="R742" s="12">
        <v>9</v>
      </c>
      <c r="S742" s="12">
        <v>10</v>
      </c>
      <c r="T742" s="12">
        <v>11</v>
      </c>
      <c r="U742" s="12">
        <v>12</v>
      </c>
      <c r="V742" s="12">
        <v>13</v>
      </c>
      <c r="W742" s="12">
        <v>14</v>
      </c>
      <c r="X742" s="12">
        <v>15</v>
      </c>
      <c r="Y742" s="12">
        <v>16</v>
      </c>
      <c r="Z742" s="12">
        <v>17</v>
      </c>
      <c r="AA742" s="12">
        <v>18</v>
      </c>
      <c r="AB742" s="12">
        <v>19</v>
      </c>
      <c r="AC742" s="12">
        <v>20</v>
      </c>
      <c r="AD742" s="12">
        <v>21</v>
      </c>
      <c r="AE742" s="12">
        <v>22</v>
      </c>
      <c r="AF742" s="12">
        <v>23</v>
      </c>
      <c r="AG742" s="12">
        <v>24</v>
      </c>
      <c r="AH742" s="12">
        <v>25</v>
      </c>
      <c r="AI742" s="12">
        <v>26</v>
      </c>
      <c r="AJ742" s="12">
        <v>27</v>
      </c>
      <c r="AK742" s="12">
        <v>28</v>
      </c>
      <c r="AL742" s="12">
        <v>29</v>
      </c>
      <c r="AM742" s="12">
        <v>30</v>
      </c>
      <c r="AN742" s="12">
        <v>31</v>
      </c>
      <c r="AO742" s="12">
        <v>32</v>
      </c>
    </row>
    <row r="743" spans="1:49">
      <c r="A743" s="7">
        <v>2</v>
      </c>
      <c r="B743" s="29" t="str">
        <f t="shared" ref="B743:B749" ca="1" si="144">_xlfn.TEXTJOIN("", TRUE, OFFSET($B$738,0,(ROW(A2)-1)*6,1,6))</f>
        <v>101111</v>
      </c>
      <c r="C743" s="30"/>
      <c r="D743" s="7">
        <f t="shared" ref="D743:D749" ca="1" si="145">BIN2DEC(LEFT(B743,1) &amp; RIGHT(B743,1))</f>
        <v>3</v>
      </c>
      <c r="E743" s="12">
        <f t="shared" ref="E743:E749" ca="1" si="146">BIN2DEC(MID(B743,2,4))</f>
        <v>7</v>
      </c>
      <c r="F743" s="12" cm="1">
        <f t="array" aca="1" ref="F743" ca="1">INDEX(OFFSET('S-box'!$A$2, (A743-1)*6, 0, 4, 16), D743+1, E743+1)</f>
        <v>2</v>
      </c>
      <c r="G743" s="17" t="str">
        <f t="shared" ref="G743:G749" ca="1" si="147">DEC2BIN(F743, 4)</f>
        <v>0010</v>
      </c>
      <c r="I743" s="12" t="s">
        <v>152</v>
      </c>
      <c r="J743" s="12" t="str">
        <f ca="1">MID(_xlfn.TEXTJOIN("",TRUE,$G$742:$G$749), COLUMN(A199), 1)</f>
        <v>0</v>
      </c>
      <c r="K743" s="12" t="str">
        <f t="shared" ref="K743:AO743" ca="1" si="148">MID(_xlfn.TEXTJOIN("",TRUE,$G$742:$G$749), COLUMN(B199), 1)</f>
        <v>0</v>
      </c>
      <c r="L743" s="12" t="str">
        <f t="shared" ca="1" si="148"/>
        <v>1</v>
      </c>
      <c r="M743" s="12" t="str">
        <f t="shared" ca="1" si="148"/>
        <v>1</v>
      </c>
      <c r="N743" s="12" t="str">
        <f t="shared" ca="1" si="148"/>
        <v>0</v>
      </c>
      <c r="O743" s="12" t="str">
        <f t="shared" ca="1" si="148"/>
        <v>0</v>
      </c>
      <c r="P743" s="12" t="str">
        <f t="shared" ca="1" si="148"/>
        <v>1</v>
      </c>
      <c r="Q743" s="12" t="str">
        <f t="shared" ca="1" si="148"/>
        <v>0</v>
      </c>
      <c r="R743" s="12" t="str">
        <f t="shared" ca="1" si="148"/>
        <v>1</v>
      </c>
      <c r="S743" s="12" t="str">
        <f t="shared" ca="1" si="148"/>
        <v>1</v>
      </c>
      <c r="T743" s="12" t="str">
        <f t="shared" ca="1" si="148"/>
        <v>0</v>
      </c>
      <c r="U743" s="12" t="str">
        <f t="shared" ca="1" si="148"/>
        <v>1</v>
      </c>
      <c r="V743" s="12" t="str">
        <f t="shared" ca="1" si="148"/>
        <v>0</v>
      </c>
      <c r="W743" s="12" t="str">
        <f t="shared" ca="1" si="148"/>
        <v>0</v>
      </c>
      <c r="X743" s="12" t="str">
        <f t="shared" ca="1" si="148"/>
        <v>1</v>
      </c>
      <c r="Y743" s="12" t="str">
        <f t="shared" ca="1" si="148"/>
        <v>0</v>
      </c>
      <c r="Z743" s="12" t="str">
        <f t="shared" ca="1" si="148"/>
        <v>0</v>
      </c>
      <c r="AA743" s="12" t="str">
        <f t="shared" ca="1" si="148"/>
        <v>0</v>
      </c>
      <c r="AB743" s="12" t="str">
        <f t="shared" ca="1" si="148"/>
        <v>1</v>
      </c>
      <c r="AC743" s="12" t="str">
        <f t="shared" ca="1" si="148"/>
        <v>0</v>
      </c>
      <c r="AD743" s="12" t="str">
        <f t="shared" ca="1" si="148"/>
        <v>0</v>
      </c>
      <c r="AE743" s="12" t="str">
        <f t="shared" ca="1" si="148"/>
        <v>0</v>
      </c>
      <c r="AF743" s="12" t="str">
        <f t="shared" ca="1" si="148"/>
        <v>0</v>
      </c>
      <c r="AG743" s="12" t="str">
        <f t="shared" ca="1" si="148"/>
        <v>1</v>
      </c>
      <c r="AH743" s="12" t="str">
        <f t="shared" ca="1" si="148"/>
        <v>0</v>
      </c>
      <c r="AI743" s="12" t="str">
        <f t="shared" ca="1" si="148"/>
        <v>1</v>
      </c>
      <c r="AJ743" s="12" t="str">
        <f t="shared" ca="1" si="148"/>
        <v>0</v>
      </c>
      <c r="AK743" s="12" t="str">
        <f t="shared" ca="1" si="148"/>
        <v>1</v>
      </c>
      <c r="AL743" s="12" t="str">
        <f t="shared" ca="1" si="148"/>
        <v>1</v>
      </c>
      <c r="AM743" s="12" t="str">
        <f t="shared" ca="1" si="148"/>
        <v>1</v>
      </c>
      <c r="AN743" s="12" t="str">
        <f t="shared" ca="1" si="148"/>
        <v>0</v>
      </c>
      <c r="AO743" s="12" t="str">
        <f t="shared" ca="1" si="148"/>
        <v>0</v>
      </c>
    </row>
    <row r="744" spans="1:49">
      <c r="A744" s="7">
        <v>3</v>
      </c>
      <c r="B744" s="29" t="str">
        <f t="shared" ca="1" si="144"/>
        <v>100000</v>
      </c>
      <c r="C744" s="30"/>
      <c r="D744" s="7">
        <f t="shared" ca="1" si="145"/>
        <v>2</v>
      </c>
      <c r="E744" s="12">
        <f t="shared" ca="1" si="146"/>
        <v>0</v>
      </c>
      <c r="F744" s="12" cm="1">
        <f t="array" aca="1" ref="F744" ca="1">INDEX(OFFSET('S-box'!$A$2, (A744-1)*6, 0, 4, 16), D744+1, E744+1)</f>
        <v>13</v>
      </c>
      <c r="G744" s="17" t="str">
        <f t="shared" ca="1" si="147"/>
        <v>1101</v>
      </c>
    </row>
    <row r="745" spans="1:49">
      <c r="A745" s="7">
        <v>4</v>
      </c>
      <c r="B745" s="29" t="str">
        <f t="shared" ca="1" si="144"/>
        <v>010101</v>
      </c>
      <c r="C745" s="30"/>
      <c r="D745" s="7">
        <f t="shared" ca="1" si="145"/>
        <v>1</v>
      </c>
      <c r="E745" s="12">
        <f t="shared" ca="1" si="146"/>
        <v>10</v>
      </c>
      <c r="F745" s="12" cm="1">
        <f t="array" aca="1" ref="F745" ca="1">INDEX(OFFSET('S-box'!$A$2, (A745-1)*6, 0, 4, 16), D745+1, E745+1)</f>
        <v>2</v>
      </c>
      <c r="G745" s="17" t="str">
        <f t="shared" ca="1" si="147"/>
        <v>0010</v>
      </c>
      <c r="I745" s="5" t="s">
        <v>203</v>
      </c>
    </row>
    <row r="746" spans="1:49">
      <c r="A746" s="7">
        <v>5</v>
      </c>
      <c r="B746" s="29" t="str">
        <f t="shared" ca="1" si="144"/>
        <v>000000</v>
      </c>
      <c r="C746" s="30"/>
      <c r="D746" s="7">
        <f t="shared" ca="1" si="145"/>
        <v>0</v>
      </c>
      <c r="E746" s="12">
        <f t="shared" ca="1" si="146"/>
        <v>0</v>
      </c>
      <c r="F746" s="12" cm="1">
        <f t="array" aca="1" ref="F746" ca="1">INDEX(OFFSET('S-box'!$A$2, (A746-1)*6, 0, 4, 16), D746+1, E746+1)</f>
        <v>2</v>
      </c>
      <c r="G746" s="17" t="str">
        <f t="shared" ca="1" si="147"/>
        <v>0010</v>
      </c>
    </row>
    <row r="747" spans="1:49">
      <c r="A747" s="7">
        <v>6</v>
      </c>
      <c r="B747" s="29" t="str">
        <f t="shared" ca="1" si="144"/>
        <v>000010</v>
      </c>
      <c r="C747" s="30"/>
      <c r="D747" s="7">
        <f t="shared" ca="1" si="145"/>
        <v>0</v>
      </c>
      <c r="E747" s="12">
        <f t="shared" ca="1" si="146"/>
        <v>1</v>
      </c>
      <c r="F747" s="12" cm="1">
        <f t="array" aca="1" ref="F747" ca="1">INDEX(OFFSET('S-box'!$A$2, (A747-1)*6, 0, 4, 16), D747+1, E747+1)</f>
        <v>1</v>
      </c>
      <c r="G747" s="17" t="str">
        <f t="shared" ca="1" si="147"/>
        <v>0001</v>
      </c>
      <c r="I747" s="12" t="s">
        <v>3</v>
      </c>
      <c r="J747" s="12">
        <v>1</v>
      </c>
      <c r="K747" s="12">
        <v>2</v>
      </c>
      <c r="L747" s="12">
        <v>3</v>
      </c>
      <c r="M747" s="12">
        <v>4</v>
      </c>
      <c r="N747" s="12">
        <v>5</v>
      </c>
      <c r="O747" s="12">
        <v>6</v>
      </c>
      <c r="P747" s="12">
        <v>7</v>
      </c>
      <c r="Q747" s="12">
        <v>8</v>
      </c>
      <c r="R747" s="12">
        <v>9</v>
      </c>
      <c r="S747" s="12">
        <v>10</v>
      </c>
      <c r="T747" s="12">
        <v>11</v>
      </c>
      <c r="U747" s="12">
        <v>12</v>
      </c>
      <c r="V747" s="12">
        <v>13</v>
      </c>
      <c r="W747" s="12">
        <v>14</v>
      </c>
      <c r="X747" s="12">
        <v>15</v>
      </c>
      <c r="Y747" s="12">
        <v>16</v>
      </c>
      <c r="Z747" s="12">
        <v>17</v>
      </c>
      <c r="AA747" s="12">
        <v>18</v>
      </c>
      <c r="AB747" s="12">
        <v>19</v>
      </c>
      <c r="AC747" s="12">
        <v>20</v>
      </c>
      <c r="AD747" s="12">
        <v>21</v>
      </c>
      <c r="AE747" s="12">
        <v>22</v>
      </c>
      <c r="AF747" s="12">
        <v>23</v>
      </c>
      <c r="AG747" s="12">
        <v>24</v>
      </c>
      <c r="AH747" s="12">
        <v>25</v>
      </c>
      <c r="AI747" s="12">
        <v>26</v>
      </c>
      <c r="AJ747" s="12">
        <v>27</v>
      </c>
      <c r="AK747" s="12">
        <v>28</v>
      </c>
      <c r="AL747" s="12">
        <v>29</v>
      </c>
      <c r="AM747" s="12">
        <v>30</v>
      </c>
      <c r="AN747" s="12">
        <v>31</v>
      </c>
      <c r="AO747" s="12">
        <v>32</v>
      </c>
    </row>
    <row r="748" spans="1:49">
      <c r="A748" s="7">
        <v>7</v>
      </c>
      <c r="B748" s="29" t="str">
        <f t="shared" ca="1" si="144"/>
        <v>010101</v>
      </c>
      <c r="C748" s="30"/>
      <c r="D748" s="7">
        <f t="shared" ca="1" si="145"/>
        <v>1</v>
      </c>
      <c r="E748" s="12">
        <f t="shared" ca="1" si="146"/>
        <v>10</v>
      </c>
      <c r="F748" s="12" cm="1">
        <f t="array" aca="1" ref="F748" ca="1">INDEX(OFFSET('S-box'!$A$2, (A748-1)*6, 0, 4, 16), D748+1, E748+1)</f>
        <v>5</v>
      </c>
      <c r="G748" s="17" t="str">
        <f t="shared" ca="1" si="147"/>
        <v>0101</v>
      </c>
      <c r="I748" s="18" t="s">
        <v>152</v>
      </c>
      <c r="J748" s="12" t="str" cm="1">
        <f t="array" aca="1" ref="J748" ca="1">INDEX($J$743:$AO$743, INDEX($T$15:$AA$18, INT((COLUMN(A199)-1)/8)+1, MOD(COLUMN(A199)-1,8)+1))</f>
        <v>0</v>
      </c>
      <c r="K748" s="12" t="str" cm="1">
        <f t="array" aca="1" ref="K748" ca="1">INDEX($J$743:$AO$743, INDEX($T$15:$AA$18, INT((COLUMN(B199)-1)/8)+1, MOD(COLUMN(B199)-1,8)+1))</f>
        <v>1</v>
      </c>
      <c r="L748" s="12" t="str" cm="1">
        <f t="array" aca="1" ref="L748" ca="1">INDEX($J$743:$AO$743, INDEX($T$15:$AA$18, INT((COLUMN(C199)-1)/8)+1, MOD(COLUMN(C199)-1,8)+1))</f>
        <v>0</v>
      </c>
      <c r="M748" s="12" t="str" cm="1">
        <f t="array" aca="1" ref="M748" ca="1">INDEX($J$743:$AO$743, INDEX($T$15:$AA$18, INT((COLUMN(D199)-1)/8)+1, MOD(COLUMN(D199)-1,8)+1))</f>
        <v>0</v>
      </c>
      <c r="N748" s="12" t="str" cm="1">
        <f t="array" aca="1" ref="N748" ca="1">INDEX($J$743:$AO$743, INDEX($T$15:$AA$18, INT((COLUMN(E199)-1)/8)+1, MOD(COLUMN(E199)-1,8)+1))</f>
        <v>1</v>
      </c>
      <c r="O748" s="12" t="str" cm="1">
        <f t="array" aca="1" ref="O748" ca="1">INDEX($J$743:$AO$743, INDEX($T$15:$AA$18, INT((COLUMN(F199)-1)/8)+1, MOD(COLUMN(F199)-1,8)+1))</f>
        <v>1</v>
      </c>
      <c r="P748" s="12" t="str" cm="1">
        <f t="array" aca="1" ref="P748" ca="1">INDEX($J$743:$AO$743, INDEX($T$15:$AA$18, INT((COLUMN(G199)-1)/8)+1, MOD(COLUMN(G199)-1,8)+1))</f>
        <v>1</v>
      </c>
      <c r="Q748" s="12" t="str" cm="1">
        <f t="array" aca="1" ref="Q748" ca="1">INDEX($J$743:$AO$743, INDEX($T$15:$AA$18, INT((COLUMN(H199)-1)/8)+1, MOD(COLUMN(H199)-1,8)+1))</f>
        <v>0</v>
      </c>
      <c r="R748" s="12" t="str" cm="1">
        <f t="array" aca="1" ref="R748" ca="1">INDEX($J$743:$AO$743, INDEX($T$15:$AA$18, INT((COLUMN(I199)-1)/8)+1, MOD(COLUMN(I199)-1,8)+1))</f>
        <v>0</v>
      </c>
      <c r="S748" s="12" t="str" cm="1">
        <f t="array" aca="1" ref="S748" ca="1">INDEX($J$743:$AO$743, INDEX($T$15:$AA$18, INT((COLUMN(J199)-1)/8)+1, MOD(COLUMN(J199)-1,8)+1))</f>
        <v>1</v>
      </c>
      <c r="T748" s="12" t="str" cm="1">
        <f t="array" aca="1" ref="T748" ca="1">INDEX($J$743:$AO$743, INDEX($T$15:$AA$18, INT((COLUMN(K199)-1)/8)+1, MOD(COLUMN(K199)-1,8)+1))</f>
        <v>0</v>
      </c>
      <c r="U748" s="12" t="str" cm="1">
        <f t="array" aca="1" ref="U748" ca="1">INDEX($J$743:$AO$743, INDEX($T$15:$AA$18, INT((COLUMN(L199)-1)/8)+1, MOD(COLUMN(L199)-1,8)+1))</f>
        <v>1</v>
      </c>
      <c r="V748" s="12" t="str" cm="1">
        <f t="array" aca="1" ref="V748" ca="1">INDEX($J$743:$AO$743, INDEX($T$15:$AA$18, INT((COLUMN(M199)-1)/8)+1, MOD(COLUMN(M199)-1,8)+1))</f>
        <v>0</v>
      </c>
      <c r="W748" s="12" t="str" cm="1">
        <f t="array" aca="1" ref="W748" ca="1">INDEX($J$743:$AO$743, INDEX($T$15:$AA$18, INT((COLUMN(N199)-1)/8)+1, MOD(COLUMN(N199)-1,8)+1))</f>
        <v>0</v>
      </c>
      <c r="X748" s="12" t="str" cm="1">
        <f t="array" aca="1" ref="X748" ca="1">INDEX($J$743:$AO$743, INDEX($T$15:$AA$18, INT((COLUMN(O199)-1)/8)+1, MOD(COLUMN(O199)-1,8)+1))</f>
        <v>0</v>
      </c>
      <c r="Y748" s="12" t="str" cm="1">
        <f t="array" aca="1" ref="Y748" ca="1">INDEX($J$743:$AO$743, INDEX($T$15:$AA$18, INT((COLUMN(P199)-1)/8)+1, MOD(COLUMN(P199)-1,8)+1))</f>
        <v>1</v>
      </c>
      <c r="Z748" s="12" t="str" cm="1">
        <f t="array" aca="1" ref="Z748" ca="1">INDEX($J$743:$AO$743, INDEX($T$15:$AA$18, INT((COLUMN(Q199)-1)/8)+1, MOD(COLUMN(Q199)-1,8)+1))</f>
        <v>0</v>
      </c>
      <c r="AA748" s="12" t="str" cm="1">
        <f t="array" aca="1" ref="AA748" ca="1">INDEX($J$743:$AO$743, INDEX($T$15:$AA$18, INT((COLUMN(R199)-1)/8)+1, MOD(COLUMN(R199)-1,8)+1))</f>
        <v>0</v>
      </c>
      <c r="AB748" s="12" t="str" cm="1">
        <f t="array" aca="1" ref="AB748" ca="1">INDEX($J$743:$AO$743, INDEX($T$15:$AA$18, INT((COLUMN(S199)-1)/8)+1, MOD(COLUMN(S199)-1,8)+1))</f>
        <v>1</v>
      </c>
      <c r="AC748" s="12" t="str" cm="1">
        <f t="array" aca="1" ref="AC748" ca="1">INDEX($J$743:$AO$743, INDEX($T$15:$AA$18, INT((COLUMN(T199)-1)/8)+1, MOD(COLUMN(T199)-1,8)+1))</f>
        <v>0</v>
      </c>
      <c r="AD748" s="12" t="str" cm="1">
        <f t="array" aca="1" ref="AD748" ca="1">INDEX($J$743:$AO$743, INDEX($T$15:$AA$18, INT((COLUMN(U199)-1)/8)+1, MOD(COLUMN(U199)-1,8)+1))</f>
        <v>0</v>
      </c>
      <c r="AE748" s="12" t="str" cm="1">
        <f t="array" aca="1" ref="AE748" ca="1">INDEX($J$743:$AO$743, INDEX($T$15:$AA$18, INT((COLUMN(V199)-1)/8)+1, MOD(COLUMN(V199)-1,8)+1))</f>
        <v>0</v>
      </c>
      <c r="AF748" s="12" t="str" cm="1">
        <f t="array" aca="1" ref="AF748" ca="1">INDEX($J$743:$AO$743, INDEX($T$15:$AA$18, INT((COLUMN(W199)-1)/8)+1, MOD(COLUMN(W199)-1,8)+1))</f>
        <v>1</v>
      </c>
      <c r="AG748" s="12" t="str" cm="1">
        <f t="array" aca="1" ref="AG748" ca="1">INDEX($J$743:$AO$743, INDEX($T$15:$AA$18, INT((COLUMN(X199)-1)/8)+1, MOD(COLUMN(X199)-1,8)+1))</f>
        <v>1</v>
      </c>
      <c r="AH748" s="12" t="str" cm="1">
        <f t="array" aca="1" ref="AH748" ca="1">INDEX($J$743:$AO$743, INDEX($T$15:$AA$18, INT((COLUMN(Y199)-1)/8)+1, MOD(COLUMN(Y199)-1,8)+1))</f>
        <v>1</v>
      </c>
      <c r="AI748" s="12" t="str" cm="1">
        <f t="array" aca="1" ref="AI748" ca="1">INDEX($J$743:$AO$743, INDEX($T$15:$AA$18, INT((COLUMN(Z199)-1)/8)+1, MOD(COLUMN(Z199)-1,8)+1))</f>
        <v>0</v>
      </c>
      <c r="AJ748" s="12" t="str" cm="1">
        <f t="array" aca="1" ref="AJ748" ca="1">INDEX($J$743:$AO$743, INDEX($T$15:$AA$18, INT((COLUMN(AA199)-1)/8)+1, MOD(COLUMN(AA199)-1,8)+1))</f>
        <v>1</v>
      </c>
      <c r="AK748" s="12" t="str" cm="1">
        <f t="array" aca="1" ref="AK748" ca="1">INDEX($J$743:$AO$743, INDEX($T$15:$AA$18, INT((COLUMN(AB199)-1)/8)+1, MOD(COLUMN(AB199)-1,8)+1))</f>
        <v>0</v>
      </c>
      <c r="AL748" s="12" t="str" cm="1">
        <f t="array" aca="1" ref="AL748" ca="1">INDEX($J$743:$AO$743, INDEX($T$15:$AA$18, INT((COLUMN(AC199)-1)/8)+1, MOD(COLUMN(AC199)-1,8)+1))</f>
        <v>0</v>
      </c>
      <c r="AM748" s="12" t="str" cm="1">
        <f t="array" aca="1" ref="AM748" ca="1">INDEX($J$743:$AO$743, INDEX($T$15:$AA$18, INT((COLUMN(AD199)-1)/8)+1, MOD(COLUMN(AD199)-1,8)+1))</f>
        <v>0</v>
      </c>
      <c r="AN748" s="12" t="str" cm="1">
        <f t="array" aca="1" ref="AN748" ca="1">INDEX($J$743:$AO$743, INDEX($T$15:$AA$18, INT((COLUMN(AE199)-1)/8)+1, MOD(COLUMN(AE199)-1,8)+1))</f>
        <v>1</v>
      </c>
      <c r="AO748" s="12" t="str" cm="1">
        <f t="array" aca="1" ref="AO748" ca="1">INDEX($J$743:$AO$743, INDEX($T$15:$AA$18, INT((COLUMN(AF199)-1)/8)+1, MOD(COLUMN(AF199)-1,8)+1))</f>
        <v>0</v>
      </c>
    </row>
    <row r="749" spans="1:49">
      <c r="A749" s="7">
        <v>8</v>
      </c>
      <c r="B749" s="29" t="str">
        <f t="shared" ca="1" si="144"/>
        <v>101010</v>
      </c>
      <c r="C749" s="30"/>
      <c r="D749" s="7">
        <f t="shared" ca="1" si="145"/>
        <v>2</v>
      </c>
      <c r="E749" s="12">
        <f t="shared" ca="1" si="146"/>
        <v>5</v>
      </c>
      <c r="F749" s="12" cm="1">
        <f t="array" aca="1" ref="F749" ca="1">INDEX(OFFSET('S-box'!$A$2, (A749-1)*6, 0, 4, 16), D749+1, E749+1)</f>
        <v>12</v>
      </c>
      <c r="G749" s="17" t="str">
        <f t="shared" ca="1" si="147"/>
        <v>1100</v>
      </c>
    </row>
    <row r="751" spans="1:49">
      <c r="A751" s="20" t="s">
        <v>204</v>
      </c>
    </row>
    <row r="753" spans="1:63">
      <c r="A753" s="12" t="s">
        <v>3</v>
      </c>
      <c r="B753" s="12">
        <v>1</v>
      </c>
      <c r="C753" s="12">
        <v>2</v>
      </c>
      <c r="D753" s="12">
        <v>3</v>
      </c>
      <c r="E753" s="12">
        <v>4</v>
      </c>
      <c r="F753" s="12">
        <v>5</v>
      </c>
      <c r="G753" s="12">
        <v>6</v>
      </c>
      <c r="H753" s="12">
        <v>7</v>
      </c>
      <c r="I753" s="12">
        <v>8</v>
      </c>
      <c r="J753" s="12">
        <v>9</v>
      </c>
      <c r="K753" s="12">
        <v>10</v>
      </c>
      <c r="L753" s="12">
        <v>11</v>
      </c>
      <c r="M753" s="12">
        <v>12</v>
      </c>
      <c r="N753" s="12">
        <v>13</v>
      </c>
      <c r="O753" s="12">
        <v>14</v>
      </c>
      <c r="P753" s="12">
        <v>15</v>
      </c>
      <c r="Q753" s="12">
        <v>16</v>
      </c>
      <c r="R753" s="12">
        <v>17</v>
      </c>
      <c r="S753" s="12">
        <v>18</v>
      </c>
      <c r="T753" s="12">
        <v>19</v>
      </c>
      <c r="U753" s="12">
        <v>20</v>
      </c>
      <c r="V753" s="12">
        <v>21</v>
      </c>
      <c r="W753" s="12">
        <v>22</v>
      </c>
      <c r="X753" s="12">
        <v>23</v>
      </c>
      <c r="Y753" s="12">
        <v>24</v>
      </c>
      <c r="Z753" s="12">
        <v>25</v>
      </c>
      <c r="AA753" s="12">
        <v>26</v>
      </c>
      <c r="AB753" s="12">
        <v>27</v>
      </c>
      <c r="AC753" s="12">
        <v>28</v>
      </c>
      <c r="AD753" s="12">
        <v>29</v>
      </c>
      <c r="AE753" s="12">
        <v>30</v>
      </c>
      <c r="AF753" s="12">
        <v>31</v>
      </c>
      <c r="AG753" s="12">
        <v>32</v>
      </c>
    </row>
    <row r="754" spans="1:63">
      <c r="A754" s="12" t="s">
        <v>205</v>
      </c>
      <c r="B754" s="12">
        <v>0</v>
      </c>
      <c r="C754" s="12">
        <v>0</v>
      </c>
      <c r="D754" s="12">
        <v>1</v>
      </c>
      <c r="E754" s="12">
        <v>1</v>
      </c>
      <c r="F754" s="12">
        <v>0</v>
      </c>
      <c r="G754" s="12">
        <v>0</v>
      </c>
      <c r="H754" s="12">
        <v>1</v>
      </c>
      <c r="I754" s="12">
        <v>1</v>
      </c>
      <c r="J754" s="12">
        <v>1</v>
      </c>
      <c r="K754" s="12">
        <v>0</v>
      </c>
      <c r="L754" s="12">
        <v>0</v>
      </c>
      <c r="M754" s="12">
        <v>1</v>
      </c>
      <c r="N754" s="12">
        <v>0</v>
      </c>
      <c r="O754" s="12">
        <v>0</v>
      </c>
      <c r="P754" s="12">
        <v>0</v>
      </c>
      <c r="Q754" s="12">
        <v>1</v>
      </c>
      <c r="R754" s="12">
        <v>0</v>
      </c>
      <c r="S754" s="12">
        <v>0</v>
      </c>
      <c r="T754" s="12">
        <v>0</v>
      </c>
      <c r="U754" s="12">
        <v>1</v>
      </c>
      <c r="V754" s="12">
        <v>0</v>
      </c>
      <c r="W754" s="12">
        <v>1</v>
      </c>
      <c r="X754" s="12">
        <v>1</v>
      </c>
      <c r="Y754" s="12">
        <v>0</v>
      </c>
      <c r="Z754" s="12">
        <v>0</v>
      </c>
      <c r="AA754" s="12">
        <v>0</v>
      </c>
      <c r="AB754" s="12">
        <v>1</v>
      </c>
      <c r="AC754" s="12">
        <v>1</v>
      </c>
      <c r="AD754" s="12">
        <v>0</v>
      </c>
      <c r="AE754" s="12">
        <v>1</v>
      </c>
      <c r="AF754" s="12">
        <v>1</v>
      </c>
      <c r="AG754" s="12">
        <v>0</v>
      </c>
    </row>
    <row r="755" spans="1:63">
      <c r="A755" s="12" t="s">
        <v>206</v>
      </c>
      <c r="B755" s="12">
        <f ca="1">_xlfn.BITXOR(B721,J748)</f>
        <v>0</v>
      </c>
      <c r="C755" s="12">
        <f t="shared" ref="C755" ca="1" si="149">_xlfn.BITXOR(C721,K748)</f>
        <v>1</v>
      </c>
      <c r="D755" s="12">
        <f t="shared" ref="D755" ca="1" si="150">_xlfn.BITXOR(D721,L748)</f>
        <v>0</v>
      </c>
      <c r="E755" s="12">
        <f t="shared" ref="E755" ca="1" si="151">_xlfn.BITXOR(E721,M748)</f>
        <v>0</v>
      </c>
      <c r="F755" s="12">
        <f t="shared" ref="F755" ca="1" si="152">_xlfn.BITXOR(F721,N748)</f>
        <v>0</v>
      </c>
      <c r="G755" s="12">
        <f t="shared" ref="G755" ca="1" si="153">_xlfn.BITXOR(G721,O748)</f>
        <v>0</v>
      </c>
      <c r="H755" s="12">
        <f t="shared" ref="H755" ca="1" si="154">_xlfn.BITXOR(H721,P748)</f>
        <v>1</v>
      </c>
      <c r="I755" s="12">
        <f t="shared" ref="I755" ca="1" si="155">_xlfn.BITXOR(I721,Q748)</f>
        <v>1</v>
      </c>
      <c r="J755" s="12">
        <f t="shared" ref="J755" ca="1" si="156">_xlfn.BITXOR(J721,R748)</f>
        <v>0</v>
      </c>
      <c r="K755" s="12">
        <f t="shared" ref="K755" ca="1" si="157">_xlfn.BITXOR(K721,S748)</f>
        <v>1</v>
      </c>
      <c r="L755" s="12">
        <f t="shared" ref="L755" ca="1" si="158">_xlfn.BITXOR(L721,T748)</f>
        <v>1</v>
      </c>
      <c r="M755" s="12">
        <f t="shared" ref="M755" ca="1" si="159">_xlfn.BITXOR(M721,U748)</f>
        <v>1</v>
      </c>
      <c r="N755" s="12">
        <f t="shared" ref="N755" ca="1" si="160">_xlfn.BITXOR(N721,V748)</f>
        <v>0</v>
      </c>
      <c r="O755" s="12">
        <f t="shared" ref="O755" ca="1" si="161">_xlfn.BITXOR(O721,W748)</f>
        <v>1</v>
      </c>
      <c r="P755" s="12">
        <f t="shared" ref="P755" ca="1" si="162">_xlfn.BITXOR(P721,X748)</f>
        <v>1</v>
      </c>
      <c r="Q755" s="12">
        <f t="shared" ref="Q755" ca="1" si="163">_xlfn.BITXOR(Q721,Y748)</f>
        <v>1</v>
      </c>
      <c r="R755" s="12">
        <f t="shared" ref="R755" ca="1" si="164">_xlfn.BITXOR(R721,Z748)</f>
        <v>1</v>
      </c>
      <c r="S755" s="12">
        <f t="shared" ref="S755" ca="1" si="165">_xlfn.BITXOR(S721,AA748)</f>
        <v>0</v>
      </c>
      <c r="T755" s="12">
        <f t="shared" ref="T755" ca="1" si="166">_xlfn.BITXOR(T721,AB748)</f>
        <v>0</v>
      </c>
      <c r="U755" s="12">
        <f t="shared" ref="U755" ca="1" si="167">_xlfn.BITXOR(U721,AC748)</f>
        <v>1</v>
      </c>
      <c r="V755" s="12">
        <f t="shared" ref="V755" ca="1" si="168">_xlfn.BITXOR(V721,AD748)</f>
        <v>1</v>
      </c>
      <c r="W755" s="12">
        <f t="shared" ref="W755" ca="1" si="169">_xlfn.BITXOR(W721,AE748)</f>
        <v>1</v>
      </c>
      <c r="X755" s="12">
        <f t="shared" ref="X755" ca="1" si="170">_xlfn.BITXOR(X721,AF748)</f>
        <v>1</v>
      </c>
      <c r="Y755" s="12">
        <f t="shared" ref="Y755" ca="1" si="171">_xlfn.BITXOR(Y721,AG748)</f>
        <v>1</v>
      </c>
      <c r="Z755" s="12">
        <f t="shared" ref="Z755" ca="1" si="172">_xlfn.BITXOR(Z721,AH748)</f>
        <v>0</v>
      </c>
      <c r="AA755" s="12">
        <f t="shared" ref="AA755" ca="1" si="173">_xlfn.BITXOR(AA721,AI748)</f>
        <v>1</v>
      </c>
      <c r="AB755" s="12">
        <f t="shared" ref="AB755" ca="1" si="174">_xlfn.BITXOR(AB721,AJ748)</f>
        <v>0</v>
      </c>
      <c r="AC755" s="12">
        <f t="shared" ref="AC755" ca="1" si="175">_xlfn.BITXOR(AC721,AK748)</f>
        <v>1</v>
      </c>
      <c r="AD755" s="12">
        <f t="shared" ref="AD755" ca="1" si="176">_xlfn.BITXOR(AD721,AL748)</f>
        <v>0</v>
      </c>
      <c r="AE755" s="12">
        <f t="shared" ref="AE755" ca="1" si="177">_xlfn.BITXOR(AE721,AM748)</f>
        <v>1</v>
      </c>
      <c r="AF755" s="12">
        <f t="shared" ref="AF755" ca="1" si="178">_xlfn.BITXOR(AF721,AN748)</f>
        <v>1</v>
      </c>
      <c r="AG755" s="12">
        <f t="shared" ref="AG755" ca="1" si="179">_xlfn.BITXOR(AG721,AO748)</f>
        <v>1</v>
      </c>
    </row>
    <row r="757" spans="1:63">
      <c r="A757" s="21" t="s">
        <v>207</v>
      </c>
    </row>
    <row r="758" spans="1:63">
      <c r="A758" s="5" t="s">
        <v>208</v>
      </c>
      <c r="B758" s="12" cm="1">
        <f t="array" aca="1" ref="B758" ca="1">INDEX($B$755:$AG$755, T25)</f>
        <v>1</v>
      </c>
      <c r="C758" s="12" cm="1">
        <f t="array" aca="1" ref="C758" ca="1">INDEX($B$755:$AG$755, U25)</f>
        <v>0</v>
      </c>
      <c r="D758" s="12" cm="1">
        <f t="array" aca="1" ref="D758" ca="1">INDEX($B$755:$AG$755, V25)</f>
        <v>1</v>
      </c>
      <c r="E758" s="12" cm="1">
        <f t="array" aca="1" ref="E758" ca="1">INDEX($B$755:$AG$755, W25)</f>
        <v>0</v>
      </c>
      <c r="F758" s="12" cm="1">
        <f t="array" aca="1" ref="F758" ca="1">INDEX($B$755:$AG$755, X25)</f>
        <v>0</v>
      </c>
      <c r="G758" s="12" cm="1">
        <f t="array" aca="1" ref="G758" ca="1">INDEX($B$755:$AG$755, Y25)</f>
        <v>0</v>
      </c>
    </row>
    <row r="759" spans="1:63">
      <c r="B759" s="12" cm="1">
        <f t="array" aca="1" ref="B759" ca="1">INDEX($B$755:$AG$755, T26)</f>
        <v>0</v>
      </c>
      <c r="C759" s="12" cm="1">
        <f t="array" aca="1" ref="C759" ca="1">INDEX($B$755:$AG$755, U26)</f>
        <v>0</v>
      </c>
      <c r="D759" s="12" cm="1">
        <f t="array" aca="1" ref="D759" ca="1">INDEX($B$755:$AG$755, V26)</f>
        <v>0</v>
      </c>
      <c r="E759" s="12" cm="1">
        <f t="array" aca="1" ref="E759" ca="1">INDEX($B$755:$AG$755, W26)</f>
        <v>1</v>
      </c>
      <c r="F759" s="12" cm="1">
        <f t="array" aca="1" ref="F759" ca="1">INDEX($B$755:$AG$755, X26)</f>
        <v>1</v>
      </c>
      <c r="G759" s="12" cm="1">
        <f t="array" aca="1" ref="G759" ca="1">INDEX($B$755:$AG$755, Y26)</f>
        <v>0</v>
      </c>
    </row>
    <row r="760" spans="1:63">
      <c r="B760" s="12" cm="1">
        <f t="array" aca="1" ref="B760" ca="1">INDEX($B$755:$AG$755, T27)</f>
        <v>1</v>
      </c>
      <c r="C760" s="12" cm="1">
        <f t="array" aca="1" ref="C760" ca="1">INDEX($B$755:$AG$755, U27)</f>
        <v>0</v>
      </c>
      <c r="D760" s="12" cm="1">
        <f t="array" aca="1" ref="D760" ca="1">INDEX($B$755:$AG$755, V27)</f>
        <v>1</v>
      </c>
      <c r="E760" s="12" cm="1">
        <f t="array" aca="1" ref="E760" ca="1">INDEX($B$755:$AG$755, W27)</f>
        <v>1</v>
      </c>
      <c r="F760" s="12" cm="1">
        <f t="array" aca="1" ref="F760" ca="1">INDEX($B$755:$AG$755, X27)</f>
        <v>1</v>
      </c>
      <c r="G760" s="12" cm="1">
        <f t="array" aca="1" ref="G760" ca="1">INDEX($B$755:$AG$755, Y27)</f>
        <v>0</v>
      </c>
    </row>
    <row r="761" spans="1:63">
      <c r="B761" s="12" cm="1">
        <f t="array" aca="1" ref="B761" ca="1">INDEX($B$755:$AG$755, T28)</f>
        <v>1</v>
      </c>
      <c r="C761" s="12" cm="1">
        <f t="array" aca="1" ref="C761" ca="1">INDEX($B$755:$AG$755, U28)</f>
        <v>0</v>
      </c>
      <c r="D761" s="12" cm="1">
        <f t="array" aca="1" ref="D761" ca="1">INDEX($B$755:$AG$755, V28)</f>
        <v>1</v>
      </c>
      <c r="E761" s="12" cm="1">
        <f t="array" aca="1" ref="E761" ca="1">INDEX($B$755:$AG$755, W28)</f>
        <v>1</v>
      </c>
      <c r="F761" s="12" cm="1">
        <f t="array" aca="1" ref="F761" ca="1">INDEX($B$755:$AG$755, X28)</f>
        <v>1</v>
      </c>
      <c r="G761" s="12" cm="1">
        <f t="array" aca="1" ref="G761" ca="1">INDEX($B$755:$AG$755, Y28)</f>
        <v>1</v>
      </c>
    </row>
    <row r="762" spans="1:63">
      <c r="B762" s="12" cm="1">
        <f t="array" aca="1" ref="B762" ca="1">INDEX($B$755:$AG$755, T29)</f>
        <v>1</v>
      </c>
      <c r="C762" s="12" cm="1">
        <f t="array" aca="1" ref="C762" ca="1">INDEX($B$755:$AG$755, U29)</f>
        <v>1</v>
      </c>
      <c r="D762" s="12" cm="1">
        <f t="array" aca="1" ref="D762" ca="1">INDEX($B$755:$AG$755, V29)</f>
        <v>0</v>
      </c>
      <c r="E762" s="12" cm="1">
        <f t="array" aca="1" ref="E762" ca="1">INDEX($B$755:$AG$755, W29)</f>
        <v>0</v>
      </c>
      <c r="F762" s="12" cm="1">
        <f t="array" aca="1" ref="F762" ca="1">INDEX($B$755:$AG$755, X29)</f>
        <v>1</v>
      </c>
      <c r="G762" s="12" cm="1">
        <f t="array" aca="1" ref="G762" ca="1">INDEX($B$755:$AG$755, Y29)</f>
        <v>1</v>
      </c>
    </row>
    <row r="763" spans="1:63">
      <c r="B763" s="12" cm="1">
        <f t="array" aca="1" ref="B763" ca="1">INDEX($B$755:$AG$755, T30)</f>
        <v>1</v>
      </c>
      <c r="C763" s="12" cm="1">
        <f t="array" aca="1" ref="C763" ca="1">INDEX($B$755:$AG$755, U30)</f>
        <v>1</v>
      </c>
      <c r="D763" s="12" cm="1">
        <f t="array" aca="1" ref="D763" ca="1">INDEX($B$755:$AG$755, V30)</f>
        <v>1</v>
      </c>
      <c r="E763" s="12" cm="1">
        <f t="array" aca="1" ref="E763" ca="1">INDEX($B$755:$AG$755, W30)</f>
        <v>1</v>
      </c>
      <c r="F763" s="12" cm="1">
        <f t="array" aca="1" ref="F763" ca="1">INDEX($B$755:$AG$755, X30)</f>
        <v>1</v>
      </c>
      <c r="G763" s="12" cm="1">
        <f t="array" aca="1" ref="G763" ca="1">INDEX($B$755:$AG$755, Y30)</f>
        <v>0</v>
      </c>
    </row>
    <row r="764" spans="1:63">
      <c r="B764" s="12" cm="1">
        <f t="array" aca="1" ref="B764" ca="1">INDEX($B$755:$AG$755, T31)</f>
        <v>1</v>
      </c>
      <c r="C764" s="12" cm="1">
        <f t="array" aca="1" ref="C764" ca="1">INDEX($B$755:$AG$755, U31)</f>
        <v>0</v>
      </c>
      <c r="D764" s="12" cm="1">
        <f t="array" aca="1" ref="D764" ca="1">INDEX($B$755:$AG$755, V31)</f>
        <v>1</v>
      </c>
      <c r="E764" s="12" cm="1">
        <f t="array" aca="1" ref="E764" ca="1">INDEX($B$755:$AG$755, W31)</f>
        <v>0</v>
      </c>
      <c r="F764" s="12" cm="1">
        <f t="array" aca="1" ref="F764" ca="1">INDEX($B$755:$AG$755, X31)</f>
        <v>1</v>
      </c>
      <c r="G764" s="12" cm="1">
        <f t="array" aca="1" ref="G764" ca="1">INDEX($B$755:$AG$755, Y31)</f>
        <v>0</v>
      </c>
    </row>
    <row r="765" spans="1:63">
      <c r="B765" s="12" cm="1">
        <f t="array" aca="1" ref="B765" ca="1">INDEX($B$755:$AG$755, T32)</f>
        <v>1</v>
      </c>
      <c r="C765" s="12" cm="1">
        <f t="array" aca="1" ref="C765" ca="1">INDEX($B$755:$AG$755, U32)</f>
        <v>0</v>
      </c>
      <c r="D765" s="12" cm="1">
        <f t="array" aca="1" ref="D765" ca="1">INDEX($B$755:$AG$755, V32)</f>
        <v>1</v>
      </c>
      <c r="E765" s="12" cm="1">
        <f t="array" aca="1" ref="E765" ca="1">INDEX($B$755:$AG$755, W32)</f>
        <v>1</v>
      </c>
      <c r="F765" s="12" cm="1">
        <f t="array" aca="1" ref="F765" ca="1">INDEX($B$755:$AG$755, X32)</f>
        <v>1</v>
      </c>
      <c r="G765" s="12" cm="1">
        <f t="array" aca="1" ref="G765" ca="1">INDEX($B$755:$AG$755, Y32)</f>
        <v>0</v>
      </c>
    </row>
    <row r="767" spans="1:63">
      <c r="A767" s="12" t="s">
        <v>3</v>
      </c>
      <c r="B767" s="12">
        <v>1</v>
      </c>
      <c r="C767" s="12">
        <v>2</v>
      </c>
      <c r="D767" s="12">
        <v>3</v>
      </c>
      <c r="E767" s="12">
        <v>4</v>
      </c>
      <c r="F767" s="12">
        <v>5</v>
      </c>
      <c r="G767" s="12">
        <v>6</v>
      </c>
      <c r="H767" s="12">
        <v>7</v>
      </c>
      <c r="I767" s="12">
        <v>8</v>
      </c>
      <c r="J767" s="12">
        <v>9</v>
      </c>
      <c r="K767" s="12">
        <v>10</v>
      </c>
      <c r="L767" s="12">
        <v>11</v>
      </c>
      <c r="M767" s="12">
        <v>12</v>
      </c>
      <c r="N767" s="12">
        <v>13</v>
      </c>
      <c r="O767" s="12">
        <v>14</v>
      </c>
      <c r="P767" s="12">
        <v>15</v>
      </c>
      <c r="Q767" s="12">
        <v>16</v>
      </c>
      <c r="R767" s="12">
        <v>17</v>
      </c>
      <c r="S767" s="12">
        <v>18</v>
      </c>
      <c r="T767" s="12">
        <v>19</v>
      </c>
      <c r="U767" s="12">
        <v>20</v>
      </c>
      <c r="V767" s="12">
        <v>21</v>
      </c>
      <c r="W767" s="12">
        <v>22</v>
      </c>
      <c r="X767" s="12">
        <v>23</v>
      </c>
      <c r="Y767" s="12">
        <v>24</v>
      </c>
      <c r="Z767" s="12">
        <v>25</v>
      </c>
      <c r="AA767" s="12">
        <v>26</v>
      </c>
      <c r="AB767" s="12">
        <v>27</v>
      </c>
      <c r="AC767" s="12">
        <v>28</v>
      </c>
      <c r="AD767" s="12">
        <v>29</v>
      </c>
      <c r="AE767" s="12">
        <v>30</v>
      </c>
      <c r="AF767" s="12">
        <v>31</v>
      </c>
      <c r="AG767" s="12">
        <v>32</v>
      </c>
      <c r="AH767" s="12">
        <v>33</v>
      </c>
      <c r="AI767" s="12">
        <v>34</v>
      </c>
      <c r="AJ767" s="12">
        <v>35</v>
      </c>
      <c r="AK767" s="12">
        <v>36</v>
      </c>
      <c r="AL767" s="12">
        <v>37</v>
      </c>
      <c r="AM767" s="12">
        <v>38</v>
      </c>
      <c r="AN767" s="12">
        <v>39</v>
      </c>
      <c r="AO767" s="12">
        <v>40</v>
      </c>
      <c r="AP767" s="12">
        <v>41</v>
      </c>
      <c r="AQ767" s="12">
        <v>42</v>
      </c>
      <c r="AR767" s="12">
        <v>43</v>
      </c>
      <c r="AS767" s="12">
        <v>44</v>
      </c>
      <c r="AT767" s="12">
        <v>45</v>
      </c>
      <c r="AU767" s="12">
        <v>46</v>
      </c>
      <c r="AV767" s="12">
        <v>47</v>
      </c>
      <c r="AW767" s="12">
        <v>48</v>
      </c>
      <c r="BK767" s="5">
        <v>2</v>
      </c>
    </row>
    <row r="768" spans="1:63">
      <c r="A768" s="7" t="s">
        <v>208</v>
      </c>
      <c r="B768" s="16" cm="1">
        <f t="array" aca="1" ref="B768" ca="1">INDEX($B$758:$G765, INT((COLUMN(A624)-1)/6)+1, MOD(COLUMN(A624)-1,6)+1)</f>
        <v>1</v>
      </c>
      <c r="C768" s="16" cm="1">
        <f t="array" aca="1" ref="C768" ca="1">INDEX($B$758:$G765, INT((COLUMN(B624)-1)/6)+1, MOD(COLUMN(B624)-1,6)+1)</f>
        <v>0</v>
      </c>
      <c r="D768" s="16" cm="1">
        <f t="array" aca="1" ref="D768" ca="1">INDEX($B$758:$G765, INT((COLUMN(C624)-1)/6)+1, MOD(COLUMN(C624)-1,6)+1)</f>
        <v>1</v>
      </c>
      <c r="E768" s="16" cm="1">
        <f t="array" aca="1" ref="E768" ca="1">INDEX($B$758:$G765, INT((COLUMN(D624)-1)/6)+1, MOD(COLUMN(D624)-1,6)+1)</f>
        <v>0</v>
      </c>
      <c r="F768" s="16" cm="1">
        <f t="array" aca="1" ref="F768" ca="1">INDEX($B$758:$G765, INT((COLUMN(E624)-1)/6)+1, MOD(COLUMN(E624)-1,6)+1)</f>
        <v>0</v>
      </c>
      <c r="G768" s="16" cm="1">
        <f t="array" aca="1" ref="G768" ca="1">INDEX($B$758:$G765, INT((COLUMN(F624)-1)/6)+1, MOD(COLUMN(F624)-1,6)+1)</f>
        <v>0</v>
      </c>
      <c r="H768" s="16" cm="1">
        <f t="array" aca="1" ref="H768" ca="1">INDEX($B$758:$G765, INT((COLUMN(G624)-1)/6)+1, MOD(COLUMN(G624)-1,6)+1)</f>
        <v>0</v>
      </c>
      <c r="I768" s="16" cm="1">
        <f t="array" aca="1" ref="I768" ca="1">INDEX($B$758:$G765, INT((COLUMN(H624)-1)/6)+1, MOD(COLUMN(H624)-1,6)+1)</f>
        <v>0</v>
      </c>
      <c r="J768" s="16" cm="1">
        <f t="array" aca="1" ref="J768" ca="1">INDEX($B$758:$G765, INT((COLUMN(I624)-1)/6)+1, MOD(COLUMN(I624)-1,6)+1)</f>
        <v>0</v>
      </c>
      <c r="K768" s="16" cm="1">
        <f t="array" aca="1" ref="K768" ca="1">INDEX($B$758:$G765, INT((COLUMN(J624)-1)/6)+1, MOD(COLUMN(J624)-1,6)+1)</f>
        <v>1</v>
      </c>
      <c r="L768" s="16" cm="1">
        <f t="array" aca="1" ref="L768" ca="1">INDEX($B$758:$G765, INT((COLUMN(K624)-1)/6)+1, MOD(COLUMN(K624)-1,6)+1)</f>
        <v>1</v>
      </c>
      <c r="M768" s="16" cm="1">
        <f t="array" aca="1" ref="M768" ca="1">INDEX($B$758:$G765, INT((COLUMN(L624)-1)/6)+1, MOD(COLUMN(L624)-1,6)+1)</f>
        <v>0</v>
      </c>
      <c r="N768" s="16" cm="1">
        <f t="array" aca="1" ref="N768" ca="1">INDEX($B$758:$G765, INT((COLUMN(M624)-1)/6)+1, MOD(COLUMN(M624)-1,6)+1)</f>
        <v>1</v>
      </c>
      <c r="O768" s="16" cm="1">
        <f t="array" aca="1" ref="O768" ca="1">INDEX($B$758:$G765, INT((COLUMN(N624)-1)/6)+1, MOD(COLUMN(N624)-1,6)+1)</f>
        <v>0</v>
      </c>
      <c r="P768" s="16" cm="1">
        <f t="array" aca="1" ref="P768" ca="1">INDEX($B$758:$G765, INT((COLUMN(O624)-1)/6)+1, MOD(COLUMN(O624)-1,6)+1)</f>
        <v>1</v>
      </c>
      <c r="Q768" s="16" cm="1">
        <f t="array" aca="1" ref="Q768" ca="1">INDEX($B$758:$G765, INT((COLUMN(P624)-1)/6)+1, MOD(COLUMN(P624)-1,6)+1)</f>
        <v>1</v>
      </c>
      <c r="R768" s="16" cm="1">
        <f t="array" aca="1" ref="R768" ca="1">INDEX($B$758:$G765, INT((COLUMN(Q624)-1)/6)+1, MOD(COLUMN(Q624)-1,6)+1)</f>
        <v>1</v>
      </c>
      <c r="S768" s="16" cm="1">
        <f t="array" aca="1" ref="S768" ca="1">INDEX($B$758:$G765, INT((COLUMN(R624)-1)/6)+1, MOD(COLUMN(R624)-1,6)+1)</f>
        <v>0</v>
      </c>
      <c r="T768" s="16" cm="1">
        <f t="array" aca="1" ref="T768" ca="1">INDEX($B$758:$G765, INT((COLUMN(S624)-1)/6)+1, MOD(COLUMN(S624)-1,6)+1)</f>
        <v>1</v>
      </c>
      <c r="U768" s="16" cm="1">
        <f t="array" aca="1" ref="U768" ca="1">INDEX($B$758:$G765, INT((COLUMN(T624)-1)/6)+1, MOD(COLUMN(T624)-1,6)+1)</f>
        <v>0</v>
      </c>
      <c r="V768" s="16" cm="1">
        <f t="array" aca="1" ref="V768" ca="1">INDEX($B$758:$G765, INT((COLUMN(U624)-1)/6)+1, MOD(COLUMN(U624)-1,6)+1)</f>
        <v>1</v>
      </c>
      <c r="W768" s="16" cm="1">
        <f t="array" aca="1" ref="W768" ca="1">INDEX($B$758:$G765, INT((COLUMN(V624)-1)/6)+1, MOD(COLUMN(V624)-1,6)+1)</f>
        <v>1</v>
      </c>
      <c r="X768" s="16" cm="1">
        <f t="array" aca="1" ref="X768" ca="1">INDEX($B$758:$G765, INT((COLUMN(W624)-1)/6)+1, MOD(COLUMN(W624)-1,6)+1)</f>
        <v>1</v>
      </c>
      <c r="Y768" s="16" cm="1">
        <f t="array" aca="1" ref="Y768" ca="1">INDEX($B$758:$G765, INT((COLUMN(X624)-1)/6)+1, MOD(COLUMN(X624)-1,6)+1)</f>
        <v>1</v>
      </c>
      <c r="Z768" s="16" cm="1">
        <f t="array" aca="1" ref="Z768" ca="1">INDEX($B$758:$G765, INT((COLUMN(Y624)-1)/6)+1, MOD(COLUMN(Y624)-1,6)+1)</f>
        <v>1</v>
      </c>
      <c r="AA768" s="16" cm="1">
        <f t="array" aca="1" ref="AA768" ca="1">INDEX($B$758:$G765, INT((COLUMN(Z624)-1)/6)+1, MOD(COLUMN(Z624)-1,6)+1)</f>
        <v>1</v>
      </c>
      <c r="AB768" s="16" cm="1">
        <f t="array" aca="1" ref="AB768" ca="1">INDEX($B$758:$G765, INT((COLUMN(AA624)-1)/6)+1, MOD(COLUMN(AA624)-1,6)+1)</f>
        <v>0</v>
      </c>
      <c r="AC768" s="16" cm="1">
        <f t="array" aca="1" ref="AC768" ca="1">INDEX($B$758:$G765, INT((COLUMN(AB624)-1)/6)+1, MOD(COLUMN(AB624)-1,6)+1)</f>
        <v>0</v>
      </c>
      <c r="AD768" s="16" cm="1">
        <f t="array" aca="1" ref="AD768" ca="1">INDEX($B$758:$G765, INT((COLUMN(AC624)-1)/6)+1, MOD(COLUMN(AC624)-1,6)+1)</f>
        <v>1</v>
      </c>
      <c r="AE768" s="16" cm="1">
        <f t="array" aca="1" ref="AE768" ca="1">INDEX($B$758:$G765, INT((COLUMN(AD624)-1)/6)+1, MOD(COLUMN(AD624)-1,6)+1)</f>
        <v>1</v>
      </c>
      <c r="AF768" s="16" cm="1">
        <f t="array" aca="1" ref="AF768" ca="1">INDEX($B$758:$G765, INT((COLUMN(AE624)-1)/6)+1, MOD(COLUMN(AE624)-1,6)+1)</f>
        <v>1</v>
      </c>
      <c r="AG768" s="16" cm="1">
        <f t="array" aca="1" ref="AG768" ca="1">INDEX($B$758:$G765, INT((COLUMN(AF624)-1)/6)+1, MOD(COLUMN(AF624)-1,6)+1)</f>
        <v>1</v>
      </c>
      <c r="AH768" s="16" cm="1">
        <f t="array" aca="1" ref="AH768" ca="1">INDEX($B$758:$G765, INT((COLUMN(AG624)-1)/6)+1, MOD(COLUMN(AG624)-1,6)+1)</f>
        <v>1</v>
      </c>
      <c r="AI768" s="16" cm="1">
        <f t="array" aca="1" ref="AI768" ca="1">INDEX($B$758:$G765, INT((COLUMN(AH624)-1)/6)+1, MOD(COLUMN(AH624)-1,6)+1)</f>
        <v>1</v>
      </c>
      <c r="AJ768" s="16" cm="1">
        <f t="array" aca="1" ref="AJ768" ca="1">INDEX($B$758:$G765, INT((COLUMN(AI624)-1)/6)+1, MOD(COLUMN(AI624)-1,6)+1)</f>
        <v>1</v>
      </c>
      <c r="AK768" s="16" cm="1">
        <f t="array" aca="1" ref="AK768" ca="1">INDEX($B$758:$G765, INT((COLUMN(AJ624)-1)/6)+1, MOD(COLUMN(AJ624)-1,6)+1)</f>
        <v>0</v>
      </c>
      <c r="AL768" s="16" cm="1">
        <f t="array" aca="1" ref="AL768" ca="1">INDEX($B$758:$G765, INT((COLUMN(AK624)-1)/6)+1, MOD(COLUMN(AK624)-1,6)+1)</f>
        <v>1</v>
      </c>
      <c r="AM768" s="16" cm="1">
        <f t="array" aca="1" ref="AM768" ca="1">INDEX($B$758:$G765, INT((COLUMN(AL624)-1)/6)+1, MOD(COLUMN(AL624)-1,6)+1)</f>
        <v>0</v>
      </c>
      <c r="AN768" s="16" cm="1">
        <f t="array" aca="1" ref="AN768" ca="1">INDEX($B$758:$G765, INT((COLUMN(AM624)-1)/6)+1, MOD(COLUMN(AM624)-1,6)+1)</f>
        <v>1</v>
      </c>
      <c r="AO768" s="16" cm="1">
        <f t="array" aca="1" ref="AO768" ca="1">INDEX($B$758:$G765, INT((COLUMN(AN624)-1)/6)+1, MOD(COLUMN(AN624)-1,6)+1)</f>
        <v>0</v>
      </c>
      <c r="AP768" s="16" cm="1">
        <f t="array" aca="1" ref="AP768" ca="1">INDEX($B$758:$G765, INT((COLUMN(AO624)-1)/6)+1, MOD(COLUMN(AO624)-1,6)+1)</f>
        <v>1</v>
      </c>
      <c r="AQ768" s="16" cm="1">
        <f t="array" aca="1" ref="AQ768" ca="1">INDEX($B$758:$G765, INT((COLUMN(AP624)-1)/6)+1, MOD(COLUMN(AP624)-1,6)+1)</f>
        <v>0</v>
      </c>
      <c r="AR768" s="16" cm="1">
        <f t="array" aca="1" ref="AR768" ca="1">INDEX($B$758:$G765, INT((COLUMN(AQ624)-1)/6)+1, MOD(COLUMN(AQ624)-1,6)+1)</f>
        <v>1</v>
      </c>
      <c r="AS768" s="16" cm="1">
        <f t="array" aca="1" ref="AS768" ca="1">INDEX($B$758:$G765, INT((COLUMN(AR624)-1)/6)+1, MOD(COLUMN(AR624)-1,6)+1)</f>
        <v>0</v>
      </c>
      <c r="AT768" s="16" cm="1">
        <f t="array" aca="1" ref="AT768" ca="1">INDEX($B$758:$G765, INT((COLUMN(AS624)-1)/6)+1, MOD(COLUMN(AS624)-1,6)+1)</f>
        <v>1</v>
      </c>
      <c r="AU768" s="16" cm="1">
        <f t="array" aca="1" ref="AU768" ca="1">INDEX($B$758:$G765, INT((COLUMN(AT624)-1)/6)+1, MOD(COLUMN(AT624)-1,6)+1)</f>
        <v>1</v>
      </c>
      <c r="AV768" s="16" cm="1">
        <f t="array" aca="1" ref="AV768" ca="1">INDEX($B$758:$G765, INT((COLUMN(AU624)-1)/6)+1, MOD(COLUMN(AU624)-1,6)+1)</f>
        <v>1</v>
      </c>
      <c r="AW768" s="16" cm="1">
        <f t="array" aca="1" ref="AW768" ca="1">INDEX($B$758:$G765, INT((COLUMN(AV624)-1)/6)+1, MOD(COLUMN(AV624)-1,6)+1)</f>
        <v>0</v>
      </c>
    </row>
    <row r="769" spans="1:56">
      <c r="A769" s="19"/>
    </row>
    <row r="770" spans="1:56">
      <c r="A770" s="12" t="s">
        <v>3</v>
      </c>
      <c r="B770" s="12">
        <v>1</v>
      </c>
      <c r="C770" s="12">
        <v>2</v>
      </c>
      <c r="D770" s="12">
        <v>3</v>
      </c>
      <c r="E770" s="12">
        <v>4</v>
      </c>
      <c r="F770" s="12">
        <v>5</v>
      </c>
      <c r="G770" s="12">
        <v>6</v>
      </c>
      <c r="H770" s="12">
        <v>7</v>
      </c>
      <c r="I770" s="12">
        <v>8</v>
      </c>
      <c r="J770" s="12">
        <v>9</v>
      </c>
      <c r="K770" s="12">
        <v>10</v>
      </c>
      <c r="L770" s="12">
        <v>11</v>
      </c>
      <c r="M770" s="12">
        <v>12</v>
      </c>
      <c r="N770" s="12">
        <v>13</v>
      </c>
      <c r="O770" s="12">
        <v>14</v>
      </c>
      <c r="P770" s="12">
        <v>15</v>
      </c>
      <c r="Q770" s="12">
        <v>16</v>
      </c>
      <c r="R770" s="12">
        <v>17</v>
      </c>
      <c r="S770" s="12">
        <v>18</v>
      </c>
      <c r="T770" s="12">
        <v>19</v>
      </c>
      <c r="U770" s="12">
        <v>20</v>
      </c>
      <c r="V770" s="12">
        <v>21</v>
      </c>
      <c r="W770" s="12">
        <v>22</v>
      </c>
      <c r="X770" s="12">
        <v>23</v>
      </c>
      <c r="Y770" s="12">
        <v>24</v>
      </c>
      <c r="Z770" s="12">
        <v>25</v>
      </c>
      <c r="AA770" s="12">
        <v>26</v>
      </c>
      <c r="AB770" s="12">
        <v>27</v>
      </c>
      <c r="AC770" s="12">
        <v>28</v>
      </c>
      <c r="AD770" s="12">
        <v>29</v>
      </c>
      <c r="AE770" s="12">
        <v>30</v>
      </c>
      <c r="AF770" s="12">
        <v>31</v>
      </c>
      <c r="AG770" s="12">
        <v>32</v>
      </c>
      <c r="AH770" s="12">
        <v>33</v>
      </c>
      <c r="AI770" s="12">
        <v>34</v>
      </c>
      <c r="AJ770" s="12">
        <v>35</v>
      </c>
      <c r="AK770" s="12">
        <v>36</v>
      </c>
      <c r="AL770" s="12">
        <v>37</v>
      </c>
      <c r="AM770" s="12">
        <v>38</v>
      </c>
      <c r="AN770" s="12">
        <v>39</v>
      </c>
      <c r="AO770" s="12">
        <v>40</v>
      </c>
      <c r="AP770" s="12">
        <v>41</v>
      </c>
      <c r="AQ770" s="12">
        <v>42</v>
      </c>
      <c r="AR770" s="12">
        <v>43</v>
      </c>
      <c r="AS770" s="12">
        <v>44</v>
      </c>
      <c r="AT770" s="12">
        <v>45</v>
      </c>
      <c r="AU770" s="12">
        <v>46</v>
      </c>
      <c r="AV770" s="12">
        <v>47</v>
      </c>
      <c r="AW770" s="12">
        <v>48</v>
      </c>
    </row>
    <row r="771" spans="1:56">
      <c r="A771" s="7" t="s">
        <v>209</v>
      </c>
      <c r="B771" s="16">
        <f ca="1">_xlfn.BITXOR(B768, B294)</f>
        <v>0</v>
      </c>
      <c r="C771" s="16">
        <f t="shared" ref="C771:AW771" ca="1" si="180">_xlfn.BITXOR(C768, C294)</f>
        <v>1</v>
      </c>
      <c r="D771" s="16">
        <f t="shared" ca="1" si="180"/>
        <v>0</v>
      </c>
      <c r="E771" s="16">
        <f t="shared" ca="1" si="180"/>
        <v>1</v>
      </c>
      <c r="F771" s="16">
        <f t="shared" ca="1" si="180"/>
        <v>0</v>
      </c>
      <c r="G771" s="16">
        <f t="shared" ca="1" si="180"/>
        <v>1</v>
      </c>
      <c r="H771" s="16">
        <f t="shared" ca="1" si="180"/>
        <v>1</v>
      </c>
      <c r="I771" s="16">
        <f t="shared" ca="1" si="180"/>
        <v>1</v>
      </c>
      <c r="J771" s="16">
        <f t="shared" ca="1" si="180"/>
        <v>1</v>
      </c>
      <c r="K771" s="16">
        <f t="shared" ca="1" si="180"/>
        <v>1</v>
      </c>
      <c r="L771" s="16">
        <f t="shared" ca="1" si="180"/>
        <v>1</v>
      </c>
      <c r="M771" s="16">
        <f t="shared" ca="1" si="180"/>
        <v>0</v>
      </c>
      <c r="N771" s="16">
        <f t="shared" ca="1" si="180"/>
        <v>0</v>
      </c>
      <c r="O771" s="16">
        <f t="shared" ca="1" si="180"/>
        <v>0</v>
      </c>
      <c r="P771" s="16">
        <f t="shared" ca="1" si="180"/>
        <v>1</v>
      </c>
      <c r="Q771" s="16">
        <f t="shared" ca="1" si="180"/>
        <v>1</v>
      </c>
      <c r="R771" s="16">
        <f t="shared" ca="1" si="180"/>
        <v>1</v>
      </c>
      <c r="S771" s="16">
        <f t="shared" ca="1" si="180"/>
        <v>0</v>
      </c>
      <c r="T771" s="16">
        <f t="shared" ca="1" si="180"/>
        <v>0</v>
      </c>
      <c r="U771" s="16">
        <f t="shared" ca="1" si="180"/>
        <v>1</v>
      </c>
      <c r="V771" s="16">
        <f t="shared" ca="1" si="180"/>
        <v>0</v>
      </c>
      <c r="W771" s="16">
        <f t="shared" ca="1" si="180"/>
        <v>1</v>
      </c>
      <c r="X771" s="16">
        <f t="shared" ca="1" si="180"/>
        <v>0</v>
      </c>
      <c r="Y771" s="16">
        <f t="shared" ca="1" si="180"/>
        <v>1</v>
      </c>
      <c r="Z771" s="16">
        <f t="shared" ca="1" si="180"/>
        <v>0</v>
      </c>
      <c r="AA771" s="16">
        <f t="shared" ca="1" si="180"/>
        <v>0</v>
      </c>
      <c r="AB771" s="16">
        <f t="shared" ca="1" si="180"/>
        <v>1</v>
      </c>
      <c r="AC771" s="16">
        <f t="shared" ca="1" si="180"/>
        <v>0</v>
      </c>
      <c r="AD771" s="16">
        <f t="shared" ca="1" si="180"/>
        <v>0</v>
      </c>
      <c r="AE771" s="16">
        <f t="shared" ca="1" si="180"/>
        <v>0</v>
      </c>
      <c r="AF771" s="16">
        <f t="shared" ca="1" si="180"/>
        <v>1</v>
      </c>
      <c r="AG771" s="16">
        <f t="shared" ca="1" si="180"/>
        <v>1</v>
      </c>
      <c r="AH771" s="16">
        <f t="shared" ca="1" si="180"/>
        <v>0</v>
      </c>
      <c r="AI771" s="16">
        <f t="shared" ca="1" si="180"/>
        <v>0</v>
      </c>
      <c r="AJ771" s="16">
        <f t="shared" ca="1" si="180"/>
        <v>0</v>
      </c>
      <c r="AK771" s="16">
        <f t="shared" ca="1" si="180"/>
        <v>0</v>
      </c>
      <c r="AL771" s="16">
        <f t="shared" ca="1" si="180"/>
        <v>1</v>
      </c>
      <c r="AM771" s="16">
        <f t="shared" ca="1" si="180"/>
        <v>1</v>
      </c>
      <c r="AN771" s="16">
        <f t="shared" ca="1" si="180"/>
        <v>0</v>
      </c>
      <c r="AO771" s="16">
        <f t="shared" ca="1" si="180"/>
        <v>1</v>
      </c>
      <c r="AP771" s="16">
        <f t="shared" ca="1" si="180"/>
        <v>0</v>
      </c>
      <c r="AQ771" s="16">
        <f t="shared" ca="1" si="180"/>
        <v>0</v>
      </c>
      <c r="AR771" s="16">
        <f t="shared" ca="1" si="180"/>
        <v>1</v>
      </c>
      <c r="AS771" s="16">
        <f t="shared" ca="1" si="180"/>
        <v>0</v>
      </c>
      <c r="AT771" s="16">
        <f t="shared" ca="1" si="180"/>
        <v>1</v>
      </c>
      <c r="AU771" s="16">
        <f t="shared" ca="1" si="180"/>
        <v>1</v>
      </c>
      <c r="AV771" s="16">
        <f t="shared" ca="1" si="180"/>
        <v>1</v>
      </c>
      <c r="AW771" s="16">
        <f t="shared" ca="1" si="180"/>
        <v>1</v>
      </c>
    </row>
    <row r="773" spans="1:56">
      <c r="A773" s="27" t="s">
        <v>136</v>
      </c>
      <c r="B773" s="27" t="s">
        <v>137</v>
      </c>
      <c r="C773" s="27"/>
      <c r="D773" s="27" t="s">
        <v>141</v>
      </c>
      <c r="E773" s="27" t="s">
        <v>142</v>
      </c>
      <c r="F773" s="28" t="s">
        <v>138</v>
      </c>
      <c r="G773" s="28"/>
      <c r="I773" s="5" t="s">
        <v>210</v>
      </c>
    </row>
    <row r="774" spans="1:56">
      <c r="A774" s="27"/>
      <c r="B774" s="27"/>
      <c r="C774" s="27"/>
      <c r="D774" s="27"/>
      <c r="E774" s="27"/>
      <c r="F774" s="7" t="s">
        <v>139</v>
      </c>
      <c r="G774" s="7" t="s">
        <v>140</v>
      </c>
    </row>
    <row r="775" spans="1:56">
      <c r="A775" s="7">
        <v>1</v>
      </c>
      <c r="B775" s="29" t="str">
        <f ca="1">_xlfn.TEXTJOIN("", TRUE, OFFSET($B$771,0,(ROW(A1)-1)*6,1,6))</f>
        <v>010101</v>
      </c>
      <c r="C775" s="30"/>
      <c r="D775" s="7">
        <f ca="1">BIN2DEC(LEFT(B775,1) &amp; RIGHT(B775,1))</f>
        <v>1</v>
      </c>
      <c r="E775" s="12">
        <f ca="1">BIN2DEC(MID(B775,2,4))</f>
        <v>10</v>
      </c>
      <c r="F775" s="12" cm="1">
        <f t="array" aca="1" ref="F775" ca="1">INDEX(OFFSET('S-box'!$A$2, (A775-1)*6, 0, 4, 16), D775+1, E775+1)</f>
        <v>12</v>
      </c>
      <c r="G775" s="17" t="str">
        <f ca="1">DEC2BIN(F775, 4)</f>
        <v>1100</v>
      </c>
      <c r="I775" s="12" t="s">
        <v>3</v>
      </c>
      <c r="J775" s="12">
        <v>1</v>
      </c>
      <c r="K775" s="12">
        <v>2</v>
      </c>
      <c r="L775" s="12">
        <v>3</v>
      </c>
      <c r="M775" s="12">
        <v>4</v>
      </c>
      <c r="N775" s="12">
        <v>5</v>
      </c>
      <c r="O775" s="12">
        <v>6</v>
      </c>
      <c r="P775" s="12">
        <v>7</v>
      </c>
      <c r="Q775" s="12">
        <v>8</v>
      </c>
      <c r="R775" s="12">
        <v>9</v>
      </c>
      <c r="S775" s="12">
        <v>10</v>
      </c>
      <c r="T775" s="12">
        <v>11</v>
      </c>
      <c r="U775" s="12">
        <v>12</v>
      </c>
      <c r="V775" s="12">
        <v>13</v>
      </c>
      <c r="W775" s="12">
        <v>14</v>
      </c>
      <c r="X775" s="12">
        <v>15</v>
      </c>
      <c r="Y775" s="12">
        <v>16</v>
      </c>
      <c r="Z775" s="12">
        <v>17</v>
      </c>
      <c r="AA775" s="12">
        <v>18</v>
      </c>
      <c r="AB775" s="12">
        <v>19</v>
      </c>
      <c r="AC775" s="12">
        <v>20</v>
      </c>
      <c r="AD775" s="12">
        <v>21</v>
      </c>
      <c r="AE775" s="12">
        <v>22</v>
      </c>
      <c r="AF775" s="12">
        <v>23</v>
      </c>
      <c r="AG775" s="12">
        <v>24</v>
      </c>
      <c r="AH775" s="12">
        <v>25</v>
      </c>
      <c r="AI775" s="12">
        <v>26</v>
      </c>
      <c r="AJ775" s="12">
        <v>27</v>
      </c>
      <c r="AK775" s="12">
        <v>28</v>
      </c>
      <c r="AL775" s="12">
        <v>29</v>
      </c>
      <c r="AM775" s="12">
        <v>30</v>
      </c>
      <c r="AN775" s="12">
        <v>31</v>
      </c>
      <c r="AO775" s="12">
        <v>32</v>
      </c>
    </row>
    <row r="776" spans="1:56">
      <c r="A776" s="7">
        <v>2</v>
      </c>
      <c r="B776" s="29" t="str">
        <f t="shared" ref="B776:B782" ca="1" si="181">_xlfn.TEXTJOIN("", TRUE, OFFSET($B$771,0,(ROW(A2)-1)*6,1,6))</f>
        <v>111110</v>
      </c>
      <c r="C776" s="30"/>
      <c r="D776" s="7">
        <f t="shared" ref="D776:D782" ca="1" si="182">BIN2DEC(LEFT(B776,1) &amp; RIGHT(B776,1))</f>
        <v>2</v>
      </c>
      <c r="E776" s="12">
        <f t="shared" ref="E776:E782" ca="1" si="183">BIN2DEC(MID(B776,2,4))</f>
        <v>15</v>
      </c>
      <c r="F776" s="12" cm="1">
        <f t="array" aca="1" ref="F776" ca="1">INDEX(OFFSET('S-box'!$A$2, (A776-1)*6, 0, 4, 16), D776+1, E776+1)</f>
        <v>15</v>
      </c>
      <c r="G776" s="17" t="str">
        <f t="shared" ref="G776:G782" ca="1" si="184">DEC2BIN(F776, 4)</f>
        <v>1111</v>
      </c>
      <c r="I776" s="12" t="s">
        <v>152</v>
      </c>
      <c r="J776" s="12" t="str">
        <f ca="1">MID(_xlfn.TEXTJOIN("",TRUE,$G$775:$G$782), COLUMN(A232), 1)</f>
        <v>1</v>
      </c>
      <c r="K776" s="12" t="str">
        <f t="shared" ref="K776:AO776" ca="1" si="185">MID(_xlfn.TEXTJOIN("",TRUE,$G$775:$G$782), COLUMN(B232), 1)</f>
        <v>1</v>
      </c>
      <c r="L776" s="12" t="str">
        <f t="shared" ca="1" si="185"/>
        <v>0</v>
      </c>
      <c r="M776" s="12" t="str">
        <f t="shared" ca="1" si="185"/>
        <v>0</v>
      </c>
      <c r="N776" s="12" t="str">
        <f t="shared" ca="1" si="185"/>
        <v>1</v>
      </c>
      <c r="O776" s="12" t="str">
        <f t="shared" ca="1" si="185"/>
        <v>1</v>
      </c>
      <c r="P776" s="12" t="str">
        <f t="shared" ca="1" si="185"/>
        <v>1</v>
      </c>
      <c r="Q776" s="12" t="str">
        <f t="shared" ca="1" si="185"/>
        <v>1</v>
      </c>
      <c r="R776" s="12" t="str">
        <f t="shared" ca="1" si="185"/>
        <v>0</v>
      </c>
      <c r="S776" s="12" t="str">
        <f t="shared" ca="1" si="185"/>
        <v>1</v>
      </c>
      <c r="T776" s="12" t="str">
        <f t="shared" ca="1" si="185"/>
        <v>0</v>
      </c>
      <c r="U776" s="12" t="str">
        <f t="shared" ca="1" si="185"/>
        <v>1</v>
      </c>
      <c r="V776" s="12" t="str">
        <f t="shared" ca="1" si="185"/>
        <v>0</v>
      </c>
      <c r="W776" s="12" t="str">
        <f t="shared" ca="1" si="185"/>
        <v>0</v>
      </c>
      <c r="X776" s="12" t="str">
        <f t="shared" ca="1" si="185"/>
        <v>1</v>
      </c>
      <c r="Y776" s="12" t="str">
        <f t="shared" ca="1" si="185"/>
        <v>0</v>
      </c>
      <c r="Z776" s="12" t="str">
        <f t="shared" ca="1" si="185"/>
        <v>0</v>
      </c>
      <c r="AA776" s="12" t="str">
        <f t="shared" ca="1" si="185"/>
        <v>1</v>
      </c>
      <c r="AB776" s="12" t="str">
        <f t="shared" ca="1" si="185"/>
        <v>1</v>
      </c>
      <c r="AC776" s="12" t="str">
        <f t="shared" ca="1" si="185"/>
        <v>1</v>
      </c>
      <c r="AD776" s="12" t="str">
        <f t="shared" ca="1" si="185"/>
        <v>0</v>
      </c>
      <c r="AE776" s="12" t="str">
        <f t="shared" ca="1" si="185"/>
        <v>1</v>
      </c>
      <c r="AF776" s="12" t="str">
        <f t="shared" ca="1" si="185"/>
        <v>1</v>
      </c>
      <c r="AG776" s="12" t="str">
        <f t="shared" ca="1" si="185"/>
        <v>1</v>
      </c>
      <c r="AH776" s="12" t="str">
        <f t="shared" ca="1" si="185"/>
        <v>0</v>
      </c>
      <c r="AI776" s="12" t="str">
        <f t="shared" ca="1" si="185"/>
        <v>1</v>
      </c>
      <c r="AJ776" s="12" t="str">
        <f t="shared" ca="1" si="185"/>
        <v>1</v>
      </c>
      <c r="AK776" s="12" t="str">
        <f t="shared" ca="1" si="185"/>
        <v>0</v>
      </c>
      <c r="AL776" s="12" t="str">
        <f t="shared" ca="1" si="185"/>
        <v>1</v>
      </c>
      <c r="AM776" s="12" t="str">
        <f t="shared" ca="1" si="185"/>
        <v>1</v>
      </c>
      <c r="AN776" s="12" t="str">
        <f t="shared" ca="1" si="185"/>
        <v>0</v>
      </c>
      <c r="AO776" s="12" t="str">
        <f t="shared" ca="1" si="185"/>
        <v>1</v>
      </c>
    </row>
    <row r="777" spans="1:56">
      <c r="A777" s="7">
        <v>3</v>
      </c>
      <c r="B777" s="29" t="str">
        <f t="shared" ca="1" si="181"/>
        <v>001110</v>
      </c>
      <c r="C777" s="30"/>
      <c r="D777" s="7">
        <f t="shared" ca="1" si="182"/>
        <v>0</v>
      </c>
      <c r="E777" s="12">
        <f t="shared" ca="1" si="183"/>
        <v>7</v>
      </c>
      <c r="F777" s="12" cm="1">
        <f t="array" aca="1" ref="F777" ca="1">INDEX(OFFSET('S-box'!$A$2, (A777-1)*6, 0, 4, 16), D777+1, E777+1)</f>
        <v>5</v>
      </c>
      <c r="G777" s="17" t="str">
        <f t="shared" ca="1" si="184"/>
        <v>0101</v>
      </c>
      <c r="BD777" s="5" cm="1">
        <f t="array" aca="1" ref="BD777" ca="1">+BD766:NA777</f>
        <v>0</v>
      </c>
    </row>
    <row r="778" spans="1:56">
      <c r="A778" s="7">
        <v>4</v>
      </c>
      <c r="B778" s="29" t="str">
        <f t="shared" ca="1" si="181"/>
        <v>010101</v>
      </c>
      <c r="C778" s="30"/>
      <c r="D778" s="7">
        <f t="shared" ca="1" si="182"/>
        <v>1</v>
      </c>
      <c r="E778" s="12">
        <f t="shared" ca="1" si="183"/>
        <v>10</v>
      </c>
      <c r="F778" s="12" cm="1">
        <f t="array" aca="1" ref="F778" ca="1">INDEX(OFFSET('S-box'!$A$2, (A778-1)*6, 0, 4, 16), D778+1, E778+1)</f>
        <v>2</v>
      </c>
      <c r="G778" s="17" t="str">
        <f t="shared" ca="1" si="184"/>
        <v>0010</v>
      </c>
      <c r="I778" s="5" t="s">
        <v>211</v>
      </c>
    </row>
    <row r="779" spans="1:56">
      <c r="A779" s="7">
        <v>5</v>
      </c>
      <c r="B779" s="29" t="str">
        <f t="shared" ca="1" si="181"/>
        <v>001000</v>
      </c>
      <c r="C779" s="30"/>
      <c r="D779" s="7">
        <f t="shared" ca="1" si="182"/>
        <v>0</v>
      </c>
      <c r="E779" s="12">
        <f t="shared" ca="1" si="183"/>
        <v>4</v>
      </c>
      <c r="F779" s="12" cm="1">
        <f t="array" aca="1" ref="F779" ca="1">INDEX(OFFSET('S-box'!$A$2, (A779-1)*6, 0, 4, 16), D779+1, E779+1)</f>
        <v>7</v>
      </c>
      <c r="G779" s="17" t="str">
        <f t="shared" ca="1" si="184"/>
        <v>0111</v>
      </c>
    </row>
    <row r="780" spans="1:56">
      <c r="A780" s="7">
        <v>6</v>
      </c>
      <c r="B780" s="29" t="str">
        <f t="shared" ca="1" si="181"/>
        <v>110000</v>
      </c>
      <c r="C780" s="30"/>
      <c r="D780" s="7">
        <f t="shared" ca="1" si="182"/>
        <v>2</v>
      </c>
      <c r="E780" s="12">
        <f t="shared" ca="1" si="183"/>
        <v>8</v>
      </c>
      <c r="F780" s="12" cm="1">
        <f t="array" aca="1" ref="F780" ca="1">INDEX(OFFSET('S-box'!$A$2, (A780-1)*6, 0, 4, 16), D780+1, E780+1)</f>
        <v>7</v>
      </c>
      <c r="G780" s="17" t="str">
        <f t="shared" ca="1" si="184"/>
        <v>0111</v>
      </c>
      <c r="I780" s="12" t="s">
        <v>3</v>
      </c>
      <c r="J780" s="12">
        <v>1</v>
      </c>
      <c r="K780" s="12">
        <v>2</v>
      </c>
      <c r="L780" s="12">
        <v>3</v>
      </c>
      <c r="M780" s="12">
        <v>4</v>
      </c>
      <c r="N780" s="12">
        <v>5</v>
      </c>
      <c r="O780" s="12">
        <v>6</v>
      </c>
      <c r="P780" s="12">
        <v>7</v>
      </c>
      <c r="Q780" s="12">
        <v>8</v>
      </c>
      <c r="R780" s="12">
        <v>9</v>
      </c>
      <c r="S780" s="12">
        <v>10</v>
      </c>
      <c r="T780" s="12">
        <v>11</v>
      </c>
      <c r="U780" s="12">
        <v>12</v>
      </c>
      <c r="V780" s="12">
        <v>13</v>
      </c>
      <c r="W780" s="12">
        <v>14</v>
      </c>
      <c r="X780" s="12">
        <v>15</v>
      </c>
      <c r="Y780" s="12">
        <v>16</v>
      </c>
      <c r="Z780" s="12">
        <v>17</v>
      </c>
      <c r="AA780" s="12">
        <v>18</v>
      </c>
      <c r="AB780" s="12">
        <v>19</v>
      </c>
      <c r="AC780" s="12">
        <v>20</v>
      </c>
      <c r="AD780" s="12">
        <v>21</v>
      </c>
      <c r="AE780" s="12">
        <v>22</v>
      </c>
      <c r="AF780" s="12">
        <v>23</v>
      </c>
      <c r="AG780" s="12">
        <v>24</v>
      </c>
      <c r="AH780" s="12">
        <v>25</v>
      </c>
      <c r="AI780" s="12">
        <v>26</v>
      </c>
      <c r="AJ780" s="12">
        <v>27</v>
      </c>
      <c r="AK780" s="12">
        <v>28</v>
      </c>
      <c r="AL780" s="12">
        <v>29</v>
      </c>
      <c r="AM780" s="12">
        <v>30</v>
      </c>
      <c r="AN780" s="12">
        <v>31</v>
      </c>
      <c r="AO780" s="12">
        <v>32</v>
      </c>
    </row>
    <row r="781" spans="1:56">
      <c r="A781" s="7">
        <v>7</v>
      </c>
      <c r="B781" s="29" t="str">
        <f t="shared" ca="1" si="181"/>
        <v>110100</v>
      </c>
      <c r="C781" s="30"/>
      <c r="D781" s="7">
        <f t="shared" ca="1" si="182"/>
        <v>2</v>
      </c>
      <c r="E781" s="12">
        <f t="shared" ca="1" si="183"/>
        <v>10</v>
      </c>
      <c r="F781" s="12" cm="1">
        <f t="array" aca="1" ref="F781" ca="1">INDEX(OFFSET('S-box'!$A$2, (A781-1)*6, 0, 4, 16), D781+1, E781+1)</f>
        <v>6</v>
      </c>
      <c r="G781" s="17" t="str">
        <f t="shared" ca="1" si="184"/>
        <v>0110</v>
      </c>
      <c r="I781" s="18" t="s">
        <v>152</v>
      </c>
      <c r="J781" s="12" t="str" cm="1">
        <f t="array" aca="1" ref="J781" ca="1">INDEX($J$776:$AO$776, INDEX($T$15:$AA$18, INT((COLUMN(A199)-1)/8)+1, MOD(COLUMN(A199)-1,8)+1))</f>
        <v>0</v>
      </c>
      <c r="K781" s="12" t="str" cm="1">
        <f t="array" aca="1" ref="K781" ca="1">INDEX($J$776:$AO$776, INDEX($T$15:$AA$18, INT((COLUMN(B199)-1)/8)+1, MOD(COLUMN(B199)-1,8)+1))</f>
        <v>1</v>
      </c>
      <c r="L781" s="12" t="str" cm="1">
        <f t="array" aca="1" ref="L781" ca="1">INDEX($J$776:$AO$776, INDEX($T$15:$AA$18, INT((COLUMN(C199)-1)/8)+1, MOD(COLUMN(C199)-1,8)+1))</f>
        <v>1</v>
      </c>
      <c r="M781" s="12" t="str" cm="1">
        <f t="array" aca="1" ref="M781" ca="1">INDEX($J$776:$AO$776, INDEX($T$15:$AA$18, INT((COLUMN(D199)-1)/8)+1, MOD(COLUMN(D199)-1,8)+1))</f>
        <v>0</v>
      </c>
      <c r="N781" s="12" t="str" cm="1">
        <f t="array" aca="1" ref="N781" ca="1">INDEX($J$776:$AO$776, INDEX($T$15:$AA$18, INT((COLUMN(E199)-1)/8)+1, MOD(COLUMN(E199)-1,8)+1))</f>
        <v>1</v>
      </c>
      <c r="O781" s="12" t="str" cm="1">
        <f t="array" aca="1" ref="O781" ca="1">INDEX($J$776:$AO$776, INDEX($T$15:$AA$18, INT((COLUMN(F199)-1)/8)+1, MOD(COLUMN(F199)-1,8)+1))</f>
        <v>1</v>
      </c>
      <c r="P781" s="12" t="str" cm="1">
        <f t="array" aca="1" ref="P781" ca="1">INDEX($J$776:$AO$776, INDEX($T$15:$AA$18, INT((COLUMN(G199)-1)/8)+1, MOD(COLUMN(G199)-1,8)+1))</f>
        <v>0</v>
      </c>
      <c r="Q781" s="12" t="str" cm="1">
        <f t="array" aca="1" ref="Q781" ca="1">INDEX($J$776:$AO$776, INDEX($T$15:$AA$18, INT((COLUMN(H199)-1)/8)+1, MOD(COLUMN(H199)-1,8)+1))</f>
        <v>0</v>
      </c>
      <c r="R781" s="12" t="str" cm="1">
        <f t="array" aca="1" ref="R781" ca="1">INDEX($J$776:$AO$776, INDEX($T$15:$AA$18, INT((COLUMN(I199)-1)/8)+1, MOD(COLUMN(I199)-1,8)+1))</f>
        <v>1</v>
      </c>
      <c r="S781" s="12" t="str" cm="1">
        <f t="array" aca="1" ref="S781" ca="1">INDEX($J$776:$AO$776, INDEX($T$15:$AA$18, INT((COLUMN(J199)-1)/8)+1, MOD(COLUMN(J199)-1,8)+1))</f>
        <v>1</v>
      </c>
      <c r="T781" s="12" t="str" cm="1">
        <f t="array" aca="1" ref="T781" ca="1">INDEX($J$776:$AO$776, INDEX($T$15:$AA$18, INT((COLUMN(K199)-1)/8)+1, MOD(COLUMN(K199)-1,8)+1))</f>
        <v>1</v>
      </c>
      <c r="U781" s="12" t="str" cm="1">
        <f t="array" aca="1" ref="U781" ca="1">INDEX($J$776:$AO$776, INDEX($T$15:$AA$18, INT((COLUMN(L199)-1)/8)+1, MOD(COLUMN(L199)-1,8)+1))</f>
        <v>1</v>
      </c>
      <c r="V781" s="12" t="str" cm="1">
        <f t="array" aca="1" ref="V781" ca="1">INDEX($J$776:$AO$776, INDEX($T$15:$AA$18, INT((COLUMN(M199)-1)/8)+1, MOD(COLUMN(M199)-1,8)+1))</f>
        <v>1</v>
      </c>
      <c r="W781" s="12" t="str" cm="1">
        <f t="array" aca="1" ref="W781" ca="1">INDEX($J$776:$AO$776, INDEX($T$15:$AA$18, INT((COLUMN(N199)-1)/8)+1, MOD(COLUMN(N199)-1,8)+1))</f>
        <v>1</v>
      </c>
      <c r="X781" s="12" t="str" cm="1">
        <f t="array" aca="1" ref="X781" ca="1">INDEX($J$776:$AO$776, INDEX($T$15:$AA$18, INT((COLUMN(O199)-1)/8)+1, MOD(COLUMN(O199)-1,8)+1))</f>
        <v>0</v>
      </c>
      <c r="Y781" s="12" t="str" cm="1">
        <f t="array" aca="1" ref="Y781" ca="1">INDEX($J$776:$AO$776, INDEX($T$15:$AA$18, INT((COLUMN(P199)-1)/8)+1, MOD(COLUMN(P199)-1,8)+1))</f>
        <v>1</v>
      </c>
      <c r="Z781" s="12" t="str" cm="1">
        <f t="array" aca="1" ref="Z781" ca="1">INDEX($J$776:$AO$776, INDEX($T$15:$AA$18, INT((COLUMN(Q199)-1)/8)+1, MOD(COLUMN(Q199)-1,8)+1))</f>
        <v>1</v>
      </c>
      <c r="AA781" s="12" t="str" cm="1">
        <f t="array" aca="1" ref="AA781" ca="1">INDEX($J$776:$AO$776, INDEX($T$15:$AA$18, INT((COLUMN(R199)-1)/8)+1, MOD(COLUMN(R199)-1,8)+1))</f>
        <v>1</v>
      </c>
      <c r="AB781" s="12" t="str" cm="1">
        <f t="array" aca="1" ref="AB781" ca="1">INDEX($J$776:$AO$776, INDEX($T$15:$AA$18, INT((COLUMN(S199)-1)/8)+1, MOD(COLUMN(S199)-1,8)+1))</f>
        <v>1</v>
      </c>
      <c r="AC781" s="12" t="str" cm="1">
        <f t="array" aca="1" ref="AC781" ca="1">INDEX($J$776:$AO$776, INDEX($T$15:$AA$18, INT((COLUMN(T199)-1)/8)+1, MOD(COLUMN(T199)-1,8)+1))</f>
        <v>0</v>
      </c>
      <c r="AD781" s="12" t="str" cm="1">
        <f t="array" aca="1" ref="AD781" ca="1">INDEX($J$776:$AO$776, INDEX($T$15:$AA$18, INT((COLUMN(U199)-1)/8)+1, MOD(COLUMN(U199)-1,8)+1))</f>
        <v>1</v>
      </c>
      <c r="AE781" s="12" t="str" cm="1">
        <f t="array" aca="1" ref="AE781" ca="1">INDEX($J$776:$AO$776, INDEX($T$15:$AA$18, INT((COLUMN(V199)-1)/8)+1, MOD(COLUMN(V199)-1,8)+1))</f>
        <v>1</v>
      </c>
      <c r="AF781" s="12" t="str" cm="1">
        <f t="array" aca="1" ref="AF781" ca="1">INDEX($J$776:$AO$776, INDEX($T$15:$AA$18, INT((COLUMN(W199)-1)/8)+1, MOD(COLUMN(W199)-1,8)+1))</f>
        <v>0</v>
      </c>
      <c r="AG781" s="12" t="str" cm="1">
        <f t="array" aca="1" ref="AG781" ca="1">INDEX($J$776:$AO$776, INDEX($T$15:$AA$18, INT((COLUMN(X199)-1)/8)+1, MOD(COLUMN(X199)-1,8)+1))</f>
        <v>0</v>
      </c>
      <c r="AH781" s="12" t="str" cm="1">
        <f t="array" aca="1" ref="AH781" ca="1">INDEX($J$776:$AO$776, INDEX($T$15:$AA$18, INT((COLUMN(Y199)-1)/8)+1, MOD(COLUMN(Y199)-1,8)+1))</f>
        <v>1</v>
      </c>
      <c r="AI781" s="12" t="str" cm="1">
        <f t="array" aca="1" ref="AI781" ca="1">INDEX($J$776:$AO$776, INDEX($T$15:$AA$18, INT((COLUMN(Z199)-1)/8)+1, MOD(COLUMN(Z199)-1,8)+1))</f>
        <v>0</v>
      </c>
      <c r="AJ781" s="12" t="str" cm="1">
        <f t="array" aca="1" ref="AJ781" ca="1">INDEX($J$776:$AO$776, INDEX($T$15:$AA$18, INT((COLUMN(AA199)-1)/8)+1, MOD(COLUMN(AA199)-1,8)+1))</f>
        <v>1</v>
      </c>
      <c r="AK781" s="12" t="str" cm="1">
        <f t="array" aca="1" ref="AK781" ca="1">INDEX($J$776:$AO$776, INDEX($T$15:$AA$18, INT((COLUMN(AB199)-1)/8)+1, MOD(COLUMN(AB199)-1,8)+1))</f>
        <v>1</v>
      </c>
      <c r="AL781" s="12" t="str" cm="1">
        <f t="array" aca="1" ref="AL781" ca="1">INDEX($J$776:$AO$776, INDEX($T$15:$AA$18, INT((COLUMN(AC199)-1)/8)+1, MOD(COLUMN(AC199)-1,8)+1))</f>
        <v>1</v>
      </c>
      <c r="AM781" s="12" t="str" cm="1">
        <f t="array" aca="1" ref="AM781" ca="1">INDEX($J$776:$AO$776, INDEX($T$15:$AA$18, INT((COLUMN(AD199)-1)/8)+1, MOD(COLUMN(AD199)-1,8)+1))</f>
        <v>0</v>
      </c>
      <c r="AN781" s="12" t="str" cm="1">
        <f t="array" aca="1" ref="AN781" ca="1">INDEX($J$776:$AO$776, INDEX($T$15:$AA$18, INT((COLUMN(AE199)-1)/8)+1, MOD(COLUMN(AE199)-1,8)+1))</f>
        <v>0</v>
      </c>
      <c r="AO781" s="12" t="str" cm="1">
        <f t="array" aca="1" ref="AO781" ca="1">INDEX($J$776:$AO$776, INDEX($T$15:$AA$18, INT((COLUMN(AF199)-1)/8)+1, MOD(COLUMN(AF199)-1,8)+1))</f>
        <v>0</v>
      </c>
    </row>
    <row r="782" spans="1:56">
      <c r="A782" s="7">
        <v>8</v>
      </c>
      <c r="B782" s="29" t="str">
        <f t="shared" ca="1" si="181"/>
        <v>101111</v>
      </c>
      <c r="C782" s="30"/>
      <c r="D782" s="7">
        <f t="shared" ca="1" si="182"/>
        <v>3</v>
      </c>
      <c r="E782" s="12">
        <f t="shared" ca="1" si="183"/>
        <v>7</v>
      </c>
      <c r="F782" s="12" cm="1">
        <f t="array" aca="1" ref="F782" ca="1">INDEX(OFFSET('S-box'!$A$2, (A782-1)*6, 0, 4, 16), D782+1, E782+1)</f>
        <v>13</v>
      </c>
      <c r="G782" s="17" t="str">
        <f t="shared" ca="1" si="184"/>
        <v>1101</v>
      </c>
    </row>
    <row r="784" spans="1:56">
      <c r="A784" s="20" t="s">
        <v>212</v>
      </c>
    </row>
    <row r="786" spans="1:49">
      <c r="A786" s="12" t="s">
        <v>3</v>
      </c>
      <c r="B786" s="12">
        <v>1</v>
      </c>
      <c r="C786" s="12">
        <v>2</v>
      </c>
      <c r="D786" s="12">
        <v>3</v>
      </c>
      <c r="E786" s="12">
        <v>4</v>
      </c>
      <c r="F786" s="12">
        <v>5</v>
      </c>
      <c r="G786" s="12">
        <v>6</v>
      </c>
      <c r="H786" s="12">
        <v>7</v>
      </c>
      <c r="I786" s="12">
        <v>8</v>
      </c>
      <c r="J786" s="12">
        <v>9</v>
      </c>
      <c r="K786" s="12">
        <v>10</v>
      </c>
      <c r="L786" s="12">
        <v>11</v>
      </c>
      <c r="M786" s="12">
        <v>12</v>
      </c>
      <c r="N786" s="12">
        <v>13</v>
      </c>
      <c r="O786" s="12">
        <v>14</v>
      </c>
      <c r="P786" s="12">
        <v>15</v>
      </c>
      <c r="Q786" s="12">
        <v>16</v>
      </c>
      <c r="R786" s="12">
        <v>17</v>
      </c>
      <c r="S786" s="12">
        <v>18</v>
      </c>
      <c r="T786" s="12">
        <v>19</v>
      </c>
      <c r="U786" s="12">
        <v>20</v>
      </c>
      <c r="V786" s="12">
        <v>21</v>
      </c>
      <c r="W786" s="12">
        <v>22</v>
      </c>
      <c r="X786" s="12">
        <v>23</v>
      </c>
      <c r="Y786" s="12">
        <v>24</v>
      </c>
      <c r="Z786" s="12">
        <v>25</v>
      </c>
      <c r="AA786" s="12">
        <v>26</v>
      </c>
      <c r="AB786" s="12">
        <v>27</v>
      </c>
      <c r="AC786" s="12">
        <v>28</v>
      </c>
      <c r="AD786" s="12">
        <v>29</v>
      </c>
      <c r="AE786" s="12">
        <v>30</v>
      </c>
      <c r="AF786" s="12">
        <v>31</v>
      </c>
      <c r="AG786" s="12">
        <v>32</v>
      </c>
    </row>
    <row r="787" spans="1:49">
      <c r="A787" s="12" t="s">
        <v>213</v>
      </c>
      <c r="B787" s="12">
        <v>0</v>
      </c>
      <c r="C787" s="12">
        <v>1</v>
      </c>
      <c r="D787" s="12">
        <v>0</v>
      </c>
      <c r="E787" s="12">
        <v>0</v>
      </c>
      <c r="F787" s="12">
        <v>0</v>
      </c>
      <c r="G787" s="12">
        <v>0</v>
      </c>
      <c r="H787" s="12">
        <v>1</v>
      </c>
      <c r="I787" s="12">
        <v>1</v>
      </c>
      <c r="J787" s="12">
        <v>0</v>
      </c>
      <c r="K787" s="12">
        <v>1</v>
      </c>
      <c r="L787" s="12">
        <v>1</v>
      </c>
      <c r="M787" s="12">
        <v>1</v>
      </c>
      <c r="N787" s="12">
        <v>0</v>
      </c>
      <c r="O787" s="12">
        <v>1</v>
      </c>
      <c r="P787" s="12">
        <v>1</v>
      </c>
      <c r="Q787" s="12">
        <v>1</v>
      </c>
      <c r="R787" s="12">
        <v>1</v>
      </c>
      <c r="S787" s="12">
        <v>0</v>
      </c>
      <c r="T787" s="12">
        <v>0</v>
      </c>
      <c r="U787" s="12">
        <v>1</v>
      </c>
      <c r="V787" s="12">
        <v>1</v>
      </c>
      <c r="W787" s="12">
        <v>1</v>
      </c>
      <c r="X787" s="12">
        <v>1</v>
      </c>
      <c r="Y787" s="12">
        <v>1</v>
      </c>
      <c r="Z787" s="12">
        <v>0</v>
      </c>
      <c r="AA787" s="12">
        <v>1</v>
      </c>
      <c r="AB787" s="12">
        <v>0</v>
      </c>
      <c r="AC787" s="12">
        <v>1</v>
      </c>
      <c r="AD787" s="12">
        <v>0</v>
      </c>
      <c r="AE787" s="12">
        <v>1</v>
      </c>
      <c r="AF787" s="12">
        <v>1</v>
      </c>
      <c r="AG787" s="12">
        <v>1</v>
      </c>
    </row>
    <row r="788" spans="1:49">
      <c r="A788" s="12" t="s">
        <v>214</v>
      </c>
      <c r="B788" s="12">
        <f ca="1">_xlfn.BITXOR(B754,J781)</f>
        <v>0</v>
      </c>
      <c r="C788" s="12">
        <f t="shared" ref="C788" ca="1" si="186">_xlfn.BITXOR(C754,K781)</f>
        <v>1</v>
      </c>
      <c r="D788" s="12">
        <f t="shared" ref="D788" ca="1" si="187">_xlfn.BITXOR(D754,L781)</f>
        <v>0</v>
      </c>
      <c r="E788" s="12">
        <f t="shared" ref="E788" ca="1" si="188">_xlfn.BITXOR(E754,M781)</f>
        <v>1</v>
      </c>
      <c r="F788" s="12">
        <f t="shared" ref="F788" ca="1" si="189">_xlfn.BITXOR(F754,N781)</f>
        <v>1</v>
      </c>
      <c r="G788" s="12">
        <f t="shared" ref="G788" ca="1" si="190">_xlfn.BITXOR(G754,O781)</f>
        <v>1</v>
      </c>
      <c r="H788" s="12">
        <f t="shared" ref="H788" ca="1" si="191">_xlfn.BITXOR(H754,P781)</f>
        <v>1</v>
      </c>
      <c r="I788" s="12">
        <f t="shared" ref="I788" ca="1" si="192">_xlfn.BITXOR(I754,Q781)</f>
        <v>1</v>
      </c>
      <c r="J788" s="12">
        <f t="shared" ref="J788" ca="1" si="193">_xlfn.BITXOR(J754,R781)</f>
        <v>0</v>
      </c>
      <c r="K788" s="12">
        <f t="shared" ref="K788" ca="1" si="194">_xlfn.BITXOR(K754,S781)</f>
        <v>1</v>
      </c>
      <c r="L788" s="12">
        <f t="shared" ref="L788" ca="1" si="195">_xlfn.BITXOR(L754,T781)</f>
        <v>1</v>
      </c>
      <c r="M788" s="12">
        <f t="shared" ref="M788" ca="1" si="196">_xlfn.BITXOR(M754,U781)</f>
        <v>0</v>
      </c>
      <c r="N788" s="12">
        <f t="shared" ref="N788" ca="1" si="197">_xlfn.BITXOR(N754,V781)</f>
        <v>1</v>
      </c>
      <c r="O788" s="12">
        <f t="shared" ref="O788" ca="1" si="198">_xlfn.BITXOR(O754,W781)</f>
        <v>1</v>
      </c>
      <c r="P788" s="12">
        <f t="shared" ref="P788" ca="1" si="199">_xlfn.BITXOR(P754,X781)</f>
        <v>0</v>
      </c>
      <c r="Q788" s="12">
        <f t="shared" ref="Q788" ca="1" si="200">_xlfn.BITXOR(Q754,Y781)</f>
        <v>0</v>
      </c>
      <c r="R788" s="12">
        <f t="shared" ref="R788" ca="1" si="201">_xlfn.BITXOR(R754,Z781)</f>
        <v>1</v>
      </c>
      <c r="S788" s="12">
        <f t="shared" ref="S788" ca="1" si="202">_xlfn.BITXOR(S754,AA781)</f>
        <v>1</v>
      </c>
      <c r="T788" s="12">
        <f t="shared" ref="T788" ca="1" si="203">_xlfn.BITXOR(T754,AB781)</f>
        <v>1</v>
      </c>
      <c r="U788" s="12">
        <f t="shared" ref="U788" ca="1" si="204">_xlfn.BITXOR(U754,AC781)</f>
        <v>1</v>
      </c>
      <c r="V788" s="12">
        <f t="shared" ref="V788" ca="1" si="205">_xlfn.BITXOR(V754,AD781)</f>
        <v>1</v>
      </c>
      <c r="W788" s="12">
        <f t="shared" ref="W788" ca="1" si="206">_xlfn.BITXOR(W754,AE781)</f>
        <v>0</v>
      </c>
      <c r="X788" s="12">
        <f t="shared" ref="X788" ca="1" si="207">_xlfn.BITXOR(X754,AF781)</f>
        <v>1</v>
      </c>
      <c r="Y788" s="12">
        <f t="shared" ref="Y788" ca="1" si="208">_xlfn.BITXOR(Y754,AG781)</f>
        <v>0</v>
      </c>
      <c r="Z788" s="12">
        <f t="shared" ref="Z788" ca="1" si="209">_xlfn.BITXOR(Z754,AH781)</f>
        <v>1</v>
      </c>
      <c r="AA788" s="12">
        <f t="shared" ref="AA788" ca="1" si="210">_xlfn.BITXOR(AA754,AI781)</f>
        <v>0</v>
      </c>
      <c r="AB788" s="12">
        <f t="shared" ref="AB788" ca="1" si="211">_xlfn.BITXOR(AB754,AJ781)</f>
        <v>0</v>
      </c>
      <c r="AC788" s="12">
        <f t="shared" ref="AC788" ca="1" si="212">_xlfn.BITXOR(AC754,AK781)</f>
        <v>0</v>
      </c>
      <c r="AD788" s="12">
        <f t="shared" ref="AD788" ca="1" si="213">_xlfn.BITXOR(AD754,AL781)</f>
        <v>1</v>
      </c>
      <c r="AE788" s="12">
        <f t="shared" ref="AE788" ca="1" si="214">_xlfn.BITXOR(AE754,AM781)</f>
        <v>1</v>
      </c>
      <c r="AF788" s="12">
        <f t="shared" ref="AF788" ca="1" si="215">_xlfn.BITXOR(AF754,AN781)</f>
        <v>1</v>
      </c>
      <c r="AG788" s="12">
        <f t="shared" ref="AG788" ca="1" si="216">_xlfn.BITXOR(AG754,AO781)</f>
        <v>0</v>
      </c>
    </row>
    <row r="790" spans="1:49">
      <c r="A790" s="21" t="s">
        <v>215</v>
      </c>
    </row>
    <row r="791" spans="1:49">
      <c r="A791" s="5" t="s">
        <v>216</v>
      </c>
      <c r="B791" s="12" cm="1">
        <f t="array" aca="1" ref="B791" ca="1">INDEX($B$788:$AG$788, T25)</f>
        <v>0</v>
      </c>
      <c r="C791" s="12" cm="1">
        <f t="array" aca="1" ref="C791" ca="1">INDEX($B$788:$AG$788, U25)</f>
        <v>0</v>
      </c>
      <c r="D791" s="12" cm="1">
        <f t="array" aca="1" ref="D791" ca="1">INDEX($B$788:$AG$788, V25)</f>
        <v>1</v>
      </c>
      <c r="E791" s="12" cm="1">
        <f t="array" aca="1" ref="E791" ca="1">INDEX($B$788:$AG$788, W25)</f>
        <v>0</v>
      </c>
      <c r="F791" s="12" cm="1">
        <f t="array" aca="1" ref="F791" ca="1">INDEX($B$788:$AG$788, X25)</f>
        <v>1</v>
      </c>
      <c r="G791" s="12" cm="1">
        <f t="array" aca="1" ref="G791" ca="1">INDEX($B$788:$AG$788, Y25)</f>
        <v>1</v>
      </c>
    </row>
    <row r="792" spans="1:49">
      <c r="B792" s="12" cm="1">
        <f t="array" aca="1" ref="B792" ca="1">INDEX($B$788:$AG$788, T26)</f>
        <v>1</v>
      </c>
      <c r="C792" s="12" cm="1">
        <f t="array" aca="1" ref="C792" ca="1">INDEX($B$788:$AG$788, U26)</f>
        <v>1</v>
      </c>
      <c r="D792" s="12" cm="1">
        <f t="array" aca="1" ref="D792" ca="1">INDEX($B$788:$AG$788, V26)</f>
        <v>1</v>
      </c>
      <c r="E792" s="12" cm="1">
        <f t="array" aca="1" ref="E792" ca="1">INDEX($B$788:$AG$788, W26)</f>
        <v>1</v>
      </c>
      <c r="F792" s="12" cm="1">
        <f t="array" aca="1" ref="F792" ca="1">INDEX($B$788:$AG$788, X26)</f>
        <v>1</v>
      </c>
      <c r="G792" s="12" cm="1">
        <f t="array" aca="1" ref="G792" ca="1">INDEX($B$788:$AG$788, Y26)</f>
        <v>0</v>
      </c>
    </row>
    <row r="793" spans="1:49">
      <c r="B793" s="12" cm="1">
        <f t="array" aca="1" ref="B793" ca="1">INDEX($B$788:$AG$788, T27)</f>
        <v>1</v>
      </c>
      <c r="C793" s="12" cm="1">
        <f t="array" aca="1" ref="C793" ca="1">INDEX($B$788:$AG$788, U27)</f>
        <v>0</v>
      </c>
      <c r="D793" s="12" cm="1">
        <f t="array" aca="1" ref="D793" ca="1">INDEX($B$788:$AG$788, V27)</f>
        <v>1</v>
      </c>
      <c r="E793" s="12" cm="1">
        <f t="array" aca="1" ref="E793" ca="1">INDEX($B$788:$AG$788, W27)</f>
        <v>1</v>
      </c>
      <c r="F793" s="12" cm="1">
        <f t="array" aca="1" ref="F793" ca="1">INDEX($B$788:$AG$788, X27)</f>
        <v>0</v>
      </c>
      <c r="G793" s="12" cm="1">
        <f t="array" aca="1" ref="G793" ca="1">INDEX($B$788:$AG$788, Y27)</f>
        <v>1</v>
      </c>
    </row>
    <row r="794" spans="1:49">
      <c r="B794" s="12" cm="1">
        <f t="array" aca="1" ref="B794" ca="1">INDEX($B$788:$AG$788, T28)</f>
        <v>0</v>
      </c>
      <c r="C794" s="12" cm="1">
        <f t="array" aca="1" ref="C794" ca="1">INDEX($B$788:$AG$788, U28)</f>
        <v>1</v>
      </c>
      <c r="D794" s="12" cm="1">
        <f t="array" aca="1" ref="D794" ca="1">INDEX($B$788:$AG$788, V28)</f>
        <v>1</v>
      </c>
      <c r="E794" s="12" cm="1">
        <f t="array" aca="1" ref="E794" ca="1">INDEX($B$788:$AG$788, W28)</f>
        <v>0</v>
      </c>
      <c r="F794" s="12" cm="1">
        <f t="array" aca="1" ref="F794" ca="1">INDEX($B$788:$AG$788, X28)</f>
        <v>0</v>
      </c>
      <c r="G794" s="12" cm="1">
        <f t="array" aca="1" ref="G794" ca="1">INDEX($B$788:$AG$788, Y28)</f>
        <v>1</v>
      </c>
    </row>
    <row r="795" spans="1:49">
      <c r="B795" s="12" cm="1">
        <f t="array" aca="1" ref="B795" ca="1">INDEX($B$788:$AG$788, T29)</f>
        <v>0</v>
      </c>
      <c r="C795" s="12" cm="1">
        <f t="array" aca="1" ref="C795" ca="1">INDEX($B$788:$AG$788, U29)</f>
        <v>1</v>
      </c>
      <c r="D795" s="12" cm="1">
        <f t="array" aca="1" ref="D795" ca="1">INDEX($B$788:$AG$788, V29)</f>
        <v>1</v>
      </c>
      <c r="E795" s="12" cm="1">
        <f t="array" aca="1" ref="E795" ca="1">INDEX($B$788:$AG$788, W29)</f>
        <v>1</v>
      </c>
      <c r="F795" s="12" cm="1">
        <f t="array" aca="1" ref="F795" ca="1">INDEX($B$788:$AG$788, X29)</f>
        <v>1</v>
      </c>
      <c r="G795" s="12" cm="1">
        <f t="array" aca="1" ref="G795" ca="1">INDEX($B$788:$AG$788, Y29)</f>
        <v>1</v>
      </c>
    </row>
    <row r="796" spans="1:49">
      <c r="B796" s="12" cm="1">
        <f t="array" aca="1" ref="B796" ca="1">INDEX($B$788:$AG$788, T30)</f>
        <v>1</v>
      </c>
      <c r="C796" s="12" cm="1">
        <f t="array" aca="1" ref="C796" ca="1">INDEX($B$788:$AG$788, U30)</f>
        <v>1</v>
      </c>
      <c r="D796" s="12" cm="1">
        <f t="array" aca="1" ref="D796" ca="1">INDEX($B$788:$AG$788, V30)</f>
        <v>0</v>
      </c>
      <c r="E796" s="12" cm="1">
        <f t="array" aca="1" ref="E796" ca="1">INDEX($B$788:$AG$788, W30)</f>
        <v>1</v>
      </c>
      <c r="F796" s="12" cm="1">
        <f t="array" aca="1" ref="F796" ca="1">INDEX($B$788:$AG$788, X30)</f>
        <v>0</v>
      </c>
      <c r="G796" s="12" cm="1">
        <f t="array" aca="1" ref="G796" ca="1">INDEX($B$788:$AG$788, Y30)</f>
        <v>1</v>
      </c>
    </row>
    <row r="797" spans="1:49">
      <c r="B797" s="12" cm="1">
        <f t="array" aca="1" ref="B797" ca="1">INDEX($B$788:$AG$788, T31)</f>
        <v>0</v>
      </c>
      <c r="C797" s="12" cm="1">
        <f t="array" aca="1" ref="C797" ca="1">INDEX($B$788:$AG$788, U31)</f>
        <v>1</v>
      </c>
      <c r="D797" s="12" cm="1">
        <f t="array" aca="1" ref="D797" ca="1">INDEX($B$788:$AG$788, V31)</f>
        <v>0</v>
      </c>
      <c r="E797" s="12" cm="1">
        <f t="array" aca="1" ref="E797" ca="1">INDEX($B$788:$AG$788, W31)</f>
        <v>0</v>
      </c>
      <c r="F797" s="12" cm="1">
        <f t="array" aca="1" ref="F797" ca="1">INDEX($B$788:$AG$788, X31)</f>
        <v>0</v>
      </c>
      <c r="G797" s="12" cm="1">
        <f t="array" aca="1" ref="G797" ca="1">INDEX($B$788:$AG$788, Y31)</f>
        <v>1</v>
      </c>
    </row>
    <row r="798" spans="1:49">
      <c r="B798" s="12" cm="1">
        <f t="array" aca="1" ref="B798" ca="1">INDEX($B$788:$AG$788, T32)</f>
        <v>0</v>
      </c>
      <c r="C798" s="12" cm="1">
        <f t="array" aca="1" ref="C798" ca="1">INDEX($B$788:$AG$788, U32)</f>
        <v>1</v>
      </c>
      <c r="D798" s="12" cm="1">
        <f t="array" aca="1" ref="D798" ca="1">INDEX($B$788:$AG$788, V32)</f>
        <v>1</v>
      </c>
      <c r="E798" s="12" cm="1">
        <f t="array" aca="1" ref="E798" ca="1">INDEX($B$788:$AG$788, W32)</f>
        <v>1</v>
      </c>
      <c r="F798" s="12" cm="1">
        <f t="array" aca="1" ref="F798" ca="1">INDEX($B$788:$AG$788, X32)</f>
        <v>0</v>
      </c>
      <c r="G798" s="12" cm="1">
        <f t="array" aca="1" ref="G798" ca="1">INDEX($B$788:$AG$788, Y32)</f>
        <v>0</v>
      </c>
    </row>
    <row r="800" spans="1:49">
      <c r="A800" s="12" t="s">
        <v>3</v>
      </c>
      <c r="B800" s="12">
        <v>1</v>
      </c>
      <c r="C800" s="12">
        <v>2</v>
      </c>
      <c r="D800" s="12">
        <v>3</v>
      </c>
      <c r="E800" s="12">
        <v>4</v>
      </c>
      <c r="F800" s="12">
        <v>5</v>
      </c>
      <c r="G800" s="12">
        <v>6</v>
      </c>
      <c r="H800" s="12">
        <v>7</v>
      </c>
      <c r="I800" s="12">
        <v>8</v>
      </c>
      <c r="J800" s="12">
        <v>9</v>
      </c>
      <c r="K800" s="12">
        <v>10</v>
      </c>
      <c r="L800" s="12">
        <v>11</v>
      </c>
      <c r="M800" s="12">
        <v>12</v>
      </c>
      <c r="N800" s="12">
        <v>13</v>
      </c>
      <c r="O800" s="12">
        <v>14</v>
      </c>
      <c r="P800" s="12">
        <v>15</v>
      </c>
      <c r="Q800" s="12">
        <v>16</v>
      </c>
      <c r="R800" s="12">
        <v>17</v>
      </c>
      <c r="S800" s="12">
        <v>18</v>
      </c>
      <c r="T800" s="12">
        <v>19</v>
      </c>
      <c r="U800" s="12">
        <v>20</v>
      </c>
      <c r="V800" s="12">
        <v>21</v>
      </c>
      <c r="W800" s="12">
        <v>22</v>
      </c>
      <c r="X800" s="12">
        <v>23</v>
      </c>
      <c r="Y800" s="12">
        <v>24</v>
      </c>
      <c r="Z800" s="12">
        <v>25</v>
      </c>
      <c r="AA800" s="12">
        <v>26</v>
      </c>
      <c r="AB800" s="12">
        <v>27</v>
      </c>
      <c r="AC800" s="12">
        <v>28</v>
      </c>
      <c r="AD800" s="12">
        <v>29</v>
      </c>
      <c r="AE800" s="12">
        <v>30</v>
      </c>
      <c r="AF800" s="12">
        <v>31</v>
      </c>
      <c r="AG800" s="12">
        <v>32</v>
      </c>
      <c r="AH800" s="12">
        <v>33</v>
      </c>
      <c r="AI800" s="12">
        <v>34</v>
      </c>
      <c r="AJ800" s="12">
        <v>35</v>
      </c>
      <c r="AK800" s="12">
        <v>36</v>
      </c>
      <c r="AL800" s="12">
        <v>37</v>
      </c>
      <c r="AM800" s="12">
        <v>38</v>
      </c>
      <c r="AN800" s="12">
        <v>39</v>
      </c>
      <c r="AO800" s="12">
        <v>40</v>
      </c>
      <c r="AP800" s="12">
        <v>41</v>
      </c>
      <c r="AQ800" s="12">
        <v>42</v>
      </c>
      <c r="AR800" s="12">
        <v>43</v>
      </c>
      <c r="AS800" s="12">
        <v>44</v>
      </c>
      <c r="AT800" s="12">
        <v>45</v>
      </c>
      <c r="AU800" s="12">
        <v>46</v>
      </c>
      <c r="AV800" s="12">
        <v>47</v>
      </c>
      <c r="AW800" s="12">
        <v>48</v>
      </c>
    </row>
    <row r="801" spans="1:49">
      <c r="A801" s="7" t="s">
        <v>216</v>
      </c>
      <c r="B801" s="16" cm="1">
        <f t="array" aca="1" ref="B801" ca="1">INDEX($B$791:$G798, INT((COLUMN(A657)-1)/6)+1, MOD(COLUMN(A657)-1,6)+1)</f>
        <v>0</v>
      </c>
      <c r="C801" s="16" cm="1">
        <f t="array" aca="1" ref="C801" ca="1">INDEX($B$791:$G798, INT((COLUMN(B657)-1)/6)+1, MOD(COLUMN(B657)-1,6)+1)</f>
        <v>0</v>
      </c>
      <c r="D801" s="16" cm="1">
        <f t="array" aca="1" ref="D801" ca="1">INDEX($B$791:$G798, INT((COLUMN(C657)-1)/6)+1, MOD(COLUMN(C657)-1,6)+1)</f>
        <v>1</v>
      </c>
      <c r="E801" s="16" cm="1">
        <f t="array" aca="1" ref="E801" ca="1">INDEX($B$791:$G798, INT((COLUMN(D657)-1)/6)+1, MOD(COLUMN(D657)-1,6)+1)</f>
        <v>0</v>
      </c>
      <c r="F801" s="16" cm="1">
        <f t="array" aca="1" ref="F801" ca="1">INDEX($B$791:$G798, INT((COLUMN(E657)-1)/6)+1, MOD(COLUMN(E657)-1,6)+1)</f>
        <v>1</v>
      </c>
      <c r="G801" s="16" cm="1">
        <f t="array" aca="1" ref="G801" ca="1">INDEX($B$791:$G798, INT((COLUMN(F657)-1)/6)+1, MOD(COLUMN(F657)-1,6)+1)</f>
        <v>1</v>
      </c>
      <c r="H801" s="16" cm="1">
        <f t="array" aca="1" ref="H801" ca="1">INDEX($B$791:$G798, INT((COLUMN(G657)-1)/6)+1, MOD(COLUMN(G657)-1,6)+1)</f>
        <v>1</v>
      </c>
      <c r="I801" s="16" cm="1">
        <f t="array" aca="1" ref="I801" ca="1">INDEX($B$791:$G798, INT((COLUMN(H657)-1)/6)+1, MOD(COLUMN(H657)-1,6)+1)</f>
        <v>1</v>
      </c>
      <c r="J801" s="16" cm="1">
        <f t="array" aca="1" ref="J801" ca="1">INDEX($B$791:$G798, INT((COLUMN(I657)-1)/6)+1, MOD(COLUMN(I657)-1,6)+1)</f>
        <v>1</v>
      </c>
      <c r="K801" s="16" cm="1">
        <f t="array" aca="1" ref="K801" ca="1">INDEX($B$791:$G798, INT((COLUMN(J657)-1)/6)+1, MOD(COLUMN(J657)-1,6)+1)</f>
        <v>1</v>
      </c>
      <c r="L801" s="16" cm="1">
        <f t="array" aca="1" ref="L801" ca="1">INDEX($B$791:$G798, INT((COLUMN(K657)-1)/6)+1, MOD(COLUMN(K657)-1,6)+1)</f>
        <v>1</v>
      </c>
      <c r="M801" s="16" cm="1">
        <f t="array" aca="1" ref="M801" ca="1">INDEX($B$791:$G798, INT((COLUMN(L657)-1)/6)+1, MOD(COLUMN(L657)-1,6)+1)</f>
        <v>0</v>
      </c>
      <c r="N801" s="16" cm="1">
        <f t="array" aca="1" ref="N801" ca="1">INDEX($B$791:$G798, INT((COLUMN(M657)-1)/6)+1, MOD(COLUMN(M657)-1,6)+1)</f>
        <v>1</v>
      </c>
      <c r="O801" s="16" cm="1">
        <f t="array" aca="1" ref="O801" ca="1">INDEX($B$791:$G798, INT((COLUMN(N657)-1)/6)+1, MOD(COLUMN(N657)-1,6)+1)</f>
        <v>0</v>
      </c>
      <c r="P801" s="16" cm="1">
        <f t="array" aca="1" ref="P801" ca="1">INDEX($B$791:$G798, INT((COLUMN(O657)-1)/6)+1, MOD(COLUMN(O657)-1,6)+1)</f>
        <v>1</v>
      </c>
      <c r="Q801" s="16" cm="1">
        <f t="array" aca="1" ref="Q801" ca="1">INDEX($B$791:$G798, INT((COLUMN(P657)-1)/6)+1, MOD(COLUMN(P657)-1,6)+1)</f>
        <v>1</v>
      </c>
      <c r="R801" s="16" cm="1">
        <f t="array" aca="1" ref="R801" ca="1">INDEX($B$791:$G798, INT((COLUMN(Q657)-1)/6)+1, MOD(COLUMN(Q657)-1,6)+1)</f>
        <v>0</v>
      </c>
      <c r="S801" s="16" cm="1">
        <f t="array" aca="1" ref="S801" ca="1">INDEX($B$791:$G798, INT((COLUMN(R657)-1)/6)+1, MOD(COLUMN(R657)-1,6)+1)</f>
        <v>1</v>
      </c>
      <c r="T801" s="16" cm="1">
        <f t="array" aca="1" ref="T801" ca="1">INDEX($B$791:$G798, INT((COLUMN(S657)-1)/6)+1, MOD(COLUMN(S657)-1,6)+1)</f>
        <v>0</v>
      </c>
      <c r="U801" s="16" cm="1">
        <f t="array" aca="1" ref="U801" ca="1">INDEX($B$791:$G798, INT((COLUMN(T657)-1)/6)+1, MOD(COLUMN(T657)-1,6)+1)</f>
        <v>1</v>
      </c>
      <c r="V801" s="16" cm="1">
        <f t="array" aca="1" ref="V801" ca="1">INDEX($B$791:$G798, INT((COLUMN(U657)-1)/6)+1, MOD(COLUMN(U657)-1,6)+1)</f>
        <v>1</v>
      </c>
      <c r="W801" s="16" cm="1">
        <f t="array" aca="1" ref="W801" ca="1">INDEX($B$791:$G798, INT((COLUMN(V657)-1)/6)+1, MOD(COLUMN(V657)-1,6)+1)</f>
        <v>0</v>
      </c>
      <c r="X801" s="16" cm="1">
        <f t="array" aca="1" ref="X801" ca="1">INDEX($B$791:$G798, INT((COLUMN(W657)-1)/6)+1, MOD(COLUMN(W657)-1,6)+1)</f>
        <v>0</v>
      </c>
      <c r="Y801" s="16" cm="1">
        <f t="array" aca="1" ref="Y801" ca="1">INDEX($B$791:$G798, INT((COLUMN(X657)-1)/6)+1, MOD(COLUMN(X657)-1,6)+1)</f>
        <v>1</v>
      </c>
      <c r="Z801" s="16" cm="1">
        <f t="array" aca="1" ref="Z801" ca="1">INDEX($B$791:$G798, INT((COLUMN(Y657)-1)/6)+1, MOD(COLUMN(Y657)-1,6)+1)</f>
        <v>0</v>
      </c>
      <c r="AA801" s="16" cm="1">
        <f t="array" aca="1" ref="AA801" ca="1">INDEX($B$791:$G798, INT((COLUMN(Z657)-1)/6)+1, MOD(COLUMN(Z657)-1,6)+1)</f>
        <v>1</v>
      </c>
      <c r="AB801" s="16" cm="1">
        <f t="array" aca="1" ref="AB801" ca="1">INDEX($B$791:$G798, INT((COLUMN(AA657)-1)/6)+1, MOD(COLUMN(AA657)-1,6)+1)</f>
        <v>1</v>
      </c>
      <c r="AC801" s="16" cm="1">
        <f t="array" aca="1" ref="AC801" ca="1">INDEX($B$791:$G798, INT((COLUMN(AB657)-1)/6)+1, MOD(COLUMN(AB657)-1,6)+1)</f>
        <v>1</v>
      </c>
      <c r="AD801" s="16" cm="1">
        <f t="array" aca="1" ref="AD801" ca="1">INDEX($B$791:$G798, INT((COLUMN(AC657)-1)/6)+1, MOD(COLUMN(AC657)-1,6)+1)</f>
        <v>1</v>
      </c>
      <c r="AE801" s="16" cm="1">
        <f t="array" aca="1" ref="AE801" ca="1">INDEX($B$791:$G798, INT((COLUMN(AD657)-1)/6)+1, MOD(COLUMN(AD657)-1,6)+1)</f>
        <v>1</v>
      </c>
      <c r="AF801" s="16" cm="1">
        <f t="array" aca="1" ref="AF801" ca="1">INDEX($B$791:$G798, INT((COLUMN(AE657)-1)/6)+1, MOD(COLUMN(AE657)-1,6)+1)</f>
        <v>1</v>
      </c>
      <c r="AG801" s="16" cm="1">
        <f t="array" aca="1" ref="AG801" ca="1">INDEX($B$791:$G798, INT((COLUMN(AF657)-1)/6)+1, MOD(COLUMN(AF657)-1,6)+1)</f>
        <v>1</v>
      </c>
      <c r="AH801" s="16" cm="1">
        <f t="array" aca="1" ref="AH801" ca="1">INDEX($B$791:$G798, INT((COLUMN(AG657)-1)/6)+1, MOD(COLUMN(AG657)-1,6)+1)</f>
        <v>0</v>
      </c>
      <c r="AI801" s="16" cm="1">
        <f t="array" aca="1" ref="AI801" ca="1">INDEX($B$791:$G798, INT((COLUMN(AH657)-1)/6)+1, MOD(COLUMN(AH657)-1,6)+1)</f>
        <v>1</v>
      </c>
      <c r="AJ801" s="16" cm="1">
        <f t="array" aca="1" ref="AJ801" ca="1">INDEX($B$791:$G798, INT((COLUMN(AI657)-1)/6)+1, MOD(COLUMN(AI657)-1,6)+1)</f>
        <v>0</v>
      </c>
      <c r="AK801" s="16" cm="1">
        <f t="array" aca="1" ref="AK801" ca="1">INDEX($B$791:$G798, INT((COLUMN(AJ657)-1)/6)+1, MOD(COLUMN(AJ657)-1,6)+1)</f>
        <v>1</v>
      </c>
      <c r="AL801" s="16" cm="1">
        <f t="array" aca="1" ref="AL801" ca="1">INDEX($B$791:$G798, INT((COLUMN(AK657)-1)/6)+1, MOD(COLUMN(AK657)-1,6)+1)</f>
        <v>0</v>
      </c>
      <c r="AM801" s="16" cm="1">
        <f t="array" aca="1" ref="AM801" ca="1">INDEX($B$791:$G798, INT((COLUMN(AL657)-1)/6)+1, MOD(COLUMN(AL657)-1,6)+1)</f>
        <v>1</v>
      </c>
      <c r="AN801" s="16" cm="1">
        <f t="array" aca="1" ref="AN801" ca="1">INDEX($B$791:$G798, INT((COLUMN(AM657)-1)/6)+1, MOD(COLUMN(AM657)-1,6)+1)</f>
        <v>0</v>
      </c>
      <c r="AO801" s="16" cm="1">
        <f t="array" aca="1" ref="AO801" ca="1">INDEX($B$791:$G798, INT((COLUMN(AN657)-1)/6)+1, MOD(COLUMN(AN657)-1,6)+1)</f>
        <v>0</v>
      </c>
      <c r="AP801" s="16" cm="1">
        <f t="array" aca="1" ref="AP801" ca="1">INDEX($B$791:$G798, INT((COLUMN(AO657)-1)/6)+1, MOD(COLUMN(AO657)-1,6)+1)</f>
        <v>0</v>
      </c>
      <c r="AQ801" s="16" cm="1">
        <f t="array" aca="1" ref="AQ801" ca="1">INDEX($B$791:$G798, INT((COLUMN(AP657)-1)/6)+1, MOD(COLUMN(AP657)-1,6)+1)</f>
        <v>1</v>
      </c>
      <c r="AR801" s="16" cm="1">
        <f t="array" aca="1" ref="AR801" ca="1">INDEX($B$791:$G798, INT((COLUMN(AQ657)-1)/6)+1, MOD(COLUMN(AQ657)-1,6)+1)</f>
        <v>0</v>
      </c>
      <c r="AS801" s="16" cm="1">
        <f t="array" aca="1" ref="AS801" ca="1">INDEX($B$791:$G798, INT((COLUMN(AR657)-1)/6)+1, MOD(COLUMN(AR657)-1,6)+1)</f>
        <v>1</v>
      </c>
      <c r="AT801" s="16" cm="1">
        <f t="array" aca="1" ref="AT801" ca="1">INDEX($B$791:$G798, INT((COLUMN(AS657)-1)/6)+1, MOD(COLUMN(AS657)-1,6)+1)</f>
        <v>1</v>
      </c>
      <c r="AU801" s="16" cm="1">
        <f t="array" aca="1" ref="AU801" ca="1">INDEX($B$791:$G798, INT((COLUMN(AT657)-1)/6)+1, MOD(COLUMN(AT657)-1,6)+1)</f>
        <v>1</v>
      </c>
      <c r="AV801" s="16" cm="1">
        <f t="array" aca="1" ref="AV801" ca="1">INDEX($B$791:$G798, INT((COLUMN(AU657)-1)/6)+1, MOD(COLUMN(AU657)-1,6)+1)</f>
        <v>0</v>
      </c>
      <c r="AW801" s="16" cm="1">
        <f t="array" aca="1" ref="AW801" ca="1">INDEX($B$791:$G798, INT((COLUMN(AV657)-1)/6)+1, MOD(COLUMN(AV657)-1,6)+1)</f>
        <v>0</v>
      </c>
    </row>
    <row r="802" spans="1:49">
      <c r="A802" s="19"/>
    </row>
    <row r="803" spans="1:49">
      <c r="A803" s="12" t="s">
        <v>3</v>
      </c>
      <c r="B803" s="12">
        <v>1</v>
      </c>
      <c r="C803" s="12">
        <v>2</v>
      </c>
      <c r="D803" s="12">
        <v>3</v>
      </c>
      <c r="E803" s="12">
        <v>4</v>
      </c>
      <c r="F803" s="12">
        <v>5</v>
      </c>
      <c r="G803" s="12">
        <v>6</v>
      </c>
      <c r="H803" s="12">
        <v>7</v>
      </c>
      <c r="I803" s="12">
        <v>8</v>
      </c>
      <c r="J803" s="12">
        <v>9</v>
      </c>
      <c r="K803" s="12">
        <v>10</v>
      </c>
      <c r="L803" s="12">
        <v>11</v>
      </c>
      <c r="M803" s="12">
        <v>12</v>
      </c>
      <c r="N803" s="12">
        <v>13</v>
      </c>
      <c r="O803" s="12">
        <v>14</v>
      </c>
      <c r="P803" s="12">
        <v>15</v>
      </c>
      <c r="Q803" s="12">
        <v>16</v>
      </c>
      <c r="R803" s="12">
        <v>17</v>
      </c>
      <c r="S803" s="12">
        <v>18</v>
      </c>
      <c r="T803" s="12">
        <v>19</v>
      </c>
      <c r="U803" s="12">
        <v>20</v>
      </c>
      <c r="V803" s="12">
        <v>21</v>
      </c>
      <c r="W803" s="12">
        <v>22</v>
      </c>
      <c r="X803" s="12">
        <v>23</v>
      </c>
      <c r="Y803" s="12">
        <v>24</v>
      </c>
      <c r="Z803" s="12">
        <v>25</v>
      </c>
      <c r="AA803" s="12">
        <v>26</v>
      </c>
      <c r="AB803" s="12">
        <v>27</v>
      </c>
      <c r="AC803" s="12">
        <v>28</v>
      </c>
      <c r="AD803" s="12">
        <v>29</v>
      </c>
      <c r="AE803" s="12">
        <v>30</v>
      </c>
      <c r="AF803" s="12">
        <v>31</v>
      </c>
      <c r="AG803" s="12">
        <v>32</v>
      </c>
      <c r="AH803" s="12">
        <v>33</v>
      </c>
      <c r="AI803" s="12">
        <v>34</v>
      </c>
      <c r="AJ803" s="12">
        <v>35</v>
      </c>
      <c r="AK803" s="12">
        <v>36</v>
      </c>
      <c r="AL803" s="12">
        <v>37</v>
      </c>
      <c r="AM803" s="12">
        <v>38</v>
      </c>
      <c r="AN803" s="12">
        <v>39</v>
      </c>
      <c r="AO803" s="12">
        <v>40</v>
      </c>
      <c r="AP803" s="12">
        <v>41</v>
      </c>
      <c r="AQ803" s="12">
        <v>42</v>
      </c>
      <c r="AR803" s="12">
        <v>43</v>
      </c>
      <c r="AS803" s="12">
        <v>44</v>
      </c>
      <c r="AT803" s="12">
        <v>45</v>
      </c>
      <c r="AU803" s="12">
        <v>46</v>
      </c>
      <c r="AV803" s="12">
        <v>47</v>
      </c>
      <c r="AW803" s="12">
        <v>48</v>
      </c>
    </row>
    <row r="804" spans="1:49">
      <c r="A804" s="7" t="s">
        <v>217</v>
      </c>
      <c r="B804" s="16">
        <f ca="1">_xlfn.BITXOR(B801, B322)</f>
        <v>1</v>
      </c>
      <c r="C804" s="16">
        <f t="shared" ref="C804:AW804" ca="1" si="217">_xlfn.BITXOR(C801, C322)</f>
        <v>1</v>
      </c>
      <c r="D804" s="16">
        <f t="shared" ca="1" si="217"/>
        <v>1</v>
      </c>
      <c r="E804" s="16">
        <f t="shared" ca="1" si="217"/>
        <v>0</v>
      </c>
      <c r="F804" s="16">
        <f t="shared" ca="1" si="217"/>
        <v>1</v>
      </c>
      <c r="G804" s="16">
        <f t="shared" ca="1" si="217"/>
        <v>1</v>
      </c>
      <c r="H804" s="16">
        <f t="shared" ca="1" si="217"/>
        <v>1</v>
      </c>
      <c r="I804" s="16">
        <f t="shared" ca="1" si="217"/>
        <v>1</v>
      </c>
      <c r="J804" s="16">
        <f t="shared" ca="1" si="217"/>
        <v>0</v>
      </c>
      <c r="K804" s="16">
        <f t="shared" ca="1" si="217"/>
        <v>0</v>
      </c>
      <c r="L804" s="16">
        <f t="shared" ca="1" si="217"/>
        <v>1</v>
      </c>
      <c r="M804" s="16">
        <f t="shared" ca="1" si="217"/>
        <v>1</v>
      </c>
      <c r="N804" s="16">
        <f t="shared" ca="1" si="217"/>
        <v>0</v>
      </c>
      <c r="O804" s="16">
        <f t="shared" ca="1" si="217"/>
        <v>0</v>
      </c>
      <c r="P804" s="16">
        <f t="shared" ca="1" si="217"/>
        <v>0</v>
      </c>
      <c r="Q804" s="16">
        <f t="shared" ca="1" si="217"/>
        <v>0</v>
      </c>
      <c r="R804" s="16">
        <f t="shared" ca="1" si="217"/>
        <v>1</v>
      </c>
      <c r="S804" s="16">
        <f t="shared" ca="1" si="217"/>
        <v>0</v>
      </c>
      <c r="T804" s="16">
        <f t="shared" ca="1" si="217"/>
        <v>1</v>
      </c>
      <c r="U804" s="16">
        <f t="shared" ca="1" si="217"/>
        <v>1</v>
      </c>
      <c r="V804" s="16">
        <f t="shared" ca="1" si="217"/>
        <v>0</v>
      </c>
      <c r="W804" s="16">
        <f t="shared" ca="1" si="217"/>
        <v>0</v>
      </c>
      <c r="X804" s="16">
        <f t="shared" ca="1" si="217"/>
        <v>1</v>
      </c>
      <c r="Y804" s="16">
        <f t="shared" ca="1" si="217"/>
        <v>0</v>
      </c>
      <c r="Z804" s="16">
        <f t="shared" ca="1" si="217"/>
        <v>0</v>
      </c>
      <c r="AA804" s="16">
        <f t="shared" ca="1" si="217"/>
        <v>1</v>
      </c>
      <c r="AB804" s="16">
        <f t="shared" ca="1" si="217"/>
        <v>0</v>
      </c>
      <c r="AC804" s="16">
        <f t="shared" ca="1" si="217"/>
        <v>1</v>
      </c>
      <c r="AD804" s="16">
        <f t="shared" ca="1" si="217"/>
        <v>1</v>
      </c>
      <c r="AE804" s="16">
        <f t="shared" ca="1" si="217"/>
        <v>0</v>
      </c>
      <c r="AF804" s="16">
        <f t="shared" ca="1" si="217"/>
        <v>0</v>
      </c>
      <c r="AG804" s="16">
        <f t="shared" ca="1" si="217"/>
        <v>0</v>
      </c>
      <c r="AH804" s="16">
        <f t="shared" ca="1" si="217"/>
        <v>1</v>
      </c>
      <c r="AI804" s="16">
        <f t="shared" ca="1" si="217"/>
        <v>1</v>
      </c>
      <c r="AJ804" s="16">
        <f t="shared" ca="1" si="217"/>
        <v>1</v>
      </c>
      <c r="AK804" s="16">
        <f t="shared" ca="1" si="217"/>
        <v>0</v>
      </c>
      <c r="AL804" s="16">
        <f t="shared" ca="1" si="217"/>
        <v>1</v>
      </c>
      <c r="AM804" s="16">
        <f t="shared" ca="1" si="217"/>
        <v>1</v>
      </c>
      <c r="AN804" s="16">
        <f t="shared" ca="1" si="217"/>
        <v>0</v>
      </c>
      <c r="AO804" s="16">
        <f t="shared" ca="1" si="217"/>
        <v>0</v>
      </c>
      <c r="AP804" s="16">
        <f t="shared" ca="1" si="217"/>
        <v>0</v>
      </c>
      <c r="AQ804" s="16">
        <f t="shared" ca="1" si="217"/>
        <v>1</v>
      </c>
      <c r="AR804" s="16">
        <f t="shared" ca="1" si="217"/>
        <v>1</v>
      </c>
      <c r="AS804" s="16">
        <f t="shared" ca="1" si="217"/>
        <v>0</v>
      </c>
      <c r="AT804" s="16">
        <f t="shared" ca="1" si="217"/>
        <v>0</v>
      </c>
      <c r="AU804" s="16">
        <f t="shared" ca="1" si="217"/>
        <v>1</v>
      </c>
      <c r="AV804" s="16">
        <f t="shared" ca="1" si="217"/>
        <v>0</v>
      </c>
      <c r="AW804" s="16">
        <f t="shared" ca="1" si="217"/>
        <v>1</v>
      </c>
    </row>
    <row r="806" spans="1:49">
      <c r="A806" s="27" t="s">
        <v>136</v>
      </c>
      <c r="B806" s="27" t="s">
        <v>137</v>
      </c>
      <c r="C806" s="27"/>
      <c r="D806" s="27" t="s">
        <v>141</v>
      </c>
      <c r="E806" s="27" t="s">
        <v>142</v>
      </c>
      <c r="F806" s="28" t="s">
        <v>138</v>
      </c>
      <c r="G806" s="28"/>
      <c r="I806" s="5" t="s">
        <v>218</v>
      </c>
    </row>
    <row r="807" spans="1:49">
      <c r="A807" s="27"/>
      <c r="B807" s="27"/>
      <c r="C807" s="27"/>
      <c r="D807" s="27"/>
      <c r="E807" s="27"/>
      <c r="F807" s="7" t="s">
        <v>139</v>
      </c>
      <c r="G807" s="7" t="s">
        <v>140</v>
      </c>
    </row>
    <row r="808" spans="1:49">
      <c r="A808" s="7">
        <v>1</v>
      </c>
      <c r="B808" s="29" t="str">
        <f ca="1">_xlfn.TEXTJOIN("", TRUE, OFFSET($B$804,0,(ROW(A1)-1)*6,1,6))</f>
        <v>111011</v>
      </c>
      <c r="C808" s="30"/>
      <c r="D808" s="7">
        <f ca="1">BIN2DEC(LEFT(B808,1) &amp; RIGHT(B808,1))</f>
        <v>3</v>
      </c>
      <c r="E808" s="12">
        <f ca="1">BIN2DEC(MID(B808,2,4))</f>
        <v>13</v>
      </c>
      <c r="F808" s="12" cm="1">
        <f t="array" aca="1" ref="F808" ca="1">INDEX(OFFSET('S-box'!$A$2, (A808-1)*6, 0, 4, 16), D808+1, E808+1)</f>
        <v>0</v>
      </c>
      <c r="G808" s="17" t="str">
        <f ca="1">DEC2BIN(F808, 4)</f>
        <v>0000</v>
      </c>
      <c r="I808" s="12" t="s">
        <v>3</v>
      </c>
      <c r="J808" s="12">
        <v>1</v>
      </c>
      <c r="K808" s="12">
        <v>2</v>
      </c>
      <c r="L808" s="12">
        <v>3</v>
      </c>
      <c r="M808" s="12">
        <v>4</v>
      </c>
      <c r="N808" s="12">
        <v>5</v>
      </c>
      <c r="O808" s="12">
        <v>6</v>
      </c>
      <c r="P808" s="12">
        <v>7</v>
      </c>
      <c r="Q808" s="12">
        <v>8</v>
      </c>
      <c r="R808" s="12">
        <v>9</v>
      </c>
      <c r="S808" s="12">
        <v>10</v>
      </c>
      <c r="T808" s="12">
        <v>11</v>
      </c>
      <c r="U808" s="12">
        <v>12</v>
      </c>
      <c r="V808" s="12">
        <v>13</v>
      </c>
      <c r="W808" s="12">
        <v>14</v>
      </c>
      <c r="X808" s="12">
        <v>15</v>
      </c>
      <c r="Y808" s="12">
        <v>16</v>
      </c>
      <c r="Z808" s="12">
        <v>17</v>
      </c>
      <c r="AA808" s="12">
        <v>18</v>
      </c>
      <c r="AB808" s="12">
        <v>19</v>
      </c>
      <c r="AC808" s="12">
        <v>20</v>
      </c>
      <c r="AD808" s="12">
        <v>21</v>
      </c>
      <c r="AE808" s="12">
        <v>22</v>
      </c>
      <c r="AF808" s="12">
        <v>23</v>
      </c>
      <c r="AG808" s="12">
        <v>24</v>
      </c>
      <c r="AH808" s="12">
        <v>25</v>
      </c>
      <c r="AI808" s="12">
        <v>26</v>
      </c>
      <c r="AJ808" s="12">
        <v>27</v>
      </c>
      <c r="AK808" s="12">
        <v>28</v>
      </c>
      <c r="AL808" s="12">
        <v>29</v>
      </c>
      <c r="AM808" s="12">
        <v>30</v>
      </c>
      <c r="AN808" s="12">
        <v>31</v>
      </c>
      <c r="AO808" s="12">
        <v>32</v>
      </c>
    </row>
    <row r="809" spans="1:49">
      <c r="A809" s="7">
        <v>2</v>
      </c>
      <c r="B809" s="29" t="str">
        <f t="shared" ref="B809:B815" ca="1" si="218">_xlfn.TEXTJOIN("", TRUE, OFFSET($B$804,0,(ROW(A2)-1)*6,1,6))</f>
        <v>110011</v>
      </c>
      <c r="C809" s="30"/>
      <c r="D809" s="7">
        <f t="shared" ref="D809:D815" ca="1" si="219">BIN2DEC(LEFT(B809,1) &amp; RIGHT(B809,1))</f>
        <v>3</v>
      </c>
      <c r="E809" s="12">
        <f t="shared" ref="E809:E815" ca="1" si="220">BIN2DEC(MID(B809,2,4))</f>
        <v>9</v>
      </c>
      <c r="F809" s="12" cm="1">
        <f t="array" aca="1" ref="F809" ca="1">INDEX(OFFSET('S-box'!$A$2, (A809-1)*6, 0, 4, 16), D809+1, E809+1)</f>
        <v>6</v>
      </c>
      <c r="G809" s="17" t="str">
        <f t="shared" ref="G809:G815" ca="1" si="221">DEC2BIN(F809, 4)</f>
        <v>0110</v>
      </c>
      <c r="I809" s="12" t="s">
        <v>152</v>
      </c>
      <c r="J809" s="12" t="str">
        <f ca="1">MID(_xlfn.TEXTJOIN("",TRUE,$G$808:$G$815), COLUMN(A265), 1)</f>
        <v>0</v>
      </c>
      <c r="K809" s="12" t="str">
        <f t="shared" ref="K809:AO809" ca="1" si="222">MID(_xlfn.TEXTJOIN("",TRUE,$G$808:$G$815), COLUMN(B265), 1)</f>
        <v>0</v>
      </c>
      <c r="L809" s="12" t="str">
        <f t="shared" ca="1" si="222"/>
        <v>0</v>
      </c>
      <c r="M809" s="12" t="str">
        <f t="shared" ca="1" si="222"/>
        <v>0</v>
      </c>
      <c r="N809" s="12" t="str">
        <f t="shared" ca="1" si="222"/>
        <v>0</v>
      </c>
      <c r="O809" s="12" t="str">
        <f t="shared" ca="1" si="222"/>
        <v>1</v>
      </c>
      <c r="P809" s="12" t="str">
        <f t="shared" ca="1" si="222"/>
        <v>1</v>
      </c>
      <c r="Q809" s="12" t="str">
        <f t="shared" ca="1" si="222"/>
        <v>0</v>
      </c>
      <c r="R809" s="12" t="str">
        <f t="shared" ca="1" si="222"/>
        <v>0</v>
      </c>
      <c r="S809" s="12" t="str">
        <f t="shared" ca="1" si="222"/>
        <v>0</v>
      </c>
      <c r="T809" s="12" t="str">
        <f t="shared" ca="1" si="222"/>
        <v>0</v>
      </c>
      <c r="U809" s="12" t="str">
        <f t="shared" ca="1" si="222"/>
        <v>0</v>
      </c>
      <c r="V809" s="12" t="str">
        <f t="shared" ca="1" si="222"/>
        <v>0</v>
      </c>
      <c r="W809" s="12" t="str">
        <f t="shared" ca="1" si="222"/>
        <v>0</v>
      </c>
      <c r="X809" s="12" t="str">
        <f t="shared" ca="1" si="222"/>
        <v>0</v>
      </c>
      <c r="Y809" s="12" t="str">
        <f t="shared" ca="1" si="222"/>
        <v>1</v>
      </c>
      <c r="Z809" s="12" t="str">
        <f t="shared" ca="1" si="222"/>
        <v>1</v>
      </c>
      <c r="AA809" s="12" t="str">
        <f t="shared" ca="1" si="222"/>
        <v>1</v>
      </c>
      <c r="AB809" s="12" t="str">
        <f t="shared" ca="1" si="222"/>
        <v>1</v>
      </c>
      <c r="AC809" s="12" t="str">
        <f t="shared" ca="1" si="222"/>
        <v>1</v>
      </c>
      <c r="AD809" s="12" t="str">
        <f t="shared" ca="1" si="222"/>
        <v>1</v>
      </c>
      <c r="AE809" s="12" t="str">
        <f t="shared" ca="1" si="222"/>
        <v>0</v>
      </c>
      <c r="AF809" s="12" t="str">
        <f t="shared" ca="1" si="222"/>
        <v>0</v>
      </c>
      <c r="AG809" s="12" t="str">
        <f t="shared" ca="1" si="222"/>
        <v>0</v>
      </c>
      <c r="AH809" s="12" t="str">
        <f t="shared" ca="1" si="222"/>
        <v>1</v>
      </c>
      <c r="AI809" s="12" t="str">
        <f t="shared" ca="1" si="222"/>
        <v>0</v>
      </c>
      <c r="AJ809" s="12" t="str">
        <f t="shared" ca="1" si="222"/>
        <v>0</v>
      </c>
      <c r="AK809" s="12" t="str">
        <f t="shared" ca="1" si="222"/>
        <v>1</v>
      </c>
      <c r="AL809" s="12" t="str">
        <f t="shared" ca="1" si="222"/>
        <v>1</v>
      </c>
      <c r="AM809" s="12" t="str">
        <f t="shared" ca="1" si="222"/>
        <v>1</v>
      </c>
      <c r="AN809" s="12" t="str">
        <f t="shared" ca="1" si="222"/>
        <v>1</v>
      </c>
      <c r="AO809" s="12" t="str">
        <f t="shared" ca="1" si="222"/>
        <v>0</v>
      </c>
    </row>
    <row r="810" spans="1:49">
      <c r="A810" s="7">
        <v>3</v>
      </c>
      <c r="B810" s="29" t="str">
        <f t="shared" ca="1" si="218"/>
        <v>000010</v>
      </c>
      <c r="C810" s="30"/>
      <c r="D810" s="7">
        <f t="shared" ca="1" si="219"/>
        <v>0</v>
      </c>
      <c r="E810" s="12">
        <f t="shared" ca="1" si="220"/>
        <v>1</v>
      </c>
      <c r="F810" s="12" cm="1">
        <f t="array" aca="1" ref="F810" ca="1">INDEX(OFFSET('S-box'!$A$2, (A810-1)*6, 0, 4, 16), D810+1, E810+1)</f>
        <v>0</v>
      </c>
      <c r="G810" s="17" t="str">
        <f t="shared" ca="1" si="221"/>
        <v>0000</v>
      </c>
    </row>
    <row r="811" spans="1:49">
      <c r="A811" s="7">
        <v>4</v>
      </c>
      <c r="B811" s="29" t="str">
        <f t="shared" ca="1" si="218"/>
        <v>110010</v>
      </c>
      <c r="C811" s="30"/>
      <c r="D811" s="7">
        <f t="shared" ca="1" si="219"/>
        <v>2</v>
      </c>
      <c r="E811" s="12">
        <f t="shared" ca="1" si="220"/>
        <v>9</v>
      </c>
      <c r="F811" s="12" cm="1">
        <f t="array" aca="1" ref="F811" ca="1">INDEX(OFFSET('S-box'!$A$2, (A811-1)*6, 0, 4, 16), D811+1, E811+1)</f>
        <v>1</v>
      </c>
      <c r="G811" s="17" t="str">
        <f t="shared" ca="1" si="221"/>
        <v>0001</v>
      </c>
      <c r="I811" s="5" t="s">
        <v>219</v>
      </c>
    </row>
    <row r="812" spans="1:49">
      <c r="A812" s="7">
        <v>5</v>
      </c>
      <c r="B812" s="29" t="str">
        <f t="shared" ca="1" si="218"/>
        <v>010110</v>
      </c>
      <c r="C812" s="30"/>
      <c r="D812" s="7">
        <f t="shared" ca="1" si="219"/>
        <v>0</v>
      </c>
      <c r="E812" s="12">
        <f t="shared" ca="1" si="220"/>
        <v>11</v>
      </c>
      <c r="F812" s="12" cm="1">
        <f t="array" aca="1" ref="F812" ca="1">INDEX(OFFSET('S-box'!$A$2, (A812-1)*6, 0, 4, 16), D812+1, E812+1)</f>
        <v>15</v>
      </c>
      <c r="G812" s="17" t="str">
        <f t="shared" ca="1" si="221"/>
        <v>1111</v>
      </c>
    </row>
    <row r="813" spans="1:49">
      <c r="A813" s="7">
        <v>6</v>
      </c>
      <c r="B813" s="29" t="str">
        <f t="shared" ca="1" si="218"/>
        <v>001110</v>
      </c>
      <c r="C813" s="30"/>
      <c r="D813" s="7">
        <f t="shared" ca="1" si="219"/>
        <v>0</v>
      </c>
      <c r="E813" s="12">
        <f t="shared" ca="1" si="220"/>
        <v>7</v>
      </c>
      <c r="F813" s="12" cm="1">
        <f t="array" aca="1" ref="F813" ca="1">INDEX(OFFSET('S-box'!$A$2, (A813-1)*6, 0, 4, 16), D813+1, E813+1)</f>
        <v>8</v>
      </c>
      <c r="G813" s="17" t="str">
        <f t="shared" ca="1" si="221"/>
        <v>1000</v>
      </c>
      <c r="I813" s="12" t="s">
        <v>3</v>
      </c>
      <c r="J813" s="12">
        <v>1</v>
      </c>
      <c r="K813" s="12">
        <v>2</v>
      </c>
      <c r="L813" s="12">
        <v>3</v>
      </c>
      <c r="M813" s="12">
        <v>4</v>
      </c>
      <c r="N813" s="12">
        <v>5</v>
      </c>
      <c r="O813" s="12">
        <v>6</v>
      </c>
      <c r="P813" s="12">
        <v>7</v>
      </c>
      <c r="Q813" s="12">
        <v>8</v>
      </c>
      <c r="R813" s="12">
        <v>9</v>
      </c>
      <c r="S813" s="12">
        <v>10</v>
      </c>
      <c r="T813" s="12">
        <v>11</v>
      </c>
      <c r="U813" s="12">
        <v>12</v>
      </c>
      <c r="V813" s="12">
        <v>13</v>
      </c>
      <c r="W813" s="12">
        <v>14</v>
      </c>
      <c r="X813" s="12">
        <v>15</v>
      </c>
      <c r="Y813" s="12">
        <v>16</v>
      </c>
      <c r="Z813" s="12">
        <v>17</v>
      </c>
      <c r="AA813" s="12">
        <v>18</v>
      </c>
      <c r="AB813" s="12">
        <v>19</v>
      </c>
      <c r="AC813" s="12">
        <v>20</v>
      </c>
      <c r="AD813" s="12">
        <v>21</v>
      </c>
      <c r="AE813" s="12">
        <v>22</v>
      </c>
      <c r="AF813" s="12">
        <v>23</v>
      </c>
      <c r="AG813" s="12">
        <v>24</v>
      </c>
      <c r="AH813" s="12">
        <v>25</v>
      </c>
      <c r="AI813" s="12">
        <v>26</v>
      </c>
      <c r="AJ813" s="12">
        <v>27</v>
      </c>
      <c r="AK813" s="12">
        <v>28</v>
      </c>
      <c r="AL813" s="12">
        <v>29</v>
      </c>
      <c r="AM813" s="12">
        <v>30</v>
      </c>
      <c r="AN813" s="12">
        <v>31</v>
      </c>
      <c r="AO813" s="12">
        <v>32</v>
      </c>
    </row>
    <row r="814" spans="1:49">
      <c r="A814" s="7">
        <v>7</v>
      </c>
      <c r="B814" s="29" t="str">
        <f t="shared" ca="1" si="218"/>
        <v>110001</v>
      </c>
      <c r="C814" s="30"/>
      <c r="D814" s="7">
        <f t="shared" ca="1" si="219"/>
        <v>3</v>
      </c>
      <c r="E814" s="12">
        <f t="shared" ca="1" si="220"/>
        <v>8</v>
      </c>
      <c r="F814" s="12" cm="1">
        <f t="array" aca="1" ref="F814" ca="1">INDEX(OFFSET('S-box'!$A$2, (A814-1)*6, 0, 4, 16), D814+1, E814+1)</f>
        <v>9</v>
      </c>
      <c r="G814" s="17" t="str">
        <f t="shared" ca="1" si="221"/>
        <v>1001</v>
      </c>
      <c r="I814" s="18" t="s">
        <v>152</v>
      </c>
      <c r="J814" s="12" t="str" cm="1">
        <f t="array" aca="1" ref="J814" ca="1">INDEX($J$809:$AO$809, INDEX($T$15:$AA$18, INT((COLUMN(A232)-1)/8)+1, MOD(COLUMN(A232)-1,8)+1))</f>
        <v>1</v>
      </c>
      <c r="K814" s="12" t="str" cm="1">
        <f t="array" aca="1" ref="K814" ca="1">INDEX($J$809:$AO$809, INDEX($T$15:$AA$18, INT((COLUMN(B232)-1)/8)+1, MOD(COLUMN(B232)-1,8)+1))</f>
        <v>1</v>
      </c>
      <c r="L814" s="12" t="str" cm="1">
        <f t="array" aca="1" ref="L814" ca="1">INDEX($J$809:$AO$809, INDEX($T$15:$AA$18, INT((COLUMN(C232)-1)/8)+1, MOD(COLUMN(C232)-1,8)+1))</f>
        <v>1</v>
      </c>
      <c r="M814" s="12" t="str" cm="1">
        <f t="array" aca="1" ref="M814" ca="1">INDEX($J$809:$AO$809, INDEX($T$15:$AA$18, INT((COLUMN(D232)-1)/8)+1, MOD(COLUMN(D232)-1,8)+1))</f>
        <v>1</v>
      </c>
      <c r="N814" s="12" t="str" cm="1">
        <f t="array" aca="1" ref="N814" ca="1">INDEX($J$809:$AO$809, INDEX($T$15:$AA$18, INT((COLUMN(E232)-1)/8)+1, MOD(COLUMN(E232)-1,8)+1))</f>
        <v>1</v>
      </c>
      <c r="O814" s="12" t="str" cm="1">
        <f t="array" aca="1" ref="O814" ca="1">INDEX($J$809:$AO$809, INDEX($T$15:$AA$18, INT((COLUMN(F232)-1)/8)+1, MOD(COLUMN(F232)-1,8)+1))</f>
        <v>0</v>
      </c>
      <c r="P814" s="12" t="str" cm="1">
        <f t="array" aca="1" ref="P814" ca="1">INDEX($J$809:$AO$809, INDEX($T$15:$AA$18, INT((COLUMN(G232)-1)/8)+1, MOD(COLUMN(G232)-1,8)+1))</f>
        <v>1</v>
      </c>
      <c r="Q814" s="12" t="str" cm="1">
        <f t="array" aca="1" ref="Q814" ca="1">INDEX($J$809:$AO$809, INDEX($T$15:$AA$18, INT((COLUMN(H232)-1)/8)+1, MOD(COLUMN(H232)-1,8)+1))</f>
        <v>1</v>
      </c>
      <c r="R814" s="12" t="str" cm="1">
        <f t="array" aca="1" ref="R814" ca="1">INDEX($J$809:$AO$809, INDEX($T$15:$AA$18, INT((COLUMN(I232)-1)/8)+1, MOD(COLUMN(I232)-1,8)+1))</f>
        <v>0</v>
      </c>
      <c r="S814" s="12" t="str" cm="1">
        <f t="array" aca="1" ref="S814" ca="1">INDEX($J$809:$AO$809, INDEX($T$15:$AA$18, INT((COLUMN(J232)-1)/8)+1, MOD(COLUMN(J232)-1,8)+1))</f>
        <v>0</v>
      </c>
      <c r="T814" s="12" t="str" cm="1">
        <f t="array" aca="1" ref="T814" ca="1">INDEX($J$809:$AO$809, INDEX($T$15:$AA$18, INT((COLUMN(K232)-1)/8)+1, MOD(COLUMN(K232)-1,8)+1))</f>
        <v>0</v>
      </c>
      <c r="U814" s="12" t="str" cm="1">
        <f t="array" aca="1" ref="U814" ca="1">INDEX($J$809:$AO$809, INDEX($T$15:$AA$18, INT((COLUMN(L232)-1)/8)+1, MOD(COLUMN(L232)-1,8)+1))</f>
        <v>0</v>
      </c>
      <c r="V814" s="12" t="str" cm="1">
        <f t="array" aca="1" ref="V814" ca="1">INDEX($J$809:$AO$809, INDEX($T$15:$AA$18, INT((COLUMN(M232)-1)/8)+1, MOD(COLUMN(M232)-1,8)+1))</f>
        <v>0</v>
      </c>
      <c r="W814" s="12" t="str" cm="1">
        <f t="array" aca="1" ref="W814" ca="1">INDEX($J$809:$AO$809, INDEX($T$15:$AA$18, INT((COLUMN(N232)-1)/8)+1, MOD(COLUMN(N232)-1,8)+1))</f>
        <v>1</v>
      </c>
      <c r="X814" s="12" t="str" cm="1">
        <f t="array" aca="1" ref="X814" ca="1">INDEX($J$809:$AO$809, INDEX($T$15:$AA$18, INT((COLUMN(O232)-1)/8)+1, MOD(COLUMN(O232)-1,8)+1))</f>
        <v>1</v>
      </c>
      <c r="Y814" s="12" t="str" cm="1">
        <f t="array" aca="1" ref="Y814" ca="1">INDEX($J$809:$AO$809, INDEX($T$15:$AA$18, INT((COLUMN(P232)-1)/8)+1, MOD(COLUMN(P232)-1,8)+1))</f>
        <v>0</v>
      </c>
      <c r="Z814" s="12" t="str" cm="1">
        <f t="array" aca="1" ref="Z814" ca="1">INDEX($J$809:$AO$809, INDEX($T$15:$AA$18, INT((COLUMN(Q232)-1)/8)+1, MOD(COLUMN(Q232)-1,8)+1))</f>
        <v>0</v>
      </c>
      <c r="AA814" s="12" t="str" cm="1">
        <f t="array" aca="1" ref="AA814" ca="1">INDEX($J$809:$AO$809, INDEX($T$15:$AA$18, INT((COLUMN(R232)-1)/8)+1, MOD(COLUMN(R232)-1,8)+1))</f>
        <v>0</v>
      </c>
      <c r="AB814" s="12" t="str" cm="1">
        <f t="array" aca="1" ref="AB814" ca="1">INDEX($J$809:$AO$809, INDEX($T$15:$AA$18, INT((COLUMN(S232)-1)/8)+1, MOD(COLUMN(S232)-1,8)+1))</f>
        <v>0</v>
      </c>
      <c r="AC814" s="12" t="str" cm="1">
        <f t="array" aca="1" ref="AC814" ca="1">INDEX($J$809:$AO$809, INDEX($T$15:$AA$18, INT((COLUMN(T232)-1)/8)+1, MOD(COLUMN(T232)-1,8)+1))</f>
        <v>0</v>
      </c>
      <c r="AD814" s="12" t="str" cm="1">
        <f t="array" aca="1" ref="AD814" ca="1">INDEX($J$809:$AO$809, INDEX($T$15:$AA$18, INT((COLUMN(U232)-1)/8)+1, MOD(COLUMN(U232)-1,8)+1))</f>
        <v>0</v>
      </c>
      <c r="AE814" s="12" t="str" cm="1">
        <f t="array" aca="1" ref="AE814" ca="1">INDEX($J$809:$AO$809, INDEX($T$15:$AA$18, INT((COLUMN(V232)-1)/8)+1, MOD(COLUMN(V232)-1,8)+1))</f>
        <v>0</v>
      </c>
      <c r="AF814" s="12" t="str" cm="1">
        <f t="array" aca="1" ref="AF814" ca="1">INDEX($J$809:$AO$809, INDEX($T$15:$AA$18, INT((COLUMN(W232)-1)/8)+1, MOD(COLUMN(W232)-1,8)+1))</f>
        <v>0</v>
      </c>
      <c r="AG814" s="12" t="str" cm="1">
        <f t="array" aca="1" ref="AG814" ca="1">INDEX($J$809:$AO$809, INDEX($T$15:$AA$18, INT((COLUMN(X232)-1)/8)+1, MOD(COLUMN(X232)-1,8)+1))</f>
        <v>0</v>
      </c>
      <c r="AH814" s="12" t="str" cm="1">
        <f t="array" aca="1" ref="AH814" ca="1">INDEX($J$809:$AO$809, INDEX($T$15:$AA$18, INT((COLUMN(Y232)-1)/8)+1, MOD(COLUMN(Y232)-1,8)+1))</f>
        <v>1</v>
      </c>
      <c r="AI814" s="12" t="str" cm="1">
        <f t="array" aca="1" ref="AI814" ca="1">INDEX($J$809:$AO$809, INDEX($T$15:$AA$18, INT((COLUMN(Z232)-1)/8)+1, MOD(COLUMN(Z232)-1,8)+1))</f>
        <v>0</v>
      </c>
      <c r="AJ814" s="12" t="str" cm="1">
        <f t="array" aca="1" ref="AJ814" ca="1">INDEX($J$809:$AO$809, INDEX($T$15:$AA$18, INT((COLUMN(AA232)-1)/8)+1, MOD(COLUMN(AA232)-1,8)+1))</f>
        <v>1</v>
      </c>
      <c r="AK814" s="12" t="str" cm="1">
        <f t="array" aca="1" ref="AK814" ca="1">INDEX($J$809:$AO$809, INDEX($T$15:$AA$18, INT((COLUMN(AB232)-1)/8)+1, MOD(COLUMN(AB232)-1,8)+1))</f>
        <v>1</v>
      </c>
      <c r="AL814" s="12" t="str" cm="1">
        <f t="array" aca="1" ref="AL814" ca="1">INDEX($J$809:$AO$809, INDEX($T$15:$AA$18, INT((COLUMN(AC232)-1)/8)+1, MOD(COLUMN(AC232)-1,8)+1))</f>
        <v>0</v>
      </c>
      <c r="AM814" s="12" t="str" cm="1">
        <f t="array" aca="1" ref="AM814" ca="1">INDEX($J$809:$AO$809, INDEX($T$15:$AA$18, INT((COLUMN(AD232)-1)/8)+1, MOD(COLUMN(AD232)-1,8)+1))</f>
        <v>0</v>
      </c>
      <c r="AN814" s="12" t="str" cm="1">
        <f t="array" aca="1" ref="AN814" ca="1">INDEX($J$809:$AO$809, INDEX($T$15:$AA$18, INT((COLUMN(AE232)-1)/8)+1, MOD(COLUMN(AE232)-1,8)+1))</f>
        <v>0</v>
      </c>
      <c r="AO814" s="12" t="str" cm="1">
        <f t="array" aca="1" ref="AO814" ca="1">INDEX($J$809:$AO$809, INDEX($T$15:$AA$18, INT((COLUMN(AF232)-1)/8)+1, MOD(COLUMN(AF232)-1,8)+1))</f>
        <v>1</v>
      </c>
    </row>
    <row r="815" spans="1:49">
      <c r="A815" s="7">
        <v>8</v>
      </c>
      <c r="B815" s="29" t="str">
        <f t="shared" ca="1" si="218"/>
        <v>100101</v>
      </c>
      <c r="C815" s="30"/>
      <c r="D815" s="7">
        <f t="shared" ca="1" si="219"/>
        <v>3</v>
      </c>
      <c r="E815" s="12">
        <f t="shared" ca="1" si="220"/>
        <v>2</v>
      </c>
      <c r="F815" s="12" cm="1">
        <f t="array" aca="1" ref="F815" ca="1">INDEX(OFFSET('S-box'!$A$2, (A815-1)*6, 0, 4, 16), D815+1, E815+1)</f>
        <v>14</v>
      </c>
      <c r="G815" s="17" t="str">
        <f t="shared" ca="1" si="221"/>
        <v>1110</v>
      </c>
    </row>
    <row r="817" spans="1:33">
      <c r="A817" s="20" t="s">
        <v>283</v>
      </c>
    </row>
    <row r="819" spans="1:33">
      <c r="A819" s="12" t="s">
        <v>3</v>
      </c>
      <c r="B819" s="12">
        <v>1</v>
      </c>
      <c r="C819" s="12">
        <v>2</v>
      </c>
      <c r="D819" s="12">
        <v>3</v>
      </c>
      <c r="E819" s="12">
        <v>4</v>
      </c>
      <c r="F819" s="12">
        <v>5</v>
      </c>
      <c r="G819" s="12">
        <v>6</v>
      </c>
      <c r="H819" s="12">
        <v>7</v>
      </c>
      <c r="I819" s="12">
        <v>8</v>
      </c>
      <c r="J819" s="12">
        <v>9</v>
      </c>
      <c r="K819" s="12">
        <v>10</v>
      </c>
      <c r="L819" s="12">
        <v>11</v>
      </c>
      <c r="M819" s="12">
        <v>12</v>
      </c>
      <c r="N819" s="12">
        <v>13</v>
      </c>
      <c r="O819" s="12">
        <v>14</v>
      </c>
      <c r="P819" s="12">
        <v>15</v>
      </c>
      <c r="Q819" s="12">
        <v>16</v>
      </c>
      <c r="R819" s="12">
        <v>17</v>
      </c>
      <c r="S819" s="12">
        <v>18</v>
      </c>
      <c r="T819" s="12">
        <v>19</v>
      </c>
      <c r="U819" s="12">
        <v>20</v>
      </c>
      <c r="V819" s="12">
        <v>21</v>
      </c>
      <c r="W819" s="12">
        <v>22</v>
      </c>
      <c r="X819" s="12">
        <v>23</v>
      </c>
      <c r="Y819" s="12">
        <v>24</v>
      </c>
      <c r="Z819" s="12">
        <v>25</v>
      </c>
      <c r="AA819" s="12">
        <v>26</v>
      </c>
      <c r="AB819" s="12">
        <v>27</v>
      </c>
      <c r="AC819" s="12">
        <v>28</v>
      </c>
      <c r="AD819" s="12">
        <v>29</v>
      </c>
      <c r="AE819" s="12">
        <v>30</v>
      </c>
      <c r="AF819" s="12">
        <v>31</v>
      </c>
      <c r="AG819" s="12">
        <v>32</v>
      </c>
    </row>
    <row r="820" spans="1:33">
      <c r="A820" s="12" t="s">
        <v>220</v>
      </c>
      <c r="B820" s="12">
        <v>0</v>
      </c>
      <c r="C820" s="12">
        <v>1</v>
      </c>
      <c r="D820" s="12">
        <v>0</v>
      </c>
      <c r="E820" s="12">
        <v>1</v>
      </c>
      <c r="F820" s="12">
        <v>1</v>
      </c>
      <c r="G820" s="12">
        <v>1</v>
      </c>
      <c r="H820" s="12">
        <v>1</v>
      </c>
      <c r="I820" s="12">
        <v>1</v>
      </c>
      <c r="J820" s="12">
        <v>0</v>
      </c>
      <c r="K820" s="12">
        <v>1</v>
      </c>
      <c r="L820" s="12">
        <v>1</v>
      </c>
      <c r="M820" s="12">
        <v>0</v>
      </c>
      <c r="N820" s="12">
        <v>1</v>
      </c>
      <c r="O820" s="12">
        <v>1</v>
      </c>
      <c r="P820" s="12">
        <v>0</v>
      </c>
      <c r="Q820" s="12">
        <v>0</v>
      </c>
      <c r="R820" s="12">
        <v>1</v>
      </c>
      <c r="S820" s="12">
        <v>1</v>
      </c>
      <c r="T820" s="12">
        <v>1</v>
      </c>
      <c r="U820" s="12">
        <v>1</v>
      </c>
      <c r="V820" s="12">
        <v>1</v>
      </c>
      <c r="W820" s="12">
        <v>0</v>
      </c>
      <c r="X820" s="12">
        <v>1</v>
      </c>
      <c r="Y820" s="12">
        <v>0</v>
      </c>
      <c r="Z820" s="12">
        <v>1</v>
      </c>
      <c r="AA820" s="12">
        <v>0</v>
      </c>
      <c r="AB820" s="12">
        <v>0</v>
      </c>
      <c r="AC820" s="12">
        <v>0</v>
      </c>
      <c r="AD820" s="12">
        <v>1</v>
      </c>
      <c r="AE820" s="12">
        <v>1</v>
      </c>
      <c r="AF820" s="12">
        <v>1</v>
      </c>
      <c r="AG820" s="12">
        <v>0</v>
      </c>
    </row>
    <row r="821" spans="1:33">
      <c r="A821" s="12" t="s">
        <v>221</v>
      </c>
      <c r="B821" s="12">
        <f ca="1">_xlfn.BITXOR(B787,J814)</f>
        <v>1</v>
      </c>
      <c r="C821" s="12">
        <f t="shared" ref="C821" ca="1" si="223">_xlfn.BITXOR(C787,K814)</f>
        <v>0</v>
      </c>
      <c r="D821" s="12">
        <f t="shared" ref="D821" ca="1" si="224">_xlfn.BITXOR(D787,L814)</f>
        <v>1</v>
      </c>
      <c r="E821" s="12">
        <f t="shared" ref="E821" ca="1" si="225">_xlfn.BITXOR(E787,M814)</f>
        <v>1</v>
      </c>
      <c r="F821" s="12">
        <f t="shared" ref="F821" ca="1" si="226">_xlfn.BITXOR(F787,N814)</f>
        <v>1</v>
      </c>
      <c r="G821" s="12">
        <f t="shared" ref="G821" ca="1" si="227">_xlfn.BITXOR(G787,O814)</f>
        <v>0</v>
      </c>
      <c r="H821" s="12">
        <f t="shared" ref="H821" ca="1" si="228">_xlfn.BITXOR(H787,P814)</f>
        <v>0</v>
      </c>
      <c r="I821" s="12">
        <f t="shared" ref="I821" ca="1" si="229">_xlfn.BITXOR(I787,Q814)</f>
        <v>0</v>
      </c>
      <c r="J821" s="12">
        <f t="shared" ref="J821" ca="1" si="230">_xlfn.BITXOR(J787,R814)</f>
        <v>0</v>
      </c>
      <c r="K821" s="12">
        <f t="shared" ref="K821" ca="1" si="231">_xlfn.BITXOR(K787,S814)</f>
        <v>1</v>
      </c>
      <c r="L821" s="12">
        <f t="shared" ref="L821" ca="1" si="232">_xlfn.BITXOR(L787,T814)</f>
        <v>1</v>
      </c>
      <c r="M821" s="12">
        <f t="shared" ref="M821" ca="1" si="233">_xlfn.BITXOR(M787,U814)</f>
        <v>1</v>
      </c>
      <c r="N821" s="12">
        <f t="shared" ref="N821" ca="1" si="234">_xlfn.BITXOR(N787,V814)</f>
        <v>0</v>
      </c>
      <c r="O821" s="12">
        <f t="shared" ref="O821" ca="1" si="235">_xlfn.BITXOR(O787,W814)</f>
        <v>0</v>
      </c>
      <c r="P821" s="12">
        <f t="shared" ref="P821" ca="1" si="236">_xlfn.BITXOR(P787,X814)</f>
        <v>0</v>
      </c>
      <c r="Q821" s="12">
        <f t="shared" ref="Q821" ca="1" si="237">_xlfn.BITXOR(Q787,Y814)</f>
        <v>1</v>
      </c>
      <c r="R821" s="12">
        <f t="shared" ref="R821" ca="1" si="238">_xlfn.BITXOR(R787,Z814)</f>
        <v>1</v>
      </c>
      <c r="S821" s="12">
        <f t="shared" ref="S821" ca="1" si="239">_xlfn.BITXOR(S787,AA814)</f>
        <v>0</v>
      </c>
      <c r="T821" s="12">
        <f t="shared" ref="T821" ca="1" si="240">_xlfn.BITXOR(T787,AB814)</f>
        <v>0</v>
      </c>
      <c r="U821" s="12">
        <f t="shared" ref="U821" ca="1" si="241">_xlfn.BITXOR(U787,AC814)</f>
        <v>1</v>
      </c>
      <c r="V821" s="12">
        <f t="shared" ref="V821" ca="1" si="242">_xlfn.BITXOR(V787,AD814)</f>
        <v>1</v>
      </c>
      <c r="W821" s="12">
        <f t="shared" ref="W821" ca="1" si="243">_xlfn.BITXOR(W787,AE814)</f>
        <v>1</v>
      </c>
      <c r="X821" s="12">
        <f t="shared" ref="X821" ca="1" si="244">_xlfn.BITXOR(X787,AF814)</f>
        <v>1</v>
      </c>
      <c r="Y821" s="12">
        <f t="shared" ref="Y821" ca="1" si="245">_xlfn.BITXOR(Y787,AG814)</f>
        <v>1</v>
      </c>
      <c r="Z821" s="12">
        <f t="shared" ref="Z821" ca="1" si="246">_xlfn.BITXOR(Z787,AH814)</f>
        <v>1</v>
      </c>
      <c r="AA821" s="12">
        <f t="shared" ref="AA821" ca="1" si="247">_xlfn.BITXOR(AA787,AI814)</f>
        <v>1</v>
      </c>
      <c r="AB821" s="12">
        <f t="shared" ref="AB821" ca="1" si="248">_xlfn.BITXOR(AB787,AJ814)</f>
        <v>1</v>
      </c>
      <c r="AC821" s="12">
        <f t="shared" ref="AC821" ca="1" si="249">_xlfn.BITXOR(AC787,AK814)</f>
        <v>0</v>
      </c>
      <c r="AD821" s="12">
        <f t="shared" ref="AD821" ca="1" si="250">_xlfn.BITXOR(AD787,AL814)</f>
        <v>0</v>
      </c>
      <c r="AE821" s="12">
        <f t="shared" ref="AE821" ca="1" si="251">_xlfn.BITXOR(AE787,AM814)</f>
        <v>1</v>
      </c>
      <c r="AF821" s="12">
        <f t="shared" ref="AF821" ca="1" si="252">_xlfn.BITXOR(AF787,AN814)</f>
        <v>1</v>
      </c>
      <c r="AG821" s="12">
        <f t="shared" ref="AG821" ca="1" si="253">_xlfn.BITXOR(AG787,AO814)</f>
        <v>0</v>
      </c>
    </row>
    <row r="823" spans="1:33">
      <c r="A823" s="21" t="s">
        <v>222</v>
      </c>
    </row>
    <row r="824" spans="1:33">
      <c r="A824" s="5" t="s">
        <v>223</v>
      </c>
      <c r="B824" s="12" cm="1">
        <f t="array" aca="1" ref="B824" ca="1">INDEX($B$821:$AG$821, T25)</f>
        <v>0</v>
      </c>
      <c r="C824" s="12" cm="1">
        <f t="array" aca="1" ref="C824" ca="1">INDEX($B$821:$AG$821, U25)</f>
        <v>1</v>
      </c>
      <c r="D824" s="12" cm="1">
        <f t="array" aca="1" ref="D824" ca="1">INDEX($B$821:$AG$821, V25)</f>
        <v>0</v>
      </c>
      <c r="E824" s="12" cm="1">
        <f t="array" aca="1" ref="E824" ca="1">INDEX($B$821:$AG$821, W25)</f>
        <v>1</v>
      </c>
      <c r="F824" s="12" cm="1">
        <f t="array" aca="1" ref="F824" ca="1">INDEX($B$821:$AG$821, X25)</f>
        <v>1</v>
      </c>
      <c r="G824" s="12" cm="1">
        <f t="array" aca="1" ref="G824" ca="1">INDEX($B$821:$AG$821, Y25)</f>
        <v>1</v>
      </c>
    </row>
    <row r="825" spans="1:33">
      <c r="B825" s="12" cm="1">
        <f t="array" aca="1" ref="B825" ca="1">INDEX($B$821:$AG$821, T26)</f>
        <v>1</v>
      </c>
      <c r="C825" s="12" cm="1">
        <f t="array" aca="1" ref="C825" ca="1">INDEX($B$821:$AG$821, U26)</f>
        <v>1</v>
      </c>
      <c r="D825" s="12" cm="1">
        <f t="array" aca="1" ref="D825" ca="1">INDEX($B$821:$AG$821, V26)</f>
        <v>0</v>
      </c>
      <c r="E825" s="12" cm="1">
        <f t="array" aca="1" ref="E825" ca="1">INDEX($B$821:$AG$821, W26)</f>
        <v>0</v>
      </c>
      <c r="F825" s="12" cm="1">
        <f t="array" aca="1" ref="F825" ca="1">INDEX($B$821:$AG$821, X26)</f>
        <v>0</v>
      </c>
      <c r="G825" s="12" cm="1">
        <f t="array" aca="1" ref="G825" ca="1">INDEX($B$821:$AG$821, Y26)</f>
        <v>0</v>
      </c>
    </row>
    <row r="826" spans="1:33">
      <c r="B826" s="12" cm="1">
        <f t="array" aca="1" ref="B826" ca="1">INDEX($B$821:$AG$821, T27)</f>
        <v>0</v>
      </c>
      <c r="C826" s="12" cm="1">
        <f t="array" aca="1" ref="C826" ca="1">INDEX($B$821:$AG$821, U27)</f>
        <v>0</v>
      </c>
      <c r="D826" s="12" cm="1">
        <f t="array" aca="1" ref="D826" ca="1">INDEX($B$821:$AG$821, V27)</f>
        <v>1</v>
      </c>
      <c r="E826" s="12" cm="1">
        <f t="array" aca="1" ref="E826" ca="1">INDEX($B$821:$AG$821, W27)</f>
        <v>1</v>
      </c>
      <c r="F826" s="12" cm="1">
        <f t="array" aca="1" ref="F826" ca="1">INDEX($B$821:$AG$821, X27)</f>
        <v>1</v>
      </c>
      <c r="G826" s="12" cm="1">
        <f t="array" aca="1" ref="G826" ca="1">INDEX($B$821:$AG$821, Y27)</f>
        <v>0</v>
      </c>
    </row>
    <row r="827" spans="1:33">
      <c r="B827" s="12" cm="1">
        <f t="array" aca="1" ref="B827" ca="1">INDEX($B$821:$AG$821, T28)</f>
        <v>1</v>
      </c>
      <c r="C827" s="12" cm="1">
        <f t="array" aca="1" ref="C827" ca="1">INDEX($B$821:$AG$821, U28)</f>
        <v>0</v>
      </c>
      <c r="D827" s="12" cm="1">
        <f t="array" aca="1" ref="D827" ca="1">INDEX($B$821:$AG$821, V28)</f>
        <v>0</v>
      </c>
      <c r="E827" s="12" cm="1">
        <f t="array" aca="1" ref="E827" ca="1">INDEX($B$821:$AG$821, W28)</f>
        <v>0</v>
      </c>
      <c r="F827" s="12" cm="1">
        <f t="array" aca="1" ref="F827" ca="1">INDEX($B$821:$AG$821, X28)</f>
        <v>1</v>
      </c>
      <c r="G827" s="12" cm="1">
        <f t="array" aca="1" ref="G827" ca="1">INDEX($B$821:$AG$821, Y28)</f>
        <v>1</v>
      </c>
    </row>
    <row r="828" spans="1:33">
      <c r="B828" s="12" cm="1">
        <f t="array" aca="1" ref="B828" ca="1">INDEX($B$821:$AG$821, T29)</f>
        <v>1</v>
      </c>
      <c r="C828" s="12" cm="1">
        <f t="array" aca="1" ref="C828" ca="1">INDEX($B$821:$AG$821, U29)</f>
        <v>1</v>
      </c>
      <c r="D828" s="12" cm="1">
        <f t="array" aca="1" ref="D828" ca="1">INDEX($B$821:$AG$821, V29)</f>
        <v>0</v>
      </c>
      <c r="E828" s="12" cm="1">
        <f t="array" aca="1" ref="E828" ca="1">INDEX($B$821:$AG$821, W29)</f>
        <v>0</v>
      </c>
      <c r="F828" s="12" cm="1">
        <f t="array" aca="1" ref="F828" ca="1">INDEX($B$821:$AG$821, X29)</f>
        <v>1</v>
      </c>
      <c r="G828" s="12" cm="1">
        <f t="array" aca="1" ref="G828" ca="1">INDEX($B$821:$AG$821, Y29)</f>
        <v>1</v>
      </c>
    </row>
    <row r="829" spans="1:33">
      <c r="B829" s="12" cm="1">
        <f t="array" aca="1" ref="B829" ca="1">INDEX($B$821:$AG$821, T30)</f>
        <v>1</v>
      </c>
      <c r="C829" s="12" cm="1">
        <f t="array" aca="1" ref="C829" ca="1">INDEX($B$821:$AG$821, U30)</f>
        <v>1</v>
      </c>
      <c r="D829" s="12" cm="1">
        <f t="array" aca="1" ref="D829" ca="1">INDEX($B$821:$AG$821, V30)</f>
        <v>1</v>
      </c>
      <c r="E829" s="12" cm="1">
        <f t="array" aca="1" ref="E829" ca="1">INDEX($B$821:$AG$821, W30)</f>
        <v>1</v>
      </c>
      <c r="F829" s="12" cm="1">
        <f t="array" aca="1" ref="F829" ca="1">INDEX($B$821:$AG$821, X30)</f>
        <v>1</v>
      </c>
      <c r="G829" s="12" cm="1">
        <f t="array" aca="1" ref="G829" ca="1">INDEX($B$821:$AG$821, Y30)</f>
        <v>1</v>
      </c>
    </row>
    <row r="830" spans="1:33">
      <c r="B830" s="12" cm="1">
        <f t="array" aca="1" ref="B830" ca="1">INDEX($B$821:$AG$821, T31)</f>
        <v>1</v>
      </c>
      <c r="C830" s="12" cm="1">
        <f t="array" aca="1" ref="C830" ca="1">INDEX($B$821:$AG$821, U31)</f>
        <v>1</v>
      </c>
      <c r="D830" s="12" cm="1">
        <f t="array" aca="1" ref="D830" ca="1">INDEX($B$821:$AG$821, V31)</f>
        <v>1</v>
      </c>
      <c r="E830" s="12" cm="1">
        <f t="array" aca="1" ref="E830" ca="1">INDEX($B$821:$AG$821, W31)</f>
        <v>1</v>
      </c>
      <c r="F830" s="12" cm="1">
        <f t="array" aca="1" ref="F830" ca="1">INDEX($B$821:$AG$821, X31)</f>
        <v>0</v>
      </c>
      <c r="G830" s="12" cm="1">
        <f t="array" aca="1" ref="G830" ca="1">INDEX($B$821:$AG$821, Y31)</f>
        <v>0</v>
      </c>
    </row>
    <row r="831" spans="1:33">
      <c r="B831" s="12" cm="1">
        <f t="array" aca="1" ref="B831" ca="1">INDEX($B$821:$AG$821, T32)</f>
        <v>0</v>
      </c>
      <c r="C831" s="12" cm="1">
        <f t="array" aca="1" ref="C831" ca="1">INDEX($B$821:$AG$821, U32)</f>
        <v>0</v>
      </c>
      <c r="D831" s="12" cm="1">
        <f t="array" aca="1" ref="D831" ca="1">INDEX($B$821:$AG$821, V32)</f>
        <v>1</v>
      </c>
      <c r="E831" s="12" cm="1">
        <f t="array" aca="1" ref="E831" ca="1">INDEX($B$821:$AG$821, W32)</f>
        <v>1</v>
      </c>
      <c r="F831" s="12" cm="1">
        <f t="array" aca="1" ref="F831" ca="1">INDEX($B$821:$AG$821, X32)</f>
        <v>0</v>
      </c>
      <c r="G831" s="12" cm="1">
        <f t="array" aca="1" ref="G831" ca="1">INDEX($B$821:$AG$821, Y32)</f>
        <v>1</v>
      </c>
    </row>
    <row r="833" spans="1:49">
      <c r="A833" s="12" t="s">
        <v>3</v>
      </c>
      <c r="B833" s="12">
        <v>1</v>
      </c>
      <c r="C833" s="12">
        <v>2</v>
      </c>
      <c r="D833" s="12">
        <v>3</v>
      </c>
      <c r="E833" s="12">
        <v>4</v>
      </c>
      <c r="F833" s="12">
        <v>5</v>
      </c>
      <c r="G833" s="12">
        <v>6</v>
      </c>
      <c r="H833" s="12">
        <v>7</v>
      </c>
      <c r="I833" s="12">
        <v>8</v>
      </c>
      <c r="J833" s="12">
        <v>9</v>
      </c>
      <c r="K833" s="12">
        <v>10</v>
      </c>
      <c r="L833" s="12">
        <v>11</v>
      </c>
      <c r="M833" s="12">
        <v>12</v>
      </c>
      <c r="N833" s="12">
        <v>13</v>
      </c>
      <c r="O833" s="12">
        <v>14</v>
      </c>
      <c r="P833" s="12">
        <v>15</v>
      </c>
      <c r="Q833" s="12">
        <v>16</v>
      </c>
      <c r="R833" s="12">
        <v>17</v>
      </c>
      <c r="S833" s="12">
        <v>18</v>
      </c>
      <c r="T833" s="12">
        <v>19</v>
      </c>
      <c r="U833" s="12">
        <v>20</v>
      </c>
      <c r="V833" s="12">
        <v>21</v>
      </c>
      <c r="W833" s="12">
        <v>22</v>
      </c>
      <c r="X833" s="12">
        <v>23</v>
      </c>
      <c r="Y833" s="12">
        <v>24</v>
      </c>
      <c r="Z833" s="12">
        <v>25</v>
      </c>
      <c r="AA833" s="12">
        <v>26</v>
      </c>
      <c r="AB833" s="12">
        <v>27</v>
      </c>
      <c r="AC833" s="12">
        <v>28</v>
      </c>
      <c r="AD833" s="12">
        <v>29</v>
      </c>
      <c r="AE833" s="12">
        <v>30</v>
      </c>
      <c r="AF833" s="12">
        <v>31</v>
      </c>
      <c r="AG833" s="12">
        <v>32</v>
      </c>
      <c r="AH833" s="12">
        <v>33</v>
      </c>
      <c r="AI833" s="12">
        <v>34</v>
      </c>
      <c r="AJ833" s="12">
        <v>35</v>
      </c>
      <c r="AK833" s="12">
        <v>36</v>
      </c>
      <c r="AL833" s="12">
        <v>37</v>
      </c>
      <c r="AM833" s="12">
        <v>38</v>
      </c>
      <c r="AN833" s="12">
        <v>39</v>
      </c>
      <c r="AO833" s="12">
        <v>40</v>
      </c>
      <c r="AP833" s="12">
        <v>41</v>
      </c>
      <c r="AQ833" s="12">
        <v>42</v>
      </c>
      <c r="AR833" s="12">
        <v>43</v>
      </c>
      <c r="AS833" s="12">
        <v>44</v>
      </c>
      <c r="AT833" s="12">
        <v>45</v>
      </c>
      <c r="AU833" s="12">
        <v>46</v>
      </c>
      <c r="AV833" s="12">
        <v>47</v>
      </c>
      <c r="AW833" s="12">
        <v>48</v>
      </c>
    </row>
    <row r="834" spans="1:49">
      <c r="A834" s="7" t="s">
        <v>223</v>
      </c>
      <c r="B834" s="16" cm="1">
        <f t="array" aca="1" ref="B834" ca="1">INDEX($B$824:$G831, INT((COLUMN(A690)-1)/6)+1, MOD(COLUMN(A690)-1,6)+1)</f>
        <v>0</v>
      </c>
      <c r="C834" s="16" cm="1">
        <f t="array" aca="1" ref="C834" ca="1">INDEX($B$824:$G831, INT((COLUMN(B690)-1)/6)+1, MOD(COLUMN(B690)-1,6)+1)</f>
        <v>1</v>
      </c>
      <c r="D834" s="16" cm="1">
        <f t="array" aca="1" ref="D834" ca="1">INDEX($B$824:$G831, INT((COLUMN(C690)-1)/6)+1, MOD(COLUMN(C690)-1,6)+1)</f>
        <v>0</v>
      </c>
      <c r="E834" s="16" cm="1">
        <f t="array" aca="1" ref="E834" ca="1">INDEX($B$824:$G831, INT((COLUMN(D690)-1)/6)+1, MOD(COLUMN(D690)-1,6)+1)</f>
        <v>1</v>
      </c>
      <c r="F834" s="16" cm="1">
        <f t="array" aca="1" ref="F834" ca="1">INDEX($B$824:$G831, INT((COLUMN(E690)-1)/6)+1, MOD(COLUMN(E690)-1,6)+1)</f>
        <v>1</v>
      </c>
      <c r="G834" s="16" cm="1">
        <f t="array" aca="1" ref="G834" ca="1">INDEX($B$824:$G831, INT((COLUMN(F690)-1)/6)+1, MOD(COLUMN(F690)-1,6)+1)</f>
        <v>1</v>
      </c>
      <c r="H834" s="16" cm="1">
        <f t="array" aca="1" ref="H834" ca="1">INDEX($B$824:$G831, INT((COLUMN(G690)-1)/6)+1, MOD(COLUMN(G690)-1,6)+1)</f>
        <v>1</v>
      </c>
      <c r="I834" s="16" cm="1">
        <f t="array" aca="1" ref="I834" ca="1">INDEX($B$824:$G831, INT((COLUMN(H690)-1)/6)+1, MOD(COLUMN(H690)-1,6)+1)</f>
        <v>1</v>
      </c>
      <c r="J834" s="16" cm="1">
        <f t="array" aca="1" ref="J834" ca="1">INDEX($B$824:$G831, INT((COLUMN(I690)-1)/6)+1, MOD(COLUMN(I690)-1,6)+1)</f>
        <v>0</v>
      </c>
      <c r="K834" s="16" cm="1">
        <f t="array" aca="1" ref="K834" ca="1">INDEX($B$824:$G831, INT((COLUMN(J690)-1)/6)+1, MOD(COLUMN(J690)-1,6)+1)</f>
        <v>0</v>
      </c>
      <c r="L834" s="16" cm="1">
        <f t="array" aca="1" ref="L834" ca="1">INDEX($B$824:$G831, INT((COLUMN(K690)-1)/6)+1, MOD(COLUMN(K690)-1,6)+1)</f>
        <v>0</v>
      </c>
      <c r="M834" s="16" cm="1">
        <f t="array" aca="1" ref="M834" ca="1">INDEX($B$824:$G831, INT((COLUMN(L690)-1)/6)+1, MOD(COLUMN(L690)-1,6)+1)</f>
        <v>0</v>
      </c>
      <c r="N834" s="16" cm="1">
        <f t="array" aca="1" ref="N834" ca="1">INDEX($B$824:$G831, INT((COLUMN(M690)-1)/6)+1, MOD(COLUMN(M690)-1,6)+1)</f>
        <v>0</v>
      </c>
      <c r="O834" s="16" cm="1">
        <f t="array" aca="1" ref="O834" ca="1">INDEX($B$824:$G831, INT((COLUMN(N690)-1)/6)+1, MOD(COLUMN(N690)-1,6)+1)</f>
        <v>0</v>
      </c>
      <c r="P834" s="16" cm="1">
        <f t="array" aca="1" ref="P834" ca="1">INDEX($B$824:$G831, INT((COLUMN(O690)-1)/6)+1, MOD(COLUMN(O690)-1,6)+1)</f>
        <v>1</v>
      </c>
      <c r="Q834" s="16" cm="1">
        <f t="array" aca="1" ref="Q834" ca="1">INDEX($B$824:$G831, INT((COLUMN(P690)-1)/6)+1, MOD(COLUMN(P690)-1,6)+1)</f>
        <v>1</v>
      </c>
      <c r="R834" s="16" cm="1">
        <f t="array" aca="1" ref="R834" ca="1">INDEX($B$824:$G831, INT((COLUMN(Q690)-1)/6)+1, MOD(COLUMN(Q690)-1,6)+1)</f>
        <v>1</v>
      </c>
      <c r="S834" s="16" cm="1">
        <f t="array" aca="1" ref="S834" ca="1">INDEX($B$824:$G831, INT((COLUMN(R690)-1)/6)+1, MOD(COLUMN(R690)-1,6)+1)</f>
        <v>0</v>
      </c>
      <c r="T834" s="16" cm="1">
        <f t="array" aca="1" ref="T834" ca="1">INDEX($B$824:$G831, INT((COLUMN(S690)-1)/6)+1, MOD(COLUMN(S690)-1,6)+1)</f>
        <v>1</v>
      </c>
      <c r="U834" s="16" cm="1">
        <f t="array" aca="1" ref="U834" ca="1">INDEX($B$824:$G831, INT((COLUMN(T690)-1)/6)+1, MOD(COLUMN(T690)-1,6)+1)</f>
        <v>0</v>
      </c>
      <c r="V834" s="16" cm="1">
        <f t="array" aca="1" ref="V834" ca="1">INDEX($B$824:$G831, INT((COLUMN(U690)-1)/6)+1, MOD(COLUMN(U690)-1,6)+1)</f>
        <v>0</v>
      </c>
      <c r="W834" s="16" cm="1">
        <f t="array" aca="1" ref="W834" ca="1">INDEX($B$824:$G831, INT((COLUMN(V690)-1)/6)+1, MOD(COLUMN(V690)-1,6)+1)</f>
        <v>0</v>
      </c>
      <c r="X834" s="16" cm="1">
        <f t="array" aca="1" ref="X834" ca="1">INDEX($B$824:$G831, INT((COLUMN(W690)-1)/6)+1, MOD(COLUMN(W690)-1,6)+1)</f>
        <v>1</v>
      </c>
      <c r="Y834" s="16" cm="1">
        <f t="array" aca="1" ref="Y834" ca="1">INDEX($B$824:$G831, INT((COLUMN(X690)-1)/6)+1, MOD(COLUMN(X690)-1,6)+1)</f>
        <v>1</v>
      </c>
      <c r="Z834" s="16" cm="1">
        <f t="array" aca="1" ref="Z834" ca="1">INDEX($B$824:$G831, INT((COLUMN(Y690)-1)/6)+1, MOD(COLUMN(Y690)-1,6)+1)</f>
        <v>1</v>
      </c>
      <c r="AA834" s="16" cm="1">
        <f t="array" aca="1" ref="AA834" ca="1">INDEX($B$824:$G831, INT((COLUMN(Z690)-1)/6)+1, MOD(COLUMN(Z690)-1,6)+1)</f>
        <v>1</v>
      </c>
      <c r="AB834" s="16" cm="1">
        <f t="array" aca="1" ref="AB834" ca="1">INDEX($B$824:$G831, INT((COLUMN(AA690)-1)/6)+1, MOD(COLUMN(AA690)-1,6)+1)</f>
        <v>0</v>
      </c>
      <c r="AC834" s="16" cm="1">
        <f t="array" aca="1" ref="AC834" ca="1">INDEX($B$824:$G831, INT((COLUMN(AB690)-1)/6)+1, MOD(COLUMN(AB690)-1,6)+1)</f>
        <v>0</v>
      </c>
      <c r="AD834" s="16" cm="1">
        <f t="array" aca="1" ref="AD834" ca="1">INDEX($B$824:$G831, INT((COLUMN(AC690)-1)/6)+1, MOD(COLUMN(AC690)-1,6)+1)</f>
        <v>1</v>
      </c>
      <c r="AE834" s="16" cm="1">
        <f t="array" aca="1" ref="AE834" ca="1">INDEX($B$824:$G831, INT((COLUMN(AD690)-1)/6)+1, MOD(COLUMN(AD690)-1,6)+1)</f>
        <v>1</v>
      </c>
      <c r="AF834" s="16" cm="1">
        <f t="array" aca="1" ref="AF834" ca="1">INDEX($B$824:$G831, INT((COLUMN(AE690)-1)/6)+1, MOD(COLUMN(AE690)-1,6)+1)</f>
        <v>1</v>
      </c>
      <c r="AG834" s="16" cm="1">
        <f t="array" aca="1" ref="AG834" ca="1">INDEX($B$824:$G831, INT((COLUMN(AF690)-1)/6)+1, MOD(COLUMN(AF690)-1,6)+1)</f>
        <v>1</v>
      </c>
      <c r="AH834" s="16" cm="1">
        <f t="array" aca="1" ref="AH834" ca="1">INDEX($B$824:$G831, INT((COLUMN(AG690)-1)/6)+1, MOD(COLUMN(AG690)-1,6)+1)</f>
        <v>1</v>
      </c>
      <c r="AI834" s="16" cm="1">
        <f t="array" aca="1" ref="AI834" ca="1">INDEX($B$824:$G831, INT((COLUMN(AH690)-1)/6)+1, MOD(COLUMN(AH690)-1,6)+1)</f>
        <v>1</v>
      </c>
      <c r="AJ834" s="16" cm="1">
        <f t="array" aca="1" ref="AJ834" ca="1">INDEX($B$824:$G831, INT((COLUMN(AI690)-1)/6)+1, MOD(COLUMN(AI690)-1,6)+1)</f>
        <v>1</v>
      </c>
      <c r="AK834" s="16" cm="1">
        <f t="array" aca="1" ref="AK834" ca="1">INDEX($B$824:$G831, INT((COLUMN(AJ690)-1)/6)+1, MOD(COLUMN(AJ690)-1,6)+1)</f>
        <v>1</v>
      </c>
      <c r="AL834" s="16" cm="1">
        <f t="array" aca="1" ref="AL834" ca="1">INDEX($B$824:$G831, INT((COLUMN(AK690)-1)/6)+1, MOD(COLUMN(AK690)-1,6)+1)</f>
        <v>1</v>
      </c>
      <c r="AM834" s="16" cm="1">
        <f t="array" aca="1" ref="AM834" ca="1">INDEX($B$824:$G831, INT((COLUMN(AL690)-1)/6)+1, MOD(COLUMN(AL690)-1,6)+1)</f>
        <v>1</v>
      </c>
      <c r="AN834" s="16" cm="1">
        <f t="array" aca="1" ref="AN834" ca="1">INDEX($B$824:$G831, INT((COLUMN(AM690)-1)/6)+1, MOD(COLUMN(AM690)-1,6)+1)</f>
        <v>1</v>
      </c>
      <c r="AO834" s="16" cm="1">
        <f t="array" aca="1" ref="AO834" ca="1">INDEX($B$824:$G831, INT((COLUMN(AN690)-1)/6)+1, MOD(COLUMN(AN690)-1,6)+1)</f>
        <v>1</v>
      </c>
      <c r="AP834" s="16" cm="1">
        <f t="array" aca="1" ref="AP834" ca="1">INDEX($B$824:$G831, INT((COLUMN(AO690)-1)/6)+1, MOD(COLUMN(AO690)-1,6)+1)</f>
        <v>0</v>
      </c>
      <c r="AQ834" s="16" cm="1">
        <f t="array" aca="1" ref="AQ834" ca="1">INDEX($B$824:$G831, INT((COLUMN(AP690)-1)/6)+1, MOD(COLUMN(AP690)-1,6)+1)</f>
        <v>0</v>
      </c>
      <c r="AR834" s="16" cm="1">
        <f t="array" aca="1" ref="AR834" ca="1">INDEX($B$824:$G831, INT((COLUMN(AQ690)-1)/6)+1, MOD(COLUMN(AQ690)-1,6)+1)</f>
        <v>0</v>
      </c>
      <c r="AS834" s="16" cm="1">
        <f t="array" aca="1" ref="AS834" ca="1">INDEX($B$824:$G831, INT((COLUMN(AR690)-1)/6)+1, MOD(COLUMN(AR690)-1,6)+1)</f>
        <v>0</v>
      </c>
      <c r="AT834" s="16" cm="1">
        <f t="array" aca="1" ref="AT834" ca="1">INDEX($B$824:$G831, INT((COLUMN(AS690)-1)/6)+1, MOD(COLUMN(AS690)-1,6)+1)</f>
        <v>1</v>
      </c>
      <c r="AU834" s="16" cm="1">
        <f t="array" aca="1" ref="AU834" ca="1">INDEX($B$824:$G831, INT((COLUMN(AT690)-1)/6)+1, MOD(COLUMN(AT690)-1,6)+1)</f>
        <v>1</v>
      </c>
      <c r="AV834" s="16" cm="1">
        <f t="array" aca="1" ref="AV834" ca="1">INDEX($B$824:$G831, INT((COLUMN(AU690)-1)/6)+1, MOD(COLUMN(AU690)-1,6)+1)</f>
        <v>0</v>
      </c>
      <c r="AW834" s="16" cm="1">
        <f t="array" aca="1" ref="AW834" ca="1">INDEX($B$824:$G831, INT((COLUMN(AV690)-1)/6)+1, MOD(COLUMN(AV690)-1,6)+1)</f>
        <v>1</v>
      </c>
    </row>
    <row r="835" spans="1:49">
      <c r="A835" s="19"/>
    </row>
    <row r="836" spans="1:49">
      <c r="A836" s="12" t="s">
        <v>3</v>
      </c>
      <c r="B836" s="12">
        <v>1</v>
      </c>
      <c r="C836" s="12">
        <v>2</v>
      </c>
      <c r="D836" s="12">
        <v>3</v>
      </c>
      <c r="E836" s="12">
        <v>4</v>
      </c>
      <c r="F836" s="12">
        <v>5</v>
      </c>
      <c r="G836" s="12">
        <v>6</v>
      </c>
      <c r="H836" s="12">
        <v>7</v>
      </c>
      <c r="I836" s="12">
        <v>8</v>
      </c>
      <c r="J836" s="12">
        <v>9</v>
      </c>
      <c r="K836" s="12">
        <v>10</v>
      </c>
      <c r="L836" s="12">
        <v>11</v>
      </c>
      <c r="M836" s="12">
        <v>12</v>
      </c>
      <c r="N836" s="12">
        <v>13</v>
      </c>
      <c r="O836" s="12">
        <v>14</v>
      </c>
      <c r="P836" s="12">
        <v>15</v>
      </c>
      <c r="Q836" s="12">
        <v>16</v>
      </c>
      <c r="R836" s="12">
        <v>17</v>
      </c>
      <c r="S836" s="12">
        <v>18</v>
      </c>
      <c r="T836" s="12">
        <v>19</v>
      </c>
      <c r="U836" s="12">
        <v>20</v>
      </c>
      <c r="V836" s="12">
        <v>21</v>
      </c>
      <c r="W836" s="12">
        <v>22</v>
      </c>
      <c r="X836" s="12">
        <v>23</v>
      </c>
      <c r="Y836" s="12">
        <v>24</v>
      </c>
      <c r="Z836" s="12">
        <v>25</v>
      </c>
      <c r="AA836" s="12">
        <v>26</v>
      </c>
      <c r="AB836" s="12">
        <v>27</v>
      </c>
      <c r="AC836" s="12">
        <v>28</v>
      </c>
      <c r="AD836" s="12">
        <v>29</v>
      </c>
      <c r="AE836" s="12">
        <v>30</v>
      </c>
      <c r="AF836" s="12">
        <v>31</v>
      </c>
      <c r="AG836" s="12">
        <v>32</v>
      </c>
      <c r="AH836" s="12">
        <v>33</v>
      </c>
      <c r="AI836" s="12">
        <v>34</v>
      </c>
      <c r="AJ836" s="12">
        <v>35</v>
      </c>
      <c r="AK836" s="12">
        <v>36</v>
      </c>
      <c r="AL836" s="12">
        <v>37</v>
      </c>
      <c r="AM836" s="12">
        <v>38</v>
      </c>
      <c r="AN836" s="12">
        <v>39</v>
      </c>
      <c r="AO836" s="12">
        <v>40</v>
      </c>
      <c r="AP836" s="12">
        <v>41</v>
      </c>
      <c r="AQ836" s="12">
        <v>42</v>
      </c>
      <c r="AR836" s="12">
        <v>43</v>
      </c>
      <c r="AS836" s="12">
        <v>44</v>
      </c>
      <c r="AT836" s="12">
        <v>45</v>
      </c>
      <c r="AU836" s="12">
        <v>46</v>
      </c>
      <c r="AV836" s="12">
        <v>47</v>
      </c>
      <c r="AW836" s="12">
        <v>48</v>
      </c>
    </row>
    <row r="837" spans="1:49">
      <c r="A837" s="7" t="s">
        <v>224</v>
      </c>
      <c r="B837" s="16">
        <f ca="1">_xlfn.BITXOR(B834, B350)</f>
        <v>1</v>
      </c>
      <c r="C837" s="16">
        <f t="shared" ref="C837:AW837" ca="1" si="254">_xlfn.BITXOR(C834, C350)</f>
        <v>1</v>
      </c>
      <c r="D837" s="16">
        <f t="shared" ca="1" si="254"/>
        <v>1</v>
      </c>
      <c r="E837" s="16">
        <f t="shared" ca="1" si="254"/>
        <v>0</v>
      </c>
      <c r="F837" s="16">
        <f t="shared" ca="1" si="254"/>
        <v>1</v>
      </c>
      <c r="G837" s="16">
        <f t="shared" ca="1" si="254"/>
        <v>1</v>
      </c>
      <c r="H837" s="16">
        <f t="shared" ca="1" si="254"/>
        <v>1</v>
      </c>
      <c r="I837" s="16">
        <f t="shared" ca="1" si="254"/>
        <v>0</v>
      </c>
      <c r="J837" s="16">
        <f t="shared" ca="1" si="254"/>
        <v>1</v>
      </c>
      <c r="K837" s="16">
        <f t="shared" ca="1" si="254"/>
        <v>1</v>
      </c>
      <c r="L837" s="16">
        <f t="shared" ca="1" si="254"/>
        <v>1</v>
      </c>
      <c r="M837" s="16">
        <f t="shared" ca="1" si="254"/>
        <v>1</v>
      </c>
      <c r="N837" s="16">
        <f t="shared" ca="1" si="254"/>
        <v>0</v>
      </c>
      <c r="O837" s="16">
        <f t="shared" ca="1" si="254"/>
        <v>0</v>
      </c>
      <c r="P837" s="16">
        <f t="shared" ca="1" si="254"/>
        <v>0</v>
      </c>
      <c r="Q837" s="16">
        <f t="shared" ca="1" si="254"/>
        <v>0</v>
      </c>
      <c r="R837" s="16">
        <f t="shared" ca="1" si="254"/>
        <v>1</v>
      </c>
      <c r="S837" s="16">
        <f t="shared" ca="1" si="254"/>
        <v>1</v>
      </c>
      <c r="T837" s="16">
        <f t="shared" ca="1" si="254"/>
        <v>1</v>
      </c>
      <c r="U837" s="16">
        <f t="shared" ca="1" si="254"/>
        <v>0</v>
      </c>
      <c r="V837" s="16">
        <f t="shared" ca="1" si="254"/>
        <v>0</v>
      </c>
      <c r="W837" s="16">
        <f t="shared" ca="1" si="254"/>
        <v>1</v>
      </c>
      <c r="X837" s="16">
        <f t="shared" ca="1" si="254"/>
        <v>0</v>
      </c>
      <c r="Y837" s="16">
        <f t="shared" ca="1" si="254"/>
        <v>0</v>
      </c>
      <c r="Z837" s="16">
        <f t="shared" ca="1" si="254"/>
        <v>1</v>
      </c>
      <c r="AA837" s="16">
        <f t="shared" ca="1" si="254"/>
        <v>0</v>
      </c>
      <c r="AB837" s="16">
        <f t="shared" ca="1" si="254"/>
        <v>1</v>
      </c>
      <c r="AC837" s="16">
        <f t="shared" ca="1" si="254"/>
        <v>0</v>
      </c>
      <c r="AD837" s="16">
        <f t="shared" ca="1" si="254"/>
        <v>1</v>
      </c>
      <c r="AE837" s="16">
        <f t="shared" ca="1" si="254"/>
        <v>1</v>
      </c>
      <c r="AF837" s="16">
        <f t="shared" ca="1" si="254"/>
        <v>0</v>
      </c>
      <c r="AG837" s="16">
        <f t="shared" ca="1" si="254"/>
        <v>0</v>
      </c>
      <c r="AH837" s="16">
        <f t="shared" ca="1" si="254"/>
        <v>1</v>
      </c>
      <c r="AI837" s="16">
        <f t="shared" ca="1" si="254"/>
        <v>1</v>
      </c>
      <c r="AJ837" s="16">
        <f t="shared" ca="1" si="254"/>
        <v>1</v>
      </c>
      <c r="AK837" s="16">
        <f t="shared" ca="1" si="254"/>
        <v>0</v>
      </c>
      <c r="AL837" s="16">
        <f t="shared" ca="1" si="254"/>
        <v>0</v>
      </c>
      <c r="AM837" s="16">
        <f t="shared" ca="1" si="254"/>
        <v>0</v>
      </c>
      <c r="AN837" s="16">
        <f t="shared" ca="1" si="254"/>
        <v>1</v>
      </c>
      <c r="AO837" s="16">
        <f t="shared" ca="1" si="254"/>
        <v>0</v>
      </c>
      <c r="AP837" s="16">
        <f t="shared" ca="1" si="254"/>
        <v>0</v>
      </c>
      <c r="AQ837" s="16">
        <f t="shared" ca="1" si="254"/>
        <v>1</v>
      </c>
      <c r="AR837" s="16">
        <f t="shared" ca="1" si="254"/>
        <v>1</v>
      </c>
      <c r="AS837" s="16">
        <f t="shared" ca="1" si="254"/>
        <v>1</v>
      </c>
      <c r="AT837" s="16">
        <f t="shared" ca="1" si="254"/>
        <v>1</v>
      </c>
      <c r="AU837" s="16">
        <f t="shared" ca="1" si="254"/>
        <v>0</v>
      </c>
      <c r="AV837" s="16">
        <f t="shared" ca="1" si="254"/>
        <v>1</v>
      </c>
      <c r="AW837" s="16">
        <f t="shared" ca="1" si="254"/>
        <v>1</v>
      </c>
    </row>
    <row r="839" spans="1:49">
      <c r="A839" s="27" t="s">
        <v>136</v>
      </c>
      <c r="B839" s="27" t="s">
        <v>137</v>
      </c>
      <c r="C839" s="27"/>
      <c r="D839" s="27" t="s">
        <v>141</v>
      </c>
      <c r="E839" s="27" t="s">
        <v>142</v>
      </c>
      <c r="F839" s="28" t="s">
        <v>138</v>
      </c>
      <c r="G839" s="28"/>
      <c r="I839" s="5" t="s">
        <v>225</v>
      </c>
    </row>
    <row r="840" spans="1:49">
      <c r="A840" s="27"/>
      <c r="B840" s="27"/>
      <c r="C840" s="27"/>
      <c r="D840" s="27"/>
      <c r="E840" s="27"/>
      <c r="F840" s="7" t="s">
        <v>139</v>
      </c>
      <c r="G840" s="7" t="s">
        <v>140</v>
      </c>
    </row>
    <row r="841" spans="1:49">
      <c r="A841" s="7">
        <v>1</v>
      </c>
      <c r="B841" s="29" t="str">
        <f ca="1">_xlfn.TEXTJOIN("", TRUE, OFFSET($B$837,0,(ROW(A1)-1)*6,1,6))</f>
        <v>111011</v>
      </c>
      <c r="C841" s="30"/>
      <c r="D841" s="7">
        <f ca="1">BIN2DEC(LEFT(B841,1) &amp; RIGHT(B841,1))</f>
        <v>3</v>
      </c>
      <c r="E841" s="12">
        <f ca="1">BIN2DEC(MID(B841,2,4))</f>
        <v>13</v>
      </c>
      <c r="F841" s="12" cm="1">
        <f t="array" aca="1" ref="F841" ca="1">INDEX(OFFSET('S-box'!$A$2, (A841-1)*6, 0, 4, 16), D841+1, E841+1)</f>
        <v>0</v>
      </c>
      <c r="G841" s="17" t="str">
        <f ca="1">DEC2BIN(F841, 4)</f>
        <v>0000</v>
      </c>
      <c r="I841" s="12" t="s">
        <v>3</v>
      </c>
      <c r="J841" s="12">
        <v>1</v>
      </c>
      <c r="K841" s="12">
        <v>2</v>
      </c>
      <c r="L841" s="12">
        <v>3</v>
      </c>
      <c r="M841" s="12">
        <v>4</v>
      </c>
      <c r="N841" s="12">
        <v>5</v>
      </c>
      <c r="O841" s="12">
        <v>6</v>
      </c>
      <c r="P841" s="12">
        <v>7</v>
      </c>
      <c r="Q841" s="12">
        <v>8</v>
      </c>
      <c r="R841" s="12">
        <v>9</v>
      </c>
      <c r="S841" s="12">
        <v>10</v>
      </c>
      <c r="T841" s="12">
        <v>11</v>
      </c>
      <c r="U841" s="12">
        <v>12</v>
      </c>
      <c r="V841" s="12">
        <v>13</v>
      </c>
      <c r="W841" s="12">
        <v>14</v>
      </c>
      <c r="X841" s="12">
        <v>15</v>
      </c>
      <c r="Y841" s="12">
        <v>16</v>
      </c>
      <c r="Z841" s="12">
        <v>17</v>
      </c>
      <c r="AA841" s="12">
        <v>18</v>
      </c>
      <c r="AB841" s="12">
        <v>19</v>
      </c>
      <c r="AC841" s="12">
        <v>20</v>
      </c>
      <c r="AD841" s="12">
        <v>21</v>
      </c>
      <c r="AE841" s="12">
        <v>22</v>
      </c>
      <c r="AF841" s="12">
        <v>23</v>
      </c>
      <c r="AG841" s="12">
        <v>24</v>
      </c>
      <c r="AH841" s="12">
        <v>25</v>
      </c>
      <c r="AI841" s="12">
        <v>26</v>
      </c>
      <c r="AJ841" s="12">
        <v>27</v>
      </c>
      <c r="AK841" s="12">
        <v>28</v>
      </c>
      <c r="AL841" s="12">
        <v>29</v>
      </c>
      <c r="AM841" s="12">
        <v>30</v>
      </c>
      <c r="AN841" s="12">
        <v>31</v>
      </c>
      <c r="AO841" s="12">
        <v>32</v>
      </c>
    </row>
    <row r="842" spans="1:49">
      <c r="A842" s="7">
        <v>2</v>
      </c>
      <c r="B842" s="29" t="str">
        <f t="shared" ref="B842:B848" ca="1" si="255">_xlfn.TEXTJOIN("", TRUE, OFFSET($B$837,0,(ROW(A2)-1)*6,1,6))</f>
        <v>101111</v>
      </c>
      <c r="C842" s="30"/>
      <c r="D842" s="7">
        <f t="shared" ref="D842:D848" ca="1" si="256">BIN2DEC(LEFT(B842,1) &amp; RIGHT(B842,1))</f>
        <v>3</v>
      </c>
      <c r="E842" s="12">
        <f t="shared" ref="E842:E848" ca="1" si="257">BIN2DEC(MID(B842,2,4))</f>
        <v>7</v>
      </c>
      <c r="F842" s="12" cm="1">
        <f t="array" aca="1" ref="F842" ca="1">INDEX(OFFSET('S-box'!$A$2, (A842-1)*6, 0, 4, 16), D842+1, E842+1)</f>
        <v>2</v>
      </c>
      <c r="G842" s="17" t="str">
        <f t="shared" ref="G842:G848" ca="1" si="258">DEC2BIN(F842, 4)</f>
        <v>0010</v>
      </c>
      <c r="I842" s="12" t="s">
        <v>152</v>
      </c>
      <c r="J842" s="12" t="str">
        <f ca="1">MID(_xlfn.TEXTJOIN("",TRUE,$G$841:$G$848), COLUMN(A298), 1)</f>
        <v>0</v>
      </c>
      <c r="K842" s="12" t="str">
        <f t="shared" ref="K842:AO842" ca="1" si="259">MID(_xlfn.TEXTJOIN("",TRUE,$G$841:$G$848), COLUMN(B298), 1)</f>
        <v>0</v>
      </c>
      <c r="L842" s="12" t="str">
        <f t="shared" ca="1" si="259"/>
        <v>0</v>
      </c>
      <c r="M842" s="12" t="str">
        <f t="shared" ca="1" si="259"/>
        <v>0</v>
      </c>
      <c r="N842" s="12" t="str">
        <f t="shared" ca="1" si="259"/>
        <v>0</v>
      </c>
      <c r="O842" s="12" t="str">
        <f t="shared" ca="1" si="259"/>
        <v>0</v>
      </c>
      <c r="P842" s="12" t="str">
        <f t="shared" ca="1" si="259"/>
        <v>1</v>
      </c>
      <c r="Q842" s="12" t="str">
        <f t="shared" ca="1" si="259"/>
        <v>0</v>
      </c>
      <c r="R842" s="12" t="str">
        <f t="shared" ca="1" si="259"/>
        <v>0</v>
      </c>
      <c r="S842" s="12" t="str">
        <f t="shared" ca="1" si="259"/>
        <v>1</v>
      </c>
      <c r="T842" s="12" t="str">
        <f t="shared" ca="1" si="259"/>
        <v>1</v>
      </c>
      <c r="U842" s="12" t="str">
        <f t="shared" ca="1" si="259"/>
        <v>1</v>
      </c>
      <c r="V842" s="12" t="str">
        <f t="shared" ca="1" si="259"/>
        <v>1</v>
      </c>
      <c r="W842" s="12" t="str">
        <f t="shared" ca="1" si="259"/>
        <v>0</v>
      </c>
      <c r="X842" s="12" t="str">
        <f t="shared" ca="1" si="259"/>
        <v>0</v>
      </c>
      <c r="Y842" s="12" t="str">
        <f t="shared" ca="1" si="259"/>
        <v>1</v>
      </c>
      <c r="Z842" s="12" t="str">
        <f t="shared" ca="1" si="259"/>
        <v>1</v>
      </c>
      <c r="AA842" s="12" t="str">
        <f t="shared" ca="1" si="259"/>
        <v>1</v>
      </c>
      <c r="AB842" s="12" t="str">
        <f t="shared" ca="1" si="259"/>
        <v>1</v>
      </c>
      <c r="AC842" s="12" t="str">
        <f t="shared" ca="1" si="259"/>
        <v>0</v>
      </c>
      <c r="AD842" s="12" t="str">
        <f t="shared" ca="1" si="259"/>
        <v>1</v>
      </c>
      <c r="AE842" s="12" t="str">
        <f t="shared" ca="1" si="259"/>
        <v>0</v>
      </c>
      <c r="AF842" s="12" t="str">
        <f t="shared" ca="1" si="259"/>
        <v>0</v>
      </c>
      <c r="AG842" s="12" t="str">
        <f t="shared" ca="1" si="259"/>
        <v>0</v>
      </c>
      <c r="AH842" s="12" t="str">
        <f t="shared" ca="1" si="259"/>
        <v>0</v>
      </c>
      <c r="AI842" s="12" t="str">
        <f t="shared" ca="1" si="259"/>
        <v>1</v>
      </c>
      <c r="AJ842" s="12" t="str">
        <f t="shared" ca="1" si="259"/>
        <v>0</v>
      </c>
      <c r="AK842" s="12" t="str">
        <f t="shared" ca="1" si="259"/>
        <v>0</v>
      </c>
      <c r="AL842" s="12" t="str">
        <f t="shared" ca="1" si="259"/>
        <v>0</v>
      </c>
      <c r="AM842" s="12" t="str">
        <f t="shared" ca="1" si="259"/>
        <v>1</v>
      </c>
      <c r="AN842" s="12" t="str">
        <f t="shared" ca="1" si="259"/>
        <v>0</v>
      </c>
      <c r="AO842" s="12" t="str">
        <f t="shared" ca="1" si="259"/>
        <v>1</v>
      </c>
    </row>
    <row r="843" spans="1:49">
      <c r="A843" s="7">
        <v>3</v>
      </c>
      <c r="B843" s="29" t="str">
        <f t="shared" ca="1" si="255"/>
        <v>000011</v>
      </c>
      <c r="C843" s="30"/>
      <c r="D843" s="7">
        <f t="shared" ca="1" si="256"/>
        <v>1</v>
      </c>
      <c r="E843" s="12">
        <f t="shared" ca="1" si="257"/>
        <v>1</v>
      </c>
      <c r="F843" s="12" cm="1">
        <f t="array" aca="1" ref="F843" ca="1">INDEX(OFFSET('S-box'!$A$2, (A843-1)*6, 0, 4, 16), D843+1, E843+1)</f>
        <v>7</v>
      </c>
      <c r="G843" s="17" t="str">
        <f t="shared" ca="1" si="258"/>
        <v>0111</v>
      </c>
    </row>
    <row r="844" spans="1:49">
      <c r="A844" s="7">
        <v>4</v>
      </c>
      <c r="B844" s="29" t="str">
        <f t="shared" ca="1" si="255"/>
        <v>100100</v>
      </c>
      <c r="C844" s="30"/>
      <c r="D844" s="7">
        <f t="shared" ca="1" si="256"/>
        <v>2</v>
      </c>
      <c r="E844" s="12">
        <f t="shared" ca="1" si="257"/>
        <v>2</v>
      </c>
      <c r="F844" s="12" cm="1">
        <f t="array" aca="1" ref="F844" ca="1">INDEX(OFFSET('S-box'!$A$2, (A844-1)*6, 0, 4, 16), D844+1, E844+1)</f>
        <v>9</v>
      </c>
      <c r="G844" s="17" t="str">
        <f t="shared" ca="1" si="258"/>
        <v>1001</v>
      </c>
      <c r="I844" s="5" t="s">
        <v>226</v>
      </c>
    </row>
    <row r="845" spans="1:49">
      <c r="A845" s="7">
        <v>5</v>
      </c>
      <c r="B845" s="29" t="str">
        <f t="shared" ca="1" si="255"/>
        <v>101011</v>
      </c>
      <c r="C845" s="30"/>
      <c r="D845" s="7">
        <f t="shared" ca="1" si="256"/>
        <v>3</v>
      </c>
      <c r="E845" s="12">
        <f t="shared" ca="1" si="257"/>
        <v>5</v>
      </c>
      <c r="F845" s="12" cm="1">
        <f t="array" aca="1" ref="F845" ca="1">INDEX(OFFSET('S-box'!$A$2, (A845-1)*6, 0, 4, 16), D845+1, E845+1)</f>
        <v>14</v>
      </c>
      <c r="G845" s="17" t="str">
        <f t="shared" ca="1" si="258"/>
        <v>1110</v>
      </c>
    </row>
    <row r="846" spans="1:49">
      <c r="A846" s="7">
        <v>6</v>
      </c>
      <c r="B846" s="29" t="str">
        <f t="shared" ca="1" si="255"/>
        <v>001110</v>
      </c>
      <c r="C846" s="30"/>
      <c r="D846" s="7">
        <f t="shared" ca="1" si="256"/>
        <v>0</v>
      </c>
      <c r="E846" s="12">
        <f t="shared" ca="1" si="257"/>
        <v>7</v>
      </c>
      <c r="F846" s="12" cm="1">
        <f t="array" aca="1" ref="F846" ca="1">INDEX(OFFSET('S-box'!$A$2, (A846-1)*6, 0, 4, 16), D846+1, E846+1)</f>
        <v>8</v>
      </c>
      <c r="G846" s="17" t="str">
        <f t="shared" ca="1" si="258"/>
        <v>1000</v>
      </c>
      <c r="I846" s="12" t="s">
        <v>3</v>
      </c>
      <c r="J846" s="12">
        <v>1</v>
      </c>
      <c r="K846" s="12">
        <v>2</v>
      </c>
      <c r="L846" s="12">
        <v>3</v>
      </c>
      <c r="M846" s="12">
        <v>4</v>
      </c>
      <c r="N846" s="12">
        <v>5</v>
      </c>
      <c r="O846" s="12">
        <v>6</v>
      </c>
      <c r="P846" s="12">
        <v>7</v>
      </c>
      <c r="Q846" s="12">
        <v>8</v>
      </c>
      <c r="R846" s="12">
        <v>9</v>
      </c>
      <c r="S846" s="12">
        <v>10</v>
      </c>
      <c r="T846" s="12">
        <v>11</v>
      </c>
      <c r="U846" s="12">
        <v>12</v>
      </c>
      <c r="V846" s="12">
        <v>13</v>
      </c>
      <c r="W846" s="12">
        <v>14</v>
      </c>
      <c r="X846" s="12">
        <v>15</v>
      </c>
      <c r="Y846" s="12">
        <v>16</v>
      </c>
      <c r="Z846" s="12">
        <v>17</v>
      </c>
      <c r="AA846" s="12">
        <v>18</v>
      </c>
      <c r="AB846" s="12">
        <v>19</v>
      </c>
      <c r="AC846" s="12">
        <v>20</v>
      </c>
      <c r="AD846" s="12">
        <v>21</v>
      </c>
      <c r="AE846" s="12">
        <v>22</v>
      </c>
      <c r="AF846" s="12">
        <v>23</v>
      </c>
      <c r="AG846" s="12">
        <v>24</v>
      </c>
      <c r="AH846" s="12">
        <v>25</v>
      </c>
      <c r="AI846" s="12">
        <v>26</v>
      </c>
      <c r="AJ846" s="12">
        <v>27</v>
      </c>
      <c r="AK846" s="12">
        <v>28</v>
      </c>
      <c r="AL846" s="12">
        <v>29</v>
      </c>
      <c r="AM846" s="12">
        <v>30</v>
      </c>
      <c r="AN846" s="12">
        <v>31</v>
      </c>
      <c r="AO846" s="12">
        <v>32</v>
      </c>
    </row>
    <row r="847" spans="1:49">
      <c r="A847" s="7">
        <v>7</v>
      </c>
      <c r="B847" s="29" t="str">
        <f t="shared" ca="1" si="255"/>
        <v>001001</v>
      </c>
      <c r="C847" s="30"/>
      <c r="D847" s="7">
        <f t="shared" ca="1" si="256"/>
        <v>1</v>
      </c>
      <c r="E847" s="12">
        <f t="shared" ca="1" si="257"/>
        <v>4</v>
      </c>
      <c r="F847" s="12" cm="1">
        <f t="array" aca="1" ref="F847" ca="1">INDEX(OFFSET('S-box'!$A$2, (A847-1)*6, 0, 4, 16), D847+1, E847+1)</f>
        <v>4</v>
      </c>
      <c r="G847" s="17" t="str">
        <f t="shared" ca="1" si="258"/>
        <v>0100</v>
      </c>
      <c r="I847" s="18" t="s">
        <v>152</v>
      </c>
      <c r="J847" s="12" t="str" cm="1">
        <f t="array" aca="1" ref="J847" ca="1">INDEX($J$842:$AO$842, INDEX($T$15:$AA$18, INT((COLUMN(A265)-1)/8)+1, MOD(COLUMN(A265)-1,8)+1))</f>
        <v>1</v>
      </c>
      <c r="K847" s="12" t="str" cm="1">
        <f t="array" aca="1" ref="K847" ca="1">INDEX($J$842:$AO$842, INDEX($T$15:$AA$18, INT((COLUMN(B265)-1)/8)+1, MOD(COLUMN(B265)-1,8)+1))</f>
        <v>1</v>
      </c>
      <c r="L847" s="12" t="str" cm="1">
        <f t="array" aca="1" ref="L847" ca="1">INDEX($J$842:$AO$842, INDEX($T$15:$AA$18, INT((COLUMN(C265)-1)/8)+1, MOD(COLUMN(C265)-1,8)+1))</f>
        <v>0</v>
      </c>
      <c r="M847" s="12" t="str" cm="1">
        <f t="array" aca="1" ref="M847" ca="1">INDEX($J$842:$AO$842, INDEX($T$15:$AA$18, INT((COLUMN(D265)-1)/8)+1, MOD(COLUMN(D265)-1,8)+1))</f>
        <v>1</v>
      </c>
      <c r="N847" s="12" t="str" cm="1">
        <f t="array" aca="1" ref="N847" ca="1">INDEX($J$842:$AO$842, INDEX($T$15:$AA$18, INT((COLUMN(E265)-1)/8)+1, MOD(COLUMN(E265)-1,8)+1))</f>
        <v>0</v>
      </c>
      <c r="O847" s="12" t="str" cm="1">
        <f t="array" aca="1" ref="O847" ca="1">INDEX($J$842:$AO$842, INDEX($T$15:$AA$18, INT((COLUMN(F265)-1)/8)+1, MOD(COLUMN(F265)-1,8)+1))</f>
        <v>1</v>
      </c>
      <c r="P847" s="12" t="str" cm="1">
        <f t="array" aca="1" ref="P847" ca="1">INDEX($J$842:$AO$842, INDEX($T$15:$AA$18, INT((COLUMN(G265)-1)/8)+1, MOD(COLUMN(G265)-1,8)+1))</f>
        <v>0</v>
      </c>
      <c r="Q847" s="12" t="str" cm="1">
        <f t="array" aca="1" ref="Q847" ca="1">INDEX($J$842:$AO$842, INDEX($T$15:$AA$18, INT((COLUMN(H265)-1)/8)+1, MOD(COLUMN(H265)-1,8)+1))</f>
        <v>1</v>
      </c>
      <c r="R847" s="12" t="str" cm="1">
        <f t="array" aca="1" ref="R847" ca="1">INDEX($J$842:$AO$842, INDEX($T$15:$AA$18, INT((COLUMN(I265)-1)/8)+1, MOD(COLUMN(I265)-1,8)+1))</f>
        <v>0</v>
      </c>
      <c r="S847" s="12" t="str" cm="1">
        <f t="array" aca="1" ref="S847" ca="1">INDEX($J$842:$AO$842, INDEX($T$15:$AA$18, INT((COLUMN(J265)-1)/8)+1, MOD(COLUMN(J265)-1,8)+1))</f>
        <v>0</v>
      </c>
      <c r="T847" s="12" t="str" cm="1">
        <f t="array" aca="1" ref="T847" ca="1">INDEX($J$842:$AO$842, INDEX($T$15:$AA$18, INT((COLUMN(K265)-1)/8)+1, MOD(COLUMN(K265)-1,8)+1))</f>
        <v>0</v>
      </c>
      <c r="U847" s="12" t="str" cm="1">
        <f t="array" aca="1" ref="U847" ca="1">INDEX($J$842:$AO$842, INDEX($T$15:$AA$18, INT((COLUMN(L265)-1)/8)+1, MOD(COLUMN(L265)-1,8)+1))</f>
        <v>1</v>
      </c>
      <c r="V847" s="12" t="str" cm="1">
        <f t="array" aca="1" ref="V847" ca="1">INDEX($J$842:$AO$842, INDEX($T$15:$AA$18, INT((COLUMN(M265)-1)/8)+1, MOD(COLUMN(M265)-1,8)+1))</f>
        <v>0</v>
      </c>
      <c r="W847" s="12" t="str" cm="1">
        <f t="array" aca="1" ref="W847" ca="1">INDEX($J$842:$AO$842, INDEX($T$15:$AA$18, INT((COLUMN(N265)-1)/8)+1, MOD(COLUMN(N265)-1,8)+1))</f>
        <v>1</v>
      </c>
      <c r="X847" s="12" t="str" cm="1">
        <f t="array" aca="1" ref="X847" ca="1">INDEX($J$842:$AO$842, INDEX($T$15:$AA$18, INT((COLUMN(O265)-1)/8)+1, MOD(COLUMN(O265)-1,8)+1))</f>
        <v>0</v>
      </c>
      <c r="Y847" s="12" t="str" cm="1">
        <f t="array" aca="1" ref="Y847" ca="1">INDEX($J$842:$AO$842, INDEX($T$15:$AA$18, INT((COLUMN(P265)-1)/8)+1, MOD(COLUMN(P265)-1,8)+1))</f>
        <v>1</v>
      </c>
      <c r="Z847" s="12" t="str" cm="1">
        <f t="array" aca="1" ref="Z847" ca="1">INDEX($J$842:$AO$842, INDEX($T$15:$AA$18, INT((COLUMN(Q265)-1)/8)+1, MOD(COLUMN(Q265)-1,8)+1))</f>
        <v>0</v>
      </c>
      <c r="AA847" s="12" t="str" cm="1">
        <f t="array" aca="1" ref="AA847" ca="1">INDEX($J$842:$AO$842, INDEX($T$15:$AA$18, INT((COLUMN(R265)-1)/8)+1, MOD(COLUMN(R265)-1,8)+1))</f>
        <v>0</v>
      </c>
      <c r="AB847" s="12" t="str" cm="1">
        <f t="array" aca="1" ref="AB847" ca="1">INDEX($J$842:$AO$842, INDEX($T$15:$AA$18, INT((COLUMN(S265)-1)/8)+1, MOD(COLUMN(S265)-1,8)+1))</f>
        <v>0</v>
      </c>
      <c r="AC847" s="12" t="str" cm="1">
        <f t="array" aca="1" ref="AC847" ca="1">INDEX($J$842:$AO$842, INDEX($T$15:$AA$18, INT((COLUMN(T265)-1)/8)+1, MOD(COLUMN(T265)-1,8)+1))</f>
        <v>0</v>
      </c>
      <c r="AD847" s="12" t="str" cm="1">
        <f t="array" aca="1" ref="AD847" ca="1">INDEX($J$842:$AO$842, INDEX($T$15:$AA$18, INT((COLUMN(U265)-1)/8)+1, MOD(COLUMN(U265)-1,8)+1))</f>
        <v>1</v>
      </c>
      <c r="AE847" s="12" t="str" cm="1">
        <f t="array" aca="1" ref="AE847" ca="1">INDEX($J$842:$AO$842, INDEX($T$15:$AA$18, INT((COLUMN(V265)-1)/8)+1, MOD(COLUMN(V265)-1,8)+1))</f>
        <v>0</v>
      </c>
      <c r="AF847" s="12" t="str" cm="1">
        <f t="array" aca="1" ref="AF847" ca="1">INDEX($J$842:$AO$842, INDEX($T$15:$AA$18, INT((COLUMN(W265)-1)/8)+1, MOD(COLUMN(W265)-1,8)+1))</f>
        <v>0</v>
      </c>
      <c r="AG847" s="12" t="str" cm="1">
        <f t="array" aca="1" ref="AG847" ca="1">INDEX($J$842:$AO$842, INDEX($T$15:$AA$18, INT((COLUMN(X265)-1)/8)+1, MOD(COLUMN(X265)-1,8)+1))</f>
        <v>0</v>
      </c>
      <c r="AH847" s="12" t="str" cm="1">
        <f t="array" aca="1" ref="AH847" ca="1">INDEX($J$842:$AO$842, INDEX($T$15:$AA$18, INT((COLUMN(Y265)-1)/8)+1, MOD(COLUMN(Y265)-1,8)+1))</f>
        <v>1</v>
      </c>
      <c r="AI847" s="12" t="str" cm="1">
        <f t="array" aca="1" ref="AI847" ca="1">INDEX($J$842:$AO$842, INDEX($T$15:$AA$18, INT((COLUMN(Z265)-1)/8)+1, MOD(COLUMN(Z265)-1,8)+1))</f>
        <v>1</v>
      </c>
      <c r="AJ847" s="12" t="str" cm="1">
        <f t="array" aca="1" ref="AJ847" ca="1">INDEX($J$842:$AO$842, INDEX($T$15:$AA$18, INT((COLUMN(AA265)-1)/8)+1, MOD(COLUMN(AA265)-1,8)+1))</f>
        <v>1</v>
      </c>
      <c r="AK847" s="12" t="str" cm="1">
        <f t="array" aca="1" ref="AK847" ca="1">INDEX($J$842:$AO$842, INDEX($T$15:$AA$18, INT((COLUMN(AB265)-1)/8)+1, MOD(COLUMN(AB265)-1,8)+1))</f>
        <v>0</v>
      </c>
      <c r="AL847" s="12" t="str" cm="1">
        <f t="array" aca="1" ref="AL847" ca="1">INDEX($J$842:$AO$842, INDEX($T$15:$AA$18, INT((COLUMN(AC265)-1)/8)+1, MOD(COLUMN(AC265)-1,8)+1))</f>
        <v>0</v>
      </c>
      <c r="AM847" s="12" t="str" cm="1">
        <f t="array" aca="1" ref="AM847" ca="1">INDEX($J$842:$AO$842, INDEX($T$15:$AA$18, INT((COLUMN(AD265)-1)/8)+1, MOD(COLUMN(AD265)-1,8)+1))</f>
        <v>1</v>
      </c>
      <c r="AN847" s="12" t="str" cm="1">
        <f t="array" aca="1" ref="AN847" ca="1">INDEX($J$842:$AO$842, INDEX($T$15:$AA$18, INT((COLUMN(AE265)-1)/8)+1, MOD(COLUMN(AE265)-1,8)+1))</f>
        <v>0</v>
      </c>
      <c r="AO847" s="12" t="str" cm="1">
        <f t="array" aca="1" ref="AO847" ca="1">INDEX($J$842:$AO$842, INDEX($T$15:$AA$18, INT((COLUMN(AF265)-1)/8)+1, MOD(COLUMN(AF265)-1,8)+1))</f>
        <v>0</v>
      </c>
    </row>
    <row r="848" spans="1:49">
      <c r="A848" s="7">
        <v>8</v>
      </c>
      <c r="B848" s="29" t="str">
        <f t="shared" ca="1" si="255"/>
        <v>111011</v>
      </c>
      <c r="C848" s="30"/>
      <c r="D848" s="7">
        <f t="shared" ca="1" si="256"/>
        <v>3</v>
      </c>
      <c r="E848" s="12">
        <f t="shared" ca="1" si="257"/>
        <v>13</v>
      </c>
      <c r="F848" s="12" cm="1">
        <f t="array" aca="1" ref="F848" ca="1">INDEX(OFFSET('S-box'!$A$2, (A848-1)*6, 0, 4, 16), D848+1, E848+1)</f>
        <v>5</v>
      </c>
      <c r="G848" s="17" t="str">
        <f t="shared" ca="1" si="258"/>
        <v>0101</v>
      </c>
    </row>
    <row r="850" spans="1:33">
      <c r="A850" s="20" t="s">
        <v>227</v>
      </c>
    </row>
    <row r="852" spans="1:33">
      <c r="A852" s="12" t="s">
        <v>3</v>
      </c>
      <c r="B852" s="12">
        <v>1</v>
      </c>
      <c r="C852" s="12">
        <v>2</v>
      </c>
      <c r="D852" s="12">
        <v>3</v>
      </c>
      <c r="E852" s="12">
        <v>4</v>
      </c>
      <c r="F852" s="12">
        <v>5</v>
      </c>
      <c r="G852" s="12">
        <v>6</v>
      </c>
      <c r="H852" s="12">
        <v>7</v>
      </c>
      <c r="I852" s="12">
        <v>8</v>
      </c>
      <c r="J852" s="12">
        <v>9</v>
      </c>
      <c r="K852" s="12">
        <v>10</v>
      </c>
      <c r="L852" s="12">
        <v>11</v>
      </c>
      <c r="M852" s="12">
        <v>12</v>
      </c>
      <c r="N852" s="12">
        <v>13</v>
      </c>
      <c r="O852" s="12">
        <v>14</v>
      </c>
      <c r="P852" s="12">
        <v>15</v>
      </c>
      <c r="Q852" s="12">
        <v>16</v>
      </c>
      <c r="R852" s="12">
        <v>17</v>
      </c>
      <c r="S852" s="12">
        <v>18</v>
      </c>
      <c r="T852" s="12">
        <v>19</v>
      </c>
      <c r="U852" s="12">
        <v>20</v>
      </c>
      <c r="V852" s="12">
        <v>21</v>
      </c>
      <c r="W852" s="12">
        <v>22</v>
      </c>
      <c r="X852" s="12">
        <v>23</v>
      </c>
      <c r="Y852" s="12">
        <v>24</v>
      </c>
      <c r="Z852" s="12">
        <v>25</v>
      </c>
      <c r="AA852" s="12">
        <v>26</v>
      </c>
      <c r="AB852" s="12">
        <v>27</v>
      </c>
      <c r="AC852" s="12">
        <v>28</v>
      </c>
      <c r="AD852" s="12">
        <v>29</v>
      </c>
      <c r="AE852" s="12">
        <v>30</v>
      </c>
      <c r="AF852" s="12">
        <v>31</v>
      </c>
      <c r="AG852" s="12">
        <v>32</v>
      </c>
    </row>
    <row r="853" spans="1:33">
      <c r="A853" s="12" t="s">
        <v>228</v>
      </c>
      <c r="B853" s="12">
        <v>1</v>
      </c>
      <c r="C853" s="12">
        <v>0</v>
      </c>
      <c r="D853" s="12">
        <v>1</v>
      </c>
      <c r="E853" s="12">
        <v>1</v>
      </c>
      <c r="F853" s="12">
        <v>1</v>
      </c>
      <c r="G853" s="12">
        <v>0</v>
      </c>
      <c r="H853" s="12">
        <v>0</v>
      </c>
      <c r="I853" s="12">
        <v>0</v>
      </c>
      <c r="J853" s="12">
        <v>0</v>
      </c>
      <c r="K853" s="12">
        <v>1</v>
      </c>
      <c r="L853" s="12">
        <v>1</v>
      </c>
      <c r="M853" s="12">
        <v>1</v>
      </c>
      <c r="N853" s="12">
        <v>0</v>
      </c>
      <c r="O853" s="12">
        <v>0</v>
      </c>
      <c r="P853" s="12">
        <v>0</v>
      </c>
      <c r="Q853" s="12">
        <v>1</v>
      </c>
      <c r="R853" s="12">
        <v>1</v>
      </c>
      <c r="S853" s="12">
        <v>0</v>
      </c>
      <c r="T853" s="12">
        <v>0</v>
      </c>
      <c r="U853" s="12">
        <v>1</v>
      </c>
      <c r="V853" s="12">
        <v>1</v>
      </c>
      <c r="W853" s="12">
        <v>1</v>
      </c>
      <c r="X853" s="12">
        <v>1</v>
      </c>
      <c r="Y853" s="12">
        <v>1</v>
      </c>
      <c r="Z853" s="12">
        <v>1</v>
      </c>
      <c r="AA853" s="12">
        <v>1</v>
      </c>
      <c r="AB853" s="12">
        <v>1</v>
      </c>
      <c r="AC853" s="12">
        <v>0</v>
      </c>
      <c r="AD853" s="12">
        <v>0</v>
      </c>
      <c r="AE853" s="12">
        <v>1</v>
      </c>
      <c r="AF853" s="12">
        <v>1</v>
      </c>
      <c r="AG853" s="12">
        <v>0</v>
      </c>
    </row>
    <row r="854" spans="1:33">
      <c r="A854" s="12" t="s">
        <v>229</v>
      </c>
      <c r="B854" s="12">
        <f ca="1">_xlfn.BITXOR(B820,J847)</f>
        <v>1</v>
      </c>
      <c r="C854" s="12">
        <f t="shared" ref="C854" ca="1" si="260">_xlfn.BITXOR(C820,K847)</f>
        <v>0</v>
      </c>
      <c r="D854" s="12">
        <f t="shared" ref="D854" ca="1" si="261">_xlfn.BITXOR(D820,L847)</f>
        <v>0</v>
      </c>
      <c r="E854" s="12">
        <f t="shared" ref="E854" ca="1" si="262">_xlfn.BITXOR(E820,M847)</f>
        <v>0</v>
      </c>
      <c r="F854" s="12">
        <f t="shared" ref="F854" ca="1" si="263">_xlfn.BITXOR(F820,N847)</f>
        <v>1</v>
      </c>
      <c r="G854" s="12">
        <f t="shared" ref="G854" ca="1" si="264">_xlfn.BITXOR(G820,O847)</f>
        <v>0</v>
      </c>
      <c r="H854" s="12">
        <f t="shared" ref="H854" ca="1" si="265">_xlfn.BITXOR(H820,P847)</f>
        <v>1</v>
      </c>
      <c r="I854" s="12">
        <f t="shared" ref="I854" ca="1" si="266">_xlfn.BITXOR(I820,Q847)</f>
        <v>0</v>
      </c>
      <c r="J854" s="12">
        <f t="shared" ref="J854" ca="1" si="267">_xlfn.BITXOR(J820,R847)</f>
        <v>0</v>
      </c>
      <c r="K854" s="12">
        <f t="shared" ref="K854" ca="1" si="268">_xlfn.BITXOR(K820,S847)</f>
        <v>1</v>
      </c>
      <c r="L854" s="12">
        <f t="shared" ref="L854" ca="1" si="269">_xlfn.BITXOR(L820,T847)</f>
        <v>1</v>
      </c>
      <c r="M854" s="12">
        <f t="shared" ref="M854" ca="1" si="270">_xlfn.BITXOR(M820,U847)</f>
        <v>1</v>
      </c>
      <c r="N854" s="12">
        <f t="shared" ref="N854" ca="1" si="271">_xlfn.BITXOR(N820,V847)</f>
        <v>1</v>
      </c>
      <c r="O854" s="12">
        <f t="shared" ref="O854" ca="1" si="272">_xlfn.BITXOR(O820,W847)</f>
        <v>0</v>
      </c>
      <c r="P854" s="12">
        <f t="shared" ref="P854" ca="1" si="273">_xlfn.BITXOR(P820,X847)</f>
        <v>0</v>
      </c>
      <c r="Q854" s="12">
        <f t="shared" ref="Q854" ca="1" si="274">_xlfn.BITXOR(Q820,Y847)</f>
        <v>1</v>
      </c>
      <c r="R854" s="12">
        <f t="shared" ref="R854" ca="1" si="275">_xlfn.BITXOR(R820,Z847)</f>
        <v>1</v>
      </c>
      <c r="S854" s="12">
        <f t="shared" ref="S854" ca="1" si="276">_xlfn.BITXOR(S820,AA847)</f>
        <v>1</v>
      </c>
      <c r="T854" s="12">
        <f t="shared" ref="T854" ca="1" si="277">_xlfn.BITXOR(T820,AB847)</f>
        <v>1</v>
      </c>
      <c r="U854" s="12">
        <f t="shared" ref="U854" ca="1" si="278">_xlfn.BITXOR(U820,AC847)</f>
        <v>1</v>
      </c>
      <c r="V854" s="12">
        <f t="shared" ref="V854" ca="1" si="279">_xlfn.BITXOR(V820,AD847)</f>
        <v>0</v>
      </c>
      <c r="W854" s="12">
        <f t="shared" ref="W854" ca="1" si="280">_xlfn.BITXOR(W820,AE847)</f>
        <v>0</v>
      </c>
      <c r="X854" s="12">
        <f t="shared" ref="X854" ca="1" si="281">_xlfn.BITXOR(X820,AF847)</f>
        <v>1</v>
      </c>
      <c r="Y854" s="12">
        <f t="shared" ref="Y854" ca="1" si="282">_xlfn.BITXOR(Y820,AG847)</f>
        <v>0</v>
      </c>
      <c r="Z854" s="12">
        <f t="shared" ref="Z854" ca="1" si="283">_xlfn.BITXOR(Z820,AH847)</f>
        <v>0</v>
      </c>
      <c r="AA854" s="12">
        <f t="shared" ref="AA854" ca="1" si="284">_xlfn.BITXOR(AA820,AI847)</f>
        <v>1</v>
      </c>
      <c r="AB854" s="12">
        <f t="shared" ref="AB854" ca="1" si="285">_xlfn.BITXOR(AB820,AJ847)</f>
        <v>1</v>
      </c>
      <c r="AC854" s="12">
        <f t="shared" ref="AC854" ca="1" si="286">_xlfn.BITXOR(AC820,AK847)</f>
        <v>0</v>
      </c>
      <c r="AD854" s="12">
        <f t="shared" ref="AD854" ca="1" si="287">_xlfn.BITXOR(AD820,AL847)</f>
        <v>1</v>
      </c>
      <c r="AE854" s="12">
        <f t="shared" ref="AE854" ca="1" si="288">_xlfn.BITXOR(AE820,AM847)</f>
        <v>0</v>
      </c>
      <c r="AF854" s="12">
        <f t="shared" ref="AF854" ca="1" si="289">_xlfn.BITXOR(AF820,AN847)</f>
        <v>1</v>
      </c>
      <c r="AG854" s="12">
        <f t="shared" ref="AG854" ca="1" si="290">_xlfn.BITXOR(AG820,AO847)</f>
        <v>0</v>
      </c>
    </row>
    <row r="856" spans="1:33">
      <c r="A856" s="21" t="s">
        <v>230</v>
      </c>
    </row>
    <row r="857" spans="1:33">
      <c r="A857" s="5" t="s">
        <v>231</v>
      </c>
      <c r="B857" s="12" cm="1">
        <f t="array" aca="1" ref="B857" ca="1">INDEX($B$854:$AG$854, T25)</f>
        <v>0</v>
      </c>
      <c r="C857" s="12" cm="1">
        <f t="array" aca="1" ref="C857" ca="1">INDEX($B$854:$AG$854, U25)</f>
        <v>1</v>
      </c>
      <c r="D857" s="12" cm="1">
        <f t="array" aca="1" ref="D857" ca="1">INDEX($B$854:$AG$854, V25)</f>
        <v>0</v>
      </c>
      <c r="E857" s="12" cm="1">
        <f t="array" aca="1" ref="E857" ca="1">INDEX($B$854:$AG$854, W25)</f>
        <v>0</v>
      </c>
      <c r="F857" s="12" cm="1">
        <f t="array" aca="1" ref="F857" ca="1">INDEX($B$854:$AG$854, X25)</f>
        <v>0</v>
      </c>
      <c r="G857" s="12" cm="1">
        <f t="array" aca="1" ref="G857" ca="1">INDEX($B$854:$AG$854, Y25)</f>
        <v>1</v>
      </c>
    </row>
    <row r="858" spans="1:33">
      <c r="B858" s="12" cm="1">
        <f t="array" aca="1" ref="B858" ca="1">INDEX($B$854:$AG$854, T26)</f>
        <v>0</v>
      </c>
      <c r="C858" s="12" cm="1">
        <f t="array" aca="1" ref="C858" ca="1">INDEX($B$854:$AG$854, U26)</f>
        <v>1</v>
      </c>
      <c r="D858" s="12" cm="1">
        <f t="array" aca="1" ref="D858" ca="1">INDEX($B$854:$AG$854, V26)</f>
        <v>0</v>
      </c>
      <c r="E858" s="12" cm="1">
        <f t="array" aca="1" ref="E858" ca="1">INDEX($B$854:$AG$854, W26)</f>
        <v>1</v>
      </c>
      <c r="F858" s="12" cm="1">
        <f t="array" aca="1" ref="F858" ca="1">INDEX($B$854:$AG$854, X26)</f>
        <v>0</v>
      </c>
      <c r="G858" s="12" cm="1">
        <f t="array" aca="1" ref="G858" ca="1">INDEX($B$854:$AG$854, Y26)</f>
        <v>0</v>
      </c>
    </row>
    <row r="859" spans="1:33">
      <c r="B859" s="12" cm="1">
        <f t="array" aca="1" ref="B859" ca="1">INDEX($B$854:$AG$854, T27)</f>
        <v>0</v>
      </c>
      <c r="C859" s="12" cm="1">
        <f t="array" aca="1" ref="C859" ca="1">INDEX($B$854:$AG$854, U27)</f>
        <v>0</v>
      </c>
      <c r="D859" s="12" cm="1">
        <f t="array" aca="1" ref="D859" ca="1">INDEX($B$854:$AG$854, V27)</f>
        <v>1</v>
      </c>
      <c r="E859" s="12" cm="1">
        <f t="array" aca="1" ref="E859" ca="1">INDEX($B$854:$AG$854, W27)</f>
        <v>1</v>
      </c>
      <c r="F859" s="12" cm="1">
        <f t="array" aca="1" ref="F859" ca="1">INDEX($B$854:$AG$854, X27)</f>
        <v>1</v>
      </c>
      <c r="G859" s="12" cm="1">
        <f t="array" aca="1" ref="G859" ca="1">INDEX($B$854:$AG$854, Y27)</f>
        <v>1</v>
      </c>
    </row>
    <row r="860" spans="1:33">
      <c r="B860" s="12" cm="1">
        <f t="array" aca="1" ref="B860" ca="1">INDEX($B$854:$AG$854, T28)</f>
        <v>1</v>
      </c>
      <c r="C860" s="12" cm="1">
        <f t="array" aca="1" ref="C860" ca="1">INDEX($B$854:$AG$854, U28)</f>
        <v>1</v>
      </c>
      <c r="D860" s="12" cm="1">
        <f t="array" aca="1" ref="D860" ca="1">INDEX($B$854:$AG$854, V28)</f>
        <v>0</v>
      </c>
      <c r="E860" s="12" cm="1">
        <f t="array" aca="1" ref="E860" ca="1">INDEX($B$854:$AG$854, W28)</f>
        <v>0</v>
      </c>
      <c r="F860" s="12" cm="1">
        <f t="array" aca="1" ref="F860" ca="1">INDEX($B$854:$AG$854, X28)</f>
        <v>1</v>
      </c>
      <c r="G860" s="12" cm="1">
        <f t="array" aca="1" ref="G860" ca="1">INDEX($B$854:$AG$854, Y28)</f>
        <v>1</v>
      </c>
    </row>
    <row r="861" spans="1:33">
      <c r="B861" s="12" cm="1">
        <f t="array" aca="1" ref="B861" ca="1">INDEX($B$854:$AG$854, T29)</f>
        <v>1</v>
      </c>
      <c r="C861" s="12" cm="1">
        <f t="array" aca="1" ref="C861" ca="1">INDEX($B$854:$AG$854, U29)</f>
        <v>1</v>
      </c>
      <c r="D861" s="12" cm="1">
        <f t="array" aca="1" ref="D861" ca="1">INDEX($B$854:$AG$854, V29)</f>
        <v>1</v>
      </c>
      <c r="E861" s="12" cm="1">
        <f t="array" aca="1" ref="E861" ca="1">INDEX($B$854:$AG$854, W29)</f>
        <v>1</v>
      </c>
      <c r="F861" s="12" cm="1">
        <f t="array" aca="1" ref="F861" ca="1">INDEX($B$854:$AG$854, X29)</f>
        <v>1</v>
      </c>
      <c r="G861" s="12" cm="1">
        <f t="array" aca="1" ref="G861" ca="1">INDEX($B$854:$AG$854, Y29)</f>
        <v>0</v>
      </c>
    </row>
    <row r="862" spans="1:33">
      <c r="B862" s="12" cm="1">
        <f t="array" aca="1" ref="B862" ca="1">INDEX($B$854:$AG$854, T30)</f>
        <v>1</v>
      </c>
      <c r="C862" s="12" cm="1">
        <f t="array" aca="1" ref="C862" ca="1">INDEX($B$854:$AG$854, U30)</f>
        <v>0</v>
      </c>
      <c r="D862" s="12" cm="1">
        <f t="array" aca="1" ref="D862" ca="1">INDEX($B$854:$AG$854, V30)</f>
        <v>0</v>
      </c>
      <c r="E862" s="12" cm="1">
        <f t="array" aca="1" ref="E862" ca="1">INDEX($B$854:$AG$854, W30)</f>
        <v>1</v>
      </c>
      <c r="F862" s="12" cm="1">
        <f t="array" aca="1" ref="F862" ca="1">INDEX($B$854:$AG$854, X30)</f>
        <v>0</v>
      </c>
      <c r="G862" s="12" cm="1">
        <f t="array" aca="1" ref="G862" ca="1">INDEX($B$854:$AG$854, Y30)</f>
        <v>0</v>
      </c>
    </row>
    <row r="863" spans="1:33">
      <c r="B863" s="12" cm="1">
        <f t="array" aca="1" ref="B863" ca="1">INDEX($B$854:$AG$854, T31)</f>
        <v>0</v>
      </c>
      <c r="C863" s="12" cm="1">
        <f t="array" aca="1" ref="C863" ca="1">INDEX($B$854:$AG$854, U31)</f>
        <v>0</v>
      </c>
      <c r="D863" s="12" cm="1">
        <f t="array" aca="1" ref="D863" ca="1">INDEX($B$854:$AG$854, V31)</f>
        <v>1</v>
      </c>
      <c r="E863" s="12" cm="1">
        <f t="array" aca="1" ref="E863" ca="1">INDEX($B$854:$AG$854, W31)</f>
        <v>1</v>
      </c>
      <c r="F863" s="12" cm="1">
        <f t="array" aca="1" ref="F863" ca="1">INDEX($B$854:$AG$854, X31)</f>
        <v>0</v>
      </c>
      <c r="G863" s="12" cm="1">
        <f t="array" aca="1" ref="G863" ca="1">INDEX($B$854:$AG$854, Y31)</f>
        <v>1</v>
      </c>
    </row>
    <row r="864" spans="1:33">
      <c r="B864" s="12" cm="1">
        <f t="array" aca="1" ref="B864" ca="1">INDEX($B$854:$AG$854, T32)</f>
        <v>0</v>
      </c>
      <c r="C864" s="12" cm="1">
        <f t="array" aca="1" ref="C864" ca="1">INDEX($B$854:$AG$854, U32)</f>
        <v>1</v>
      </c>
      <c r="D864" s="12" cm="1">
        <f t="array" aca="1" ref="D864" ca="1">INDEX($B$854:$AG$854, V32)</f>
        <v>0</v>
      </c>
      <c r="E864" s="12" cm="1">
        <f t="array" aca="1" ref="E864" ca="1">INDEX($B$854:$AG$854, W32)</f>
        <v>1</v>
      </c>
      <c r="F864" s="12" cm="1">
        <f t="array" aca="1" ref="F864" ca="1">INDEX($B$854:$AG$854, X32)</f>
        <v>0</v>
      </c>
      <c r="G864" s="12" cm="1">
        <f t="array" aca="1" ref="G864" ca="1">INDEX($B$854:$AG$854, Y32)</f>
        <v>1</v>
      </c>
    </row>
    <row r="866" spans="1:49">
      <c r="A866" s="12" t="s">
        <v>3</v>
      </c>
      <c r="B866" s="12">
        <v>1</v>
      </c>
      <c r="C866" s="12">
        <v>2</v>
      </c>
      <c r="D866" s="12">
        <v>3</v>
      </c>
      <c r="E866" s="12">
        <v>4</v>
      </c>
      <c r="F866" s="12">
        <v>5</v>
      </c>
      <c r="G866" s="12">
        <v>6</v>
      </c>
      <c r="H866" s="12">
        <v>7</v>
      </c>
      <c r="I866" s="12">
        <v>8</v>
      </c>
      <c r="J866" s="12">
        <v>9</v>
      </c>
      <c r="K866" s="12">
        <v>10</v>
      </c>
      <c r="L866" s="12">
        <v>11</v>
      </c>
      <c r="M866" s="12">
        <v>12</v>
      </c>
      <c r="N866" s="12">
        <v>13</v>
      </c>
      <c r="O866" s="12">
        <v>14</v>
      </c>
      <c r="P866" s="12">
        <v>15</v>
      </c>
      <c r="Q866" s="12">
        <v>16</v>
      </c>
      <c r="R866" s="12">
        <v>17</v>
      </c>
      <c r="S866" s="12">
        <v>18</v>
      </c>
      <c r="T866" s="12">
        <v>19</v>
      </c>
      <c r="U866" s="12">
        <v>20</v>
      </c>
      <c r="V866" s="12">
        <v>21</v>
      </c>
      <c r="W866" s="12">
        <v>22</v>
      </c>
      <c r="X866" s="12">
        <v>23</v>
      </c>
      <c r="Y866" s="12">
        <v>24</v>
      </c>
      <c r="Z866" s="12">
        <v>25</v>
      </c>
      <c r="AA866" s="12">
        <v>26</v>
      </c>
      <c r="AB866" s="12">
        <v>27</v>
      </c>
      <c r="AC866" s="12">
        <v>28</v>
      </c>
      <c r="AD866" s="12">
        <v>29</v>
      </c>
      <c r="AE866" s="12">
        <v>30</v>
      </c>
      <c r="AF866" s="12">
        <v>31</v>
      </c>
      <c r="AG866" s="12">
        <v>32</v>
      </c>
      <c r="AH866" s="12">
        <v>33</v>
      </c>
      <c r="AI866" s="12">
        <v>34</v>
      </c>
      <c r="AJ866" s="12">
        <v>35</v>
      </c>
      <c r="AK866" s="12">
        <v>36</v>
      </c>
      <c r="AL866" s="12">
        <v>37</v>
      </c>
      <c r="AM866" s="12">
        <v>38</v>
      </c>
      <c r="AN866" s="12">
        <v>39</v>
      </c>
      <c r="AO866" s="12">
        <v>40</v>
      </c>
      <c r="AP866" s="12">
        <v>41</v>
      </c>
      <c r="AQ866" s="12">
        <v>42</v>
      </c>
      <c r="AR866" s="12">
        <v>43</v>
      </c>
      <c r="AS866" s="12">
        <v>44</v>
      </c>
      <c r="AT866" s="12">
        <v>45</v>
      </c>
      <c r="AU866" s="12">
        <v>46</v>
      </c>
      <c r="AV866" s="12">
        <v>47</v>
      </c>
      <c r="AW866" s="12">
        <v>48</v>
      </c>
    </row>
    <row r="867" spans="1:49">
      <c r="A867" s="7" t="s">
        <v>231</v>
      </c>
      <c r="B867" s="16" cm="1">
        <f t="array" aca="1" ref="B867" ca="1">INDEX($B$857:$G864, INT((COLUMN(A723)-1)/6)+1, MOD(COLUMN(A723)-1,6)+1)</f>
        <v>0</v>
      </c>
      <c r="C867" s="16" cm="1">
        <f t="array" aca="1" ref="C867" ca="1">INDEX($B$857:$G864, INT((COLUMN(B723)-1)/6)+1, MOD(COLUMN(B723)-1,6)+1)</f>
        <v>1</v>
      </c>
      <c r="D867" s="16" cm="1">
        <f t="array" aca="1" ref="D867" ca="1">INDEX($B$857:$G864, INT((COLUMN(C723)-1)/6)+1, MOD(COLUMN(C723)-1,6)+1)</f>
        <v>0</v>
      </c>
      <c r="E867" s="16" cm="1">
        <f t="array" aca="1" ref="E867" ca="1">INDEX($B$857:$G864, INT((COLUMN(D723)-1)/6)+1, MOD(COLUMN(D723)-1,6)+1)</f>
        <v>0</v>
      </c>
      <c r="F867" s="16" cm="1">
        <f t="array" aca="1" ref="F867" ca="1">INDEX($B$857:$G864, INT((COLUMN(E723)-1)/6)+1, MOD(COLUMN(E723)-1,6)+1)</f>
        <v>0</v>
      </c>
      <c r="G867" s="16" cm="1">
        <f t="array" aca="1" ref="G867" ca="1">INDEX($B$857:$G864, INT((COLUMN(F723)-1)/6)+1, MOD(COLUMN(F723)-1,6)+1)</f>
        <v>1</v>
      </c>
      <c r="H867" s="16" cm="1">
        <f t="array" aca="1" ref="H867" ca="1">INDEX($B$857:$G864, INT((COLUMN(G723)-1)/6)+1, MOD(COLUMN(G723)-1,6)+1)</f>
        <v>0</v>
      </c>
      <c r="I867" s="16" cm="1">
        <f t="array" aca="1" ref="I867" ca="1">INDEX($B$857:$G864, INT((COLUMN(H723)-1)/6)+1, MOD(COLUMN(H723)-1,6)+1)</f>
        <v>1</v>
      </c>
      <c r="J867" s="16" cm="1">
        <f t="array" aca="1" ref="J867" ca="1">INDEX($B$857:$G864, INT((COLUMN(I723)-1)/6)+1, MOD(COLUMN(I723)-1,6)+1)</f>
        <v>0</v>
      </c>
      <c r="K867" s="16" cm="1">
        <f t="array" aca="1" ref="K867" ca="1">INDEX($B$857:$G864, INT((COLUMN(J723)-1)/6)+1, MOD(COLUMN(J723)-1,6)+1)</f>
        <v>1</v>
      </c>
      <c r="L867" s="16" cm="1">
        <f t="array" aca="1" ref="L867" ca="1">INDEX($B$857:$G864, INT((COLUMN(K723)-1)/6)+1, MOD(COLUMN(K723)-1,6)+1)</f>
        <v>0</v>
      </c>
      <c r="M867" s="16" cm="1">
        <f t="array" aca="1" ref="M867" ca="1">INDEX($B$857:$G864, INT((COLUMN(L723)-1)/6)+1, MOD(COLUMN(L723)-1,6)+1)</f>
        <v>0</v>
      </c>
      <c r="N867" s="16" cm="1">
        <f t="array" aca="1" ref="N867" ca="1">INDEX($B$857:$G864, INT((COLUMN(M723)-1)/6)+1, MOD(COLUMN(M723)-1,6)+1)</f>
        <v>0</v>
      </c>
      <c r="O867" s="16" cm="1">
        <f t="array" aca="1" ref="O867" ca="1">INDEX($B$857:$G864, INT((COLUMN(N723)-1)/6)+1, MOD(COLUMN(N723)-1,6)+1)</f>
        <v>0</v>
      </c>
      <c r="P867" s="16" cm="1">
        <f t="array" aca="1" ref="P867" ca="1">INDEX($B$857:$G864, INT((COLUMN(O723)-1)/6)+1, MOD(COLUMN(O723)-1,6)+1)</f>
        <v>1</v>
      </c>
      <c r="Q867" s="16" cm="1">
        <f t="array" aca="1" ref="Q867" ca="1">INDEX($B$857:$G864, INT((COLUMN(P723)-1)/6)+1, MOD(COLUMN(P723)-1,6)+1)</f>
        <v>1</v>
      </c>
      <c r="R867" s="16" cm="1">
        <f t="array" aca="1" ref="R867" ca="1">INDEX($B$857:$G864, INT((COLUMN(Q723)-1)/6)+1, MOD(COLUMN(Q723)-1,6)+1)</f>
        <v>1</v>
      </c>
      <c r="S867" s="16" cm="1">
        <f t="array" aca="1" ref="S867" ca="1">INDEX($B$857:$G864, INT((COLUMN(R723)-1)/6)+1, MOD(COLUMN(R723)-1,6)+1)</f>
        <v>1</v>
      </c>
      <c r="T867" s="16" cm="1">
        <f t="array" aca="1" ref="T867" ca="1">INDEX($B$857:$G864, INT((COLUMN(S723)-1)/6)+1, MOD(COLUMN(S723)-1,6)+1)</f>
        <v>1</v>
      </c>
      <c r="U867" s="16" cm="1">
        <f t="array" aca="1" ref="U867" ca="1">INDEX($B$857:$G864, INT((COLUMN(T723)-1)/6)+1, MOD(COLUMN(T723)-1,6)+1)</f>
        <v>1</v>
      </c>
      <c r="V867" s="16" cm="1">
        <f t="array" aca="1" ref="V867" ca="1">INDEX($B$857:$G864, INT((COLUMN(U723)-1)/6)+1, MOD(COLUMN(U723)-1,6)+1)</f>
        <v>0</v>
      </c>
      <c r="W867" s="16" cm="1">
        <f t="array" aca="1" ref="W867" ca="1">INDEX($B$857:$G864, INT((COLUMN(V723)-1)/6)+1, MOD(COLUMN(V723)-1,6)+1)</f>
        <v>0</v>
      </c>
      <c r="X867" s="16" cm="1">
        <f t="array" aca="1" ref="X867" ca="1">INDEX($B$857:$G864, INT((COLUMN(W723)-1)/6)+1, MOD(COLUMN(W723)-1,6)+1)</f>
        <v>1</v>
      </c>
      <c r="Y867" s="16" cm="1">
        <f t="array" aca="1" ref="Y867" ca="1">INDEX($B$857:$G864, INT((COLUMN(X723)-1)/6)+1, MOD(COLUMN(X723)-1,6)+1)</f>
        <v>1</v>
      </c>
      <c r="Z867" s="16" cm="1">
        <f t="array" aca="1" ref="Z867" ca="1">INDEX($B$857:$G864, INT((COLUMN(Y723)-1)/6)+1, MOD(COLUMN(Y723)-1,6)+1)</f>
        <v>1</v>
      </c>
      <c r="AA867" s="16" cm="1">
        <f t="array" aca="1" ref="AA867" ca="1">INDEX($B$857:$G864, INT((COLUMN(Z723)-1)/6)+1, MOD(COLUMN(Z723)-1,6)+1)</f>
        <v>1</v>
      </c>
      <c r="AB867" s="16" cm="1">
        <f t="array" aca="1" ref="AB867" ca="1">INDEX($B$857:$G864, INT((COLUMN(AA723)-1)/6)+1, MOD(COLUMN(AA723)-1,6)+1)</f>
        <v>1</v>
      </c>
      <c r="AC867" s="16" cm="1">
        <f t="array" aca="1" ref="AC867" ca="1">INDEX($B$857:$G864, INT((COLUMN(AB723)-1)/6)+1, MOD(COLUMN(AB723)-1,6)+1)</f>
        <v>1</v>
      </c>
      <c r="AD867" s="16" cm="1">
        <f t="array" aca="1" ref="AD867" ca="1">INDEX($B$857:$G864, INT((COLUMN(AC723)-1)/6)+1, MOD(COLUMN(AC723)-1,6)+1)</f>
        <v>1</v>
      </c>
      <c r="AE867" s="16" cm="1">
        <f t="array" aca="1" ref="AE867" ca="1">INDEX($B$857:$G864, INT((COLUMN(AD723)-1)/6)+1, MOD(COLUMN(AD723)-1,6)+1)</f>
        <v>0</v>
      </c>
      <c r="AF867" s="16" cm="1">
        <f t="array" aca="1" ref="AF867" ca="1">INDEX($B$857:$G864, INT((COLUMN(AE723)-1)/6)+1, MOD(COLUMN(AE723)-1,6)+1)</f>
        <v>1</v>
      </c>
      <c r="AG867" s="16" cm="1">
        <f t="array" aca="1" ref="AG867" ca="1">INDEX($B$857:$G864, INT((COLUMN(AF723)-1)/6)+1, MOD(COLUMN(AF723)-1,6)+1)</f>
        <v>0</v>
      </c>
      <c r="AH867" s="16" cm="1">
        <f t="array" aca="1" ref="AH867" ca="1">INDEX($B$857:$G864, INT((COLUMN(AG723)-1)/6)+1, MOD(COLUMN(AG723)-1,6)+1)</f>
        <v>0</v>
      </c>
      <c r="AI867" s="16" cm="1">
        <f t="array" aca="1" ref="AI867" ca="1">INDEX($B$857:$G864, INT((COLUMN(AH723)-1)/6)+1, MOD(COLUMN(AH723)-1,6)+1)</f>
        <v>1</v>
      </c>
      <c r="AJ867" s="16" cm="1">
        <f t="array" aca="1" ref="AJ867" ca="1">INDEX($B$857:$G864, INT((COLUMN(AI723)-1)/6)+1, MOD(COLUMN(AI723)-1,6)+1)</f>
        <v>0</v>
      </c>
      <c r="AK867" s="16" cm="1">
        <f t="array" aca="1" ref="AK867" ca="1">INDEX($B$857:$G864, INT((COLUMN(AJ723)-1)/6)+1, MOD(COLUMN(AJ723)-1,6)+1)</f>
        <v>0</v>
      </c>
      <c r="AL867" s="16" cm="1">
        <f t="array" aca="1" ref="AL867" ca="1">INDEX($B$857:$G864, INT((COLUMN(AK723)-1)/6)+1, MOD(COLUMN(AK723)-1,6)+1)</f>
        <v>0</v>
      </c>
      <c r="AM867" s="16" cm="1">
        <f t="array" aca="1" ref="AM867" ca="1">INDEX($B$857:$G864, INT((COLUMN(AL723)-1)/6)+1, MOD(COLUMN(AL723)-1,6)+1)</f>
        <v>0</v>
      </c>
      <c r="AN867" s="16" cm="1">
        <f t="array" aca="1" ref="AN867" ca="1">INDEX($B$857:$G864, INT((COLUMN(AM723)-1)/6)+1, MOD(COLUMN(AM723)-1,6)+1)</f>
        <v>1</v>
      </c>
      <c r="AO867" s="16" cm="1">
        <f t="array" aca="1" ref="AO867" ca="1">INDEX($B$857:$G864, INT((COLUMN(AN723)-1)/6)+1, MOD(COLUMN(AN723)-1,6)+1)</f>
        <v>1</v>
      </c>
      <c r="AP867" s="16" cm="1">
        <f t="array" aca="1" ref="AP867" ca="1">INDEX($B$857:$G864, INT((COLUMN(AO723)-1)/6)+1, MOD(COLUMN(AO723)-1,6)+1)</f>
        <v>0</v>
      </c>
      <c r="AQ867" s="16" cm="1">
        <f t="array" aca="1" ref="AQ867" ca="1">INDEX($B$857:$G864, INT((COLUMN(AP723)-1)/6)+1, MOD(COLUMN(AP723)-1,6)+1)</f>
        <v>1</v>
      </c>
      <c r="AR867" s="16" cm="1">
        <f t="array" aca="1" ref="AR867" ca="1">INDEX($B$857:$G864, INT((COLUMN(AQ723)-1)/6)+1, MOD(COLUMN(AQ723)-1,6)+1)</f>
        <v>0</v>
      </c>
      <c r="AS867" s="16" cm="1">
        <f t="array" aca="1" ref="AS867" ca="1">INDEX($B$857:$G864, INT((COLUMN(AR723)-1)/6)+1, MOD(COLUMN(AR723)-1,6)+1)</f>
        <v>1</v>
      </c>
      <c r="AT867" s="16" cm="1">
        <f t="array" aca="1" ref="AT867" ca="1">INDEX($B$857:$G864, INT((COLUMN(AS723)-1)/6)+1, MOD(COLUMN(AS723)-1,6)+1)</f>
        <v>0</v>
      </c>
      <c r="AU867" s="16" cm="1">
        <f t="array" aca="1" ref="AU867" ca="1">INDEX($B$857:$G864, INT((COLUMN(AT723)-1)/6)+1, MOD(COLUMN(AT723)-1,6)+1)</f>
        <v>1</v>
      </c>
      <c r="AV867" s="16" cm="1">
        <f t="array" aca="1" ref="AV867" ca="1">INDEX($B$857:$G864, INT((COLUMN(AU723)-1)/6)+1, MOD(COLUMN(AU723)-1,6)+1)</f>
        <v>0</v>
      </c>
      <c r="AW867" s="16" cm="1">
        <f t="array" aca="1" ref="AW867" ca="1">INDEX($B$857:$G864, INT((COLUMN(AV723)-1)/6)+1, MOD(COLUMN(AV723)-1,6)+1)</f>
        <v>1</v>
      </c>
    </row>
    <row r="868" spans="1:49">
      <c r="A868" s="19"/>
    </row>
    <row r="869" spans="1:49">
      <c r="A869" s="12" t="s">
        <v>3</v>
      </c>
      <c r="B869" s="12">
        <v>1</v>
      </c>
      <c r="C869" s="12">
        <v>2</v>
      </c>
      <c r="D869" s="12">
        <v>3</v>
      </c>
      <c r="E869" s="12">
        <v>4</v>
      </c>
      <c r="F869" s="12">
        <v>5</v>
      </c>
      <c r="G869" s="12">
        <v>6</v>
      </c>
      <c r="H869" s="12">
        <v>7</v>
      </c>
      <c r="I869" s="12">
        <v>8</v>
      </c>
      <c r="J869" s="12">
        <v>9</v>
      </c>
      <c r="K869" s="12">
        <v>10</v>
      </c>
      <c r="L869" s="12">
        <v>11</v>
      </c>
      <c r="M869" s="12">
        <v>12</v>
      </c>
      <c r="N869" s="12">
        <v>13</v>
      </c>
      <c r="O869" s="12">
        <v>14</v>
      </c>
      <c r="P869" s="12">
        <v>15</v>
      </c>
      <c r="Q869" s="12">
        <v>16</v>
      </c>
      <c r="R869" s="12">
        <v>17</v>
      </c>
      <c r="S869" s="12">
        <v>18</v>
      </c>
      <c r="T869" s="12">
        <v>19</v>
      </c>
      <c r="U869" s="12">
        <v>20</v>
      </c>
      <c r="V869" s="12">
        <v>21</v>
      </c>
      <c r="W869" s="12">
        <v>22</v>
      </c>
      <c r="X869" s="12">
        <v>23</v>
      </c>
      <c r="Y869" s="12">
        <v>24</v>
      </c>
      <c r="Z869" s="12">
        <v>25</v>
      </c>
      <c r="AA869" s="12">
        <v>26</v>
      </c>
      <c r="AB869" s="12">
        <v>27</v>
      </c>
      <c r="AC869" s="12">
        <v>28</v>
      </c>
      <c r="AD869" s="12">
        <v>29</v>
      </c>
      <c r="AE869" s="12">
        <v>30</v>
      </c>
      <c r="AF869" s="12">
        <v>31</v>
      </c>
      <c r="AG869" s="12">
        <v>32</v>
      </c>
      <c r="AH869" s="12">
        <v>33</v>
      </c>
      <c r="AI869" s="12">
        <v>34</v>
      </c>
      <c r="AJ869" s="12">
        <v>35</v>
      </c>
      <c r="AK869" s="12">
        <v>36</v>
      </c>
      <c r="AL869" s="12">
        <v>37</v>
      </c>
      <c r="AM869" s="12">
        <v>38</v>
      </c>
      <c r="AN869" s="12">
        <v>39</v>
      </c>
      <c r="AO869" s="12">
        <v>40</v>
      </c>
      <c r="AP869" s="12">
        <v>41</v>
      </c>
      <c r="AQ869" s="12">
        <v>42</v>
      </c>
      <c r="AR869" s="12">
        <v>43</v>
      </c>
      <c r="AS869" s="12">
        <v>44</v>
      </c>
      <c r="AT869" s="12">
        <v>45</v>
      </c>
      <c r="AU869" s="12">
        <v>46</v>
      </c>
      <c r="AV869" s="12">
        <v>47</v>
      </c>
      <c r="AW869" s="12">
        <v>48</v>
      </c>
    </row>
    <row r="870" spans="1:49">
      <c r="A870" s="7" t="s">
        <v>240</v>
      </c>
      <c r="B870" s="16">
        <f ca="1">_xlfn.BITXOR(B867, B378)</f>
        <v>0</v>
      </c>
      <c r="C870" s="16">
        <f t="shared" ref="C870:AW870" ca="1" si="291">_xlfn.BITXOR(C867, C378)</f>
        <v>1</v>
      </c>
      <c r="D870" s="16">
        <f t="shared" ca="1" si="291"/>
        <v>1</v>
      </c>
      <c r="E870" s="16">
        <f t="shared" ca="1" si="291"/>
        <v>0</v>
      </c>
      <c r="F870" s="16">
        <f t="shared" ca="1" si="291"/>
        <v>0</v>
      </c>
      <c r="G870" s="16">
        <f t="shared" ca="1" si="291"/>
        <v>1</v>
      </c>
      <c r="H870" s="16">
        <f t="shared" ca="1" si="291"/>
        <v>0</v>
      </c>
      <c r="I870" s="16">
        <f t="shared" ca="1" si="291"/>
        <v>0</v>
      </c>
      <c r="J870" s="16">
        <f t="shared" ca="1" si="291"/>
        <v>0</v>
      </c>
      <c r="K870" s="16">
        <f t="shared" ca="1" si="291"/>
        <v>0</v>
      </c>
      <c r="L870" s="16">
        <f t="shared" ca="1" si="291"/>
        <v>0</v>
      </c>
      <c r="M870" s="16">
        <f t="shared" ca="1" si="291"/>
        <v>1</v>
      </c>
      <c r="N870" s="16">
        <f t="shared" ca="1" si="291"/>
        <v>1</v>
      </c>
      <c r="O870" s="16">
        <f t="shared" ca="1" si="291"/>
        <v>1</v>
      </c>
      <c r="P870" s="16">
        <f t="shared" ca="1" si="291"/>
        <v>0</v>
      </c>
      <c r="Q870" s="16">
        <f t="shared" ca="1" si="291"/>
        <v>0</v>
      </c>
      <c r="R870" s="16">
        <f t="shared" ca="1" si="291"/>
        <v>0</v>
      </c>
      <c r="S870" s="16">
        <f t="shared" ca="1" si="291"/>
        <v>0</v>
      </c>
      <c r="T870" s="16">
        <f t="shared" ca="1" si="291"/>
        <v>1</v>
      </c>
      <c r="U870" s="16">
        <f t="shared" ca="1" si="291"/>
        <v>1</v>
      </c>
      <c r="V870" s="16">
        <f t="shared" ca="1" si="291"/>
        <v>0</v>
      </c>
      <c r="W870" s="16">
        <f t="shared" ca="1" si="291"/>
        <v>0</v>
      </c>
      <c r="X870" s="16">
        <f t="shared" ca="1" si="291"/>
        <v>0</v>
      </c>
      <c r="Y870" s="16">
        <f t="shared" ca="1" si="291"/>
        <v>0</v>
      </c>
      <c r="Z870" s="16">
        <f t="shared" ca="1" si="291"/>
        <v>1</v>
      </c>
      <c r="AA870" s="16">
        <f t="shared" ca="1" si="291"/>
        <v>1</v>
      </c>
      <c r="AB870" s="16">
        <f t="shared" ca="1" si="291"/>
        <v>1</v>
      </c>
      <c r="AC870" s="16">
        <f t="shared" ca="1" si="291"/>
        <v>1</v>
      </c>
      <c r="AD870" s="16">
        <f t="shared" ca="1" si="291"/>
        <v>0</v>
      </c>
      <c r="AE870" s="16">
        <f t="shared" ca="1" si="291"/>
        <v>1</v>
      </c>
      <c r="AF870" s="16">
        <f t="shared" ca="1" si="291"/>
        <v>1</v>
      </c>
      <c r="AG870" s="16">
        <f t="shared" ca="1" si="291"/>
        <v>1</v>
      </c>
      <c r="AH870" s="16">
        <f t="shared" ca="1" si="291"/>
        <v>1</v>
      </c>
      <c r="AI870" s="16">
        <f t="shared" ca="1" si="291"/>
        <v>1</v>
      </c>
      <c r="AJ870" s="16">
        <f t="shared" ca="1" si="291"/>
        <v>0</v>
      </c>
      <c r="AK870" s="16">
        <f t="shared" ca="1" si="291"/>
        <v>0</v>
      </c>
      <c r="AL870" s="16">
        <f t="shared" ca="1" si="291"/>
        <v>1</v>
      </c>
      <c r="AM870" s="16">
        <f t="shared" ca="1" si="291"/>
        <v>0</v>
      </c>
      <c r="AN870" s="16">
        <f t="shared" ca="1" si="291"/>
        <v>1</v>
      </c>
      <c r="AO870" s="16">
        <f t="shared" ca="1" si="291"/>
        <v>0</v>
      </c>
      <c r="AP870" s="16">
        <f t="shared" ca="1" si="291"/>
        <v>1</v>
      </c>
      <c r="AQ870" s="16">
        <f t="shared" ca="1" si="291"/>
        <v>1</v>
      </c>
      <c r="AR870" s="16">
        <f t="shared" ca="1" si="291"/>
        <v>1</v>
      </c>
      <c r="AS870" s="16">
        <f t="shared" ca="1" si="291"/>
        <v>0</v>
      </c>
      <c r="AT870" s="16">
        <f t="shared" ca="1" si="291"/>
        <v>1</v>
      </c>
      <c r="AU870" s="16">
        <f t="shared" ca="1" si="291"/>
        <v>0</v>
      </c>
      <c r="AV870" s="16">
        <f t="shared" ca="1" si="291"/>
        <v>1</v>
      </c>
      <c r="AW870" s="16">
        <f t="shared" ca="1" si="291"/>
        <v>1</v>
      </c>
    </row>
    <row r="872" spans="1:49">
      <c r="A872" s="27" t="s">
        <v>136</v>
      </c>
      <c r="B872" s="27" t="s">
        <v>137</v>
      </c>
      <c r="C872" s="27"/>
      <c r="D872" s="27" t="s">
        <v>141</v>
      </c>
      <c r="E872" s="27" t="s">
        <v>142</v>
      </c>
      <c r="F872" s="28" t="s">
        <v>138</v>
      </c>
      <c r="G872" s="28"/>
      <c r="I872" s="5" t="s">
        <v>232</v>
      </c>
    </row>
    <row r="873" spans="1:49">
      <c r="A873" s="27"/>
      <c r="B873" s="27"/>
      <c r="C873" s="27"/>
      <c r="D873" s="27"/>
      <c r="E873" s="27"/>
      <c r="F873" s="7" t="s">
        <v>139</v>
      </c>
      <c r="G873" s="7" t="s">
        <v>140</v>
      </c>
    </row>
    <row r="874" spans="1:49">
      <c r="A874" s="7">
        <v>1</v>
      </c>
      <c r="B874" s="29" t="str">
        <f ca="1">_xlfn.TEXTJOIN("", TRUE, OFFSET($B$870,0,(ROW(A1)-1)*6,1,6))</f>
        <v>011001</v>
      </c>
      <c r="C874" s="30"/>
      <c r="D874" s="7">
        <f ca="1">BIN2DEC(LEFT(B874,1) &amp; RIGHT(B874,1))</f>
        <v>1</v>
      </c>
      <c r="E874" s="12">
        <f ca="1">BIN2DEC(MID(B874,2,4))</f>
        <v>12</v>
      </c>
      <c r="F874" s="12" cm="1">
        <f t="array" aca="1" ref="F874" ca="1">INDEX(OFFSET('S-box'!$A$2, (A874-1)*6, 0, 4, 16), D874+1, E874+1)</f>
        <v>9</v>
      </c>
      <c r="G874" s="17" t="str">
        <f ca="1">DEC2BIN(F874, 4)</f>
        <v>1001</v>
      </c>
      <c r="I874" s="12" t="s">
        <v>3</v>
      </c>
      <c r="J874" s="12">
        <v>1</v>
      </c>
      <c r="K874" s="12">
        <v>2</v>
      </c>
      <c r="L874" s="12">
        <v>3</v>
      </c>
      <c r="M874" s="12">
        <v>4</v>
      </c>
      <c r="N874" s="12">
        <v>5</v>
      </c>
      <c r="O874" s="12">
        <v>6</v>
      </c>
      <c r="P874" s="12">
        <v>7</v>
      </c>
      <c r="Q874" s="12">
        <v>8</v>
      </c>
      <c r="R874" s="12">
        <v>9</v>
      </c>
      <c r="S874" s="12">
        <v>10</v>
      </c>
      <c r="T874" s="12">
        <v>11</v>
      </c>
      <c r="U874" s="12">
        <v>12</v>
      </c>
      <c r="V874" s="12">
        <v>13</v>
      </c>
      <c r="W874" s="12">
        <v>14</v>
      </c>
      <c r="X874" s="12">
        <v>15</v>
      </c>
      <c r="Y874" s="12">
        <v>16</v>
      </c>
      <c r="Z874" s="12">
        <v>17</v>
      </c>
      <c r="AA874" s="12">
        <v>18</v>
      </c>
      <c r="AB874" s="12">
        <v>19</v>
      </c>
      <c r="AC874" s="12">
        <v>20</v>
      </c>
      <c r="AD874" s="12">
        <v>21</v>
      </c>
      <c r="AE874" s="12">
        <v>22</v>
      </c>
      <c r="AF874" s="12">
        <v>23</v>
      </c>
      <c r="AG874" s="12">
        <v>24</v>
      </c>
      <c r="AH874" s="12">
        <v>25</v>
      </c>
      <c r="AI874" s="12">
        <v>26</v>
      </c>
      <c r="AJ874" s="12">
        <v>27</v>
      </c>
      <c r="AK874" s="12">
        <v>28</v>
      </c>
      <c r="AL874" s="12">
        <v>29</v>
      </c>
      <c r="AM874" s="12">
        <v>30</v>
      </c>
      <c r="AN874" s="12">
        <v>31</v>
      </c>
      <c r="AO874" s="12">
        <v>32</v>
      </c>
    </row>
    <row r="875" spans="1:49">
      <c r="A875" s="7">
        <v>2</v>
      </c>
      <c r="B875" s="29" t="str">
        <f t="shared" ref="B875:B881" ca="1" si="292">_xlfn.TEXTJOIN("", TRUE, OFFSET($B$870,0,(ROW(A2)-1)*6,1,6))</f>
        <v>000001</v>
      </c>
      <c r="C875" s="30"/>
      <c r="D875" s="7">
        <f t="shared" ref="D875:D881" ca="1" si="293">BIN2DEC(LEFT(B875,1) &amp; RIGHT(B875,1))</f>
        <v>1</v>
      </c>
      <c r="E875" s="12">
        <f t="shared" ref="E875:E881" ca="1" si="294">BIN2DEC(MID(B875,2,4))</f>
        <v>0</v>
      </c>
      <c r="F875" s="12" cm="1">
        <f t="array" aca="1" ref="F875" ca="1">INDEX(OFFSET('S-box'!$A$2, (A875-1)*6, 0, 4, 16), D875+1, E875+1)</f>
        <v>3</v>
      </c>
      <c r="G875" s="17" t="str">
        <f t="shared" ref="G875:G881" ca="1" si="295">DEC2BIN(F875, 4)</f>
        <v>0011</v>
      </c>
      <c r="I875" s="12" t="s">
        <v>152</v>
      </c>
      <c r="J875" s="12" t="str">
        <f ca="1">MID(_xlfn.TEXTJOIN("",TRUE,$G$874:$G$881), COLUMN(A331), 1)</f>
        <v>1</v>
      </c>
      <c r="K875" s="12" t="str">
        <f t="shared" ref="K875:AO875" ca="1" si="296">MID(_xlfn.TEXTJOIN("",TRUE,$G$874:$G$881), COLUMN(B331), 1)</f>
        <v>0</v>
      </c>
      <c r="L875" s="12" t="str">
        <f t="shared" ca="1" si="296"/>
        <v>0</v>
      </c>
      <c r="M875" s="12" t="str">
        <f t="shared" ca="1" si="296"/>
        <v>1</v>
      </c>
      <c r="N875" s="12" t="str">
        <f t="shared" ca="1" si="296"/>
        <v>0</v>
      </c>
      <c r="O875" s="12" t="str">
        <f t="shared" ca="1" si="296"/>
        <v>0</v>
      </c>
      <c r="P875" s="12" t="str">
        <f t="shared" ca="1" si="296"/>
        <v>1</v>
      </c>
      <c r="Q875" s="12" t="str">
        <f t="shared" ca="1" si="296"/>
        <v>1</v>
      </c>
      <c r="R875" s="12" t="str">
        <f t="shared" ca="1" si="296"/>
        <v>1</v>
      </c>
      <c r="S875" s="12" t="str">
        <f t="shared" ca="1" si="296"/>
        <v>0</v>
      </c>
      <c r="T875" s="12" t="str">
        <f t="shared" ca="1" si="296"/>
        <v>1</v>
      </c>
      <c r="U875" s="12" t="str">
        <f t="shared" ca="1" si="296"/>
        <v>1</v>
      </c>
      <c r="V875" s="12" t="str">
        <f t="shared" ca="1" si="296"/>
        <v>1</v>
      </c>
      <c r="W875" s="12" t="str">
        <f t="shared" ca="1" si="296"/>
        <v>1</v>
      </c>
      <c r="X875" s="12" t="str">
        <f t="shared" ca="1" si="296"/>
        <v>1</v>
      </c>
      <c r="Y875" s="12" t="str">
        <f t="shared" ca="1" si="296"/>
        <v>1</v>
      </c>
      <c r="Z875" s="12" t="str">
        <f t="shared" ca="1" si="296"/>
        <v>0</v>
      </c>
      <c r="AA875" s="12" t="str">
        <f t="shared" ca="1" si="296"/>
        <v>1</v>
      </c>
      <c r="AB875" s="12" t="str">
        <f t="shared" ca="1" si="296"/>
        <v>0</v>
      </c>
      <c r="AC875" s="12" t="str">
        <f t="shared" ca="1" si="296"/>
        <v>1</v>
      </c>
      <c r="AD875" s="12" t="str">
        <f t="shared" ca="1" si="296"/>
        <v>1</v>
      </c>
      <c r="AE875" s="12" t="str">
        <f t="shared" ca="1" si="296"/>
        <v>0</v>
      </c>
      <c r="AF875" s="12" t="str">
        <f t="shared" ca="1" si="296"/>
        <v>1</v>
      </c>
      <c r="AG875" s="12" t="str">
        <f t="shared" ca="1" si="296"/>
        <v>1</v>
      </c>
      <c r="AH875" s="12" t="str">
        <f t="shared" ca="1" si="296"/>
        <v>0</v>
      </c>
      <c r="AI875" s="12" t="str">
        <f t="shared" ca="1" si="296"/>
        <v>1</v>
      </c>
      <c r="AJ875" s="12" t="str">
        <f t="shared" ca="1" si="296"/>
        <v>0</v>
      </c>
      <c r="AK875" s="12" t="str">
        <f t="shared" ca="1" si="296"/>
        <v>0</v>
      </c>
      <c r="AL875" s="12" t="str">
        <f t="shared" ca="1" si="296"/>
        <v>1</v>
      </c>
      <c r="AM875" s="12" t="str">
        <f t="shared" ca="1" si="296"/>
        <v>0</v>
      </c>
      <c r="AN875" s="12" t="str">
        <f t="shared" ca="1" si="296"/>
        <v>1</v>
      </c>
      <c r="AO875" s="12" t="str">
        <f t="shared" ca="1" si="296"/>
        <v>0</v>
      </c>
    </row>
    <row r="876" spans="1:49">
      <c r="A876" s="7">
        <v>3</v>
      </c>
      <c r="B876" s="29" t="str">
        <f t="shared" ca="1" si="292"/>
        <v>110000</v>
      </c>
      <c r="C876" s="30"/>
      <c r="D876" s="7">
        <f t="shared" ca="1" si="293"/>
        <v>2</v>
      </c>
      <c r="E876" s="12">
        <f t="shared" ca="1" si="294"/>
        <v>8</v>
      </c>
      <c r="F876" s="12" cm="1">
        <f t="array" aca="1" ref="F876" ca="1">INDEX(OFFSET('S-box'!$A$2, (A876-1)*6, 0, 4, 16), D876+1, E876+1)</f>
        <v>11</v>
      </c>
      <c r="G876" s="17" t="str">
        <f t="shared" ca="1" si="295"/>
        <v>1011</v>
      </c>
    </row>
    <row r="877" spans="1:49">
      <c r="A877" s="7">
        <v>4</v>
      </c>
      <c r="B877" s="29" t="str">
        <f t="shared" ca="1" si="292"/>
        <v>110000</v>
      </c>
      <c r="C877" s="30"/>
      <c r="D877" s="7">
        <f t="shared" ca="1" si="293"/>
        <v>2</v>
      </c>
      <c r="E877" s="12">
        <f t="shared" ca="1" si="294"/>
        <v>8</v>
      </c>
      <c r="F877" s="12" cm="1">
        <f t="array" aca="1" ref="F877" ca="1">INDEX(OFFSET('S-box'!$A$2, (A877-1)*6, 0, 4, 16), D877+1, E877+1)</f>
        <v>15</v>
      </c>
      <c r="G877" s="17" t="str">
        <f t="shared" ca="1" si="295"/>
        <v>1111</v>
      </c>
      <c r="I877" s="5" t="s">
        <v>233</v>
      </c>
    </row>
    <row r="878" spans="1:49">
      <c r="A878" s="7">
        <v>5</v>
      </c>
      <c r="B878" s="29" t="str">
        <f t="shared" ca="1" si="292"/>
        <v>111101</v>
      </c>
      <c r="C878" s="30"/>
      <c r="D878" s="7">
        <f t="shared" ca="1" si="293"/>
        <v>3</v>
      </c>
      <c r="E878" s="12">
        <f t="shared" ca="1" si="294"/>
        <v>14</v>
      </c>
      <c r="F878" s="12" cm="1">
        <f t="array" aca="1" ref="F878" ca="1">INDEX(OFFSET('S-box'!$A$2, (A878-1)*6, 0, 4, 16), D878+1, E878+1)</f>
        <v>5</v>
      </c>
      <c r="G878" s="17" t="str">
        <f t="shared" ca="1" si="295"/>
        <v>0101</v>
      </c>
    </row>
    <row r="879" spans="1:49">
      <c r="A879" s="7">
        <v>6</v>
      </c>
      <c r="B879" s="29" t="str">
        <f t="shared" ca="1" si="292"/>
        <v>111100</v>
      </c>
      <c r="C879" s="30"/>
      <c r="D879" s="7">
        <f t="shared" ca="1" si="293"/>
        <v>2</v>
      </c>
      <c r="E879" s="12">
        <f t="shared" ca="1" si="294"/>
        <v>14</v>
      </c>
      <c r="F879" s="12" cm="1">
        <f t="array" aca="1" ref="F879" ca="1">INDEX(OFFSET('S-box'!$A$2, (A879-1)*6, 0, 4, 16), D879+1, E879+1)</f>
        <v>11</v>
      </c>
      <c r="G879" s="17" t="str">
        <f t="shared" ca="1" si="295"/>
        <v>1011</v>
      </c>
      <c r="I879" s="12" t="s">
        <v>3</v>
      </c>
      <c r="J879" s="12">
        <v>1</v>
      </c>
      <c r="K879" s="12">
        <v>2</v>
      </c>
      <c r="L879" s="12">
        <v>3</v>
      </c>
      <c r="M879" s="12">
        <v>4</v>
      </c>
      <c r="N879" s="12">
        <v>5</v>
      </c>
      <c r="O879" s="12">
        <v>6</v>
      </c>
      <c r="P879" s="12">
        <v>7</v>
      </c>
      <c r="Q879" s="12">
        <v>8</v>
      </c>
      <c r="R879" s="12">
        <v>9</v>
      </c>
      <c r="S879" s="12">
        <v>10</v>
      </c>
      <c r="T879" s="12">
        <v>11</v>
      </c>
      <c r="U879" s="12">
        <v>12</v>
      </c>
      <c r="V879" s="12">
        <v>13</v>
      </c>
      <c r="W879" s="12">
        <v>14</v>
      </c>
      <c r="X879" s="12">
        <v>15</v>
      </c>
      <c r="Y879" s="12">
        <v>16</v>
      </c>
      <c r="Z879" s="12">
        <v>17</v>
      </c>
      <c r="AA879" s="12">
        <v>18</v>
      </c>
      <c r="AB879" s="12">
        <v>19</v>
      </c>
      <c r="AC879" s="12">
        <v>20</v>
      </c>
      <c r="AD879" s="12">
        <v>21</v>
      </c>
      <c r="AE879" s="12">
        <v>22</v>
      </c>
      <c r="AF879" s="12">
        <v>23</v>
      </c>
      <c r="AG879" s="12">
        <v>24</v>
      </c>
      <c r="AH879" s="12">
        <v>25</v>
      </c>
      <c r="AI879" s="12">
        <v>26</v>
      </c>
      <c r="AJ879" s="12">
        <v>27</v>
      </c>
      <c r="AK879" s="12">
        <v>28</v>
      </c>
      <c r="AL879" s="12">
        <v>29</v>
      </c>
      <c r="AM879" s="12">
        <v>30</v>
      </c>
      <c r="AN879" s="12">
        <v>31</v>
      </c>
      <c r="AO879" s="12">
        <v>32</v>
      </c>
    </row>
    <row r="880" spans="1:49">
      <c r="A880" s="7">
        <v>7</v>
      </c>
      <c r="B880" s="29" t="str">
        <f t="shared" ca="1" si="292"/>
        <v>101011</v>
      </c>
      <c r="C880" s="30"/>
      <c r="D880" s="7">
        <f t="shared" ca="1" si="293"/>
        <v>3</v>
      </c>
      <c r="E880" s="12">
        <f t="shared" ca="1" si="294"/>
        <v>5</v>
      </c>
      <c r="F880" s="12" cm="1">
        <f t="array" aca="1" ref="F880" ca="1">INDEX(OFFSET('S-box'!$A$2, (A880-1)*6, 0, 4, 16), D880+1, E880+1)</f>
        <v>4</v>
      </c>
      <c r="G880" s="17" t="str">
        <f t="shared" ca="1" si="295"/>
        <v>0100</v>
      </c>
      <c r="I880" s="18" t="s">
        <v>152</v>
      </c>
      <c r="J880" s="12" t="str" cm="1">
        <f t="array" aca="1" ref="J880" ca="1">INDEX($J$875:$AO$875, INDEX($T$15:$AA$18, INT((COLUMN(A298)-1)/8)+1, MOD(COLUMN(A298)-1,8)+1))</f>
        <v>1</v>
      </c>
      <c r="K880" s="12" t="str" cm="1">
        <f t="array" aca="1" ref="K880" ca="1">INDEX($J$875:$AO$875, INDEX($T$15:$AA$18, INT((COLUMN(B298)-1)/8)+1, MOD(COLUMN(B298)-1,8)+1))</f>
        <v>1</v>
      </c>
      <c r="L880" s="12" t="str" cm="1">
        <f t="array" aca="1" ref="L880" ca="1">INDEX($J$875:$AO$875, INDEX($T$15:$AA$18, INT((COLUMN(C298)-1)/8)+1, MOD(COLUMN(C298)-1,8)+1))</f>
        <v>1</v>
      </c>
      <c r="M880" s="12" t="str" cm="1">
        <f t="array" aca="1" ref="M880" ca="1">INDEX($J$875:$AO$875, INDEX($T$15:$AA$18, INT((COLUMN(D298)-1)/8)+1, MOD(COLUMN(D298)-1,8)+1))</f>
        <v>1</v>
      </c>
      <c r="N880" s="12" t="str" cm="1">
        <f t="array" aca="1" ref="N880" ca="1">INDEX($J$875:$AO$875, INDEX($T$15:$AA$18, INT((COLUMN(E298)-1)/8)+1, MOD(COLUMN(E298)-1,8)+1))</f>
        <v>1</v>
      </c>
      <c r="O880" s="12" t="str" cm="1">
        <f t="array" aca="1" ref="O880" ca="1">INDEX($J$875:$AO$875, INDEX($T$15:$AA$18, INT((COLUMN(F298)-1)/8)+1, MOD(COLUMN(F298)-1,8)+1))</f>
        <v>1</v>
      </c>
      <c r="P880" s="12" t="str" cm="1">
        <f t="array" aca="1" ref="P880" ca="1">INDEX($J$875:$AO$875, INDEX($T$15:$AA$18, INT((COLUMN(G298)-1)/8)+1, MOD(COLUMN(G298)-1,8)+1))</f>
        <v>0</v>
      </c>
      <c r="Q880" s="12" t="str" cm="1">
        <f t="array" aca="1" ref="Q880" ca="1">INDEX($J$875:$AO$875, INDEX($T$15:$AA$18, INT((COLUMN(H298)-1)/8)+1, MOD(COLUMN(H298)-1,8)+1))</f>
        <v>0</v>
      </c>
      <c r="R880" s="12" t="str" cm="1">
        <f t="array" aca="1" ref="R880" ca="1">INDEX($J$875:$AO$875, INDEX($T$15:$AA$18, INT((COLUMN(I298)-1)/8)+1, MOD(COLUMN(I298)-1,8)+1))</f>
        <v>1</v>
      </c>
      <c r="S880" s="12" t="str" cm="1">
        <f t="array" aca="1" ref="S880" ca="1">INDEX($J$875:$AO$875, INDEX($T$15:$AA$18, INT((COLUMN(J298)-1)/8)+1, MOD(COLUMN(J298)-1,8)+1))</f>
        <v>1</v>
      </c>
      <c r="T880" s="12" t="str" cm="1">
        <f t="array" aca="1" ref="T880" ca="1">INDEX($J$875:$AO$875, INDEX($T$15:$AA$18, INT((COLUMN(K298)-1)/8)+1, MOD(COLUMN(K298)-1,8)+1))</f>
        <v>1</v>
      </c>
      <c r="U880" s="12" t="str" cm="1">
        <f t="array" aca="1" ref="U880" ca="1">INDEX($J$875:$AO$875, INDEX($T$15:$AA$18, INT((COLUMN(L298)-1)/8)+1, MOD(COLUMN(L298)-1,8)+1))</f>
        <v>1</v>
      </c>
      <c r="V880" s="12" t="str" cm="1">
        <f t="array" aca="1" ref="V880" ca="1">INDEX($J$875:$AO$875, INDEX($T$15:$AA$18, INT((COLUMN(M298)-1)/8)+1, MOD(COLUMN(M298)-1,8)+1))</f>
        <v>0</v>
      </c>
      <c r="W880" s="12" t="str" cm="1">
        <f t="array" aca="1" ref="W880" ca="1">INDEX($J$875:$AO$875, INDEX($T$15:$AA$18, INT((COLUMN(N298)-1)/8)+1, MOD(COLUMN(N298)-1,8)+1))</f>
        <v>1</v>
      </c>
      <c r="X880" s="12" t="str" cm="1">
        <f t="array" aca="1" ref="X880" ca="1">INDEX($J$875:$AO$875, INDEX($T$15:$AA$18, INT((COLUMN(O298)-1)/8)+1, MOD(COLUMN(O298)-1,8)+1))</f>
        <v>1</v>
      </c>
      <c r="Y880" s="12" t="str" cm="1">
        <f t="array" aca="1" ref="Y880" ca="1">INDEX($J$875:$AO$875, INDEX($T$15:$AA$18, INT((COLUMN(P298)-1)/8)+1, MOD(COLUMN(P298)-1,8)+1))</f>
        <v>0</v>
      </c>
      <c r="Z880" s="12" t="str" cm="1">
        <f t="array" aca="1" ref="Z880" ca="1">INDEX($J$875:$AO$875, INDEX($T$15:$AA$18, INT((COLUMN(Q298)-1)/8)+1, MOD(COLUMN(Q298)-1,8)+1))</f>
        <v>0</v>
      </c>
      <c r="AA880" s="12" t="str" cm="1">
        <f t="array" aca="1" ref="AA880" ca="1">INDEX($J$875:$AO$875, INDEX($T$15:$AA$18, INT((COLUMN(R298)-1)/8)+1, MOD(COLUMN(R298)-1,8)+1))</f>
        <v>1</v>
      </c>
      <c r="AB880" s="12" t="str" cm="1">
        <f t="array" aca="1" ref="AB880" ca="1">INDEX($J$875:$AO$875, INDEX($T$15:$AA$18, INT((COLUMN(S298)-1)/8)+1, MOD(COLUMN(S298)-1,8)+1))</f>
        <v>1</v>
      </c>
      <c r="AC880" s="12" t="str" cm="1">
        <f t="array" aca="1" ref="AC880" ca="1">INDEX($J$875:$AO$875, INDEX($T$15:$AA$18, INT((COLUMN(T298)-1)/8)+1, MOD(COLUMN(T298)-1,8)+1))</f>
        <v>1</v>
      </c>
      <c r="AD880" s="12" t="str" cm="1">
        <f t="array" aca="1" ref="AD880" ca="1">INDEX($J$875:$AO$875, INDEX($T$15:$AA$18, INT((COLUMN(U298)-1)/8)+1, MOD(COLUMN(U298)-1,8)+1))</f>
        <v>0</v>
      </c>
      <c r="AE880" s="12" t="str" cm="1">
        <f t="array" aca="1" ref="AE880" ca="1">INDEX($J$875:$AO$875, INDEX($T$15:$AA$18, INT((COLUMN(V298)-1)/8)+1, MOD(COLUMN(V298)-1,8)+1))</f>
        <v>0</v>
      </c>
      <c r="AF880" s="12" t="str" cm="1">
        <f t="array" aca="1" ref="AF880" ca="1">INDEX($J$875:$AO$875, INDEX($T$15:$AA$18, INT((COLUMN(W298)-1)/8)+1, MOD(COLUMN(W298)-1,8)+1))</f>
        <v>0</v>
      </c>
      <c r="AG880" s="12" t="str" cm="1">
        <f t="array" aca="1" ref="AG880" ca="1">INDEX($J$875:$AO$875, INDEX($T$15:$AA$18, INT((COLUMN(X298)-1)/8)+1, MOD(COLUMN(X298)-1,8)+1))</f>
        <v>1</v>
      </c>
      <c r="AH880" s="12" t="str" cm="1">
        <f t="array" aca="1" ref="AH880" ca="1">INDEX($J$875:$AO$875, INDEX($T$15:$AA$18, INT((COLUMN(Y298)-1)/8)+1, MOD(COLUMN(Y298)-1,8)+1))</f>
        <v>0</v>
      </c>
      <c r="AI880" s="12" t="str" cm="1">
        <f t="array" aca="1" ref="AI880" ca="1">INDEX($J$875:$AO$875, INDEX($T$15:$AA$18, INT((COLUMN(Z298)-1)/8)+1, MOD(COLUMN(Z298)-1,8)+1))</f>
        <v>1</v>
      </c>
      <c r="AJ880" s="12" t="str" cm="1">
        <f t="array" aca="1" ref="AJ880" ca="1">INDEX($J$875:$AO$875, INDEX($T$15:$AA$18, INT((COLUMN(AA298)-1)/8)+1, MOD(COLUMN(AA298)-1,8)+1))</f>
        <v>0</v>
      </c>
      <c r="AK880" s="12" t="str" cm="1">
        <f t="array" aca="1" ref="AK880" ca="1">INDEX($J$875:$AO$875, INDEX($T$15:$AA$18, INT((COLUMN(AB298)-1)/8)+1, MOD(COLUMN(AB298)-1,8)+1))</f>
        <v>0</v>
      </c>
      <c r="AL880" s="12" t="str" cm="1">
        <f t="array" aca="1" ref="AL880" ca="1">INDEX($J$875:$AO$875, INDEX($T$15:$AA$18, INT((COLUMN(AC298)-1)/8)+1, MOD(COLUMN(AC298)-1,8)+1))</f>
        <v>0</v>
      </c>
      <c r="AM880" s="12" t="str" cm="1">
        <f t="array" aca="1" ref="AM880" ca="1">INDEX($J$875:$AO$875, INDEX($T$15:$AA$18, INT((COLUMN(AD298)-1)/8)+1, MOD(COLUMN(AD298)-1,8)+1))</f>
        <v>1</v>
      </c>
      <c r="AN880" s="12" t="str" cm="1">
        <f t="array" aca="1" ref="AN880" ca="1">INDEX($J$875:$AO$875, INDEX($T$15:$AA$18, INT((COLUMN(AE298)-1)/8)+1, MOD(COLUMN(AE298)-1,8)+1))</f>
        <v>1</v>
      </c>
      <c r="AO880" s="12" t="str" cm="1">
        <f t="array" aca="1" ref="AO880" ca="1">INDEX($J$875:$AO$875, INDEX($T$15:$AA$18, INT((COLUMN(AF298)-1)/8)+1, MOD(COLUMN(AF298)-1,8)+1))</f>
        <v>0</v>
      </c>
    </row>
    <row r="881" spans="1:33">
      <c r="A881" s="7">
        <v>8</v>
      </c>
      <c r="B881" s="29" t="str">
        <f t="shared" ca="1" si="292"/>
        <v>101011</v>
      </c>
      <c r="C881" s="30"/>
      <c r="D881" s="7">
        <f t="shared" ca="1" si="293"/>
        <v>3</v>
      </c>
      <c r="E881" s="12">
        <f t="shared" ca="1" si="294"/>
        <v>5</v>
      </c>
      <c r="F881" s="12" cm="1">
        <f t="array" aca="1" ref="F881" ca="1">INDEX(OFFSET('S-box'!$A$2, (A881-1)*6, 0, 4, 16), D881+1, E881+1)</f>
        <v>10</v>
      </c>
      <c r="G881" s="17" t="str">
        <f t="shared" ca="1" si="295"/>
        <v>1010</v>
      </c>
    </row>
    <row r="883" spans="1:33">
      <c r="A883" s="20" t="s">
        <v>234</v>
      </c>
    </row>
    <row r="885" spans="1:33">
      <c r="A885" s="12" t="s">
        <v>3</v>
      </c>
      <c r="B885" s="12">
        <v>1</v>
      </c>
      <c r="C885" s="12">
        <v>2</v>
      </c>
      <c r="D885" s="12">
        <v>3</v>
      </c>
      <c r="E885" s="12">
        <v>4</v>
      </c>
      <c r="F885" s="12">
        <v>5</v>
      </c>
      <c r="G885" s="12">
        <v>6</v>
      </c>
      <c r="H885" s="12">
        <v>7</v>
      </c>
      <c r="I885" s="12">
        <v>8</v>
      </c>
      <c r="J885" s="12">
        <v>9</v>
      </c>
      <c r="K885" s="12">
        <v>10</v>
      </c>
      <c r="L885" s="12">
        <v>11</v>
      </c>
      <c r="M885" s="12">
        <v>12</v>
      </c>
      <c r="N885" s="12">
        <v>13</v>
      </c>
      <c r="O885" s="12">
        <v>14</v>
      </c>
      <c r="P885" s="12">
        <v>15</v>
      </c>
      <c r="Q885" s="12">
        <v>16</v>
      </c>
      <c r="R885" s="12">
        <v>17</v>
      </c>
      <c r="S885" s="12">
        <v>18</v>
      </c>
      <c r="T885" s="12">
        <v>19</v>
      </c>
      <c r="U885" s="12">
        <v>20</v>
      </c>
      <c r="V885" s="12">
        <v>21</v>
      </c>
      <c r="W885" s="12">
        <v>22</v>
      </c>
      <c r="X885" s="12">
        <v>23</v>
      </c>
      <c r="Y885" s="12">
        <v>24</v>
      </c>
      <c r="Z885" s="12">
        <v>25</v>
      </c>
      <c r="AA885" s="12">
        <v>26</v>
      </c>
      <c r="AB885" s="12">
        <v>27</v>
      </c>
      <c r="AC885" s="12">
        <v>28</v>
      </c>
      <c r="AD885" s="12">
        <v>29</v>
      </c>
      <c r="AE885" s="12">
        <v>30</v>
      </c>
      <c r="AF885" s="12">
        <v>31</v>
      </c>
      <c r="AG885" s="12">
        <v>32</v>
      </c>
    </row>
    <row r="886" spans="1:33">
      <c r="A886" s="12" t="s">
        <v>235</v>
      </c>
      <c r="B886" s="12">
        <v>1</v>
      </c>
      <c r="C886" s="12">
        <v>0</v>
      </c>
      <c r="D886" s="12">
        <v>0</v>
      </c>
      <c r="E886" s="12">
        <v>0</v>
      </c>
      <c r="F886" s="12">
        <v>1</v>
      </c>
      <c r="G886" s="12">
        <v>0</v>
      </c>
      <c r="H886" s="12">
        <v>1</v>
      </c>
      <c r="I886" s="12">
        <v>0</v>
      </c>
      <c r="J886" s="12">
        <v>0</v>
      </c>
      <c r="K886" s="12">
        <v>1</v>
      </c>
      <c r="L886" s="12">
        <v>1</v>
      </c>
      <c r="M886" s="12">
        <v>1</v>
      </c>
      <c r="N886" s="12">
        <v>1</v>
      </c>
      <c r="O886" s="12">
        <v>0</v>
      </c>
      <c r="P886" s="12">
        <v>0</v>
      </c>
      <c r="Q886" s="12">
        <v>1</v>
      </c>
      <c r="R886" s="12">
        <v>1</v>
      </c>
      <c r="S886" s="12">
        <v>1</v>
      </c>
      <c r="T886" s="12">
        <v>1</v>
      </c>
      <c r="U886" s="12">
        <v>1</v>
      </c>
      <c r="V886" s="12">
        <v>0</v>
      </c>
      <c r="W886" s="12">
        <v>0</v>
      </c>
      <c r="X886" s="12">
        <v>1</v>
      </c>
      <c r="Y886" s="12">
        <v>0</v>
      </c>
      <c r="Z886" s="12">
        <v>0</v>
      </c>
      <c r="AA886" s="12">
        <v>1</v>
      </c>
      <c r="AB886" s="12">
        <v>1</v>
      </c>
      <c r="AC886" s="12">
        <v>0</v>
      </c>
      <c r="AD886" s="12">
        <v>1</v>
      </c>
      <c r="AE886" s="12">
        <v>0</v>
      </c>
      <c r="AF886" s="12">
        <v>1</v>
      </c>
      <c r="AG886" s="12">
        <v>0</v>
      </c>
    </row>
    <row r="887" spans="1:33">
      <c r="A887" s="12" t="s">
        <v>236</v>
      </c>
      <c r="B887" s="12">
        <f ca="1">_xlfn.BITXOR(B853,J880)</f>
        <v>0</v>
      </c>
      <c r="C887" s="12">
        <f t="shared" ref="C887" ca="1" si="297">_xlfn.BITXOR(C853,K880)</f>
        <v>1</v>
      </c>
      <c r="D887" s="12">
        <f t="shared" ref="D887" ca="1" si="298">_xlfn.BITXOR(D853,L880)</f>
        <v>0</v>
      </c>
      <c r="E887" s="12">
        <f t="shared" ref="E887" ca="1" si="299">_xlfn.BITXOR(E853,M880)</f>
        <v>0</v>
      </c>
      <c r="F887" s="12">
        <f t="shared" ref="F887" ca="1" si="300">_xlfn.BITXOR(F853,N880)</f>
        <v>0</v>
      </c>
      <c r="G887" s="12">
        <f t="shared" ref="G887" ca="1" si="301">_xlfn.BITXOR(G853,O880)</f>
        <v>1</v>
      </c>
      <c r="H887" s="12">
        <f t="shared" ref="H887" ca="1" si="302">_xlfn.BITXOR(H853,P880)</f>
        <v>0</v>
      </c>
      <c r="I887" s="12">
        <f t="shared" ref="I887" ca="1" si="303">_xlfn.BITXOR(I853,Q880)</f>
        <v>0</v>
      </c>
      <c r="J887" s="12">
        <f t="shared" ref="J887" ca="1" si="304">_xlfn.BITXOR(J853,R880)</f>
        <v>1</v>
      </c>
      <c r="K887" s="12">
        <f t="shared" ref="K887" ca="1" si="305">_xlfn.BITXOR(K853,S880)</f>
        <v>0</v>
      </c>
      <c r="L887" s="12">
        <f t="shared" ref="L887" ca="1" si="306">_xlfn.BITXOR(L853,T880)</f>
        <v>0</v>
      </c>
      <c r="M887" s="12">
        <f t="shared" ref="M887" ca="1" si="307">_xlfn.BITXOR(M853,U880)</f>
        <v>0</v>
      </c>
      <c r="N887" s="12">
        <f t="shared" ref="N887" ca="1" si="308">_xlfn.BITXOR(N853,V880)</f>
        <v>0</v>
      </c>
      <c r="O887" s="12">
        <f t="shared" ref="O887" ca="1" si="309">_xlfn.BITXOR(O853,W880)</f>
        <v>1</v>
      </c>
      <c r="P887" s="12">
        <f t="shared" ref="P887" ca="1" si="310">_xlfn.BITXOR(P853,X880)</f>
        <v>1</v>
      </c>
      <c r="Q887" s="12">
        <f t="shared" ref="Q887" ca="1" si="311">_xlfn.BITXOR(Q853,Y880)</f>
        <v>1</v>
      </c>
      <c r="R887" s="12">
        <f t="shared" ref="R887" ca="1" si="312">_xlfn.BITXOR(R853,Z880)</f>
        <v>1</v>
      </c>
      <c r="S887" s="12">
        <f t="shared" ref="S887" ca="1" si="313">_xlfn.BITXOR(S853,AA880)</f>
        <v>1</v>
      </c>
      <c r="T887" s="12">
        <f t="shared" ref="T887" ca="1" si="314">_xlfn.BITXOR(T853,AB880)</f>
        <v>1</v>
      </c>
      <c r="U887" s="12">
        <f t="shared" ref="U887" ca="1" si="315">_xlfn.BITXOR(U853,AC880)</f>
        <v>0</v>
      </c>
      <c r="V887" s="12">
        <f t="shared" ref="V887" ca="1" si="316">_xlfn.BITXOR(V853,AD880)</f>
        <v>1</v>
      </c>
      <c r="W887" s="12">
        <f t="shared" ref="W887" ca="1" si="317">_xlfn.BITXOR(W853,AE880)</f>
        <v>1</v>
      </c>
      <c r="X887" s="12">
        <f t="shared" ref="X887" ca="1" si="318">_xlfn.BITXOR(X853,AF880)</f>
        <v>1</v>
      </c>
      <c r="Y887" s="12">
        <f t="shared" ref="Y887" ca="1" si="319">_xlfn.BITXOR(Y853,AG880)</f>
        <v>0</v>
      </c>
      <c r="Z887" s="12">
        <f t="shared" ref="Z887" ca="1" si="320">_xlfn.BITXOR(Z853,AH880)</f>
        <v>1</v>
      </c>
      <c r="AA887" s="12">
        <f t="shared" ref="AA887" ca="1" si="321">_xlfn.BITXOR(AA853,AI880)</f>
        <v>0</v>
      </c>
      <c r="AB887" s="12">
        <f t="shared" ref="AB887" ca="1" si="322">_xlfn.BITXOR(AB853,AJ880)</f>
        <v>1</v>
      </c>
      <c r="AC887" s="12">
        <f t="shared" ref="AC887" ca="1" si="323">_xlfn.BITXOR(AC853,AK880)</f>
        <v>0</v>
      </c>
      <c r="AD887" s="12">
        <f t="shared" ref="AD887" ca="1" si="324">_xlfn.BITXOR(AD853,AL880)</f>
        <v>0</v>
      </c>
      <c r="AE887" s="12">
        <f t="shared" ref="AE887" ca="1" si="325">_xlfn.BITXOR(AE853,AM880)</f>
        <v>0</v>
      </c>
      <c r="AF887" s="12">
        <f t="shared" ref="AF887" ca="1" si="326">_xlfn.BITXOR(AF853,AN880)</f>
        <v>0</v>
      </c>
      <c r="AG887" s="12">
        <f t="shared" ref="AG887" ca="1" si="327">_xlfn.BITXOR(AG853,AO880)</f>
        <v>0</v>
      </c>
    </row>
    <row r="889" spans="1:33">
      <c r="A889" s="21" t="s">
        <v>237</v>
      </c>
    </row>
    <row r="890" spans="1:33">
      <c r="A890" s="5" t="s">
        <v>238</v>
      </c>
      <c r="B890" s="12" cm="1">
        <f t="array" aca="1" ref="B890" ca="1">INDEX($B$887:$AG$887, T25)</f>
        <v>0</v>
      </c>
      <c r="C890" s="12" cm="1">
        <f t="array" aca="1" ref="C890" ca="1">INDEX($B$887:$AG$887, U25)</f>
        <v>0</v>
      </c>
      <c r="D890" s="12" cm="1">
        <f t="array" aca="1" ref="D890" ca="1">INDEX($B$887:$AG$887, V25)</f>
        <v>1</v>
      </c>
      <c r="E890" s="12" cm="1">
        <f t="array" aca="1" ref="E890" ca="1">INDEX($B$887:$AG$887, W25)</f>
        <v>0</v>
      </c>
      <c r="F890" s="12" cm="1">
        <f t="array" aca="1" ref="F890" ca="1">INDEX($B$887:$AG$887, X25)</f>
        <v>0</v>
      </c>
      <c r="G890" s="12" cm="1">
        <f t="array" aca="1" ref="G890" ca="1">INDEX($B$887:$AG$887, Y25)</f>
        <v>0</v>
      </c>
    </row>
    <row r="891" spans="1:33">
      <c r="B891" s="12" cm="1">
        <f t="array" aca="1" ref="B891" ca="1">INDEX($B$887:$AG$887, T26)</f>
        <v>0</v>
      </c>
      <c r="C891" s="12" cm="1">
        <f t="array" aca="1" ref="C891" ca="1">INDEX($B$887:$AG$887, U26)</f>
        <v>0</v>
      </c>
      <c r="D891" s="12" cm="1">
        <f t="array" aca="1" ref="D891" ca="1">INDEX($B$887:$AG$887, V26)</f>
        <v>1</v>
      </c>
      <c r="E891" s="12" cm="1">
        <f t="array" aca="1" ref="E891" ca="1">INDEX($B$887:$AG$887, W26)</f>
        <v>0</v>
      </c>
      <c r="F891" s="12" cm="1">
        <f t="array" aca="1" ref="F891" ca="1">INDEX($B$887:$AG$887, X26)</f>
        <v>0</v>
      </c>
      <c r="G891" s="12" cm="1">
        <f t="array" aca="1" ref="G891" ca="1">INDEX($B$887:$AG$887, Y26)</f>
        <v>1</v>
      </c>
    </row>
    <row r="892" spans="1:33">
      <c r="B892" s="12" cm="1">
        <f t="array" aca="1" ref="B892" ca="1">INDEX($B$887:$AG$887, T27)</f>
        <v>0</v>
      </c>
      <c r="C892" s="12" cm="1">
        <f t="array" aca="1" ref="C892" ca="1">INDEX($B$887:$AG$887, U27)</f>
        <v>1</v>
      </c>
      <c r="D892" s="12" cm="1">
        <f t="array" aca="1" ref="D892" ca="1">INDEX($B$887:$AG$887, V27)</f>
        <v>0</v>
      </c>
      <c r="E892" s="12" cm="1">
        <f t="array" aca="1" ref="E892" ca="1">INDEX($B$887:$AG$887, W27)</f>
        <v>0</v>
      </c>
      <c r="F892" s="12" cm="1">
        <f t="array" aca="1" ref="F892" ca="1">INDEX($B$887:$AG$887, X27)</f>
        <v>0</v>
      </c>
      <c r="G892" s="12" cm="1">
        <f t="array" aca="1" ref="G892" ca="1">INDEX($B$887:$AG$887, Y27)</f>
        <v>0</v>
      </c>
    </row>
    <row r="893" spans="1:33">
      <c r="B893" s="12" cm="1">
        <f t="array" aca="1" ref="B893" ca="1">INDEX($B$887:$AG$887, T28)</f>
        <v>0</v>
      </c>
      <c r="C893" s="12" cm="1">
        <f t="array" aca="1" ref="C893" ca="1">INDEX($B$887:$AG$887, U28)</f>
        <v>0</v>
      </c>
      <c r="D893" s="12" cm="1">
        <f t="array" aca="1" ref="D893" ca="1">INDEX($B$887:$AG$887, V28)</f>
        <v>1</v>
      </c>
      <c r="E893" s="12" cm="1">
        <f t="array" aca="1" ref="E893" ca="1">INDEX($B$887:$AG$887, W28)</f>
        <v>1</v>
      </c>
      <c r="F893" s="12" cm="1">
        <f t="array" aca="1" ref="F893" ca="1">INDEX($B$887:$AG$887, X28)</f>
        <v>1</v>
      </c>
      <c r="G893" s="12" cm="1">
        <f t="array" aca="1" ref="G893" ca="1">INDEX($B$887:$AG$887, Y28)</f>
        <v>1</v>
      </c>
    </row>
    <row r="894" spans="1:33">
      <c r="B894" s="12" cm="1">
        <f t="array" aca="1" ref="B894" ca="1">INDEX($B$887:$AG$887, T29)</f>
        <v>1</v>
      </c>
      <c r="C894" s="12" cm="1">
        <f t="array" aca="1" ref="C894" ca="1">INDEX($B$887:$AG$887, U29)</f>
        <v>1</v>
      </c>
      <c r="D894" s="12" cm="1">
        <f t="array" aca="1" ref="D894" ca="1">INDEX($B$887:$AG$887, V29)</f>
        <v>1</v>
      </c>
      <c r="E894" s="12" cm="1">
        <f t="array" aca="1" ref="E894" ca="1">INDEX($B$887:$AG$887, W29)</f>
        <v>1</v>
      </c>
      <c r="F894" s="12" cm="1">
        <f t="array" aca="1" ref="F894" ca="1">INDEX($B$887:$AG$887, X29)</f>
        <v>0</v>
      </c>
      <c r="G894" s="12" cm="1">
        <f t="array" aca="1" ref="G894" ca="1">INDEX($B$887:$AG$887, Y29)</f>
        <v>1</v>
      </c>
    </row>
    <row r="895" spans="1:33">
      <c r="B895" s="12" cm="1">
        <f t="array" aca="1" ref="B895" ca="1">INDEX($B$887:$AG$887, T30)</f>
        <v>0</v>
      </c>
      <c r="C895" s="12" cm="1">
        <f t="array" aca="1" ref="C895" ca="1">INDEX($B$887:$AG$887, U30)</f>
        <v>1</v>
      </c>
      <c r="D895" s="12" cm="1">
        <f t="array" aca="1" ref="D895" ca="1">INDEX($B$887:$AG$887, V30)</f>
        <v>1</v>
      </c>
      <c r="E895" s="12" cm="1">
        <f t="array" aca="1" ref="E895" ca="1">INDEX($B$887:$AG$887, W30)</f>
        <v>1</v>
      </c>
      <c r="F895" s="12" cm="1">
        <f t="array" aca="1" ref="F895" ca="1">INDEX($B$887:$AG$887, X30)</f>
        <v>0</v>
      </c>
      <c r="G895" s="12" cm="1">
        <f t="array" aca="1" ref="G895" ca="1">INDEX($B$887:$AG$887, Y30)</f>
        <v>1</v>
      </c>
    </row>
    <row r="896" spans="1:33">
      <c r="B896" s="12" cm="1">
        <f t="array" aca="1" ref="B896" ca="1">INDEX($B$887:$AG$887, T31)</f>
        <v>0</v>
      </c>
      <c r="C896" s="12" cm="1">
        <f t="array" aca="1" ref="C896" ca="1">INDEX($B$887:$AG$887, U31)</f>
        <v>1</v>
      </c>
      <c r="D896" s="12" cm="1">
        <f t="array" aca="1" ref="D896" ca="1">INDEX($B$887:$AG$887, V31)</f>
        <v>0</v>
      </c>
      <c r="E896" s="12" cm="1">
        <f t="array" aca="1" ref="E896" ca="1">INDEX($B$887:$AG$887, W31)</f>
        <v>1</v>
      </c>
      <c r="F896" s="12" cm="1">
        <f t="array" aca="1" ref="F896" ca="1">INDEX($B$887:$AG$887, X31)</f>
        <v>0</v>
      </c>
      <c r="G896" s="12" cm="1">
        <f t="array" aca="1" ref="G896" ca="1">INDEX($B$887:$AG$887, Y31)</f>
        <v>0</v>
      </c>
    </row>
    <row r="897" spans="1:49">
      <c r="B897" s="12" cm="1">
        <f t="array" aca="1" ref="B897" ca="1">INDEX($B$887:$AG$887, T32)</f>
        <v>0</v>
      </c>
      <c r="C897" s="12" cm="1">
        <f t="array" aca="1" ref="C897" ca="1">INDEX($B$887:$AG$887, U32)</f>
        <v>0</v>
      </c>
      <c r="D897" s="12" cm="1">
        <f t="array" aca="1" ref="D897" ca="1">INDEX($B$887:$AG$887, V32)</f>
        <v>0</v>
      </c>
      <c r="E897" s="12" cm="1">
        <f t="array" aca="1" ref="E897" ca="1">INDEX($B$887:$AG$887, W32)</f>
        <v>0</v>
      </c>
      <c r="F897" s="12" cm="1">
        <f t="array" aca="1" ref="F897" ca="1">INDEX($B$887:$AG$887, X32)</f>
        <v>0</v>
      </c>
      <c r="G897" s="12" cm="1">
        <f t="array" aca="1" ref="G897" ca="1">INDEX($B$887:$AG$887, Y32)</f>
        <v>0</v>
      </c>
    </row>
    <row r="899" spans="1:49">
      <c r="A899" s="12" t="s">
        <v>3</v>
      </c>
      <c r="B899" s="12">
        <v>1</v>
      </c>
      <c r="C899" s="12">
        <v>2</v>
      </c>
      <c r="D899" s="12">
        <v>3</v>
      </c>
      <c r="E899" s="12">
        <v>4</v>
      </c>
      <c r="F899" s="12">
        <v>5</v>
      </c>
      <c r="G899" s="12">
        <v>6</v>
      </c>
      <c r="H899" s="12">
        <v>7</v>
      </c>
      <c r="I899" s="12">
        <v>8</v>
      </c>
      <c r="J899" s="12">
        <v>9</v>
      </c>
      <c r="K899" s="12">
        <v>10</v>
      </c>
      <c r="L899" s="12">
        <v>11</v>
      </c>
      <c r="M899" s="12">
        <v>12</v>
      </c>
      <c r="N899" s="12">
        <v>13</v>
      </c>
      <c r="O899" s="12">
        <v>14</v>
      </c>
      <c r="P899" s="12">
        <v>15</v>
      </c>
      <c r="Q899" s="12">
        <v>16</v>
      </c>
      <c r="R899" s="12">
        <v>17</v>
      </c>
      <c r="S899" s="12">
        <v>18</v>
      </c>
      <c r="T899" s="12">
        <v>19</v>
      </c>
      <c r="U899" s="12">
        <v>20</v>
      </c>
      <c r="V899" s="12">
        <v>21</v>
      </c>
      <c r="W899" s="12">
        <v>22</v>
      </c>
      <c r="X899" s="12">
        <v>23</v>
      </c>
      <c r="Y899" s="12">
        <v>24</v>
      </c>
      <c r="Z899" s="12">
        <v>25</v>
      </c>
      <c r="AA899" s="12">
        <v>26</v>
      </c>
      <c r="AB899" s="12">
        <v>27</v>
      </c>
      <c r="AC899" s="12">
        <v>28</v>
      </c>
      <c r="AD899" s="12">
        <v>29</v>
      </c>
      <c r="AE899" s="12">
        <v>30</v>
      </c>
      <c r="AF899" s="12">
        <v>31</v>
      </c>
      <c r="AG899" s="12">
        <v>32</v>
      </c>
      <c r="AH899" s="12">
        <v>33</v>
      </c>
      <c r="AI899" s="12">
        <v>34</v>
      </c>
      <c r="AJ899" s="12">
        <v>35</v>
      </c>
      <c r="AK899" s="12">
        <v>36</v>
      </c>
      <c r="AL899" s="12">
        <v>37</v>
      </c>
      <c r="AM899" s="12">
        <v>38</v>
      </c>
      <c r="AN899" s="12">
        <v>39</v>
      </c>
      <c r="AO899" s="12">
        <v>40</v>
      </c>
      <c r="AP899" s="12">
        <v>41</v>
      </c>
      <c r="AQ899" s="12">
        <v>42</v>
      </c>
      <c r="AR899" s="12">
        <v>43</v>
      </c>
      <c r="AS899" s="12">
        <v>44</v>
      </c>
      <c r="AT899" s="12">
        <v>45</v>
      </c>
      <c r="AU899" s="12">
        <v>46</v>
      </c>
      <c r="AV899" s="12">
        <v>47</v>
      </c>
      <c r="AW899" s="12">
        <v>48</v>
      </c>
    </row>
    <row r="900" spans="1:49">
      <c r="A900" s="7" t="s">
        <v>238</v>
      </c>
      <c r="B900" s="16" cm="1">
        <f t="array" aca="1" ref="B900" ca="1">INDEX($B$890:$G897, INT((COLUMN(A756)-1)/6)+1, MOD(COLUMN(A756)-1,6)+1)</f>
        <v>0</v>
      </c>
      <c r="C900" s="16" cm="1">
        <f t="array" aca="1" ref="C900" ca="1">INDEX($B$890:$G897, INT((COLUMN(B756)-1)/6)+1, MOD(COLUMN(B756)-1,6)+1)</f>
        <v>0</v>
      </c>
      <c r="D900" s="16" cm="1">
        <f t="array" aca="1" ref="D900" ca="1">INDEX($B$890:$G897, INT((COLUMN(C756)-1)/6)+1, MOD(COLUMN(C756)-1,6)+1)</f>
        <v>1</v>
      </c>
      <c r="E900" s="16" cm="1">
        <f t="array" aca="1" ref="E900" ca="1">INDEX($B$890:$G897, INT((COLUMN(D756)-1)/6)+1, MOD(COLUMN(D756)-1,6)+1)</f>
        <v>0</v>
      </c>
      <c r="F900" s="16" cm="1">
        <f t="array" aca="1" ref="F900" ca="1">INDEX($B$890:$G897, INT((COLUMN(E756)-1)/6)+1, MOD(COLUMN(E756)-1,6)+1)</f>
        <v>0</v>
      </c>
      <c r="G900" s="16" cm="1">
        <f t="array" aca="1" ref="G900" ca="1">INDEX($B$890:$G897, INT((COLUMN(F756)-1)/6)+1, MOD(COLUMN(F756)-1,6)+1)</f>
        <v>0</v>
      </c>
      <c r="H900" s="16" cm="1">
        <f t="array" aca="1" ref="H900" ca="1">INDEX($B$890:$G897, INT((COLUMN(G756)-1)/6)+1, MOD(COLUMN(G756)-1,6)+1)</f>
        <v>0</v>
      </c>
      <c r="I900" s="16" cm="1">
        <f t="array" aca="1" ref="I900" ca="1">INDEX($B$890:$G897, INT((COLUMN(H756)-1)/6)+1, MOD(COLUMN(H756)-1,6)+1)</f>
        <v>0</v>
      </c>
      <c r="J900" s="16" cm="1">
        <f t="array" aca="1" ref="J900" ca="1">INDEX($B$890:$G897, INT((COLUMN(I756)-1)/6)+1, MOD(COLUMN(I756)-1,6)+1)</f>
        <v>1</v>
      </c>
      <c r="K900" s="16" cm="1">
        <f t="array" aca="1" ref="K900" ca="1">INDEX($B$890:$G897, INT((COLUMN(J756)-1)/6)+1, MOD(COLUMN(J756)-1,6)+1)</f>
        <v>0</v>
      </c>
      <c r="L900" s="16" cm="1">
        <f t="array" aca="1" ref="L900" ca="1">INDEX($B$890:$G897, INT((COLUMN(K756)-1)/6)+1, MOD(COLUMN(K756)-1,6)+1)</f>
        <v>0</v>
      </c>
      <c r="M900" s="16" cm="1">
        <f t="array" aca="1" ref="M900" ca="1">INDEX($B$890:$G897, INT((COLUMN(L756)-1)/6)+1, MOD(COLUMN(L756)-1,6)+1)</f>
        <v>1</v>
      </c>
      <c r="N900" s="16" cm="1">
        <f t="array" aca="1" ref="N900" ca="1">INDEX($B$890:$G897, INT((COLUMN(M756)-1)/6)+1, MOD(COLUMN(M756)-1,6)+1)</f>
        <v>0</v>
      </c>
      <c r="O900" s="16" cm="1">
        <f t="array" aca="1" ref="O900" ca="1">INDEX($B$890:$G897, INT((COLUMN(N756)-1)/6)+1, MOD(COLUMN(N756)-1,6)+1)</f>
        <v>1</v>
      </c>
      <c r="P900" s="16" cm="1">
        <f t="array" aca="1" ref="P900" ca="1">INDEX($B$890:$G897, INT((COLUMN(O756)-1)/6)+1, MOD(COLUMN(O756)-1,6)+1)</f>
        <v>0</v>
      </c>
      <c r="Q900" s="16" cm="1">
        <f t="array" aca="1" ref="Q900" ca="1">INDEX($B$890:$G897, INT((COLUMN(P756)-1)/6)+1, MOD(COLUMN(P756)-1,6)+1)</f>
        <v>0</v>
      </c>
      <c r="R900" s="16" cm="1">
        <f t="array" aca="1" ref="R900" ca="1">INDEX($B$890:$G897, INT((COLUMN(Q756)-1)/6)+1, MOD(COLUMN(Q756)-1,6)+1)</f>
        <v>0</v>
      </c>
      <c r="S900" s="16" cm="1">
        <f t="array" aca="1" ref="S900" ca="1">INDEX($B$890:$G897, INT((COLUMN(R756)-1)/6)+1, MOD(COLUMN(R756)-1,6)+1)</f>
        <v>0</v>
      </c>
      <c r="T900" s="16" cm="1">
        <f t="array" aca="1" ref="T900" ca="1">INDEX($B$890:$G897, INT((COLUMN(S756)-1)/6)+1, MOD(COLUMN(S756)-1,6)+1)</f>
        <v>0</v>
      </c>
      <c r="U900" s="16" cm="1">
        <f t="array" aca="1" ref="U900" ca="1">INDEX($B$890:$G897, INT((COLUMN(T756)-1)/6)+1, MOD(COLUMN(T756)-1,6)+1)</f>
        <v>0</v>
      </c>
      <c r="V900" s="16" cm="1">
        <f t="array" aca="1" ref="V900" ca="1">INDEX($B$890:$G897, INT((COLUMN(U756)-1)/6)+1, MOD(COLUMN(U756)-1,6)+1)</f>
        <v>1</v>
      </c>
      <c r="W900" s="16" cm="1">
        <f t="array" aca="1" ref="W900" ca="1">INDEX($B$890:$G897, INT((COLUMN(V756)-1)/6)+1, MOD(COLUMN(V756)-1,6)+1)</f>
        <v>1</v>
      </c>
      <c r="X900" s="16" cm="1">
        <f t="array" aca="1" ref="X900" ca="1">INDEX($B$890:$G897, INT((COLUMN(W756)-1)/6)+1, MOD(COLUMN(W756)-1,6)+1)</f>
        <v>1</v>
      </c>
      <c r="Y900" s="16" cm="1">
        <f t="array" aca="1" ref="Y900" ca="1">INDEX($B$890:$G897, INT((COLUMN(X756)-1)/6)+1, MOD(COLUMN(X756)-1,6)+1)</f>
        <v>1</v>
      </c>
      <c r="Z900" s="16" cm="1">
        <f t="array" aca="1" ref="Z900" ca="1">INDEX($B$890:$G897, INT((COLUMN(Y756)-1)/6)+1, MOD(COLUMN(Y756)-1,6)+1)</f>
        <v>1</v>
      </c>
      <c r="AA900" s="16" cm="1">
        <f t="array" aca="1" ref="AA900" ca="1">INDEX($B$890:$G897, INT((COLUMN(Z756)-1)/6)+1, MOD(COLUMN(Z756)-1,6)+1)</f>
        <v>1</v>
      </c>
      <c r="AB900" s="16" cm="1">
        <f t="array" aca="1" ref="AB900" ca="1">INDEX($B$890:$G897, INT((COLUMN(AA756)-1)/6)+1, MOD(COLUMN(AA756)-1,6)+1)</f>
        <v>1</v>
      </c>
      <c r="AC900" s="16" cm="1">
        <f t="array" aca="1" ref="AC900" ca="1">INDEX($B$890:$G897, INT((COLUMN(AB756)-1)/6)+1, MOD(COLUMN(AB756)-1,6)+1)</f>
        <v>1</v>
      </c>
      <c r="AD900" s="16" cm="1">
        <f t="array" aca="1" ref="AD900" ca="1">INDEX($B$890:$G897, INT((COLUMN(AC756)-1)/6)+1, MOD(COLUMN(AC756)-1,6)+1)</f>
        <v>0</v>
      </c>
      <c r="AE900" s="16" cm="1">
        <f t="array" aca="1" ref="AE900" ca="1">INDEX($B$890:$G897, INT((COLUMN(AD756)-1)/6)+1, MOD(COLUMN(AD756)-1,6)+1)</f>
        <v>1</v>
      </c>
      <c r="AF900" s="16" cm="1">
        <f t="array" aca="1" ref="AF900" ca="1">INDEX($B$890:$G897, INT((COLUMN(AE756)-1)/6)+1, MOD(COLUMN(AE756)-1,6)+1)</f>
        <v>0</v>
      </c>
      <c r="AG900" s="16" cm="1">
        <f t="array" aca="1" ref="AG900" ca="1">INDEX($B$890:$G897, INT((COLUMN(AF756)-1)/6)+1, MOD(COLUMN(AF756)-1,6)+1)</f>
        <v>1</v>
      </c>
      <c r="AH900" s="16" cm="1">
        <f t="array" aca="1" ref="AH900" ca="1">INDEX($B$890:$G897, INT((COLUMN(AG756)-1)/6)+1, MOD(COLUMN(AG756)-1,6)+1)</f>
        <v>1</v>
      </c>
      <c r="AI900" s="16" cm="1">
        <f t="array" aca="1" ref="AI900" ca="1">INDEX($B$890:$G897, INT((COLUMN(AH756)-1)/6)+1, MOD(COLUMN(AH756)-1,6)+1)</f>
        <v>1</v>
      </c>
      <c r="AJ900" s="16" cm="1">
        <f t="array" aca="1" ref="AJ900" ca="1">INDEX($B$890:$G897, INT((COLUMN(AI756)-1)/6)+1, MOD(COLUMN(AI756)-1,6)+1)</f>
        <v>0</v>
      </c>
      <c r="AK900" s="16" cm="1">
        <f t="array" aca="1" ref="AK900" ca="1">INDEX($B$890:$G897, INT((COLUMN(AJ756)-1)/6)+1, MOD(COLUMN(AJ756)-1,6)+1)</f>
        <v>1</v>
      </c>
      <c r="AL900" s="16" cm="1">
        <f t="array" aca="1" ref="AL900" ca="1">INDEX($B$890:$G897, INT((COLUMN(AK756)-1)/6)+1, MOD(COLUMN(AK756)-1,6)+1)</f>
        <v>0</v>
      </c>
      <c r="AM900" s="16" cm="1">
        <f t="array" aca="1" ref="AM900" ca="1">INDEX($B$890:$G897, INT((COLUMN(AL756)-1)/6)+1, MOD(COLUMN(AL756)-1,6)+1)</f>
        <v>1</v>
      </c>
      <c r="AN900" s="16" cm="1">
        <f t="array" aca="1" ref="AN900" ca="1">INDEX($B$890:$G897, INT((COLUMN(AM756)-1)/6)+1, MOD(COLUMN(AM756)-1,6)+1)</f>
        <v>0</v>
      </c>
      <c r="AO900" s="16" cm="1">
        <f t="array" aca="1" ref="AO900" ca="1">INDEX($B$890:$G897, INT((COLUMN(AN756)-1)/6)+1, MOD(COLUMN(AN756)-1,6)+1)</f>
        <v>1</v>
      </c>
      <c r="AP900" s="16" cm="1">
        <f t="array" aca="1" ref="AP900" ca="1">INDEX($B$890:$G897, INT((COLUMN(AO756)-1)/6)+1, MOD(COLUMN(AO756)-1,6)+1)</f>
        <v>0</v>
      </c>
      <c r="AQ900" s="16" cm="1">
        <f t="array" aca="1" ref="AQ900" ca="1">INDEX($B$890:$G897, INT((COLUMN(AP756)-1)/6)+1, MOD(COLUMN(AP756)-1,6)+1)</f>
        <v>0</v>
      </c>
      <c r="AR900" s="16" cm="1">
        <f t="array" aca="1" ref="AR900" ca="1">INDEX($B$890:$G897, INT((COLUMN(AQ756)-1)/6)+1, MOD(COLUMN(AQ756)-1,6)+1)</f>
        <v>0</v>
      </c>
      <c r="AS900" s="16" cm="1">
        <f t="array" aca="1" ref="AS900" ca="1">INDEX($B$890:$G897, INT((COLUMN(AR756)-1)/6)+1, MOD(COLUMN(AR756)-1,6)+1)</f>
        <v>0</v>
      </c>
      <c r="AT900" s="16" cm="1">
        <f t="array" aca="1" ref="AT900" ca="1">INDEX($B$890:$G897, INT((COLUMN(AS756)-1)/6)+1, MOD(COLUMN(AS756)-1,6)+1)</f>
        <v>0</v>
      </c>
      <c r="AU900" s="16" cm="1">
        <f t="array" aca="1" ref="AU900" ca="1">INDEX($B$890:$G897, INT((COLUMN(AT756)-1)/6)+1, MOD(COLUMN(AT756)-1,6)+1)</f>
        <v>0</v>
      </c>
      <c r="AV900" s="16" cm="1">
        <f t="array" aca="1" ref="AV900" ca="1">INDEX($B$890:$G897, INT((COLUMN(AU756)-1)/6)+1, MOD(COLUMN(AU756)-1,6)+1)</f>
        <v>0</v>
      </c>
      <c r="AW900" s="16" cm="1">
        <f t="array" aca="1" ref="AW900" ca="1">INDEX($B$890:$G897, INT((COLUMN(AV756)-1)/6)+1, MOD(COLUMN(AV756)-1,6)+1)</f>
        <v>0</v>
      </c>
    </row>
    <row r="901" spans="1:49">
      <c r="A901" s="19"/>
    </row>
    <row r="902" spans="1:49">
      <c r="A902" s="12" t="s">
        <v>3</v>
      </c>
      <c r="B902" s="12">
        <v>1</v>
      </c>
      <c r="C902" s="12">
        <v>2</v>
      </c>
      <c r="D902" s="12">
        <v>3</v>
      </c>
      <c r="E902" s="12">
        <v>4</v>
      </c>
      <c r="F902" s="12">
        <v>5</v>
      </c>
      <c r="G902" s="12">
        <v>6</v>
      </c>
      <c r="H902" s="12">
        <v>7</v>
      </c>
      <c r="I902" s="12">
        <v>8</v>
      </c>
      <c r="J902" s="12">
        <v>9</v>
      </c>
      <c r="K902" s="12">
        <v>10</v>
      </c>
      <c r="L902" s="12">
        <v>11</v>
      </c>
      <c r="M902" s="12">
        <v>12</v>
      </c>
      <c r="N902" s="12">
        <v>13</v>
      </c>
      <c r="O902" s="12">
        <v>14</v>
      </c>
      <c r="P902" s="12">
        <v>15</v>
      </c>
      <c r="Q902" s="12">
        <v>16</v>
      </c>
      <c r="R902" s="12">
        <v>17</v>
      </c>
      <c r="S902" s="12">
        <v>18</v>
      </c>
      <c r="T902" s="12">
        <v>19</v>
      </c>
      <c r="U902" s="12">
        <v>20</v>
      </c>
      <c r="V902" s="12">
        <v>21</v>
      </c>
      <c r="W902" s="12">
        <v>22</v>
      </c>
      <c r="X902" s="12">
        <v>23</v>
      </c>
      <c r="Y902" s="12">
        <v>24</v>
      </c>
      <c r="Z902" s="12">
        <v>25</v>
      </c>
      <c r="AA902" s="12">
        <v>26</v>
      </c>
      <c r="AB902" s="12">
        <v>27</v>
      </c>
      <c r="AC902" s="12">
        <v>28</v>
      </c>
      <c r="AD902" s="12">
        <v>29</v>
      </c>
      <c r="AE902" s="12">
        <v>30</v>
      </c>
      <c r="AF902" s="12">
        <v>31</v>
      </c>
      <c r="AG902" s="12">
        <v>32</v>
      </c>
      <c r="AH902" s="12">
        <v>33</v>
      </c>
      <c r="AI902" s="12">
        <v>34</v>
      </c>
      <c r="AJ902" s="12">
        <v>35</v>
      </c>
      <c r="AK902" s="12">
        <v>36</v>
      </c>
      <c r="AL902" s="12">
        <v>37</v>
      </c>
      <c r="AM902" s="12">
        <v>38</v>
      </c>
      <c r="AN902" s="12">
        <v>39</v>
      </c>
      <c r="AO902" s="12">
        <v>40</v>
      </c>
      <c r="AP902" s="12">
        <v>41</v>
      </c>
      <c r="AQ902" s="12">
        <v>42</v>
      </c>
      <c r="AR902" s="12">
        <v>43</v>
      </c>
      <c r="AS902" s="12">
        <v>44</v>
      </c>
      <c r="AT902" s="12">
        <v>45</v>
      </c>
      <c r="AU902" s="12">
        <v>46</v>
      </c>
      <c r="AV902" s="12">
        <v>47</v>
      </c>
      <c r="AW902" s="12">
        <v>48</v>
      </c>
    </row>
    <row r="903" spans="1:49">
      <c r="A903" s="7" t="s">
        <v>239</v>
      </c>
      <c r="B903" s="16">
        <f ca="1">_xlfn.BITXOR(B900, B406)</f>
        <v>0</v>
      </c>
      <c r="C903" s="16">
        <f t="shared" ref="C903:AW903" ca="1" si="328">_xlfn.BITXOR(C900, C406)</f>
        <v>1</v>
      </c>
      <c r="D903" s="16">
        <f t="shared" ca="1" si="328"/>
        <v>0</v>
      </c>
      <c r="E903" s="16">
        <f t="shared" ca="1" si="328"/>
        <v>1</v>
      </c>
      <c r="F903" s="16">
        <f t="shared" ca="1" si="328"/>
        <v>0</v>
      </c>
      <c r="G903" s="16">
        <f t="shared" ca="1" si="328"/>
        <v>0</v>
      </c>
      <c r="H903" s="16">
        <f t="shared" ca="1" si="328"/>
        <v>0</v>
      </c>
      <c r="I903" s="16">
        <f t="shared" ca="1" si="328"/>
        <v>1</v>
      </c>
      <c r="J903" s="16">
        <f t="shared" ca="1" si="328"/>
        <v>1</v>
      </c>
      <c r="K903" s="16">
        <f t="shared" ca="1" si="328"/>
        <v>1</v>
      </c>
      <c r="L903" s="16">
        <f t="shared" ca="1" si="328"/>
        <v>1</v>
      </c>
      <c r="M903" s="16">
        <f t="shared" ca="1" si="328"/>
        <v>0</v>
      </c>
      <c r="N903" s="16">
        <f t="shared" ca="1" si="328"/>
        <v>0</v>
      </c>
      <c r="O903" s="16">
        <f t="shared" ca="1" si="328"/>
        <v>1</v>
      </c>
      <c r="P903" s="16">
        <f t="shared" ca="1" si="328"/>
        <v>0</v>
      </c>
      <c r="Q903" s="16">
        <f t="shared" ca="1" si="328"/>
        <v>1</v>
      </c>
      <c r="R903" s="16">
        <f t="shared" ca="1" si="328"/>
        <v>1</v>
      </c>
      <c r="S903" s="16">
        <f t="shared" ca="1" si="328"/>
        <v>1</v>
      </c>
      <c r="T903" s="16">
        <f t="shared" ca="1" si="328"/>
        <v>1</v>
      </c>
      <c r="U903" s="16">
        <f t="shared" ca="1" si="328"/>
        <v>1</v>
      </c>
      <c r="V903" s="16">
        <f t="shared" ca="1" si="328"/>
        <v>1</v>
      </c>
      <c r="W903" s="16">
        <f t="shared" ca="1" si="328"/>
        <v>0</v>
      </c>
      <c r="X903" s="16">
        <f t="shared" ca="1" si="328"/>
        <v>1</v>
      </c>
      <c r="Y903" s="16">
        <f t="shared" ca="1" si="328"/>
        <v>0</v>
      </c>
      <c r="Z903" s="16">
        <f t="shared" ca="1" si="328"/>
        <v>1</v>
      </c>
      <c r="AA903" s="16">
        <f t="shared" ca="1" si="328"/>
        <v>0</v>
      </c>
      <c r="AB903" s="16">
        <f t="shared" ca="1" si="328"/>
        <v>1</v>
      </c>
      <c r="AC903" s="16">
        <f t="shared" ca="1" si="328"/>
        <v>1</v>
      </c>
      <c r="AD903" s="16">
        <f t="shared" ca="1" si="328"/>
        <v>0</v>
      </c>
      <c r="AE903" s="16">
        <f t="shared" ca="1" si="328"/>
        <v>0</v>
      </c>
      <c r="AF903" s="16">
        <f t="shared" ca="1" si="328"/>
        <v>0</v>
      </c>
      <c r="AG903" s="16">
        <f t="shared" ca="1" si="328"/>
        <v>0</v>
      </c>
      <c r="AH903" s="16">
        <f t="shared" ca="1" si="328"/>
        <v>1</v>
      </c>
      <c r="AI903" s="16">
        <f t="shared" ca="1" si="328"/>
        <v>0</v>
      </c>
      <c r="AJ903" s="16">
        <f t="shared" ca="1" si="328"/>
        <v>0</v>
      </c>
      <c r="AK903" s="16">
        <f t="shared" ca="1" si="328"/>
        <v>0</v>
      </c>
      <c r="AL903" s="16">
        <f t="shared" ca="1" si="328"/>
        <v>1</v>
      </c>
      <c r="AM903" s="16">
        <f t="shared" ca="1" si="328"/>
        <v>0</v>
      </c>
      <c r="AN903" s="16">
        <f t="shared" ca="1" si="328"/>
        <v>0</v>
      </c>
      <c r="AO903" s="16">
        <f t="shared" ca="1" si="328"/>
        <v>1</v>
      </c>
      <c r="AP903" s="16">
        <f t="shared" ca="1" si="328"/>
        <v>1</v>
      </c>
      <c r="AQ903" s="16">
        <f t="shared" ca="1" si="328"/>
        <v>1</v>
      </c>
      <c r="AR903" s="16">
        <f t="shared" ca="1" si="328"/>
        <v>0</v>
      </c>
      <c r="AS903" s="16">
        <f t="shared" ca="1" si="328"/>
        <v>1</v>
      </c>
      <c r="AT903" s="16">
        <f t="shared" ca="1" si="328"/>
        <v>0</v>
      </c>
      <c r="AU903" s="16">
        <f t="shared" ca="1" si="328"/>
        <v>1</v>
      </c>
      <c r="AV903" s="16">
        <f t="shared" ca="1" si="328"/>
        <v>0</v>
      </c>
      <c r="AW903" s="16">
        <f t="shared" ca="1" si="328"/>
        <v>1</v>
      </c>
    </row>
    <row r="905" spans="1:49">
      <c r="A905" s="27" t="s">
        <v>136</v>
      </c>
      <c r="B905" s="27" t="s">
        <v>137</v>
      </c>
      <c r="C905" s="27"/>
      <c r="D905" s="27" t="s">
        <v>141</v>
      </c>
      <c r="E905" s="27" t="s">
        <v>142</v>
      </c>
      <c r="F905" s="28" t="s">
        <v>138</v>
      </c>
      <c r="G905" s="28"/>
      <c r="I905" s="5" t="s">
        <v>241</v>
      </c>
    </row>
    <row r="906" spans="1:49">
      <c r="A906" s="27"/>
      <c r="B906" s="27"/>
      <c r="C906" s="27"/>
      <c r="D906" s="27"/>
      <c r="E906" s="27"/>
      <c r="F906" s="7" t="s">
        <v>139</v>
      </c>
      <c r="G906" s="7" t="s">
        <v>140</v>
      </c>
    </row>
    <row r="907" spans="1:49">
      <c r="A907" s="7">
        <v>1</v>
      </c>
      <c r="B907" s="29" t="str">
        <f ca="1">_xlfn.TEXTJOIN("", TRUE, OFFSET($B$903,0,(ROW(A1)-1)*6,1,6))</f>
        <v>010100</v>
      </c>
      <c r="C907" s="30"/>
      <c r="D907" s="7">
        <f ca="1">BIN2DEC(LEFT(B907,1) &amp; RIGHT(B907,1))</f>
        <v>0</v>
      </c>
      <c r="E907" s="12">
        <f ca="1">BIN2DEC(MID(B907,2,4))</f>
        <v>10</v>
      </c>
      <c r="F907" s="12" cm="1">
        <f t="array" aca="1" ref="F907" ca="1">INDEX(OFFSET('S-box'!$A$2, (A907-1)*6, 0, 4, 16), D907+1, E907+1)</f>
        <v>6</v>
      </c>
      <c r="G907" s="17" t="str">
        <f ca="1">DEC2BIN(F907, 4)</f>
        <v>0110</v>
      </c>
      <c r="I907" s="12" t="s">
        <v>3</v>
      </c>
      <c r="J907" s="12">
        <v>1</v>
      </c>
      <c r="K907" s="12">
        <v>2</v>
      </c>
      <c r="L907" s="12">
        <v>3</v>
      </c>
      <c r="M907" s="12">
        <v>4</v>
      </c>
      <c r="N907" s="12">
        <v>5</v>
      </c>
      <c r="O907" s="12">
        <v>6</v>
      </c>
      <c r="P907" s="12">
        <v>7</v>
      </c>
      <c r="Q907" s="12">
        <v>8</v>
      </c>
      <c r="R907" s="12">
        <v>9</v>
      </c>
      <c r="S907" s="12">
        <v>10</v>
      </c>
      <c r="T907" s="12">
        <v>11</v>
      </c>
      <c r="U907" s="12">
        <v>12</v>
      </c>
      <c r="V907" s="12">
        <v>13</v>
      </c>
      <c r="W907" s="12">
        <v>14</v>
      </c>
      <c r="X907" s="12">
        <v>15</v>
      </c>
      <c r="Y907" s="12">
        <v>16</v>
      </c>
      <c r="Z907" s="12">
        <v>17</v>
      </c>
      <c r="AA907" s="12">
        <v>18</v>
      </c>
      <c r="AB907" s="12">
        <v>19</v>
      </c>
      <c r="AC907" s="12">
        <v>20</v>
      </c>
      <c r="AD907" s="12">
        <v>21</v>
      </c>
      <c r="AE907" s="12">
        <v>22</v>
      </c>
      <c r="AF907" s="12">
        <v>23</v>
      </c>
      <c r="AG907" s="12">
        <v>24</v>
      </c>
      <c r="AH907" s="12">
        <v>25</v>
      </c>
      <c r="AI907" s="12">
        <v>26</v>
      </c>
      <c r="AJ907" s="12">
        <v>27</v>
      </c>
      <c r="AK907" s="12">
        <v>28</v>
      </c>
      <c r="AL907" s="12">
        <v>29</v>
      </c>
      <c r="AM907" s="12">
        <v>30</v>
      </c>
      <c r="AN907" s="12">
        <v>31</v>
      </c>
      <c r="AO907" s="12">
        <v>32</v>
      </c>
    </row>
    <row r="908" spans="1:49">
      <c r="A908" s="7">
        <v>2</v>
      </c>
      <c r="B908" s="29" t="str">
        <f t="shared" ref="B908:B914" ca="1" si="329">_xlfn.TEXTJOIN("", TRUE, OFFSET($B$903,0,(ROW(A2)-1)*6,1,6))</f>
        <v>011110</v>
      </c>
      <c r="C908" s="30"/>
      <c r="D908" s="7">
        <f t="shared" ref="D908:D914" ca="1" si="330">BIN2DEC(LEFT(B908,1) &amp; RIGHT(B908,1))</f>
        <v>0</v>
      </c>
      <c r="E908" s="12">
        <f t="shared" ref="E908:E914" ca="1" si="331">BIN2DEC(MID(B908,2,4))</f>
        <v>15</v>
      </c>
      <c r="F908" s="12" cm="1">
        <f t="array" aca="1" ref="F908" ca="1">INDEX(OFFSET('S-box'!$A$2, (A908-1)*6, 0, 4, 16), D908+1, E908+1)</f>
        <v>10</v>
      </c>
      <c r="G908" s="17" t="str">
        <f t="shared" ref="G908:G914" ca="1" si="332">DEC2BIN(F908, 4)</f>
        <v>1010</v>
      </c>
      <c r="I908" s="12" t="s">
        <v>152</v>
      </c>
      <c r="J908" s="12" t="str">
        <f ca="1">MID(_xlfn.TEXTJOIN("",TRUE,$G$907:$G$914), COLUMN(A364), 1)</f>
        <v>0</v>
      </c>
      <c r="K908" s="12" t="str">
        <f t="shared" ref="K908:AO908" ca="1" si="333">MID(_xlfn.TEXTJOIN("",TRUE,$G$907:$G$914), COLUMN(B364), 1)</f>
        <v>1</v>
      </c>
      <c r="L908" s="12" t="str">
        <f t="shared" ca="1" si="333"/>
        <v>1</v>
      </c>
      <c r="M908" s="12" t="str">
        <f t="shared" ca="1" si="333"/>
        <v>0</v>
      </c>
      <c r="N908" s="12" t="str">
        <f t="shared" ca="1" si="333"/>
        <v>1</v>
      </c>
      <c r="O908" s="12" t="str">
        <f t="shared" ca="1" si="333"/>
        <v>0</v>
      </c>
      <c r="P908" s="12" t="str">
        <f t="shared" ca="1" si="333"/>
        <v>1</v>
      </c>
      <c r="Q908" s="12" t="str">
        <f t="shared" ca="1" si="333"/>
        <v>0</v>
      </c>
      <c r="R908" s="12" t="str">
        <f t="shared" ca="1" si="333"/>
        <v>1</v>
      </c>
      <c r="S908" s="12" t="str">
        <f t="shared" ca="1" si="333"/>
        <v>1</v>
      </c>
      <c r="T908" s="12" t="str">
        <f t="shared" ca="1" si="333"/>
        <v>1</v>
      </c>
      <c r="U908" s="12" t="str">
        <f t="shared" ca="1" si="333"/>
        <v>0</v>
      </c>
      <c r="V908" s="12" t="str">
        <f t="shared" ca="1" si="333"/>
        <v>0</v>
      </c>
      <c r="W908" s="12" t="str">
        <f t="shared" ca="1" si="333"/>
        <v>0</v>
      </c>
      <c r="X908" s="12" t="str">
        <f t="shared" ca="1" si="333"/>
        <v>1</v>
      </c>
      <c r="Y908" s="12" t="str">
        <f t="shared" ca="1" si="333"/>
        <v>0</v>
      </c>
      <c r="Z908" s="12" t="str">
        <f t="shared" ca="1" si="333"/>
        <v>0</v>
      </c>
      <c r="AA908" s="12" t="str">
        <f t="shared" ca="1" si="333"/>
        <v>1</v>
      </c>
      <c r="AB908" s="12" t="str">
        <f t="shared" ca="1" si="333"/>
        <v>1</v>
      </c>
      <c r="AC908" s="12" t="str">
        <f t="shared" ca="1" si="333"/>
        <v>1</v>
      </c>
      <c r="AD908" s="12" t="str">
        <f t="shared" ca="1" si="333"/>
        <v>1</v>
      </c>
      <c r="AE908" s="12" t="str">
        <f t="shared" ca="1" si="333"/>
        <v>0</v>
      </c>
      <c r="AF908" s="12" t="str">
        <f t="shared" ca="1" si="333"/>
        <v>0</v>
      </c>
      <c r="AG908" s="12" t="str">
        <f t="shared" ca="1" si="333"/>
        <v>1</v>
      </c>
      <c r="AH908" s="12" t="str">
        <f t="shared" ca="1" si="333"/>
        <v>1</v>
      </c>
      <c r="AI908" s="12" t="str">
        <f t="shared" ca="1" si="333"/>
        <v>0</v>
      </c>
      <c r="AJ908" s="12" t="str">
        <f t="shared" ca="1" si="333"/>
        <v>0</v>
      </c>
      <c r="AK908" s="12" t="str">
        <f t="shared" ca="1" si="333"/>
        <v>0</v>
      </c>
      <c r="AL908" s="12" t="str">
        <f t="shared" ca="1" si="333"/>
        <v>0</v>
      </c>
      <c r="AM908" s="12" t="str">
        <f t="shared" ca="1" si="333"/>
        <v>1</v>
      </c>
      <c r="AN908" s="12" t="str">
        <f t="shared" ca="1" si="333"/>
        <v>1</v>
      </c>
      <c r="AO908" s="12" t="str">
        <f t="shared" ca="1" si="333"/>
        <v>0</v>
      </c>
    </row>
    <row r="909" spans="1:49">
      <c r="A909" s="7">
        <v>3</v>
      </c>
      <c r="B909" s="29" t="str">
        <f t="shared" ca="1" si="329"/>
        <v>010111</v>
      </c>
      <c r="C909" s="30"/>
      <c r="D909" s="7">
        <f t="shared" ca="1" si="330"/>
        <v>1</v>
      </c>
      <c r="E909" s="12">
        <f t="shared" ca="1" si="331"/>
        <v>11</v>
      </c>
      <c r="F909" s="12" cm="1">
        <f t="array" aca="1" ref="F909" ca="1">INDEX(OFFSET('S-box'!$A$2, (A909-1)*6, 0, 4, 16), D909+1, E909+1)</f>
        <v>14</v>
      </c>
      <c r="G909" s="17" t="str">
        <f t="shared" ca="1" si="332"/>
        <v>1110</v>
      </c>
    </row>
    <row r="910" spans="1:49">
      <c r="A910" s="7">
        <v>4</v>
      </c>
      <c r="B910" s="29" t="str">
        <f t="shared" ca="1" si="329"/>
        <v>111010</v>
      </c>
      <c r="C910" s="30"/>
      <c r="D910" s="7">
        <f t="shared" ca="1" si="330"/>
        <v>2</v>
      </c>
      <c r="E910" s="12">
        <f t="shared" ca="1" si="331"/>
        <v>13</v>
      </c>
      <c r="F910" s="12" cm="1">
        <f t="array" aca="1" ref="F910" ca="1">INDEX(OFFSET('S-box'!$A$2, (A910-1)*6, 0, 4, 16), D910+1, E910+1)</f>
        <v>2</v>
      </c>
      <c r="G910" s="17" t="str">
        <f t="shared" ca="1" si="332"/>
        <v>0010</v>
      </c>
      <c r="I910" s="5" t="s">
        <v>242</v>
      </c>
    </row>
    <row r="911" spans="1:49">
      <c r="A911" s="7">
        <v>5</v>
      </c>
      <c r="B911" s="29" t="str">
        <f t="shared" ca="1" si="329"/>
        <v>101100</v>
      </c>
      <c r="C911" s="30"/>
      <c r="D911" s="7">
        <f t="shared" ca="1" si="330"/>
        <v>2</v>
      </c>
      <c r="E911" s="12">
        <f t="shared" ca="1" si="331"/>
        <v>6</v>
      </c>
      <c r="F911" s="12" cm="1">
        <f t="array" aca="1" ref="F911" ca="1">INDEX(OFFSET('S-box'!$A$2, (A911-1)*6, 0, 4, 16), D911+1, E911+1)</f>
        <v>7</v>
      </c>
      <c r="G911" s="17" t="str">
        <f t="shared" ca="1" si="332"/>
        <v>0111</v>
      </c>
    </row>
    <row r="912" spans="1:49">
      <c r="A912" s="7">
        <v>6</v>
      </c>
      <c r="B912" s="29" t="str">
        <f t="shared" ca="1" si="329"/>
        <v>001000</v>
      </c>
      <c r="C912" s="30"/>
      <c r="D912" s="7">
        <f t="shared" ca="1" si="330"/>
        <v>0</v>
      </c>
      <c r="E912" s="12">
        <f t="shared" ca="1" si="331"/>
        <v>4</v>
      </c>
      <c r="F912" s="12" cm="1">
        <f t="array" aca="1" ref="F912" ca="1">INDEX(OFFSET('S-box'!$A$2, (A912-1)*6, 0, 4, 16), D912+1, E912+1)</f>
        <v>9</v>
      </c>
      <c r="G912" s="17" t="str">
        <f t="shared" ca="1" si="332"/>
        <v>1001</v>
      </c>
      <c r="I912" s="12" t="s">
        <v>3</v>
      </c>
      <c r="J912" s="12">
        <v>1</v>
      </c>
      <c r="K912" s="12">
        <v>2</v>
      </c>
      <c r="L912" s="12">
        <v>3</v>
      </c>
      <c r="M912" s="12">
        <v>4</v>
      </c>
      <c r="N912" s="12">
        <v>5</v>
      </c>
      <c r="O912" s="12">
        <v>6</v>
      </c>
      <c r="P912" s="12">
        <v>7</v>
      </c>
      <c r="Q912" s="12">
        <v>8</v>
      </c>
      <c r="R912" s="12">
        <v>9</v>
      </c>
      <c r="S912" s="12">
        <v>10</v>
      </c>
      <c r="T912" s="12">
        <v>11</v>
      </c>
      <c r="U912" s="12">
        <v>12</v>
      </c>
      <c r="V912" s="12">
        <v>13</v>
      </c>
      <c r="W912" s="12">
        <v>14</v>
      </c>
      <c r="X912" s="12">
        <v>15</v>
      </c>
      <c r="Y912" s="12">
        <v>16</v>
      </c>
      <c r="Z912" s="12">
        <v>17</v>
      </c>
      <c r="AA912" s="12">
        <v>18</v>
      </c>
      <c r="AB912" s="12">
        <v>19</v>
      </c>
      <c r="AC912" s="12">
        <v>20</v>
      </c>
      <c r="AD912" s="12">
        <v>21</v>
      </c>
      <c r="AE912" s="12">
        <v>22</v>
      </c>
      <c r="AF912" s="12">
        <v>23</v>
      </c>
      <c r="AG912" s="12">
        <v>24</v>
      </c>
      <c r="AH912" s="12">
        <v>25</v>
      </c>
      <c r="AI912" s="12">
        <v>26</v>
      </c>
      <c r="AJ912" s="12">
        <v>27</v>
      </c>
      <c r="AK912" s="12">
        <v>28</v>
      </c>
      <c r="AL912" s="12">
        <v>29</v>
      </c>
      <c r="AM912" s="12">
        <v>30</v>
      </c>
      <c r="AN912" s="12">
        <v>31</v>
      </c>
      <c r="AO912" s="12">
        <v>32</v>
      </c>
    </row>
    <row r="913" spans="1:41">
      <c r="A913" s="7">
        <v>7</v>
      </c>
      <c r="B913" s="29" t="str">
        <f t="shared" ca="1" si="329"/>
        <v>100111</v>
      </c>
      <c r="C913" s="30"/>
      <c r="D913" s="7">
        <f t="shared" ca="1" si="330"/>
        <v>3</v>
      </c>
      <c r="E913" s="12">
        <f t="shared" ca="1" si="331"/>
        <v>3</v>
      </c>
      <c r="F913" s="12" cm="1">
        <f t="array" aca="1" ref="F913" ca="1">INDEX(OFFSET('S-box'!$A$2, (A913-1)*6, 0, 4, 16), D913+1, E913+1)</f>
        <v>8</v>
      </c>
      <c r="G913" s="17" t="str">
        <f t="shared" ca="1" si="332"/>
        <v>1000</v>
      </c>
      <c r="I913" s="18" t="s">
        <v>152</v>
      </c>
      <c r="J913" s="12" t="str" cm="1">
        <f t="array" aca="1" ref="J913" ca="1">INDEX($J$908:$AO$908, INDEX($T$15:$AA$18, INT((COLUMN(A331)-1)/8)+1, MOD(COLUMN(A331)-1,8)+1))</f>
        <v>0</v>
      </c>
      <c r="K913" s="12" t="str" cm="1">
        <f t="array" aca="1" ref="K913" ca="1">INDEX($J$908:$AO$908, INDEX($T$15:$AA$18, INT((COLUMN(B331)-1)/8)+1, MOD(COLUMN(B331)-1,8)+1))</f>
        <v>1</v>
      </c>
      <c r="L913" s="12" t="str" cm="1">
        <f t="array" aca="1" ref="L913" ca="1">INDEX($J$908:$AO$908, INDEX($T$15:$AA$18, INT((COLUMN(C331)-1)/8)+1, MOD(COLUMN(C331)-1,8)+1))</f>
        <v>1</v>
      </c>
      <c r="M913" s="12" t="str" cm="1">
        <f t="array" aca="1" ref="M913" ca="1">INDEX($J$908:$AO$908, INDEX($T$15:$AA$18, INT((COLUMN(D331)-1)/8)+1, MOD(COLUMN(D331)-1,8)+1))</f>
        <v>1</v>
      </c>
      <c r="N913" s="12" t="str" cm="1">
        <f t="array" aca="1" ref="N913" ca="1">INDEX($J$908:$AO$908, INDEX($T$15:$AA$18, INT((COLUMN(E331)-1)/8)+1, MOD(COLUMN(E331)-1,8)+1))</f>
        <v>0</v>
      </c>
      <c r="O913" s="12" t="str" cm="1">
        <f t="array" aca="1" ref="O913" ca="1">INDEX($J$908:$AO$908, INDEX($T$15:$AA$18, INT((COLUMN(F331)-1)/8)+1, MOD(COLUMN(F331)-1,8)+1))</f>
        <v>0</v>
      </c>
      <c r="P913" s="12" t="str" cm="1">
        <f t="array" aca="1" ref="P913" ca="1">INDEX($J$908:$AO$908, INDEX($T$15:$AA$18, INT((COLUMN(G331)-1)/8)+1, MOD(COLUMN(G331)-1,8)+1))</f>
        <v>0</v>
      </c>
      <c r="Q913" s="12" t="str" cm="1">
        <f t="array" aca="1" ref="Q913" ca="1">INDEX($J$908:$AO$908, INDEX($T$15:$AA$18, INT((COLUMN(H331)-1)/8)+1, MOD(COLUMN(H331)-1,8)+1))</f>
        <v>0</v>
      </c>
      <c r="R913" s="12" t="str" cm="1">
        <f t="array" aca="1" ref="R913" ca="1">INDEX($J$908:$AO$908, INDEX($T$15:$AA$18, INT((COLUMN(I331)-1)/8)+1, MOD(COLUMN(I331)-1,8)+1))</f>
        <v>0</v>
      </c>
      <c r="S913" s="12" t="str" cm="1">
        <f t="array" aca="1" ref="S913" ca="1">INDEX($J$908:$AO$908, INDEX($T$15:$AA$18, INT((COLUMN(J331)-1)/8)+1, MOD(COLUMN(J331)-1,8)+1))</f>
        <v>1</v>
      </c>
      <c r="T913" s="12" t="str" cm="1">
        <f t="array" aca="1" ref="T913" ca="1">INDEX($J$908:$AO$908, INDEX($T$15:$AA$18, INT((COLUMN(K331)-1)/8)+1, MOD(COLUMN(K331)-1,8)+1))</f>
        <v>0</v>
      </c>
      <c r="U913" s="12" t="str" cm="1">
        <f t="array" aca="1" ref="U913" ca="1">INDEX($J$908:$AO$908, INDEX($T$15:$AA$18, INT((COLUMN(L331)-1)/8)+1, MOD(COLUMN(L331)-1,8)+1))</f>
        <v>0</v>
      </c>
      <c r="V913" s="12" t="str" cm="1">
        <f t="array" aca="1" ref="V913" ca="1">INDEX($J$908:$AO$908, INDEX($T$15:$AA$18, INT((COLUMN(M331)-1)/8)+1, MOD(COLUMN(M331)-1,8)+1))</f>
        <v>1</v>
      </c>
      <c r="W913" s="12" t="str" cm="1">
        <f t="array" aca="1" ref="W913" ca="1">INDEX($J$908:$AO$908, INDEX($T$15:$AA$18, INT((COLUMN(N331)-1)/8)+1, MOD(COLUMN(N331)-1,8)+1))</f>
        <v>1</v>
      </c>
      <c r="X913" s="12" t="str" cm="1">
        <f t="array" aca="1" ref="X913" ca="1">INDEX($J$908:$AO$908, INDEX($T$15:$AA$18, INT((COLUMN(O331)-1)/8)+1, MOD(COLUMN(O331)-1,8)+1))</f>
        <v>1</v>
      </c>
      <c r="Y913" s="12" t="str" cm="1">
        <f t="array" aca="1" ref="Y913" ca="1">INDEX($J$908:$AO$908, INDEX($T$15:$AA$18, INT((COLUMN(P331)-1)/8)+1, MOD(COLUMN(P331)-1,8)+1))</f>
        <v>1</v>
      </c>
      <c r="Z913" s="12" t="str" cm="1">
        <f t="array" aca="1" ref="Z913" ca="1">INDEX($J$908:$AO$908, INDEX($T$15:$AA$18, INT((COLUMN(Q331)-1)/8)+1, MOD(COLUMN(Q331)-1,8)+1))</f>
        <v>1</v>
      </c>
      <c r="AA913" s="12" t="str" cm="1">
        <f t="array" aca="1" ref="AA913" ca="1">INDEX($J$908:$AO$908, INDEX($T$15:$AA$18, INT((COLUMN(R331)-1)/8)+1, MOD(COLUMN(R331)-1,8)+1))</f>
        <v>0</v>
      </c>
      <c r="AB913" s="12" t="str" cm="1">
        <f t="array" aca="1" ref="AB913" ca="1">INDEX($J$908:$AO$908, INDEX($T$15:$AA$18, INT((COLUMN(S331)-1)/8)+1, MOD(COLUMN(S331)-1,8)+1))</f>
        <v>1</v>
      </c>
      <c r="AC913" s="12" t="str" cm="1">
        <f t="array" aca="1" ref="AC913" ca="1">INDEX($J$908:$AO$908, INDEX($T$15:$AA$18, INT((COLUMN(T331)-1)/8)+1, MOD(COLUMN(T331)-1,8)+1))</f>
        <v>0</v>
      </c>
      <c r="AD913" s="12" t="str" cm="1">
        <f t="array" aca="1" ref="AD913" ca="1">INDEX($J$908:$AO$908, INDEX($T$15:$AA$18, INT((COLUMN(U331)-1)/8)+1, MOD(COLUMN(U331)-1,8)+1))</f>
        <v>0</v>
      </c>
      <c r="AE913" s="12" t="str" cm="1">
        <f t="array" aca="1" ref="AE913" ca="1">INDEX($J$908:$AO$908, INDEX($T$15:$AA$18, INT((COLUMN(V331)-1)/8)+1, MOD(COLUMN(V331)-1,8)+1))</f>
        <v>0</v>
      </c>
      <c r="AF913" s="12" t="str" cm="1">
        <f t="array" aca="1" ref="AF913" ca="1">INDEX($J$908:$AO$908, INDEX($T$15:$AA$18, INT((COLUMN(W331)-1)/8)+1, MOD(COLUMN(W331)-1,8)+1))</f>
        <v>1</v>
      </c>
      <c r="AG913" s="12" t="str" cm="1">
        <f t="array" aca="1" ref="AG913" ca="1">INDEX($J$908:$AO$908, INDEX($T$15:$AA$18, INT((COLUMN(X331)-1)/8)+1, MOD(COLUMN(X331)-1,8)+1))</f>
        <v>1</v>
      </c>
      <c r="AH913" s="12" t="str" cm="1">
        <f t="array" aca="1" ref="AH913" ca="1">INDEX($J$908:$AO$908, INDEX($T$15:$AA$18, INT((COLUMN(Y331)-1)/8)+1, MOD(COLUMN(Y331)-1,8)+1))</f>
        <v>1</v>
      </c>
      <c r="AI913" s="12" t="str" cm="1">
        <f t="array" aca="1" ref="AI913" ca="1">INDEX($J$908:$AO$908, INDEX($T$15:$AA$18, INT((COLUMN(Z331)-1)/8)+1, MOD(COLUMN(Z331)-1,8)+1))</f>
        <v>0</v>
      </c>
      <c r="AJ913" s="12" t="str" cm="1">
        <f t="array" aca="1" ref="AJ913" ca="1">INDEX($J$908:$AO$908, INDEX($T$15:$AA$18, INT((COLUMN(AA331)-1)/8)+1, MOD(COLUMN(AA331)-1,8)+1))</f>
        <v>1</v>
      </c>
      <c r="AK913" s="12" t="str" cm="1">
        <f t="array" aca="1" ref="AK913" ca="1">INDEX($J$908:$AO$908, INDEX($T$15:$AA$18, INT((COLUMN(AB331)-1)/8)+1, MOD(COLUMN(AB331)-1,8)+1))</f>
        <v>0</v>
      </c>
      <c r="AL913" s="12" t="str" cm="1">
        <f t="array" aca="1" ref="AL913" ca="1">INDEX($J$908:$AO$908, INDEX($T$15:$AA$18, INT((COLUMN(AC331)-1)/8)+1, MOD(COLUMN(AC331)-1,8)+1))</f>
        <v>0</v>
      </c>
      <c r="AM913" s="12" t="str" cm="1">
        <f t="array" aca="1" ref="AM913" ca="1">INDEX($J$908:$AO$908, INDEX($T$15:$AA$18, INT((COLUMN(AD331)-1)/8)+1, MOD(COLUMN(AD331)-1,8)+1))</f>
        <v>1</v>
      </c>
      <c r="AN913" s="12" t="str" cm="1">
        <f t="array" aca="1" ref="AN913" ca="1">INDEX($J$908:$AO$908, INDEX($T$15:$AA$18, INT((COLUMN(AE331)-1)/8)+1, MOD(COLUMN(AE331)-1,8)+1))</f>
        <v>0</v>
      </c>
      <c r="AO913" s="12" t="str" cm="1">
        <f t="array" aca="1" ref="AO913" ca="1">INDEX($J$908:$AO$908, INDEX($T$15:$AA$18, INT((COLUMN(AF331)-1)/8)+1, MOD(COLUMN(AF331)-1,8)+1))</f>
        <v>1</v>
      </c>
    </row>
    <row r="914" spans="1:41">
      <c r="A914" s="7">
        <v>8</v>
      </c>
      <c r="B914" s="29" t="str">
        <f t="shared" ca="1" si="329"/>
        <v>010101</v>
      </c>
      <c r="C914" s="30"/>
      <c r="D914" s="7">
        <f t="shared" ca="1" si="330"/>
        <v>1</v>
      </c>
      <c r="E914" s="12">
        <f t="shared" ca="1" si="331"/>
        <v>10</v>
      </c>
      <c r="F914" s="12" cm="1">
        <f t="array" aca="1" ref="F914" ca="1">INDEX(OFFSET('S-box'!$A$2, (A914-1)*6, 0, 4, 16), D914+1, E914+1)</f>
        <v>6</v>
      </c>
      <c r="G914" s="17" t="str">
        <f t="shared" ca="1" si="332"/>
        <v>0110</v>
      </c>
    </row>
    <row r="916" spans="1:41">
      <c r="A916" s="20" t="s">
        <v>243</v>
      </c>
    </row>
    <row r="918" spans="1:41">
      <c r="A918" s="12" t="s">
        <v>3</v>
      </c>
      <c r="B918" s="12">
        <v>1</v>
      </c>
      <c r="C918" s="12">
        <v>2</v>
      </c>
      <c r="D918" s="12">
        <v>3</v>
      </c>
      <c r="E918" s="12">
        <v>4</v>
      </c>
      <c r="F918" s="12">
        <v>5</v>
      </c>
      <c r="G918" s="12">
        <v>6</v>
      </c>
      <c r="H918" s="12">
        <v>7</v>
      </c>
      <c r="I918" s="12">
        <v>8</v>
      </c>
      <c r="J918" s="12">
        <v>9</v>
      </c>
      <c r="K918" s="12">
        <v>10</v>
      </c>
      <c r="L918" s="12">
        <v>11</v>
      </c>
      <c r="M918" s="12">
        <v>12</v>
      </c>
      <c r="N918" s="12">
        <v>13</v>
      </c>
      <c r="O918" s="12">
        <v>14</v>
      </c>
      <c r="P918" s="12">
        <v>15</v>
      </c>
      <c r="Q918" s="12">
        <v>16</v>
      </c>
      <c r="R918" s="12">
        <v>17</v>
      </c>
      <c r="S918" s="12">
        <v>18</v>
      </c>
      <c r="T918" s="12">
        <v>19</v>
      </c>
      <c r="U918" s="12">
        <v>20</v>
      </c>
      <c r="V918" s="12">
        <v>21</v>
      </c>
      <c r="W918" s="12">
        <v>22</v>
      </c>
      <c r="X918" s="12">
        <v>23</v>
      </c>
      <c r="Y918" s="12">
        <v>24</v>
      </c>
      <c r="Z918" s="12">
        <v>25</v>
      </c>
      <c r="AA918" s="12">
        <v>26</v>
      </c>
      <c r="AB918" s="12">
        <v>27</v>
      </c>
      <c r="AC918" s="12">
        <v>28</v>
      </c>
      <c r="AD918" s="12">
        <v>29</v>
      </c>
      <c r="AE918" s="12">
        <v>30</v>
      </c>
      <c r="AF918" s="12">
        <v>31</v>
      </c>
      <c r="AG918" s="12">
        <v>32</v>
      </c>
    </row>
    <row r="919" spans="1:41">
      <c r="A919" s="12" t="s">
        <v>244</v>
      </c>
      <c r="B919" s="12">
        <v>0</v>
      </c>
      <c r="C919" s="12">
        <v>1</v>
      </c>
      <c r="D919" s="12">
        <v>0</v>
      </c>
      <c r="E919" s="12">
        <v>0</v>
      </c>
      <c r="F919" s="12">
        <v>0</v>
      </c>
      <c r="G919" s="12">
        <v>1</v>
      </c>
      <c r="H919" s="12">
        <v>0</v>
      </c>
      <c r="I919" s="12">
        <v>0</v>
      </c>
      <c r="J919" s="12">
        <v>1</v>
      </c>
      <c r="K919" s="12">
        <v>0</v>
      </c>
      <c r="L919" s="12">
        <v>0</v>
      </c>
      <c r="M919" s="12">
        <v>0</v>
      </c>
      <c r="N919" s="12">
        <v>0</v>
      </c>
      <c r="O919" s="12">
        <v>1</v>
      </c>
      <c r="P919" s="12">
        <v>1</v>
      </c>
      <c r="Q919" s="12">
        <v>1</v>
      </c>
      <c r="R919" s="12">
        <v>1</v>
      </c>
      <c r="S919" s="12">
        <v>1</v>
      </c>
      <c r="T919" s="12">
        <v>1</v>
      </c>
      <c r="U919" s="12">
        <v>0</v>
      </c>
      <c r="V919" s="12">
        <v>1</v>
      </c>
      <c r="W919" s="12">
        <v>1</v>
      </c>
      <c r="X919" s="12">
        <v>1</v>
      </c>
      <c r="Y919" s="12">
        <v>0</v>
      </c>
      <c r="Z919" s="12">
        <v>1</v>
      </c>
      <c r="AA919" s="12">
        <v>0</v>
      </c>
      <c r="AB919" s="12">
        <v>1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</row>
    <row r="920" spans="1:41">
      <c r="A920" s="12" t="s">
        <v>245</v>
      </c>
      <c r="B920" s="12">
        <f ca="1">_xlfn.BITXOR(B886,J913)</f>
        <v>1</v>
      </c>
      <c r="C920" s="12">
        <f t="shared" ref="C920" ca="1" si="334">_xlfn.BITXOR(C886,K913)</f>
        <v>1</v>
      </c>
      <c r="D920" s="12">
        <f t="shared" ref="D920" ca="1" si="335">_xlfn.BITXOR(D886,L913)</f>
        <v>1</v>
      </c>
      <c r="E920" s="12">
        <f t="shared" ref="E920" ca="1" si="336">_xlfn.BITXOR(E886,M913)</f>
        <v>1</v>
      </c>
      <c r="F920" s="12">
        <f t="shared" ref="F920" ca="1" si="337">_xlfn.BITXOR(F886,N913)</f>
        <v>1</v>
      </c>
      <c r="G920" s="12">
        <f t="shared" ref="G920" ca="1" si="338">_xlfn.BITXOR(G886,O913)</f>
        <v>0</v>
      </c>
      <c r="H920" s="12">
        <f t="shared" ref="H920" ca="1" si="339">_xlfn.BITXOR(H886,P913)</f>
        <v>1</v>
      </c>
      <c r="I920" s="12">
        <f t="shared" ref="I920" ca="1" si="340">_xlfn.BITXOR(I886,Q913)</f>
        <v>0</v>
      </c>
      <c r="J920" s="12">
        <f t="shared" ref="J920" ca="1" si="341">_xlfn.BITXOR(J886,R913)</f>
        <v>0</v>
      </c>
      <c r="K920" s="12">
        <f t="shared" ref="K920" ca="1" si="342">_xlfn.BITXOR(K886,S913)</f>
        <v>0</v>
      </c>
      <c r="L920" s="12">
        <f t="shared" ref="L920" ca="1" si="343">_xlfn.BITXOR(L886,T913)</f>
        <v>1</v>
      </c>
      <c r="M920" s="12">
        <f t="shared" ref="M920" ca="1" si="344">_xlfn.BITXOR(M886,U913)</f>
        <v>1</v>
      </c>
      <c r="N920" s="12">
        <f t="shared" ref="N920" ca="1" si="345">_xlfn.BITXOR(N886,V913)</f>
        <v>0</v>
      </c>
      <c r="O920" s="12">
        <f t="shared" ref="O920" ca="1" si="346">_xlfn.BITXOR(O886,W913)</f>
        <v>1</v>
      </c>
      <c r="P920" s="12">
        <f t="shared" ref="P920" ca="1" si="347">_xlfn.BITXOR(P886,X913)</f>
        <v>1</v>
      </c>
      <c r="Q920" s="12">
        <f t="shared" ref="Q920" ca="1" si="348">_xlfn.BITXOR(Q886,Y913)</f>
        <v>0</v>
      </c>
      <c r="R920" s="12">
        <f t="shared" ref="R920" ca="1" si="349">_xlfn.BITXOR(R886,Z913)</f>
        <v>0</v>
      </c>
      <c r="S920" s="12">
        <f t="shared" ref="S920" ca="1" si="350">_xlfn.BITXOR(S886,AA913)</f>
        <v>1</v>
      </c>
      <c r="T920" s="12">
        <f t="shared" ref="T920" ca="1" si="351">_xlfn.BITXOR(T886,AB913)</f>
        <v>0</v>
      </c>
      <c r="U920" s="12">
        <f t="shared" ref="U920" ca="1" si="352">_xlfn.BITXOR(U886,AC913)</f>
        <v>1</v>
      </c>
      <c r="V920" s="12">
        <f t="shared" ref="V920" ca="1" si="353">_xlfn.BITXOR(V886,AD913)</f>
        <v>0</v>
      </c>
      <c r="W920" s="12">
        <f t="shared" ref="W920" ca="1" si="354">_xlfn.BITXOR(W886,AE913)</f>
        <v>0</v>
      </c>
      <c r="X920" s="12">
        <f t="shared" ref="X920" ca="1" si="355">_xlfn.BITXOR(X886,AF913)</f>
        <v>0</v>
      </c>
      <c r="Y920" s="12">
        <f t="shared" ref="Y920" ca="1" si="356">_xlfn.BITXOR(Y886,AG913)</f>
        <v>1</v>
      </c>
      <c r="Z920" s="12">
        <f t="shared" ref="Z920" ca="1" si="357">_xlfn.BITXOR(Z886,AH913)</f>
        <v>1</v>
      </c>
      <c r="AA920" s="12">
        <f t="shared" ref="AA920" ca="1" si="358">_xlfn.BITXOR(AA886,AI913)</f>
        <v>1</v>
      </c>
      <c r="AB920" s="12">
        <f t="shared" ref="AB920" ca="1" si="359">_xlfn.BITXOR(AB886,AJ913)</f>
        <v>0</v>
      </c>
      <c r="AC920" s="12">
        <f t="shared" ref="AC920" ca="1" si="360">_xlfn.BITXOR(AC886,AK913)</f>
        <v>0</v>
      </c>
      <c r="AD920" s="12">
        <f t="shared" ref="AD920" ca="1" si="361">_xlfn.BITXOR(AD886,AL913)</f>
        <v>1</v>
      </c>
      <c r="AE920" s="12">
        <f t="shared" ref="AE920" ca="1" si="362">_xlfn.BITXOR(AE886,AM913)</f>
        <v>1</v>
      </c>
      <c r="AF920" s="12">
        <f t="shared" ref="AF920" ca="1" si="363">_xlfn.BITXOR(AF886,AN913)</f>
        <v>1</v>
      </c>
      <c r="AG920" s="12">
        <f t="shared" ref="AG920" ca="1" si="364">_xlfn.BITXOR(AG886,AO913)</f>
        <v>1</v>
      </c>
    </row>
    <row r="922" spans="1:41">
      <c r="A922" s="21" t="s">
        <v>246</v>
      </c>
    </row>
    <row r="923" spans="1:41">
      <c r="A923" s="5" t="s">
        <v>247</v>
      </c>
      <c r="B923" s="12" cm="1">
        <f t="array" aca="1" ref="B923" ca="1">INDEX($B$920:$AG$920, T25)</f>
        <v>1</v>
      </c>
      <c r="C923" s="12" cm="1">
        <f t="array" aca="1" ref="C923" ca="1">INDEX($B$920:$AG$920, U25)</f>
        <v>1</v>
      </c>
      <c r="D923" s="12" cm="1">
        <f t="array" aca="1" ref="D923" ca="1">INDEX($B$920:$AG$920, V25)</f>
        <v>1</v>
      </c>
      <c r="E923" s="12" cm="1">
        <f t="array" aca="1" ref="E923" ca="1">INDEX($B$920:$AG$920, W25)</f>
        <v>1</v>
      </c>
      <c r="F923" s="12" cm="1">
        <f t="array" aca="1" ref="F923" ca="1">INDEX($B$920:$AG$920, X25)</f>
        <v>1</v>
      </c>
      <c r="G923" s="12" cm="1">
        <f t="array" aca="1" ref="G923" ca="1">INDEX($B$920:$AG$920, Y25)</f>
        <v>1</v>
      </c>
    </row>
    <row r="924" spans="1:41">
      <c r="B924" s="12" cm="1">
        <f t="array" aca="1" ref="B924" ca="1">INDEX($B$920:$AG$920, T26)</f>
        <v>1</v>
      </c>
      <c r="C924" s="12" cm="1">
        <f t="array" aca="1" ref="C924" ca="1">INDEX($B$920:$AG$920, U26)</f>
        <v>1</v>
      </c>
      <c r="D924" s="12" cm="1">
        <f t="array" aca="1" ref="D924" ca="1">INDEX($B$920:$AG$920, V26)</f>
        <v>0</v>
      </c>
      <c r="E924" s="12" cm="1">
        <f t="array" aca="1" ref="E924" ca="1">INDEX($B$920:$AG$920, W26)</f>
        <v>1</v>
      </c>
      <c r="F924" s="12" cm="1">
        <f t="array" aca="1" ref="F924" ca="1">INDEX($B$920:$AG$920, X26)</f>
        <v>0</v>
      </c>
      <c r="G924" s="12" cm="1">
        <f t="array" aca="1" ref="G924" ca="1">INDEX($B$920:$AG$920, Y26)</f>
        <v>0</v>
      </c>
    </row>
    <row r="925" spans="1:41">
      <c r="B925" s="12" cm="1">
        <f t="array" aca="1" ref="B925" ca="1">INDEX($B$920:$AG$920, T27)</f>
        <v>0</v>
      </c>
      <c r="C925" s="12" cm="1">
        <f t="array" aca="1" ref="C925" ca="1">INDEX($B$920:$AG$920, U27)</f>
        <v>0</v>
      </c>
      <c r="D925" s="12" cm="1">
        <f t="array" aca="1" ref="D925" ca="1">INDEX($B$920:$AG$920, V27)</f>
        <v>0</v>
      </c>
      <c r="E925" s="12" cm="1">
        <f t="array" aca="1" ref="E925" ca="1">INDEX($B$920:$AG$920, W27)</f>
        <v>1</v>
      </c>
      <c r="F925" s="12" cm="1">
        <f t="array" aca="1" ref="F925" ca="1">INDEX($B$920:$AG$920, X27)</f>
        <v>1</v>
      </c>
      <c r="G925" s="12" cm="1">
        <f t="array" aca="1" ref="G925" ca="1">INDEX($B$920:$AG$920, Y27)</f>
        <v>0</v>
      </c>
    </row>
    <row r="926" spans="1:41">
      <c r="B926" s="12" cm="1">
        <f t="array" aca="1" ref="B926" ca="1">INDEX($B$920:$AG$920, T28)</f>
        <v>1</v>
      </c>
      <c r="C926" s="12" cm="1">
        <f t="array" aca="1" ref="C926" ca="1">INDEX($B$920:$AG$920, U28)</f>
        <v>0</v>
      </c>
      <c r="D926" s="12" cm="1">
        <f t="array" aca="1" ref="D926" ca="1">INDEX($B$920:$AG$920, V28)</f>
        <v>1</v>
      </c>
      <c r="E926" s="12" cm="1">
        <f t="array" aca="1" ref="E926" ca="1">INDEX($B$920:$AG$920, W28)</f>
        <v>1</v>
      </c>
      <c r="F926" s="12" cm="1">
        <f t="array" aca="1" ref="F926" ca="1">INDEX($B$920:$AG$920, X28)</f>
        <v>0</v>
      </c>
      <c r="G926" s="12" cm="1">
        <f t="array" aca="1" ref="G926" ca="1">INDEX($B$920:$AG$920, Y28)</f>
        <v>0</v>
      </c>
    </row>
    <row r="927" spans="1:41">
      <c r="B927" s="12" cm="1">
        <f t="array" aca="1" ref="B927" ca="1">INDEX($B$920:$AG$920, T29)</f>
        <v>0</v>
      </c>
      <c r="C927" s="12" cm="1">
        <f t="array" aca="1" ref="C927" ca="1">INDEX($B$920:$AG$920, U29)</f>
        <v>0</v>
      </c>
      <c r="D927" s="12" cm="1">
        <f t="array" aca="1" ref="D927" ca="1">INDEX($B$920:$AG$920, V29)</f>
        <v>1</v>
      </c>
      <c r="E927" s="12" cm="1">
        <f t="array" aca="1" ref="E927" ca="1">INDEX($B$920:$AG$920, W29)</f>
        <v>0</v>
      </c>
      <c r="F927" s="12" cm="1">
        <f t="array" aca="1" ref="F927" ca="1">INDEX($B$920:$AG$920, X29)</f>
        <v>1</v>
      </c>
      <c r="G927" s="12" cm="1">
        <f t="array" aca="1" ref="G927" ca="1">INDEX($B$920:$AG$920, Y29)</f>
        <v>0</v>
      </c>
    </row>
    <row r="928" spans="1:41">
      <c r="B928" s="12" cm="1">
        <f t="array" aca="1" ref="B928" ca="1">INDEX($B$920:$AG$920, T30)</f>
        <v>1</v>
      </c>
      <c r="C928" s="12" cm="1">
        <f t="array" aca="1" ref="C928" ca="1">INDEX($B$920:$AG$920, U30)</f>
        <v>0</v>
      </c>
      <c r="D928" s="12" cm="1">
        <f t="array" aca="1" ref="D928" ca="1">INDEX($B$920:$AG$920, V30)</f>
        <v>0</v>
      </c>
      <c r="E928" s="12" cm="1">
        <f t="array" aca="1" ref="E928" ca="1">INDEX($B$920:$AG$920, W30)</f>
        <v>0</v>
      </c>
      <c r="F928" s="12" cm="1">
        <f t="array" aca="1" ref="F928" ca="1">INDEX($B$920:$AG$920, X30)</f>
        <v>1</v>
      </c>
      <c r="G928" s="12" cm="1">
        <f t="array" aca="1" ref="G928" ca="1">INDEX($B$920:$AG$920, Y30)</f>
        <v>1</v>
      </c>
    </row>
    <row r="929" spans="1:49">
      <c r="B929" s="12" cm="1">
        <f t="array" aca="1" ref="B929" ca="1">INDEX($B$920:$AG$920, T31)</f>
        <v>1</v>
      </c>
      <c r="C929" s="12" cm="1">
        <f t="array" aca="1" ref="C929" ca="1">INDEX($B$920:$AG$920, U31)</f>
        <v>1</v>
      </c>
      <c r="D929" s="12" cm="1">
        <f t="array" aca="1" ref="D929" ca="1">INDEX($B$920:$AG$920, V31)</f>
        <v>1</v>
      </c>
      <c r="E929" s="12" cm="1">
        <f t="array" aca="1" ref="E929" ca="1">INDEX($B$920:$AG$920, W31)</f>
        <v>0</v>
      </c>
      <c r="F929" s="12" cm="1">
        <f t="array" aca="1" ref="F929" ca="1">INDEX($B$920:$AG$920, X31)</f>
        <v>0</v>
      </c>
      <c r="G929" s="12" cm="1">
        <f t="array" aca="1" ref="G929" ca="1">INDEX($B$920:$AG$920, Y31)</f>
        <v>1</v>
      </c>
    </row>
    <row r="930" spans="1:49">
      <c r="B930" s="12" cm="1">
        <f t="array" aca="1" ref="B930" ca="1">INDEX($B$920:$AG$920, T32)</f>
        <v>0</v>
      </c>
      <c r="C930" s="12" cm="1">
        <f t="array" aca="1" ref="C930" ca="1">INDEX($B$920:$AG$920, U32)</f>
        <v>1</v>
      </c>
      <c r="D930" s="12" cm="1">
        <f t="array" aca="1" ref="D930" ca="1">INDEX($B$920:$AG$920, V32)</f>
        <v>1</v>
      </c>
      <c r="E930" s="12" cm="1">
        <f t="array" aca="1" ref="E930" ca="1">INDEX($B$920:$AG$920, W32)</f>
        <v>1</v>
      </c>
      <c r="F930" s="12" cm="1">
        <f t="array" aca="1" ref="F930" ca="1">INDEX($B$920:$AG$920, X32)</f>
        <v>1</v>
      </c>
      <c r="G930" s="12" cm="1">
        <f t="array" aca="1" ref="G930" ca="1">INDEX($B$920:$AG$920, Y32)</f>
        <v>1</v>
      </c>
    </row>
    <row r="932" spans="1:49">
      <c r="A932" s="12" t="s">
        <v>3</v>
      </c>
      <c r="B932" s="12">
        <v>1</v>
      </c>
      <c r="C932" s="12">
        <v>2</v>
      </c>
      <c r="D932" s="12">
        <v>3</v>
      </c>
      <c r="E932" s="12">
        <v>4</v>
      </c>
      <c r="F932" s="12">
        <v>5</v>
      </c>
      <c r="G932" s="12">
        <v>6</v>
      </c>
      <c r="H932" s="12">
        <v>7</v>
      </c>
      <c r="I932" s="12">
        <v>8</v>
      </c>
      <c r="J932" s="12">
        <v>9</v>
      </c>
      <c r="K932" s="12">
        <v>10</v>
      </c>
      <c r="L932" s="12">
        <v>11</v>
      </c>
      <c r="M932" s="12">
        <v>12</v>
      </c>
      <c r="N932" s="12">
        <v>13</v>
      </c>
      <c r="O932" s="12">
        <v>14</v>
      </c>
      <c r="P932" s="12">
        <v>15</v>
      </c>
      <c r="Q932" s="12">
        <v>16</v>
      </c>
      <c r="R932" s="12">
        <v>17</v>
      </c>
      <c r="S932" s="12">
        <v>18</v>
      </c>
      <c r="T932" s="12">
        <v>19</v>
      </c>
      <c r="U932" s="12">
        <v>20</v>
      </c>
      <c r="V932" s="12">
        <v>21</v>
      </c>
      <c r="W932" s="12">
        <v>22</v>
      </c>
      <c r="X932" s="12">
        <v>23</v>
      </c>
      <c r="Y932" s="12">
        <v>24</v>
      </c>
      <c r="Z932" s="12">
        <v>25</v>
      </c>
      <c r="AA932" s="12">
        <v>26</v>
      </c>
      <c r="AB932" s="12">
        <v>27</v>
      </c>
      <c r="AC932" s="12">
        <v>28</v>
      </c>
      <c r="AD932" s="12">
        <v>29</v>
      </c>
      <c r="AE932" s="12">
        <v>30</v>
      </c>
      <c r="AF932" s="12">
        <v>31</v>
      </c>
      <c r="AG932" s="12">
        <v>32</v>
      </c>
      <c r="AH932" s="12">
        <v>33</v>
      </c>
      <c r="AI932" s="12">
        <v>34</v>
      </c>
      <c r="AJ932" s="12">
        <v>35</v>
      </c>
      <c r="AK932" s="12">
        <v>36</v>
      </c>
      <c r="AL932" s="12">
        <v>37</v>
      </c>
      <c r="AM932" s="12">
        <v>38</v>
      </c>
      <c r="AN932" s="12">
        <v>39</v>
      </c>
      <c r="AO932" s="12">
        <v>40</v>
      </c>
      <c r="AP932" s="12">
        <v>41</v>
      </c>
      <c r="AQ932" s="12">
        <v>42</v>
      </c>
      <c r="AR932" s="12">
        <v>43</v>
      </c>
      <c r="AS932" s="12">
        <v>44</v>
      </c>
      <c r="AT932" s="12">
        <v>45</v>
      </c>
      <c r="AU932" s="12">
        <v>46</v>
      </c>
      <c r="AV932" s="12">
        <v>47</v>
      </c>
      <c r="AW932" s="12">
        <v>48</v>
      </c>
    </row>
    <row r="933" spans="1:49">
      <c r="A933" s="7" t="s">
        <v>247</v>
      </c>
      <c r="B933" s="16" cm="1">
        <f t="array" aca="1" ref="B933" ca="1">INDEX($B$923:$G930, INT((COLUMN(A789)-1)/6)+1, MOD(COLUMN(A789)-1,6)+1)</f>
        <v>1</v>
      </c>
      <c r="C933" s="16" cm="1">
        <f t="array" aca="1" ref="C933" ca="1">INDEX($B$923:$G930, INT((COLUMN(B789)-1)/6)+1, MOD(COLUMN(B789)-1,6)+1)</f>
        <v>1</v>
      </c>
      <c r="D933" s="16" cm="1">
        <f t="array" aca="1" ref="D933" ca="1">INDEX($B$923:$G930, INT((COLUMN(C789)-1)/6)+1, MOD(COLUMN(C789)-1,6)+1)</f>
        <v>1</v>
      </c>
      <c r="E933" s="16" cm="1">
        <f t="array" aca="1" ref="E933" ca="1">INDEX($B$923:$G930, INT((COLUMN(D789)-1)/6)+1, MOD(COLUMN(D789)-1,6)+1)</f>
        <v>1</v>
      </c>
      <c r="F933" s="16" cm="1">
        <f t="array" aca="1" ref="F933" ca="1">INDEX($B$923:$G930, INT((COLUMN(E789)-1)/6)+1, MOD(COLUMN(E789)-1,6)+1)</f>
        <v>1</v>
      </c>
      <c r="G933" s="16" cm="1">
        <f t="array" aca="1" ref="G933" ca="1">INDEX($B$923:$G930, INT((COLUMN(F789)-1)/6)+1, MOD(COLUMN(F789)-1,6)+1)</f>
        <v>1</v>
      </c>
      <c r="H933" s="16" cm="1">
        <f t="array" aca="1" ref="H933" ca="1">INDEX($B$923:$G930, INT((COLUMN(G789)-1)/6)+1, MOD(COLUMN(G789)-1,6)+1)</f>
        <v>1</v>
      </c>
      <c r="I933" s="16" cm="1">
        <f t="array" aca="1" ref="I933" ca="1">INDEX($B$923:$G930, INT((COLUMN(H789)-1)/6)+1, MOD(COLUMN(H789)-1,6)+1)</f>
        <v>1</v>
      </c>
      <c r="J933" s="16" cm="1">
        <f t="array" aca="1" ref="J933" ca="1">INDEX($B$923:$G930, INT((COLUMN(I789)-1)/6)+1, MOD(COLUMN(I789)-1,6)+1)</f>
        <v>0</v>
      </c>
      <c r="K933" s="16" cm="1">
        <f t="array" aca="1" ref="K933" ca="1">INDEX($B$923:$G930, INT((COLUMN(J789)-1)/6)+1, MOD(COLUMN(J789)-1,6)+1)</f>
        <v>1</v>
      </c>
      <c r="L933" s="16" cm="1">
        <f t="array" aca="1" ref="L933" ca="1">INDEX($B$923:$G930, INT((COLUMN(K789)-1)/6)+1, MOD(COLUMN(K789)-1,6)+1)</f>
        <v>0</v>
      </c>
      <c r="M933" s="16" cm="1">
        <f t="array" aca="1" ref="M933" ca="1">INDEX($B$923:$G930, INT((COLUMN(L789)-1)/6)+1, MOD(COLUMN(L789)-1,6)+1)</f>
        <v>0</v>
      </c>
      <c r="N933" s="16" cm="1">
        <f t="array" aca="1" ref="N933" ca="1">INDEX($B$923:$G930, INT((COLUMN(M789)-1)/6)+1, MOD(COLUMN(M789)-1,6)+1)</f>
        <v>0</v>
      </c>
      <c r="O933" s="16" cm="1">
        <f t="array" aca="1" ref="O933" ca="1">INDEX($B$923:$G930, INT((COLUMN(N789)-1)/6)+1, MOD(COLUMN(N789)-1,6)+1)</f>
        <v>0</v>
      </c>
      <c r="P933" s="16" cm="1">
        <f t="array" aca="1" ref="P933" ca="1">INDEX($B$923:$G930, INT((COLUMN(O789)-1)/6)+1, MOD(COLUMN(O789)-1,6)+1)</f>
        <v>0</v>
      </c>
      <c r="Q933" s="16" cm="1">
        <f t="array" aca="1" ref="Q933" ca="1">INDEX($B$923:$G930, INT((COLUMN(P789)-1)/6)+1, MOD(COLUMN(P789)-1,6)+1)</f>
        <v>1</v>
      </c>
      <c r="R933" s="16" cm="1">
        <f t="array" aca="1" ref="R933" ca="1">INDEX($B$923:$G930, INT((COLUMN(Q789)-1)/6)+1, MOD(COLUMN(Q789)-1,6)+1)</f>
        <v>1</v>
      </c>
      <c r="S933" s="16" cm="1">
        <f t="array" aca="1" ref="S933" ca="1">INDEX($B$923:$G930, INT((COLUMN(R789)-1)/6)+1, MOD(COLUMN(R789)-1,6)+1)</f>
        <v>0</v>
      </c>
      <c r="T933" s="16" cm="1">
        <f t="array" aca="1" ref="T933" ca="1">INDEX($B$923:$G930, INT((COLUMN(S789)-1)/6)+1, MOD(COLUMN(S789)-1,6)+1)</f>
        <v>1</v>
      </c>
      <c r="U933" s="16" cm="1">
        <f t="array" aca="1" ref="U933" ca="1">INDEX($B$923:$G930, INT((COLUMN(T789)-1)/6)+1, MOD(COLUMN(T789)-1,6)+1)</f>
        <v>0</v>
      </c>
      <c r="V933" s="16" cm="1">
        <f t="array" aca="1" ref="V933" ca="1">INDEX($B$923:$G930, INT((COLUMN(U789)-1)/6)+1, MOD(COLUMN(U789)-1,6)+1)</f>
        <v>1</v>
      </c>
      <c r="W933" s="16" cm="1">
        <f t="array" aca="1" ref="W933" ca="1">INDEX($B$923:$G930, INT((COLUMN(V789)-1)/6)+1, MOD(COLUMN(V789)-1,6)+1)</f>
        <v>1</v>
      </c>
      <c r="X933" s="16" cm="1">
        <f t="array" aca="1" ref="X933" ca="1">INDEX($B$923:$G930, INT((COLUMN(W789)-1)/6)+1, MOD(COLUMN(W789)-1,6)+1)</f>
        <v>0</v>
      </c>
      <c r="Y933" s="16" cm="1">
        <f t="array" aca="1" ref="Y933" ca="1">INDEX($B$923:$G930, INT((COLUMN(X789)-1)/6)+1, MOD(COLUMN(X789)-1,6)+1)</f>
        <v>0</v>
      </c>
      <c r="Z933" s="16" cm="1">
        <f t="array" aca="1" ref="Z933" ca="1">INDEX($B$923:$G930, INT((COLUMN(Y789)-1)/6)+1, MOD(COLUMN(Y789)-1,6)+1)</f>
        <v>0</v>
      </c>
      <c r="AA933" s="16" cm="1">
        <f t="array" aca="1" ref="AA933" ca="1">INDEX($B$923:$G930, INT((COLUMN(Z789)-1)/6)+1, MOD(COLUMN(Z789)-1,6)+1)</f>
        <v>0</v>
      </c>
      <c r="AB933" s="16" cm="1">
        <f t="array" aca="1" ref="AB933" ca="1">INDEX($B$923:$G930, INT((COLUMN(AA789)-1)/6)+1, MOD(COLUMN(AA789)-1,6)+1)</f>
        <v>1</v>
      </c>
      <c r="AC933" s="16" cm="1">
        <f t="array" aca="1" ref="AC933" ca="1">INDEX($B$923:$G930, INT((COLUMN(AB789)-1)/6)+1, MOD(COLUMN(AB789)-1,6)+1)</f>
        <v>0</v>
      </c>
      <c r="AD933" s="16" cm="1">
        <f t="array" aca="1" ref="AD933" ca="1">INDEX($B$923:$G930, INT((COLUMN(AC789)-1)/6)+1, MOD(COLUMN(AC789)-1,6)+1)</f>
        <v>1</v>
      </c>
      <c r="AE933" s="16" cm="1">
        <f t="array" aca="1" ref="AE933" ca="1">INDEX($B$923:$G930, INT((COLUMN(AD789)-1)/6)+1, MOD(COLUMN(AD789)-1,6)+1)</f>
        <v>0</v>
      </c>
      <c r="AF933" s="16" cm="1">
        <f t="array" aca="1" ref="AF933" ca="1">INDEX($B$923:$G930, INT((COLUMN(AE789)-1)/6)+1, MOD(COLUMN(AE789)-1,6)+1)</f>
        <v>1</v>
      </c>
      <c r="AG933" s="16" cm="1">
        <f t="array" aca="1" ref="AG933" ca="1">INDEX($B$923:$G930, INT((COLUMN(AF789)-1)/6)+1, MOD(COLUMN(AF789)-1,6)+1)</f>
        <v>0</v>
      </c>
      <c r="AH933" s="16" cm="1">
        <f t="array" aca="1" ref="AH933" ca="1">INDEX($B$923:$G930, INT((COLUMN(AG789)-1)/6)+1, MOD(COLUMN(AG789)-1,6)+1)</f>
        <v>0</v>
      </c>
      <c r="AI933" s="16" cm="1">
        <f t="array" aca="1" ref="AI933" ca="1">INDEX($B$923:$G930, INT((COLUMN(AH789)-1)/6)+1, MOD(COLUMN(AH789)-1,6)+1)</f>
        <v>0</v>
      </c>
      <c r="AJ933" s="16" cm="1">
        <f t="array" aca="1" ref="AJ933" ca="1">INDEX($B$923:$G930, INT((COLUMN(AI789)-1)/6)+1, MOD(COLUMN(AI789)-1,6)+1)</f>
        <v>1</v>
      </c>
      <c r="AK933" s="16" cm="1">
        <f t="array" aca="1" ref="AK933" ca="1">INDEX($B$923:$G930, INT((COLUMN(AJ789)-1)/6)+1, MOD(COLUMN(AJ789)-1,6)+1)</f>
        <v>1</v>
      </c>
      <c r="AL933" s="16" cm="1">
        <f t="array" aca="1" ref="AL933" ca="1">INDEX($B$923:$G930, INT((COLUMN(AK789)-1)/6)+1, MOD(COLUMN(AK789)-1,6)+1)</f>
        <v>1</v>
      </c>
      <c r="AM933" s="16" cm="1">
        <f t="array" aca="1" ref="AM933" ca="1">INDEX($B$923:$G930, INT((COLUMN(AL789)-1)/6)+1, MOD(COLUMN(AL789)-1,6)+1)</f>
        <v>1</v>
      </c>
      <c r="AN933" s="16" cm="1">
        <f t="array" aca="1" ref="AN933" ca="1">INDEX($B$923:$G930, INT((COLUMN(AM789)-1)/6)+1, MOD(COLUMN(AM789)-1,6)+1)</f>
        <v>1</v>
      </c>
      <c r="AO933" s="16" cm="1">
        <f t="array" aca="1" ref="AO933" ca="1">INDEX($B$923:$G930, INT((COLUMN(AN789)-1)/6)+1, MOD(COLUMN(AN789)-1,6)+1)</f>
        <v>0</v>
      </c>
      <c r="AP933" s="16" cm="1">
        <f t="array" aca="1" ref="AP933" ca="1">INDEX($B$923:$G930, INT((COLUMN(AO789)-1)/6)+1, MOD(COLUMN(AO789)-1,6)+1)</f>
        <v>0</v>
      </c>
      <c r="AQ933" s="16" cm="1">
        <f t="array" aca="1" ref="AQ933" ca="1">INDEX($B$923:$G930, INT((COLUMN(AP789)-1)/6)+1, MOD(COLUMN(AP789)-1,6)+1)</f>
        <v>1</v>
      </c>
      <c r="AR933" s="16" cm="1">
        <f t="array" aca="1" ref="AR933" ca="1">INDEX($B$923:$G930, INT((COLUMN(AQ789)-1)/6)+1, MOD(COLUMN(AQ789)-1,6)+1)</f>
        <v>0</v>
      </c>
      <c r="AS933" s="16" cm="1">
        <f t="array" aca="1" ref="AS933" ca="1">INDEX($B$923:$G930, INT((COLUMN(AR789)-1)/6)+1, MOD(COLUMN(AR789)-1,6)+1)</f>
        <v>1</v>
      </c>
      <c r="AT933" s="16" cm="1">
        <f t="array" aca="1" ref="AT933" ca="1">INDEX($B$923:$G930, INT((COLUMN(AS789)-1)/6)+1, MOD(COLUMN(AS789)-1,6)+1)</f>
        <v>1</v>
      </c>
      <c r="AU933" s="16" cm="1">
        <f t="array" aca="1" ref="AU933" ca="1">INDEX($B$923:$G930, INT((COLUMN(AT789)-1)/6)+1, MOD(COLUMN(AT789)-1,6)+1)</f>
        <v>1</v>
      </c>
      <c r="AV933" s="16" cm="1">
        <f t="array" aca="1" ref="AV933" ca="1">INDEX($B$923:$G930, INT((COLUMN(AU789)-1)/6)+1, MOD(COLUMN(AU789)-1,6)+1)</f>
        <v>1</v>
      </c>
      <c r="AW933" s="16" cm="1">
        <f t="array" aca="1" ref="AW933" ca="1">INDEX($B$923:$G930, INT((COLUMN(AV789)-1)/6)+1, MOD(COLUMN(AV789)-1,6)+1)</f>
        <v>1</v>
      </c>
    </row>
    <row r="934" spans="1:49">
      <c r="A934" s="19"/>
    </row>
    <row r="935" spans="1:49">
      <c r="A935" s="12" t="s">
        <v>3</v>
      </c>
      <c r="B935" s="12">
        <v>1</v>
      </c>
      <c r="C935" s="12">
        <v>2</v>
      </c>
      <c r="D935" s="12">
        <v>3</v>
      </c>
      <c r="E935" s="12">
        <v>4</v>
      </c>
      <c r="F935" s="12">
        <v>5</v>
      </c>
      <c r="G935" s="12">
        <v>6</v>
      </c>
      <c r="H935" s="12">
        <v>7</v>
      </c>
      <c r="I935" s="12">
        <v>8</v>
      </c>
      <c r="J935" s="12">
        <v>9</v>
      </c>
      <c r="K935" s="12">
        <v>10</v>
      </c>
      <c r="L935" s="12">
        <v>11</v>
      </c>
      <c r="M935" s="12">
        <v>12</v>
      </c>
      <c r="N935" s="12">
        <v>13</v>
      </c>
      <c r="O935" s="12">
        <v>14</v>
      </c>
      <c r="P935" s="12">
        <v>15</v>
      </c>
      <c r="Q935" s="12">
        <v>16</v>
      </c>
      <c r="R935" s="12">
        <v>17</v>
      </c>
      <c r="S935" s="12">
        <v>18</v>
      </c>
      <c r="T935" s="12">
        <v>19</v>
      </c>
      <c r="U935" s="12">
        <v>20</v>
      </c>
      <c r="V935" s="12">
        <v>21</v>
      </c>
      <c r="W935" s="12">
        <v>22</v>
      </c>
      <c r="X935" s="12">
        <v>23</v>
      </c>
      <c r="Y935" s="12">
        <v>24</v>
      </c>
      <c r="Z935" s="12">
        <v>25</v>
      </c>
      <c r="AA935" s="12">
        <v>26</v>
      </c>
      <c r="AB935" s="12">
        <v>27</v>
      </c>
      <c r="AC935" s="12">
        <v>28</v>
      </c>
      <c r="AD935" s="12">
        <v>29</v>
      </c>
      <c r="AE935" s="12">
        <v>30</v>
      </c>
      <c r="AF935" s="12">
        <v>31</v>
      </c>
      <c r="AG935" s="12">
        <v>32</v>
      </c>
      <c r="AH935" s="12">
        <v>33</v>
      </c>
      <c r="AI935" s="12">
        <v>34</v>
      </c>
      <c r="AJ935" s="12">
        <v>35</v>
      </c>
      <c r="AK935" s="12">
        <v>36</v>
      </c>
      <c r="AL935" s="12">
        <v>37</v>
      </c>
      <c r="AM935" s="12">
        <v>38</v>
      </c>
      <c r="AN935" s="12">
        <v>39</v>
      </c>
      <c r="AO935" s="12">
        <v>40</v>
      </c>
      <c r="AP935" s="12">
        <v>41</v>
      </c>
      <c r="AQ935" s="12">
        <v>42</v>
      </c>
      <c r="AR935" s="12">
        <v>43</v>
      </c>
      <c r="AS935" s="12">
        <v>44</v>
      </c>
      <c r="AT935" s="12">
        <v>45</v>
      </c>
      <c r="AU935" s="12">
        <v>46</v>
      </c>
      <c r="AV935" s="12">
        <v>47</v>
      </c>
      <c r="AW935" s="12">
        <v>48</v>
      </c>
    </row>
    <row r="936" spans="1:49">
      <c r="A936" s="7" t="s">
        <v>248</v>
      </c>
      <c r="B936" s="16">
        <f ca="1">_xlfn.BITXOR(B933, B434)</f>
        <v>0</v>
      </c>
      <c r="C936" s="16">
        <f t="shared" ref="C936:AW936" ca="1" si="365">_xlfn.BITXOR(C933, C434)</f>
        <v>1</v>
      </c>
      <c r="D936" s="16">
        <f t="shared" ca="1" si="365"/>
        <v>1</v>
      </c>
      <c r="E936" s="16">
        <f t="shared" ca="1" si="365"/>
        <v>0</v>
      </c>
      <c r="F936" s="16">
        <f t="shared" ca="1" si="365"/>
        <v>1</v>
      </c>
      <c r="G936" s="16">
        <f t="shared" ca="1" si="365"/>
        <v>0</v>
      </c>
      <c r="H936" s="16">
        <f t="shared" ca="1" si="365"/>
        <v>1</v>
      </c>
      <c r="I936" s="16">
        <f t="shared" ca="1" si="365"/>
        <v>0</v>
      </c>
      <c r="J936" s="16">
        <f t="shared" ca="1" si="365"/>
        <v>1</v>
      </c>
      <c r="K936" s="16">
        <f t="shared" ca="1" si="365"/>
        <v>0</v>
      </c>
      <c r="L936" s="16">
        <f t="shared" ca="1" si="365"/>
        <v>0</v>
      </c>
      <c r="M936" s="16">
        <f t="shared" ca="1" si="365"/>
        <v>0</v>
      </c>
      <c r="N936" s="16">
        <f t="shared" ca="1" si="365"/>
        <v>0</v>
      </c>
      <c r="O936" s="16">
        <f t="shared" ca="1" si="365"/>
        <v>1</v>
      </c>
      <c r="P936" s="16">
        <f t="shared" ca="1" si="365"/>
        <v>0</v>
      </c>
      <c r="Q936" s="16">
        <f t="shared" ca="1" si="365"/>
        <v>0</v>
      </c>
      <c r="R936" s="16">
        <f t="shared" ca="1" si="365"/>
        <v>0</v>
      </c>
      <c r="S936" s="16">
        <f t="shared" ca="1" si="365"/>
        <v>1</v>
      </c>
      <c r="T936" s="16">
        <f t="shared" ca="1" si="365"/>
        <v>1</v>
      </c>
      <c r="U936" s="16">
        <f t="shared" ca="1" si="365"/>
        <v>1</v>
      </c>
      <c r="V936" s="16">
        <f t="shared" ca="1" si="365"/>
        <v>1</v>
      </c>
      <c r="W936" s="16">
        <f t="shared" ca="1" si="365"/>
        <v>1</v>
      </c>
      <c r="X936" s="16">
        <f t="shared" ca="1" si="365"/>
        <v>0</v>
      </c>
      <c r="Y936" s="16">
        <f t="shared" ca="1" si="365"/>
        <v>1</v>
      </c>
      <c r="Z936" s="16">
        <f t="shared" ca="1" si="365"/>
        <v>0</v>
      </c>
      <c r="AA936" s="16">
        <f t="shared" ca="1" si="365"/>
        <v>1</v>
      </c>
      <c r="AB936" s="16">
        <f t="shared" ca="1" si="365"/>
        <v>1</v>
      </c>
      <c r="AC936" s="16">
        <f t="shared" ca="1" si="365"/>
        <v>0</v>
      </c>
      <c r="AD936" s="16">
        <f t="shared" ca="1" si="365"/>
        <v>0</v>
      </c>
      <c r="AE936" s="16">
        <f t="shared" ca="1" si="365"/>
        <v>0</v>
      </c>
      <c r="AF936" s="16">
        <f t="shared" ca="1" si="365"/>
        <v>0</v>
      </c>
      <c r="AG936" s="16">
        <f t="shared" ca="1" si="365"/>
        <v>1</v>
      </c>
      <c r="AH936" s="16">
        <f t="shared" ca="1" si="365"/>
        <v>1</v>
      </c>
      <c r="AI936" s="16">
        <f t="shared" ca="1" si="365"/>
        <v>0</v>
      </c>
      <c r="AJ936" s="16">
        <f t="shared" ca="1" si="365"/>
        <v>1</v>
      </c>
      <c r="AK936" s="16">
        <f t="shared" ca="1" si="365"/>
        <v>1</v>
      </c>
      <c r="AL936" s="16">
        <f t="shared" ca="1" si="365"/>
        <v>1</v>
      </c>
      <c r="AM936" s="16">
        <f t="shared" ca="1" si="365"/>
        <v>1</v>
      </c>
      <c r="AN936" s="16">
        <f t="shared" ca="1" si="365"/>
        <v>1</v>
      </c>
      <c r="AO936" s="16">
        <f t="shared" ca="1" si="365"/>
        <v>0</v>
      </c>
      <c r="AP936" s="16">
        <f t="shared" ca="1" si="365"/>
        <v>1</v>
      </c>
      <c r="AQ936" s="16">
        <f t="shared" ca="1" si="365"/>
        <v>0</v>
      </c>
      <c r="AR936" s="16">
        <f t="shared" ca="1" si="365"/>
        <v>1</v>
      </c>
      <c r="AS936" s="16">
        <f t="shared" ca="1" si="365"/>
        <v>0</v>
      </c>
      <c r="AT936" s="16">
        <f t="shared" ca="1" si="365"/>
        <v>0</v>
      </c>
      <c r="AU936" s="16">
        <f t="shared" ca="1" si="365"/>
        <v>0</v>
      </c>
      <c r="AV936" s="16">
        <f t="shared" ca="1" si="365"/>
        <v>1</v>
      </c>
      <c r="AW936" s="16">
        <f t="shared" ca="1" si="365"/>
        <v>0</v>
      </c>
    </row>
    <row r="938" spans="1:49">
      <c r="A938" s="27" t="s">
        <v>136</v>
      </c>
      <c r="B938" s="27" t="s">
        <v>137</v>
      </c>
      <c r="C938" s="27"/>
      <c r="D938" s="27" t="s">
        <v>141</v>
      </c>
      <c r="E938" s="27" t="s">
        <v>142</v>
      </c>
      <c r="F938" s="28" t="s">
        <v>138</v>
      </c>
      <c r="G938" s="28"/>
      <c r="I938" s="5" t="s">
        <v>249</v>
      </c>
    </row>
    <row r="939" spans="1:49">
      <c r="A939" s="27"/>
      <c r="B939" s="27"/>
      <c r="C939" s="27"/>
      <c r="D939" s="27"/>
      <c r="E939" s="27"/>
      <c r="F939" s="7" t="s">
        <v>139</v>
      </c>
      <c r="G939" s="7" t="s">
        <v>140</v>
      </c>
    </row>
    <row r="940" spans="1:49">
      <c r="A940" s="7">
        <v>1</v>
      </c>
      <c r="B940" s="29" t="str">
        <f ca="1">_xlfn.TEXTJOIN("", TRUE, OFFSET($B$936,0,(ROW(A1)-1)*6,1,6))</f>
        <v>011010</v>
      </c>
      <c r="C940" s="30"/>
      <c r="D940" s="7">
        <f ca="1">BIN2DEC(LEFT(B940,1) &amp; RIGHT(B940,1))</f>
        <v>0</v>
      </c>
      <c r="E940" s="12">
        <f ca="1">BIN2DEC(MID(B940,2,4))</f>
        <v>13</v>
      </c>
      <c r="F940" s="12" cm="1">
        <f t="array" aca="1" ref="F940" ca="1">INDEX(OFFSET('S-box'!$A$2, (A940-1)*6, 0, 4, 16), D940+1, E940+1)</f>
        <v>9</v>
      </c>
      <c r="G940" s="17" t="str">
        <f ca="1">DEC2BIN(F940, 4)</f>
        <v>1001</v>
      </c>
      <c r="I940" s="12" t="s">
        <v>3</v>
      </c>
      <c r="J940" s="12">
        <v>1</v>
      </c>
      <c r="K940" s="12">
        <v>2</v>
      </c>
      <c r="L940" s="12">
        <v>3</v>
      </c>
      <c r="M940" s="12">
        <v>4</v>
      </c>
      <c r="N940" s="12">
        <v>5</v>
      </c>
      <c r="O940" s="12">
        <v>6</v>
      </c>
      <c r="P940" s="12">
        <v>7</v>
      </c>
      <c r="Q940" s="12">
        <v>8</v>
      </c>
      <c r="R940" s="12">
        <v>9</v>
      </c>
      <c r="S940" s="12">
        <v>10</v>
      </c>
      <c r="T940" s="12">
        <v>11</v>
      </c>
      <c r="U940" s="12">
        <v>12</v>
      </c>
      <c r="V940" s="12">
        <v>13</v>
      </c>
      <c r="W940" s="12">
        <v>14</v>
      </c>
      <c r="X940" s="12">
        <v>15</v>
      </c>
      <c r="Y940" s="12">
        <v>16</v>
      </c>
      <c r="Z940" s="12">
        <v>17</v>
      </c>
      <c r="AA940" s="12">
        <v>18</v>
      </c>
      <c r="AB940" s="12">
        <v>19</v>
      </c>
      <c r="AC940" s="12">
        <v>20</v>
      </c>
      <c r="AD940" s="12">
        <v>21</v>
      </c>
      <c r="AE940" s="12">
        <v>22</v>
      </c>
      <c r="AF940" s="12">
        <v>23</v>
      </c>
      <c r="AG940" s="12">
        <v>24</v>
      </c>
      <c r="AH940" s="12">
        <v>25</v>
      </c>
      <c r="AI940" s="12">
        <v>26</v>
      </c>
      <c r="AJ940" s="12">
        <v>27</v>
      </c>
      <c r="AK940" s="12">
        <v>28</v>
      </c>
      <c r="AL940" s="12">
        <v>29</v>
      </c>
      <c r="AM940" s="12">
        <v>30</v>
      </c>
      <c r="AN940" s="12">
        <v>31</v>
      </c>
      <c r="AO940" s="12">
        <v>32</v>
      </c>
    </row>
    <row r="941" spans="1:49">
      <c r="A941" s="7">
        <v>2</v>
      </c>
      <c r="B941" s="29" t="str">
        <f t="shared" ref="B941:B947" ca="1" si="366">_xlfn.TEXTJOIN("", TRUE, OFFSET($B$936,0,(ROW(A2)-1)*6,1,6))</f>
        <v>101000</v>
      </c>
      <c r="C941" s="30"/>
      <c r="D941" s="7">
        <f t="shared" ref="D941:D947" ca="1" si="367">BIN2DEC(LEFT(B941,1) &amp; RIGHT(B941,1))</f>
        <v>2</v>
      </c>
      <c r="E941" s="12">
        <f t="shared" ref="E941:E947" ca="1" si="368">BIN2DEC(MID(B941,2,4))</f>
        <v>4</v>
      </c>
      <c r="F941" s="12" cm="1">
        <f t="array" aca="1" ref="F941" ca="1">INDEX(OFFSET('S-box'!$A$2, (A941-1)*6, 0, 4, 16), D941+1, E941+1)</f>
        <v>10</v>
      </c>
      <c r="G941" s="17" t="str">
        <f t="shared" ref="G941:G947" ca="1" si="369">DEC2BIN(F941, 4)</f>
        <v>1010</v>
      </c>
      <c r="I941" s="12" t="s">
        <v>152</v>
      </c>
      <c r="J941" s="12" t="str">
        <f ca="1">MID(_xlfn.TEXTJOIN("",TRUE,$G$940:$G$947), COLUMN(A397), 1)</f>
        <v>1</v>
      </c>
      <c r="K941" s="12" t="str">
        <f t="shared" ref="K941:AO941" ca="1" si="370">MID(_xlfn.TEXTJOIN("",TRUE,$G$940:$G$947), COLUMN(B397), 1)</f>
        <v>0</v>
      </c>
      <c r="L941" s="12" t="str">
        <f t="shared" ca="1" si="370"/>
        <v>0</v>
      </c>
      <c r="M941" s="12" t="str">
        <f t="shared" ca="1" si="370"/>
        <v>1</v>
      </c>
      <c r="N941" s="12" t="str">
        <f t="shared" ca="1" si="370"/>
        <v>1</v>
      </c>
      <c r="O941" s="12" t="str">
        <f t="shared" ca="1" si="370"/>
        <v>0</v>
      </c>
      <c r="P941" s="12" t="str">
        <f t="shared" ca="1" si="370"/>
        <v>1</v>
      </c>
      <c r="Q941" s="12" t="str">
        <f t="shared" ca="1" si="370"/>
        <v>0</v>
      </c>
      <c r="R941" s="12" t="str">
        <f t="shared" ca="1" si="370"/>
        <v>0</v>
      </c>
      <c r="S941" s="12" t="str">
        <f t="shared" ca="1" si="370"/>
        <v>0</v>
      </c>
      <c r="T941" s="12" t="str">
        <f t="shared" ca="1" si="370"/>
        <v>1</v>
      </c>
      <c r="U941" s="12" t="str">
        <f t="shared" ca="1" si="370"/>
        <v>0</v>
      </c>
      <c r="V941" s="12" t="str">
        <f t="shared" ca="1" si="370"/>
        <v>0</v>
      </c>
      <c r="W941" s="12" t="str">
        <f t="shared" ca="1" si="370"/>
        <v>0</v>
      </c>
      <c r="X941" s="12" t="str">
        <f t="shared" ca="1" si="370"/>
        <v>1</v>
      </c>
      <c r="Y941" s="12" t="str">
        <f t="shared" ca="1" si="370"/>
        <v>0</v>
      </c>
      <c r="Z941" s="12" t="str">
        <f t="shared" ca="1" si="370"/>
        <v>1</v>
      </c>
      <c r="AA941" s="12" t="str">
        <f t="shared" ca="1" si="370"/>
        <v>1</v>
      </c>
      <c r="AB941" s="12" t="str">
        <f t="shared" ca="1" si="370"/>
        <v>0</v>
      </c>
      <c r="AC941" s="12" t="str">
        <f t="shared" ca="1" si="370"/>
        <v>1</v>
      </c>
      <c r="AD941" s="12" t="str">
        <f t="shared" ca="1" si="370"/>
        <v>1</v>
      </c>
      <c r="AE941" s="12" t="str">
        <f t="shared" ca="1" si="370"/>
        <v>0</v>
      </c>
      <c r="AF941" s="12" t="str">
        <f t="shared" ca="1" si="370"/>
        <v>1</v>
      </c>
      <c r="AG941" s="12" t="str">
        <f t="shared" ca="1" si="370"/>
        <v>1</v>
      </c>
      <c r="AH941" s="12" t="str">
        <f t="shared" ca="1" si="370"/>
        <v>0</v>
      </c>
      <c r="AI941" s="12" t="str">
        <f t="shared" ca="1" si="370"/>
        <v>1</v>
      </c>
      <c r="AJ941" s="12" t="str">
        <f t="shared" ca="1" si="370"/>
        <v>0</v>
      </c>
      <c r="AK941" s="12" t="str">
        <f t="shared" ca="1" si="370"/>
        <v>1</v>
      </c>
      <c r="AL941" s="12" t="str">
        <f t="shared" ca="1" si="370"/>
        <v>1</v>
      </c>
      <c r="AM941" s="12" t="str">
        <f t="shared" ca="1" si="370"/>
        <v>0</v>
      </c>
      <c r="AN941" s="12" t="str">
        <f t="shared" ca="1" si="370"/>
        <v>1</v>
      </c>
      <c r="AO941" s="12" t="str">
        <f t="shared" ca="1" si="370"/>
        <v>1</v>
      </c>
    </row>
    <row r="942" spans="1:49">
      <c r="A942" s="7">
        <v>3</v>
      </c>
      <c r="B942" s="29" t="str">
        <f t="shared" ca="1" si="366"/>
        <v>010001</v>
      </c>
      <c r="C942" s="30"/>
      <c r="D942" s="7">
        <f t="shared" ca="1" si="367"/>
        <v>1</v>
      </c>
      <c r="E942" s="12">
        <f t="shared" ca="1" si="368"/>
        <v>8</v>
      </c>
      <c r="F942" s="12" cm="1">
        <f t="array" aca="1" ref="F942" ca="1">INDEX(OFFSET('S-box'!$A$2, (A942-1)*6, 0, 4, 16), D942+1, E942+1)</f>
        <v>2</v>
      </c>
      <c r="G942" s="17" t="str">
        <f t="shared" ca="1" si="369"/>
        <v>0010</v>
      </c>
    </row>
    <row r="943" spans="1:49">
      <c r="A943" s="7">
        <v>4</v>
      </c>
      <c r="B943" s="29" t="str">
        <f t="shared" ca="1" si="366"/>
        <v>111101</v>
      </c>
      <c r="C943" s="30"/>
      <c r="D943" s="7">
        <f t="shared" ca="1" si="367"/>
        <v>3</v>
      </c>
      <c r="E943" s="12">
        <f t="shared" ca="1" si="368"/>
        <v>14</v>
      </c>
      <c r="F943" s="12" cm="1">
        <f t="array" aca="1" ref="F943" ca="1">INDEX(OFFSET('S-box'!$A$2, (A943-1)*6, 0, 4, 16), D943+1, E943+1)</f>
        <v>2</v>
      </c>
      <c r="G943" s="17" t="str">
        <f t="shared" ca="1" si="369"/>
        <v>0010</v>
      </c>
      <c r="I943" s="5" t="s">
        <v>250</v>
      </c>
    </row>
    <row r="944" spans="1:49">
      <c r="A944" s="7">
        <v>5</v>
      </c>
      <c r="B944" s="29" t="str">
        <f t="shared" ca="1" si="366"/>
        <v>011000</v>
      </c>
      <c r="C944" s="30"/>
      <c r="D944" s="7">
        <f t="shared" ca="1" si="367"/>
        <v>0</v>
      </c>
      <c r="E944" s="12">
        <f t="shared" ca="1" si="368"/>
        <v>12</v>
      </c>
      <c r="F944" s="12" cm="1">
        <f t="array" aca="1" ref="F944" ca="1">INDEX(OFFSET('S-box'!$A$2, (A944-1)*6, 0, 4, 16), D944+1, E944+1)</f>
        <v>13</v>
      </c>
      <c r="G944" s="17" t="str">
        <f t="shared" ca="1" si="369"/>
        <v>1101</v>
      </c>
    </row>
    <row r="945" spans="1:41">
      <c r="A945" s="7">
        <v>6</v>
      </c>
      <c r="B945" s="29" t="str">
        <f t="shared" ca="1" si="366"/>
        <v>011011</v>
      </c>
      <c r="C945" s="30"/>
      <c r="D945" s="7">
        <f t="shared" ca="1" si="367"/>
        <v>1</v>
      </c>
      <c r="E945" s="12">
        <f t="shared" ca="1" si="368"/>
        <v>13</v>
      </c>
      <c r="F945" s="12" cm="1">
        <f t="array" aca="1" ref="F945" ca="1">INDEX(OFFSET('S-box'!$A$2, (A945-1)*6, 0, 4, 16), D945+1, E945+1)</f>
        <v>11</v>
      </c>
      <c r="G945" s="17" t="str">
        <f t="shared" ca="1" si="369"/>
        <v>1011</v>
      </c>
      <c r="I945" s="12" t="s">
        <v>3</v>
      </c>
      <c r="J945" s="12">
        <v>1</v>
      </c>
      <c r="K945" s="12">
        <v>2</v>
      </c>
      <c r="L945" s="12">
        <v>3</v>
      </c>
      <c r="M945" s="12">
        <v>4</v>
      </c>
      <c r="N945" s="12">
        <v>5</v>
      </c>
      <c r="O945" s="12">
        <v>6</v>
      </c>
      <c r="P945" s="12">
        <v>7</v>
      </c>
      <c r="Q945" s="12">
        <v>8</v>
      </c>
      <c r="R945" s="12">
        <v>9</v>
      </c>
      <c r="S945" s="12">
        <v>10</v>
      </c>
      <c r="T945" s="12">
        <v>11</v>
      </c>
      <c r="U945" s="12">
        <v>12</v>
      </c>
      <c r="V945" s="12">
        <v>13</v>
      </c>
      <c r="W945" s="12">
        <v>14</v>
      </c>
      <c r="X945" s="12">
        <v>15</v>
      </c>
      <c r="Y945" s="12">
        <v>16</v>
      </c>
      <c r="Z945" s="12">
        <v>17</v>
      </c>
      <c r="AA945" s="12">
        <v>18</v>
      </c>
      <c r="AB945" s="12">
        <v>19</v>
      </c>
      <c r="AC945" s="12">
        <v>20</v>
      </c>
      <c r="AD945" s="12">
        <v>21</v>
      </c>
      <c r="AE945" s="12">
        <v>22</v>
      </c>
      <c r="AF945" s="12">
        <v>23</v>
      </c>
      <c r="AG945" s="12">
        <v>24</v>
      </c>
      <c r="AH945" s="12">
        <v>25</v>
      </c>
      <c r="AI945" s="12">
        <v>26</v>
      </c>
      <c r="AJ945" s="12">
        <v>27</v>
      </c>
      <c r="AK945" s="12">
        <v>28</v>
      </c>
      <c r="AL945" s="12">
        <v>29</v>
      </c>
      <c r="AM945" s="12">
        <v>30</v>
      </c>
      <c r="AN945" s="12">
        <v>31</v>
      </c>
      <c r="AO945" s="12">
        <v>32</v>
      </c>
    </row>
    <row r="946" spans="1:41">
      <c r="A946" s="7">
        <v>7</v>
      </c>
      <c r="B946" s="29" t="str">
        <f t="shared" ca="1" si="366"/>
        <v>111010</v>
      </c>
      <c r="C946" s="30"/>
      <c r="D946" s="7">
        <f t="shared" ca="1" si="367"/>
        <v>2</v>
      </c>
      <c r="E946" s="12">
        <f t="shared" ca="1" si="368"/>
        <v>13</v>
      </c>
      <c r="F946" s="12" cm="1">
        <f t="array" aca="1" ref="F946" ca="1">INDEX(OFFSET('S-box'!$A$2, (A946-1)*6, 0, 4, 16), D946+1, E946+1)</f>
        <v>5</v>
      </c>
      <c r="G946" s="17" t="str">
        <f t="shared" ca="1" si="369"/>
        <v>0101</v>
      </c>
      <c r="I946" s="18" t="s">
        <v>152</v>
      </c>
      <c r="J946" s="12" t="str" cm="1">
        <f t="array" aca="1" ref="J946" ca="1">INDEX($J$941:$AO$941, INDEX($T$15:$AA$18, INT((COLUMN(A364)-1)/8)+1, MOD(COLUMN(A364)-1,8)+1))</f>
        <v>0</v>
      </c>
      <c r="K946" s="12" t="str" cm="1">
        <f t="array" aca="1" ref="K946" ca="1">INDEX($J$941:$AO$941, INDEX($T$15:$AA$18, INT((COLUMN(B364)-1)/8)+1, MOD(COLUMN(B364)-1,8)+1))</f>
        <v>1</v>
      </c>
      <c r="L946" s="12" t="str" cm="1">
        <f t="array" aca="1" ref="L946" ca="1">INDEX($J$941:$AO$941, INDEX($T$15:$AA$18, INT((COLUMN(C364)-1)/8)+1, MOD(COLUMN(C364)-1,8)+1))</f>
        <v>1</v>
      </c>
      <c r="M946" s="12" t="str" cm="1">
        <f t="array" aca="1" ref="M946" ca="1">INDEX($J$941:$AO$941, INDEX($T$15:$AA$18, INT((COLUMN(D364)-1)/8)+1, MOD(COLUMN(D364)-1,8)+1))</f>
        <v>1</v>
      </c>
      <c r="N946" s="12" t="str" cm="1">
        <f t="array" aca="1" ref="N946" ca="1">INDEX($J$941:$AO$941, INDEX($T$15:$AA$18, INT((COLUMN(E364)-1)/8)+1, MOD(COLUMN(E364)-1,8)+1))</f>
        <v>1</v>
      </c>
      <c r="O946" s="12" t="str" cm="1">
        <f t="array" aca="1" ref="O946" ca="1">INDEX($J$941:$AO$941, INDEX($T$15:$AA$18, INT((COLUMN(F364)-1)/8)+1, MOD(COLUMN(F364)-1,8)+1))</f>
        <v>0</v>
      </c>
      <c r="P946" s="12" t="str" cm="1">
        <f t="array" aca="1" ref="P946" ca="1">INDEX($J$941:$AO$941, INDEX($T$15:$AA$18, INT((COLUMN(G364)-1)/8)+1, MOD(COLUMN(G364)-1,8)+1))</f>
        <v>1</v>
      </c>
      <c r="Q946" s="12" t="str" cm="1">
        <f t="array" aca="1" ref="Q946" ca="1">INDEX($J$941:$AO$941, INDEX($T$15:$AA$18, INT((COLUMN(H364)-1)/8)+1, MOD(COLUMN(H364)-1,8)+1))</f>
        <v>1</v>
      </c>
      <c r="R946" s="12" t="str" cm="1">
        <f t="array" aca="1" ref="R946" ca="1">INDEX($J$941:$AO$941, INDEX($T$15:$AA$18, INT((COLUMN(I364)-1)/8)+1, MOD(COLUMN(I364)-1,8)+1))</f>
        <v>1</v>
      </c>
      <c r="S946" s="12" t="str" cm="1">
        <f t="array" aca="1" ref="S946" ca="1">INDEX($J$941:$AO$941, INDEX($T$15:$AA$18, INT((COLUMN(J364)-1)/8)+1, MOD(COLUMN(J364)-1,8)+1))</f>
        <v>1</v>
      </c>
      <c r="T946" s="12" t="str" cm="1">
        <f t="array" aca="1" ref="T946" ca="1">INDEX($J$941:$AO$941, INDEX($T$15:$AA$18, INT((COLUMN(K364)-1)/8)+1, MOD(COLUMN(K364)-1,8)+1))</f>
        <v>1</v>
      </c>
      <c r="U946" s="12" t="str" cm="1">
        <f t="array" aca="1" ref="U946" ca="1">INDEX($J$941:$AO$941, INDEX($T$15:$AA$18, INT((COLUMN(L364)-1)/8)+1, MOD(COLUMN(L364)-1,8)+1))</f>
        <v>1</v>
      </c>
      <c r="V946" s="12" t="str" cm="1">
        <f t="array" aca="1" ref="V946" ca="1">INDEX($J$941:$AO$941, INDEX($T$15:$AA$18, INT((COLUMN(M364)-1)/8)+1, MOD(COLUMN(M364)-1,8)+1))</f>
        <v>1</v>
      </c>
      <c r="W946" s="12" t="str" cm="1">
        <f t="array" aca="1" ref="W946" ca="1">INDEX($J$941:$AO$941, INDEX($T$15:$AA$18, INT((COLUMN(N364)-1)/8)+1, MOD(COLUMN(N364)-1,8)+1))</f>
        <v>1</v>
      </c>
      <c r="X946" s="12" t="str" cm="1">
        <f t="array" aca="1" ref="X946" ca="1">INDEX($J$941:$AO$941, INDEX($T$15:$AA$18, INT((COLUMN(O364)-1)/8)+1, MOD(COLUMN(O364)-1,8)+1))</f>
        <v>1</v>
      </c>
      <c r="Y946" s="12" t="str" cm="1">
        <f t="array" aca="1" ref="Y946" ca="1">INDEX($J$941:$AO$941, INDEX($T$15:$AA$18, INT((COLUMN(P364)-1)/8)+1, MOD(COLUMN(P364)-1,8)+1))</f>
        <v>0</v>
      </c>
      <c r="Z946" s="12" t="str" cm="1">
        <f t="array" aca="1" ref="Z946" ca="1">INDEX($J$941:$AO$941, INDEX($T$15:$AA$18, INT((COLUMN(Q364)-1)/8)+1, MOD(COLUMN(Q364)-1,8)+1))</f>
        <v>0</v>
      </c>
      <c r="AA946" s="12" t="str" cm="1">
        <f t="array" aca="1" ref="AA946" ca="1">INDEX($J$941:$AO$941, INDEX($T$15:$AA$18, INT((COLUMN(R364)-1)/8)+1, MOD(COLUMN(R364)-1,8)+1))</f>
        <v>0</v>
      </c>
      <c r="AB946" s="12" t="str" cm="1">
        <f t="array" aca="1" ref="AB946" ca="1">INDEX($J$941:$AO$941, INDEX($T$15:$AA$18, INT((COLUMN(S364)-1)/8)+1, MOD(COLUMN(S364)-1,8)+1))</f>
        <v>1</v>
      </c>
      <c r="AC946" s="12" t="str" cm="1">
        <f t="array" aca="1" ref="AC946" ca="1">INDEX($J$941:$AO$941, INDEX($T$15:$AA$18, INT((COLUMN(T364)-1)/8)+1, MOD(COLUMN(T364)-1,8)+1))</f>
        <v>0</v>
      </c>
      <c r="AD946" s="12" t="str" cm="1">
        <f t="array" aca="1" ref="AD946" ca="1">INDEX($J$941:$AO$941, INDEX($T$15:$AA$18, INT((COLUMN(U364)-1)/8)+1, MOD(COLUMN(U364)-1,8)+1))</f>
        <v>1</v>
      </c>
      <c r="AE946" s="12" t="str" cm="1">
        <f t="array" aca="1" ref="AE946" ca="1">INDEX($J$941:$AO$941, INDEX($T$15:$AA$18, INT((COLUMN(V364)-1)/8)+1, MOD(COLUMN(V364)-1,8)+1))</f>
        <v>0</v>
      </c>
      <c r="AF946" s="12" t="str" cm="1">
        <f t="array" aca="1" ref="AF946" ca="1">INDEX($J$941:$AO$941, INDEX($T$15:$AA$18, INT((COLUMN(W364)-1)/8)+1, MOD(COLUMN(W364)-1,8)+1))</f>
        <v>0</v>
      </c>
      <c r="AG946" s="12" t="str" cm="1">
        <f t="array" aca="1" ref="AG946" ca="1">INDEX($J$941:$AO$941, INDEX($T$15:$AA$18, INT((COLUMN(X364)-1)/8)+1, MOD(COLUMN(X364)-1,8)+1))</f>
        <v>0</v>
      </c>
      <c r="AH946" s="12" t="str" cm="1">
        <f t="array" aca="1" ref="AH946" ca="1">INDEX($J$941:$AO$941, INDEX($T$15:$AA$18, INT((COLUMN(Y364)-1)/8)+1, MOD(COLUMN(Y364)-1,8)+1))</f>
        <v>0</v>
      </c>
      <c r="AI946" s="12" t="str" cm="1">
        <f t="array" aca="1" ref="AI946" ca="1">INDEX($J$941:$AO$941, INDEX($T$15:$AA$18, INT((COLUMN(Z364)-1)/8)+1, MOD(COLUMN(Z364)-1,8)+1))</f>
        <v>0</v>
      </c>
      <c r="AJ946" s="12" t="str" cm="1">
        <f t="array" aca="1" ref="AJ946" ca="1">INDEX($J$941:$AO$941, INDEX($T$15:$AA$18, INT((COLUMN(AA364)-1)/8)+1, MOD(COLUMN(AA364)-1,8)+1))</f>
        <v>0</v>
      </c>
      <c r="AK946" s="12" t="str" cm="1">
        <f t="array" aca="1" ref="AK946" ca="1">INDEX($J$941:$AO$941, INDEX($T$15:$AA$18, INT((COLUMN(AB364)-1)/8)+1, MOD(COLUMN(AB364)-1,8)+1))</f>
        <v>0</v>
      </c>
      <c r="AL946" s="12" t="str" cm="1">
        <f t="array" aca="1" ref="AL946" ca="1">INDEX($J$941:$AO$941, INDEX($T$15:$AA$18, INT((COLUMN(AC364)-1)/8)+1, MOD(COLUMN(AC364)-1,8)+1))</f>
        <v>0</v>
      </c>
      <c r="AM946" s="12" t="str" cm="1">
        <f t="array" aca="1" ref="AM946" ca="1">INDEX($J$941:$AO$941, INDEX($T$15:$AA$18, INT((COLUMN(AD364)-1)/8)+1, MOD(COLUMN(AD364)-1,8)+1))</f>
        <v>1</v>
      </c>
      <c r="AN946" s="12" t="str" cm="1">
        <f t="array" aca="1" ref="AN946" ca="1">INDEX($J$941:$AO$941, INDEX($T$15:$AA$18, INT((COLUMN(AE364)-1)/8)+1, MOD(COLUMN(AE364)-1,8)+1))</f>
        <v>1</v>
      </c>
      <c r="AO946" s="12" t="str" cm="1">
        <f t="array" aca="1" ref="AO946" ca="1">INDEX($J$941:$AO$941, INDEX($T$15:$AA$18, INT((COLUMN(AF364)-1)/8)+1, MOD(COLUMN(AF364)-1,8)+1))</f>
        <v>0</v>
      </c>
    </row>
    <row r="947" spans="1:41">
      <c r="A947" s="7">
        <v>8</v>
      </c>
      <c r="B947" s="29" t="str">
        <f t="shared" ca="1" si="366"/>
        <v>100010</v>
      </c>
      <c r="C947" s="30"/>
      <c r="D947" s="7">
        <f t="shared" ca="1" si="367"/>
        <v>2</v>
      </c>
      <c r="E947" s="12">
        <f t="shared" ca="1" si="368"/>
        <v>1</v>
      </c>
      <c r="F947" s="12" cm="1">
        <f t="array" aca="1" ref="F947" ca="1">INDEX(OFFSET('S-box'!$A$2, (A947-1)*6, 0, 4, 16), D947+1, E947+1)</f>
        <v>11</v>
      </c>
      <c r="G947" s="17" t="str">
        <f t="shared" ca="1" si="369"/>
        <v>1011</v>
      </c>
    </row>
    <row r="949" spans="1:41">
      <c r="A949" s="20" t="s">
        <v>251</v>
      </c>
    </row>
    <row r="951" spans="1:41">
      <c r="A951" s="12" t="s">
        <v>3</v>
      </c>
      <c r="B951" s="12">
        <v>1</v>
      </c>
      <c r="C951" s="12">
        <v>2</v>
      </c>
      <c r="D951" s="12">
        <v>3</v>
      </c>
      <c r="E951" s="12">
        <v>4</v>
      </c>
      <c r="F951" s="12">
        <v>5</v>
      </c>
      <c r="G951" s="12">
        <v>6</v>
      </c>
      <c r="H951" s="12">
        <v>7</v>
      </c>
      <c r="I951" s="12">
        <v>8</v>
      </c>
      <c r="J951" s="12">
        <v>9</v>
      </c>
      <c r="K951" s="12">
        <v>10</v>
      </c>
      <c r="L951" s="12">
        <v>11</v>
      </c>
      <c r="M951" s="12">
        <v>12</v>
      </c>
      <c r="N951" s="12">
        <v>13</v>
      </c>
      <c r="O951" s="12">
        <v>14</v>
      </c>
      <c r="P951" s="12">
        <v>15</v>
      </c>
      <c r="Q951" s="12">
        <v>16</v>
      </c>
      <c r="R951" s="12">
        <v>17</v>
      </c>
      <c r="S951" s="12">
        <v>18</v>
      </c>
      <c r="T951" s="12">
        <v>19</v>
      </c>
      <c r="U951" s="12">
        <v>20</v>
      </c>
      <c r="V951" s="12">
        <v>21</v>
      </c>
      <c r="W951" s="12">
        <v>22</v>
      </c>
      <c r="X951" s="12">
        <v>23</v>
      </c>
      <c r="Y951" s="12">
        <v>24</v>
      </c>
      <c r="Z951" s="12">
        <v>25</v>
      </c>
      <c r="AA951" s="12">
        <v>26</v>
      </c>
      <c r="AB951" s="12">
        <v>27</v>
      </c>
      <c r="AC951" s="12">
        <v>28</v>
      </c>
      <c r="AD951" s="12">
        <v>29</v>
      </c>
      <c r="AE951" s="12">
        <v>30</v>
      </c>
      <c r="AF951" s="12">
        <v>31</v>
      </c>
      <c r="AG951" s="12">
        <v>32</v>
      </c>
    </row>
    <row r="952" spans="1:41">
      <c r="A952" s="12" t="s">
        <v>252</v>
      </c>
      <c r="B952" s="12">
        <v>1</v>
      </c>
      <c r="C952" s="12">
        <v>1</v>
      </c>
      <c r="D952" s="12">
        <v>1</v>
      </c>
      <c r="E952" s="12">
        <v>1</v>
      </c>
      <c r="F952" s="12">
        <v>1</v>
      </c>
      <c r="G952" s="12">
        <v>0</v>
      </c>
      <c r="H952" s="12">
        <v>1</v>
      </c>
      <c r="I952" s="12">
        <v>0</v>
      </c>
      <c r="J952" s="12">
        <v>0</v>
      </c>
      <c r="K952" s="12">
        <v>0</v>
      </c>
      <c r="L952" s="12">
        <v>1</v>
      </c>
      <c r="M952" s="12">
        <v>1</v>
      </c>
      <c r="N952" s="12">
        <v>0</v>
      </c>
      <c r="O952" s="12">
        <v>1</v>
      </c>
      <c r="P952" s="12">
        <v>1</v>
      </c>
      <c r="Q952" s="12">
        <v>0</v>
      </c>
      <c r="R952" s="12">
        <v>0</v>
      </c>
      <c r="S952" s="12">
        <v>1</v>
      </c>
      <c r="T952" s="12">
        <v>0</v>
      </c>
      <c r="U952" s="12">
        <v>1</v>
      </c>
      <c r="V952" s="12">
        <v>0</v>
      </c>
      <c r="W952" s="12">
        <v>0</v>
      </c>
      <c r="X952" s="12">
        <v>0</v>
      </c>
      <c r="Y952" s="12">
        <v>1</v>
      </c>
      <c r="Z952" s="12">
        <v>1</v>
      </c>
      <c r="AA952" s="12">
        <v>1</v>
      </c>
      <c r="AB952" s="12">
        <v>0</v>
      </c>
      <c r="AC952" s="12">
        <v>0</v>
      </c>
      <c r="AD952" s="12">
        <v>1</v>
      </c>
      <c r="AE952" s="12">
        <v>1</v>
      </c>
      <c r="AF952" s="12">
        <v>1</v>
      </c>
      <c r="AG952" s="12">
        <v>1</v>
      </c>
    </row>
    <row r="953" spans="1:41">
      <c r="A953" s="12" t="s">
        <v>253</v>
      </c>
      <c r="B953" s="12">
        <f ca="1">_xlfn.BITXOR(B919,J946)</f>
        <v>0</v>
      </c>
      <c r="C953" s="12">
        <f t="shared" ref="C953" ca="1" si="371">_xlfn.BITXOR(C919,K946)</f>
        <v>0</v>
      </c>
      <c r="D953" s="12">
        <f t="shared" ref="D953" ca="1" si="372">_xlfn.BITXOR(D919,L946)</f>
        <v>1</v>
      </c>
      <c r="E953" s="12">
        <f t="shared" ref="E953" ca="1" si="373">_xlfn.BITXOR(E919,M946)</f>
        <v>1</v>
      </c>
      <c r="F953" s="12">
        <f t="shared" ref="F953" ca="1" si="374">_xlfn.BITXOR(F919,N946)</f>
        <v>1</v>
      </c>
      <c r="G953" s="12">
        <f t="shared" ref="G953" ca="1" si="375">_xlfn.BITXOR(G919,O946)</f>
        <v>1</v>
      </c>
      <c r="H953" s="12">
        <f t="shared" ref="H953" ca="1" si="376">_xlfn.BITXOR(H919,P946)</f>
        <v>1</v>
      </c>
      <c r="I953" s="12">
        <f t="shared" ref="I953" ca="1" si="377">_xlfn.BITXOR(I919,Q946)</f>
        <v>1</v>
      </c>
      <c r="J953" s="12">
        <f t="shared" ref="J953" ca="1" si="378">_xlfn.BITXOR(J919,R946)</f>
        <v>0</v>
      </c>
      <c r="K953" s="12">
        <f t="shared" ref="K953" ca="1" si="379">_xlfn.BITXOR(K919,S946)</f>
        <v>1</v>
      </c>
      <c r="L953" s="12">
        <f t="shared" ref="L953" ca="1" si="380">_xlfn.BITXOR(L919,T946)</f>
        <v>1</v>
      </c>
      <c r="M953" s="12">
        <f t="shared" ref="M953" ca="1" si="381">_xlfn.BITXOR(M919,U946)</f>
        <v>1</v>
      </c>
      <c r="N953" s="12">
        <f t="shared" ref="N953" ca="1" si="382">_xlfn.BITXOR(N919,V946)</f>
        <v>1</v>
      </c>
      <c r="O953" s="12">
        <f t="shared" ref="O953" ca="1" si="383">_xlfn.BITXOR(O919,W946)</f>
        <v>0</v>
      </c>
      <c r="P953" s="12">
        <f t="shared" ref="P953" ca="1" si="384">_xlfn.BITXOR(P919,X946)</f>
        <v>0</v>
      </c>
      <c r="Q953" s="12">
        <f t="shared" ref="Q953" ca="1" si="385">_xlfn.BITXOR(Q919,Y946)</f>
        <v>1</v>
      </c>
      <c r="R953" s="12">
        <f t="shared" ref="R953" ca="1" si="386">_xlfn.BITXOR(R919,Z946)</f>
        <v>1</v>
      </c>
      <c r="S953" s="12">
        <f t="shared" ref="S953" ca="1" si="387">_xlfn.BITXOR(S919,AA946)</f>
        <v>1</v>
      </c>
      <c r="T953" s="12">
        <f t="shared" ref="T953" ca="1" si="388">_xlfn.BITXOR(T919,AB946)</f>
        <v>0</v>
      </c>
      <c r="U953" s="12">
        <f t="shared" ref="U953" ca="1" si="389">_xlfn.BITXOR(U919,AC946)</f>
        <v>0</v>
      </c>
      <c r="V953" s="12">
        <f t="shared" ref="V953" ca="1" si="390">_xlfn.BITXOR(V919,AD946)</f>
        <v>0</v>
      </c>
      <c r="W953" s="12">
        <f t="shared" ref="W953" ca="1" si="391">_xlfn.BITXOR(W919,AE946)</f>
        <v>1</v>
      </c>
      <c r="X953" s="12">
        <f t="shared" ref="X953" ca="1" si="392">_xlfn.BITXOR(X919,AF946)</f>
        <v>1</v>
      </c>
      <c r="Y953" s="12">
        <f t="shared" ref="Y953" ca="1" si="393">_xlfn.BITXOR(Y919,AG946)</f>
        <v>0</v>
      </c>
      <c r="Z953" s="12">
        <f t="shared" ref="Z953" ca="1" si="394">_xlfn.BITXOR(Z919,AH946)</f>
        <v>1</v>
      </c>
      <c r="AA953" s="12">
        <f t="shared" ref="AA953" ca="1" si="395">_xlfn.BITXOR(AA919,AI946)</f>
        <v>0</v>
      </c>
      <c r="AB953" s="12">
        <f t="shared" ref="AB953" ca="1" si="396">_xlfn.BITXOR(AB919,AJ946)</f>
        <v>1</v>
      </c>
      <c r="AC953" s="12">
        <f t="shared" ref="AC953" ca="1" si="397">_xlfn.BITXOR(AC919,AK946)</f>
        <v>0</v>
      </c>
      <c r="AD953" s="12">
        <f t="shared" ref="AD953" ca="1" si="398">_xlfn.BITXOR(AD919,AL946)</f>
        <v>0</v>
      </c>
      <c r="AE953" s="12">
        <f t="shared" ref="AE953" ca="1" si="399">_xlfn.BITXOR(AE919,AM946)</f>
        <v>1</v>
      </c>
      <c r="AF953" s="12">
        <f t="shared" ref="AF953" ca="1" si="400">_xlfn.BITXOR(AF919,AN946)</f>
        <v>1</v>
      </c>
      <c r="AG953" s="12">
        <f t="shared" ref="AG953" ca="1" si="401">_xlfn.BITXOR(AG919,AO946)</f>
        <v>0</v>
      </c>
    </row>
    <row r="955" spans="1:41">
      <c r="A955" s="21" t="s">
        <v>254</v>
      </c>
    </row>
    <row r="956" spans="1:41">
      <c r="A956" s="5" t="s">
        <v>255</v>
      </c>
      <c r="B956" s="12" cm="1">
        <f t="array" aca="1" ref="B956" ca="1">INDEX($B$953:$AG$953, T25)</f>
        <v>0</v>
      </c>
      <c r="C956" s="12" cm="1">
        <f t="array" aca="1" ref="C956" ca="1">INDEX($B$953:$AG$953, U25)</f>
        <v>0</v>
      </c>
      <c r="D956" s="12" cm="1">
        <f t="array" aca="1" ref="D956" ca="1">INDEX($B$953:$AG$953, V25)</f>
        <v>0</v>
      </c>
      <c r="E956" s="12" cm="1">
        <f t="array" aca="1" ref="E956" ca="1">INDEX($B$953:$AG$953, W25)</f>
        <v>1</v>
      </c>
      <c r="F956" s="12" cm="1">
        <f t="array" aca="1" ref="F956" ca="1">INDEX($B$953:$AG$953, X25)</f>
        <v>1</v>
      </c>
      <c r="G956" s="12" cm="1">
        <f t="array" aca="1" ref="G956" ca="1">INDEX($B$953:$AG$953, Y25)</f>
        <v>1</v>
      </c>
    </row>
    <row r="957" spans="1:41">
      <c r="B957" s="12" cm="1">
        <f t="array" aca="1" ref="B957" ca="1">INDEX($B$953:$AG$953, T26)</f>
        <v>1</v>
      </c>
      <c r="C957" s="12" cm="1">
        <f t="array" aca="1" ref="C957" ca="1">INDEX($B$953:$AG$953, U26)</f>
        <v>1</v>
      </c>
      <c r="D957" s="12" cm="1">
        <f t="array" aca="1" ref="D957" ca="1">INDEX($B$953:$AG$953, V26)</f>
        <v>1</v>
      </c>
      <c r="E957" s="12" cm="1">
        <f t="array" aca="1" ref="E957" ca="1">INDEX($B$953:$AG$953, W26)</f>
        <v>1</v>
      </c>
      <c r="F957" s="12" cm="1">
        <f t="array" aca="1" ref="F957" ca="1">INDEX($B$953:$AG$953, X26)</f>
        <v>1</v>
      </c>
      <c r="G957" s="12" cm="1">
        <f t="array" aca="1" ref="G957" ca="1">INDEX($B$953:$AG$953, Y26)</f>
        <v>0</v>
      </c>
    </row>
    <row r="958" spans="1:41">
      <c r="B958" s="12" cm="1">
        <f t="array" aca="1" ref="B958" ca="1">INDEX($B$953:$AG$953, T27)</f>
        <v>1</v>
      </c>
      <c r="C958" s="12" cm="1">
        <f t="array" aca="1" ref="C958" ca="1">INDEX($B$953:$AG$953, U27)</f>
        <v>0</v>
      </c>
      <c r="D958" s="12" cm="1">
        <f t="array" aca="1" ref="D958" ca="1">INDEX($B$953:$AG$953, V27)</f>
        <v>1</v>
      </c>
      <c r="E958" s="12" cm="1">
        <f t="array" aca="1" ref="E958" ca="1">INDEX($B$953:$AG$953, W27)</f>
        <v>1</v>
      </c>
      <c r="F958" s="12" cm="1">
        <f t="array" aca="1" ref="F958" ca="1">INDEX($B$953:$AG$953, X27)</f>
        <v>1</v>
      </c>
      <c r="G958" s="12" cm="1">
        <f t="array" aca="1" ref="G958" ca="1">INDEX($B$953:$AG$953, Y27)</f>
        <v>1</v>
      </c>
    </row>
    <row r="959" spans="1:41">
      <c r="B959" s="12" cm="1">
        <f t="array" aca="1" ref="B959" ca="1">INDEX($B$953:$AG$953, T28)</f>
        <v>1</v>
      </c>
      <c r="C959" s="12" cm="1">
        <f t="array" aca="1" ref="C959" ca="1">INDEX($B$953:$AG$953, U28)</f>
        <v>1</v>
      </c>
      <c r="D959" s="12" cm="1">
        <f t="array" aca="1" ref="D959" ca="1">INDEX($B$953:$AG$953, V28)</f>
        <v>0</v>
      </c>
      <c r="E959" s="12" cm="1">
        <f t="array" aca="1" ref="E959" ca="1">INDEX($B$953:$AG$953, W28)</f>
        <v>0</v>
      </c>
      <c r="F959" s="12" cm="1">
        <f t="array" aca="1" ref="F959" ca="1">INDEX($B$953:$AG$953, X28)</f>
        <v>1</v>
      </c>
      <c r="G959" s="12" cm="1">
        <f t="array" aca="1" ref="G959" ca="1">INDEX($B$953:$AG$953, Y28)</f>
        <v>1</v>
      </c>
    </row>
    <row r="960" spans="1:41">
      <c r="B960" s="12" cm="1">
        <f t="array" aca="1" ref="B960" ca="1">INDEX($B$953:$AG$953, T29)</f>
        <v>1</v>
      </c>
      <c r="C960" s="12" cm="1">
        <f t="array" aca="1" ref="C960" ca="1">INDEX($B$953:$AG$953, U29)</f>
        <v>1</v>
      </c>
      <c r="D960" s="12" cm="1">
        <f t="array" aca="1" ref="D960" ca="1">INDEX($B$953:$AG$953, V29)</f>
        <v>1</v>
      </c>
      <c r="E960" s="12" cm="1">
        <f t="array" aca="1" ref="E960" ca="1">INDEX($B$953:$AG$953, W29)</f>
        <v>0</v>
      </c>
      <c r="F960" s="12" cm="1">
        <f t="array" aca="1" ref="F960" ca="1">INDEX($B$953:$AG$953, X29)</f>
        <v>0</v>
      </c>
      <c r="G960" s="12" cm="1">
        <f t="array" aca="1" ref="G960" ca="1">INDEX($B$953:$AG$953, Y29)</f>
        <v>0</v>
      </c>
    </row>
    <row r="961" spans="1:49">
      <c r="B961" s="12" cm="1">
        <f t="array" aca="1" ref="B961" ca="1">INDEX($B$953:$AG$953, T30)</f>
        <v>0</v>
      </c>
      <c r="C961" s="12" cm="1">
        <f t="array" aca="1" ref="C961" ca="1">INDEX($B$953:$AG$953, U30)</f>
        <v>0</v>
      </c>
      <c r="D961" s="12" cm="1">
        <f t="array" aca="1" ref="D961" ca="1">INDEX($B$953:$AG$953, V30)</f>
        <v>1</v>
      </c>
      <c r="E961" s="12" cm="1">
        <f t="array" aca="1" ref="E961" ca="1">INDEX($B$953:$AG$953, W30)</f>
        <v>1</v>
      </c>
      <c r="F961" s="12" cm="1">
        <f t="array" aca="1" ref="F961" ca="1">INDEX($B$953:$AG$953, X30)</f>
        <v>0</v>
      </c>
      <c r="G961" s="12" cm="1">
        <f t="array" aca="1" ref="G961" ca="1">INDEX($B$953:$AG$953, Y30)</f>
        <v>1</v>
      </c>
    </row>
    <row r="962" spans="1:49">
      <c r="B962" s="12" cm="1">
        <f t="array" aca="1" ref="B962" ca="1">INDEX($B$953:$AG$953, T31)</f>
        <v>0</v>
      </c>
      <c r="C962" s="12" cm="1">
        <f t="array" aca="1" ref="C962" ca="1">INDEX($B$953:$AG$953, U31)</f>
        <v>1</v>
      </c>
      <c r="D962" s="12" cm="1">
        <f t="array" aca="1" ref="D962" ca="1">INDEX($B$953:$AG$953, V31)</f>
        <v>0</v>
      </c>
      <c r="E962" s="12" cm="1">
        <f t="array" aca="1" ref="E962" ca="1">INDEX($B$953:$AG$953, W31)</f>
        <v>1</v>
      </c>
      <c r="F962" s="12" cm="1">
        <f t="array" aca="1" ref="F962" ca="1">INDEX($B$953:$AG$953, X31)</f>
        <v>0</v>
      </c>
      <c r="G962" s="12" cm="1">
        <f t="array" aca="1" ref="G962" ca="1">INDEX($B$953:$AG$953, Y31)</f>
        <v>0</v>
      </c>
    </row>
    <row r="963" spans="1:49">
      <c r="B963" s="12" cm="1">
        <f t="array" aca="1" ref="B963" ca="1">INDEX($B$953:$AG$953, T32)</f>
        <v>0</v>
      </c>
      <c r="C963" s="12" cm="1">
        <f t="array" aca="1" ref="C963" ca="1">INDEX($B$953:$AG$953, U32)</f>
        <v>0</v>
      </c>
      <c r="D963" s="12" cm="1">
        <f t="array" aca="1" ref="D963" ca="1">INDEX($B$953:$AG$953, V32)</f>
        <v>1</v>
      </c>
      <c r="E963" s="12" cm="1">
        <f t="array" aca="1" ref="E963" ca="1">INDEX($B$953:$AG$953, W32)</f>
        <v>1</v>
      </c>
      <c r="F963" s="12" cm="1">
        <f t="array" aca="1" ref="F963" ca="1">INDEX($B$953:$AG$953, X32)</f>
        <v>0</v>
      </c>
      <c r="G963" s="12" cm="1">
        <f t="array" aca="1" ref="G963" ca="1">INDEX($B$953:$AG$953, Y32)</f>
        <v>0</v>
      </c>
    </row>
    <row r="965" spans="1:49">
      <c r="A965" s="12" t="s">
        <v>3</v>
      </c>
      <c r="B965" s="12">
        <v>1</v>
      </c>
      <c r="C965" s="12">
        <v>2</v>
      </c>
      <c r="D965" s="12">
        <v>3</v>
      </c>
      <c r="E965" s="12">
        <v>4</v>
      </c>
      <c r="F965" s="12">
        <v>5</v>
      </c>
      <c r="G965" s="12">
        <v>6</v>
      </c>
      <c r="H965" s="12">
        <v>7</v>
      </c>
      <c r="I965" s="12">
        <v>8</v>
      </c>
      <c r="J965" s="12">
        <v>9</v>
      </c>
      <c r="K965" s="12">
        <v>10</v>
      </c>
      <c r="L965" s="12">
        <v>11</v>
      </c>
      <c r="M965" s="12">
        <v>12</v>
      </c>
      <c r="N965" s="12">
        <v>13</v>
      </c>
      <c r="O965" s="12">
        <v>14</v>
      </c>
      <c r="P965" s="12">
        <v>15</v>
      </c>
      <c r="Q965" s="12">
        <v>16</v>
      </c>
      <c r="R965" s="12">
        <v>17</v>
      </c>
      <c r="S965" s="12">
        <v>18</v>
      </c>
      <c r="T965" s="12">
        <v>19</v>
      </c>
      <c r="U965" s="12">
        <v>20</v>
      </c>
      <c r="V965" s="12">
        <v>21</v>
      </c>
      <c r="W965" s="12">
        <v>22</v>
      </c>
      <c r="X965" s="12">
        <v>23</v>
      </c>
      <c r="Y965" s="12">
        <v>24</v>
      </c>
      <c r="Z965" s="12">
        <v>25</v>
      </c>
      <c r="AA965" s="12">
        <v>26</v>
      </c>
      <c r="AB965" s="12">
        <v>27</v>
      </c>
      <c r="AC965" s="12">
        <v>28</v>
      </c>
      <c r="AD965" s="12">
        <v>29</v>
      </c>
      <c r="AE965" s="12">
        <v>30</v>
      </c>
      <c r="AF965" s="12">
        <v>31</v>
      </c>
      <c r="AG965" s="12">
        <v>32</v>
      </c>
      <c r="AH965" s="12">
        <v>33</v>
      </c>
      <c r="AI965" s="12">
        <v>34</v>
      </c>
      <c r="AJ965" s="12">
        <v>35</v>
      </c>
      <c r="AK965" s="12">
        <v>36</v>
      </c>
      <c r="AL965" s="12">
        <v>37</v>
      </c>
      <c r="AM965" s="12">
        <v>38</v>
      </c>
      <c r="AN965" s="12">
        <v>39</v>
      </c>
      <c r="AO965" s="12">
        <v>40</v>
      </c>
      <c r="AP965" s="12">
        <v>41</v>
      </c>
      <c r="AQ965" s="12">
        <v>42</v>
      </c>
      <c r="AR965" s="12">
        <v>43</v>
      </c>
      <c r="AS965" s="12">
        <v>44</v>
      </c>
      <c r="AT965" s="12">
        <v>45</v>
      </c>
      <c r="AU965" s="12">
        <v>46</v>
      </c>
      <c r="AV965" s="12">
        <v>47</v>
      </c>
      <c r="AW965" s="12">
        <v>48</v>
      </c>
    </row>
    <row r="966" spans="1:49">
      <c r="A966" s="7" t="s">
        <v>255</v>
      </c>
      <c r="B966" s="16" cm="1">
        <f t="array" aca="1" ref="B966" ca="1">INDEX($B$956:$G963, INT((COLUMN(A822)-1)/6)+1, MOD(COLUMN(A822)-1,6)+1)</f>
        <v>0</v>
      </c>
      <c r="C966" s="16" cm="1">
        <f t="array" aca="1" ref="C966" ca="1">INDEX($B$956:$G963, INT((COLUMN(B822)-1)/6)+1, MOD(COLUMN(B822)-1,6)+1)</f>
        <v>0</v>
      </c>
      <c r="D966" s="16" cm="1">
        <f t="array" aca="1" ref="D966" ca="1">INDEX($B$956:$G963, INT((COLUMN(C822)-1)/6)+1, MOD(COLUMN(C822)-1,6)+1)</f>
        <v>0</v>
      </c>
      <c r="E966" s="16" cm="1">
        <f t="array" aca="1" ref="E966" ca="1">INDEX($B$956:$G963, INT((COLUMN(D822)-1)/6)+1, MOD(COLUMN(D822)-1,6)+1)</f>
        <v>1</v>
      </c>
      <c r="F966" s="16" cm="1">
        <f t="array" aca="1" ref="F966" ca="1">INDEX($B$956:$G963, INT((COLUMN(E822)-1)/6)+1, MOD(COLUMN(E822)-1,6)+1)</f>
        <v>1</v>
      </c>
      <c r="G966" s="16" cm="1">
        <f t="array" aca="1" ref="G966" ca="1">INDEX($B$956:$G963, INT((COLUMN(F822)-1)/6)+1, MOD(COLUMN(F822)-1,6)+1)</f>
        <v>1</v>
      </c>
      <c r="H966" s="16" cm="1">
        <f t="array" aca="1" ref="H966" ca="1">INDEX($B$956:$G963, INT((COLUMN(G822)-1)/6)+1, MOD(COLUMN(G822)-1,6)+1)</f>
        <v>1</v>
      </c>
      <c r="I966" s="16" cm="1">
        <f t="array" aca="1" ref="I966" ca="1">INDEX($B$956:$G963, INT((COLUMN(H822)-1)/6)+1, MOD(COLUMN(H822)-1,6)+1)</f>
        <v>1</v>
      </c>
      <c r="J966" s="16" cm="1">
        <f t="array" aca="1" ref="J966" ca="1">INDEX($B$956:$G963, INT((COLUMN(I822)-1)/6)+1, MOD(COLUMN(I822)-1,6)+1)</f>
        <v>1</v>
      </c>
      <c r="K966" s="16" cm="1">
        <f t="array" aca="1" ref="K966" ca="1">INDEX($B$956:$G963, INT((COLUMN(J822)-1)/6)+1, MOD(COLUMN(J822)-1,6)+1)</f>
        <v>1</v>
      </c>
      <c r="L966" s="16" cm="1">
        <f t="array" aca="1" ref="L966" ca="1">INDEX($B$956:$G963, INT((COLUMN(K822)-1)/6)+1, MOD(COLUMN(K822)-1,6)+1)</f>
        <v>1</v>
      </c>
      <c r="M966" s="16" cm="1">
        <f t="array" aca="1" ref="M966" ca="1">INDEX($B$956:$G963, INT((COLUMN(L822)-1)/6)+1, MOD(COLUMN(L822)-1,6)+1)</f>
        <v>0</v>
      </c>
      <c r="N966" s="16" cm="1">
        <f t="array" aca="1" ref="N966" ca="1">INDEX($B$956:$G963, INT((COLUMN(M822)-1)/6)+1, MOD(COLUMN(M822)-1,6)+1)</f>
        <v>1</v>
      </c>
      <c r="O966" s="16" cm="1">
        <f t="array" aca="1" ref="O966" ca="1">INDEX($B$956:$G963, INT((COLUMN(N822)-1)/6)+1, MOD(COLUMN(N822)-1,6)+1)</f>
        <v>0</v>
      </c>
      <c r="P966" s="16" cm="1">
        <f t="array" aca="1" ref="P966" ca="1">INDEX($B$956:$G963, INT((COLUMN(O822)-1)/6)+1, MOD(COLUMN(O822)-1,6)+1)</f>
        <v>1</v>
      </c>
      <c r="Q966" s="16" cm="1">
        <f t="array" aca="1" ref="Q966" ca="1">INDEX($B$956:$G963, INT((COLUMN(P822)-1)/6)+1, MOD(COLUMN(P822)-1,6)+1)</f>
        <v>1</v>
      </c>
      <c r="R966" s="16" cm="1">
        <f t="array" aca="1" ref="R966" ca="1">INDEX($B$956:$G963, INT((COLUMN(Q822)-1)/6)+1, MOD(COLUMN(Q822)-1,6)+1)</f>
        <v>1</v>
      </c>
      <c r="S966" s="16" cm="1">
        <f t="array" aca="1" ref="S966" ca="1">INDEX($B$956:$G963, INT((COLUMN(R822)-1)/6)+1, MOD(COLUMN(R822)-1,6)+1)</f>
        <v>1</v>
      </c>
      <c r="T966" s="16" cm="1">
        <f t="array" aca="1" ref="T966" ca="1">INDEX($B$956:$G963, INT((COLUMN(S822)-1)/6)+1, MOD(COLUMN(S822)-1,6)+1)</f>
        <v>1</v>
      </c>
      <c r="U966" s="16" cm="1">
        <f t="array" aca="1" ref="U966" ca="1">INDEX($B$956:$G963, INT((COLUMN(T822)-1)/6)+1, MOD(COLUMN(T822)-1,6)+1)</f>
        <v>1</v>
      </c>
      <c r="V966" s="16" cm="1">
        <f t="array" aca="1" ref="V966" ca="1">INDEX($B$956:$G963, INT((COLUMN(U822)-1)/6)+1, MOD(COLUMN(U822)-1,6)+1)</f>
        <v>0</v>
      </c>
      <c r="W966" s="16" cm="1">
        <f t="array" aca="1" ref="W966" ca="1">INDEX($B$956:$G963, INT((COLUMN(V822)-1)/6)+1, MOD(COLUMN(V822)-1,6)+1)</f>
        <v>0</v>
      </c>
      <c r="X966" s="16" cm="1">
        <f t="array" aca="1" ref="X966" ca="1">INDEX($B$956:$G963, INT((COLUMN(W822)-1)/6)+1, MOD(COLUMN(W822)-1,6)+1)</f>
        <v>1</v>
      </c>
      <c r="Y966" s="16" cm="1">
        <f t="array" aca="1" ref="Y966" ca="1">INDEX($B$956:$G963, INT((COLUMN(X822)-1)/6)+1, MOD(COLUMN(X822)-1,6)+1)</f>
        <v>1</v>
      </c>
      <c r="Z966" s="16" cm="1">
        <f t="array" aca="1" ref="Z966" ca="1">INDEX($B$956:$G963, INT((COLUMN(Y822)-1)/6)+1, MOD(COLUMN(Y822)-1,6)+1)</f>
        <v>1</v>
      </c>
      <c r="AA966" s="16" cm="1">
        <f t="array" aca="1" ref="AA966" ca="1">INDEX($B$956:$G963, INT((COLUMN(Z822)-1)/6)+1, MOD(COLUMN(Z822)-1,6)+1)</f>
        <v>1</v>
      </c>
      <c r="AB966" s="16" cm="1">
        <f t="array" aca="1" ref="AB966" ca="1">INDEX($B$956:$G963, INT((COLUMN(AA822)-1)/6)+1, MOD(COLUMN(AA822)-1,6)+1)</f>
        <v>1</v>
      </c>
      <c r="AC966" s="16" cm="1">
        <f t="array" aca="1" ref="AC966" ca="1">INDEX($B$956:$G963, INT((COLUMN(AB822)-1)/6)+1, MOD(COLUMN(AB822)-1,6)+1)</f>
        <v>0</v>
      </c>
      <c r="AD966" s="16" cm="1">
        <f t="array" aca="1" ref="AD966" ca="1">INDEX($B$956:$G963, INT((COLUMN(AC822)-1)/6)+1, MOD(COLUMN(AC822)-1,6)+1)</f>
        <v>0</v>
      </c>
      <c r="AE966" s="16" cm="1">
        <f t="array" aca="1" ref="AE966" ca="1">INDEX($B$956:$G963, INT((COLUMN(AD822)-1)/6)+1, MOD(COLUMN(AD822)-1,6)+1)</f>
        <v>0</v>
      </c>
      <c r="AF966" s="16" cm="1">
        <f t="array" aca="1" ref="AF966" ca="1">INDEX($B$956:$G963, INT((COLUMN(AE822)-1)/6)+1, MOD(COLUMN(AE822)-1,6)+1)</f>
        <v>0</v>
      </c>
      <c r="AG966" s="16" cm="1">
        <f t="array" aca="1" ref="AG966" ca="1">INDEX($B$956:$G963, INT((COLUMN(AF822)-1)/6)+1, MOD(COLUMN(AF822)-1,6)+1)</f>
        <v>0</v>
      </c>
      <c r="AH966" s="16" cm="1">
        <f t="array" aca="1" ref="AH966" ca="1">INDEX($B$956:$G963, INT((COLUMN(AG822)-1)/6)+1, MOD(COLUMN(AG822)-1,6)+1)</f>
        <v>1</v>
      </c>
      <c r="AI966" s="16" cm="1">
        <f t="array" aca="1" ref="AI966" ca="1">INDEX($B$956:$G963, INT((COLUMN(AH822)-1)/6)+1, MOD(COLUMN(AH822)-1,6)+1)</f>
        <v>1</v>
      </c>
      <c r="AJ966" s="16" cm="1">
        <f t="array" aca="1" ref="AJ966" ca="1">INDEX($B$956:$G963, INT((COLUMN(AI822)-1)/6)+1, MOD(COLUMN(AI822)-1,6)+1)</f>
        <v>0</v>
      </c>
      <c r="AK966" s="16" cm="1">
        <f t="array" aca="1" ref="AK966" ca="1">INDEX($B$956:$G963, INT((COLUMN(AJ822)-1)/6)+1, MOD(COLUMN(AJ822)-1,6)+1)</f>
        <v>1</v>
      </c>
      <c r="AL966" s="16" cm="1">
        <f t="array" aca="1" ref="AL966" ca="1">INDEX($B$956:$G963, INT((COLUMN(AK822)-1)/6)+1, MOD(COLUMN(AK822)-1,6)+1)</f>
        <v>0</v>
      </c>
      <c r="AM966" s="16" cm="1">
        <f t="array" aca="1" ref="AM966" ca="1">INDEX($B$956:$G963, INT((COLUMN(AL822)-1)/6)+1, MOD(COLUMN(AL822)-1,6)+1)</f>
        <v>1</v>
      </c>
      <c r="AN966" s="16" cm="1">
        <f t="array" aca="1" ref="AN966" ca="1">INDEX($B$956:$G963, INT((COLUMN(AM822)-1)/6)+1, MOD(COLUMN(AM822)-1,6)+1)</f>
        <v>0</v>
      </c>
      <c r="AO966" s="16" cm="1">
        <f t="array" aca="1" ref="AO966" ca="1">INDEX($B$956:$G963, INT((COLUMN(AN822)-1)/6)+1, MOD(COLUMN(AN822)-1,6)+1)</f>
        <v>1</v>
      </c>
      <c r="AP966" s="16" cm="1">
        <f t="array" aca="1" ref="AP966" ca="1">INDEX($B$956:$G963, INT((COLUMN(AO822)-1)/6)+1, MOD(COLUMN(AO822)-1,6)+1)</f>
        <v>0</v>
      </c>
      <c r="AQ966" s="16" cm="1">
        <f t="array" aca="1" ref="AQ966" ca="1">INDEX($B$956:$G963, INT((COLUMN(AP822)-1)/6)+1, MOD(COLUMN(AP822)-1,6)+1)</f>
        <v>0</v>
      </c>
      <c r="AR966" s="16" cm="1">
        <f t="array" aca="1" ref="AR966" ca="1">INDEX($B$956:$G963, INT((COLUMN(AQ822)-1)/6)+1, MOD(COLUMN(AQ822)-1,6)+1)</f>
        <v>0</v>
      </c>
      <c r="AS966" s="16" cm="1">
        <f t="array" aca="1" ref="AS966" ca="1">INDEX($B$956:$G963, INT((COLUMN(AR822)-1)/6)+1, MOD(COLUMN(AR822)-1,6)+1)</f>
        <v>0</v>
      </c>
      <c r="AT966" s="16" cm="1">
        <f t="array" aca="1" ref="AT966" ca="1">INDEX($B$956:$G963, INT((COLUMN(AS822)-1)/6)+1, MOD(COLUMN(AS822)-1,6)+1)</f>
        <v>1</v>
      </c>
      <c r="AU966" s="16" cm="1">
        <f t="array" aca="1" ref="AU966" ca="1">INDEX($B$956:$G963, INT((COLUMN(AT822)-1)/6)+1, MOD(COLUMN(AT822)-1,6)+1)</f>
        <v>1</v>
      </c>
      <c r="AV966" s="16" cm="1">
        <f t="array" aca="1" ref="AV966" ca="1">INDEX($B$956:$G963, INT((COLUMN(AU822)-1)/6)+1, MOD(COLUMN(AU822)-1,6)+1)</f>
        <v>0</v>
      </c>
      <c r="AW966" s="16" cm="1">
        <f t="array" aca="1" ref="AW966" ca="1">INDEX($B$956:$G963, INT((COLUMN(AV822)-1)/6)+1, MOD(COLUMN(AV822)-1,6)+1)</f>
        <v>0</v>
      </c>
    </row>
    <row r="967" spans="1:49">
      <c r="A967" s="19"/>
    </row>
    <row r="968" spans="1:49">
      <c r="A968" s="12" t="s">
        <v>3</v>
      </c>
      <c r="B968" s="12">
        <v>1</v>
      </c>
      <c r="C968" s="12">
        <v>2</v>
      </c>
      <c r="D968" s="12">
        <v>3</v>
      </c>
      <c r="E968" s="12">
        <v>4</v>
      </c>
      <c r="F968" s="12">
        <v>5</v>
      </c>
      <c r="G968" s="12">
        <v>6</v>
      </c>
      <c r="H968" s="12">
        <v>7</v>
      </c>
      <c r="I968" s="12">
        <v>8</v>
      </c>
      <c r="J968" s="12">
        <v>9</v>
      </c>
      <c r="K968" s="12">
        <v>10</v>
      </c>
      <c r="L968" s="12">
        <v>11</v>
      </c>
      <c r="M968" s="12">
        <v>12</v>
      </c>
      <c r="N968" s="12">
        <v>13</v>
      </c>
      <c r="O968" s="12">
        <v>14</v>
      </c>
      <c r="P968" s="12">
        <v>15</v>
      </c>
      <c r="Q968" s="12">
        <v>16</v>
      </c>
      <c r="R968" s="12">
        <v>17</v>
      </c>
      <c r="S968" s="12">
        <v>18</v>
      </c>
      <c r="T968" s="12">
        <v>19</v>
      </c>
      <c r="U968" s="12">
        <v>20</v>
      </c>
      <c r="V968" s="12">
        <v>21</v>
      </c>
      <c r="W968" s="12">
        <v>22</v>
      </c>
      <c r="X968" s="12">
        <v>23</v>
      </c>
      <c r="Y968" s="12">
        <v>24</v>
      </c>
      <c r="Z968" s="12">
        <v>25</v>
      </c>
      <c r="AA968" s="12">
        <v>26</v>
      </c>
      <c r="AB968" s="12">
        <v>27</v>
      </c>
      <c r="AC968" s="12">
        <v>28</v>
      </c>
      <c r="AD968" s="12">
        <v>29</v>
      </c>
      <c r="AE968" s="12">
        <v>30</v>
      </c>
      <c r="AF968" s="12">
        <v>31</v>
      </c>
      <c r="AG968" s="12">
        <v>32</v>
      </c>
      <c r="AH968" s="12">
        <v>33</v>
      </c>
      <c r="AI968" s="12">
        <v>34</v>
      </c>
      <c r="AJ968" s="12">
        <v>35</v>
      </c>
      <c r="AK968" s="12">
        <v>36</v>
      </c>
      <c r="AL968" s="12">
        <v>37</v>
      </c>
      <c r="AM968" s="12">
        <v>38</v>
      </c>
      <c r="AN968" s="12">
        <v>39</v>
      </c>
      <c r="AO968" s="12">
        <v>40</v>
      </c>
      <c r="AP968" s="12">
        <v>41</v>
      </c>
      <c r="AQ968" s="12">
        <v>42</v>
      </c>
      <c r="AR968" s="12">
        <v>43</v>
      </c>
      <c r="AS968" s="12">
        <v>44</v>
      </c>
      <c r="AT968" s="12">
        <v>45</v>
      </c>
      <c r="AU968" s="12">
        <v>46</v>
      </c>
      <c r="AV968" s="12">
        <v>47</v>
      </c>
      <c r="AW968" s="12">
        <v>48</v>
      </c>
    </row>
    <row r="969" spans="1:49">
      <c r="A969" s="7" t="s">
        <v>256</v>
      </c>
      <c r="B969" s="16">
        <f ca="1">_xlfn.BITXOR(B966, B462)</f>
        <v>0</v>
      </c>
      <c r="C969" s="16">
        <f t="shared" ref="C969:AW969" ca="1" si="402">_xlfn.BITXOR(C966, C462)</f>
        <v>1</v>
      </c>
      <c r="D969" s="16">
        <f t="shared" ca="1" si="402"/>
        <v>0</v>
      </c>
      <c r="E969" s="16">
        <f t="shared" ca="1" si="402"/>
        <v>0</v>
      </c>
      <c r="F969" s="16">
        <f t="shared" ca="1" si="402"/>
        <v>1</v>
      </c>
      <c r="G969" s="16">
        <f t="shared" ca="1" si="402"/>
        <v>0</v>
      </c>
      <c r="H969" s="16">
        <f t="shared" ca="1" si="402"/>
        <v>0</v>
      </c>
      <c r="I969" s="16">
        <f t="shared" ca="1" si="402"/>
        <v>0</v>
      </c>
      <c r="J969" s="16">
        <f t="shared" ca="1" si="402"/>
        <v>1</v>
      </c>
      <c r="K969" s="16">
        <f t="shared" ca="1" si="402"/>
        <v>0</v>
      </c>
      <c r="L969" s="16">
        <f t="shared" ca="1" si="402"/>
        <v>1</v>
      </c>
      <c r="M969" s="16">
        <f t="shared" ca="1" si="402"/>
        <v>0</v>
      </c>
      <c r="N969" s="16">
        <f t="shared" ca="1" si="402"/>
        <v>1</v>
      </c>
      <c r="O969" s="16">
        <f t="shared" ca="1" si="402"/>
        <v>0</v>
      </c>
      <c r="P969" s="16">
        <f t="shared" ca="1" si="402"/>
        <v>0</v>
      </c>
      <c r="Q969" s="16">
        <f t="shared" ca="1" si="402"/>
        <v>0</v>
      </c>
      <c r="R969" s="16">
        <f t="shared" ca="1" si="402"/>
        <v>0</v>
      </c>
      <c r="S969" s="16">
        <f t="shared" ca="1" si="402"/>
        <v>1</v>
      </c>
      <c r="T969" s="16">
        <f t="shared" ca="1" si="402"/>
        <v>0</v>
      </c>
      <c r="U969" s="16">
        <f t="shared" ca="1" si="402"/>
        <v>0</v>
      </c>
      <c r="V969" s="16">
        <f t="shared" ca="1" si="402"/>
        <v>0</v>
      </c>
      <c r="W969" s="16">
        <f t="shared" ca="1" si="402"/>
        <v>1</v>
      </c>
      <c r="X969" s="16">
        <f t="shared" ca="1" si="402"/>
        <v>0</v>
      </c>
      <c r="Y969" s="16">
        <f t="shared" ca="1" si="402"/>
        <v>0</v>
      </c>
      <c r="Z969" s="16">
        <f t="shared" ca="1" si="402"/>
        <v>0</v>
      </c>
      <c r="AA969" s="16">
        <f t="shared" ca="1" si="402"/>
        <v>1</v>
      </c>
      <c r="AB969" s="16">
        <f t="shared" ca="1" si="402"/>
        <v>1</v>
      </c>
      <c r="AC969" s="16">
        <f t="shared" ca="1" si="402"/>
        <v>0</v>
      </c>
      <c r="AD969" s="16">
        <f t="shared" ca="1" si="402"/>
        <v>0</v>
      </c>
      <c r="AE969" s="16">
        <f t="shared" ca="1" si="402"/>
        <v>0</v>
      </c>
      <c r="AF969" s="16">
        <f t="shared" ca="1" si="402"/>
        <v>1</v>
      </c>
      <c r="AG969" s="16">
        <f t="shared" ca="1" si="402"/>
        <v>1</v>
      </c>
      <c r="AH969" s="16">
        <f t="shared" ca="1" si="402"/>
        <v>0</v>
      </c>
      <c r="AI969" s="16">
        <f t="shared" ca="1" si="402"/>
        <v>0</v>
      </c>
      <c r="AJ969" s="16">
        <f t="shared" ca="1" si="402"/>
        <v>0</v>
      </c>
      <c r="AK969" s="16">
        <f t="shared" ca="1" si="402"/>
        <v>0</v>
      </c>
      <c r="AL969" s="16">
        <f t="shared" ca="1" si="402"/>
        <v>1</v>
      </c>
      <c r="AM969" s="16">
        <f t="shared" ca="1" si="402"/>
        <v>0</v>
      </c>
      <c r="AN969" s="16">
        <f t="shared" ca="1" si="402"/>
        <v>0</v>
      </c>
      <c r="AO969" s="16">
        <f t="shared" ca="1" si="402"/>
        <v>0</v>
      </c>
      <c r="AP969" s="16">
        <f t="shared" ca="1" si="402"/>
        <v>1</v>
      </c>
      <c r="AQ969" s="16">
        <f t="shared" ca="1" si="402"/>
        <v>0</v>
      </c>
      <c r="AR969" s="16">
        <f t="shared" ca="1" si="402"/>
        <v>0</v>
      </c>
      <c r="AS969" s="16">
        <f t="shared" ca="1" si="402"/>
        <v>0</v>
      </c>
      <c r="AT969" s="16">
        <f t="shared" ca="1" si="402"/>
        <v>0</v>
      </c>
      <c r="AU969" s="16">
        <f t="shared" ca="1" si="402"/>
        <v>0</v>
      </c>
      <c r="AV969" s="16">
        <f t="shared" ca="1" si="402"/>
        <v>0</v>
      </c>
      <c r="AW969" s="16">
        <f t="shared" ca="1" si="402"/>
        <v>1</v>
      </c>
    </row>
    <row r="971" spans="1:49">
      <c r="A971" s="27" t="s">
        <v>136</v>
      </c>
      <c r="B971" s="27" t="s">
        <v>137</v>
      </c>
      <c r="C971" s="27"/>
      <c r="D971" s="27" t="s">
        <v>141</v>
      </c>
      <c r="E971" s="27" t="s">
        <v>142</v>
      </c>
      <c r="F971" s="28" t="s">
        <v>138</v>
      </c>
      <c r="G971" s="28"/>
      <c r="I971" s="5" t="s">
        <v>257</v>
      </c>
    </row>
    <row r="972" spans="1:49">
      <c r="A972" s="27"/>
      <c r="B972" s="27"/>
      <c r="C972" s="27"/>
      <c r="D972" s="27"/>
      <c r="E972" s="27"/>
      <c r="F972" s="7" t="s">
        <v>139</v>
      </c>
      <c r="G972" s="7" t="s">
        <v>140</v>
      </c>
    </row>
    <row r="973" spans="1:49">
      <c r="A973" s="7">
        <v>1</v>
      </c>
      <c r="B973" s="29" t="str">
        <f ca="1">_xlfn.TEXTJOIN("", TRUE, OFFSET($B$969,0,(ROW(A1)-1)*6,1,6))</f>
        <v>010010</v>
      </c>
      <c r="C973" s="30"/>
      <c r="D973" s="7">
        <f ca="1">BIN2DEC(LEFT(B973,1) &amp; RIGHT(B973,1))</f>
        <v>0</v>
      </c>
      <c r="E973" s="12">
        <f ca="1">BIN2DEC(MID(B973,2,4))</f>
        <v>9</v>
      </c>
      <c r="F973" s="12" cm="1">
        <f t="array" aca="1" ref="F973" ca="1">INDEX(OFFSET('S-box'!$A$2, (A973-1)*6, 0, 4, 16), D973+1, E973+1)</f>
        <v>10</v>
      </c>
      <c r="G973" s="17" t="str">
        <f ca="1">DEC2BIN(F973, 4)</f>
        <v>1010</v>
      </c>
      <c r="I973" s="12" t="s">
        <v>3</v>
      </c>
      <c r="J973" s="12">
        <v>1</v>
      </c>
      <c r="K973" s="12">
        <v>2</v>
      </c>
      <c r="L973" s="12">
        <v>3</v>
      </c>
      <c r="M973" s="12">
        <v>4</v>
      </c>
      <c r="N973" s="12">
        <v>5</v>
      </c>
      <c r="O973" s="12">
        <v>6</v>
      </c>
      <c r="P973" s="12">
        <v>7</v>
      </c>
      <c r="Q973" s="12">
        <v>8</v>
      </c>
      <c r="R973" s="12">
        <v>9</v>
      </c>
      <c r="S973" s="12">
        <v>10</v>
      </c>
      <c r="T973" s="12">
        <v>11</v>
      </c>
      <c r="U973" s="12">
        <v>12</v>
      </c>
      <c r="V973" s="12">
        <v>13</v>
      </c>
      <c r="W973" s="12">
        <v>14</v>
      </c>
      <c r="X973" s="12">
        <v>15</v>
      </c>
      <c r="Y973" s="12">
        <v>16</v>
      </c>
      <c r="Z973" s="12">
        <v>17</v>
      </c>
      <c r="AA973" s="12">
        <v>18</v>
      </c>
      <c r="AB973" s="12">
        <v>19</v>
      </c>
      <c r="AC973" s="12">
        <v>20</v>
      </c>
      <c r="AD973" s="12">
        <v>21</v>
      </c>
      <c r="AE973" s="12">
        <v>22</v>
      </c>
      <c r="AF973" s="12">
        <v>23</v>
      </c>
      <c r="AG973" s="12">
        <v>24</v>
      </c>
      <c r="AH973" s="12">
        <v>25</v>
      </c>
      <c r="AI973" s="12">
        <v>26</v>
      </c>
      <c r="AJ973" s="12">
        <v>27</v>
      </c>
      <c r="AK973" s="12">
        <v>28</v>
      </c>
      <c r="AL973" s="12">
        <v>29</v>
      </c>
      <c r="AM973" s="12">
        <v>30</v>
      </c>
      <c r="AN973" s="12">
        <v>31</v>
      </c>
      <c r="AO973" s="12">
        <v>32</v>
      </c>
    </row>
    <row r="974" spans="1:49">
      <c r="A974" s="7">
        <v>2</v>
      </c>
      <c r="B974" s="29" t="str">
        <f t="shared" ref="B974:B980" ca="1" si="403">_xlfn.TEXTJOIN("", TRUE, OFFSET($B$969,0,(ROW(A2)-1)*6,1,6))</f>
        <v>001010</v>
      </c>
      <c r="C974" s="30"/>
      <c r="D974" s="7">
        <f t="shared" ref="D974:D980" ca="1" si="404">BIN2DEC(LEFT(B974,1) &amp; RIGHT(B974,1))</f>
        <v>0</v>
      </c>
      <c r="E974" s="12">
        <f t="shared" ref="E974:E980" ca="1" si="405">BIN2DEC(MID(B974,2,4))</f>
        <v>5</v>
      </c>
      <c r="F974" s="12" cm="1">
        <f t="array" aca="1" ref="F974" ca="1">INDEX(OFFSET('S-box'!$A$2, (A974-1)*6, 0, 4, 16), D974+1, E974+1)</f>
        <v>11</v>
      </c>
      <c r="G974" s="17" t="str">
        <f t="shared" ref="G974:G980" ca="1" si="406">DEC2BIN(F974, 4)</f>
        <v>1011</v>
      </c>
      <c r="I974" s="12" t="s">
        <v>152</v>
      </c>
      <c r="J974" s="12" t="str">
        <f ca="1">MID(_xlfn.TEXTJOIN("",TRUE,$G$973:$G$980), COLUMN(A430), 1)</f>
        <v>1</v>
      </c>
      <c r="K974" s="12" t="str">
        <f t="shared" ref="K974:AO974" ca="1" si="407">MID(_xlfn.TEXTJOIN("",TRUE,$G$973:$G$980), COLUMN(B430), 1)</f>
        <v>0</v>
      </c>
      <c r="L974" s="12" t="str">
        <f t="shared" ca="1" si="407"/>
        <v>1</v>
      </c>
      <c r="M974" s="12" t="str">
        <f t="shared" ca="1" si="407"/>
        <v>0</v>
      </c>
      <c r="N974" s="12" t="str">
        <f t="shared" ca="1" si="407"/>
        <v>1</v>
      </c>
      <c r="O974" s="12" t="str">
        <f t="shared" ca="1" si="407"/>
        <v>0</v>
      </c>
      <c r="P974" s="12" t="str">
        <f t="shared" ca="1" si="407"/>
        <v>1</v>
      </c>
      <c r="Q974" s="12" t="str">
        <f t="shared" ca="1" si="407"/>
        <v>1</v>
      </c>
      <c r="R974" s="12" t="str">
        <f t="shared" ca="1" si="407"/>
        <v>0</v>
      </c>
      <c r="S974" s="12" t="str">
        <f t="shared" ca="1" si="407"/>
        <v>0</v>
      </c>
      <c r="T974" s="12" t="str">
        <f t="shared" ca="1" si="407"/>
        <v>0</v>
      </c>
      <c r="U974" s="12" t="str">
        <f t="shared" ca="1" si="407"/>
        <v>1</v>
      </c>
      <c r="V974" s="12" t="str">
        <f t="shared" ca="1" si="407"/>
        <v>1</v>
      </c>
      <c r="W974" s="12" t="str">
        <f t="shared" ca="1" si="407"/>
        <v>1</v>
      </c>
      <c r="X974" s="12" t="str">
        <f t="shared" ca="1" si="407"/>
        <v>1</v>
      </c>
      <c r="Y974" s="12" t="str">
        <f t="shared" ca="1" si="407"/>
        <v>0</v>
      </c>
      <c r="Z974" s="12" t="str">
        <f t="shared" ca="1" si="407"/>
        <v>1</v>
      </c>
      <c r="AA974" s="12" t="str">
        <f t="shared" ca="1" si="407"/>
        <v>1</v>
      </c>
      <c r="AB974" s="12" t="str">
        <f t="shared" ca="1" si="407"/>
        <v>0</v>
      </c>
      <c r="AC974" s="12" t="str">
        <f t="shared" ca="1" si="407"/>
        <v>1</v>
      </c>
      <c r="AD974" s="12" t="str">
        <f t="shared" ca="1" si="407"/>
        <v>0</v>
      </c>
      <c r="AE974" s="12" t="str">
        <f t="shared" ca="1" si="407"/>
        <v>1</v>
      </c>
      <c r="AF974" s="12" t="str">
        <f t="shared" ca="1" si="407"/>
        <v>1</v>
      </c>
      <c r="AG974" s="12" t="str">
        <f t="shared" ca="1" si="407"/>
        <v>1</v>
      </c>
      <c r="AH974" s="12" t="str">
        <f t="shared" ca="1" si="407"/>
        <v>0</v>
      </c>
      <c r="AI974" s="12" t="str">
        <f t="shared" ca="1" si="407"/>
        <v>1</v>
      </c>
      <c r="AJ974" s="12" t="str">
        <f t="shared" ca="1" si="407"/>
        <v>0</v>
      </c>
      <c r="AK974" s="12" t="str">
        <f t="shared" ca="1" si="407"/>
        <v>0</v>
      </c>
      <c r="AL974" s="12" t="str">
        <f t="shared" ca="1" si="407"/>
        <v>0</v>
      </c>
      <c r="AM974" s="12" t="str">
        <f t="shared" ca="1" si="407"/>
        <v>0</v>
      </c>
      <c r="AN974" s="12" t="str">
        <f t="shared" ca="1" si="407"/>
        <v>0</v>
      </c>
      <c r="AO974" s="12" t="str">
        <f t="shared" ca="1" si="407"/>
        <v>1</v>
      </c>
    </row>
    <row r="975" spans="1:49">
      <c r="A975" s="7">
        <v>3</v>
      </c>
      <c r="B975" s="29" t="str">
        <f t="shared" ca="1" si="403"/>
        <v>100001</v>
      </c>
      <c r="C975" s="30"/>
      <c r="D975" s="7">
        <f t="shared" ca="1" si="404"/>
        <v>3</v>
      </c>
      <c r="E975" s="12">
        <f t="shared" ca="1" si="405"/>
        <v>0</v>
      </c>
      <c r="F975" s="12" cm="1">
        <f t="array" aca="1" ref="F975" ca="1">INDEX(OFFSET('S-box'!$A$2, (A975-1)*6, 0, 4, 16), D975+1, E975+1)</f>
        <v>1</v>
      </c>
      <c r="G975" s="17" t="str">
        <f t="shared" ca="1" si="406"/>
        <v>0001</v>
      </c>
    </row>
    <row r="976" spans="1:49">
      <c r="A976" s="7">
        <v>4</v>
      </c>
      <c r="B976" s="29" t="str">
        <f t="shared" ca="1" si="403"/>
        <v>000100</v>
      </c>
      <c r="C976" s="30"/>
      <c r="D976" s="7">
        <f t="shared" ca="1" si="404"/>
        <v>0</v>
      </c>
      <c r="E976" s="12">
        <f t="shared" ca="1" si="405"/>
        <v>2</v>
      </c>
      <c r="F976" s="12" cm="1">
        <f t="array" aca="1" ref="F976" ca="1">INDEX(OFFSET('S-box'!$A$2, (A976-1)*6, 0, 4, 16), D976+1, E976+1)</f>
        <v>14</v>
      </c>
      <c r="G976" s="17" t="str">
        <f t="shared" ca="1" si="406"/>
        <v>1110</v>
      </c>
      <c r="I976" s="5" t="s">
        <v>258</v>
      </c>
    </row>
    <row r="977" spans="1:41">
      <c r="A977" s="7">
        <v>5</v>
      </c>
      <c r="B977" s="29" t="str">
        <f t="shared" ca="1" si="403"/>
        <v>011000</v>
      </c>
      <c r="C977" s="30"/>
      <c r="D977" s="7">
        <f t="shared" ca="1" si="404"/>
        <v>0</v>
      </c>
      <c r="E977" s="12">
        <f t="shared" ca="1" si="405"/>
        <v>12</v>
      </c>
      <c r="F977" s="12" cm="1">
        <f t="array" aca="1" ref="F977" ca="1">INDEX(OFFSET('S-box'!$A$2, (A977-1)*6, 0, 4, 16), D977+1, E977+1)</f>
        <v>13</v>
      </c>
      <c r="G977" s="17" t="str">
        <f t="shared" ca="1" si="406"/>
        <v>1101</v>
      </c>
    </row>
    <row r="978" spans="1:41">
      <c r="A978" s="7">
        <v>6</v>
      </c>
      <c r="B978" s="29" t="str">
        <f t="shared" ca="1" si="403"/>
        <v>110000</v>
      </c>
      <c r="C978" s="30"/>
      <c r="D978" s="7">
        <f t="shared" ca="1" si="404"/>
        <v>2</v>
      </c>
      <c r="E978" s="12">
        <f t="shared" ca="1" si="405"/>
        <v>8</v>
      </c>
      <c r="F978" s="12" cm="1">
        <f t="array" aca="1" ref="F978" ca="1">INDEX(OFFSET('S-box'!$A$2, (A978-1)*6, 0, 4, 16), D978+1, E978+1)</f>
        <v>7</v>
      </c>
      <c r="G978" s="17" t="str">
        <f t="shared" ca="1" si="406"/>
        <v>0111</v>
      </c>
      <c r="I978" s="12" t="s">
        <v>3</v>
      </c>
      <c r="J978" s="12">
        <v>1</v>
      </c>
      <c r="K978" s="12">
        <v>2</v>
      </c>
      <c r="L978" s="12">
        <v>3</v>
      </c>
      <c r="M978" s="12">
        <v>4</v>
      </c>
      <c r="N978" s="12">
        <v>5</v>
      </c>
      <c r="O978" s="12">
        <v>6</v>
      </c>
      <c r="P978" s="12">
        <v>7</v>
      </c>
      <c r="Q978" s="12">
        <v>8</v>
      </c>
      <c r="R978" s="12">
        <v>9</v>
      </c>
      <c r="S978" s="12">
        <v>10</v>
      </c>
      <c r="T978" s="12">
        <v>11</v>
      </c>
      <c r="U978" s="12">
        <v>12</v>
      </c>
      <c r="V978" s="12">
        <v>13</v>
      </c>
      <c r="W978" s="12">
        <v>14</v>
      </c>
      <c r="X978" s="12">
        <v>15</v>
      </c>
      <c r="Y978" s="12">
        <v>16</v>
      </c>
      <c r="Z978" s="12">
        <v>17</v>
      </c>
      <c r="AA978" s="12">
        <v>18</v>
      </c>
      <c r="AB978" s="12">
        <v>19</v>
      </c>
      <c r="AC978" s="12">
        <v>20</v>
      </c>
      <c r="AD978" s="12">
        <v>21</v>
      </c>
      <c r="AE978" s="12">
        <v>22</v>
      </c>
      <c r="AF978" s="12">
        <v>23</v>
      </c>
      <c r="AG978" s="12">
        <v>24</v>
      </c>
      <c r="AH978" s="12">
        <v>25</v>
      </c>
      <c r="AI978" s="12">
        <v>26</v>
      </c>
      <c r="AJ978" s="12">
        <v>27</v>
      </c>
      <c r="AK978" s="12">
        <v>28</v>
      </c>
      <c r="AL978" s="12">
        <v>29</v>
      </c>
      <c r="AM978" s="12">
        <v>30</v>
      </c>
      <c r="AN978" s="12">
        <v>31</v>
      </c>
      <c r="AO978" s="12">
        <v>32</v>
      </c>
    </row>
    <row r="979" spans="1:41">
      <c r="A979" s="7">
        <v>7</v>
      </c>
      <c r="B979" s="29" t="str">
        <f t="shared" ca="1" si="403"/>
        <v>100010</v>
      </c>
      <c r="C979" s="30"/>
      <c r="D979" s="7">
        <f t="shared" ca="1" si="404"/>
        <v>2</v>
      </c>
      <c r="E979" s="12">
        <f t="shared" ca="1" si="405"/>
        <v>1</v>
      </c>
      <c r="F979" s="12" cm="1">
        <f t="array" aca="1" ref="F979" ca="1">INDEX(OFFSET('S-box'!$A$2, (A979-1)*6, 0, 4, 16), D979+1, E979+1)</f>
        <v>4</v>
      </c>
      <c r="G979" s="17" t="str">
        <f t="shared" ca="1" si="406"/>
        <v>0100</v>
      </c>
      <c r="I979" s="18" t="s">
        <v>152</v>
      </c>
      <c r="J979" s="12" t="str" cm="1">
        <f t="array" aca="1" ref="J979" ca="1">INDEX($J$974:$AO$974, INDEX($T$15:$AA$18, INT((COLUMN(A397)-1)/8)+1, MOD(COLUMN(A397)-1,8)+1))</f>
        <v>0</v>
      </c>
      <c r="K979" s="12" t="str" cm="1">
        <f t="array" aca="1" ref="K979" ca="1">INDEX($J$974:$AO$974, INDEX($T$15:$AA$18, INT((COLUMN(B397)-1)/8)+1, MOD(COLUMN(B397)-1,8)+1))</f>
        <v>1</v>
      </c>
      <c r="L979" s="12" t="str" cm="1">
        <f t="array" aca="1" ref="L979" ca="1">INDEX($J$974:$AO$974, INDEX($T$15:$AA$18, INT((COLUMN(C397)-1)/8)+1, MOD(COLUMN(C397)-1,8)+1))</f>
        <v>1</v>
      </c>
      <c r="M979" s="12" t="str" cm="1">
        <f t="array" aca="1" ref="M979" ca="1">INDEX($J$974:$AO$974, INDEX($T$15:$AA$18, INT((COLUMN(D397)-1)/8)+1, MOD(COLUMN(D397)-1,8)+1))</f>
        <v>0</v>
      </c>
      <c r="N979" s="12" t="str" cm="1">
        <f t="array" aca="1" ref="N979" ca="1">INDEX($J$974:$AO$974, INDEX($T$15:$AA$18, INT((COLUMN(E397)-1)/8)+1, MOD(COLUMN(E397)-1,8)+1))</f>
        <v>0</v>
      </c>
      <c r="O979" s="12" t="str" cm="1">
        <f t="array" aca="1" ref="O979" ca="1">INDEX($J$974:$AO$974, INDEX($T$15:$AA$18, INT((COLUMN(F397)-1)/8)+1, MOD(COLUMN(F397)-1,8)+1))</f>
        <v>1</v>
      </c>
      <c r="P979" s="12" t="str" cm="1">
        <f t="array" aca="1" ref="P979" ca="1">INDEX($J$974:$AO$974, INDEX($T$15:$AA$18, INT((COLUMN(G397)-1)/8)+1, MOD(COLUMN(G397)-1,8)+1))</f>
        <v>0</v>
      </c>
      <c r="Q979" s="12" t="str" cm="1">
        <f t="array" aca="1" ref="Q979" ca="1">INDEX($J$974:$AO$974, INDEX($T$15:$AA$18, INT((COLUMN(H397)-1)/8)+1, MOD(COLUMN(H397)-1,8)+1))</f>
        <v>1</v>
      </c>
      <c r="R979" s="12" t="str" cm="1">
        <f t="array" aca="1" ref="R979" ca="1">INDEX($J$974:$AO$974, INDEX($T$15:$AA$18, INT((COLUMN(I397)-1)/8)+1, MOD(COLUMN(I397)-1,8)+1))</f>
        <v>1</v>
      </c>
      <c r="S979" s="12" t="str" cm="1">
        <f t="array" aca="1" ref="S979" ca="1">INDEX($J$974:$AO$974, INDEX($T$15:$AA$18, INT((COLUMN(J397)-1)/8)+1, MOD(COLUMN(J397)-1,8)+1))</f>
        <v>1</v>
      </c>
      <c r="T979" s="12" t="str" cm="1">
        <f t="array" aca="1" ref="T979" ca="1">INDEX($J$974:$AO$974, INDEX($T$15:$AA$18, INT((COLUMN(K397)-1)/8)+1, MOD(COLUMN(K397)-1,8)+1))</f>
        <v>1</v>
      </c>
      <c r="U979" s="12" t="str" cm="1">
        <f t="array" aca="1" ref="U979" ca="1">INDEX($J$974:$AO$974, INDEX($T$15:$AA$18, INT((COLUMN(L397)-1)/8)+1, MOD(COLUMN(L397)-1,8)+1))</f>
        <v>1</v>
      </c>
      <c r="V979" s="12" t="str" cm="1">
        <f t="array" aca="1" ref="V979" ca="1">INDEX($J$974:$AO$974, INDEX($T$15:$AA$18, INT((COLUMN(M397)-1)/8)+1, MOD(COLUMN(M397)-1,8)+1))</f>
        <v>1</v>
      </c>
      <c r="W979" s="12" t="str" cm="1">
        <f t="array" aca="1" ref="W979" ca="1">INDEX($J$974:$AO$974, INDEX($T$15:$AA$18, INT((COLUMN(N397)-1)/8)+1, MOD(COLUMN(N397)-1,8)+1))</f>
        <v>1</v>
      </c>
      <c r="X979" s="12" t="str" cm="1">
        <f t="array" aca="1" ref="X979" ca="1">INDEX($J$974:$AO$974, INDEX($T$15:$AA$18, INT((COLUMN(O397)-1)/8)+1, MOD(COLUMN(O397)-1,8)+1))</f>
        <v>0</v>
      </c>
      <c r="Y979" s="12" t="str" cm="1">
        <f t="array" aca="1" ref="Y979" ca="1">INDEX($J$974:$AO$974, INDEX($T$15:$AA$18, INT((COLUMN(P397)-1)/8)+1, MOD(COLUMN(P397)-1,8)+1))</f>
        <v>0</v>
      </c>
      <c r="Z979" s="12" t="str" cm="1">
        <f t="array" aca="1" ref="Z979" ca="1">INDEX($J$974:$AO$974, INDEX($T$15:$AA$18, INT((COLUMN(Q397)-1)/8)+1, MOD(COLUMN(Q397)-1,8)+1))</f>
        <v>0</v>
      </c>
      <c r="AA979" s="12" t="str" cm="1">
        <f t="array" aca="1" ref="AA979" ca="1">INDEX($J$974:$AO$974, INDEX($T$15:$AA$18, INT((COLUMN(R397)-1)/8)+1, MOD(COLUMN(R397)-1,8)+1))</f>
        <v>1</v>
      </c>
      <c r="AB979" s="12" t="str" cm="1">
        <f t="array" aca="1" ref="AB979" ca="1">INDEX($J$974:$AO$974, INDEX($T$15:$AA$18, INT((COLUMN(S397)-1)/8)+1, MOD(COLUMN(S397)-1,8)+1))</f>
        <v>1</v>
      </c>
      <c r="AC979" s="12" t="str" cm="1">
        <f t="array" aca="1" ref="AC979" ca="1">INDEX($J$974:$AO$974, INDEX($T$15:$AA$18, INT((COLUMN(T397)-1)/8)+1, MOD(COLUMN(T397)-1,8)+1))</f>
        <v>1</v>
      </c>
      <c r="AD979" s="12" t="str" cm="1">
        <f t="array" aca="1" ref="AD979" ca="1">INDEX($J$974:$AO$974, INDEX($T$15:$AA$18, INT((COLUMN(U397)-1)/8)+1, MOD(COLUMN(U397)-1,8)+1))</f>
        <v>1</v>
      </c>
      <c r="AE979" s="12" t="str" cm="1">
        <f t="array" aca="1" ref="AE979" ca="1">INDEX($J$974:$AO$974, INDEX($T$15:$AA$18, INT((COLUMN(V397)-1)/8)+1, MOD(COLUMN(V397)-1,8)+1))</f>
        <v>0</v>
      </c>
      <c r="AF979" s="12" t="str" cm="1">
        <f t="array" aca="1" ref="AF979" ca="1">INDEX($J$974:$AO$974, INDEX($T$15:$AA$18, INT((COLUMN(W397)-1)/8)+1, MOD(COLUMN(W397)-1,8)+1))</f>
        <v>1</v>
      </c>
      <c r="AG979" s="12" t="str" cm="1">
        <f t="array" aca="1" ref="AG979" ca="1">INDEX($J$974:$AO$974, INDEX($T$15:$AA$18, INT((COLUMN(X397)-1)/8)+1, MOD(COLUMN(X397)-1,8)+1))</f>
        <v>0</v>
      </c>
      <c r="AH979" s="12" t="str" cm="1">
        <f t="array" aca="1" ref="AH979" ca="1">INDEX($J$974:$AO$974, INDEX($T$15:$AA$18, INT((COLUMN(Y397)-1)/8)+1, MOD(COLUMN(Y397)-1,8)+1))</f>
        <v>0</v>
      </c>
      <c r="AI979" s="12" t="str" cm="1">
        <f t="array" aca="1" ref="AI979" ca="1">INDEX($J$974:$AO$974, INDEX($T$15:$AA$18, INT((COLUMN(Z397)-1)/8)+1, MOD(COLUMN(Z397)-1,8)+1))</f>
        <v>1</v>
      </c>
      <c r="AJ979" s="12" t="str" cm="1">
        <f t="array" aca="1" ref="AJ979" ca="1">INDEX($J$974:$AO$974, INDEX($T$15:$AA$18, INT((COLUMN(AA397)-1)/8)+1, MOD(COLUMN(AA397)-1,8)+1))</f>
        <v>0</v>
      </c>
      <c r="AK979" s="12" t="str" cm="1">
        <f t="array" aca="1" ref="AK979" ca="1">INDEX($J$974:$AO$974, INDEX($T$15:$AA$18, INT((COLUMN(AB397)-1)/8)+1, MOD(COLUMN(AB397)-1,8)+1))</f>
        <v>0</v>
      </c>
      <c r="AL979" s="12" t="str" cm="1">
        <f t="array" aca="1" ref="AL979" ca="1">INDEX($J$974:$AO$974, INDEX($T$15:$AA$18, INT((COLUMN(AC397)-1)/8)+1, MOD(COLUMN(AC397)-1,8)+1))</f>
        <v>1</v>
      </c>
      <c r="AM979" s="12" t="str" cm="1">
        <f t="array" aca="1" ref="AM979" ca="1">INDEX($J$974:$AO$974, INDEX($T$15:$AA$18, INT((COLUMN(AD397)-1)/8)+1, MOD(COLUMN(AD397)-1,8)+1))</f>
        <v>0</v>
      </c>
      <c r="AN979" s="12" t="str" cm="1">
        <f t="array" aca="1" ref="AN979" ca="1">INDEX($J$974:$AO$974, INDEX($T$15:$AA$18, INT((COLUMN(AE397)-1)/8)+1, MOD(COLUMN(AE397)-1,8)+1))</f>
        <v>0</v>
      </c>
      <c r="AO979" s="12" t="str" cm="1">
        <f t="array" aca="1" ref="AO979" ca="1">INDEX($J$974:$AO$974, INDEX($T$15:$AA$18, INT((COLUMN(AF397)-1)/8)+1, MOD(COLUMN(AF397)-1,8)+1))</f>
        <v>0</v>
      </c>
    </row>
    <row r="980" spans="1:41">
      <c r="A980" s="7">
        <v>8</v>
      </c>
      <c r="B980" s="29" t="str">
        <f t="shared" ca="1" si="403"/>
        <v>000001</v>
      </c>
      <c r="C980" s="30"/>
      <c r="D980" s="7">
        <f t="shared" ca="1" si="404"/>
        <v>1</v>
      </c>
      <c r="E980" s="12">
        <f t="shared" ca="1" si="405"/>
        <v>0</v>
      </c>
      <c r="F980" s="12" cm="1">
        <f t="array" aca="1" ref="F980" ca="1">INDEX(OFFSET('S-box'!$A$2, (A980-1)*6, 0, 4, 16), D980+1, E980+1)</f>
        <v>1</v>
      </c>
      <c r="G980" s="17" t="str">
        <f t="shared" ca="1" si="406"/>
        <v>0001</v>
      </c>
    </row>
    <row r="982" spans="1:41">
      <c r="A982" s="20" t="s">
        <v>259</v>
      </c>
    </row>
    <row r="984" spans="1:41">
      <c r="A984" s="12" t="s">
        <v>3</v>
      </c>
      <c r="B984" s="12">
        <v>1</v>
      </c>
      <c r="C984" s="12">
        <v>2</v>
      </c>
      <c r="D984" s="12">
        <v>3</v>
      </c>
      <c r="E984" s="12">
        <v>4</v>
      </c>
      <c r="F984" s="12">
        <v>5</v>
      </c>
      <c r="G984" s="12">
        <v>6</v>
      </c>
      <c r="H984" s="12">
        <v>7</v>
      </c>
      <c r="I984" s="12">
        <v>8</v>
      </c>
      <c r="J984" s="12">
        <v>9</v>
      </c>
      <c r="K984" s="12">
        <v>10</v>
      </c>
      <c r="L984" s="12">
        <v>11</v>
      </c>
      <c r="M984" s="12">
        <v>12</v>
      </c>
      <c r="N984" s="12">
        <v>13</v>
      </c>
      <c r="O984" s="12">
        <v>14</v>
      </c>
      <c r="P984" s="12">
        <v>15</v>
      </c>
      <c r="Q984" s="12">
        <v>16</v>
      </c>
      <c r="R984" s="12">
        <v>17</v>
      </c>
      <c r="S984" s="12">
        <v>18</v>
      </c>
      <c r="T984" s="12">
        <v>19</v>
      </c>
      <c r="U984" s="12">
        <v>20</v>
      </c>
      <c r="V984" s="12">
        <v>21</v>
      </c>
      <c r="W984" s="12">
        <v>22</v>
      </c>
      <c r="X984" s="12">
        <v>23</v>
      </c>
      <c r="Y984" s="12">
        <v>24</v>
      </c>
      <c r="Z984" s="12">
        <v>25</v>
      </c>
      <c r="AA984" s="12">
        <v>26</v>
      </c>
      <c r="AB984" s="12">
        <v>27</v>
      </c>
      <c r="AC984" s="12">
        <v>28</v>
      </c>
      <c r="AD984" s="12">
        <v>29</v>
      </c>
      <c r="AE984" s="12">
        <v>30</v>
      </c>
      <c r="AF984" s="12">
        <v>31</v>
      </c>
      <c r="AG984" s="12">
        <v>32</v>
      </c>
    </row>
    <row r="985" spans="1:41">
      <c r="A985" s="12" t="s">
        <v>260</v>
      </c>
      <c r="B985" s="12">
        <v>0</v>
      </c>
      <c r="C985" s="12">
        <v>0</v>
      </c>
      <c r="D985" s="12">
        <v>1</v>
      </c>
      <c r="E985" s="12">
        <v>1</v>
      </c>
      <c r="F985" s="12">
        <v>1</v>
      </c>
      <c r="G985" s="12">
        <v>1</v>
      </c>
      <c r="H985" s="12">
        <v>1</v>
      </c>
      <c r="I985" s="12">
        <v>1</v>
      </c>
      <c r="J985" s="12">
        <v>0</v>
      </c>
      <c r="K985" s="12">
        <v>1</v>
      </c>
      <c r="L985" s="12">
        <v>1</v>
      </c>
      <c r="M985" s="12">
        <v>1</v>
      </c>
      <c r="N985" s="12">
        <v>1</v>
      </c>
      <c r="O985" s="12">
        <v>0</v>
      </c>
      <c r="P985" s="12">
        <v>0</v>
      </c>
      <c r="Q985" s="12">
        <v>1</v>
      </c>
      <c r="R985" s="12">
        <v>1</v>
      </c>
      <c r="S985" s="12">
        <v>1</v>
      </c>
      <c r="T985" s="12">
        <v>0</v>
      </c>
      <c r="U985" s="12">
        <v>0</v>
      </c>
      <c r="V985" s="12">
        <v>0</v>
      </c>
      <c r="W985" s="12">
        <v>1</v>
      </c>
      <c r="X985" s="12">
        <v>1</v>
      </c>
      <c r="Y985" s="12">
        <v>0</v>
      </c>
      <c r="Z985" s="12">
        <v>1</v>
      </c>
      <c r="AA985" s="12">
        <v>0</v>
      </c>
      <c r="AB985" s="12">
        <v>1</v>
      </c>
      <c r="AC985" s="12">
        <v>0</v>
      </c>
      <c r="AD985" s="12">
        <v>0</v>
      </c>
      <c r="AE985" s="12">
        <v>1</v>
      </c>
      <c r="AF985" s="12">
        <v>1</v>
      </c>
      <c r="AG985" s="12">
        <v>0</v>
      </c>
    </row>
    <row r="986" spans="1:41">
      <c r="A986" s="12" t="s">
        <v>261</v>
      </c>
      <c r="B986" s="12">
        <f ca="1">_xlfn.BITXOR(B952,J979)</f>
        <v>1</v>
      </c>
      <c r="C986" s="12">
        <f t="shared" ref="C986" ca="1" si="408">_xlfn.BITXOR(C952,K979)</f>
        <v>0</v>
      </c>
      <c r="D986" s="12">
        <f t="shared" ref="D986" ca="1" si="409">_xlfn.BITXOR(D952,L979)</f>
        <v>0</v>
      </c>
      <c r="E986" s="12">
        <f t="shared" ref="E986" ca="1" si="410">_xlfn.BITXOR(E952,M979)</f>
        <v>1</v>
      </c>
      <c r="F986" s="12">
        <f t="shared" ref="F986" ca="1" si="411">_xlfn.BITXOR(F952,N979)</f>
        <v>1</v>
      </c>
      <c r="G986" s="12">
        <f t="shared" ref="G986" ca="1" si="412">_xlfn.BITXOR(G952,O979)</f>
        <v>1</v>
      </c>
      <c r="H986" s="12">
        <f t="shared" ref="H986" ca="1" si="413">_xlfn.BITXOR(H952,P979)</f>
        <v>1</v>
      </c>
      <c r="I986" s="12">
        <f t="shared" ref="I986" ca="1" si="414">_xlfn.BITXOR(I952,Q979)</f>
        <v>1</v>
      </c>
      <c r="J986" s="12">
        <f t="shared" ref="J986" ca="1" si="415">_xlfn.BITXOR(J952,R979)</f>
        <v>1</v>
      </c>
      <c r="K986" s="12">
        <f t="shared" ref="K986" ca="1" si="416">_xlfn.BITXOR(K952,S979)</f>
        <v>1</v>
      </c>
      <c r="L986" s="12">
        <f t="shared" ref="L986" ca="1" si="417">_xlfn.BITXOR(L952,T979)</f>
        <v>0</v>
      </c>
      <c r="M986" s="12">
        <f t="shared" ref="M986" ca="1" si="418">_xlfn.BITXOR(M952,U979)</f>
        <v>0</v>
      </c>
      <c r="N986" s="12">
        <f t="shared" ref="N986" ca="1" si="419">_xlfn.BITXOR(N952,V979)</f>
        <v>1</v>
      </c>
      <c r="O986" s="12">
        <f t="shared" ref="O986" ca="1" si="420">_xlfn.BITXOR(O952,W979)</f>
        <v>0</v>
      </c>
      <c r="P986" s="12">
        <f t="shared" ref="P986" ca="1" si="421">_xlfn.BITXOR(P952,X979)</f>
        <v>1</v>
      </c>
      <c r="Q986" s="12">
        <f t="shared" ref="Q986" ca="1" si="422">_xlfn.BITXOR(Q952,Y979)</f>
        <v>0</v>
      </c>
      <c r="R986" s="12">
        <f t="shared" ref="R986" ca="1" si="423">_xlfn.BITXOR(R952,Z979)</f>
        <v>0</v>
      </c>
      <c r="S986" s="12">
        <f t="shared" ref="S986" ca="1" si="424">_xlfn.BITXOR(S952,AA979)</f>
        <v>0</v>
      </c>
      <c r="T986" s="12">
        <f t="shared" ref="T986" ca="1" si="425">_xlfn.BITXOR(T952,AB979)</f>
        <v>1</v>
      </c>
      <c r="U986" s="12">
        <f t="shared" ref="U986" ca="1" si="426">_xlfn.BITXOR(U952,AC979)</f>
        <v>0</v>
      </c>
      <c r="V986" s="12">
        <f t="shared" ref="V986" ca="1" si="427">_xlfn.BITXOR(V952,AD979)</f>
        <v>1</v>
      </c>
      <c r="W986" s="12">
        <f t="shared" ref="W986" ca="1" si="428">_xlfn.BITXOR(W952,AE979)</f>
        <v>0</v>
      </c>
      <c r="X986" s="12">
        <f t="shared" ref="X986" ca="1" si="429">_xlfn.BITXOR(X952,AF979)</f>
        <v>1</v>
      </c>
      <c r="Y986" s="12">
        <f t="shared" ref="Y986" ca="1" si="430">_xlfn.BITXOR(Y952,AG979)</f>
        <v>1</v>
      </c>
      <c r="Z986" s="12">
        <f t="shared" ref="Z986" ca="1" si="431">_xlfn.BITXOR(Z952,AH979)</f>
        <v>1</v>
      </c>
      <c r="AA986" s="12">
        <f t="shared" ref="AA986" ca="1" si="432">_xlfn.BITXOR(AA952,AI979)</f>
        <v>0</v>
      </c>
      <c r="AB986" s="12">
        <f t="shared" ref="AB986" ca="1" si="433">_xlfn.BITXOR(AB952,AJ979)</f>
        <v>0</v>
      </c>
      <c r="AC986" s="12">
        <f t="shared" ref="AC986" ca="1" si="434">_xlfn.BITXOR(AC952,AK979)</f>
        <v>0</v>
      </c>
      <c r="AD986" s="12">
        <f t="shared" ref="AD986" ca="1" si="435">_xlfn.BITXOR(AD952,AL979)</f>
        <v>0</v>
      </c>
      <c r="AE986" s="12">
        <f t="shared" ref="AE986" ca="1" si="436">_xlfn.BITXOR(AE952,AM979)</f>
        <v>1</v>
      </c>
      <c r="AF986" s="12">
        <f t="shared" ref="AF986" ca="1" si="437">_xlfn.BITXOR(AF952,AN979)</f>
        <v>1</v>
      </c>
      <c r="AG986" s="12">
        <f t="shared" ref="AG986" ca="1" si="438">_xlfn.BITXOR(AG952,AO979)</f>
        <v>1</v>
      </c>
    </row>
    <row r="988" spans="1:41">
      <c r="A988" s="21" t="s">
        <v>262</v>
      </c>
    </row>
    <row r="989" spans="1:41">
      <c r="A989" s="5" t="s">
        <v>263</v>
      </c>
      <c r="B989" s="12" cm="1">
        <f t="array" aca="1" ref="B989" ca="1">INDEX($B$986:$AG$986, T25)</f>
        <v>1</v>
      </c>
      <c r="C989" s="12" cm="1">
        <f t="array" aca="1" ref="C989" ca="1">INDEX($B$986:$AG$986, U25)</f>
        <v>1</v>
      </c>
      <c r="D989" s="12" cm="1">
        <f t="array" aca="1" ref="D989" ca="1">INDEX($B$986:$AG$986, V25)</f>
        <v>0</v>
      </c>
      <c r="E989" s="12" cm="1">
        <f t="array" aca="1" ref="E989" ca="1">INDEX($B$986:$AG$986, W25)</f>
        <v>0</v>
      </c>
      <c r="F989" s="12" cm="1">
        <f t="array" aca="1" ref="F989" ca="1">INDEX($B$986:$AG$986, X25)</f>
        <v>1</v>
      </c>
      <c r="G989" s="12" cm="1">
        <f t="array" aca="1" ref="G989" ca="1">INDEX($B$986:$AG$986, Y25)</f>
        <v>1</v>
      </c>
    </row>
    <row r="990" spans="1:41">
      <c r="B990" s="12" cm="1">
        <f t="array" aca="1" ref="B990" ca="1">INDEX($B$986:$AG$986, T26)</f>
        <v>1</v>
      </c>
      <c r="C990" s="12" cm="1">
        <f t="array" aca="1" ref="C990" ca="1">INDEX($B$986:$AG$986, U26)</f>
        <v>1</v>
      </c>
      <c r="D990" s="12" cm="1">
        <f t="array" aca="1" ref="D990" ca="1">INDEX($B$986:$AG$986, V26)</f>
        <v>1</v>
      </c>
      <c r="E990" s="12" cm="1">
        <f t="array" aca="1" ref="E990" ca="1">INDEX($B$986:$AG$986, W26)</f>
        <v>1</v>
      </c>
      <c r="F990" s="12" cm="1">
        <f t="array" aca="1" ref="F990" ca="1">INDEX($B$986:$AG$986, X26)</f>
        <v>1</v>
      </c>
      <c r="G990" s="12" cm="1">
        <f t="array" aca="1" ref="G990" ca="1">INDEX($B$986:$AG$986, Y26)</f>
        <v>1</v>
      </c>
    </row>
    <row r="991" spans="1:41">
      <c r="B991" s="12" cm="1">
        <f t="array" aca="1" ref="B991" ca="1">INDEX($B$986:$AG$986, T27)</f>
        <v>1</v>
      </c>
      <c r="C991" s="12" cm="1">
        <f t="array" aca="1" ref="C991" ca="1">INDEX($B$986:$AG$986, U27)</f>
        <v>1</v>
      </c>
      <c r="D991" s="12" cm="1">
        <f t="array" aca="1" ref="D991" ca="1">INDEX($B$986:$AG$986, V27)</f>
        <v>1</v>
      </c>
      <c r="E991" s="12" cm="1">
        <f t="array" aca="1" ref="E991" ca="1">INDEX($B$986:$AG$986, W27)</f>
        <v>0</v>
      </c>
      <c r="F991" s="12" cm="1">
        <f t="array" aca="1" ref="F991" ca="1">INDEX($B$986:$AG$986, X27)</f>
        <v>0</v>
      </c>
      <c r="G991" s="12" cm="1">
        <f t="array" aca="1" ref="G991" ca="1">INDEX($B$986:$AG$986, Y27)</f>
        <v>1</v>
      </c>
    </row>
    <row r="992" spans="1:41">
      <c r="B992" s="12" cm="1">
        <f t="array" aca="1" ref="B992" ca="1">INDEX($B$986:$AG$986, T28)</f>
        <v>0</v>
      </c>
      <c r="C992" s="12" cm="1">
        <f t="array" aca="1" ref="C992" ca="1">INDEX($B$986:$AG$986, U28)</f>
        <v>1</v>
      </c>
      <c r="D992" s="12" cm="1">
        <f t="array" aca="1" ref="D992" ca="1">INDEX($B$986:$AG$986, V28)</f>
        <v>0</v>
      </c>
      <c r="E992" s="12" cm="1">
        <f t="array" aca="1" ref="E992" ca="1">INDEX($B$986:$AG$986, W28)</f>
        <v>1</v>
      </c>
      <c r="F992" s="12" cm="1">
        <f t="array" aca="1" ref="F992" ca="1">INDEX($B$986:$AG$986, X28)</f>
        <v>0</v>
      </c>
      <c r="G992" s="12" cm="1">
        <f t="array" aca="1" ref="G992" ca="1">INDEX($B$986:$AG$986, Y28)</f>
        <v>0</v>
      </c>
    </row>
    <row r="993" spans="1:49">
      <c r="B993" s="12" cm="1">
        <f t="array" aca="1" ref="B993" ca="1">INDEX($B$986:$AG$986, T29)</f>
        <v>0</v>
      </c>
      <c r="C993" s="12" cm="1">
        <f t="array" aca="1" ref="C993" ca="1">INDEX($B$986:$AG$986, U29)</f>
        <v>0</v>
      </c>
      <c r="D993" s="12" cm="1">
        <f t="array" aca="1" ref="D993" ca="1">INDEX($B$986:$AG$986, V29)</f>
        <v>0</v>
      </c>
      <c r="E993" s="12" cm="1">
        <f t="array" aca="1" ref="E993" ca="1">INDEX($B$986:$AG$986, W29)</f>
        <v>1</v>
      </c>
      <c r="F993" s="12" cm="1">
        <f t="array" aca="1" ref="F993" ca="1">INDEX($B$986:$AG$986, X29)</f>
        <v>0</v>
      </c>
      <c r="G993" s="12" cm="1">
        <f t="array" aca="1" ref="G993" ca="1">INDEX($B$986:$AG$986, Y29)</f>
        <v>1</v>
      </c>
    </row>
    <row r="994" spans="1:49">
      <c r="B994" s="12" cm="1">
        <f t="array" aca="1" ref="B994" ca="1">INDEX($B$986:$AG$986, T30)</f>
        <v>0</v>
      </c>
      <c r="C994" s="12" cm="1">
        <f t="array" aca="1" ref="C994" ca="1">INDEX($B$986:$AG$986, U30)</f>
        <v>1</v>
      </c>
      <c r="D994" s="12" cm="1">
        <f t="array" aca="1" ref="D994" ca="1">INDEX($B$986:$AG$986, V30)</f>
        <v>0</v>
      </c>
      <c r="E994" s="12" cm="1">
        <f t="array" aca="1" ref="E994" ca="1">INDEX($B$986:$AG$986, W30)</f>
        <v>1</v>
      </c>
      <c r="F994" s="12" cm="1">
        <f t="array" aca="1" ref="F994" ca="1">INDEX($B$986:$AG$986, X30)</f>
        <v>1</v>
      </c>
      <c r="G994" s="12" cm="1">
        <f t="array" aca="1" ref="G994" ca="1">INDEX($B$986:$AG$986, Y30)</f>
        <v>1</v>
      </c>
    </row>
    <row r="995" spans="1:49">
      <c r="B995" s="12" cm="1">
        <f t="array" aca="1" ref="B995" ca="1">INDEX($B$986:$AG$986, T31)</f>
        <v>1</v>
      </c>
      <c r="C995" s="12" cm="1">
        <f t="array" aca="1" ref="C995" ca="1">INDEX($B$986:$AG$986, U31)</f>
        <v>1</v>
      </c>
      <c r="D995" s="12" cm="1">
        <f t="array" aca="1" ref="D995" ca="1">INDEX($B$986:$AG$986, V31)</f>
        <v>0</v>
      </c>
      <c r="E995" s="12" cm="1">
        <f t="array" aca="1" ref="E995" ca="1">INDEX($B$986:$AG$986, W31)</f>
        <v>0</v>
      </c>
      <c r="F995" s="12" cm="1">
        <f t="array" aca="1" ref="F995" ca="1">INDEX($B$986:$AG$986, X31)</f>
        <v>0</v>
      </c>
      <c r="G995" s="12" cm="1">
        <f t="array" aca="1" ref="G995" ca="1">INDEX($B$986:$AG$986, Y31)</f>
        <v>0</v>
      </c>
    </row>
    <row r="996" spans="1:49">
      <c r="B996" s="12" cm="1">
        <f t="array" aca="1" ref="B996" ca="1">INDEX($B$986:$AG$986, T32)</f>
        <v>0</v>
      </c>
      <c r="C996" s="12" cm="1">
        <f t="array" aca="1" ref="C996" ca="1">INDEX($B$986:$AG$986, U32)</f>
        <v>0</v>
      </c>
      <c r="D996" s="12" cm="1">
        <f t="array" aca="1" ref="D996" ca="1">INDEX($B$986:$AG$986, V32)</f>
        <v>1</v>
      </c>
      <c r="E996" s="12" cm="1">
        <f t="array" aca="1" ref="E996" ca="1">INDEX($B$986:$AG$986, W32)</f>
        <v>1</v>
      </c>
      <c r="F996" s="12" cm="1">
        <f t="array" aca="1" ref="F996" ca="1">INDEX($B$986:$AG$986, X32)</f>
        <v>1</v>
      </c>
      <c r="G996" s="12" cm="1">
        <f t="array" aca="1" ref="G996" ca="1">INDEX($B$986:$AG$986, Y32)</f>
        <v>1</v>
      </c>
    </row>
    <row r="998" spans="1:49">
      <c r="A998" s="12" t="s">
        <v>3</v>
      </c>
      <c r="B998" s="12">
        <v>1</v>
      </c>
      <c r="C998" s="12">
        <v>2</v>
      </c>
      <c r="D998" s="12">
        <v>3</v>
      </c>
      <c r="E998" s="12">
        <v>4</v>
      </c>
      <c r="F998" s="12">
        <v>5</v>
      </c>
      <c r="G998" s="12">
        <v>6</v>
      </c>
      <c r="H998" s="12">
        <v>7</v>
      </c>
      <c r="I998" s="12">
        <v>8</v>
      </c>
      <c r="J998" s="12">
        <v>9</v>
      </c>
      <c r="K998" s="12">
        <v>10</v>
      </c>
      <c r="L998" s="12">
        <v>11</v>
      </c>
      <c r="M998" s="12">
        <v>12</v>
      </c>
      <c r="N998" s="12">
        <v>13</v>
      </c>
      <c r="O998" s="12">
        <v>14</v>
      </c>
      <c r="P998" s="12">
        <v>15</v>
      </c>
      <c r="Q998" s="12">
        <v>16</v>
      </c>
      <c r="R998" s="12">
        <v>17</v>
      </c>
      <c r="S998" s="12">
        <v>18</v>
      </c>
      <c r="T998" s="12">
        <v>19</v>
      </c>
      <c r="U998" s="12">
        <v>20</v>
      </c>
      <c r="V998" s="12">
        <v>21</v>
      </c>
      <c r="W998" s="12">
        <v>22</v>
      </c>
      <c r="X998" s="12">
        <v>23</v>
      </c>
      <c r="Y998" s="12">
        <v>24</v>
      </c>
      <c r="Z998" s="12">
        <v>25</v>
      </c>
      <c r="AA998" s="12">
        <v>26</v>
      </c>
      <c r="AB998" s="12">
        <v>27</v>
      </c>
      <c r="AC998" s="12">
        <v>28</v>
      </c>
      <c r="AD998" s="12">
        <v>29</v>
      </c>
      <c r="AE998" s="12">
        <v>30</v>
      </c>
      <c r="AF998" s="12">
        <v>31</v>
      </c>
      <c r="AG998" s="12">
        <v>32</v>
      </c>
      <c r="AH998" s="12">
        <v>33</v>
      </c>
      <c r="AI998" s="12">
        <v>34</v>
      </c>
      <c r="AJ998" s="12">
        <v>35</v>
      </c>
      <c r="AK998" s="12">
        <v>36</v>
      </c>
      <c r="AL998" s="12">
        <v>37</v>
      </c>
      <c r="AM998" s="12">
        <v>38</v>
      </c>
      <c r="AN998" s="12">
        <v>39</v>
      </c>
      <c r="AO998" s="12">
        <v>40</v>
      </c>
      <c r="AP998" s="12">
        <v>41</v>
      </c>
      <c r="AQ998" s="12">
        <v>42</v>
      </c>
      <c r="AR998" s="12">
        <v>43</v>
      </c>
      <c r="AS998" s="12">
        <v>44</v>
      </c>
      <c r="AT998" s="12">
        <v>45</v>
      </c>
      <c r="AU998" s="12">
        <v>46</v>
      </c>
      <c r="AV998" s="12">
        <v>47</v>
      </c>
      <c r="AW998" s="12">
        <v>48</v>
      </c>
    </row>
    <row r="999" spans="1:49">
      <c r="A999" s="7" t="s">
        <v>263</v>
      </c>
      <c r="B999" s="16" cm="1">
        <f t="array" aca="1" ref="B999" ca="1">INDEX($B$989:$G996, INT((COLUMN(A855)-1)/6)+1, MOD(COLUMN(A855)-1,6)+1)</f>
        <v>1</v>
      </c>
      <c r="C999" s="16" cm="1">
        <f t="array" aca="1" ref="C999" ca="1">INDEX($B$989:$G996, INT((COLUMN(B855)-1)/6)+1, MOD(COLUMN(B855)-1,6)+1)</f>
        <v>1</v>
      </c>
      <c r="D999" s="16" cm="1">
        <f t="array" aca="1" ref="D999" ca="1">INDEX($B$989:$G996, INT((COLUMN(C855)-1)/6)+1, MOD(COLUMN(C855)-1,6)+1)</f>
        <v>0</v>
      </c>
      <c r="E999" s="16" cm="1">
        <f t="array" aca="1" ref="E999" ca="1">INDEX($B$989:$G996, INT((COLUMN(D855)-1)/6)+1, MOD(COLUMN(D855)-1,6)+1)</f>
        <v>0</v>
      </c>
      <c r="F999" s="16" cm="1">
        <f t="array" aca="1" ref="F999" ca="1">INDEX($B$989:$G996, INT((COLUMN(E855)-1)/6)+1, MOD(COLUMN(E855)-1,6)+1)</f>
        <v>1</v>
      </c>
      <c r="G999" s="16" cm="1">
        <f t="array" aca="1" ref="G999" ca="1">INDEX($B$989:$G996, INT((COLUMN(F855)-1)/6)+1, MOD(COLUMN(F855)-1,6)+1)</f>
        <v>1</v>
      </c>
      <c r="H999" s="16" cm="1">
        <f t="array" aca="1" ref="H999" ca="1">INDEX($B$989:$G996, INT((COLUMN(G855)-1)/6)+1, MOD(COLUMN(G855)-1,6)+1)</f>
        <v>1</v>
      </c>
      <c r="I999" s="16" cm="1">
        <f t="array" aca="1" ref="I999" ca="1">INDEX($B$989:$G996, INT((COLUMN(H855)-1)/6)+1, MOD(COLUMN(H855)-1,6)+1)</f>
        <v>1</v>
      </c>
      <c r="J999" s="16" cm="1">
        <f t="array" aca="1" ref="J999" ca="1">INDEX($B$989:$G996, INT((COLUMN(I855)-1)/6)+1, MOD(COLUMN(I855)-1,6)+1)</f>
        <v>1</v>
      </c>
      <c r="K999" s="16" cm="1">
        <f t="array" aca="1" ref="K999" ca="1">INDEX($B$989:$G996, INT((COLUMN(J855)-1)/6)+1, MOD(COLUMN(J855)-1,6)+1)</f>
        <v>1</v>
      </c>
      <c r="L999" s="16" cm="1">
        <f t="array" aca="1" ref="L999" ca="1">INDEX($B$989:$G996, INT((COLUMN(K855)-1)/6)+1, MOD(COLUMN(K855)-1,6)+1)</f>
        <v>1</v>
      </c>
      <c r="M999" s="16" cm="1">
        <f t="array" aca="1" ref="M999" ca="1">INDEX($B$989:$G996, INT((COLUMN(L855)-1)/6)+1, MOD(COLUMN(L855)-1,6)+1)</f>
        <v>1</v>
      </c>
      <c r="N999" s="16" cm="1">
        <f t="array" aca="1" ref="N999" ca="1">INDEX($B$989:$G996, INT((COLUMN(M855)-1)/6)+1, MOD(COLUMN(M855)-1,6)+1)</f>
        <v>1</v>
      </c>
      <c r="O999" s="16" cm="1">
        <f t="array" aca="1" ref="O999" ca="1">INDEX($B$989:$G996, INT((COLUMN(N855)-1)/6)+1, MOD(COLUMN(N855)-1,6)+1)</f>
        <v>1</v>
      </c>
      <c r="P999" s="16" cm="1">
        <f t="array" aca="1" ref="P999" ca="1">INDEX($B$989:$G996, INT((COLUMN(O855)-1)/6)+1, MOD(COLUMN(O855)-1,6)+1)</f>
        <v>1</v>
      </c>
      <c r="Q999" s="16" cm="1">
        <f t="array" aca="1" ref="Q999" ca="1">INDEX($B$989:$G996, INT((COLUMN(P855)-1)/6)+1, MOD(COLUMN(P855)-1,6)+1)</f>
        <v>0</v>
      </c>
      <c r="R999" s="16" cm="1">
        <f t="array" aca="1" ref="R999" ca="1">INDEX($B$989:$G996, INT((COLUMN(Q855)-1)/6)+1, MOD(COLUMN(Q855)-1,6)+1)</f>
        <v>0</v>
      </c>
      <c r="S999" s="16" cm="1">
        <f t="array" aca="1" ref="S999" ca="1">INDEX($B$989:$G996, INT((COLUMN(R855)-1)/6)+1, MOD(COLUMN(R855)-1,6)+1)</f>
        <v>1</v>
      </c>
      <c r="T999" s="16" cm="1">
        <f t="array" aca="1" ref="T999" ca="1">INDEX($B$989:$G996, INT((COLUMN(S855)-1)/6)+1, MOD(COLUMN(S855)-1,6)+1)</f>
        <v>0</v>
      </c>
      <c r="U999" s="16" cm="1">
        <f t="array" aca="1" ref="U999" ca="1">INDEX($B$989:$G996, INT((COLUMN(T855)-1)/6)+1, MOD(COLUMN(T855)-1,6)+1)</f>
        <v>1</v>
      </c>
      <c r="V999" s="16" cm="1">
        <f t="array" aca="1" ref="V999" ca="1">INDEX($B$989:$G996, INT((COLUMN(U855)-1)/6)+1, MOD(COLUMN(U855)-1,6)+1)</f>
        <v>0</v>
      </c>
      <c r="W999" s="16" cm="1">
        <f t="array" aca="1" ref="W999" ca="1">INDEX($B$989:$G996, INT((COLUMN(V855)-1)/6)+1, MOD(COLUMN(V855)-1,6)+1)</f>
        <v>1</v>
      </c>
      <c r="X999" s="16" cm="1">
        <f t="array" aca="1" ref="X999" ca="1">INDEX($B$989:$G996, INT((COLUMN(W855)-1)/6)+1, MOD(COLUMN(W855)-1,6)+1)</f>
        <v>0</v>
      </c>
      <c r="Y999" s="16" cm="1">
        <f t="array" aca="1" ref="Y999" ca="1">INDEX($B$989:$G996, INT((COLUMN(X855)-1)/6)+1, MOD(COLUMN(X855)-1,6)+1)</f>
        <v>0</v>
      </c>
      <c r="Z999" s="16" cm="1">
        <f t="array" aca="1" ref="Z999" ca="1">INDEX($B$989:$G996, INT((COLUMN(Y855)-1)/6)+1, MOD(COLUMN(Y855)-1,6)+1)</f>
        <v>0</v>
      </c>
      <c r="AA999" s="16" cm="1">
        <f t="array" aca="1" ref="AA999" ca="1">INDEX($B$989:$G996, INT((COLUMN(Z855)-1)/6)+1, MOD(COLUMN(Z855)-1,6)+1)</f>
        <v>0</v>
      </c>
      <c r="AB999" s="16" cm="1">
        <f t="array" aca="1" ref="AB999" ca="1">INDEX($B$989:$G996, INT((COLUMN(AA855)-1)/6)+1, MOD(COLUMN(AA855)-1,6)+1)</f>
        <v>0</v>
      </c>
      <c r="AC999" s="16" cm="1">
        <f t="array" aca="1" ref="AC999" ca="1">INDEX($B$989:$G996, INT((COLUMN(AB855)-1)/6)+1, MOD(COLUMN(AB855)-1,6)+1)</f>
        <v>1</v>
      </c>
      <c r="AD999" s="16" cm="1">
        <f t="array" aca="1" ref="AD999" ca="1">INDEX($B$989:$G996, INT((COLUMN(AC855)-1)/6)+1, MOD(COLUMN(AC855)-1,6)+1)</f>
        <v>0</v>
      </c>
      <c r="AE999" s="16" cm="1">
        <f t="array" aca="1" ref="AE999" ca="1">INDEX($B$989:$G996, INT((COLUMN(AD855)-1)/6)+1, MOD(COLUMN(AD855)-1,6)+1)</f>
        <v>1</v>
      </c>
      <c r="AF999" s="16" cm="1">
        <f t="array" aca="1" ref="AF999" ca="1">INDEX($B$989:$G996, INT((COLUMN(AE855)-1)/6)+1, MOD(COLUMN(AE855)-1,6)+1)</f>
        <v>0</v>
      </c>
      <c r="AG999" s="16" cm="1">
        <f t="array" aca="1" ref="AG999" ca="1">INDEX($B$989:$G996, INT((COLUMN(AF855)-1)/6)+1, MOD(COLUMN(AF855)-1,6)+1)</f>
        <v>1</v>
      </c>
      <c r="AH999" s="16" cm="1">
        <f t="array" aca="1" ref="AH999" ca="1">INDEX($B$989:$G996, INT((COLUMN(AG855)-1)/6)+1, MOD(COLUMN(AG855)-1,6)+1)</f>
        <v>0</v>
      </c>
      <c r="AI999" s="16" cm="1">
        <f t="array" aca="1" ref="AI999" ca="1">INDEX($B$989:$G996, INT((COLUMN(AH855)-1)/6)+1, MOD(COLUMN(AH855)-1,6)+1)</f>
        <v>1</v>
      </c>
      <c r="AJ999" s="16" cm="1">
        <f t="array" aca="1" ref="AJ999" ca="1">INDEX($B$989:$G996, INT((COLUMN(AI855)-1)/6)+1, MOD(COLUMN(AI855)-1,6)+1)</f>
        <v>1</v>
      </c>
      <c r="AK999" s="16" cm="1">
        <f t="array" aca="1" ref="AK999" ca="1">INDEX($B$989:$G996, INT((COLUMN(AJ855)-1)/6)+1, MOD(COLUMN(AJ855)-1,6)+1)</f>
        <v>1</v>
      </c>
      <c r="AL999" s="16" cm="1">
        <f t="array" aca="1" ref="AL999" ca="1">INDEX($B$989:$G996, INT((COLUMN(AK855)-1)/6)+1, MOD(COLUMN(AK855)-1,6)+1)</f>
        <v>1</v>
      </c>
      <c r="AM999" s="16" cm="1">
        <f t="array" aca="1" ref="AM999" ca="1">INDEX($B$989:$G996, INT((COLUMN(AL855)-1)/6)+1, MOD(COLUMN(AL855)-1,6)+1)</f>
        <v>1</v>
      </c>
      <c r="AN999" s="16" cm="1">
        <f t="array" aca="1" ref="AN999" ca="1">INDEX($B$989:$G996, INT((COLUMN(AM855)-1)/6)+1, MOD(COLUMN(AM855)-1,6)+1)</f>
        <v>0</v>
      </c>
      <c r="AO999" s="16" cm="1">
        <f t="array" aca="1" ref="AO999" ca="1">INDEX($B$989:$G996, INT((COLUMN(AN855)-1)/6)+1, MOD(COLUMN(AN855)-1,6)+1)</f>
        <v>0</v>
      </c>
      <c r="AP999" s="16" cm="1">
        <f t="array" aca="1" ref="AP999" ca="1">INDEX($B$989:$G996, INT((COLUMN(AO855)-1)/6)+1, MOD(COLUMN(AO855)-1,6)+1)</f>
        <v>0</v>
      </c>
      <c r="AQ999" s="16" cm="1">
        <f t="array" aca="1" ref="AQ999" ca="1">INDEX($B$989:$G996, INT((COLUMN(AP855)-1)/6)+1, MOD(COLUMN(AP855)-1,6)+1)</f>
        <v>0</v>
      </c>
      <c r="AR999" s="16" cm="1">
        <f t="array" aca="1" ref="AR999" ca="1">INDEX($B$989:$G996, INT((COLUMN(AQ855)-1)/6)+1, MOD(COLUMN(AQ855)-1,6)+1)</f>
        <v>0</v>
      </c>
      <c r="AS999" s="16" cm="1">
        <f t="array" aca="1" ref="AS999" ca="1">INDEX($B$989:$G996, INT((COLUMN(AR855)-1)/6)+1, MOD(COLUMN(AR855)-1,6)+1)</f>
        <v>0</v>
      </c>
      <c r="AT999" s="16" cm="1">
        <f t="array" aca="1" ref="AT999" ca="1">INDEX($B$989:$G996, INT((COLUMN(AS855)-1)/6)+1, MOD(COLUMN(AS855)-1,6)+1)</f>
        <v>1</v>
      </c>
      <c r="AU999" s="16" cm="1">
        <f t="array" aca="1" ref="AU999" ca="1">INDEX($B$989:$G996, INT((COLUMN(AT855)-1)/6)+1, MOD(COLUMN(AT855)-1,6)+1)</f>
        <v>1</v>
      </c>
      <c r="AV999" s="16" cm="1">
        <f t="array" aca="1" ref="AV999" ca="1">INDEX($B$989:$G996, INT((COLUMN(AU855)-1)/6)+1, MOD(COLUMN(AU855)-1,6)+1)</f>
        <v>1</v>
      </c>
      <c r="AW999" s="16" cm="1">
        <f t="array" aca="1" ref="AW999" ca="1">INDEX($B$989:$G996, INT((COLUMN(AV855)-1)/6)+1, MOD(COLUMN(AV855)-1,6)+1)</f>
        <v>1</v>
      </c>
    </row>
    <row r="1000" spans="1:49">
      <c r="A1000" s="19"/>
    </row>
    <row r="1001" spans="1:49">
      <c r="A1001" s="12" t="s">
        <v>3</v>
      </c>
      <c r="B1001" s="12">
        <v>1</v>
      </c>
      <c r="C1001" s="12">
        <v>2</v>
      </c>
      <c r="D1001" s="12">
        <v>3</v>
      </c>
      <c r="E1001" s="12">
        <v>4</v>
      </c>
      <c r="F1001" s="12">
        <v>5</v>
      </c>
      <c r="G1001" s="12">
        <v>6</v>
      </c>
      <c r="H1001" s="12">
        <v>7</v>
      </c>
      <c r="I1001" s="12">
        <v>8</v>
      </c>
      <c r="J1001" s="12">
        <v>9</v>
      </c>
      <c r="K1001" s="12">
        <v>10</v>
      </c>
      <c r="L1001" s="12">
        <v>11</v>
      </c>
      <c r="M1001" s="12">
        <v>12</v>
      </c>
      <c r="N1001" s="12">
        <v>13</v>
      </c>
      <c r="O1001" s="12">
        <v>14</v>
      </c>
      <c r="P1001" s="12">
        <v>15</v>
      </c>
      <c r="Q1001" s="12">
        <v>16</v>
      </c>
      <c r="R1001" s="12">
        <v>17</v>
      </c>
      <c r="S1001" s="12">
        <v>18</v>
      </c>
      <c r="T1001" s="12">
        <v>19</v>
      </c>
      <c r="U1001" s="12">
        <v>20</v>
      </c>
      <c r="V1001" s="12">
        <v>21</v>
      </c>
      <c r="W1001" s="12">
        <v>22</v>
      </c>
      <c r="X1001" s="12">
        <v>23</v>
      </c>
      <c r="Y1001" s="12">
        <v>24</v>
      </c>
      <c r="Z1001" s="12">
        <v>25</v>
      </c>
      <c r="AA1001" s="12">
        <v>26</v>
      </c>
      <c r="AB1001" s="12">
        <v>27</v>
      </c>
      <c r="AC1001" s="12">
        <v>28</v>
      </c>
      <c r="AD1001" s="12">
        <v>29</v>
      </c>
      <c r="AE1001" s="12">
        <v>30</v>
      </c>
      <c r="AF1001" s="12">
        <v>31</v>
      </c>
      <c r="AG1001" s="12">
        <v>32</v>
      </c>
      <c r="AH1001" s="12">
        <v>33</v>
      </c>
      <c r="AI1001" s="12">
        <v>34</v>
      </c>
      <c r="AJ1001" s="12">
        <v>35</v>
      </c>
      <c r="AK1001" s="12">
        <v>36</v>
      </c>
      <c r="AL1001" s="12">
        <v>37</v>
      </c>
      <c r="AM1001" s="12">
        <v>38</v>
      </c>
      <c r="AN1001" s="12">
        <v>39</v>
      </c>
      <c r="AO1001" s="12">
        <v>40</v>
      </c>
      <c r="AP1001" s="12">
        <v>41</v>
      </c>
      <c r="AQ1001" s="12">
        <v>42</v>
      </c>
      <c r="AR1001" s="12">
        <v>43</v>
      </c>
      <c r="AS1001" s="12">
        <v>44</v>
      </c>
      <c r="AT1001" s="12">
        <v>45</v>
      </c>
      <c r="AU1001" s="12">
        <v>46</v>
      </c>
      <c r="AV1001" s="12">
        <v>47</v>
      </c>
      <c r="AW1001" s="12">
        <v>48</v>
      </c>
    </row>
    <row r="1002" spans="1:49">
      <c r="A1002" s="7" t="s">
        <v>264</v>
      </c>
      <c r="B1002" s="16">
        <f ca="1">_xlfn.BITXOR(B999, B490)</f>
        <v>0</v>
      </c>
      <c r="C1002" s="16">
        <f t="shared" ref="C1002:AW1002" ca="1" si="439">_xlfn.BITXOR(C999, C490)</f>
        <v>1</v>
      </c>
      <c r="D1002" s="16">
        <f t="shared" ca="1" si="439"/>
        <v>1</v>
      </c>
      <c r="E1002" s="16">
        <f t="shared" ca="1" si="439"/>
        <v>1</v>
      </c>
      <c r="F1002" s="16">
        <f t="shared" ca="1" si="439"/>
        <v>0</v>
      </c>
      <c r="G1002" s="16">
        <f t="shared" ca="1" si="439"/>
        <v>0</v>
      </c>
      <c r="H1002" s="16">
        <f t="shared" ca="1" si="439"/>
        <v>0</v>
      </c>
      <c r="I1002" s="16">
        <f t="shared" ca="1" si="439"/>
        <v>0</v>
      </c>
      <c r="J1002" s="16">
        <f t="shared" ca="1" si="439"/>
        <v>0</v>
      </c>
      <c r="K1002" s="16">
        <f t="shared" ca="1" si="439"/>
        <v>1</v>
      </c>
      <c r="L1002" s="16">
        <f t="shared" ca="1" si="439"/>
        <v>1</v>
      </c>
      <c r="M1002" s="16">
        <f t="shared" ca="1" si="439"/>
        <v>0</v>
      </c>
      <c r="N1002" s="16">
        <f t="shared" ca="1" si="439"/>
        <v>1</v>
      </c>
      <c r="O1002" s="16">
        <f t="shared" ca="1" si="439"/>
        <v>1</v>
      </c>
      <c r="P1002" s="16">
        <f t="shared" ca="1" si="439"/>
        <v>1</v>
      </c>
      <c r="Q1002" s="16">
        <f t="shared" ca="1" si="439"/>
        <v>1</v>
      </c>
      <c r="R1002" s="16">
        <f t="shared" ca="1" si="439"/>
        <v>1</v>
      </c>
      <c r="S1002" s="16">
        <f t="shared" ca="1" si="439"/>
        <v>1</v>
      </c>
      <c r="T1002" s="16">
        <f t="shared" ca="1" si="439"/>
        <v>0</v>
      </c>
      <c r="U1002" s="16">
        <f t="shared" ca="1" si="439"/>
        <v>1</v>
      </c>
      <c r="V1002" s="16">
        <f t="shared" ca="1" si="439"/>
        <v>0</v>
      </c>
      <c r="W1002" s="16">
        <f t="shared" ca="1" si="439"/>
        <v>0</v>
      </c>
      <c r="X1002" s="16">
        <f t="shared" ca="1" si="439"/>
        <v>0</v>
      </c>
      <c r="Y1002" s="16">
        <f t="shared" ca="1" si="439"/>
        <v>1</v>
      </c>
      <c r="Z1002" s="16">
        <f t="shared" ca="1" si="439"/>
        <v>0</v>
      </c>
      <c r="AA1002" s="16">
        <f t="shared" ca="1" si="439"/>
        <v>0</v>
      </c>
      <c r="AB1002" s="16">
        <f t="shared" ca="1" si="439"/>
        <v>0</v>
      </c>
      <c r="AC1002" s="16">
        <f t="shared" ca="1" si="439"/>
        <v>1</v>
      </c>
      <c r="AD1002" s="16">
        <f t="shared" ca="1" si="439"/>
        <v>1</v>
      </c>
      <c r="AE1002" s="16">
        <f t="shared" ca="1" si="439"/>
        <v>1</v>
      </c>
      <c r="AF1002" s="16">
        <f t="shared" ca="1" si="439"/>
        <v>1</v>
      </c>
      <c r="AG1002" s="16">
        <f t="shared" ca="1" si="439"/>
        <v>1</v>
      </c>
      <c r="AH1002" s="16">
        <f t="shared" ca="1" si="439"/>
        <v>0</v>
      </c>
      <c r="AI1002" s="16">
        <f t="shared" ca="1" si="439"/>
        <v>1</v>
      </c>
      <c r="AJ1002" s="16">
        <f t="shared" ca="1" si="439"/>
        <v>1</v>
      </c>
      <c r="AK1002" s="16">
        <f t="shared" ca="1" si="439"/>
        <v>0</v>
      </c>
      <c r="AL1002" s="16">
        <f t="shared" ca="1" si="439"/>
        <v>1</v>
      </c>
      <c r="AM1002" s="16">
        <f t="shared" ca="1" si="439"/>
        <v>0</v>
      </c>
      <c r="AN1002" s="16">
        <f t="shared" ca="1" si="439"/>
        <v>1</v>
      </c>
      <c r="AO1002" s="16">
        <f t="shared" ca="1" si="439"/>
        <v>1</v>
      </c>
      <c r="AP1002" s="16">
        <f t="shared" ca="1" si="439"/>
        <v>1</v>
      </c>
      <c r="AQ1002" s="16">
        <f t="shared" ca="1" si="439"/>
        <v>0</v>
      </c>
      <c r="AR1002" s="16">
        <f t="shared" ca="1" si="439"/>
        <v>1</v>
      </c>
      <c r="AS1002" s="16">
        <f t="shared" ca="1" si="439"/>
        <v>1</v>
      </c>
      <c r="AT1002" s="16">
        <f t="shared" ca="1" si="439"/>
        <v>1</v>
      </c>
      <c r="AU1002" s="16">
        <f t="shared" ca="1" si="439"/>
        <v>0</v>
      </c>
      <c r="AV1002" s="16">
        <f t="shared" ca="1" si="439"/>
        <v>1</v>
      </c>
      <c r="AW1002" s="16">
        <f t="shared" ca="1" si="439"/>
        <v>0</v>
      </c>
    </row>
    <row r="1004" spans="1:49">
      <c r="A1004" s="27" t="s">
        <v>136</v>
      </c>
      <c r="B1004" s="27" t="s">
        <v>137</v>
      </c>
      <c r="C1004" s="27"/>
      <c r="D1004" s="27" t="s">
        <v>141</v>
      </c>
      <c r="E1004" s="27" t="s">
        <v>142</v>
      </c>
      <c r="F1004" s="28" t="s">
        <v>138</v>
      </c>
      <c r="G1004" s="28"/>
      <c r="I1004" s="5" t="s">
        <v>265</v>
      </c>
    </row>
    <row r="1005" spans="1:49">
      <c r="A1005" s="27"/>
      <c r="B1005" s="27"/>
      <c r="C1005" s="27"/>
      <c r="D1005" s="27"/>
      <c r="E1005" s="27"/>
      <c r="F1005" s="7" t="s">
        <v>139</v>
      </c>
      <c r="G1005" s="7" t="s">
        <v>140</v>
      </c>
    </row>
    <row r="1006" spans="1:49">
      <c r="A1006" s="7">
        <v>1</v>
      </c>
      <c r="B1006" s="29" t="str">
        <f ca="1">_xlfn.TEXTJOIN("", TRUE, OFFSET($B$1002,0,(ROW(A1)-1)*6,1,6))</f>
        <v>011100</v>
      </c>
      <c r="C1006" s="30"/>
      <c r="D1006" s="7">
        <f ca="1">BIN2DEC(LEFT(B1006,1) &amp; RIGHT(B1006,1))</f>
        <v>0</v>
      </c>
      <c r="E1006" s="12">
        <f ca="1">BIN2DEC(MID(B1006,2,4))</f>
        <v>14</v>
      </c>
      <c r="F1006" s="12" cm="1">
        <f t="array" aca="1" ref="F1006" ca="1">INDEX(OFFSET('S-box'!$A$2, (A1006-1)*6, 0, 4, 16), D1006+1, E1006+1)</f>
        <v>0</v>
      </c>
      <c r="G1006" s="17" t="str">
        <f ca="1">DEC2BIN(F1006, 4)</f>
        <v>0000</v>
      </c>
      <c r="I1006" s="12" t="s">
        <v>3</v>
      </c>
      <c r="J1006" s="12">
        <v>1</v>
      </c>
      <c r="K1006" s="12">
        <v>2</v>
      </c>
      <c r="L1006" s="12">
        <v>3</v>
      </c>
      <c r="M1006" s="12">
        <v>4</v>
      </c>
      <c r="N1006" s="12">
        <v>5</v>
      </c>
      <c r="O1006" s="12">
        <v>6</v>
      </c>
      <c r="P1006" s="12">
        <v>7</v>
      </c>
      <c r="Q1006" s="12">
        <v>8</v>
      </c>
      <c r="R1006" s="12">
        <v>9</v>
      </c>
      <c r="S1006" s="12">
        <v>10</v>
      </c>
      <c r="T1006" s="12">
        <v>11</v>
      </c>
      <c r="U1006" s="12">
        <v>12</v>
      </c>
      <c r="V1006" s="12">
        <v>13</v>
      </c>
      <c r="W1006" s="12">
        <v>14</v>
      </c>
      <c r="X1006" s="12">
        <v>15</v>
      </c>
      <c r="Y1006" s="12">
        <v>16</v>
      </c>
      <c r="Z1006" s="12">
        <v>17</v>
      </c>
      <c r="AA1006" s="12">
        <v>18</v>
      </c>
      <c r="AB1006" s="12">
        <v>19</v>
      </c>
      <c r="AC1006" s="12">
        <v>20</v>
      </c>
      <c r="AD1006" s="12">
        <v>21</v>
      </c>
      <c r="AE1006" s="12">
        <v>22</v>
      </c>
      <c r="AF1006" s="12">
        <v>23</v>
      </c>
      <c r="AG1006" s="12">
        <v>24</v>
      </c>
      <c r="AH1006" s="12">
        <v>25</v>
      </c>
      <c r="AI1006" s="12">
        <v>26</v>
      </c>
      <c r="AJ1006" s="12">
        <v>27</v>
      </c>
      <c r="AK1006" s="12">
        <v>28</v>
      </c>
      <c r="AL1006" s="12">
        <v>29</v>
      </c>
      <c r="AM1006" s="12">
        <v>30</v>
      </c>
      <c r="AN1006" s="12">
        <v>31</v>
      </c>
      <c r="AO1006" s="12">
        <v>32</v>
      </c>
    </row>
    <row r="1007" spans="1:49">
      <c r="A1007" s="7">
        <v>2</v>
      </c>
      <c r="B1007" s="29" t="str">
        <f t="shared" ref="B1007:B1013" ca="1" si="440">_xlfn.TEXTJOIN("", TRUE, OFFSET($B$1002,0,(ROW(A2)-1)*6,1,6))</f>
        <v>000110</v>
      </c>
      <c r="C1007" s="30"/>
      <c r="D1007" s="7">
        <f t="shared" ref="D1007:D1013" ca="1" si="441">BIN2DEC(LEFT(B1007,1) &amp; RIGHT(B1007,1))</f>
        <v>0</v>
      </c>
      <c r="E1007" s="12">
        <f t="shared" ref="E1007:E1013" ca="1" si="442">BIN2DEC(MID(B1007,2,4))</f>
        <v>3</v>
      </c>
      <c r="F1007" s="12" cm="1">
        <f t="array" aca="1" ref="F1007" ca="1">INDEX(OFFSET('S-box'!$A$2, (A1007-1)*6, 0, 4, 16), D1007+1, E1007+1)</f>
        <v>14</v>
      </c>
      <c r="G1007" s="17" t="str">
        <f t="shared" ref="G1007:G1013" ca="1" si="443">DEC2BIN(F1007, 4)</f>
        <v>1110</v>
      </c>
      <c r="I1007" s="12" t="s">
        <v>152</v>
      </c>
      <c r="J1007" s="12" t="str">
        <f ca="1">MID(_xlfn.TEXTJOIN("",TRUE,$G$1006:$G$1013), COLUMN(A463), 1)</f>
        <v>0</v>
      </c>
      <c r="K1007" s="12" t="str">
        <f t="shared" ref="K1007:AO1007" ca="1" si="444">MID(_xlfn.TEXTJOIN("",TRUE,$G$1006:$G$1013), COLUMN(B463), 1)</f>
        <v>0</v>
      </c>
      <c r="L1007" s="12" t="str">
        <f t="shared" ca="1" si="444"/>
        <v>0</v>
      </c>
      <c r="M1007" s="12" t="str">
        <f t="shared" ca="1" si="444"/>
        <v>0</v>
      </c>
      <c r="N1007" s="12" t="str">
        <f t="shared" ca="1" si="444"/>
        <v>1</v>
      </c>
      <c r="O1007" s="12" t="str">
        <f t="shared" ca="1" si="444"/>
        <v>1</v>
      </c>
      <c r="P1007" s="12" t="str">
        <f t="shared" ca="1" si="444"/>
        <v>1</v>
      </c>
      <c r="Q1007" s="12" t="str">
        <f t="shared" ca="1" si="444"/>
        <v>0</v>
      </c>
      <c r="R1007" s="12" t="str">
        <f t="shared" ca="1" si="444"/>
        <v>1</v>
      </c>
      <c r="S1007" s="12" t="str">
        <f t="shared" ca="1" si="444"/>
        <v>1</v>
      </c>
      <c r="T1007" s="12" t="str">
        <f t="shared" ca="1" si="444"/>
        <v>0</v>
      </c>
      <c r="U1007" s="12" t="str">
        <f t="shared" ca="1" si="444"/>
        <v>0</v>
      </c>
      <c r="V1007" s="12" t="str">
        <f t="shared" ca="1" si="444"/>
        <v>0</v>
      </c>
      <c r="W1007" s="12" t="str">
        <f t="shared" ca="1" si="444"/>
        <v>1</v>
      </c>
      <c r="X1007" s="12" t="str">
        <f t="shared" ca="1" si="444"/>
        <v>0</v>
      </c>
      <c r="Y1007" s="12" t="str">
        <f t="shared" ca="1" si="444"/>
        <v>0</v>
      </c>
      <c r="Z1007" s="12" t="str">
        <f t="shared" ca="1" si="444"/>
        <v>1</v>
      </c>
      <c r="AA1007" s="12" t="str">
        <f t="shared" ca="1" si="444"/>
        <v>1</v>
      </c>
      <c r="AB1007" s="12" t="str">
        <f t="shared" ca="1" si="444"/>
        <v>0</v>
      </c>
      <c r="AC1007" s="12" t="str">
        <f t="shared" ca="1" si="444"/>
        <v>0</v>
      </c>
      <c r="AD1007" s="12" t="str">
        <f t="shared" ca="1" si="444"/>
        <v>1</v>
      </c>
      <c r="AE1007" s="12" t="str">
        <f t="shared" ca="1" si="444"/>
        <v>0</v>
      </c>
      <c r="AF1007" s="12" t="str">
        <f t="shared" ca="1" si="444"/>
        <v>1</v>
      </c>
      <c r="AG1007" s="12" t="str">
        <f t="shared" ca="1" si="444"/>
        <v>0</v>
      </c>
      <c r="AH1007" s="12" t="str">
        <f t="shared" ca="1" si="444"/>
        <v>1</v>
      </c>
      <c r="AI1007" s="12" t="str">
        <f t="shared" ca="1" si="444"/>
        <v>1</v>
      </c>
      <c r="AJ1007" s="12" t="str">
        <f t="shared" ca="1" si="444"/>
        <v>1</v>
      </c>
      <c r="AK1007" s="12" t="str">
        <f t="shared" ca="1" si="444"/>
        <v>0</v>
      </c>
      <c r="AL1007" s="12" t="str">
        <f t="shared" ca="1" si="444"/>
        <v>0</v>
      </c>
      <c r="AM1007" s="12" t="str">
        <f t="shared" ca="1" si="444"/>
        <v>0</v>
      </c>
      <c r="AN1007" s="12" t="str">
        <f t="shared" ca="1" si="444"/>
        <v>1</v>
      </c>
      <c r="AO1007" s="12" t="str">
        <f t="shared" ca="1" si="444"/>
        <v>1</v>
      </c>
    </row>
    <row r="1008" spans="1:49">
      <c r="A1008" s="7">
        <v>3</v>
      </c>
      <c r="B1008" s="29" t="str">
        <f t="shared" ca="1" si="440"/>
        <v>111111</v>
      </c>
      <c r="C1008" s="30"/>
      <c r="D1008" s="7">
        <f t="shared" ca="1" si="441"/>
        <v>3</v>
      </c>
      <c r="E1008" s="12">
        <f t="shared" ca="1" si="442"/>
        <v>15</v>
      </c>
      <c r="F1008" s="12" cm="1">
        <f t="array" aca="1" ref="F1008" ca="1">INDEX(OFFSET('S-box'!$A$2, (A1008-1)*6, 0, 4, 16), D1008+1, E1008+1)</f>
        <v>12</v>
      </c>
      <c r="G1008" s="17" t="str">
        <f t="shared" ca="1" si="443"/>
        <v>1100</v>
      </c>
    </row>
    <row r="1009" spans="1:41">
      <c r="A1009" s="7">
        <v>4</v>
      </c>
      <c r="B1009" s="29" t="str">
        <f t="shared" ca="1" si="440"/>
        <v>010001</v>
      </c>
      <c r="C1009" s="30"/>
      <c r="D1009" s="7">
        <f t="shared" ca="1" si="441"/>
        <v>1</v>
      </c>
      <c r="E1009" s="12">
        <f t="shared" ca="1" si="442"/>
        <v>8</v>
      </c>
      <c r="F1009" s="12" cm="1">
        <f t="array" aca="1" ref="F1009" ca="1">INDEX(OFFSET('S-box'!$A$2, (A1009-1)*6, 0, 4, 16), D1009+1, E1009+1)</f>
        <v>4</v>
      </c>
      <c r="G1009" s="17" t="str">
        <f t="shared" ca="1" si="443"/>
        <v>0100</v>
      </c>
      <c r="I1009" s="5" t="s">
        <v>266</v>
      </c>
    </row>
    <row r="1010" spans="1:41">
      <c r="A1010" s="7">
        <v>5</v>
      </c>
      <c r="B1010" s="29" t="str">
        <f t="shared" ca="1" si="440"/>
        <v>000111</v>
      </c>
      <c r="C1010" s="30"/>
      <c r="D1010" s="7">
        <f t="shared" ca="1" si="441"/>
        <v>1</v>
      </c>
      <c r="E1010" s="12">
        <f t="shared" ca="1" si="442"/>
        <v>3</v>
      </c>
      <c r="F1010" s="12" cm="1">
        <f t="array" aca="1" ref="F1010" ca="1">INDEX(OFFSET('S-box'!$A$2, (A1010-1)*6, 0, 4, 16), D1010+1, E1010+1)</f>
        <v>12</v>
      </c>
      <c r="G1010" s="17" t="str">
        <f t="shared" ca="1" si="443"/>
        <v>1100</v>
      </c>
    </row>
    <row r="1011" spans="1:41">
      <c r="A1011" s="7">
        <v>6</v>
      </c>
      <c r="B1011" s="29" t="str">
        <f t="shared" ca="1" si="440"/>
        <v>110110</v>
      </c>
      <c r="C1011" s="30"/>
      <c r="D1011" s="7">
        <f t="shared" ca="1" si="441"/>
        <v>2</v>
      </c>
      <c r="E1011" s="12">
        <f t="shared" ca="1" si="442"/>
        <v>11</v>
      </c>
      <c r="F1011" s="12" cm="1">
        <f t="array" aca="1" ref="F1011" ca="1">INDEX(OFFSET('S-box'!$A$2, (A1011-1)*6, 0, 4, 16), D1011+1, E1011+1)</f>
        <v>10</v>
      </c>
      <c r="G1011" s="17" t="str">
        <f t="shared" ca="1" si="443"/>
        <v>1010</v>
      </c>
      <c r="I1011" s="12" t="s">
        <v>3</v>
      </c>
      <c r="J1011" s="12">
        <v>1</v>
      </c>
      <c r="K1011" s="12">
        <v>2</v>
      </c>
      <c r="L1011" s="12">
        <v>3</v>
      </c>
      <c r="M1011" s="12">
        <v>4</v>
      </c>
      <c r="N1011" s="12">
        <v>5</v>
      </c>
      <c r="O1011" s="12">
        <v>6</v>
      </c>
      <c r="P1011" s="12">
        <v>7</v>
      </c>
      <c r="Q1011" s="12">
        <v>8</v>
      </c>
      <c r="R1011" s="12">
        <v>9</v>
      </c>
      <c r="S1011" s="12">
        <v>10</v>
      </c>
      <c r="T1011" s="12">
        <v>11</v>
      </c>
      <c r="U1011" s="12">
        <v>12</v>
      </c>
      <c r="V1011" s="12">
        <v>13</v>
      </c>
      <c r="W1011" s="12">
        <v>14</v>
      </c>
      <c r="X1011" s="12">
        <v>15</v>
      </c>
      <c r="Y1011" s="12">
        <v>16</v>
      </c>
      <c r="Z1011" s="12">
        <v>17</v>
      </c>
      <c r="AA1011" s="12">
        <v>18</v>
      </c>
      <c r="AB1011" s="12">
        <v>19</v>
      </c>
      <c r="AC1011" s="12">
        <v>20</v>
      </c>
      <c r="AD1011" s="12">
        <v>21</v>
      </c>
      <c r="AE1011" s="12">
        <v>22</v>
      </c>
      <c r="AF1011" s="12">
        <v>23</v>
      </c>
      <c r="AG1011" s="12">
        <v>24</v>
      </c>
      <c r="AH1011" s="12">
        <v>25</v>
      </c>
      <c r="AI1011" s="12">
        <v>26</v>
      </c>
      <c r="AJ1011" s="12">
        <v>27</v>
      </c>
      <c r="AK1011" s="12">
        <v>28</v>
      </c>
      <c r="AL1011" s="12">
        <v>29</v>
      </c>
      <c r="AM1011" s="12">
        <v>30</v>
      </c>
      <c r="AN1011" s="12">
        <v>31</v>
      </c>
      <c r="AO1011" s="12">
        <v>32</v>
      </c>
    </row>
    <row r="1012" spans="1:41">
      <c r="A1012" s="7">
        <v>7</v>
      </c>
      <c r="B1012" s="29" t="str">
        <f t="shared" ca="1" si="440"/>
        <v>101110</v>
      </c>
      <c r="C1012" s="30"/>
      <c r="D1012" s="7">
        <f t="shared" ca="1" si="441"/>
        <v>2</v>
      </c>
      <c r="E1012" s="12">
        <f t="shared" ca="1" si="442"/>
        <v>7</v>
      </c>
      <c r="F1012" s="12" cm="1">
        <f t="array" aca="1" ref="F1012" ca="1">INDEX(OFFSET('S-box'!$A$2, (A1012-1)*6, 0, 4, 16), D1012+1, E1012+1)</f>
        <v>14</v>
      </c>
      <c r="G1012" s="17" t="str">
        <f t="shared" ca="1" si="443"/>
        <v>1110</v>
      </c>
      <c r="I1012" s="18" t="s">
        <v>152</v>
      </c>
      <c r="J1012" s="12" t="str" cm="1">
        <f t="array" aca="1" ref="J1012" ca="1">INDEX($J$1007:$AO$1007, INDEX($T$15:$AA$18, INT((COLUMN(A430)-1)/8)+1, MOD(COLUMN(A430)-1,8)+1))</f>
        <v>0</v>
      </c>
      <c r="K1012" s="12" t="str" cm="1">
        <f t="array" aca="1" ref="K1012" ca="1">INDEX($J$1007:$AO$1007, INDEX($T$15:$AA$18, INT((COLUMN(B430)-1)/8)+1, MOD(COLUMN(B430)-1,8)+1))</f>
        <v>1</v>
      </c>
      <c r="L1012" s="12" t="str" cm="1">
        <f t="array" aca="1" ref="L1012" ca="1">INDEX($J$1007:$AO$1007, INDEX($T$15:$AA$18, INT((COLUMN(C430)-1)/8)+1, MOD(COLUMN(C430)-1,8)+1))</f>
        <v>0</v>
      </c>
      <c r="M1012" s="12" t="str" cm="1">
        <f t="array" aca="1" ref="M1012" ca="1">INDEX($J$1007:$AO$1007, INDEX($T$15:$AA$18, INT((COLUMN(D430)-1)/8)+1, MOD(COLUMN(D430)-1,8)+1))</f>
        <v>1</v>
      </c>
      <c r="N1012" s="12" t="str" cm="1">
        <f t="array" aca="1" ref="N1012" ca="1">INDEX($J$1007:$AO$1007, INDEX($T$15:$AA$18, INT((COLUMN(E430)-1)/8)+1, MOD(COLUMN(E430)-1,8)+1))</f>
        <v>0</v>
      </c>
      <c r="O1012" s="12" t="str" cm="1">
        <f t="array" aca="1" ref="O1012" ca="1">INDEX($J$1007:$AO$1007, INDEX($T$15:$AA$18, INT((COLUMN(F430)-1)/8)+1, MOD(COLUMN(F430)-1,8)+1))</f>
        <v>0</v>
      </c>
      <c r="P1012" s="12" t="str" cm="1">
        <f t="array" aca="1" ref="P1012" ca="1">INDEX($J$1007:$AO$1007, INDEX($T$15:$AA$18, INT((COLUMN(G430)-1)/8)+1, MOD(COLUMN(G430)-1,8)+1))</f>
        <v>0</v>
      </c>
      <c r="Q1012" s="12" t="str" cm="1">
        <f t="array" aca="1" ref="Q1012" ca="1">INDEX($J$1007:$AO$1007, INDEX($T$15:$AA$18, INT((COLUMN(H430)-1)/8)+1, MOD(COLUMN(H430)-1,8)+1))</f>
        <v>1</v>
      </c>
      <c r="R1012" s="12" t="str" cm="1">
        <f t="array" aca="1" ref="R1012" ca="1">INDEX($J$1007:$AO$1007, INDEX($T$15:$AA$18, INT((COLUMN(I430)-1)/8)+1, MOD(COLUMN(I430)-1,8)+1))</f>
        <v>0</v>
      </c>
      <c r="S1012" s="12" t="str" cm="1">
        <f t="array" aca="1" ref="S1012" ca="1">INDEX($J$1007:$AO$1007, INDEX($T$15:$AA$18, INT((COLUMN(J430)-1)/8)+1, MOD(COLUMN(J430)-1,8)+1))</f>
        <v>0</v>
      </c>
      <c r="T1012" s="12" t="str" cm="1">
        <f t="array" aca="1" ref="T1012" ca="1">INDEX($J$1007:$AO$1007, INDEX($T$15:$AA$18, INT((COLUMN(K430)-1)/8)+1, MOD(COLUMN(K430)-1,8)+1))</f>
        <v>1</v>
      </c>
      <c r="U1012" s="12" t="str" cm="1">
        <f t="array" aca="1" ref="U1012" ca="1">INDEX($J$1007:$AO$1007, INDEX($T$15:$AA$18, INT((COLUMN(L430)-1)/8)+1, MOD(COLUMN(L430)-1,8)+1))</f>
        <v>1</v>
      </c>
      <c r="V1012" s="12" t="str" cm="1">
        <f t="array" aca="1" ref="V1012" ca="1">INDEX($J$1007:$AO$1007, INDEX($T$15:$AA$18, INT((COLUMN(M430)-1)/8)+1, MOD(COLUMN(M430)-1,8)+1))</f>
        <v>1</v>
      </c>
      <c r="W1012" s="12" t="str" cm="1">
        <f t="array" aca="1" ref="W1012" ca="1">INDEX($J$1007:$AO$1007, INDEX($T$15:$AA$18, INT((COLUMN(N430)-1)/8)+1, MOD(COLUMN(N430)-1,8)+1))</f>
        <v>1</v>
      </c>
      <c r="X1012" s="12" t="str" cm="1">
        <f t="array" aca="1" ref="X1012" ca="1">INDEX($J$1007:$AO$1007, INDEX($T$15:$AA$18, INT((COLUMN(O430)-1)/8)+1, MOD(COLUMN(O430)-1,8)+1))</f>
        <v>1</v>
      </c>
      <c r="Y1012" s="12" t="str" cm="1">
        <f t="array" aca="1" ref="Y1012" ca="1">INDEX($J$1007:$AO$1007, INDEX($T$15:$AA$18, INT((COLUMN(P430)-1)/8)+1, MOD(COLUMN(P430)-1,8)+1))</f>
        <v>1</v>
      </c>
      <c r="Z1012" s="12" t="str" cm="1">
        <f t="array" aca="1" ref="Z1012" ca="1">INDEX($J$1007:$AO$1007, INDEX($T$15:$AA$18, INT((COLUMN(Q430)-1)/8)+1, MOD(COLUMN(Q430)-1,8)+1))</f>
        <v>0</v>
      </c>
      <c r="AA1012" s="12" t="str" cm="1">
        <f t="array" aca="1" ref="AA1012" ca="1">INDEX($J$1007:$AO$1007, INDEX($T$15:$AA$18, INT((COLUMN(R430)-1)/8)+1, MOD(COLUMN(R430)-1,8)+1))</f>
        <v>0</v>
      </c>
      <c r="AB1012" s="12" t="str" cm="1">
        <f t="array" aca="1" ref="AB1012" ca="1">INDEX($J$1007:$AO$1007, INDEX($T$15:$AA$18, INT((COLUMN(S430)-1)/8)+1, MOD(COLUMN(S430)-1,8)+1))</f>
        <v>0</v>
      </c>
      <c r="AC1012" s="12" t="str" cm="1">
        <f t="array" aca="1" ref="AC1012" ca="1">INDEX($J$1007:$AO$1007, INDEX($T$15:$AA$18, INT((COLUMN(T430)-1)/8)+1, MOD(COLUMN(T430)-1,8)+1))</f>
        <v>1</v>
      </c>
      <c r="AD1012" s="12" t="str" cm="1">
        <f t="array" aca="1" ref="AD1012" ca="1">INDEX($J$1007:$AO$1007, INDEX($T$15:$AA$18, INT((COLUMN(U430)-1)/8)+1, MOD(COLUMN(U430)-1,8)+1))</f>
        <v>1</v>
      </c>
      <c r="AE1012" s="12" t="str" cm="1">
        <f t="array" aca="1" ref="AE1012" ca="1">INDEX($J$1007:$AO$1007, INDEX($T$15:$AA$18, INT((COLUMN(V430)-1)/8)+1, MOD(COLUMN(V430)-1,8)+1))</f>
        <v>1</v>
      </c>
      <c r="AF1012" s="12" t="str" cm="1">
        <f t="array" aca="1" ref="AF1012" ca="1">INDEX($J$1007:$AO$1007, INDEX($T$15:$AA$18, INT((COLUMN(W430)-1)/8)+1, MOD(COLUMN(W430)-1,8)+1))</f>
        <v>0</v>
      </c>
      <c r="AG1012" s="12" t="str" cm="1">
        <f t="array" aca="1" ref="AG1012" ca="1">INDEX($J$1007:$AO$1007, INDEX($T$15:$AA$18, INT((COLUMN(X430)-1)/8)+1, MOD(COLUMN(X430)-1,8)+1))</f>
        <v>1</v>
      </c>
      <c r="AH1012" s="12" t="str" cm="1">
        <f t="array" aca="1" ref="AH1012" ca="1">INDEX($J$1007:$AO$1007, INDEX($T$15:$AA$18, INT((COLUMN(Y430)-1)/8)+1, MOD(COLUMN(Y430)-1,8)+1))</f>
        <v>0</v>
      </c>
      <c r="AI1012" s="12" t="str" cm="1">
        <f t="array" aca="1" ref="AI1012" ca="1">INDEX($J$1007:$AO$1007, INDEX($T$15:$AA$18, INT((COLUMN(Z430)-1)/8)+1, MOD(COLUMN(Z430)-1,8)+1))</f>
        <v>0</v>
      </c>
      <c r="AJ1012" s="12" t="str" cm="1">
        <f t="array" aca="1" ref="AJ1012" ca="1">INDEX($J$1007:$AO$1007, INDEX($T$15:$AA$18, INT((COLUMN(AA430)-1)/8)+1, MOD(COLUMN(AA430)-1,8)+1))</f>
        <v>0</v>
      </c>
      <c r="AK1012" s="12" t="str" cm="1">
        <f t="array" aca="1" ref="AK1012" ca="1">INDEX($J$1007:$AO$1007, INDEX($T$15:$AA$18, INT((COLUMN(AB430)-1)/8)+1, MOD(COLUMN(AB430)-1,8)+1))</f>
        <v>1</v>
      </c>
      <c r="AL1012" s="12" t="str" cm="1">
        <f t="array" aca="1" ref="AL1012" ca="1">INDEX($J$1007:$AO$1007, INDEX($T$15:$AA$18, INT((COLUMN(AC430)-1)/8)+1, MOD(COLUMN(AC430)-1,8)+1))</f>
        <v>0</v>
      </c>
      <c r="AM1012" s="12" t="str" cm="1">
        <f t="array" aca="1" ref="AM1012" ca="1">INDEX($J$1007:$AO$1007, INDEX($T$15:$AA$18, INT((COLUMN(AD430)-1)/8)+1, MOD(COLUMN(AD430)-1,8)+1))</f>
        <v>0</v>
      </c>
      <c r="AN1012" s="12" t="str" cm="1">
        <f t="array" aca="1" ref="AN1012" ca="1">INDEX($J$1007:$AO$1007, INDEX($T$15:$AA$18, INT((COLUMN(AE430)-1)/8)+1, MOD(COLUMN(AE430)-1,8)+1))</f>
        <v>0</v>
      </c>
      <c r="AO1012" s="12" t="str" cm="1">
        <f t="array" aca="1" ref="AO1012" ca="1">INDEX($J$1007:$AO$1007, INDEX($T$15:$AA$18, INT((COLUMN(AF430)-1)/8)+1, MOD(COLUMN(AF430)-1,8)+1))</f>
        <v>1</v>
      </c>
    </row>
    <row r="1013" spans="1:41">
      <c r="A1013" s="7">
        <v>8</v>
      </c>
      <c r="B1013" s="29" t="str">
        <f t="shared" ca="1" si="440"/>
        <v>111010</v>
      </c>
      <c r="C1013" s="30"/>
      <c r="D1013" s="7">
        <f t="shared" ca="1" si="441"/>
        <v>2</v>
      </c>
      <c r="E1013" s="12">
        <f t="shared" ca="1" si="442"/>
        <v>13</v>
      </c>
      <c r="F1013" s="12" cm="1">
        <f t="array" aca="1" ref="F1013" ca="1">INDEX(OFFSET('S-box'!$A$2, (A1013-1)*6, 0, 4, 16), D1013+1, E1013+1)</f>
        <v>3</v>
      </c>
      <c r="G1013" s="17" t="str">
        <f t="shared" ca="1" si="443"/>
        <v>0011</v>
      </c>
    </row>
    <row r="1015" spans="1:41">
      <c r="A1015" s="20" t="s">
        <v>267</v>
      </c>
    </row>
    <row r="1017" spans="1:41">
      <c r="A1017" s="12" t="s">
        <v>3</v>
      </c>
      <c r="B1017" s="12">
        <v>1</v>
      </c>
      <c r="C1017" s="12">
        <v>2</v>
      </c>
      <c r="D1017" s="12">
        <v>3</v>
      </c>
      <c r="E1017" s="12">
        <v>4</v>
      </c>
      <c r="F1017" s="12">
        <v>5</v>
      </c>
      <c r="G1017" s="12">
        <v>6</v>
      </c>
      <c r="H1017" s="12">
        <v>7</v>
      </c>
      <c r="I1017" s="12">
        <v>8</v>
      </c>
      <c r="J1017" s="12">
        <v>9</v>
      </c>
      <c r="K1017" s="12">
        <v>10</v>
      </c>
      <c r="L1017" s="12">
        <v>11</v>
      </c>
      <c r="M1017" s="12">
        <v>12</v>
      </c>
      <c r="N1017" s="12">
        <v>13</v>
      </c>
      <c r="O1017" s="12">
        <v>14</v>
      </c>
      <c r="P1017" s="12">
        <v>15</v>
      </c>
      <c r="Q1017" s="12">
        <v>16</v>
      </c>
      <c r="R1017" s="12">
        <v>17</v>
      </c>
      <c r="S1017" s="12">
        <v>18</v>
      </c>
      <c r="T1017" s="12">
        <v>19</v>
      </c>
      <c r="U1017" s="12">
        <v>20</v>
      </c>
      <c r="V1017" s="12">
        <v>21</v>
      </c>
      <c r="W1017" s="12">
        <v>22</v>
      </c>
      <c r="X1017" s="12">
        <v>23</v>
      </c>
      <c r="Y1017" s="12">
        <v>24</v>
      </c>
      <c r="Z1017" s="12">
        <v>25</v>
      </c>
      <c r="AA1017" s="12">
        <v>26</v>
      </c>
      <c r="AB1017" s="12">
        <v>27</v>
      </c>
      <c r="AC1017" s="12">
        <v>28</v>
      </c>
      <c r="AD1017" s="12">
        <v>29</v>
      </c>
      <c r="AE1017" s="12">
        <v>30</v>
      </c>
      <c r="AF1017" s="12">
        <v>31</v>
      </c>
      <c r="AG1017" s="12">
        <v>32</v>
      </c>
    </row>
    <row r="1018" spans="1:41">
      <c r="A1018" s="12" t="s">
        <v>268</v>
      </c>
      <c r="B1018" s="12">
        <v>1</v>
      </c>
      <c r="C1018" s="12">
        <v>0</v>
      </c>
      <c r="D1018" s="12">
        <v>0</v>
      </c>
      <c r="E1018" s="12">
        <v>1</v>
      </c>
      <c r="F1018" s="12">
        <v>1</v>
      </c>
      <c r="G1018" s="12">
        <v>1</v>
      </c>
      <c r="H1018" s="12">
        <v>1</v>
      </c>
      <c r="I1018" s="12">
        <v>1</v>
      </c>
      <c r="J1018" s="12">
        <v>1</v>
      </c>
      <c r="K1018" s="12">
        <v>1</v>
      </c>
      <c r="L1018" s="12">
        <v>0</v>
      </c>
      <c r="M1018" s="12">
        <v>0</v>
      </c>
      <c r="N1018" s="12">
        <v>1</v>
      </c>
      <c r="O1018" s="12">
        <v>0</v>
      </c>
      <c r="P1018" s="12">
        <v>1</v>
      </c>
      <c r="Q1018" s="12">
        <v>0</v>
      </c>
      <c r="R1018" s="12">
        <v>0</v>
      </c>
      <c r="S1018" s="12">
        <v>0</v>
      </c>
      <c r="T1018" s="12">
        <v>1</v>
      </c>
      <c r="U1018" s="12">
        <v>0</v>
      </c>
      <c r="V1018" s="12">
        <v>1</v>
      </c>
      <c r="W1018" s="12">
        <v>0</v>
      </c>
      <c r="X1018" s="12">
        <v>1</v>
      </c>
      <c r="Y1018" s="12">
        <v>1</v>
      </c>
      <c r="Z1018" s="12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1</v>
      </c>
      <c r="AF1018" s="12">
        <v>1</v>
      </c>
      <c r="AG1018" s="12">
        <v>1</v>
      </c>
    </row>
    <row r="1019" spans="1:41">
      <c r="A1019" s="12" t="s">
        <v>269</v>
      </c>
      <c r="B1019" s="12">
        <f ca="1">_xlfn.BITXOR(B985,J1012)</f>
        <v>0</v>
      </c>
      <c r="C1019" s="12">
        <f t="shared" ref="C1019" ca="1" si="445">_xlfn.BITXOR(C985,K1012)</f>
        <v>1</v>
      </c>
      <c r="D1019" s="12">
        <f t="shared" ref="D1019" ca="1" si="446">_xlfn.BITXOR(D985,L1012)</f>
        <v>1</v>
      </c>
      <c r="E1019" s="12">
        <f t="shared" ref="E1019" ca="1" si="447">_xlfn.BITXOR(E985,M1012)</f>
        <v>0</v>
      </c>
      <c r="F1019" s="12">
        <f t="shared" ref="F1019" ca="1" si="448">_xlfn.BITXOR(F985,N1012)</f>
        <v>1</v>
      </c>
      <c r="G1019" s="12">
        <f t="shared" ref="G1019" ca="1" si="449">_xlfn.BITXOR(G985,O1012)</f>
        <v>1</v>
      </c>
      <c r="H1019" s="12">
        <f t="shared" ref="H1019" ca="1" si="450">_xlfn.BITXOR(H985,P1012)</f>
        <v>1</v>
      </c>
      <c r="I1019" s="12">
        <f t="shared" ref="I1019" ca="1" si="451">_xlfn.BITXOR(I985,Q1012)</f>
        <v>0</v>
      </c>
      <c r="J1019" s="12">
        <f t="shared" ref="J1019" ca="1" si="452">_xlfn.BITXOR(J985,R1012)</f>
        <v>0</v>
      </c>
      <c r="K1019" s="12">
        <f t="shared" ref="K1019" ca="1" si="453">_xlfn.BITXOR(K985,S1012)</f>
        <v>1</v>
      </c>
      <c r="L1019" s="12">
        <f t="shared" ref="L1019" ca="1" si="454">_xlfn.BITXOR(L985,T1012)</f>
        <v>0</v>
      </c>
      <c r="M1019" s="12">
        <f t="shared" ref="M1019" ca="1" si="455">_xlfn.BITXOR(M985,U1012)</f>
        <v>0</v>
      </c>
      <c r="N1019" s="12">
        <f t="shared" ref="N1019" ca="1" si="456">_xlfn.BITXOR(N985,V1012)</f>
        <v>0</v>
      </c>
      <c r="O1019" s="12">
        <f t="shared" ref="O1019" ca="1" si="457">_xlfn.BITXOR(O985,W1012)</f>
        <v>1</v>
      </c>
      <c r="P1019" s="12">
        <f t="shared" ref="P1019" ca="1" si="458">_xlfn.BITXOR(P985,X1012)</f>
        <v>1</v>
      </c>
      <c r="Q1019" s="12">
        <f t="shared" ref="Q1019" ca="1" si="459">_xlfn.BITXOR(Q985,Y1012)</f>
        <v>0</v>
      </c>
      <c r="R1019" s="12">
        <f t="shared" ref="R1019" ca="1" si="460">_xlfn.BITXOR(R985,Z1012)</f>
        <v>1</v>
      </c>
      <c r="S1019" s="12">
        <f t="shared" ref="S1019" ca="1" si="461">_xlfn.BITXOR(S985,AA1012)</f>
        <v>1</v>
      </c>
      <c r="T1019" s="12">
        <f t="shared" ref="T1019" ca="1" si="462">_xlfn.BITXOR(T985,AB1012)</f>
        <v>0</v>
      </c>
      <c r="U1019" s="12">
        <f t="shared" ref="U1019" ca="1" si="463">_xlfn.BITXOR(U985,AC1012)</f>
        <v>1</v>
      </c>
      <c r="V1019" s="12">
        <f t="shared" ref="V1019" ca="1" si="464">_xlfn.BITXOR(V985,AD1012)</f>
        <v>1</v>
      </c>
      <c r="W1019" s="12">
        <f t="shared" ref="W1019" ca="1" si="465">_xlfn.BITXOR(W985,AE1012)</f>
        <v>0</v>
      </c>
      <c r="X1019" s="12">
        <f t="shared" ref="X1019" ca="1" si="466">_xlfn.BITXOR(X985,AF1012)</f>
        <v>1</v>
      </c>
      <c r="Y1019" s="12">
        <f t="shared" ref="Y1019" ca="1" si="467">_xlfn.BITXOR(Y985,AG1012)</f>
        <v>1</v>
      </c>
      <c r="Z1019" s="12">
        <f t="shared" ref="Z1019" ca="1" si="468">_xlfn.BITXOR(Z985,AH1012)</f>
        <v>1</v>
      </c>
      <c r="AA1019" s="12">
        <f t="shared" ref="AA1019" ca="1" si="469">_xlfn.BITXOR(AA985,AI1012)</f>
        <v>0</v>
      </c>
      <c r="AB1019" s="12">
        <f t="shared" ref="AB1019" ca="1" si="470">_xlfn.BITXOR(AB985,AJ1012)</f>
        <v>1</v>
      </c>
      <c r="AC1019" s="12">
        <f t="shared" ref="AC1019" ca="1" si="471">_xlfn.BITXOR(AC985,AK1012)</f>
        <v>1</v>
      </c>
      <c r="AD1019" s="12">
        <f t="shared" ref="AD1019" ca="1" si="472">_xlfn.BITXOR(AD985,AL1012)</f>
        <v>0</v>
      </c>
      <c r="AE1019" s="12">
        <f t="shared" ref="AE1019" ca="1" si="473">_xlfn.BITXOR(AE985,AM1012)</f>
        <v>1</v>
      </c>
      <c r="AF1019" s="12">
        <f t="shared" ref="AF1019" ca="1" si="474">_xlfn.BITXOR(AF985,AN1012)</f>
        <v>1</v>
      </c>
      <c r="AG1019" s="12">
        <f t="shared" ref="AG1019" ca="1" si="475">_xlfn.BITXOR(AG985,AO1012)</f>
        <v>1</v>
      </c>
    </row>
    <row r="1021" spans="1:41">
      <c r="A1021" s="21" t="s">
        <v>270</v>
      </c>
    </row>
    <row r="1022" spans="1:41">
      <c r="A1022" s="5" t="s">
        <v>271</v>
      </c>
      <c r="B1022" s="12" cm="1">
        <f t="array" aca="1" ref="B1022" ca="1">INDEX($B$1019:$AG$1019, T25)</f>
        <v>1</v>
      </c>
      <c r="C1022" s="12" cm="1">
        <f t="array" aca="1" ref="C1022" ca="1">INDEX($B$1019:$AG$1019, U25)</f>
        <v>0</v>
      </c>
      <c r="D1022" s="12" cm="1">
        <f t="array" aca="1" ref="D1022" ca="1">INDEX($B$1019:$AG$1019, V25)</f>
        <v>1</v>
      </c>
      <c r="E1022" s="12" cm="1">
        <f t="array" aca="1" ref="E1022" ca="1">INDEX($B$1019:$AG$1019, W25)</f>
        <v>1</v>
      </c>
      <c r="F1022" s="12" cm="1">
        <f t="array" aca="1" ref="F1022" ca="1">INDEX($B$1019:$AG$1019, X25)</f>
        <v>0</v>
      </c>
      <c r="G1022" s="12" cm="1">
        <f t="array" aca="1" ref="G1022" ca="1">INDEX($B$1019:$AG$1019, Y25)</f>
        <v>1</v>
      </c>
    </row>
    <row r="1023" spans="1:41">
      <c r="B1023" s="12" cm="1">
        <f t="array" aca="1" ref="B1023" ca="1">INDEX($B$1019:$AG$1019, T26)</f>
        <v>0</v>
      </c>
      <c r="C1023" s="12" cm="1">
        <f t="array" aca="1" ref="C1023" ca="1">INDEX($B$1019:$AG$1019, U26)</f>
        <v>1</v>
      </c>
      <c r="D1023" s="12" cm="1">
        <f t="array" aca="1" ref="D1023" ca="1">INDEX($B$1019:$AG$1019, V26)</f>
        <v>1</v>
      </c>
      <c r="E1023" s="12" cm="1">
        <f t="array" aca="1" ref="E1023" ca="1">INDEX($B$1019:$AG$1019, W26)</f>
        <v>1</v>
      </c>
      <c r="F1023" s="12" cm="1">
        <f t="array" aca="1" ref="F1023" ca="1">INDEX($B$1019:$AG$1019, X26)</f>
        <v>0</v>
      </c>
      <c r="G1023" s="12" cm="1">
        <f t="array" aca="1" ref="G1023" ca="1">INDEX($B$1019:$AG$1019, Y26)</f>
        <v>0</v>
      </c>
    </row>
    <row r="1024" spans="1:41">
      <c r="B1024" s="12" cm="1">
        <f t="array" aca="1" ref="B1024" ca="1">INDEX($B$1019:$AG$1019, T27)</f>
        <v>0</v>
      </c>
      <c r="C1024" s="12" cm="1">
        <f t="array" aca="1" ref="C1024" ca="1">INDEX($B$1019:$AG$1019, U27)</f>
        <v>0</v>
      </c>
      <c r="D1024" s="12" cm="1">
        <f t="array" aca="1" ref="D1024" ca="1">INDEX($B$1019:$AG$1019, V27)</f>
        <v>1</v>
      </c>
      <c r="E1024" s="12" cm="1">
        <f t="array" aca="1" ref="E1024" ca="1">INDEX($B$1019:$AG$1019, W27)</f>
        <v>0</v>
      </c>
      <c r="F1024" s="12" cm="1">
        <f t="array" aca="1" ref="F1024" ca="1">INDEX($B$1019:$AG$1019, X27)</f>
        <v>0</v>
      </c>
      <c r="G1024" s="12" cm="1">
        <f t="array" aca="1" ref="G1024" ca="1">INDEX($B$1019:$AG$1019, Y27)</f>
        <v>0</v>
      </c>
    </row>
    <row r="1025" spans="1:49">
      <c r="B1025" s="12" cm="1">
        <f t="array" aca="1" ref="B1025" ca="1">INDEX($B$1019:$AG$1019, T28)</f>
        <v>0</v>
      </c>
      <c r="C1025" s="12" cm="1">
        <f t="array" aca="1" ref="C1025" ca="1">INDEX($B$1019:$AG$1019, U28)</f>
        <v>0</v>
      </c>
      <c r="D1025" s="12" cm="1">
        <f t="array" aca="1" ref="D1025" ca="1">INDEX($B$1019:$AG$1019, V28)</f>
        <v>1</v>
      </c>
      <c r="E1025" s="12" cm="1">
        <f t="array" aca="1" ref="E1025" ca="1">INDEX($B$1019:$AG$1019, W28)</f>
        <v>1</v>
      </c>
      <c r="F1025" s="12" cm="1">
        <f t="array" aca="1" ref="F1025" ca="1">INDEX($B$1019:$AG$1019, X28)</f>
        <v>0</v>
      </c>
      <c r="G1025" s="12" cm="1">
        <f t="array" aca="1" ref="G1025" ca="1">INDEX($B$1019:$AG$1019, Y28)</f>
        <v>1</v>
      </c>
    </row>
    <row r="1026" spans="1:49">
      <c r="B1026" s="12" cm="1">
        <f t="array" aca="1" ref="B1026" ca="1">INDEX($B$1019:$AG$1019, T29)</f>
        <v>0</v>
      </c>
      <c r="C1026" s="12" cm="1">
        <f t="array" aca="1" ref="C1026" ca="1">INDEX($B$1019:$AG$1019, U29)</f>
        <v>1</v>
      </c>
      <c r="D1026" s="12" cm="1">
        <f t="array" aca="1" ref="D1026" ca="1">INDEX($B$1019:$AG$1019, V29)</f>
        <v>1</v>
      </c>
      <c r="E1026" s="12" cm="1">
        <f t="array" aca="1" ref="E1026" ca="1">INDEX($B$1019:$AG$1019, W29)</f>
        <v>0</v>
      </c>
      <c r="F1026" s="12" cm="1">
        <f t="array" aca="1" ref="F1026" ca="1">INDEX($B$1019:$AG$1019, X29)</f>
        <v>1</v>
      </c>
      <c r="G1026" s="12" cm="1">
        <f t="array" aca="1" ref="G1026" ca="1">INDEX($B$1019:$AG$1019, Y29)</f>
        <v>1</v>
      </c>
    </row>
    <row r="1027" spans="1:49">
      <c r="B1027" s="12" cm="1">
        <f t="array" aca="1" ref="B1027" ca="1">INDEX($B$1019:$AG$1019, T30)</f>
        <v>1</v>
      </c>
      <c r="C1027" s="12" cm="1">
        <f t="array" aca="1" ref="C1027" ca="1">INDEX($B$1019:$AG$1019, U30)</f>
        <v>1</v>
      </c>
      <c r="D1027" s="12" cm="1">
        <f t="array" aca="1" ref="D1027" ca="1">INDEX($B$1019:$AG$1019, V30)</f>
        <v>0</v>
      </c>
      <c r="E1027" s="12" cm="1">
        <f t="array" aca="1" ref="E1027" ca="1">INDEX($B$1019:$AG$1019, W30)</f>
        <v>1</v>
      </c>
      <c r="F1027" s="12" cm="1">
        <f t="array" aca="1" ref="F1027" ca="1">INDEX($B$1019:$AG$1019, X30)</f>
        <v>1</v>
      </c>
      <c r="G1027" s="12" cm="1">
        <f t="array" aca="1" ref="G1027" ca="1">INDEX($B$1019:$AG$1019, Y30)</f>
        <v>1</v>
      </c>
    </row>
    <row r="1028" spans="1:49">
      <c r="B1028" s="12" cm="1">
        <f t="array" aca="1" ref="B1028" ca="1">INDEX($B$1019:$AG$1019, T31)</f>
        <v>1</v>
      </c>
      <c r="C1028" s="12" cm="1">
        <f t="array" aca="1" ref="C1028" ca="1">INDEX($B$1019:$AG$1019, U31)</f>
        <v>1</v>
      </c>
      <c r="D1028" s="12" cm="1">
        <f t="array" aca="1" ref="D1028" ca="1">INDEX($B$1019:$AG$1019, V31)</f>
        <v>0</v>
      </c>
      <c r="E1028" s="12" cm="1">
        <f t="array" aca="1" ref="E1028" ca="1">INDEX($B$1019:$AG$1019, W31)</f>
        <v>1</v>
      </c>
      <c r="F1028" s="12" cm="1">
        <f t="array" aca="1" ref="F1028" ca="1">INDEX($B$1019:$AG$1019, X31)</f>
        <v>1</v>
      </c>
      <c r="G1028" s="12" cm="1">
        <f t="array" aca="1" ref="G1028" ca="1">INDEX($B$1019:$AG$1019, Y31)</f>
        <v>0</v>
      </c>
    </row>
    <row r="1029" spans="1:49">
      <c r="B1029" s="12" cm="1">
        <f t="array" aca="1" ref="B1029" ca="1">INDEX($B$1019:$AG$1019, T32)</f>
        <v>1</v>
      </c>
      <c r="C1029" s="12" cm="1">
        <f t="array" aca="1" ref="C1029" ca="1">INDEX($B$1019:$AG$1019, U32)</f>
        <v>0</v>
      </c>
      <c r="D1029" s="12" cm="1">
        <f t="array" aca="1" ref="D1029" ca="1">INDEX($B$1019:$AG$1019, V32)</f>
        <v>1</v>
      </c>
      <c r="E1029" s="12" cm="1">
        <f t="array" aca="1" ref="E1029" ca="1">INDEX($B$1019:$AG$1019, W32)</f>
        <v>1</v>
      </c>
      <c r="F1029" s="12" cm="1">
        <f t="array" aca="1" ref="F1029" ca="1">INDEX($B$1019:$AG$1019, X32)</f>
        <v>1</v>
      </c>
      <c r="G1029" s="12" cm="1">
        <f t="array" aca="1" ref="G1029" ca="1">INDEX($B$1019:$AG$1019, Y32)</f>
        <v>0</v>
      </c>
    </row>
    <row r="1031" spans="1:49">
      <c r="A1031" s="12" t="s">
        <v>3</v>
      </c>
      <c r="B1031" s="12">
        <v>1</v>
      </c>
      <c r="C1031" s="12">
        <v>2</v>
      </c>
      <c r="D1031" s="12">
        <v>3</v>
      </c>
      <c r="E1031" s="12">
        <v>4</v>
      </c>
      <c r="F1031" s="12">
        <v>5</v>
      </c>
      <c r="G1031" s="12">
        <v>6</v>
      </c>
      <c r="H1031" s="12">
        <v>7</v>
      </c>
      <c r="I1031" s="12">
        <v>8</v>
      </c>
      <c r="J1031" s="12">
        <v>9</v>
      </c>
      <c r="K1031" s="12">
        <v>10</v>
      </c>
      <c r="L1031" s="12">
        <v>11</v>
      </c>
      <c r="M1031" s="12">
        <v>12</v>
      </c>
      <c r="N1031" s="12">
        <v>13</v>
      </c>
      <c r="O1031" s="12">
        <v>14</v>
      </c>
      <c r="P1031" s="12">
        <v>15</v>
      </c>
      <c r="Q1031" s="12">
        <v>16</v>
      </c>
      <c r="R1031" s="12">
        <v>17</v>
      </c>
      <c r="S1031" s="12">
        <v>18</v>
      </c>
      <c r="T1031" s="12">
        <v>19</v>
      </c>
      <c r="U1031" s="12">
        <v>20</v>
      </c>
      <c r="V1031" s="12">
        <v>21</v>
      </c>
      <c r="W1031" s="12">
        <v>22</v>
      </c>
      <c r="X1031" s="12">
        <v>23</v>
      </c>
      <c r="Y1031" s="12">
        <v>24</v>
      </c>
      <c r="Z1031" s="12">
        <v>25</v>
      </c>
      <c r="AA1031" s="12">
        <v>26</v>
      </c>
      <c r="AB1031" s="12">
        <v>27</v>
      </c>
      <c r="AC1031" s="12">
        <v>28</v>
      </c>
      <c r="AD1031" s="12">
        <v>29</v>
      </c>
      <c r="AE1031" s="12">
        <v>30</v>
      </c>
      <c r="AF1031" s="12">
        <v>31</v>
      </c>
      <c r="AG1031" s="12">
        <v>32</v>
      </c>
      <c r="AH1031" s="12">
        <v>33</v>
      </c>
      <c r="AI1031" s="12">
        <v>34</v>
      </c>
      <c r="AJ1031" s="12">
        <v>35</v>
      </c>
      <c r="AK1031" s="12">
        <v>36</v>
      </c>
      <c r="AL1031" s="12">
        <v>37</v>
      </c>
      <c r="AM1031" s="12">
        <v>38</v>
      </c>
      <c r="AN1031" s="12">
        <v>39</v>
      </c>
      <c r="AO1031" s="12">
        <v>40</v>
      </c>
      <c r="AP1031" s="12">
        <v>41</v>
      </c>
      <c r="AQ1031" s="12">
        <v>42</v>
      </c>
      <c r="AR1031" s="12">
        <v>43</v>
      </c>
      <c r="AS1031" s="12">
        <v>44</v>
      </c>
      <c r="AT1031" s="12">
        <v>45</v>
      </c>
      <c r="AU1031" s="12">
        <v>46</v>
      </c>
      <c r="AV1031" s="12">
        <v>47</v>
      </c>
      <c r="AW1031" s="12">
        <v>48</v>
      </c>
    </row>
    <row r="1032" spans="1:49">
      <c r="A1032" s="7" t="s">
        <v>271</v>
      </c>
      <c r="B1032" s="16" cm="1">
        <f t="array" aca="1" ref="B1032" ca="1">INDEX($B$1022:$G1029, INT((COLUMN(A888)-1)/6)+1, MOD(COLUMN(A888)-1,6)+1)</f>
        <v>1</v>
      </c>
      <c r="C1032" s="16" cm="1">
        <f t="array" aca="1" ref="C1032" ca="1">INDEX($B$1022:$G1029, INT((COLUMN(B888)-1)/6)+1, MOD(COLUMN(B888)-1,6)+1)</f>
        <v>0</v>
      </c>
      <c r="D1032" s="16" cm="1">
        <f t="array" aca="1" ref="D1032" ca="1">INDEX($B$1022:$G1029, INT((COLUMN(C888)-1)/6)+1, MOD(COLUMN(C888)-1,6)+1)</f>
        <v>1</v>
      </c>
      <c r="E1032" s="16" cm="1">
        <f t="array" aca="1" ref="E1032" ca="1">INDEX($B$1022:$G1029, INT((COLUMN(D888)-1)/6)+1, MOD(COLUMN(D888)-1,6)+1)</f>
        <v>1</v>
      </c>
      <c r="F1032" s="16" cm="1">
        <f t="array" aca="1" ref="F1032" ca="1">INDEX($B$1022:$G1029, INT((COLUMN(E888)-1)/6)+1, MOD(COLUMN(E888)-1,6)+1)</f>
        <v>0</v>
      </c>
      <c r="G1032" s="16" cm="1">
        <f t="array" aca="1" ref="G1032" ca="1">INDEX($B$1022:$G1029, INT((COLUMN(F888)-1)/6)+1, MOD(COLUMN(F888)-1,6)+1)</f>
        <v>1</v>
      </c>
      <c r="H1032" s="16" cm="1">
        <f t="array" aca="1" ref="H1032" ca="1">INDEX($B$1022:$G1029, INT((COLUMN(G888)-1)/6)+1, MOD(COLUMN(G888)-1,6)+1)</f>
        <v>0</v>
      </c>
      <c r="I1032" s="16" cm="1">
        <f t="array" aca="1" ref="I1032" ca="1">INDEX($B$1022:$G1029, INT((COLUMN(H888)-1)/6)+1, MOD(COLUMN(H888)-1,6)+1)</f>
        <v>1</v>
      </c>
      <c r="J1032" s="16" cm="1">
        <f t="array" aca="1" ref="J1032" ca="1">INDEX($B$1022:$G1029, INT((COLUMN(I888)-1)/6)+1, MOD(COLUMN(I888)-1,6)+1)</f>
        <v>1</v>
      </c>
      <c r="K1032" s="16" cm="1">
        <f t="array" aca="1" ref="K1032" ca="1">INDEX($B$1022:$G1029, INT((COLUMN(J888)-1)/6)+1, MOD(COLUMN(J888)-1,6)+1)</f>
        <v>1</v>
      </c>
      <c r="L1032" s="16" cm="1">
        <f t="array" aca="1" ref="L1032" ca="1">INDEX($B$1022:$G1029, INT((COLUMN(K888)-1)/6)+1, MOD(COLUMN(K888)-1,6)+1)</f>
        <v>0</v>
      </c>
      <c r="M1032" s="16" cm="1">
        <f t="array" aca="1" ref="M1032" ca="1">INDEX($B$1022:$G1029, INT((COLUMN(L888)-1)/6)+1, MOD(COLUMN(L888)-1,6)+1)</f>
        <v>0</v>
      </c>
      <c r="N1032" s="16" cm="1">
        <f t="array" aca="1" ref="N1032" ca="1">INDEX($B$1022:$G1029, INT((COLUMN(M888)-1)/6)+1, MOD(COLUMN(M888)-1,6)+1)</f>
        <v>0</v>
      </c>
      <c r="O1032" s="16" cm="1">
        <f t="array" aca="1" ref="O1032" ca="1">INDEX($B$1022:$G1029, INT((COLUMN(N888)-1)/6)+1, MOD(COLUMN(N888)-1,6)+1)</f>
        <v>0</v>
      </c>
      <c r="P1032" s="16" cm="1">
        <f t="array" aca="1" ref="P1032" ca="1">INDEX($B$1022:$G1029, INT((COLUMN(O888)-1)/6)+1, MOD(COLUMN(O888)-1,6)+1)</f>
        <v>1</v>
      </c>
      <c r="Q1032" s="16" cm="1">
        <f t="array" aca="1" ref="Q1032" ca="1">INDEX($B$1022:$G1029, INT((COLUMN(P888)-1)/6)+1, MOD(COLUMN(P888)-1,6)+1)</f>
        <v>0</v>
      </c>
      <c r="R1032" s="16" cm="1">
        <f t="array" aca="1" ref="R1032" ca="1">INDEX($B$1022:$G1029, INT((COLUMN(Q888)-1)/6)+1, MOD(COLUMN(Q888)-1,6)+1)</f>
        <v>0</v>
      </c>
      <c r="S1032" s="16" cm="1">
        <f t="array" aca="1" ref="S1032" ca="1">INDEX($B$1022:$G1029, INT((COLUMN(R888)-1)/6)+1, MOD(COLUMN(R888)-1,6)+1)</f>
        <v>0</v>
      </c>
      <c r="T1032" s="16" cm="1">
        <f t="array" aca="1" ref="T1032" ca="1">INDEX($B$1022:$G1029, INT((COLUMN(S888)-1)/6)+1, MOD(COLUMN(S888)-1,6)+1)</f>
        <v>0</v>
      </c>
      <c r="U1032" s="16" cm="1">
        <f t="array" aca="1" ref="U1032" ca="1">INDEX($B$1022:$G1029, INT((COLUMN(T888)-1)/6)+1, MOD(COLUMN(T888)-1,6)+1)</f>
        <v>0</v>
      </c>
      <c r="V1032" s="16" cm="1">
        <f t="array" aca="1" ref="V1032" ca="1">INDEX($B$1022:$G1029, INT((COLUMN(U888)-1)/6)+1, MOD(COLUMN(U888)-1,6)+1)</f>
        <v>1</v>
      </c>
      <c r="W1032" s="16" cm="1">
        <f t="array" aca="1" ref="W1032" ca="1">INDEX($B$1022:$G1029, INT((COLUMN(V888)-1)/6)+1, MOD(COLUMN(V888)-1,6)+1)</f>
        <v>1</v>
      </c>
      <c r="X1032" s="16" cm="1">
        <f t="array" aca="1" ref="X1032" ca="1">INDEX($B$1022:$G1029, INT((COLUMN(W888)-1)/6)+1, MOD(COLUMN(W888)-1,6)+1)</f>
        <v>0</v>
      </c>
      <c r="Y1032" s="16" cm="1">
        <f t="array" aca="1" ref="Y1032" ca="1">INDEX($B$1022:$G1029, INT((COLUMN(X888)-1)/6)+1, MOD(COLUMN(X888)-1,6)+1)</f>
        <v>1</v>
      </c>
      <c r="Z1032" s="16" cm="1">
        <f t="array" aca="1" ref="Z1032" ca="1">INDEX($B$1022:$G1029, INT((COLUMN(Y888)-1)/6)+1, MOD(COLUMN(Y888)-1,6)+1)</f>
        <v>0</v>
      </c>
      <c r="AA1032" s="16" cm="1">
        <f t="array" aca="1" ref="AA1032" ca="1">INDEX($B$1022:$G1029, INT((COLUMN(Z888)-1)/6)+1, MOD(COLUMN(Z888)-1,6)+1)</f>
        <v>1</v>
      </c>
      <c r="AB1032" s="16" cm="1">
        <f t="array" aca="1" ref="AB1032" ca="1">INDEX($B$1022:$G1029, INT((COLUMN(AA888)-1)/6)+1, MOD(COLUMN(AA888)-1,6)+1)</f>
        <v>1</v>
      </c>
      <c r="AC1032" s="16" cm="1">
        <f t="array" aca="1" ref="AC1032" ca="1">INDEX($B$1022:$G1029, INT((COLUMN(AB888)-1)/6)+1, MOD(COLUMN(AB888)-1,6)+1)</f>
        <v>0</v>
      </c>
      <c r="AD1032" s="16" cm="1">
        <f t="array" aca="1" ref="AD1032" ca="1">INDEX($B$1022:$G1029, INT((COLUMN(AC888)-1)/6)+1, MOD(COLUMN(AC888)-1,6)+1)</f>
        <v>1</v>
      </c>
      <c r="AE1032" s="16" cm="1">
        <f t="array" aca="1" ref="AE1032" ca="1">INDEX($B$1022:$G1029, INT((COLUMN(AD888)-1)/6)+1, MOD(COLUMN(AD888)-1,6)+1)</f>
        <v>1</v>
      </c>
      <c r="AF1032" s="16" cm="1">
        <f t="array" aca="1" ref="AF1032" ca="1">INDEX($B$1022:$G1029, INT((COLUMN(AE888)-1)/6)+1, MOD(COLUMN(AE888)-1,6)+1)</f>
        <v>1</v>
      </c>
      <c r="AG1032" s="16" cm="1">
        <f t="array" aca="1" ref="AG1032" ca="1">INDEX($B$1022:$G1029, INT((COLUMN(AF888)-1)/6)+1, MOD(COLUMN(AF888)-1,6)+1)</f>
        <v>1</v>
      </c>
      <c r="AH1032" s="16" cm="1">
        <f t="array" aca="1" ref="AH1032" ca="1">INDEX($B$1022:$G1029, INT((COLUMN(AG888)-1)/6)+1, MOD(COLUMN(AG888)-1,6)+1)</f>
        <v>0</v>
      </c>
      <c r="AI1032" s="16" cm="1">
        <f t="array" aca="1" ref="AI1032" ca="1">INDEX($B$1022:$G1029, INT((COLUMN(AH888)-1)/6)+1, MOD(COLUMN(AH888)-1,6)+1)</f>
        <v>1</v>
      </c>
      <c r="AJ1032" s="16" cm="1">
        <f t="array" aca="1" ref="AJ1032" ca="1">INDEX($B$1022:$G1029, INT((COLUMN(AI888)-1)/6)+1, MOD(COLUMN(AI888)-1,6)+1)</f>
        <v>1</v>
      </c>
      <c r="AK1032" s="16" cm="1">
        <f t="array" aca="1" ref="AK1032" ca="1">INDEX($B$1022:$G1029, INT((COLUMN(AJ888)-1)/6)+1, MOD(COLUMN(AJ888)-1,6)+1)</f>
        <v>1</v>
      </c>
      <c r="AL1032" s="16" cm="1">
        <f t="array" aca="1" ref="AL1032" ca="1">INDEX($B$1022:$G1029, INT((COLUMN(AK888)-1)/6)+1, MOD(COLUMN(AK888)-1,6)+1)</f>
        <v>1</v>
      </c>
      <c r="AM1032" s="16" cm="1">
        <f t="array" aca="1" ref="AM1032" ca="1">INDEX($B$1022:$G1029, INT((COLUMN(AL888)-1)/6)+1, MOD(COLUMN(AL888)-1,6)+1)</f>
        <v>1</v>
      </c>
      <c r="AN1032" s="16" cm="1">
        <f t="array" aca="1" ref="AN1032" ca="1">INDEX($B$1022:$G1029, INT((COLUMN(AM888)-1)/6)+1, MOD(COLUMN(AM888)-1,6)+1)</f>
        <v>0</v>
      </c>
      <c r="AO1032" s="16" cm="1">
        <f t="array" aca="1" ref="AO1032" ca="1">INDEX($B$1022:$G1029, INT((COLUMN(AN888)-1)/6)+1, MOD(COLUMN(AN888)-1,6)+1)</f>
        <v>1</v>
      </c>
      <c r="AP1032" s="16" cm="1">
        <f t="array" aca="1" ref="AP1032" ca="1">INDEX($B$1022:$G1029, INT((COLUMN(AO888)-1)/6)+1, MOD(COLUMN(AO888)-1,6)+1)</f>
        <v>1</v>
      </c>
      <c r="AQ1032" s="16" cm="1">
        <f t="array" aca="1" ref="AQ1032" ca="1">INDEX($B$1022:$G1029, INT((COLUMN(AP888)-1)/6)+1, MOD(COLUMN(AP888)-1,6)+1)</f>
        <v>0</v>
      </c>
      <c r="AR1032" s="16" cm="1">
        <f t="array" aca="1" ref="AR1032" ca="1">INDEX($B$1022:$G1029, INT((COLUMN(AQ888)-1)/6)+1, MOD(COLUMN(AQ888)-1,6)+1)</f>
        <v>1</v>
      </c>
      <c r="AS1032" s="16" cm="1">
        <f t="array" aca="1" ref="AS1032" ca="1">INDEX($B$1022:$G1029, INT((COLUMN(AR888)-1)/6)+1, MOD(COLUMN(AR888)-1,6)+1)</f>
        <v>0</v>
      </c>
      <c r="AT1032" s="16" cm="1">
        <f t="array" aca="1" ref="AT1032" ca="1">INDEX($B$1022:$G1029, INT((COLUMN(AS888)-1)/6)+1, MOD(COLUMN(AS888)-1,6)+1)</f>
        <v>1</v>
      </c>
      <c r="AU1032" s="16" cm="1">
        <f t="array" aca="1" ref="AU1032" ca="1">INDEX($B$1022:$G1029, INT((COLUMN(AT888)-1)/6)+1, MOD(COLUMN(AT888)-1,6)+1)</f>
        <v>1</v>
      </c>
      <c r="AV1032" s="16" cm="1">
        <f t="array" aca="1" ref="AV1032" ca="1">INDEX($B$1022:$G1029, INT((COLUMN(AU888)-1)/6)+1, MOD(COLUMN(AU888)-1,6)+1)</f>
        <v>1</v>
      </c>
      <c r="AW1032" s="16" cm="1">
        <f t="array" aca="1" ref="AW1032" ca="1">INDEX($B$1022:$G1029, INT((COLUMN(AV888)-1)/6)+1, MOD(COLUMN(AV888)-1,6)+1)</f>
        <v>0</v>
      </c>
    </row>
    <row r="1033" spans="1:49">
      <c r="A1033" s="19"/>
    </row>
    <row r="1034" spans="1:49">
      <c r="A1034" s="12" t="s">
        <v>3</v>
      </c>
      <c r="B1034" s="12">
        <v>1</v>
      </c>
      <c r="C1034" s="12">
        <v>2</v>
      </c>
      <c r="D1034" s="12">
        <v>3</v>
      </c>
      <c r="E1034" s="12">
        <v>4</v>
      </c>
      <c r="F1034" s="12">
        <v>5</v>
      </c>
      <c r="G1034" s="12">
        <v>6</v>
      </c>
      <c r="H1034" s="12">
        <v>7</v>
      </c>
      <c r="I1034" s="12">
        <v>8</v>
      </c>
      <c r="J1034" s="12">
        <v>9</v>
      </c>
      <c r="K1034" s="12">
        <v>10</v>
      </c>
      <c r="L1034" s="12">
        <v>11</v>
      </c>
      <c r="M1034" s="12">
        <v>12</v>
      </c>
      <c r="N1034" s="12">
        <v>13</v>
      </c>
      <c r="O1034" s="12">
        <v>14</v>
      </c>
      <c r="P1034" s="12">
        <v>15</v>
      </c>
      <c r="Q1034" s="12">
        <v>16</v>
      </c>
      <c r="R1034" s="12">
        <v>17</v>
      </c>
      <c r="S1034" s="12">
        <v>18</v>
      </c>
      <c r="T1034" s="12">
        <v>19</v>
      </c>
      <c r="U1034" s="12">
        <v>20</v>
      </c>
      <c r="V1034" s="12">
        <v>21</v>
      </c>
      <c r="W1034" s="12">
        <v>22</v>
      </c>
      <c r="X1034" s="12">
        <v>23</v>
      </c>
      <c r="Y1034" s="12">
        <v>24</v>
      </c>
      <c r="Z1034" s="12">
        <v>25</v>
      </c>
      <c r="AA1034" s="12">
        <v>26</v>
      </c>
      <c r="AB1034" s="12">
        <v>27</v>
      </c>
      <c r="AC1034" s="12">
        <v>28</v>
      </c>
      <c r="AD1034" s="12">
        <v>29</v>
      </c>
      <c r="AE1034" s="12">
        <v>30</v>
      </c>
      <c r="AF1034" s="12">
        <v>31</v>
      </c>
      <c r="AG1034" s="12">
        <v>32</v>
      </c>
      <c r="AH1034" s="12">
        <v>33</v>
      </c>
      <c r="AI1034" s="12">
        <v>34</v>
      </c>
      <c r="AJ1034" s="12">
        <v>35</v>
      </c>
      <c r="AK1034" s="12">
        <v>36</v>
      </c>
      <c r="AL1034" s="12">
        <v>37</v>
      </c>
      <c r="AM1034" s="12">
        <v>38</v>
      </c>
      <c r="AN1034" s="12">
        <v>39</v>
      </c>
      <c r="AO1034" s="12">
        <v>40</v>
      </c>
      <c r="AP1034" s="12">
        <v>41</v>
      </c>
      <c r="AQ1034" s="12">
        <v>42</v>
      </c>
      <c r="AR1034" s="12">
        <v>43</v>
      </c>
      <c r="AS1034" s="12">
        <v>44</v>
      </c>
      <c r="AT1034" s="12">
        <v>45</v>
      </c>
      <c r="AU1034" s="12">
        <v>46</v>
      </c>
      <c r="AV1034" s="12">
        <v>47</v>
      </c>
      <c r="AW1034" s="12">
        <v>48</v>
      </c>
    </row>
    <row r="1035" spans="1:49">
      <c r="A1035" s="7" t="s">
        <v>272</v>
      </c>
      <c r="B1035" s="16">
        <f ca="1">_xlfn.BITXOR(B1032, B518)</f>
        <v>0</v>
      </c>
      <c r="C1035" s="16">
        <f t="shared" ref="C1035:AW1035" ca="1" si="476">_xlfn.BITXOR(C1032, C518)</f>
        <v>1</v>
      </c>
      <c r="D1035" s="16">
        <f t="shared" ca="1" si="476"/>
        <v>1</v>
      </c>
      <c r="E1035" s="16">
        <f t="shared" ca="1" si="476"/>
        <v>1</v>
      </c>
      <c r="F1035" s="16">
        <f t="shared" ca="1" si="476"/>
        <v>1</v>
      </c>
      <c r="G1035" s="16">
        <f t="shared" ca="1" si="476"/>
        <v>1</v>
      </c>
      <c r="H1035" s="16">
        <f t="shared" ca="1" si="476"/>
        <v>1</v>
      </c>
      <c r="I1035" s="16">
        <f t="shared" ca="1" si="476"/>
        <v>0</v>
      </c>
      <c r="J1035" s="16">
        <f t="shared" ca="1" si="476"/>
        <v>1</v>
      </c>
      <c r="K1035" s="16">
        <f t="shared" ca="1" si="476"/>
        <v>1</v>
      </c>
      <c r="L1035" s="16">
        <f t="shared" ca="1" si="476"/>
        <v>1</v>
      </c>
      <c r="M1035" s="16">
        <f t="shared" ca="1" si="476"/>
        <v>1</v>
      </c>
      <c r="N1035" s="16">
        <f t="shared" ca="1" si="476"/>
        <v>1</v>
      </c>
      <c r="O1035" s="16">
        <f t="shared" ca="1" si="476"/>
        <v>1</v>
      </c>
      <c r="P1035" s="16">
        <f t="shared" ca="1" si="476"/>
        <v>1</v>
      </c>
      <c r="Q1035" s="16">
        <f t="shared" ca="1" si="476"/>
        <v>1</v>
      </c>
      <c r="R1035" s="16">
        <f t="shared" ca="1" si="476"/>
        <v>0</v>
      </c>
      <c r="S1035" s="16">
        <f t="shared" ca="1" si="476"/>
        <v>0</v>
      </c>
      <c r="T1035" s="16">
        <f t="shared" ca="1" si="476"/>
        <v>0</v>
      </c>
      <c r="U1035" s="16">
        <f t="shared" ca="1" si="476"/>
        <v>0</v>
      </c>
      <c r="V1035" s="16">
        <f t="shared" ca="1" si="476"/>
        <v>0</v>
      </c>
      <c r="W1035" s="16">
        <f t="shared" ca="1" si="476"/>
        <v>1</v>
      </c>
      <c r="X1035" s="16">
        <f t="shared" ca="1" si="476"/>
        <v>1</v>
      </c>
      <c r="Y1035" s="16">
        <f t="shared" ca="1" si="476"/>
        <v>0</v>
      </c>
      <c r="Z1035" s="16">
        <f t="shared" ca="1" si="476"/>
        <v>1</v>
      </c>
      <c r="AA1035" s="16">
        <f t="shared" ca="1" si="476"/>
        <v>1</v>
      </c>
      <c r="AB1035" s="16">
        <f t="shared" ca="1" si="476"/>
        <v>0</v>
      </c>
      <c r="AC1035" s="16">
        <f t="shared" ca="1" si="476"/>
        <v>1</v>
      </c>
      <c r="AD1035" s="16">
        <f t="shared" ca="1" si="476"/>
        <v>0</v>
      </c>
      <c r="AE1035" s="16">
        <f t="shared" ca="1" si="476"/>
        <v>0</v>
      </c>
      <c r="AF1035" s="16">
        <f t="shared" ca="1" si="476"/>
        <v>1</v>
      </c>
      <c r="AG1035" s="16">
        <f t="shared" ca="1" si="476"/>
        <v>1</v>
      </c>
      <c r="AH1035" s="16">
        <f t="shared" ca="1" si="476"/>
        <v>0</v>
      </c>
      <c r="AI1035" s="16">
        <f t="shared" ca="1" si="476"/>
        <v>0</v>
      </c>
      <c r="AJ1035" s="16">
        <f t="shared" ca="1" si="476"/>
        <v>0</v>
      </c>
      <c r="AK1035" s="16">
        <f t="shared" ca="1" si="476"/>
        <v>0</v>
      </c>
      <c r="AL1035" s="16">
        <f t="shared" ca="1" si="476"/>
        <v>1</v>
      </c>
      <c r="AM1035" s="16">
        <f t="shared" ca="1" si="476"/>
        <v>1</v>
      </c>
      <c r="AN1035" s="16">
        <f t="shared" ca="1" si="476"/>
        <v>0</v>
      </c>
      <c r="AO1035" s="16">
        <f t="shared" ca="1" si="476"/>
        <v>1</v>
      </c>
      <c r="AP1035" s="16">
        <f t="shared" ca="1" si="476"/>
        <v>1</v>
      </c>
      <c r="AQ1035" s="16">
        <f t="shared" ca="1" si="476"/>
        <v>1</v>
      </c>
      <c r="AR1035" s="16">
        <f t="shared" ca="1" si="476"/>
        <v>0</v>
      </c>
      <c r="AS1035" s="16">
        <f t="shared" ca="1" si="476"/>
        <v>1</v>
      </c>
      <c r="AT1035" s="16">
        <f t="shared" ca="1" si="476"/>
        <v>1</v>
      </c>
      <c r="AU1035" s="16">
        <f t="shared" ca="1" si="476"/>
        <v>1</v>
      </c>
      <c r="AV1035" s="16">
        <f t="shared" ca="1" si="476"/>
        <v>0</v>
      </c>
      <c r="AW1035" s="16">
        <f t="shared" ca="1" si="476"/>
        <v>0</v>
      </c>
    </row>
    <row r="1037" spans="1:49">
      <c r="A1037" s="27" t="s">
        <v>136</v>
      </c>
      <c r="B1037" s="27" t="s">
        <v>137</v>
      </c>
      <c r="C1037" s="27"/>
      <c r="D1037" s="27" t="s">
        <v>141</v>
      </c>
      <c r="E1037" s="27" t="s">
        <v>142</v>
      </c>
      <c r="F1037" s="28" t="s">
        <v>138</v>
      </c>
      <c r="G1037" s="28"/>
      <c r="I1037" s="5" t="s">
        <v>273</v>
      </c>
    </row>
    <row r="1038" spans="1:49">
      <c r="A1038" s="27"/>
      <c r="B1038" s="27"/>
      <c r="C1038" s="27"/>
      <c r="D1038" s="27"/>
      <c r="E1038" s="27"/>
      <c r="F1038" s="7" t="s">
        <v>139</v>
      </c>
      <c r="G1038" s="7" t="s">
        <v>140</v>
      </c>
    </row>
    <row r="1039" spans="1:49">
      <c r="A1039" s="7">
        <v>1</v>
      </c>
      <c r="B1039" s="29" t="str">
        <f ca="1">_xlfn.TEXTJOIN("", TRUE, OFFSET($B$1035,0,(ROW(A1)-1)*6,1,6))</f>
        <v>011111</v>
      </c>
      <c r="C1039" s="30"/>
      <c r="D1039" s="7">
        <f ca="1">BIN2DEC(LEFT(B1039,1) &amp; RIGHT(B1039,1))</f>
        <v>1</v>
      </c>
      <c r="E1039" s="12">
        <f ca="1">BIN2DEC(MID(B1039,2,4))</f>
        <v>15</v>
      </c>
      <c r="F1039" s="12" cm="1">
        <f t="array" aca="1" ref="F1039" ca="1">INDEX(OFFSET('S-box'!$A$2, (A1039-1)*6, 0, 4, 16), D1039+1, E1039+1)</f>
        <v>8</v>
      </c>
      <c r="G1039" s="17" t="str">
        <f ca="1">DEC2BIN(F1039, 4)</f>
        <v>1000</v>
      </c>
      <c r="I1039" s="12" t="s">
        <v>3</v>
      </c>
      <c r="J1039" s="12">
        <v>1</v>
      </c>
      <c r="K1039" s="12">
        <v>2</v>
      </c>
      <c r="L1039" s="12">
        <v>3</v>
      </c>
      <c r="M1039" s="12">
        <v>4</v>
      </c>
      <c r="N1039" s="12">
        <v>5</v>
      </c>
      <c r="O1039" s="12">
        <v>6</v>
      </c>
      <c r="P1039" s="12">
        <v>7</v>
      </c>
      <c r="Q1039" s="12">
        <v>8</v>
      </c>
      <c r="R1039" s="12">
        <v>9</v>
      </c>
      <c r="S1039" s="12">
        <v>10</v>
      </c>
      <c r="T1039" s="12">
        <v>11</v>
      </c>
      <c r="U1039" s="12">
        <v>12</v>
      </c>
      <c r="V1039" s="12">
        <v>13</v>
      </c>
      <c r="W1039" s="12">
        <v>14</v>
      </c>
      <c r="X1039" s="12">
        <v>15</v>
      </c>
      <c r="Y1039" s="12">
        <v>16</v>
      </c>
      <c r="Z1039" s="12">
        <v>17</v>
      </c>
      <c r="AA1039" s="12">
        <v>18</v>
      </c>
      <c r="AB1039" s="12">
        <v>19</v>
      </c>
      <c r="AC1039" s="12">
        <v>20</v>
      </c>
      <c r="AD1039" s="12">
        <v>21</v>
      </c>
      <c r="AE1039" s="12">
        <v>22</v>
      </c>
      <c r="AF1039" s="12">
        <v>23</v>
      </c>
      <c r="AG1039" s="12">
        <v>24</v>
      </c>
      <c r="AH1039" s="12">
        <v>25</v>
      </c>
      <c r="AI1039" s="12">
        <v>26</v>
      </c>
      <c r="AJ1039" s="12">
        <v>27</v>
      </c>
      <c r="AK1039" s="12">
        <v>28</v>
      </c>
      <c r="AL1039" s="12">
        <v>29</v>
      </c>
      <c r="AM1039" s="12">
        <v>30</v>
      </c>
      <c r="AN1039" s="12">
        <v>31</v>
      </c>
      <c r="AO1039" s="12">
        <v>32</v>
      </c>
    </row>
    <row r="1040" spans="1:49">
      <c r="A1040" s="7">
        <v>2</v>
      </c>
      <c r="B1040" s="29" t="str">
        <f t="shared" ref="B1040:B1046" ca="1" si="477">_xlfn.TEXTJOIN("", TRUE, OFFSET($B$1035,0,(ROW(A2)-1)*6,1,6))</f>
        <v>101111</v>
      </c>
      <c r="C1040" s="30"/>
      <c r="D1040" s="7">
        <f t="shared" ref="D1040:D1046" ca="1" si="478">BIN2DEC(LEFT(B1040,1) &amp; RIGHT(B1040,1))</f>
        <v>3</v>
      </c>
      <c r="E1040" s="12">
        <f t="shared" ref="E1040:E1046" ca="1" si="479">BIN2DEC(MID(B1040,2,4))</f>
        <v>7</v>
      </c>
      <c r="F1040" s="12" cm="1">
        <f t="array" aca="1" ref="F1040" ca="1">INDEX(OFFSET('S-box'!$A$2, (A1040-1)*6, 0, 4, 16), D1040+1, E1040+1)</f>
        <v>2</v>
      </c>
      <c r="G1040" s="17" t="str">
        <f t="shared" ref="G1040:G1046" ca="1" si="480">DEC2BIN(F1040, 4)</f>
        <v>0010</v>
      </c>
      <c r="I1040" s="12" t="s">
        <v>152</v>
      </c>
      <c r="J1040" s="12" t="str">
        <f ca="1">MID(_xlfn.TEXTJOIN("",TRUE,$G$1039:$G$1046), COLUMN(A496), 1)</f>
        <v>1</v>
      </c>
      <c r="K1040" s="12" t="str">
        <f t="shared" ref="K1040:AO1040" ca="1" si="481">MID(_xlfn.TEXTJOIN("",TRUE,$G$1039:$G$1046), COLUMN(B496), 1)</f>
        <v>0</v>
      </c>
      <c r="L1040" s="12" t="str">
        <f t="shared" ca="1" si="481"/>
        <v>0</v>
      </c>
      <c r="M1040" s="12" t="str">
        <f t="shared" ca="1" si="481"/>
        <v>0</v>
      </c>
      <c r="N1040" s="12" t="str">
        <f t="shared" ca="1" si="481"/>
        <v>0</v>
      </c>
      <c r="O1040" s="12" t="str">
        <f t="shared" ca="1" si="481"/>
        <v>0</v>
      </c>
      <c r="P1040" s="12" t="str">
        <f t="shared" ca="1" si="481"/>
        <v>1</v>
      </c>
      <c r="Q1040" s="12" t="str">
        <f t="shared" ca="1" si="481"/>
        <v>0</v>
      </c>
      <c r="R1040" s="12" t="str">
        <f t="shared" ca="1" si="481"/>
        <v>1</v>
      </c>
      <c r="S1040" s="12" t="str">
        <f t="shared" ca="1" si="481"/>
        <v>1</v>
      </c>
      <c r="T1040" s="12" t="str">
        <f t="shared" ca="1" si="481"/>
        <v>1</v>
      </c>
      <c r="U1040" s="12" t="str">
        <f t="shared" ca="1" si="481"/>
        <v>0</v>
      </c>
      <c r="V1040" s="12" t="str">
        <f t="shared" ca="1" si="481"/>
        <v>0</v>
      </c>
      <c r="W1040" s="12" t="str">
        <f t="shared" ca="1" si="481"/>
        <v>0</v>
      </c>
      <c r="X1040" s="12" t="str">
        <f t="shared" ca="1" si="481"/>
        <v>1</v>
      </c>
      <c r="Y1040" s="12" t="str">
        <f t="shared" ca="1" si="481"/>
        <v>1</v>
      </c>
      <c r="Z1040" s="12" t="str">
        <f t="shared" ca="1" si="481"/>
        <v>1</v>
      </c>
      <c r="AA1040" s="12" t="str">
        <f t="shared" ca="1" si="481"/>
        <v>1</v>
      </c>
      <c r="AB1040" s="12" t="str">
        <f t="shared" ca="1" si="481"/>
        <v>0</v>
      </c>
      <c r="AC1040" s="12" t="str">
        <f t="shared" ca="1" si="481"/>
        <v>0</v>
      </c>
      <c r="AD1040" s="12" t="str">
        <f t="shared" ca="1" si="481"/>
        <v>0</v>
      </c>
      <c r="AE1040" s="12" t="str">
        <f t="shared" ca="1" si="481"/>
        <v>1</v>
      </c>
      <c r="AF1040" s="12" t="str">
        <f t="shared" ca="1" si="481"/>
        <v>1</v>
      </c>
      <c r="AG1040" s="12" t="str">
        <f t="shared" ca="1" si="481"/>
        <v>1</v>
      </c>
      <c r="AH1040" s="12" t="str">
        <f t="shared" ca="1" si="481"/>
        <v>1</v>
      </c>
      <c r="AI1040" s="12" t="str">
        <f t="shared" ca="1" si="481"/>
        <v>1</v>
      </c>
      <c r="AJ1040" s="12" t="str">
        <f t="shared" ca="1" si="481"/>
        <v>1</v>
      </c>
      <c r="AK1040" s="12" t="str">
        <f t="shared" ca="1" si="481"/>
        <v>1</v>
      </c>
      <c r="AL1040" s="12" t="str">
        <f t="shared" ca="1" si="481"/>
        <v>1</v>
      </c>
      <c r="AM1040" s="12" t="str">
        <f t="shared" ca="1" si="481"/>
        <v>1</v>
      </c>
      <c r="AN1040" s="12" t="str">
        <f t="shared" ca="1" si="481"/>
        <v>0</v>
      </c>
      <c r="AO1040" s="12" t="str">
        <f t="shared" ca="1" si="481"/>
        <v>0</v>
      </c>
    </row>
    <row r="1041" spans="1:65">
      <c r="A1041" s="7">
        <v>3</v>
      </c>
      <c r="B1041" s="29" t="str">
        <f t="shared" ca="1" si="477"/>
        <v>111100</v>
      </c>
      <c r="C1041" s="30"/>
      <c r="D1041" s="7">
        <f t="shared" ca="1" si="478"/>
        <v>2</v>
      </c>
      <c r="E1041" s="12">
        <f t="shared" ca="1" si="479"/>
        <v>14</v>
      </c>
      <c r="F1041" s="12" cm="1">
        <f t="array" aca="1" ref="F1041" ca="1">INDEX(OFFSET('S-box'!$A$2, (A1041-1)*6, 0, 4, 16), D1041+1, E1041+1)</f>
        <v>14</v>
      </c>
      <c r="G1041" s="17" t="str">
        <f t="shared" ca="1" si="480"/>
        <v>1110</v>
      </c>
    </row>
    <row r="1042" spans="1:65">
      <c r="A1042" s="7">
        <v>4</v>
      </c>
      <c r="B1042" s="29" t="str">
        <f t="shared" ca="1" si="477"/>
        <v>000110</v>
      </c>
      <c r="C1042" s="30"/>
      <c r="D1042" s="7">
        <f t="shared" ca="1" si="478"/>
        <v>0</v>
      </c>
      <c r="E1042" s="12">
        <f t="shared" ca="1" si="479"/>
        <v>3</v>
      </c>
      <c r="F1042" s="12" cm="1">
        <f t="array" aca="1" ref="F1042" ca="1">INDEX(OFFSET('S-box'!$A$2, (A1042-1)*6, 0, 4, 16), D1042+1, E1042+1)</f>
        <v>3</v>
      </c>
      <c r="G1042" s="17" t="str">
        <f t="shared" ca="1" si="480"/>
        <v>0011</v>
      </c>
      <c r="I1042" s="5" t="s">
        <v>274</v>
      </c>
    </row>
    <row r="1043" spans="1:65">
      <c r="A1043" s="7">
        <v>5</v>
      </c>
      <c r="B1043" s="29" t="str">
        <f t="shared" ca="1" si="477"/>
        <v>110100</v>
      </c>
      <c r="C1043" s="30"/>
      <c r="D1043" s="7">
        <f t="shared" ca="1" si="478"/>
        <v>2</v>
      </c>
      <c r="E1043" s="12">
        <f t="shared" ca="1" si="479"/>
        <v>10</v>
      </c>
      <c r="F1043" s="12" cm="1">
        <f t="array" aca="1" ref="F1043" ca="1">INDEX(OFFSET('S-box'!$A$2, (A1043-1)*6, 0, 4, 16), D1043+1, E1043+1)</f>
        <v>12</v>
      </c>
      <c r="G1043" s="17" t="str">
        <f t="shared" ca="1" si="480"/>
        <v>1100</v>
      </c>
    </row>
    <row r="1044" spans="1:65">
      <c r="A1044" s="7">
        <v>6</v>
      </c>
      <c r="B1044" s="29" t="str">
        <f t="shared" ca="1" si="477"/>
        <v>110000</v>
      </c>
      <c r="C1044" s="30"/>
      <c r="D1044" s="7">
        <f t="shared" ca="1" si="478"/>
        <v>2</v>
      </c>
      <c r="E1044" s="12">
        <f t="shared" ca="1" si="479"/>
        <v>8</v>
      </c>
      <c r="F1044" s="12" cm="1">
        <f t="array" aca="1" ref="F1044" ca="1">INDEX(OFFSET('S-box'!$A$2, (A1044-1)*6, 0, 4, 16), D1044+1, E1044+1)</f>
        <v>7</v>
      </c>
      <c r="G1044" s="17" t="str">
        <f t="shared" ca="1" si="480"/>
        <v>0111</v>
      </c>
      <c r="I1044" s="12" t="s">
        <v>3</v>
      </c>
      <c r="J1044" s="12">
        <v>1</v>
      </c>
      <c r="K1044" s="12">
        <v>2</v>
      </c>
      <c r="L1044" s="12">
        <v>3</v>
      </c>
      <c r="M1044" s="12">
        <v>4</v>
      </c>
      <c r="N1044" s="12">
        <v>5</v>
      </c>
      <c r="O1044" s="12">
        <v>6</v>
      </c>
      <c r="P1044" s="12">
        <v>7</v>
      </c>
      <c r="Q1044" s="12">
        <v>8</v>
      </c>
      <c r="R1044" s="12">
        <v>9</v>
      </c>
      <c r="S1044" s="12">
        <v>10</v>
      </c>
      <c r="T1044" s="12">
        <v>11</v>
      </c>
      <c r="U1044" s="12">
        <v>12</v>
      </c>
      <c r="V1044" s="12">
        <v>13</v>
      </c>
      <c r="W1044" s="12">
        <v>14</v>
      </c>
      <c r="X1044" s="12">
        <v>15</v>
      </c>
      <c r="Y1044" s="12">
        <v>16</v>
      </c>
      <c r="Z1044" s="12">
        <v>17</v>
      </c>
      <c r="AA1044" s="12">
        <v>18</v>
      </c>
      <c r="AB1044" s="12">
        <v>19</v>
      </c>
      <c r="AC1044" s="12">
        <v>20</v>
      </c>
      <c r="AD1044" s="12">
        <v>21</v>
      </c>
      <c r="AE1044" s="12">
        <v>22</v>
      </c>
      <c r="AF1044" s="12">
        <v>23</v>
      </c>
      <c r="AG1044" s="12">
        <v>24</v>
      </c>
      <c r="AH1044" s="12">
        <v>25</v>
      </c>
      <c r="AI1044" s="12">
        <v>26</v>
      </c>
      <c r="AJ1044" s="12">
        <v>27</v>
      </c>
      <c r="AK1044" s="12">
        <v>28</v>
      </c>
      <c r="AL1044" s="12">
        <v>29</v>
      </c>
      <c r="AM1044" s="12">
        <v>30</v>
      </c>
      <c r="AN1044" s="12">
        <v>31</v>
      </c>
      <c r="AO1044" s="12">
        <v>32</v>
      </c>
    </row>
    <row r="1045" spans="1:65">
      <c r="A1045" s="7">
        <v>7</v>
      </c>
      <c r="B1045" s="29" t="str">
        <f t="shared" ca="1" si="477"/>
        <v>110111</v>
      </c>
      <c r="C1045" s="30"/>
      <c r="D1045" s="7">
        <f t="shared" ca="1" si="478"/>
        <v>3</v>
      </c>
      <c r="E1045" s="12">
        <f t="shared" ca="1" si="479"/>
        <v>11</v>
      </c>
      <c r="F1045" s="12" cm="1">
        <f t="array" aca="1" ref="F1045" ca="1">INDEX(OFFSET('S-box'!$A$2, (A1045-1)*6, 0, 4, 16), D1045+1, E1045+1)</f>
        <v>15</v>
      </c>
      <c r="G1045" s="17" t="str">
        <f t="shared" ca="1" si="480"/>
        <v>1111</v>
      </c>
      <c r="I1045" s="18" t="s">
        <v>152</v>
      </c>
      <c r="J1045" s="12" t="str" cm="1">
        <f t="array" aca="1" ref="J1045" ca="1">INDEX($J$1040:$AO$1040, INDEX($T$15:$AA$18, INT((COLUMN(A463)-1)/8)+1, MOD(COLUMN(A463)-1,8)+1))</f>
        <v>1</v>
      </c>
      <c r="K1045" s="12" t="str" cm="1">
        <f t="array" aca="1" ref="K1045" ca="1">INDEX($J$1040:$AO$1040, INDEX($T$15:$AA$18, INT((COLUMN(B463)-1)/8)+1, MOD(COLUMN(B463)-1,8)+1))</f>
        <v>1</v>
      </c>
      <c r="L1045" s="12" t="str" cm="1">
        <f t="array" aca="1" ref="L1045" ca="1">INDEX($J$1040:$AO$1040, INDEX($T$15:$AA$18, INT((COLUMN(C463)-1)/8)+1, MOD(COLUMN(C463)-1,8)+1))</f>
        <v>0</v>
      </c>
      <c r="M1045" s="12" t="str" cm="1">
        <f t="array" aca="1" ref="M1045" ca="1">INDEX($J$1040:$AO$1040, INDEX($T$15:$AA$18, INT((COLUMN(D463)-1)/8)+1, MOD(COLUMN(D463)-1,8)+1))</f>
        <v>0</v>
      </c>
      <c r="N1045" s="12" t="str" cm="1">
        <f t="array" aca="1" ref="N1045" ca="1">INDEX($J$1040:$AO$1040, INDEX($T$15:$AA$18, INT((COLUMN(E463)-1)/8)+1, MOD(COLUMN(E463)-1,8)+1))</f>
        <v>1</v>
      </c>
      <c r="O1045" s="12" t="str" cm="1">
        <f t="array" aca="1" ref="O1045" ca="1">INDEX($J$1040:$AO$1040, INDEX($T$15:$AA$18, INT((COLUMN(F463)-1)/8)+1, MOD(COLUMN(F463)-1,8)+1))</f>
        <v>0</v>
      </c>
      <c r="P1045" s="12" t="str" cm="1">
        <f t="array" aca="1" ref="P1045" ca="1">INDEX($J$1040:$AO$1040, INDEX($T$15:$AA$18, INT((COLUMN(G463)-1)/8)+1, MOD(COLUMN(G463)-1,8)+1))</f>
        <v>1</v>
      </c>
      <c r="Q1045" s="12" t="str" cm="1">
        <f t="array" aca="1" ref="Q1045" ca="1">INDEX($J$1040:$AO$1040, INDEX($T$15:$AA$18, INT((COLUMN(H463)-1)/8)+1, MOD(COLUMN(H463)-1,8)+1))</f>
        <v>1</v>
      </c>
      <c r="R1045" s="12" t="str" cm="1">
        <f t="array" aca="1" ref="R1045" ca="1">INDEX($J$1040:$AO$1040, INDEX($T$15:$AA$18, INT((COLUMN(I463)-1)/8)+1, MOD(COLUMN(I463)-1,8)+1))</f>
        <v>1</v>
      </c>
      <c r="S1045" s="12" t="str" cm="1">
        <f t="array" aca="1" ref="S1045" ca="1">INDEX($J$1040:$AO$1040, INDEX($T$15:$AA$18, INT((COLUMN(J463)-1)/8)+1, MOD(COLUMN(J463)-1,8)+1))</f>
        <v>1</v>
      </c>
      <c r="T1045" s="12" t="str" cm="1">
        <f t="array" aca="1" ref="T1045" ca="1">INDEX($J$1040:$AO$1040, INDEX($T$15:$AA$18, INT((COLUMN(K463)-1)/8)+1, MOD(COLUMN(K463)-1,8)+1))</f>
        <v>1</v>
      </c>
      <c r="U1045" s="12" t="str" cm="1">
        <f t="array" aca="1" ref="U1045" ca="1">INDEX($J$1040:$AO$1040, INDEX($T$15:$AA$18, INT((COLUMN(L463)-1)/8)+1, MOD(COLUMN(L463)-1,8)+1))</f>
        <v>1</v>
      </c>
      <c r="V1045" s="12" t="str" cm="1">
        <f t="array" aca="1" ref="V1045" ca="1">INDEX($J$1040:$AO$1040, INDEX($T$15:$AA$18, INT((COLUMN(M463)-1)/8)+1, MOD(COLUMN(M463)-1,8)+1))</f>
        <v>0</v>
      </c>
      <c r="W1045" s="12" t="str" cm="1">
        <f t="array" aca="1" ref="W1045" ca="1">INDEX($J$1040:$AO$1040, INDEX($T$15:$AA$18, INT((COLUMN(N463)-1)/8)+1, MOD(COLUMN(N463)-1,8)+1))</f>
        <v>1</v>
      </c>
      <c r="X1045" s="12" t="str" cm="1">
        <f t="array" aca="1" ref="X1045" ca="1">INDEX($J$1040:$AO$1040, INDEX($T$15:$AA$18, INT((COLUMN(O463)-1)/8)+1, MOD(COLUMN(O463)-1,8)+1))</f>
        <v>0</v>
      </c>
      <c r="Y1045" s="12" t="str" cm="1">
        <f t="array" aca="1" ref="Y1045" ca="1">INDEX($J$1040:$AO$1040, INDEX($T$15:$AA$18, INT((COLUMN(P463)-1)/8)+1, MOD(COLUMN(P463)-1,8)+1))</f>
        <v>1</v>
      </c>
      <c r="Z1045" s="12" t="str" cm="1">
        <f t="array" aca="1" ref="Z1045" ca="1">INDEX($J$1040:$AO$1040, INDEX($T$15:$AA$18, INT((COLUMN(Q463)-1)/8)+1, MOD(COLUMN(Q463)-1,8)+1))</f>
        <v>0</v>
      </c>
      <c r="AA1045" s="12" t="str" cm="1">
        <f t="array" aca="1" ref="AA1045" ca="1">INDEX($J$1040:$AO$1040, INDEX($T$15:$AA$18, INT((COLUMN(R463)-1)/8)+1, MOD(COLUMN(R463)-1,8)+1))</f>
        <v>0</v>
      </c>
      <c r="AB1045" s="12" t="str" cm="1">
        <f t="array" aca="1" ref="AB1045" ca="1">INDEX($J$1040:$AO$1040, INDEX($T$15:$AA$18, INT((COLUMN(S463)-1)/8)+1, MOD(COLUMN(S463)-1,8)+1))</f>
        <v>1</v>
      </c>
      <c r="AC1045" s="12" t="str" cm="1">
        <f t="array" aca="1" ref="AC1045" ca="1">INDEX($J$1040:$AO$1040, INDEX($T$15:$AA$18, INT((COLUMN(T463)-1)/8)+1, MOD(COLUMN(T463)-1,8)+1))</f>
        <v>0</v>
      </c>
      <c r="AD1045" s="12" t="str" cm="1">
        <f t="array" aca="1" ref="AD1045" ca="1">INDEX($J$1040:$AO$1040, INDEX($T$15:$AA$18, INT((COLUMN(U463)-1)/8)+1, MOD(COLUMN(U463)-1,8)+1))</f>
        <v>0</v>
      </c>
      <c r="AE1045" s="12" t="str" cm="1">
        <f t="array" aca="1" ref="AE1045" ca="1">INDEX($J$1040:$AO$1040, INDEX($T$15:$AA$18, INT((COLUMN(V463)-1)/8)+1, MOD(COLUMN(V463)-1,8)+1))</f>
        <v>1</v>
      </c>
      <c r="AF1045" s="12" t="str" cm="1">
        <f t="array" aca="1" ref="AF1045" ca="1">INDEX($J$1040:$AO$1040, INDEX($T$15:$AA$18, INT((COLUMN(W463)-1)/8)+1, MOD(COLUMN(W463)-1,8)+1))</f>
        <v>0</v>
      </c>
      <c r="AG1045" s="12" t="str" cm="1">
        <f t="array" aca="1" ref="AG1045" ca="1">INDEX($J$1040:$AO$1040, INDEX($T$15:$AA$18, INT((COLUMN(X463)-1)/8)+1, MOD(COLUMN(X463)-1,8)+1))</f>
        <v>1</v>
      </c>
      <c r="AH1045" s="12" t="str" cm="1">
        <f t="array" aca="1" ref="AH1045" ca="1">INDEX($J$1040:$AO$1040, INDEX($T$15:$AA$18, INT((COLUMN(Y463)-1)/8)+1, MOD(COLUMN(Y463)-1,8)+1))</f>
        <v>0</v>
      </c>
      <c r="AI1045" s="12" t="str" cm="1">
        <f t="array" aca="1" ref="AI1045" ca="1">INDEX($J$1040:$AO$1040, INDEX($T$15:$AA$18, INT((COLUMN(Z463)-1)/8)+1, MOD(COLUMN(Z463)-1,8)+1))</f>
        <v>0</v>
      </c>
      <c r="AJ1045" s="12" t="str" cm="1">
        <f t="array" aca="1" ref="AJ1045" ca="1">INDEX($J$1040:$AO$1040, INDEX($T$15:$AA$18, INT((COLUMN(AA463)-1)/8)+1, MOD(COLUMN(AA463)-1,8)+1))</f>
        <v>1</v>
      </c>
      <c r="AK1045" s="12" t="str" cm="1">
        <f t="array" aca="1" ref="AK1045" ca="1">INDEX($J$1040:$AO$1040, INDEX($T$15:$AA$18, INT((COLUMN(AB463)-1)/8)+1, MOD(COLUMN(AB463)-1,8)+1))</f>
        <v>0</v>
      </c>
      <c r="AL1045" s="12" t="str" cm="1">
        <f t="array" aca="1" ref="AL1045" ca="1">INDEX($J$1040:$AO$1040, INDEX($T$15:$AA$18, INT((COLUMN(AC463)-1)/8)+1, MOD(COLUMN(AC463)-1,8)+1))</f>
        <v>1</v>
      </c>
      <c r="AM1045" s="12" t="str" cm="1">
        <f t="array" aca="1" ref="AM1045" ca="1">INDEX($J$1040:$AO$1040, INDEX($T$15:$AA$18, INT((COLUMN(AD463)-1)/8)+1, MOD(COLUMN(AD463)-1,8)+1))</f>
        <v>1</v>
      </c>
      <c r="AN1045" s="12" t="str" cm="1">
        <f t="array" aca="1" ref="AN1045" ca="1">INDEX($J$1040:$AO$1040, INDEX($T$15:$AA$18, INT((COLUMN(AE463)-1)/8)+1, MOD(COLUMN(AE463)-1,8)+1))</f>
        <v>0</v>
      </c>
      <c r="AO1045" s="12" t="str" cm="1">
        <f t="array" aca="1" ref="AO1045" ca="1">INDEX($J$1040:$AO$1040, INDEX($T$15:$AA$18, INT((COLUMN(AF463)-1)/8)+1, MOD(COLUMN(AF463)-1,8)+1))</f>
        <v>1</v>
      </c>
    </row>
    <row r="1046" spans="1:65">
      <c r="A1046" s="7">
        <v>8</v>
      </c>
      <c r="B1046" s="29" t="str">
        <f t="shared" ca="1" si="477"/>
        <v>011100</v>
      </c>
      <c r="C1046" s="30"/>
      <c r="D1046" s="7">
        <f t="shared" ca="1" si="478"/>
        <v>0</v>
      </c>
      <c r="E1046" s="12">
        <f t="shared" ca="1" si="479"/>
        <v>14</v>
      </c>
      <c r="F1046" s="12" cm="1">
        <f t="array" aca="1" ref="F1046" ca="1">INDEX(OFFSET('S-box'!$A$2, (A1046-1)*6, 0, 4, 16), D1046+1, E1046+1)</f>
        <v>12</v>
      </c>
      <c r="G1046" s="17" t="str">
        <f t="shared" ca="1" si="480"/>
        <v>1100</v>
      </c>
    </row>
    <row r="1048" spans="1:65">
      <c r="A1048" s="20" t="s">
        <v>277</v>
      </c>
    </row>
    <row r="1050" spans="1:65">
      <c r="A1050" s="12" t="s">
        <v>3</v>
      </c>
      <c r="B1050" s="12">
        <v>1</v>
      </c>
      <c r="C1050" s="12">
        <v>2</v>
      </c>
      <c r="D1050" s="12">
        <v>3</v>
      </c>
      <c r="E1050" s="12">
        <v>4</v>
      </c>
      <c r="F1050" s="12">
        <v>5</v>
      </c>
      <c r="G1050" s="12">
        <v>6</v>
      </c>
      <c r="H1050" s="12">
        <v>7</v>
      </c>
      <c r="I1050" s="12">
        <v>8</v>
      </c>
      <c r="J1050" s="12">
        <v>9</v>
      </c>
      <c r="K1050" s="12">
        <v>10</v>
      </c>
      <c r="L1050" s="12">
        <v>11</v>
      </c>
      <c r="M1050" s="12">
        <v>12</v>
      </c>
      <c r="N1050" s="12">
        <v>13</v>
      </c>
      <c r="O1050" s="12">
        <v>14</v>
      </c>
      <c r="P1050" s="12">
        <v>15</v>
      </c>
      <c r="Q1050" s="12">
        <v>16</v>
      </c>
      <c r="R1050" s="12">
        <v>17</v>
      </c>
      <c r="S1050" s="12">
        <v>18</v>
      </c>
      <c r="T1050" s="12">
        <v>19</v>
      </c>
      <c r="U1050" s="12">
        <v>20</v>
      </c>
      <c r="V1050" s="12">
        <v>21</v>
      </c>
      <c r="W1050" s="12">
        <v>22</v>
      </c>
      <c r="X1050" s="12">
        <v>23</v>
      </c>
      <c r="Y1050" s="12">
        <v>24</v>
      </c>
      <c r="Z1050" s="12">
        <v>25</v>
      </c>
      <c r="AA1050" s="12">
        <v>26</v>
      </c>
      <c r="AB1050" s="12">
        <v>27</v>
      </c>
      <c r="AC1050" s="12">
        <v>28</v>
      </c>
      <c r="AD1050" s="12">
        <v>29</v>
      </c>
      <c r="AE1050" s="12">
        <v>30</v>
      </c>
      <c r="AF1050" s="12">
        <v>31</v>
      </c>
      <c r="AG1050" s="12">
        <v>32</v>
      </c>
    </row>
    <row r="1051" spans="1:65">
      <c r="A1051" s="12" t="s">
        <v>275</v>
      </c>
      <c r="B1051" s="12">
        <v>0</v>
      </c>
      <c r="C1051" s="12">
        <v>1</v>
      </c>
      <c r="D1051" s="12">
        <v>1</v>
      </c>
      <c r="E1051" s="12">
        <v>0</v>
      </c>
      <c r="F1051" s="12">
        <v>1</v>
      </c>
      <c r="G1051" s="12">
        <v>1</v>
      </c>
      <c r="H1051" s="12">
        <v>1</v>
      </c>
      <c r="I1051" s="12">
        <v>0</v>
      </c>
      <c r="J1051" s="12">
        <v>0</v>
      </c>
      <c r="K1051" s="12">
        <v>1</v>
      </c>
      <c r="L1051" s="12">
        <v>0</v>
      </c>
      <c r="M1051" s="12">
        <v>0</v>
      </c>
      <c r="N1051" s="12">
        <v>0</v>
      </c>
      <c r="O1051" s="12">
        <v>1</v>
      </c>
      <c r="P1051" s="12">
        <v>1</v>
      </c>
      <c r="Q1051" s="12">
        <v>0</v>
      </c>
      <c r="R1051" s="12">
        <v>1</v>
      </c>
      <c r="S1051" s="12">
        <v>1</v>
      </c>
      <c r="T1051" s="12">
        <v>0</v>
      </c>
      <c r="U1051" s="12">
        <v>1</v>
      </c>
      <c r="V1051" s="12">
        <v>1</v>
      </c>
      <c r="W1051" s="12">
        <v>0</v>
      </c>
      <c r="X1051" s="12">
        <v>1</v>
      </c>
      <c r="Y1051" s="12">
        <v>1</v>
      </c>
      <c r="Z1051" s="12">
        <v>1</v>
      </c>
      <c r="AA1051" s="12">
        <v>0</v>
      </c>
      <c r="AB1051" s="12">
        <v>1</v>
      </c>
      <c r="AC1051" s="12">
        <v>1</v>
      </c>
      <c r="AD1051" s="12">
        <v>0</v>
      </c>
      <c r="AE1051" s="12">
        <v>1</v>
      </c>
      <c r="AF1051" s="12">
        <v>1</v>
      </c>
      <c r="AG1051" s="12">
        <v>1</v>
      </c>
    </row>
    <row r="1052" spans="1:65">
      <c r="A1052" s="12" t="s">
        <v>276</v>
      </c>
      <c r="B1052" s="12">
        <f ca="1">_xlfn.BITXOR(B1018,J1045)</f>
        <v>0</v>
      </c>
      <c r="C1052" s="12">
        <f t="shared" ref="C1052" ca="1" si="482">_xlfn.BITXOR(C1018,K1045)</f>
        <v>1</v>
      </c>
      <c r="D1052" s="12">
        <f t="shared" ref="D1052" ca="1" si="483">_xlfn.BITXOR(D1018,L1045)</f>
        <v>0</v>
      </c>
      <c r="E1052" s="12">
        <f t="shared" ref="E1052" ca="1" si="484">_xlfn.BITXOR(E1018,M1045)</f>
        <v>1</v>
      </c>
      <c r="F1052" s="12">
        <f t="shared" ref="F1052" ca="1" si="485">_xlfn.BITXOR(F1018,N1045)</f>
        <v>0</v>
      </c>
      <c r="G1052" s="12">
        <f t="shared" ref="G1052" ca="1" si="486">_xlfn.BITXOR(G1018,O1045)</f>
        <v>1</v>
      </c>
      <c r="H1052" s="12">
        <f t="shared" ref="H1052" ca="1" si="487">_xlfn.BITXOR(H1018,P1045)</f>
        <v>0</v>
      </c>
      <c r="I1052" s="12">
        <f t="shared" ref="I1052" ca="1" si="488">_xlfn.BITXOR(I1018,Q1045)</f>
        <v>0</v>
      </c>
      <c r="J1052" s="12">
        <f t="shared" ref="J1052" ca="1" si="489">_xlfn.BITXOR(J1018,R1045)</f>
        <v>0</v>
      </c>
      <c r="K1052" s="12">
        <f t="shared" ref="K1052" ca="1" si="490">_xlfn.BITXOR(K1018,S1045)</f>
        <v>0</v>
      </c>
      <c r="L1052" s="12">
        <f t="shared" ref="L1052" ca="1" si="491">_xlfn.BITXOR(L1018,T1045)</f>
        <v>1</v>
      </c>
      <c r="M1052" s="12">
        <f t="shared" ref="M1052" ca="1" si="492">_xlfn.BITXOR(M1018,U1045)</f>
        <v>1</v>
      </c>
      <c r="N1052" s="12">
        <f t="shared" ref="N1052" ca="1" si="493">_xlfn.BITXOR(N1018,V1045)</f>
        <v>1</v>
      </c>
      <c r="O1052" s="12">
        <f t="shared" ref="O1052" ca="1" si="494">_xlfn.BITXOR(O1018,W1045)</f>
        <v>1</v>
      </c>
      <c r="P1052" s="12">
        <f t="shared" ref="P1052" ca="1" si="495">_xlfn.BITXOR(P1018,X1045)</f>
        <v>1</v>
      </c>
      <c r="Q1052" s="12">
        <f t="shared" ref="Q1052" ca="1" si="496">_xlfn.BITXOR(Q1018,Y1045)</f>
        <v>1</v>
      </c>
      <c r="R1052" s="12">
        <f t="shared" ref="R1052" ca="1" si="497">_xlfn.BITXOR(R1018,Z1045)</f>
        <v>0</v>
      </c>
      <c r="S1052" s="12">
        <f t="shared" ref="S1052" ca="1" si="498">_xlfn.BITXOR(S1018,AA1045)</f>
        <v>0</v>
      </c>
      <c r="T1052" s="12">
        <f t="shared" ref="T1052" ca="1" si="499">_xlfn.BITXOR(T1018,AB1045)</f>
        <v>0</v>
      </c>
      <c r="U1052" s="12">
        <f t="shared" ref="U1052" ca="1" si="500">_xlfn.BITXOR(U1018,AC1045)</f>
        <v>0</v>
      </c>
      <c r="V1052" s="12">
        <f t="shared" ref="V1052" ca="1" si="501">_xlfn.BITXOR(V1018,AD1045)</f>
        <v>1</v>
      </c>
      <c r="W1052" s="12">
        <f t="shared" ref="W1052" ca="1" si="502">_xlfn.BITXOR(W1018,AE1045)</f>
        <v>1</v>
      </c>
      <c r="X1052" s="12">
        <f t="shared" ref="X1052" ca="1" si="503">_xlfn.BITXOR(X1018,AF1045)</f>
        <v>1</v>
      </c>
      <c r="Y1052" s="12">
        <f t="shared" ref="Y1052" ca="1" si="504">_xlfn.BITXOR(Y1018,AG1045)</f>
        <v>0</v>
      </c>
      <c r="Z1052" s="12">
        <f t="shared" ref="Z1052" ca="1" si="505">_xlfn.BITXOR(Z1018,AH1045)</f>
        <v>1</v>
      </c>
      <c r="AA1052" s="12">
        <f t="shared" ref="AA1052" ca="1" si="506">_xlfn.BITXOR(AA1018,AI1045)</f>
        <v>0</v>
      </c>
      <c r="AB1052" s="12">
        <f t="shared" ref="AB1052" ca="1" si="507">_xlfn.BITXOR(AB1018,AJ1045)</f>
        <v>1</v>
      </c>
      <c r="AC1052" s="12">
        <f t="shared" ref="AC1052" ca="1" si="508">_xlfn.BITXOR(AC1018,AK1045)</f>
        <v>0</v>
      </c>
      <c r="AD1052" s="12">
        <f t="shared" ref="AD1052" ca="1" si="509">_xlfn.BITXOR(AD1018,AL1045)</f>
        <v>1</v>
      </c>
      <c r="AE1052" s="12">
        <f t="shared" ref="AE1052" ca="1" si="510">_xlfn.BITXOR(AE1018,AM1045)</f>
        <v>0</v>
      </c>
      <c r="AF1052" s="12">
        <f t="shared" ref="AF1052" ca="1" si="511">_xlfn.BITXOR(AF1018,AN1045)</f>
        <v>1</v>
      </c>
      <c r="AG1052" s="12">
        <f t="shared" ref="AG1052" ca="1" si="512">_xlfn.BITXOR(AG1018,AO1045)</f>
        <v>0</v>
      </c>
    </row>
    <row r="1054" spans="1:65">
      <c r="A1054" s="31" t="s">
        <v>278</v>
      </c>
      <c r="B1054" s="31"/>
    </row>
    <row r="1056" spans="1:65">
      <c r="A1056" s="12" t="s">
        <v>3</v>
      </c>
      <c r="B1056" s="12">
        <v>1</v>
      </c>
      <c r="C1056" s="12">
        <v>2</v>
      </c>
      <c r="D1056" s="12">
        <v>3</v>
      </c>
      <c r="E1056" s="12">
        <v>4</v>
      </c>
      <c r="F1056" s="12">
        <v>5</v>
      </c>
      <c r="G1056" s="12">
        <v>6</v>
      </c>
      <c r="H1056" s="12">
        <v>7</v>
      </c>
      <c r="I1056" s="12">
        <v>8</v>
      </c>
      <c r="J1056" s="12">
        <v>9</v>
      </c>
      <c r="K1056" s="12">
        <v>10</v>
      </c>
      <c r="L1056" s="12">
        <v>11</v>
      </c>
      <c r="M1056" s="12">
        <v>12</v>
      </c>
      <c r="N1056" s="12">
        <v>13</v>
      </c>
      <c r="O1056" s="12">
        <v>14</v>
      </c>
      <c r="P1056" s="12">
        <v>15</v>
      </c>
      <c r="Q1056" s="12">
        <v>16</v>
      </c>
      <c r="R1056" s="12">
        <v>17</v>
      </c>
      <c r="S1056" s="12">
        <v>18</v>
      </c>
      <c r="T1056" s="12">
        <v>19</v>
      </c>
      <c r="U1056" s="12">
        <v>20</v>
      </c>
      <c r="V1056" s="12">
        <v>21</v>
      </c>
      <c r="W1056" s="12">
        <v>22</v>
      </c>
      <c r="X1056" s="12">
        <v>23</v>
      </c>
      <c r="Y1056" s="12">
        <v>24</v>
      </c>
      <c r="Z1056" s="12">
        <v>25</v>
      </c>
      <c r="AA1056" s="12">
        <v>26</v>
      </c>
      <c r="AB1056" s="12">
        <v>27</v>
      </c>
      <c r="AC1056" s="12">
        <v>28</v>
      </c>
      <c r="AD1056" s="12">
        <v>29</v>
      </c>
      <c r="AE1056" s="12">
        <v>30</v>
      </c>
      <c r="AF1056" s="12">
        <v>31</v>
      </c>
      <c r="AG1056" s="12">
        <v>32</v>
      </c>
      <c r="AH1056" s="12">
        <v>33</v>
      </c>
      <c r="AI1056" s="12">
        <v>34</v>
      </c>
      <c r="AJ1056" s="12">
        <v>35</v>
      </c>
      <c r="AK1056" s="12">
        <v>36</v>
      </c>
      <c r="AL1056" s="12">
        <v>37</v>
      </c>
      <c r="AM1056" s="12">
        <v>38</v>
      </c>
      <c r="AN1056" s="12">
        <v>39</v>
      </c>
      <c r="AO1056" s="12">
        <v>40</v>
      </c>
      <c r="AP1056" s="12">
        <v>41</v>
      </c>
      <c r="AQ1056" s="12">
        <v>42</v>
      </c>
      <c r="AR1056" s="12">
        <v>43</v>
      </c>
      <c r="AS1056" s="12">
        <v>44</v>
      </c>
      <c r="AT1056" s="12">
        <v>45</v>
      </c>
      <c r="AU1056" s="12">
        <v>46</v>
      </c>
      <c r="AV1056" s="12">
        <v>47</v>
      </c>
      <c r="AW1056" s="12">
        <v>48</v>
      </c>
      <c r="AX1056" s="12">
        <v>49</v>
      </c>
      <c r="AY1056" s="12">
        <v>50</v>
      </c>
      <c r="AZ1056" s="12">
        <v>51</v>
      </c>
      <c r="BA1056" s="12">
        <v>52</v>
      </c>
      <c r="BB1056" s="12">
        <v>53</v>
      </c>
      <c r="BC1056" s="12">
        <v>54</v>
      </c>
      <c r="BD1056" s="12">
        <v>55</v>
      </c>
      <c r="BE1056" s="12">
        <v>56</v>
      </c>
      <c r="BF1056" s="12">
        <v>57</v>
      </c>
      <c r="BG1056" s="12">
        <v>58</v>
      </c>
      <c r="BH1056" s="12">
        <v>59</v>
      </c>
      <c r="BI1056" s="12">
        <v>60</v>
      </c>
      <c r="BJ1056" s="12">
        <v>61</v>
      </c>
      <c r="BK1056" s="12">
        <v>62</v>
      </c>
      <c r="BL1056" s="12">
        <v>63</v>
      </c>
      <c r="BM1056" s="12">
        <v>64</v>
      </c>
    </row>
    <row r="1057" spans="1:65">
      <c r="A1057" s="16" t="s">
        <v>279</v>
      </c>
      <c r="B1057" s="12">
        <v>0</v>
      </c>
      <c r="C1057" s="12">
        <v>1</v>
      </c>
      <c r="D1057" s="12">
        <v>0</v>
      </c>
      <c r="E1057" s="12">
        <v>1</v>
      </c>
      <c r="F1057" s="12">
        <v>0</v>
      </c>
      <c r="G1057" s="12">
        <v>1</v>
      </c>
      <c r="H1057" s="12">
        <v>0</v>
      </c>
      <c r="I1057" s="12">
        <v>0</v>
      </c>
      <c r="J1057" s="12">
        <v>0</v>
      </c>
      <c r="K1057" s="12">
        <v>0</v>
      </c>
      <c r="L1057" s="12">
        <v>1</v>
      </c>
      <c r="M1057" s="12">
        <v>1</v>
      </c>
      <c r="N1057" s="12">
        <v>1</v>
      </c>
      <c r="O1057" s="12">
        <v>1</v>
      </c>
      <c r="P1057" s="12">
        <v>1</v>
      </c>
      <c r="Q1057" s="12">
        <v>1</v>
      </c>
      <c r="R1057" s="12">
        <v>0</v>
      </c>
      <c r="S1057" s="12">
        <v>0</v>
      </c>
      <c r="T1057" s="12">
        <v>0</v>
      </c>
      <c r="U1057" s="12">
        <v>0</v>
      </c>
      <c r="V1057" s="12">
        <v>1</v>
      </c>
      <c r="W1057" s="12">
        <v>1</v>
      </c>
      <c r="X1057" s="12">
        <v>1</v>
      </c>
      <c r="Y1057" s="12">
        <v>0</v>
      </c>
      <c r="Z1057" s="12">
        <v>1</v>
      </c>
      <c r="AA1057" s="12">
        <v>0</v>
      </c>
      <c r="AB1057" s="12">
        <v>1</v>
      </c>
      <c r="AC1057" s="12">
        <v>0</v>
      </c>
      <c r="AD1057" s="12">
        <v>1</v>
      </c>
      <c r="AE1057" s="12">
        <v>0</v>
      </c>
      <c r="AF1057" s="12">
        <v>1</v>
      </c>
      <c r="AG1057" s="12">
        <v>0</v>
      </c>
      <c r="AH1057" s="12">
        <v>0</v>
      </c>
      <c r="AI1057" s="12">
        <v>1</v>
      </c>
      <c r="AJ1057" s="12">
        <v>1</v>
      </c>
      <c r="AK1057" s="12">
        <v>0</v>
      </c>
      <c r="AL1057" s="12">
        <v>1</v>
      </c>
      <c r="AM1057" s="12">
        <v>1</v>
      </c>
      <c r="AN1057" s="12">
        <v>1</v>
      </c>
      <c r="AO1057" s="12">
        <v>0</v>
      </c>
      <c r="AP1057" s="12">
        <v>0</v>
      </c>
      <c r="AQ1057" s="12">
        <v>1</v>
      </c>
      <c r="AR1057" s="12">
        <v>0</v>
      </c>
      <c r="AS1057" s="12">
        <v>0</v>
      </c>
      <c r="AT1057" s="12">
        <v>0</v>
      </c>
      <c r="AU1057" s="12">
        <v>1</v>
      </c>
      <c r="AV1057" s="12">
        <v>1</v>
      </c>
      <c r="AW1057" s="12">
        <v>0</v>
      </c>
      <c r="AX1057" s="12">
        <v>1</v>
      </c>
      <c r="AY1057" s="12">
        <v>1</v>
      </c>
      <c r="AZ1057" s="12">
        <v>0</v>
      </c>
      <c r="BA1057" s="12">
        <v>1</v>
      </c>
      <c r="BB1057" s="12">
        <v>1</v>
      </c>
      <c r="BC1057" s="12">
        <v>0</v>
      </c>
      <c r="BD1057" s="12">
        <v>1</v>
      </c>
      <c r="BE1057" s="12">
        <v>1</v>
      </c>
      <c r="BF1057" s="12">
        <v>1</v>
      </c>
      <c r="BG1057" s="12">
        <v>0</v>
      </c>
      <c r="BH1057" s="12">
        <v>1</v>
      </c>
      <c r="BI1057" s="12">
        <v>1</v>
      </c>
      <c r="BJ1057" s="12">
        <v>0</v>
      </c>
      <c r="BK1057" s="12">
        <v>1</v>
      </c>
      <c r="BL1057" s="12">
        <v>1</v>
      </c>
      <c r="BM1057" s="12">
        <v>1</v>
      </c>
    </row>
    <row r="1059" spans="1:65">
      <c r="A1059" s="32" t="s">
        <v>280</v>
      </c>
      <c r="B1059" s="32"/>
    </row>
    <row r="1061" spans="1:65">
      <c r="A1061" s="12" t="s">
        <v>3</v>
      </c>
      <c r="B1061" s="12">
        <v>1</v>
      </c>
      <c r="C1061" s="12">
        <v>2</v>
      </c>
      <c r="D1061" s="12">
        <v>3</v>
      </c>
      <c r="E1061" s="12">
        <v>4</v>
      </c>
      <c r="F1061" s="12">
        <v>5</v>
      </c>
      <c r="G1061" s="12">
        <v>6</v>
      </c>
      <c r="H1061" s="12">
        <v>7</v>
      </c>
      <c r="I1061" s="12">
        <v>8</v>
      </c>
      <c r="J1061" s="12">
        <v>9</v>
      </c>
      <c r="K1061" s="12">
        <v>10</v>
      </c>
      <c r="L1061" s="12">
        <v>11</v>
      </c>
      <c r="M1061" s="12">
        <v>12</v>
      </c>
      <c r="N1061" s="12">
        <v>13</v>
      </c>
      <c r="O1061" s="12">
        <v>14</v>
      </c>
      <c r="P1061" s="12">
        <v>15</v>
      </c>
      <c r="Q1061" s="12">
        <v>16</v>
      </c>
      <c r="R1061" s="12">
        <v>17</v>
      </c>
      <c r="S1061" s="12">
        <v>18</v>
      </c>
      <c r="T1061" s="12">
        <v>19</v>
      </c>
      <c r="U1061" s="12">
        <v>20</v>
      </c>
      <c r="V1061" s="12">
        <v>21</v>
      </c>
      <c r="W1061" s="12">
        <v>22</v>
      </c>
      <c r="X1061" s="12">
        <v>23</v>
      </c>
      <c r="Y1061" s="12">
        <v>24</v>
      </c>
      <c r="Z1061" s="12">
        <v>25</v>
      </c>
      <c r="AA1061" s="12">
        <v>26</v>
      </c>
      <c r="AB1061" s="12">
        <v>27</v>
      </c>
      <c r="AC1061" s="12">
        <v>28</v>
      </c>
      <c r="AD1061" s="12">
        <v>29</v>
      </c>
      <c r="AE1061" s="12">
        <v>30</v>
      </c>
      <c r="AF1061" s="12">
        <v>31</v>
      </c>
      <c r="AG1061" s="12">
        <v>32</v>
      </c>
      <c r="AH1061" s="12">
        <v>33</v>
      </c>
      <c r="AI1061" s="12">
        <v>34</v>
      </c>
      <c r="AJ1061" s="12">
        <v>35</v>
      </c>
      <c r="AK1061" s="12">
        <v>36</v>
      </c>
      <c r="AL1061" s="12">
        <v>37</v>
      </c>
      <c r="AM1061" s="12">
        <v>38</v>
      </c>
      <c r="AN1061" s="12">
        <v>39</v>
      </c>
      <c r="AO1061" s="12">
        <v>40</v>
      </c>
      <c r="AP1061" s="12">
        <v>41</v>
      </c>
      <c r="AQ1061" s="12">
        <v>42</v>
      </c>
      <c r="AR1061" s="12">
        <v>43</v>
      </c>
      <c r="AS1061" s="12">
        <v>44</v>
      </c>
      <c r="AT1061" s="12">
        <v>45</v>
      </c>
      <c r="AU1061" s="12">
        <v>46</v>
      </c>
      <c r="AV1061" s="12">
        <v>47</v>
      </c>
      <c r="AW1061" s="12">
        <v>48</v>
      </c>
      <c r="AX1061" s="12">
        <v>49</v>
      </c>
      <c r="AY1061" s="12">
        <v>50</v>
      </c>
      <c r="AZ1061" s="12">
        <v>51</v>
      </c>
      <c r="BA1061" s="12">
        <v>52</v>
      </c>
      <c r="BB1061" s="12">
        <v>53</v>
      </c>
      <c r="BC1061" s="12">
        <v>54</v>
      </c>
      <c r="BD1061" s="12">
        <v>55</v>
      </c>
      <c r="BE1061" s="12">
        <v>56</v>
      </c>
      <c r="BF1061" s="12">
        <v>57</v>
      </c>
      <c r="BG1061" s="12">
        <v>58</v>
      </c>
      <c r="BH1061" s="12">
        <v>59</v>
      </c>
      <c r="BI1061" s="12">
        <v>60</v>
      </c>
      <c r="BJ1061" s="12">
        <v>61</v>
      </c>
      <c r="BK1061" s="12">
        <v>62</v>
      </c>
      <c r="BL1061" s="12">
        <v>63</v>
      </c>
      <c r="BM1061" s="12">
        <v>64</v>
      </c>
    </row>
    <row r="1062" spans="1:65">
      <c r="A1062" s="16" t="s">
        <v>279</v>
      </c>
      <c r="B1062" s="12" cm="1">
        <f t="array" ref="B1062">INDEX($B$1057:$BM$1057, INDEX($K$15:$R$22, INT((COLUMN(A397)-1)/8)+1, MOD(COLUMN(A397)-1,8)+1))</f>
        <v>0</v>
      </c>
      <c r="C1062" s="12" cm="1">
        <f t="array" ref="C1062">INDEX($B$1057:$BM$1057, INDEX($K$15:$R$22, INT((COLUMN(B397)-1)/8)+1, MOD(COLUMN(B397)-1,8)+1))</f>
        <v>0</v>
      </c>
      <c r="D1062" s="12" cm="1">
        <f t="array" ref="D1062">INDEX($B$1057:$BM$1057, INDEX($K$15:$R$22, INT((COLUMN(C397)-1)/8)+1, MOD(COLUMN(C397)-1,8)+1))</f>
        <v>0</v>
      </c>
      <c r="E1062" s="12" cm="1">
        <f t="array" ref="E1062">INDEX($B$1057:$BM$1057, INDEX($K$15:$R$22, INT((COLUMN(D397)-1)/8)+1, MOD(COLUMN(D397)-1,8)+1))</f>
        <v>1</v>
      </c>
      <c r="F1062" s="12" cm="1">
        <f t="array" ref="F1062">INDEX($B$1057:$BM$1057, INDEX($K$15:$R$22, INT((COLUMN(E397)-1)/8)+1, MOD(COLUMN(E397)-1,8)+1))</f>
        <v>1</v>
      </c>
      <c r="G1062" s="12" cm="1">
        <f t="array" ref="G1062">INDEX($B$1057:$BM$1057, INDEX($K$15:$R$22, INT((COLUMN(F397)-1)/8)+1, MOD(COLUMN(F397)-1,8)+1))</f>
        <v>0</v>
      </c>
      <c r="H1062" s="12" cm="1">
        <f t="array" ref="H1062">INDEX($B$1057:$BM$1057, INDEX($K$15:$R$22, INT((COLUMN(G397)-1)/8)+1, MOD(COLUMN(G397)-1,8)+1))</f>
        <v>1</v>
      </c>
      <c r="I1062" s="12" cm="1">
        <f t="array" ref="I1062">INDEX($B$1057:$BM$1057, INDEX($K$15:$R$22, INT((COLUMN(H397)-1)/8)+1, MOD(COLUMN(H397)-1,8)+1))</f>
        <v>0</v>
      </c>
      <c r="J1062" s="12" cm="1">
        <f t="array" ref="J1062">INDEX($B$1057:$BM$1057, INDEX($K$15:$R$22, INT((COLUMN(I397)-1)/8)+1, MOD(COLUMN(I397)-1,8)+1))</f>
        <v>1</v>
      </c>
      <c r="K1062" s="12" cm="1">
        <f t="array" ref="K1062">INDEX($B$1057:$BM$1057, INDEX($K$15:$R$22, INT((COLUMN(J397)-1)/8)+1, MOD(COLUMN(J397)-1,8)+1))</f>
        <v>0</v>
      </c>
      <c r="L1062" s="12" cm="1">
        <f t="array" ref="L1062">INDEX($B$1057:$BM$1057, INDEX($K$15:$R$22, INT((COLUMN(K397)-1)/8)+1, MOD(COLUMN(K397)-1,8)+1))</f>
        <v>1</v>
      </c>
      <c r="M1062" s="12" cm="1">
        <f t="array" ref="M1062">INDEX($B$1057:$BM$1057, INDEX($K$15:$R$22, INT((COLUMN(L397)-1)/8)+1, MOD(COLUMN(L397)-1,8)+1))</f>
        <v>1</v>
      </c>
      <c r="N1062" s="12" cm="1">
        <f t="array" ref="N1062">INDEX($B$1057:$BM$1057, INDEX($K$15:$R$22, INT((COLUMN(M397)-1)/8)+1, MOD(COLUMN(M397)-1,8)+1))</f>
        <v>1</v>
      </c>
      <c r="O1062" s="12" cm="1">
        <f t="array" ref="O1062">INDEX($B$1057:$BM$1057, INDEX($K$15:$R$22, INT((COLUMN(N397)-1)/8)+1, MOD(COLUMN(N397)-1,8)+1))</f>
        <v>1</v>
      </c>
      <c r="P1062" s="12" cm="1">
        <f t="array" ref="P1062">INDEX($B$1057:$BM$1057, INDEX($K$15:$R$22, INT((COLUMN(O397)-1)/8)+1, MOD(COLUMN(O397)-1,8)+1))</f>
        <v>1</v>
      </c>
      <c r="Q1062" s="12" cm="1">
        <f t="array" ref="Q1062">INDEX($B$1057:$BM$1057, INDEX($K$15:$R$22, INT((COLUMN(P397)-1)/8)+1, MOD(COLUMN(P397)-1,8)+1))</f>
        <v>1</v>
      </c>
      <c r="R1062" s="12" cm="1">
        <f t="array" ref="R1062">INDEX($B$1057:$BM$1057, INDEX($K$15:$R$22, INT((COLUMN(Q397)-1)/8)+1, MOD(COLUMN(Q397)-1,8)+1))</f>
        <v>1</v>
      </c>
      <c r="S1062" s="12" cm="1">
        <f t="array" ref="S1062">INDEX($B$1057:$BM$1057, INDEX($K$15:$R$22, INT((COLUMN(R397)-1)/8)+1, MOD(COLUMN(R397)-1,8)+1))</f>
        <v>1</v>
      </c>
      <c r="T1062" s="12" cm="1">
        <f t="array" ref="T1062">INDEX($B$1057:$BM$1057, INDEX($K$15:$R$22, INT((COLUMN(S397)-1)/8)+1, MOD(COLUMN(S397)-1,8)+1))</f>
        <v>1</v>
      </c>
      <c r="U1062" s="12" cm="1">
        <f t="array" ref="U1062">INDEX($B$1057:$BM$1057, INDEX($K$15:$R$22, INT((COLUMN(T397)-1)/8)+1, MOD(COLUMN(T397)-1,8)+1))</f>
        <v>1</v>
      </c>
      <c r="V1062" s="12" cm="1">
        <f t="array" ref="V1062">INDEX($B$1057:$BM$1057, INDEX($K$15:$R$22, INT((COLUMN(U397)-1)/8)+1, MOD(COLUMN(U397)-1,8)+1))</f>
        <v>0</v>
      </c>
      <c r="W1062" s="12" cm="1">
        <f t="array" ref="W1062">INDEX($B$1057:$BM$1057, INDEX($K$15:$R$22, INT((COLUMN(V397)-1)/8)+1, MOD(COLUMN(V397)-1,8)+1))</f>
        <v>1</v>
      </c>
      <c r="X1062" s="12" cm="1">
        <f t="array" ref="X1062">INDEX($B$1057:$BM$1057, INDEX($K$15:$R$22, INT((COLUMN(W397)-1)/8)+1, MOD(COLUMN(W397)-1,8)+1))</f>
        <v>1</v>
      </c>
      <c r="Y1062" s="12" cm="1">
        <f t="array" ref="Y1062">INDEX($B$1057:$BM$1057, INDEX($K$15:$R$22, INT((COLUMN(X397)-1)/8)+1, MOD(COLUMN(X397)-1,8)+1))</f>
        <v>0</v>
      </c>
      <c r="Z1062" s="12" cm="1">
        <f t="array" ref="Z1062">INDEX($B$1057:$BM$1057, INDEX($K$15:$R$22, INT((COLUMN(Y397)-1)/8)+1, MOD(COLUMN(Y397)-1,8)+1))</f>
        <v>1</v>
      </c>
      <c r="AA1062" s="12" cm="1">
        <f t="array" ref="AA1062">INDEX($B$1057:$BM$1057, INDEX($K$15:$R$22, INT((COLUMN(Z397)-1)/8)+1, MOD(COLUMN(Z397)-1,8)+1))</f>
        <v>0</v>
      </c>
      <c r="AB1062" s="12" cm="1">
        <f t="array" ref="AB1062">INDEX($B$1057:$BM$1057, INDEX($K$15:$R$22, INT((COLUMN(AA397)-1)/8)+1, MOD(COLUMN(AA397)-1,8)+1))</f>
        <v>0</v>
      </c>
      <c r="AC1062" s="12" cm="1">
        <f t="array" ref="AC1062">INDEX($B$1057:$BM$1057, INDEX($K$15:$R$22, INT((COLUMN(AB397)-1)/8)+1, MOD(COLUMN(AB397)-1,8)+1))</f>
        <v>1</v>
      </c>
      <c r="AD1062" s="12" cm="1">
        <f t="array" ref="AD1062">INDEX($B$1057:$BM$1057, INDEX($K$15:$R$22, INT((COLUMN(AC397)-1)/8)+1, MOD(COLUMN(AC397)-1,8)+1))</f>
        <v>1</v>
      </c>
      <c r="AE1062" s="12" cm="1">
        <f t="array" ref="AE1062">INDEX($B$1057:$BM$1057, INDEX($K$15:$R$22, INT((COLUMN(AD397)-1)/8)+1, MOD(COLUMN(AD397)-1,8)+1))</f>
        <v>1</v>
      </c>
      <c r="AF1062" s="12" cm="1">
        <f t="array" ref="AF1062">INDEX($B$1057:$BM$1057, INDEX($K$15:$R$22, INT((COLUMN(AE397)-1)/8)+1, MOD(COLUMN(AE397)-1,8)+1))</f>
        <v>0</v>
      </c>
      <c r="AG1062" s="12" cm="1">
        <f t="array" ref="AG1062">INDEX($B$1057:$BM$1057, INDEX($K$15:$R$22, INT((COLUMN(AF397)-1)/8)+1, MOD(COLUMN(AF397)-1,8)+1))</f>
        <v>1</v>
      </c>
      <c r="AH1062" s="12" cm="1">
        <f t="array" ref="AH1062">INDEX($B$1057:$BM$1057, INDEX($K$15:$R$22, INT((COLUMN(AG397)-1)/8)+1, MOD(COLUMN(AG397)-1,8)+1))</f>
        <v>0</v>
      </c>
      <c r="AI1062" s="12" cm="1">
        <f t="array" ref="AI1062">INDEX($B$1057:$BM$1057, INDEX($K$15:$R$22, INT((COLUMN(AH397)-1)/8)+1, MOD(COLUMN(AH397)-1,8)+1))</f>
        <v>1</v>
      </c>
      <c r="AJ1062" s="12" cm="1">
        <f t="array" ref="AJ1062">INDEX($B$1057:$BM$1057, INDEX($K$15:$R$22, INT((COLUMN(AI397)-1)/8)+1, MOD(COLUMN(AI397)-1,8)+1))</f>
        <v>0</v>
      </c>
      <c r="AK1062" s="12" cm="1">
        <f t="array" ref="AK1062">INDEX($B$1057:$BM$1057, INDEX($K$15:$R$22, INT((COLUMN(AJ397)-1)/8)+1, MOD(COLUMN(AJ397)-1,8)+1))</f>
        <v>1</v>
      </c>
      <c r="AL1062" s="12" cm="1">
        <f t="array" ref="AL1062">INDEX($B$1057:$BM$1057, INDEX($K$15:$R$22, INT((COLUMN(AK397)-1)/8)+1, MOD(COLUMN(AK397)-1,8)+1))</f>
        <v>1</v>
      </c>
      <c r="AM1062" s="12" cm="1">
        <f t="array" ref="AM1062">INDEX($B$1057:$BM$1057, INDEX($K$15:$R$22, INT((COLUMN(AL397)-1)/8)+1, MOD(COLUMN(AL397)-1,8)+1))</f>
        <v>0</v>
      </c>
      <c r="AN1062" s="12" cm="1">
        <f t="array" ref="AN1062">INDEX($B$1057:$BM$1057, INDEX($K$15:$R$22, INT((COLUMN(AM397)-1)/8)+1, MOD(COLUMN(AM397)-1,8)+1))</f>
        <v>1</v>
      </c>
      <c r="AO1062" s="12" cm="1">
        <f t="array" ref="AO1062">INDEX($B$1057:$BM$1057, INDEX($K$15:$R$22, INT((COLUMN(AN397)-1)/8)+1, MOD(COLUMN(AN397)-1,8)+1))</f>
        <v>0</v>
      </c>
      <c r="AP1062" s="12" cm="1">
        <f t="array" ref="AP1062">INDEX($B$1057:$BM$1057, INDEX($K$15:$R$22, INT((COLUMN(AO397)-1)/8)+1, MOD(COLUMN(AO397)-1,8)+1))</f>
        <v>1</v>
      </c>
      <c r="AQ1062" s="12" cm="1">
        <f t="array" ref="AQ1062">INDEX($B$1057:$BM$1057, INDEX($K$15:$R$22, INT((COLUMN(AP397)-1)/8)+1, MOD(COLUMN(AP397)-1,8)+1))</f>
        <v>0</v>
      </c>
      <c r="AR1062" s="12" cm="1">
        <f t="array" ref="AR1062">INDEX($B$1057:$BM$1057, INDEX($K$15:$R$22, INT((COLUMN(AQ397)-1)/8)+1, MOD(COLUMN(AQ397)-1,8)+1))</f>
        <v>0</v>
      </c>
      <c r="AS1062" s="12" cm="1">
        <f t="array" ref="AS1062">INDEX($B$1057:$BM$1057, INDEX($K$15:$R$22, INT((COLUMN(AR397)-1)/8)+1, MOD(COLUMN(AR397)-1,8)+1))</f>
        <v>1</v>
      </c>
      <c r="AT1062" s="12" cm="1">
        <f t="array" ref="AT1062">INDEX($B$1057:$BM$1057, INDEX($K$15:$R$22, INT((COLUMN(AS397)-1)/8)+1, MOD(COLUMN(AS397)-1,8)+1))</f>
        <v>0</v>
      </c>
      <c r="AU1062" s="12" cm="1">
        <f t="array" ref="AU1062">INDEX($B$1057:$BM$1057, INDEX($K$15:$R$22, INT((COLUMN(AT397)-1)/8)+1, MOD(COLUMN(AT397)-1,8)+1))</f>
        <v>0</v>
      </c>
      <c r="AV1062" s="12" cm="1">
        <f t="array" ref="AV1062">INDEX($B$1057:$BM$1057, INDEX($K$15:$R$22, INT((COLUMN(AU397)-1)/8)+1, MOD(COLUMN(AU397)-1,8)+1))</f>
        <v>1</v>
      </c>
      <c r="AW1062" s="12" cm="1">
        <f t="array" ref="AW1062">INDEX($B$1057:$BM$1057, INDEX($K$15:$R$22, INT((COLUMN(AV397)-1)/8)+1, MOD(COLUMN(AV397)-1,8)+1))</f>
        <v>1</v>
      </c>
      <c r="AX1062" s="12" cm="1">
        <f t="array" ref="AX1062">INDEX($B$1057:$BM$1057, INDEX($K$15:$R$22, INT((COLUMN(AW397)-1)/8)+1, MOD(COLUMN(AW397)-1,8)+1))</f>
        <v>1</v>
      </c>
      <c r="AY1062" s="12" cm="1">
        <f t="array" ref="AY1062">INDEX($B$1057:$BM$1057, INDEX($K$15:$R$22, INT((COLUMN(AX397)-1)/8)+1, MOD(COLUMN(AX397)-1,8)+1))</f>
        <v>1</v>
      </c>
      <c r="AZ1062" s="12" cm="1">
        <f t="array" ref="AZ1062">INDEX($B$1057:$BM$1057, INDEX($K$15:$R$22, INT((COLUMN(AY397)-1)/8)+1, MOD(COLUMN(AY397)-1,8)+1))</f>
        <v>1</v>
      </c>
      <c r="BA1062" s="12" cm="1">
        <f t="array" ref="BA1062">INDEX($B$1057:$BM$1057, INDEX($K$15:$R$22, INT((COLUMN(AZ397)-1)/8)+1, MOD(COLUMN(AZ397)-1,8)+1))</f>
        <v>0</v>
      </c>
      <c r="BB1062" s="12" cm="1">
        <f t="array" ref="BB1062">INDEX($B$1057:$BM$1057, INDEX($K$15:$R$22, INT((COLUMN(BA397)-1)/8)+1, MOD(COLUMN(BA397)-1,8)+1))</f>
        <v>1</v>
      </c>
      <c r="BC1062" s="12" cm="1">
        <f t="array" ref="BC1062">INDEX($B$1057:$BM$1057, INDEX($K$15:$R$22, INT((COLUMN(BB397)-1)/8)+1, MOD(COLUMN(BB397)-1,8)+1))</f>
        <v>0</v>
      </c>
      <c r="BD1062" s="12" cm="1">
        <f t="array" ref="BD1062">INDEX($B$1057:$BM$1057, INDEX($K$15:$R$22, INT((COLUMN(BC397)-1)/8)+1, MOD(COLUMN(BC397)-1,8)+1))</f>
        <v>0</v>
      </c>
      <c r="BE1062" s="12" cm="1">
        <f t="array" ref="BE1062">INDEX($B$1057:$BM$1057, INDEX($K$15:$R$22, INT((COLUMN(BD397)-1)/8)+1, MOD(COLUMN(BD397)-1,8)+1))</f>
        <v>0</v>
      </c>
      <c r="BF1062" s="12" cm="1">
        <f t="array" ref="BF1062">INDEX($B$1057:$BM$1057, INDEX($K$15:$R$22, INT((COLUMN(BE397)-1)/8)+1, MOD(COLUMN(BE397)-1,8)+1))</f>
        <v>0</v>
      </c>
      <c r="BG1062" s="12" cm="1">
        <f t="array" ref="BG1062">INDEX($B$1057:$BM$1057, INDEX($K$15:$R$22, INT((COLUMN(BF397)-1)/8)+1, MOD(COLUMN(BF397)-1,8)+1))</f>
        <v>0</v>
      </c>
      <c r="BH1062" s="12" cm="1">
        <f t="array" ref="BH1062">INDEX($B$1057:$BM$1057, INDEX($K$15:$R$22, INT((COLUMN(BG397)-1)/8)+1, MOD(COLUMN(BG397)-1,8)+1))</f>
        <v>0</v>
      </c>
      <c r="BI1062" s="12" cm="1">
        <f t="array" ref="BI1062">INDEX($B$1057:$BM$1057, INDEX($K$15:$R$22, INT((COLUMN(BH397)-1)/8)+1, MOD(COLUMN(BH397)-1,8)+1))</f>
        <v>0</v>
      </c>
      <c r="BJ1062" s="12" cm="1">
        <f t="array" ref="BJ1062">INDEX($B$1057:$BM$1057, INDEX($K$15:$R$22, INT((COLUMN(BI397)-1)/8)+1, MOD(COLUMN(BI397)-1,8)+1))</f>
        <v>1</v>
      </c>
      <c r="BK1062" s="12" cm="1">
        <f t="array" ref="BK1062">INDEX($B$1057:$BM$1057, INDEX($K$15:$R$22, INT((COLUMN(BJ397)-1)/8)+1, MOD(COLUMN(BJ397)-1,8)+1))</f>
        <v>0</v>
      </c>
      <c r="BL1062" s="12" cm="1">
        <f t="array" ref="BL1062">INDEX($B$1057:$BM$1057, INDEX($K$15:$R$22, INT((COLUMN(BK397)-1)/8)+1, MOD(COLUMN(BK397)-1,8)+1))</f>
        <v>1</v>
      </c>
      <c r="BM1062" s="12" cm="1">
        <f t="array" ref="BM1062">INDEX($B$1057:$BM$1057, INDEX($K$15:$R$22, INT((COLUMN(BL397)-1)/8)+1, MOD(COLUMN(BL397)-1,8)+1))</f>
        <v>1</v>
      </c>
    </row>
    <row r="1064" spans="1:65">
      <c r="A1064" s="7" t="s">
        <v>281</v>
      </c>
      <c r="B1064" s="7" t="str">
        <f ca="1">_xlfn.TEXTJOIN("", TRUE, OFFSET($B1062, 0, (COLUMN(A1)-1)*4, 1, 4))</f>
        <v>0001</v>
      </c>
      <c r="C1064" s="7" t="str">
        <f t="shared" ref="C1064:Q1064" ca="1" si="513">_xlfn.TEXTJOIN("", TRUE, OFFSET($B1062, 0, (COLUMN(B1)-1)*4, 1, 4))</f>
        <v>1010</v>
      </c>
      <c r="D1064" s="7" t="str">
        <f t="shared" ca="1" si="513"/>
        <v>1011</v>
      </c>
      <c r="E1064" s="7" t="str">
        <f t="shared" ca="1" si="513"/>
        <v>1111</v>
      </c>
      <c r="F1064" s="7" t="str">
        <f t="shared" ca="1" si="513"/>
        <v>1111</v>
      </c>
      <c r="G1064" s="7" t="str">
        <f t="shared" ca="1" si="513"/>
        <v>0110</v>
      </c>
      <c r="H1064" s="7" t="str">
        <f t="shared" ca="1" si="513"/>
        <v>1001</v>
      </c>
      <c r="I1064" s="7" t="str">
        <f t="shared" ca="1" si="513"/>
        <v>1101</v>
      </c>
      <c r="J1064" s="7" t="str">
        <f t="shared" ca="1" si="513"/>
        <v>0101</v>
      </c>
      <c r="K1064" s="7" t="str">
        <f t="shared" ca="1" si="513"/>
        <v>1010</v>
      </c>
      <c r="L1064" s="7" t="str">
        <f t="shared" ca="1" si="513"/>
        <v>1001</v>
      </c>
      <c r="M1064" s="7" t="str">
        <f t="shared" ca="1" si="513"/>
        <v>0011</v>
      </c>
      <c r="N1064" s="7" t="str">
        <f t="shared" ca="1" si="513"/>
        <v>1110</v>
      </c>
      <c r="O1064" s="7" t="str">
        <f t="shared" ca="1" si="513"/>
        <v>1000</v>
      </c>
      <c r="P1064" s="7" t="str">
        <f ca="1">_xlfn.TEXTJOIN("", TRUE, OFFSET($B1062, 0, (COLUMN(O1)-1)*4, 1, 4))</f>
        <v>0000</v>
      </c>
      <c r="Q1064" s="7" t="str">
        <f t="shared" ca="1" si="513"/>
        <v>1011</v>
      </c>
    </row>
    <row r="1065" spans="1:65">
      <c r="A1065" s="18" t="s">
        <v>282</v>
      </c>
      <c r="B1065" s="7" t="str">
        <f ca="1">BIN2HEX(B1064)</f>
        <v>1</v>
      </c>
      <c r="C1065" s="7" t="str">
        <f t="shared" ref="C1065:Q1065" ca="1" si="514">BIN2HEX(C1064)</f>
        <v>A</v>
      </c>
      <c r="D1065" s="7" t="str">
        <f t="shared" ca="1" si="514"/>
        <v>B</v>
      </c>
      <c r="E1065" s="7" t="str">
        <f t="shared" ca="1" si="514"/>
        <v>F</v>
      </c>
      <c r="F1065" s="7" t="str">
        <f t="shared" ca="1" si="514"/>
        <v>F</v>
      </c>
      <c r="G1065" s="7" t="str">
        <f t="shared" ca="1" si="514"/>
        <v>6</v>
      </c>
      <c r="H1065" s="7" t="str">
        <f t="shared" ca="1" si="514"/>
        <v>9</v>
      </c>
      <c r="I1065" s="7" t="str">
        <f t="shared" ca="1" si="514"/>
        <v>D</v>
      </c>
      <c r="J1065" s="7" t="str">
        <f t="shared" ca="1" si="514"/>
        <v>5</v>
      </c>
      <c r="K1065" s="7" t="str">
        <f t="shared" ca="1" si="514"/>
        <v>A</v>
      </c>
      <c r="L1065" s="7" t="str">
        <f t="shared" ca="1" si="514"/>
        <v>9</v>
      </c>
      <c r="M1065" s="7" t="str">
        <f t="shared" ca="1" si="514"/>
        <v>3</v>
      </c>
      <c r="N1065" s="7" t="str">
        <f t="shared" ca="1" si="514"/>
        <v>E</v>
      </c>
      <c r="O1065" s="7" t="str">
        <f t="shared" ca="1" si="514"/>
        <v>8</v>
      </c>
      <c r="P1065" s="7" t="str">
        <f t="shared" ca="1" si="514"/>
        <v>0</v>
      </c>
      <c r="Q1065" s="7" t="str">
        <f t="shared" ca="1" si="514"/>
        <v>B</v>
      </c>
    </row>
  </sheetData>
  <mergeCells count="217">
    <mergeCell ref="A1054:B1054"/>
    <mergeCell ref="A1059:B1059"/>
    <mergeCell ref="A48:C48"/>
    <mergeCell ref="B1042:C1042"/>
    <mergeCell ref="B1043:C1043"/>
    <mergeCell ref="B1044:C1044"/>
    <mergeCell ref="B1045:C1045"/>
    <mergeCell ref="B1046:C1046"/>
    <mergeCell ref="A740:A741"/>
    <mergeCell ref="B740:C741"/>
    <mergeCell ref="A1037:A1038"/>
    <mergeCell ref="A1004:A1005"/>
    <mergeCell ref="A971:A972"/>
    <mergeCell ref="B907:C907"/>
    <mergeCell ref="B908:C908"/>
    <mergeCell ref="B909:C909"/>
    <mergeCell ref="B910:C910"/>
    <mergeCell ref="B911:C911"/>
    <mergeCell ref="B912:C912"/>
    <mergeCell ref="B881:C881"/>
    <mergeCell ref="A905:A906"/>
    <mergeCell ref="B905:C906"/>
    <mergeCell ref="A872:A873"/>
    <mergeCell ref="B872:C873"/>
    <mergeCell ref="D1037:D1038"/>
    <mergeCell ref="E1037:E1038"/>
    <mergeCell ref="F1037:G1037"/>
    <mergeCell ref="B1039:C1039"/>
    <mergeCell ref="B1040:C1040"/>
    <mergeCell ref="B1041:C1041"/>
    <mergeCell ref="B1009:C1009"/>
    <mergeCell ref="B1010:C1010"/>
    <mergeCell ref="B1011:C1011"/>
    <mergeCell ref="B1012:C1012"/>
    <mergeCell ref="B1013:C1013"/>
    <mergeCell ref="B1037:C1038"/>
    <mergeCell ref="D1004:D1005"/>
    <mergeCell ref="E1004:E1005"/>
    <mergeCell ref="F1004:G1004"/>
    <mergeCell ref="B1006:C1006"/>
    <mergeCell ref="B1007:C1007"/>
    <mergeCell ref="B1008:C1008"/>
    <mergeCell ref="B977:C977"/>
    <mergeCell ref="B978:C978"/>
    <mergeCell ref="B979:C979"/>
    <mergeCell ref="B980:C980"/>
    <mergeCell ref="B1004:C1005"/>
    <mergeCell ref="E971:E972"/>
    <mergeCell ref="F971:G971"/>
    <mergeCell ref="B973:C973"/>
    <mergeCell ref="B974:C974"/>
    <mergeCell ref="B975:C975"/>
    <mergeCell ref="B976:C976"/>
    <mergeCell ref="B945:C945"/>
    <mergeCell ref="B946:C946"/>
    <mergeCell ref="B947:C947"/>
    <mergeCell ref="B971:C972"/>
    <mergeCell ref="D971:D972"/>
    <mergeCell ref="F938:G938"/>
    <mergeCell ref="B940:C940"/>
    <mergeCell ref="B941:C941"/>
    <mergeCell ref="B942:C942"/>
    <mergeCell ref="B943:C943"/>
    <mergeCell ref="B944:C944"/>
    <mergeCell ref="B913:C913"/>
    <mergeCell ref="B914:C914"/>
    <mergeCell ref="A938:A939"/>
    <mergeCell ref="B938:C939"/>
    <mergeCell ref="D938:D939"/>
    <mergeCell ref="E938:E939"/>
    <mergeCell ref="D905:D906"/>
    <mergeCell ref="E905:E906"/>
    <mergeCell ref="F905:G905"/>
    <mergeCell ref="B875:C875"/>
    <mergeCell ref="B876:C876"/>
    <mergeCell ref="B877:C877"/>
    <mergeCell ref="B878:C878"/>
    <mergeCell ref="B879:C879"/>
    <mergeCell ref="B880:C880"/>
    <mergeCell ref="D872:D873"/>
    <mergeCell ref="E872:E873"/>
    <mergeCell ref="F872:G872"/>
    <mergeCell ref="B874:C874"/>
    <mergeCell ref="B845:C845"/>
    <mergeCell ref="B846:C846"/>
    <mergeCell ref="B847:C847"/>
    <mergeCell ref="B848:C848"/>
    <mergeCell ref="A839:A840"/>
    <mergeCell ref="B839:C840"/>
    <mergeCell ref="B841:C841"/>
    <mergeCell ref="B842:C842"/>
    <mergeCell ref="B843:C843"/>
    <mergeCell ref="B844:C844"/>
    <mergeCell ref="D839:D840"/>
    <mergeCell ref="E839:E840"/>
    <mergeCell ref="F839:G839"/>
    <mergeCell ref="B811:C811"/>
    <mergeCell ref="B812:C812"/>
    <mergeCell ref="B813:C813"/>
    <mergeCell ref="B814:C814"/>
    <mergeCell ref="B815:C815"/>
    <mergeCell ref="D806:D807"/>
    <mergeCell ref="E806:E807"/>
    <mergeCell ref="F806:G806"/>
    <mergeCell ref="B808:C808"/>
    <mergeCell ref="B809:C809"/>
    <mergeCell ref="B810:C810"/>
    <mergeCell ref="B778:C778"/>
    <mergeCell ref="B779:C779"/>
    <mergeCell ref="B780:C780"/>
    <mergeCell ref="B781:C781"/>
    <mergeCell ref="B782:C782"/>
    <mergeCell ref="A806:A807"/>
    <mergeCell ref="B806:C807"/>
    <mergeCell ref="D773:D774"/>
    <mergeCell ref="E773:E774"/>
    <mergeCell ref="A773:A774"/>
    <mergeCell ref="F773:G773"/>
    <mergeCell ref="B775:C775"/>
    <mergeCell ref="B776:C776"/>
    <mergeCell ref="B777:C777"/>
    <mergeCell ref="B745:C745"/>
    <mergeCell ref="B746:C746"/>
    <mergeCell ref="B747:C747"/>
    <mergeCell ref="B748:C748"/>
    <mergeCell ref="B749:C749"/>
    <mergeCell ref="B773:C774"/>
    <mergeCell ref="F740:G740"/>
    <mergeCell ref="B742:C742"/>
    <mergeCell ref="B743:C743"/>
    <mergeCell ref="B744:C744"/>
    <mergeCell ref="B712:C712"/>
    <mergeCell ref="B713:C713"/>
    <mergeCell ref="B714:C714"/>
    <mergeCell ref="B715:C715"/>
    <mergeCell ref="B716:C716"/>
    <mergeCell ref="B709:C709"/>
    <mergeCell ref="B710:C710"/>
    <mergeCell ref="B711:C711"/>
    <mergeCell ref="B680:C680"/>
    <mergeCell ref="B681:C681"/>
    <mergeCell ref="B682:C682"/>
    <mergeCell ref="B683:C683"/>
    <mergeCell ref="D740:D741"/>
    <mergeCell ref="E740:E741"/>
    <mergeCell ref="A707:A708"/>
    <mergeCell ref="B707:C708"/>
    <mergeCell ref="E674:E675"/>
    <mergeCell ref="F674:G674"/>
    <mergeCell ref="B676:C676"/>
    <mergeCell ref="B677:C677"/>
    <mergeCell ref="B678:C678"/>
    <mergeCell ref="B679:C679"/>
    <mergeCell ref="B648:C648"/>
    <mergeCell ref="B649:C649"/>
    <mergeCell ref="B650:C650"/>
    <mergeCell ref="A674:A675"/>
    <mergeCell ref="B674:C675"/>
    <mergeCell ref="D674:D675"/>
    <mergeCell ref="D707:D708"/>
    <mergeCell ref="E707:E708"/>
    <mergeCell ref="F707:G707"/>
    <mergeCell ref="F641:G641"/>
    <mergeCell ref="B643:C643"/>
    <mergeCell ref="B644:C644"/>
    <mergeCell ref="B645:C645"/>
    <mergeCell ref="B646:C646"/>
    <mergeCell ref="B647:C647"/>
    <mergeCell ref="B616:C616"/>
    <mergeCell ref="B617:C617"/>
    <mergeCell ref="A641:A642"/>
    <mergeCell ref="B641:C642"/>
    <mergeCell ref="D641:D642"/>
    <mergeCell ref="E641:E642"/>
    <mergeCell ref="B610:C610"/>
    <mergeCell ref="B611:C611"/>
    <mergeCell ref="B612:C612"/>
    <mergeCell ref="B613:C613"/>
    <mergeCell ref="B614:C614"/>
    <mergeCell ref="B615:C615"/>
    <mergeCell ref="B584:C584"/>
    <mergeCell ref="A608:A609"/>
    <mergeCell ref="B608:C609"/>
    <mergeCell ref="K14:R14"/>
    <mergeCell ref="D608:D609"/>
    <mergeCell ref="E608:E609"/>
    <mergeCell ref="F608:G608"/>
    <mergeCell ref="B578:C578"/>
    <mergeCell ref="B579:C579"/>
    <mergeCell ref="B580:C580"/>
    <mergeCell ref="B581:C581"/>
    <mergeCell ref="B582:C582"/>
    <mergeCell ref="B583:C583"/>
    <mergeCell ref="T24:Y24"/>
    <mergeCell ref="A575:A576"/>
    <mergeCell ref="B575:C576"/>
    <mergeCell ref="D575:D576"/>
    <mergeCell ref="E575:E576"/>
    <mergeCell ref="F575:G575"/>
    <mergeCell ref="B577:C577"/>
    <mergeCell ref="T14:AA14"/>
    <mergeCell ref="B550:C550"/>
    <mergeCell ref="B551:C551"/>
    <mergeCell ref="D542:D543"/>
    <mergeCell ref="E542:E543"/>
    <mergeCell ref="B549:C549"/>
    <mergeCell ref="F542:G542"/>
    <mergeCell ref="B542:C543"/>
    <mergeCell ref="A542:A543"/>
    <mergeCell ref="B544:C544"/>
    <mergeCell ref="B545:C545"/>
    <mergeCell ref="B546:C546"/>
    <mergeCell ref="B547:C547"/>
    <mergeCell ref="B548:C548"/>
    <mergeCell ref="B24:H24"/>
    <mergeCell ref="B14:I14"/>
    <mergeCell ref="K24:P24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038B-804A-4099-B794-3A45502BB4F9}">
  <dimension ref="A1:BM47"/>
  <sheetViews>
    <sheetView topLeftCell="A22" zoomScale="85" zoomScaleNormal="85" workbookViewId="0">
      <selection activeCell="A19" sqref="A19:P19"/>
    </sheetView>
  </sheetViews>
  <sheetFormatPr defaultRowHeight="15"/>
  <cols>
    <col min="1" max="16384" width="9.140625" style="2"/>
  </cols>
  <sheetData>
    <row r="1" spans="1:65">
      <c r="A1" s="36" t="s">
        <v>143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  <c r="Q1" s="1"/>
    </row>
    <row r="2" spans="1:65">
      <c r="A2" s="3">
        <v>14</v>
      </c>
      <c r="B2" s="3">
        <v>4</v>
      </c>
      <c r="C2" s="3">
        <v>13</v>
      </c>
      <c r="D2" s="3">
        <v>1</v>
      </c>
      <c r="E2" s="3">
        <v>2</v>
      </c>
      <c r="F2" s="3">
        <v>15</v>
      </c>
      <c r="G2" s="3">
        <v>11</v>
      </c>
      <c r="H2" s="3">
        <v>8</v>
      </c>
      <c r="I2" s="3">
        <v>3</v>
      </c>
      <c r="J2" s="3">
        <v>10</v>
      </c>
      <c r="K2" s="3">
        <v>6</v>
      </c>
      <c r="L2" s="3">
        <v>12</v>
      </c>
      <c r="M2" s="3">
        <v>5</v>
      </c>
      <c r="N2" s="3">
        <v>9</v>
      </c>
      <c r="O2" s="3">
        <v>0</v>
      </c>
      <c r="P2" s="3">
        <v>7</v>
      </c>
      <c r="Q2" s="1"/>
    </row>
    <row r="3" spans="1:65">
      <c r="A3" s="3">
        <v>0</v>
      </c>
      <c r="B3" s="3">
        <v>15</v>
      </c>
      <c r="C3" s="3">
        <v>7</v>
      </c>
      <c r="D3" s="3">
        <v>4</v>
      </c>
      <c r="E3" s="3">
        <v>14</v>
      </c>
      <c r="F3" s="3">
        <v>2</v>
      </c>
      <c r="G3" s="3">
        <v>13</v>
      </c>
      <c r="H3" s="3">
        <v>1</v>
      </c>
      <c r="I3" s="3">
        <v>10</v>
      </c>
      <c r="J3" s="3">
        <v>6</v>
      </c>
      <c r="K3" s="3">
        <v>12</v>
      </c>
      <c r="L3" s="3">
        <v>11</v>
      </c>
      <c r="M3" s="3">
        <v>9</v>
      </c>
      <c r="N3" s="3">
        <v>5</v>
      </c>
      <c r="O3" s="3">
        <v>3</v>
      </c>
      <c r="P3" s="3">
        <v>8</v>
      </c>
      <c r="Q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>
      <c r="A4" s="3">
        <v>4</v>
      </c>
      <c r="B4" s="3">
        <v>1</v>
      </c>
      <c r="C4" s="3">
        <v>14</v>
      </c>
      <c r="D4" s="3">
        <v>8</v>
      </c>
      <c r="E4" s="3">
        <v>13</v>
      </c>
      <c r="F4" s="3">
        <v>6</v>
      </c>
      <c r="G4" s="3">
        <v>2</v>
      </c>
      <c r="H4" s="3">
        <v>11</v>
      </c>
      <c r="I4" s="3">
        <v>15</v>
      </c>
      <c r="J4" s="3">
        <v>12</v>
      </c>
      <c r="K4" s="3">
        <v>9</v>
      </c>
      <c r="L4" s="3">
        <v>7</v>
      </c>
      <c r="M4" s="3">
        <v>3</v>
      </c>
      <c r="N4" s="3">
        <v>10</v>
      </c>
      <c r="O4" s="3">
        <v>5</v>
      </c>
      <c r="P4" s="3">
        <v>0</v>
      </c>
      <c r="Q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>
      <c r="A5" s="3">
        <v>15</v>
      </c>
      <c r="B5" s="3">
        <v>12</v>
      </c>
      <c r="C5" s="3">
        <v>8</v>
      </c>
      <c r="D5" s="3">
        <v>2</v>
      </c>
      <c r="E5" s="3">
        <v>4</v>
      </c>
      <c r="F5" s="3">
        <v>9</v>
      </c>
      <c r="G5" s="3">
        <v>1</v>
      </c>
      <c r="H5" s="3">
        <v>7</v>
      </c>
      <c r="I5" s="3">
        <v>5</v>
      </c>
      <c r="J5" s="3">
        <v>11</v>
      </c>
      <c r="K5" s="3">
        <v>3</v>
      </c>
      <c r="L5" s="3">
        <v>14</v>
      </c>
      <c r="M5" s="3">
        <v>10</v>
      </c>
      <c r="N5" s="3">
        <v>0</v>
      </c>
      <c r="O5" s="3">
        <v>6</v>
      </c>
      <c r="P5" s="3">
        <v>13</v>
      </c>
      <c r="Q5" s="1"/>
    </row>
    <row r="6" spans="1:6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65">
      <c r="A7" s="36" t="s">
        <v>144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65">
      <c r="A8" s="3">
        <v>15</v>
      </c>
      <c r="B8" s="3">
        <v>1</v>
      </c>
      <c r="C8" s="3">
        <v>8</v>
      </c>
      <c r="D8" s="3">
        <v>14</v>
      </c>
      <c r="E8" s="3">
        <v>6</v>
      </c>
      <c r="F8" s="3">
        <v>11</v>
      </c>
      <c r="G8" s="3">
        <v>3</v>
      </c>
      <c r="H8" s="3">
        <v>4</v>
      </c>
      <c r="I8" s="3">
        <v>9</v>
      </c>
      <c r="J8" s="3">
        <v>7</v>
      </c>
      <c r="K8" s="3">
        <v>2</v>
      </c>
      <c r="L8" s="3">
        <v>13</v>
      </c>
      <c r="M8" s="3">
        <v>12</v>
      </c>
      <c r="N8" s="3">
        <v>0</v>
      </c>
      <c r="O8" s="3">
        <v>5</v>
      </c>
      <c r="P8" s="3">
        <v>10</v>
      </c>
    </row>
    <row r="9" spans="1:65">
      <c r="A9" s="3">
        <v>3</v>
      </c>
      <c r="B9" s="3">
        <v>13</v>
      </c>
      <c r="C9" s="3">
        <v>4</v>
      </c>
      <c r="D9" s="3">
        <v>7</v>
      </c>
      <c r="E9" s="3">
        <v>15</v>
      </c>
      <c r="F9" s="3">
        <v>2</v>
      </c>
      <c r="G9" s="3">
        <v>8</v>
      </c>
      <c r="H9" s="3">
        <v>14</v>
      </c>
      <c r="I9" s="3">
        <v>12</v>
      </c>
      <c r="J9" s="3">
        <v>0</v>
      </c>
      <c r="K9" s="3">
        <v>1</v>
      </c>
      <c r="L9" s="3">
        <v>10</v>
      </c>
      <c r="M9" s="3">
        <v>6</v>
      </c>
      <c r="N9" s="3">
        <v>9</v>
      </c>
      <c r="O9" s="3">
        <v>11</v>
      </c>
      <c r="P9" s="3">
        <v>5</v>
      </c>
    </row>
    <row r="10" spans="1:65">
      <c r="A10" s="3">
        <v>0</v>
      </c>
      <c r="B10" s="3">
        <v>14</v>
      </c>
      <c r="C10" s="3">
        <v>7</v>
      </c>
      <c r="D10" s="3">
        <v>11</v>
      </c>
      <c r="E10" s="3">
        <v>10</v>
      </c>
      <c r="F10" s="3">
        <v>4</v>
      </c>
      <c r="G10" s="3">
        <v>13</v>
      </c>
      <c r="H10" s="3">
        <v>1</v>
      </c>
      <c r="I10" s="3">
        <v>5</v>
      </c>
      <c r="J10" s="3">
        <v>8</v>
      </c>
      <c r="K10" s="3">
        <v>12</v>
      </c>
      <c r="L10" s="3">
        <v>6</v>
      </c>
      <c r="M10" s="3">
        <v>9</v>
      </c>
      <c r="N10" s="3">
        <v>3</v>
      </c>
      <c r="O10" s="3">
        <v>2</v>
      </c>
      <c r="P10" s="3">
        <v>15</v>
      </c>
    </row>
    <row r="11" spans="1:65">
      <c r="A11" s="3">
        <v>13</v>
      </c>
      <c r="B11" s="3">
        <v>8</v>
      </c>
      <c r="C11" s="3">
        <v>10</v>
      </c>
      <c r="D11" s="3">
        <v>1</v>
      </c>
      <c r="E11" s="3">
        <v>3</v>
      </c>
      <c r="F11" s="3">
        <v>15</v>
      </c>
      <c r="G11" s="3">
        <v>4</v>
      </c>
      <c r="H11" s="3">
        <v>2</v>
      </c>
      <c r="I11" s="3">
        <v>11</v>
      </c>
      <c r="J11" s="3">
        <v>6</v>
      </c>
      <c r="K11" s="3">
        <v>7</v>
      </c>
      <c r="L11" s="3">
        <v>12</v>
      </c>
      <c r="M11" s="3">
        <v>0</v>
      </c>
      <c r="N11" s="3">
        <v>5</v>
      </c>
      <c r="O11" s="3">
        <v>14</v>
      </c>
      <c r="P11" s="3">
        <v>9</v>
      </c>
    </row>
    <row r="13" spans="1:65">
      <c r="A13" s="36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65">
      <c r="A14" s="3">
        <v>10</v>
      </c>
      <c r="B14" s="3">
        <v>0</v>
      </c>
      <c r="C14" s="3">
        <v>9</v>
      </c>
      <c r="D14" s="3">
        <v>14</v>
      </c>
      <c r="E14" s="3">
        <v>6</v>
      </c>
      <c r="F14" s="3">
        <v>3</v>
      </c>
      <c r="G14" s="3">
        <v>15</v>
      </c>
      <c r="H14" s="3">
        <v>5</v>
      </c>
      <c r="I14" s="3">
        <v>1</v>
      </c>
      <c r="J14" s="3">
        <v>13</v>
      </c>
      <c r="K14" s="3">
        <v>12</v>
      </c>
      <c r="L14" s="3">
        <v>7</v>
      </c>
      <c r="M14" s="3">
        <v>11</v>
      </c>
      <c r="N14" s="3">
        <v>4</v>
      </c>
      <c r="O14" s="3">
        <v>2</v>
      </c>
      <c r="P14" s="3">
        <v>8</v>
      </c>
    </row>
    <row r="15" spans="1:65">
      <c r="A15" s="3">
        <v>13</v>
      </c>
      <c r="B15" s="3">
        <v>7</v>
      </c>
      <c r="C15" s="3">
        <v>0</v>
      </c>
      <c r="D15" s="3">
        <v>9</v>
      </c>
      <c r="E15" s="3">
        <v>3</v>
      </c>
      <c r="F15" s="3">
        <v>4</v>
      </c>
      <c r="G15" s="3">
        <v>6</v>
      </c>
      <c r="H15" s="3">
        <v>10</v>
      </c>
      <c r="I15" s="3">
        <v>2</v>
      </c>
      <c r="J15" s="3">
        <v>8</v>
      </c>
      <c r="K15" s="3">
        <v>5</v>
      </c>
      <c r="L15" s="3">
        <v>14</v>
      </c>
      <c r="M15" s="3">
        <v>12</v>
      </c>
      <c r="N15" s="3">
        <v>11</v>
      </c>
      <c r="O15" s="3">
        <v>15</v>
      </c>
      <c r="P15" s="3">
        <v>1</v>
      </c>
    </row>
    <row r="16" spans="1:65">
      <c r="A16" s="3">
        <v>13</v>
      </c>
      <c r="B16" s="3">
        <v>6</v>
      </c>
      <c r="C16" s="3">
        <v>4</v>
      </c>
      <c r="D16" s="3">
        <v>9</v>
      </c>
      <c r="E16" s="3">
        <v>8</v>
      </c>
      <c r="F16" s="3">
        <v>15</v>
      </c>
      <c r="G16" s="3">
        <v>3</v>
      </c>
      <c r="H16" s="3">
        <v>0</v>
      </c>
      <c r="I16" s="3">
        <v>11</v>
      </c>
      <c r="J16" s="3">
        <v>1</v>
      </c>
      <c r="K16" s="3">
        <v>2</v>
      </c>
      <c r="L16" s="3">
        <v>12</v>
      </c>
      <c r="M16" s="3">
        <v>5</v>
      </c>
      <c r="N16" s="3">
        <v>10</v>
      </c>
      <c r="O16" s="3">
        <v>14</v>
      </c>
      <c r="P16" s="3">
        <v>7</v>
      </c>
    </row>
    <row r="17" spans="1:17">
      <c r="A17" s="3">
        <v>1</v>
      </c>
      <c r="B17" s="3">
        <v>10</v>
      </c>
      <c r="C17" s="3">
        <v>13</v>
      </c>
      <c r="D17" s="3">
        <v>0</v>
      </c>
      <c r="E17" s="3">
        <v>6</v>
      </c>
      <c r="F17" s="3">
        <v>9</v>
      </c>
      <c r="G17" s="3">
        <v>8</v>
      </c>
      <c r="H17" s="3">
        <v>7</v>
      </c>
      <c r="I17" s="3">
        <v>4</v>
      </c>
      <c r="J17" s="3">
        <v>15</v>
      </c>
      <c r="K17" s="3">
        <v>14</v>
      </c>
      <c r="L17" s="3">
        <v>3</v>
      </c>
      <c r="M17" s="3">
        <v>11</v>
      </c>
      <c r="N17" s="3">
        <v>5</v>
      </c>
      <c r="O17" s="3">
        <v>2</v>
      </c>
      <c r="P17" s="3">
        <v>12</v>
      </c>
    </row>
    <row r="19" spans="1:17">
      <c r="A19" s="33" t="s">
        <v>146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/>
    </row>
    <row r="20" spans="1:17">
      <c r="A20" s="3">
        <v>7</v>
      </c>
      <c r="B20" s="3">
        <v>13</v>
      </c>
      <c r="C20" s="3">
        <v>14</v>
      </c>
      <c r="D20" s="3">
        <v>3</v>
      </c>
      <c r="E20" s="3">
        <v>0</v>
      </c>
      <c r="F20" s="3">
        <v>6</v>
      </c>
      <c r="G20" s="3">
        <v>9</v>
      </c>
      <c r="H20" s="3">
        <v>10</v>
      </c>
      <c r="I20" s="3">
        <v>1</v>
      </c>
      <c r="J20" s="3">
        <v>2</v>
      </c>
      <c r="K20" s="3">
        <v>8</v>
      </c>
      <c r="L20" s="3">
        <v>5</v>
      </c>
      <c r="M20" s="3">
        <v>11</v>
      </c>
      <c r="N20" s="3">
        <v>12</v>
      </c>
      <c r="O20" s="3">
        <v>4</v>
      </c>
      <c r="P20" s="3">
        <v>15</v>
      </c>
    </row>
    <row r="21" spans="1:17">
      <c r="A21" s="3">
        <v>13</v>
      </c>
      <c r="B21" s="3">
        <v>8</v>
      </c>
      <c r="C21" s="3">
        <v>11</v>
      </c>
      <c r="D21" s="3">
        <v>5</v>
      </c>
      <c r="E21" s="3">
        <v>6</v>
      </c>
      <c r="F21" s="3">
        <v>15</v>
      </c>
      <c r="G21" s="3">
        <v>0</v>
      </c>
      <c r="H21" s="3">
        <v>3</v>
      </c>
      <c r="I21" s="3">
        <v>4</v>
      </c>
      <c r="J21" s="3">
        <v>7</v>
      </c>
      <c r="K21" s="3">
        <v>2</v>
      </c>
      <c r="L21" s="3">
        <v>12</v>
      </c>
      <c r="M21" s="3">
        <v>1</v>
      </c>
      <c r="N21" s="3">
        <v>10</v>
      </c>
      <c r="O21" s="3">
        <v>14</v>
      </c>
      <c r="P21" s="3">
        <v>9</v>
      </c>
    </row>
    <row r="22" spans="1:17">
      <c r="A22" s="3">
        <v>10</v>
      </c>
      <c r="B22" s="3">
        <v>6</v>
      </c>
      <c r="C22" s="3">
        <v>9</v>
      </c>
      <c r="D22" s="3">
        <v>0</v>
      </c>
      <c r="E22" s="3">
        <v>12</v>
      </c>
      <c r="F22" s="3">
        <v>11</v>
      </c>
      <c r="G22" s="3">
        <v>7</v>
      </c>
      <c r="H22" s="3">
        <v>13</v>
      </c>
      <c r="I22" s="3">
        <v>15</v>
      </c>
      <c r="J22" s="3">
        <v>1</v>
      </c>
      <c r="K22" s="3">
        <v>3</v>
      </c>
      <c r="L22" s="3">
        <v>14</v>
      </c>
      <c r="M22" s="3">
        <v>5</v>
      </c>
      <c r="N22" s="3">
        <v>2</v>
      </c>
      <c r="O22" s="3">
        <v>8</v>
      </c>
      <c r="P22" s="3">
        <v>4</v>
      </c>
    </row>
    <row r="23" spans="1:17">
      <c r="A23" s="3">
        <v>3</v>
      </c>
      <c r="B23" s="3">
        <v>15</v>
      </c>
      <c r="C23" s="3">
        <v>0</v>
      </c>
      <c r="D23" s="3">
        <v>6</v>
      </c>
      <c r="E23" s="3">
        <v>10</v>
      </c>
      <c r="F23" s="3">
        <v>1</v>
      </c>
      <c r="G23" s="3">
        <v>13</v>
      </c>
      <c r="H23" s="3">
        <v>8</v>
      </c>
      <c r="I23" s="3">
        <v>9</v>
      </c>
      <c r="J23" s="3">
        <v>4</v>
      </c>
      <c r="K23" s="3">
        <v>5</v>
      </c>
      <c r="L23" s="3">
        <v>11</v>
      </c>
      <c r="M23" s="3">
        <v>12</v>
      </c>
      <c r="N23" s="3">
        <v>7</v>
      </c>
      <c r="O23" s="3">
        <v>2</v>
      </c>
      <c r="P23" s="3">
        <v>14</v>
      </c>
    </row>
    <row r="25" spans="1:17">
      <c r="A25" s="36" t="s">
        <v>147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/>
    </row>
    <row r="26" spans="1:17">
      <c r="A26" s="3">
        <v>2</v>
      </c>
      <c r="B26" s="3">
        <v>12</v>
      </c>
      <c r="C26" s="3">
        <v>4</v>
      </c>
      <c r="D26" s="3">
        <v>1</v>
      </c>
      <c r="E26" s="3">
        <v>7</v>
      </c>
      <c r="F26" s="3">
        <v>10</v>
      </c>
      <c r="G26" s="3">
        <v>11</v>
      </c>
      <c r="H26" s="3">
        <v>6</v>
      </c>
      <c r="I26" s="3">
        <v>8</v>
      </c>
      <c r="J26" s="3">
        <v>5</v>
      </c>
      <c r="K26" s="3">
        <v>3</v>
      </c>
      <c r="L26" s="3">
        <v>15</v>
      </c>
      <c r="M26" s="3">
        <v>13</v>
      </c>
      <c r="N26" s="3">
        <v>0</v>
      </c>
      <c r="O26" s="3">
        <v>14</v>
      </c>
      <c r="P26" s="3">
        <v>9</v>
      </c>
    </row>
    <row r="27" spans="1:17">
      <c r="A27" s="3">
        <v>14</v>
      </c>
      <c r="B27" s="3">
        <v>11</v>
      </c>
      <c r="C27" s="3">
        <v>2</v>
      </c>
      <c r="D27" s="3">
        <v>12</v>
      </c>
      <c r="E27" s="3">
        <v>4</v>
      </c>
      <c r="F27" s="3">
        <v>7</v>
      </c>
      <c r="G27" s="3">
        <v>13</v>
      </c>
      <c r="H27" s="3">
        <v>1</v>
      </c>
      <c r="I27" s="3">
        <v>5</v>
      </c>
      <c r="J27" s="3">
        <v>0</v>
      </c>
      <c r="K27" s="3">
        <v>15</v>
      </c>
      <c r="L27" s="3">
        <v>10</v>
      </c>
      <c r="M27" s="3">
        <v>3</v>
      </c>
      <c r="N27" s="3">
        <v>9</v>
      </c>
      <c r="O27" s="3">
        <v>8</v>
      </c>
      <c r="P27" s="3">
        <v>6</v>
      </c>
    </row>
    <row r="28" spans="1:17">
      <c r="A28" s="3">
        <v>4</v>
      </c>
      <c r="B28" s="3">
        <v>2</v>
      </c>
      <c r="C28" s="3">
        <v>1</v>
      </c>
      <c r="D28" s="3">
        <v>11</v>
      </c>
      <c r="E28" s="3">
        <v>10</v>
      </c>
      <c r="F28" s="3">
        <v>13</v>
      </c>
      <c r="G28" s="3">
        <v>7</v>
      </c>
      <c r="H28" s="3">
        <v>8</v>
      </c>
      <c r="I28" s="3">
        <v>15</v>
      </c>
      <c r="J28" s="3">
        <v>9</v>
      </c>
      <c r="K28" s="3">
        <v>12</v>
      </c>
      <c r="L28" s="3">
        <v>5</v>
      </c>
      <c r="M28" s="3">
        <v>6</v>
      </c>
      <c r="N28" s="3">
        <v>3</v>
      </c>
      <c r="O28" s="3">
        <v>0</v>
      </c>
      <c r="P28" s="3">
        <v>14</v>
      </c>
    </row>
    <row r="29" spans="1:17">
      <c r="A29" s="3">
        <v>11</v>
      </c>
      <c r="B29" s="3">
        <v>8</v>
      </c>
      <c r="C29" s="3">
        <v>12</v>
      </c>
      <c r="D29" s="3">
        <v>7</v>
      </c>
      <c r="E29" s="3">
        <v>1</v>
      </c>
      <c r="F29" s="3">
        <v>14</v>
      </c>
      <c r="G29" s="3">
        <v>2</v>
      </c>
      <c r="H29" s="3">
        <v>13</v>
      </c>
      <c r="I29" s="3">
        <v>6</v>
      </c>
      <c r="J29" s="3">
        <v>15</v>
      </c>
      <c r="K29" s="3">
        <v>0</v>
      </c>
      <c r="L29" s="3">
        <v>9</v>
      </c>
      <c r="M29" s="3">
        <v>10</v>
      </c>
      <c r="N29" s="3">
        <v>4</v>
      </c>
      <c r="O29" s="3">
        <v>5</v>
      </c>
      <c r="P29" s="3">
        <v>3</v>
      </c>
      <c r="Q29" s="1"/>
    </row>
    <row r="30" spans="1:17">
      <c r="Q30" s="1"/>
    </row>
    <row r="31" spans="1:17">
      <c r="A31" s="33" t="s">
        <v>148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5"/>
      <c r="Q31" s="1"/>
    </row>
    <row r="32" spans="1:17">
      <c r="A32" s="3">
        <v>12</v>
      </c>
      <c r="B32" s="3">
        <v>1</v>
      </c>
      <c r="C32" s="3">
        <v>10</v>
      </c>
      <c r="D32" s="3">
        <v>15</v>
      </c>
      <c r="E32" s="3">
        <v>9</v>
      </c>
      <c r="F32" s="3">
        <v>2</v>
      </c>
      <c r="G32" s="3">
        <v>6</v>
      </c>
      <c r="H32" s="3">
        <v>8</v>
      </c>
      <c r="I32" s="3">
        <v>0</v>
      </c>
      <c r="J32" s="3">
        <v>13</v>
      </c>
      <c r="K32" s="3">
        <v>3</v>
      </c>
      <c r="L32" s="3">
        <v>4</v>
      </c>
      <c r="M32" s="3">
        <v>14</v>
      </c>
      <c r="N32" s="3">
        <v>7</v>
      </c>
      <c r="O32" s="3">
        <v>5</v>
      </c>
      <c r="P32" s="3">
        <v>11</v>
      </c>
      <c r="Q32" s="1"/>
    </row>
    <row r="33" spans="1:33">
      <c r="A33" s="3">
        <v>10</v>
      </c>
      <c r="B33" s="3">
        <v>15</v>
      </c>
      <c r="C33" s="3">
        <v>4</v>
      </c>
      <c r="D33" s="3">
        <v>2</v>
      </c>
      <c r="E33" s="3">
        <v>7</v>
      </c>
      <c r="F33" s="3">
        <v>12</v>
      </c>
      <c r="G33" s="3">
        <v>9</v>
      </c>
      <c r="H33" s="3">
        <v>5</v>
      </c>
      <c r="I33" s="3">
        <v>6</v>
      </c>
      <c r="J33" s="3">
        <v>1</v>
      </c>
      <c r="K33" s="3">
        <v>13</v>
      </c>
      <c r="L33" s="3">
        <v>14</v>
      </c>
      <c r="M33" s="3">
        <v>0</v>
      </c>
      <c r="N33" s="3">
        <v>11</v>
      </c>
      <c r="O33" s="3">
        <v>3</v>
      </c>
      <c r="P33" s="3">
        <v>8</v>
      </c>
      <c r="Q33" s="1"/>
    </row>
    <row r="34" spans="1:33">
      <c r="A34" s="3">
        <v>9</v>
      </c>
      <c r="B34" s="3">
        <v>14</v>
      </c>
      <c r="C34" s="3">
        <v>15</v>
      </c>
      <c r="D34" s="3">
        <v>5</v>
      </c>
      <c r="E34" s="3">
        <v>2</v>
      </c>
      <c r="F34" s="3">
        <v>8</v>
      </c>
      <c r="G34" s="3">
        <v>12</v>
      </c>
      <c r="H34" s="3">
        <v>3</v>
      </c>
      <c r="I34" s="3">
        <v>7</v>
      </c>
      <c r="J34" s="3">
        <v>0</v>
      </c>
      <c r="K34" s="3">
        <v>4</v>
      </c>
      <c r="L34" s="3">
        <v>10</v>
      </c>
      <c r="M34" s="3">
        <v>1</v>
      </c>
      <c r="N34" s="3">
        <v>13</v>
      </c>
      <c r="O34" s="3">
        <v>11</v>
      </c>
      <c r="P34" s="3">
        <v>6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>
      <c r="A35" s="3">
        <v>4</v>
      </c>
      <c r="B35" s="3">
        <v>3</v>
      </c>
      <c r="C35" s="3">
        <v>2</v>
      </c>
      <c r="D35" s="3">
        <v>12</v>
      </c>
      <c r="E35" s="3">
        <v>9</v>
      </c>
      <c r="F35" s="3">
        <v>5</v>
      </c>
      <c r="G35" s="3">
        <v>15</v>
      </c>
      <c r="H35" s="3">
        <v>10</v>
      </c>
      <c r="I35" s="3">
        <v>11</v>
      </c>
      <c r="J35" s="3">
        <v>14</v>
      </c>
      <c r="K35" s="3">
        <v>1</v>
      </c>
      <c r="L35" s="3">
        <v>7</v>
      </c>
      <c r="M35" s="3">
        <v>6</v>
      </c>
      <c r="N35" s="3">
        <v>0</v>
      </c>
      <c r="O35" s="3">
        <v>8</v>
      </c>
      <c r="P35" s="3">
        <v>13</v>
      </c>
      <c r="Q35" s="1"/>
    </row>
    <row r="36" spans="1:33">
      <c r="Q36" s="1"/>
    </row>
    <row r="37" spans="1:33">
      <c r="A37" s="36" t="s">
        <v>149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5"/>
      <c r="Q37" s="1"/>
    </row>
    <row r="38" spans="1:33">
      <c r="A38" s="3">
        <v>4</v>
      </c>
      <c r="B38" s="3">
        <v>11</v>
      </c>
      <c r="C38" s="3">
        <v>2</v>
      </c>
      <c r="D38" s="3">
        <v>14</v>
      </c>
      <c r="E38" s="3">
        <v>15</v>
      </c>
      <c r="F38" s="3">
        <v>0</v>
      </c>
      <c r="G38" s="3">
        <v>8</v>
      </c>
      <c r="H38" s="3">
        <v>13</v>
      </c>
      <c r="I38" s="3">
        <v>3</v>
      </c>
      <c r="J38" s="3">
        <v>12</v>
      </c>
      <c r="K38" s="3">
        <v>9</v>
      </c>
      <c r="L38" s="3">
        <v>7</v>
      </c>
      <c r="M38" s="3">
        <v>5</v>
      </c>
      <c r="N38" s="3">
        <v>10</v>
      </c>
      <c r="O38" s="3">
        <v>6</v>
      </c>
      <c r="P38" s="3">
        <v>1</v>
      </c>
      <c r="Q38" s="1"/>
    </row>
    <row r="39" spans="1:33">
      <c r="A39" s="3">
        <v>13</v>
      </c>
      <c r="B39" s="3">
        <v>0</v>
      </c>
      <c r="C39" s="3">
        <v>11</v>
      </c>
      <c r="D39" s="3">
        <v>7</v>
      </c>
      <c r="E39" s="3">
        <v>4</v>
      </c>
      <c r="F39" s="3">
        <v>9</v>
      </c>
      <c r="G39" s="3">
        <v>1</v>
      </c>
      <c r="H39" s="3">
        <v>10</v>
      </c>
      <c r="I39" s="3">
        <v>14</v>
      </c>
      <c r="J39" s="3">
        <v>3</v>
      </c>
      <c r="K39" s="3">
        <v>5</v>
      </c>
      <c r="L39" s="3">
        <v>12</v>
      </c>
      <c r="M39" s="3">
        <v>2</v>
      </c>
      <c r="N39" s="3">
        <v>15</v>
      </c>
      <c r="O39" s="3">
        <v>8</v>
      </c>
      <c r="P39" s="3">
        <v>6</v>
      </c>
      <c r="Q39" s="1"/>
    </row>
    <row r="40" spans="1:33">
      <c r="A40" s="3">
        <v>1</v>
      </c>
      <c r="B40" s="3">
        <v>4</v>
      </c>
      <c r="C40" s="3">
        <v>11</v>
      </c>
      <c r="D40" s="3">
        <v>13</v>
      </c>
      <c r="E40" s="3">
        <v>12</v>
      </c>
      <c r="F40" s="3">
        <v>3</v>
      </c>
      <c r="G40" s="3">
        <v>7</v>
      </c>
      <c r="H40" s="3">
        <v>14</v>
      </c>
      <c r="I40" s="3">
        <v>10</v>
      </c>
      <c r="J40" s="3">
        <v>15</v>
      </c>
      <c r="K40" s="3">
        <v>6</v>
      </c>
      <c r="L40" s="3">
        <v>8</v>
      </c>
      <c r="M40" s="3">
        <v>0</v>
      </c>
      <c r="N40" s="3">
        <v>5</v>
      </c>
      <c r="O40" s="3">
        <v>9</v>
      </c>
      <c r="P40" s="3">
        <v>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>
      <c r="A41" s="3">
        <v>6</v>
      </c>
      <c r="B41" s="3">
        <v>11</v>
      </c>
      <c r="C41" s="3">
        <v>13</v>
      </c>
      <c r="D41" s="3">
        <v>8</v>
      </c>
      <c r="E41" s="3">
        <v>1</v>
      </c>
      <c r="F41" s="3">
        <v>4</v>
      </c>
      <c r="G41" s="3">
        <v>10</v>
      </c>
      <c r="H41" s="3">
        <v>7</v>
      </c>
      <c r="I41" s="3">
        <v>9</v>
      </c>
      <c r="J41" s="3">
        <v>5</v>
      </c>
      <c r="K41" s="3">
        <v>0</v>
      </c>
      <c r="L41" s="3">
        <v>15</v>
      </c>
      <c r="M41" s="3">
        <v>14</v>
      </c>
      <c r="N41" s="3">
        <v>2</v>
      </c>
      <c r="O41" s="3">
        <v>3</v>
      </c>
      <c r="P41" s="3">
        <v>12</v>
      </c>
      <c r="Q41" s="1"/>
    </row>
    <row r="42" spans="1:33">
      <c r="Q42" s="1"/>
    </row>
    <row r="43" spans="1:33">
      <c r="A43" s="33" t="s">
        <v>150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5"/>
      <c r="Q43" s="1"/>
    </row>
    <row r="44" spans="1:33">
      <c r="A44" s="3">
        <v>13</v>
      </c>
      <c r="B44" s="3">
        <v>2</v>
      </c>
      <c r="C44" s="3">
        <v>8</v>
      </c>
      <c r="D44" s="3">
        <v>4</v>
      </c>
      <c r="E44" s="3">
        <v>6</v>
      </c>
      <c r="F44" s="3">
        <v>15</v>
      </c>
      <c r="G44" s="3">
        <v>11</v>
      </c>
      <c r="H44" s="3">
        <v>1</v>
      </c>
      <c r="I44" s="3">
        <v>10</v>
      </c>
      <c r="J44" s="3">
        <v>9</v>
      </c>
      <c r="K44" s="3">
        <v>3</v>
      </c>
      <c r="L44" s="3">
        <v>14</v>
      </c>
      <c r="M44" s="3">
        <v>5</v>
      </c>
      <c r="N44" s="3">
        <v>0</v>
      </c>
      <c r="O44" s="3">
        <v>12</v>
      </c>
      <c r="P44" s="3">
        <v>7</v>
      </c>
      <c r="Q44" s="1"/>
    </row>
    <row r="45" spans="1:33">
      <c r="A45" s="3">
        <v>1</v>
      </c>
      <c r="B45" s="3">
        <v>15</v>
      </c>
      <c r="C45" s="3">
        <v>13</v>
      </c>
      <c r="D45" s="3">
        <v>8</v>
      </c>
      <c r="E45" s="3">
        <v>10</v>
      </c>
      <c r="F45" s="3">
        <v>3</v>
      </c>
      <c r="G45" s="3">
        <v>7</v>
      </c>
      <c r="H45" s="3">
        <v>4</v>
      </c>
      <c r="I45" s="3">
        <v>12</v>
      </c>
      <c r="J45" s="3">
        <v>5</v>
      </c>
      <c r="K45" s="3">
        <v>6</v>
      </c>
      <c r="L45" s="3">
        <v>11</v>
      </c>
      <c r="M45" s="3">
        <v>0</v>
      </c>
      <c r="N45" s="3">
        <v>14</v>
      </c>
      <c r="O45" s="3">
        <v>9</v>
      </c>
      <c r="P45" s="3">
        <v>2</v>
      </c>
      <c r="Q45" s="1"/>
    </row>
    <row r="46" spans="1:33">
      <c r="A46" s="3">
        <v>7</v>
      </c>
      <c r="B46" s="3">
        <v>11</v>
      </c>
      <c r="C46" s="3">
        <v>4</v>
      </c>
      <c r="D46" s="3">
        <v>1</v>
      </c>
      <c r="E46" s="3">
        <v>9</v>
      </c>
      <c r="F46" s="3">
        <v>12</v>
      </c>
      <c r="G46" s="3">
        <v>14</v>
      </c>
      <c r="H46" s="3">
        <v>2</v>
      </c>
      <c r="I46" s="3">
        <v>0</v>
      </c>
      <c r="J46" s="3">
        <v>6</v>
      </c>
      <c r="K46" s="3">
        <v>10</v>
      </c>
      <c r="L46" s="3">
        <v>13</v>
      </c>
      <c r="M46" s="3">
        <v>15</v>
      </c>
      <c r="N46" s="3">
        <v>3</v>
      </c>
      <c r="O46" s="3">
        <v>5</v>
      </c>
      <c r="P46" s="3">
        <v>8</v>
      </c>
    </row>
    <row r="47" spans="1:33">
      <c r="A47" s="3">
        <v>2</v>
      </c>
      <c r="B47" s="3">
        <v>1</v>
      </c>
      <c r="C47" s="3">
        <v>14</v>
      </c>
      <c r="D47" s="3">
        <v>7</v>
      </c>
      <c r="E47" s="3">
        <v>4</v>
      </c>
      <c r="F47" s="3">
        <v>10</v>
      </c>
      <c r="G47" s="3">
        <v>8</v>
      </c>
      <c r="H47" s="3">
        <v>13</v>
      </c>
      <c r="I47" s="3">
        <v>15</v>
      </c>
      <c r="J47" s="3">
        <v>12</v>
      </c>
      <c r="K47" s="3">
        <v>9</v>
      </c>
      <c r="L47" s="3">
        <v>0</v>
      </c>
      <c r="M47" s="3">
        <v>3</v>
      </c>
      <c r="N47" s="3">
        <v>5</v>
      </c>
      <c r="O47" s="3">
        <v>6</v>
      </c>
      <c r="P47" s="3">
        <v>11</v>
      </c>
    </row>
  </sheetData>
  <mergeCells count="8">
    <mergeCell ref="A43:P43"/>
    <mergeCell ref="A37:P37"/>
    <mergeCell ref="A1:P1"/>
    <mergeCell ref="A7:P7"/>
    <mergeCell ref="A13:P13"/>
    <mergeCell ref="A19:P19"/>
    <mergeCell ref="A25:P25"/>
    <mergeCell ref="A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Tính toán</vt:lpstr>
      <vt:lpstr>S-box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Bách Mai</dc:creator>
  <cp:lastModifiedBy>Khoa Bách Mai</cp:lastModifiedBy>
  <dcterms:created xsi:type="dcterms:W3CDTF">2015-06-05T18:19:34Z</dcterms:created>
  <dcterms:modified xsi:type="dcterms:W3CDTF">2025-08-27T08:17:14Z</dcterms:modified>
</cp:coreProperties>
</file>