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ởi tạo" sheetId="1" r:id="rId4"/>
    <sheet state="visible" name="Tạo khóa K &amp; Kết quả " sheetId="2" r:id="rId5"/>
  </sheets>
  <definedNames>
    <definedName name="khoaK14">'Tạo khóa K &amp; Kết quả '!$L$84:$Q$91</definedName>
    <definedName name="khoa4">'Tạo khóa K &amp; Kết quả '!$AG$2:$AM$9</definedName>
    <definedName name="S_8">'Tạo khóa K &amp; Kết quả '!$B$156:$Q$159</definedName>
    <definedName name="K_11">'Tạo khóa K &amp; Kết quả '!$AL$64</definedName>
    <definedName name="khoaK13">'Tạo khóa K &amp; Kết quả '!$C$84:$H$91</definedName>
    <definedName name="K_15">'Tạo khóa K &amp; Kết quả '!$AL$68</definedName>
    <definedName name="khoaK3">'Tạo khóa K &amp; Kết quả '!$U$54:$Z$61</definedName>
    <definedName name="khoa16">'Tạo khóa K &amp; Kết quả '!$AG$32:$AM$39</definedName>
    <definedName name="khoaK5">'Tạo khóa K &amp; Kết quả '!$C$64:$H$71</definedName>
    <definedName name="khoa14">'Tạo khóa K &amp; Kết quả '!$M$32:$S$39</definedName>
    <definedName name="khoaK10">'Tạo khóa K &amp; Kết quả '!$L$74:$Q$81</definedName>
    <definedName name="K_8">'Tạo khóa K &amp; Kết quả '!$AL$61</definedName>
    <definedName name="K_3">'Tạo khóa K &amp; Kết quả '!$AL$56</definedName>
    <definedName name="khoaK15">'Tạo khóa K &amp; Kết quả '!$U$84:$Z$91</definedName>
    <definedName name="khoa5">'Tạo khóa K &amp; Kết quả '!$C$12:$I$19</definedName>
    <definedName name="S_6">'Tạo khóa K &amp; Kết quả '!$B$144:$Q$147</definedName>
    <definedName name="K_6">'Tạo khóa K &amp; Kết quả '!$AL$59</definedName>
    <definedName name="khoa7">'Tạo khóa K &amp; Kết quả '!$W$12:$AC$19</definedName>
    <definedName name="khoa15">'Tạo khóa K &amp; Kết quả '!$W$32:$AC$39</definedName>
    <definedName name="khoaK8">'Tạo khóa K &amp; Kết quả '!$AD$64:$AI$71</definedName>
    <definedName name="K_5">'Tạo khóa K &amp; Kết quả '!$AL$58</definedName>
    <definedName name="khoa13">'Tạo khóa K &amp; Kết quả '!$C$32:$I$39</definedName>
    <definedName name="E_BIT">#REF!</definedName>
    <definedName name="S_4">'Tạo khóa K &amp; Kết quả '!$B$132:$Q$135</definedName>
    <definedName name="khoaK6">'Tạo khóa K &amp; Kết quả '!$L$64:$Q$71</definedName>
    <definedName name="EBIT">'Tạo khóa K &amp; Kết quả '!$A$95:$D$102</definedName>
    <definedName name="khoaK12">'Tạo khóa K &amp; Kết quả '!$AD$74:$AI$81</definedName>
    <definedName name="K_4">'Tạo khóa K &amp; Kết quả '!$AL$57</definedName>
    <definedName name="K_10">'Tạo khóa K &amp; Kết quả '!$AL$63</definedName>
    <definedName name="khoaK11">'Tạo khóa K &amp; Kết quả '!$U$74:$Z$81</definedName>
    <definedName name="K_12">'Tạo khóa K &amp; Kết quả '!$AL$65</definedName>
    <definedName name="E">'Tạo khóa K &amp; Kết quả '!$AG$123:$AL$130</definedName>
    <definedName name="khoaK16">'Tạo khóa K &amp; Kết quả '!$AD$84:$AI$91</definedName>
    <definedName name="khoa9">'Tạo khóa K &amp; Kết quả '!$C$22:$I$29</definedName>
    <definedName name="khoa8">'Tạo khóa K &amp; Kết quả '!$AG$12:$AM$19</definedName>
    <definedName name="khoaK9">'Tạo khóa K &amp; Kết quả '!$C$74:$H$81</definedName>
    <definedName name="S_7">'Tạo khóa K &amp; Kết quả '!$B$150:$Q$153</definedName>
    <definedName name="S_2">'Tạo khóa K &amp; Kết quả '!$B$120:$Q$123</definedName>
    <definedName name="khoaK4">'Tạo khóa K &amp; Kết quả '!$AD$54:$AI$61</definedName>
    <definedName name="K_9">'Tạo khóa K &amp; Kết quả '!$AL$62</definedName>
    <definedName name="khoa3">'Tạo khóa K &amp; Kết quả '!$W$2:$AC$9</definedName>
    <definedName name="khoa12">'Tạo khóa K &amp; Kết quả '!$AG$22:$AM$29</definedName>
    <definedName name="K_13">'Tạo khóa K &amp; Kết quả '!$AL$66</definedName>
    <definedName name="K_2">'Tạo khóa K &amp; Kết quả '!$AL$55</definedName>
    <definedName name="K_16">'Tạo khóa K &amp; Kết quả '!$AL$69</definedName>
    <definedName name="K_7">'Tạo khóa K &amp; Kết quả '!$AL$60</definedName>
    <definedName name="khoa1">'Tạo khóa K &amp; Kết quả '!$C$2:$I$9</definedName>
    <definedName name="K_1">'Tạo khóa K &amp; Kết quả '!$AL$54</definedName>
    <definedName name="khoaK7">'Tạo khóa K &amp; Kết quả '!$U$64:$Z$71</definedName>
    <definedName name="S_5">'Tạo khóa K &amp; Kết quả '!$B$138:$Q$141</definedName>
    <definedName name="K_14">'Tạo khóa K &amp; Kết quả '!$AL$67</definedName>
    <definedName name="khoa10">'Tạo khóa K &amp; Kết quả '!$M$22:$S$29</definedName>
    <definedName name="khoa2">'Tạo khóa K &amp; Kết quả '!$M$2:$S$9</definedName>
    <definedName name="khoa6">'Tạo khóa K &amp; Kết quả '!$M$12:$S$19</definedName>
    <definedName name="khoa11">'Tạo khóa K &amp; Kết quả '!$W$22:$AC$29</definedName>
    <definedName name="khoaK2">'Tạo khóa K &amp; Kết quả '!$L$54:$Q$61</definedName>
    <definedName name="S_3">'Tạo khóa K &amp; Kết quả '!$B$126:$Q$129</definedName>
    <definedName name="S_1">'Tạo khóa K &amp; Kết quả '!$B$114:$Q$117</definedName>
    <definedName name="khoaK1">'Tạo khóa K &amp; Kết quả '!$C$54:$H$61</definedName>
  </definedNames>
  <calcPr/>
  <extLst>
    <ext uri="GoogleSheetsCustomDataVersion2">
      <go:sheetsCustomData xmlns:go="http://customooxmlschemas.google.com/" r:id="rId6" roundtripDataChecksum="QvBB5AnFkMjkLaM19BHBQgEHvH9nucbOIsr5r4TPT+0="/>
    </ext>
  </extLst>
</workbook>
</file>

<file path=xl/sharedStrings.xml><?xml version="1.0" encoding="utf-8"?>
<sst xmlns="http://schemas.openxmlformats.org/spreadsheetml/2006/main" count="199" uniqueCount="124">
  <si>
    <t xml:space="preserve">Input: </t>
  </si>
  <si>
    <t>Bản mã M =</t>
  </si>
  <si>
    <t>a</t>
  </si>
  <si>
    <t>b</t>
  </si>
  <si>
    <t>c</t>
  </si>
  <si>
    <t>d</t>
  </si>
  <si>
    <t>e</t>
  </si>
  <si>
    <t xml:space="preserve">Bản mã M = </t>
  </si>
  <si>
    <t>00123456789abcde</t>
  </si>
  <si>
    <t>Khóa K      =</t>
  </si>
  <si>
    <t>0133457799bbcdff</t>
  </si>
  <si>
    <t xml:space="preserve">Khóa K     = </t>
  </si>
  <si>
    <t>f</t>
  </si>
  <si>
    <t xml:space="preserve">Output: </t>
  </si>
  <si>
    <t>Bản mã C  =</t>
  </si>
  <si>
    <t>1abff69d5a93e80b</t>
  </si>
  <si>
    <t>IP</t>
  </si>
  <si>
    <t>IP(M)</t>
  </si>
  <si>
    <t>Chia thành L0 và R0</t>
  </si>
  <si>
    <t>L0 (32 bit đầu):</t>
  </si>
  <si>
    <t>R0 (32 bit sau):</t>
  </si>
  <si>
    <t>PC-1</t>
  </si>
  <si>
    <t>S</t>
  </si>
  <si>
    <t>PC-1(K)</t>
  </si>
  <si>
    <t>Tách 28 bits đầu là C0 và 28 bits sau là D0</t>
  </si>
  <si>
    <t>K</t>
  </si>
  <si>
    <t>C0 =</t>
  </si>
  <si>
    <t>D0=</t>
  </si>
  <si>
    <r>
      <rPr>
        <rFont val="Play"/>
        <b/>
        <color theme="1"/>
        <sz val="11.0"/>
      </rPr>
      <t>PC-1 (Permutation Choice 1)</t>
    </r>
    <r>
      <rPr>
        <rFont val="Aptos Display"/>
        <b val="0"/>
        <color theme="1"/>
        <sz val="11.0"/>
      </rPr>
      <t xml:space="preserve"> </t>
    </r>
  </si>
  <si>
    <t>C0</t>
  </si>
  <si>
    <t>STT bit</t>
  </si>
  <si>
    <t>LS1(dịch 1)</t>
  </si>
  <si>
    <t>LS2(dịch 1)</t>
  </si>
  <si>
    <t>LS3</t>
  </si>
  <si>
    <t>LS4</t>
  </si>
  <si>
    <t>LS5</t>
  </si>
  <si>
    <t>LS6</t>
  </si>
  <si>
    <t>LS7</t>
  </si>
  <si>
    <t>LS8</t>
  </si>
  <si>
    <t>LS9(dịch 1)</t>
  </si>
  <si>
    <t>LS10</t>
  </si>
  <si>
    <t>LS11</t>
  </si>
  <si>
    <t>LS12</t>
  </si>
  <si>
    <t>LS13</t>
  </si>
  <si>
    <t>LS14</t>
  </si>
  <si>
    <t>LS15</t>
  </si>
  <si>
    <t>LS16(dịch 1)</t>
  </si>
  <si>
    <t>D0</t>
  </si>
  <si>
    <t>C1D1</t>
  </si>
  <si>
    <t xml:space="preserve">STT bit </t>
  </si>
  <si>
    <t>C2D2</t>
  </si>
  <si>
    <t>C3D3</t>
  </si>
  <si>
    <t>C4D4</t>
  </si>
  <si>
    <t>C5D5</t>
  </si>
  <si>
    <t>C6D6</t>
  </si>
  <si>
    <t>C7D7</t>
  </si>
  <si>
    <t>C8D8</t>
  </si>
  <si>
    <t>C9D9</t>
  </si>
  <si>
    <t>C10D10</t>
  </si>
  <si>
    <t>C11D11</t>
  </si>
  <si>
    <t>C12D12</t>
  </si>
  <si>
    <t>C13D13</t>
  </si>
  <si>
    <t>C14D14</t>
  </si>
  <si>
    <t>C15D15</t>
  </si>
  <si>
    <t>C16D16</t>
  </si>
  <si>
    <t>PC - 2: Biến từ 56 bit thành 48 bit</t>
  </si>
  <si>
    <t>K1</t>
  </si>
  <si>
    <t>K2</t>
  </si>
  <si>
    <t>K3</t>
  </si>
  <si>
    <t>K4</t>
  </si>
  <si>
    <t>Khóa đã FORMAT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</si>
  <si>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</si>
  <si>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</si>
  <si>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</si>
  <si>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</si>
  <si>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</si>
  <si>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</si>
  <si>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</si>
  <si>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</si>
  <si>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</si>
  <si>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</si>
  <si>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</si>
  <si>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</si>
  <si>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L</t>
  </si>
  <si>
    <t>R ( Li-1 XOR F )</t>
  </si>
  <si>
    <t>E(R)</t>
  </si>
  <si>
    <t>F = XOR(E(R), K(n+1)</t>
  </si>
  <si>
    <t>SBOX(R)</t>
  </si>
  <si>
    <t>P</t>
  </si>
  <si>
    <t>10011000111111101100110000000000</t>
  </si>
  <si>
    <t>11100000010101001111000010101010</t>
  </si>
  <si>
    <t>10010101110100111010110101010000</t>
  </si>
  <si>
    <t>01011000100000110000010010101001</t>
  </si>
  <si>
    <t>00111110010000010010101101111010</t>
  </si>
  <si>
    <t>00011111010101110011100000000100</t>
  </si>
  <si>
    <t>00100110101011010010111111101110</t>
  </si>
  <si>
    <t>10100000101101111101000110011101</t>
  </si>
  <si>
    <t>00110010110100100010000101011100</t>
  </si>
  <si>
    <t>11001111010100100111011101101101</t>
  </si>
  <si>
    <t>00000110000000011111100010011110</t>
  </si>
  <si>
    <t>00000010011110011110100001000101</t>
  </si>
  <si>
    <t>10010011101111110101101101001010</t>
  </si>
  <si>
    <t>01101010111000100111100110000110</t>
  </si>
  <si>
    <t>10011010001000101101101101011011</t>
  </si>
  <si>
    <t>10101011000111101101011101000001</t>
  </si>
  <si>
    <t>00001110110001001100101011100011</t>
  </si>
  <si>
    <t>10000010111000111100011111111100</t>
  </si>
  <si>
    <t>S Box:</t>
  </si>
  <si>
    <t>Bảng hoán vị mở rộng E</t>
  </si>
  <si>
    <t>EBIT</t>
  </si>
  <si>
    <t>KẾT QUẢ CUỐI CÙNG</t>
  </si>
  <si>
    <t>GHÉP R16-L16 VÀ ĐI QUA PC-1</t>
  </si>
  <si>
    <t>0001</t>
  </si>
  <si>
    <t>1010</t>
  </si>
  <si>
    <t>1011</t>
  </si>
  <si>
    <t>1111</t>
  </si>
  <si>
    <t>0110</t>
  </si>
  <si>
    <t>1001</t>
  </si>
  <si>
    <t>1101</t>
  </si>
  <si>
    <t>0101</t>
  </si>
  <si>
    <t>0011</t>
  </si>
  <si>
    <t>1110</t>
  </si>
  <si>
    <t>1000</t>
  </si>
  <si>
    <t>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</si>
</sst>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Play"/>
    </font>
    <font>
      <sz val="11.0"/>
      <color theme="1"/>
      <name val="Play"/>
    </font>
    <font>
      <sz val="11.0"/>
      <color rgb="FF006100"/>
      <name val="Aptos Narrow"/>
    </font>
    <font>
      <sz val="11.0"/>
      <color rgb="FF000000"/>
      <name val="&quot;Aptos Narrow&quot;"/>
    </font>
    <font>
      <sz val="11.0"/>
      <color rgb="FF9C5700"/>
      <name val="Aptos Narrow"/>
    </font>
    <font/>
    <font>
      <sz val="11.0"/>
      <color rgb="FF9C0006"/>
      <name val="Aptos Narrow"/>
    </font>
    <font>
      <sz val="28.0"/>
      <color theme="1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rgb="FF8ED873"/>
        <bgColor rgb="FF8ED873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2F2F2"/>
        <bgColor rgb="FFF2F2F2"/>
      </patternFill>
    </fill>
    <fill>
      <patternFill patternType="solid">
        <fgColor rgb="FF47D359"/>
        <bgColor rgb="FF47D359"/>
      </patternFill>
    </fill>
    <fill>
      <patternFill patternType="solid">
        <fgColor rgb="FFB5E6A2"/>
        <bgColor rgb="FFB5E6A2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BF4F14"/>
        <bgColor rgb="FFBF4F14"/>
      </patternFill>
    </fill>
    <fill>
      <patternFill patternType="solid">
        <fgColor rgb="FF84E291"/>
        <bgColor rgb="FF84E291"/>
      </patternFill>
    </fill>
  </fills>
  <borders count="8">
    <border/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  <xf borderId="0" fillId="0" fontId="1" numFmtId="0" xfId="0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0" fillId="0" fontId="3" numFmtId="0" xfId="0" applyFont="1"/>
    <xf borderId="0" fillId="0" fontId="4" numFmtId="0" xfId="0" applyFont="1"/>
    <xf borderId="1" fillId="10" fontId="1" numFmtId="0" xfId="0" applyBorder="1" applyFill="1" applyFont="1"/>
    <xf borderId="1" fillId="10" fontId="1" numFmtId="0" xfId="0" applyAlignment="1" applyBorder="1" applyFont="1">
      <alignment horizontal="center"/>
    </xf>
    <xf borderId="1" fillId="11" fontId="1" numFmtId="0" xfId="0" applyBorder="1" applyFill="1" applyFont="1"/>
    <xf borderId="1" fillId="12" fontId="1" numFmtId="0" xfId="0" applyBorder="1" applyFill="1" applyFont="1"/>
    <xf borderId="1" fillId="3" fontId="1" numFmtId="0" xfId="0" applyAlignment="1" applyBorder="1" applyFont="1">
      <alignment horizontal="center"/>
    </xf>
    <xf borderId="1" fillId="13" fontId="1" numFmtId="0" xfId="0" applyBorder="1" applyFill="1" applyFont="1"/>
    <xf borderId="1" fillId="3" fontId="5" numFmtId="0" xfId="0" applyBorder="1" applyFont="1"/>
    <xf borderId="0" fillId="14" fontId="6" numFmtId="0" xfId="0" applyAlignment="1" applyFill="1" applyFont="1">
      <alignment readingOrder="0" shrinkToFit="0" vertical="bottom" wrapText="0"/>
    </xf>
    <xf borderId="0" fillId="15" fontId="6" numFmtId="0" xfId="0" applyAlignment="1" applyFill="1" applyFont="1">
      <alignment readingOrder="0" shrinkToFit="0" vertical="bottom" wrapText="0"/>
    </xf>
    <xf borderId="0" fillId="15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9" fontId="7" numFmtId="0" xfId="0" applyBorder="1" applyFont="1"/>
    <xf borderId="0" fillId="14" fontId="6" numFmtId="0" xfId="0" applyAlignment="1" applyFont="1">
      <alignment shrinkToFit="0" vertical="bottom" wrapText="0"/>
    </xf>
    <xf borderId="0" fillId="15" fontId="6" numFmtId="0" xfId="0" applyAlignment="1" applyFont="1">
      <alignment shrinkToFit="0" vertical="bottom" wrapText="0"/>
    </xf>
    <xf borderId="0" fillId="13" fontId="6" numFmtId="0" xfId="0" applyAlignment="1" applyFont="1">
      <alignment horizontal="right" readingOrder="0" shrinkToFit="0" vertical="bottom" wrapText="0"/>
    </xf>
    <xf borderId="0" fillId="15" fontId="6" numFmtId="0" xfId="0" applyAlignment="1" applyFont="1">
      <alignment horizontal="right" readingOrder="0" shrinkToFit="0" vertical="bottom" wrapText="0"/>
    </xf>
    <xf borderId="2" fillId="16" fontId="1" numFmtId="0" xfId="0" applyBorder="1" applyFill="1" applyFont="1"/>
    <xf borderId="3" fillId="16" fontId="1" numFmtId="0" xfId="0" applyBorder="1" applyFont="1"/>
    <xf borderId="4" fillId="16" fontId="1" numFmtId="0" xfId="0" applyBorder="1" applyFont="1"/>
    <xf borderId="5" fillId="10" fontId="1" numFmtId="0" xfId="0" applyAlignment="1" applyBorder="1" applyFont="1">
      <alignment horizontal="center"/>
    </xf>
    <xf borderId="6" fillId="0" fontId="8" numFmtId="0" xfId="0" applyBorder="1" applyFont="1"/>
    <xf borderId="7" fillId="0" fontId="8" numFmtId="0" xfId="0" applyBorder="1" applyFont="1"/>
    <xf borderId="5" fillId="17" fontId="1" numFmtId="0" xfId="0" applyAlignment="1" applyBorder="1" applyFill="1" applyFont="1">
      <alignment horizontal="center"/>
    </xf>
    <xf borderId="5" fillId="12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/>
    </xf>
    <xf borderId="5" fillId="13" fontId="7" numFmtId="0" xfId="0" applyAlignment="1" applyBorder="1" applyFont="1">
      <alignment horizontal="center"/>
    </xf>
    <xf borderId="5" fillId="7" fontId="1" numFmtId="0" xfId="0" applyAlignment="1" applyBorder="1" applyFont="1">
      <alignment horizontal="center"/>
    </xf>
    <xf quotePrefix="1" borderId="1" fillId="10" fontId="1" numFmtId="0" xfId="0" applyBorder="1" applyFont="1"/>
    <xf quotePrefix="1" borderId="1" fillId="17" fontId="1" numFmtId="0" xfId="0" applyBorder="1" applyFont="1"/>
    <xf borderId="1" fillId="17" fontId="1" numFmtId="0" xfId="0" applyBorder="1" applyFont="1"/>
    <xf borderId="1" fillId="13" fontId="7" numFmtId="0" xfId="0" applyBorder="1" applyFont="1"/>
    <xf borderId="1" fillId="18" fontId="1" numFmtId="0" xfId="0" applyBorder="1" applyFill="1" applyFont="1"/>
    <xf borderId="1" fillId="17" fontId="9" numFmtId="0" xfId="0" applyBorder="1" applyFont="1"/>
    <xf borderId="1" fillId="19" fontId="9" numFmtId="0" xfId="0" applyBorder="1" applyFill="1" applyFont="1"/>
    <xf borderId="1" fillId="7" fontId="10" numFmtId="0" xfId="0" applyBorder="1" applyFont="1"/>
    <xf quotePrefix="1" borderId="1" fillId="7" fontId="1" numFmtId="0" xfId="0" applyBorder="1" applyFont="1"/>
    <xf borderId="0" fillId="16" fontId="6" numFmtId="0" xfId="0" applyAlignment="1" applyFont="1">
      <alignment readingOrder="0" shrinkToFit="0" vertical="bottom" wrapText="0"/>
    </xf>
    <xf borderId="0" fillId="16" fontId="6" numFmtId="0" xfId="0" applyAlignment="1" applyFont="1">
      <alignment horizontal="center" readingOrder="0" shrinkToFit="0" vertical="bottom" wrapText="0"/>
    </xf>
    <xf borderId="0" fillId="16" fontId="6" numFmtId="0" xfId="0" applyAlignment="1" applyFont="1">
      <alignment shrinkToFit="0" vertical="bottom" wrapText="0"/>
    </xf>
    <xf borderId="0" fillId="16" fontId="6" numFmtId="0" xfId="0" applyAlignment="1" applyFont="1">
      <alignment horizontal="right" readingOrder="0" shrinkToFit="0" vertical="bottom" wrapText="0"/>
    </xf>
    <xf borderId="0" fillId="1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25"/>
    <col customWidth="1" min="3" max="3" width="36.38"/>
    <col customWidth="1" min="4" max="4" width="36.5"/>
    <col customWidth="1" min="5" max="5" width="10.0"/>
    <col customWidth="1" min="6" max="6" width="9.5"/>
    <col customWidth="1" min="7" max="190" width="8.63"/>
  </cols>
  <sheetData>
    <row r="1" ht="14.25" customHeight="1">
      <c r="A1" s="1" t="s">
        <v>0</v>
      </c>
      <c r="B1" s="1"/>
      <c r="C1" s="1"/>
      <c r="D1" s="2" t="s">
        <v>1</v>
      </c>
      <c r="E1" s="3">
        <v>0.0</v>
      </c>
      <c r="F1" s="3">
        <v>0.0</v>
      </c>
      <c r="G1" s="3">
        <v>1.0</v>
      </c>
      <c r="H1" s="3">
        <v>2.0</v>
      </c>
      <c r="I1" s="3">
        <v>3.0</v>
      </c>
      <c r="J1" s="3">
        <v>4.0</v>
      </c>
      <c r="K1" s="3">
        <v>5.0</v>
      </c>
      <c r="L1" s="3">
        <v>6.0</v>
      </c>
      <c r="M1" s="3">
        <v>7.0</v>
      </c>
      <c r="N1" s="3">
        <v>8.0</v>
      </c>
      <c r="O1" s="3">
        <v>9.0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</row>
    <row r="2" ht="14.25" customHeight="1">
      <c r="A2" s="1"/>
      <c r="B2" s="1" t="s">
        <v>7</v>
      </c>
      <c r="C2" s="1" t="s">
        <v>8</v>
      </c>
      <c r="D2" s="2"/>
      <c r="E2" s="3" t="str">
        <f t="shared" ref="E2:T2" si="1">DEC2BIN(HEX2DEC(E1), 4)</f>
        <v>0000</v>
      </c>
      <c r="F2" s="3" t="str">
        <f t="shared" si="1"/>
        <v>0000</v>
      </c>
      <c r="G2" s="3" t="str">
        <f t="shared" si="1"/>
        <v>0001</v>
      </c>
      <c r="H2" s="3" t="str">
        <f t="shared" si="1"/>
        <v>0010</v>
      </c>
      <c r="I2" s="3" t="str">
        <f t="shared" si="1"/>
        <v>0011</v>
      </c>
      <c r="J2" s="3" t="str">
        <f t="shared" si="1"/>
        <v>0100</v>
      </c>
      <c r="K2" s="3" t="str">
        <f t="shared" si="1"/>
        <v>0101</v>
      </c>
      <c r="L2" s="3" t="str">
        <f t="shared" si="1"/>
        <v>0110</v>
      </c>
      <c r="M2" s="3" t="str">
        <f t="shared" si="1"/>
        <v>0111</v>
      </c>
      <c r="N2" s="3" t="str">
        <f t="shared" si="1"/>
        <v>1000</v>
      </c>
      <c r="O2" s="3" t="str">
        <f t="shared" si="1"/>
        <v>1001</v>
      </c>
      <c r="P2" s="3" t="str">
        <f t="shared" si="1"/>
        <v>1010</v>
      </c>
      <c r="Q2" s="3" t="str">
        <f t="shared" si="1"/>
        <v>1011</v>
      </c>
      <c r="R2" s="3" t="str">
        <f t="shared" si="1"/>
        <v>1100</v>
      </c>
      <c r="S2" s="3" t="str">
        <f t="shared" si="1"/>
        <v>1101</v>
      </c>
      <c r="T2" s="3" t="str">
        <f t="shared" si="1"/>
        <v>1110</v>
      </c>
      <c r="U2" s="4" t="str">
        <f t="shared" ref="U2:BP2" si="2">MID($D$2,COLUMN(Q1),1)</f>
        <v/>
      </c>
      <c r="V2" s="4" t="str">
        <f t="shared" si="2"/>
        <v/>
      </c>
      <c r="W2" s="4" t="str">
        <f t="shared" si="2"/>
        <v/>
      </c>
      <c r="X2" s="4" t="str">
        <f t="shared" si="2"/>
        <v/>
      </c>
      <c r="Y2" s="4" t="str">
        <f t="shared" si="2"/>
        <v/>
      </c>
      <c r="Z2" s="4" t="str">
        <f t="shared" si="2"/>
        <v/>
      </c>
      <c r="AA2" s="4" t="str">
        <f t="shared" si="2"/>
        <v/>
      </c>
      <c r="AB2" s="4" t="str">
        <f t="shared" si="2"/>
        <v/>
      </c>
      <c r="AC2" s="4" t="str">
        <f t="shared" si="2"/>
        <v/>
      </c>
      <c r="AD2" s="4" t="str">
        <f t="shared" si="2"/>
        <v/>
      </c>
      <c r="AE2" s="4" t="str">
        <f t="shared" si="2"/>
        <v/>
      </c>
      <c r="AF2" s="4" t="str">
        <f t="shared" si="2"/>
        <v/>
      </c>
      <c r="AG2" s="4" t="str">
        <f t="shared" si="2"/>
        <v/>
      </c>
      <c r="AH2" s="4" t="str">
        <f t="shared" si="2"/>
        <v/>
      </c>
      <c r="AI2" s="4" t="str">
        <f t="shared" si="2"/>
        <v/>
      </c>
      <c r="AJ2" s="4" t="str">
        <f t="shared" si="2"/>
        <v/>
      </c>
      <c r="AK2" s="4" t="str">
        <f t="shared" si="2"/>
        <v/>
      </c>
      <c r="AL2" s="4" t="str">
        <f t="shared" si="2"/>
        <v/>
      </c>
      <c r="AM2" s="4" t="str">
        <f t="shared" si="2"/>
        <v/>
      </c>
      <c r="AN2" s="4" t="str">
        <f t="shared" si="2"/>
        <v/>
      </c>
      <c r="AO2" s="4" t="str">
        <f t="shared" si="2"/>
        <v/>
      </c>
      <c r="AP2" s="4" t="str">
        <f t="shared" si="2"/>
        <v/>
      </c>
      <c r="AQ2" s="4" t="str">
        <f t="shared" si="2"/>
        <v/>
      </c>
      <c r="AR2" s="4" t="str">
        <f t="shared" si="2"/>
        <v/>
      </c>
      <c r="AS2" s="4" t="str">
        <f t="shared" si="2"/>
        <v/>
      </c>
      <c r="AT2" s="4" t="str">
        <f t="shared" si="2"/>
        <v/>
      </c>
      <c r="AU2" s="4" t="str">
        <f t="shared" si="2"/>
        <v/>
      </c>
      <c r="AV2" s="4" t="str">
        <f t="shared" si="2"/>
        <v/>
      </c>
      <c r="AW2" s="4" t="str">
        <f t="shared" si="2"/>
        <v/>
      </c>
      <c r="AX2" s="4" t="str">
        <f t="shared" si="2"/>
        <v/>
      </c>
      <c r="AY2" s="4" t="str">
        <f t="shared" si="2"/>
        <v/>
      </c>
      <c r="AZ2" s="4" t="str">
        <f t="shared" si="2"/>
        <v/>
      </c>
      <c r="BA2" s="4" t="str">
        <f t="shared" si="2"/>
        <v/>
      </c>
      <c r="BB2" s="4" t="str">
        <f t="shared" si="2"/>
        <v/>
      </c>
      <c r="BC2" s="4" t="str">
        <f t="shared" si="2"/>
        <v/>
      </c>
      <c r="BD2" s="4" t="str">
        <f t="shared" si="2"/>
        <v/>
      </c>
      <c r="BE2" s="4" t="str">
        <f t="shared" si="2"/>
        <v/>
      </c>
      <c r="BF2" s="4" t="str">
        <f t="shared" si="2"/>
        <v/>
      </c>
      <c r="BG2" s="4" t="str">
        <f t="shared" si="2"/>
        <v/>
      </c>
      <c r="BH2" s="4" t="str">
        <f t="shared" si="2"/>
        <v/>
      </c>
      <c r="BI2" s="4" t="str">
        <f t="shared" si="2"/>
        <v/>
      </c>
      <c r="BJ2" s="4" t="str">
        <f t="shared" si="2"/>
        <v/>
      </c>
      <c r="BK2" s="4" t="str">
        <f t="shared" si="2"/>
        <v/>
      </c>
      <c r="BL2" s="4" t="str">
        <f t="shared" si="2"/>
        <v/>
      </c>
      <c r="BM2" s="4" t="str">
        <f t="shared" si="2"/>
        <v/>
      </c>
      <c r="BN2" s="4" t="str">
        <f t="shared" si="2"/>
        <v/>
      </c>
      <c r="BO2" s="4" t="str">
        <f t="shared" si="2"/>
        <v/>
      </c>
      <c r="BP2" s="4" t="str">
        <f t="shared" si="2"/>
        <v/>
      </c>
      <c r="BQ2" s="4" t="str">
        <f t="shared" ref="BQ2:GH2" si="3">MID($D$2,COLUMN(BN1),1)</f>
        <v/>
      </c>
      <c r="BR2" s="4" t="str">
        <f t="shared" si="3"/>
        <v/>
      </c>
      <c r="BS2" s="4" t="str">
        <f t="shared" si="3"/>
        <v/>
      </c>
      <c r="BT2" s="4" t="str">
        <f t="shared" si="3"/>
        <v/>
      </c>
      <c r="BU2" s="4" t="str">
        <f t="shared" si="3"/>
        <v/>
      </c>
      <c r="BV2" s="4" t="str">
        <f t="shared" si="3"/>
        <v/>
      </c>
      <c r="BW2" s="4" t="str">
        <f t="shared" si="3"/>
        <v/>
      </c>
      <c r="BX2" s="4" t="str">
        <f t="shared" si="3"/>
        <v/>
      </c>
      <c r="BY2" s="4" t="str">
        <f t="shared" si="3"/>
        <v/>
      </c>
      <c r="BZ2" s="4" t="str">
        <f t="shared" si="3"/>
        <v/>
      </c>
      <c r="CA2" s="4" t="str">
        <f t="shared" si="3"/>
        <v/>
      </c>
      <c r="CB2" s="4" t="str">
        <f t="shared" si="3"/>
        <v/>
      </c>
      <c r="CC2" s="4" t="str">
        <f t="shared" si="3"/>
        <v/>
      </c>
      <c r="CD2" s="4" t="str">
        <f t="shared" si="3"/>
        <v/>
      </c>
      <c r="CE2" s="4" t="str">
        <f t="shared" si="3"/>
        <v/>
      </c>
      <c r="CF2" s="4" t="str">
        <f t="shared" si="3"/>
        <v/>
      </c>
      <c r="CG2" s="4" t="str">
        <f t="shared" si="3"/>
        <v/>
      </c>
      <c r="CH2" s="4" t="str">
        <f t="shared" si="3"/>
        <v/>
      </c>
      <c r="CI2" s="4" t="str">
        <f t="shared" si="3"/>
        <v/>
      </c>
      <c r="CJ2" s="4" t="str">
        <f t="shared" si="3"/>
        <v/>
      </c>
      <c r="CK2" s="4" t="str">
        <f t="shared" si="3"/>
        <v/>
      </c>
      <c r="CL2" s="4" t="str">
        <f t="shared" si="3"/>
        <v/>
      </c>
      <c r="CM2" s="4" t="str">
        <f t="shared" si="3"/>
        <v/>
      </c>
      <c r="CN2" s="4" t="str">
        <f t="shared" si="3"/>
        <v/>
      </c>
      <c r="CO2" s="4" t="str">
        <f t="shared" si="3"/>
        <v/>
      </c>
      <c r="CP2" s="4" t="str">
        <f t="shared" si="3"/>
        <v/>
      </c>
      <c r="CQ2" s="4" t="str">
        <f t="shared" si="3"/>
        <v/>
      </c>
      <c r="CR2" s="4" t="str">
        <f t="shared" si="3"/>
        <v/>
      </c>
      <c r="CS2" s="4" t="str">
        <f t="shared" si="3"/>
        <v/>
      </c>
      <c r="CT2" s="4" t="str">
        <f t="shared" si="3"/>
        <v/>
      </c>
      <c r="CU2" s="4" t="str">
        <f t="shared" si="3"/>
        <v/>
      </c>
      <c r="CV2" s="4" t="str">
        <f t="shared" si="3"/>
        <v/>
      </c>
      <c r="CW2" s="4" t="str">
        <f t="shared" si="3"/>
        <v/>
      </c>
      <c r="CX2" s="4" t="str">
        <f t="shared" si="3"/>
        <v/>
      </c>
      <c r="CY2" s="4" t="str">
        <f t="shared" si="3"/>
        <v/>
      </c>
      <c r="CZ2" s="4" t="str">
        <f t="shared" si="3"/>
        <v/>
      </c>
      <c r="DA2" s="4" t="str">
        <f t="shared" si="3"/>
        <v/>
      </c>
      <c r="DB2" s="4" t="str">
        <f t="shared" si="3"/>
        <v/>
      </c>
      <c r="DC2" s="4" t="str">
        <f t="shared" si="3"/>
        <v/>
      </c>
      <c r="DD2" s="4" t="str">
        <f t="shared" si="3"/>
        <v/>
      </c>
      <c r="DE2" s="4" t="str">
        <f t="shared" si="3"/>
        <v/>
      </c>
      <c r="DF2" s="4" t="str">
        <f t="shared" si="3"/>
        <v/>
      </c>
      <c r="DG2" s="4" t="str">
        <f t="shared" si="3"/>
        <v/>
      </c>
      <c r="DH2" s="4" t="str">
        <f t="shared" si="3"/>
        <v/>
      </c>
      <c r="DI2" s="4" t="str">
        <f t="shared" si="3"/>
        <v/>
      </c>
      <c r="DJ2" s="4" t="str">
        <f t="shared" si="3"/>
        <v/>
      </c>
      <c r="DK2" s="4" t="str">
        <f t="shared" si="3"/>
        <v/>
      </c>
      <c r="DL2" s="4" t="str">
        <f t="shared" si="3"/>
        <v/>
      </c>
      <c r="DM2" s="4" t="str">
        <f t="shared" si="3"/>
        <v/>
      </c>
      <c r="DN2" s="4" t="str">
        <f t="shared" si="3"/>
        <v/>
      </c>
      <c r="DO2" s="4" t="str">
        <f t="shared" si="3"/>
        <v/>
      </c>
      <c r="DP2" s="4" t="str">
        <f t="shared" si="3"/>
        <v/>
      </c>
      <c r="DQ2" s="4" t="str">
        <f t="shared" si="3"/>
        <v/>
      </c>
      <c r="DR2" s="4" t="str">
        <f t="shared" si="3"/>
        <v/>
      </c>
      <c r="DS2" s="4" t="str">
        <f t="shared" si="3"/>
        <v/>
      </c>
      <c r="DT2" s="4" t="str">
        <f t="shared" si="3"/>
        <v/>
      </c>
      <c r="DU2" s="4" t="str">
        <f t="shared" si="3"/>
        <v/>
      </c>
      <c r="DV2" s="4" t="str">
        <f t="shared" si="3"/>
        <v/>
      </c>
      <c r="DW2" s="4" t="str">
        <f t="shared" si="3"/>
        <v/>
      </c>
      <c r="DX2" s="4" t="str">
        <f t="shared" si="3"/>
        <v/>
      </c>
      <c r="DY2" s="4" t="str">
        <f t="shared" si="3"/>
        <v/>
      </c>
      <c r="DZ2" s="4" t="str">
        <f t="shared" si="3"/>
        <v/>
      </c>
      <c r="EA2" s="4" t="str">
        <f t="shared" si="3"/>
        <v/>
      </c>
      <c r="EB2" s="4" t="str">
        <f t="shared" si="3"/>
        <v/>
      </c>
      <c r="EC2" s="4" t="str">
        <f t="shared" si="3"/>
        <v/>
      </c>
      <c r="ED2" s="4" t="str">
        <f t="shared" si="3"/>
        <v/>
      </c>
      <c r="EE2" s="4" t="str">
        <f t="shared" si="3"/>
        <v/>
      </c>
      <c r="EF2" s="4" t="str">
        <f t="shared" si="3"/>
        <v/>
      </c>
      <c r="EG2" s="4" t="str">
        <f t="shared" si="3"/>
        <v/>
      </c>
      <c r="EH2" s="4" t="str">
        <f t="shared" si="3"/>
        <v/>
      </c>
      <c r="EI2" s="4" t="str">
        <f t="shared" si="3"/>
        <v/>
      </c>
      <c r="EJ2" s="4" t="str">
        <f t="shared" si="3"/>
        <v/>
      </c>
      <c r="EK2" s="4" t="str">
        <f t="shared" si="3"/>
        <v/>
      </c>
      <c r="EL2" s="4" t="str">
        <f t="shared" si="3"/>
        <v/>
      </c>
      <c r="EM2" s="4" t="str">
        <f t="shared" si="3"/>
        <v/>
      </c>
      <c r="EN2" s="4" t="str">
        <f t="shared" si="3"/>
        <v/>
      </c>
      <c r="EO2" s="4" t="str">
        <f t="shared" si="3"/>
        <v/>
      </c>
      <c r="EP2" s="4" t="str">
        <f t="shared" si="3"/>
        <v/>
      </c>
      <c r="EQ2" s="4" t="str">
        <f t="shared" si="3"/>
        <v/>
      </c>
      <c r="ER2" s="4" t="str">
        <f t="shared" si="3"/>
        <v/>
      </c>
      <c r="ES2" s="4" t="str">
        <f t="shared" si="3"/>
        <v/>
      </c>
      <c r="ET2" s="4" t="str">
        <f t="shared" si="3"/>
        <v/>
      </c>
      <c r="EU2" s="4" t="str">
        <f t="shared" si="3"/>
        <v/>
      </c>
      <c r="EV2" s="4" t="str">
        <f t="shared" si="3"/>
        <v/>
      </c>
      <c r="EW2" s="4" t="str">
        <f t="shared" si="3"/>
        <v/>
      </c>
      <c r="EX2" s="4" t="str">
        <f t="shared" si="3"/>
        <v/>
      </c>
      <c r="EY2" s="4" t="str">
        <f t="shared" si="3"/>
        <v/>
      </c>
      <c r="EZ2" s="4" t="str">
        <f t="shared" si="3"/>
        <v/>
      </c>
      <c r="FA2" s="4" t="str">
        <f t="shared" si="3"/>
        <v/>
      </c>
      <c r="FB2" s="4" t="str">
        <f t="shared" si="3"/>
        <v/>
      </c>
      <c r="FC2" s="4" t="str">
        <f t="shared" si="3"/>
        <v/>
      </c>
      <c r="FD2" s="4" t="str">
        <f t="shared" si="3"/>
        <v/>
      </c>
      <c r="FE2" s="4" t="str">
        <f t="shared" si="3"/>
        <v/>
      </c>
      <c r="FF2" s="4" t="str">
        <f t="shared" si="3"/>
        <v/>
      </c>
      <c r="FG2" s="4" t="str">
        <f t="shared" si="3"/>
        <v/>
      </c>
      <c r="FH2" s="4" t="str">
        <f t="shared" si="3"/>
        <v/>
      </c>
      <c r="FI2" s="4" t="str">
        <f t="shared" si="3"/>
        <v/>
      </c>
      <c r="FJ2" s="4" t="str">
        <f t="shared" si="3"/>
        <v/>
      </c>
      <c r="FK2" s="4" t="str">
        <f t="shared" si="3"/>
        <v/>
      </c>
      <c r="FL2" s="4" t="str">
        <f t="shared" si="3"/>
        <v/>
      </c>
      <c r="FM2" s="4" t="str">
        <f t="shared" si="3"/>
        <v/>
      </c>
      <c r="FN2" s="4" t="str">
        <f t="shared" si="3"/>
        <v/>
      </c>
      <c r="FO2" s="4" t="str">
        <f t="shared" si="3"/>
        <v/>
      </c>
      <c r="FP2" s="4" t="str">
        <f t="shared" si="3"/>
        <v/>
      </c>
      <c r="FQ2" s="4" t="str">
        <f t="shared" si="3"/>
        <v/>
      </c>
      <c r="FR2" s="4" t="str">
        <f t="shared" si="3"/>
        <v/>
      </c>
      <c r="FS2" s="4" t="str">
        <f t="shared" si="3"/>
        <v/>
      </c>
      <c r="FT2" s="4" t="str">
        <f t="shared" si="3"/>
        <v/>
      </c>
      <c r="FU2" s="4" t="str">
        <f t="shared" si="3"/>
        <v/>
      </c>
      <c r="FV2" s="4" t="str">
        <f t="shared" si="3"/>
        <v/>
      </c>
      <c r="FW2" s="4" t="str">
        <f t="shared" si="3"/>
        <v/>
      </c>
      <c r="FX2" s="4" t="str">
        <f t="shared" si="3"/>
        <v/>
      </c>
      <c r="FY2" s="4" t="str">
        <f t="shared" si="3"/>
        <v/>
      </c>
      <c r="FZ2" s="4" t="str">
        <f t="shared" si="3"/>
        <v/>
      </c>
      <c r="GA2" s="4" t="str">
        <f t="shared" si="3"/>
        <v/>
      </c>
      <c r="GB2" s="4" t="str">
        <f t="shared" si="3"/>
        <v/>
      </c>
      <c r="GC2" s="4" t="str">
        <f t="shared" si="3"/>
        <v/>
      </c>
      <c r="GD2" s="4" t="str">
        <f t="shared" si="3"/>
        <v/>
      </c>
      <c r="GE2" s="4" t="str">
        <f t="shared" si="3"/>
        <v/>
      </c>
      <c r="GF2" s="4" t="str">
        <f t="shared" si="3"/>
        <v/>
      </c>
      <c r="GG2" s="4" t="str">
        <f t="shared" si="3"/>
        <v/>
      </c>
      <c r="GH2" s="4" t="str">
        <f t="shared" si="3"/>
        <v/>
      </c>
    </row>
    <row r="3" ht="14.25" customHeight="1">
      <c r="A3" s="1"/>
      <c r="B3" s="1" t="s">
        <v>9</v>
      </c>
      <c r="C3" s="1" t="s">
        <v>10</v>
      </c>
      <c r="D3" s="2" t="s">
        <v>11</v>
      </c>
      <c r="E3" s="3">
        <v>0.0</v>
      </c>
      <c r="F3" s="3">
        <v>1.0</v>
      </c>
      <c r="G3" s="3">
        <v>3.0</v>
      </c>
      <c r="H3" s="3">
        <v>3.0</v>
      </c>
      <c r="I3" s="3">
        <v>4.0</v>
      </c>
      <c r="J3" s="3">
        <v>5.0</v>
      </c>
      <c r="K3" s="3">
        <v>7.0</v>
      </c>
      <c r="L3" s="3">
        <v>7.0</v>
      </c>
      <c r="M3" s="3">
        <v>9.0</v>
      </c>
      <c r="N3" s="3">
        <v>9.0</v>
      </c>
      <c r="O3" s="3" t="s">
        <v>3</v>
      </c>
      <c r="P3" s="3" t="s">
        <v>3</v>
      </c>
      <c r="Q3" s="3" t="s">
        <v>4</v>
      </c>
      <c r="R3" s="3" t="s">
        <v>5</v>
      </c>
      <c r="S3" s="3" t="s">
        <v>12</v>
      </c>
      <c r="T3" s="3" t="s">
        <v>12</v>
      </c>
      <c r="U3" s="4" t="str">
        <f t="shared" ref="U3:BP3" si="4">MID($D$3,COLUMN(Q1),1)</f>
        <v/>
      </c>
      <c r="V3" s="4" t="str">
        <f t="shared" si="4"/>
        <v/>
      </c>
      <c r="W3" s="4" t="str">
        <f t="shared" si="4"/>
        <v/>
      </c>
      <c r="X3" s="4" t="str">
        <f t="shared" si="4"/>
        <v/>
      </c>
      <c r="Y3" s="4" t="str">
        <f t="shared" si="4"/>
        <v/>
      </c>
      <c r="Z3" s="4" t="str">
        <f t="shared" si="4"/>
        <v/>
      </c>
      <c r="AA3" s="4" t="str">
        <f t="shared" si="4"/>
        <v/>
      </c>
      <c r="AB3" s="4" t="str">
        <f t="shared" si="4"/>
        <v/>
      </c>
      <c r="AC3" s="4" t="str">
        <f t="shared" si="4"/>
        <v/>
      </c>
      <c r="AD3" s="4" t="str">
        <f t="shared" si="4"/>
        <v/>
      </c>
      <c r="AE3" s="4" t="str">
        <f t="shared" si="4"/>
        <v/>
      </c>
      <c r="AF3" s="4" t="str">
        <f t="shared" si="4"/>
        <v/>
      </c>
      <c r="AG3" s="4" t="str">
        <f t="shared" si="4"/>
        <v/>
      </c>
      <c r="AH3" s="4" t="str">
        <f t="shared" si="4"/>
        <v/>
      </c>
      <c r="AI3" s="4" t="str">
        <f t="shared" si="4"/>
        <v/>
      </c>
      <c r="AJ3" s="4" t="str">
        <f t="shared" si="4"/>
        <v/>
      </c>
      <c r="AK3" s="4" t="str">
        <f t="shared" si="4"/>
        <v/>
      </c>
      <c r="AL3" s="4" t="str">
        <f t="shared" si="4"/>
        <v/>
      </c>
      <c r="AM3" s="4" t="str">
        <f t="shared" si="4"/>
        <v/>
      </c>
      <c r="AN3" s="4" t="str">
        <f t="shared" si="4"/>
        <v/>
      </c>
      <c r="AO3" s="4" t="str">
        <f t="shared" si="4"/>
        <v/>
      </c>
      <c r="AP3" s="4" t="str">
        <f t="shared" si="4"/>
        <v/>
      </c>
      <c r="AQ3" s="4" t="str">
        <f t="shared" si="4"/>
        <v/>
      </c>
      <c r="AR3" s="4" t="str">
        <f t="shared" si="4"/>
        <v/>
      </c>
      <c r="AS3" s="4" t="str">
        <f t="shared" si="4"/>
        <v/>
      </c>
      <c r="AT3" s="4" t="str">
        <f t="shared" si="4"/>
        <v/>
      </c>
      <c r="AU3" s="4" t="str">
        <f t="shared" si="4"/>
        <v/>
      </c>
      <c r="AV3" s="4" t="str">
        <f t="shared" si="4"/>
        <v/>
      </c>
      <c r="AW3" s="4" t="str">
        <f t="shared" si="4"/>
        <v/>
      </c>
      <c r="AX3" s="4" t="str">
        <f t="shared" si="4"/>
        <v/>
      </c>
      <c r="AY3" s="4" t="str">
        <f t="shared" si="4"/>
        <v/>
      </c>
      <c r="AZ3" s="4" t="str">
        <f t="shared" si="4"/>
        <v/>
      </c>
      <c r="BA3" s="4" t="str">
        <f t="shared" si="4"/>
        <v/>
      </c>
      <c r="BB3" s="4" t="str">
        <f t="shared" si="4"/>
        <v/>
      </c>
      <c r="BC3" s="4" t="str">
        <f t="shared" si="4"/>
        <v/>
      </c>
      <c r="BD3" s="4" t="str">
        <f t="shared" si="4"/>
        <v/>
      </c>
      <c r="BE3" s="4" t="str">
        <f t="shared" si="4"/>
        <v/>
      </c>
      <c r="BF3" s="4" t="str">
        <f t="shared" si="4"/>
        <v/>
      </c>
      <c r="BG3" s="4" t="str">
        <f t="shared" si="4"/>
        <v/>
      </c>
      <c r="BH3" s="4" t="str">
        <f t="shared" si="4"/>
        <v/>
      </c>
      <c r="BI3" s="4" t="str">
        <f t="shared" si="4"/>
        <v/>
      </c>
      <c r="BJ3" s="4" t="str">
        <f t="shared" si="4"/>
        <v/>
      </c>
      <c r="BK3" s="4" t="str">
        <f t="shared" si="4"/>
        <v/>
      </c>
      <c r="BL3" s="4" t="str">
        <f t="shared" si="4"/>
        <v/>
      </c>
      <c r="BM3" s="4" t="str">
        <f t="shared" si="4"/>
        <v/>
      </c>
      <c r="BN3" s="4" t="str">
        <f t="shared" si="4"/>
        <v/>
      </c>
      <c r="BO3" s="4" t="str">
        <f t="shared" si="4"/>
        <v/>
      </c>
      <c r="BP3" s="4" t="str">
        <f t="shared" si="4"/>
        <v/>
      </c>
    </row>
    <row r="4" ht="14.25" customHeight="1">
      <c r="A4" s="1" t="s">
        <v>13</v>
      </c>
      <c r="B4" s="1"/>
      <c r="C4" s="1"/>
      <c r="D4" s="2"/>
      <c r="E4" s="3" t="str">
        <f t="shared" ref="E4:T4" si="5">DEC2BIN(HEX2DEC(E3), 4)</f>
        <v>0000</v>
      </c>
      <c r="F4" s="3" t="str">
        <f t="shared" si="5"/>
        <v>0001</v>
      </c>
      <c r="G4" s="3" t="str">
        <f t="shared" si="5"/>
        <v>0011</v>
      </c>
      <c r="H4" s="3" t="str">
        <f t="shared" si="5"/>
        <v>0011</v>
      </c>
      <c r="I4" s="3" t="str">
        <f t="shared" si="5"/>
        <v>0100</v>
      </c>
      <c r="J4" s="3" t="str">
        <f t="shared" si="5"/>
        <v>0101</v>
      </c>
      <c r="K4" s="3" t="str">
        <f t="shared" si="5"/>
        <v>0111</v>
      </c>
      <c r="L4" s="3" t="str">
        <f t="shared" si="5"/>
        <v>0111</v>
      </c>
      <c r="M4" s="3" t="str">
        <f t="shared" si="5"/>
        <v>1001</v>
      </c>
      <c r="N4" s="3" t="str">
        <f t="shared" si="5"/>
        <v>1001</v>
      </c>
      <c r="O4" s="3" t="str">
        <f t="shared" si="5"/>
        <v>1011</v>
      </c>
      <c r="P4" s="3" t="str">
        <f t="shared" si="5"/>
        <v>1011</v>
      </c>
      <c r="Q4" s="3" t="str">
        <f t="shared" si="5"/>
        <v>1100</v>
      </c>
      <c r="R4" s="3" t="str">
        <f t="shared" si="5"/>
        <v>1101</v>
      </c>
      <c r="S4" s="3" t="str">
        <f t="shared" si="5"/>
        <v>1111</v>
      </c>
      <c r="T4" s="3" t="str">
        <f t="shared" si="5"/>
        <v>1111</v>
      </c>
    </row>
    <row r="5" ht="14.25" customHeight="1">
      <c r="A5" s="1"/>
      <c r="B5" s="1" t="s">
        <v>14</v>
      </c>
      <c r="C5" s="1" t="s">
        <v>15</v>
      </c>
    </row>
    <row r="6" ht="14.25" customHeight="1">
      <c r="A6" s="1"/>
      <c r="B6" s="1"/>
      <c r="C6" s="1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ht="14.25" customHeight="1">
      <c r="A7" s="1"/>
      <c r="B7" s="1"/>
      <c r="C7" s="1"/>
    </row>
    <row r="8" ht="14.25" customHeight="1">
      <c r="A8" s="1"/>
      <c r="B8" s="1"/>
      <c r="C8" s="1"/>
      <c r="D8" s="6" t="s">
        <v>16</v>
      </c>
      <c r="E8" s="6">
        <v>58.0</v>
      </c>
      <c r="F8" s="6">
        <v>50.0</v>
      </c>
      <c r="G8" s="6">
        <v>42.0</v>
      </c>
      <c r="H8" s="6">
        <v>34.0</v>
      </c>
      <c r="I8" s="6">
        <v>26.0</v>
      </c>
      <c r="J8" s="6">
        <v>18.0</v>
      </c>
      <c r="K8" s="6">
        <v>10.0</v>
      </c>
      <c r="L8" s="6">
        <v>2.0</v>
      </c>
    </row>
    <row r="9" ht="14.25" customHeight="1">
      <c r="A9" s="1"/>
      <c r="B9" s="1"/>
      <c r="C9" s="1"/>
      <c r="D9" s="6"/>
      <c r="E9" s="6">
        <v>60.0</v>
      </c>
      <c r="F9" s="6">
        <v>52.0</v>
      </c>
      <c r="G9" s="6">
        <v>44.0</v>
      </c>
      <c r="H9" s="6">
        <v>36.0</v>
      </c>
      <c r="I9" s="6">
        <v>28.0</v>
      </c>
      <c r="J9" s="6">
        <v>20.0</v>
      </c>
      <c r="K9" s="6">
        <v>12.0</v>
      </c>
      <c r="L9" s="6">
        <v>4.0</v>
      </c>
    </row>
    <row r="10" ht="14.25" customHeight="1">
      <c r="A10" s="1"/>
      <c r="B10" s="1"/>
      <c r="C10" s="1"/>
      <c r="D10" s="6"/>
      <c r="E10" s="6">
        <v>62.0</v>
      </c>
      <c r="F10" s="6">
        <v>54.0</v>
      </c>
      <c r="G10" s="6">
        <v>46.0</v>
      </c>
      <c r="H10" s="6">
        <v>38.0</v>
      </c>
      <c r="I10" s="6">
        <v>30.0</v>
      </c>
      <c r="J10" s="6">
        <v>22.0</v>
      </c>
      <c r="K10" s="6">
        <v>14.0</v>
      </c>
      <c r="L10" s="6">
        <v>6.0</v>
      </c>
    </row>
    <row r="11" ht="14.25" customHeight="1">
      <c r="A11" s="1"/>
      <c r="B11" s="1"/>
      <c r="C11" s="1"/>
      <c r="D11" s="6"/>
      <c r="E11" s="6">
        <v>64.0</v>
      </c>
      <c r="F11" s="6">
        <v>56.0</v>
      </c>
      <c r="G11" s="6">
        <v>48.0</v>
      </c>
      <c r="H11" s="6">
        <v>40.0</v>
      </c>
      <c r="I11" s="6">
        <v>32.0</v>
      </c>
      <c r="J11" s="6">
        <v>24.0</v>
      </c>
      <c r="K11" s="6">
        <v>16.0</v>
      </c>
      <c r="L11" s="6">
        <v>8.0</v>
      </c>
    </row>
    <row r="12" ht="14.25" customHeight="1">
      <c r="A12" s="1"/>
      <c r="B12" s="1"/>
      <c r="C12" s="1"/>
      <c r="D12" s="6"/>
      <c r="E12" s="6">
        <v>57.0</v>
      </c>
      <c r="F12" s="6">
        <v>49.0</v>
      </c>
      <c r="G12" s="6">
        <v>41.0</v>
      </c>
      <c r="H12" s="6">
        <v>33.0</v>
      </c>
      <c r="I12" s="6">
        <v>25.0</v>
      </c>
      <c r="J12" s="6">
        <v>17.0</v>
      </c>
      <c r="K12" s="6">
        <v>9.0</v>
      </c>
      <c r="L12" s="6">
        <v>1.0</v>
      </c>
    </row>
    <row r="13" ht="14.25" customHeight="1">
      <c r="A13" s="1"/>
      <c r="B13" s="1"/>
      <c r="C13" s="1"/>
      <c r="D13" s="6"/>
      <c r="E13" s="6">
        <v>59.0</v>
      </c>
      <c r="F13" s="6">
        <v>51.0</v>
      </c>
      <c r="G13" s="6">
        <v>43.0</v>
      </c>
      <c r="H13" s="6">
        <v>35.0</v>
      </c>
      <c r="I13" s="6">
        <v>27.0</v>
      </c>
      <c r="J13" s="6">
        <v>19.0</v>
      </c>
      <c r="K13" s="6">
        <v>11.0</v>
      </c>
      <c r="L13" s="6">
        <v>3.0</v>
      </c>
    </row>
    <row r="14" ht="14.25" customHeight="1">
      <c r="A14" s="1"/>
      <c r="B14" s="1"/>
      <c r="C14" s="1"/>
      <c r="D14" s="6"/>
      <c r="E14" s="6">
        <v>61.0</v>
      </c>
      <c r="F14" s="6">
        <v>53.0</v>
      </c>
      <c r="G14" s="6">
        <v>45.0</v>
      </c>
      <c r="H14" s="6">
        <v>37.0</v>
      </c>
      <c r="I14" s="6">
        <v>29.0</v>
      </c>
      <c r="J14" s="6">
        <v>21.0</v>
      </c>
      <c r="K14" s="6">
        <v>13.0</v>
      </c>
      <c r="L14" s="6">
        <v>5.0</v>
      </c>
    </row>
    <row r="15" ht="14.25" customHeight="1">
      <c r="A15" s="1"/>
      <c r="B15" s="1"/>
      <c r="C15" s="1"/>
      <c r="D15" s="6"/>
      <c r="E15" s="6">
        <v>63.0</v>
      </c>
      <c r="F15" s="6">
        <v>55.0</v>
      </c>
      <c r="G15" s="6">
        <v>47.0</v>
      </c>
      <c r="H15" s="6">
        <v>39.0</v>
      </c>
      <c r="I15" s="6">
        <v>31.0</v>
      </c>
      <c r="J15" s="6">
        <v>23.0</v>
      </c>
      <c r="K15" s="6">
        <v>15.0</v>
      </c>
      <c r="L15" s="6">
        <v>7.0</v>
      </c>
    </row>
    <row r="16" ht="14.25" customHeight="1">
      <c r="A16" s="1"/>
      <c r="B16" s="1"/>
      <c r="C16" s="1"/>
    </row>
    <row r="17" ht="14.25" customHeight="1">
      <c r="A17" s="1"/>
      <c r="B17" s="1"/>
      <c r="C17" s="1"/>
    </row>
    <row r="18" ht="14.25" customHeight="1">
      <c r="A18" s="1"/>
      <c r="B18" s="1"/>
      <c r="C18" s="1"/>
    </row>
    <row r="19" ht="14.25" customHeight="1">
      <c r="A19" s="1"/>
      <c r="B19" s="1"/>
      <c r="C19" s="1"/>
      <c r="D19" s="7" t="s">
        <v>17</v>
      </c>
      <c r="E19" s="7">
        <v>1.0</v>
      </c>
      <c r="F19" s="7">
        <v>0.0</v>
      </c>
      <c r="G19" s="7">
        <v>0.0</v>
      </c>
      <c r="H19" s="7">
        <v>1.0</v>
      </c>
      <c r="I19" s="7">
        <v>1.0</v>
      </c>
      <c r="J19" s="7">
        <v>0.0</v>
      </c>
      <c r="K19" s="7">
        <v>0.0</v>
      </c>
      <c r="L19" s="7">
        <v>0.0</v>
      </c>
    </row>
    <row r="20" ht="14.25" customHeight="1">
      <c r="A20" s="1"/>
      <c r="B20" s="1"/>
      <c r="C20" s="1"/>
      <c r="D20" s="7"/>
      <c r="E20" s="7">
        <v>1.0</v>
      </c>
      <c r="F20" s="7">
        <v>1.0</v>
      </c>
      <c r="G20" s="7">
        <v>1.0</v>
      </c>
      <c r="H20" s="7">
        <v>1.0</v>
      </c>
      <c r="I20" s="7">
        <v>1.0</v>
      </c>
      <c r="J20" s="7">
        <v>1.0</v>
      </c>
      <c r="K20" s="7">
        <v>1.0</v>
      </c>
      <c r="L20" s="7">
        <v>0.0</v>
      </c>
    </row>
    <row r="21" ht="14.25" customHeight="1">
      <c r="A21" s="1"/>
      <c r="B21" s="1"/>
      <c r="C21" s="1"/>
      <c r="D21" s="7"/>
      <c r="E21" s="7">
        <v>1.0</v>
      </c>
      <c r="F21" s="7">
        <v>1.0</v>
      </c>
      <c r="G21" s="7">
        <v>0.0</v>
      </c>
      <c r="H21" s="7">
        <v>0.0</v>
      </c>
      <c r="I21" s="7">
        <v>1.0</v>
      </c>
      <c r="J21" s="7">
        <v>1.0</v>
      </c>
      <c r="K21" s="7">
        <v>0.0</v>
      </c>
      <c r="L21" s="7">
        <v>0.0</v>
      </c>
    </row>
    <row r="22" ht="14.25" customHeight="1">
      <c r="A22" s="1"/>
      <c r="B22" s="1"/>
      <c r="C22" s="1"/>
      <c r="D22" s="7"/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</row>
    <row r="23" ht="14.25" customHeight="1">
      <c r="A23" s="1"/>
      <c r="B23" s="1"/>
      <c r="C23" s="1"/>
      <c r="D23" s="7"/>
      <c r="E23" s="7">
        <v>1.0</v>
      </c>
      <c r="F23" s="7">
        <v>1.0</v>
      </c>
      <c r="G23" s="7">
        <v>1.0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</row>
    <row r="24" ht="14.25" customHeight="1">
      <c r="A24" s="1"/>
      <c r="B24" s="1"/>
      <c r="C24" s="1"/>
      <c r="D24" s="7"/>
      <c r="E24" s="7">
        <v>0.0</v>
      </c>
      <c r="F24" s="7">
        <v>1.0</v>
      </c>
      <c r="G24" s="7">
        <v>0.0</v>
      </c>
      <c r="H24" s="7">
        <v>1.0</v>
      </c>
      <c r="I24" s="7">
        <v>0.0</v>
      </c>
      <c r="J24" s="7">
        <v>1.0</v>
      </c>
      <c r="K24" s="7">
        <v>0.0</v>
      </c>
      <c r="L24" s="7">
        <v>0.0</v>
      </c>
    </row>
    <row r="25" ht="14.25" customHeight="1">
      <c r="A25" s="1"/>
      <c r="B25" s="1"/>
      <c r="C25" s="1"/>
      <c r="D25" s="7"/>
      <c r="E25" s="7">
        <v>1.0</v>
      </c>
      <c r="F25" s="7">
        <v>1.0</v>
      </c>
      <c r="G25" s="7">
        <v>1.0</v>
      </c>
      <c r="H25" s="7">
        <v>1.0</v>
      </c>
      <c r="I25" s="7">
        <v>0.0</v>
      </c>
      <c r="J25" s="7">
        <v>0.0</v>
      </c>
      <c r="K25" s="7">
        <v>0.0</v>
      </c>
      <c r="L25" s="7">
        <v>0.0</v>
      </c>
    </row>
    <row r="26" ht="14.25" customHeight="1">
      <c r="A26" s="1"/>
      <c r="B26" s="1"/>
      <c r="C26" s="1"/>
      <c r="D26" s="7"/>
      <c r="E26" s="7">
        <v>1.0</v>
      </c>
      <c r="F26" s="7">
        <v>0.0</v>
      </c>
      <c r="G26" s="7">
        <v>1.0</v>
      </c>
      <c r="H26" s="7">
        <v>0.0</v>
      </c>
      <c r="I26" s="7">
        <v>1.0</v>
      </c>
      <c r="J26" s="7">
        <v>0.0</v>
      </c>
      <c r="K26" s="7">
        <v>1.0</v>
      </c>
      <c r="L26" s="7">
        <v>0.0</v>
      </c>
    </row>
    <row r="27" ht="14.25" customHeight="1">
      <c r="A27" s="1"/>
      <c r="B27" s="1"/>
      <c r="C27" s="1"/>
    </row>
    <row r="28" ht="14.25" customHeight="1">
      <c r="A28" s="1"/>
      <c r="B28" s="1"/>
      <c r="C28" s="1"/>
    </row>
    <row r="29" ht="14.25" customHeight="1">
      <c r="A29" s="1"/>
      <c r="B29" s="1"/>
      <c r="C29" s="1"/>
      <c r="D29" s="8" t="s">
        <v>18</v>
      </c>
      <c r="E29" s="8" t="s">
        <v>17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</row>
    <row r="30" ht="14.25" customHeight="1">
      <c r="A30" s="1"/>
      <c r="B30" s="1"/>
      <c r="C30" s="1"/>
      <c r="D30" s="8" t="s">
        <v>19</v>
      </c>
      <c r="E30" s="8">
        <v>1.0</v>
      </c>
      <c r="F30" s="8">
        <v>0.0</v>
      </c>
      <c r="G30" s="8">
        <v>0.0</v>
      </c>
      <c r="H30" s="8">
        <v>1.0</v>
      </c>
      <c r="I30" s="8">
        <v>1.0</v>
      </c>
      <c r="J30" s="8">
        <v>0.0</v>
      </c>
      <c r="K30" s="8">
        <v>0.0</v>
      </c>
      <c r="L30" s="8">
        <v>0.0</v>
      </c>
      <c r="M30" s="8">
        <v>1.0</v>
      </c>
      <c r="N30" s="8">
        <v>1.0</v>
      </c>
      <c r="O30" s="8">
        <v>1.0</v>
      </c>
      <c r="P30" s="8">
        <v>1.0</v>
      </c>
      <c r="Q30" s="8">
        <v>1.0</v>
      </c>
      <c r="R30" s="8">
        <v>1.0</v>
      </c>
      <c r="S30" s="8">
        <v>1.0</v>
      </c>
      <c r="T30" s="8">
        <v>0.0</v>
      </c>
      <c r="U30" s="8">
        <v>1.0</v>
      </c>
      <c r="V30" s="8">
        <v>1.0</v>
      </c>
      <c r="W30" s="8">
        <v>0.0</v>
      </c>
      <c r="X30" s="8">
        <v>0.0</v>
      </c>
      <c r="Y30" s="8">
        <v>1.0</v>
      </c>
      <c r="Z30" s="8">
        <v>1.0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</row>
    <row r="31" ht="14.25" customHeight="1">
      <c r="A31" s="1"/>
      <c r="B31" s="1"/>
      <c r="C31" s="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</row>
    <row r="32" ht="14.25" customHeight="1">
      <c r="A32" s="1"/>
      <c r="B32" s="1"/>
      <c r="C32" s="1"/>
      <c r="D32" s="8" t="s">
        <v>20</v>
      </c>
      <c r="E32" s="8">
        <v>1.0</v>
      </c>
      <c r="F32" s="8">
        <v>1.0</v>
      </c>
      <c r="G32" s="8">
        <v>1.0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1.0</v>
      </c>
      <c r="O32" s="8">
        <v>0.0</v>
      </c>
      <c r="P32" s="8">
        <v>1.0</v>
      </c>
      <c r="Q32" s="8">
        <v>0.0</v>
      </c>
      <c r="R32" s="8">
        <v>1.0</v>
      </c>
      <c r="S32" s="8">
        <v>0.0</v>
      </c>
      <c r="T32" s="8">
        <v>0.0</v>
      </c>
      <c r="U32" s="8">
        <v>1.0</v>
      </c>
      <c r="V32" s="8">
        <v>1.0</v>
      </c>
      <c r="W32" s="8">
        <v>1.0</v>
      </c>
      <c r="X32" s="8">
        <v>1.0</v>
      </c>
      <c r="Y32" s="8">
        <v>0.0</v>
      </c>
      <c r="Z32" s="8">
        <v>0.0</v>
      </c>
      <c r="AA32" s="8">
        <v>0.0</v>
      </c>
      <c r="AB32" s="8">
        <v>0.0</v>
      </c>
      <c r="AC32" s="8">
        <v>1.0</v>
      </c>
      <c r="AD32" s="8">
        <v>0.0</v>
      </c>
      <c r="AE32" s="8">
        <v>1.0</v>
      </c>
      <c r="AF32" s="8">
        <v>0.0</v>
      </c>
      <c r="AG32" s="8">
        <v>1.0</v>
      </c>
      <c r="AH32" s="8">
        <v>0.0</v>
      </c>
      <c r="AI32" s="8">
        <v>1.0</v>
      </c>
      <c r="AJ32" s="8">
        <v>0.0</v>
      </c>
    </row>
    <row r="33" ht="14.25" customHeight="1">
      <c r="A33" s="1"/>
      <c r="B33" s="1"/>
      <c r="C33" s="1"/>
    </row>
    <row r="34" ht="14.25" customHeight="1">
      <c r="A34" s="1"/>
      <c r="B34" s="1"/>
      <c r="C34" s="1"/>
    </row>
    <row r="35" ht="14.25" customHeight="1">
      <c r="A35" s="1"/>
      <c r="B35" s="1"/>
      <c r="C35" s="1"/>
    </row>
    <row r="36" ht="14.25" customHeight="1">
      <c r="A36" s="1"/>
      <c r="B36" s="1"/>
      <c r="C36" s="1"/>
    </row>
    <row r="37" ht="14.25" customHeight="1">
      <c r="A37" s="1"/>
      <c r="B37" s="1"/>
      <c r="C37" s="1"/>
      <c r="D37" s="9" t="s">
        <v>21</v>
      </c>
      <c r="E37" s="9">
        <v>57.0</v>
      </c>
      <c r="F37" s="9">
        <v>49.0</v>
      </c>
      <c r="G37" s="9">
        <v>41.0</v>
      </c>
      <c r="H37" s="9">
        <v>33.0</v>
      </c>
      <c r="I37" s="9">
        <v>25.0</v>
      </c>
      <c r="J37" s="9">
        <v>17.0</v>
      </c>
      <c r="K37" s="9">
        <v>9.0</v>
      </c>
    </row>
    <row r="38" ht="14.25" customHeight="1">
      <c r="A38" s="1"/>
      <c r="B38" s="1"/>
      <c r="C38" s="1"/>
      <c r="D38" s="9"/>
      <c r="E38" s="9">
        <v>1.0</v>
      </c>
      <c r="F38" s="9">
        <v>58.0</v>
      </c>
      <c r="G38" s="9">
        <v>50.0</v>
      </c>
      <c r="H38" s="9">
        <v>42.0</v>
      </c>
      <c r="I38" s="9">
        <v>34.0</v>
      </c>
      <c r="J38" s="9">
        <v>26.0</v>
      </c>
      <c r="K38" s="9">
        <v>18.0</v>
      </c>
    </row>
    <row r="39" ht="14.25" customHeight="1">
      <c r="A39" s="1"/>
      <c r="B39" s="1"/>
      <c r="C39" s="1"/>
      <c r="D39" s="9"/>
      <c r="E39" s="9">
        <v>10.0</v>
      </c>
      <c r="F39" s="9">
        <v>2.0</v>
      </c>
      <c r="G39" s="9">
        <v>59.0</v>
      </c>
      <c r="H39" s="9">
        <v>51.0</v>
      </c>
      <c r="I39" s="9">
        <v>43.0</v>
      </c>
      <c r="J39" s="9">
        <v>35.0</v>
      </c>
      <c r="K39" s="9">
        <v>27.0</v>
      </c>
    </row>
    <row r="40" ht="14.25" customHeight="1">
      <c r="A40" s="1"/>
      <c r="B40" s="1"/>
      <c r="C40" s="1"/>
      <c r="D40" s="9"/>
      <c r="E40" s="9">
        <v>19.0</v>
      </c>
      <c r="F40" s="9">
        <v>11.0</v>
      </c>
      <c r="G40" s="9">
        <v>3.0</v>
      </c>
      <c r="H40" s="9">
        <v>60.0</v>
      </c>
      <c r="I40" s="9">
        <v>52.0</v>
      </c>
      <c r="J40" s="9">
        <v>44.0</v>
      </c>
      <c r="K40" s="9">
        <v>36.0</v>
      </c>
    </row>
    <row r="41" ht="14.25" customHeight="1">
      <c r="A41" s="1"/>
      <c r="B41" s="1"/>
      <c r="C41" s="1"/>
      <c r="D41" s="9"/>
      <c r="E41" s="9">
        <v>63.0</v>
      </c>
      <c r="F41" s="9">
        <v>55.0</v>
      </c>
      <c r="G41" s="9">
        <v>47.0</v>
      </c>
      <c r="H41" s="9">
        <v>39.0</v>
      </c>
      <c r="I41" s="9">
        <v>31.0</v>
      </c>
      <c r="J41" s="9">
        <v>23.0</v>
      </c>
      <c r="K41" s="9">
        <v>15.0</v>
      </c>
    </row>
    <row r="42" ht="14.25" customHeight="1">
      <c r="A42" s="1"/>
      <c r="B42" s="1"/>
      <c r="C42" s="1"/>
      <c r="D42" s="9"/>
      <c r="E42" s="9">
        <v>7.0</v>
      </c>
      <c r="F42" s="9">
        <v>62.0</v>
      </c>
      <c r="G42" s="9">
        <v>54.0</v>
      </c>
      <c r="H42" s="9">
        <v>46.0</v>
      </c>
      <c r="I42" s="9">
        <v>38.0</v>
      </c>
      <c r="J42" s="9">
        <v>30.0</v>
      </c>
      <c r="K42" s="9">
        <v>22.0</v>
      </c>
      <c r="O42" s="4" t="s">
        <v>22</v>
      </c>
    </row>
    <row r="43" ht="14.25" customHeight="1">
      <c r="A43" s="1"/>
      <c r="B43" s="1"/>
      <c r="C43" s="1"/>
      <c r="D43" s="9"/>
      <c r="E43" s="9">
        <v>14.0</v>
      </c>
      <c r="F43" s="9">
        <v>6.0</v>
      </c>
      <c r="G43" s="9">
        <v>61.0</v>
      </c>
      <c r="H43" s="9">
        <v>53.0</v>
      </c>
      <c r="I43" s="9">
        <v>45.0</v>
      </c>
      <c r="J43" s="9">
        <v>37.0</v>
      </c>
      <c r="K43" s="9">
        <v>29.0</v>
      </c>
    </row>
    <row r="44" ht="14.25" customHeight="1">
      <c r="A44" s="1"/>
      <c r="B44" s="1"/>
      <c r="C44" s="1"/>
      <c r="D44" s="9"/>
      <c r="E44" s="9">
        <v>21.0</v>
      </c>
      <c r="F44" s="9">
        <v>13.0</v>
      </c>
      <c r="G44" s="9">
        <v>5.0</v>
      </c>
      <c r="H44" s="9">
        <v>28.0</v>
      </c>
      <c r="I44" s="9">
        <v>20.0</v>
      </c>
      <c r="J44" s="9">
        <v>12.0</v>
      </c>
      <c r="K44" s="9">
        <v>4.0</v>
      </c>
    </row>
    <row r="45" ht="14.25" customHeight="1">
      <c r="A45" s="1"/>
      <c r="B45" s="1"/>
      <c r="C45" s="1"/>
    </row>
    <row r="46" ht="14.25" customHeight="1">
      <c r="A46" s="1"/>
      <c r="B46" s="1"/>
      <c r="C46" s="1"/>
    </row>
    <row r="47" ht="14.25" customHeight="1">
      <c r="A47" s="1"/>
      <c r="B47" s="1"/>
      <c r="C47" s="1"/>
    </row>
    <row r="48" ht="14.25" customHeight="1">
      <c r="A48" s="1"/>
      <c r="B48" s="1"/>
      <c r="C48" s="1"/>
      <c r="D48" s="1" t="s">
        <v>23</v>
      </c>
      <c r="E48" s="1">
        <v>1.0</v>
      </c>
      <c r="F48" s="1">
        <v>1.0</v>
      </c>
      <c r="G48" s="1">
        <v>1.0</v>
      </c>
      <c r="H48" s="1">
        <v>1.0</v>
      </c>
      <c r="I48" s="1">
        <v>0.0</v>
      </c>
      <c r="J48" s="1">
        <v>0.0</v>
      </c>
      <c r="K48" s="1">
        <v>0.0</v>
      </c>
      <c r="L48" s="1">
        <v>0.0</v>
      </c>
    </row>
    <row r="49" ht="14.25" customHeight="1">
      <c r="A49" s="1"/>
      <c r="B49" s="1"/>
      <c r="C49" s="1"/>
      <c r="D49" s="1"/>
      <c r="E49" s="1">
        <v>1.0</v>
      </c>
      <c r="F49" s="1">
        <v>1.0</v>
      </c>
      <c r="G49" s="1">
        <v>0.0</v>
      </c>
      <c r="H49" s="1">
        <v>0.0</v>
      </c>
      <c r="I49" s="1">
        <v>1.0</v>
      </c>
      <c r="J49" s="1">
        <v>1.0</v>
      </c>
      <c r="K49" s="1">
        <v>0.0</v>
      </c>
      <c r="L49" s="1">
        <v>0.0</v>
      </c>
    </row>
    <row r="50" ht="14.25" customHeight="1">
      <c r="A50" s="1"/>
      <c r="B50" s="1"/>
      <c r="C50" s="1"/>
      <c r="D50" s="1"/>
      <c r="E50" s="1">
        <v>1.0</v>
      </c>
      <c r="F50" s="1">
        <v>0.0</v>
      </c>
      <c r="G50" s="1">
        <v>1.0</v>
      </c>
      <c r="H50" s="1">
        <v>0.0</v>
      </c>
      <c r="I50" s="1">
        <v>1.0</v>
      </c>
      <c r="J50" s="1">
        <v>0.0</v>
      </c>
      <c r="K50" s="1">
        <v>1.0</v>
      </c>
      <c r="L50" s="1">
        <v>0.0</v>
      </c>
    </row>
    <row r="51" ht="14.25" customHeight="1">
      <c r="A51" s="1"/>
      <c r="B51" s="1"/>
      <c r="C51" s="1"/>
      <c r="D51" s="1"/>
      <c r="E51" s="1">
        <v>1.0</v>
      </c>
      <c r="F51" s="1">
        <v>1.0</v>
      </c>
      <c r="G51" s="1">
        <v>1.0</v>
      </c>
      <c r="H51" s="1">
        <v>0.0</v>
      </c>
      <c r="I51" s="1">
        <v>1.0</v>
      </c>
      <c r="J51" s="1">
        <v>0.0</v>
      </c>
      <c r="K51" s="1">
        <v>1.0</v>
      </c>
      <c r="L51" s="1">
        <v>0.0</v>
      </c>
    </row>
    <row r="52" ht="14.25" customHeight="1">
      <c r="A52" s="1"/>
      <c r="B52" s="1"/>
      <c r="C52" s="1"/>
      <c r="D52" s="1"/>
      <c r="E52" s="1">
        <v>1.0</v>
      </c>
      <c r="F52" s="1">
        <v>0.0</v>
      </c>
      <c r="G52" s="1">
        <v>1.0</v>
      </c>
      <c r="H52" s="1">
        <v>0.0</v>
      </c>
      <c r="I52" s="1">
        <v>1.0</v>
      </c>
      <c r="J52" s="1">
        <v>1.0</v>
      </c>
      <c r="K52" s="1">
        <v>0.0</v>
      </c>
      <c r="L52" s="1">
        <v>0.0</v>
      </c>
    </row>
    <row r="53" ht="14.25" customHeight="1">
      <c r="A53" s="1"/>
      <c r="B53" s="1"/>
      <c r="C53" s="1"/>
      <c r="D53" s="1"/>
      <c r="E53" s="1">
        <v>1.0</v>
      </c>
      <c r="F53" s="1">
        <v>1.0</v>
      </c>
      <c r="G53" s="1">
        <v>0.0</v>
      </c>
      <c r="H53" s="1">
        <v>0.0</v>
      </c>
      <c r="I53" s="1">
        <v>1.0</v>
      </c>
      <c r="J53" s="1">
        <v>1.0</v>
      </c>
      <c r="K53" s="1">
        <v>1.0</v>
      </c>
      <c r="L53" s="1">
        <v>1.0</v>
      </c>
    </row>
    <row r="54" ht="14.25" customHeight="1">
      <c r="A54" s="1"/>
      <c r="B54" s="1"/>
      <c r="C54" s="1"/>
      <c r="D54" s="1"/>
      <c r="E54" s="1">
        <v>0.0</v>
      </c>
      <c r="F54" s="1">
        <v>0.0</v>
      </c>
      <c r="G54" s="1">
        <v>0.0</v>
      </c>
      <c r="H54" s="1">
        <v>0.0</v>
      </c>
      <c r="I54" s="1">
        <v>1.0</v>
      </c>
      <c r="J54" s="1">
        <v>0.0</v>
      </c>
      <c r="K54" s="1">
        <v>1.0</v>
      </c>
      <c r="L54" s="1">
        <v>0.0</v>
      </c>
    </row>
    <row r="55" ht="14.25" customHeight="1">
      <c r="A55" s="1"/>
      <c r="B55" s="1"/>
      <c r="C55" s="1"/>
    </row>
    <row r="56" ht="14.25" customHeight="1">
      <c r="A56" s="1"/>
      <c r="B56" s="1"/>
      <c r="C56" s="1"/>
    </row>
    <row r="57" ht="14.25" customHeight="1">
      <c r="A57" s="1"/>
      <c r="B57" s="1"/>
      <c r="C57" s="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4.25" customHeight="1">
      <c r="A58" s="1"/>
      <c r="B58" s="1"/>
      <c r="C58" s="1"/>
      <c r="D58" s="10" t="s">
        <v>24</v>
      </c>
      <c r="E58" s="10" t="s">
        <v>25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ht="14.25" customHeight="1">
      <c r="A59" s="1"/>
      <c r="B59" s="1"/>
      <c r="C59" s="1"/>
      <c r="D59" s="10" t="s">
        <v>26</v>
      </c>
      <c r="E59" s="10">
        <v>1.0</v>
      </c>
      <c r="F59" s="10">
        <v>1.0</v>
      </c>
      <c r="G59" s="10">
        <v>1.0</v>
      </c>
      <c r="H59" s="10">
        <v>1.0</v>
      </c>
      <c r="I59" s="10">
        <v>0.0</v>
      </c>
      <c r="J59" s="10">
        <v>0.0</v>
      </c>
      <c r="K59" s="10">
        <v>0.0</v>
      </c>
      <c r="L59" s="10">
        <v>0.0</v>
      </c>
      <c r="M59" s="10">
        <v>1.0</v>
      </c>
      <c r="N59" s="10">
        <v>1.0</v>
      </c>
      <c r="O59" s="10">
        <v>0.0</v>
      </c>
      <c r="P59" s="10">
        <v>0.0</v>
      </c>
      <c r="Q59" s="10">
        <v>1.0</v>
      </c>
      <c r="R59" s="10">
        <v>1.0</v>
      </c>
      <c r="S59" s="10">
        <v>0.0</v>
      </c>
      <c r="T59" s="10">
        <v>0.0</v>
      </c>
      <c r="U59" s="10">
        <v>1.0</v>
      </c>
      <c r="V59" s="10">
        <v>0.0</v>
      </c>
      <c r="W59" s="10">
        <v>1.0</v>
      </c>
      <c r="X59" s="10">
        <v>0.0</v>
      </c>
      <c r="Y59" s="10">
        <v>1.0</v>
      </c>
      <c r="Z59" s="10">
        <v>0.0</v>
      </c>
      <c r="AA59" s="10">
        <v>1.0</v>
      </c>
      <c r="AB59" s="10">
        <v>0.0</v>
      </c>
      <c r="AC59" s="10">
        <v>1.0</v>
      </c>
      <c r="AD59" s="10">
        <v>0.0</v>
      </c>
      <c r="AE59" s="10">
        <v>1.0</v>
      </c>
      <c r="AF59" s="10">
        <v>1.0</v>
      </c>
    </row>
    <row r="60" ht="14.25" customHeight="1">
      <c r="A60" s="1"/>
      <c r="B60" s="1"/>
      <c r="C60" s="1"/>
      <c r="D60" s="10" t="s">
        <v>27</v>
      </c>
      <c r="E60" s="10">
        <v>1.0</v>
      </c>
      <c r="F60" s="10">
        <v>0.0</v>
      </c>
      <c r="G60" s="10">
        <v>1.0</v>
      </c>
      <c r="H60" s="10">
        <v>0.0</v>
      </c>
      <c r="I60" s="10">
        <v>1.0</v>
      </c>
      <c r="J60" s="10">
        <v>0.0</v>
      </c>
      <c r="K60" s="10">
        <v>1.0</v>
      </c>
      <c r="L60" s="10">
        <v>0.0</v>
      </c>
      <c r="M60" s="10">
        <v>1.0</v>
      </c>
      <c r="N60" s="10">
        <v>1.0</v>
      </c>
      <c r="O60" s="10">
        <v>0.0</v>
      </c>
      <c r="P60" s="10">
        <v>0.0</v>
      </c>
      <c r="Q60" s="10">
        <v>1.0</v>
      </c>
      <c r="R60" s="10">
        <v>1.0</v>
      </c>
      <c r="S60" s="10">
        <v>0.0</v>
      </c>
      <c r="T60" s="10">
        <v>0.0</v>
      </c>
      <c r="U60" s="10">
        <v>1.0</v>
      </c>
      <c r="V60" s="10">
        <v>1.0</v>
      </c>
      <c r="W60" s="10">
        <v>1.0</v>
      </c>
      <c r="X60" s="10">
        <v>1.0</v>
      </c>
      <c r="Y60" s="10">
        <v>0.0</v>
      </c>
      <c r="Z60" s="10">
        <v>0.0</v>
      </c>
      <c r="AA60" s="10">
        <v>0.0</v>
      </c>
      <c r="AB60" s="10">
        <v>0.0</v>
      </c>
      <c r="AC60" s="10">
        <v>1.0</v>
      </c>
      <c r="AD60" s="10">
        <v>0.0</v>
      </c>
      <c r="AE60" s="10">
        <v>1.0</v>
      </c>
      <c r="AF60" s="10">
        <v>0.0</v>
      </c>
    </row>
    <row r="61" ht="14.25" customHeight="1">
      <c r="A61" s="1"/>
      <c r="B61" s="1"/>
      <c r="C61" s="1"/>
    </row>
    <row r="62" ht="14.25" customHeight="1">
      <c r="A62" s="1"/>
      <c r="B62" s="1"/>
      <c r="C62" s="1"/>
    </row>
    <row r="63" ht="14.25" customHeight="1">
      <c r="A63" s="1"/>
      <c r="B63" s="1"/>
      <c r="C63" s="1"/>
    </row>
    <row r="64" ht="14.25" customHeight="1">
      <c r="A64" s="1"/>
      <c r="B64" s="1"/>
      <c r="C64" s="1"/>
      <c r="D64" s="11" t="s">
        <v>28</v>
      </c>
      <c r="E64" s="12"/>
      <c r="F64" s="12"/>
      <c r="G64" s="12"/>
      <c r="H64" s="12"/>
      <c r="I64" s="12"/>
      <c r="J64" s="12"/>
      <c r="K64" s="12"/>
      <c r="L64" s="12"/>
    </row>
    <row r="65" ht="14.25" customHeight="1">
      <c r="A65" s="1"/>
      <c r="B65" s="1"/>
      <c r="C65" s="1"/>
      <c r="D65" s="8" t="s">
        <v>29</v>
      </c>
      <c r="E65" s="13" t="s">
        <v>30</v>
      </c>
      <c r="F65" s="14">
        <v>1.0</v>
      </c>
      <c r="G65" s="14">
        <v>2.0</v>
      </c>
      <c r="H65" s="14">
        <v>3.0</v>
      </c>
      <c r="I65" s="14">
        <v>4.0</v>
      </c>
      <c r="J65" s="14">
        <v>5.0</v>
      </c>
      <c r="K65" s="14">
        <v>6.0</v>
      </c>
      <c r="L65" s="14">
        <v>7.0</v>
      </c>
      <c r="M65" s="14">
        <v>8.0</v>
      </c>
      <c r="N65" s="14">
        <v>9.0</v>
      </c>
      <c r="O65" s="14">
        <v>10.0</v>
      </c>
      <c r="P65" s="14">
        <v>11.0</v>
      </c>
      <c r="Q65" s="14">
        <v>12.0</v>
      </c>
      <c r="R65" s="14">
        <v>13.0</v>
      </c>
      <c r="S65" s="14">
        <v>14.0</v>
      </c>
      <c r="T65" s="14">
        <v>15.0</v>
      </c>
      <c r="U65" s="14">
        <v>16.0</v>
      </c>
      <c r="V65" s="14">
        <v>17.0</v>
      </c>
      <c r="W65" s="14">
        <v>18.0</v>
      </c>
      <c r="X65" s="14">
        <v>19.0</v>
      </c>
      <c r="Y65" s="14">
        <v>20.0</v>
      </c>
      <c r="Z65" s="14">
        <v>21.0</v>
      </c>
      <c r="AA65" s="14">
        <v>22.0</v>
      </c>
      <c r="AB65" s="14">
        <v>23.0</v>
      </c>
      <c r="AC65" s="14">
        <v>24.0</v>
      </c>
      <c r="AD65" s="14">
        <v>25.0</v>
      </c>
      <c r="AE65" s="14">
        <v>26.0</v>
      </c>
      <c r="AF65" s="14">
        <v>27.0</v>
      </c>
      <c r="AG65" s="14">
        <v>28.0</v>
      </c>
    </row>
    <row r="66" ht="14.25" customHeight="1">
      <c r="A66" s="1"/>
      <c r="B66" s="1"/>
      <c r="C66" s="1"/>
      <c r="D66" s="8"/>
      <c r="E66" s="13"/>
      <c r="F66" s="15">
        <v>1.0</v>
      </c>
      <c r="G66" s="15">
        <v>1.0</v>
      </c>
      <c r="H66" s="15">
        <v>1.0</v>
      </c>
      <c r="I66" s="15">
        <v>1.0</v>
      </c>
      <c r="J66" s="15">
        <v>0.0</v>
      </c>
      <c r="K66" s="15">
        <v>0.0</v>
      </c>
      <c r="L66" s="15">
        <v>0.0</v>
      </c>
      <c r="M66" s="15">
        <v>0.0</v>
      </c>
      <c r="N66" s="15">
        <v>1.0</v>
      </c>
      <c r="O66" s="15">
        <v>1.0</v>
      </c>
      <c r="P66" s="15">
        <v>0.0</v>
      </c>
      <c r="Q66" s="15">
        <v>0.0</v>
      </c>
      <c r="R66" s="15">
        <v>1.0</v>
      </c>
      <c r="S66" s="15">
        <v>1.0</v>
      </c>
      <c r="T66" s="15">
        <v>0.0</v>
      </c>
      <c r="U66" s="15">
        <v>0.0</v>
      </c>
      <c r="V66" s="15">
        <v>1.0</v>
      </c>
      <c r="W66" s="15">
        <v>0.0</v>
      </c>
      <c r="X66" s="15">
        <v>1.0</v>
      </c>
      <c r="Y66" s="15">
        <v>0.0</v>
      </c>
      <c r="Z66" s="15">
        <v>1.0</v>
      </c>
      <c r="AA66" s="15">
        <v>0.0</v>
      </c>
      <c r="AB66" s="15">
        <v>1.0</v>
      </c>
      <c r="AC66" s="15">
        <v>0.0</v>
      </c>
      <c r="AD66" s="15">
        <v>1.0</v>
      </c>
      <c r="AE66" s="15">
        <v>0.0</v>
      </c>
      <c r="AF66" s="15">
        <v>1.0</v>
      </c>
      <c r="AG66" s="15">
        <v>1.0</v>
      </c>
    </row>
    <row r="67" ht="14.25" customHeight="1">
      <c r="A67" s="1"/>
      <c r="B67" s="1"/>
      <c r="C67" s="1"/>
      <c r="D67" s="8" t="s">
        <v>31</v>
      </c>
      <c r="E67" s="13"/>
      <c r="F67" s="15">
        <v>1.0</v>
      </c>
      <c r="G67" s="15">
        <v>1.0</v>
      </c>
      <c r="H67" s="15">
        <v>1.0</v>
      </c>
      <c r="I67" s="15">
        <v>0.0</v>
      </c>
      <c r="J67" s="15">
        <v>0.0</v>
      </c>
      <c r="K67" s="15">
        <v>0.0</v>
      </c>
      <c r="L67" s="15">
        <v>0.0</v>
      </c>
      <c r="M67" s="15">
        <v>1.0</v>
      </c>
      <c r="N67" s="15">
        <v>1.0</v>
      </c>
      <c r="O67" s="15">
        <v>0.0</v>
      </c>
      <c r="P67" s="15">
        <v>0.0</v>
      </c>
      <c r="Q67" s="15">
        <v>1.0</v>
      </c>
      <c r="R67" s="15">
        <v>1.0</v>
      </c>
      <c r="S67" s="15">
        <v>0.0</v>
      </c>
      <c r="T67" s="15">
        <v>0.0</v>
      </c>
      <c r="U67" s="15">
        <v>1.0</v>
      </c>
      <c r="V67" s="15">
        <v>0.0</v>
      </c>
      <c r="W67" s="15">
        <v>1.0</v>
      </c>
      <c r="X67" s="15">
        <v>0.0</v>
      </c>
      <c r="Y67" s="15">
        <v>1.0</v>
      </c>
      <c r="Z67" s="15">
        <v>0.0</v>
      </c>
      <c r="AA67" s="15">
        <v>1.0</v>
      </c>
      <c r="AB67" s="15">
        <v>0.0</v>
      </c>
      <c r="AC67" s="15">
        <v>1.0</v>
      </c>
      <c r="AD67" s="15">
        <v>0.0</v>
      </c>
      <c r="AE67" s="15">
        <v>1.0</v>
      </c>
      <c r="AF67" s="15">
        <v>1.0</v>
      </c>
      <c r="AG67" s="15">
        <v>1.0</v>
      </c>
    </row>
    <row r="68" ht="14.25" customHeight="1">
      <c r="A68" s="1"/>
      <c r="B68" s="1"/>
      <c r="C68" s="1"/>
      <c r="D68" s="8" t="s">
        <v>32</v>
      </c>
      <c r="E68" s="13"/>
      <c r="F68" s="15">
        <v>1.0</v>
      </c>
      <c r="G68" s="15">
        <v>1.0</v>
      </c>
      <c r="H68" s="15">
        <v>0.0</v>
      </c>
      <c r="I68" s="15">
        <v>0.0</v>
      </c>
      <c r="J68" s="15">
        <v>0.0</v>
      </c>
      <c r="K68" s="15">
        <v>0.0</v>
      </c>
      <c r="L68" s="15">
        <v>1.0</v>
      </c>
      <c r="M68" s="15">
        <v>1.0</v>
      </c>
      <c r="N68" s="15">
        <v>0.0</v>
      </c>
      <c r="O68" s="15">
        <v>0.0</v>
      </c>
      <c r="P68" s="15">
        <v>1.0</v>
      </c>
      <c r="Q68" s="15">
        <v>1.0</v>
      </c>
      <c r="R68" s="15">
        <v>0.0</v>
      </c>
      <c r="S68" s="15">
        <v>0.0</v>
      </c>
      <c r="T68" s="15">
        <v>1.0</v>
      </c>
      <c r="U68" s="15">
        <v>0.0</v>
      </c>
      <c r="V68" s="15">
        <v>1.0</v>
      </c>
      <c r="W68" s="15">
        <v>0.0</v>
      </c>
      <c r="X68" s="15">
        <v>1.0</v>
      </c>
      <c r="Y68" s="15">
        <v>0.0</v>
      </c>
      <c r="Z68" s="15">
        <v>1.0</v>
      </c>
      <c r="AA68" s="15">
        <v>0.0</v>
      </c>
      <c r="AB68" s="15">
        <v>1.0</v>
      </c>
      <c r="AC68" s="15">
        <v>0.0</v>
      </c>
      <c r="AD68" s="15">
        <v>1.0</v>
      </c>
      <c r="AE68" s="15">
        <v>1.0</v>
      </c>
      <c r="AF68" s="15">
        <v>1.0</v>
      </c>
      <c r="AG68" s="15">
        <v>1.0</v>
      </c>
    </row>
    <row r="69" ht="14.25" customHeight="1">
      <c r="A69" s="1"/>
      <c r="B69" s="1"/>
      <c r="C69" s="1"/>
      <c r="D69" s="8" t="s">
        <v>33</v>
      </c>
      <c r="E69" s="13"/>
      <c r="F69" s="15">
        <v>0.0</v>
      </c>
      <c r="G69" s="15">
        <v>0.0</v>
      </c>
      <c r="H69" s="15">
        <v>0.0</v>
      </c>
      <c r="I69" s="15">
        <v>0.0</v>
      </c>
      <c r="J69" s="15">
        <v>1.0</v>
      </c>
      <c r="K69" s="15">
        <v>1.0</v>
      </c>
      <c r="L69" s="15">
        <v>0.0</v>
      </c>
      <c r="M69" s="15">
        <v>0.0</v>
      </c>
      <c r="N69" s="15">
        <v>1.0</v>
      </c>
      <c r="O69" s="15">
        <v>1.0</v>
      </c>
      <c r="P69" s="15">
        <v>0.0</v>
      </c>
      <c r="Q69" s="15">
        <v>0.0</v>
      </c>
      <c r="R69" s="15">
        <v>1.0</v>
      </c>
      <c r="S69" s="15">
        <v>0.0</v>
      </c>
      <c r="T69" s="15">
        <v>1.0</v>
      </c>
      <c r="U69" s="15">
        <v>0.0</v>
      </c>
      <c r="V69" s="15">
        <v>1.0</v>
      </c>
      <c r="W69" s="15">
        <v>0.0</v>
      </c>
      <c r="X69" s="15">
        <v>1.0</v>
      </c>
      <c r="Y69" s="15">
        <v>0.0</v>
      </c>
      <c r="Z69" s="15">
        <v>1.0</v>
      </c>
      <c r="AA69" s="15">
        <v>0.0</v>
      </c>
      <c r="AB69" s="15">
        <v>1.0</v>
      </c>
      <c r="AC69" s="15">
        <v>1.0</v>
      </c>
      <c r="AD69" s="15">
        <v>1.0</v>
      </c>
      <c r="AE69" s="15">
        <v>1.0</v>
      </c>
      <c r="AF69" s="15">
        <v>1.0</v>
      </c>
      <c r="AG69" s="15">
        <v>1.0</v>
      </c>
    </row>
    <row r="70" ht="14.25" customHeight="1">
      <c r="A70" s="1"/>
      <c r="B70" s="1"/>
      <c r="C70" s="1"/>
      <c r="D70" s="8" t="s">
        <v>34</v>
      </c>
      <c r="E70" s="13"/>
      <c r="F70" s="15">
        <v>0.0</v>
      </c>
      <c r="G70" s="15">
        <v>0.0</v>
      </c>
      <c r="H70" s="15">
        <v>1.0</v>
      </c>
      <c r="I70" s="15">
        <v>1.0</v>
      </c>
      <c r="J70" s="15">
        <v>0.0</v>
      </c>
      <c r="K70" s="15">
        <v>0.0</v>
      </c>
      <c r="L70" s="15">
        <v>1.0</v>
      </c>
      <c r="M70" s="15">
        <v>1.0</v>
      </c>
      <c r="N70" s="15">
        <v>0.0</v>
      </c>
      <c r="O70" s="15">
        <v>0.0</v>
      </c>
      <c r="P70" s="15">
        <v>1.0</v>
      </c>
      <c r="Q70" s="15">
        <v>0.0</v>
      </c>
      <c r="R70" s="15">
        <v>1.0</v>
      </c>
      <c r="S70" s="15">
        <v>0.0</v>
      </c>
      <c r="T70" s="15">
        <v>1.0</v>
      </c>
      <c r="U70" s="15">
        <v>0.0</v>
      </c>
      <c r="V70" s="15">
        <v>1.0</v>
      </c>
      <c r="W70" s="15">
        <v>0.0</v>
      </c>
      <c r="X70" s="15">
        <v>1.0</v>
      </c>
      <c r="Y70" s="15">
        <v>0.0</v>
      </c>
      <c r="Z70" s="15">
        <v>1.0</v>
      </c>
      <c r="AA70" s="15">
        <v>1.0</v>
      </c>
      <c r="AB70" s="15">
        <v>1.0</v>
      </c>
      <c r="AC70" s="15">
        <v>1.0</v>
      </c>
      <c r="AD70" s="15">
        <v>1.0</v>
      </c>
      <c r="AE70" s="15">
        <v>1.0</v>
      </c>
      <c r="AF70" s="15">
        <v>0.0</v>
      </c>
      <c r="AG70" s="15">
        <v>0.0</v>
      </c>
    </row>
    <row r="71" ht="14.25" customHeight="1">
      <c r="A71" s="1"/>
      <c r="B71" s="1"/>
      <c r="C71" s="1"/>
      <c r="D71" s="8" t="s">
        <v>35</v>
      </c>
      <c r="E71" s="13"/>
      <c r="F71" s="15">
        <v>1.0</v>
      </c>
      <c r="G71" s="15">
        <v>1.0</v>
      </c>
      <c r="H71" s="15">
        <v>0.0</v>
      </c>
      <c r="I71" s="15">
        <v>0.0</v>
      </c>
      <c r="J71" s="15">
        <v>1.0</v>
      </c>
      <c r="K71" s="15">
        <v>1.0</v>
      </c>
      <c r="L71" s="15">
        <v>0.0</v>
      </c>
      <c r="M71" s="15">
        <v>0.0</v>
      </c>
      <c r="N71" s="15">
        <v>1.0</v>
      </c>
      <c r="O71" s="15">
        <v>0.0</v>
      </c>
      <c r="P71" s="15">
        <v>1.0</v>
      </c>
      <c r="Q71" s="15">
        <v>0.0</v>
      </c>
      <c r="R71" s="15">
        <v>1.0</v>
      </c>
      <c r="S71" s="15">
        <v>0.0</v>
      </c>
      <c r="T71" s="15">
        <v>1.0</v>
      </c>
      <c r="U71" s="15">
        <v>0.0</v>
      </c>
      <c r="V71" s="15">
        <v>1.0</v>
      </c>
      <c r="W71" s="15">
        <v>0.0</v>
      </c>
      <c r="X71" s="15">
        <v>1.0</v>
      </c>
      <c r="Y71" s="15">
        <v>1.0</v>
      </c>
      <c r="Z71" s="15">
        <v>1.0</v>
      </c>
      <c r="AA71" s="15">
        <v>1.0</v>
      </c>
      <c r="AB71" s="15">
        <v>1.0</v>
      </c>
      <c r="AC71" s="15">
        <v>1.0</v>
      </c>
      <c r="AD71" s="15">
        <v>0.0</v>
      </c>
      <c r="AE71" s="15">
        <v>0.0</v>
      </c>
      <c r="AF71" s="15">
        <v>0.0</v>
      </c>
      <c r="AG71" s="15">
        <v>0.0</v>
      </c>
    </row>
    <row r="72" ht="14.25" customHeight="1">
      <c r="A72" s="1"/>
      <c r="B72" s="1"/>
      <c r="C72" s="1"/>
      <c r="D72" s="8" t="s">
        <v>36</v>
      </c>
      <c r="E72" s="13"/>
      <c r="F72" s="15">
        <v>0.0</v>
      </c>
      <c r="G72" s="15">
        <v>0.0</v>
      </c>
      <c r="H72" s="15">
        <v>1.0</v>
      </c>
      <c r="I72" s="15">
        <v>1.0</v>
      </c>
      <c r="J72" s="15">
        <v>0.0</v>
      </c>
      <c r="K72" s="15">
        <v>0.0</v>
      </c>
      <c r="L72" s="15">
        <v>1.0</v>
      </c>
      <c r="M72" s="15">
        <v>0.0</v>
      </c>
      <c r="N72" s="15">
        <v>1.0</v>
      </c>
      <c r="O72" s="15">
        <v>0.0</v>
      </c>
      <c r="P72" s="15">
        <v>1.0</v>
      </c>
      <c r="Q72" s="15">
        <v>0.0</v>
      </c>
      <c r="R72" s="15">
        <v>1.0</v>
      </c>
      <c r="S72" s="15">
        <v>0.0</v>
      </c>
      <c r="T72" s="15">
        <v>1.0</v>
      </c>
      <c r="U72" s="15">
        <v>0.0</v>
      </c>
      <c r="V72" s="15">
        <v>1.0</v>
      </c>
      <c r="W72" s="15">
        <v>1.0</v>
      </c>
      <c r="X72" s="15">
        <v>1.0</v>
      </c>
      <c r="Y72" s="15">
        <v>1.0</v>
      </c>
      <c r="Z72" s="15">
        <v>1.0</v>
      </c>
      <c r="AA72" s="15">
        <v>1.0</v>
      </c>
      <c r="AB72" s="15">
        <v>0.0</v>
      </c>
      <c r="AC72" s="15">
        <v>0.0</v>
      </c>
      <c r="AD72" s="15">
        <v>0.0</v>
      </c>
      <c r="AE72" s="15">
        <v>0.0</v>
      </c>
      <c r="AF72" s="15">
        <v>1.0</v>
      </c>
      <c r="AG72" s="15">
        <v>1.0</v>
      </c>
    </row>
    <row r="73" ht="14.25" customHeight="1">
      <c r="A73" s="1"/>
      <c r="B73" s="1"/>
      <c r="C73" s="1"/>
      <c r="D73" s="8" t="s">
        <v>37</v>
      </c>
      <c r="E73" s="13"/>
      <c r="F73" s="15">
        <v>1.0</v>
      </c>
      <c r="G73" s="15">
        <v>1.0</v>
      </c>
      <c r="H73" s="15">
        <v>0.0</v>
      </c>
      <c r="I73" s="15">
        <v>0.0</v>
      </c>
      <c r="J73" s="15">
        <v>1.0</v>
      </c>
      <c r="K73" s="15">
        <v>0.0</v>
      </c>
      <c r="L73" s="15">
        <v>1.0</v>
      </c>
      <c r="M73" s="15">
        <v>0.0</v>
      </c>
      <c r="N73" s="15">
        <v>1.0</v>
      </c>
      <c r="O73" s="15">
        <v>0.0</v>
      </c>
      <c r="P73" s="15">
        <v>1.0</v>
      </c>
      <c r="Q73" s="15">
        <v>0.0</v>
      </c>
      <c r="R73" s="15">
        <v>1.0</v>
      </c>
      <c r="S73" s="15">
        <v>0.0</v>
      </c>
      <c r="T73" s="15">
        <v>1.0</v>
      </c>
      <c r="U73" s="15">
        <v>1.0</v>
      </c>
      <c r="V73" s="15">
        <v>1.0</v>
      </c>
      <c r="W73" s="15">
        <v>1.0</v>
      </c>
      <c r="X73" s="15">
        <v>1.0</v>
      </c>
      <c r="Y73" s="15">
        <v>1.0</v>
      </c>
      <c r="Z73" s="15">
        <v>0.0</v>
      </c>
      <c r="AA73" s="15">
        <v>0.0</v>
      </c>
      <c r="AB73" s="15">
        <v>0.0</v>
      </c>
      <c r="AC73" s="15">
        <v>0.0</v>
      </c>
      <c r="AD73" s="15">
        <v>1.0</v>
      </c>
      <c r="AE73" s="15">
        <v>1.0</v>
      </c>
      <c r="AF73" s="15">
        <v>0.0</v>
      </c>
      <c r="AG73" s="15">
        <v>0.0</v>
      </c>
    </row>
    <row r="74" ht="14.25" customHeight="1">
      <c r="A74" s="1"/>
      <c r="B74" s="1"/>
      <c r="C74" s="1"/>
      <c r="D74" s="8" t="s">
        <v>38</v>
      </c>
      <c r="E74" s="13"/>
      <c r="F74" s="15">
        <v>0.0</v>
      </c>
      <c r="G74" s="15">
        <v>0.0</v>
      </c>
      <c r="H74" s="15">
        <v>1.0</v>
      </c>
      <c r="I74" s="15">
        <v>0.0</v>
      </c>
      <c r="J74" s="15">
        <v>1.0</v>
      </c>
      <c r="K74" s="15">
        <v>0.0</v>
      </c>
      <c r="L74" s="15">
        <v>1.0</v>
      </c>
      <c r="M74" s="15">
        <v>0.0</v>
      </c>
      <c r="N74" s="15">
        <v>1.0</v>
      </c>
      <c r="O74" s="15">
        <v>0.0</v>
      </c>
      <c r="P74" s="15">
        <v>1.0</v>
      </c>
      <c r="Q74" s="15">
        <v>0.0</v>
      </c>
      <c r="R74" s="15">
        <v>1.0</v>
      </c>
      <c r="S74" s="15">
        <v>1.0</v>
      </c>
      <c r="T74" s="15">
        <v>1.0</v>
      </c>
      <c r="U74" s="15">
        <v>1.0</v>
      </c>
      <c r="V74" s="15">
        <v>1.0</v>
      </c>
      <c r="W74" s="15">
        <v>1.0</v>
      </c>
      <c r="X74" s="15">
        <v>0.0</v>
      </c>
      <c r="Y74" s="15">
        <v>0.0</v>
      </c>
      <c r="Z74" s="15">
        <v>0.0</v>
      </c>
      <c r="AA74" s="15">
        <v>0.0</v>
      </c>
      <c r="AB74" s="15">
        <v>1.0</v>
      </c>
      <c r="AC74" s="15">
        <v>1.0</v>
      </c>
      <c r="AD74" s="15">
        <v>0.0</v>
      </c>
      <c r="AE74" s="15">
        <v>0.0</v>
      </c>
      <c r="AF74" s="15">
        <v>1.0</v>
      </c>
      <c r="AG74" s="15">
        <v>1.0</v>
      </c>
    </row>
    <row r="75" ht="14.25" customHeight="1">
      <c r="A75" s="1"/>
      <c r="B75" s="1"/>
      <c r="C75" s="1"/>
      <c r="D75" s="8" t="s">
        <v>39</v>
      </c>
      <c r="E75" s="13"/>
      <c r="F75" s="15">
        <v>0.0</v>
      </c>
      <c r="G75" s="15">
        <v>1.0</v>
      </c>
      <c r="H75" s="15">
        <v>0.0</v>
      </c>
      <c r="I75" s="15">
        <v>1.0</v>
      </c>
      <c r="J75" s="15">
        <v>0.0</v>
      </c>
      <c r="K75" s="15">
        <v>1.0</v>
      </c>
      <c r="L75" s="15">
        <v>0.0</v>
      </c>
      <c r="M75" s="15">
        <v>1.0</v>
      </c>
      <c r="N75" s="15">
        <v>0.0</v>
      </c>
      <c r="O75" s="15">
        <v>1.0</v>
      </c>
      <c r="P75" s="15">
        <v>0.0</v>
      </c>
      <c r="Q75" s="15">
        <v>1.0</v>
      </c>
      <c r="R75" s="15">
        <v>1.0</v>
      </c>
      <c r="S75" s="15">
        <v>1.0</v>
      </c>
      <c r="T75" s="15">
        <v>1.0</v>
      </c>
      <c r="U75" s="15">
        <v>1.0</v>
      </c>
      <c r="V75" s="15">
        <v>1.0</v>
      </c>
      <c r="W75" s="15">
        <v>0.0</v>
      </c>
      <c r="X75" s="15">
        <v>0.0</v>
      </c>
      <c r="Y75" s="15">
        <v>0.0</v>
      </c>
      <c r="Z75" s="15">
        <v>0.0</v>
      </c>
      <c r="AA75" s="15">
        <v>1.0</v>
      </c>
      <c r="AB75" s="15">
        <v>1.0</v>
      </c>
      <c r="AC75" s="15">
        <v>0.0</v>
      </c>
      <c r="AD75" s="15">
        <v>0.0</v>
      </c>
      <c r="AE75" s="15">
        <v>1.0</v>
      </c>
      <c r="AF75" s="15">
        <v>1.0</v>
      </c>
      <c r="AG75" s="15">
        <v>0.0</v>
      </c>
    </row>
    <row r="76" ht="14.25" customHeight="1">
      <c r="A76" s="1"/>
      <c r="B76" s="1"/>
      <c r="C76" s="1"/>
      <c r="D76" s="8" t="s">
        <v>40</v>
      </c>
      <c r="E76" s="13"/>
      <c r="F76" s="15">
        <v>0.0</v>
      </c>
      <c r="G76" s="15">
        <v>1.0</v>
      </c>
      <c r="H76" s="15">
        <v>0.0</v>
      </c>
      <c r="I76" s="15">
        <v>1.0</v>
      </c>
      <c r="J76" s="15">
        <v>0.0</v>
      </c>
      <c r="K76" s="15">
        <v>1.0</v>
      </c>
      <c r="L76" s="15">
        <v>0.0</v>
      </c>
      <c r="M76" s="15">
        <v>1.0</v>
      </c>
      <c r="N76" s="15">
        <v>0.0</v>
      </c>
      <c r="O76" s="15">
        <v>1.0</v>
      </c>
      <c r="P76" s="15">
        <v>1.0</v>
      </c>
      <c r="Q76" s="15">
        <v>1.0</v>
      </c>
      <c r="R76" s="15">
        <v>1.0</v>
      </c>
      <c r="S76" s="15">
        <v>1.0</v>
      </c>
      <c r="T76" s="15">
        <v>1.0</v>
      </c>
      <c r="U76" s="15">
        <v>0.0</v>
      </c>
      <c r="V76" s="15">
        <v>0.0</v>
      </c>
      <c r="W76" s="15">
        <v>0.0</v>
      </c>
      <c r="X76" s="15">
        <v>0.0</v>
      </c>
      <c r="Y76" s="15">
        <v>1.0</v>
      </c>
      <c r="Z76" s="15">
        <v>1.0</v>
      </c>
      <c r="AA76" s="15">
        <v>0.0</v>
      </c>
      <c r="AB76" s="15">
        <v>0.0</v>
      </c>
      <c r="AC76" s="15">
        <v>1.0</v>
      </c>
      <c r="AD76" s="15">
        <v>1.0</v>
      </c>
      <c r="AE76" s="15">
        <v>0.0</v>
      </c>
      <c r="AF76" s="15">
        <v>0.0</v>
      </c>
      <c r="AG76" s="15">
        <v>1.0</v>
      </c>
    </row>
    <row r="77" ht="14.25" customHeight="1">
      <c r="A77" s="1"/>
      <c r="B77" s="1"/>
      <c r="C77" s="1"/>
      <c r="D77" s="8" t="s">
        <v>41</v>
      </c>
      <c r="E77" s="13"/>
      <c r="F77" s="15">
        <v>0.0</v>
      </c>
      <c r="G77" s="15">
        <v>1.0</v>
      </c>
      <c r="H77" s="15">
        <v>0.0</v>
      </c>
      <c r="I77" s="15">
        <v>1.0</v>
      </c>
      <c r="J77" s="15">
        <v>0.0</v>
      </c>
      <c r="K77" s="15">
        <v>1.0</v>
      </c>
      <c r="L77" s="15">
        <v>0.0</v>
      </c>
      <c r="M77" s="15">
        <v>1.0</v>
      </c>
      <c r="N77" s="15">
        <v>1.0</v>
      </c>
      <c r="O77" s="15">
        <v>1.0</v>
      </c>
      <c r="P77" s="15">
        <v>1.0</v>
      </c>
      <c r="Q77" s="15">
        <v>1.0</v>
      </c>
      <c r="R77" s="15">
        <v>1.0</v>
      </c>
      <c r="S77" s="15">
        <v>0.0</v>
      </c>
      <c r="T77" s="15">
        <v>0.0</v>
      </c>
      <c r="U77" s="15">
        <v>0.0</v>
      </c>
      <c r="V77" s="15">
        <v>0.0</v>
      </c>
      <c r="W77" s="15">
        <v>1.0</v>
      </c>
      <c r="X77" s="15">
        <v>1.0</v>
      </c>
      <c r="Y77" s="15">
        <v>0.0</v>
      </c>
      <c r="Z77" s="15">
        <v>0.0</v>
      </c>
      <c r="AA77" s="15">
        <v>1.0</v>
      </c>
      <c r="AB77" s="15">
        <v>1.0</v>
      </c>
      <c r="AC77" s="15">
        <v>0.0</v>
      </c>
      <c r="AD77" s="15">
        <v>0.0</v>
      </c>
      <c r="AE77" s="15">
        <v>1.0</v>
      </c>
      <c r="AF77" s="15">
        <v>0.0</v>
      </c>
      <c r="AG77" s="15">
        <v>1.0</v>
      </c>
    </row>
    <row r="78" ht="14.25" customHeight="1">
      <c r="A78" s="1"/>
      <c r="B78" s="1"/>
      <c r="C78" s="1"/>
      <c r="D78" s="8" t="s">
        <v>42</v>
      </c>
      <c r="E78" s="13"/>
      <c r="F78" s="15">
        <v>0.0</v>
      </c>
      <c r="G78" s="15">
        <v>1.0</v>
      </c>
      <c r="H78" s="15">
        <v>0.0</v>
      </c>
      <c r="I78" s="15">
        <v>1.0</v>
      </c>
      <c r="J78" s="15">
        <v>0.0</v>
      </c>
      <c r="K78" s="15">
        <v>1.0</v>
      </c>
      <c r="L78" s="15">
        <v>1.0</v>
      </c>
      <c r="M78" s="15">
        <v>1.0</v>
      </c>
      <c r="N78" s="15">
        <v>1.0</v>
      </c>
      <c r="O78" s="15">
        <v>1.0</v>
      </c>
      <c r="P78" s="15">
        <v>1.0</v>
      </c>
      <c r="Q78" s="15">
        <v>0.0</v>
      </c>
      <c r="R78" s="15">
        <v>0.0</v>
      </c>
      <c r="S78" s="15">
        <v>0.0</v>
      </c>
      <c r="T78" s="15">
        <v>0.0</v>
      </c>
      <c r="U78" s="15">
        <v>1.0</v>
      </c>
      <c r="V78" s="15">
        <v>1.0</v>
      </c>
      <c r="W78" s="15">
        <v>0.0</v>
      </c>
      <c r="X78" s="15">
        <v>0.0</v>
      </c>
      <c r="Y78" s="15">
        <v>1.0</v>
      </c>
      <c r="Z78" s="15">
        <v>1.0</v>
      </c>
      <c r="AA78" s="15">
        <v>0.0</v>
      </c>
      <c r="AB78" s="15">
        <v>0.0</v>
      </c>
      <c r="AC78" s="15">
        <v>1.0</v>
      </c>
      <c r="AD78" s="15">
        <v>0.0</v>
      </c>
      <c r="AE78" s="15">
        <v>1.0</v>
      </c>
      <c r="AF78" s="15">
        <v>0.0</v>
      </c>
      <c r="AG78" s="15">
        <v>1.0</v>
      </c>
    </row>
    <row r="79" ht="14.25" customHeight="1">
      <c r="A79" s="1"/>
      <c r="B79" s="1"/>
      <c r="C79" s="1"/>
      <c r="D79" s="8" t="s">
        <v>43</v>
      </c>
      <c r="E79" s="13"/>
      <c r="F79" s="15">
        <v>0.0</v>
      </c>
      <c r="G79" s="15">
        <v>1.0</v>
      </c>
      <c r="H79" s="15">
        <v>0.0</v>
      </c>
      <c r="I79" s="15">
        <v>1.0</v>
      </c>
      <c r="J79" s="15">
        <v>1.0</v>
      </c>
      <c r="K79" s="15">
        <v>1.0</v>
      </c>
      <c r="L79" s="15">
        <v>1.0</v>
      </c>
      <c r="M79" s="15">
        <v>1.0</v>
      </c>
      <c r="N79" s="15">
        <v>1.0</v>
      </c>
      <c r="O79" s="15">
        <v>0.0</v>
      </c>
      <c r="P79" s="15">
        <v>0.0</v>
      </c>
      <c r="Q79" s="15">
        <v>0.0</v>
      </c>
      <c r="R79" s="15">
        <v>0.0</v>
      </c>
      <c r="S79" s="15">
        <v>1.0</v>
      </c>
      <c r="T79" s="15">
        <v>1.0</v>
      </c>
      <c r="U79" s="15">
        <v>0.0</v>
      </c>
      <c r="V79" s="15">
        <v>0.0</v>
      </c>
      <c r="W79" s="15">
        <v>1.0</v>
      </c>
      <c r="X79" s="15">
        <v>1.0</v>
      </c>
      <c r="Y79" s="15">
        <v>0.0</v>
      </c>
      <c r="Z79" s="15">
        <v>0.0</v>
      </c>
      <c r="AA79" s="15">
        <v>1.0</v>
      </c>
      <c r="AB79" s="15">
        <v>0.0</v>
      </c>
      <c r="AC79" s="15">
        <v>1.0</v>
      </c>
      <c r="AD79" s="15">
        <v>0.0</v>
      </c>
      <c r="AE79" s="15">
        <v>1.0</v>
      </c>
      <c r="AF79" s="15">
        <v>0.0</v>
      </c>
      <c r="AG79" s="15">
        <v>1.0</v>
      </c>
    </row>
    <row r="80" ht="14.25" customHeight="1">
      <c r="A80" s="1"/>
      <c r="B80" s="1"/>
      <c r="C80" s="1"/>
      <c r="D80" s="8" t="s">
        <v>44</v>
      </c>
      <c r="E80" s="13"/>
      <c r="F80" s="15">
        <v>0.0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  <c r="M80" s="15">
        <v>0.0</v>
      </c>
      <c r="N80" s="15">
        <v>0.0</v>
      </c>
      <c r="O80" s="15">
        <v>0.0</v>
      </c>
      <c r="P80" s="15">
        <v>0.0</v>
      </c>
      <c r="Q80" s="15">
        <v>1.0</v>
      </c>
      <c r="R80" s="15">
        <v>1.0</v>
      </c>
      <c r="S80" s="15">
        <v>0.0</v>
      </c>
      <c r="T80" s="15">
        <v>0.0</v>
      </c>
      <c r="U80" s="15">
        <v>1.0</v>
      </c>
      <c r="V80" s="15">
        <v>1.0</v>
      </c>
      <c r="W80" s="15">
        <v>0.0</v>
      </c>
      <c r="X80" s="15">
        <v>0.0</v>
      </c>
      <c r="Y80" s="15">
        <v>1.0</v>
      </c>
      <c r="Z80" s="15">
        <v>0.0</v>
      </c>
      <c r="AA80" s="15">
        <v>1.0</v>
      </c>
      <c r="AB80" s="15">
        <v>0.0</v>
      </c>
      <c r="AC80" s="15">
        <v>1.0</v>
      </c>
      <c r="AD80" s="15">
        <v>0.0</v>
      </c>
      <c r="AE80" s="15">
        <v>1.0</v>
      </c>
      <c r="AF80" s="15">
        <v>0.0</v>
      </c>
      <c r="AG80" s="15">
        <v>1.0</v>
      </c>
    </row>
    <row r="81" ht="14.25" customHeight="1">
      <c r="A81" s="1"/>
      <c r="B81" s="1"/>
      <c r="C81" s="1"/>
      <c r="D81" s="8" t="s">
        <v>45</v>
      </c>
      <c r="E81" s="13"/>
      <c r="F81" s="15">
        <v>1.0</v>
      </c>
      <c r="G81" s="15">
        <v>1.0</v>
      </c>
      <c r="H81" s="15">
        <v>1.0</v>
      </c>
      <c r="I81" s="15">
        <v>1.0</v>
      </c>
      <c r="J81" s="15">
        <v>1.0</v>
      </c>
      <c r="K81" s="15">
        <v>0.0</v>
      </c>
      <c r="L81" s="15">
        <v>0.0</v>
      </c>
      <c r="M81" s="15">
        <v>0.0</v>
      </c>
      <c r="N81" s="15">
        <v>0.0</v>
      </c>
      <c r="O81" s="15">
        <v>1.0</v>
      </c>
      <c r="P81" s="15">
        <v>1.0</v>
      </c>
      <c r="Q81" s="15">
        <v>0.0</v>
      </c>
      <c r="R81" s="15">
        <v>0.0</v>
      </c>
      <c r="S81" s="15">
        <v>1.0</v>
      </c>
      <c r="T81" s="15">
        <v>1.0</v>
      </c>
      <c r="U81" s="15">
        <v>0.0</v>
      </c>
      <c r="V81" s="15">
        <v>0.0</v>
      </c>
      <c r="W81" s="15">
        <v>1.0</v>
      </c>
      <c r="X81" s="15">
        <v>0.0</v>
      </c>
      <c r="Y81" s="15">
        <v>1.0</v>
      </c>
      <c r="Z81" s="15">
        <v>0.0</v>
      </c>
      <c r="AA81" s="15">
        <v>1.0</v>
      </c>
      <c r="AB81" s="15">
        <v>0.0</v>
      </c>
      <c r="AC81" s="15">
        <v>1.0</v>
      </c>
      <c r="AD81" s="15">
        <v>0.0</v>
      </c>
      <c r="AE81" s="15">
        <v>1.0</v>
      </c>
      <c r="AF81" s="15">
        <v>0.0</v>
      </c>
      <c r="AG81" s="15">
        <v>1.0</v>
      </c>
    </row>
    <row r="82" ht="14.25" customHeight="1">
      <c r="A82" s="1"/>
      <c r="B82" s="1"/>
      <c r="C82" s="1"/>
      <c r="D82" s="8" t="s">
        <v>46</v>
      </c>
      <c r="E82" s="13"/>
      <c r="F82" s="15">
        <v>1.0</v>
      </c>
      <c r="G82" s="15">
        <v>1.0</v>
      </c>
      <c r="H82" s="15">
        <v>1.0</v>
      </c>
      <c r="I82" s="15">
        <v>1.0</v>
      </c>
      <c r="J82" s="15">
        <v>0.0</v>
      </c>
      <c r="K82" s="15">
        <v>0.0</v>
      </c>
      <c r="L82" s="15">
        <v>0.0</v>
      </c>
      <c r="M82" s="15">
        <v>0.0</v>
      </c>
      <c r="N82" s="15">
        <v>1.0</v>
      </c>
      <c r="O82" s="15">
        <v>1.0</v>
      </c>
      <c r="P82" s="15">
        <v>0.0</v>
      </c>
      <c r="Q82" s="15">
        <v>0.0</v>
      </c>
      <c r="R82" s="15">
        <v>1.0</v>
      </c>
      <c r="S82" s="15">
        <v>1.0</v>
      </c>
      <c r="T82" s="15">
        <v>0.0</v>
      </c>
      <c r="U82" s="15">
        <v>0.0</v>
      </c>
      <c r="V82" s="15">
        <v>1.0</v>
      </c>
      <c r="W82" s="15">
        <v>0.0</v>
      </c>
      <c r="X82" s="15">
        <v>1.0</v>
      </c>
      <c r="Y82" s="15">
        <v>0.0</v>
      </c>
      <c r="Z82" s="15">
        <v>1.0</v>
      </c>
      <c r="AA82" s="15">
        <v>0.0</v>
      </c>
      <c r="AB82" s="15">
        <v>1.0</v>
      </c>
      <c r="AC82" s="15">
        <v>0.0</v>
      </c>
      <c r="AD82" s="15">
        <v>1.0</v>
      </c>
      <c r="AE82" s="15">
        <v>0.0</v>
      </c>
      <c r="AF82" s="15">
        <v>1.0</v>
      </c>
      <c r="AG82" s="15">
        <v>1.0</v>
      </c>
    </row>
    <row r="83" ht="14.25" customHeight="1">
      <c r="A83" s="1"/>
      <c r="B83" s="1"/>
      <c r="C83" s="1"/>
    </row>
    <row r="84" ht="14.25" customHeight="1">
      <c r="A84" s="1"/>
      <c r="B84" s="1"/>
      <c r="C84" s="1"/>
      <c r="D84" s="8" t="s">
        <v>47</v>
      </c>
      <c r="E84" s="13" t="s">
        <v>30</v>
      </c>
      <c r="F84" s="14">
        <v>1.0</v>
      </c>
      <c r="G84" s="14">
        <v>2.0</v>
      </c>
      <c r="H84" s="14">
        <v>3.0</v>
      </c>
      <c r="I84" s="14">
        <v>4.0</v>
      </c>
      <c r="J84" s="14">
        <v>5.0</v>
      </c>
      <c r="K84" s="14">
        <v>6.0</v>
      </c>
      <c r="L84" s="14">
        <v>7.0</v>
      </c>
      <c r="M84" s="14">
        <v>8.0</v>
      </c>
      <c r="N84" s="14">
        <v>9.0</v>
      </c>
      <c r="O84" s="14">
        <v>10.0</v>
      </c>
      <c r="P84" s="14">
        <v>11.0</v>
      </c>
      <c r="Q84" s="14">
        <v>12.0</v>
      </c>
      <c r="R84" s="14">
        <v>13.0</v>
      </c>
      <c r="S84" s="14">
        <v>14.0</v>
      </c>
      <c r="T84" s="14">
        <v>15.0</v>
      </c>
      <c r="U84" s="14">
        <v>16.0</v>
      </c>
      <c r="V84" s="14">
        <v>17.0</v>
      </c>
      <c r="W84" s="14">
        <v>18.0</v>
      </c>
      <c r="X84" s="14">
        <v>19.0</v>
      </c>
      <c r="Y84" s="14">
        <v>20.0</v>
      </c>
      <c r="Z84" s="14">
        <v>21.0</v>
      </c>
      <c r="AA84" s="14">
        <v>22.0</v>
      </c>
      <c r="AB84" s="14">
        <v>23.0</v>
      </c>
      <c r="AC84" s="14">
        <v>24.0</v>
      </c>
      <c r="AD84" s="14">
        <v>25.0</v>
      </c>
      <c r="AE84" s="14">
        <v>26.0</v>
      </c>
      <c r="AF84" s="14">
        <v>27.0</v>
      </c>
      <c r="AG84" s="14">
        <v>28.0</v>
      </c>
    </row>
    <row r="85" ht="14.25" customHeight="1">
      <c r="A85" s="1"/>
      <c r="B85" s="1"/>
      <c r="C85" s="1"/>
      <c r="D85" s="8"/>
      <c r="E85" s="13"/>
      <c r="F85" s="15">
        <v>1.0</v>
      </c>
      <c r="G85" s="15">
        <v>0.0</v>
      </c>
      <c r="H85" s="15">
        <v>1.0</v>
      </c>
      <c r="I85" s="15">
        <v>0.0</v>
      </c>
      <c r="J85" s="15">
        <v>1.0</v>
      </c>
      <c r="K85" s="15">
        <v>0.0</v>
      </c>
      <c r="L85" s="15">
        <v>1.0</v>
      </c>
      <c r="M85" s="15">
        <v>0.0</v>
      </c>
      <c r="N85" s="15">
        <v>1.0</v>
      </c>
      <c r="O85" s="15">
        <v>1.0</v>
      </c>
      <c r="P85" s="15">
        <v>0.0</v>
      </c>
      <c r="Q85" s="15">
        <v>0.0</v>
      </c>
      <c r="R85" s="15">
        <v>1.0</v>
      </c>
      <c r="S85" s="15">
        <v>1.0</v>
      </c>
      <c r="T85" s="15">
        <v>0.0</v>
      </c>
      <c r="U85" s="15">
        <v>0.0</v>
      </c>
      <c r="V85" s="15">
        <v>1.0</v>
      </c>
      <c r="W85" s="15">
        <v>1.0</v>
      </c>
      <c r="X85" s="15">
        <v>1.0</v>
      </c>
      <c r="Y85" s="15">
        <v>1.0</v>
      </c>
      <c r="Z85" s="15">
        <v>0.0</v>
      </c>
      <c r="AA85" s="15">
        <v>0.0</v>
      </c>
      <c r="AB85" s="15">
        <v>0.0</v>
      </c>
      <c r="AC85" s="15">
        <v>0.0</v>
      </c>
      <c r="AD85" s="15">
        <v>1.0</v>
      </c>
      <c r="AE85" s="15">
        <v>0.0</v>
      </c>
      <c r="AF85" s="15">
        <v>1.0</v>
      </c>
      <c r="AG85" s="15">
        <v>0.0</v>
      </c>
    </row>
    <row r="86" ht="14.25" customHeight="1">
      <c r="A86" s="1"/>
      <c r="B86" s="1"/>
      <c r="C86" s="1"/>
      <c r="D86" s="8" t="s">
        <v>31</v>
      </c>
      <c r="E86" s="13"/>
      <c r="F86" s="15">
        <v>0.0</v>
      </c>
      <c r="G86" s="15">
        <v>1.0</v>
      </c>
      <c r="H86" s="15">
        <v>0.0</v>
      </c>
      <c r="I86" s="15">
        <v>1.0</v>
      </c>
      <c r="J86" s="15">
        <v>0.0</v>
      </c>
      <c r="K86" s="15">
        <v>1.0</v>
      </c>
      <c r="L86" s="15">
        <v>0.0</v>
      </c>
      <c r="M86" s="15">
        <v>1.0</v>
      </c>
      <c r="N86" s="15">
        <v>1.0</v>
      </c>
      <c r="O86" s="15">
        <v>0.0</v>
      </c>
      <c r="P86" s="15">
        <v>0.0</v>
      </c>
      <c r="Q86" s="15">
        <v>1.0</v>
      </c>
      <c r="R86" s="15">
        <v>1.0</v>
      </c>
      <c r="S86" s="15">
        <v>0.0</v>
      </c>
      <c r="T86" s="15">
        <v>0.0</v>
      </c>
      <c r="U86" s="15">
        <v>1.0</v>
      </c>
      <c r="V86" s="15">
        <v>1.0</v>
      </c>
      <c r="W86" s="15">
        <v>1.0</v>
      </c>
      <c r="X86" s="15">
        <v>1.0</v>
      </c>
      <c r="Y86" s="15">
        <v>0.0</v>
      </c>
      <c r="Z86" s="15">
        <v>0.0</v>
      </c>
      <c r="AA86" s="15">
        <v>0.0</v>
      </c>
      <c r="AB86" s="15">
        <v>0.0</v>
      </c>
      <c r="AC86" s="15">
        <v>1.0</v>
      </c>
      <c r="AD86" s="15">
        <v>0.0</v>
      </c>
      <c r="AE86" s="15">
        <v>1.0</v>
      </c>
      <c r="AF86" s="15">
        <v>0.0</v>
      </c>
      <c r="AG86" s="15">
        <v>1.0</v>
      </c>
    </row>
    <row r="87" ht="14.25" customHeight="1">
      <c r="A87" s="1"/>
      <c r="B87" s="1"/>
      <c r="C87" s="1"/>
      <c r="D87" s="8" t="s">
        <v>32</v>
      </c>
      <c r="E87" s="13"/>
      <c r="F87" s="15">
        <v>1.0</v>
      </c>
      <c r="G87" s="15">
        <v>0.0</v>
      </c>
      <c r="H87" s="15">
        <v>1.0</v>
      </c>
      <c r="I87" s="15">
        <v>0.0</v>
      </c>
      <c r="J87" s="15">
        <v>1.0</v>
      </c>
      <c r="K87" s="15">
        <v>0.0</v>
      </c>
      <c r="L87" s="15">
        <v>1.0</v>
      </c>
      <c r="M87" s="15">
        <v>1.0</v>
      </c>
      <c r="N87" s="15">
        <v>0.0</v>
      </c>
      <c r="O87" s="15">
        <v>0.0</v>
      </c>
      <c r="P87" s="15">
        <v>1.0</v>
      </c>
      <c r="Q87" s="15">
        <v>1.0</v>
      </c>
      <c r="R87" s="15">
        <v>0.0</v>
      </c>
      <c r="S87" s="15">
        <v>0.0</v>
      </c>
      <c r="T87" s="15">
        <v>1.0</v>
      </c>
      <c r="U87" s="15">
        <v>1.0</v>
      </c>
      <c r="V87" s="15">
        <v>1.0</v>
      </c>
      <c r="W87" s="15">
        <v>1.0</v>
      </c>
      <c r="X87" s="15">
        <v>0.0</v>
      </c>
      <c r="Y87" s="15">
        <v>0.0</v>
      </c>
      <c r="Z87" s="15">
        <v>0.0</v>
      </c>
      <c r="AA87" s="15">
        <v>0.0</v>
      </c>
      <c r="AB87" s="15">
        <v>1.0</v>
      </c>
      <c r="AC87" s="15">
        <v>0.0</v>
      </c>
      <c r="AD87" s="15">
        <v>1.0</v>
      </c>
      <c r="AE87" s="15">
        <v>0.0</v>
      </c>
      <c r="AF87" s="15">
        <v>1.0</v>
      </c>
      <c r="AG87" s="15">
        <v>0.0</v>
      </c>
    </row>
    <row r="88" ht="14.25" customHeight="1">
      <c r="A88" s="1"/>
      <c r="B88" s="1"/>
      <c r="C88" s="1"/>
      <c r="D88" s="8" t="s">
        <v>33</v>
      </c>
      <c r="E88" s="13"/>
      <c r="F88" s="15">
        <v>1.0</v>
      </c>
      <c r="G88" s="15">
        <v>0.0</v>
      </c>
      <c r="H88" s="15">
        <v>1.0</v>
      </c>
      <c r="I88" s="15">
        <v>0.0</v>
      </c>
      <c r="J88" s="15">
        <v>1.0</v>
      </c>
      <c r="K88" s="15">
        <v>1.0</v>
      </c>
      <c r="L88" s="15">
        <v>0.0</v>
      </c>
      <c r="M88" s="15">
        <v>0.0</v>
      </c>
      <c r="N88" s="15">
        <v>1.0</v>
      </c>
      <c r="O88" s="15">
        <v>1.0</v>
      </c>
      <c r="P88" s="15">
        <v>0.0</v>
      </c>
      <c r="Q88" s="15">
        <v>0.0</v>
      </c>
      <c r="R88" s="15">
        <v>1.0</v>
      </c>
      <c r="S88" s="15">
        <v>1.0</v>
      </c>
      <c r="T88" s="15">
        <v>1.0</v>
      </c>
      <c r="U88" s="15">
        <v>1.0</v>
      </c>
      <c r="V88" s="15">
        <v>0.0</v>
      </c>
      <c r="W88" s="15">
        <v>0.0</v>
      </c>
      <c r="X88" s="15">
        <v>0.0</v>
      </c>
      <c r="Y88" s="15">
        <v>0.0</v>
      </c>
      <c r="Z88" s="15">
        <v>1.0</v>
      </c>
      <c r="AA88" s="15">
        <v>0.0</v>
      </c>
      <c r="AB88" s="15">
        <v>1.0</v>
      </c>
      <c r="AC88" s="15">
        <v>0.0</v>
      </c>
      <c r="AD88" s="15">
        <v>1.0</v>
      </c>
      <c r="AE88" s="15">
        <v>0.0</v>
      </c>
      <c r="AF88" s="15">
        <v>1.0</v>
      </c>
      <c r="AG88" s="15">
        <v>0.0</v>
      </c>
    </row>
    <row r="89" ht="14.25" customHeight="1">
      <c r="A89" s="1"/>
      <c r="B89" s="1"/>
      <c r="C89" s="1"/>
      <c r="D89" s="8" t="s">
        <v>34</v>
      </c>
      <c r="E89" s="13"/>
      <c r="F89" s="15">
        <v>1.0</v>
      </c>
      <c r="G89" s="15">
        <v>0.0</v>
      </c>
      <c r="H89" s="15">
        <v>1.0</v>
      </c>
      <c r="I89" s="15">
        <v>1.0</v>
      </c>
      <c r="J89" s="15">
        <v>0.0</v>
      </c>
      <c r="K89" s="15">
        <v>0.0</v>
      </c>
      <c r="L89" s="15">
        <v>1.0</v>
      </c>
      <c r="M89" s="15">
        <v>1.0</v>
      </c>
      <c r="N89" s="15">
        <v>0.0</v>
      </c>
      <c r="O89" s="15">
        <v>0.0</v>
      </c>
      <c r="P89" s="15">
        <v>1.0</v>
      </c>
      <c r="Q89" s="15">
        <v>1.0</v>
      </c>
      <c r="R89" s="15">
        <v>1.0</v>
      </c>
      <c r="S89" s="15">
        <v>1.0</v>
      </c>
      <c r="T89" s="15">
        <v>0.0</v>
      </c>
      <c r="U89" s="15">
        <v>0.0</v>
      </c>
      <c r="V89" s="15">
        <v>0.0</v>
      </c>
      <c r="W89" s="15">
        <v>0.0</v>
      </c>
      <c r="X89" s="15">
        <v>1.0</v>
      </c>
      <c r="Y89" s="15">
        <v>0.0</v>
      </c>
      <c r="Z89" s="15">
        <v>1.0</v>
      </c>
      <c r="AA89" s="15">
        <v>0.0</v>
      </c>
      <c r="AB89" s="15">
        <v>1.0</v>
      </c>
      <c r="AC89" s="15">
        <v>0.0</v>
      </c>
      <c r="AD89" s="15">
        <v>1.0</v>
      </c>
      <c r="AE89" s="15">
        <v>0.0</v>
      </c>
      <c r="AF89" s="15">
        <v>1.0</v>
      </c>
      <c r="AG89" s="15">
        <v>0.0</v>
      </c>
    </row>
    <row r="90" ht="14.25" customHeight="1">
      <c r="A90" s="1"/>
      <c r="B90" s="1"/>
      <c r="C90" s="1"/>
      <c r="D90" s="8" t="s">
        <v>35</v>
      </c>
      <c r="E90" s="13"/>
      <c r="F90" s="15">
        <v>1.0</v>
      </c>
      <c r="G90" s="15">
        <v>1.0</v>
      </c>
      <c r="H90" s="15">
        <v>0.0</v>
      </c>
      <c r="I90" s="15">
        <v>0.0</v>
      </c>
      <c r="J90" s="15">
        <v>1.0</v>
      </c>
      <c r="K90" s="15">
        <v>1.0</v>
      </c>
      <c r="L90" s="15">
        <v>0.0</v>
      </c>
      <c r="M90" s="15">
        <v>0.0</v>
      </c>
      <c r="N90" s="15">
        <v>1.0</v>
      </c>
      <c r="O90" s="15">
        <v>1.0</v>
      </c>
      <c r="P90" s="15">
        <v>1.0</v>
      </c>
      <c r="Q90" s="15">
        <v>1.0</v>
      </c>
      <c r="R90" s="15">
        <v>0.0</v>
      </c>
      <c r="S90" s="15">
        <v>0.0</v>
      </c>
      <c r="T90" s="15">
        <v>0.0</v>
      </c>
      <c r="U90" s="15">
        <v>0.0</v>
      </c>
      <c r="V90" s="15">
        <v>1.0</v>
      </c>
      <c r="W90" s="15">
        <v>0.0</v>
      </c>
      <c r="X90" s="15">
        <v>1.0</v>
      </c>
      <c r="Y90" s="15">
        <v>0.0</v>
      </c>
      <c r="Z90" s="15">
        <v>1.0</v>
      </c>
      <c r="AA90" s="15">
        <v>0.0</v>
      </c>
      <c r="AB90" s="15">
        <v>1.0</v>
      </c>
      <c r="AC90" s="15">
        <v>0.0</v>
      </c>
      <c r="AD90" s="15">
        <v>1.0</v>
      </c>
      <c r="AE90" s="15">
        <v>0.0</v>
      </c>
      <c r="AF90" s="15">
        <v>1.0</v>
      </c>
      <c r="AG90" s="15">
        <v>0.0</v>
      </c>
    </row>
    <row r="91" ht="14.25" customHeight="1">
      <c r="A91" s="1"/>
      <c r="B91" s="1"/>
      <c r="C91" s="1"/>
      <c r="D91" s="8" t="s">
        <v>36</v>
      </c>
      <c r="E91" s="13"/>
      <c r="F91" s="15">
        <v>0.0</v>
      </c>
      <c r="G91" s="15">
        <v>0.0</v>
      </c>
      <c r="H91" s="15">
        <v>1.0</v>
      </c>
      <c r="I91" s="15">
        <v>1.0</v>
      </c>
      <c r="J91" s="15">
        <v>0.0</v>
      </c>
      <c r="K91" s="15">
        <v>0.0</v>
      </c>
      <c r="L91" s="15">
        <v>1.0</v>
      </c>
      <c r="M91" s="15">
        <v>1.0</v>
      </c>
      <c r="N91" s="15">
        <v>1.0</v>
      </c>
      <c r="O91" s="15">
        <v>1.0</v>
      </c>
      <c r="P91" s="15">
        <v>0.0</v>
      </c>
      <c r="Q91" s="15">
        <v>0.0</v>
      </c>
      <c r="R91" s="15">
        <v>0.0</v>
      </c>
      <c r="S91" s="15">
        <v>0.0</v>
      </c>
      <c r="T91" s="15">
        <v>1.0</v>
      </c>
      <c r="U91" s="15">
        <v>0.0</v>
      </c>
      <c r="V91" s="15">
        <v>1.0</v>
      </c>
      <c r="W91" s="15">
        <v>0.0</v>
      </c>
      <c r="X91" s="15">
        <v>1.0</v>
      </c>
      <c r="Y91" s="15">
        <v>0.0</v>
      </c>
      <c r="Z91" s="15">
        <v>1.0</v>
      </c>
      <c r="AA91" s="15">
        <v>0.0</v>
      </c>
      <c r="AB91" s="15">
        <v>1.0</v>
      </c>
      <c r="AC91" s="15">
        <v>0.0</v>
      </c>
      <c r="AD91" s="15">
        <v>1.0</v>
      </c>
      <c r="AE91" s="15">
        <v>0.0</v>
      </c>
      <c r="AF91" s="15">
        <v>1.0</v>
      </c>
      <c r="AG91" s="15">
        <v>1.0</v>
      </c>
    </row>
    <row r="92" ht="14.25" customHeight="1">
      <c r="A92" s="1"/>
      <c r="B92" s="1"/>
      <c r="C92" s="1"/>
      <c r="D92" s="8" t="s">
        <v>37</v>
      </c>
      <c r="E92" s="13"/>
      <c r="F92" s="15">
        <v>1.0</v>
      </c>
      <c r="G92" s="15">
        <v>1.0</v>
      </c>
      <c r="H92" s="15">
        <v>0.0</v>
      </c>
      <c r="I92" s="15">
        <v>0.0</v>
      </c>
      <c r="J92" s="15">
        <v>1.0</v>
      </c>
      <c r="K92" s="15">
        <v>1.0</v>
      </c>
      <c r="L92" s="15">
        <v>1.0</v>
      </c>
      <c r="M92" s="15">
        <v>1.0</v>
      </c>
      <c r="N92" s="15">
        <v>0.0</v>
      </c>
      <c r="O92" s="15">
        <v>0.0</v>
      </c>
      <c r="P92" s="15">
        <v>0.0</v>
      </c>
      <c r="Q92" s="15">
        <v>0.0</v>
      </c>
      <c r="R92" s="15">
        <v>1.0</v>
      </c>
      <c r="S92" s="15">
        <v>0.0</v>
      </c>
      <c r="T92" s="15">
        <v>1.0</v>
      </c>
      <c r="U92" s="15">
        <v>0.0</v>
      </c>
      <c r="V92" s="15">
        <v>1.0</v>
      </c>
      <c r="W92" s="15">
        <v>0.0</v>
      </c>
      <c r="X92" s="15">
        <v>1.0</v>
      </c>
      <c r="Y92" s="15">
        <v>0.0</v>
      </c>
      <c r="Z92" s="15">
        <v>1.0</v>
      </c>
      <c r="AA92" s="15">
        <v>0.0</v>
      </c>
      <c r="AB92" s="15">
        <v>1.0</v>
      </c>
      <c r="AC92" s="15">
        <v>0.0</v>
      </c>
      <c r="AD92" s="15">
        <v>1.0</v>
      </c>
      <c r="AE92" s="15">
        <v>1.0</v>
      </c>
      <c r="AF92" s="15">
        <v>0.0</v>
      </c>
      <c r="AG92" s="15">
        <v>0.0</v>
      </c>
    </row>
    <row r="93" ht="14.25" customHeight="1">
      <c r="A93" s="1"/>
      <c r="B93" s="1"/>
      <c r="C93" s="1"/>
      <c r="D93" s="8" t="s">
        <v>38</v>
      </c>
      <c r="E93" s="13"/>
      <c r="F93" s="15">
        <v>0.0</v>
      </c>
      <c r="G93" s="15">
        <v>0.0</v>
      </c>
      <c r="H93" s="15">
        <v>1.0</v>
      </c>
      <c r="I93" s="15">
        <v>1.0</v>
      </c>
      <c r="J93" s="15">
        <v>1.0</v>
      </c>
      <c r="K93" s="15">
        <v>1.0</v>
      </c>
      <c r="L93" s="15">
        <v>0.0</v>
      </c>
      <c r="M93" s="15">
        <v>0.0</v>
      </c>
      <c r="N93" s="15">
        <v>0.0</v>
      </c>
      <c r="O93" s="15">
        <v>0.0</v>
      </c>
      <c r="P93" s="15">
        <v>1.0</v>
      </c>
      <c r="Q93" s="15">
        <v>0.0</v>
      </c>
      <c r="R93" s="15">
        <v>1.0</v>
      </c>
      <c r="S93" s="15">
        <v>0.0</v>
      </c>
      <c r="T93" s="15">
        <v>1.0</v>
      </c>
      <c r="U93" s="15">
        <v>0.0</v>
      </c>
      <c r="V93" s="15">
        <v>1.0</v>
      </c>
      <c r="W93" s="15">
        <v>0.0</v>
      </c>
      <c r="X93" s="15">
        <v>1.0</v>
      </c>
      <c r="Y93" s="15">
        <v>0.0</v>
      </c>
      <c r="Z93" s="15">
        <v>1.0</v>
      </c>
      <c r="AA93" s="15">
        <v>0.0</v>
      </c>
      <c r="AB93" s="15">
        <v>1.0</v>
      </c>
      <c r="AC93" s="15">
        <v>1.0</v>
      </c>
      <c r="AD93" s="15">
        <v>0.0</v>
      </c>
      <c r="AE93" s="15">
        <v>0.0</v>
      </c>
      <c r="AF93" s="15">
        <v>1.0</v>
      </c>
      <c r="AG93" s="15">
        <v>1.0</v>
      </c>
    </row>
    <row r="94" ht="14.25" customHeight="1">
      <c r="A94" s="1"/>
      <c r="B94" s="1"/>
      <c r="C94" s="1"/>
      <c r="D94" s="8" t="s">
        <v>39</v>
      </c>
      <c r="E94" s="13"/>
      <c r="F94" s="15">
        <v>0.0</v>
      </c>
      <c r="G94" s="15">
        <v>1.0</v>
      </c>
      <c r="H94" s="15">
        <v>1.0</v>
      </c>
      <c r="I94" s="15">
        <v>1.0</v>
      </c>
      <c r="J94" s="15">
        <v>1.0</v>
      </c>
      <c r="K94" s="15">
        <v>0.0</v>
      </c>
      <c r="L94" s="15">
        <v>0.0</v>
      </c>
      <c r="M94" s="15">
        <v>0.0</v>
      </c>
      <c r="N94" s="15">
        <v>0.0</v>
      </c>
      <c r="O94" s="15">
        <v>1.0</v>
      </c>
      <c r="P94" s="15">
        <v>0.0</v>
      </c>
      <c r="Q94" s="15">
        <v>1.0</v>
      </c>
      <c r="R94" s="15">
        <v>0.0</v>
      </c>
      <c r="S94" s="15">
        <v>1.0</v>
      </c>
      <c r="T94" s="15">
        <v>0.0</v>
      </c>
      <c r="U94" s="15">
        <v>1.0</v>
      </c>
      <c r="V94" s="15">
        <v>0.0</v>
      </c>
      <c r="W94" s="15">
        <v>1.0</v>
      </c>
      <c r="X94" s="15">
        <v>0.0</v>
      </c>
      <c r="Y94" s="15">
        <v>1.0</v>
      </c>
      <c r="Z94" s="15">
        <v>0.0</v>
      </c>
      <c r="AA94" s="15">
        <v>1.0</v>
      </c>
      <c r="AB94" s="15">
        <v>1.0</v>
      </c>
      <c r="AC94" s="15">
        <v>0.0</v>
      </c>
      <c r="AD94" s="15">
        <v>0.0</v>
      </c>
      <c r="AE94" s="15">
        <v>1.0</v>
      </c>
      <c r="AF94" s="15">
        <v>1.0</v>
      </c>
      <c r="AG94" s="15">
        <v>0.0</v>
      </c>
    </row>
    <row r="95" ht="14.25" customHeight="1">
      <c r="A95" s="1"/>
      <c r="B95" s="1"/>
      <c r="C95" s="1"/>
      <c r="D95" s="8" t="s">
        <v>40</v>
      </c>
      <c r="E95" s="13"/>
      <c r="F95" s="15">
        <v>1.0</v>
      </c>
      <c r="G95" s="15">
        <v>1.0</v>
      </c>
      <c r="H95" s="15">
        <v>1.0</v>
      </c>
      <c r="I95" s="15">
        <v>0.0</v>
      </c>
      <c r="J95" s="15">
        <v>0.0</v>
      </c>
      <c r="K95" s="15">
        <v>0.0</v>
      </c>
      <c r="L95" s="15">
        <v>0.0</v>
      </c>
      <c r="M95" s="15">
        <v>1.0</v>
      </c>
      <c r="N95" s="15">
        <v>0.0</v>
      </c>
      <c r="O95" s="15">
        <v>1.0</v>
      </c>
      <c r="P95" s="15">
        <v>0.0</v>
      </c>
      <c r="Q95" s="15">
        <v>1.0</v>
      </c>
      <c r="R95" s="15">
        <v>0.0</v>
      </c>
      <c r="S95" s="15">
        <v>1.0</v>
      </c>
      <c r="T95" s="15">
        <v>0.0</v>
      </c>
      <c r="U95" s="15">
        <v>1.0</v>
      </c>
      <c r="V95" s="15">
        <v>0.0</v>
      </c>
      <c r="W95" s="15">
        <v>1.0</v>
      </c>
      <c r="X95" s="15">
        <v>0.0</v>
      </c>
      <c r="Y95" s="15">
        <v>1.0</v>
      </c>
      <c r="Z95" s="15">
        <v>1.0</v>
      </c>
      <c r="AA95" s="15">
        <v>0.0</v>
      </c>
      <c r="AB95" s="15">
        <v>0.0</v>
      </c>
      <c r="AC95" s="15">
        <v>1.0</v>
      </c>
      <c r="AD95" s="15">
        <v>1.0</v>
      </c>
      <c r="AE95" s="15">
        <v>0.0</v>
      </c>
      <c r="AF95" s="15">
        <v>0.0</v>
      </c>
      <c r="AG95" s="15">
        <v>1.0</v>
      </c>
    </row>
    <row r="96" ht="14.25" customHeight="1">
      <c r="A96" s="1"/>
      <c r="B96" s="1"/>
      <c r="C96" s="1"/>
      <c r="D96" s="8" t="s">
        <v>41</v>
      </c>
      <c r="E96" s="13"/>
      <c r="F96" s="15">
        <v>1.0</v>
      </c>
      <c r="G96" s="15">
        <v>0.0</v>
      </c>
      <c r="H96" s="15">
        <v>0.0</v>
      </c>
      <c r="I96" s="15">
        <v>0.0</v>
      </c>
      <c r="J96" s="15">
        <v>0.0</v>
      </c>
      <c r="K96" s="15">
        <v>1.0</v>
      </c>
      <c r="L96" s="15">
        <v>0.0</v>
      </c>
      <c r="M96" s="15">
        <v>1.0</v>
      </c>
      <c r="N96" s="15">
        <v>0.0</v>
      </c>
      <c r="O96" s="15">
        <v>1.0</v>
      </c>
      <c r="P96" s="15">
        <v>0.0</v>
      </c>
      <c r="Q96" s="15">
        <v>1.0</v>
      </c>
      <c r="R96" s="15">
        <v>0.0</v>
      </c>
      <c r="S96" s="15">
        <v>1.0</v>
      </c>
      <c r="T96" s="15">
        <v>0.0</v>
      </c>
      <c r="U96" s="15">
        <v>1.0</v>
      </c>
      <c r="V96" s="15">
        <v>0.0</v>
      </c>
      <c r="W96" s="15">
        <v>1.0</v>
      </c>
      <c r="X96" s="15">
        <v>1.0</v>
      </c>
      <c r="Y96" s="15">
        <v>0.0</v>
      </c>
      <c r="Z96" s="15">
        <v>0.0</v>
      </c>
      <c r="AA96" s="15">
        <v>1.0</v>
      </c>
      <c r="AB96" s="15">
        <v>1.0</v>
      </c>
      <c r="AC96" s="15">
        <v>0.0</v>
      </c>
      <c r="AD96" s="15">
        <v>0.0</v>
      </c>
      <c r="AE96" s="15">
        <v>1.0</v>
      </c>
      <c r="AF96" s="15">
        <v>1.0</v>
      </c>
      <c r="AG96" s="15">
        <v>1.0</v>
      </c>
    </row>
    <row r="97" ht="14.25" customHeight="1">
      <c r="A97" s="1"/>
      <c r="B97" s="1"/>
      <c r="C97" s="1"/>
      <c r="D97" s="8" t="s">
        <v>42</v>
      </c>
      <c r="E97" s="13"/>
      <c r="F97" s="15">
        <v>0.0</v>
      </c>
      <c r="G97" s="15">
        <v>0.0</v>
      </c>
      <c r="H97" s="15">
        <v>0.0</v>
      </c>
      <c r="I97" s="15">
        <v>1.0</v>
      </c>
      <c r="J97" s="15">
        <v>0.0</v>
      </c>
      <c r="K97" s="15">
        <v>1.0</v>
      </c>
      <c r="L97" s="15">
        <v>0.0</v>
      </c>
      <c r="M97" s="15">
        <v>1.0</v>
      </c>
      <c r="N97" s="15">
        <v>0.0</v>
      </c>
      <c r="O97" s="15">
        <v>1.0</v>
      </c>
      <c r="P97" s="15">
        <v>0.0</v>
      </c>
      <c r="Q97" s="15">
        <v>1.0</v>
      </c>
      <c r="R97" s="15">
        <v>0.0</v>
      </c>
      <c r="S97" s="15">
        <v>1.0</v>
      </c>
      <c r="T97" s="15">
        <v>0.0</v>
      </c>
      <c r="U97" s="15">
        <v>1.0</v>
      </c>
      <c r="V97" s="15">
        <v>1.0</v>
      </c>
      <c r="W97" s="15">
        <v>0.0</v>
      </c>
      <c r="X97" s="15">
        <v>0.0</v>
      </c>
      <c r="Y97" s="15">
        <v>1.0</v>
      </c>
      <c r="Z97" s="15">
        <v>1.0</v>
      </c>
      <c r="AA97" s="15">
        <v>0.0</v>
      </c>
      <c r="AB97" s="15">
        <v>0.0</v>
      </c>
      <c r="AC97" s="15">
        <v>1.0</v>
      </c>
      <c r="AD97" s="15">
        <v>1.0</v>
      </c>
      <c r="AE97" s="15">
        <v>1.0</v>
      </c>
      <c r="AF97" s="15">
        <v>1.0</v>
      </c>
      <c r="AG97" s="15">
        <v>0.0</v>
      </c>
    </row>
    <row r="98" ht="14.25" customHeight="1">
      <c r="A98" s="1"/>
      <c r="B98" s="1"/>
      <c r="C98" s="1"/>
      <c r="D98" s="8" t="s">
        <v>43</v>
      </c>
      <c r="E98" s="13"/>
      <c r="F98" s="15">
        <v>0.0</v>
      </c>
      <c r="G98" s="15">
        <v>1.0</v>
      </c>
      <c r="H98" s="15">
        <v>0.0</v>
      </c>
      <c r="I98" s="15">
        <v>1.0</v>
      </c>
      <c r="J98" s="15">
        <v>0.0</v>
      </c>
      <c r="K98" s="15">
        <v>1.0</v>
      </c>
      <c r="L98" s="15">
        <v>0.0</v>
      </c>
      <c r="M98" s="15">
        <v>1.0</v>
      </c>
      <c r="N98" s="15">
        <v>0.0</v>
      </c>
      <c r="O98" s="15">
        <v>1.0</v>
      </c>
      <c r="P98" s="15">
        <v>0.0</v>
      </c>
      <c r="Q98" s="15">
        <v>1.0</v>
      </c>
      <c r="R98" s="15">
        <v>0.0</v>
      </c>
      <c r="S98" s="15">
        <v>1.0</v>
      </c>
      <c r="T98" s="15">
        <v>1.0</v>
      </c>
      <c r="U98" s="15">
        <v>0.0</v>
      </c>
      <c r="V98" s="15">
        <v>0.0</v>
      </c>
      <c r="W98" s="15">
        <v>1.0</v>
      </c>
      <c r="X98" s="15">
        <v>1.0</v>
      </c>
      <c r="Y98" s="15">
        <v>0.0</v>
      </c>
      <c r="Z98" s="15">
        <v>0.0</v>
      </c>
      <c r="AA98" s="15">
        <v>1.0</v>
      </c>
      <c r="AB98" s="15">
        <v>1.0</v>
      </c>
      <c r="AC98" s="15">
        <v>1.0</v>
      </c>
      <c r="AD98" s="15">
        <v>1.0</v>
      </c>
      <c r="AE98" s="15">
        <v>0.0</v>
      </c>
      <c r="AF98" s="15">
        <v>0.0</v>
      </c>
      <c r="AG98" s="15">
        <v>0.0</v>
      </c>
    </row>
    <row r="99" ht="14.25" customHeight="1">
      <c r="A99" s="1"/>
      <c r="B99" s="1"/>
      <c r="C99" s="1"/>
      <c r="D99" s="8" t="s">
        <v>44</v>
      </c>
      <c r="E99" s="13"/>
      <c r="F99" s="15">
        <v>0.0</v>
      </c>
      <c r="G99" s="15">
        <v>1.0</v>
      </c>
      <c r="H99" s="15">
        <v>0.0</v>
      </c>
      <c r="I99" s="15">
        <v>1.0</v>
      </c>
      <c r="J99" s="15">
        <v>0.0</v>
      </c>
      <c r="K99" s="15">
        <v>1.0</v>
      </c>
      <c r="L99" s="15">
        <v>0.0</v>
      </c>
      <c r="M99" s="15">
        <v>1.0</v>
      </c>
      <c r="N99" s="15">
        <v>0.0</v>
      </c>
      <c r="O99" s="15">
        <v>1.0</v>
      </c>
      <c r="P99" s="15">
        <v>0.0</v>
      </c>
      <c r="Q99" s="15">
        <v>1.0</v>
      </c>
      <c r="R99" s="15">
        <v>1.0</v>
      </c>
      <c r="S99" s="15">
        <v>0.0</v>
      </c>
      <c r="T99" s="15">
        <v>0.0</v>
      </c>
      <c r="U99" s="15">
        <v>1.0</v>
      </c>
      <c r="V99" s="15">
        <v>1.0</v>
      </c>
      <c r="W99" s="15">
        <v>0.0</v>
      </c>
      <c r="X99" s="15">
        <v>0.0</v>
      </c>
      <c r="Y99" s="15">
        <v>1.0</v>
      </c>
      <c r="Z99" s="15">
        <v>1.0</v>
      </c>
      <c r="AA99" s="15">
        <v>1.0</v>
      </c>
      <c r="AB99" s="15">
        <v>1.0</v>
      </c>
      <c r="AC99" s="15">
        <v>0.0</v>
      </c>
      <c r="AD99" s="15">
        <v>0.0</v>
      </c>
      <c r="AE99" s="15">
        <v>0.0</v>
      </c>
      <c r="AF99" s="15">
        <v>0.0</v>
      </c>
      <c r="AG99" s="15">
        <v>1.0</v>
      </c>
    </row>
    <row r="100" ht="14.25" customHeight="1">
      <c r="A100" s="1"/>
      <c r="B100" s="1"/>
      <c r="C100" s="1"/>
      <c r="D100" s="8" t="s">
        <v>45</v>
      </c>
      <c r="E100" s="13"/>
      <c r="F100" s="15">
        <v>0.0</v>
      </c>
      <c r="G100" s="15">
        <v>1.0</v>
      </c>
      <c r="H100" s="15">
        <v>0.0</v>
      </c>
      <c r="I100" s="15">
        <v>1.0</v>
      </c>
      <c r="J100" s="15">
        <v>0.0</v>
      </c>
      <c r="K100" s="15">
        <v>1.0</v>
      </c>
      <c r="L100" s="15">
        <v>0.0</v>
      </c>
      <c r="M100" s="15">
        <v>1.0</v>
      </c>
      <c r="N100" s="15">
        <v>0.0</v>
      </c>
      <c r="O100" s="15">
        <v>1.0</v>
      </c>
      <c r="P100" s="15">
        <v>1.0</v>
      </c>
      <c r="Q100" s="15">
        <v>0.0</v>
      </c>
      <c r="R100" s="15">
        <v>0.0</v>
      </c>
      <c r="S100" s="15">
        <v>1.0</v>
      </c>
      <c r="T100" s="15">
        <v>1.0</v>
      </c>
      <c r="U100" s="15">
        <v>0.0</v>
      </c>
      <c r="V100" s="15">
        <v>0.0</v>
      </c>
      <c r="W100" s="15">
        <v>1.0</v>
      </c>
      <c r="X100" s="15">
        <v>1.0</v>
      </c>
      <c r="Y100" s="15">
        <v>1.0</v>
      </c>
      <c r="Z100" s="15">
        <v>1.0</v>
      </c>
      <c r="AA100" s="15">
        <v>0.0</v>
      </c>
      <c r="AB100" s="15">
        <v>0.0</v>
      </c>
      <c r="AC100" s="15">
        <v>0.0</v>
      </c>
      <c r="AD100" s="15">
        <v>0.0</v>
      </c>
      <c r="AE100" s="15">
        <v>1.0</v>
      </c>
      <c r="AF100" s="15">
        <v>0.0</v>
      </c>
      <c r="AG100" s="15">
        <v>1.0</v>
      </c>
    </row>
    <row r="101" ht="14.25" customHeight="1">
      <c r="A101" s="1"/>
      <c r="B101" s="1"/>
      <c r="C101" s="1"/>
      <c r="D101" s="8" t="s">
        <v>46</v>
      </c>
      <c r="E101" s="13"/>
      <c r="F101" s="15">
        <v>1.0</v>
      </c>
      <c r="G101" s="15">
        <v>0.0</v>
      </c>
      <c r="H101" s="15">
        <v>1.0</v>
      </c>
      <c r="I101" s="15">
        <v>0.0</v>
      </c>
      <c r="J101" s="15">
        <v>1.0</v>
      </c>
      <c r="K101" s="15">
        <v>0.0</v>
      </c>
      <c r="L101" s="15">
        <v>1.0</v>
      </c>
      <c r="M101" s="15">
        <v>0.0</v>
      </c>
      <c r="N101" s="15">
        <v>1.0</v>
      </c>
      <c r="O101" s="15">
        <v>1.0</v>
      </c>
      <c r="P101" s="15">
        <v>0.0</v>
      </c>
      <c r="Q101" s="15">
        <v>0.0</v>
      </c>
      <c r="R101" s="15">
        <v>1.0</v>
      </c>
      <c r="S101" s="15">
        <v>1.0</v>
      </c>
      <c r="T101" s="15">
        <v>0.0</v>
      </c>
      <c r="U101" s="15">
        <v>0.0</v>
      </c>
      <c r="V101" s="15">
        <v>1.0</v>
      </c>
      <c r="W101" s="15">
        <v>1.0</v>
      </c>
      <c r="X101" s="15">
        <v>1.0</v>
      </c>
      <c r="Y101" s="15">
        <v>1.0</v>
      </c>
      <c r="Z101" s="15">
        <v>0.0</v>
      </c>
      <c r="AA101" s="15">
        <v>0.0</v>
      </c>
      <c r="AB101" s="15">
        <v>0.0</v>
      </c>
      <c r="AC101" s="15">
        <v>0.0</v>
      </c>
      <c r="AD101" s="15">
        <v>1.0</v>
      </c>
      <c r="AE101" s="15">
        <v>0.0</v>
      </c>
      <c r="AF101" s="15">
        <v>1.0</v>
      </c>
      <c r="AG101" s="15">
        <v>0.0</v>
      </c>
    </row>
    <row r="102" ht="14.25" customHeight="1">
      <c r="A102" s="1"/>
      <c r="B102" s="1"/>
      <c r="C102" s="1"/>
    </row>
    <row r="103" ht="14.25" customHeight="1">
      <c r="A103" s="1"/>
      <c r="B103" s="1"/>
      <c r="C103" s="1"/>
    </row>
    <row r="104" ht="14.25" customHeight="1">
      <c r="A104" s="1"/>
      <c r="B104" s="1"/>
      <c r="C104" s="1"/>
    </row>
    <row r="105" ht="14.25" customHeight="1">
      <c r="A105" s="1"/>
      <c r="B105" s="1"/>
      <c r="C105" s="1"/>
    </row>
    <row r="106" ht="14.25" customHeight="1">
      <c r="A106" s="1"/>
      <c r="B106" s="1"/>
      <c r="C106" s="1"/>
    </row>
    <row r="107" ht="14.25" customHeight="1">
      <c r="A107" s="1"/>
      <c r="B107" s="1"/>
      <c r="C107" s="1"/>
    </row>
    <row r="108" ht="14.25" customHeight="1">
      <c r="A108" s="1"/>
      <c r="B108" s="1"/>
      <c r="C108" s="1"/>
    </row>
    <row r="109" ht="14.25" customHeight="1">
      <c r="A109" s="1"/>
      <c r="B109" s="1"/>
      <c r="C109" s="1"/>
    </row>
    <row r="110" ht="14.25" customHeight="1">
      <c r="A110" s="1"/>
      <c r="B110" s="1"/>
      <c r="C110" s="1"/>
    </row>
    <row r="111" ht="14.25" customHeight="1">
      <c r="A111" s="1"/>
      <c r="B111" s="1"/>
      <c r="C111" s="1"/>
    </row>
    <row r="112" ht="14.25" customHeight="1">
      <c r="A112" s="1"/>
      <c r="B112" s="1"/>
      <c r="C112" s="1"/>
    </row>
    <row r="113" ht="14.25" customHeight="1">
      <c r="A113" s="1"/>
      <c r="B113" s="1"/>
      <c r="C113" s="1"/>
    </row>
    <row r="114" ht="14.25" customHeight="1">
      <c r="A114" s="1"/>
      <c r="B114" s="1"/>
      <c r="C114" s="1"/>
    </row>
    <row r="115" ht="14.25" customHeight="1">
      <c r="A115" s="1"/>
      <c r="B115" s="1"/>
      <c r="C115" s="1"/>
    </row>
    <row r="116" ht="14.25" customHeight="1">
      <c r="A116" s="1"/>
      <c r="B116" s="1"/>
      <c r="C116" s="1"/>
    </row>
    <row r="117" ht="14.25" customHeight="1">
      <c r="A117" s="1"/>
      <c r="B117" s="1"/>
      <c r="C117" s="1"/>
    </row>
    <row r="118" ht="14.25" customHeight="1">
      <c r="A118" s="1"/>
      <c r="B118" s="1"/>
      <c r="C118" s="1"/>
    </row>
    <row r="119" ht="14.25" customHeight="1">
      <c r="A119" s="1"/>
      <c r="B119" s="1"/>
      <c r="C119" s="1"/>
    </row>
    <row r="120" ht="14.25" customHeight="1">
      <c r="A120" s="1"/>
      <c r="B120" s="1"/>
      <c r="C120" s="1"/>
    </row>
    <row r="121" ht="14.25" customHeight="1">
      <c r="A121" s="1"/>
      <c r="B121" s="1"/>
      <c r="C121" s="1"/>
    </row>
    <row r="122" ht="14.25" customHeight="1">
      <c r="A122" s="1"/>
      <c r="B122" s="1"/>
      <c r="C122" s="1"/>
    </row>
    <row r="123" ht="14.25" customHeight="1">
      <c r="A123" s="1"/>
      <c r="B123" s="1"/>
      <c r="C123" s="1"/>
    </row>
    <row r="124" ht="14.25" customHeight="1">
      <c r="A124" s="1"/>
      <c r="B124" s="1"/>
      <c r="C124" s="1"/>
    </row>
    <row r="125" ht="14.25" customHeight="1">
      <c r="A125" s="1"/>
      <c r="B125" s="1"/>
      <c r="C125" s="1"/>
    </row>
    <row r="126" ht="14.25" customHeight="1">
      <c r="A126" s="1"/>
      <c r="B126" s="1"/>
      <c r="C126" s="1"/>
    </row>
    <row r="127" ht="14.25" customHeight="1">
      <c r="A127" s="1"/>
      <c r="B127" s="1"/>
      <c r="C127" s="1"/>
    </row>
    <row r="128" ht="14.25" customHeight="1">
      <c r="A128" s="1"/>
      <c r="B128" s="1"/>
      <c r="C128" s="1"/>
    </row>
    <row r="129" ht="14.25" customHeight="1">
      <c r="A129" s="1"/>
      <c r="B129" s="1"/>
      <c r="C129" s="1"/>
    </row>
    <row r="130" ht="14.25" customHeight="1">
      <c r="A130" s="1"/>
      <c r="B130" s="1"/>
      <c r="C130" s="1"/>
    </row>
    <row r="131" ht="14.25" customHeight="1">
      <c r="A131" s="1"/>
      <c r="B131" s="1"/>
      <c r="C131" s="1"/>
    </row>
    <row r="132" ht="14.25" customHeight="1">
      <c r="A132" s="1"/>
      <c r="B132" s="1"/>
      <c r="C132" s="1"/>
    </row>
    <row r="133" ht="14.25" customHeight="1">
      <c r="A133" s="1"/>
      <c r="B133" s="1"/>
      <c r="C133" s="1"/>
    </row>
    <row r="134" ht="14.25" customHeight="1">
      <c r="A134" s="1"/>
      <c r="B134" s="1"/>
      <c r="C134" s="1"/>
    </row>
    <row r="135" ht="14.25" customHeight="1">
      <c r="A135" s="1"/>
      <c r="B135" s="1"/>
      <c r="C135" s="1"/>
    </row>
    <row r="136" ht="14.25" customHeight="1">
      <c r="A136" s="1"/>
      <c r="B136" s="1"/>
      <c r="C136" s="1"/>
    </row>
    <row r="137" ht="14.25" customHeight="1">
      <c r="A137" s="1"/>
      <c r="B137" s="1"/>
      <c r="C137" s="1"/>
    </row>
    <row r="138" ht="14.25" customHeight="1">
      <c r="A138" s="1"/>
      <c r="B138" s="1"/>
      <c r="C138" s="1"/>
    </row>
    <row r="139" ht="14.25" customHeight="1">
      <c r="A139" s="1"/>
      <c r="B139" s="1"/>
      <c r="C139" s="1"/>
    </row>
    <row r="140" ht="14.25" customHeight="1">
      <c r="A140" s="1"/>
      <c r="B140" s="1"/>
      <c r="C140" s="1"/>
    </row>
    <row r="141" ht="14.25" customHeight="1">
      <c r="A141" s="1"/>
      <c r="B141" s="1"/>
      <c r="C141" s="1"/>
    </row>
    <row r="142" ht="14.25" customHeight="1">
      <c r="A142" s="1"/>
      <c r="B142" s="1"/>
      <c r="C142" s="1"/>
    </row>
    <row r="143" ht="14.25" customHeight="1">
      <c r="A143" s="1"/>
      <c r="B143" s="1"/>
      <c r="C143" s="1"/>
      <c r="AB143" s="5"/>
      <c r="AC143" s="5"/>
      <c r="AD143" s="5"/>
      <c r="AE143" s="5"/>
      <c r="AF143" s="5"/>
      <c r="AG143" s="5"/>
      <c r="AH143" s="5"/>
      <c r="AI143" s="5"/>
      <c r="AJ143" s="5"/>
    </row>
    <row r="144" ht="14.25" customHeight="1">
      <c r="A144" s="1"/>
      <c r="B144" s="1"/>
      <c r="C144" s="1"/>
      <c r="AB144" s="5"/>
      <c r="AC144" s="5"/>
      <c r="AD144" s="5"/>
      <c r="AE144" s="5"/>
      <c r="AF144" s="5"/>
      <c r="AG144" s="5"/>
      <c r="AH144" s="5"/>
      <c r="AI144" s="5"/>
      <c r="AJ144" s="5"/>
    </row>
    <row r="145" ht="14.25" customHeight="1">
      <c r="A145" s="1"/>
      <c r="B145" s="1"/>
      <c r="C145" s="1"/>
      <c r="AB145" s="5"/>
      <c r="AC145" s="5"/>
      <c r="AD145" s="5"/>
      <c r="AE145" s="5"/>
      <c r="AF145" s="5"/>
      <c r="AG145" s="5"/>
      <c r="AH145" s="5"/>
      <c r="AI145" s="5"/>
      <c r="AJ145" s="5"/>
    </row>
    <row r="146" ht="14.25" customHeight="1">
      <c r="A146" s="1"/>
      <c r="B146" s="1"/>
      <c r="C146" s="1"/>
      <c r="AB146" s="5"/>
      <c r="AC146" s="5"/>
      <c r="AD146" s="5"/>
      <c r="AE146" s="5"/>
      <c r="AF146" s="5"/>
      <c r="AG146" s="5"/>
      <c r="AH146" s="5"/>
      <c r="AI146" s="5"/>
      <c r="AJ146" s="5"/>
    </row>
    <row r="147" ht="14.25" customHeight="1">
      <c r="A147" s="1"/>
      <c r="B147" s="1"/>
      <c r="C147" s="1"/>
      <c r="AB147" s="5"/>
      <c r="AC147" s="5"/>
      <c r="AD147" s="5"/>
      <c r="AE147" s="5"/>
      <c r="AF147" s="5"/>
      <c r="AG147" s="5"/>
      <c r="AH147" s="5"/>
      <c r="AI147" s="5"/>
      <c r="AJ147" s="5"/>
    </row>
    <row r="148" ht="14.25" customHeight="1">
      <c r="A148" s="1"/>
      <c r="B148" s="1"/>
      <c r="C148" s="1"/>
      <c r="AB148" s="5"/>
      <c r="AC148" s="5"/>
      <c r="AD148" s="5"/>
      <c r="AE148" s="5"/>
      <c r="AF148" s="5"/>
      <c r="AG148" s="5"/>
      <c r="AH148" s="5"/>
      <c r="AI148" s="5"/>
      <c r="AJ148" s="5"/>
    </row>
    <row r="149" ht="14.25" customHeight="1">
      <c r="A149" s="1"/>
      <c r="B149" s="1"/>
      <c r="C149" s="1"/>
      <c r="AB149" s="5"/>
      <c r="AC149" s="5"/>
      <c r="AD149" s="5"/>
      <c r="AE149" s="5"/>
      <c r="AF149" s="5"/>
      <c r="AG149" s="5"/>
      <c r="AH149" s="5"/>
      <c r="AI149" s="5"/>
      <c r="AJ149" s="5"/>
    </row>
    <row r="150" ht="14.25" customHeight="1">
      <c r="A150" s="1"/>
      <c r="B150" s="1"/>
      <c r="C150" s="1"/>
      <c r="AB150" s="5"/>
      <c r="AC150" s="5"/>
      <c r="AD150" s="5"/>
      <c r="AE150" s="5"/>
      <c r="AF150" s="5"/>
      <c r="AG150" s="5"/>
      <c r="AH150" s="5"/>
      <c r="AI150" s="5"/>
      <c r="AJ15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3" width="8.63"/>
    <col customWidth="1" min="24" max="24" width="11.25"/>
    <col customWidth="1" min="25" max="31" width="8.63"/>
    <col customWidth="1" min="32" max="32" width="12.25"/>
    <col customWidth="1" min="33" max="41" width="8.63"/>
    <col customWidth="1" min="42" max="42" width="51.13"/>
  </cols>
  <sheetData>
    <row r="1" ht="14.25" customHeight="1">
      <c r="A1" s="16" t="s">
        <v>48</v>
      </c>
      <c r="B1" s="17" t="s">
        <v>49</v>
      </c>
      <c r="C1" s="17">
        <v>1.0</v>
      </c>
      <c r="D1" s="17">
        <v>2.0</v>
      </c>
      <c r="E1" s="17">
        <v>3.0</v>
      </c>
      <c r="F1" s="17">
        <v>4.0</v>
      </c>
      <c r="G1" s="17">
        <v>5.0</v>
      </c>
      <c r="H1" s="17">
        <v>6.0</v>
      </c>
      <c r="I1" s="17">
        <v>7.0</v>
      </c>
      <c r="K1" s="16" t="s">
        <v>50</v>
      </c>
      <c r="L1" s="17" t="s">
        <v>49</v>
      </c>
      <c r="M1" s="17">
        <v>1.0</v>
      </c>
      <c r="N1" s="17">
        <v>2.0</v>
      </c>
      <c r="O1" s="17">
        <v>3.0</v>
      </c>
      <c r="P1" s="17">
        <v>4.0</v>
      </c>
      <c r="Q1" s="17">
        <v>5.0</v>
      </c>
      <c r="R1" s="17">
        <v>6.0</v>
      </c>
      <c r="S1" s="17">
        <v>7.0</v>
      </c>
      <c r="U1" s="16" t="s">
        <v>51</v>
      </c>
      <c r="V1" s="17" t="s">
        <v>49</v>
      </c>
      <c r="W1" s="17">
        <v>1.0</v>
      </c>
      <c r="X1" s="17">
        <v>2.0</v>
      </c>
      <c r="Y1" s="17">
        <v>3.0</v>
      </c>
      <c r="Z1" s="17">
        <v>4.0</v>
      </c>
      <c r="AA1" s="17">
        <v>5.0</v>
      </c>
      <c r="AB1" s="17">
        <v>6.0</v>
      </c>
      <c r="AC1" s="17">
        <v>7.0</v>
      </c>
      <c r="AE1" s="16" t="s">
        <v>52</v>
      </c>
      <c r="AF1" s="17" t="s">
        <v>49</v>
      </c>
      <c r="AG1" s="17">
        <v>1.0</v>
      </c>
      <c r="AH1" s="17">
        <v>2.0</v>
      </c>
      <c r="AI1" s="17">
        <v>3.0</v>
      </c>
      <c r="AJ1" s="17">
        <v>4.0</v>
      </c>
      <c r="AK1" s="17">
        <v>5.0</v>
      </c>
      <c r="AL1" s="17">
        <v>6.0</v>
      </c>
      <c r="AM1" s="17">
        <v>7.0</v>
      </c>
    </row>
    <row r="2" ht="14.25" customHeight="1">
      <c r="A2" s="16"/>
      <c r="B2" s="17"/>
      <c r="C2" s="18">
        <v>1.0</v>
      </c>
      <c r="D2" s="18">
        <v>1.0</v>
      </c>
      <c r="E2" s="18">
        <v>1.0</v>
      </c>
      <c r="F2" s="18">
        <v>0.0</v>
      </c>
      <c r="G2" s="18">
        <v>0.0</v>
      </c>
      <c r="H2" s="18">
        <v>0.0</v>
      </c>
      <c r="I2" s="18">
        <v>0.0</v>
      </c>
      <c r="K2" s="16"/>
      <c r="L2" s="17"/>
      <c r="M2" s="18">
        <v>1.0</v>
      </c>
      <c r="N2" s="18">
        <v>1.0</v>
      </c>
      <c r="O2" s="18">
        <v>0.0</v>
      </c>
      <c r="P2" s="18">
        <v>0.0</v>
      </c>
      <c r="Q2" s="18">
        <v>0.0</v>
      </c>
      <c r="R2" s="18">
        <v>0.0</v>
      </c>
      <c r="S2" s="18">
        <v>1.0</v>
      </c>
      <c r="U2" s="16"/>
      <c r="V2" s="17"/>
      <c r="W2" s="18">
        <v>0.0</v>
      </c>
      <c r="X2" s="18">
        <v>0.0</v>
      </c>
      <c r="Y2" s="18">
        <v>0.0</v>
      </c>
      <c r="Z2" s="18">
        <v>0.0</v>
      </c>
      <c r="AA2" s="18">
        <v>1.0</v>
      </c>
      <c r="AB2" s="18">
        <v>1.0</v>
      </c>
      <c r="AC2" s="18">
        <v>0.0</v>
      </c>
      <c r="AE2" s="16"/>
      <c r="AF2" s="17"/>
      <c r="AG2" s="18">
        <v>0.0</v>
      </c>
      <c r="AH2" s="18">
        <v>0.0</v>
      </c>
      <c r="AI2" s="18">
        <v>1.0</v>
      </c>
      <c r="AJ2" s="18">
        <v>1.0</v>
      </c>
      <c r="AK2" s="18">
        <v>0.0</v>
      </c>
      <c r="AL2" s="18">
        <v>0.0</v>
      </c>
      <c r="AM2" s="18">
        <v>1.0</v>
      </c>
    </row>
    <row r="3" ht="14.25" customHeight="1">
      <c r="A3" s="16"/>
      <c r="B3" s="17">
        <v>8.0</v>
      </c>
      <c r="C3" s="18">
        <v>1.0</v>
      </c>
      <c r="D3" s="18">
        <v>1.0</v>
      </c>
      <c r="E3" s="18">
        <v>0.0</v>
      </c>
      <c r="F3" s="18">
        <v>0.0</v>
      </c>
      <c r="G3" s="18">
        <v>1.0</v>
      </c>
      <c r="H3" s="18">
        <v>1.0</v>
      </c>
      <c r="I3" s="18">
        <v>0.0</v>
      </c>
      <c r="K3" s="16"/>
      <c r="L3" s="17">
        <v>8.0</v>
      </c>
      <c r="M3" s="18">
        <v>1.0</v>
      </c>
      <c r="N3" s="18">
        <v>0.0</v>
      </c>
      <c r="O3" s="18">
        <v>0.0</v>
      </c>
      <c r="P3" s="18">
        <v>1.0</v>
      </c>
      <c r="Q3" s="18">
        <v>1.0</v>
      </c>
      <c r="R3" s="18">
        <v>0.0</v>
      </c>
      <c r="S3" s="18">
        <v>0.0</v>
      </c>
      <c r="U3" s="16"/>
      <c r="V3" s="17">
        <v>8.0</v>
      </c>
      <c r="W3" s="18">
        <v>0.0</v>
      </c>
      <c r="X3" s="18">
        <v>1.0</v>
      </c>
      <c r="Y3" s="18">
        <v>1.0</v>
      </c>
      <c r="Z3" s="18">
        <v>0.0</v>
      </c>
      <c r="AA3" s="18">
        <v>0.0</v>
      </c>
      <c r="AB3" s="18">
        <v>1.0</v>
      </c>
      <c r="AC3" s="18">
        <v>0.0</v>
      </c>
      <c r="AE3" s="16"/>
      <c r="AF3" s="17">
        <v>8.0</v>
      </c>
      <c r="AG3" s="18">
        <v>1.0</v>
      </c>
      <c r="AH3" s="18">
        <v>0.0</v>
      </c>
      <c r="AI3" s="18">
        <v>0.0</v>
      </c>
      <c r="AJ3" s="18">
        <v>1.0</v>
      </c>
      <c r="AK3" s="18">
        <v>0.0</v>
      </c>
      <c r="AL3" s="18">
        <v>1.0</v>
      </c>
      <c r="AM3" s="18">
        <v>0.0</v>
      </c>
    </row>
    <row r="4" ht="14.25" customHeight="1">
      <c r="A4" s="16"/>
      <c r="B4" s="17">
        <v>15.0</v>
      </c>
      <c r="C4" s="18">
        <v>0.0</v>
      </c>
      <c r="D4" s="18">
        <v>1.0</v>
      </c>
      <c r="E4" s="18">
        <v>0.0</v>
      </c>
      <c r="F4" s="18">
        <v>1.0</v>
      </c>
      <c r="G4" s="18">
        <v>0.0</v>
      </c>
      <c r="H4" s="18">
        <v>1.0</v>
      </c>
      <c r="I4" s="18">
        <v>0.0</v>
      </c>
      <c r="K4" s="16"/>
      <c r="L4" s="17">
        <v>15.0</v>
      </c>
      <c r="M4" s="18">
        <v>1.0</v>
      </c>
      <c r="N4" s="18">
        <v>0.0</v>
      </c>
      <c r="O4" s="18">
        <v>1.0</v>
      </c>
      <c r="P4" s="18">
        <v>0.0</v>
      </c>
      <c r="Q4" s="18">
        <v>1.0</v>
      </c>
      <c r="R4" s="18">
        <v>0.0</v>
      </c>
      <c r="S4" s="18">
        <v>1.0</v>
      </c>
      <c r="U4" s="16"/>
      <c r="V4" s="17">
        <v>15.0</v>
      </c>
      <c r="W4" s="18">
        <v>1.0</v>
      </c>
      <c r="X4" s="18">
        <v>0.0</v>
      </c>
      <c r="Y4" s="18">
        <v>1.0</v>
      </c>
      <c r="Z4" s="18">
        <v>0.0</v>
      </c>
      <c r="AA4" s="18">
        <v>1.0</v>
      </c>
      <c r="AB4" s="18">
        <v>0.0</v>
      </c>
      <c r="AC4" s="18">
        <v>1.0</v>
      </c>
      <c r="AE4" s="16"/>
      <c r="AF4" s="17">
        <v>15.0</v>
      </c>
      <c r="AG4" s="18">
        <v>1.0</v>
      </c>
      <c r="AH4" s="18">
        <v>0.0</v>
      </c>
      <c r="AI4" s="18">
        <v>1.0</v>
      </c>
      <c r="AJ4" s="18">
        <v>0.0</v>
      </c>
      <c r="AK4" s="18">
        <v>1.0</v>
      </c>
      <c r="AL4" s="18">
        <v>0.0</v>
      </c>
      <c r="AM4" s="18">
        <v>1.0</v>
      </c>
    </row>
    <row r="5" ht="14.25" customHeight="1">
      <c r="A5" s="16"/>
      <c r="B5" s="17">
        <v>22.0</v>
      </c>
      <c r="C5" s="18">
        <v>1.0</v>
      </c>
      <c r="D5" s="18">
        <v>0.0</v>
      </c>
      <c r="E5" s="18">
        <v>1.0</v>
      </c>
      <c r="F5" s="18">
        <v>0.0</v>
      </c>
      <c r="G5" s="18">
        <v>1.0</v>
      </c>
      <c r="H5" s="18">
        <v>1.0</v>
      </c>
      <c r="I5" s="18">
        <v>1.0</v>
      </c>
      <c r="K5" s="16"/>
      <c r="L5" s="17">
        <v>22.0</v>
      </c>
      <c r="M5" s="18">
        <v>0.0</v>
      </c>
      <c r="N5" s="18">
        <v>1.0</v>
      </c>
      <c r="O5" s="18">
        <v>0.0</v>
      </c>
      <c r="P5" s="18">
        <v>1.0</v>
      </c>
      <c r="Q5" s="18">
        <v>1.0</v>
      </c>
      <c r="R5" s="18">
        <v>1.0</v>
      </c>
      <c r="S5" s="18">
        <v>1.0</v>
      </c>
      <c r="U5" s="16"/>
      <c r="V5" s="17">
        <v>22.0</v>
      </c>
      <c r="W5" s="18">
        <v>0.0</v>
      </c>
      <c r="X5" s="18">
        <v>1.0</v>
      </c>
      <c r="Y5" s="18">
        <v>1.0</v>
      </c>
      <c r="Z5" s="18">
        <v>1.0</v>
      </c>
      <c r="AA5" s="18">
        <v>1.0</v>
      </c>
      <c r="AB5" s="18">
        <v>1.0</v>
      </c>
      <c r="AC5" s="18">
        <v>1.0</v>
      </c>
      <c r="AE5" s="16"/>
      <c r="AF5" s="17">
        <v>22.0</v>
      </c>
      <c r="AG5" s="18">
        <v>1.0</v>
      </c>
      <c r="AH5" s="18">
        <v>1.0</v>
      </c>
      <c r="AI5" s="18">
        <v>1.0</v>
      </c>
      <c r="AJ5" s="18">
        <v>1.0</v>
      </c>
      <c r="AK5" s="18">
        <v>1.0</v>
      </c>
      <c r="AL5" s="18">
        <v>0.0</v>
      </c>
      <c r="AM5" s="18">
        <v>0.0</v>
      </c>
    </row>
    <row r="6" ht="14.25" customHeight="1">
      <c r="A6" s="16"/>
      <c r="B6" s="17">
        <v>29.0</v>
      </c>
      <c r="C6" s="18">
        <v>0.0</v>
      </c>
      <c r="D6" s="18">
        <v>1.0</v>
      </c>
      <c r="E6" s="18">
        <v>0.0</v>
      </c>
      <c r="F6" s="18">
        <v>1.0</v>
      </c>
      <c r="G6" s="18">
        <v>0.0</v>
      </c>
      <c r="H6" s="18">
        <v>1.0</v>
      </c>
      <c r="I6" s="18">
        <v>0.0</v>
      </c>
      <c r="K6" s="16"/>
      <c r="L6" s="17">
        <v>29.0</v>
      </c>
      <c r="M6" s="18">
        <v>1.0</v>
      </c>
      <c r="N6" s="18">
        <v>0.0</v>
      </c>
      <c r="O6" s="18">
        <v>1.0</v>
      </c>
      <c r="P6" s="18">
        <v>0.0</v>
      </c>
      <c r="Q6" s="18">
        <v>1.0</v>
      </c>
      <c r="R6" s="18">
        <v>0.0</v>
      </c>
      <c r="S6" s="18">
        <v>1.0</v>
      </c>
      <c r="U6" s="16"/>
      <c r="V6" s="17">
        <v>29.0</v>
      </c>
      <c r="W6" s="18">
        <v>1.0</v>
      </c>
      <c r="X6" s="18">
        <v>0.0</v>
      </c>
      <c r="Y6" s="18">
        <v>1.0</v>
      </c>
      <c r="Z6" s="18">
        <v>0.0</v>
      </c>
      <c r="AA6" s="18">
        <v>1.0</v>
      </c>
      <c r="AB6" s="18">
        <v>1.0</v>
      </c>
      <c r="AC6" s="18">
        <v>0.0</v>
      </c>
      <c r="AE6" s="16"/>
      <c r="AF6" s="17">
        <v>29.0</v>
      </c>
      <c r="AG6" s="18">
        <v>1.0</v>
      </c>
      <c r="AH6" s="18">
        <v>0.0</v>
      </c>
      <c r="AI6" s="18">
        <v>1.0</v>
      </c>
      <c r="AJ6" s="18">
        <v>1.0</v>
      </c>
      <c r="AK6" s="18">
        <v>0.0</v>
      </c>
      <c r="AL6" s="18">
        <v>0.0</v>
      </c>
      <c r="AM6" s="18">
        <v>1.0</v>
      </c>
    </row>
    <row r="7" ht="14.25" customHeight="1">
      <c r="A7" s="16"/>
      <c r="B7" s="17">
        <v>36.0</v>
      </c>
      <c r="C7" s="18">
        <v>1.0</v>
      </c>
      <c r="D7" s="18">
        <v>1.0</v>
      </c>
      <c r="E7" s="18">
        <v>0.0</v>
      </c>
      <c r="F7" s="18">
        <v>0.0</v>
      </c>
      <c r="G7" s="18">
        <v>1.0</v>
      </c>
      <c r="H7" s="18">
        <v>1.0</v>
      </c>
      <c r="I7" s="18">
        <v>0.0</v>
      </c>
      <c r="K7" s="16"/>
      <c r="L7" s="17">
        <v>36.0</v>
      </c>
      <c r="M7" s="18">
        <v>1.0</v>
      </c>
      <c r="N7" s="18">
        <v>0.0</v>
      </c>
      <c r="O7" s="18">
        <v>0.0</v>
      </c>
      <c r="P7" s="18">
        <v>1.0</v>
      </c>
      <c r="Q7" s="18">
        <v>1.0</v>
      </c>
      <c r="R7" s="18">
        <v>0.0</v>
      </c>
      <c r="S7" s="18">
        <v>0.0</v>
      </c>
      <c r="U7" s="16"/>
      <c r="V7" s="17">
        <v>36.0</v>
      </c>
      <c r="W7" s="18">
        <v>0.0</v>
      </c>
      <c r="X7" s="18">
        <v>1.0</v>
      </c>
      <c r="Y7" s="18">
        <v>1.0</v>
      </c>
      <c r="Z7" s="18">
        <v>0.0</v>
      </c>
      <c r="AA7" s="18">
        <v>0.0</v>
      </c>
      <c r="AB7" s="18">
        <v>1.0</v>
      </c>
      <c r="AC7" s="18">
        <v>1.0</v>
      </c>
      <c r="AE7" s="16"/>
      <c r="AF7" s="17">
        <v>36.0</v>
      </c>
      <c r="AG7" s="18">
        <v>1.0</v>
      </c>
      <c r="AH7" s="18">
        <v>0.0</v>
      </c>
      <c r="AI7" s="18">
        <v>0.0</v>
      </c>
      <c r="AJ7" s="18">
        <v>1.0</v>
      </c>
      <c r="AK7" s="18">
        <v>1.0</v>
      </c>
      <c r="AL7" s="18">
        <v>1.0</v>
      </c>
      <c r="AM7" s="18">
        <v>1.0</v>
      </c>
    </row>
    <row r="8" ht="14.25" customHeight="1">
      <c r="A8" s="16"/>
      <c r="B8" s="17">
        <v>43.0</v>
      </c>
      <c r="C8" s="18">
        <v>0.0</v>
      </c>
      <c r="D8" s="18">
        <v>1.0</v>
      </c>
      <c r="E8" s="18">
        <v>1.0</v>
      </c>
      <c r="F8" s="18">
        <v>1.0</v>
      </c>
      <c r="G8" s="18">
        <v>1.0</v>
      </c>
      <c r="H8" s="18">
        <v>0.0</v>
      </c>
      <c r="I8" s="18">
        <v>0.0</v>
      </c>
      <c r="K8" s="16"/>
      <c r="L8" s="17">
        <v>43.0</v>
      </c>
      <c r="M8" s="18">
        <v>1.0</v>
      </c>
      <c r="N8" s="18">
        <v>1.0</v>
      </c>
      <c r="O8" s="18">
        <v>1.0</v>
      </c>
      <c r="P8" s="18">
        <v>1.0</v>
      </c>
      <c r="Q8" s="18">
        <v>0.0</v>
      </c>
      <c r="R8" s="18">
        <v>0.0</v>
      </c>
      <c r="S8" s="18">
        <v>0.0</v>
      </c>
      <c r="U8" s="16"/>
      <c r="V8" s="17">
        <v>43.0</v>
      </c>
      <c r="W8" s="18">
        <v>1.0</v>
      </c>
      <c r="X8" s="18">
        <v>1.0</v>
      </c>
      <c r="Y8" s="18">
        <v>0.0</v>
      </c>
      <c r="Z8" s="18">
        <v>0.0</v>
      </c>
      <c r="AA8" s="18">
        <v>0.0</v>
      </c>
      <c r="AB8" s="18">
        <v>0.0</v>
      </c>
      <c r="AC8" s="18">
        <v>1.0</v>
      </c>
      <c r="AE8" s="16"/>
      <c r="AF8" s="17">
        <v>43.0</v>
      </c>
      <c r="AG8" s="18">
        <v>0.0</v>
      </c>
      <c r="AH8" s="18">
        <v>0.0</v>
      </c>
      <c r="AI8" s="18">
        <v>0.0</v>
      </c>
      <c r="AJ8" s="18">
        <v>0.0</v>
      </c>
      <c r="AK8" s="18">
        <v>1.0</v>
      </c>
      <c r="AL8" s="18">
        <v>0.0</v>
      </c>
      <c r="AM8" s="18">
        <v>1.0</v>
      </c>
    </row>
    <row r="9" ht="14.25" customHeight="1">
      <c r="A9" s="16"/>
      <c r="B9" s="17">
        <v>50.0</v>
      </c>
      <c r="C9" s="18">
        <v>0.0</v>
      </c>
      <c r="D9" s="18">
        <v>0.0</v>
      </c>
      <c r="E9" s="18">
        <v>1.0</v>
      </c>
      <c r="F9" s="18">
        <v>0.0</v>
      </c>
      <c r="G9" s="18">
        <v>1.0</v>
      </c>
      <c r="H9" s="18">
        <v>0.0</v>
      </c>
      <c r="I9" s="18">
        <v>1.0</v>
      </c>
      <c r="K9" s="16"/>
      <c r="L9" s="17">
        <v>50.0</v>
      </c>
      <c r="M9" s="18">
        <v>0.0</v>
      </c>
      <c r="N9" s="18">
        <v>1.0</v>
      </c>
      <c r="O9" s="18">
        <v>0.0</v>
      </c>
      <c r="P9" s="18">
        <v>1.0</v>
      </c>
      <c r="Q9" s="18">
        <v>0.0</v>
      </c>
      <c r="R9" s="18">
        <v>1.0</v>
      </c>
      <c r="S9" s="18">
        <v>0.0</v>
      </c>
      <c r="U9" s="16"/>
      <c r="V9" s="17">
        <v>50.0</v>
      </c>
      <c r="W9" s="18">
        <v>0.0</v>
      </c>
      <c r="X9" s="18">
        <v>1.0</v>
      </c>
      <c r="Y9" s="18">
        <v>0.0</v>
      </c>
      <c r="Z9" s="18">
        <v>1.0</v>
      </c>
      <c r="AA9" s="18">
        <v>0.0</v>
      </c>
      <c r="AB9" s="18">
        <v>1.0</v>
      </c>
      <c r="AC9" s="18">
        <v>0.0</v>
      </c>
      <c r="AE9" s="16"/>
      <c r="AF9" s="17">
        <v>50.0</v>
      </c>
      <c r="AG9" s="18">
        <v>0.0</v>
      </c>
      <c r="AH9" s="18">
        <v>1.0</v>
      </c>
      <c r="AI9" s="18">
        <v>0.0</v>
      </c>
      <c r="AJ9" s="18">
        <v>1.0</v>
      </c>
      <c r="AK9" s="18">
        <v>0.0</v>
      </c>
      <c r="AL9" s="18">
        <v>1.0</v>
      </c>
      <c r="AM9" s="18">
        <v>0.0</v>
      </c>
    </row>
    <row r="10" ht="14.25" customHeight="1"/>
    <row r="11" ht="14.25" customHeight="1">
      <c r="A11" s="16" t="s">
        <v>53</v>
      </c>
      <c r="B11" s="17" t="s">
        <v>49</v>
      </c>
      <c r="C11" s="17">
        <v>1.0</v>
      </c>
      <c r="D11" s="17">
        <v>2.0</v>
      </c>
      <c r="E11" s="17">
        <v>3.0</v>
      </c>
      <c r="F11" s="17">
        <v>4.0</v>
      </c>
      <c r="G11" s="17">
        <v>5.0</v>
      </c>
      <c r="H11" s="17">
        <v>6.0</v>
      </c>
      <c r="I11" s="17">
        <v>7.0</v>
      </c>
      <c r="K11" s="16" t="s">
        <v>54</v>
      </c>
      <c r="L11" s="17" t="s">
        <v>49</v>
      </c>
      <c r="M11" s="17">
        <v>1.0</v>
      </c>
      <c r="N11" s="17">
        <v>2.0</v>
      </c>
      <c r="O11" s="17">
        <v>3.0</v>
      </c>
      <c r="P11" s="17">
        <v>4.0</v>
      </c>
      <c r="Q11" s="17">
        <v>5.0</v>
      </c>
      <c r="R11" s="17">
        <v>6.0</v>
      </c>
      <c r="S11" s="17">
        <v>7.0</v>
      </c>
      <c r="U11" s="16" t="s">
        <v>55</v>
      </c>
      <c r="V11" s="17" t="s">
        <v>49</v>
      </c>
      <c r="W11" s="17">
        <v>1.0</v>
      </c>
      <c r="X11" s="17">
        <v>2.0</v>
      </c>
      <c r="Y11" s="17">
        <v>3.0</v>
      </c>
      <c r="Z11" s="17">
        <v>4.0</v>
      </c>
      <c r="AA11" s="17">
        <v>5.0</v>
      </c>
      <c r="AB11" s="17">
        <v>6.0</v>
      </c>
      <c r="AC11" s="17">
        <v>7.0</v>
      </c>
      <c r="AE11" s="16" t="s">
        <v>56</v>
      </c>
      <c r="AF11" s="17" t="s">
        <v>49</v>
      </c>
      <c r="AG11" s="17">
        <v>1.0</v>
      </c>
      <c r="AH11" s="17">
        <v>2.0</v>
      </c>
      <c r="AI11" s="17">
        <v>3.0</v>
      </c>
      <c r="AJ11" s="17">
        <v>4.0</v>
      </c>
      <c r="AK11" s="17">
        <v>5.0</v>
      </c>
      <c r="AL11" s="17">
        <v>6.0</v>
      </c>
      <c r="AM11" s="17">
        <v>7.0</v>
      </c>
    </row>
    <row r="12" ht="14.25" customHeight="1">
      <c r="A12" s="16"/>
      <c r="B12" s="17"/>
      <c r="C12" s="18">
        <v>1.0</v>
      </c>
      <c r="D12" s="18">
        <v>1.0</v>
      </c>
      <c r="E12" s="18">
        <v>0.0</v>
      </c>
      <c r="F12" s="18">
        <v>0.0</v>
      </c>
      <c r="G12" s="18">
        <v>1.0</v>
      </c>
      <c r="H12" s="18">
        <v>1.0</v>
      </c>
      <c r="I12" s="18">
        <v>0.0</v>
      </c>
      <c r="K12" s="16"/>
      <c r="L12" s="17"/>
      <c r="M12" s="18">
        <v>0.0</v>
      </c>
      <c r="N12" s="18">
        <v>0.0</v>
      </c>
      <c r="O12" s="18">
        <v>1.0</v>
      </c>
      <c r="P12" s="18">
        <v>1.0</v>
      </c>
      <c r="Q12" s="18">
        <v>0.0</v>
      </c>
      <c r="R12" s="18">
        <v>0.0</v>
      </c>
      <c r="S12" s="18">
        <v>1.0</v>
      </c>
      <c r="U12" s="16"/>
      <c r="V12" s="17"/>
      <c r="W12" s="18">
        <v>1.0</v>
      </c>
      <c r="X12" s="18">
        <v>1.0</v>
      </c>
      <c r="Y12" s="18">
        <v>0.0</v>
      </c>
      <c r="Z12" s="18">
        <v>0.0</v>
      </c>
      <c r="AA12" s="18">
        <v>1.0</v>
      </c>
      <c r="AB12" s="18">
        <v>0.0</v>
      </c>
      <c r="AC12" s="18">
        <v>1.0</v>
      </c>
      <c r="AE12" s="16"/>
      <c r="AF12" s="17"/>
      <c r="AG12" s="18">
        <v>0.0</v>
      </c>
      <c r="AH12" s="18">
        <v>0.0</v>
      </c>
      <c r="AI12" s="18">
        <v>1.0</v>
      </c>
      <c r="AJ12" s="18">
        <v>0.0</v>
      </c>
      <c r="AK12" s="18">
        <v>1.0</v>
      </c>
      <c r="AL12" s="18">
        <v>0.0</v>
      </c>
      <c r="AM12" s="18">
        <v>1.0</v>
      </c>
    </row>
    <row r="13" ht="14.25" customHeight="1">
      <c r="A13" s="16"/>
      <c r="B13" s="17">
        <v>8.0</v>
      </c>
      <c r="C13" s="18">
        <v>0.0</v>
      </c>
      <c r="D13" s="18">
        <v>1.0</v>
      </c>
      <c r="E13" s="18">
        <v>0.0</v>
      </c>
      <c r="F13" s="18">
        <v>1.0</v>
      </c>
      <c r="G13" s="18">
        <v>0.0</v>
      </c>
      <c r="H13" s="18">
        <v>1.0</v>
      </c>
      <c r="I13" s="18">
        <v>0.0</v>
      </c>
      <c r="K13" s="16"/>
      <c r="L13" s="17">
        <v>8.0</v>
      </c>
      <c r="M13" s="18">
        <v>0.0</v>
      </c>
      <c r="N13" s="18">
        <v>1.0</v>
      </c>
      <c r="O13" s="18">
        <v>0.0</v>
      </c>
      <c r="P13" s="18">
        <v>1.0</v>
      </c>
      <c r="Q13" s="18">
        <v>0.0</v>
      </c>
      <c r="R13" s="18">
        <v>1.0</v>
      </c>
      <c r="S13" s="18">
        <v>0.0</v>
      </c>
      <c r="U13" s="16"/>
      <c r="V13" s="17">
        <v>8.0</v>
      </c>
      <c r="W13" s="18">
        <v>0.0</v>
      </c>
      <c r="X13" s="18">
        <v>1.0</v>
      </c>
      <c r="Y13" s="18">
        <v>0.0</v>
      </c>
      <c r="Z13" s="18">
        <v>1.0</v>
      </c>
      <c r="AA13" s="18">
        <v>0.0</v>
      </c>
      <c r="AB13" s="18">
        <v>1.0</v>
      </c>
      <c r="AC13" s="18">
        <v>0.0</v>
      </c>
      <c r="AE13" s="16"/>
      <c r="AF13" s="17">
        <v>8.0</v>
      </c>
      <c r="AG13" s="18">
        <v>0.0</v>
      </c>
      <c r="AH13" s="18">
        <v>1.0</v>
      </c>
      <c r="AI13" s="18">
        <v>0.0</v>
      </c>
      <c r="AJ13" s="18">
        <v>1.0</v>
      </c>
      <c r="AK13" s="18">
        <v>0.0</v>
      </c>
      <c r="AL13" s="18">
        <v>1.0</v>
      </c>
      <c r="AM13" s="18">
        <v>1.0</v>
      </c>
    </row>
    <row r="14" ht="14.25" customHeight="1">
      <c r="A14" s="16"/>
      <c r="B14" s="17">
        <v>15.0</v>
      </c>
      <c r="C14" s="18">
        <v>1.0</v>
      </c>
      <c r="D14" s="18">
        <v>0.0</v>
      </c>
      <c r="E14" s="18">
        <v>1.0</v>
      </c>
      <c r="F14" s="18">
        <v>0.0</v>
      </c>
      <c r="G14" s="18">
        <v>1.0</v>
      </c>
      <c r="H14" s="18">
        <v>1.0</v>
      </c>
      <c r="I14" s="18">
        <v>1.0</v>
      </c>
      <c r="K14" s="16"/>
      <c r="L14" s="17">
        <v>15.0</v>
      </c>
      <c r="M14" s="18">
        <v>1.0</v>
      </c>
      <c r="N14" s="18">
        <v>0.0</v>
      </c>
      <c r="O14" s="18">
        <v>1.0</v>
      </c>
      <c r="P14" s="18">
        <v>1.0</v>
      </c>
      <c r="Q14" s="18">
        <v>1.0</v>
      </c>
      <c r="R14" s="18">
        <v>1.0</v>
      </c>
      <c r="S14" s="18">
        <v>1.0</v>
      </c>
      <c r="U14" s="16"/>
      <c r="V14" s="17">
        <v>15.0</v>
      </c>
      <c r="W14" s="18">
        <v>1.0</v>
      </c>
      <c r="X14" s="18">
        <v>1.0</v>
      </c>
      <c r="Y14" s="18">
        <v>1.0</v>
      </c>
      <c r="Z14" s="18">
        <v>1.0</v>
      </c>
      <c r="AA14" s="18">
        <v>1.0</v>
      </c>
      <c r="AB14" s="18">
        <v>1.0</v>
      </c>
      <c r="AC14" s="18">
        <v>0.0</v>
      </c>
      <c r="AE14" s="16"/>
      <c r="AF14" s="17">
        <v>15.0</v>
      </c>
      <c r="AG14" s="18">
        <v>1.0</v>
      </c>
      <c r="AH14" s="18">
        <v>1.0</v>
      </c>
      <c r="AI14" s="18">
        <v>1.0</v>
      </c>
      <c r="AJ14" s="18">
        <v>1.0</v>
      </c>
      <c r="AK14" s="18">
        <v>0.0</v>
      </c>
      <c r="AL14" s="18">
        <v>0.0</v>
      </c>
      <c r="AM14" s="18">
        <v>0.0</v>
      </c>
    </row>
    <row r="15" ht="14.25" customHeight="1">
      <c r="A15" s="16"/>
      <c r="B15" s="17">
        <v>22.0</v>
      </c>
      <c r="C15" s="18">
        <v>1.0</v>
      </c>
      <c r="D15" s="18">
        <v>1.0</v>
      </c>
      <c r="E15" s="18">
        <v>1.0</v>
      </c>
      <c r="F15" s="18">
        <v>0.0</v>
      </c>
      <c r="G15" s="18">
        <v>0.0</v>
      </c>
      <c r="H15" s="18">
        <v>0.0</v>
      </c>
      <c r="I15" s="18">
        <v>0.0</v>
      </c>
      <c r="K15" s="16"/>
      <c r="L15" s="17">
        <v>22.0</v>
      </c>
      <c r="M15" s="18">
        <v>1.0</v>
      </c>
      <c r="N15" s="18">
        <v>0.0</v>
      </c>
      <c r="O15" s="18">
        <v>0.0</v>
      </c>
      <c r="P15" s="18">
        <v>0.0</v>
      </c>
      <c r="Q15" s="18">
        <v>0.0</v>
      </c>
      <c r="R15" s="18">
        <v>1.0</v>
      </c>
      <c r="S15" s="18">
        <v>1.0</v>
      </c>
      <c r="U15" s="16"/>
      <c r="V15" s="17">
        <v>22.0</v>
      </c>
      <c r="W15" s="18">
        <v>0.0</v>
      </c>
      <c r="X15" s="18">
        <v>0.0</v>
      </c>
      <c r="Y15" s="18">
        <v>0.0</v>
      </c>
      <c r="Z15" s="18">
        <v>1.0</v>
      </c>
      <c r="AA15" s="18">
        <v>1.0</v>
      </c>
      <c r="AB15" s="18">
        <v>0.0</v>
      </c>
      <c r="AC15" s="18">
        <v>0.0</v>
      </c>
      <c r="AE15" s="16"/>
      <c r="AF15" s="17">
        <v>22.0</v>
      </c>
      <c r="AG15" s="18">
        <v>0.0</v>
      </c>
      <c r="AH15" s="18">
        <v>1.0</v>
      </c>
      <c r="AI15" s="18">
        <v>1.0</v>
      </c>
      <c r="AJ15" s="18">
        <v>0.0</v>
      </c>
      <c r="AK15" s="18">
        <v>0.0</v>
      </c>
      <c r="AL15" s="18">
        <v>1.0</v>
      </c>
      <c r="AM15" s="18">
        <v>1.0</v>
      </c>
    </row>
    <row r="16" ht="14.25" customHeight="1">
      <c r="A16" s="16"/>
      <c r="B16" s="17">
        <v>29.0</v>
      </c>
      <c r="C16" s="18">
        <v>1.0</v>
      </c>
      <c r="D16" s="18">
        <v>1.0</v>
      </c>
      <c r="E16" s="18">
        <v>0.0</v>
      </c>
      <c r="F16" s="18">
        <v>0.0</v>
      </c>
      <c r="G16" s="18">
        <v>1.0</v>
      </c>
      <c r="H16" s="18">
        <v>1.0</v>
      </c>
      <c r="I16" s="18">
        <v>0.0</v>
      </c>
      <c r="K16" s="16"/>
      <c r="L16" s="17">
        <v>29.0</v>
      </c>
      <c r="M16" s="18">
        <v>0.0</v>
      </c>
      <c r="N16" s="18">
        <v>0.0</v>
      </c>
      <c r="O16" s="18">
        <v>1.0</v>
      </c>
      <c r="P16" s="18">
        <v>1.0</v>
      </c>
      <c r="Q16" s="18">
        <v>0.0</v>
      </c>
      <c r="R16" s="18">
        <v>0.0</v>
      </c>
      <c r="S16" s="18">
        <v>1.0</v>
      </c>
      <c r="U16" s="16"/>
      <c r="V16" s="17">
        <v>29.0</v>
      </c>
      <c r="W16" s="18">
        <v>1.0</v>
      </c>
      <c r="X16" s="18">
        <v>1.0</v>
      </c>
      <c r="Y16" s="18">
        <v>0.0</v>
      </c>
      <c r="Z16" s="18">
        <v>0.0</v>
      </c>
      <c r="AA16" s="18">
        <v>1.0</v>
      </c>
      <c r="AB16" s="18">
        <v>1.0</v>
      </c>
      <c r="AC16" s="18">
        <v>1.0</v>
      </c>
      <c r="AE16" s="16"/>
      <c r="AF16" s="17">
        <v>29.0</v>
      </c>
      <c r="AG16" s="18">
        <v>0.0</v>
      </c>
      <c r="AH16" s="18">
        <v>0.0</v>
      </c>
      <c r="AI16" s="18">
        <v>1.0</v>
      </c>
      <c r="AJ16" s="18">
        <v>1.0</v>
      </c>
      <c r="AK16" s="18">
        <v>1.0</v>
      </c>
      <c r="AL16" s="18">
        <v>1.0</v>
      </c>
      <c r="AM16" s="18">
        <v>0.0</v>
      </c>
    </row>
    <row r="17" ht="14.25" customHeight="1">
      <c r="A17" s="16"/>
      <c r="B17" s="17">
        <v>36.0</v>
      </c>
      <c r="C17" s="18">
        <v>0.0</v>
      </c>
      <c r="D17" s="18">
        <v>1.0</v>
      </c>
      <c r="E17" s="18">
        <v>1.0</v>
      </c>
      <c r="F17" s="18">
        <v>1.0</v>
      </c>
      <c r="G17" s="18">
        <v>1.0</v>
      </c>
      <c r="H17" s="18">
        <v>0.0</v>
      </c>
      <c r="I17" s="18">
        <v>0.0</v>
      </c>
      <c r="K17" s="16"/>
      <c r="L17" s="17">
        <v>36.0</v>
      </c>
      <c r="M17" s="18">
        <v>1.0</v>
      </c>
      <c r="N17" s="18">
        <v>1.0</v>
      </c>
      <c r="O17" s="18">
        <v>1.0</v>
      </c>
      <c r="P17" s="18">
        <v>0.0</v>
      </c>
      <c r="Q17" s="18">
        <v>0.0</v>
      </c>
      <c r="R17" s="18">
        <v>0.0</v>
      </c>
      <c r="S17" s="18">
        <v>0.0</v>
      </c>
      <c r="U17" s="16"/>
      <c r="V17" s="17">
        <v>36.0</v>
      </c>
      <c r="W17" s="18">
        <v>1.0</v>
      </c>
      <c r="X17" s="18">
        <v>0.0</v>
      </c>
      <c r="Y17" s="18">
        <v>0.0</v>
      </c>
      <c r="Z17" s="18">
        <v>0.0</v>
      </c>
      <c r="AA17" s="18">
        <v>0.0</v>
      </c>
      <c r="AB17" s="18">
        <v>1.0</v>
      </c>
      <c r="AC17" s="18">
        <v>0.0</v>
      </c>
      <c r="AE17" s="16"/>
      <c r="AF17" s="17">
        <v>36.0</v>
      </c>
      <c r="AG17" s="18">
        <v>0.0</v>
      </c>
      <c r="AH17" s="18">
        <v>0.0</v>
      </c>
      <c r="AI17" s="18">
        <v>0.0</v>
      </c>
      <c r="AJ17" s="18">
        <v>1.0</v>
      </c>
      <c r="AK17" s="18">
        <v>0.0</v>
      </c>
      <c r="AL17" s="18">
        <v>1.0</v>
      </c>
      <c r="AM17" s="18">
        <v>0.0</v>
      </c>
    </row>
    <row r="18" ht="14.25" customHeight="1">
      <c r="A18" s="16"/>
      <c r="B18" s="17">
        <v>43.0</v>
      </c>
      <c r="C18" s="18">
        <v>0.0</v>
      </c>
      <c r="D18" s="18">
        <v>0.0</v>
      </c>
      <c r="E18" s="18">
        <v>1.0</v>
      </c>
      <c r="F18" s="18">
        <v>0.0</v>
      </c>
      <c r="G18" s="18">
        <v>1.0</v>
      </c>
      <c r="H18" s="18">
        <v>0.0</v>
      </c>
      <c r="I18" s="18">
        <v>1.0</v>
      </c>
      <c r="K18" s="16"/>
      <c r="L18" s="17">
        <v>43.0</v>
      </c>
      <c r="M18" s="18">
        <v>1.0</v>
      </c>
      <c r="N18" s="18">
        <v>0.0</v>
      </c>
      <c r="O18" s="18">
        <v>1.0</v>
      </c>
      <c r="P18" s="18">
        <v>0.0</v>
      </c>
      <c r="Q18" s="18">
        <v>1.0</v>
      </c>
      <c r="R18" s="18">
        <v>0.0</v>
      </c>
      <c r="S18" s="18">
        <v>1.0</v>
      </c>
      <c r="U18" s="16"/>
      <c r="V18" s="17">
        <v>43.0</v>
      </c>
      <c r="W18" s="18">
        <v>1.0</v>
      </c>
      <c r="X18" s="18">
        <v>0.0</v>
      </c>
      <c r="Y18" s="18">
        <v>1.0</v>
      </c>
      <c r="Z18" s="18">
        <v>0.0</v>
      </c>
      <c r="AA18" s="18">
        <v>1.0</v>
      </c>
      <c r="AB18" s="18">
        <v>0.0</v>
      </c>
      <c r="AC18" s="18">
        <v>1.0</v>
      </c>
      <c r="AE18" s="16"/>
      <c r="AF18" s="17">
        <v>43.0</v>
      </c>
      <c r="AG18" s="18">
        <v>1.0</v>
      </c>
      <c r="AH18" s="18">
        <v>0.0</v>
      </c>
      <c r="AI18" s="18">
        <v>1.0</v>
      </c>
      <c r="AJ18" s="18">
        <v>0.0</v>
      </c>
      <c r="AK18" s="18">
        <v>1.0</v>
      </c>
      <c r="AL18" s="18">
        <v>0.0</v>
      </c>
      <c r="AM18" s="18">
        <v>1.0</v>
      </c>
    </row>
    <row r="19" ht="14.25" customHeight="1">
      <c r="A19" s="16"/>
      <c r="B19" s="17">
        <v>50.0</v>
      </c>
      <c r="C19" s="18">
        <v>0.0</v>
      </c>
      <c r="D19" s="18">
        <v>1.0</v>
      </c>
      <c r="E19" s="18">
        <v>0.0</v>
      </c>
      <c r="F19" s="18">
        <v>1.0</v>
      </c>
      <c r="G19" s="18">
        <v>0.0</v>
      </c>
      <c r="H19" s="18">
        <v>1.0</v>
      </c>
      <c r="I19" s="18">
        <v>0.0</v>
      </c>
      <c r="K19" s="16"/>
      <c r="L19" s="17">
        <v>50.0</v>
      </c>
      <c r="M19" s="18">
        <v>0.0</v>
      </c>
      <c r="N19" s="18">
        <v>1.0</v>
      </c>
      <c r="O19" s="18">
        <v>0.0</v>
      </c>
      <c r="P19" s="18">
        <v>1.0</v>
      </c>
      <c r="Q19" s="18">
        <v>0.0</v>
      </c>
      <c r="R19" s="18">
        <v>1.0</v>
      </c>
      <c r="S19" s="18">
        <v>1.0</v>
      </c>
      <c r="U19" s="16"/>
      <c r="V19" s="17">
        <v>50.0</v>
      </c>
      <c r="W19" s="18">
        <v>0.0</v>
      </c>
      <c r="X19" s="18">
        <v>1.0</v>
      </c>
      <c r="Y19" s="18">
        <v>0.0</v>
      </c>
      <c r="Z19" s="18">
        <v>1.0</v>
      </c>
      <c r="AA19" s="18">
        <v>1.0</v>
      </c>
      <c r="AB19" s="18">
        <v>0.0</v>
      </c>
      <c r="AC19" s="18">
        <v>0.0</v>
      </c>
      <c r="AE19" s="16"/>
      <c r="AF19" s="17">
        <v>50.0</v>
      </c>
      <c r="AG19" s="18">
        <v>0.0</v>
      </c>
      <c r="AH19" s="18">
        <v>1.0</v>
      </c>
      <c r="AI19" s="18">
        <v>1.0</v>
      </c>
      <c r="AJ19" s="18">
        <v>0.0</v>
      </c>
      <c r="AK19" s="18">
        <v>0.0</v>
      </c>
      <c r="AL19" s="18">
        <v>1.0</v>
      </c>
      <c r="AM19" s="18">
        <v>1.0</v>
      </c>
    </row>
    <row r="20" ht="14.25" customHeight="1"/>
    <row r="21" ht="14.25" customHeight="1">
      <c r="A21" s="16" t="s">
        <v>57</v>
      </c>
      <c r="B21" s="17" t="s">
        <v>49</v>
      </c>
      <c r="C21" s="17">
        <v>1.0</v>
      </c>
      <c r="D21" s="17">
        <v>2.0</v>
      </c>
      <c r="E21" s="17">
        <v>3.0</v>
      </c>
      <c r="F21" s="17">
        <v>4.0</v>
      </c>
      <c r="G21" s="17">
        <v>5.0</v>
      </c>
      <c r="H21" s="17">
        <v>6.0</v>
      </c>
      <c r="I21" s="17">
        <v>7.0</v>
      </c>
      <c r="K21" s="16" t="s">
        <v>58</v>
      </c>
      <c r="L21" s="17" t="s">
        <v>49</v>
      </c>
      <c r="M21" s="17">
        <v>1.0</v>
      </c>
      <c r="N21" s="17">
        <v>2.0</v>
      </c>
      <c r="O21" s="17">
        <v>3.0</v>
      </c>
      <c r="P21" s="17">
        <v>4.0</v>
      </c>
      <c r="Q21" s="17">
        <v>5.0</v>
      </c>
      <c r="R21" s="17">
        <v>6.0</v>
      </c>
      <c r="S21" s="17">
        <v>7.0</v>
      </c>
      <c r="U21" s="16" t="s">
        <v>59</v>
      </c>
      <c r="V21" s="17" t="s">
        <v>49</v>
      </c>
      <c r="W21" s="17">
        <v>1.0</v>
      </c>
      <c r="X21" s="17">
        <v>2.0</v>
      </c>
      <c r="Y21" s="17">
        <v>3.0</v>
      </c>
      <c r="Z21" s="17">
        <v>4.0</v>
      </c>
      <c r="AA21" s="17">
        <v>5.0</v>
      </c>
      <c r="AB21" s="17">
        <v>6.0</v>
      </c>
      <c r="AC21" s="17">
        <v>7.0</v>
      </c>
      <c r="AE21" s="16" t="s">
        <v>60</v>
      </c>
      <c r="AF21" s="17" t="s">
        <v>49</v>
      </c>
      <c r="AG21" s="17">
        <v>1.0</v>
      </c>
      <c r="AH21" s="17">
        <v>2.0</v>
      </c>
      <c r="AI21" s="17">
        <v>3.0</v>
      </c>
      <c r="AJ21" s="17">
        <v>4.0</v>
      </c>
      <c r="AK21" s="17">
        <v>5.0</v>
      </c>
      <c r="AL21" s="17">
        <v>6.0</v>
      </c>
      <c r="AM21" s="17">
        <v>7.0</v>
      </c>
    </row>
    <row r="22" ht="14.25" customHeight="1">
      <c r="A22" s="16"/>
      <c r="B22" s="17"/>
      <c r="C22" s="18">
        <v>0.0</v>
      </c>
      <c r="D22" s="18">
        <v>1.0</v>
      </c>
      <c r="E22" s="18">
        <v>0.0</v>
      </c>
      <c r="F22" s="18">
        <v>1.0</v>
      </c>
      <c r="G22" s="18">
        <v>0.0</v>
      </c>
      <c r="H22" s="18">
        <v>1.0</v>
      </c>
      <c r="I22" s="18">
        <v>0.0</v>
      </c>
      <c r="K22" s="16"/>
      <c r="L22" s="17"/>
      <c r="M22" s="18">
        <v>0.0</v>
      </c>
      <c r="N22" s="18">
        <v>1.0</v>
      </c>
      <c r="O22" s="18">
        <v>0.0</v>
      </c>
      <c r="P22" s="18">
        <v>1.0</v>
      </c>
      <c r="Q22" s="18">
        <v>0.0</v>
      </c>
      <c r="R22" s="18">
        <v>1.0</v>
      </c>
      <c r="S22" s="18">
        <v>0.0</v>
      </c>
      <c r="U22" s="16"/>
      <c r="V22" s="17"/>
      <c r="W22" s="18">
        <v>0.0</v>
      </c>
      <c r="X22" s="18">
        <v>1.0</v>
      </c>
      <c r="Y22" s="18">
        <v>0.0</v>
      </c>
      <c r="Z22" s="18">
        <v>1.0</v>
      </c>
      <c r="AA22" s="18">
        <v>0.0</v>
      </c>
      <c r="AB22" s="18">
        <v>1.0</v>
      </c>
      <c r="AC22" s="18">
        <v>0.0</v>
      </c>
      <c r="AE22" s="16"/>
      <c r="AF22" s="17"/>
      <c r="AG22" s="18">
        <v>0.0</v>
      </c>
      <c r="AH22" s="18">
        <v>1.0</v>
      </c>
      <c r="AI22" s="18">
        <v>0.0</v>
      </c>
      <c r="AJ22" s="18">
        <v>1.0</v>
      </c>
      <c r="AK22" s="18">
        <v>0.0</v>
      </c>
      <c r="AL22" s="18">
        <v>1.0</v>
      </c>
      <c r="AM22" s="18">
        <v>1.0</v>
      </c>
    </row>
    <row r="23" ht="14.25" customHeight="1">
      <c r="A23" s="16"/>
      <c r="B23" s="17">
        <v>8.0</v>
      </c>
      <c r="C23" s="18">
        <v>1.0</v>
      </c>
      <c r="D23" s="18">
        <v>0.0</v>
      </c>
      <c r="E23" s="18">
        <v>1.0</v>
      </c>
      <c r="F23" s="18">
        <v>0.0</v>
      </c>
      <c r="G23" s="18">
        <v>1.0</v>
      </c>
      <c r="H23" s="18">
        <v>1.0</v>
      </c>
      <c r="I23" s="18">
        <v>1.0</v>
      </c>
      <c r="K23" s="16"/>
      <c r="L23" s="17">
        <v>8.0</v>
      </c>
      <c r="M23" s="18">
        <v>1.0</v>
      </c>
      <c r="N23" s="18">
        <v>0.0</v>
      </c>
      <c r="O23" s="18">
        <v>1.0</v>
      </c>
      <c r="P23" s="18">
        <v>1.0</v>
      </c>
      <c r="Q23" s="18">
        <v>1.0</v>
      </c>
      <c r="R23" s="18">
        <v>1.0</v>
      </c>
      <c r="S23" s="18">
        <v>1.0</v>
      </c>
      <c r="U23" s="16"/>
      <c r="V23" s="17">
        <v>8.0</v>
      </c>
      <c r="W23" s="18">
        <v>1.0</v>
      </c>
      <c r="X23" s="18">
        <v>1.0</v>
      </c>
      <c r="Y23" s="18">
        <v>1.0</v>
      </c>
      <c r="Z23" s="18">
        <v>1.0</v>
      </c>
      <c r="AA23" s="18">
        <v>1.0</v>
      </c>
      <c r="AB23" s="18">
        <v>1.0</v>
      </c>
      <c r="AC23" s="18">
        <v>0.0</v>
      </c>
      <c r="AE23" s="16"/>
      <c r="AF23" s="17">
        <v>8.0</v>
      </c>
      <c r="AG23" s="18">
        <v>1.0</v>
      </c>
      <c r="AH23" s="18">
        <v>1.0</v>
      </c>
      <c r="AI23" s="18">
        <v>1.0</v>
      </c>
      <c r="AJ23" s="18">
        <v>1.0</v>
      </c>
      <c r="AK23" s="18">
        <v>0.0</v>
      </c>
      <c r="AL23" s="18">
        <v>0.0</v>
      </c>
      <c r="AM23" s="18">
        <v>0.0</v>
      </c>
    </row>
    <row r="24" ht="14.25" customHeight="1">
      <c r="A24" s="16"/>
      <c r="B24" s="17">
        <v>15.0</v>
      </c>
      <c r="C24" s="18">
        <v>1.0</v>
      </c>
      <c r="D24" s="18">
        <v>1.0</v>
      </c>
      <c r="E24" s="18">
        <v>1.0</v>
      </c>
      <c r="F24" s="18">
        <v>0.0</v>
      </c>
      <c r="G24" s="18">
        <v>0.0</v>
      </c>
      <c r="H24" s="18">
        <v>0.0</v>
      </c>
      <c r="I24" s="18">
        <v>0.0</v>
      </c>
      <c r="K24" s="16"/>
      <c r="L24" s="17">
        <v>15.0</v>
      </c>
      <c r="M24" s="18">
        <v>1.0</v>
      </c>
      <c r="N24" s="18">
        <v>0.0</v>
      </c>
      <c r="O24" s="18">
        <v>0.0</v>
      </c>
      <c r="P24" s="18">
        <v>0.0</v>
      </c>
      <c r="Q24" s="18">
        <v>0.0</v>
      </c>
      <c r="R24" s="18">
        <v>1.0</v>
      </c>
      <c r="S24" s="18">
        <v>1.0</v>
      </c>
      <c r="U24" s="16"/>
      <c r="V24" s="17">
        <v>15.0</v>
      </c>
      <c r="W24" s="18">
        <v>0.0</v>
      </c>
      <c r="X24" s="18">
        <v>0.0</v>
      </c>
      <c r="Y24" s="18">
        <v>0.0</v>
      </c>
      <c r="Z24" s="18">
        <v>1.0</v>
      </c>
      <c r="AA24" s="18">
        <v>1.0</v>
      </c>
      <c r="AB24" s="18">
        <v>0.0</v>
      </c>
      <c r="AC24" s="18">
        <v>0.0</v>
      </c>
      <c r="AE24" s="16"/>
      <c r="AF24" s="17">
        <v>15.0</v>
      </c>
      <c r="AG24" s="18">
        <v>0.0</v>
      </c>
      <c r="AH24" s="18">
        <v>1.0</v>
      </c>
      <c r="AI24" s="18">
        <v>1.0</v>
      </c>
      <c r="AJ24" s="18">
        <v>0.0</v>
      </c>
      <c r="AK24" s="18">
        <v>0.0</v>
      </c>
      <c r="AL24" s="18">
        <v>1.0</v>
      </c>
      <c r="AM24" s="18">
        <v>1.0</v>
      </c>
    </row>
    <row r="25" ht="14.25" customHeight="1">
      <c r="A25" s="16"/>
      <c r="B25" s="17">
        <v>22.0</v>
      </c>
      <c r="C25" s="18">
        <v>1.0</v>
      </c>
      <c r="D25" s="18">
        <v>1.0</v>
      </c>
      <c r="E25" s="18">
        <v>0.0</v>
      </c>
      <c r="F25" s="18">
        <v>0.0</v>
      </c>
      <c r="G25" s="18">
        <v>1.0</v>
      </c>
      <c r="H25" s="18">
        <v>1.0</v>
      </c>
      <c r="I25" s="18">
        <v>0.0</v>
      </c>
      <c r="K25" s="16"/>
      <c r="L25" s="17">
        <v>22.0</v>
      </c>
      <c r="M25" s="18">
        <v>0.0</v>
      </c>
      <c r="N25" s="18">
        <v>0.0</v>
      </c>
      <c r="O25" s="18">
        <v>1.0</v>
      </c>
      <c r="P25" s="18">
        <v>1.0</v>
      </c>
      <c r="Q25" s="18">
        <v>0.0</v>
      </c>
      <c r="R25" s="18">
        <v>0.0</v>
      </c>
      <c r="S25" s="18">
        <v>1.0</v>
      </c>
      <c r="U25" s="16"/>
      <c r="V25" s="17">
        <v>22.0</v>
      </c>
      <c r="W25" s="18">
        <v>1.0</v>
      </c>
      <c r="X25" s="18">
        <v>1.0</v>
      </c>
      <c r="Y25" s="18">
        <v>0.0</v>
      </c>
      <c r="Z25" s="18">
        <v>0.0</v>
      </c>
      <c r="AA25" s="18">
        <v>1.0</v>
      </c>
      <c r="AB25" s="18">
        <v>0.0</v>
      </c>
      <c r="AC25" s="18">
        <v>1.0</v>
      </c>
      <c r="AE25" s="16"/>
      <c r="AF25" s="17">
        <v>22.0</v>
      </c>
      <c r="AG25" s="18">
        <v>0.0</v>
      </c>
      <c r="AH25" s="18">
        <v>0.0</v>
      </c>
      <c r="AI25" s="18">
        <v>1.0</v>
      </c>
      <c r="AJ25" s="18">
        <v>0.0</v>
      </c>
      <c r="AK25" s="18">
        <v>1.0</v>
      </c>
      <c r="AL25" s="18">
        <v>0.0</v>
      </c>
      <c r="AM25" s="18">
        <v>1.0</v>
      </c>
    </row>
    <row r="26" ht="14.25" customHeight="1">
      <c r="A26" s="16"/>
      <c r="B26" s="17">
        <v>29.0</v>
      </c>
      <c r="C26" s="18">
        <v>0.0</v>
      </c>
      <c r="D26" s="18">
        <v>1.0</v>
      </c>
      <c r="E26" s="18">
        <v>1.0</v>
      </c>
      <c r="F26" s="18">
        <v>1.0</v>
      </c>
      <c r="G26" s="18">
        <v>1.0</v>
      </c>
      <c r="H26" s="18">
        <v>0.0</v>
      </c>
      <c r="I26" s="18">
        <v>0.0</v>
      </c>
      <c r="K26" s="16"/>
      <c r="L26" s="17">
        <v>29.0</v>
      </c>
      <c r="M26" s="18">
        <v>1.0</v>
      </c>
      <c r="N26" s="18">
        <v>1.0</v>
      </c>
      <c r="O26" s="18">
        <v>1.0</v>
      </c>
      <c r="P26" s="18">
        <v>0.0</v>
      </c>
      <c r="Q26" s="18">
        <v>0.0</v>
      </c>
      <c r="R26" s="18">
        <v>0.0</v>
      </c>
      <c r="S26" s="18">
        <v>0.0</v>
      </c>
      <c r="U26" s="16"/>
      <c r="V26" s="17">
        <v>29.0</v>
      </c>
      <c r="W26" s="18">
        <v>1.0</v>
      </c>
      <c r="X26" s="18">
        <v>0.0</v>
      </c>
      <c r="Y26" s="18">
        <v>0.0</v>
      </c>
      <c r="Z26" s="18">
        <v>0.0</v>
      </c>
      <c r="AA26" s="18">
        <v>0.0</v>
      </c>
      <c r="AB26" s="18">
        <v>1.0</v>
      </c>
      <c r="AC26" s="18">
        <v>0.0</v>
      </c>
      <c r="AE26" s="16"/>
      <c r="AF26" s="17">
        <v>29.0</v>
      </c>
      <c r="AG26" s="18">
        <v>0.0</v>
      </c>
      <c r="AH26" s="18">
        <v>0.0</v>
      </c>
      <c r="AI26" s="18">
        <v>0.0</v>
      </c>
      <c r="AJ26" s="18">
        <v>1.0</v>
      </c>
      <c r="AK26" s="18">
        <v>0.0</v>
      </c>
      <c r="AL26" s="18">
        <v>1.0</v>
      </c>
      <c r="AM26" s="18">
        <v>0.0</v>
      </c>
    </row>
    <row r="27" ht="14.25" customHeight="1">
      <c r="A27" s="16"/>
      <c r="B27" s="17">
        <v>36.0</v>
      </c>
      <c r="C27" s="18">
        <v>0.0</v>
      </c>
      <c r="D27" s="18">
        <v>0.0</v>
      </c>
      <c r="E27" s="18">
        <v>1.0</v>
      </c>
      <c r="F27" s="18">
        <v>0.0</v>
      </c>
      <c r="G27" s="18">
        <v>1.0</v>
      </c>
      <c r="H27" s="18">
        <v>0.0</v>
      </c>
      <c r="I27" s="18">
        <v>1.0</v>
      </c>
      <c r="K27" s="16"/>
      <c r="L27" s="17">
        <v>36.0</v>
      </c>
      <c r="M27" s="18">
        <v>1.0</v>
      </c>
      <c r="N27" s="18">
        <v>0.0</v>
      </c>
      <c r="O27" s="18">
        <v>1.0</v>
      </c>
      <c r="P27" s="18">
        <v>0.0</v>
      </c>
      <c r="Q27" s="18">
        <v>1.0</v>
      </c>
      <c r="R27" s="18">
        <v>0.0</v>
      </c>
      <c r="S27" s="18">
        <v>1.0</v>
      </c>
      <c r="U27" s="16"/>
      <c r="V27" s="17">
        <v>36.0</v>
      </c>
      <c r="W27" s="18">
        <v>1.0</v>
      </c>
      <c r="X27" s="18">
        <v>0.0</v>
      </c>
      <c r="Y27" s="18">
        <v>1.0</v>
      </c>
      <c r="Z27" s="18">
        <v>0.0</v>
      </c>
      <c r="AA27" s="18">
        <v>1.0</v>
      </c>
      <c r="AB27" s="18">
        <v>0.0</v>
      </c>
      <c r="AC27" s="18">
        <v>1.0</v>
      </c>
      <c r="AE27" s="16"/>
      <c r="AF27" s="17">
        <v>36.0</v>
      </c>
      <c r="AG27" s="18">
        <v>1.0</v>
      </c>
      <c r="AH27" s="18">
        <v>0.0</v>
      </c>
      <c r="AI27" s="18">
        <v>1.0</v>
      </c>
      <c r="AJ27" s="18">
        <v>0.0</v>
      </c>
      <c r="AK27" s="18">
        <v>1.0</v>
      </c>
      <c r="AL27" s="18">
        <v>0.0</v>
      </c>
      <c r="AM27" s="18">
        <v>1.0</v>
      </c>
    </row>
    <row r="28" ht="14.25" customHeight="1">
      <c r="A28" s="16"/>
      <c r="B28" s="17">
        <v>43.0</v>
      </c>
      <c r="C28" s="18">
        <v>0.0</v>
      </c>
      <c r="D28" s="18">
        <v>1.0</v>
      </c>
      <c r="E28" s="18">
        <v>0.0</v>
      </c>
      <c r="F28" s="18">
        <v>1.0</v>
      </c>
      <c r="G28" s="18">
        <v>0.0</v>
      </c>
      <c r="H28" s="18">
        <v>1.0</v>
      </c>
      <c r="I28" s="18">
        <v>0.0</v>
      </c>
      <c r="K28" s="16"/>
      <c r="L28" s="17">
        <v>43.0</v>
      </c>
      <c r="M28" s="18">
        <v>0.0</v>
      </c>
      <c r="N28" s="18">
        <v>1.0</v>
      </c>
      <c r="O28" s="18">
        <v>0.0</v>
      </c>
      <c r="P28" s="18">
        <v>1.0</v>
      </c>
      <c r="Q28" s="18">
        <v>0.0</v>
      </c>
      <c r="R28" s="18">
        <v>1.0</v>
      </c>
      <c r="S28" s="18">
        <v>1.0</v>
      </c>
      <c r="U28" s="16"/>
      <c r="V28" s="17">
        <v>43.0</v>
      </c>
      <c r="W28" s="18">
        <v>0.0</v>
      </c>
      <c r="X28" s="18">
        <v>1.0</v>
      </c>
      <c r="Y28" s="18">
        <v>0.0</v>
      </c>
      <c r="Z28" s="18">
        <v>1.0</v>
      </c>
      <c r="AA28" s="18">
        <v>1.0</v>
      </c>
      <c r="AB28" s="18">
        <v>0.0</v>
      </c>
      <c r="AC28" s="18">
        <v>0.0</v>
      </c>
      <c r="AE28" s="16"/>
      <c r="AF28" s="17">
        <v>43.0</v>
      </c>
      <c r="AG28" s="18">
        <v>0.0</v>
      </c>
      <c r="AH28" s="18">
        <v>1.0</v>
      </c>
      <c r="AI28" s="18">
        <v>1.0</v>
      </c>
      <c r="AJ28" s="18">
        <v>0.0</v>
      </c>
      <c r="AK28" s="18">
        <v>0.0</v>
      </c>
      <c r="AL28" s="18">
        <v>1.0</v>
      </c>
      <c r="AM28" s="18">
        <v>1.0</v>
      </c>
    </row>
    <row r="29" ht="14.25" customHeight="1">
      <c r="A29" s="16"/>
      <c r="B29" s="17">
        <v>50.0</v>
      </c>
      <c r="C29" s="18">
        <v>1.0</v>
      </c>
      <c r="D29" s="18">
        <v>1.0</v>
      </c>
      <c r="E29" s="18">
        <v>0.0</v>
      </c>
      <c r="F29" s="18">
        <v>0.0</v>
      </c>
      <c r="G29" s="18">
        <v>1.0</v>
      </c>
      <c r="H29" s="18">
        <v>1.0</v>
      </c>
      <c r="I29" s="18">
        <v>0.0</v>
      </c>
      <c r="K29" s="16"/>
      <c r="L29" s="17">
        <v>50.0</v>
      </c>
      <c r="M29" s="18">
        <v>0.0</v>
      </c>
      <c r="N29" s="18">
        <v>0.0</v>
      </c>
      <c r="O29" s="18">
        <v>1.0</v>
      </c>
      <c r="P29" s="18">
        <v>1.0</v>
      </c>
      <c r="Q29" s="18">
        <v>0.0</v>
      </c>
      <c r="R29" s="18">
        <v>0.0</v>
      </c>
      <c r="S29" s="18">
        <v>1.0</v>
      </c>
      <c r="U29" s="16"/>
      <c r="V29" s="17">
        <v>50.0</v>
      </c>
      <c r="W29" s="18">
        <v>1.0</v>
      </c>
      <c r="X29" s="18">
        <v>1.0</v>
      </c>
      <c r="Y29" s="18">
        <v>0.0</v>
      </c>
      <c r="Z29" s="18">
        <v>0.0</v>
      </c>
      <c r="AA29" s="18">
        <v>1.0</v>
      </c>
      <c r="AB29" s="18">
        <v>1.0</v>
      </c>
      <c r="AC29" s="18">
        <v>1.0</v>
      </c>
      <c r="AE29" s="16"/>
      <c r="AF29" s="17">
        <v>50.0</v>
      </c>
      <c r="AG29" s="18">
        <v>0.0</v>
      </c>
      <c r="AH29" s="18">
        <v>0.0</v>
      </c>
      <c r="AI29" s="18">
        <v>1.0</v>
      </c>
      <c r="AJ29" s="18">
        <v>1.0</v>
      </c>
      <c r="AK29" s="18">
        <v>1.0</v>
      </c>
      <c r="AL29" s="18">
        <v>1.0</v>
      </c>
      <c r="AM29" s="18">
        <v>0.0</v>
      </c>
    </row>
    <row r="30" ht="14.25" customHeight="1"/>
    <row r="31" ht="14.25" customHeight="1">
      <c r="A31" s="16" t="s">
        <v>61</v>
      </c>
      <c r="B31" s="17" t="s">
        <v>49</v>
      </c>
      <c r="C31" s="17">
        <v>1.0</v>
      </c>
      <c r="D31" s="17">
        <v>2.0</v>
      </c>
      <c r="E31" s="17">
        <v>3.0</v>
      </c>
      <c r="F31" s="17">
        <v>4.0</v>
      </c>
      <c r="G31" s="17">
        <v>5.0</v>
      </c>
      <c r="H31" s="17">
        <v>6.0</v>
      </c>
      <c r="I31" s="17">
        <v>7.0</v>
      </c>
      <c r="K31" s="16" t="s">
        <v>62</v>
      </c>
      <c r="L31" s="17" t="s">
        <v>49</v>
      </c>
      <c r="M31" s="17">
        <v>1.0</v>
      </c>
      <c r="N31" s="17">
        <v>2.0</v>
      </c>
      <c r="O31" s="17">
        <v>3.0</v>
      </c>
      <c r="P31" s="17">
        <v>4.0</v>
      </c>
      <c r="Q31" s="17">
        <v>5.0</v>
      </c>
      <c r="R31" s="17">
        <v>6.0</v>
      </c>
      <c r="S31" s="17">
        <v>7.0</v>
      </c>
      <c r="U31" s="16" t="s">
        <v>63</v>
      </c>
      <c r="V31" s="17" t="s">
        <v>49</v>
      </c>
      <c r="W31" s="17">
        <v>1.0</v>
      </c>
      <c r="X31" s="17">
        <v>2.0</v>
      </c>
      <c r="Y31" s="17">
        <v>3.0</v>
      </c>
      <c r="Z31" s="17">
        <v>4.0</v>
      </c>
      <c r="AA31" s="17">
        <v>5.0</v>
      </c>
      <c r="AB31" s="17">
        <v>6.0</v>
      </c>
      <c r="AC31" s="17">
        <v>7.0</v>
      </c>
      <c r="AE31" s="16" t="s">
        <v>64</v>
      </c>
      <c r="AF31" s="17" t="s">
        <v>49</v>
      </c>
      <c r="AG31" s="17">
        <v>1.0</v>
      </c>
      <c r="AH31" s="17">
        <v>2.0</v>
      </c>
      <c r="AI31" s="17">
        <v>3.0</v>
      </c>
      <c r="AJ31" s="17">
        <v>4.0</v>
      </c>
      <c r="AK31" s="17">
        <v>5.0</v>
      </c>
      <c r="AL31" s="17">
        <v>6.0</v>
      </c>
      <c r="AM31" s="17">
        <v>7.0</v>
      </c>
    </row>
    <row r="32" ht="14.25" customHeight="1">
      <c r="A32" s="16"/>
      <c r="B32" s="17"/>
      <c r="C32" s="18">
        <v>0.0</v>
      </c>
      <c r="D32" s="18">
        <v>1.0</v>
      </c>
      <c r="E32" s="18">
        <v>0.0</v>
      </c>
      <c r="F32" s="18">
        <v>1.0</v>
      </c>
      <c r="G32" s="18">
        <v>1.0</v>
      </c>
      <c r="H32" s="18">
        <v>1.0</v>
      </c>
      <c r="I32" s="18">
        <v>1.0</v>
      </c>
      <c r="K32" s="16"/>
      <c r="L32" s="17"/>
      <c r="M32" s="18">
        <v>0.0</v>
      </c>
      <c r="N32" s="18">
        <v>1.0</v>
      </c>
      <c r="O32" s="18">
        <v>1.0</v>
      </c>
      <c r="P32" s="18">
        <v>1.0</v>
      </c>
      <c r="Q32" s="18">
        <v>1.0</v>
      </c>
      <c r="R32" s="18">
        <v>1.0</v>
      </c>
      <c r="S32" s="18">
        <v>1.0</v>
      </c>
      <c r="U32" s="16"/>
      <c r="V32" s="17"/>
      <c r="W32" s="18">
        <v>1.0</v>
      </c>
      <c r="X32" s="18">
        <v>1.0</v>
      </c>
      <c r="Y32" s="18">
        <v>1.0</v>
      </c>
      <c r="Z32" s="18">
        <v>1.0</v>
      </c>
      <c r="AA32" s="18">
        <v>1.0</v>
      </c>
      <c r="AB32" s="18">
        <v>0.0</v>
      </c>
      <c r="AC32" s="18">
        <v>0.0</v>
      </c>
      <c r="AE32" s="16"/>
      <c r="AF32" s="17"/>
      <c r="AG32" s="18">
        <v>1.0</v>
      </c>
      <c r="AH32" s="18">
        <v>1.0</v>
      </c>
      <c r="AI32" s="18">
        <v>1.0</v>
      </c>
      <c r="AJ32" s="18">
        <v>1.0</v>
      </c>
      <c r="AK32" s="18">
        <v>0.0</v>
      </c>
      <c r="AL32" s="18">
        <v>0.0</v>
      </c>
      <c r="AM32" s="18">
        <v>0.0</v>
      </c>
    </row>
    <row r="33" ht="14.25" customHeight="1">
      <c r="A33" s="16"/>
      <c r="B33" s="17">
        <v>8.0</v>
      </c>
      <c r="C33" s="18">
        <v>1.0</v>
      </c>
      <c r="D33" s="18">
        <v>1.0</v>
      </c>
      <c r="E33" s="18">
        <v>0.0</v>
      </c>
      <c r="F33" s="18">
        <v>0.0</v>
      </c>
      <c r="G33" s="18">
        <v>0.0</v>
      </c>
      <c r="H33" s="18">
        <v>0.0</v>
      </c>
      <c r="I33" s="18">
        <v>1.0</v>
      </c>
      <c r="K33" s="16"/>
      <c r="L33" s="17">
        <v>8.0</v>
      </c>
      <c r="M33" s="18">
        <v>0.0</v>
      </c>
      <c r="N33" s="18">
        <v>0.0</v>
      </c>
      <c r="O33" s="18">
        <v>0.0</v>
      </c>
      <c r="P33" s="18">
        <v>0.0</v>
      </c>
      <c r="Q33" s="18">
        <v>1.0</v>
      </c>
      <c r="R33" s="18">
        <v>1.0</v>
      </c>
      <c r="S33" s="18">
        <v>0.0</v>
      </c>
      <c r="U33" s="16"/>
      <c r="V33" s="17">
        <v>8.0</v>
      </c>
      <c r="W33" s="18">
        <v>0.0</v>
      </c>
      <c r="X33" s="18">
        <v>0.0</v>
      </c>
      <c r="Y33" s="18">
        <v>1.0</v>
      </c>
      <c r="Z33" s="18">
        <v>1.0</v>
      </c>
      <c r="AA33" s="18">
        <v>0.0</v>
      </c>
      <c r="AB33" s="18">
        <v>0.0</v>
      </c>
      <c r="AC33" s="18">
        <v>1.0</v>
      </c>
      <c r="AE33" s="16"/>
      <c r="AF33" s="17">
        <v>8.0</v>
      </c>
      <c r="AG33" s="18">
        <v>0.0</v>
      </c>
      <c r="AH33" s="18">
        <v>1.0</v>
      </c>
      <c r="AI33" s="18">
        <v>1.0</v>
      </c>
      <c r="AJ33" s="18">
        <v>0.0</v>
      </c>
      <c r="AK33" s="18">
        <v>0.0</v>
      </c>
      <c r="AL33" s="18">
        <v>1.0</v>
      </c>
      <c r="AM33" s="18">
        <v>1.0</v>
      </c>
    </row>
    <row r="34" ht="14.25" customHeight="1">
      <c r="A34" s="16"/>
      <c r="B34" s="17">
        <v>15.0</v>
      </c>
      <c r="C34" s="18">
        <v>1.0</v>
      </c>
      <c r="D34" s="18">
        <v>0.0</v>
      </c>
      <c r="E34" s="18">
        <v>0.0</v>
      </c>
      <c r="F34" s="18">
        <v>1.0</v>
      </c>
      <c r="G34" s="18">
        <v>1.0</v>
      </c>
      <c r="H34" s="18">
        <v>0.0</v>
      </c>
      <c r="I34" s="18">
        <v>0.0</v>
      </c>
      <c r="K34" s="16"/>
      <c r="L34" s="17">
        <v>15.0</v>
      </c>
      <c r="M34" s="18">
        <v>0.0</v>
      </c>
      <c r="N34" s="18">
        <v>1.0</v>
      </c>
      <c r="O34" s="18">
        <v>1.0</v>
      </c>
      <c r="P34" s="18">
        <v>0.0</v>
      </c>
      <c r="Q34" s="18">
        <v>0.0</v>
      </c>
      <c r="R34" s="18">
        <v>1.0</v>
      </c>
      <c r="S34" s="18">
        <v>0.0</v>
      </c>
      <c r="U34" s="16"/>
      <c r="V34" s="17">
        <v>15.0</v>
      </c>
      <c r="W34" s="18">
        <v>1.0</v>
      </c>
      <c r="X34" s="18">
        <v>0.0</v>
      </c>
      <c r="Y34" s="18">
        <v>0.0</v>
      </c>
      <c r="Z34" s="18">
        <v>1.0</v>
      </c>
      <c r="AA34" s="18">
        <v>0.0</v>
      </c>
      <c r="AB34" s="18">
        <v>1.0</v>
      </c>
      <c r="AC34" s="18">
        <v>0.0</v>
      </c>
      <c r="AE34" s="16"/>
      <c r="AF34" s="17">
        <v>15.0</v>
      </c>
      <c r="AG34" s="18">
        <v>0.0</v>
      </c>
      <c r="AH34" s="18">
        <v>0.0</v>
      </c>
      <c r="AI34" s="18">
        <v>1.0</v>
      </c>
      <c r="AJ34" s="18">
        <v>0.0</v>
      </c>
      <c r="AK34" s="18">
        <v>1.0</v>
      </c>
      <c r="AL34" s="18">
        <v>0.0</v>
      </c>
      <c r="AM34" s="18">
        <v>1.0</v>
      </c>
    </row>
    <row r="35" ht="14.25" customHeight="1">
      <c r="A35" s="16"/>
      <c r="B35" s="17">
        <v>22.0</v>
      </c>
      <c r="C35" s="18">
        <v>1.0</v>
      </c>
      <c r="D35" s="18">
        <v>0.0</v>
      </c>
      <c r="E35" s="18">
        <v>1.0</v>
      </c>
      <c r="F35" s="18">
        <v>0.0</v>
      </c>
      <c r="G35" s="18">
        <v>1.0</v>
      </c>
      <c r="H35" s="18">
        <v>0.0</v>
      </c>
      <c r="I35" s="18">
        <v>1.0</v>
      </c>
      <c r="K35" s="16"/>
      <c r="L35" s="17">
        <v>22.0</v>
      </c>
      <c r="M35" s="18">
        <v>1.0</v>
      </c>
      <c r="N35" s="18">
        <v>0.0</v>
      </c>
      <c r="O35" s="18">
        <v>1.0</v>
      </c>
      <c r="P35" s="18">
        <v>0.0</v>
      </c>
      <c r="Q35" s="18">
        <v>1.0</v>
      </c>
      <c r="R35" s="18">
        <v>0.0</v>
      </c>
      <c r="S35" s="18">
        <v>1.0</v>
      </c>
      <c r="U35" s="16"/>
      <c r="V35" s="17">
        <v>22.0</v>
      </c>
      <c r="W35" s="18">
        <v>1.0</v>
      </c>
      <c r="X35" s="18">
        <v>0.0</v>
      </c>
      <c r="Y35" s="18">
        <v>1.0</v>
      </c>
      <c r="Z35" s="18">
        <v>0.0</v>
      </c>
      <c r="AA35" s="18">
        <v>1.0</v>
      </c>
      <c r="AB35" s="18">
        <v>0.0</v>
      </c>
      <c r="AC35" s="18">
        <v>1.0</v>
      </c>
      <c r="AE35" s="16"/>
      <c r="AF35" s="17">
        <v>22.0</v>
      </c>
      <c r="AG35" s="18">
        <v>0.0</v>
      </c>
      <c r="AH35" s="18">
        <v>1.0</v>
      </c>
      <c r="AI35" s="18">
        <v>0.0</v>
      </c>
      <c r="AJ35" s="18">
        <v>1.0</v>
      </c>
      <c r="AK35" s="18">
        <v>0.0</v>
      </c>
      <c r="AL35" s="18">
        <v>1.0</v>
      </c>
      <c r="AM35" s="18">
        <v>1.0</v>
      </c>
    </row>
    <row r="36" ht="14.25" customHeight="1">
      <c r="A36" s="16"/>
      <c r="B36" s="17">
        <v>29.0</v>
      </c>
      <c r="C36" s="18">
        <v>0.0</v>
      </c>
      <c r="D36" s="18">
        <v>1.0</v>
      </c>
      <c r="E36" s="18">
        <v>0.0</v>
      </c>
      <c r="F36" s="18">
        <v>1.0</v>
      </c>
      <c r="G36" s="18">
        <v>0.0</v>
      </c>
      <c r="H36" s="18">
        <v>1.0</v>
      </c>
      <c r="I36" s="18">
        <v>0.0</v>
      </c>
      <c r="K36" s="16"/>
      <c r="L36" s="17">
        <v>29.0</v>
      </c>
      <c r="M36" s="18">
        <v>0.0</v>
      </c>
      <c r="N36" s="18">
        <v>1.0</v>
      </c>
      <c r="O36" s="18">
        <v>0.0</v>
      </c>
      <c r="P36" s="18">
        <v>1.0</v>
      </c>
      <c r="Q36" s="18">
        <v>0.0</v>
      </c>
      <c r="R36" s="18">
        <v>1.0</v>
      </c>
      <c r="S36" s="18">
        <v>0.0</v>
      </c>
      <c r="U36" s="16"/>
      <c r="V36" s="17">
        <v>29.0</v>
      </c>
      <c r="W36" s="18">
        <v>0.0</v>
      </c>
      <c r="X36" s="18">
        <v>1.0</v>
      </c>
      <c r="Y36" s="18">
        <v>0.0</v>
      </c>
      <c r="Z36" s="18">
        <v>1.0</v>
      </c>
      <c r="AA36" s="18">
        <v>0.0</v>
      </c>
      <c r="AB36" s="18">
        <v>1.0</v>
      </c>
      <c r="AC36" s="18">
        <v>0.0</v>
      </c>
      <c r="AE36" s="16"/>
      <c r="AF36" s="17">
        <v>29.0</v>
      </c>
      <c r="AG36" s="18">
        <v>1.0</v>
      </c>
      <c r="AH36" s="18">
        <v>0.0</v>
      </c>
      <c r="AI36" s="18">
        <v>1.0</v>
      </c>
      <c r="AJ36" s="18">
        <v>0.0</v>
      </c>
      <c r="AK36" s="18">
        <v>1.0</v>
      </c>
      <c r="AL36" s="18">
        <v>0.0</v>
      </c>
      <c r="AM36" s="18">
        <v>1.0</v>
      </c>
    </row>
    <row r="37" ht="14.25" customHeight="1">
      <c r="A37" s="16"/>
      <c r="B37" s="17">
        <v>36.0</v>
      </c>
      <c r="C37" s="18">
        <v>1.0</v>
      </c>
      <c r="D37" s="18">
        <v>0.0</v>
      </c>
      <c r="E37" s="18">
        <v>1.0</v>
      </c>
      <c r="F37" s="18">
        <v>0.0</v>
      </c>
      <c r="G37" s="18">
        <v>1.0</v>
      </c>
      <c r="H37" s="18">
        <v>0.0</v>
      </c>
      <c r="I37" s="18">
        <v>1.0</v>
      </c>
      <c r="K37" s="16"/>
      <c r="L37" s="17">
        <v>36.0</v>
      </c>
      <c r="M37" s="18">
        <v>1.0</v>
      </c>
      <c r="N37" s="18">
        <v>0.0</v>
      </c>
      <c r="O37" s="18">
        <v>1.0</v>
      </c>
      <c r="P37" s="18">
        <v>0.0</v>
      </c>
      <c r="Q37" s="18">
        <v>1.0</v>
      </c>
      <c r="R37" s="18">
        <v>1.0</v>
      </c>
      <c r="S37" s="18">
        <v>0.0</v>
      </c>
      <c r="U37" s="16"/>
      <c r="V37" s="17">
        <v>36.0</v>
      </c>
      <c r="W37" s="18">
        <v>1.0</v>
      </c>
      <c r="X37" s="18">
        <v>0.0</v>
      </c>
      <c r="Y37" s="18">
        <v>1.0</v>
      </c>
      <c r="Z37" s="18">
        <v>1.0</v>
      </c>
      <c r="AA37" s="18">
        <v>0.0</v>
      </c>
      <c r="AB37" s="18">
        <v>0.0</v>
      </c>
      <c r="AC37" s="18">
        <v>1.0</v>
      </c>
      <c r="AE37" s="16"/>
      <c r="AF37" s="17">
        <v>36.0</v>
      </c>
      <c r="AG37" s="18">
        <v>0.0</v>
      </c>
      <c r="AH37" s="18">
        <v>1.0</v>
      </c>
      <c r="AI37" s="18">
        <v>1.0</v>
      </c>
      <c r="AJ37" s="18">
        <v>0.0</v>
      </c>
      <c r="AK37" s="18">
        <v>0.0</v>
      </c>
      <c r="AL37" s="18">
        <v>1.0</v>
      </c>
      <c r="AM37" s="18">
        <v>1.0</v>
      </c>
    </row>
    <row r="38" ht="14.25" customHeight="1">
      <c r="A38" s="16"/>
      <c r="B38" s="17">
        <v>43.0</v>
      </c>
      <c r="C38" s="18">
        <v>1.0</v>
      </c>
      <c r="D38" s="18">
        <v>0.0</v>
      </c>
      <c r="E38" s="18">
        <v>0.0</v>
      </c>
      <c r="F38" s="18">
        <v>1.0</v>
      </c>
      <c r="G38" s="18">
        <v>1.0</v>
      </c>
      <c r="H38" s="18">
        <v>0.0</v>
      </c>
      <c r="I38" s="18">
        <v>0.0</v>
      </c>
      <c r="K38" s="16"/>
      <c r="L38" s="17">
        <v>43.0</v>
      </c>
      <c r="M38" s="18">
        <v>0.0</v>
      </c>
      <c r="N38" s="18">
        <v>1.0</v>
      </c>
      <c r="O38" s="18">
        <v>1.0</v>
      </c>
      <c r="P38" s="18">
        <v>0.0</v>
      </c>
      <c r="Q38" s="18">
        <v>0.0</v>
      </c>
      <c r="R38" s="18">
        <v>1.0</v>
      </c>
      <c r="S38" s="18">
        <v>1.0</v>
      </c>
      <c r="U38" s="16"/>
      <c r="V38" s="17">
        <v>43.0</v>
      </c>
      <c r="W38" s="18">
        <v>1.0</v>
      </c>
      <c r="X38" s="18">
        <v>0.0</v>
      </c>
      <c r="Y38" s="18">
        <v>0.0</v>
      </c>
      <c r="Z38" s="18">
        <v>1.0</v>
      </c>
      <c r="AA38" s="18">
        <v>1.0</v>
      </c>
      <c r="AB38" s="18">
        <v>1.0</v>
      </c>
      <c r="AC38" s="18">
        <v>1.0</v>
      </c>
      <c r="AE38" s="16"/>
      <c r="AF38" s="17">
        <v>43.0</v>
      </c>
      <c r="AG38" s="18">
        <v>0.0</v>
      </c>
      <c r="AH38" s="18">
        <v>0.0</v>
      </c>
      <c r="AI38" s="18">
        <v>1.0</v>
      </c>
      <c r="AJ38" s="18">
        <v>1.0</v>
      </c>
      <c r="AK38" s="18">
        <v>1.0</v>
      </c>
      <c r="AL38" s="18">
        <v>1.0</v>
      </c>
      <c r="AM38" s="18">
        <v>0.0</v>
      </c>
    </row>
    <row r="39" ht="14.25" customHeight="1">
      <c r="A39" s="16"/>
      <c r="B39" s="17">
        <v>50.0</v>
      </c>
      <c r="C39" s="18">
        <v>1.0</v>
      </c>
      <c r="D39" s="18">
        <v>1.0</v>
      </c>
      <c r="E39" s="18">
        <v>1.0</v>
      </c>
      <c r="F39" s="18">
        <v>1.0</v>
      </c>
      <c r="G39" s="18">
        <v>0.0</v>
      </c>
      <c r="H39" s="18">
        <v>0.0</v>
      </c>
      <c r="I39" s="18">
        <v>0.0</v>
      </c>
      <c r="K39" s="16"/>
      <c r="L39" s="17">
        <v>50.0</v>
      </c>
      <c r="M39" s="18">
        <v>1.0</v>
      </c>
      <c r="N39" s="18">
        <v>1.0</v>
      </c>
      <c r="O39" s="18">
        <v>0.0</v>
      </c>
      <c r="P39" s="18">
        <v>0.0</v>
      </c>
      <c r="Q39" s="18">
        <v>0.0</v>
      </c>
      <c r="R39" s="18">
        <v>0.0</v>
      </c>
      <c r="S39" s="18">
        <v>1.0</v>
      </c>
      <c r="U39" s="16"/>
      <c r="V39" s="17">
        <v>50.0</v>
      </c>
      <c r="W39" s="18">
        <v>0.0</v>
      </c>
      <c r="X39" s="18">
        <v>0.0</v>
      </c>
      <c r="Y39" s="18">
        <v>0.0</v>
      </c>
      <c r="Z39" s="18">
        <v>0.0</v>
      </c>
      <c r="AA39" s="18">
        <v>1.0</v>
      </c>
      <c r="AB39" s="18">
        <v>0.0</v>
      </c>
      <c r="AC39" s="18">
        <v>1.0</v>
      </c>
      <c r="AE39" s="16"/>
      <c r="AF39" s="17">
        <v>50.0</v>
      </c>
      <c r="AG39" s="18">
        <v>0.0</v>
      </c>
      <c r="AH39" s="18">
        <v>0.0</v>
      </c>
      <c r="AI39" s="18">
        <v>0.0</v>
      </c>
      <c r="AJ39" s="18">
        <v>1.0</v>
      </c>
      <c r="AK39" s="18">
        <v>0.0</v>
      </c>
      <c r="AL39" s="18">
        <v>1.0</v>
      </c>
      <c r="AM39" s="18">
        <v>0.0</v>
      </c>
    </row>
    <row r="40" ht="14.25" customHeight="1"/>
    <row r="41" ht="14.25" customHeight="1"/>
    <row r="42" ht="14.25" customHeight="1">
      <c r="A42" s="4" t="s">
        <v>65</v>
      </c>
    </row>
    <row r="43" ht="14.25" customHeight="1"/>
    <row r="44" ht="14.25" customHeight="1">
      <c r="C44" s="19">
        <v>14.0</v>
      </c>
      <c r="D44" s="19">
        <v>17.0</v>
      </c>
      <c r="E44" s="19">
        <v>11.0</v>
      </c>
      <c r="F44" s="19">
        <v>24.0</v>
      </c>
      <c r="G44" s="19">
        <v>1.0</v>
      </c>
      <c r="H44" s="19">
        <v>5.0</v>
      </c>
    </row>
    <row r="45" ht="14.25" customHeight="1">
      <c r="C45" s="19">
        <v>3.0</v>
      </c>
      <c r="D45" s="19">
        <v>28.0</v>
      </c>
      <c r="E45" s="19">
        <v>15.0</v>
      </c>
      <c r="F45" s="19">
        <v>6.0</v>
      </c>
      <c r="G45" s="19">
        <v>21.0</v>
      </c>
      <c r="H45" s="19">
        <v>10.0</v>
      </c>
    </row>
    <row r="46" ht="14.25" customHeight="1">
      <c r="C46" s="19">
        <v>23.0</v>
      </c>
      <c r="D46" s="19">
        <v>19.0</v>
      </c>
      <c r="E46" s="19">
        <v>12.0</v>
      </c>
      <c r="F46" s="19">
        <v>4.0</v>
      </c>
      <c r="G46" s="19">
        <v>26.0</v>
      </c>
      <c r="H46" s="19">
        <v>8.0</v>
      </c>
    </row>
    <row r="47" ht="14.25" customHeight="1">
      <c r="C47" s="19">
        <v>16.0</v>
      </c>
      <c r="D47" s="19">
        <v>7.0</v>
      </c>
      <c r="E47" s="19">
        <v>27.0</v>
      </c>
      <c r="F47" s="19">
        <v>20.0</v>
      </c>
      <c r="G47" s="19">
        <v>13.0</v>
      </c>
      <c r="H47" s="19">
        <v>2.0</v>
      </c>
    </row>
    <row r="48" ht="14.25" customHeight="1">
      <c r="C48" s="19">
        <v>41.0</v>
      </c>
      <c r="D48" s="19">
        <v>52.0</v>
      </c>
      <c r="E48" s="19">
        <v>31.0</v>
      </c>
      <c r="F48" s="19">
        <v>37.0</v>
      </c>
      <c r="G48" s="19">
        <v>47.0</v>
      </c>
      <c r="H48" s="19">
        <v>55.0</v>
      </c>
    </row>
    <row r="49" ht="14.25" customHeight="1">
      <c r="C49" s="19">
        <v>30.0</v>
      </c>
      <c r="D49" s="19">
        <v>40.0</v>
      </c>
      <c r="E49" s="19">
        <v>51.0</v>
      </c>
      <c r="F49" s="19">
        <v>45.0</v>
      </c>
      <c r="G49" s="19">
        <v>33.0</v>
      </c>
      <c r="H49" s="19">
        <v>48.0</v>
      </c>
    </row>
    <row r="50" ht="14.25" customHeight="1">
      <c r="C50" s="19">
        <v>44.0</v>
      </c>
      <c r="D50" s="19">
        <v>49.0</v>
      </c>
      <c r="E50" s="19">
        <v>39.0</v>
      </c>
      <c r="F50" s="19">
        <v>56.0</v>
      </c>
      <c r="G50" s="19">
        <v>34.0</v>
      </c>
      <c r="H50" s="19">
        <v>53.0</v>
      </c>
    </row>
    <row r="51" ht="14.25" customHeight="1">
      <c r="C51" s="19">
        <v>46.0</v>
      </c>
      <c r="D51" s="19">
        <v>42.0</v>
      </c>
      <c r="E51" s="19">
        <v>50.0</v>
      </c>
      <c r="F51" s="19">
        <v>36.0</v>
      </c>
      <c r="G51" s="19">
        <v>29.0</v>
      </c>
      <c r="H51" s="19">
        <v>32.0</v>
      </c>
    </row>
    <row r="52" ht="14.25" customHeight="1"/>
    <row r="53" ht="14.25" customHeight="1">
      <c r="A53" s="20" t="s">
        <v>66</v>
      </c>
      <c r="B53" s="21" t="s">
        <v>30</v>
      </c>
      <c r="C53" s="22">
        <v>1.0</v>
      </c>
      <c r="D53" s="22">
        <v>2.0</v>
      </c>
      <c r="E53" s="22">
        <v>3.0</v>
      </c>
      <c r="F53" s="22">
        <v>4.0</v>
      </c>
      <c r="G53" s="22">
        <v>5.0</v>
      </c>
      <c r="H53" s="22">
        <v>6.0</v>
      </c>
      <c r="I53" s="23"/>
      <c r="J53" s="20" t="s">
        <v>67</v>
      </c>
      <c r="K53" s="21" t="s">
        <v>30</v>
      </c>
      <c r="L53" s="22">
        <v>1.0</v>
      </c>
      <c r="M53" s="22">
        <v>2.0</v>
      </c>
      <c r="N53" s="22">
        <v>3.0</v>
      </c>
      <c r="O53" s="22">
        <v>4.0</v>
      </c>
      <c r="P53" s="22">
        <v>5.0</v>
      </c>
      <c r="Q53" s="22">
        <v>6.0</v>
      </c>
      <c r="R53" s="23"/>
      <c r="S53" s="20" t="s">
        <v>68</v>
      </c>
      <c r="T53" s="21" t="s">
        <v>30</v>
      </c>
      <c r="U53" s="22">
        <v>1.0</v>
      </c>
      <c r="V53" s="22">
        <v>2.0</v>
      </c>
      <c r="W53" s="22">
        <v>3.0</v>
      </c>
      <c r="X53" s="22">
        <v>4.0</v>
      </c>
      <c r="Y53" s="22">
        <v>5.0</v>
      </c>
      <c r="Z53" s="22">
        <v>6.0</v>
      </c>
      <c r="AA53" s="23"/>
      <c r="AB53" s="20" t="s">
        <v>69</v>
      </c>
      <c r="AC53" s="21" t="s">
        <v>30</v>
      </c>
      <c r="AD53" s="22">
        <v>1.0</v>
      </c>
      <c r="AE53" s="22">
        <v>2.0</v>
      </c>
      <c r="AF53" s="22">
        <v>3.0</v>
      </c>
      <c r="AG53" s="22">
        <v>4.0</v>
      </c>
      <c r="AH53" s="22">
        <v>5.0</v>
      </c>
      <c r="AI53" s="22">
        <v>6.0</v>
      </c>
      <c r="AK53" s="24" t="s">
        <v>70</v>
      </c>
      <c r="AL53" s="24"/>
      <c r="AM53" s="24"/>
      <c r="AN53" s="24"/>
      <c r="AO53" s="24"/>
      <c r="AP53" s="24"/>
    </row>
    <row r="54" ht="14.25" customHeight="1">
      <c r="A54" s="25"/>
      <c r="B54" s="26"/>
      <c r="C54" s="27">
        <v>0.0</v>
      </c>
      <c r="D54" s="27">
        <v>0.0</v>
      </c>
      <c r="E54" s="27">
        <v>0.0</v>
      </c>
      <c r="F54" s="27">
        <v>1.0</v>
      </c>
      <c r="G54" s="27">
        <v>1.0</v>
      </c>
      <c r="H54" s="27">
        <v>0.0</v>
      </c>
      <c r="I54" s="23"/>
      <c r="J54" s="25"/>
      <c r="K54" s="26"/>
      <c r="L54" s="27">
        <v>0.0</v>
      </c>
      <c r="M54" s="27">
        <v>1.0</v>
      </c>
      <c r="N54" s="27">
        <v>1.0</v>
      </c>
      <c r="O54" s="27">
        <v>0.0</v>
      </c>
      <c r="P54" s="27">
        <v>1.0</v>
      </c>
      <c r="Q54" s="27">
        <v>0.0</v>
      </c>
      <c r="R54" s="23"/>
      <c r="S54" s="25"/>
      <c r="T54" s="26"/>
      <c r="U54" s="27">
        <v>0.0</v>
      </c>
      <c r="V54" s="27">
        <v>1.0</v>
      </c>
      <c r="W54" s="27">
        <v>0.0</v>
      </c>
      <c r="X54" s="27">
        <v>1.0</v>
      </c>
      <c r="Y54" s="27">
        <v>0.0</v>
      </c>
      <c r="Z54" s="27">
        <v>1.0</v>
      </c>
      <c r="AA54" s="23"/>
      <c r="AB54" s="25"/>
      <c r="AC54" s="26"/>
      <c r="AD54" s="27">
        <v>0.0</v>
      </c>
      <c r="AE54" s="27">
        <v>1.0</v>
      </c>
      <c r="AF54" s="27">
        <v>1.0</v>
      </c>
      <c r="AG54" s="27">
        <v>1.0</v>
      </c>
      <c r="AH54" s="27">
        <v>0.0</v>
      </c>
      <c r="AI54" s="27">
        <v>0.0</v>
      </c>
      <c r="AK54" s="24" t="s">
        <v>66</v>
      </c>
      <c r="AL54" s="24" t="str">
        <f>TEXTJOIN("",TRUE,khoaK1)</f>
        <v>000110110000001011101111110110110100100110100101</v>
      </c>
      <c r="AM54" s="24"/>
      <c r="AN54" s="24"/>
      <c r="AO54" s="24"/>
      <c r="AP54" s="24"/>
    </row>
    <row r="55" ht="14.25" customHeight="1">
      <c r="A55" s="25"/>
      <c r="B55" s="28">
        <v>7.0</v>
      </c>
      <c r="C55" s="27">
        <v>1.0</v>
      </c>
      <c r="D55" s="27">
        <v>1.0</v>
      </c>
      <c r="E55" s="27">
        <v>0.0</v>
      </c>
      <c r="F55" s="27">
        <v>0.0</v>
      </c>
      <c r="G55" s="27">
        <v>0.0</v>
      </c>
      <c r="H55" s="27">
        <v>0.0</v>
      </c>
      <c r="I55" s="23"/>
      <c r="J55" s="25"/>
      <c r="K55" s="28">
        <v>7.0</v>
      </c>
      <c r="L55" s="27">
        <v>0.0</v>
      </c>
      <c r="M55" s="27">
        <v>1.0</v>
      </c>
      <c r="N55" s="27">
        <v>1.0</v>
      </c>
      <c r="O55" s="27">
        <v>0.0</v>
      </c>
      <c r="P55" s="27">
        <v>1.0</v>
      </c>
      <c r="Q55" s="27">
        <v>0.0</v>
      </c>
      <c r="R55" s="23"/>
      <c r="S55" s="25"/>
      <c r="T55" s="28">
        <v>7.0</v>
      </c>
      <c r="U55" s="27">
        <v>0.0</v>
      </c>
      <c r="V55" s="27">
        <v>1.0</v>
      </c>
      <c r="W55" s="27">
        <v>1.0</v>
      </c>
      <c r="X55" s="27">
        <v>1.0</v>
      </c>
      <c r="Y55" s="27">
        <v>1.0</v>
      </c>
      <c r="Z55" s="27">
        <v>1.0</v>
      </c>
      <c r="AA55" s="23"/>
      <c r="AB55" s="25"/>
      <c r="AC55" s="28">
        <v>7.0</v>
      </c>
      <c r="AD55" s="27">
        <v>1.0</v>
      </c>
      <c r="AE55" s="27">
        <v>0.0</v>
      </c>
      <c r="AF55" s="27">
        <v>1.0</v>
      </c>
      <c r="AG55" s="27">
        <v>0.0</v>
      </c>
      <c r="AH55" s="27">
        <v>1.0</v>
      </c>
      <c r="AI55" s="27">
        <v>0.0</v>
      </c>
      <c r="AK55" s="24" t="s">
        <v>67</v>
      </c>
      <c r="AL55" s="24" t="str">
        <f>TEXTJOIN("",TRUE,khoaK2)</f>
        <v>011010011010111011011001001001011110101001100110</v>
      </c>
      <c r="AM55" s="24"/>
      <c r="AN55" s="24"/>
      <c r="AO55" s="24"/>
      <c r="AP55" s="24"/>
    </row>
    <row r="56" ht="14.25" customHeight="1">
      <c r="A56" s="25"/>
      <c r="B56" s="28">
        <v>13.0</v>
      </c>
      <c r="C56" s="27">
        <v>0.0</v>
      </c>
      <c r="D56" s="27">
        <v>0.0</v>
      </c>
      <c r="E56" s="27">
        <v>1.0</v>
      </c>
      <c r="F56" s="27">
        <v>0.0</v>
      </c>
      <c r="G56" s="27">
        <v>1.0</v>
      </c>
      <c r="H56" s="27">
        <v>1.0</v>
      </c>
      <c r="I56" s="23"/>
      <c r="J56" s="25"/>
      <c r="K56" s="28">
        <v>13.0</v>
      </c>
      <c r="L56" s="27">
        <v>1.0</v>
      </c>
      <c r="M56" s="27">
        <v>1.0</v>
      </c>
      <c r="N56" s="27">
        <v>1.0</v>
      </c>
      <c r="O56" s="27">
        <v>0.0</v>
      </c>
      <c r="P56" s="27">
        <v>1.0</v>
      </c>
      <c r="Q56" s="27">
        <v>1.0</v>
      </c>
      <c r="R56" s="23"/>
      <c r="S56" s="25"/>
      <c r="T56" s="28">
        <v>13.0</v>
      </c>
      <c r="U56" s="27">
        <v>1.0</v>
      </c>
      <c r="V56" s="27">
        <v>1.0</v>
      </c>
      <c r="W56" s="27">
        <v>0.0</v>
      </c>
      <c r="X56" s="27">
        <v>0.0</v>
      </c>
      <c r="Y56" s="27">
        <v>1.0</v>
      </c>
      <c r="Z56" s="27">
        <v>0.0</v>
      </c>
      <c r="AA56" s="23"/>
      <c r="AB56" s="25"/>
      <c r="AC56" s="28">
        <v>13.0</v>
      </c>
      <c r="AD56" s="27">
        <v>1.0</v>
      </c>
      <c r="AE56" s="27">
        <v>1.0</v>
      </c>
      <c r="AF56" s="27">
        <v>0.0</v>
      </c>
      <c r="AG56" s="27">
        <v>1.0</v>
      </c>
      <c r="AH56" s="27">
        <v>1.0</v>
      </c>
      <c r="AI56" s="27">
        <v>1.0</v>
      </c>
      <c r="AK56" s="24" t="s">
        <v>68</v>
      </c>
      <c r="AL56" s="24" t="str">
        <f>TEXTJOIN("",TRUE,khoaK3)</f>
        <v>010101011111110010001010101101001010110011010010</v>
      </c>
      <c r="AM56" s="24"/>
      <c r="AN56" s="24"/>
      <c r="AO56" s="24"/>
      <c r="AP56" s="24"/>
    </row>
    <row r="57" ht="14.25" customHeight="1">
      <c r="A57" s="25"/>
      <c r="B57" s="28">
        <v>19.0</v>
      </c>
      <c r="C57" s="27">
        <v>1.0</v>
      </c>
      <c r="D57" s="27">
        <v>0.0</v>
      </c>
      <c r="E57" s="27">
        <v>1.0</v>
      </c>
      <c r="F57" s="27">
        <v>1.0</v>
      </c>
      <c r="G57" s="27">
        <v>1.0</v>
      </c>
      <c r="H57" s="27">
        <v>1.0</v>
      </c>
      <c r="I57" s="23"/>
      <c r="J57" s="25"/>
      <c r="K57" s="28">
        <v>19.0</v>
      </c>
      <c r="L57" s="27">
        <v>0.0</v>
      </c>
      <c r="M57" s="27">
        <v>1.0</v>
      </c>
      <c r="N57" s="27">
        <v>1.0</v>
      </c>
      <c r="O57" s="27">
        <v>0.0</v>
      </c>
      <c r="P57" s="27">
        <v>0.0</v>
      </c>
      <c r="Q57" s="27">
        <v>1.0</v>
      </c>
      <c r="R57" s="23"/>
      <c r="S57" s="25"/>
      <c r="T57" s="28">
        <v>19.0</v>
      </c>
      <c r="U57" s="27">
        <v>0.0</v>
      </c>
      <c r="V57" s="27">
        <v>0.0</v>
      </c>
      <c r="W57" s="27">
        <v>1.0</v>
      </c>
      <c r="X57" s="27">
        <v>0.0</v>
      </c>
      <c r="Y57" s="27">
        <v>1.0</v>
      </c>
      <c r="Z57" s="27">
        <v>0.0</v>
      </c>
      <c r="AA57" s="23"/>
      <c r="AB57" s="25"/>
      <c r="AC57" s="28">
        <v>19.0</v>
      </c>
      <c r="AD57" s="27">
        <v>0.0</v>
      </c>
      <c r="AE57" s="27">
        <v>1.0</v>
      </c>
      <c r="AF57" s="27">
        <v>0.0</v>
      </c>
      <c r="AG57" s="27">
        <v>0.0</v>
      </c>
      <c r="AH57" s="27">
        <v>1.0</v>
      </c>
      <c r="AI57" s="27">
        <v>0.0</v>
      </c>
      <c r="AK57" s="24" t="s">
        <v>69</v>
      </c>
      <c r="AL57" s="24" t="str">
        <f>TEXTJOIN("",TRUE,khoaK4)</f>
        <v>011100101010110111010010101011011000011001010111</v>
      </c>
      <c r="AM57" s="24"/>
      <c r="AN57" s="24"/>
      <c r="AO57" s="24"/>
      <c r="AP57" s="24"/>
    </row>
    <row r="58" ht="14.25" customHeight="1">
      <c r="A58" s="25"/>
      <c r="B58" s="28">
        <v>25.0</v>
      </c>
      <c r="C58" s="27">
        <v>1.0</v>
      </c>
      <c r="D58" s="27">
        <v>1.0</v>
      </c>
      <c r="E58" s="27">
        <v>0.0</v>
      </c>
      <c r="F58" s="27">
        <v>1.0</v>
      </c>
      <c r="G58" s="27">
        <v>1.0</v>
      </c>
      <c r="H58" s="27">
        <v>0.0</v>
      </c>
      <c r="I58" s="23"/>
      <c r="J58" s="25"/>
      <c r="K58" s="28">
        <v>25.0</v>
      </c>
      <c r="L58" s="27">
        <v>0.0</v>
      </c>
      <c r="M58" s="27">
        <v>0.0</v>
      </c>
      <c r="N58" s="27">
        <v>1.0</v>
      </c>
      <c r="O58" s="27">
        <v>0.0</v>
      </c>
      <c r="P58" s="27">
        <v>0.0</v>
      </c>
      <c r="Q58" s="27">
        <v>1.0</v>
      </c>
      <c r="R58" s="23"/>
      <c r="S58" s="25"/>
      <c r="T58" s="28">
        <v>25.0</v>
      </c>
      <c r="U58" s="27">
        <v>1.0</v>
      </c>
      <c r="V58" s="27">
        <v>0.0</v>
      </c>
      <c r="W58" s="27">
        <v>1.0</v>
      </c>
      <c r="X58" s="27">
        <v>1.0</v>
      </c>
      <c r="Y58" s="27">
        <v>0.0</v>
      </c>
      <c r="Z58" s="27">
        <v>1.0</v>
      </c>
      <c r="AA58" s="23"/>
      <c r="AB58" s="25"/>
      <c r="AC58" s="28">
        <v>25.0</v>
      </c>
      <c r="AD58" s="27">
        <v>1.0</v>
      </c>
      <c r="AE58" s="27">
        <v>0.0</v>
      </c>
      <c r="AF58" s="27">
        <v>1.0</v>
      </c>
      <c r="AG58" s="27">
        <v>0.0</v>
      </c>
      <c r="AH58" s="27">
        <v>1.0</v>
      </c>
      <c r="AI58" s="27">
        <v>1.0</v>
      </c>
      <c r="AK58" s="24" t="s">
        <v>71</v>
      </c>
      <c r="AL58" s="24" t="str">
        <f>TEXTJOIN("",TRUE,khoaK5)</f>
        <v>011111001110110000000111000111111110011011000010</v>
      </c>
      <c r="AM58" s="24"/>
      <c r="AN58" s="24"/>
      <c r="AO58" s="24"/>
      <c r="AP58" s="24"/>
    </row>
    <row r="59" ht="14.25" customHeight="1">
      <c r="A59" s="25"/>
      <c r="B59" s="28">
        <v>31.0</v>
      </c>
      <c r="C59" s="27">
        <v>1.0</v>
      </c>
      <c r="D59" s="27">
        <v>1.0</v>
      </c>
      <c r="E59" s="27">
        <v>0.0</v>
      </c>
      <c r="F59" s="27">
        <v>1.0</v>
      </c>
      <c r="G59" s="27">
        <v>0.0</v>
      </c>
      <c r="H59" s="27">
        <v>0.0</v>
      </c>
      <c r="I59" s="23"/>
      <c r="J59" s="25"/>
      <c r="K59" s="28">
        <v>31.0</v>
      </c>
      <c r="L59" s="27">
        <v>0.0</v>
      </c>
      <c r="M59" s="27">
        <v>1.0</v>
      </c>
      <c r="N59" s="27">
        <v>1.0</v>
      </c>
      <c r="O59" s="27">
        <v>1.0</v>
      </c>
      <c r="P59" s="27">
        <v>1.0</v>
      </c>
      <c r="Q59" s="27">
        <v>0.0</v>
      </c>
      <c r="R59" s="23"/>
      <c r="S59" s="25"/>
      <c r="T59" s="28">
        <v>31.0</v>
      </c>
      <c r="U59" s="27">
        <v>0.0</v>
      </c>
      <c r="V59" s="27">
        <v>0.0</v>
      </c>
      <c r="W59" s="27">
        <v>1.0</v>
      </c>
      <c r="X59" s="27">
        <v>0.0</v>
      </c>
      <c r="Y59" s="27">
        <v>1.0</v>
      </c>
      <c r="Z59" s="27">
        <v>0.0</v>
      </c>
      <c r="AA59" s="23"/>
      <c r="AB59" s="25"/>
      <c r="AC59" s="28">
        <v>31.0</v>
      </c>
      <c r="AD59" s="27">
        <v>0.0</v>
      </c>
      <c r="AE59" s="27">
        <v>1.0</v>
      </c>
      <c r="AF59" s="27">
        <v>1.0</v>
      </c>
      <c r="AG59" s="27">
        <v>0.0</v>
      </c>
      <c r="AH59" s="27">
        <v>0.0</v>
      </c>
      <c r="AI59" s="27">
        <v>0.0</v>
      </c>
      <c r="AK59" s="24" t="s">
        <v>72</v>
      </c>
      <c r="AL59" s="24" t="str">
        <f>TEXTJOIN("",TRUE,khoaK6)</f>
        <v>011000111010010100011110001111001100010101000101</v>
      </c>
      <c r="AM59" s="24"/>
      <c r="AN59" s="24"/>
      <c r="AO59" s="24"/>
      <c r="AP59" s="24"/>
    </row>
    <row r="60" ht="14.25" customHeight="1">
      <c r="A60" s="25"/>
      <c r="B60" s="28">
        <v>37.0</v>
      </c>
      <c r="C60" s="27">
        <v>1.0</v>
      </c>
      <c r="D60" s="27">
        <v>0.0</v>
      </c>
      <c r="E60" s="27">
        <v>0.0</v>
      </c>
      <c r="F60" s="27">
        <v>1.0</v>
      </c>
      <c r="G60" s="27">
        <v>1.0</v>
      </c>
      <c r="H60" s="27">
        <v>0.0</v>
      </c>
      <c r="I60" s="23"/>
      <c r="J60" s="25"/>
      <c r="K60" s="28">
        <v>37.0</v>
      </c>
      <c r="L60" s="27">
        <v>1.0</v>
      </c>
      <c r="M60" s="27">
        <v>0.0</v>
      </c>
      <c r="N60" s="27">
        <v>1.0</v>
      </c>
      <c r="O60" s="27">
        <v>0.0</v>
      </c>
      <c r="P60" s="27">
        <v>0.0</v>
      </c>
      <c r="Q60" s="27">
        <v>1.0</v>
      </c>
      <c r="R60" s="23"/>
      <c r="S60" s="25"/>
      <c r="T60" s="28">
        <v>37.0</v>
      </c>
      <c r="U60" s="27">
        <v>1.0</v>
      </c>
      <c r="V60" s="27">
        <v>1.0</v>
      </c>
      <c r="W60" s="27">
        <v>0.0</v>
      </c>
      <c r="X60" s="27">
        <v>0.0</v>
      </c>
      <c r="Y60" s="27">
        <v>1.0</v>
      </c>
      <c r="Z60" s="27">
        <v>1.0</v>
      </c>
      <c r="AA60" s="23"/>
      <c r="AB60" s="25"/>
      <c r="AC60" s="28">
        <v>37.0</v>
      </c>
      <c r="AD60" s="27">
        <v>0.0</v>
      </c>
      <c r="AE60" s="27">
        <v>1.0</v>
      </c>
      <c r="AF60" s="27">
        <v>1.0</v>
      </c>
      <c r="AG60" s="27">
        <v>0.0</v>
      </c>
      <c r="AH60" s="27">
        <v>0.0</v>
      </c>
      <c r="AI60" s="27">
        <v>1.0</v>
      </c>
      <c r="AK60" s="24" t="s">
        <v>73</v>
      </c>
      <c r="AL60" s="24" t="str">
        <f>TEXTJOIN("",TRUE,khoaK7)</f>
        <v>011011001000010010110111100010101110010011000110</v>
      </c>
      <c r="AM60" s="24"/>
      <c r="AN60" s="24"/>
      <c r="AO60" s="24"/>
      <c r="AP60" s="24"/>
    </row>
    <row r="61" ht="14.25" customHeight="1">
      <c r="A61" s="25"/>
      <c r="B61" s="28">
        <v>43.0</v>
      </c>
      <c r="C61" s="27">
        <v>1.0</v>
      </c>
      <c r="D61" s="27">
        <v>0.0</v>
      </c>
      <c r="E61" s="27">
        <v>0.0</v>
      </c>
      <c r="F61" s="27">
        <v>1.0</v>
      </c>
      <c r="G61" s="27">
        <v>0.0</v>
      </c>
      <c r="H61" s="27">
        <v>1.0</v>
      </c>
      <c r="I61" s="23"/>
      <c r="J61" s="25"/>
      <c r="K61" s="28">
        <v>43.0</v>
      </c>
      <c r="L61" s="27">
        <v>1.0</v>
      </c>
      <c r="M61" s="27">
        <v>0.0</v>
      </c>
      <c r="N61" s="27">
        <v>0.0</v>
      </c>
      <c r="O61" s="27">
        <v>1.0</v>
      </c>
      <c r="P61" s="27">
        <v>1.0</v>
      </c>
      <c r="Q61" s="27">
        <v>0.0</v>
      </c>
      <c r="R61" s="23"/>
      <c r="S61" s="25"/>
      <c r="T61" s="28">
        <v>43.0</v>
      </c>
      <c r="U61" s="27">
        <v>0.0</v>
      </c>
      <c r="V61" s="27">
        <v>1.0</v>
      </c>
      <c r="W61" s="27">
        <v>0.0</v>
      </c>
      <c r="X61" s="27">
        <v>0.0</v>
      </c>
      <c r="Y61" s="27">
        <v>1.0</v>
      </c>
      <c r="Z61" s="27">
        <v>0.0</v>
      </c>
      <c r="AA61" s="23"/>
      <c r="AB61" s="25"/>
      <c r="AC61" s="28">
        <v>43.0</v>
      </c>
      <c r="AD61" s="27">
        <v>0.0</v>
      </c>
      <c r="AE61" s="27">
        <v>1.0</v>
      </c>
      <c r="AF61" s="27">
        <v>0.0</v>
      </c>
      <c r="AG61" s="27">
        <v>1.0</v>
      </c>
      <c r="AH61" s="27">
        <v>1.0</v>
      </c>
      <c r="AI61" s="27">
        <v>1.0</v>
      </c>
      <c r="AK61" s="24" t="s">
        <v>74</v>
      </c>
      <c r="AL61" s="24" t="str">
        <f>TEXTJOIN("",TRUE,khoaK8)</f>
        <v>111101111000100000111010111011001110011110000001</v>
      </c>
      <c r="AM61" s="24"/>
      <c r="AN61" s="24"/>
      <c r="AO61" s="24"/>
      <c r="AP61" s="24"/>
    </row>
    <row r="62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K62" s="24" t="s">
        <v>75</v>
      </c>
      <c r="AL62" s="24" t="str">
        <f>TEXTJOIN("",TRUE,khoaK9)</f>
        <v>110000001101101111101011001001111011100000111001</v>
      </c>
      <c r="AM62" s="24"/>
      <c r="AN62" s="24"/>
      <c r="AO62" s="24"/>
      <c r="AP62" s="24"/>
    </row>
    <row r="63" ht="14.25" customHeight="1">
      <c r="A63" s="20" t="s">
        <v>71</v>
      </c>
      <c r="B63" s="21" t="s">
        <v>30</v>
      </c>
      <c r="C63" s="22">
        <v>1.0</v>
      </c>
      <c r="D63" s="22">
        <v>2.0</v>
      </c>
      <c r="E63" s="22">
        <v>3.0</v>
      </c>
      <c r="F63" s="22">
        <v>4.0</v>
      </c>
      <c r="G63" s="22">
        <v>5.0</v>
      </c>
      <c r="H63" s="22">
        <v>6.0</v>
      </c>
      <c r="I63" s="23"/>
      <c r="J63" s="20" t="s">
        <v>72</v>
      </c>
      <c r="K63" s="21" t="s">
        <v>30</v>
      </c>
      <c r="L63" s="22">
        <v>1.0</v>
      </c>
      <c r="M63" s="22">
        <v>2.0</v>
      </c>
      <c r="N63" s="22">
        <v>3.0</v>
      </c>
      <c r="O63" s="22">
        <v>4.0</v>
      </c>
      <c r="P63" s="22">
        <v>5.0</v>
      </c>
      <c r="Q63" s="22">
        <v>6.0</v>
      </c>
      <c r="R63" s="23"/>
      <c r="S63" s="20" t="s">
        <v>73</v>
      </c>
      <c r="T63" s="21" t="s">
        <v>30</v>
      </c>
      <c r="U63" s="22">
        <v>1.0</v>
      </c>
      <c r="V63" s="22">
        <v>2.0</v>
      </c>
      <c r="W63" s="22">
        <v>3.0</v>
      </c>
      <c r="X63" s="22">
        <v>4.0</v>
      </c>
      <c r="Y63" s="22">
        <v>5.0</v>
      </c>
      <c r="Z63" s="22">
        <v>6.0</v>
      </c>
      <c r="AA63" s="23"/>
      <c r="AB63" s="20" t="s">
        <v>74</v>
      </c>
      <c r="AC63" s="21" t="s">
        <v>30</v>
      </c>
      <c r="AD63" s="22">
        <v>1.0</v>
      </c>
      <c r="AE63" s="22">
        <v>2.0</v>
      </c>
      <c r="AF63" s="22">
        <v>3.0</v>
      </c>
      <c r="AG63" s="22">
        <v>4.0</v>
      </c>
      <c r="AH63" s="22">
        <v>5.0</v>
      </c>
      <c r="AI63" s="22">
        <v>6.0</v>
      </c>
      <c r="AK63" s="24" t="s">
        <v>76</v>
      </c>
      <c r="AL63" s="24" t="str">
        <f>TEXTJOIN("",TRUE,khoaK10)</f>
        <v>101100011111001101000111011000110001110101110110</v>
      </c>
      <c r="AM63" s="24"/>
      <c r="AN63" s="24"/>
      <c r="AO63" s="24"/>
      <c r="AP63" s="24"/>
    </row>
    <row r="64" ht="14.25" customHeight="1">
      <c r="A64" s="25"/>
      <c r="B64" s="26"/>
      <c r="C64" s="27">
        <v>0.0</v>
      </c>
      <c r="D64" s="27">
        <v>1.0</v>
      </c>
      <c r="E64" s="27">
        <v>1.0</v>
      </c>
      <c r="F64" s="27">
        <v>1.0</v>
      </c>
      <c r="G64" s="27">
        <v>1.0</v>
      </c>
      <c r="H64" s="27">
        <v>1.0</v>
      </c>
      <c r="I64" s="23"/>
      <c r="J64" s="25"/>
      <c r="K64" s="26"/>
      <c r="L64" s="27">
        <v>0.0</v>
      </c>
      <c r="M64" s="27">
        <v>1.0</v>
      </c>
      <c r="N64" s="27">
        <v>1.0</v>
      </c>
      <c r="O64" s="27">
        <v>0.0</v>
      </c>
      <c r="P64" s="27">
        <v>0.0</v>
      </c>
      <c r="Q64" s="27">
        <v>0.0</v>
      </c>
      <c r="R64" s="23"/>
      <c r="S64" s="25"/>
      <c r="T64" s="26"/>
      <c r="U64" s="27">
        <v>0.0</v>
      </c>
      <c r="V64" s="27">
        <v>1.0</v>
      </c>
      <c r="W64" s="27">
        <v>1.0</v>
      </c>
      <c r="X64" s="27">
        <v>0.0</v>
      </c>
      <c r="Y64" s="27">
        <v>1.0</v>
      </c>
      <c r="Z64" s="27">
        <v>1.0</v>
      </c>
      <c r="AA64" s="23"/>
      <c r="AB64" s="25"/>
      <c r="AC64" s="26"/>
      <c r="AD64" s="27">
        <v>1.0</v>
      </c>
      <c r="AE64" s="27">
        <v>1.0</v>
      </c>
      <c r="AF64" s="27">
        <v>1.0</v>
      </c>
      <c r="AG64" s="27">
        <v>1.0</v>
      </c>
      <c r="AH64" s="27">
        <v>0.0</v>
      </c>
      <c r="AI64" s="27">
        <v>1.0</v>
      </c>
      <c r="AK64" s="24" t="s">
        <v>77</v>
      </c>
      <c r="AL64" s="24" t="str">
        <f>TEXTJOIN("",TRUE,khoaK11)</f>
        <v>001000010101111111000011000011011000100110111110</v>
      </c>
      <c r="AM64" s="24"/>
      <c r="AN64" s="24"/>
      <c r="AO64" s="24"/>
      <c r="AP64" s="24"/>
    </row>
    <row r="65" ht="14.25" customHeight="1">
      <c r="A65" s="25"/>
      <c r="B65" s="28">
        <v>7.0</v>
      </c>
      <c r="C65" s="27">
        <v>0.0</v>
      </c>
      <c r="D65" s="27">
        <v>0.0</v>
      </c>
      <c r="E65" s="27">
        <v>1.0</v>
      </c>
      <c r="F65" s="27">
        <v>1.0</v>
      </c>
      <c r="G65" s="27">
        <v>1.0</v>
      </c>
      <c r="H65" s="27">
        <v>0.0</v>
      </c>
      <c r="I65" s="23"/>
      <c r="J65" s="25"/>
      <c r="K65" s="28">
        <v>7.0</v>
      </c>
      <c r="L65" s="27">
        <v>1.0</v>
      </c>
      <c r="M65" s="27">
        <v>1.0</v>
      </c>
      <c r="N65" s="27">
        <v>1.0</v>
      </c>
      <c r="O65" s="27">
        <v>0.0</v>
      </c>
      <c r="P65" s="27">
        <v>1.0</v>
      </c>
      <c r="Q65" s="27">
        <v>0.0</v>
      </c>
      <c r="R65" s="23"/>
      <c r="S65" s="25"/>
      <c r="T65" s="28">
        <v>7.0</v>
      </c>
      <c r="U65" s="27">
        <v>0.0</v>
      </c>
      <c r="V65" s="27">
        <v>0.0</v>
      </c>
      <c r="W65" s="27">
        <v>1.0</v>
      </c>
      <c r="X65" s="27">
        <v>0.0</v>
      </c>
      <c r="Y65" s="27">
        <v>0.0</v>
      </c>
      <c r="Z65" s="27">
        <v>0.0</v>
      </c>
      <c r="AA65" s="23"/>
      <c r="AB65" s="25"/>
      <c r="AC65" s="28">
        <v>7.0</v>
      </c>
      <c r="AD65" s="27">
        <v>1.0</v>
      </c>
      <c r="AE65" s="27">
        <v>1.0</v>
      </c>
      <c r="AF65" s="27">
        <v>1.0</v>
      </c>
      <c r="AG65" s="27">
        <v>0.0</v>
      </c>
      <c r="AH65" s="27">
        <v>0.0</v>
      </c>
      <c r="AI65" s="27">
        <v>0.0</v>
      </c>
      <c r="AK65" s="24" t="s">
        <v>78</v>
      </c>
      <c r="AL65" s="24" t="str">
        <f>TEXTJOIN("",TRUE,khoaK12)</f>
        <v>011100010111000111110101010001010101110011010101</v>
      </c>
      <c r="AM65" s="24"/>
      <c r="AN65" s="24"/>
      <c r="AO65" s="24"/>
      <c r="AP65" s="24"/>
    </row>
    <row r="66" ht="14.25" customHeight="1">
      <c r="A66" s="25"/>
      <c r="B66" s="28">
        <v>13.0</v>
      </c>
      <c r="C66" s="27">
        <v>1.0</v>
      </c>
      <c r="D66" s="27">
        <v>1.0</v>
      </c>
      <c r="E66" s="27">
        <v>0.0</v>
      </c>
      <c r="F66" s="27">
        <v>0.0</v>
      </c>
      <c r="G66" s="27">
        <v>0.0</v>
      </c>
      <c r="H66" s="27">
        <v>0.0</v>
      </c>
      <c r="I66" s="23"/>
      <c r="J66" s="25"/>
      <c r="K66" s="28">
        <v>13.0</v>
      </c>
      <c r="L66" s="27">
        <v>0.0</v>
      </c>
      <c r="M66" s="27">
        <v>1.0</v>
      </c>
      <c r="N66" s="27">
        <v>0.0</v>
      </c>
      <c r="O66" s="27">
        <v>1.0</v>
      </c>
      <c r="P66" s="27">
        <v>0.0</v>
      </c>
      <c r="Q66" s="27">
        <v>0.0</v>
      </c>
      <c r="R66" s="23"/>
      <c r="S66" s="25"/>
      <c r="T66" s="28">
        <v>13.0</v>
      </c>
      <c r="U66" s="27">
        <v>0.0</v>
      </c>
      <c r="V66" s="27">
        <v>1.0</v>
      </c>
      <c r="W66" s="27">
        <v>0.0</v>
      </c>
      <c r="X66" s="27">
        <v>0.0</v>
      </c>
      <c r="Y66" s="27">
        <v>1.0</v>
      </c>
      <c r="Z66" s="27">
        <v>0.0</v>
      </c>
      <c r="AA66" s="23"/>
      <c r="AB66" s="25"/>
      <c r="AC66" s="28">
        <v>13.0</v>
      </c>
      <c r="AD66" s="27">
        <v>1.0</v>
      </c>
      <c r="AE66" s="27">
        <v>0.0</v>
      </c>
      <c r="AF66" s="27">
        <v>0.0</v>
      </c>
      <c r="AG66" s="27">
        <v>0.0</v>
      </c>
      <c r="AH66" s="27">
        <v>0.0</v>
      </c>
      <c r="AI66" s="27">
        <v>0.0</v>
      </c>
      <c r="AK66" s="24" t="s">
        <v>79</v>
      </c>
      <c r="AL66" s="24" t="str">
        <f>TEXTJOIN("",TRUE,khoaK13)</f>
        <v>100101011100010111010001010010111000000011111101</v>
      </c>
      <c r="AM66" s="24"/>
      <c r="AN66" s="24"/>
      <c r="AO66" s="24"/>
      <c r="AP66" s="24"/>
    </row>
    <row r="67" ht="14.25" customHeight="1">
      <c r="A67" s="25"/>
      <c r="B67" s="28">
        <v>19.0</v>
      </c>
      <c r="C67" s="27">
        <v>0.0</v>
      </c>
      <c r="D67" s="27">
        <v>0.0</v>
      </c>
      <c r="E67" s="27">
        <v>0.0</v>
      </c>
      <c r="F67" s="27">
        <v>1.0</v>
      </c>
      <c r="G67" s="27">
        <v>1.0</v>
      </c>
      <c r="H67" s="27">
        <v>1.0</v>
      </c>
      <c r="I67" s="23"/>
      <c r="J67" s="25"/>
      <c r="K67" s="28">
        <v>19.0</v>
      </c>
      <c r="L67" s="27">
        <v>0.0</v>
      </c>
      <c r="M67" s="27">
        <v>1.0</v>
      </c>
      <c r="N67" s="27">
        <v>1.0</v>
      </c>
      <c r="O67" s="27">
        <v>1.0</v>
      </c>
      <c r="P67" s="27">
        <v>1.0</v>
      </c>
      <c r="Q67" s="27">
        <v>0.0</v>
      </c>
      <c r="R67" s="23"/>
      <c r="S67" s="25"/>
      <c r="T67" s="28">
        <v>19.0</v>
      </c>
      <c r="U67" s="27">
        <v>1.0</v>
      </c>
      <c r="V67" s="27">
        <v>1.0</v>
      </c>
      <c r="W67" s="27">
        <v>0.0</v>
      </c>
      <c r="X67" s="27">
        <v>1.0</v>
      </c>
      <c r="Y67" s="27">
        <v>1.0</v>
      </c>
      <c r="Z67" s="27">
        <v>1.0</v>
      </c>
      <c r="AA67" s="23"/>
      <c r="AB67" s="25"/>
      <c r="AC67" s="28">
        <v>19.0</v>
      </c>
      <c r="AD67" s="27">
        <v>1.0</v>
      </c>
      <c r="AE67" s="27">
        <v>1.0</v>
      </c>
      <c r="AF67" s="27">
        <v>1.0</v>
      </c>
      <c r="AG67" s="27">
        <v>0.0</v>
      </c>
      <c r="AH67" s="27">
        <v>1.0</v>
      </c>
      <c r="AI67" s="27">
        <v>0.0</v>
      </c>
      <c r="AK67" s="24" t="s">
        <v>80</v>
      </c>
      <c r="AL67" s="24" t="str">
        <f>TEXTJOIN("",TRUE,khoaK14)</f>
        <v>010101110100001110110111100000111101110110001101</v>
      </c>
      <c r="AM67" s="24"/>
      <c r="AN67" s="24"/>
      <c r="AO67" s="24"/>
      <c r="AP67" s="24"/>
    </row>
    <row r="68" ht="14.25" customHeight="1">
      <c r="A68" s="25"/>
      <c r="B68" s="28">
        <v>25.0</v>
      </c>
      <c r="C68" s="27">
        <v>0.0</v>
      </c>
      <c r="D68" s="27">
        <v>0.0</v>
      </c>
      <c r="E68" s="27">
        <v>0.0</v>
      </c>
      <c r="F68" s="27">
        <v>1.0</v>
      </c>
      <c r="G68" s="27">
        <v>1.0</v>
      </c>
      <c r="H68" s="27">
        <v>1.0</v>
      </c>
      <c r="I68" s="23"/>
      <c r="J68" s="25"/>
      <c r="K68" s="28">
        <v>25.0</v>
      </c>
      <c r="L68" s="27">
        <v>0.0</v>
      </c>
      <c r="M68" s="27">
        <v>0.0</v>
      </c>
      <c r="N68" s="27">
        <v>1.0</v>
      </c>
      <c r="O68" s="27">
        <v>1.0</v>
      </c>
      <c r="P68" s="27">
        <v>1.0</v>
      </c>
      <c r="Q68" s="27">
        <v>1.0</v>
      </c>
      <c r="R68" s="23"/>
      <c r="S68" s="25"/>
      <c r="T68" s="28">
        <v>25.0</v>
      </c>
      <c r="U68" s="27">
        <v>1.0</v>
      </c>
      <c r="V68" s="27">
        <v>0.0</v>
      </c>
      <c r="W68" s="27">
        <v>0.0</v>
      </c>
      <c r="X68" s="27">
        <v>0.0</v>
      </c>
      <c r="Y68" s="27">
        <v>1.0</v>
      </c>
      <c r="Z68" s="27">
        <v>0.0</v>
      </c>
      <c r="AA68" s="23"/>
      <c r="AB68" s="25"/>
      <c r="AC68" s="28">
        <v>25.0</v>
      </c>
      <c r="AD68" s="27">
        <v>1.0</v>
      </c>
      <c r="AE68" s="27">
        <v>1.0</v>
      </c>
      <c r="AF68" s="27">
        <v>1.0</v>
      </c>
      <c r="AG68" s="27">
        <v>0.0</v>
      </c>
      <c r="AH68" s="27">
        <v>1.0</v>
      </c>
      <c r="AI68" s="27">
        <v>1.0</v>
      </c>
      <c r="AK68" s="24" t="s">
        <v>81</v>
      </c>
      <c r="AL68" s="24" t="str">
        <f>TEXTJOIN("",TRUE,khoaK15)</f>
        <v>101111111001000110000101000010100001011110110101</v>
      </c>
      <c r="AM68" s="24"/>
      <c r="AN68" s="24"/>
      <c r="AO68" s="24"/>
      <c r="AP68" s="24"/>
    </row>
    <row r="69" ht="14.25" customHeight="1">
      <c r="A69" s="25"/>
      <c r="B69" s="28">
        <v>31.0</v>
      </c>
      <c r="C69" s="27">
        <v>1.0</v>
      </c>
      <c r="D69" s="27">
        <v>1.0</v>
      </c>
      <c r="E69" s="27">
        <v>1.0</v>
      </c>
      <c r="F69" s="27">
        <v>1.0</v>
      </c>
      <c r="G69" s="27">
        <v>1.0</v>
      </c>
      <c r="H69" s="27">
        <v>0.0</v>
      </c>
      <c r="I69" s="23"/>
      <c r="J69" s="25"/>
      <c r="K69" s="28">
        <v>31.0</v>
      </c>
      <c r="L69" s="27">
        <v>0.0</v>
      </c>
      <c r="M69" s="27">
        <v>0.0</v>
      </c>
      <c r="N69" s="27">
        <v>1.0</v>
      </c>
      <c r="O69" s="27">
        <v>1.0</v>
      </c>
      <c r="P69" s="27">
        <v>0.0</v>
      </c>
      <c r="Q69" s="27">
        <v>0.0</v>
      </c>
      <c r="R69" s="23"/>
      <c r="S69" s="25"/>
      <c r="T69" s="28">
        <v>31.0</v>
      </c>
      <c r="U69" s="27">
        <v>1.0</v>
      </c>
      <c r="V69" s="27">
        <v>0.0</v>
      </c>
      <c r="W69" s="27">
        <v>1.0</v>
      </c>
      <c r="X69" s="27">
        <v>1.0</v>
      </c>
      <c r="Y69" s="27">
        <v>1.0</v>
      </c>
      <c r="Z69" s="27">
        <v>0.0</v>
      </c>
      <c r="AA69" s="23"/>
      <c r="AB69" s="25"/>
      <c r="AC69" s="28">
        <v>31.0</v>
      </c>
      <c r="AD69" s="27">
        <v>0.0</v>
      </c>
      <c r="AE69" s="27">
        <v>0.0</v>
      </c>
      <c r="AF69" s="27">
        <v>1.0</v>
      </c>
      <c r="AG69" s="27">
        <v>1.0</v>
      </c>
      <c r="AH69" s="27">
        <v>1.0</v>
      </c>
      <c r="AI69" s="27">
        <v>0.0</v>
      </c>
      <c r="AK69" s="24" t="s">
        <v>82</v>
      </c>
      <c r="AL69" s="24" t="str">
        <f>TEXTJOIN("",TRUE,khoaK16)</f>
        <v>110010110011110100001011101111000111000001110010</v>
      </c>
      <c r="AM69" s="24"/>
      <c r="AN69" s="24"/>
      <c r="AO69" s="24"/>
      <c r="AP69" s="24"/>
    </row>
    <row r="70" ht="14.25" customHeight="1">
      <c r="A70" s="25"/>
      <c r="B70" s="28">
        <v>37.0</v>
      </c>
      <c r="C70" s="27">
        <v>0.0</v>
      </c>
      <c r="D70" s="27">
        <v>1.0</v>
      </c>
      <c r="E70" s="27">
        <v>1.0</v>
      </c>
      <c r="F70" s="27">
        <v>0.0</v>
      </c>
      <c r="G70" s="27">
        <v>1.0</v>
      </c>
      <c r="H70" s="27">
        <v>1.0</v>
      </c>
      <c r="I70" s="23"/>
      <c r="J70" s="25"/>
      <c r="K70" s="28">
        <v>37.0</v>
      </c>
      <c r="L70" s="27">
        <v>0.0</v>
      </c>
      <c r="M70" s="27">
        <v>1.0</v>
      </c>
      <c r="N70" s="27">
        <v>0.0</v>
      </c>
      <c r="O70" s="27">
        <v>1.0</v>
      </c>
      <c r="P70" s="27">
        <v>0.0</v>
      </c>
      <c r="Q70" s="27">
        <v>1.0</v>
      </c>
      <c r="R70" s="23"/>
      <c r="S70" s="25"/>
      <c r="T70" s="28">
        <v>37.0</v>
      </c>
      <c r="U70" s="27">
        <v>0.0</v>
      </c>
      <c r="V70" s="27">
        <v>1.0</v>
      </c>
      <c r="W70" s="27">
        <v>0.0</v>
      </c>
      <c r="X70" s="27">
        <v>0.0</v>
      </c>
      <c r="Y70" s="27">
        <v>1.0</v>
      </c>
      <c r="Z70" s="27">
        <v>1.0</v>
      </c>
      <c r="AA70" s="23"/>
      <c r="AB70" s="25"/>
      <c r="AC70" s="28">
        <v>37.0</v>
      </c>
      <c r="AD70" s="27">
        <v>0.0</v>
      </c>
      <c r="AE70" s="27">
        <v>1.0</v>
      </c>
      <c r="AF70" s="27">
        <v>1.0</v>
      </c>
      <c r="AG70" s="27">
        <v>1.0</v>
      </c>
      <c r="AH70" s="27">
        <v>1.0</v>
      </c>
      <c r="AI70" s="27">
        <v>0.0</v>
      </c>
    </row>
    <row r="71" ht="14.25" customHeight="1">
      <c r="A71" s="25"/>
      <c r="B71" s="28">
        <v>43.0</v>
      </c>
      <c r="C71" s="27">
        <v>0.0</v>
      </c>
      <c r="D71" s="27">
        <v>0.0</v>
      </c>
      <c r="E71" s="27">
        <v>0.0</v>
      </c>
      <c r="F71" s="27">
        <v>0.0</v>
      </c>
      <c r="G71" s="27">
        <v>1.0</v>
      </c>
      <c r="H71" s="27">
        <v>0.0</v>
      </c>
      <c r="I71" s="23"/>
      <c r="J71" s="25"/>
      <c r="K71" s="28">
        <v>43.0</v>
      </c>
      <c r="L71" s="27">
        <v>0.0</v>
      </c>
      <c r="M71" s="27">
        <v>0.0</v>
      </c>
      <c r="N71" s="27">
        <v>0.0</v>
      </c>
      <c r="O71" s="27">
        <v>1.0</v>
      </c>
      <c r="P71" s="27">
        <v>0.0</v>
      </c>
      <c r="Q71" s="27">
        <v>1.0</v>
      </c>
      <c r="R71" s="23"/>
      <c r="S71" s="25"/>
      <c r="T71" s="28">
        <v>43.0</v>
      </c>
      <c r="U71" s="27">
        <v>0.0</v>
      </c>
      <c r="V71" s="27">
        <v>0.0</v>
      </c>
      <c r="W71" s="27">
        <v>0.0</v>
      </c>
      <c r="X71" s="27">
        <v>1.0</v>
      </c>
      <c r="Y71" s="27">
        <v>1.0</v>
      </c>
      <c r="Z71" s="27">
        <v>0.0</v>
      </c>
      <c r="AA71" s="23"/>
      <c r="AB71" s="25"/>
      <c r="AC71" s="28">
        <v>43.0</v>
      </c>
      <c r="AD71" s="27">
        <v>0.0</v>
      </c>
      <c r="AE71" s="27">
        <v>0.0</v>
      </c>
      <c r="AF71" s="27">
        <v>0.0</v>
      </c>
      <c r="AG71" s="27">
        <v>0.0</v>
      </c>
      <c r="AH71" s="27">
        <v>0.0</v>
      </c>
      <c r="AI71" s="27">
        <v>1.0</v>
      </c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</row>
    <row r="73" ht="14.25" customHeight="1">
      <c r="A73" s="20" t="s">
        <v>75</v>
      </c>
      <c r="B73" s="21" t="s">
        <v>30</v>
      </c>
      <c r="C73" s="22">
        <v>1.0</v>
      </c>
      <c r="D73" s="22">
        <v>2.0</v>
      </c>
      <c r="E73" s="22">
        <v>3.0</v>
      </c>
      <c r="F73" s="22">
        <v>4.0</v>
      </c>
      <c r="G73" s="22">
        <v>5.0</v>
      </c>
      <c r="H73" s="22">
        <v>6.0</v>
      </c>
      <c r="I73" s="23"/>
      <c r="J73" s="20" t="s">
        <v>76</v>
      </c>
      <c r="K73" s="21" t="s">
        <v>30</v>
      </c>
      <c r="L73" s="22">
        <v>1.0</v>
      </c>
      <c r="M73" s="22">
        <v>2.0</v>
      </c>
      <c r="N73" s="22">
        <v>3.0</v>
      </c>
      <c r="O73" s="22">
        <v>4.0</v>
      </c>
      <c r="P73" s="22">
        <v>5.0</v>
      </c>
      <c r="Q73" s="22">
        <v>6.0</v>
      </c>
      <c r="R73" s="23"/>
      <c r="S73" s="20" t="s">
        <v>77</v>
      </c>
      <c r="T73" s="21" t="s">
        <v>30</v>
      </c>
      <c r="U73" s="22">
        <v>1.0</v>
      </c>
      <c r="V73" s="22">
        <v>2.0</v>
      </c>
      <c r="W73" s="22">
        <v>3.0</v>
      </c>
      <c r="X73" s="22">
        <v>4.0</v>
      </c>
      <c r="Y73" s="22">
        <v>5.0</v>
      </c>
      <c r="Z73" s="22">
        <v>6.0</v>
      </c>
      <c r="AA73" s="23"/>
      <c r="AB73" s="20" t="s">
        <v>78</v>
      </c>
      <c r="AC73" s="21" t="s">
        <v>30</v>
      </c>
      <c r="AD73" s="22">
        <v>1.0</v>
      </c>
      <c r="AE73" s="22">
        <v>2.0</v>
      </c>
      <c r="AF73" s="22">
        <v>3.0</v>
      </c>
      <c r="AG73" s="22">
        <v>4.0</v>
      </c>
      <c r="AH73" s="22">
        <v>5.0</v>
      </c>
      <c r="AI73" s="22">
        <v>6.0</v>
      </c>
    </row>
    <row r="74" ht="14.25" customHeight="1">
      <c r="A74" s="25"/>
      <c r="B74" s="26"/>
      <c r="C74" s="27">
        <v>1.0</v>
      </c>
      <c r="D74" s="27">
        <v>1.0</v>
      </c>
      <c r="E74" s="27">
        <v>0.0</v>
      </c>
      <c r="F74" s="27">
        <v>0.0</v>
      </c>
      <c r="G74" s="27">
        <v>0.0</v>
      </c>
      <c r="H74" s="27">
        <v>0.0</v>
      </c>
      <c r="I74" s="23"/>
      <c r="J74" s="25"/>
      <c r="K74" s="26"/>
      <c r="L74" s="27">
        <v>1.0</v>
      </c>
      <c r="M74" s="27">
        <v>0.0</v>
      </c>
      <c r="N74" s="27">
        <v>1.0</v>
      </c>
      <c r="O74" s="27">
        <v>1.0</v>
      </c>
      <c r="P74" s="27">
        <v>0.0</v>
      </c>
      <c r="Q74" s="27">
        <v>0.0</v>
      </c>
      <c r="R74" s="23"/>
      <c r="S74" s="25"/>
      <c r="T74" s="26"/>
      <c r="U74" s="27">
        <v>0.0</v>
      </c>
      <c r="V74" s="27">
        <v>0.0</v>
      </c>
      <c r="W74" s="27">
        <v>1.0</v>
      </c>
      <c r="X74" s="27">
        <v>0.0</v>
      </c>
      <c r="Y74" s="27">
        <v>0.0</v>
      </c>
      <c r="Z74" s="27">
        <v>0.0</v>
      </c>
      <c r="AA74" s="23"/>
      <c r="AB74" s="25"/>
      <c r="AC74" s="26"/>
      <c r="AD74" s="27">
        <v>0.0</v>
      </c>
      <c r="AE74" s="27">
        <v>1.0</v>
      </c>
      <c r="AF74" s="27">
        <v>1.0</v>
      </c>
      <c r="AG74" s="27">
        <v>1.0</v>
      </c>
      <c r="AH74" s="27">
        <v>0.0</v>
      </c>
      <c r="AI74" s="27">
        <v>0.0</v>
      </c>
    </row>
    <row r="75" ht="14.25" customHeight="1">
      <c r="A75" s="25"/>
      <c r="B75" s="28">
        <v>7.0</v>
      </c>
      <c r="C75" s="27">
        <v>0.0</v>
      </c>
      <c r="D75" s="27">
        <v>0.0</v>
      </c>
      <c r="E75" s="27">
        <v>1.0</v>
      </c>
      <c r="F75" s="27">
        <v>1.0</v>
      </c>
      <c r="G75" s="27">
        <v>0.0</v>
      </c>
      <c r="H75" s="27">
        <v>1.0</v>
      </c>
      <c r="I75" s="23"/>
      <c r="J75" s="25"/>
      <c r="K75" s="28">
        <v>7.0</v>
      </c>
      <c r="L75" s="27">
        <v>0.0</v>
      </c>
      <c r="M75" s="27">
        <v>1.0</v>
      </c>
      <c r="N75" s="27">
        <v>1.0</v>
      </c>
      <c r="O75" s="27">
        <v>1.0</v>
      </c>
      <c r="P75" s="27">
        <v>1.0</v>
      </c>
      <c r="Q75" s="27">
        <v>1.0</v>
      </c>
      <c r="R75" s="23"/>
      <c r="S75" s="25"/>
      <c r="T75" s="28">
        <v>7.0</v>
      </c>
      <c r="U75" s="27">
        <v>0.0</v>
      </c>
      <c r="V75" s="27">
        <v>1.0</v>
      </c>
      <c r="W75" s="27">
        <v>0.0</v>
      </c>
      <c r="X75" s="27">
        <v>1.0</v>
      </c>
      <c r="Y75" s="27">
        <v>0.0</v>
      </c>
      <c r="Z75" s="27">
        <v>1.0</v>
      </c>
      <c r="AA75" s="23"/>
      <c r="AB75" s="25"/>
      <c r="AC75" s="28">
        <v>7.0</v>
      </c>
      <c r="AD75" s="27">
        <v>0.0</v>
      </c>
      <c r="AE75" s="27">
        <v>1.0</v>
      </c>
      <c r="AF75" s="27">
        <v>0.0</v>
      </c>
      <c r="AG75" s="27">
        <v>1.0</v>
      </c>
      <c r="AH75" s="27">
        <v>1.0</v>
      </c>
      <c r="AI75" s="27">
        <v>1.0</v>
      </c>
    </row>
    <row r="76" ht="14.25" customHeight="1">
      <c r="A76" s="25"/>
      <c r="B76" s="28">
        <v>13.0</v>
      </c>
      <c r="C76" s="27">
        <v>1.0</v>
      </c>
      <c r="D76" s="27">
        <v>0.0</v>
      </c>
      <c r="E76" s="27">
        <v>1.0</v>
      </c>
      <c r="F76" s="27">
        <v>1.0</v>
      </c>
      <c r="G76" s="27">
        <v>1.0</v>
      </c>
      <c r="H76" s="27">
        <v>1.0</v>
      </c>
      <c r="I76" s="23"/>
      <c r="J76" s="25"/>
      <c r="K76" s="28">
        <v>13.0</v>
      </c>
      <c r="L76" s="27">
        <v>0.0</v>
      </c>
      <c r="M76" s="27">
        <v>0.0</v>
      </c>
      <c r="N76" s="27">
        <v>1.0</v>
      </c>
      <c r="O76" s="27">
        <v>1.0</v>
      </c>
      <c r="P76" s="27">
        <v>0.0</v>
      </c>
      <c r="Q76" s="27">
        <v>1.0</v>
      </c>
      <c r="R76" s="23"/>
      <c r="S76" s="25"/>
      <c r="T76" s="28">
        <v>13.0</v>
      </c>
      <c r="U76" s="27">
        <v>1.0</v>
      </c>
      <c r="V76" s="27">
        <v>1.0</v>
      </c>
      <c r="W76" s="27">
        <v>1.0</v>
      </c>
      <c r="X76" s="27">
        <v>1.0</v>
      </c>
      <c r="Y76" s="27">
        <v>1.0</v>
      </c>
      <c r="Z76" s="27">
        <v>1.0</v>
      </c>
      <c r="AA76" s="23"/>
      <c r="AB76" s="25"/>
      <c r="AC76" s="28">
        <v>13.0</v>
      </c>
      <c r="AD76" s="27">
        <v>0.0</v>
      </c>
      <c r="AE76" s="27">
        <v>0.0</v>
      </c>
      <c r="AF76" s="27">
        <v>0.0</v>
      </c>
      <c r="AG76" s="27">
        <v>1.0</v>
      </c>
      <c r="AH76" s="27">
        <v>1.0</v>
      </c>
      <c r="AI76" s="27">
        <v>1.0</v>
      </c>
    </row>
    <row r="77" ht="14.25" customHeight="1">
      <c r="A77" s="25"/>
      <c r="B77" s="28">
        <v>19.0</v>
      </c>
      <c r="C77" s="27">
        <v>1.0</v>
      </c>
      <c r="D77" s="27">
        <v>0.0</v>
      </c>
      <c r="E77" s="27">
        <v>1.0</v>
      </c>
      <c r="F77" s="27">
        <v>0.0</v>
      </c>
      <c r="G77" s="27">
        <v>1.0</v>
      </c>
      <c r="H77" s="27">
        <v>1.0</v>
      </c>
      <c r="I77" s="23"/>
      <c r="J77" s="25"/>
      <c r="K77" s="28">
        <v>19.0</v>
      </c>
      <c r="L77" s="27">
        <v>0.0</v>
      </c>
      <c r="M77" s="27">
        <v>0.0</v>
      </c>
      <c r="N77" s="27">
        <v>0.0</v>
      </c>
      <c r="O77" s="27">
        <v>1.0</v>
      </c>
      <c r="P77" s="27">
        <v>1.0</v>
      </c>
      <c r="Q77" s="27">
        <v>1.0</v>
      </c>
      <c r="R77" s="23"/>
      <c r="S77" s="25"/>
      <c r="T77" s="28">
        <v>19.0</v>
      </c>
      <c r="U77" s="27">
        <v>0.0</v>
      </c>
      <c r="V77" s="27">
        <v>0.0</v>
      </c>
      <c r="W77" s="27">
        <v>0.0</v>
      </c>
      <c r="X77" s="27">
        <v>0.0</v>
      </c>
      <c r="Y77" s="27">
        <v>1.0</v>
      </c>
      <c r="Z77" s="27">
        <v>1.0</v>
      </c>
      <c r="AA77" s="23"/>
      <c r="AB77" s="25"/>
      <c r="AC77" s="28">
        <v>19.0</v>
      </c>
      <c r="AD77" s="27">
        <v>1.0</v>
      </c>
      <c r="AE77" s="27">
        <v>1.0</v>
      </c>
      <c r="AF77" s="27">
        <v>0.0</v>
      </c>
      <c r="AG77" s="27">
        <v>1.0</v>
      </c>
      <c r="AH77" s="27">
        <v>0.0</v>
      </c>
      <c r="AI77" s="27">
        <v>1.0</v>
      </c>
    </row>
    <row r="78" ht="14.25" customHeight="1">
      <c r="A78" s="25"/>
      <c r="B78" s="28">
        <v>25.0</v>
      </c>
      <c r="C78" s="27">
        <v>0.0</v>
      </c>
      <c r="D78" s="27">
        <v>0.0</v>
      </c>
      <c r="E78" s="27">
        <v>1.0</v>
      </c>
      <c r="F78" s="27">
        <v>0.0</v>
      </c>
      <c r="G78" s="27">
        <v>0.0</v>
      </c>
      <c r="H78" s="27">
        <v>1.0</v>
      </c>
      <c r="I78" s="23"/>
      <c r="J78" s="25"/>
      <c r="K78" s="28">
        <v>25.0</v>
      </c>
      <c r="L78" s="27">
        <v>0.0</v>
      </c>
      <c r="M78" s="27">
        <v>1.0</v>
      </c>
      <c r="N78" s="27">
        <v>1.0</v>
      </c>
      <c r="O78" s="27">
        <v>0.0</v>
      </c>
      <c r="P78" s="27">
        <v>0.0</v>
      </c>
      <c r="Q78" s="27">
        <v>0.0</v>
      </c>
      <c r="R78" s="23"/>
      <c r="S78" s="25"/>
      <c r="T78" s="28">
        <v>25.0</v>
      </c>
      <c r="U78" s="27">
        <v>0.0</v>
      </c>
      <c r="V78" s="27">
        <v>0.0</v>
      </c>
      <c r="W78" s="27">
        <v>0.0</v>
      </c>
      <c r="X78" s="27">
        <v>0.0</v>
      </c>
      <c r="Y78" s="27">
        <v>1.0</v>
      </c>
      <c r="Z78" s="27">
        <v>1.0</v>
      </c>
      <c r="AA78" s="23"/>
      <c r="AB78" s="25"/>
      <c r="AC78" s="28">
        <v>25.0</v>
      </c>
      <c r="AD78" s="27">
        <v>0.0</v>
      </c>
      <c r="AE78" s="27">
        <v>1.0</v>
      </c>
      <c r="AF78" s="27">
        <v>0.0</v>
      </c>
      <c r="AG78" s="27">
        <v>0.0</v>
      </c>
      <c r="AH78" s="27">
        <v>0.0</v>
      </c>
      <c r="AI78" s="27">
        <v>1.0</v>
      </c>
    </row>
    <row r="79" ht="14.25" customHeight="1">
      <c r="A79" s="25"/>
      <c r="B79" s="28">
        <v>31.0</v>
      </c>
      <c r="C79" s="27">
        <v>1.0</v>
      </c>
      <c r="D79" s="27">
        <v>1.0</v>
      </c>
      <c r="E79" s="27">
        <v>1.0</v>
      </c>
      <c r="F79" s="27">
        <v>0.0</v>
      </c>
      <c r="G79" s="27">
        <v>1.0</v>
      </c>
      <c r="H79" s="27">
        <v>1.0</v>
      </c>
      <c r="I79" s="23"/>
      <c r="J79" s="25"/>
      <c r="K79" s="28">
        <v>31.0</v>
      </c>
      <c r="L79" s="27">
        <v>1.0</v>
      </c>
      <c r="M79" s="27">
        <v>1.0</v>
      </c>
      <c r="N79" s="27">
        <v>0.0</v>
      </c>
      <c r="O79" s="27">
        <v>0.0</v>
      </c>
      <c r="P79" s="27">
        <v>0.0</v>
      </c>
      <c r="Q79" s="27">
        <v>1.0</v>
      </c>
      <c r="R79" s="23"/>
      <c r="S79" s="25"/>
      <c r="T79" s="28">
        <v>31.0</v>
      </c>
      <c r="U79" s="27">
        <v>0.0</v>
      </c>
      <c r="V79" s="27">
        <v>1.0</v>
      </c>
      <c r="W79" s="27">
        <v>1.0</v>
      </c>
      <c r="X79" s="27">
        <v>0.0</v>
      </c>
      <c r="Y79" s="27">
        <v>0.0</v>
      </c>
      <c r="Z79" s="27">
        <v>0.0</v>
      </c>
      <c r="AA79" s="23"/>
      <c r="AB79" s="25"/>
      <c r="AC79" s="28">
        <v>31.0</v>
      </c>
      <c r="AD79" s="27">
        <v>0.0</v>
      </c>
      <c r="AE79" s="27">
        <v>1.0</v>
      </c>
      <c r="AF79" s="27">
        <v>0.0</v>
      </c>
      <c r="AG79" s="27">
        <v>1.0</v>
      </c>
      <c r="AH79" s="27">
        <v>0.0</v>
      </c>
      <c r="AI79" s="27">
        <v>1.0</v>
      </c>
    </row>
    <row r="80" ht="14.25" customHeight="1">
      <c r="A80" s="25"/>
      <c r="B80" s="28">
        <v>37.0</v>
      </c>
      <c r="C80" s="27">
        <v>1.0</v>
      </c>
      <c r="D80" s="27">
        <v>0.0</v>
      </c>
      <c r="E80" s="27">
        <v>0.0</v>
      </c>
      <c r="F80" s="27">
        <v>0.0</v>
      </c>
      <c r="G80" s="27">
        <v>0.0</v>
      </c>
      <c r="H80" s="27">
        <v>0.0</v>
      </c>
      <c r="I80" s="23"/>
      <c r="J80" s="25"/>
      <c r="K80" s="28">
        <v>37.0</v>
      </c>
      <c r="L80" s="27">
        <v>1.0</v>
      </c>
      <c r="M80" s="27">
        <v>1.0</v>
      </c>
      <c r="N80" s="27">
        <v>0.0</v>
      </c>
      <c r="O80" s="27">
        <v>1.0</v>
      </c>
      <c r="P80" s="27">
        <v>0.0</v>
      </c>
      <c r="Q80" s="27">
        <v>1.0</v>
      </c>
      <c r="R80" s="23"/>
      <c r="S80" s="25"/>
      <c r="T80" s="28">
        <v>37.0</v>
      </c>
      <c r="U80" s="27">
        <v>1.0</v>
      </c>
      <c r="V80" s="27">
        <v>0.0</v>
      </c>
      <c r="W80" s="27">
        <v>0.0</v>
      </c>
      <c r="X80" s="27">
        <v>1.0</v>
      </c>
      <c r="Y80" s="27">
        <v>1.0</v>
      </c>
      <c r="Z80" s="27">
        <v>0.0</v>
      </c>
      <c r="AA80" s="23"/>
      <c r="AB80" s="25"/>
      <c r="AC80" s="28">
        <v>37.0</v>
      </c>
      <c r="AD80" s="27">
        <v>1.0</v>
      </c>
      <c r="AE80" s="27">
        <v>1.0</v>
      </c>
      <c r="AF80" s="27">
        <v>0.0</v>
      </c>
      <c r="AG80" s="27">
        <v>0.0</v>
      </c>
      <c r="AH80" s="27">
        <v>1.0</v>
      </c>
      <c r="AI80" s="27">
        <v>1.0</v>
      </c>
    </row>
    <row r="81" ht="14.25" customHeight="1">
      <c r="A81" s="25"/>
      <c r="B81" s="28">
        <v>43.0</v>
      </c>
      <c r="C81" s="27">
        <v>1.0</v>
      </c>
      <c r="D81" s="27">
        <v>1.0</v>
      </c>
      <c r="E81" s="27">
        <v>1.0</v>
      </c>
      <c r="F81" s="27">
        <v>0.0</v>
      </c>
      <c r="G81" s="27">
        <v>0.0</v>
      </c>
      <c r="H81" s="27">
        <v>1.0</v>
      </c>
      <c r="I81" s="23"/>
      <c r="J81" s="25"/>
      <c r="K81" s="28">
        <v>43.0</v>
      </c>
      <c r="L81" s="27">
        <v>1.0</v>
      </c>
      <c r="M81" s="27">
        <v>1.0</v>
      </c>
      <c r="N81" s="27">
        <v>0.0</v>
      </c>
      <c r="O81" s="27">
        <v>1.0</v>
      </c>
      <c r="P81" s="27">
        <v>1.0</v>
      </c>
      <c r="Q81" s="27">
        <v>0.0</v>
      </c>
      <c r="R81" s="23"/>
      <c r="S81" s="25"/>
      <c r="T81" s="28">
        <v>43.0</v>
      </c>
      <c r="U81" s="27">
        <v>1.0</v>
      </c>
      <c r="V81" s="27">
        <v>1.0</v>
      </c>
      <c r="W81" s="27">
        <v>1.0</v>
      </c>
      <c r="X81" s="27">
        <v>1.0</v>
      </c>
      <c r="Y81" s="27">
        <v>1.0</v>
      </c>
      <c r="Z81" s="27">
        <v>0.0</v>
      </c>
      <c r="AA81" s="23"/>
      <c r="AB81" s="25"/>
      <c r="AC81" s="28">
        <v>43.0</v>
      </c>
      <c r="AD81" s="27">
        <v>0.0</v>
      </c>
      <c r="AE81" s="27">
        <v>1.0</v>
      </c>
      <c r="AF81" s="27">
        <v>0.0</v>
      </c>
      <c r="AG81" s="27">
        <v>1.0</v>
      </c>
      <c r="AH81" s="27">
        <v>0.0</v>
      </c>
      <c r="AI81" s="27">
        <v>1.0</v>
      </c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</row>
    <row r="83" ht="14.25" customHeight="1">
      <c r="A83" s="20" t="s">
        <v>79</v>
      </c>
      <c r="B83" s="21" t="s">
        <v>30</v>
      </c>
      <c r="C83" s="22">
        <v>1.0</v>
      </c>
      <c r="D83" s="22">
        <v>2.0</v>
      </c>
      <c r="E83" s="22">
        <v>3.0</v>
      </c>
      <c r="F83" s="22">
        <v>4.0</v>
      </c>
      <c r="G83" s="22">
        <v>5.0</v>
      </c>
      <c r="H83" s="22">
        <v>6.0</v>
      </c>
      <c r="I83" s="23"/>
      <c r="J83" s="20" t="s">
        <v>80</v>
      </c>
      <c r="K83" s="21" t="s">
        <v>30</v>
      </c>
      <c r="L83" s="22">
        <v>1.0</v>
      </c>
      <c r="M83" s="22">
        <v>2.0</v>
      </c>
      <c r="N83" s="22">
        <v>3.0</v>
      </c>
      <c r="O83" s="22">
        <v>4.0</v>
      </c>
      <c r="P83" s="22">
        <v>5.0</v>
      </c>
      <c r="Q83" s="22">
        <v>6.0</v>
      </c>
      <c r="R83" s="23"/>
      <c r="S83" s="20" t="s">
        <v>81</v>
      </c>
      <c r="T83" s="21" t="s">
        <v>30</v>
      </c>
      <c r="U83" s="22">
        <v>1.0</v>
      </c>
      <c r="V83" s="22">
        <v>2.0</v>
      </c>
      <c r="W83" s="22">
        <v>3.0</v>
      </c>
      <c r="X83" s="22">
        <v>4.0</v>
      </c>
      <c r="Y83" s="22">
        <v>5.0</v>
      </c>
      <c r="Z83" s="22">
        <v>6.0</v>
      </c>
      <c r="AA83" s="23"/>
      <c r="AB83" s="20" t="s">
        <v>82</v>
      </c>
      <c r="AC83" s="21" t="s">
        <v>30</v>
      </c>
      <c r="AD83" s="22">
        <v>1.0</v>
      </c>
      <c r="AE83" s="22">
        <v>2.0</v>
      </c>
      <c r="AF83" s="22">
        <v>3.0</v>
      </c>
      <c r="AG83" s="22">
        <v>4.0</v>
      </c>
      <c r="AH83" s="22">
        <v>5.0</v>
      </c>
      <c r="AI83" s="22">
        <v>6.0</v>
      </c>
    </row>
    <row r="84" ht="14.25" customHeight="1">
      <c r="A84" s="25"/>
      <c r="B84" s="26"/>
      <c r="C84" s="27">
        <v>1.0</v>
      </c>
      <c r="D84" s="27">
        <v>0.0</v>
      </c>
      <c r="E84" s="27">
        <v>0.0</v>
      </c>
      <c r="F84" s="27">
        <v>1.0</v>
      </c>
      <c r="G84" s="27">
        <v>0.0</v>
      </c>
      <c r="H84" s="27">
        <v>1.0</v>
      </c>
      <c r="I84" s="23"/>
      <c r="J84" s="25"/>
      <c r="K84" s="26"/>
      <c r="L84" s="27">
        <v>0.0</v>
      </c>
      <c r="M84" s="27">
        <v>1.0</v>
      </c>
      <c r="N84" s="27">
        <v>0.0</v>
      </c>
      <c r="O84" s="27">
        <v>1.0</v>
      </c>
      <c r="P84" s="27">
        <v>0.0</v>
      </c>
      <c r="Q84" s="27">
        <v>1.0</v>
      </c>
      <c r="R84" s="23"/>
      <c r="S84" s="25"/>
      <c r="T84" s="26"/>
      <c r="U84" s="27">
        <v>1.0</v>
      </c>
      <c r="V84" s="27">
        <v>0.0</v>
      </c>
      <c r="W84" s="27">
        <v>1.0</v>
      </c>
      <c r="X84" s="27">
        <v>1.0</v>
      </c>
      <c r="Y84" s="27">
        <v>1.0</v>
      </c>
      <c r="Z84" s="27">
        <v>1.0</v>
      </c>
      <c r="AA84" s="23"/>
      <c r="AB84" s="25"/>
      <c r="AC84" s="26"/>
      <c r="AD84" s="27">
        <v>1.0</v>
      </c>
      <c r="AE84" s="27">
        <v>1.0</v>
      </c>
      <c r="AF84" s="27">
        <v>0.0</v>
      </c>
      <c r="AG84" s="27">
        <v>0.0</v>
      </c>
      <c r="AH84" s="27">
        <v>1.0</v>
      </c>
      <c r="AI84" s="27">
        <v>0.0</v>
      </c>
    </row>
    <row r="85" ht="14.25" customHeight="1">
      <c r="A85" s="25"/>
      <c r="B85" s="28">
        <v>7.0</v>
      </c>
      <c r="C85" s="27">
        <v>0.0</v>
      </c>
      <c r="D85" s="27">
        <v>1.0</v>
      </c>
      <c r="E85" s="27">
        <v>1.0</v>
      </c>
      <c r="F85" s="27">
        <v>1.0</v>
      </c>
      <c r="G85" s="27">
        <v>0.0</v>
      </c>
      <c r="H85" s="27">
        <v>0.0</v>
      </c>
      <c r="I85" s="23"/>
      <c r="J85" s="25"/>
      <c r="K85" s="28">
        <v>7.0</v>
      </c>
      <c r="L85" s="27">
        <v>1.0</v>
      </c>
      <c r="M85" s="27">
        <v>1.0</v>
      </c>
      <c r="N85" s="27">
        <v>0.0</v>
      </c>
      <c r="O85" s="27">
        <v>1.0</v>
      </c>
      <c r="P85" s="27">
        <v>0.0</v>
      </c>
      <c r="Q85" s="27">
        <v>0.0</v>
      </c>
      <c r="R85" s="23"/>
      <c r="S85" s="25"/>
      <c r="T85" s="28">
        <v>7.0</v>
      </c>
      <c r="U85" s="27">
        <v>1.0</v>
      </c>
      <c r="V85" s="27">
        <v>1.0</v>
      </c>
      <c r="W85" s="27">
        <v>1.0</v>
      </c>
      <c r="X85" s="27">
        <v>0.0</v>
      </c>
      <c r="Y85" s="27">
        <v>0.0</v>
      </c>
      <c r="Z85" s="27">
        <v>1.0</v>
      </c>
      <c r="AA85" s="23"/>
      <c r="AB85" s="25"/>
      <c r="AC85" s="28">
        <v>7.0</v>
      </c>
      <c r="AD85" s="27">
        <v>1.0</v>
      </c>
      <c r="AE85" s="27">
        <v>1.0</v>
      </c>
      <c r="AF85" s="27">
        <v>0.0</v>
      </c>
      <c r="AG85" s="27">
        <v>0.0</v>
      </c>
      <c r="AH85" s="27">
        <v>1.0</v>
      </c>
      <c r="AI85" s="27">
        <v>1.0</v>
      </c>
    </row>
    <row r="86" ht="14.25" customHeight="1">
      <c r="A86" s="25"/>
      <c r="B86" s="28">
        <v>13.0</v>
      </c>
      <c r="C86" s="27">
        <v>0.0</v>
      </c>
      <c r="D86" s="27">
        <v>1.0</v>
      </c>
      <c r="E86" s="27">
        <v>0.0</v>
      </c>
      <c r="F86" s="27">
        <v>1.0</v>
      </c>
      <c r="G86" s="27">
        <v>1.0</v>
      </c>
      <c r="H86" s="27">
        <v>1.0</v>
      </c>
      <c r="I86" s="23"/>
      <c r="J86" s="25"/>
      <c r="K86" s="28">
        <v>13.0</v>
      </c>
      <c r="L86" s="27">
        <v>0.0</v>
      </c>
      <c r="M86" s="27">
        <v>0.0</v>
      </c>
      <c r="N86" s="27">
        <v>1.0</v>
      </c>
      <c r="O86" s="27">
        <v>1.0</v>
      </c>
      <c r="P86" s="27">
        <v>1.0</v>
      </c>
      <c r="Q86" s="27">
        <v>0.0</v>
      </c>
      <c r="R86" s="23"/>
      <c r="S86" s="25"/>
      <c r="T86" s="28">
        <v>13.0</v>
      </c>
      <c r="U86" s="27">
        <v>0.0</v>
      </c>
      <c r="V86" s="27">
        <v>0.0</v>
      </c>
      <c r="W86" s="27">
        <v>0.0</v>
      </c>
      <c r="X86" s="27">
        <v>1.0</v>
      </c>
      <c r="Y86" s="27">
        <v>1.0</v>
      </c>
      <c r="Z86" s="27">
        <v>0.0</v>
      </c>
      <c r="AA86" s="23"/>
      <c r="AB86" s="25"/>
      <c r="AC86" s="28">
        <v>13.0</v>
      </c>
      <c r="AD86" s="27">
        <v>1.0</v>
      </c>
      <c r="AE86" s="27">
        <v>1.0</v>
      </c>
      <c r="AF86" s="27">
        <v>0.0</v>
      </c>
      <c r="AG86" s="27">
        <v>1.0</v>
      </c>
      <c r="AH86" s="27">
        <v>0.0</v>
      </c>
      <c r="AI86" s="27">
        <v>0.0</v>
      </c>
    </row>
    <row r="87" ht="14.25" customHeight="1">
      <c r="A87" s="25"/>
      <c r="B87" s="28">
        <v>19.0</v>
      </c>
      <c r="C87" s="27">
        <v>0.0</v>
      </c>
      <c r="D87" s="27">
        <v>1.0</v>
      </c>
      <c r="E87" s="27">
        <v>0.0</v>
      </c>
      <c r="F87" s="27">
        <v>0.0</v>
      </c>
      <c r="G87" s="27">
        <v>0.0</v>
      </c>
      <c r="H87" s="27">
        <v>1.0</v>
      </c>
      <c r="I87" s="23"/>
      <c r="J87" s="25"/>
      <c r="K87" s="28">
        <v>19.0</v>
      </c>
      <c r="L87" s="27">
        <v>1.0</v>
      </c>
      <c r="M87" s="27">
        <v>1.0</v>
      </c>
      <c r="N87" s="27">
        <v>0.0</v>
      </c>
      <c r="O87" s="27">
        <v>1.0</v>
      </c>
      <c r="P87" s="27">
        <v>1.0</v>
      </c>
      <c r="Q87" s="27">
        <v>1.0</v>
      </c>
      <c r="R87" s="23"/>
      <c r="S87" s="25"/>
      <c r="T87" s="28">
        <v>19.0</v>
      </c>
      <c r="U87" s="27">
        <v>0.0</v>
      </c>
      <c r="V87" s="27">
        <v>0.0</v>
      </c>
      <c r="W87" s="27">
        <v>0.0</v>
      </c>
      <c r="X87" s="27">
        <v>1.0</v>
      </c>
      <c r="Y87" s="27">
        <v>0.0</v>
      </c>
      <c r="Z87" s="27">
        <v>1.0</v>
      </c>
      <c r="AA87" s="23"/>
      <c r="AB87" s="25"/>
      <c r="AC87" s="28">
        <v>19.0</v>
      </c>
      <c r="AD87" s="27">
        <v>0.0</v>
      </c>
      <c r="AE87" s="27">
        <v>0.0</v>
      </c>
      <c r="AF87" s="27">
        <v>1.0</v>
      </c>
      <c r="AG87" s="27">
        <v>0.0</v>
      </c>
      <c r="AH87" s="27">
        <v>1.0</v>
      </c>
      <c r="AI87" s="27">
        <v>1.0</v>
      </c>
    </row>
    <row r="88" ht="14.25" customHeight="1">
      <c r="A88" s="25"/>
      <c r="B88" s="28">
        <v>25.0</v>
      </c>
      <c r="C88" s="27">
        <v>0.0</v>
      </c>
      <c r="D88" s="27">
        <v>1.0</v>
      </c>
      <c r="E88" s="27">
        <v>0.0</v>
      </c>
      <c r="F88" s="27">
        <v>0.0</v>
      </c>
      <c r="G88" s="27">
        <v>1.0</v>
      </c>
      <c r="H88" s="27">
        <v>0.0</v>
      </c>
      <c r="I88" s="23"/>
      <c r="J88" s="25"/>
      <c r="K88" s="28">
        <v>25.0</v>
      </c>
      <c r="L88" s="27">
        <v>1.0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3"/>
      <c r="S88" s="25"/>
      <c r="T88" s="28">
        <v>25.0</v>
      </c>
      <c r="U88" s="27">
        <v>0.0</v>
      </c>
      <c r="V88" s="27">
        <v>0.0</v>
      </c>
      <c r="W88" s="27">
        <v>0.0</v>
      </c>
      <c r="X88" s="27">
        <v>0.0</v>
      </c>
      <c r="Y88" s="27">
        <v>1.0</v>
      </c>
      <c r="Z88" s="27">
        <v>0.0</v>
      </c>
      <c r="AA88" s="23"/>
      <c r="AB88" s="25"/>
      <c r="AC88" s="28">
        <v>25.0</v>
      </c>
      <c r="AD88" s="27">
        <v>1.0</v>
      </c>
      <c r="AE88" s="27">
        <v>0.0</v>
      </c>
      <c r="AF88" s="27">
        <v>1.0</v>
      </c>
      <c r="AG88" s="27">
        <v>1.0</v>
      </c>
      <c r="AH88" s="27">
        <v>1.0</v>
      </c>
      <c r="AI88" s="27">
        <v>1.0</v>
      </c>
    </row>
    <row r="89" ht="14.25" customHeight="1">
      <c r="A89" s="25"/>
      <c r="B89" s="28">
        <v>31.0</v>
      </c>
      <c r="C89" s="27">
        <v>1.0</v>
      </c>
      <c r="D89" s="27">
        <v>1.0</v>
      </c>
      <c r="E89" s="27">
        <v>1.0</v>
      </c>
      <c r="F89" s="27">
        <v>0.0</v>
      </c>
      <c r="G89" s="27">
        <v>0.0</v>
      </c>
      <c r="H89" s="27">
        <v>0.0</v>
      </c>
      <c r="I89" s="23"/>
      <c r="J89" s="25"/>
      <c r="K89" s="28">
        <v>31.0</v>
      </c>
      <c r="L89" s="27">
        <v>1.0</v>
      </c>
      <c r="M89" s="27">
        <v>1.0</v>
      </c>
      <c r="N89" s="27">
        <v>1.0</v>
      </c>
      <c r="O89" s="27">
        <v>1.0</v>
      </c>
      <c r="P89" s="27">
        <v>0.0</v>
      </c>
      <c r="Q89" s="27">
        <v>1.0</v>
      </c>
      <c r="R89" s="23"/>
      <c r="S89" s="25"/>
      <c r="T89" s="28">
        <v>31.0</v>
      </c>
      <c r="U89" s="27">
        <v>1.0</v>
      </c>
      <c r="V89" s="27">
        <v>0.0</v>
      </c>
      <c r="W89" s="27">
        <v>0.0</v>
      </c>
      <c r="X89" s="27">
        <v>0.0</v>
      </c>
      <c r="Y89" s="27">
        <v>0.0</v>
      </c>
      <c r="Z89" s="27">
        <v>1.0</v>
      </c>
      <c r="AA89" s="23"/>
      <c r="AB89" s="25"/>
      <c r="AC89" s="28">
        <v>31.0</v>
      </c>
      <c r="AD89" s="27">
        <v>0.0</v>
      </c>
      <c r="AE89" s="27">
        <v>0.0</v>
      </c>
      <c r="AF89" s="27">
        <v>0.0</v>
      </c>
      <c r="AG89" s="27">
        <v>1.0</v>
      </c>
      <c r="AH89" s="27">
        <v>1.0</v>
      </c>
      <c r="AI89" s="27">
        <v>1.0</v>
      </c>
    </row>
    <row r="90" ht="14.25" customHeight="1">
      <c r="A90" s="25"/>
      <c r="B90" s="28">
        <v>37.0</v>
      </c>
      <c r="C90" s="27">
        <v>0.0</v>
      </c>
      <c r="D90" s="27">
        <v>0.0</v>
      </c>
      <c r="E90" s="27">
        <v>0.0</v>
      </c>
      <c r="F90" s="27">
        <v>0.0</v>
      </c>
      <c r="G90" s="27">
        <v>1.0</v>
      </c>
      <c r="H90" s="27">
        <v>1.0</v>
      </c>
      <c r="I90" s="23"/>
      <c r="J90" s="25"/>
      <c r="K90" s="28">
        <v>37.0</v>
      </c>
      <c r="L90" s="27">
        <v>1.0</v>
      </c>
      <c r="M90" s="27">
        <v>1.0</v>
      </c>
      <c r="N90" s="27">
        <v>0.0</v>
      </c>
      <c r="O90" s="27">
        <v>1.0</v>
      </c>
      <c r="P90" s="27">
        <v>1.0</v>
      </c>
      <c r="Q90" s="27">
        <v>0.0</v>
      </c>
      <c r="R90" s="23"/>
      <c r="S90" s="25"/>
      <c r="T90" s="28">
        <v>37.0</v>
      </c>
      <c r="U90" s="27">
        <v>0.0</v>
      </c>
      <c r="V90" s="27">
        <v>1.0</v>
      </c>
      <c r="W90" s="27">
        <v>1.0</v>
      </c>
      <c r="X90" s="27">
        <v>1.0</v>
      </c>
      <c r="Y90" s="27">
        <v>1.0</v>
      </c>
      <c r="Z90" s="27">
        <v>0.0</v>
      </c>
      <c r="AA90" s="23"/>
      <c r="AB90" s="25"/>
      <c r="AC90" s="28">
        <v>37.0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1.0</v>
      </c>
    </row>
    <row r="91" ht="14.25" customHeight="1">
      <c r="A91" s="25"/>
      <c r="B91" s="28">
        <v>43.0</v>
      </c>
      <c r="C91" s="27">
        <v>1.0</v>
      </c>
      <c r="D91" s="27">
        <v>1.0</v>
      </c>
      <c r="E91" s="27">
        <v>1.0</v>
      </c>
      <c r="F91" s="27">
        <v>1.0</v>
      </c>
      <c r="G91" s="27">
        <v>0.0</v>
      </c>
      <c r="H91" s="27">
        <v>1.0</v>
      </c>
      <c r="I91" s="23"/>
      <c r="J91" s="25"/>
      <c r="K91" s="28">
        <v>43.0</v>
      </c>
      <c r="L91" s="27">
        <v>0.0</v>
      </c>
      <c r="M91" s="27">
        <v>0.0</v>
      </c>
      <c r="N91" s="27">
        <v>1.0</v>
      </c>
      <c r="O91" s="27">
        <v>1.0</v>
      </c>
      <c r="P91" s="27">
        <v>0.0</v>
      </c>
      <c r="Q91" s="27">
        <v>1.0</v>
      </c>
      <c r="R91" s="23"/>
      <c r="S91" s="25"/>
      <c r="T91" s="28">
        <v>43.0</v>
      </c>
      <c r="U91" s="27">
        <v>1.0</v>
      </c>
      <c r="V91" s="27">
        <v>1.0</v>
      </c>
      <c r="W91" s="27">
        <v>0.0</v>
      </c>
      <c r="X91" s="27">
        <v>1.0</v>
      </c>
      <c r="Y91" s="27">
        <v>0.0</v>
      </c>
      <c r="Z91" s="27">
        <v>1.0</v>
      </c>
      <c r="AA91" s="23"/>
      <c r="AB91" s="25"/>
      <c r="AC91" s="28">
        <v>43.0</v>
      </c>
      <c r="AD91" s="27">
        <v>1.0</v>
      </c>
      <c r="AE91" s="27">
        <v>1.0</v>
      </c>
      <c r="AF91" s="27">
        <v>0.0</v>
      </c>
      <c r="AG91" s="27">
        <v>0.0</v>
      </c>
      <c r="AH91" s="27">
        <v>1.0</v>
      </c>
      <c r="AI91" s="27">
        <v>0.0</v>
      </c>
    </row>
    <row r="92" ht="14.2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1"/>
    </row>
    <row r="93" ht="14.25" customHeight="1"/>
    <row r="94" ht="14.25" customHeight="1">
      <c r="F94" s="32" t="s">
        <v>83</v>
      </c>
      <c r="G94" s="33"/>
      <c r="H94" s="33"/>
      <c r="I94" s="34"/>
      <c r="J94" s="35" t="s">
        <v>84</v>
      </c>
      <c r="K94" s="33"/>
      <c r="L94" s="33"/>
      <c r="M94" s="34"/>
      <c r="N94" s="36" t="s">
        <v>85</v>
      </c>
      <c r="O94" s="33"/>
      <c r="P94" s="33"/>
      <c r="Q94" s="34"/>
      <c r="R94" s="16"/>
      <c r="S94" s="16"/>
      <c r="T94" s="37" t="s">
        <v>86</v>
      </c>
      <c r="U94" s="33"/>
      <c r="V94" s="33"/>
      <c r="W94" s="33"/>
      <c r="X94" s="33"/>
      <c r="Y94" s="34"/>
      <c r="Z94" s="38" t="s">
        <v>87</v>
      </c>
      <c r="AA94" s="33"/>
      <c r="AB94" s="33"/>
      <c r="AC94" s="33"/>
      <c r="AD94" s="33"/>
      <c r="AE94" s="34"/>
      <c r="AF94" s="39" t="s">
        <v>88</v>
      </c>
      <c r="AG94" s="33"/>
      <c r="AH94" s="33"/>
      <c r="AI94" s="33"/>
      <c r="AJ94" s="33"/>
      <c r="AK94" s="34"/>
    </row>
    <row r="95" ht="14.25" customHeight="1">
      <c r="E95" s="4">
        <v>0.0</v>
      </c>
      <c r="F95" s="40" t="s">
        <v>89</v>
      </c>
      <c r="G95" s="13"/>
      <c r="H95" s="13"/>
      <c r="I95" s="13"/>
      <c r="J95" s="41" t="s">
        <v>90</v>
      </c>
      <c r="K95" s="42"/>
      <c r="L95" s="42"/>
      <c r="M95" s="42"/>
      <c r="N95" s="16" t="str">
        <f t="array" ref="N95">TEXTJOIN("",TRUE, MID($J$95,E,1))</f>
        <v>011100000000001010101001011110100001010101010101</v>
      </c>
      <c r="O95" s="16"/>
      <c r="P95" s="16"/>
      <c r="Q95" s="16"/>
      <c r="R95" s="16"/>
      <c r="S95" s="16"/>
      <c r="T95" s="6" t="str">
        <f t="array" ref="T95">TEXTJOIN("",TRUE,--(MID(N95,ROW(INDIRECT("1:48")),1)&lt;&gt;MID(K_1,ROW(INDIRECT("1:48")),1)))</f>
        <v>011010110000000001000110101000010101110011110000</v>
      </c>
      <c r="U95" s="6"/>
      <c r="V95" s="6"/>
      <c r="W95" s="6"/>
      <c r="X95" s="6"/>
      <c r="Y95" s="6"/>
      <c r="Z95" s="43" t="s">
        <v>91</v>
      </c>
      <c r="AA95" s="43"/>
      <c r="AB95" s="43"/>
      <c r="AC95" s="43"/>
      <c r="AD95" s="43"/>
      <c r="AE95" s="43"/>
      <c r="AF95" s="8" t="str">
        <f t="shared" ref="AF95:AF110" si="1">MID($Z95,16,1)&amp;MID($Z95,7,1)&amp;MID($Z95,20,1)&amp;MID($Z95,21,1)&amp;
MID($Z95,29,1)&amp;MID($Z95,12,1)&amp;MID($Z95,28,1)&amp;MID($Z95,17,1)&amp;
MID($Z95,1,1)&amp;MID($Z95,15,1)&amp;MID($Z95,23,1)&amp;MID($Z95,26,1)&amp;
MID($Z95,5,1)&amp;MID($Z95,18,1)&amp;MID($Z95,31,1)&amp;MID($Z95,10,1)&amp;
MID($Z95,2,1)&amp;MID($Z95,8,1)&amp;MID($Z95,24,1)&amp;MID($Z95,14,1)&amp;
MID($Z95,32,1)&amp;MID($Z95,27,1)&amp;MID($Z95,3,1)&amp;MID($Z95,9,1)&amp;
MID($Z95,19,1)&amp;MID($Z95,13,1)&amp;MID($Z95,30,1)&amp;MID($Z95,6,1)&amp;
MID($Z95,22,1)&amp;MID($Z95,11,1)&amp;MID($Z95,4,1)&amp;MID($Z95,25,1)</f>
        <v>10010111110100010110000110011010</v>
      </c>
      <c r="AG95" s="8"/>
      <c r="AH95" s="8"/>
      <c r="AI95" s="8"/>
      <c r="AJ95" s="8"/>
      <c r="AK95" s="8"/>
    </row>
    <row r="96" ht="14.25" customHeight="1">
      <c r="E96" s="4">
        <v>1.0</v>
      </c>
      <c r="F96" s="40" t="s">
        <v>90</v>
      </c>
      <c r="G96" s="13"/>
      <c r="H96" s="13"/>
      <c r="I96" s="13"/>
      <c r="J96" s="42" t="str">
        <f t="array" ref="J96">TEXTJOIN("",TRUE,IF(MID(F95,ROW(INDIRECT("1:"&amp;LEN(F95))),1)&lt;&gt;MID(AF95,ROW(INDIRECT("1:"&amp;LEN(AF95))),1),"1","0"))</f>
        <v>00001111001011111010110110011010</v>
      </c>
      <c r="K96" s="42"/>
      <c r="L96" s="42"/>
      <c r="M96" s="42"/>
      <c r="N96" s="16" t="str">
        <f t="array" ref="N96">TEXTJOIN("",TRUE, MID($J$96,E,1))</f>
        <v>000001011110100101011111110101011011110011110100</v>
      </c>
      <c r="O96" s="16"/>
      <c r="P96" s="16"/>
      <c r="Q96" s="16"/>
      <c r="R96" s="16"/>
      <c r="S96" s="16"/>
      <c r="T96" s="6" t="str">
        <f t="array" ref="T96">TEXTJOIN("",TRUE,--(MID(N96,ROW(INDIRECT("1:48")),1)&lt;&gt;MID(K_2,ROW(INDIRECT("1:48")),1)))</f>
        <v>011011000100011110000110111100000101011010010010</v>
      </c>
      <c r="U96" s="6"/>
      <c r="V96" s="6"/>
      <c r="W96" s="6"/>
      <c r="X96" s="6"/>
      <c r="Y96" s="6"/>
      <c r="Z96" s="43" t="s">
        <v>92</v>
      </c>
      <c r="AA96" s="43"/>
      <c r="AB96" s="43"/>
      <c r="AC96" s="43"/>
      <c r="AD96" s="43"/>
      <c r="AE96" s="43"/>
      <c r="AF96" s="8" t="str">
        <f t="shared" si="1"/>
        <v>10001000010010001000110100001011</v>
      </c>
      <c r="AG96" s="8"/>
      <c r="AH96" s="8"/>
      <c r="AI96" s="8"/>
      <c r="AJ96" s="8"/>
      <c r="AK96" s="8"/>
    </row>
    <row r="97" ht="14.25" customHeight="1">
      <c r="E97" s="4">
        <v>2.0</v>
      </c>
      <c r="F97" s="13" t="str">
        <f t="array" ref="F97">TEXTJOIN("",TRUE,IF(MID(F95,ROW(INDIRECT("1:"&amp;LEN(F95))),1)&lt;&gt;MID(AF95,ROW(INDIRECT("1:"&amp;LEN(AF95))),1),"1","0"))</f>
        <v>00001111001011111010110110011010</v>
      </c>
      <c r="G97" s="13"/>
      <c r="H97" s="13"/>
      <c r="I97" s="13"/>
      <c r="J97" s="42" t="str">
        <f t="array" ref="J97">TEXTJOIN("",TRUE,IF(MID(F96,ROW(INDIRECT("1:"&amp;LEN(F96))),1)&lt;&gt;MID(AF96,ROW(INDIRECT("1:"&amp;LEN(AF96))),1),"1","0"))</f>
        <v>01101000000111000111110110100001</v>
      </c>
      <c r="K97" s="42"/>
      <c r="L97" s="42"/>
      <c r="M97" s="42"/>
      <c r="N97" s="16" t="str">
        <f t="array" ref="N97">TEXTJOIN("",TRUE, MID($J$97,E,1))</f>
        <v>101101010000000011111000001111111011110100000010</v>
      </c>
      <c r="O97" s="16"/>
      <c r="P97" s="16"/>
      <c r="Q97" s="16"/>
      <c r="R97" s="16"/>
      <c r="S97" s="16"/>
      <c r="T97" s="6" t="str">
        <f t="array" ref="T97">TEXTJOIN("",TRUE,--(MID(N97,ROW(INDIRECT("1:48")),1)&lt;&gt;MID(K_3,ROW(INDIRECT("1:48")),1)))</f>
        <v>111000001111110001110010100010110001000111010000</v>
      </c>
      <c r="U97" s="6"/>
      <c r="V97" s="6"/>
      <c r="W97" s="6"/>
      <c r="X97" s="6"/>
      <c r="Y97" s="6"/>
      <c r="Z97" s="43" t="s">
        <v>93</v>
      </c>
      <c r="AA97" s="43"/>
      <c r="AB97" s="43"/>
      <c r="AC97" s="43"/>
      <c r="AD97" s="43"/>
      <c r="AE97" s="43"/>
      <c r="AF97" s="8" t="str">
        <f t="shared" si="1"/>
        <v>11011010001110110010011010010010</v>
      </c>
      <c r="AG97" s="8"/>
      <c r="AH97" s="8"/>
      <c r="AI97" s="8"/>
      <c r="AJ97" s="8"/>
      <c r="AK97" s="8"/>
    </row>
    <row r="98" ht="14.25" customHeight="1">
      <c r="E98" s="4">
        <v>3.0</v>
      </c>
      <c r="F98" s="13" t="str">
        <f t="array" ref="F98">TEXTJOIN("",TRUE,IF(MID(F96,ROW(INDIRECT("1:"&amp;LEN(F96))),1)&lt;&gt;MID(AF96,ROW(INDIRECT("1:"&amp;LEN(AF96))),1),"1","0"))</f>
        <v>01101000000111000111110110100001</v>
      </c>
      <c r="G98" s="13"/>
      <c r="H98" s="13"/>
      <c r="I98" s="13"/>
      <c r="J98" s="42" t="str">
        <f t="array" ref="J98">TEXTJOIN("",TRUE,IF(MID(F97,ROW(INDIRECT("1:"&amp;LEN(F97))),1)&lt;&gt;MID(AF97,ROW(INDIRECT("1:"&amp;LEN(AF97))),1),"1","0"))</f>
        <v>11010101000101001000101100001000</v>
      </c>
      <c r="K98" s="42"/>
      <c r="L98" s="42"/>
      <c r="M98" s="42"/>
      <c r="N98" s="16" t="str">
        <f t="array" ref="N98">TEXTJOIN("",TRUE, MID($J$98,E,1))</f>
        <v>011010101010100010101001010001010110100001010001</v>
      </c>
      <c r="O98" s="16"/>
      <c r="P98" s="16"/>
      <c r="Q98" s="16"/>
      <c r="R98" s="16"/>
      <c r="S98" s="16"/>
      <c r="T98" s="6" t="str">
        <f t="array" ref="T98">TEXTJOIN("",TRUE,--(MID(N98,ROW(INDIRECT("1:48")),1)&lt;&gt;MID(K_4,ROW(INDIRECT("1:48")),1)))</f>
        <v>000110000000010101111011111010001110111000000110</v>
      </c>
      <c r="U98" s="6"/>
      <c r="V98" s="6"/>
      <c r="W98" s="6"/>
      <c r="X98" s="6"/>
      <c r="Y98" s="6"/>
      <c r="Z98" s="43" t="s">
        <v>94</v>
      </c>
      <c r="AA98" s="43"/>
      <c r="AB98" s="43"/>
      <c r="AC98" s="43"/>
      <c r="AD98" s="43"/>
      <c r="AE98" s="43"/>
      <c r="AF98" s="8" t="str">
        <f t="shared" si="1"/>
        <v>11110100010010010101000010110010</v>
      </c>
      <c r="AG98" s="8"/>
      <c r="AH98" s="8"/>
      <c r="AI98" s="8"/>
      <c r="AJ98" s="8"/>
      <c r="AK98" s="8"/>
    </row>
    <row r="99" ht="14.25" customHeight="1">
      <c r="E99" s="4">
        <v>4.0</v>
      </c>
      <c r="F99" s="13" t="str">
        <f t="array" ref="F99">TEXTJOIN("",TRUE,IF(MID(F97,ROW(INDIRECT("1:"&amp;LEN(F97))),1)&lt;&gt;MID(AF97,ROW(INDIRECT("1:"&amp;LEN(AF97))),1),"1","0"))</f>
        <v>11010101000101001000101100001000</v>
      </c>
      <c r="G99" s="13"/>
      <c r="H99" s="13"/>
      <c r="I99" s="13"/>
      <c r="J99" s="42" t="str">
        <f t="array" ref="J99">TEXTJOIN("",TRUE,IF(MID(F98,ROW(INDIRECT("1:"&amp;LEN(F98))),1)&lt;&gt;MID(AF98,ROW(INDIRECT("1:"&amp;LEN(AF98))),1),"1","0"))</f>
        <v>10011100010101010010110100010011</v>
      </c>
      <c r="K99" s="42"/>
      <c r="L99" s="42"/>
      <c r="M99" s="42"/>
      <c r="N99" s="16" t="str">
        <f t="array" ref="N99">TEXTJOIN("",TRUE, MID($J$99,E,1))</f>
        <v>110011111000001010101010100101011010100010100111</v>
      </c>
      <c r="O99" s="16"/>
      <c r="P99" s="16"/>
      <c r="Q99" s="16"/>
      <c r="R99" s="16"/>
      <c r="S99" s="16"/>
      <c r="T99" s="6" t="str">
        <f t="array" ref="T99">TEXTJOIN("",TRUE,--(MID(N99,ROW(INDIRECT("1:48")),1)&lt;&gt;MID(K_5,ROW(INDIRECT("1:48")),1)))</f>
        <v>101100110110111010101101100010100100111001100101</v>
      </c>
      <c r="U99" s="6"/>
      <c r="V99" s="6"/>
      <c r="W99" s="6"/>
      <c r="X99" s="6"/>
      <c r="Y99" s="6"/>
      <c r="Z99" s="43" t="s">
        <v>95</v>
      </c>
      <c r="AA99" s="43"/>
      <c r="AB99" s="43"/>
      <c r="AC99" s="43"/>
      <c r="AD99" s="43"/>
      <c r="AE99" s="43"/>
      <c r="AF99" s="8" t="str">
        <f t="shared" si="1"/>
        <v>11011000001100100011011111111101</v>
      </c>
      <c r="AG99" s="8"/>
      <c r="AH99" s="8"/>
      <c r="AI99" s="8"/>
      <c r="AJ99" s="8"/>
      <c r="AK99" s="8"/>
    </row>
    <row r="100" ht="14.25" customHeight="1">
      <c r="E100" s="4">
        <v>5.0</v>
      </c>
      <c r="F100" s="13" t="str">
        <f t="array" ref="F100">TEXTJOIN("",TRUE,IF(MID(F98,ROW(INDIRECT("1:"&amp;LEN(F98))),1)&lt;&gt;MID(AF98,ROW(INDIRECT("1:"&amp;LEN(AF98))),1),"1","0"))</f>
        <v>10011100010101010010110100010011</v>
      </c>
      <c r="G100" s="13"/>
      <c r="H100" s="13"/>
      <c r="I100" s="13"/>
      <c r="J100" s="42" t="str">
        <f t="array" ref="J100">TEXTJOIN("",TRUE,IF(MID(F99,ROW(INDIRECT("1:"&amp;LEN(F99))),1)&lt;&gt;MID(AF99,ROW(INDIRECT("1:"&amp;LEN(AF99))),1),"1","0"))</f>
        <v>00001101001001101011110011110101</v>
      </c>
      <c r="K100" s="42"/>
      <c r="L100" s="42"/>
      <c r="M100" s="42"/>
      <c r="N100" s="16" t="str">
        <f t="array" ref="N100">TEXTJOIN("",TRUE, MID($J$100,E,1))</f>
        <v>100001011010100100001101010111111001011110101010</v>
      </c>
      <c r="O100" s="16"/>
      <c r="P100" s="16"/>
      <c r="Q100" s="16"/>
      <c r="R100" s="16"/>
      <c r="S100" s="16"/>
      <c r="T100" s="6" t="str">
        <f t="array" ref="T100">TEXTJOIN("",TRUE,--(MID(N100,ROW(INDIRECT("1:48")),1)&lt;&gt;MID(K_6,ROW(INDIRECT("1:48")),1)))</f>
        <v>111001100000110000010011011000110101001011101111</v>
      </c>
      <c r="U100" s="6"/>
      <c r="V100" s="6"/>
      <c r="W100" s="6"/>
      <c r="X100" s="6"/>
      <c r="Y100" s="6"/>
      <c r="Z100" s="43" t="s">
        <v>96</v>
      </c>
      <c r="AA100" s="43"/>
      <c r="AB100" s="43"/>
      <c r="AC100" s="43"/>
      <c r="AD100" s="43"/>
      <c r="AE100" s="43"/>
      <c r="AF100" s="8" t="str">
        <f t="shared" si="1"/>
        <v>10101111110001000011101100100101</v>
      </c>
      <c r="AG100" s="8"/>
      <c r="AH100" s="8"/>
      <c r="AI100" s="8"/>
      <c r="AJ100" s="8"/>
      <c r="AK100" s="8"/>
    </row>
    <row r="101" ht="14.25" customHeight="1">
      <c r="E101" s="4">
        <v>6.0</v>
      </c>
      <c r="F101" s="13" t="str">
        <f t="array" ref="F101">TEXTJOIN("",TRUE,IF(MID(F99,ROW(INDIRECT("1:"&amp;LEN(F99))),1)&lt;&gt;MID(AF99,ROW(INDIRECT("1:"&amp;LEN(AF99))),1),"1","0"))</f>
        <v>00001101001001101011110011110101</v>
      </c>
      <c r="G101" s="13"/>
      <c r="H101" s="13"/>
      <c r="I101" s="13"/>
      <c r="J101" s="42" t="str">
        <f t="array" ref="J101">TEXTJOIN("",TRUE,IF(MID(F100,ROW(INDIRECT("1:"&amp;LEN(F100))),1)&lt;&gt;MID(AF100,ROW(INDIRECT("1:"&amp;LEN(AF100))),1),"1","0"))</f>
        <v>00110011100100010001011000110110</v>
      </c>
      <c r="K101" s="42"/>
      <c r="L101" s="42"/>
      <c r="M101" s="42"/>
      <c r="N101" s="16" t="str">
        <f t="array" ref="N101">TEXTJOIN("",TRUE, MID($J$101,E,1))</f>
        <v>000110100111110010100010100010101100000110101100</v>
      </c>
      <c r="O101" s="16"/>
      <c r="P101" s="16"/>
      <c r="Q101" s="16"/>
      <c r="R101" s="16"/>
      <c r="S101" s="16"/>
      <c r="T101" s="6" t="str">
        <f t="array" ref="T101">TEXTJOIN("",TRUE,--(MID(N101,ROW(INDIRECT("1:48")),1)&lt;&gt;MID(K_7,ROW(INDIRECT("1:48")),1)))</f>
        <v>011101101111100000010101000000000010010101101010</v>
      </c>
      <c r="U101" s="6"/>
      <c r="V101" s="6"/>
      <c r="W101" s="6"/>
      <c r="X101" s="6"/>
      <c r="Y101" s="6"/>
      <c r="Z101" s="43" t="s">
        <v>97</v>
      </c>
      <c r="AA101" s="43"/>
      <c r="AB101" s="43"/>
      <c r="AC101" s="43"/>
      <c r="AD101" s="43"/>
      <c r="AE101" s="43"/>
      <c r="AF101" s="8" t="str">
        <f t="shared" si="1"/>
        <v>01001110010100010010001110100010</v>
      </c>
      <c r="AG101" s="8"/>
      <c r="AH101" s="8"/>
      <c r="AI101" s="8"/>
      <c r="AJ101" s="8"/>
      <c r="AK101" s="8"/>
    </row>
    <row r="102" ht="14.25" customHeight="1">
      <c r="E102" s="4">
        <v>7.0</v>
      </c>
      <c r="F102" s="13" t="str">
        <f t="array" ref="F102">TEXTJOIN("",TRUE,IF(MID(F100,ROW(INDIRECT("1:"&amp;LEN(F100))),1)&lt;&gt;MID(AF100,ROW(INDIRECT("1:"&amp;LEN(AF100))),1),"1","0"))</f>
        <v>00110011100100010001011000110110</v>
      </c>
      <c r="G102" s="13"/>
      <c r="H102" s="13"/>
      <c r="I102" s="13"/>
      <c r="J102" s="42" t="str">
        <f t="array" ref="J102">TEXTJOIN("",TRUE,IF(MID(F101,ROW(INDIRECT("1:"&amp;LEN(F101))),1)&lt;&gt;MID(AF101,ROW(INDIRECT("1:"&amp;LEN(AF101))),1),"1","0"))</f>
        <v>01000011011101111001111101010111</v>
      </c>
      <c r="K102" s="42"/>
      <c r="L102" s="42"/>
      <c r="M102" s="42"/>
      <c r="N102" s="16" t="str">
        <f t="array" ref="N102">TEXTJOIN("",TRUE, MID($J$102,E,1))</f>
        <v>101000000110101110101111110011111110101010101110</v>
      </c>
      <c r="O102" s="16"/>
      <c r="P102" s="16"/>
      <c r="Q102" s="16"/>
      <c r="R102" s="16"/>
      <c r="S102" s="16"/>
      <c r="T102" s="6" t="str">
        <f t="array" ref="T102">TEXTJOIN("",TRUE,--(MID(N102,ROW(INDIRECT("1:48")),1)&lt;&gt;MID(K_8,ROW(INDIRECT("1:48")),1)))</f>
        <v>010101111110001110010101001000110000110100101111</v>
      </c>
      <c r="U102" s="6"/>
      <c r="V102" s="6"/>
      <c r="W102" s="6"/>
      <c r="X102" s="6"/>
      <c r="Y102" s="6"/>
      <c r="Z102" s="43" t="s">
        <v>98</v>
      </c>
      <c r="AA102" s="43"/>
      <c r="AB102" s="43"/>
      <c r="AC102" s="43"/>
      <c r="AD102" s="43"/>
      <c r="AE102" s="43"/>
      <c r="AF102" s="8" t="str">
        <f t="shared" si="1"/>
        <v>01101100111111011110110010111000</v>
      </c>
      <c r="AG102" s="8"/>
      <c r="AH102" s="8"/>
      <c r="AI102" s="8"/>
      <c r="AJ102" s="8"/>
      <c r="AK102" s="8"/>
    </row>
    <row r="103" ht="14.25" customHeight="1">
      <c r="E103" s="4">
        <v>8.0</v>
      </c>
      <c r="F103" s="13" t="str">
        <f t="array" ref="F103">TEXTJOIN("",TRUE,IF(MID(F101,ROW(INDIRECT("1:"&amp;LEN(F101))),1)&lt;&gt;MID(AF101,ROW(INDIRECT("1:"&amp;LEN(AF101))),1),"1","0"))</f>
        <v>01000011011101111001111101010111</v>
      </c>
      <c r="G103" s="13"/>
      <c r="H103" s="13"/>
      <c r="I103" s="13"/>
      <c r="J103" s="42" t="str">
        <f t="array" ref="J103">TEXTJOIN("",TRUE,IF(MID(F102,ROW(INDIRECT("1:"&amp;LEN(F102))),1)&lt;&gt;MID(AF102,ROW(INDIRECT("1:"&amp;LEN(AF102))),1),"1","0"))</f>
        <v>01011111011011001111101010001110</v>
      </c>
      <c r="K103" s="42"/>
      <c r="L103" s="42"/>
      <c r="M103" s="42"/>
      <c r="N103" s="16" t="str">
        <f t="array" ref="N103">TEXTJOIN("",TRUE, MID($J$103,E,1))</f>
        <v>001011111110101101011001011111110101010001011100</v>
      </c>
      <c r="O103" s="16"/>
      <c r="P103" s="16"/>
      <c r="Q103" s="16"/>
      <c r="R103" s="16"/>
      <c r="S103" s="16"/>
      <c r="T103" s="6" t="str">
        <f t="array" ref="T103">TEXTJOIN("",TRUE,--(MID(N103,ROW(INDIRECT("1:48")),1)&lt;&gt;MID(K_9,ROW(INDIRECT("1:48")),1)))</f>
        <v>111011110011000010110010010110001110110001100101</v>
      </c>
      <c r="U103" s="6"/>
      <c r="V103" s="6"/>
      <c r="W103" s="6"/>
      <c r="X103" s="6"/>
      <c r="Y103" s="6"/>
      <c r="Z103" s="43" t="s">
        <v>99</v>
      </c>
      <c r="AA103" s="43"/>
      <c r="AB103" s="43"/>
      <c r="AC103" s="43"/>
      <c r="AD103" s="43"/>
      <c r="AE103" s="43"/>
      <c r="AF103" s="8" t="str">
        <f t="shared" si="1"/>
        <v>11111011000001100000000010110001</v>
      </c>
      <c r="AG103" s="8"/>
      <c r="AH103" s="8"/>
      <c r="AI103" s="8"/>
      <c r="AJ103" s="8"/>
      <c r="AK103" s="8"/>
    </row>
    <row r="104" ht="14.25" customHeight="1">
      <c r="E104" s="4">
        <v>9.0</v>
      </c>
      <c r="F104" s="13" t="str">
        <f t="array" ref="F104">TEXTJOIN("",TRUE,IF(MID(F102,ROW(INDIRECT("1:"&amp;LEN(F102))),1)&lt;&gt;MID(AF102,ROW(INDIRECT("1:"&amp;LEN(AF102))),1),"1","0"))</f>
        <v>01011111011011001111101010001110</v>
      </c>
      <c r="G104" s="13"/>
      <c r="H104" s="13"/>
      <c r="I104" s="13"/>
      <c r="J104" s="42" t="str">
        <f t="array" ref="J104">TEXTJOIN("",TRUE,IF(MID(F103,ROW(INDIRECT("1:"&amp;LEN(F103))),1)&lt;&gt;MID(AF103,ROW(INDIRECT("1:"&amp;LEN(AF103))),1),"1","0"))</f>
        <v>10111000011100011001111111100110</v>
      </c>
      <c r="K104" s="42"/>
      <c r="L104" s="42"/>
      <c r="M104" s="42"/>
      <c r="N104" s="16" t="str">
        <f t="array" ref="N104">TEXTJOIN("",TRUE, MID($J$104,E,1))</f>
        <v>010111110000001110100011110011111111111100001101</v>
      </c>
      <c r="O104" s="16"/>
      <c r="P104" s="16"/>
      <c r="Q104" s="16"/>
      <c r="R104" s="16"/>
      <c r="S104" s="16"/>
      <c r="T104" s="6" t="str">
        <f t="array" ref="T104">TEXTJOIN("",TRUE,--(MID(N104,ROW(INDIRECT("1:48")),1)&lt;&gt;MID(K_10,ROW(INDIRECT("1:48")),1)))</f>
        <v>111011101111000011100100101011001110001001111011</v>
      </c>
      <c r="U104" s="6"/>
      <c r="V104" s="6"/>
      <c r="W104" s="6"/>
      <c r="X104" s="6"/>
      <c r="Y104" s="6"/>
      <c r="Z104" s="43" t="s">
        <v>100</v>
      </c>
      <c r="AA104" s="43"/>
      <c r="AB104" s="43"/>
      <c r="AC104" s="43"/>
      <c r="AD104" s="43"/>
      <c r="AE104" s="43"/>
      <c r="AF104" s="8" t="str">
        <f t="shared" si="1"/>
        <v>11010101000101010000100011100100</v>
      </c>
      <c r="AG104" s="8"/>
      <c r="AH104" s="8"/>
      <c r="AI104" s="8"/>
      <c r="AJ104" s="8"/>
      <c r="AK104" s="8"/>
    </row>
    <row r="105" ht="14.25" customHeight="1">
      <c r="E105" s="4">
        <v>10.0</v>
      </c>
      <c r="F105" s="13" t="str">
        <f t="array" ref="F105">TEXTJOIN("",TRUE,IF(MID(F103,ROW(INDIRECT("1:"&amp;LEN(F103))),1)&lt;&gt;MID(AF103,ROW(INDIRECT("1:"&amp;LEN(AF103))),1),"1","0"))</f>
        <v>10111000011100011001111111100110</v>
      </c>
      <c r="G105" s="13"/>
      <c r="H105" s="13"/>
      <c r="I105" s="13"/>
      <c r="J105" s="42" t="str">
        <f t="array" ref="J105">TEXTJOIN("",TRUE,IF(MID(F104,ROW(INDIRECT("1:"&amp;LEN(F104))),1)&lt;&gt;MID(AF104,ROW(INDIRECT("1:"&amp;LEN(AF104))),1),"1","0"))</f>
        <v>10001010011110011111001001101010</v>
      </c>
      <c r="K105" s="42"/>
      <c r="L105" s="42"/>
      <c r="M105" s="42"/>
      <c r="N105" s="16" t="str">
        <f t="array" ref="N105">TEXTJOIN("",TRUE, MID($J$105,E,1))</f>
        <v>010001010100001111110011111110100100001101010101</v>
      </c>
      <c r="O105" s="16"/>
      <c r="P105" s="16"/>
      <c r="Q105" s="16"/>
      <c r="R105" s="16"/>
      <c r="S105" s="16"/>
      <c r="T105" s="6" t="str">
        <f t="array" ref="T105">TEXTJOIN("",TRUE,--(MID(N105,ROW(INDIRECT("1:48")),1)&lt;&gt;MID(K_11,ROW(INDIRECT("1:48")),1)))</f>
        <v>011001000001110000110000111101111100101011101011</v>
      </c>
      <c r="U105" s="6"/>
      <c r="V105" s="6"/>
      <c r="W105" s="6"/>
      <c r="X105" s="6"/>
      <c r="Y105" s="6"/>
      <c r="Z105" s="43" t="s">
        <v>101</v>
      </c>
      <c r="AA105" s="43"/>
      <c r="AB105" s="43"/>
      <c r="AC105" s="43"/>
      <c r="AD105" s="43"/>
      <c r="AE105" s="43"/>
      <c r="AF105" s="8" t="str">
        <f t="shared" si="1"/>
        <v>11111100111101100111000101000110</v>
      </c>
      <c r="AG105" s="8"/>
      <c r="AH105" s="8"/>
      <c r="AI105" s="8"/>
      <c r="AJ105" s="8"/>
      <c r="AK105" s="8"/>
    </row>
    <row r="106" ht="14.25" customHeight="1">
      <c r="E106" s="4">
        <v>11.0</v>
      </c>
      <c r="F106" s="13" t="str">
        <f t="array" ref="F106">TEXTJOIN("",TRUE,IF(MID(F104,ROW(INDIRECT("1:"&amp;LEN(F104))),1)&lt;&gt;MID(AF104,ROW(INDIRECT("1:"&amp;LEN(AF104))),1),"1","0"))</f>
        <v>10001010011110011111001001101010</v>
      </c>
      <c r="G106" s="13"/>
      <c r="H106" s="13"/>
      <c r="I106" s="13"/>
      <c r="J106" s="42" t="str">
        <f t="array" ref="J106">TEXTJOIN("",TRUE,IF(MID(F105,ROW(INDIRECT("1:"&amp;LEN(F105))),1)&lt;&gt;MID(AF105,ROW(INDIRECT("1:"&amp;LEN(AF105))),1),"1","0"))</f>
        <v>01000100100001111110111010100000</v>
      </c>
      <c r="K106" s="42"/>
      <c r="L106" s="42"/>
      <c r="M106" s="42"/>
      <c r="N106" s="16" t="str">
        <f t="array" ref="N106">TEXTJOIN("",TRUE, MID($J$106,E,1))</f>
        <v>001000001001010000001111111101011101010100000000</v>
      </c>
      <c r="O106" s="16"/>
      <c r="P106" s="16"/>
      <c r="Q106" s="16"/>
      <c r="R106" s="16"/>
      <c r="S106" s="16"/>
      <c r="T106" s="6" t="str">
        <f t="array" ref="T106">TEXTJOIN("",TRUE,--(MID(N106,ROW(INDIRECT("1:48")),1)&lt;&gt;MID(K_12,ROW(INDIRECT("1:48")),1)))</f>
        <v>010100011110010111111010101100001000100111010101</v>
      </c>
      <c r="U106" s="6"/>
      <c r="V106" s="6"/>
      <c r="W106" s="6"/>
      <c r="X106" s="6"/>
      <c r="Y106" s="6"/>
      <c r="Z106" s="43" t="s">
        <v>102</v>
      </c>
      <c r="AA106" s="43"/>
      <c r="AB106" s="43"/>
      <c r="AC106" s="43"/>
      <c r="AD106" s="43"/>
      <c r="AE106" s="43"/>
      <c r="AF106" s="8" t="str">
        <f t="shared" si="1"/>
        <v>01110000010011111010001110100101</v>
      </c>
      <c r="AG106" s="8"/>
      <c r="AH106" s="8"/>
      <c r="AI106" s="8"/>
      <c r="AJ106" s="8"/>
      <c r="AK106" s="8"/>
    </row>
    <row r="107" ht="14.25" customHeight="1">
      <c r="E107" s="4">
        <v>12.0</v>
      </c>
      <c r="F107" s="13" t="str">
        <f t="array" ref="F107">TEXTJOIN("",TRUE,IF(MID(F105,ROW(INDIRECT("1:"&amp;LEN(F105))),1)&lt;&gt;MID(AF105,ROW(INDIRECT("1:"&amp;LEN(AF105))),1),"1","0"))</f>
        <v>01000100100001111110111010100000</v>
      </c>
      <c r="G107" s="13"/>
      <c r="H107" s="13"/>
      <c r="I107" s="13"/>
      <c r="J107" s="42" t="str">
        <f t="array" ref="J107">TEXTJOIN("",TRUE,IF(MID(F106,ROW(INDIRECT("1:"&amp;LEN(F106))),1)&lt;&gt;MID(AF106,ROW(INDIRECT("1:"&amp;LEN(AF106))),1),"1","0"))</f>
        <v>11111010001101100101000111001111</v>
      </c>
      <c r="K107" s="42"/>
      <c r="L107" s="42"/>
      <c r="M107" s="42"/>
      <c r="N107" s="16" t="str">
        <f t="array" ref="N107">TEXTJOIN("",TRUE, MID($J$107,E,1))</f>
        <v>111111110100000110101100001010100011111001011111</v>
      </c>
      <c r="O107" s="16"/>
      <c r="P107" s="16"/>
      <c r="Q107" s="16"/>
      <c r="R107" s="16"/>
      <c r="S107" s="16"/>
      <c r="T107" s="6" t="str">
        <f t="array" ref="T107">TEXTJOIN("",TRUE,--(MID(N107,ROW(INDIRECT("1:48")),1)&lt;&gt;MID(K_13,ROW(INDIRECT("1:48")),1)))</f>
        <v>011010101000010001111101011000011011111010100010</v>
      </c>
      <c r="U107" s="6"/>
      <c r="V107" s="6"/>
      <c r="W107" s="6"/>
      <c r="X107" s="6"/>
      <c r="Y107" s="6"/>
      <c r="Z107" s="43" t="s">
        <v>103</v>
      </c>
      <c r="AA107" s="43"/>
      <c r="AB107" s="43"/>
      <c r="AC107" s="43"/>
      <c r="AD107" s="43"/>
      <c r="AE107" s="43"/>
      <c r="AF107" s="8" t="str">
        <f t="shared" si="1"/>
        <v>01111011111111100010100000000110</v>
      </c>
      <c r="AG107" s="8"/>
      <c r="AH107" s="8"/>
      <c r="AI107" s="8"/>
      <c r="AJ107" s="8"/>
      <c r="AK107" s="8"/>
    </row>
    <row r="108" ht="14.25" customHeight="1">
      <c r="E108" s="4">
        <v>13.0</v>
      </c>
      <c r="F108" s="13" t="str">
        <f t="array" ref="F108">TEXTJOIN("",TRUE,IF(MID(F106,ROW(INDIRECT("1:"&amp;LEN(F106))),1)&lt;&gt;MID(AF106,ROW(INDIRECT("1:"&amp;LEN(AF106))),1),"1","0"))</f>
        <v>11111010001101100101000111001111</v>
      </c>
      <c r="G108" s="13"/>
      <c r="H108" s="13"/>
      <c r="I108" s="13"/>
      <c r="J108" s="42" t="str">
        <f t="array" ref="J108">TEXTJOIN("",TRUE,IF(MID(F107,ROW(INDIRECT("1:"&amp;LEN(F107))),1)&lt;&gt;MID(AF107,ROW(INDIRECT("1:"&amp;LEN(AF107))),1),"1","0"))</f>
        <v>00111111011110011100011010100110</v>
      </c>
      <c r="K108" s="42"/>
      <c r="L108" s="42"/>
      <c r="M108" s="42"/>
      <c r="N108" s="16" t="str">
        <f t="array" ref="N108">TEXTJOIN("",TRUE, MID($J$108,E,1))</f>
        <v>000111111110101111110011111000001101010100001100</v>
      </c>
      <c r="O108" s="16"/>
      <c r="P108" s="16"/>
      <c r="Q108" s="16"/>
      <c r="R108" s="16"/>
      <c r="S108" s="16"/>
      <c r="T108" s="6" t="str">
        <f t="array" ref="T108">TEXTJOIN("",TRUE,--(MID(N108,ROW(INDIRECT("1:48")),1)&lt;&gt;MID(K_14,ROW(INDIRECT("1:48")),1)))</f>
        <v>010010001010100001000100011000110000100010000001</v>
      </c>
      <c r="U108" s="6"/>
      <c r="V108" s="6"/>
      <c r="W108" s="6"/>
      <c r="X108" s="6"/>
      <c r="Y108" s="6"/>
      <c r="Z108" s="43" t="s">
        <v>104</v>
      </c>
      <c r="AA108" s="43"/>
      <c r="AB108" s="43"/>
      <c r="AC108" s="43"/>
      <c r="AD108" s="43"/>
      <c r="AE108" s="43"/>
      <c r="AF108" s="8" t="str">
        <f t="shared" si="1"/>
        <v>01100101111111000111101001001000</v>
      </c>
      <c r="AG108" s="8"/>
      <c r="AH108" s="8"/>
      <c r="AI108" s="8"/>
      <c r="AJ108" s="8"/>
      <c r="AK108" s="8"/>
    </row>
    <row r="109" ht="14.25" customHeight="1">
      <c r="E109" s="4">
        <v>14.0</v>
      </c>
      <c r="F109" s="13" t="str">
        <f t="array" ref="F109">TEXTJOIN("",TRUE,IF(MID(F107,ROW(INDIRECT("1:"&amp;LEN(F107))),1)&lt;&gt;MID(AF107,ROW(INDIRECT("1:"&amp;LEN(AF107))),1),"1","0"))</f>
        <v>00111111011110011100011010100110</v>
      </c>
      <c r="G109" s="13"/>
      <c r="H109" s="13"/>
      <c r="I109" s="13"/>
      <c r="J109" s="42" t="str">
        <f t="array" ref="J109">TEXTJOIN("",TRUE,IF(MID(F108,ROW(INDIRECT("1:"&amp;LEN(F108))),1)&lt;&gt;MID(AF108,ROW(INDIRECT("1:"&amp;LEN(AF108))),1),"1","0"))</f>
        <v>10011111110010100010101110000111</v>
      </c>
      <c r="K109" s="42"/>
      <c r="L109" s="42"/>
      <c r="M109" s="42"/>
      <c r="N109" s="16" t="str">
        <f t="array" ref="N109">TEXTJOIN("",TRUE, MID($J$109,E,1))</f>
        <v>110011111111111001010100000101010111110000001111</v>
      </c>
      <c r="O109" s="16"/>
      <c r="P109" s="16"/>
      <c r="Q109" s="16"/>
      <c r="R109" s="16"/>
      <c r="S109" s="16"/>
      <c r="T109" s="6" t="str">
        <f t="array" ref="T109">TEXTJOIN("",TRUE,--(MID(N109,ROW(INDIRECT("1:48")),1)&lt;&gt;MID(K_15,ROW(INDIRECT("1:48")),1)))</f>
        <v>011100000110111111010001000111110110101110111010</v>
      </c>
      <c r="U109" s="6"/>
      <c r="V109" s="6"/>
      <c r="W109" s="6"/>
      <c r="X109" s="6"/>
      <c r="Y109" s="6"/>
      <c r="Z109" s="43" t="s">
        <v>105</v>
      </c>
      <c r="AA109" s="43"/>
      <c r="AB109" s="43"/>
      <c r="AC109" s="43"/>
      <c r="AD109" s="43"/>
      <c r="AE109" s="43"/>
      <c r="AF109" s="8" t="str">
        <f t="shared" si="1"/>
        <v>01010001001111110001110100010001</v>
      </c>
      <c r="AG109" s="8"/>
      <c r="AH109" s="8"/>
      <c r="AI109" s="8"/>
      <c r="AJ109" s="8"/>
      <c r="AK109" s="8"/>
    </row>
    <row r="110" ht="14.25" customHeight="1">
      <c r="E110" s="4">
        <v>15.0</v>
      </c>
      <c r="F110" s="13" t="str">
        <f t="array" ref="F110">TEXTJOIN("",TRUE,IF(MID(F108,ROW(INDIRECT("1:"&amp;LEN(F108))),1)&lt;&gt;MID(AF108,ROW(INDIRECT("1:"&amp;LEN(AF108))),1),"1","0"))</f>
        <v>10011111110010100010101110000111</v>
      </c>
      <c r="G110" s="13"/>
      <c r="H110" s="13"/>
      <c r="I110" s="13"/>
      <c r="J110" s="42" t="str">
        <f t="array" ref="J110">TEXTJOIN("",TRUE,IF(MID(F109,ROW(INDIRECT("1:"&amp;LEN(F109))),1)&lt;&gt;MID(AF109,ROW(INDIRECT("1:"&amp;LEN(AF109))),1),"1","0"))</f>
        <v>01101110010001101101101110110111</v>
      </c>
      <c r="K110" s="42"/>
      <c r="L110" s="42"/>
      <c r="M110" s="42"/>
      <c r="N110" s="16" t="str">
        <f t="array" ref="N110">TEXTJOIN("",TRUE, MID($J$110,E,1))</f>
        <v>101101011100001000001101011011110111110110101110</v>
      </c>
      <c r="O110" s="16"/>
      <c r="P110" s="16"/>
      <c r="Q110" s="16"/>
      <c r="R110" s="16"/>
      <c r="S110" s="16"/>
      <c r="T110" s="6" t="str">
        <f t="array" ref="T110">TEXTJOIN("",TRUE,--(MID(N110,ROW(INDIRECT("1:48")),1)&lt;&gt;MID(K_16,ROW(INDIRECT("1:48")),1)))</f>
        <v>011111101111111100000110110100110000110111011100</v>
      </c>
      <c r="U110" s="6"/>
      <c r="V110" s="6"/>
      <c r="W110" s="6"/>
      <c r="X110" s="6"/>
      <c r="Y110" s="6"/>
      <c r="Z110" s="43" t="s">
        <v>106</v>
      </c>
      <c r="AA110" s="43"/>
      <c r="AB110" s="43"/>
      <c r="AC110" s="43"/>
      <c r="AD110" s="43"/>
      <c r="AE110" s="43"/>
      <c r="AF110" s="8" t="str">
        <f t="shared" si="1"/>
        <v>11001011111101010010010100101101</v>
      </c>
      <c r="AG110" s="8"/>
      <c r="AH110" s="8"/>
      <c r="AI110" s="8"/>
      <c r="AJ110" s="8"/>
      <c r="AK110" s="8"/>
    </row>
    <row r="111" ht="14.25" customHeight="1">
      <c r="E111" s="4">
        <v>16.0</v>
      </c>
      <c r="F111" s="13" t="str">
        <f t="array" ref="F111">TEXTJOIN("",TRUE,IF(MID(F109,ROW(INDIRECT("1:"&amp;LEN(F109))),1)&lt;&gt;MID(AF109,ROW(INDIRECT("1:"&amp;LEN(AF109))),1),"1","0"))</f>
        <v>01101110010001101101101110110111</v>
      </c>
      <c r="G111" s="13"/>
      <c r="H111" s="13"/>
      <c r="I111" s="13"/>
      <c r="J111" s="42" t="str">
        <f t="array" ref="J111">TEXTJOIN("",TRUE,IF(MID(F110,ROW(INDIRECT("1:"&amp;LEN(F110))),1)&lt;&gt;MID(AF110,ROW(INDIRECT("1:"&amp;LEN(AF110))),1),"1","0"))</f>
        <v>01010100001111110000111010101010</v>
      </c>
      <c r="K111" s="42"/>
      <c r="L111" s="42"/>
      <c r="M111" s="42"/>
      <c r="N111" s="16"/>
      <c r="O111" s="16"/>
      <c r="P111" s="16"/>
      <c r="Q111" s="16"/>
      <c r="R111" s="16"/>
      <c r="S111" s="16"/>
      <c r="T111" s="6"/>
      <c r="U111" s="6"/>
      <c r="V111" s="6"/>
      <c r="W111" s="6"/>
      <c r="X111" s="6"/>
      <c r="Y111" s="6"/>
      <c r="Z111" s="43"/>
      <c r="AA111" s="43"/>
      <c r="AB111" s="43"/>
      <c r="AC111" s="43"/>
      <c r="AD111" s="43"/>
      <c r="AE111" s="43"/>
      <c r="AF111" s="8"/>
      <c r="AG111" s="8"/>
      <c r="AH111" s="8"/>
      <c r="AI111" s="8"/>
      <c r="AJ111" s="8"/>
      <c r="AK111" s="8"/>
    </row>
    <row r="112" ht="14.25" customHeight="1"/>
    <row r="113" ht="14.25" customHeight="1">
      <c r="A113" s="44" t="s">
        <v>107</v>
      </c>
    </row>
    <row r="114" ht="14.25" customHeight="1">
      <c r="B114" s="45">
        <v>14.0</v>
      </c>
      <c r="C114" s="45">
        <v>4.0</v>
      </c>
      <c r="D114" s="45">
        <v>13.0</v>
      </c>
      <c r="E114" s="45">
        <v>1.0</v>
      </c>
      <c r="F114" s="45">
        <v>2.0</v>
      </c>
      <c r="G114" s="45">
        <v>15.0</v>
      </c>
      <c r="H114" s="45">
        <v>11.0</v>
      </c>
      <c r="I114" s="45">
        <v>8.0</v>
      </c>
      <c r="J114" s="45">
        <v>3.0</v>
      </c>
      <c r="K114" s="45">
        <v>10.0</v>
      </c>
      <c r="L114" s="45">
        <v>6.0</v>
      </c>
      <c r="M114" s="45">
        <v>12.0</v>
      </c>
      <c r="N114" s="45">
        <v>5.0</v>
      </c>
      <c r="O114" s="45">
        <v>9.0</v>
      </c>
      <c r="P114" s="45">
        <v>0.0</v>
      </c>
      <c r="Q114" s="45">
        <v>7.0</v>
      </c>
    </row>
    <row r="115" ht="14.25" customHeight="1">
      <c r="B115" s="45">
        <v>0.0</v>
      </c>
      <c r="C115" s="45">
        <v>15.0</v>
      </c>
      <c r="D115" s="45">
        <v>7.0</v>
      </c>
      <c r="E115" s="45">
        <v>4.0</v>
      </c>
      <c r="F115" s="45">
        <v>14.0</v>
      </c>
      <c r="G115" s="45">
        <v>2.0</v>
      </c>
      <c r="H115" s="45">
        <v>13.0</v>
      </c>
      <c r="I115" s="45">
        <v>1.0</v>
      </c>
      <c r="J115" s="45">
        <v>10.0</v>
      </c>
      <c r="K115" s="45">
        <v>6.0</v>
      </c>
      <c r="L115" s="45">
        <v>12.0</v>
      </c>
      <c r="M115" s="45">
        <v>11.0</v>
      </c>
      <c r="N115" s="45">
        <v>9.0</v>
      </c>
      <c r="O115" s="45">
        <v>5.0</v>
      </c>
      <c r="P115" s="45">
        <v>3.0</v>
      </c>
      <c r="Q115" s="45">
        <v>8.0</v>
      </c>
    </row>
    <row r="116" ht="14.25" customHeight="1">
      <c r="B116" s="45">
        <v>4.0</v>
      </c>
      <c r="C116" s="45">
        <v>1.0</v>
      </c>
      <c r="D116" s="45">
        <v>14.0</v>
      </c>
      <c r="E116" s="45">
        <v>8.0</v>
      </c>
      <c r="F116" s="45">
        <v>13.0</v>
      </c>
      <c r="G116" s="45">
        <v>6.0</v>
      </c>
      <c r="H116" s="45">
        <v>2.0</v>
      </c>
      <c r="I116" s="45">
        <v>11.0</v>
      </c>
      <c r="J116" s="45">
        <v>15.0</v>
      </c>
      <c r="K116" s="45">
        <v>12.0</v>
      </c>
      <c r="L116" s="45">
        <v>9.0</v>
      </c>
      <c r="M116" s="45">
        <v>7.0</v>
      </c>
      <c r="N116" s="45">
        <v>3.0</v>
      </c>
      <c r="O116" s="45">
        <v>10.0</v>
      </c>
      <c r="P116" s="45">
        <v>5.0</v>
      </c>
      <c r="Q116" s="45">
        <v>0.0</v>
      </c>
    </row>
    <row r="117" ht="14.25" customHeight="1">
      <c r="B117" s="45">
        <v>15.0</v>
      </c>
      <c r="C117" s="45">
        <v>12.0</v>
      </c>
      <c r="D117" s="45">
        <v>8.0</v>
      </c>
      <c r="E117" s="45">
        <v>2.0</v>
      </c>
      <c r="F117" s="45">
        <v>4.0</v>
      </c>
      <c r="G117" s="45">
        <v>9.0</v>
      </c>
      <c r="H117" s="45">
        <v>1.0</v>
      </c>
      <c r="I117" s="45">
        <v>7.0</v>
      </c>
      <c r="J117" s="45">
        <v>5.0</v>
      </c>
      <c r="K117" s="45">
        <v>11.0</v>
      </c>
      <c r="L117" s="45">
        <v>3.0</v>
      </c>
      <c r="M117" s="45">
        <v>14.0</v>
      </c>
      <c r="N117" s="45">
        <v>10.0</v>
      </c>
      <c r="O117" s="45">
        <v>0.0</v>
      </c>
      <c r="P117" s="45">
        <v>6.0</v>
      </c>
      <c r="Q117" s="45">
        <v>13.0</v>
      </c>
    </row>
    <row r="118" ht="14.25" customHeight="1"/>
    <row r="119" ht="14.25" customHeight="1"/>
    <row r="120" ht="14.25" customHeight="1">
      <c r="B120" s="45">
        <v>15.0</v>
      </c>
      <c r="C120" s="45">
        <v>1.0</v>
      </c>
      <c r="D120" s="45">
        <v>8.0</v>
      </c>
      <c r="E120" s="45">
        <v>14.0</v>
      </c>
      <c r="F120" s="45">
        <v>6.0</v>
      </c>
      <c r="G120" s="45">
        <v>11.0</v>
      </c>
      <c r="H120" s="45">
        <v>3.0</v>
      </c>
      <c r="I120" s="45">
        <v>4.0</v>
      </c>
      <c r="J120" s="45">
        <v>9.0</v>
      </c>
      <c r="K120" s="45">
        <v>7.0</v>
      </c>
      <c r="L120" s="45">
        <v>2.0</v>
      </c>
      <c r="M120" s="45">
        <v>13.0</v>
      </c>
      <c r="N120" s="45">
        <v>12.0</v>
      </c>
      <c r="O120" s="45">
        <v>0.0</v>
      </c>
      <c r="P120" s="45">
        <v>5.0</v>
      </c>
      <c r="Q120" s="45">
        <v>10.0</v>
      </c>
    </row>
    <row r="121" ht="14.25" customHeight="1">
      <c r="B121" s="45">
        <v>3.0</v>
      </c>
      <c r="C121" s="45">
        <v>13.0</v>
      </c>
      <c r="D121" s="45">
        <v>4.0</v>
      </c>
      <c r="E121" s="45">
        <v>7.0</v>
      </c>
      <c r="F121" s="45">
        <v>15.0</v>
      </c>
      <c r="G121" s="45">
        <v>2.0</v>
      </c>
      <c r="H121" s="45">
        <v>8.0</v>
      </c>
      <c r="I121" s="45">
        <v>14.0</v>
      </c>
      <c r="J121" s="45">
        <v>12.0</v>
      </c>
      <c r="K121" s="45">
        <v>0.0</v>
      </c>
      <c r="L121" s="45">
        <v>1.0</v>
      </c>
      <c r="M121" s="45">
        <v>10.0</v>
      </c>
      <c r="N121" s="45">
        <v>6.0</v>
      </c>
      <c r="O121" s="45">
        <v>9.0</v>
      </c>
      <c r="P121" s="45">
        <v>11.0</v>
      </c>
      <c r="Q121" s="45">
        <v>5.0</v>
      </c>
      <c r="AG121" s="4" t="s">
        <v>108</v>
      </c>
    </row>
    <row r="122" ht="14.25" customHeight="1">
      <c r="B122" s="45">
        <v>0.0</v>
      </c>
      <c r="C122" s="45">
        <v>14.0</v>
      </c>
      <c r="D122" s="45">
        <v>7.0</v>
      </c>
      <c r="E122" s="45">
        <v>11.0</v>
      </c>
      <c r="F122" s="45">
        <v>10.0</v>
      </c>
      <c r="G122" s="45">
        <v>4.0</v>
      </c>
      <c r="H122" s="45">
        <v>13.0</v>
      </c>
      <c r="I122" s="45">
        <v>1.0</v>
      </c>
      <c r="J122" s="45">
        <v>5.0</v>
      </c>
      <c r="K122" s="45">
        <v>8.0</v>
      </c>
      <c r="L122" s="45">
        <v>12.0</v>
      </c>
      <c r="M122" s="45">
        <v>6.0</v>
      </c>
      <c r="N122" s="45">
        <v>9.0</v>
      </c>
      <c r="O122" s="45">
        <v>3.0</v>
      </c>
      <c r="P122" s="45">
        <v>2.0</v>
      </c>
      <c r="Q122" s="45">
        <v>15.0</v>
      </c>
      <c r="AG122" s="46" t="s">
        <v>109</v>
      </c>
      <c r="AH122" s="46"/>
      <c r="AI122" s="46"/>
      <c r="AJ122" s="46"/>
      <c r="AK122" s="46"/>
      <c r="AL122" s="46"/>
    </row>
    <row r="123" ht="14.25" customHeight="1">
      <c r="B123" s="45">
        <v>13.0</v>
      </c>
      <c r="C123" s="45">
        <v>8.0</v>
      </c>
      <c r="D123" s="45">
        <v>10.0</v>
      </c>
      <c r="E123" s="45">
        <v>1.0</v>
      </c>
      <c r="F123" s="45">
        <v>3.0</v>
      </c>
      <c r="G123" s="45">
        <v>15.0</v>
      </c>
      <c r="H123" s="45">
        <v>4.0</v>
      </c>
      <c r="I123" s="45">
        <v>2.0</v>
      </c>
      <c r="J123" s="45">
        <v>11.0</v>
      </c>
      <c r="K123" s="45">
        <v>6.0</v>
      </c>
      <c r="L123" s="45">
        <v>7.0</v>
      </c>
      <c r="M123" s="45">
        <v>12.0</v>
      </c>
      <c r="N123" s="45">
        <v>0.0</v>
      </c>
      <c r="O123" s="45">
        <v>5.0</v>
      </c>
      <c r="P123" s="45">
        <v>14.0</v>
      </c>
      <c r="Q123" s="45">
        <v>9.0</v>
      </c>
      <c r="AG123" s="46">
        <v>32.0</v>
      </c>
      <c r="AH123" s="46">
        <v>1.0</v>
      </c>
      <c r="AI123" s="46">
        <v>2.0</v>
      </c>
      <c r="AJ123" s="46">
        <v>3.0</v>
      </c>
      <c r="AK123" s="46">
        <v>4.0</v>
      </c>
      <c r="AL123" s="46">
        <v>5.0</v>
      </c>
    </row>
    <row r="124" ht="14.25" customHeight="1">
      <c r="AG124" s="46">
        <v>4.0</v>
      </c>
      <c r="AH124" s="46">
        <v>5.0</v>
      </c>
      <c r="AI124" s="46">
        <v>6.0</v>
      </c>
      <c r="AJ124" s="46">
        <v>7.0</v>
      </c>
      <c r="AK124" s="46">
        <v>8.0</v>
      </c>
      <c r="AL124" s="46">
        <v>9.0</v>
      </c>
    </row>
    <row r="125" ht="14.25" customHeight="1">
      <c r="AG125" s="46">
        <v>8.0</v>
      </c>
      <c r="AH125" s="46">
        <v>9.0</v>
      </c>
      <c r="AI125" s="46">
        <v>10.0</v>
      </c>
      <c r="AJ125" s="46">
        <v>11.0</v>
      </c>
      <c r="AK125" s="46">
        <v>12.0</v>
      </c>
      <c r="AL125" s="46">
        <v>13.0</v>
      </c>
    </row>
    <row r="126" ht="14.25" customHeight="1">
      <c r="B126" s="45">
        <v>10.0</v>
      </c>
      <c r="C126" s="45">
        <v>0.0</v>
      </c>
      <c r="D126" s="45">
        <v>9.0</v>
      </c>
      <c r="E126" s="45">
        <v>14.0</v>
      </c>
      <c r="F126" s="45">
        <v>6.0</v>
      </c>
      <c r="G126" s="45">
        <v>3.0</v>
      </c>
      <c r="H126" s="45">
        <v>15.0</v>
      </c>
      <c r="I126" s="45">
        <v>5.0</v>
      </c>
      <c r="J126" s="45">
        <v>1.0</v>
      </c>
      <c r="K126" s="45">
        <v>13.0</v>
      </c>
      <c r="L126" s="45">
        <v>12.0</v>
      </c>
      <c r="M126" s="45">
        <v>7.0</v>
      </c>
      <c r="N126" s="45">
        <v>11.0</v>
      </c>
      <c r="O126" s="45">
        <v>4.0</v>
      </c>
      <c r="P126" s="45">
        <v>2.0</v>
      </c>
      <c r="Q126" s="45">
        <v>8.0</v>
      </c>
      <c r="AG126" s="46">
        <v>12.0</v>
      </c>
      <c r="AH126" s="46">
        <v>13.0</v>
      </c>
      <c r="AI126" s="46">
        <v>14.0</v>
      </c>
      <c r="AJ126" s="46">
        <v>15.0</v>
      </c>
      <c r="AK126" s="46">
        <v>16.0</v>
      </c>
      <c r="AL126" s="46">
        <v>17.0</v>
      </c>
    </row>
    <row r="127" ht="14.25" customHeight="1">
      <c r="B127" s="45">
        <v>13.0</v>
      </c>
      <c r="C127" s="45">
        <v>7.0</v>
      </c>
      <c r="D127" s="45">
        <v>0.0</v>
      </c>
      <c r="E127" s="45">
        <v>9.0</v>
      </c>
      <c r="F127" s="45">
        <v>3.0</v>
      </c>
      <c r="G127" s="45">
        <v>4.0</v>
      </c>
      <c r="H127" s="45">
        <v>6.0</v>
      </c>
      <c r="I127" s="45">
        <v>10.0</v>
      </c>
      <c r="J127" s="45">
        <v>2.0</v>
      </c>
      <c r="K127" s="45">
        <v>8.0</v>
      </c>
      <c r="L127" s="45">
        <v>5.0</v>
      </c>
      <c r="M127" s="45">
        <v>14.0</v>
      </c>
      <c r="N127" s="45">
        <v>12.0</v>
      </c>
      <c r="O127" s="45">
        <v>11.0</v>
      </c>
      <c r="P127" s="45">
        <v>15.0</v>
      </c>
      <c r="Q127" s="45">
        <v>1.0</v>
      </c>
      <c r="AG127" s="46">
        <v>16.0</v>
      </c>
      <c r="AH127" s="46">
        <v>17.0</v>
      </c>
      <c r="AI127" s="46">
        <v>18.0</v>
      </c>
      <c r="AJ127" s="46">
        <v>19.0</v>
      </c>
      <c r="AK127" s="46">
        <v>20.0</v>
      </c>
      <c r="AL127" s="46">
        <v>21.0</v>
      </c>
    </row>
    <row r="128" ht="14.25" customHeight="1">
      <c r="B128" s="45">
        <v>13.0</v>
      </c>
      <c r="C128" s="45">
        <v>6.0</v>
      </c>
      <c r="D128" s="45">
        <v>4.0</v>
      </c>
      <c r="E128" s="45">
        <v>9.0</v>
      </c>
      <c r="F128" s="45">
        <v>8.0</v>
      </c>
      <c r="G128" s="45">
        <v>15.0</v>
      </c>
      <c r="H128" s="45">
        <v>3.0</v>
      </c>
      <c r="I128" s="45">
        <v>0.0</v>
      </c>
      <c r="J128" s="45">
        <v>11.0</v>
      </c>
      <c r="K128" s="45">
        <v>1.0</v>
      </c>
      <c r="L128" s="45">
        <v>2.0</v>
      </c>
      <c r="M128" s="45">
        <v>12.0</v>
      </c>
      <c r="N128" s="45">
        <v>5.0</v>
      </c>
      <c r="O128" s="45">
        <v>10.0</v>
      </c>
      <c r="P128" s="45">
        <v>14.0</v>
      </c>
      <c r="Q128" s="45">
        <v>7.0</v>
      </c>
      <c r="AG128" s="46">
        <v>20.0</v>
      </c>
      <c r="AH128" s="46">
        <v>21.0</v>
      </c>
      <c r="AI128" s="46">
        <v>22.0</v>
      </c>
      <c r="AJ128" s="46">
        <v>23.0</v>
      </c>
      <c r="AK128" s="46">
        <v>24.0</v>
      </c>
      <c r="AL128" s="46">
        <v>25.0</v>
      </c>
    </row>
    <row r="129" ht="14.25" customHeight="1">
      <c r="B129" s="45">
        <v>1.0</v>
      </c>
      <c r="C129" s="45">
        <v>10.0</v>
      </c>
      <c r="D129" s="45">
        <v>13.0</v>
      </c>
      <c r="E129" s="45">
        <v>0.0</v>
      </c>
      <c r="F129" s="45">
        <v>6.0</v>
      </c>
      <c r="G129" s="45">
        <v>9.0</v>
      </c>
      <c r="H129" s="45">
        <v>8.0</v>
      </c>
      <c r="I129" s="45">
        <v>7.0</v>
      </c>
      <c r="J129" s="45">
        <v>4.0</v>
      </c>
      <c r="K129" s="45">
        <v>15.0</v>
      </c>
      <c r="L129" s="45">
        <v>14.0</v>
      </c>
      <c r="M129" s="45">
        <v>3.0</v>
      </c>
      <c r="N129" s="45">
        <v>11.0</v>
      </c>
      <c r="O129" s="45">
        <v>5.0</v>
      </c>
      <c r="P129" s="45">
        <v>2.0</v>
      </c>
      <c r="Q129" s="45">
        <v>12.0</v>
      </c>
      <c r="AG129" s="46">
        <v>24.0</v>
      </c>
      <c r="AH129" s="46">
        <v>25.0</v>
      </c>
      <c r="AI129" s="46">
        <v>26.0</v>
      </c>
      <c r="AJ129" s="46">
        <v>27.0</v>
      </c>
      <c r="AK129" s="46">
        <v>28.0</v>
      </c>
      <c r="AL129" s="46">
        <v>29.0</v>
      </c>
    </row>
    <row r="130" ht="14.25" customHeight="1">
      <c r="AG130" s="46">
        <v>28.0</v>
      </c>
      <c r="AH130" s="46">
        <v>29.0</v>
      </c>
      <c r="AI130" s="46">
        <v>30.0</v>
      </c>
      <c r="AJ130" s="46">
        <v>31.0</v>
      </c>
      <c r="AK130" s="46">
        <v>32.0</v>
      </c>
      <c r="AL130" s="46">
        <v>1.0</v>
      </c>
    </row>
    <row r="131" ht="14.25" customHeight="1"/>
    <row r="132" ht="14.25" customHeight="1">
      <c r="B132" s="45">
        <v>7.0</v>
      </c>
      <c r="C132" s="45">
        <v>13.0</v>
      </c>
      <c r="D132" s="45">
        <v>14.0</v>
      </c>
      <c r="E132" s="45">
        <v>3.0</v>
      </c>
      <c r="F132" s="45">
        <v>0.0</v>
      </c>
      <c r="G132" s="45">
        <v>6.0</v>
      </c>
      <c r="H132" s="45">
        <v>9.0</v>
      </c>
      <c r="I132" s="45">
        <v>10.0</v>
      </c>
      <c r="J132" s="45">
        <v>1.0</v>
      </c>
      <c r="K132" s="45">
        <v>2.0</v>
      </c>
      <c r="L132" s="45">
        <v>8.0</v>
      </c>
      <c r="M132" s="45">
        <v>5.0</v>
      </c>
      <c r="N132" s="45">
        <v>11.0</v>
      </c>
      <c r="O132" s="45">
        <v>12.0</v>
      </c>
      <c r="P132" s="45">
        <v>4.0</v>
      </c>
      <c r="Q132" s="45">
        <v>15.0</v>
      </c>
    </row>
    <row r="133" ht="14.25" customHeight="1">
      <c r="B133" s="45">
        <v>13.0</v>
      </c>
      <c r="C133" s="45">
        <v>8.0</v>
      </c>
      <c r="D133" s="45">
        <v>11.0</v>
      </c>
      <c r="E133" s="45">
        <v>5.0</v>
      </c>
      <c r="F133" s="45">
        <v>6.0</v>
      </c>
      <c r="G133" s="45">
        <v>15.0</v>
      </c>
      <c r="H133" s="45">
        <v>0.0</v>
      </c>
      <c r="I133" s="45">
        <v>3.0</v>
      </c>
      <c r="J133" s="45">
        <v>4.0</v>
      </c>
      <c r="K133" s="45">
        <v>7.0</v>
      </c>
      <c r="L133" s="45">
        <v>2.0</v>
      </c>
      <c r="M133" s="45">
        <v>12.0</v>
      </c>
      <c r="N133" s="45">
        <v>1.0</v>
      </c>
      <c r="O133" s="45">
        <v>10.0</v>
      </c>
      <c r="P133" s="45">
        <v>14.0</v>
      </c>
      <c r="Q133" s="45">
        <v>9.0</v>
      </c>
    </row>
    <row r="134" ht="14.25" customHeight="1">
      <c r="B134" s="45">
        <v>10.0</v>
      </c>
      <c r="C134" s="45">
        <v>6.0</v>
      </c>
      <c r="D134" s="45">
        <v>9.0</v>
      </c>
      <c r="E134" s="45">
        <v>0.0</v>
      </c>
      <c r="F134" s="45">
        <v>12.0</v>
      </c>
      <c r="G134" s="45">
        <v>11.0</v>
      </c>
      <c r="H134" s="45">
        <v>7.0</v>
      </c>
      <c r="I134" s="45">
        <v>13.0</v>
      </c>
      <c r="J134" s="45">
        <v>15.0</v>
      </c>
      <c r="K134" s="45">
        <v>1.0</v>
      </c>
      <c r="L134" s="45">
        <v>3.0</v>
      </c>
      <c r="M134" s="45">
        <v>14.0</v>
      </c>
      <c r="N134" s="45">
        <v>5.0</v>
      </c>
      <c r="O134" s="45">
        <v>2.0</v>
      </c>
      <c r="P134" s="45">
        <v>8.0</v>
      </c>
      <c r="Q134" s="45">
        <v>4.0</v>
      </c>
    </row>
    <row r="135" ht="14.25" customHeight="1">
      <c r="B135" s="45">
        <v>3.0</v>
      </c>
      <c r="C135" s="45">
        <v>15.0</v>
      </c>
      <c r="D135" s="45">
        <v>0.0</v>
      </c>
      <c r="E135" s="45">
        <v>6.0</v>
      </c>
      <c r="F135" s="45">
        <v>10.0</v>
      </c>
      <c r="G135" s="45">
        <v>1.0</v>
      </c>
      <c r="H135" s="45">
        <v>13.0</v>
      </c>
      <c r="I135" s="45">
        <v>8.0</v>
      </c>
      <c r="J135" s="45">
        <v>9.0</v>
      </c>
      <c r="K135" s="45">
        <v>4.0</v>
      </c>
      <c r="L135" s="45">
        <v>5.0</v>
      </c>
      <c r="M135" s="45">
        <v>11.0</v>
      </c>
      <c r="N135" s="45">
        <v>12.0</v>
      </c>
      <c r="O135" s="45">
        <v>7.0</v>
      </c>
      <c r="P135" s="45">
        <v>2.0</v>
      </c>
      <c r="Q135" s="45">
        <v>14.0</v>
      </c>
    </row>
    <row r="136" ht="14.25" customHeight="1"/>
    <row r="137" ht="14.25" customHeight="1"/>
    <row r="138" ht="14.25" customHeight="1">
      <c r="B138" s="45">
        <v>2.0</v>
      </c>
      <c r="C138" s="45">
        <v>12.0</v>
      </c>
      <c r="D138" s="45">
        <v>4.0</v>
      </c>
      <c r="E138" s="45">
        <v>1.0</v>
      </c>
      <c r="F138" s="45">
        <v>7.0</v>
      </c>
      <c r="G138" s="45">
        <v>10.0</v>
      </c>
      <c r="H138" s="45">
        <v>11.0</v>
      </c>
      <c r="I138" s="45">
        <v>6.0</v>
      </c>
      <c r="J138" s="45">
        <v>8.0</v>
      </c>
      <c r="K138" s="45">
        <v>5.0</v>
      </c>
      <c r="L138" s="45">
        <v>3.0</v>
      </c>
      <c r="M138" s="45">
        <v>15.0</v>
      </c>
      <c r="N138" s="45">
        <v>13.0</v>
      </c>
      <c r="O138" s="45">
        <v>0.0</v>
      </c>
      <c r="P138" s="45">
        <v>14.0</v>
      </c>
      <c r="Q138" s="45">
        <v>9.0</v>
      </c>
    </row>
    <row r="139" ht="14.25" customHeight="1">
      <c r="B139" s="45">
        <v>14.0</v>
      </c>
      <c r="C139" s="45">
        <v>11.0</v>
      </c>
      <c r="D139" s="45">
        <v>2.0</v>
      </c>
      <c r="E139" s="45">
        <v>12.0</v>
      </c>
      <c r="F139" s="45">
        <v>4.0</v>
      </c>
      <c r="G139" s="45">
        <v>7.0</v>
      </c>
      <c r="H139" s="45">
        <v>13.0</v>
      </c>
      <c r="I139" s="45">
        <v>1.0</v>
      </c>
      <c r="J139" s="45">
        <v>5.0</v>
      </c>
      <c r="K139" s="45">
        <v>0.0</v>
      </c>
      <c r="L139" s="45">
        <v>15.0</v>
      </c>
      <c r="M139" s="45">
        <v>10.0</v>
      </c>
      <c r="N139" s="45">
        <v>3.0</v>
      </c>
      <c r="O139" s="45">
        <v>9.0</v>
      </c>
      <c r="P139" s="45">
        <v>8.0</v>
      </c>
      <c r="Q139" s="45">
        <v>6.0</v>
      </c>
    </row>
    <row r="140" ht="14.25" customHeight="1">
      <c r="B140" s="45">
        <v>4.0</v>
      </c>
      <c r="C140" s="45">
        <v>2.0</v>
      </c>
      <c r="D140" s="45">
        <v>1.0</v>
      </c>
      <c r="E140" s="45">
        <v>11.0</v>
      </c>
      <c r="F140" s="45">
        <v>10.0</v>
      </c>
      <c r="G140" s="45">
        <v>13.0</v>
      </c>
      <c r="H140" s="45">
        <v>7.0</v>
      </c>
      <c r="I140" s="45">
        <v>8.0</v>
      </c>
      <c r="J140" s="45">
        <v>15.0</v>
      </c>
      <c r="K140" s="45">
        <v>9.0</v>
      </c>
      <c r="L140" s="45">
        <v>12.0</v>
      </c>
      <c r="M140" s="45">
        <v>5.0</v>
      </c>
      <c r="N140" s="45">
        <v>6.0</v>
      </c>
      <c r="O140" s="45">
        <v>3.0</v>
      </c>
      <c r="P140" s="45">
        <v>0.0</v>
      </c>
      <c r="Q140" s="45">
        <v>14.0</v>
      </c>
    </row>
    <row r="141" ht="14.25" customHeight="1">
      <c r="B141" s="45">
        <v>11.0</v>
      </c>
      <c r="C141" s="45">
        <v>8.0</v>
      </c>
      <c r="D141" s="45">
        <v>12.0</v>
      </c>
      <c r="E141" s="45">
        <v>7.0</v>
      </c>
      <c r="F141" s="45">
        <v>1.0</v>
      </c>
      <c r="G141" s="45">
        <v>14.0</v>
      </c>
      <c r="H141" s="45">
        <v>2.0</v>
      </c>
      <c r="I141" s="45">
        <v>13.0</v>
      </c>
      <c r="J141" s="45">
        <v>6.0</v>
      </c>
      <c r="K141" s="45">
        <v>15.0</v>
      </c>
      <c r="L141" s="45">
        <v>0.0</v>
      </c>
      <c r="M141" s="45">
        <v>9.0</v>
      </c>
      <c r="N141" s="45">
        <v>10.0</v>
      </c>
      <c r="O141" s="45">
        <v>4.0</v>
      </c>
      <c r="P141" s="45">
        <v>5.0</v>
      </c>
      <c r="Q141" s="45">
        <v>3.0</v>
      </c>
    </row>
    <row r="142" ht="14.25" customHeight="1"/>
    <row r="143" ht="14.25" customHeight="1"/>
    <row r="144" ht="14.25" customHeight="1">
      <c r="B144" s="45">
        <v>12.0</v>
      </c>
      <c r="C144" s="45">
        <v>1.0</v>
      </c>
      <c r="D144" s="45">
        <v>10.0</v>
      </c>
      <c r="E144" s="45">
        <v>15.0</v>
      </c>
      <c r="F144" s="45">
        <v>9.0</v>
      </c>
      <c r="G144" s="45">
        <v>2.0</v>
      </c>
      <c r="H144" s="45">
        <v>6.0</v>
      </c>
      <c r="I144" s="45">
        <v>8.0</v>
      </c>
      <c r="J144" s="45">
        <v>0.0</v>
      </c>
      <c r="K144" s="45">
        <v>13.0</v>
      </c>
      <c r="L144" s="45">
        <v>3.0</v>
      </c>
      <c r="M144" s="45">
        <v>4.0</v>
      </c>
      <c r="N144" s="45">
        <v>14.0</v>
      </c>
      <c r="O144" s="45">
        <v>7.0</v>
      </c>
      <c r="P144" s="45">
        <v>5.0</v>
      </c>
      <c r="Q144" s="45">
        <v>11.0</v>
      </c>
    </row>
    <row r="145" ht="14.25" customHeight="1">
      <c r="B145" s="45">
        <v>10.0</v>
      </c>
      <c r="C145" s="45">
        <v>15.0</v>
      </c>
      <c r="D145" s="45">
        <v>4.0</v>
      </c>
      <c r="E145" s="45">
        <v>2.0</v>
      </c>
      <c r="F145" s="45">
        <v>7.0</v>
      </c>
      <c r="G145" s="45">
        <v>12.0</v>
      </c>
      <c r="H145" s="45">
        <v>9.0</v>
      </c>
      <c r="I145" s="45">
        <v>5.0</v>
      </c>
      <c r="J145" s="45">
        <v>6.0</v>
      </c>
      <c r="K145" s="45">
        <v>1.0</v>
      </c>
      <c r="L145" s="45">
        <v>13.0</v>
      </c>
      <c r="M145" s="45">
        <v>14.0</v>
      </c>
      <c r="N145" s="45">
        <v>0.0</v>
      </c>
      <c r="O145" s="45">
        <v>11.0</v>
      </c>
      <c r="P145" s="45">
        <v>3.0</v>
      </c>
      <c r="Q145" s="45">
        <v>8.0</v>
      </c>
    </row>
    <row r="146" ht="14.25" customHeight="1">
      <c r="B146" s="45">
        <v>9.0</v>
      </c>
      <c r="C146" s="45">
        <v>14.0</v>
      </c>
      <c r="D146" s="45">
        <v>15.0</v>
      </c>
      <c r="E146" s="45">
        <v>5.0</v>
      </c>
      <c r="F146" s="45">
        <v>2.0</v>
      </c>
      <c r="G146" s="45">
        <v>8.0</v>
      </c>
      <c r="H146" s="45">
        <v>12.0</v>
      </c>
      <c r="I146" s="45">
        <v>3.0</v>
      </c>
      <c r="J146" s="45">
        <v>7.0</v>
      </c>
      <c r="K146" s="45">
        <v>0.0</v>
      </c>
      <c r="L146" s="45">
        <v>4.0</v>
      </c>
      <c r="M146" s="45">
        <v>10.0</v>
      </c>
      <c r="N146" s="45">
        <v>1.0</v>
      </c>
      <c r="O146" s="45">
        <v>13.0</v>
      </c>
      <c r="P146" s="45">
        <v>11.0</v>
      </c>
      <c r="Q146" s="45">
        <v>6.0</v>
      </c>
    </row>
    <row r="147" ht="14.25" customHeight="1">
      <c r="B147" s="45">
        <v>4.0</v>
      </c>
      <c r="C147" s="45">
        <v>3.0</v>
      </c>
      <c r="D147" s="45">
        <v>2.0</v>
      </c>
      <c r="E147" s="45">
        <v>12.0</v>
      </c>
      <c r="F147" s="45">
        <v>9.0</v>
      </c>
      <c r="G147" s="45">
        <v>5.0</v>
      </c>
      <c r="H147" s="45">
        <v>15.0</v>
      </c>
      <c r="I147" s="45">
        <v>10.0</v>
      </c>
      <c r="J147" s="45">
        <v>11.0</v>
      </c>
      <c r="K147" s="45">
        <v>14.0</v>
      </c>
      <c r="L147" s="45">
        <v>1.0</v>
      </c>
      <c r="M147" s="45">
        <v>7.0</v>
      </c>
      <c r="N147" s="45">
        <v>6.0</v>
      </c>
      <c r="O147" s="45">
        <v>0.0</v>
      </c>
      <c r="P147" s="45">
        <v>8.0</v>
      </c>
      <c r="Q147" s="45">
        <v>13.0</v>
      </c>
    </row>
    <row r="148" ht="14.25" customHeight="1"/>
    <row r="149" ht="14.25" customHeight="1"/>
    <row r="150" ht="14.25" customHeight="1">
      <c r="B150" s="45">
        <v>4.0</v>
      </c>
      <c r="C150" s="45">
        <v>11.0</v>
      </c>
      <c r="D150" s="45">
        <v>2.0</v>
      </c>
      <c r="E150" s="45">
        <v>14.0</v>
      </c>
      <c r="F150" s="45">
        <v>15.0</v>
      </c>
      <c r="G150" s="45">
        <v>0.0</v>
      </c>
      <c r="H150" s="45">
        <v>8.0</v>
      </c>
      <c r="I150" s="45">
        <v>13.0</v>
      </c>
      <c r="J150" s="45">
        <v>3.0</v>
      </c>
      <c r="K150" s="45">
        <v>12.0</v>
      </c>
      <c r="L150" s="45">
        <v>9.0</v>
      </c>
      <c r="M150" s="45">
        <v>7.0</v>
      </c>
      <c r="N150" s="45">
        <v>5.0</v>
      </c>
      <c r="O150" s="45">
        <v>10.0</v>
      </c>
      <c r="P150" s="45">
        <v>6.0</v>
      </c>
      <c r="Q150" s="45">
        <v>1.0</v>
      </c>
    </row>
    <row r="151" ht="14.25" customHeight="1">
      <c r="B151" s="45">
        <v>13.0</v>
      </c>
      <c r="C151" s="45">
        <v>0.0</v>
      </c>
      <c r="D151" s="45">
        <v>11.0</v>
      </c>
      <c r="E151" s="45">
        <v>7.0</v>
      </c>
      <c r="F151" s="45">
        <v>4.0</v>
      </c>
      <c r="G151" s="45">
        <v>9.0</v>
      </c>
      <c r="H151" s="45">
        <v>1.0</v>
      </c>
      <c r="I151" s="45">
        <v>10.0</v>
      </c>
      <c r="J151" s="45">
        <v>14.0</v>
      </c>
      <c r="K151" s="45">
        <v>3.0</v>
      </c>
      <c r="L151" s="45">
        <v>5.0</v>
      </c>
      <c r="M151" s="45">
        <v>12.0</v>
      </c>
      <c r="N151" s="45">
        <v>2.0</v>
      </c>
      <c r="O151" s="45">
        <v>15.0</v>
      </c>
      <c r="P151" s="45">
        <v>8.0</v>
      </c>
      <c r="Q151" s="45">
        <v>6.0</v>
      </c>
    </row>
    <row r="152" ht="14.25" customHeight="1">
      <c r="B152" s="45">
        <v>1.0</v>
      </c>
      <c r="C152" s="45">
        <v>4.0</v>
      </c>
      <c r="D152" s="45">
        <v>11.0</v>
      </c>
      <c r="E152" s="45">
        <v>13.0</v>
      </c>
      <c r="F152" s="45">
        <v>12.0</v>
      </c>
      <c r="G152" s="45">
        <v>3.0</v>
      </c>
      <c r="H152" s="45">
        <v>7.0</v>
      </c>
      <c r="I152" s="45">
        <v>14.0</v>
      </c>
      <c r="J152" s="45">
        <v>10.0</v>
      </c>
      <c r="K152" s="45">
        <v>15.0</v>
      </c>
      <c r="L152" s="45">
        <v>6.0</v>
      </c>
      <c r="M152" s="45">
        <v>8.0</v>
      </c>
      <c r="N152" s="45">
        <v>0.0</v>
      </c>
      <c r="O152" s="45">
        <v>5.0</v>
      </c>
      <c r="P152" s="45">
        <v>9.0</v>
      </c>
      <c r="Q152" s="45">
        <v>2.0</v>
      </c>
    </row>
    <row r="153" ht="14.25" customHeight="1">
      <c r="B153" s="45">
        <v>6.0</v>
      </c>
      <c r="C153" s="45">
        <v>11.0</v>
      </c>
      <c r="D153" s="45">
        <v>13.0</v>
      </c>
      <c r="E153" s="45">
        <v>8.0</v>
      </c>
      <c r="F153" s="45">
        <v>1.0</v>
      </c>
      <c r="G153" s="45">
        <v>4.0</v>
      </c>
      <c r="H153" s="45">
        <v>10.0</v>
      </c>
      <c r="I153" s="45">
        <v>7.0</v>
      </c>
      <c r="J153" s="45">
        <v>9.0</v>
      </c>
      <c r="K153" s="45">
        <v>5.0</v>
      </c>
      <c r="L153" s="45">
        <v>0.0</v>
      </c>
      <c r="M153" s="45">
        <v>15.0</v>
      </c>
      <c r="N153" s="45">
        <v>14.0</v>
      </c>
      <c r="O153" s="45">
        <v>2.0</v>
      </c>
      <c r="P153" s="45">
        <v>3.0</v>
      </c>
      <c r="Q153" s="45">
        <v>12.0</v>
      </c>
    </row>
    <row r="154" ht="14.25" customHeight="1"/>
    <row r="155" ht="14.25" customHeight="1"/>
    <row r="156" ht="14.25" customHeight="1">
      <c r="B156" s="45">
        <v>13.0</v>
      </c>
      <c r="C156" s="45">
        <v>2.0</v>
      </c>
      <c r="D156" s="45">
        <v>8.0</v>
      </c>
      <c r="E156" s="45">
        <v>4.0</v>
      </c>
      <c r="F156" s="45">
        <v>6.0</v>
      </c>
      <c r="G156" s="45">
        <v>15.0</v>
      </c>
      <c r="H156" s="45">
        <v>11.0</v>
      </c>
      <c r="I156" s="45">
        <v>1.0</v>
      </c>
      <c r="J156" s="45">
        <v>10.0</v>
      </c>
      <c r="K156" s="45">
        <v>9.0</v>
      </c>
      <c r="L156" s="45">
        <v>3.0</v>
      </c>
      <c r="M156" s="45">
        <v>14.0</v>
      </c>
      <c r="N156" s="45">
        <v>5.0</v>
      </c>
      <c r="O156" s="45">
        <v>0.0</v>
      </c>
      <c r="P156" s="45">
        <v>12.0</v>
      </c>
      <c r="Q156" s="45">
        <v>7.0</v>
      </c>
    </row>
    <row r="157" ht="14.25" customHeight="1">
      <c r="B157" s="45">
        <v>1.0</v>
      </c>
      <c r="C157" s="45">
        <v>15.0</v>
      </c>
      <c r="D157" s="45">
        <v>13.0</v>
      </c>
      <c r="E157" s="45">
        <v>8.0</v>
      </c>
      <c r="F157" s="45">
        <v>10.0</v>
      </c>
      <c r="G157" s="45">
        <v>3.0</v>
      </c>
      <c r="H157" s="45">
        <v>7.0</v>
      </c>
      <c r="I157" s="45">
        <v>4.0</v>
      </c>
      <c r="J157" s="45">
        <v>12.0</v>
      </c>
      <c r="K157" s="45">
        <v>5.0</v>
      </c>
      <c r="L157" s="45">
        <v>6.0</v>
      </c>
      <c r="M157" s="45">
        <v>11.0</v>
      </c>
      <c r="N157" s="45">
        <v>0.0</v>
      </c>
      <c r="O157" s="45">
        <v>14.0</v>
      </c>
      <c r="P157" s="45">
        <v>9.0</v>
      </c>
      <c r="Q157" s="45">
        <v>2.0</v>
      </c>
    </row>
    <row r="158" ht="14.25" customHeight="1">
      <c r="B158" s="45">
        <v>7.0</v>
      </c>
      <c r="C158" s="45">
        <v>11.0</v>
      </c>
      <c r="D158" s="45">
        <v>4.0</v>
      </c>
      <c r="E158" s="45">
        <v>1.0</v>
      </c>
      <c r="F158" s="45">
        <v>9.0</v>
      </c>
      <c r="G158" s="45">
        <v>12.0</v>
      </c>
      <c r="H158" s="45">
        <v>14.0</v>
      </c>
      <c r="I158" s="45">
        <v>2.0</v>
      </c>
      <c r="J158" s="45">
        <v>0.0</v>
      </c>
      <c r="K158" s="45">
        <v>6.0</v>
      </c>
      <c r="L158" s="45">
        <v>10.0</v>
      </c>
      <c r="M158" s="45">
        <v>13.0</v>
      </c>
      <c r="N158" s="45">
        <v>15.0</v>
      </c>
      <c r="O158" s="45">
        <v>3.0</v>
      </c>
      <c r="P158" s="45">
        <v>5.0</v>
      </c>
      <c r="Q158" s="45">
        <v>8.0</v>
      </c>
    </row>
    <row r="159" ht="14.25" customHeight="1">
      <c r="B159" s="45">
        <v>2.0</v>
      </c>
      <c r="C159" s="45">
        <v>1.0</v>
      </c>
      <c r="D159" s="45">
        <v>14.0</v>
      </c>
      <c r="E159" s="45">
        <v>7.0</v>
      </c>
      <c r="F159" s="45">
        <v>4.0</v>
      </c>
      <c r="G159" s="45">
        <v>10.0</v>
      </c>
      <c r="H159" s="45">
        <v>8.0</v>
      </c>
      <c r="I159" s="45">
        <v>13.0</v>
      </c>
      <c r="J159" s="45">
        <v>15.0</v>
      </c>
      <c r="K159" s="45">
        <v>12.0</v>
      </c>
      <c r="L159" s="45">
        <v>9.0</v>
      </c>
      <c r="M159" s="45">
        <v>0.0</v>
      </c>
      <c r="N159" s="45">
        <v>3.0</v>
      </c>
      <c r="O159" s="45">
        <v>5.0</v>
      </c>
      <c r="P159" s="45">
        <v>6.0</v>
      </c>
      <c r="Q159" s="45">
        <v>11.0</v>
      </c>
    </row>
    <row r="160" ht="14.25" customHeight="1"/>
    <row r="161" ht="14.25" customHeight="1"/>
    <row r="162" ht="14.25" customHeight="1"/>
    <row r="163" ht="14.25" customHeight="1"/>
    <row r="164" ht="14.25" customHeight="1">
      <c r="I164" s="47" t="s">
        <v>110</v>
      </c>
      <c r="J164" s="8"/>
      <c r="K164" s="8"/>
      <c r="L164" s="8"/>
      <c r="M164" s="8"/>
      <c r="N164" s="8"/>
      <c r="O164" s="8"/>
      <c r="P164" s="8"/>
      <c r="Q164" s="8"/>
    </row>
    <row r="165" ht="14.25" customHeight="1">
      <c r="I165" s="47" t="s">
        <v>111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4.25" customHeight="1"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4.25" customHeight="1">
      <c r="I167" s="48" t="s">
        <v>112</v>
      </c>
      <c r="J167" s="48" t="s">
        <v>113</v>
      </c>
      <c r="K167" s="48" t="s">
        <v>114</v>
      </c>
      <c r="L167" s="48" t="s">
        <v>115</v>
      </c>
      <c r="M167" s="48" t="s">
        <v>115</v>
      </c>
      <c r="N167" s="48" t="s">
        <v>116</v>
      </c>
      <c r="O167" s="48" t="s">
        <v>117</v>
      </c>
      <c r="P167" s="48" t="s">
        <v>118</v>
      </c>
      <c r="Q167" s="48" t="s">
        <v>119</v>
      </c>
      <c r="R167" s="48" t="s">
        <v>113</v>
      </c>
      <c r="S167" s="48" t="s">
        <v>117</v>
      </c>
      <c r="T167" s="48" t="s">
        <v>120</v>
      </c>
      <c r="U167" s="48" t="s">
        <v>121</v>
      </c>
      <c r="V167" s="48" t="s">
        <v>122</v>
      </c>
      <c r="W167" s="48" t="s">
        <v>123</v>
      </c>
      <c r="X167" s="48" t="s">
        <v>114</v>
      </c>
    </row>
    <row r="168" ht="14.25" customHeight="1">
      <c r="I168" s="8" t="str">
        <f t="shared" ref="I168:X168" si="2">BIN2HEX(I167)</f>
        <v>1</v>
      </c>
      <c r="J168" s="8" t="str">
        <f t="shared" si="2"/>
        <v>A</v>
      </c>
      <c r="K168" s="8" t="str">
        <f t="shared" si="2"/>
        <v>B</v>
      </c>
      <c r="L168" s="8" t="str">
        <f t="shared" si="2"/>
        <v>F</v>
      </c>
      <c r="M168" s="8" t="str">
        <f t="shared" si="2"/>
        <v>F</v>
      </c>
      <c r="N168" s="8" t="str">
        <f t="shared" si="2"/>
        <v>6</v>
      </c>
      <c r="O168" s="8" t="str">
        <f t="shared" si="2"/>
        <v>9</v>
      </c>
      <c r="P168" s="8" t="str">
        <f t="shared" si="2"/>
        <v>D</v>
      </c>
      <c r="Q168" s="8" t="str">
        <f t="shared" si="2"/>
        <v>5</v>
      </c>
      <c r="R168" s="8" t="str">
        <f t="shared" si="2"/>
        <v>A</v>
      </c>
      <c r="S168" s="8" t="str">
        <f t="shared" si="2"/>
        <v>9</v>
      </c>
      <c r="T168" s="8" t="str">
        <f t="shared" si="2"/>
        <v>3</v>
      </c>
      <c r="U168" s="8" t="str">
        <f t="shared" si="2"/>
        <v>E</v>
      </c>
      <c r="V168" s="8" t="str">
        <f t="shared" si="2"/>
        <v>8</v>
      </c>
      <c r="W168" s="8" t="str">
        <f t="shared" si="2"/>
        <v>0</v>
      </c>
      <c r="X168" s="8" t="str">
        <f t="shared" si="2"/>
        <v>B</v>
      </c>
    </row>
    <row r="169" ht="14.25" customHeight="1"/>
    <row r="170" ht="14.25" customHeight="1"/>
    <row r="171" ht="14.25" customHeight="1"/>
    <row r="172" ht="14.25" customHeight="1">
      <c r="A172" s="49"/>
      <c r="B172" s="49"/>
      <c r="C172" s="50"/>
      <c r="D172" s="50"/>
      <c r="E172" s="50"/>
      <c r="F172" s="50"/>
      <c r="G172" s="50"/>
      <c r="H172" s="50"/>
      <c r="I172" s="51"/>
      <c r="J172" s="49"/>
      <c r="K172" s="49"/>
      <c r="L172" s="50"/>
      <c r="M172" s="50"/>
      <c r="N172" s="50"/>
      <c r="O172" s="50"/>
      <c r="P172" s="50"/>
      <c r="Q172" s="50"/>
      <c r="R172" s="51"/>
      <c r="S172" s="49"/>
      <c r="T172" s="49"/>
      <c r="U172" s="50"/>
      <c r="V172" s="50"/>
      <c r="W172" s="50"/>
      <c r="X172" s="50"/>
      <c r="Y172" s="50"/>
      <c r="Z172" s="50"/>
      <c r="AA172" s="51"/>
      <c r="AB172" s="49"/>
      <c r="AC172" s="49"/>
      <c r="AD172" s="50"/>
      <c r="AE172" s="50"/>
      <c r="AF172" s="50"/>
      <c r="AG172" s="50"/>
      <c r="AH172" s="50"/>
      <c r="AI172" s="50"/>
    </row>
    <row r="173" ht="14.25" customHeight="1">
      <c r="A173" s="51"/>
      <c r="B173" s="51"/>
      <c r="C173" s="52"/>
      <c r="D173" s="52"/>
      <c r="E173" s="52"/>
      <c r="F173" s="52"/>
      <c r="G173" s="52"/>
      <c r="H173" s="52"/>
      <c r="I173" s="51"/>
      <c r="J173" s="51"/>
      <c r="K173" s="51"/>
      <c r="L173" s="52"/>
      <c r="M173" s="52"/>
      <c r="N173" s="52"/>
      <c r="O173" s="52"/>
      <c r="P173" s="52"/>
      <c r="Q173" s="52"/>
      <c r="R173" s="51"/>
      <c r="S173" s="51"/>
      <c r="T173" s="51"/>
      <c r="U173" s="52"/>
      <c r="V173" s="52"/>
      <c r="W173" s="52"/>
      <c r="X173" s="52"/>
      <c r="Y173" s="52"/>
      <c r="Z173" s="52"/>
      <c r="AA173" s="51"/>
      <c r="AB173" s="51"/>
      <c r="AC173" s="51"/>
      <c r="AD173" s="52"/>
      <c r="AE173" s="52"/>
      <c r="AF173" s="52"/>
      <c r="AG173" s="52"/>
      <c r="AH173" s="52"/>
      <c r="AI173" s="52"/>
    </row>
    <row r="174" ht="14.25" customHeight="1">
      <c r="A174" s="51"/>
      <c r="B174" s="52"/>
      <c r="C174" s="52"/>
      <c r="D174" s="52"/>
      <c r="E174" s="52"/>
      <c r="F174" s="52"/>
      <c r="G174" s="52"/>
      <c r="H174" s="52"/>
      <c r="I174" s="51"/>
      <c r="J174" s="51"/>
      <c r="K174" s="52"/>
      <c r="L174" s="52"/>
      <c r="M174" s="52"/>
      <c r="N174" s="52"/>
      <c r="O174" s="52"/>
      <c r="P174" s="52"/>
      <c r="Q174" s="52"/>
      <c r="R174" s="51"/>
      <c r="S174" s="51"/>
      <c r="T174" s="52"/>
      <c r="U174" s="52"/>
      <c r="V174" s="52"/>
      <c r="W174" s="52"/>
      <c r="X174" s="52"/>
      <c r="Y174" s="52"/>
      <c r="Z174" s="52"/>
      <c r="AA174" s="51"/>
      <c r="AB174" s="51"/>
      <c r="AC174" s="52"/>
      <c r="AD174" s="52"/>
      <c r="AE174" s="52"/>
      <c r="AF174" s="52"/>
      <c r="AG174" s="52"/>
      <c r="AH174" s="52"/>
      <c r="AI174" s="52"/>
    </row>
    <row r="175" ht="14.25" customHeight="1">
      <c r="A175" s="51"/>
      <c r="B175" s="52"/>
      <c r="C175" s="52"/>
      <c r="D175" s="52"/>
      <c r="E175" s="52"/>
      <c r="F175" s="52"/>
      <c r="G175" s="52"/>
      <c r="H175" s="52"/>
      <c r="I175" s="51"/>
      <c r="J175" s="51"/>
      <c r="K175" s="52"/>
      <c r="L175" s="52"/>
      <c r="M175" s="52"/>
      <c r="N175" s="52"/>
      <c r="O175" s="52"/>
      <c r="P175" s="52"/>
      <c r="Q175" s="52"/>
      <c r="R175" s="51"/>
      <c r="S175" s="51"/>
      <c r="T175" s="52"/>
      <c r="U175" s="52"/>
      <c r="V175" s="52"/>
      <c r="W175" s="52"/>
      <c r="X175" s="52"/>
      <c r="Y175" s="52"/>
      <c r="Z175" s="52"/>
      <c r="AA175" s="51"/>
      <c r="AB175" s="51"/>
      <c r="AC175" s="52"/>
      <c r="AD175" s="52"/>
      <c r="AE175" s="52"/>
      <c r="AF175" s="52"/>
      <c r="AG175" s="52"/>
      <c r="AH175" s="52"/>
      <c r="AI175" s="52"/>
    </row>
    <row r="176" ht="14.25" customHeight="1">
      <c r="A176" s="51"/>
      <c r="B176" s="52"/>
      <c r="C176" s="52"/>
      <c r="D176" s="52"/>
      <c r="E176" s="52"/>
      <c r="F176" s="52"/>
      <c r="G176" s="52"/>
      <c r="H176" s="52"/>
      <c r="I176" s="51"/>
      <c r="J176" s="51"/>
      <c r="K176" s="52"/>
      <c r="L176" s="52"/>
      <c r="M176" s="52"/>
      <c r="N176" s="52"/>
      <c r="O176" s="52"/>
      <c r="P176" s="52"/>
      <c r="Q176" s="52"/>
      <c r="R176" s="51"/>
      <c r="S176" s="51"/>
      <c r="T176" s="52"/>
      <c r="U176" s="52"/>
      <c r="V176" s="52"/>
      <c r="W176" s="52"/>
      <c r="X176" s="52"/>
      <c r="Y176" s="52"/>
      <c r="Z176" s="52"/>
      <c r="AA176" s="51"/>
      <c r="AB176" s="51"/>
      <c r="AC176" s="52"/>
      <c r="AD176" s="52"/>
      <c r="AE176" s="52"/>
      <c r="AF176" s="52"/>
      <c r="AG176" s="52"/>
      <c r="AH176" s="52"/>
      <c r="AI176" s="52"/>
    </row>
    <row r="177" ht="14.25" customHeight="1">
      <c r="A177" s="51"/>
      <c r="B177" s="52"/>
      <c r="C177" s="52"/>
      <c r="D177" s="52"/>
      <c r="E177" s="52"/>
      <c r="F177" s="52"/>
      <c r="G177" s="52"/>
      <c r="H177" s="52"/>
      <c r="I177" s="51"/>
      <c r="J177" s="51"/>
      <c r="K177" s="52"/>
      <c r="L177" s="52"/>
      <c r="M177" s="52"/>
      <c r="N177" s="52"/>
      <c r="O177" s="52"/>
      <c r="P177" s="52"/>
      <c r="Q177" s="52"/>
      <c r="R177" s="51"/>
      <c r="S177" s="51"/>
      <c r="T177" s="52"/>
      <c r="U177" s="52"/>
      <c r="V177" s="52"/>
      <c r="W177" s="52"/>
      <c r="X177" s="52"/>
      <c r="Y177" s="52"/>
      <c r="Z177" s="52"/>
      <c r="AA177" s="51"/>
      <c r="AB177" s="51"/>
      <c r="AC177" s="52"/>
      <c r="AD177" s="52"/>
      <c r="AE177" s="52"/>
      <c r="AF177" s="52"/>
      <c r="AG177" s="52"/>
      <c r="AH177" s="52"/>
      <c r="AI177" s="52"/>
    </row>
    <row r="178" ht="14.25" customHeight="1">
      <c r="A178" s="51"/>
      <c r="B178" s="52"/>
      <c r="C178" s="52"/>
      <c r="D178" s="52"/>
      <c r="E178" s="52"/>
      <c r="F178" s="52"/>
      <c r="G178" s="52"/>
      <c r="H178" s="52"/>
      <c r="I178" s="51"/>
      <c r="J178" s="51"/>
      <c r="K178" s="52"/>
      <c r="L178" s="52"/>
      <c r="M178" s="52"/>
      <c r="N178" s="52"/>
      <c r="O178" s="52"/>
      <c r="P178" s="52"/>
      <c r="Q178" s="52"/>
      <c r="R178" s="51"/>
      <c r="S178" s="51"/>
      <c r="T178" s="52"/>
      <c r="U178" s="52"/>
      <c r="V178" s="52"/>
      <c r="W178" s="52"/>
      <c r="X178" s="52"/>
      <c r="Y178" s="52"/>
      <c r="Z178" s="52"/>
      <c r="AA178" s="51"/>
      <c r="AB178" s="51"/>
      <c r="AC178" s="52"/>
      <c r="AD178" s="52"/>
      <c r="AE178" s="52"/>
      <c r="AF178" s="52"/>
      <c r="AG178" s="52"/>
      <c r="AH178" s="52"/>
      <c r="AI178" s="52"/>
    </row>
    <row r="179" ht="14.25" customHeight="1">
      <c r="A179" s="51"/>
      <c r="B179" s="52"/>
      <c r="C179" s="52"/>
      <c r="D179" s="52"/>
      <c r="E179" s="52"/>
      <c r="F179" s="52"/>
      <c r="G179" s="52"/>
      <c r="H179" s="52"/>
      <c r="I179" s="51"/>
      <c r="J179" s="51"/>
      <c r="K179" s="52"/>
      <c r="L179" s="52"/>
      <c r="M179" s="52"/>
      <c r="N179" s="52"/>
      <c r="O179" s="52"/>
      <c r="P179" s="52"/>
      <c r="Q179" s="52"/>
      <c r="R179" s="51"/>
      <c r="S179" s="51"/>
      <c r="T179" s="52"/>
      <c r="U179" s="52"/>
      <c r="V179" s="52"/>
      <c r="W179" s="52"/>
      <c r="X179" s="52"/>
      <c r="Y179" s="52"/>
      <c r="Z179" s="52"/>
      <c r="AA179" s="51"/>
      <c r="AB179" s="51"/>
      <c r="AC179" s="52"/>
      <c r="AD179" s="52"/>
      <c r="AE179" s="52"/>
      <c r="AF179" s="52"/>
      <c r="AG179" s="52"/>
      <c r="AH179" s="52"/>
      <c r="AI179" s="52"/>
    </row>
    <row r="180" ht="14.25" customHeight="1">
      <c r="A180" s="51"/>
      <c r="B180" s="52"/>
      <c r="C180" s="52"/>
      <c r="D180" s="52"/>
      <c r="E180" s="52"/>
      <c r="F180" s="52"/>
      <c r="G180" s="52"/>
      <c r="H180" s="52"/>
      <c r="I180" s="51"/>
      <c r="J180" s="51"/>
      <c r="K180" s="52"/>
      <c r="L180" s="52"/>
      <c r="M180" s="52"/>
      <c r="N180" s="52"/>
      <c r="O180" s="52"/>
      <c r="P180" s="52"/>
      <c r="Q180" s="52"/>
      <c r="R180" s="51"/>
      <c r="S180" s="51"/>
      <c r="T180" s="52"/>
      <c r="U180" s="52"/>
      <c r="V180" s="52"/>
      <c r="W180" s="52"/>
      <c r="X180" s="52"/>
      <c r="Y180" s="52"/>
      <c r="Z180" s="52"/>
      <c r="AA180" s="51"/>
      <c r="AB180" s="51"/>
      <c r="AC180" s="52"/>
      <c r="AD180" s="52"/>
      <c r="AE180" s="52"/>
      <c r="AF180" s="52"/>
      <c r="AG180" s="52"/>
      <c r="AH180" s="52"/>
      <c r="AI180" s="52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</row>
    <row r="182" ht="14.25" customHeight="1">
      <c r="A182" s="49"/>
      <c r="B182" s="49"/>
      <c r="C182" s="50"/>
      <c r="D182" s="50"/>
      <c r="E182" s="50"/>
      <c r="F182" s="50"/>
      <c r="G182" s="50"/>
      <c r="H182" s="50"/>
      <c r="I182" s="51"/>
      <c r="J182" s="49"/>
      <c r="K182" s="49"/>
      <c r="L182" s="50"/>
      <c r="M182" s="50"/>
      <c r="N182" s="50"/>
      <c r="O182" s="50"/>
      <c r="P182" s="50"/>
      <c r="Q182" s="50"/>
      <c r="R182" s="51"/>
      <c r="S182" s="49"/>
      <c r="T182" s="49"/>
      <c r="U182" s="50"/>
      <c r="V182" s="50"/>
      <c r="W182" s="50"/>
      <c r="X182" s="50"/>
      <c r="Y182" s="50"/>
      <c r="Z182" s="50"/>
      <c r="AA182" s="51"/>
      <c r="AB182" s="49"/>
      <c r="AC182" s="49"/>
      <c r="AD182" s="50"/>
      <c r="AE182" s="50"/>
      <c r="AF182" s="50"/>
      <c r="AG182" s="50"/>
      <c r="AH182" s="50"/>
      <c r="AI182" s="50"/>
    </row>
    <row r="183" ht="14.25" customHeight="1">
      <c r="A183" s="51"/>
      <c r="B183" s="51"/>
      <c r="C183" s="52"/>
      <c r="D183" s="52"/>
      <c r="E183" s="52"/>
      <c r="F183" s="52"/>
      <c r="G183" s="52"/>
      <c r="H183" s="52"/>
      <c r="I183" s="51"/>
      <c r="J183" s="51"/>
      <c r="K183" s="51"/>
      <c r="L183" s="52"/>
      <c r="M183" s="52"/>
      <c r="N183" s="52"/>
      <c r="O183" s="52"/>
      <c r="P183" s="52"/>
      <c r="Q183" s="52"/>
      <c r="R183" s="51"/>
      <c r="S183" s="51"/>
      <c r="T183" s="51"/>
      <c r="U183" s="52"/>
      <c r="V183" s="52"/>
      <c r="W183" s="52"/>
      <c r="X183" s="52"/>
      <c r="Y183" s="52"/>
      <c r="Z183" s="52"/>
      <c r="AA183" s="51"/>
      <c r="AB183" s="51"/>
      <c r="AC183" s="51"/>
      <c r="AD183" s="52"/>
      <c r="AE183" s="52"/>
      <c r="AF183" s="52"/>
      <c r="AG183" s="52"/>
      <c r="AH183" s="52"/>
      <c r="AI183" s="52"/>
    </row>
    <row r="184" ht="14.25" customHeight="1">
      <c r="A184" s="51"/>
      <c r="B184" s="52"/>
      <c r="C184" s="52"/>
      <c r="D184" s="52"/>
      <c r="E184" s="52"/>
      <c r="F184" s="52"/>
      <c r="G184" s="52"/>
      <c r="H184" s="52"/>
      <c r="I184" s="51"/>
      <c r="J184" s="51"/>
      <c r="K184" s="52"/>
      <c r="L184" s="52"/>
      <c r="M184" s="52"/>
      <c r="N184" s="52"/>
      <c r="O184" s="52"/>
      <c r="P184" s="52"/>
      <c r="Q184" s="52"/>
      <c r="R184" s="51"/>
      <c r="S184" s="51"/>
      <c r="T184" s="52"/>
      <c r="U184" s="52"/>
      <c r="V184" s="52"/>
      <c r="W184" s="52"/>
      <c r="X184" s="52"/>
      <c r="Y184" s="52"/>
      <c r="Z184" s="52"/>
      <c r="AA184" s="51"/>
      <c r="AB184" s="51"/>
      <c r="AC184" s="52"/>
      <c r="AD184" s="52"/>
      <c r="AE184" s="52"/>
      <c r="AF184" s="52"/>
      <c r="AG184" s="52"/>
      <c r="AH184" s="52"/>
      <c r="AI184" s="52"/>
    </row>
    <row r="185" ht="14.25" customHeight="1">
      <c r="A185" s="51"/>
      <c r="B185" s="52"/>
      <c r="C185" s="52"/>
      <c r="D185" s="52"/>
      <c r="E185" s="52"/>
      <c r="F185" s="52"/>
      <c r="G185" s="52"/>
      <c r="H185" s="52"/>
      <c r="I185" s="51"/>
      <c r="J185" s="51"/>
      <c r="K185" s="52"/>
      <c r="L185" s="52"/>
      <c r="M185" s="52"/>
      <c r="N185" s="52"/>
      <c r="O185" s="52"/>
      <c r="P185" s="52"/>
      <c r="Q185" s="52"/>
      <c r="R185" s="51"/>
      <c r="S185" s="51"/>
      <c r="T185" s="52"/>
      <c r="U185" s="52"/>
      <c r="V185" s="52"/>
      <c r="W185" s="52"/>
      <c r="X185" s="52"/>
      <c r="Y185" s="52"/>
      <c r="Z185" s="52"/>
      <c r="AA185" s="51"/>
      <c r="AB185" s="51"/>
      <c r="AC185" s="52"/>
      <c r="AD185" s="52"/>
      <c r="AE185" s="52"/>
      <c r="AF185" s="52"/>
      <c r="AG185" s="52"/>
      <c r="AH185" s="52"/>
      <c r="AI185" s="52"/>
    </row>
    <row r="186" ht="14.25" customHeight="1">
      <c r="A186" s="51"/>
      <c r="B186" s="52"/>
      <c r="C186" s="52"/>
      <c r="D186" s="52"/>
      <c r="E186" s="52"/>
      <c r="F186" s="52"/>
      <c r="G186" s="52"/>
      <c r="H186" s="52"/>
      <c r="I186" s="51"/>
      <c r="J186" s="51"/>
      <c r="K186" s="52"/>
      <c r="L186" s="52"/>
      <c r="M186" s="52"/>
      <c r="N186" s="52"/>
      <c r="O186" s="52"/>
      <c r="P186" s="52"/>
      <c r="Q186" s="52"/>
      <c r="R186" s="51"/>
      <c r="S186" s="51"/>
      <c r="T186" s="52"/>
      <c r="U186" s="52"/>
      <c r="V186" s="52"/>
      <c r="W186" s="52"/>
      <c r="X186" s="52"/>
      <c r="Y186" s="52"/>
      <c r="Z186" s="52"/>
      <c r="AA186" s="51"/>
      <c r="AB186" s="51"/>
      <c r="AC186" s="52"/>
      <c r="AD186" s="52"/>
      <c r="AE186" s="52"/>
      <c r="AF186" s="52"/>
      <c r="AG186" s="52"/>
      <c r="AH186" s="52"/>
      <c r="AI186" s="52"/>
    </row>
    <row r="187" ht="14.25" customHeight="1">
      <c r="A187" s="51"/>
      <c r="B187" s="52"/>
      <c r="C187" s="52"/>
      <c r="D187" s="52"/>
      <c r="E187" s="52"/>
      <c r="F187" s="52"/>
      <c r="G187" s="52"/>
      <c r="H187" s="52"/>
      <c r="I187" s="51"/>
      <c r="J187" s="51"/>
      <c r="K187" s="52"/>
      <c r="L187" s="52"/>
      <c r="M187" s="52"/>
      <c r="N187" s="52"/>
      <c r="O187" s="52"/>
      <c r="P187" s="52"/>
      <c r="Q187" s="52"/>
      <c r="R187" s="51"/>
      <c r="S187" s="51"/>
      <c r="T187" s="52"/>
      <c r="U187" s="52"/>
      <c r="V187" s="52"/>
      <c r="W187" s="52"/>
      <c r="X187" s="52"/>
      <c r="Y187" s="52"/>
      <c r="Z187" s="52"/>
      <c r="AA187" s="51"/>
      <c r="AB187" s="51"/>
      <c r="AC187" s="52"/>
      <c r="AD187" s="52"/>
      <c r="AE187" s="52"/>
      <c r="AF187" s="52"/>
      <c r="AG187" s="52"/>
      <c r="AH187" s="52"/>
      <c r="AI187" s="52"/>
    </row>
    <row r="188" ht="14.25" customHeight="1">
      <c r="A188" s="51"/>
      <c r="B188" s="52"/>
      <c r="C188" s="52"/>
      <c r="D188" s="52"/>
      <c r="E188" s="52"/>
      <c r="F188" s="52"/>
      <c r="G188" s="52"/>
      <c r="H188" s="52"/>
      <c r="I188" s="51"/>
      <c r="J188" s="51"/>
      <c r="K188" s="52"/>
      <c r="L188" s="52"/>
      <c r="M188" s="52"/>
      <c r="N188" s="52"/>
      <c r="O188" s="52"/>
      <c r="P188" s="52"/>
      <c r="Q188" s="52"/>
      <c r="R188" s="51"/>
      <c r="S188" s="51"/>
      <c r="T188" s="52"/>
      <c r="U188" s="52"/>
      <c r="V188" s="52"/>
      <c r="W188" s="52"/>
      <c r="X188" s="52"/>
      <c r="Y188" s="52"/>
      <c r="Z188" s="52"/>
      <c r="AA188" s="51"/>
      <c r="AB188" s="51"/>
      <c r="AC188" s="52"/>
      <c r="AD188" s="52"/>
      <c r="AE188" s="52"/>
      <c r="AF188" s="52"/>
      <c r="AG188" s="52"/>
      <c r="AH188" s="52"/>
      <c r="AI188" s="52"/>
    </row>
    <row r="189" ht="14.25" customHeight="1">
      <c r="A189" s="51"/>
      <c r="B189" s="52"/>
      <c r="C189" s="52"/>
      <c r="D189" s="52"/>
      <c r="E189" s="52"/>
      <c r="F189" s="52"/>
      <c r="G189" s="52"/>
      <c r="H189" s="52"/>
      <c r="I189" s="51"/>
      <c r="J189" s="51"/>
      <c r="K189" s="52"/>
      <c r="L189" s="52"/>
      <c r="M189" s="52"/>
      <c r="N189" s="52"/>
      <c r="O189" s="52"/>
      <c r="P189" s="52"/>
      <c r="Q189" s="52"/>
      <c r="R189" s="51"/>
      <c r="S189" s="51"/>
      <c r="T189" s="52"/>
      <c r="U189" s="52"/>
      <c r="V189" s="52"/>
      <c r="W189" s="52"/>
      <c r="X189" s="52"/>
      <c r="Y189" s="52"/>
      <c r="Z189" s="52"/>
      <c r="AA189" s="51"/>
      <c r="AB189" s="51"/>
      <c r="AC189" s="52"/>
      <c r="AD189" s="52"/>
      <c r="AE189" s="52"/>
      <c r="AF189" s="52"/>
      <c r="AG189" s="52"/>
      <c r="AH189" s="52"/>
      <c r="AI189" s="52"/>
    </row>
    <row r="190" ht="14.25" customHeight="1">
      <c r="A190" s="51"/>
      <c r="B190" s="52"/>
      <c r="C190" s="52"/>
      <c r="D190" s="52"/>
      <c r="E190" s="52"/>
      <c r="F190" s="52"/>
      <c r="G190" s="52"/>
      <c r="H190" s="52"/>
      <c r="I190" s="51"/>
      <c r="J190" s="51"/>
      <c r="K190" s="52"/>
      <c r="L190" s="52"/>
      <c r="M190" s="52"/>
      <c r="N190" s="52"/>
      <c r="O190" s="52"/>
      <c r="P190" s="52"/>
      <c r="Q190" s="52"/>
      <c r="R190" s="51"/>
      <c r="S190" s="51"/>
      <c r="T190" s="52"/>
      <c r="U190" s="52"/>
      <c r="V190" s="52"/>
      <c r="W190" s="52"/>
      <c r="X190" s="52"/>
      <c r="Y190" s="52"/>
      <c r="Z190" s="52"/>
      <c r="AA190" s="51"/>
      <c r="AB190" s="51"/>
      <c r="AC190" s="52"/>
      <c r="AD190" s="52"/>
      <c r="AE190" s="52"/>
      <c r="AF190" s="52"/>
      <c r="AG190" s="52"/>
      <c r="AH190" s="52"/>
      <c r="AI190" s="52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</row>
    <row r="192" ht="14.25" customHeight="1">
      <c r="A192" s="49"/>
      <c r="B192" s="49"/>
      <c r="C192" s="50"/>
      <c r="D192" s="50"/>
      <c r="E192" s="50"/>
      <c r="F192" s="50"/>
      <c r="G192" s="50"/>
      <c r="H192" s="50"/>
      <c r="I192" s="51"/>
      <c r="J192" s="49"/>
      <c r="K192" s="49"/>
      <c r="L192" s="50"/>
      <c r="M192" s="50"/>
      <c r="N192" s="50"/>
      <c r="O192" s="50"/>
      <c r="P192" s="50"/>
      <c r="Q192" s="50"/>
      <c r="R192" s="51"/>
      <c r="S192" s="49"/>
      <c r="T192" s="49"/>
      <c r="U192" s="50"/>
      <c r="V192" s="50"/>
      <c r="W192" s="50"/>
      <c r="X192" s="50"/>
      <c r="Y192" s="50"/>
      <c r="Z192" s="50"/>
      <c r="AA192" s="51"/>
      <c r="AB192" s="49"/>
      <c r="AC192" s="49"/>
      <c r="AD192" s="50"/>
      <c r="AE192" s="50"/>
      <c r="AF192" s="50"/>
      <c r="AG192" s="50"/>
      <c r="AH192" s="50"/>
      <c r="AI192" s="50"/>
    </row>
    <row r="193" ht="14.25" customHeight="1">
      <c r="A193" s="51"/>
      <c r="B193" s="51"/>
      <c r="C193" s="52"/>
      <c r="D193" s="52"/>
      <c r="E193" s="52"/>
      <c r="F193" s="52"/>
      <c r="G193" s="52"/>
      <c r="H193" s="52"/>
      <c r="I193" s="51"/>
      <c r="J193" s="51"/>
      <c r="K193" s="51"/>
      <c r="L193" s="52"/>
      <c r="M193" s="52"/>
      <c r="N193" s="52"/>
      <c r="O193" s="52"/>
      <c r="P193" s="52"/>
      <c r="Q193" s="52"/>
      <c r="R193" s="51"/>
      <c r="S193" s="51"/>
      <c r="T193" s="51"/>
      <c r="U193" s="52"/>
      <c r="V193" s="52"/>
      <c r="W193" s="52"/>
      <c r="X193" s="52"/>
      <c r="Y193" s="52"/>
      <c r="Z193" s="52"/>
      <c r="AA193" s="51"/>
      <c r="AB193" s="51"/>
      <c r="AC193" s="51"/>
      <c r="AD193" s="52"/>
      <c r="AE193" s="52"/>
      <c r="AF193" s="52"/>
      <c r="AG193" s="52"/>
      <c r="AH193" s="52"/>
      <c r="AI193" s="52"/>
    </row>
    <row r="194" ht="14.25" customHeight="1">
      <c r="A194" s="51"/>
      <c r="B194" s="52"/>
      <c r="C194" s="52"/>
      <c r="D194" s="52"/>
      <c r="E194" s="52"/>
      <c r="F194" s="52"/>
      <c r="G194" s="52"/>
      <c r="H194" s="52"/>
      <c r="I194" s="51"/>
      <c r="J194" s="51"/>
      <c r="K194" s="52"/>
      <c r="L194" s="52"/>
      <c r="M194" s="52"/>
      <c r="N194" s="52"/>
      <c r="O194" s="52"/>
      <c r="P194" s="52"/>
      <c r="Q194" s="52"/>
      <c r="R194" s="51"/>
      <c r="S194" s="51"/>
      <c r="T194" s="52"/>
      <c r="U194" s="52"/>
      <c r="V194" s="52"/>
      <c r="W194" s="52"/>
      <c r="X194" s="52"/>
      <c r="Y194" s="52"/>
      <c r="Z194" s="52"/>
      <c r="AA194" s="51"/>
      <c r="AB194" s="51"/>
      <c r="AC194" s="52"/>
      <c r="AD194" s="52"/>
      <c r="AE194" s="52"/>
      <c r="AF194" s="52"/>
      <c r="AG194" s="52"/>
      <c r="AH194" s="52"/>
      <c r="AI194" s="52"/>
    </row>
    <row r="195" ht="14.25" customHeight="1">
      <c r="A195" s="51"/>
      <c r="B195" s="52"/>
      <c r="C195" s="52"/>
      <c r="D195" s="52"/>
      <c r="E195" s="52"/>
      <c r="F195" s="52"/>
      <c r="G195" s="52"/>
      <c r="H195" s="52"/>
      <c r="I195" s="51"/>
      <c r="J195" s="51"/>
      <c r="K195" s="52"/>
      <c r="L195" s="52"/>
      <c r="M195" s="52"/>
      <c r="N195" s="52"/>
      <c r="O195" s="52"/>
      <c r="P195" s="52"/>
      <c r="Q195" s="52"/>
      <c r="R195" s="51"/>
      <c r="S195" s="51"/>
      <c r="T195" s="52"/>
      <c r="U195" s="52"/>
      <c r="V195" s="52"/>
      <c r="W195" s="52"/>
      <c r="X195" s="52"/>
      <c r="Y195" s="52"/>
      <c r="Z195" s="52"/>
      <c r="AA195" s="51"/>
      <c r="AB195" s="51"/>
      <c r="AC195" s="52"/>
      <c r="AD195" s="52"/>
      <c r="AE195" s="52"/>
      <c r="AF195" s="52"/>
      <c r="AG195" s="52"/>
      <c r="AH195" s="52"/>
      <c r="AI195" s="52"/>
    </row>
    <row r="196" ht="14.25" customHeight="1">
      <c r="A196" s="51"/>
      <c r="B196" s="52"/>
      <c r="C196" s="52"/>
      <c r="D196" s="52"/>
      <c r="E196" s="52"/>
      <c r="F196" s="52"/>
      <c r="G196" s="52"/>
      <c r="H196" s="52"/>
      <c r="I196" s="51"/>
      <c r="J196" s="51"/>
      <c r="K196" s="52"/>
      <c r="L196" s="52"/>
      <c r="M196" s="52"/>
      <c r="N196" s="52"/>
      <c r="O196" s="52"/>
      <c r="P196" s="52"/>
      <c r="Q196" s="52"/>
      <c r="R196" s="51"/>
      <c r="S196" s="51"/>
      <c r="T196" s="52"/>
      <c r="U196" s="52"/>
      <c r="V196" s="52"/>
      <c r="W196" s="52"/>
      <c r="X196" s="52"/>
      <c r="Y196" s="52"/>
      <c r="Z196" s="52"/>
      <c r="AA196" s="51"/>
      <c r="AB196" s="51"/>
      <c r="AC196" s="52"/>
      <c r="AD196" s="52"/>
      <c r="AE196" s="52"/>
      <c r="AF196" s="52"/>
      <c r="AG196" s="52"/>
      <c r="AH196" s="52"/>
      <c r="AI196" s="52"/>
    </row>
    <row r="197" ht="14.25" customHeight="1">
      <c r="A197" s="51"/>
      <c r="B197" s="52"/>
      <c r="C197" s="52"/>
      <c r="D197" s="52"/>
      <c r="E197" s="52"/>
      <c r="F197" s="52"/>
      <c r="G197" s="52"/>
      <c r="H197" s="52"/>
      <c r="I197" s="51"/>
      <c r="J197" s="51"/>
      <c r="K197" s="52"/>
      <c r="L197" s="52"/>
      <c r="M197" s="52"/>
      <c r="N197" s="52"/>
      <c r="O197" s="52"/>
      <c r="P197" s="52"/>
      <c r="Q197" s="52"/>
      <c r="R197" s="51"/>
      <c r="S197" s="51"/>
      <c r="T197" s="52"/>
      <c r="U197" s="52"/>
      <c r="V197" s="52"/>
      <c r="W197" s="52"/>
      <c r="X197" s="52"/>
      <c r="Y197" s="52"/>
      <c r="Z197" s="52"/>
      <c r="AA197" s="51"/>
      <c r="AB197" s="51"/>
      <c r="AC197" s="52"/>
      <c r="AD197" s="52"/>
      <c r="AE197" s="52"/>
      <c r="AF197" s="52"/>
      <c r="AG197" s="52"/>
      <c r="AH197" s="52"/>
      <c r="AI197" s="52"/>
    </row>
    <row r="198" ht="14.25" customHeight="1">
      <c r="A198" s="51"/>
      <c r="B198" s="52"/>
      <c r="C198" s="52"/>
      <c r="D198" s="52"/>
      <c r="E198" s="52"/>
      <c r="F198" s="52"/>
      <c r="G198" s="52"/>
      <c r="H198" s="52"/>
      <c r="I198" s="51"/>
      <c r="J198" s="51"/>
      <c r="K198" s="52"/>
      <c r="L198" s="52"/>
      <c r="M198" s="52"/>
      <c r="N198" s="52"/>
      <c r="O198" s="52"/>
      <c r="P198" s="52"/>
      <c r="Q198" s="52"/>
      <c r="R198" s="51"/>
      <c r="S198" s="51"/>
      <c r="T198" s="52"/>
      <c r="U198" s="52"/>
      <c r="V198" s="52"/>
      <c r="W198" s="52"/>
      <c r="X198" s="52"/>
      <c r="Y198" s="52"/>
      <c r="Z198" s="52"/>
      <c r="AA198" s="51"/>
      <c r="AB198" s="51"/>
      <c r="AC198" s="52"/>
      <c r="AD198" s="52"/>
      <c r="AE198" s="52"/>
      <c r="AF198" s="52"/>
      <c r="AG198" s="52"/>
      <c r="AH198" s="52"/>
      <c r="AI198" s="52"/>
    </row>
    <row r="199" ht="14.25" customHeight="1">
      <c r="A199" s="51"/>
      <c r="B199" s="52"/>
      <c r="C199" s="52"/>
      <c r="D199" s="52"/>
      <c r="E199" s="52"/>
      <c r="F199" s="52"/>
      <c r="G199" s="52"/>
      <c r="H199" s="52"/>
      <c r="I199" s="51"/>
      <c r="J199" s="51"/>
      <c r="K199" s="52"/>
      <c r="L199" s="52"/>
      <c r="M199" s="52"/>
      <c r="N199" s="52"/>
      <c r="O199" s="52"/>
      <c r="P199" s="52"/>
      <c r="Q199" s="52"/>
      <c r="R199" s="51"/>
      <c r="S199" s="51"/>
      <c r="T199" s="52"/>
      <c r="U199" s="52"/>
      <c r="V199" s="52"/>
      <c r="W199" s="52"/>
      <c r="X199" s="52"/>
      <c r="Y199" s="52"/>
      <c r="Z199" s="52"/>
      <c r="AA199" s="51"/>
      <c r="AB199" s="51"/>
      <c r="AC199" s="52"/>
      <c r="AD199" s="52"/>
      <c r="AE199" s="52"/>
      <c r="AF199" s="52"/>
      <c r="AG199" s="52"/>
      <c r="AH199" s="52"/>
      <c r="AI199" s="52"/>
    </row>
    <row r="200" ht="14.25" customHeight="1">
      <c r="A200" s="51"/>
      <c r="B200" s="52"/>
      <c r="C200" s="52"/>
      <c r="D200" s="52"/>
      <c r="E200" s="52"/>
      <c r="F200" s="52"/>
      <c r="G200" s="52"/>
      <c r="H200" s="52"/>
      <c r="I200" s="51"/>
      <c r="J200" s="51"/>
      <c r="K200" s="52"/>
      <c r="L200" s="52"/>
      <c r="M200" s="52"/>
      <c r="N200" s="52"/>
      <c r="O200" s="52"/>
      <c r="P200" s="52"/>
      <c r="Q200" s="52"/>
      <c r="R200" s="51"/>
      <c r="S200" s="51"/>
      <c r="T200" s="52"/>
      <c r="U200" s="52"/>
      <c r="V200" s="52"/>
      <c r="W200" s="52"/>
      <c r="X200" s="52"/>
      <c r="Y200" s="52"/>
      <c r="Z200" s="52"/>
      <c r="AA200" s="51"/>
      <c r="AB200" s="51"/>
      <c r="AC200" s="52"/>
      <c r="AD200" s="52"/>
      <c r="AE200" s="52"/>
      <c r="AF200" s="52"/>
      <c r="AG200" s="52"/>
      <c r="AH200" s="52"/>
      <c r="AI200" s="52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</row>
    <row r="202" ht="14.25" customHeight="1">
      <c r="A202" s="49"/>
      <c r="B202" s="49"/>
      <c r="C202" s="50"/>
      <c r="D202" s="50"/>
      <c r="E202" s="50"/>
      <c r="F202" s="50"/>
      <c r="G202" s="50"/>
      <c r="H202" s="50"/>
      <c r="I202" s="51"/>
      <c r="J202" s="49"/>
      <c r="K202" s="49"/>
      <c r="L202" s="50"/>
      <c r="M202" s="50"/>
      <c r="N202" s="50"/>
      <c r="O202" s="50"/>
      <c r="P202" s="50"/>
      <c r="Q202" s="50"/>
      <c r="R202" s="51"/>
      <c r="S202" s="49"/>
      <c r="T202" s="49"/>
      <c r="U202" s="50"/>
      <c r="V202" s="50"/>
      <c r="W202" s="50"/>
      <c r="X202" s="50"/>
      <c r="Y202" s="50"/>
      <c r="Z202" s="50"/>
      <c r="AA202" s="51"/>
      <c r="AB202" s="49"/>
      <c r="AC202" s="49"/>
      <c r="AD202" s="50"/>
      <c r="AE202" s="50"/>
      <c r="AF202" s="50"/>
      <c r="AG202" s="50"/>
      <c r="AH202" s="50"/>
      <c r="AI202" s="50"/>
    </row>
    <row r="203" ht="14.25" customHeight="1">
      <c r="A203" s="51"/>
      <c r="B203" s="51"/>
      <c r="C203" s="52"/>
      <c r="D203" s="52"/>
      <c r="E203" s="52"/>
      <c r="F203" s="52"/>
      <c r="G203" s="52"/>
      <c r="H203" s="52"/>
      <c r="I203" s="51"/>
      <c r="J203" s="51"/>
      <c r="K203" s="51"/>
      <c r="L203" s="52"/>
      <c r="M203" s="52"/>
      <c r="N203" s="52"/>
      <c r="O203" s="52"/>
      <c r="P203" s="52"/>
      <c r="Q203" s="52"/>
      <c r="R203" s="51"/>
      <c r="S203" s="51"/>
      <c r="T203" s="51"/>
      <c r="U203" s="52"/>
      <c r="V203" s="52"/>
      <c r="W203" s="52"/>
      <c r="X203" s="52"/>
      <c r="Y203" s="52"/>
      <c r="Z203" s="52"/>
      <c r="AA203" s="51"/>
      <c r="AB203" s="51"/>
      <c r="AC203" s="51"/>
      <c r="AD203" s="52"/>
      <c r="AE203" s="52"/>
      <c r="AF203" s="52"/>
      <c r="AG203" s="52"/>
      <c r="AH203" s="52"/>
      <c r="AI203" s="52"/>
    </row>
    <row r="204" ht="14.25" customHeight="1">
      <c r="A204" s="51"/>
      <c r="B204" s="52"/>
      <c r="C204" s="52"/>
      <c r="D204" s="52"/>
      <c r="E204" s="52"/>
      <c r="F204" s="52"/>
      <c r="G204" s="52"/>
      <c r="H204" s="52"/>
      <c r="I204" s="51"/>
      <c r="J204" s="51"/>
      <c r="K204" s="52"/>
      <c r="L204" s="52"/>
      <c r="M204" s="52"/>
      <c r="N204" s="52"/>
      <c r="O204" s="52"/>
      <c r="P204" s="52"/>
      <c r="Q204" s="52"/>
      <c r="R204" s="51"/>
      <c r="S204" s="51"/>
      <c r="T204" s="52"/>
      <c r="U204" s="52"/>
      <c r="V204" s="52"/>
      <c r="W204" s="52"/>
      <c r="X204" s="52"/>
      <c r="Y204" s="52"/>
      <c r="Z204" s="52"/>
      <c r="AA204" s="51"/>
      <c r="AB204" s="51"/>
      <c r="AC204" s="52"/>
      <c r="AD204" s="52"/>
      <c r="AE204" s="52"/>
      <c r="AF204" s="52"/>
      <c r="AG204" s="52"/>
      <c r="AH204" s="52"/>
      <c r="AI204" s="52"/>
    </row>
    <row r="205" ht="14.25" customHeight="1">
      <c r="A205" s="51"/>
      <c r="B205" s="52"/>
      <c r="C205" s="52"/>
      <c r="D205" s="52"/>
      <c r="E205" s="52"/>
      <c r="F205" s="52"/>
      <c r="G205" s="52"/>
      <c r="H205" s="52"/>
      <c r="I205" s="51"/>
      <c r="J205" s="51"/>
      <c r="K205" s="52"/>
      <c r="L205" s="52"/>
      <c r="M205" s="52"/>
      <c r="N205" s="52"/>
      <c r="O205" s="52"/>
      <c r="P205" s="52"/>
      <c r="Q205" s="52"/>
      <c r="R205" s="51"/>
      <c r="S205" s="51"/>
      <c r="T205" s="52"/>
      <c r="U205" s="52"/>
      <c r="V205" s="52"/>
      <c r="W205" s="52"/>
      <c r="X205" s="52"/>
      <c r="Y205" s="52"/>
      <c r="Z205" s="52"/>
      <c r="AA205" s="51"/>
      <c r="AB205" s="51"/>
      <c r="AC205" s="52"/>
      <c r="AD205" s="52"/>
      <c r="AE205" s="52"/>
      <c r="AF205" s="52"/>
      <c r="AG205" s="52"/>
      <c r="AH205" s="52"/>
      <c r="AI205" s="52"/>
    </row>
    <row r="206" ht="14.25" customHeight="1">
      <c r="A206" s="51"/>
      <c r="B206" s="52"/>
      <c r="C206" s="52"/>
      <c r="D206" s="52"/>
      <c r="E206" s="52"/>
      <c r="F206" s="52"/>
      <c r="G206" s="52"/>
      <c r="H206" s="52"/>
      <c r="I206" s="51"/>
      <c r="J206" s="51"/>
      <c r="K206" s="52"/>
      <c r="L206" s="52"/>
      <c r="M206" s="52"/>
      <c r="N206" s="52"/>
      <c r="O206" s="52"/>
      <c r="P206" s="52"/>
      <c r="Q206" s="52"/>
      <c r="R206" s="51"/>
      <c r="S206" s="51"/>
      <c r="T206" s="52"/>
      <c r="U206" s="52"/>
      <c r="V206" s="52"/>
      <c r="W206" s="52"/>
      <c r="X206" s="52"/>
      <c r="Y206" s="52"/>
      <c r="Z206" s="52"/>
      <c r="AA206" s="51"/>
      <c r="AB206" s="51"/>
      <c r="AC206" s="52"/>
      <c r="AD206" s="52"/>
      <c r="AE206" s="52"/>
      <c r="AF206" s="52"/>
      <c r="AG206" s="52"/>
      <c r="AH206" s="52"/>
      <c r="AI206" s="52"/>
    </row>
    <row r="207" ht="14.25" customHeight="1">
      <c r="A207" s="51"/>
      <c r="B207" s="52"/>
      <c r="C207" s="52"/>
      <c r="D207" s="52"/>
      <c r="E207" s="52"/>
      <c r="F207" s="52"/>
      <c r="G207" s="52"/>
      <c r="H207" s="52"/>
      <c r="I207" s="51"/>
      <c r="J207" s="51"/>
      <c r="K207" s="52"/>
      <c r="L207" s="52"/>
      <c r="M207" s="52"/>
      <c r="N207" s="52"/>
      <c r="O207" s="52"/>
      <c r="P207" s="52"/>
      <c r="Q207" s="52"/>
      <c r="R207" s="51"/>
      <c r="S207" s="51"/>
      <c r="T207" s="52"/>
      <c r="U207" s="52"/>
      <c r="V207" s="52"/>
      <c r="W207" s="52"/>
      <c r="X207" s="52"/>
      <c r="Y207" s="52"/>
      <c r="Z207" s="52"/>
      <c r="AA207" s="51"/>
      <c r="AB207" s="51"/>
      <c r="AC207" s="52"/>
      <c r="AD207" s="52"/>
      <c r="AE207" s="52"/>
      <c r="AF207" s="52"/>
      <c r="AG207" s="52"/>
      <c r="AH207" s="52"/>
      <c r="AI207" s="52"/>
    </row>
    <row r="208" ht="14.25" customHeight="1">
      <c r="A208" s="51"/>
      <c r="B208" s="52"/>
      <c r="C208" s="52"/>
      <c r="D208" s="52"/>
      <c r="E208" s="52"/>
      <c r="F208" s="52"/>
      <c r="G208" s="52"/>
      <c r="H208" s="52"/>
      <c r="I208" s="51"/>
      <c r="J208" s="51"/>
      <c r="K208" s="52"/>
      <c r="L208" s="52"/>
      <c r="M208" s="52"/>
      <c r="N208" s="52"/>
      <c r="O208" s="52"/>
      <c r="P208" s="52"/>
      <c r="Q208" s="52"/>
      <c r="R208" s="51"/>
      <c r="S208" s="51"/>
      <c r="T208" s="52"/>
      <c r="U208" s="52"/>
      <c r="V208" s="52"/>
      <c r="W208" s="52"/>
      <c r="X208" s="52"/>
      <c r="Y208" s="52"/>
      <c r="Z208" s="52"/>
      <c r="AA208" s="51"/>
      <c r="AB208" s="51"/>
      <c r="AC208" s="52"/>
      <c r="AD208" s="52"/>
      <c r="AE208" s="52"/>
      <c r="AF208" s="52"/>
      <c r="AG208" s="52"/>
      <c r="AH208" s="52"/>
      <c r="AI208" s="52"/>
    </row>
    <row r="209" ht="14.25" customHeight="1">
      <c r="A209" s="51"/>
      <c r="B209" s="52"/>
      <c r="C209" s="52"/>
      <c r="D209" s="52"/>
      <c r="E209" s="52"/>
      <c r="F209" s="52"/>
      <c r="G209" s="52"/>
      <c r="H209" s="52"/>
      <c r="I209" s="51"/>
      <c r="J209" s="51"/>
      <c r="K209" s="52"/>
      <c r="L209" s="52"/>
      <c r="M209" s="52"/>
      <c r="N209" s="52"/>
      <c r="O209" s="52"/>
      <c r="P209" s="52"/>
      <c r="Q209" s="52"/>
      <c r="R209" s="51"/>
      <c r="S209" s="51"/>
      <c r="T209" s="52"/>
      <c r="U209" s="52"/>
      <c r="V209" s="52"/>
      <c r="W209" s="52"/>
      <c r="X209" s="52"/>
      <c r="Y209" s="52"/>
      <c r="Z209" s="52"/>
      <c r="AA209" s="51"/>
      <c r="AB209" s="51"/>
      <c r="AC209" s="52"/>
      <c r="AD209" s="52"/>
      <c r="AE209" s="52"/>
      <c r="AF209" s="52"/>
      <c r="AG209" s="52"/>
      <c r="AH209" s="52"/>
      <c r="AI209" s="52"/>
    </row>
    <row r="210" ht="14.25" customHeight="1">
      <c r="A210" s="51"/>
      <c r="B210" s="52"/>
      <c r="C210" s="52"/>
      <c r="D210" s="52"/>
      <c r="E210" s="52"/>
      <c r="F210" s="52"/>
      <c r="G210" s="52"/>
      <c r="H210" s="52"/>
      <c r="I210" s="51"/>
      <c r="J210" s="51"/>
      <c r="K210" s="52"/>
      <c r="L210" s="52"/>
      <c r="M210" s="52"/>
      <c r="N210" s="52"/>
      <c r="O210" s="52"/>
      <c r="P210" s="52"/>
      <c r="Q210" s="52"/>
      <c r="R210" s="51"/>
      <c r="S210" s="51"/>
      <c r="T210" s="52"/>
      <c r="U210" s="52"/>
      <c r="V210" s="52"/>
      <c r="W210" s="52"/>
      <c r="X210" s="52"/>
      <c r="Y210" s="52"/>
      <c r="Z210" s="52"/>
      <c r="AA210" s="51"/>
      <c r="AB210" s="51"/>
      <c r="AC210" s="52"/>
      <c r="AD210" s="52"/>
      <c r="AE210" s="52"/>
      <c r="AF210" s="52"/>
      <c r="AG210" s="52"/>
      <c r="AH210" s="52"/>
      <c r="AI210" s="52"/>
    </row>
    <row r="211" ht="14.2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</row>
    <row r="212" ht="14.2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</row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F94:I94"/>
    <mergeCell ref="J94:M94"/>
    <mergeCell ref="N94:Q94"/>
    <mergeCell ref="T94:Y94"/>
    <mergeCell ref="Z94:AE94"/>
    <mergeCell ref="AF94:AK9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2025-08-17T08:13:36Z</dcterms:created>
  <dc:creator>Trần Phạm Nhật Quân - 67CS2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0x01010044252984B3A1764990A99E3BA729DFF7</vt:lpwstr>
  </property>
</Properties>
</file>