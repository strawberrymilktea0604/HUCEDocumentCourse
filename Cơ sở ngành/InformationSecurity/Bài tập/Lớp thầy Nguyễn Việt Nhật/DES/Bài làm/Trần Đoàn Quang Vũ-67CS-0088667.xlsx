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crUcr4f5J7rCYZ7rOfY4N2H10OG+TYJ0FF6cFaCfME="/>
    </ext>
  </extLst>
</workbook>
</file>

<file path=xl/sharedStrings.xml><?xml version="1.0" encoding="utf-8"?>
<sst xmlns="http://schemas.openxmlformats.org/spreadsheetml/2006/main" count="270" uniqueCount="234">
  <si>
    <t>K:</t>
  </si>
  <si>
    <t>0133457799BBCDFF</t>
  </si>
  <si>
    <t>IP(M):</t>
  </si>
  <si>
    <t>1001 1000 1111 1110 1100 1100 0000 0000 1110 0000 0101 0100 1111 0000 1010 1010</t>
  </si>
  <si>
    <t>vị trí</t>
  </si>
  <si>
    <t>kí tự hexan</t>
  </si>
  <si>
    <t>binary</t>
  </si>
  <si>
    <t>C0:</t>
  </si>
  <si>
    <t>1111 0000 1100 1100 1010 1010 1011</t>
  </si>
  <si>
    <t>D0:</t>
  </si>
  <si>
    <t>1010 1010 1100 1100 1111 0000 1010</t>
  </si>
  <si>
    <t>C1:</t>
  </si>
  <si>
    <t>1110 0001 1001 1001 0101 0101 0111</t>
  </si>
  <si>
    <t>E199557</t>
  </si>
  <si>
    <t>C3:</t>
  </si>
  <si>
    <t>0000 1100 1100 1010 1010 1011 1111</t>
  </si>
  <si>
    <t>0CCAABF</t>
  </si>
  <si>
    <t>C5:</t>
  </si>
  <si>
    <t>1100 1100 1010 1010 1011 1111 0000</t>
  </si>
  <si>
    <t>CCAABF0</t>
  </si>
  <si>
    <t>C7:</t>
  </si>
  <si>
    <t>1100 1010 1010 1011 1111 0000 1100</t>
  </si>
  <si>
    <t>CAABF0C</t>
  </si>
  <si>
    <t>C9:</t>
  </si>
  <si>
    <t>0101 0101 0101 1111 1000 0110 0110</t>
  </si>
  <si>
    <t>555F866</t>
  </si>
  <si>
    <t>C11:</t>
  </si>
  <si>
    <t>0101 0101 1111 1000 0110 0110 0101</t>
  </si>
  <si>
    <t>55F8665</t>
  </si>
  <si>
    <t>C13:</t>
  </si>
  <si>
    <t>0101 1111 1000 0110 0110 0101 0101</t>
  </si>
  <si>
    <t>5F86655</t>
  </si>
  <si>
    <t>C15:</t>
  </si>
  <si>
    <t>1111 1000 0110 0110 0101 0101 0101</t>
  </si>
  <si>
    <t>F866555</t>
  </si>
  <si>
    <t>D1:</t>
  </si>
  <si>
    <t>0101 0101 1001 1001 1110 0001 0101</t>
  </si>
  <si>
    <t>5599E15</t>
  </si>
  <si>
    <t>D3:</t>
  </si>
  <si>
    <t>1010 1100 1100 1111 0000 1010 1010</t>
  </si>
  <si>
    <t>ACCF0AA</t>
  </si>
  <si>
    <t>D5:</t>
  </si>
  <si>
    <t>1100 1100 1111 0000 1010 1010 1010</t>
  </si>
  <si>
    <t>CCF0AAA</t>
  </si>
  <si>
    <t>D7:</t>
  </si>
  <si>
    <t>1100 1111 0000 1010 1010 1010 1100</t>
  </si>
  <si>
    <t>CF0AAAC</t>
  </si>
  <si>
    <t>D9:</t>
  </si>
  <si>
    <t>0111 1000 0101 0101 0101 0110 0110</t>
  </si>
  <si>
    <t>D11:</t>
  </si>
  <si>
    <t>1000 0101 0101 0101 0110 0110 0111</t>
  </si>
  <si>
    <t>D13:</t>
  </si>
  <si>
    <t>0101 0101 0101 0110 0110 0111 1000</t>
  </si>
  <si>
    <t>D15:</t>
  </si>
  <si>
    <t>0101 0101 0110 0110 0111 1000 0101</t>
  </si>
  <si>
    <t>56 bit:</t>
  </si>
  <si>
    <t>E1995575599E15</t>
  </si>
  <si>
    <t>56bit:</t>
  </si>
  <si>
    <t>0CCAABFACCF0AA</t>
  </si>
  <si>
    <t>CCAABF0CCF0AAA</t>
  </si>
  <si>
    <t>CAABF0CCF0AAAC</t>
  </si>
  <si>
    <t>555F8667855566</t>
  </si>
  <si>
    <t>55F86658555667</t>
  </si>
  <si>
    <t>5F866555556678</t>
  </si>
  <si>
    <t>F8665555566785</t>
  </si>
  <si>
    <t>K1:</t>
  </si>
  <si>
    <t>1B02EFDB49A5</t>
  </si>
  <si>
    <t>K3:</t>
  </si>
  <si>
    <t>55FC8AB4ACD2</t>
  </si>
  <si>
    <t>K5:</t>
  </si>
  <si>
    <t>7CEC071FE6C2</t>
  </si>
  <si>
    <t>K7:</t>
  </si>
  <si>
    <t>6C84B78AE4C6</t>
  </si>
  <si>
    <t>K9:</t>
  </si>
  <si>
    <t>C0DBEB27B839</t>
  </si>
  <si>
    <t>K11:</t>
  </si>
  <si>
    <t>215FC30D89BE</t>
  </si>
  <si>
    <t>K13:</t>
  </si>
  <si>
    <t>95C5D14B80FD</t>
  </si>
  <si>
    <t>K15:</t>
  </si>
  <si>
    <t>BF91850A17B5</t>
  </si>
  <si>
    <t>C2:</t>
  </si>
  <si>
    <t>1100 0011 0011 0010 1010 1010 1111</t>
  </si>
  <si>
    <t>C332AAF</t>
  </si>
  <si>
    <t>C4:</t>
  </si>
  <si>
    <t>0011 0011 0010 1010 1010 1111 1100</t>
  </si>
  <si>
    <t>332AAFC</t>
  </si>
  <si>
    <t>C6:</t>
  </si>
  <si>
    <t>0011 0010 1010 1010 1111 1100 0011</t>
  </si>
  <si>
    <t>32AAFC3</t>
  </si>
  <si>
    <t>C8:</t>
  </si>
  <si>
    <t>0010 1010 1010 1111 1100 0011 0011</t>
  </si>
  <si>
    <t>2AAFC33</t>
  </si>
  <si>
    <t>C10:</t>
  </si>
  <si>
    <t>0101 0101 0111 1110 0001 1001 1001</t>
  </si>
  <si>
    <t>557E199</t>
  </si>
  <si>
    <t>C12:</t>
  </si>
  <si>
    <t>0101 0111 1110 0001 1001 1001 0101</t>
  </si>
  <si>
    <t>57E1995</t>
  </si>
  <si>
    <t>C14:</t>
  </si>
  <si>
    <t>0111 1110 0001 1001 1001 0101 0101</t>
  </si>
  <si>
    <t>7E19955</t>
  </si>
  <si>
    <t>C16:</t>
  </si>
  <si>
    <t>F0CCAAB</t>
  </si>
  <si>
    <t>D2:</t>
  </si>
  <si>
    <t>1010 1011 0011 0011 1100 0010 1010</t>
  </si>
  <si>
    <t>AB33C2A</t>
  </si>
  <si>
    <t>D4:</t>
  </si>
  <si>
    <t>1011 0011 0011 1100 0010 1010 1010</t>
  </si>
  <si>
    <t>B33C2AA</t>
  </si>
  <si>
    <t>D6</t>
  </si>
  <si>
    <t>0011 0011 1100 0010 1010 1010 1011</t>
  </si>
  <si>
    <t>33C2AAB</t>
  </si>
  <si>
    <t>D8:</t>
  </si>
  <si>
    <t>0011 1100 0010 1010 1010 1011 0011</t>
  </si>
  <si>
    <t>3C2AAB3</t>
  </si>
  <si>
    <t>D10:</t>
  </si>
  <si>
    <t>1110 0001 0101 0101 0101 1001 1001</t>
  </si>
  <si>
    <t>E155599</t>
  </si>
  <si>
    <t>D12:</t>
  </si>
  <si>
    <t>0001 0101 0101 0101 1001 1001 1110</t>
  </si>
  <si>
    <t>155599E</t>
  </si>
  <si>
    <t>D14:</t>
  </si>
  <si>
    <t>0101 0101 0101 1001 1001 1110 0001</t>
  </si>
  <si>
    <t>55599E1</t>
  </si>
  <si>
    <t>D16:</t>
  </si>
  <si>
    <t>AACCF0A</t>
  </si>
  <si>
    <t>C332AAFAB33C2A</t>
  </si>
  <si>
    <t>332AAFCB33C2AA</t>
  </si>
  <si>
    <t>32AAFC333C2AAB</t>
  </si>
  <si>
    <t>2AAFC333C2AAB3</t>
  </si>
  <si>
    <t>557E199E155599</t>
  </si>
  <si>
    <t>57E1995155599E</t>
  </si>
  <si>
    <t>7E1995555599E1</t>
  </si>
  <si>
    <t>F0CCAABAACCF0A</t>
  </si>
  <si>
    <t>K2:</t>
  </si>
  <si>
    <t>69AED925EA66</t>
  </si>
  <si>
    <t>K4:</t>
  </si>
  <si>
    <t>72ADD2AD8657</t>
  </si>
  <si>
    <t>K6:</t>
  </si>
  <si>
    <t>63A51E3CC545</t>
  </si>
  <si>
    <t>K8:</t>
  </si>
  <si>
    <t xml:space="preserve">F7883AECE781 </t>
  </si>
  <si>
    <t>K10:</t>
  </si>
  <si>
    <t>B1F347631D76 </t>
  </si>
  <si>
    <t>K12:</t>
  </si>
  <si>
    <t>7171F5455CD5</t>
  </si>
  <si>
    <t>K14:</t>
  </si>
  <si>
    <t>5743B783DD8D</t>
  </si>
  <si>
    <t>K16:</t>
  </si>
  <si>
    <t>CB3D0BBC7072</t>
  </si>
  <si>
    <t>M:</t>
  </si>
  <si>
    <t>00123456789ABCDE</t>
  </si>
  <si>
    <t>PC-1:</t>
  </si>
  <si>
    <t>PC-2:</t>
  </si>
  <si>
    <t>Iteration Number</t>
  </si>
  <si>
    <t>Number Of Left Shift</t>
  </si>
  <si>
    <t>R0:</t>
  </si>
  <si>
    <t>1110 0000 0101 0100 1111 0000 1010 1010</t>
  </si>
  <si>
    <t>E054F0AA</t>
  </si>
  <si>
    <t>E:</t>
  </si>
  <si>
    <t>E(R0):</t>
  </si>
  <si>
    <t>7002A97A1555</t>
  </si>
  <si>
    <t>XOR(E(R0), K1):</t>
  </si>
  <si>
    <t>0111 0000 0000 0010 1010 1001 0111 1010 0001 0101 0101 0101</t>
  </si>
  <si>
    <t>L0:</t>
  </si>
  <si>
    <t>1001 1000 1111 1110 1100 1100 0000 0000</t>
  </si>
  <si>
    <t>98FECC00</t>
  </si>
  <si>
    <t>0001 1011 0000 0010 1110 1111 1101 1011 0100 1001 1010 0101</t>
  </si>
  <si>
    <t>6B0046A15FC0 :</t>
  </si>
  <si>
    <t>0110 1011 0000 0000 0100 0110 1010 0001 0101 1100 1111 0000</t>
  </si>
  <si>
    <t>Bảng S :</t>
  </si>
  <si>
    <t>Giá trị đầu vào :</t>
  </si>
  <si>
    <t>Giá trị đầu ra :</t>
  </si>
  <si>
    <t>Vòng lặp thứ n</t>
  </si>
  <si>
    <t>f(R,K)</t>
  </si>
  <si>
    <t>Ln</t>
  </si>
  <si>
    <t>Rn</t>
  </si>
  <si>
    <t>IP-1 :</t>
  </si>
  <si>
    <t>S1</t>
  </si>
  <si>
    <t>011010</t>
  </si>
  <si>
    <t>S2</t>
  </si>
  <si>
    <t>97D1619A</t>
  </si>
  <si>
    <t>0F2FAD9A</t>
  </si>
  <si>
    <t>S3</t>
  </si>
  <si>
    <t>000001</t>
  </si>
  <si>
    <t>D</t>
  </si>
  <si>
    <t>88488D0B</t>
  </si>
  <si>
    <t>681C7DA1</t>
  </si>
  <si>
    <t>S4</t>
  </si>
  <si>
    <t>000110</t>
  </si>
  <si>
    <t>DA3B2692</t>
  </si>
  <si>
    <t>D5148B08</t>
  </si>
  <si>
    <t>S5</t>
  </si>
  <si>
    <t>101000</t>
  </si>
  <si>
    <t>A</t>
  </si>
  <si>
    <t>F44950B2</t>
  </si>
  <si>
    <t>9C552D13</t>
  </si>
  <si>
    <t>S6</t>
  </si>
  <si>
    <t>010101</t>
  </si>
  <si>
    <t>D83237FD</t>
  </si>
  <si>
    <t>0D26BCF5</t>
  </si>
  <si>
    <t>S7</t>
  </si>
  <si>
    <t>AFC43B25</t>
  </si>
  <si>
    <t>33911636</t>
  </si>
  <si>
    <t>S8</t>
  </si>
  <si>
    <t>4E5123A2</t>
  </si>
  <si>
    <t>43779F57</t>
  </si>
  <si>
    <t>6CFDEC8C</t>
  </si>
  <si>
    <t>5F6CFA8E</t>
  </si>
  <si>
    <t xml:space="preserve">f(R0, K1): </t>
  </si>
  <si>
    <t>95D3AD50</t>
  </si>
  <si>
    <t>FB0600B1</t>
  </si>
  <si>
    <t>B8719FE6</t>
  </si>
  <si>
    <t>IP-1(R16, K16) :</t>
  </si>
  <si>
    <t>0001 1010 1011 1111 1111 0110 1001 1101 0101 1010 1001 0011 1110 1000 0000 1011</t>
  </si>
  <si>
    <t>D51508E4</t>
  </si>
  <si>
    <t>8A79F26A</t>
  </si>
  <si>
    <t>C:</t>
  </si>
  <si>
    <t>1ABFF69D5A93E80B</t>
  </si>
  <si>
    <t>Ln = R(n-1)</t>
  </si>
  <si>
    <t>FCF67146</t>
  </si>
  <si>
    <t>4487EEA0</t>
  </si>
  <si>
    <t>Rn = L(n-1) XOR f(R(n-1), Kn)</t>
  </si>
  <si>
    <t>704FA3A5</t>
  </si>
  <si>
    <t>FA3651CF</t>
  </si>
  <si>
    <t>7BFE2806</t>
  </si>
  <si>
    <t>3F79C6A6</t>
  </si>
  <si>
    <t>65FC7A48</t>
  </si>
  <si>
    <t>9FCA2B87</t>
  </si>
  <si>
    <t>513F1D11</t>
  </si>
  <si>
    <t>6E46DBB7</t>
  </si>
  <si>
    <t>CBF5252D</t>
  </si>
  <si>
    <t>543F0EAA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</si>
</sst>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đ-42A]"/>
  </numFmts>
  <fonts count="4">
    <font>
      <sz val="11.0"/>
      <color theme="1"/>
      <name val="Aptos Narrow"/>
      <scheme val="minor"/>
    </font>
    <font>
      <sz val="11.0"/>
      <color rgb="FFFF0000"/>
      <name val="Aptos Narrow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quotePrefix="1" borderId="0" fillId="0" fontId="3" numFmtId="11" xfId="0" applyFont="1" applyNumberFormat="1"/>
    <xf borderId="0" fillId="0" fontId="3" numFmtId="0" xfId="0" applyAlignment="1" applyFont="1">
      <alignment horizontal="left"/>
    </xf>
    <xf quotePrefix="1" borderId="0" fillId="0" fontId="3" numFmtId="0" xfId="0" applyFont="1"/>
    <xf borderId="0" fillId="0" fontId="3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3" width="8.63"/>
    <col customWidth="1" min="44" max="44" width="10.38"/>
    <col customWidth="1" min="45" max="68" width="8.63"/>
  </cols>
  <sheetData>
    <row r="1" ht="14.25" customHeight="1">
      <c r="A1" s="1" t="s">
        <v>0</v>
      </c>
      <c r="B1" s="2" t="s">
        <v>1</v>
      </c>
      <c r="C1" s="2"/>
      <c r="G1" s="3" t="s">
        <v>2</v>
      </c>
      <c r="H1" s="3" t="s">
        <v>3</v>
      </c>
    </row>
    <row r="2" ht="14.25" customHeight="1">
      <c r="A2" s="4" t="s">
        <v>4</v>
      </c>
      <c r="B2" s="4" t="s">
        <v>5</v>
      </c>
      <c r="C2" s="4" t="s">
        <v>6</v>
      </c>
      <c r="G2" s="3" t="s">
        <v>7</v>
      </c>
      <c r="H2" s="3" t="s">
        <v>8</v>
      </c>
    </row>
    <row r="3" ht="14.25" customHeight="1">
      <c r="A3" s="3">
        <v>1.0</v>
      </c>
      <c r="B3" s="3" t="str">
        <f t="shared" ref="B3:B19" si="1">MID($B$1,ROW(B1),1)</f>
        <v>0</v>
      </c>
      <c r="C3" s="3" t="str">
        <f t="shared" ref="C3:C18" si="2">HEX2BIN(B3,4)</f>
        <v>0000</v>
      </c>
      <c r="G3" s="3" t="s">
        <v>9</v>
      </c>
      <c r="H3" s="3" t="s">
        <v>10</v>
      </c>
    </row>
    <row r="4" ht="14.25" customHeight="1">
      <c r="A4" s="3">
        <v>2.0</v>
      </c>
      <c r="B4" s="3" t="str">
        <f t="shared" si="1"/>
        <v>1</v>
      </c>
      <c r="C4" s="3" t="str">
        <f t="shared" si="2"/>
        <v>0001</v>
      </c>
    </row>
    <row r="5" ht="14.25" customHeight="1">
      <c r="A5" s="3">
        <v>3.0</v>
      </c>
      <c r="B5" s="3" t="str">
        <f t="shared" si="1"/>
        <v>3</v>
      </c>
      <c r="C5" s="3" t="str">
        <f t="shared" si="2"/>
        <v>0011</v>
      </c>
      <c r="G5" s="3" t="s">
        <v>11</v>
      </c>
      <c r="H5" s="3" t="s">
        <v>12</v>
      </c>
      <c r="L5" s="3" t="s">
        <v>13</v>
      </c>
      <c r="O5" s="3" t="s">
        <v>14</v>
      </c>
      <c r="P5" s="3" t="s">
        <v>15</v>
      </c>
      <c r="T5" s="3" t="s">
        <v>16</v>
      </c>
      <c r="W5" s="3" t="s">
        <v>17</v>
      </c>
      <c r="X5" s="3" t="s">
        <v>18</v>
      </c>
      <c r="AB5" s="3" t="s">
        <v>19</v>
      </c>
      <c r="AE5" s="3" t="s">
        <v>20</v>
      </c>
      <c r="AF5" s="3" t="s">
        <v>21</v>
      </c>
      <c r="AJ5" s="3" t="s">
        <v>22</v>
      </c>
      <c r="AM5" s="3" t="s">
        <v>23</v>
      </c>
      <c r="AN5" s="3" t="s">
        <v>24</v>
      </c>
      <c r="AR5" s="3" t="s">
        <v>25</v>
      </c>
      <c r="AU5" s="3" t="s">
        <v>26</v>
      </c>
      <c r="AV5" s="3" t="s">
        <v>27</v>
      </c>
      <c r="AZ5" s="3" t="s">
        <v>28</v>
      </c>
      <c r="BC5" s="3" t="s">
        <v>29</v>
      </c>
      <c r="BD5" s="3" t="s">
        <v>30</v>
      </c>
      <c r="BH5" s="3" t="s">
        <v>31</v>
      </c>
      <c r="BK5" s="3" t="s">
        <v>32</v>
      </c>
      <c r="BL5" s="3" t="s">
        <v>33</v>
      </c>
      <c r="BP5" s="3" t="s">
        <v>34</v>
      </c>
    </row>
    <row r="6" ht="14.25" customHeight="1">
      <c r="A6" s="3">
        <v>4.0</v>
      </c>
      <c r="B6" s="3" t="str">
        <f t="shared" si="1"/>
        <v>3</v>
      </c>
      <c r="C6" s="3" t="str">
        <f t="shared" si="2"/>
        <v>0011</v>
      </c>
      <c r="G6" s="3" t="s">
        <v>35</v>
      </c>
      <c r="H6" s="3" t="s">
        <v>36</v>
      </c>
      <c r="L6" s="5" t="s">
        <v>37</v>
      </c>
      <c r="O6" s="3" t="s">
        <v>38</v>
      </c>
      <c r="P6" s="3" t="s">
        <v>39</v>
      </c>
      <c r="T6" s="3" t="s">
        <v>40</v>
      </c>
      <c r="W6" s="3" t="s">
        <v>41</v>
      </c>
      <c r="X6" s="3" t="s">
        <v>42</v>
      </c>
      <c r="AB6" s="3" t="s">
        <v>43</v>
      </c>
      <c r="AE6" s="3" t="s">
        <v>44</v>
      </c>
      <c r="AF6" s="3" t="s">
        <v>45</v>
      </c>
      <c r="AJ6" s="3" t="s">
        <v>46</v>
      </c>
      <c r="AM6" s="3" t="s">
        <v>47</v>
      </c>
      <c r="AN6" s="3" t="s">
        <v>48</v>
      </c>
      <c r="AR6" s="6">
        <v>7855566.0</v>
      </c>
      <c r="AU6" s="3" t="s">
        <v>49</v>
      </c>
      <c r="AV6" s="3" t="s">
        <v>50</v>
      </c>
      <c r="AZ6" s="6">
        <v>8555667.0</v>
      </c>
      <c r="BC6" s="3" t="s">
        <v>51</v>
      </c>
      <c r="BD6" s="3" t="s">
        <v>52</v>
      </c>
      <c r="BH6" s="6">
        <v>5556678.0</v>
      </c>
      <c r="BK6" s="3" t="s">
        <v>53</v>
      </c>
      <c r="BL6" s="3" t="s">
        <v>54</v>
      </c>
      <c r="BP6" s="6">
        <v>5566785.0</v>
      </c>
    </row>
    <row r="7" ht="14.25" customHeight="1">
      <c r="A7" s="3">
        <v>5.0</v>
      </c>
      <c r="B7" s="3" t="str">
        <f t="shared" si="1"/>
        <v>4</v>
      </c>
      <c r="C7" s="3" t="str">
        <f t="shared" si="2"/>
        <v>0100</v>
      </c>
      <c r="G7" s="3" t="s">
        <v>55</v>
      </c>
      <c r="H7" s="3" t="s">
        <v>56</v>
      </c>
      <c r="O7" s="3" t="s">
        <v>57</v>
      </c>
      <c r="P7" s="3" t="s">
        <v>58</v>
      </c>
      <c r="W7" s="3" t="s">
        <v>57</v>
      </c>
      <c r="X7" s="3" t="s">
        <v>59</v>
      </c>
      <c r="AE7" s="3" t="s">
        <v>57</v>
      </c>
      <c r="AF7" s="3" t="s">
        <v>60</v>
      </c>
      <c r="AM7" s="3" t="s">
        <v>57</v>
      </c>
      <c r="AN7" s="3" t="s">
        <v>61</v>
      </c>
      <c r="AU7" s="3" t="s">
        <v>57</v>
      </c>
      <c r="AV7" s="3" t="s">
        <v>62</v>
      </c>
      <c r="BC7" s="3" t="s">
        <v>57</v>
      </c>
      <c r="BD7" s="3" t="s">
        <v>63</v>
      </c>
      <c r="BK7" s="3" t="s">
        <v>57</v>
      </c>
      <c r="BL7" s="3" t="s">
        <v>64</v>
      </c>
    </row>
    <row r="8" ht="14.25" customHeight="1">
      <c r="A8" s="3">
        <v>6.0</v>
      </c>
      <c r="B8" s="3" t="str">
        <f t="shared" si="1"/>
        <v>5</v>
      </c>
      <c r="C8" s="3" t="str">
        <f t="shared" si="2"/>
        <v>0101</v>
      </c>
      <c r="G8" s="3" t="s">
        <v>65</v>
      </c>
      <c r="H8" s="3" t="s">
        <v>66</v>
      </c>
      <c r="O8" s="3" t="s">
        <v>67</v>
      </c>
      <c r="P8" s="3" t="s">
        <v>68</v>
      </c>
      <c r="W8" s="3" t="s">
        <v>69</v>
      </c>
      <c r="X8" s="3" t="s">
        <v>70</v>
      </c>
      <c r="AE8" s="3" t="s">
        <v>71</v>
      </c>
      <c r="AF8" s="3" t="s">
        <v>72</v>
      </c>
      <c r="AM8" s="3" t="s">
        <v>73</v>
      </c>
      <c r="AN8" s="3" t="s">
        <v>74</v>
      </c>
      <c r="AU8" s="3" t="s">
        <v>75</v>
      </c>
      <c r="AV8" s="3" t="s">
        <v>76</v>
      </c>
      <c r="BC8" s="3" t="s">
        <v>77</v>
      </c>
      <c r="BD8" s="3" t="s">
        <v>78</v>
      </c>
      <c r="BK8" s="3" t="s">
        <v>79</v>
      </c>
      <c r="BL8" s="3" t="s">
        <v>80</v>
      </c>
    </row>
    <row r="9" ht="14.25" customHeight="1">
      <c r="A9" s="3">
        <v>7.0</v>
      </c>
      <c r="B9" s="3" t="str">
        <f t="shared" si="1"/>
        <v>7</v>
      </c>
      <c r="C9" s="3" t="str">
        <f t="shared" si="2"/>
        <v>0111</v>
      </c>
    </row>
    <row r="10" ht="14.25" customHeight="1">
      <c r="A10" s="3">
        <v>8.0</v>
      </c>
      <c r="B10" s="3" t="str">
        <f t="shared" si="1"/>
        <v>7</v>
      </c>
      <c r="C10" s="3" t="str">
        <f t="shared" si="2"/>
        <v>0111</v>
      </c>
    </row>
    <row r="11" ht="14.25" customHeight="1">
      <c r="A11" s="3">
        <v>9.0</v>
      </c>
      <c r="B11" s="3" t="str">
        <f t="shared" si="1"/>
        <v>9</v>
      </c>
      <c r="C11" s="3" t="str">
        <f t="shared" si="2"/>
        <v>1001</v>
      </c>
      <c r="G11" s="3" t="s">
        <v>81</v>
      </c>
      <c r="H11" s="3" t="s">
        <v>82</v>
      </c>
      <c r="L11" s="3" t="s">
        <v>83</v>
      </c>
      <c r="O11" s="3" t="s">
        <v>84</v>
      </c>
      <c r="P11" s="3" t="s">
        <v>85</v>
      </c>
      <c r="T11" s="3" t="s">
        <v>86</v>
      </c>
      <c r="W11" s="3" t="s">
        <v>87</v>
      </c>
      <c r="X11" s="3" t="s">
        <v>88</v>
      </c>
      <c r="AB11" s="3" t="s">
        <v>89</v>
      </c>
      <c r="AE11" s="3" t="s">
        <v>90</v>
      </c>
      <c r="AF11" s="3" t="s">
        <v>91</v>
      </c>
      <c r="AJ11" s="3" t="s">
        <v>92</v>
      </c>
      <c r="AM11" s="3" t="s">
        <v>93</v>
      </c>
      <c r="AN11" s="3" t="s">
        <v>94</v>
      </c>
      <c r="AR11" s="5" t="s">
        <v>95</v>
      </c>
      <c r="AU11" s="3" t="s">
        <v>96</v>
      </c>
      <c r="AV11" s="3" t="s">
        <v>97</v>
      </c>
      <c r="AZ11" s="7" t="s">
        <v>98</v>
      </c>
      <c r="BC11" s="3" t="s">
        <v>99</v>
      </c>
      <c r="BD11" s="3" t="s">
        <v>100</v>
      </c>
      <c r="BH11" s="7" t="s">
        <v>101</v>
      </c>
      <c r="BK11" s="3" t="s">
        <v>102</v>
      </c>
      <c r="BL11" s="3" t="s">
        <v>8</v>
      </c>
      <c r="BP11" s="3" t="s">
        <v>103</v>
      </c>
    </row>
    <row r="12" ht="14.25" customHeight="1">
      <c r="A12" s="3">
        <v>10.0</v>
      </c>
      <c r="B12" s="3" t="str">
        <f t="shared" si="1"/>
        <v>9</v>
      </c>
      <c r="C12" s="3" t="str">
        <f t="shared" si="2"/>
        <v>1001</v>
      </c>
      <c r="G12" s="3" t="s">
        <v>104</v>
      </c>
      <c r="H12" s="3" t="s">
        <v>105</v>
      </c>
      <c r="L12" s="3" t="s">
        <v>106</v>
      </c>
      <c r="O12" s="3" t="s">
        <v>107</v>
      </c>
      <c r="P12" s="3" t="s">
        <v>108</v>
      </c>
      <c r="T12" s="3" t="s">
        <v>109</v>
      </c>
      <c r="W12" s="3" t="s">
        <v>110</v>
      </c>
      <c r="X12" s="3" t="s">
        <v>111</v>
      </c>
      <c r="AB12" s="3" t="s">
        <v>112</v>
      </c>
      <c r="AE12" s="3" t="s">
        <v>113</v>
      </c>
      <c r="AF12" s="3" t="s">
        <v>114</v>
      </c>
      <c r="AJ12" s="3" t="s">
        <v>115</v>
      </c>
      <c r="AM12" s="3" t="s">
        <v>116</v>
      </c>
      <c r="AN12" s="3" t="s">
        <v>117</v>
      </c>
      <c r="AR12" s="7" t="s">
        <v>118</v>
      </c>
      <c r="AU12" s="3" t="s">
        <v>119</v>
      </c>
      <c r="AV12" s="3" t="s">
        <v>120</v>
      </c>
      <c r="AZ12" s="3" t="s">
        <v>121</v>
      </c>
      <c r="BC12" s="3" t="s">
        <v>122</v>
      </c>
      <c r="BD12" s="3" t="s">
        <v>123</v>
      </c>
      <c r="BH12" s="7" t="s">
        <v>124</v>
      </c>
      <c r="BK12" s="3" t="s">
        <v>125</v>
      </c>
      <c r="BL12" s="3" t="s">
        <v>10</v>
      </c>
      <c r="BP12" s="3" t="s">
        <v>126</v>
      </c>
    </row>
    <row r="13" ht="14.25" customHeight="1">
      <c r="A13" s="3">
        <v>11.0</v>
      </c>
      <c r="B13" s="3" t="str">
        <f t="shared" si="1"/>
        <v>B</v>
      </c>
      <c r="C13" s="3" t="str">
        <f t="shared" si="2"/>
        <v>1011</v>
      </c>
      <c r="G13" s="3" t="s">
        <v>57</v>
      </c>
      <c r="H13" s="3" t="s">
        <v>127</v>
      </c>
      <c r="O13" s="3" t="s">
        <v>57</v>
      </c>
      <c r="P13" s="3" t="s">
        <v>128</v>
      </c>
      <c r="W13" s="3" t="s">
        <v>57</v>
      </c>
      <c r="X13" s="3" t="s">
        <v>129</v>
      </c>
      <c r="AE13" s="3" t="s">
        <v>57</v>
      </c>
      <c r="AF13" s="3" t="s">
        <v>130</v>
      </c>
      <c r="AM13" s="3" t="s">
        <v>57</v>
      </c>
      <c r="AN13" s="7" t="s">
        <v>131</v>
      </c>
      <c r="AU13" s="3" t="s">
        <v>57</v>
      </c>
      <c r="AV13" s="8" t="s">
        <v>132</v>
      </c>
      <c r="BC13" s="3" t="s">
        <v>57</v>
      </c>
      <c r="BD13" s="8" t="s">
        <v>133</v>
      </c>
      <c r="BK13" s="3" t="s">
        <v>57</v>
      </c>
      <c r="BL13" s="3" t="s">
        <v>134</v>
      </c>
    </row>
    <row r="14" ht="14.25" customHeight="1">
      <c r="A14" s="3">
        <v>12.0</v>
      </c>
      <c r="B14" s="3" t="str">
        <f t="shared" si="1"/>
        <v>B</v>
      </c>
      <c r="C14" s="3" t="str">
        <f t="shared" si="2"/>
        <v>1011</v>
      </c>
      <c r="G14" s="3" t="s">
        <v>135</v>
      </c>
      <c r="H14" s="3" t="s">
        <v>136</v>
      </c>
      <c r="O14" s="3" t="s">
        <v>137</v>
      </c>
      <c r="P14" s="3" t="s">
        <v>138</v>
      </c>
      <c r="W14" s="3" t="s">
        <v>139</v>
      </c>
      <c r="X14" s="3" t="s">
        <v>140</v>
      </c>
      <c r="AE14" s="3" t="s">
        <v>141</v>
      </c>
      <c r="AF14" s="3" t="s">
        <v>142</v>
      </c>
      <c r="AM14" s="3" t="s">
        <v>143</v>
      </c>
      <c r="AN14" s="3" t="s">
        <v>144</v>
      </c>
      <c r="AU14" s="3" t="s">
        <v>145</v>
      </c>
      <c r="AV14" s="3" t="s">
        <v>146</v>
      </c>
      <c r="BC14" s="3" t="s">
        <v>147</v>
      </c>
      <c r="BD14" s="3" t="s">
        <v>148</v>
      </c>
      <c r="BK14" s="3" t="s">
        <v>149</v>
      </c>
      <c r="BL14" s="3" t="s">
        <v>150</v>
      </c>
    </row>
    <row r="15" ht="14.25" customHeight="1">
      <c r="A15" s="3">
        <v>13.0</v>
      </c>
      <c r="B15" s="3" t="str">
        <f t="shared" si="1"/>
        <v>C</v>
      </c>
      <c r="C15" s="3" t="str">
        <f t="shared" si="2"/>
        <v>1100</v>
      </c>
    </row>
    <row r="16" ht="14.25" customHeight="1">
      <c r="A16" s="3">
        <v>14.0</v>
      </c>
      <c r="B16" s="3" t="str">
        <f t="shared" si="1"/>
        <v>D</v>
      </c>
      <c r="C16" s="3" t="str">
        <f t="shared" si="2"/>
        <v>1101</v>
      </c>
    </row>
    <row r="17" ht="14.25" customHeight="1">
      <c r="A17" s="3">
        <v>15.0</v>
      </c>
      <c r="B17" s="3" t="str">
        <f t="shared" si="1"/>
        <v>F</v>
      </c>
      <c r="C17" s="3" t="str">
        <f t="shared" si="2"/>
        <v>1111</v>
      </c>
    </row>
    <row r="18" ht="14.25" customHeight="1">
      <c r="A18" s="3">
        <v>16.0</v>
      </c>
      <c r="B18" s="3" t="str">
        <f t="shared" si="1"/>
        <v>F</v>
      </c>
      <c r="C18" s="3" t="str">
        <f t="shared" si="2"/>
        <v>1111</v>
      </c>
    </row>
    <row r="19" ht="14.25" customHeight="1">
      <c r="B19" s="3" t="str">
        <f t="shared" si="1"/>
        <v/>
      </c>
    </row>
    <row r="20" ht="14.25" customHeight="1"/>
    <row r="21" ht="14.25" customHeight="1">
      <c r="A21" s="2" t="s">
        <v>151</v>
      </c>
      <c r="B21" s="2" t="s">
        <v>152</v>
      </c>
      <c r="C21" s="2"/>
      <c r="F21" s="3" t="s">
        <v>2</v>
      </c>
      <c r="K21" s="3" t="s">
        <v>153</v>
      </c>
      <c r="O21" s="3" t="s">
        <v>154</v>
      </c>
      <c r="Y21" s="3" t="s">
        <v>155</v>
      </c>
      <c r="AA21" s="3" t="s">
        <v>156</v>
      </c>
      <c r="AE21" s="3" t="s">
        <v>157</v>
      </c>
      <c r="AF21" s="3" t="s">
        <v>158</v>
      </c>
      <c r="AK21" s="3" t="s">
        <v>159</v>
      </c>
      <c r="AM21" s="3" t="s">
        <v>160</v>
      </c>
      <c r="AN21" s="3" t="s">
        <v>161</v>
      </c>
      <c r="AO21" s="3" t="s">
        <v>162</v>
      </c>
      <c r="AR21" s="3" t="s">
        <v>163</v>
      </c>
      <c r="AT21" s="3" t="s">
        <v>164</v>
      </c>
    </row>
    <row r="22" ht="14.25" customHeight="1">
      <c r="A22" s="3">
        <v>1.0</v>
      </c>
      <c r="B22" s="3" t="str">
        <f t="shared" ref="B22:B37" si="3">MID($B$21,ROW(B1),1)</f>
        <v>0</v>
      </c>
      <c r="C22" s="3" t="str">
        <f t="shared" ref="C22:C37" si="4">HEX2BIN(B22,4)</f>
        <v>0000</v>
      </c>
      <c r="F22" s="3">
        <v>58.0</v>
      </c>
      <c r="H22" s="3" t="str">
        <f t="array" ref="H22">MID(INDEX($C$22:$C$37,INT((ROW(A1)-1)/4)+1),MOD(ROW(A1)-1,4)+1,1)</f>
        <v>0</v>
      </c>
      <c r="K22" s="3">
        <v>57.0</v>
      </c>
      <c r="L22" s="3" t="str">
        <f t="array" ref="L22">MID(INDEX($C$3:$C$18,INT((ROW(A1)-1)/4)+1),MOD(ROW(A1)-1,4)+1,1)</f>
        <v>0</v>
      </c>
      <c r="O22" s="3">
        <v>14.0</v>
      </c>
      <c r="P22" s="3">
        <v>17.0</v>
      </c>
      <c r="Q22" s="3">
        <v>11.0</v>
      </c>
      <c r="R22" s="3">
        <v>24.0</v>
      </c>
      <c r="S22" s="3">
        <v>1.0</v>
      </c>
      <c r="T22" s="3">
        <v>5.0</v>
      </c>
      <c r="U22" s="3">
        <v>3.0</v>
      </c>
      <c r="V22" s="3">
        <v>28.0</v>
      </c>
      <c r="Y22" s="3">
        <v>1.0</v>
      </c>
      <c r="AA22" s="3">
        <v>1.0</v>
      </c>
      <c r="AE22" s="3" t="s">
        <v>165</v>
      </c>
      <c r="AF22" s="3" t="s">
        <v>166</v>
      </c>
      <c r="AK22" s="3" t="s">
        <v>167</v>
      </c>
      <c r="AM22" s="3">
        <v>32.0</v>
      </c>
      <c r="AN22" s="3">
        <v>0.0</v>
      </c>
      <c r="AT22" s="3" t="s">
        <v>168</v>
      </c>
    </row>
    <row r="23" ht="14.25" customHeight="1">
      <c r="A23" s="3">
        <v>2.0</v>
      </c>
      <c r="B23" s="3" t="str">
        <f t="shared" si="3"/>
        <v>0</v>
      </c>
      <c r="C23" s="3" t="str">
        <f t="shared" si="4"/>
        <v>0000</v>
      </c>
      <c r="F23" s="3">
        <v>50.0</v>
      </c>
      <c r="H23" s="3" t="str">
        <f t="array" ref="H23">MID(INDEX($C$22:$C$37,INT((ROW(A2)-1)/4)+1),MOD(ROW(A2)-1,4)+1,1)</f>
        <v>0</v>
      </c>
      <c r="K23" s="3">
        <v>49.0</v>
      </c>
      <c r="L23" s="3" t="str">
        <f t="array" ref="L23">MID(INDEX($C$3:$C$18,INT((ROW(A2)-1)/4)+1),MOD(ROW(A2)-1,4)+1,1)</f>
        <v>0</v>
      </c>
      <c r="O23" s="3">
        <v>15.0</v>
      </c>
      <c r="P23" s="3">
        <v>6.0</v>
      </c>
      <c r="Q23" s="3">
        <v>21.0</v>
      </c>
      <c r="R23" s="3">
        <v>10.0</v>
      </c>
      <c r="S23" s="3">
        <v>23.0</v>
      </c>
      <c r="T23" s="3">
        <v>19.0</v>
      </c>
      <c r="U23" s="3">
        <v>12.0</v>
      </c>
      <c r="V23" s="3">
        <v>4.0</v>
      </c>
      <c r="Y23" s="3">
        <v>2.0</v>
      </c>
      <c r="AA23" s="3">
        <v>1.0</v>
      </c>
      <c r="AM23" s="3">
        <v>1.0</v>
      </c>
      <c r="AN23" s="3">
        <v>1.0</v>
      </c>
      <c r="AR23" s="3" t="s">
        <v>169</v>
      </c>
      <c r="AT23" s="3" t="s">
        <v>170</v>
      </c>
    </row>
    <row r="24" ht="14.25" customHeight="1">
      <c r="A24" s="3">
        <v>3.0</v>
      </c>
      <c r="B24" s="3" t="str">
        <f t="shared" si="3"/>
        <v>1</v>
      </c>
      <c r="C24" s="3" t="str">
        <f t="shared" si="4"/>
        <v>0001</v>
      </c>
      <c r="F24" s="3">
        <v>42.0</v>
      </c>
      <c r="H24" s="3" t="str">
        <f t="array" ref="H24">MID(INDEX($C$22:$C$37,INT((ROW(A3)-1)/4)+1),MOD(ROW(A3)-1,4)+1,1)</f>
        <v>0</v>
      </c>
      <c r="K24" s="3">
        <v>41.0</v>
      </c>
      <c r="L24" s="3" t="str">
        <f t="array" ref="L24">MID(INDEX($C$3:$C$18,INT((ROW(A3)-1)/4)+1),MOD(ROW(A3)-1,4)+1,1)</f>
        <v>0</v>
      </c>
      <c r="O24" s="3">
        <v>26.0</v>
      </c>
      <c r="P24" s="3">
        <v>8.0</v>
      </c>
      <c r="Q24" s="3">
        <v>16.0</v>
      </c>
      <c r="R24" s="3">
        <v>7.0</v>
      </c>
      <c r="S24" s="3">
        <v>27.0</v>
      </c>
      <c r="T24" s="3">
        <v>20.0</v>
      </c>
      <c r="U24" s="3">
        <v>13.0</v>
      </c>
      <c r="V24" s="3">
        <v>2.0</v>
      </c>
      <c r="Y24" s="3">
        <v>3.0</v>
      </c>
      <c r="AA24" s="3">
        <v>2.0</v>
      </c>
      <c r="AM24" s="3">
        <v>2.0</v>
      </c>
      <c r="AN24" s="3">
        <v>1.0</v>
      </c>
    </row>
    <row r="25" ht="14.25" customHeight="1">
      <c r="A25" s="3">
        <v>4.0</v>
      </c>
      <c r="B25" s="3" t="str">
        <f t="shared" si="3"/>
        <v>2</v>
      </c>
      <c r="C25" s="3" t="str">
        <f t="shared" si="4"/>
        <v>0010</v>
      </c>
      <c r="F25" s="3">
        <v>34.0</v>
      </c>
      <c r="H25" s="3" t="str">
        <f t="array" ref="H25">MID(INDEX($C$22:$C$37,INT((ROW(A4)-1)/4)+1),MOD(ROW(A4)-1,4)+1,1)</f>
        <v>0</v>
      </c>
      <c r="K25" s="3">
        <v>33.0</v>
      </c>
      <c r="L25" s="3" t="str">
        <f t="array" ref="L25">MID(INDEX($C$3:$C$18,INT((ROW(A4)-1)/4)+1),MOD(ROW(A4)-1,4)+1,1)</f>
        <v>0</v>
      </c>
      <c r="O25" s="3">
        <v>41.0</v>
      </c>
      <c r="P25" s="3">
        <v>52.0</v>
      </c>
      <c r="Q25" s="3">
        <v>31.0</v>
      </c>
      <c r="R25" s="3">
        <v>37.0</v>
      </c>
      <c r="S25" s="3">
        <v>47.0</v>
      </c>
      <c r="T25" s="3">
        <v>55.0</v>
      </c>
      <c r="U25" s="3">
        <v>30.0</v>
      </c>
      <c r="V25" s="3">
        <v>40.0</v>
      </c>
      <c r="Y25" s="3">
        <v>4.0</v>
      </c>
      <c r="AA25" s="3">
        <v>2.0</v>
      </c>
      <c r="AM25" s="3">
        <v>3.0</v>
      </c>
      <c r="AN25" s="3">
        <v>1.0</v>
      </c>
    </row>
    <row r="26" ht="14.25" customHeight="1">
      <c r="A26" s="3">
        <v>5.0</v>
      </c>
      <c r="B26" s="3" t="str">
        <f t="shared" si="3"/>
        <v>3</v>
      </c>
      <c r="C26" s="3" t="str">
        <f t="shared" si="4"/>
        <v>0011</v>
      </c>
      <c r="F26" s="3">
        <v>26.0</v>
      </c>
      <c r="H26" s="3" t="str">
        <f t="array" ref="H26">MID(INDEX($C$22:$C$37,INT((ROW(A5)-1)/4)+1),MOD(ROW(A5)-1,4)+1,1)</f>
        <v>0</v>
      </c>
      <c r="K26" s="3">
        <v>25.0</v>
      </c>
      <c r="L26" s="3" t="str">
        <f t="array" ref="L26">MID(INDEX($C$3:$C$18,INT((ROW(A5)-1)/4)+1),MOD(ROW(A5)-1,4)+1,1)</f>
        <v>0</v>
      </c>
      <c r="O26" s="3">
        <v>51.0</v>
      </c>
      <c r="P26" s="3">
        <v>45.0</v>
      </c>
      <c r="Q26" s="3">
        <v>33.0</v>
      </c>
      <c r="R26" s="3">
        <v>48.0</v>
      </c>
      <c r="S26" s="3">
        <v>44.0</v>
      </c>
      <c r="T26" s="3">
        <v>49.0</v>
      </c>
      <c r="U26" s="3">
        <v>39.0</v>
      </c>
      <c r="V26" s="3">
        <v>56.0</v>
      </c>
      <c r="Y26" s="3">
        <v>5.0</v>
      </c>
      <c r="AA26" s="3">
        <v>2.0</v>
      </c>
      <c r="AM26" s="3">
        <v>4.0</v>
      </c>
      <c r="AN26" s="3">
        <v>0.0</v>
      </c>
      <c r="AR26" s="3" t="s">
        <v>171</v>
      </c>
      <c r="AS26" s="3" t="s">
        <v>172</v>
      </c>
      <c r="AU26" s="3" t="s">
        <v>173</v>
      </c>
      <c r="AY26" s="3" t="s">
        <v>174</v>
      </c>
      <c r="BA26" s="3" t="s">
        <v>175</v>
      </c>
      <c r="BC26" s="3" t="s">
        <v>176</v>
      </c>
      <c r="BE26" s="3" t="s">
        <v>177</v>
      </c>
      <c r="BH26" s="3" t="s">
        <v>178</v>
      </c>
    </row>
    <row r="27" ht="14.25" customHeight="1">
      <c r="A27" s="3">
        <v>6.0</v>
      </c>
      <c r="B27" s="3" t="str">
        <f t="shared" si="3"/>
        <v>4</v>
      </c>
      <c r="C27" s="3" t="str">
        <f t="shared" si="4"/>
        <v>0100</v>
      </c>
      <c r="F27" s="3">
        <v>18.0</v>
      </c>
      <c r="H27" s="3" t="str">
        <f t="array" ref="H27">MID(INDEX($C$22:$C$37,INT((ROW(A6)-1)/4)+1),MOD(ROW(A6)-1,4)+1,1)</f>
        <v>0</v>
      </c>
      <c r="K27" s="3">
        <v>17.0</v>
      </c>
      <c r="L27" s="3" t="str">
        <f t="array" ref="L27">MID(INDEX($C$3:$C$18,INT((ROW(A6)-1)/4)+1),MOD(ROW(A6)-1,4)+1,1)</f>
        <v>0</v>
      </c>
      <c r="O27" s="3">
        <v>34.0</v>
      </c>
      <c r="P27" s="3">
        <v>53.0</v>
      </c>
      <c r="Q27" s="3">
        <v>46.0</v>
      </c>
      <c r="R27" s="3">
        <v>42.0</v>
      </c>
      <c r="S27" s="3">
        <v>50.0</v>
      </c>
      <c r="T27" s="3">
        <v>36.0</v>
      </c>
      <c r="U27" s="3">
        <v>29.0</v>
      </c>
      <c r="V27" s="3">
        <v>32.0</v>
      </c>
      <c r="Y27" s="3">
        <v>6.0</v>
      </c>
      <c r="AA27" s="3">
        <v>2.0</v>
      </c>
      <c r="AM27" s="3">
        <v>5.0</v>
      </c>
      <c r="AN27" s="3">
        <v>0.0</v>
      </c>
      <c r="AR27" s="3" t="s">
        <v>179</v>
      </c>
      <c r="AS27" s="7" t="s">
        <v>180</v>
      </c>
      <c r="AU27" s="6">
        <v>9.0</v>
      </c>
      <c r="AY27" s="3">
        <v>0.0</v>
      </c>
      <c r="BC27" s="3" t="s">
        <v>167</v>
      </c>
      <c r="BE27" s="3" t="s">
        <v>159</v>
      </c>
      <c r="BH27" s="3">
        <v>40.0</v>
      </c>
      <c r="BI27" s="3">
        <v>8.0</v>
      </c>
      <c r="BJ27" s="3">
        <v>48.0</v>
      </c>
      <c r="BK27" s="3">
        <v>16.0</v>
      </c>
      <c r="BL27" s="3">
        <v>56.0</v>
      </c>
      <c r="BM27" s="3">
        <v>24.0</v>
      </c>
      <c r="BN27" s="3">
        <v>64.0</v>
      </c>
      <c r="BO27" s="3">
        <v>32.0</v>
      </c>
    </row>
    <row r="28" ht="14.25" customHeight="1">
      <c r="A28" s="3">
        <v>7.0</v>
      </c>
      <c r="B28" s="3" t="str">
        <f t="shared" si="3"/>
        <v>5</v>
      </c>
      <c r="C28" s="3" t="str">
        <f t="shared" si="4"/>
        <v>0101</v>
      </c>
      <c r="F28" s="3">
        <v>10.0</v>
      </c>
      <c r="H28" s="3" t="str">
        <f t="array" ref="H28">MID(INDEX($C$22:$C$37,INT((ROW(A7)-1)/4)+1),MOD(ROW(A7)-1,4)+1,1)</f>
        <v>0</v>
      </c>
      <c r="K28" s="3">
        <v>9.0</v>
      </c>
      <c r="L28" s="3" t="str">
        <f t="array" ref="L28">MID(INDEX($C$3:$C$18,INT((ROW(A7)-1)/4)+1),MOD(ROW(A7)-1,4)+1,1)</f>
        <v>0</v>
      </c>
      <c r="Y28" s="3">
        <v>7.0</v>
      </c>
      <c r="AA28" s="3">
        <v>2.0</v>
      </c>
      <c r="AM28" s="3">
        <v>4.0</v>
      </c>
      <c r="AN28" s="3">
        <v>0.0</v>
      </c>
      <c r="AR28" s="3" t="s">
        <v>181</v>
      </c>
      <c r="AS28" s="6">
        <v>110000.0</v>
      </c>
      <c r="AU28" s="6">
        <v>5.0</v>
      </c>
      <c r="AY28" s="3">
        <v>1.0</v>
      </c>
      <c r="BA28" s="3" t="s">
        <v>182</v>
      </c>
      <c r="BC28" s="3" t="s">
        <v>159</v>
      </c>
      <c r="BE28" s="3" t="s">
        <v>183</v>
      </c>
      <c r="BH28" s="3">
        <v>39.0</v>
      </c>
      <c r="BI28" s="3">
        <v>7.0</v>
      </c>
      <c r="BJ28" s="3">
        <v>47.0</v>
      </c>
      <c r="BK28" s="3">
        <v>15.0</v>
      </c>
      <c r="BL28" s="3">
        <v>55.0</v>
      </c>
      <c r="BM28" s="3">
        <v>23.0</v>
      </c>
      <c r="BN28" s="3">
        <v>63.0</v>
      </c>
      <c r="BO28" s="3">
        <v>31.0</v>
      </c>
    </row>
    <row r="29" ht="14.25" customHeight="1">
      <c r="A29" s="3">
        <v>8.0</v>
      </c>
      <c r="B29" s="3" t="str">
        <f t="shared" si="3"/>
        <v>6</v>
      </c>
      <c r="C29" s="3" t="str">
        <f t="shared" si="4"/>
        <v>0110</v>
      </c>
      <c r="F29" s="3">
        <v>2.0</v>
      </c>
      <c r="H29" s="3" t="str">
        <f t="array" ref="H29">MID(INDEX($C$22:$C$37,INT((ROW(A8)-1)/4)+1),MOD(ROW(A8)-1,4)+1,1)</f>
        <v>0</v>
      </c>
      <c r="K29" s="3">
        <v>1.0</v>
      </c>
      <c r="L29" s="3" t="str">
        <f t="array" ref="L29">MID(INDEX($C$3:$C$18,INT((ROW(A8)-1)/4)+1),MOD(ROW(A8)-1,4)+1,1)</f>
        <v>1</v>
      </c>
      <c r="Y29" s="3">
        <v>8.0</v>
      </c>
      <c r="AA29" s="3">
        <v>2.0</v>
      </c>
      <c r="AM29" s="3">
        <v>5.0</v>
      </c>
      <c r="AN29" s="3">
        <v>0.0</v>
      </c>
      <c r="AR29" s="3" t="s">
        <v>184</v>
      </c>
      <c r="AS29" s="7" t="s">
        <v>185</v>
      </c>
      <c r="AU29" s="6" t="s">
        <v>186</v>
      </c>
      <c r="AY29" s="3">
        <v>2.0</v>
      </c>
      <c r="BA29" s="3" t="s">
        <v>187</v>
      </c>
      <c r="BC29" s="3" t="s">
        <v>183</v>
      </c>
      <c r="BE29" s="3" t="s">
        <v>188</v>
      </c>
      <c r="BH29" s="3">
        <v>38.0</v>
      </c>
      <c r="BI29" s="3">
        <v>6.0</v>
      </c>
      <c r="BJ29" s="3">
        <v>46.0</v>
      </c>
      <c r="BK29" s="3">
        <v>14.0</v>
      </c>
      <c r="BL29" s="3">
        <v>54.0</v>
      </c>
      <c r="BM29" s="3">
        <v>22.0</v>
      </c>
      <c r="BN29" s="3">
        <v>62.0</v>
      </c>
      <c r="BO29" s="3">
        <v>30.0</v>
      </c>
    </row>
    <row r="30" ht="14.25" customHeight="1">
      <c r="A30" s="3">
        <v>9.0</v>
      </c>
      <c r="B30" s="3" t="str">
        <f t="shared" si="3"/>
        <v>7</v>
      </c>
      <c r="C30" s="3" t="str">
        <f t="shared" si="4"/>
        <v>0111</v>
      </c>
      <c r="F30" s="3">
        <v>60.0</v>
      </c>
      <c r="H30" s="3" t="str">
        <f t="array" ref="H30">MID(INDEX($C$22:$C$37,INT((ROW(A9)-1)/4)+1),MOD(ROW(A9)-1,4)+1,1)</f>
        <v>0</v>
      </c>
      <c r="K30" s="3">
        <v>58.0</v>
      </c>
      <c r="L30" s="3" t="str">
        <f t="array" ref="L30">MID(INDEX($C$3:$C$18,INT((ROW(A9)-1)/4)+1),MOD(ROW(A9)-1,4)+1,1)</f>
        <v>0</v>
      </c>
      <c r="Y30" s="3">
        <v>9.0</v>
      </c>
      <c r="AA30" s="3">
        <v>1.0</v>
      </c>
      <c r="AM30" s="3">
        <v>6.0</v>
      </c>
      <c r="AN30" s="3">
        <v>0.0</v>
      </c>
      <c r="AR30" s="3" t="s">
        <v>189</v>
      </c>
      <c r="AS30" s="7" t="s">
        <v>190</v>
      </c>
      <c r="AU30" s="6">
        <v>3.0</v>
      </c>
      <c r="AY30" s="3">
        <v>3.0</v>
      </c>
      <c r="BA30" s="3" t="s">
        <v>191</v>
      </c>
      <c r="BC30" s="3" t="s">
        <v>188</v>
      </c>
      <c r="BE30" s="3" t="s">
        <v>192</v>
      </c>
      <c r="BH30" s="3">
        <v>37.0</v>
      </c>
      <c r="BI30" s="3">
        <v>5.0</v>
      </c>
      <c r="BJ30" s="3">
        <v>45.0</v>
      </c>
      <c r="BK30" s="3">
        <v>13.0</v>
      </c>
      <c r="BL30" s="3">
        <v>53.0</v>
      </c>
      <c r="BM30" s="3">
        <v>21.0</v>
      </c>
      <c r="BN30" s="3">
        <v>61.0</v>
      </c>
      <c r="BO30" s="3">
        <v>29.0</v>
      </c>
    </row>
    <row r="31" ht="14.25" customHeight="1">
      <c r="A31" s="3">
        <v>10.0</v>
      </c>
      <c r="B31" s="3" t="str">
        <f t="shared" si="3"/>
        <v>8</v>
      </c>
      <c r="C31" s="3" t="str">
        <f t="shared" si="4"/>
        <v>1000</v>
      </c>
      <c r="F31" s="3">
        <v>52.0</v>
      </c>
      <c r="H31" s="3" t="str">
        <f t="array" ref="H31">MID(INDEX($C$22:$C$37,INT((ROW(A10)-1)/4)+1),MOD(ROW(A10)-1,4)+1,1)</f>
        <v>0</v>
      </c>
      <c r="K31" s="3">
        <v>50.0</v>
      </c>
      <c r="L31" s="3" t="str">
        <f t="array" ref="L31">MID(INDEX($C$3:$C$18,INT((ROW(A10)-1)/4)+1),MOD(ROW(A10)-1,4)+1,1)</f>
        <v>0</v>
      </c>
      <c r="Y31" s="3">
        <v>10.0</v>
      </c>
      <c r="AA31" s="3">
        <v>2.0</v>
      </c>
      <c r="AM31" s="3">
        <v>7.0</v>
      </c>
      <c r="AN31" s="3">
        <v>0.0</v>
      </c>
      <c r="AR31" s="3" t="s">
        <v>193</v>
      </c>
      <c r="AS31" s="7" t="s">
        <v>194</v>
      </c>
      <c r="AU31" s="6" t="s">
        <v>195</v>
      </c>
      <c r="AY31" s="3">
        <v>4.0</v>
      </c>
      <c r="BA31" s="3" t="s">
        <v>196</v>
      </c>
      <c r="BC31" s="3" t="s">
        <v>192</v>
      </c>
      <c r="BE31" s="3" t="s">
        <v>197</v>
      </c>
      <c r="BH31" s="3">
        <v>36.0</v>
      </c>
      <c r="BI31" s="3">
        <v>4.0</v>
      </c>
      <c r="BJ31" s="3">
        <v>44.0</v>
      </c>
      <c r="BK31" s="3">
        <v>12.0</v>
      </c>
      <c r="BL31" s="3">
        <v>52.0</v>
      </c>
      <c r="BM31" s="3">
        <v>20.0</v>
      </c>
      <c r="BN31" s="3">
        <v>60.0</v>
      </c>
      <c r="BO31" s="3">
        <v>28.0</v>
      </c>
    </row>
    <row r="32" ht="14.25" customHeight="1">
      <c r="A32" s="3">
        <v>11.0</v>
      </c>
      <c r="B32" s="3" t="str">
        <f t="shared" si="3"/>
        <v>9</v>
      </c>
      <c r="C32" s="3" t="str">
        <f t="shared" si="4"/>
        <v>1001</v>
      </c>
      <c r="F32" s="3">
        <v>44.0</v>
      </c>
      <c r="H32" s="3" t="str">
        <f t="array" ref="H32">MID(INDEX($C$22:$C$37,INT((ROW(A11)-1)/4)+1),MOD(ROW(A11)-1,4)+1,1)</f>
        <v>0</v>
      </c>
      <c r="K32" s="3">
        <v>42.0</v>
      </c>
      <c r="L32" s="3" t="str">
        <f t="array" ref="L32">MID(INDEX($C$3:$C$18,INT((ROW(A11)-1)/4)+1),MOD(ROW(A11)-1,4)+1,1)</f>
        <v>1</v>
      </c>
      <c r="Y32" s="3">
        <v>11.0</v>
      </c>
      <c r="AA32" s="3">
        <v>2.0</v>
      </c>
      <c r="AM32" s="3">
        <v>8.0</v>
      </c>
      <c r="AN32" s="3">
        <v>0.0</v>
      </c>
      <c r="AR32" s="3" t="s">
        <v>198</v>
      </c>
      <c r="AS32" s="7" t="s">
        <v>199</v>
      </c>
      <c r="AU32" s="6" t="s">
        <v>186</v>
      </c>
      <c r="AY32" s="3">
        <v>5.0</v>
      </c>
      <c r="BA32" s="3" t="s">
        <v>200</v>
      </c>
      <c r="BC32" s="3" t="s">
        <v>197</v>
      </c>
      <c r="BE32" s="3" t="s">
        <v>201</v>
      </c>
      <c r="BH32" s="3">
        <v>35.0</v>
      </c>
      <c r="BI32" s="3">
        <v>3.0</v>
      </c>
      <c r="BJ32" s="3">
        <v>43.0</v>
      </c>
      <c r="BK32" s="3">
        <v>11.0</v>
      </c>
      <c r="BL32" s="3">
        <v>51.0</v>
      </c>
      <c r="BM32" s="3">
        <v>19.0</v>
      </c>
      <c r="BN32" s="3">
        <v>59.0</v>
      </c>
      <c r="BO32" s="3">
        <v>27.0</v>
      </c>
    </row>
    <row r="33" ht="14.25" customHeight="1">
      <c r="A33" s="3">
        <v>12.0</v>
      </c>
      <c r="B33" s="3" t="str">
        <f t="shared" si="3"/>
        <v>A</v>
      </c>
      <c r="C33" s="3" t="str">
        <f t="shared" si="4"/>
        <v>1010</v>
      </c>
      <c r="F33" s="3">
        <v>36.0</v>
      </c>
      <c r="H33" s="3" t="str">
        <f t="array" ref="H33">MID(INDEX($C$22:$C$37,INT((ROW(A12)-1)/4)+1),MOD(ROW(A12)-1,4)+1,1)</f>
        <v>1</v>
      </c>
      <c r="K33" s="3">
        <v>34.0</v>
      </c>
      <c r="L33" s="3" t="str">
        <f t="array" ref="L33">MID(INDEX($C$3:$C$18,INT((ROW(A12)-1)/4)+1),MOD(ROW(A12)-1,4)+1,1)</f>
        <v>1</v>
      </c>
      <c r="Y33" s="3">
        <v>12.0</v>
      </c>
      <c r="AA33" s="3">
        <v>2.0</v>
      </c>
      <c r="AM33" s="3">
        <v>9.0</v>
      </c>
      <c r="AN33" s="3">
        <v>0.0</v>
      </c>
      <c r="AR33" s="3" t="s">
        <v>202</v>
      </c>
      <c r="AS33" s="6">
        <v>110011.0</v>
      </c>
      <c r="AU33" s="6">
        <v>5.0</v>
      </c>
      <c r="AY33" s="3">
        <v>6.0</v>
      </c>
      <c r="BA33" s="3" t="s">
        <v>203</v>
      </c>
      <c r="BC33" s="3" t="s">
        <v>201</v>
      </c>
      <c r="BE33" s="7" t="s">
        <v>204</v>
      </c>
      <c r="BH33" s="3">
        <v>34.0</v>
      </c>
      <c r="BI33" s="3">
        <v>2.0</v>
      </c>
      <c r="BJ33" s="3">
        <v>42.0</v>
      </c>
      <c r="BK33" s="3">
        <v>10.0</v>
      </c>
      <c r="BL33" s="3">
        <v>50.0</v>
      </c>
      <c r="BM33" s="3">
        <v>18.0</v>
      </c>
      <c r="BN33" s="3">
        <v>58.0</v>
      </c>
      <c r="BO33" s="3">
        <v>26.0</v>
      </c>
    </row>
    <row r="34" ht="14.25" customHeight="1">
      <c r="A34" s="3">
        <v>13.0</v>
      </c>
      <c r="B34" s="3" t="str">
        <f t="shared" si="3"/>
        <v>B</v>
      </c>
      <c r="C34" s="3" t="str">
        <f t="shared" si="4"/>
        <v>1011</v>
      </c>
      <c r="F34" s="3">
        <v>28.0</v>
      </c>
      <c r="H34" s="3" t="str">
        <f t="array" ref="H34">MID(INDEX($C$22:$C$37,INT((ROW(A13)-1)/4)+1),MOD(ROW(A13)-1,4)+1,1)</f>
        <v>0</v>
      </c>
      <c r="K34" s="3">
        <v>26.0</v>
      </c>
      <c r="L34" s="3" t="str">
        <f t="array" ref="L34">MID(INDEX($C$3:$C$18,INT((ROW(A13)-1)/4)+1),MOD(ROW(A13)-1,4)+1,1)</f>
        <v>0</v>
      </c>
      <c r="Y34" s="3">
        <v>13.0</v>
      </c>
      <c r="AA34" s="3">
        <v>2.0</v>
      </c>
      <c r="AM34" s="3">
        <v>8.0</v>
      </c>
      <c r="AN34" s="3">
        <v>0.0</v>
      </c>
      <c r="AR34" s="3" t="s">
        <v>205</v>
      </c>
      <c r="AS34" s="6">
        <v>110000.0</v>
      </c>
      <c r="AU34" s="6">
        <v>0.0</v>
      </c>
      <c r="AY34" s="3">
        <v>7.0</v>
      </c>
      <c r="BA34" s="8" t="s">
        <v>206</v>
      </c>
      <c r="BC34" s="7" t="s">
        <v>204</v>
      </c>
      <c r="BE34" s="3" t="s">
        <v>207</v>
      </c>
      <c r="BH34" s="3">
        <v>33.0</v>
      </c>
      <c r="BI34" s="3">
        <v>1.0</v>
      </c>
      <c r="BJ34" s="3">
        <v>41.0</v>
      </c>
      <c r="BK34" s="3">
        <v>9.0</v>
      </c>
      <c r="BL34" s="3">
        <v>49.0</v>
      </c>
      <c r="BM34" s="3">
        <v>17.0</v>
      </c>
      <c r="BN34" s="3">
        <v>57.0</v>
      </c>
      <c r="BO34" s="3">
        <v>25.0</v>
      </c>
    </row>
    <row r="35" ht="14.25" customHeight="1">
      <c r="A35" s="3">
        <v>14.0</v>
      </c>
      <c r="B35" s="3" t="str">
        <f t="shared" si="3"/>
        <v>C</v>
      </c>
      <c r="C35" s="3" t="str">
        <f t="shared" si="4"/>
        <v>1100</v>
      </c>
      <c r="F35" s="3">
        <v>20.0</v>
      </c>
      <c r="H35" s="3" t="str">
        <f t="array" ref="H35">MID(INDEX($C$22:$C$37,INT((ROW(A14)-1)/4)+1),MOD(ROW(A14)-1,4)+1,1)</f>
        <v>0</v>
      </c>
      <c r="K35" s="3">
        <v>18.0</v>
      </c>
      <c r="L35" s="3" t="str">
        <f t="array" ref="L35">MID(INDEX($C$3:$C$18,INT((ROW(A14)-1)/4)+1),MOD(ROW(A14)-1,4)+1,1)</f>
        <v>0</v>
      </c>
      <c r="Y35" s="3">
        <v>14.0</v>
      </c>
      <c r="AA35" s="3">
        <v>2.0</v>
      </c>
      <c r="AM35" s="3">
        <v>9.0</v>
      </c>
      <c r="AN35" s="3">
        <v>0.0</v>
      </c>
      <c r="AY35" s="3">
        <v>8.0</v>
      </c>
      <c r="BA35" s="3" t="s">
        <v>208</v>
      </c>
      <c r="BC35" s="3" t="s">
        <v>207</v>
      </c>
      <c r="BE35" s="3" t="s">
        <v>209</v>
      </c>
    </row>
    <row r="36" ht="14.25" customHeight="1">
      <c r="A36" s="3">
        <v>15.0</v>
      </c>
      <c r="B36" s="3" t="str">
        <f t="shared" si="3"/>
        <v>D</v>
      </c>
      <c r="C36" s="3" t="str">
        <f t="shared" si="4"/>
        <v>1101</v>
      </c>
      <c r="F36" s="3">
        <v>12.0</v>
      </c>
      <c r="H36" s="3" t="str">
        <f t="array" ref="H36">MID(INDEX($C$22:$C$37,INT((ROW(A15)-1)/4)+1),MOD(ROW(A15)-1,4)+1,1)</f>
        <v>1</v>
      </c>
      <c r="K36" s="3">
        <v>10.0</v>
      </c>
      <c r="L36" s="3" t="str">
        <f t="array" ref="L36">MID(INDEX($C$3:$C$18,INT((ROW(A15)-1)/4)+1),MOD(ROW(A15)-1,4)+1,1)</f>
        <v>1</v>
      </c>
      <c r="Y36" s="3">
        <v>15.0</v>
      </c>
      <c r="AA36" s="3">
        <v>2.0</v>
      </c>
      <c r="AM36" s="3">
        <v>10.0</v>
      </c>
      <c r="AN36" s="3">
        <v>1.0</v>
      </c>
      <c r="AR36" s="3" t="s">
        <v>210</v>
      </c>
      <c r="AS36" s="3" t="s">
        <v>211</v>
      </c>
      <c r="AY36" s="3">
        <v>9.0</v>
      </c>
      <c r="BA36" s="3" t="s">
        <v>212</v>
      </c>
      <c r="BC36" s="3" t="s">
        <v>209</v>
      </c>
      <c r="BE36" s="3" t="s">
        <v>213</v>
      </c>
      <c r="BH36" s="3" t="s">
        <v>214</v>
      </c>
      <c r="BJ36" s="7" t="s">
        <v>215</v>
      </c>
    </row>
    <row r="37" ht="14.25" customHeight="1">
      <c r="A37" s="3">
        <v>16.0</v>
      </c>
      <c r="B37" s="3" t="str">
        <f t="shared" si="3"/>
        <v>E</v>
      </c>
      <c r="C37" s="3" t="str">
        <f t="shared" si="4"/>
        <v>1110</v>
      </c>
      <c r="F37" s="3">
        <v>4.0</v>
      </c>
      <c r="H37" s="3" t="str">
        <f t="array" ref="H37">MID(INDEX($C$22:$C$37,INT((ROW(A16)-1)/4)+1),MOD(ROW(A16)-1,4)+1,1)</f>
        <v>0</v>
      </c>
      <c r="K37" s="3">
        <v>2.0</v>
      </c>
      <c r="L37" s="3" t="str">
        <f t="array" ref="L37">MID(INDEX($C$3:$C$18,INT((ROW(A16)-1)/4)+1),MOD(ROW(A16)-1,4)+1,1)</f>
        <v>1</v>
      </c>
      <c r="Y37" s="3">
        <v>16.0</v>
      </c>
      <c r="AA37" s="3">
        <v>1.0</v>
      </c>
      <c r="AM37" s="3">
        <v>11.0</v>
      </c>
      <c r="AN37" s="3">
        <v>0.0</v>
      </c>
      <c r="AY37" s="3">
        <v>10.0</v>
      </c>
      <c r="BA37" s="3" t="s">
        <v>216</v>
      </c>
      <c r="BC37" s="3" t="s">
        <v>213</v>
      </c>
      <c r="BE37" s="3" t="s">
        <v>217</v>
      </c>
      <c r="BH37" s="2" t="s">
        <v>218</v>
      </c>
      <c r="BI37" s="2"/>
      <c r="BJ37" s="2" t="s">
        <v>219</v>
      </c>
      <c r="BK37" s="2"/>
      <c r="BL37" s="2"/>
    </row>
    <row r="38" ht="14.25" customHeight="1">
      <c r="F38" s="3">
        <v>62.0</v>
      </c>
      <c r="H38" s="3" t="str">
        <f t="array" ref="H38">MID(INDEX($C$22:$C$37,INT((ROW(A17)-1)/4)+1),MOD(ROW(A17)-1,4)+1,1)</f>
        <v>0</v>
      </c>
      <c r="K38" s="3">
        <v>59.0</v>
      </c>
      <c r="L38" s="3" t="str">
        <f t="array" ref="L38">MID(INDEX($C$3:$C$18,INT((ROW(A17)-1)/4)+1),MOD(ROW(A17)-1,4)+1,1)</f>
        <v>0</v>
      </c>
      <c r="AM38" s="3">
        <v>12.0</v>
      </c>
      <c r="AN38" s="3">
        <v>1.0</v>
      </c>
      <c r="AR38" s="3" t="s">
        <v>220</v>
      </c>
      <c r="AY38" s="3">
        <v>11.0</v>
      </c>
      <c r="BA38" s="3" t="s">
        <v>221</v>
      </c>
      <c r="BC38" s="3" t="s">
        <v>217</v>
      </c>
      <c r="BE38" s="3" t="s">
        <v>222</v>
      </c>
    </row>
    <row r="39" ht="14.25" customHeight="1">
      <c r="C39" s="3" t="str">
        <f>MID($B$22,ROW(),1)</f>
        <v/>
      </c>
      <c r="F39" s="3">
        <v>54.0</v>
      </c>
      <c r="H39" s="3" t="str">
        <f t="array" ref="H39">MID(INDEX($C$22:$C$37,INT((ROW(A18)-1)/4)+1),MOD(ROW(A18)-1,4)+1,1)</f>
        <v>0</v>
      </c>
      <c r="K39" s="3">
        <v>51.0</v>
      </c>
      <c r="L39" s="3" t="str">
        <f t="array" ref="L39">MID(INDEX($C$3:$C$18,INT((ROW(A18)-1)/4)+1),MOD(ROW(A18)-1,4)+1,1)</f>
        <v>1</v>
      </c>
      <c r="AM39" s="3">
        <v>13.0</v>
      </c>
      <c r="AN39" s="3">
        <v>0.0</v>
      </c>
      <c r="AR39" s="3" t="s">
        <v>223</v>
      </c>
      <c r="AY39" s="3">
        <v>12.0</v>
      </c>
      <c r="BA39" s="3" t="s">
        <v>224</v>
      </c>
      <c r="BC39" s="3" t="s">
        <v>222</v>
      </c>
      <c r="BE39" s="3" t="s">
        <v>225</v>
      </c>
    </row>
    <row r="40" ht="14.25" customHeight="1">
      <c r="F40" s="3">
        <v>46.0</v>
      </c>
      <c r="H40" s="3" t="str">
        <f t="array" ref="H40">MID(INDEX($C$22:$C$37,INT((ROW(A19)-1)/4)+1),MOD(ROW(A19)-1,4)+1,1)</f>
        <v>1</v>
      </c>
      <c r="K40" s="3">
        <v>43.0</v>
      </c>
      <c r="L40" s="3" t="str">
        <f t="array" ref="L40">MID(INDEX($C$3:$C$18,INT((ROW(A19)-1)/4)+1),MOD(ROW(A19)-1,4)+1,1)</f>
        <v>0</v>
      </c>
      <c r="AM40" s="3">
        <v>12.0</v>
      </c>
      <c r="AN40" s="3">
        <v>1.0</v>
      </c>
      <c r="AY40" s="3">
        <v>13.0</v>
      </c>
      <c r="BA40" s="3" t="s">
        <v>226</v>
      </c>
      <c r="BC40" s="3" t="s">
        <v>225</v>
      </c>
      <c r="BE40" s="3" t="s">
        <v>227</v>
      </c>
    </row>
    <row r="41" ht="14.25" customHeight="1">
      <c r="F41" s="3">
        <v>38.0</v>
      </c>
      <c r="H41" s="3" t="str">
        <f t="array" ref="H41">MID(INDEX($C$22:$C$37,INT((ROW(A20)-1)/4)+1),MOD(ROW(A20)-1,4)+1,1)</f>
        <v>1</v>
      </c>
      <c r="K41" s="3">
        <v>35.0</v>
      </c>
      <c r="L41" s="3" t="str">
        <f t="array" ref="L41">MID(INDEX($C$3:$C$18,INT((ROW(A20)-1)/4)+1),MOD(ROW(A20)-1,4)+1,1)</f>
        <v>0</v>
      </c>
      <c r="AM41" s="3">
        <v>13.0</v>
      </c>
      <c r="AN41" s="3">
        <v>0.0</v>
      </c>
      <c r="AY41" s="3">
        <v>14.0</v>
      </c>
      <c r="BA41" s="3" t="s">
        <v>228</v>
      </c>
      <c r="BC41" s="3" t="s">
        <v>227</v>
      </c>
      <c r="BE41" s="3" t="s">
        <v>229</v>
      </c>
    </row>
    <row r="42" ht="14.25" customHeight="1">
      <c r="F42" s="3">
        <v>30.0</v>
      </c>
      <c r="H42" s="3" t="str">
        <f t="array" ref="H42">MID(INDEX($C$22:$C$37,INT((ROW(A21)-1)/4)+1),MOD(ROW(A21)-1,4)+1,1)</f>
        <v>0</v>
      </c>
      <c r="K42" s="3">
        <v>27.0</v>
      </c>
      <c r="L42" s="3" t="str">
        <f t="array" ref="L42">MID(INDEX($C$3:$C$18,INT((ROW(A21)-1)/4)+1),MOD(ROW(A21)-1,4)+1,1)</f>
        <v>0</v>
      </c>
      <c r="AM42" s="3">
        <v>14.0</v>
      </c>
      <c r="AN42" s="3">
        <v>1.0</v>
      </c>
      <c r="AY42" s="3">
        <v>15.0</v>
      </c>
      <c r="BA42" s="3" t="s">
        <v>230</v>
      </c>
      <c r="BC42" s="3" t="s">
        <v>229</v>
      </c>
      <c r="BE42" s="3" t="s">
        <v>231</v>
      </c>
    </row>
    <row r="43" ht="14.25" customHeight="1">
      <c r="F43" s="3">
        <v>22.0</v>
      </c>
      <c r="H43" s="3" t="str">
        <f t="array" ref="H43">MID(INDEX($C$22:$C$37,INT((ROW(A22)-1)/4)+1),MOD(ROW(A22)-1,4)+1,1)</f>
        <v>1</v>
      </c>
      <c r="K43" s="3">
        <v>19.0</v>
      </c>
      <c r="L43" s="3" t="str">
        <f t="array" ref="L43">MID(INDEX($C$3:$C$18,INT((ROW(A22)-1)/4)+1),MOD(ROW(A22)-1,4)+1,1)</f>
        <v>1</v>
      </c>
      <c r="AM43" s="3">
        <v>15.0</v>
      </c>
      <c r="AN43" s="3">
        <v>0.0</v>
      </c>
      <c r="AY43" s="3">
        <v>16.0</v>
      </c>
      <c r="BA43" s="3" t="s">
        <v>232</v>
      </c>
      <c r="BC43" s="3" t="s">
        <v>231</v>
      </c>
      <c r="BE43" s="3" t="s">
        <v>233</v>
      </c>
    </row>
    <row r="44" ht="14.25" customHeight="1">
      <c r="F44" s="3">
        <v>14.0</v>
      </c>
      <c r="H44" s="3" t="str">
        <f t="array" ref="H44">MID(INDEX($C$22:$C$37,INT((ROW(A23)-1)/4)+1),MOD(ROW(A23)-1,4)+1,1)</f>
        <v>0</v>
      </c>
      <c r="K44" s="3">
        <v>11.0</v>
      </c>
      <c r="L44" s="3" t="str">
        <f t="array" ref="L44">MID(INDEX($C$3:$C$18,INT((ROW(A23)-1)/4)+1),MOD(ROW(A23)-1,4)+1,1)</f>
        <v>0</v>
      </c>
      <c r="AM44" s="3">
        <v>16.0</v>
      </c>
      <c r="AN44" s="3">
        <v>0.0</v>
      </c>
    </row>
    <row r="45" ht="14.25" customHeight="1">
      <c r="F45" s="3">
        <v>6.0</v>
      </c>
      <c r="H45" s="3" t="str">
        <f t="array" ref="H45">MID(INDEX($C$22:$C$37,INT((ROW(A24)-1)/4)+1),MOD(ROW(A24)-1,4)+1,1)</f>
        <v>0</v>
      </c>
      <c r="K45" s="3">
        <v>3.0</v>
      </c>
      <c r="L45" s="3" t="str">
        <f t="array" ref="L45">MID(INDEX($C$3:$C$18,INT((ROW(A24)-1)/4)+1),MOD(ROW(A24)-1,4)+1,1)</f>
        <v>1</v>
      </c>
      <c r="AM45" s="3">
        <v>17.0</v>
      </c>
      <c r="AN45" s="3">
        <v>1.0</v>
      </c>
    </row>
    <row r="46" ht="14.25" customHeight="1">
      <c r="F46" s="3">
        <v>64.0</v>
      </c>
      <c r="H46" s="3" t="str">
        <f t="array" ref="H46">MID(INDEX($C$22:$C$37,INT((ROW(A25)-1)/4)+1),MOD(ROW(A25)-1,4)+1,1)</f>
        <v>0</v>
      </c>
      <c r="K46" s="3">
        <v>60.0</v>
      </c>
      <c r="L46" s="3" t="str">
        <f t="array" ref="L46">MID(INDEX($C$3:$C$18,INT((ROW(A25)-1)/4)+1),MOD(ROW(A25)-1,4)+1,1)</f>
        <v>0</v>
      </c>
      <c r="AM46" s="3">
        <v>16.0</v>
      </c>
      <c r="AN46" s="3">
        <v>0.0</v>
      </c>
    </row>
    <row r="47" ht="14.25" customHeight="1">
      <c r="F47" s="3">
        <v>56.0</v>
      </c>
      <c r="H47" s="3" t="str">
        <f t="array" ref="H47">MID(INDEX($C$22:$C$37,INT((ROW(A26)-1)/4)+1),MOD(ROW(A26)-1,4)+1,1)</f>
        <v>1</v>
      </c>
      <c r="K47" s="3">
        <v>52.0</v>
      </c>
      <c r="L47" s="3" t="str">
        <f t="array" ref="L47">MID(INDEX($C$3:$C$18,INT((ROW(A26)-1)/4)+1),MOD(ROW(A26)-1,4)+1,1)</f>
        <v>1</v>
      </c>
      <c r="AM47" s="3">
        <v>17.0</v>
      </c>
      <c r="AN47" s="3">
        <v>1.0</v>
      </c>
    </row>
    <row r="48" ht="14.25" customHeight="1">
      <c r="F48" s="3">
        <v>48.0</v>
      </c>
      <c r="H48" s="3" t="str">
        <f t="array" ref="H48">MID(INDEX($C$22:$C$37,INT((ROW(A27)-1)/4)+1),MOD(ROW(A27)-1,4)+1,1)</f>
        <v>0</v>
      </c>
      <c r="K48" s="3">
        <v>44.0</v>
      </c>
      <c r="L48" s="3" t="str">
        <f t="array" ref="L48">MID(INDEX($C$3:$C$18,INT((ROW(A27)-1)/4)+1),MOD(ROW(A27)-1,4)+1,1)</f>
        <v>1</v>
      </c>
      <c r="AM48" s="3">
        <v>18.0</v>
      </c>
      <c r="AN48" s="3">
        <v>1.0</v>
      </c>
    </row>
    <row r="49" ht="14.25" customHeight="1">
      <c r="F49" s="3">
        <v>40.0</v>
      </c>
      <c r="H49" s="3" t="str">
        <f t="array" ref="H49">MID(INDEX($C$22:$C$37,INT((ROW(A28)-1)/4)+1),MOD(ROW(A28)-1,4)+1,1)</f>
        <v>1</v>
      </c>
      <c r="K49" s="3">
        <v>36.0</v>
      </c>
      <c r="L49" s="3" t="str">
        <f t="array" ref="L49">MID(INDEX($C$3:$C$18,INT((ROW(A28)-1)/4)+1),MOD(ROW(A28)-1,4)+1,1)</f>
        <v>1</v>
      </c>
      <c r="AM49" s="3">
        <v>19.0</v>
      </c>
      <c r="AN49" s="3">
        <v>1.0</v>
      </c>
    </row>
    <row r="50" ht="14.25" customHeight="1">
      <c r="F50" s="3">
        <v>32.0</v>
      </c>
      <c r="H50" s="3" t="str">
        <f t="array" ref="H50">MID(INDEX($C$22:$C$37,INT((ROW(A29)-1)/4)+1),MOD(ROW(A29)-1,4)+1,1)</f>
        <v>0</v>
      </c>
      <c r="K50" s="3">
        <v>63.0</v>
      </c>
      <c r="L50" s="3" t="str">
        <f t="array" ref="L50">MID(INDEX($C$3:$C$18,INT((ROW(A29)-1)/4)+1),MOD(ROW(A29)-1,4)+1,1)</f>
        <v>0</v>
      </c>
      <c r="AM50" s="3">
        <v>20.0</v>
      </c>
      <c r="AN50" s="3">
        <v>1.0</v>
      </c>
    </row>
    <row r="51" ht="14.25" customHeight="1">
      <c r="F51" s="3">
        <v>24.0</v>
      </c>
      <c r="H51" s="3" t="str">
        <f t="array" ref="H51">MID(INDEX($C$22:$C$37,INT((ROW(A30)-1)/4)+1),MOD(ROW(A30)-1,4)+1,1)</f>
        <v>1</v>
      </c>
      <c r="K51" s="3">
        <v>55.0</v>
      </c>
      <c r="L51" s="3" t="str">
        <f t="array" ref="L51">MID(INDEX($C$3:$C$18,INT((ROW(A30)-1)/4)+1),MOD(ROW(A30)-1,4)+1,1)</f>
        <v>1</v>
      </c>
      <c r="AM51" s="3">
        <v>21.0</v>
      </c>
      <c r="AN51" s="3">
        <v>0.0</v>
      </c>
    </row>
    <row r="52" ht="14.25" customHeight="1">
      <c r="F52" s="3">
        <v>16.0</v>
      </c>
      <c r="H52" s="3" t="str">
        <f t="array" ref="H52">MID(INDEX($C$22:$C$37,INT((ROW(A31)-1)/4)+1),MOD(ROW(A31)-1,4)+1,1)</f>
        <v>1</v>
      </c>
      <c r="K52" s="3">
        <v>47.0</v>
      </c>
      <c r="L52" s="3" t="str">
        <f t="array" ref="L52">MID(INDEX($C$3:$C$18,INT((ROW(A31)-1)/4)+1),MOD(ROW(A31)-1,4)+1,1)</f>
        <v>1</v>
      </c>
      <c r="AM52" s="3">
        <v>20.0</v>
      </c>
      <c r="AN52" s="3">
        <v>1.0</v>
      </c>
    </row>
    <row r="53" ht="14.25" customHeight="1">
      <c r="F53" s="3">
        <v>8.0</v>
      </c>
      <c r="H53" s="3" t="str">
        <f t="array" ref="H53">MID(INDEX($C$22:$C$37,INT((ROW(A32)-1)/4)+1),MOD(ROW(A32)-1,4)+1,1)</f>
        <v>0</v>
      </c>
      <c r="K53" s="3">
        <v>39.0</v>
      </c>
      <c r="L53" s="3" t="str">
        <f t="array" ref="L53">MID(INDEX($C$3:$C$18,INT((ROW(A32)-1)/4)+1),MOD(ROW(A32)-1,4)+1,1)</f>
        <v>1</v>
      </c>
      <c r="AM53" s="3">
        <v>21.0</v>
      </c>
      <c r="AN53" s="3">
        <v>0.0</v>
      </c>
    </row>
    <row r="54" ht="14.25" customHeight="1">
      <c r="F54" s="3">
        <v>57.0</v>
      </c>
      <c r="H54" s="3" t="str">
        <f t="array" ref="H54">MID(INDEX($C$22:$C$37,INT((ROW(A33)-1)/4)+1),MOD(ROW(A33)-1,4)+1,1)</f>
        <v>0</v>
      </c>
      <c r="K54" s="3">
        <v>31.0</v>
      </c>
      <c r="L54" s="3" t="str">
        <f t="array" ref="L54">MID(INDEX($C$3:$C$18,INT((ROW(A33)-1)/4)+1),MOD(ROW(A33)-1,4)+1,1)</f>
        <v>1</v>
      </c>
      <c r="AM54" s="3">
        <v>22.0</v>
      </c>
      <c r="AN54" s="3">
        <v>0.0</v>
      </c>
    </row>
    <row r="55" ht="14.25" customHeight="1">
      <c r="F55" s="3">
        <v>49.0</v>
      </c>
      <c r="H55" s="3" t="str">
        <f t="array" ref="H55">MID(INDEX($C$22:$C$37,INT((ROW(A34)-1)/4)+1),MOD(ROW(A34)-1,4)+1,1)</f>
        <v>1</v>
      </c>
      <c r="K55" s="3">
        <v>23.0</v>
      </c>
      <c r="L55" s="3" t="str">
        <f t="array" ref="L55">MID(INDEX($C$3:$C$18,INT((ROW(A34)-1)/4)+1),MOD(ROW(A34)-1,4)+1,1)</f>
        <v>0</v>
      </c>
      <c r="AM55" s="3">
        <v>23.0</v>
      </c>
      <c r="AN55" s="3">
        <v>0.0</v>
      </c>
    </row>
    <row r="56" ht="14.25" customHeight="1">
      <c r="F56" s="3">
        <v>41.0</v>
      </c>
      <c r="H56" s="3" t="str">
        <f t="array" ref="H56">MID(INDEX($C$22:$C$37,INT((ROW(A35)-1)/4)+1),MOD(ROW(A35)-1,4)+1,1)</f>
        <v>1</v>
      </c>
      <c r="K56" s="3">
        <v>15.0</v>
      </c>
      <c r="L56" s="3" t="str">
        <f t="array" ref="L56">MID(INDEX($C$3:$C$18,INT((ROW(A35)-1)/4)+1),MOD(ROW(A35)-1,4)+1,1)</f>
        <v>0</v>
      </c>
      <c r="AM56" s="3">
        <v>24.0</v>
      </c>
      <c r="AN56" s="3">
        <v>0.0</v>
      </c>
    </row>
    <row r="57" ht="14.25" customHeight="1">
      <c r="F57" s="3">
        <v>33.0</v>
      </c>
      <c r="H57" s="3" t="str">
        <f t="array" ref="H57">MID(INDEX($C$22:$C$37,INT((ROW(A36)-1)/4)+1),MOD(ROW(A36)-1,4)+1,1)</f>
        <v>1</v>
      </c>
      <c r="K57" s="3">
        <v>7.0</v>
      </c>
      <c r="L57" s="3" t="str">
        <f t="array" ref="L57">MID(INDEX($C$3:$C$18,INT((ROW(A36)-1)/4)+1),MOD(ROW(A36)-1,4)+1,1)</f>
        <v>1</v>
      </c>
      <c r="AM57" s="3">
        <v>25.0</v>
      </c>
      <c r="AN57" s="3">
        <v>1.0</v>
      </c>
    </row>
    <row r="58" ht="14.25" customHeight="1">
      <c r="F58" s="3">
        <v>25.0</v>
      </c>
      <c r="H58" s="3" t="str">
        <f t="array" ref="H58">MID(INDEX($C$22:$C$37,INT((ROW(A37)-1)/4)+1),MOD(ROW(A37)-1,4)+1,1)</f>
        <v>1</v>
      </c>
      <c r="K58" s="3">
        <v>62.0</v>
      </c>
      <c r="L58" s="3" t="str">
        <f t="array" ref="L58">MID(INDEX($C$3:$C$18,INT((ROW(A37)-1)/4)+1),MOD(ROW(A37)-1,4)+1,1)</f>
        <v>1</v>
      </c>
      <c r="AM58" s="3">
        <v>24.0</v>
      </c>
      <c r="AN58" s="3">
        <v>0.0</v>
      </c>
    </row>
    <row r="59" ht="14.25" customHeight="1">
      <c r="F59" s="3">
        <v>17.0</v>
      </c>
      <c r="H59" s="3" t="str">
        <f t="array" ref="H59">MID(INDEX($C$22:$C$37,INT((ROW(A38)-1)/4)+1),MOD(ROW(A38)-1,4)+1,1)</f>
        <v>0</v>
      </c>
      <c r="K59" s="3">
        <v>54.0</v>
      </c>
      <c r="L59" s="3" t="str">
        <f t="array" ref="L59">MID(INDEX($C$3:$C$18,INT((ROW(A38)-1)/4)+1),MOD(ROW(A38)-1,4)+1,1)</f>
        <v>0</v>
      </c>
      <c r="AM59" s="3">
        <v>25.0</v>
      </c>
      <c r="AN59" s="3">
        <v>1.0</v>
      </c>
    </row>
    <row r="60" ht="14.25" customHeight="1">
      <c r="F60" s="3">
        <v>9.0</v>
      </c>
      <c r="H60" s="3" t="str">
        <f t="array" ref="H60">MID(INDEX($C$22:$C$37,INT((ROW(A39)-1)/4)+1),MOD(ROW(A39)-1,4)+1,1)</f>
        <v>0</v>
      </c>
      <c r="K60" s="3">
        <v>46.0</v>
      </c>
      <c r="L60" s="3" t="str">
        <f t="array" ref="L60">MID(INDEX($C$3:$C$18,INT((ROW(A39)-1)/4)+1),MOD(ROW(A39)-1,4)+1,1)</f>
        <v>0</v>
      </c>
      <c r="AM60" s="3">
        <v>26.0</v>
      </c>
      <c r="AN60" s="3">
        <v>0.0</v>
      </c>
    </row>
    <row r="61" ht="14.25" customHeight="1">
      <c r="F61" s="3">
        <v>1.0</v>
      </c>
      <c r="H61" s="3" t="str">
        <f t="array" ref="H61">MID(INDEX($C$22:$C$37,INT((ROW(A40)-1)/4)+1),MOD(ROW(A40)-1,4)+1,1)</f>
        <v>0</v>
      </c>
      <c r="K61" s="3">
        <v>38.0</v>
      </c>
      <c r="L61" s="3" t="str">
        <f t="array" ref="L61">MID(INDEX($C$3:$C$18,INT((ROW(A40)-1)/4)+1),MOD(ROW(A40)-1,4)+1,1)</f>
        <v>1</v>
      </c>
      <c r="AM61" s="3">
        <v>27.0</v>
      </c>
      <c r="AN61" s="3">
        <v>1.0</v>
      </c>
    </row>
    <row r="62" ht="14.25" customHeight="1">
      <c r="F62" s="3">
        <v>59.0</v>
      </c>
      <c r="H62" s="3" t="str">
        <f t="array" ref="H62">MID(INDEX($C$22:$C$37,INT((ROW(A41)-1)/4)+1),MOD(ROW(A41)-1,4)+1,1)</f>
        <v>1</v>
      </c>
      <c r="K62" s="3">
        <v>30.0</v>
      </c>
      <c r="L62" s="3" t="str">
        <f t="array" ref="L62">MID(INDEX($C$3:$C$18,INT((ROW(A41)-1)/4)+1),MOD(ROW(A41)-1,4)+1,1)</f>
        <v>1</v>
      </c>
      <c r="AM62" s="3">
        <v>28.0</v>
      </c>
      <c r="AN62" s="3">
        <v>0.0</v>
      </c>
    </row>
    <row r="63" ht="14.25" customHeight="1">
      <c r="F63" s="3">
        <v>51.0</v>
      </c>
      <c r="H63" s="3" t="str">
        <f t="array" ref="H63">MID(INDEX($C$22:$C$37,INT((ROW(A42)-1)/4)+1),MOD(ROW(A42)-1,4)+1,1)</f>
        <v>0</v>
      </c>
      <c r="K63" s="3">
        <v>22.0</v>
      </c>
      <c r="L63" s="3" t="str">
        <f t="array" ref="L63">MID(INDEX($C$3:$C$18,INT((ROW(A42)-1)/4)+1),MOD(ROW(A42)-1,4)+1,1)</f>
        <v>0</v>
      </c>
      <c r="AM63" s="3">
        <v>29.0</v>
      </c>
      <c r="AN63" s="3">
        <v>1.0</v>
      </c>
    </row>
    <row r="64" ht="14.25" customHeight="1">
      <c r="F64" s="3">
        <v>43.0</v>
      </c>
      <c r="H64" s="3" t="str">
        <f t="array" ref="H64">MID(INDEX($C$22:$C$37,INT((ROW(A43)-1)/4)+1),MOD(ROW(A43)-1,4)+1,1)</f>
        <v>0</v>
      </c>
      <c r="K64" s="3">
        <v>14.0</v>
      </c>
      <c r="L64" s="3" t="str">
        <f t="array" ref="L64">MID(INDEX($C$3:$C$18,INT((ROW(A43)-1)/4)+1),MOD(ROW(A43)-1,4)+1,1)</f>
        <v>1</v>
      </c>
      <c r="AM64" s="3">
        <v>28.0</v>
      </c>
      <c r="AN64" s="3">
        <v>0.0</v>
      </c>
    </row>
    <row r="65" ht="14.25" customHeight="1">
      <c r="F65" s="3">
        <v>35.0</v>
      </c>
      <c r="H65" s="3" t="str">
        <f t="array" ref="H65">MID(INDEX($C$22:$C$37,INT((ROW(A44)-1)/4)+1),MOD(ROW(A44)-1,4)+1,1)</f>
        <v>1</v>
      </c>
      <c r="K65" s="3">
        <v>6.0</v>
      </c>
      <c r="L65" s="3" t="str">
        <f t="array" ref="L65">MID(INDEX($C$3:$C$18,INT((ROW(A44)-1)/4)+1),MOD(ROW(A44)-1,4)+1,1)</f>
        <v>1</v>
      </c>
      <c r="AM65" s="3">
        <v>29.0</v>
      </c>
      <c r="AN65" s="3">
        <v>1.0</v>
      </c>
    </row>
    <row r="66" ht="14.25" customHeight="1">
      <c r="F66" s="3">
        <v>27.0</v>
      </c>
      <c r="H66" s="3" t="str">
        <f t="array" ref="H66">MID(INDEX($C$22:$C$37,INT((ROW(A45)-1)/4)+1),MOD(ROW(A45)-1,4)+1,1)</f>
        <v>1</v>
      </c>
      <c r="K66" s="3">
        <v>61.0</v>
      </c>
      <c r="L66" s="3" t="str">
        <f t="array" ref="L66">MID(INDEX($C$3:$C$18,INT((ROW(A45)-1)/4)+1),MOD(ROW(A45)-1,4)+1,1)</f>
        <v>1</v>
      </c>
      <c r="AM66" s="3">
        <v>30.0</v>
      </c>
      <c r="AN66" s="3">
        <v>0.0</v>
      </c>
    </row>
    <row r="67" ht="14.25" customHeight="1">
      <c r="F67" s="3">
        <v>19.0</v>
      </c>
      <c r="H67" s="3" t="str">
        <f t="array" ref="H67">MID(INDEX($C$22:$C$37,INT((ROW(A46)-1)/4)+1),MOD(ROW(A46)-1,4)+1,1)</f>
        <v>0</v>
      </c>
      <c r="K67" s="3">
        <v>53.0</v>
      </c>
      <c r="L67" s="3" t="str">
        <f t="array" ref="L67">MID(INDEX($C$3:$C$18,INT((ROW(A46)-1)/4)+1),MOD(ROW(A46)-1,4)+1,1)</f>
        <v>0</v>
      </c>
      <c r="AM67" s="3">
        <v>31.0</v>
      </c>
      <c r="AN67" s="3">
        <v>1.0</v>
      </c>
    </row>
    <row r="68" ht="14.25" customHeight="1">
      <c r="F68" s="3">
        <v>11.0</v>
      </c>
      <c r="H68" s="3" t="str">
        <f t="array" ref="H68">MID(INDEX($C$22:$C$37,INT((ROW(A47)-1)/4)+1),MOD(ROW(A47)-1,4)+1,1)</f>
        <v>1</v>
      </c>
      <c r="K68" s="3">
        <v>45.0</v>
      </c>
      <c r="L68" s="3" t="str">
        <f t="array" ref="L68">MID(INDEX($C$3:$C$18,INT((ROW(A47)-1)/4)+1),MOD(ROW(A47)-1,4)+1,1)</f>
        <v>1</v>
      </c>
      <c r="AM68" s="3">
        <v>32.0</v>
      </c>
      <c r="AN68" s="3">
        <v>0.0</v>
      </c>
    </row>
    <row r="69" ht="14.25" customHeight="1">
      <c r="F69" s="3">
        <v>3.0</v>
      </c>
      <c r="H69" s="3" t="str">
        <f t="array" ref="H69">MID(INDEX($C$22:$C$37,INT((ROW(A48)-1)/4)+1),MOD(ROW(A48)-1,4)+1,1)</f>
        <v>0</v>
      </c>
      <c r="K69" s="3">
        <v>37.0</v>
      </c>
      <c r="L69" s="3" t="str">
        <f t="array" ref="L69">MID(INDEX($C$3:$C$18,INT((ROW(A48)-1)/4)+1),MOD(ROW(A48)-1,4)+1,1)</f>
        <v>1</v>
      </c>
      <c r="AM69" s="3">
        <v>1.0</v>
      </c>
      <c r="AN69" s="3">
        <v>1.0</v>
      </c>
    </row>
    <row r="70" ht="14.25" customHeight="1">
      <c r="F70" s="3">
        <v>61.0</v>
      </c>
      <c r="H70" s="3" t="str">
        <f t="array" ref="H70">MID(INDEX($C$22:$C$37,INT((ROW(A49)-1)/4)+1),MOD(ROW(A49)-1,4)+1,1)</f>
        <v>1</v>
      </c>
      <c r="K70" s="3">
        <v>29.0</v>
      </c>
      <c r="L70" s="3" t="str">
        <f t="array" ref="L70">MID(INDEX($C$3:$C$18,INT((ROW(A49)-1)/4)+1),MOD(ROW(A49)-1,4)+1,1)</f>
        <v>1</v>
      </c>
    </row>
    <row r="71" ht="14.25" customHeight="1">
      <c r="F71" s="3">
        <v>53.0</v>
      </c>
      <c r="H71" s="3" t="str">
        <f t="array" ref="H71">MID(INDEX($C$22:$C$37,INT((ROW(A50)-1)/4)+1),MOD(ROW(A50)-1,4)+1,1)</f>
        <v>0</v>
      </c>
      <c r="K71" s="3">
        <v>21.0</v>
      </c>
      <c r="L71" s="3" t="str">
        <f t="array" ref="L71">MID(INDEX($C$3:$C$18,INT((ROW(A50)-1)/4)+1),MOD(ROW(A50)-1,4)+1,1)</f>
        <v>1</v>
      </c>
    </row>
    <row r="72" ht="14.25" customHeight="1">
      <c r="F72" s="3">
        <v>45.0</v>
      </c>
      <c r="H72" s="3" t="str">
        <f t="array" ref="H72">MID(INDEX($C$22:$C$37,INT((ROW(A51)-1)/4)+1),MOD(ROW(A51)-1,4)+1,1)</f>
        <v>1</v>
      </c>
      <c r="K72" s="3">
        <v>13.0</v>
      </c>
      <c r="L72" s="3" t="str">
        <f t="array" ref="L72">MID(INDEX($C$3:$C$18,INT((ROW(A51)-1)/4)+1),MOD(ROW(A51)-1,4)+1,1)</f>
        <v>0</v>
      </c>
    </row>
    <row r="73" ht="14.25" customHeight="1">
      <c r="F73" s="3">
        <v>37.0</v>
      </c>
      <c r="H73" s="3" t="str">
        <f t="array" ref="H73">MID(INDEX($C$22:$C$37,INT((ROW(A52)-1)/4)+1),MOD(ROW(A52)-1,4)+1,1)</f>
        <v>1</v>
      </c>
      <c r="K73" s="3">
        <v>5.0</v>
      </c>
      <c r="L73" s="3" t="str">
        <f t="array" ref="L73">MID(INDEX($C$3:$C$18,INT((ROW(A52)-1)/4)+1),MOD(ROW(A52)-1,4)+1,1)</f>
        <v>0</v>
      </c>
    </row>
    <row r="74" ht="14.25" customHeight="1">
      <c r="F74" s="3">
        <v>29.0</v>
      </c>
      <c r="H74" s="3" t="str">
        <f t="array" ref="H74">MID(INDEX($C$22:$C$37,INT((ROW(A53)-1)/4)+1),MOD(ROW(A53)-1,4)+1,1)</f>
        <v>1</v>
      </c>
      <c r="K74" s="3">
        <v>28.0</v>
      </c>
      <c r="L74" s="3" t="str">
        <f t="array" ref="L74">MID(INDEX($C$3:$C$18,INT((ROW(A53)-1)/4)+1),MOD(ROW(A53)-1,4)+1,1)</f>
        <v>1</v>
      </c>
    </row>
    <row r="75" ht="14.25" customHeight="1">
      <c r="F75" s="3">
        <v>21.0</v>
      </c>
      <c r="H75" s="3" t="str">
        <f t="array" ref="H75">MID(INDEX($C$22:$C$37,INT((ROW(A54)-1)/4)+1),MOD(ROW(A54)-1,4)+1,1)</f>
        <v>1</v>
      </c>
      <c r="K75" s="3">
        <v>20.0</v>
      </c>
      <c r="L75" s="3" t="str">
        <f t="array" ref="L75">MID(INDEX($C$3:$C$18,INT((ROW(A54)-1)/4)+1),MOD(ROW(A54)-1,4)+1,1)</f>
        <v>1</v>
      </c>
    </row>
    <row r="76" ht="14.25" customHeight="1">
      <c r="F76" s="3">
        <v>13.0</v>
      </c>
      <c r="H76" s="3" t="str">
        <f t="array" ref="H76">MID(INDEX($C$22:$C$37,INT((ROW(A55)-1)/4)+1),MOD(ROW(A55)-1,4)+1,1)</f>
        <v>0</v>
      </c>
      <c r="K76" s="3">
        <v>12.0</v>
      </c>
      <c r="L76" s="3" t="str">
        <f t="array" ref="L76">MID(INDEX($C$3:$C$18,INT((ROW(A55)-1)/4)+1),MOD(ROW(A55)-1,4)+1,1)</f>
        <v>0</v>
      </c>
    </row>
    <row r="77" ht="14.25" customHeight="1">
      <c r="F77" s="3">
        <v>5.0</v>
      </c>
      <c r="H77" s="3" t="str">
        <f t="array" ref="H77">MID(INDEX($C$22:$C$37,INT((ROW(A56)-1)/4)+1),MOD(ROW(A56)-1,4)+1,1)</f>
        <v>0</v>
      </c>
      <c r="K77" s="3">
        <v>4.0</v>
      </c>
      <c r="L77" s="3" t="str">
        <f t="array" ref="L77">MID(INDEX($C$3:$C$18,INT((ROW(A56)-1)/4)+1),MOD(ROW(A56)-1,4)+1,1)</f>
        <v>1</v>
      </c>
    </row>
    <row r="78" ht="14.25" customHeight="1">
      <c r="F78" s="3">
        <v>63.0</v>
      </c>
      <c r="H78" s="3" t="str">
        <f t="array" ref="H78">MID(INDEX($C$22:$C$37,INT((ROW(A57)-1)/4)+1),MOD(ROW(A57)-1,4)+1,1)</f>
        <v>1</v>
      </c>
    </row>
    <row r="79" ht="14.25" customHeight="1">
      <c r="F79" s="3">
        <v>55.0</v>
      </c>
      <c r="H79" s="3" t="str">
        <f t="array" ref="H79">MID(INDEX($C$22:$C$37,INT((ROW(A58)-1)/4)+1),MOD(ROW(A58)-1,4)+1,1)</f>
        <v>1</v>
      </c>
    </row>
    <row r="80" ht="14.25" customHeight="1">
      <c r="F80" s="3">
        <v>47.0</v>
      </c>
      <c r="H80" s="3" t="str">
        <f t="array" ref="H80">MID(INDEX($C$22:$C$37,INT((ROW(A59)-1)/4)+1),MOD(ROW(A59)-1,4)+1,1)</f>
        <v>0</v>
      </c>
    </row>
    <row r="81" ht="14.25" customHeight="1">
      <c r="F81" s="3">
        <v>39.0</v>
      </c>
      <c r="H81" s="3" t="str">
        <f t="array" ref="H81">MID(INDEX($C$22:$C$37,INT((ROW(A60)-1)/4)+1),MOD(ROW(A60)-1,4)+1,1)</f>
        <v>1</v>
      </c>
    </row>
    <row r="82" ht="14.25" customHeight="1">
      <c r="F82" s="3">
        <v>31.0</v>
      </c>
      <c r="H82" s="3" t="str">
        <f t="array" ref="H82">MID(INDEX($C$22:$C$37,INT((ROW(A61)-1)/4)+1),MOD(ROW(A61)-1,4)+1,1)</f>
        <v>1</v>
      </c>
    </row>
    <row r="83" ht="14.25" customHeight="1">
      <c r="F83" s="3">
        <v>23.0</v>
      </c>
      <c r="H83" s="3" t="str">
        <f t="array" ref="H83">MID(INDEX($C$22:$C$37,INT((ROW(A62)-1)/4)+1),MOD(ROW(A62)-1,4)+1,1)</f>
        <v>1</v>
      </c>
    </row>
    <row r="84" ht="14.25" customHeight="1">
      <c r="F84" s="3">
        <v>15.0</v>
      </c>
      <c r="H84" s="3" t="str">
        <f t="array" ref="H84">MID(INDEX($C$22:$C$37,INT((ROW(A63)-1)/4)+1),MOD(ROW(A63)-1,4)+1,1)</f>
        <v>1</v>
      </c>
    </row>
    <row r="85" ht="14.25" customHeight="1">
      <c r="F85" s="3">
        <v>7.0</v>
      </c>
      <c r="H85" s="3" t="str">
        <f t="array" ref="H85">MID(INDEX($C$22:$C$37,INT((ROW(A64)-1)/4)+1),MOD(ROW(A64)-1,4)+1,1)</f>
        <v>0</v>
      </c>
    </row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2025-08-19T08:24:37Z</dcterms:created>
  <dc:creator>Trần Đoàn Quang Vũ - 67CS2</dc:creator>
</cp:coreProperties>
</file>