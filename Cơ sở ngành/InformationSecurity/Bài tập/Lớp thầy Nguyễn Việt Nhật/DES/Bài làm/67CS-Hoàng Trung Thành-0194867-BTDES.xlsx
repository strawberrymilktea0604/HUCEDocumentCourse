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708A2D3-9C35-47B8-AB2A-6ADF6DC6982B}" xr6:coauthVersionLast="47" xr6:coauthVersionMax="47" xr10:uidLastSave="{00000000-0000-0000-0000-000000000000}"/>
  <bookViews>
    <workbookView xWindow="-120" yWindow="-120" windowWidth="20730" windowHeight="11760" activeTab="3" xr2:uid="{F422CE06-4778-4D24-A14D-C66D93F86F86}"/>
  </bookViews>
  <sheets>
    <sheet name="S-boxes" sheetId="2" r:id="rId1"/>
    <sheet name="Khóa k1-16" sheetId="1" r:id="rId2"/>
    <sheet name="E(Ri) XOR ki+1" sheetId="3" r:id="rId3"/>
    <sheet name="R0_L0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8" i="5" l="1"/>
  <c r="O107" i="5"/>
  <c r="H9" i="3"/>
  <c r="H63" i="3" l="1"/>
  <c r="H75" i="3" s="1"/>
  <c r="H64" i="3"/>
  <c r="H76" i="3" s="1"/>
  <c r="H65" i="3"/>
  <c r="H77" i="3" s="1"/>
  <c r="H66" i="3"/>
  <c r="H78" i="3" s="1"/>
  <c r="H67" i="3"/>
  <c r="H79" i="3" s="1"/>
  <c r="H68" i="3"/>
  <c r="H80" i="3" s="1"/>
  <c r="H69" i="3"/>
  <c r="H81" i="3" s="1"/>
  <c r="H62" i="3"/>
  <c r="H74" i="3" s="1"/>
  <c r="B1" i="5"/>
  <c r="H3" i="5" s="1"/>
  <c r="B42" i="5" l="1"/>
  <c r="C7" i="5" s="1"/>
  <c r="B50" i="5"/>
  <c r="C15" i="5" s="1"/>
  <c r="B58" i="5"/>
  <c r="C23" i="5" s="1"/>
  <c r="B66" i="5"/>
  <c r="C31" i="5" s="1"/>
  <c r="B63" i="5"/>
  <c r="C28" i="5" s="1"/>
  <c r="B48" i="5"/>
  <c r="C13" i="5" s="1"/>
  <c r="B43" i="5"/>
  <c r="C8" i="5" s="1"/>
  <c r="B51" i="5"/>
  <c r="C16" i="5" s="1"/>
  <c r="B59" i="5"/>
  <c r="C24" i="5" s="1"/>
  <c r="B67" i="5"/>
  <c r="C32" i="5" s="1"/>
  <c r="B46" i="5"/>
  <c r="C11" i="5" s="1"/>
  <c r="B47" i="5"/>
  <c r="C12" i="5" s="1"/>
  <c r="B56" i="5"/>
  <c r="C21" i="5" s="1"/>
  <c r="B44" i="5"/>
  <c r="C9" i="5" s="1"/>
  <c r="B52" i="5"/>
  <c r="C17" i="5" s="1"/>
  <c r="B60" i="5"/>
  <c r="C25" i="5" s="1"/>
  <c r="B68" i="5"/>
  <c r="C33" i="5" s="1"/>
  <c r="B45" i="5"/>
  <c r="C10" i="5" s="1"/>
  <c r="B53" i="5"/>
  <c r="C18" i="5" s="1"/>
  <c r="B61" i="5"/>
  <c r="C26" i="5" s="1"/>
  <c r="B69" i="5"/>
  <c r="C34" i="5" s="1"/>
  <c r="B62" i="5"/>
  <c r="C27" i="5" s="1"/>
  <c r="B70" i="5"/>
  <c r="C35" i="5" s="1"/>
  <c r="B71" i="5"/>
  <c r="C36" i="5" s="1"/>
  <c r="B72" i="5"/>
  <c r="C37" i="5" s="1"/>
  <c r="B54" i="5"/>
  <c r="C19" i="5" s="1"/>
  <c r="B55" i="5"/>
  <c r="C20" i="5" s="1"/>
  <c r="B64" i="5"/>
  <c r="C29" i="5" s="1"/>
  <c r="B49" i="5"/>
  <c r="C14" i="5" s="1"/>
  <c r="B57" i="5"/>
  <c r="C22" i="5" s="1"/>
  <c r="B65" i="5"/>
  <c r="C30" i="5" s="1"/>
  <c r="B41" i="5"/>
  <c r="C6" i="5" s="1"/>
  <c r="B3" i="5"/>
  <c r="H85" i="3" a="1"/>
  <c r="H85" i="3" s="1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J75" i="5" l="1"/>
  <c r="B7" i="5"/>
  <c r="B15" i="5"/>
  <c r="B23" i="5"/>
  <c r="B31" i="5"/>
  <c r="C66" i="5" s="1"/>
  <c r="D31" i="5" s="1"/>
  <c r="B11" i="5"/>
  <c r="C46" i="5" s="1"/>
  <c r="D11" i="5" s="1"/>
  <c r="B35" i="5"/>
  <c r="B28" i="5"/>
  <c r="B21" i="5"/>
  <c r="B8" i="5"/>
  <c r="B16" i="5"/>
  <c r="B24" i="5"/>
  <c r="B32" i="5"/>
  <c r="C67" i="5" s="1"/>
  <c r="D32" i="5" s="1"/>
  <c r="B34" i="5"/>
  <c r="C69" i="5" s="1"/>
  <c r="D34" i="5" s="1"/>
  <c r="B19" i="5"/>
  <c r="C54" i="5" s="1"/>
  <c r="D19" i="5" s="1"/>
  <c r="B12" i="5"/>
  <c r="B13" i="5"/>
  <c r="B9" i="5"/>
  <c r="C44" i="5" s="1"/>
  <c r="D9" i="5" s="1"/>
  <c r="B17" i="5"/>
  <c r="B25" i="5"/>
  <c r="B33" i="5"/>
  <c r="C68" i="5" s="1"/>
  <c r="D33" i="5" s="1"/>
  <c r="B10" i="5"/>
  <c r="C45" i="5" s="1"/>
  <c r="D10" i="5" s="1"/>
  <c r="B18" i="5"/>
  <c r="B26" i="5"/>
  <c r="C61" i="5" s="1"/>
  <c r="D26" i="5" s="1"/>
  <c r="B27" i="5"/>
  <c r="B37" i="5"/>
  <c r="C72" i="5" s="1"/>
  <c r="D37" i="5" s="1"/>
  <c r="B36" i="5"/>
  <c r="B29" i="5"/>
  <c r="B20" i="5"/>
  <c r="C55" i="5" s="1"/>
  <c r="D20" i="5" s="1"/>
  <c r="B14" i="5"/>
  <c r="C49" i="5" s="1"/>
  <c r="D14" i="5" s="1"/>
  <c r="B22" i="5"/>
  <c r="B30" i="5"/>
  <c r="B6" i="5"/>
  <c r="C41" i="5" s="1"/>
  <c r="D6" i="5" s="1"/>
  <c r="J76" i="5" s="1"/>
  <c r="C56" i="5"/>
  <c r="D21" i="5" s="1"/>
  <c r="C50" i="5"/>
  <c r="D15" i="5" s="1"/>
  <c r="C42" i="5"/>
  <c r="D7" i="5" s="1"/>
  <c r="C47" i="5"/>
  <c r="D12" i="5" s="1"/>
  <c r="C62" i="5"/>
  <c r="D27" i="5" s="1"/>
  <c r="C63" i="5"/>
  <c r="D28" i="5" s="1"/>
  <c r="C48" i="5"/>
  <c r="D13" i="5" s="1"/>
  <c r="C57" i="5"/>
  <c r="D22" i="5" s="1"/>
  <c r="C71" i="5"/>
  <c r="D36" i="5" s="1"/>
  <c r="C70" i="5"/>
  <c r="D35" i="5" s="1"/>
  <c r="C60" i="5"/>
  <c r="D25" i="5" s="1"/>
  <c r="C52" i="5"/>
  <c r="D17" i="5" s="1"/>
  <c r="C51" i="5"/>
  <c r="D16" i="5" s="1"/>
  <c r="C59" i="5"/>
  <c r="D24" i="5" s="1"/>
  <c r="C65" i="5"/>
  <c r="D30" i="5" s="1"/>
  <c r="C58" i="5"/>
  <c r="D23" i="5" s="1"/>
  <c r="C64" i="5"/>
  <c r="D29" i="5" s="1"/>
  <c r="C43" i="5"/>
  <c r="D8" i="5" s="1"/>
  <c r="C53" i="5"/>
  <c r="D18" i="5" s="1"/>
  <c r="O4" i="3"/>
  <c r="O3" i="3"/>
  <c r="O1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4" i="3"/>
  <c r="G193" i="1"/>
  <c r="H193" i="1"/>
  <c r="I193" i="1"/>
  <c r="J193" i="1"/>
  <c r="K193" i="1"/>
  <c r="L193" i="1"/>
  <c r="M193" i="1"/>
  <c r="N193" i="1"/>
  <c r="O193" i="1"/>
  <c r="P193" i="1"/>
  <c r="Q193" i="1"/>
  <c r="G194" i="1"/>
  <c r="H194" i="1"/>
  <c r="I194" i="1"/>
  <c r="J194" i="1"/>
  <c r="K194" i="1"/>
  <c r="L194" i="1"/>
  <c r="M194" i="1"/>
  <c r="N194" i="1"/>
  <c r="O194" i="1"/>
  <c r="P194" i="1"/>
  <c r="Q194" i="1"/>
  <c r="G195" i="1"/>
  <c r="H195" i="1"/>
  <c r="I195" i="1"/>
  <c r="J195" i="1"/>
  <c r="K195" i="1"/>
  <c r="L195" i="1"/>
  <c r="M195" i="1"/>
  <c r="N195" i="1"/>
  <c r="O195" i="1"/>
  <c r="P195" i="1"/>
  <c r="Q195" i="1"/>
  <c r="G196" i="1"/>
  <c r="H196" i="1"/>
  <c r="I196" i="1"/>
  <c r="J196" i="1"/>
  <c r="K196" i="1"/>
  <c r="L196" i="1"/>
  <c r="M196" i="1"/>
  <c r="N196" i="1"/>
  <c r="O196" i="1"/>
  <c r="P196" i="1"/>
  <c r="Q196" i="1"/>
  <c r="G197" i="1"/>
  <c r="H197" i="1"/>
  <c r="I197" i="1"/>
  <c r="J197" i="1"/>
  <c r="K197" i="1"/>
  <c r="L197" i="1"/>
  <c r="M197" i="1"/>
  <c r="N197" i="1"/>
  <c r="O197" i="1"/>
  <c r="P197" i="1"/>
  <c r="Q197" i="1"/>
  <c r="E193" i="1"/>
  <c r="F193" i="1"/>
  <c r="E194" i="1"/>
  <c r="F194" i="1"/>
  <c r="E195" i="1"/>
  <c r="F195" i="1"/>
  <c r="E196" i="1"/>
  <c r="F196" i="1"/>
  <c r="E197" i="1"/>
  <c r="F197" i="1"/>
  <c r="D193" i="1"/>
  <c r="D194" i="1"/>
  <c r="D195" i="1"/>
  <c r="D196" i="1"/>
  <c r="D197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3" i="1"/>
  <c r="C194" i="1"/>
  <c r="C195" i="1"/>
  <c r="C196" i="1"/>
  <c r="C197" i="1"/>
  <c r="C192" i="1"/>
  <c r="B192" i="1"/>
  <c r="B193" i="1"/>
  <c r="B194" i="1"/>
  <c r="B195" i="1"/>
  <c r="B196" i="1"/>
  <c r="B197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Q124" i="1"/>
  <c r="P124" i="1"/>
  <c r="O124" i="1"/>
  <c r="N124" i="1"/>
  <c r="M124" i="1"/>
  <c r="L124" i="1"/>
  <c r="K124" i="1"/>
  <c r="J124" i="1"/>
  <c r="I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2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04" i="1"/>
  <c r="G85" i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84" i="1"/>
  <c r="B85" i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84" i="1"/>
  <c r="C75" i="5" l="1"/>
  <c r="I22" i="3" s="1"/>
  <c r="G83" i="1"/>
  <c r="B83" i="1"/>
  <c r="I29" i="3" l="1"/>
  <c r="I56" i="3"/>
  <c r="I15" i="3"/>
  <c r="I25" i="3"/>
  <c r="I50" i="3"/>
  <c r="I42" i="3"/>
  <c r="I41" i="3"/>
  <c r="I46" i="3"/>
  <c r="I51" i="3"/>
  <c r="I43" i="3"/>
  <c r="I24" i="3"/>
  <c r="I52" i="3"/>
  <c r="I30" i="3"/>
  <c r="I45" i="3"/>
  <c r="I48" i="3"/>
  <c r="I35" i="3"/>
  <c r="I32" i="3"/>
  <c r="I40" i="3"/>
  <c r="I33" i="3"/>
  <c r="I17" i="3"/>
  <c r="I49" i="3"/>
  <c r="I54" i="3"/>
  <c r="I16" i="3"/>
  <c r="I39" i="3"/>
  <c r="I31" i="3"/>
  <c r="I9" i="3"/>
  <c r="I11" i="3"/>
  <c r="I12" i="3"/>
  <c r="I47" i="3"/>
  <c r="I38" i="3"/>
  <c r="I21" i="3"/>
  <c r="I19" i="3"/>
  <c r="I20" i="3"/>
  <c r="I55" i="3"/>
  <c r="I37" i="3"/>
  <c r="I27" i="3"/>
  <c r="I28" i="3"/>
  <c r="I10" i="3"/>
  <c r="I13" i="3"/>
  <c r="I36" i="3"/>
  <c r="I18" i="3"/>
  <c r="I53" i="3"/>
  <c r="I44" i="3"/>
  <c r="I26" i="3"/>
  <c r="I14" i="3"/>
  <c r="I23" i="3"/>
  <c r="I34" i="3"/>
  <c r="M3" i="1"/>
  <c r="M19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22" i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4" i="1"/>
  <c r="C4" i="1" s="1"/>
  <c r="I67" i="3" l="1"/>
  <c r="I79" i="3" s="1"/>
  <c r="I63" i="3"/>
  <c r="I75" i="3" s="1"/>
  <c r="I66" i="3"/>
  <c r="I78" i="3" s="1"/>
  <c r="I65" i="3"/>
  <c r="I77" i="3" s="1"/>
  <c r="I68" i="3"/>
  <c r="I80" i="3" s="1"/>
  <c r="I62" i="3"/>
  <c r="I74" i="3" s="1"/>
  <c r="I69" i="3"/>
  <c r="I81" i="3" s="1"/>
  <c r="I64" i="3"/>
  <c r="I76" i="3" s="1"/>
  <c r="D76" i="1"/>
  <c r="D75" i="1" s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C79" i="1" s="1"/>
  <c r="D18" i="1"/>
  <c r="H86" i="3" l="1" a="1"/>
  <c r="H86" i="3" s="1"/>
  <c r="D17" i="1"/>
  <c r="M18" i="1"/>
  <c r="D16" i="1" l="1"/>
  <c r="M17" i="1"/>
  <c r="D15" i="1" l="1"/>
  <c r="M16" i="1"/>
  <c r="D14" i="1" l="1"/>
  <c r="M15" i="1"/>
  <c r="D13" i="1" l="1"/>
  <c r="M14" i="1"/>
  <c r="D12" i="1" l="1"/>
  <c r="M13" i="1"/>
  <c r="D11" i="1" l="1"/>
  <c r="M12" i="1"/>
  <c r="D10" i="1" l="1"/>
  <c r="M11" i="1"/>
  <c r="D9" i="1" l="1"/>
  <c r="M10" i="1"/>
  <c r="D8" i="1" l="1"/>
  <c r="M9" i="1"/>
  <c r="D7" i="1" l="1"/>
  <c r="M8" i="1"/>
  <c r="D6" i="1" l="1"/>
  <c r="M7" i="1"/>
  <c r="D5" i="1" l="1"/>
  <c r="M6" i="1"/>
  <c r="D4" i="1" l="1"/>
  <c r="M4" i="1" s="1"/>
  <c r="M5" i="1"/>
  <c r="D46" i="5" l="1"/>
  <c r="E11" i="5" s="1"/>
  <c r="D62" i="5"/>
  <c r="E27" i="5" s="1"/>
  <c r="D69" i="5"/>
  <c r="E34" i="5" s="1"/>
  <c r="D60" i="5"/>
  <c r="E25" i="5" s="1"/>
  <c r="D43" i="5"/>
  <c r="E8" i="5" s="1"/>
  <c r="D49" i="5"/>
  <c r="E14" i="5" s="1"/>
  <c r="D61" i="5"/>
  <c r="E26" i="5" s="1"/>
  <c r="D52" i="5"/>
  <c r="E17" i="5" s="1"/>
  <c r="D53" i="5"/>
  <c r="E18" i="5" s="1"/>
  <c r="D44" i="5"/>
  <c r="E9" i="5" s="1"/>
  <c r="D65" i="5"/>
  <c r="E30" i="5" s="1"/>
  <c r="D57" i="5"/>
  <c r="E22" i="5" s="1"/>
  <c r="D58" i="5"/>
  <c r="E23" i="5" s="1"/>
  <c r="D71" i="5"/>
  <c r="E36" i="5" s="1"/>
  <c r="D45" i="5"/>
  <c r="E10" i="5" s="1"/>
  <c r="D72" i="5"/>
  <c r="E37" i="5" s="1"/>
  <c r="D64" i="5"/>
  <c r="E29" i="5" s="1"/>
  <c r="D59" i="5"/>
  <c r="E24" i="5" s="1"/>
  <c r="D51" i="5"/>
  <c r="E16" i="5" s="1"/>
  <c r="D56" i="5"/>
  <c r="E21" i="5" s="1"/>
  <c r="D50" i="5"/>
  <c r="E15" i="5" s="1"/>
  <c r="D63" i="5"/>
  <c r="E28" i="5" s="1"/>
  <c r="D70" i="5"/>
  <c r="E35" i="5" s="1"/>
  <c r="D48" i="5"/>
  <c r="E13" i="5" s="1"/>
  <c r="D47" i="5"/>
  <c r="E12" i="5" s="1"/>
  <c r="D68" i="5"/>
  <c r="E33" i="5" s="1"/>
  <c r="D66" i="5"/>
  <c r="E31" i="5" s="1"/>
  <c r="D42" i="5"/>
  <c r="E7" i="5" s="1"/>
  <c r="D55" i="5"/>
  <c r="E20" i="5" s="1"/>
  <c r="D54" i="5"/>
  <c r="E19" i="5" s="1"/>
  <c r="D67" i="5"/>
  <c r="E32" i="5" s="1"/>
  <c r="D41" i="5"/>
  <c r="E6" i="5" s="1"/>
  <c r="J77" i="5" l="1"/>
  <c r="C76" i="5"/>
  <c r="J18" i="3" s="1"/>
  <c r="J47" i="3" l="1"/>
  <c r="J36" i="3"/>
  <c r="J44" i="3"/>
  <c r="J21" i="3"/>
  <c r="J26" i="3"/>
  <c r="J16" i="3"/>
  <c r="J38" i="3"/>
  <c r="J23" i="3"/>
  <c r="J22" i="3"/>
  <c r="J30" i="3"/>
  <c r="J17" i="3"/>
  <c r="J10" i="3"/>
  <c r="J48" i="3"/>
  <c r="J33" i="3"/>
  <c r="J12" i="3"/>
  <c r="J69" i="3" s="1"/>
  <c r="J81" i="3" s="1"/>
  <c r="J32" i="3"/>
  <c r="J11" i="3"/>
  <c r="J53" i="3"/>
  <c r="J24" i="3"/>
  <c r="J40" i="3"/>
  <c r="J35" i="3"/>
  <c r="J15" i="3"/>
  <c r="J52" i="3"/>
  <c r="J46" i="3"/>
  <c r="J39" i="3"/>
  <c r="J20" i="3"/>
  <c r="J45" i="3"/>
  <c r="J41" i="3"/>
  <c r="J50" i="3"/>
  <c r="J37" i="3"/>
  <c r="J56" i="3"/>
  <c r="J13" i="3"/>
  <c r="J27" i="3"/>
  <c r="J51" i="3"/>
  <c r="J43" i="3"/>
  <c r="J14" i="3"/>
  <c r="J34" i="3"/>
  <c r="J49" i="3"/>
  <c r="J25" i="3"/>
  <c r="J9" i="3"/>
  <c r="J54" i="3"/>
  <c r="J42" i="3"/>
  <c r="J19" i="3"/>
  <c r="J28" i="3"/>
  <c r="J55" i="3"/>
  <c r="J29" i="3"/>
  <c r="J31" i="3"/>
  <c r="J68" i="3" l="1"/>
  <c r="J80" i="3" s="1"/>
  <c r="J67" i="3"/>
  <c r="J79" i="3" s="1"/>
  <c r="J66" i="3"/>
  <c r="J78" i="3" s="1"/>
  <c r="J64" i="3"/>
  <c r="J76" i="3" s="1"/>
  <c r="J65" i="3"/>
  <c r="J77" i="3" s="1"/>
  <c r="J63" i="3"/>
  <c r="J75" i="3" s="1"/>
  <c r="J62" i="3"/>
  <c r="J74" i="3" s="1"/>
  <c r="H87" i="3" l="1" a="1"/>
  <c r="H87" i="3" s="1"/>
  <c r="E41" i="5" s="1"/>
  <c r="E62" i="5" l="1"/>
  <c r="F27" i="5" s="1"/>
  <c r="E53" i="5"/>
  <c r="F18" i="5" s="1"/>
  <c r="E57" i="5"/>
  <c r="F22" i="5" s="1"/>
  <c r="E45" i="5"/>
  <c r="F10" i="5" s="1"/>
  <c r="E47" i="5"/>
  <c r="F12" i="5" s="1"/>
  <c r="E66" i="5"/>
  <c r="F31" i="5" s="1"/>
  <c r="E51" i="5"/>
  <c r="F16" i="5" s="1"/>
  <c r="E60" i="5"/>
  <c r="F25" i="5" s="1"/>
  <c r="E59" i="5"/>
  <c r="F24" i="5" s="1"/>
  <c r="E63" i="5"/>
  <c r="F28" i="5" s="1"/>
  <c r="E69" i="5"/>
  <c r="F34" i="5" s="1"/>
  <c r="E43" i="5"/>
  <c r="F8" i="5" s="1"/>
  <c r="E71" i="5"/>
  <c r="F36" i="5" s="1"/>
  <c r="E61" i="5"/>
  <c r="F26" i="5" s="1"/>
  <c r="E48" i="5"/>
  <c r="F13" i="5" s="1"/>
  <c r="E42" i="5"/>
  <c r="F7" i="5" s="1"/>
  <c r="E72" i="5"/>
  <c r="F37" i="5" s="1"/>
  <c r="E52" i="5"/>
  <c r="F17" i="5" s="1"/>
  <c r="E58" i="5"/>
  <c r="F23" i="5" s="1"/>
  <c r="E65" i="5"/>
  <c r="F30" i="5" s="1"/>
  <c r="E64" i="5"/>
  <c r="F29" i="5" s="1"/>
  <c r="E44" i="5"/>
  <c r="F9" i="5" s="1"/>
  <c r="E46" i="5"/>
  <c r="F11" i="5" s="1"/>
  <c r="E54" i="5"/>
  <c r="F19" i="5" s="1"/>
  <c r="E56" i="5"/>
  <c r="F21" i="5" s="1"/>
  <c r="E70" i="5"/>
  <c r="F35" i="5" s="1"/>
  <c r="E67" i="5"/>
  <c r="F32" i="5" s="1"/>
  <c r="E55" i="5"/>
  <c r="F20" i="5" s="1"/>
  <c r="E50" i="5"/>
  <c r="F15" i="5" s="1"/>
  <c r="E49" i="5"/>
  <c r="F14" i="5" s="1"/>
  <c r="E68" i="5"/>
  <c r="F33" i="5" s="1"/>
  <c r="C77" i="5"/>
  <c r="F6" i="5"/>
  <c r="J78" i="5" l="1"/>
  <c r="K10" i="3"/>
  <c r="K18" i="3"/>
  <c r="K26" i="3"/>
  <c r="K34" i="3"/>
  <c r="K42" i="3"/>
  <c r="K50" i="3"/>
  <c r="K31" i="3"/>
  <c r="K55" i="3"/>
  <c r="K16" i="3"/>
  <c r="K24" i="3"/>
  <c r="K32" i="3"/>
  <c r="K40" i="3"/>
  <c r="K48" i="3"/>
  <c r="K56" i="3"/>
  <c r="K11" i="3"/>
  <c r="K19" i="3"/>
  <c r="K27" i="3"/>
  <c r="K35" i="3"/>
  <c r="K43" i="3"/>
  <c r="K51" i="3"/>
  <c r="K12" i="3"/>
  <c r="K20" i="3"/>
  <c r="K28" i="3"/>
  <c r="K36" i="3"/>
  <c r="K44" i="3"/>
  <c r="K52" i="3"/>
  <c r="K15" i="3"/>
  <c r="K23" i="3"/>
  <c r="K39" i="3"/>
  <c r="K47" i="3"/>
  <c r="K13" i="3"/>
  <c r="K21" i="3"/>
  <c r="K29" i="3"/>
  <c r="K37" i="3"/>
  <c r="K45" i="3"/>
  <c r="K53" i="3"/>
  <c r="K14" i="3"/>
  <c r="K22" i="3"/>
  <c r="K30" i="3"/>
  <c r="K38" i="3"/>
  <c r="K46" i="3"/>
  <c r="K54" i="3"/>
  <c r="K17" i="3"/>
  <c r="K25" i="3"/>
  <c r="K33" i="3"/>
  <c r="K49" i="3"/>
  <c r="K9" i="3"/>
  <c r="K41" i="3"/>
  <c r="K62" i="3" l="1"/>
  <c r="K74" i="3" s="1"/>
  <c r="K68" i="3"/>
  <c r="K80" i="3" s="1"/>
  <c r="K63" i="3"/>
  <c r="K75" i="3" s="1"/>
  <c r="K64" i="3"/>
  <c r="K76" i="3" s="1"/>
  <c r="K67" i="3"/>
  <c r="K79" i="3" s="1"/>
  <c r="K65" i="3"/>
  <c r="K77" i="3" s="1"/>
  <c r="K66" i="3"/>
  <c r="K78" i="3" s="1"/>
  <c r="K69" i="3"/>
  <c r="K81" i="3" s="1"/>
  <c r="H88" i="3" l="1" a="1"/>
  <c r="H88" i="3" s="1"/>
  <c r="F41" i="5" l="1"/>
  <c r="F70" i="5"/>
  <c r="G35" i="5" s="1"/>
  <c r="F63" i="5"/>
  <c r="G28" i="5" s="1"/>
  <c r="F59" i="5"/>
  <c r="G24" i="5" s="1"/>
  <c r="F46" i="5"/>
  <c r="G11" i="5" s="1"/>
  <c r="F58" i="5"/>
  <c r="G23" i="5" s="1"/>
  <c r="F48" i="5"/>
  <c r="G13" i="5" s="1"/>
  <c r="F54" i="5"/>
  <c r="G19" i="5" s="1"/>
  <c r="F64" i="5"/>
  <c r="G29" i="5" s="1"/>
  <c r="F61" i="5"/>
  <c r="G26" i="5" s="1"/>
  <c r="F49" i="5"/>
  <c r="G14" i="5" s="1"/>
  <c r="F66" i="5"/>
  <c r="G31" i="5" s="1"/>
  <c r="F44" i="5"/>
  <c r="G9" i="5" s="1"/>
  <c r="F47" i="5"/>
  <c r="G12" i="5" s="1"/>
  <c r="F71" i="5"/>
  <c r="G36" i="5" s="1"/>
  <c r="F42" i="5"/>
  <c r="G7" i="5" s="1"/>
  <c r="F51" i="5"/>
  <c r="G16" i="5" s="1"/>
  <c r="F62" i="5"/>
  <c r="G27" i="5" s="1"/>
  <c r="F52" i="5"/>
  <c r="G17" i="5" s="1"/>
  <c r="F55" i="5"/>
  <c r="G20" i="5" s="1"/>
  <c r="F56" i="5"/>
  <c r="G21" i="5" s="1"/>
  <c r="F65" i="5"/>
  <c r="G30" i="5" s="1"/>
  <c r="F67" i="5"/>
  <c r="G32" i="5" s="1"/>
  <c r="F60" i="5"/>
  <c r="G25" i="5" s="1"/>
  <c r="F50" i="5"/>
  <c r="G15" i="5" s="1"/>
  <c r="F57" i="5"/>
  <c r="G22" i="5" s="1"/>
  <c r="F69" i="5"/>
  <c r="G34" i="5" s="1"/>
  <c r="F72" i="5"/>
  <c r="G37" i="5" s="1"/>
  <c r="F45" i="5"/>
  <c r="G10" i="5" s="1"/>
  <c r="F68" i="5"/>
  <c r="G33" i="5" s="1"/>
  <c r="F53" i="5"/>
  <c r="G18" i="5" s="1"/>
  <c r="F43" i="5"/>
  <c r="G8" i="5" s="1"/>
  <c r="C78" i="5" l="1"/>
  <c r="G6" i="5"/>
  <c r="J79" i="5" s="1"/>
  <c r="L16" i="3" l="1"/>
  <c r="L24" i="3"/>
  <c r="L32" i="3"/>
  <c r="L40" i="3"/>
  <c r="L48" i="3"/>
  <c r="L56" i="3"/>
  <c r="L14" i="3"/>
  <c r="L22" i="3"/>
  <c r="L30" i="3"/>
  <c r="L38" i="3"/>
  <c r="L46" i="3"/>
  <c r="L54" i="3"/>
  <c r="L23" i="3"/>
  <c r="L31" i="3"/>
  <c r="L39" i="3"/>
  <c r="L55" i="3"/>
  <c r="L17" i="3"/>
  <c r="L25" i="3"/>
  <c r="L33" i="3"/>
  <c r="L41" i="3"/>
  <c r="L49" i="3"/>
  <c r="L9" i="3"/>
  <c r="L10" i="3"/>
  <c r="L18" i="3"/>
  <c r="L26" i="3"/>
  <c r="L34" i="3"/>
  <c r="L42" i="3"/>
  <c r="L50" i="3"/>
  <c r="L11" i="3"/>
  <c r="L19" i="3"/>
  <c r="L27" i="3"/>
  <c r="L35" i="3"/>
  <c r="L43" i="3"/>
  <c r="L51" i="3"/>
  <c r="L12" i="3"/>
  <c r="L20" i="3"/>
  <c r="L28" i="3"/>
  <c r="L36" i="3"/>
  <c r="L44" i="3"/>
  <c r="L52" i="3"/>
  <c r="L13" i="3"/>
  <c r="L21" i="3"/>
  <c r="L29" i="3"/>
  <c r="L37" i="3"/>
  <c r="L45" i="3"/>
  <c r="L53" i="3"/>
  <c r="L15" i="3"/>
  <c r="L47" i="3"/>
  <c r="L65" i="3" l="1"/>
  <c r="L77" i="3" s="1"/>
  <c r="L62" i="3"/>
  <c r="L74" i="3" s="1"/>
  <c r="L66" i="3"/>
  <c r="L78" i="3" s="1"/>
  <c r="L67" i="3"/>
  <c r="L79" i="3" s="1"/>
  <c r="L69" i="3"/>
  <c r="L81" i="3" s="1"/>
  <c r="L68" i="3"/>
  <c r="L80" i="3" s="1"/>
  <c r="L64" i="3"/>
  <c r="L76" i="3" s="1"/>
  <c r="L63" i="3"/>
  <c r="L75" i="3" s="1"/>
  <c r="H89" i="3" l="1" a="1"/>
  <c r="H89" i="3" s="1"/>
  <c r="G41" i="5" l="1"/>
  <c r="G54" i="5"/>
  <c r="H19" i="5" s="1"/>
  <c r="G44" i="5"/>
  <c r="H9" i="5" s="1"/>
  <c r="G67" i="5"/>
  <c r="H32" i="5" s="1"/>
  <c r="G63" i="5"/>
  <c r="H28" i="5" s="1"/>
  <c r="G72" i="5"/>
  <c r="H37" i="5" s="1"/>
  <c r="G42" i="5"/>
  <c r="H7" i="5" s="1"/>
  <c r="G64" i="5"/>
  <c r="H29" i="5" s="1"/>
  <c r="G58" i="5"/>
  <c r="H23" i="5" s="1"/>
  <c r="G53" i="5"/>
  <c r="H18" i="5" s="1"/>
  <c r="G47" i="5"/>
  <c r="H12" i="5" s="1"/>
  <c r="G60" i="5"/>
  <c r="H25" i="5" s="1"/>
  <c r="G55" i="5"/>
  <c r="H20" i="5" s="1"/>
  <c r="G69" i="5"/>
  <c r="H34" i="5" s="1"/>
  <c r="G46" i="5"/>
  <c r="H11" i="5" s="1"/>
  <c r="G45" i="5"/>
  <c r="H10" i="5" s="1"/>
  <c r="G70" i="5"/>
  <c r="H35" i="5" s="1"/>
  <c r="G66" i="5"/>
  <c r="H31" i="5" s="1"/>
  <c r="G65" i="5"/>
  <c r="H30" i="5" s="1"/>
  <c r="G57" i="5"/>
  <c r="H22" i="5" s="1"/>
  <c r="G61" i="5"/>
  <c r="H26" i="5" s="1"/>
  <c r="G59" i="5"/>
  <c r="H24" i="5" s="1"/>
  <c r="G51" i="5"/>
  <c r="H16" i="5" s="1"/>
  <c r="G43" i="5"/>
  <c r="H8" i="5" s="1"/>
  <c r="G49" i="5"/>
  <c r="H14" i="5" s="1"/>
  <c r="G56" i="5"/>
  <c r="H21" i="5" s="1"/>
  <c r="G71" i="5"/>
  <c r="H36" i="5" s="1"/>
  <c r="G48" i="5"/>
  <c r="H13" i="5" s="1"/>
  <c r="G68" i="5"/>
  <c r="H33" i="5" s="1"/>
  <c r="G50" i="5"/>
  <c r="H15" i="5" s="1"/>
  <c r="G52" i="5"/>
  <c r="H17" i="5" s="1"/>
  <c r="G62" i="5"/>
  <c r="H27" i="5" s="1"/>
  <c r="C79" i="5" l="1"/>
  <c r="H6" i="5"/>
  <c r="M25" i="3" l="1"/>
  <c r="M33" i="3"/>
  <c r="M28" i="3"/>
  <c r="M18" i="3"/>
  <c r="M31" i="3"/>
  <c r="M22" i="3"/>
  <c r="M43" i="3"/>
  <c r="M49" i="3"/>
  <c r="M45" i="3"/>
  <c r="M15" i="3"/>
  <c r="M16" i="3"/>
  <c r="M27" i="3"/>
  <c r="M12" i="3"/>
  <c r="M35" i="3"/>
  <c r="M39" i="3"/>
  <c r="M46" i="3"/>
  <c r="M44" i="3"/>
  <c r="M54" i="3"/>
  <c r="M26" i="3"/>
  <c r="M52" i="3"/>
  <c r="M36" i="3"/>
  <c r="M10" i="3"/>
  <c r="M20" i="3"/>
  <c r="M56" i="3"/>
  <c r="M51" i="3"/>
  <c r="M47" i="3"/>
  <c r="M24" i="3"/>
  <c r="M42" i="3"/>
  <c r="M29" i="3"/>
  <c r="M19" i="3"/>
  <c r="M30" i="3"/>
  <c r="M13" i="3"/>
  <c r="M14" i="3"/>
  <c r="M41" i="3"/>
  <c r="M48" i="3"/>
  <c r="M37" i="3"/>
  <c r="M50" i="3"/>
  <c r="M32" i="3"/>
  <c r="M9" i="3"/>
  <c r="M34" i="3"/>
  <c r="M40" i="3"/>
  <c r="M38" i="3"/>
  <c r="M17" i="3"/>
  <c r="M21" i="3"/>
  <c r="M53" i="3"/>
  <c r="M55" i="3"/>
  <c r="M11" i="3"/>
  <c r="M23" i="3"/>
  <c r="J80" i="5"/>
  <c r="M64" i="3" l="1"/>
  <c r="M76" i="3" s="1"/>
  <c r="M62" i="3"/>
  <c r="M74" i="3" s="1"/>
  <c r="M65" i="3"/>
  <c r="M77" i="3" s="1"/>
  <c r="M69" i="3"/>
  <c r="M81" i="3" s="1"/>
  <c r="M66" i="3"/>
  <c r="M78" i="3" s="1"/>
  <c r="M67" i="3"/>
  <c r="M79" i="3" s="1"/>
  <c r="M68" i="3"/>
  <c r="M80" i="3" s="1"/>
  <c r="M63" i="3"/>
  <c r="M75" i="3" s="1"/>
  <c r="H90" i="3" l="1" a="1"/>
  <c r="H90" i="3" s="1"/>
  <c r="H56" i="5" l="1"/>
  <c r="I21" i="5" s="1"/>
  <c r="H52" i="5"/>
  <c r="I17" i="5" s="1"/>
  <c r="H68" i="5"/>
  <c r="I33" i="5" s="1"/>
  <c r="H48" i="5"/>
  <c r="I13" i="5" s="1"/>
  <c r="H47" i="5"/>
  <c r="I12" i="5" s="1"/>
  <c r="H51" i="5"/>
  <c r="I16" i="5" s="1"/>
  <c r="H42" i="5"/>
  <c r="I7" i="5" s="1"/>
  <c r="H44" i="5"/>
  <c r="I9" i="5" s="1"/>
  <c r="H53" i="5"/>
  <c r="I18" i="5" s="1"/>
  <c r="H41" i="5"/>
  <c r="H54" i="5"/>
  <c r="I19" i="5" s="1"/>
  <c r="H46" i="5"/>
  <c r="I11" i="5" s="1"/>
  <c r="H60" i="5"/>
  <c r="I25" i="5" s="1"/>
  <c r="H66" i="5"/>
  <c r="I31" i="5" s="1"/>
  <c r="H58" i="5"/>
  <c r="I23" i="5" s="1"/>
  <c r="H61" i="5"/>
  <c r="I26" i="5" s="1"/>
  <c r="H65" i="5"/>
  <c r="I30" i="5" s="1"/>
  <c r="H71" i="5"/>
  <c r="I36" i="5" s="1"/>
  <c r="H62" i="5"/>
  <c r="I27" i="5" s="1"/>
  <c r="H59" i="5"/>
  <c r="I24" i="5" s="1"/>
  <c r="H64" i="5"/>
  <c r="I29" i="5" s="1"/>
  <c r="H43" i="5"/>
  <c r="I8" i="5" s="1"/>
  <c r="H57" i="5"/>
  <c r="I22" i="5" s="1"/>
  <c r="H69" i="5"/>
  <c r="I34" i="5" s="1"/>
  <c r="H67" i="5"/>
  <c r="I32" i="5" s="1"/>
  <c r="H49" i="5"/>
  <c r="I14" i="5" s="1"/>
  <c r="H72" i="5"/>
  <c r="I37" i="5" s="1"/>
  <c r="H55" i="5"/>
  <c r="I20" i="5" s="1"/>
  <c r="H45" i="5"/>
  <c r="I10" i="5" s="1"/>
  <c r="H50" i="5"/>
  <c r="I15" i="5" s="1"/>
  <c r="H70" i="5"/>
  <c r="I35" i="5" s="1"/>
  <c r="H63" i="5"/>
  <c r="I28" i="5" s="1"/>
  <c r="I6" i="5" l="1"/>
  <c r="C80" i="5"/>
  <c r="J81" i="5" l="1"/>
  <c r="N15" i="3"/>
  <c r="N23" i="3"/>
  <c r="N31" i="3"/>
  <c r="N39" i="3"/>
  <c r="N47" i="3"/>
  <c r="N55" i="3"/>
  <c r="N37" i="3"/>
  <c r="N16" i="3"/>
  <c r="N24" i="3"/>
  <c r="N32" i="3"/>
  <c r="N40" i="3"/>
  <c r="N48" i="3"/>
  <c r="N56" i="3"/>
  <c r="N17" i="3"/>
  <c r="N25" i="3"/>
  <c r="N33" i="3"/>
  <c r="N41" i="3"/>
  <c r="N49" i="3"/>
  <c r="N9" i="3"/>
  <c r="N21" i="3"/>
  <c r="N10" i="3"/>
  <c r="N18" i="3"/>
  <c r="N26" i="3"/>
  <c r="N34" i="3"/>
  <c r="N42" i="3"/>
  <c r="N50" i="3"/>
  <c r="N11" i="3"/>
  <c r="N19" i="3"/>
  <c r="N27" i="3"/>
  <c r="N35" i="3"/>
  <c r="N43" i="3"/>
  <c r="N51" i="3"/>
  <c r="N45" i="3"/>
  <c r="N52" i="3"/>
  <c r="N13" i="3"/>
  <c r="N29" i="3"/>
  <c r="N14" i="3"/>
  <c r="N22" i="3"/>
  <c r="N30" i="3"/>
  <c r="N38" i="3"/>
  <c r="N46" i="3"/>
  <c r="N54" i="3"/>
  <c r="N12" i="3"/>
  <c r="N20" i="3"/>
  <c r="N28" i="3"/>
  <c r="N36" i="3"/>
  <c r="N44" i="3"/>
  <c r="N53" i="3"/>
  <c r="N67" i="3" l="1"/>
  <c r="N79" i="3" s="1"/>
  <c r="N68" i="3"/>
  <c r="N80" i="3" s="1"/>
  <c r="N69" i="3"/>
  <c r="N81" i="3" s="1"/>
  <c r="N62" i="3"/>
  <c r="N74" i="3" s="1"/>
  <c r="N63" i="3"/>
  <c r="N75" i="3" s="1"/>
  <c r="N64" i="3"/>
  <c r="N76" i="3" s="1"/>
  <c r="N66" i="3"/>
  <c r="N78" i="3" s="1"/>
  <c r="N65" i="3"/>
  <c r="N77" i="3" s="1"/>
  <c r="H91" i="3" l="1" a="1"/>
  <c r="H91" i="3" s="1"/>
  <c r="I45" i="5" l="1"/>
  <c r="J10" i="5" s="1"/>
  <c r="I42" i="5"/>
  <c r="J7" i="5" s="1"/>
  <c r="I65" i="5"/>
  <c r="J30" i="5" s="1"/>
  <c r="I53" i="5"/>
  <c r="J18" i="5" s="1"/>
  <c r="I54" i="5"/>
  <c r="J19" i="5" s="1"/>
  <c r="I57" i="5"/>
  <c r="J22" i="5" s="1"/>
  <c r="I44" i="5"/>
  <c r="J9" i="5" s="1"/>
  <c r="I64" i="5"/>
  <c r="J29" i="5" s="1"/>
  <c r="I72" i="5"/>
  <c r="J37" i="5" s="1"/>
  <c r="I60" i="5"/>
  <c r="J25" i="5" s="1"/>
  <c r="I50" i="5"/>
  <c r="J15" i="5" s="1"/>
  <c r="I51" i="5"/>
  <c r="J16" i="5" s="1"/>
  <c r="I67" i="5"/>
  <c r="J32" i="5" s="1"/>
  <c r="I52" i="5"/>
  <c r="J17" i="5" s="1"/>
  <c r="I49" i="5"/>
  <c r="J14" i="5" s="1"/>
  <c r="I55" i="5"/>
  <c r="J20" i="5" s="1"/>
  <c r="I61" i="5"/>
  <c r="J26" i="5" s="1"/>
  <c r="I68" i="5"/>
  <c r="J33" i="5" s="1"/>
  <c r="I62" i="5"/>
  <c r="J27" i="5" s="1"/>
  <c r="I59" i="5"/>
  <c r="J24" i="5" s="1"/>
  <c r="I48" i="5"/>
  <c r="J13" i="5" s="1"/>
  <c r="I47" i="5"/>
  <c r="J12" i="5" s="1"/>
  <c r="I69" i="5"/>
  <c r="J34" i="5" s="1"/>
  <c r="I46" i="5"/>
  <c r="J11" i="5" s="1"/>
  <c r="I63" i="5"/>
  <c r="J28" i="5" s="1"/>
  <c r="I58" i="5"/>
  <c r="J23" i="5" s="1"/>
  <c r="I66" i="5"/>
  <c r="J31" i="5" s="1"/>
  <c r="I43" i="5"/>
  <c r="J8" i="5" s="1"/>
  <c r="I70" i="5"/>
  <c r="J35" i="5" s="1"/>
  <c r="I56" i="5"/>
  <c r="J21" i="5" s="1"/>
  <c r="I71" i="5"/>
  <c r="J36" i="5" s="1"/>
  <c r="I41" i="5"/>
  <c r="J6" i="5" l="1"/>
  <c r="C81" i="5"/>
  <c r="O17" i="3" l="1"/>
  <c r="O25" i="3"/>
  <c r="O33" i="3"/>
  <c r="O41" i="3"/>
  <c r="O49" i="3"/>
  <c r="O9" i="3"/>
  <c r="O23" i="3"/>
  <c r="O31" i="3"/>
  <c r="O39" i="3"/>
  <c r="O47" i="3"/>
  <c r="O10" i="3"/>
  <c r="O18" i="3"/>
  <c r="O26" i="3"/>
  <c r="O34" i="3"/>
  <c r="O42" i="3"/>
  <c r="O50" i="3"/>
  <c r="O11" i="3"/>
  <c r="O19" i="3"/>
  <c r="O27" i="3"/>
  <c r="O35" i="3"/>
  <c r="O43" i="3"/>
  <c r="O51" i="3"/>
  <c r="O12" i="3"/>
  <c r="O20" i="3"/>
  <c r="O28" i="3"/>
  <c r="O36" i="3"/>
  <c r="O44" i="3"/>
  <c r="O52" i="3"/>
  <c r="O13" i="3"/>
  <c r="O21" i="3"/>
  <c r="O29" i="3"/>
  <c r="O37" i="3"/>
  <c r="O45" i="3"/>
  <c r="O53" i="3"/>
  <c r="O16" i="3"/>
  <c r="O24" i="3"/>
  <c r="O32" i="3"/>
  <c r="O40" i="3"/>
  <c r="O48" i="3"/>
  <c r="O56" i="3"/>
  <c r="O14" i="3"/>
  <c r="O22" i="3"/>
  <c r="O30" i="3"/>
  <c r="O38" i="3"/>
  <c r="O46" i="3"/>
  <c r="O54" i="3"/>
  <c r="O15" i="3"/>
  <c r="O55" i="3"/>
  <c r="J82" i="5"/>
  <c r="O69" i="3" l="1"/>
  <c r="O81" i="3" s="1"/>
  <c r="O62" i="3"/>
  <c r="O74" i="3" s="1"/>
  <c r="O63" i="3"/>
  <c r="O75" i="3" s="1"/>
  <c r="O66" i="3"/>
  <c r="O78" i="3" s="1"/>
  <c r="O64" i="3"/>
  <c r="O76" i="3" s="1"/>
  <c r="O65" i="3"/>
  <c r="O77" i="3" s="1"/>
  <c r="O67" i="3"/>
  <c r="O79" i="3" s="1"/>
  <c r="O68" i="3"/>
  <c r="O80" i="3" s="1"/>
  <c r="H92" i="3" l="1" a="1"/>
  <c r="H92" i="3" s="1"/>
  <c r="J63" i="5" l="1"/>
  <c r="K28" i="5" s="1"/>
  <c r="J48" i="5"/>
  <c r="K13" i="5" s="1"/>
  <c r="J61" i="5"/>
  <c r="K26" i="5" s="1"/>
  <c r="J69" i="5"/>
  <c r="K34" i="5" s="1"/>
  <c r="J56" i="5"/>
  <c r="K21" i="5" s="1"/>
  <c r="J58" i="5"/>
  <c r="K23" i="5" s="1"/>
  <c r="J45" i="5"/>
  <c r="K10" i="5" s="1"/>
  <c r="J51" i="5"/>
  <c r="K16" i="5" s="1"/>
  <c r="J43" i="5"/>
  <c r="K8" i="5" s="1"/>
  <c r="J64" i="5"/>
  <c r="K29" i="5" s="1"/>
  <c r="J55" i="5"/>
  <c r="K20" i="5" s="1"/>
  <c r="J72" i="5"/>
  <c r="K37" i="5" s="1"/>
  <c r="J49" i="5"/>
  <c r="K14" i="5" s="1"/>
  <c r="J70" i="5"/>
  <c r="K35" i="5" s="1"/>
  <c r="J67" i="5"/>
  <c r="K32" i="5" s="1"/>
  <c r="J54" i="5"/>
  <c r="K19" i="5" s="1"/>
  <c r="J42" i="5"/>
  <c r="K7" i="5" s="1"/>
  <c r="J44" i="5"/>
  <c r="K9" i="5" s="1"/>
  <c r="J57" i="5"/>
  <c r="K22" i="5" s="1"/>
  <c r="J50" i="5"/>
  <c r="K15" i="5" s="1"/>
  <c r="J60" i="5"/>
  <c r="K25" i="5" s="1"/>
  <c r="J59" i="5"/>
  <c r="K24" i="5" s="1"/>
  <c r="J47" i="5"/>
  <c r="K12" i="5" s="1"/>
  <c r="J71" i="5"/>
  <c r="K36" i="5" s="1"/>
  <c r="J62" i="5"/>
  <c r="K27" i="5" s="1"/>
  <c r="J66" i="5"/>
  <c r="K31" i="5" s="1"/>
  <c r="J65" i="5"/>
  <c r="K30" i="5" s="1"/>
  <c r="J52" i="5"/>
  <c r="K17" i="5" s="1"/>
  <c r="J53" i="5"/>
  <c r="K18" i="5" s="1"/>
  <c r="J46" i="5"/>
  <c r="K11" i="5" s="1"/>
  <c r="J68" i="5"/>
  <c r="K33" i="5" s="1"/>
  <c r="J41" i="5"/>
  <c r="C82" i="5" l="1"/>
  <c r="K6" i="5"/>
  <c r="J83" i="5" l="1"/>
  <c r="P17" i="3"/>
  <c r="P25" i="3"/>
  <c r="P33" i="3"/>
  <c r="P41" i="3"/>
  <c r="P49" i="3"/>
  <c r="P9" i="3"/>
  <c r="P10" i="3"/>
  <c r="P18" i="3"/>
  <c r="P26" i="3"/>
  <c r="P34" i="3"/>
  <c r="P42" i="3"/>
  <c r="P50" i="3"/>
  <c r="P11" i="3"/>
  <c r="P19" i="3"/>
  <c r="P27" i="3"/>
  <c r="P35" i="3"/>
  <c r="P43" i="3"/>
  <c r="P51" i="3"/>
  <c r="P12" i="3"/>
  <c r="P20" i="3"/>
  <c r="P28" i="3"/>
  <c r="P36" i="3"/>
  <c r="P44" i="3"/>
  <c r="P52" i="3"/>
  <c r="P13" i="3"/>
  <c r="P21" i="3"/>
  <c r="P29" i="3"/>
  <c r="P37" i="3"/>
  <c r="P45" i="3"/>
  <c r="P53" i="3"/>
  <c r="P16" i="3"/>
  <c r="P24" i="3"/>
  <c r="P32" i="3"/>
  <c r="P40" i="3"/>
  <c r="P48" i="3"/>
  <c r="P56" i="3"/>
  <c r="P14" i="3"/>
  <c r="P46" i="3"/>
  <c r="P15" i="3"/>
  <c r="P47" i="3"/>
  <c r="P22" i="3"/>
  <c r="P54" i="3"/>
  <c r="P31" i="3"/>
  <c r="P23" i="3"/>
  <c r="P55" i="3"/>
  <c r="P30" i="3"/>
  <c r="P38" i="3"/>
  <c r="P39" i="3"/>
  <c r="P69" i="3" l="1"/>
  <c r="P81" i="3" s="1"/>
  <c r="P62" i="3"/>
  <c r="P74" i="3" s="1"/>
  <c r="P63" i="3"/>
  <c r="P75" i="3" s="1"/>
  <c r="P64" i="3"/>
  <c r="P76" i="3" s="1"/>
  <c r="P65" i="3"/>
  <c r="P77" i="3" s="1"/>
  <c r="P68" i="3"/>
  <c r="P80" i="3" s="1"/>
  <c r="P66" i="3"/>
  <c r="P78" i="3" s="1"/>
  <c r="P67" i="3"/>
  <c r="P79" i="3" s="1"/>
  <c r="H93" i="3" l="1" a="1"/>
  <c r="H93" i="3" s="1"/>
  <c r="K55" i="5" l="1"/>
  <c r="L20" i="5" s="1"/>
  <c r="K52" i="5"/>
  <c r="L17" i="5" s="1"/>
  <c r="K62" i="5"/>
  <c r="L27" i="5" s="1"/>
  <c r="K64" i="5"/>
  <c r="L29" i="5" s="1"/>
  <c r="K45" i="5"/>
  <c r="L10" i="5" s="1"/>
  <c r="K50" i="5"/>
  <c r="L15" i="5" s="1"/>
  <c r="K70" i="5"/>
  <c r="L35" i="5" s="1"/>
  <c r="K51" i="5"/>
  <c r="L16" i="5" s="1"/>
  <c r="K65" i="5"/>
  <c r="L30" i="5" s="1"/>
  <c r="K53" i="5"/>
  <c r="L18" i="5" s="1"/>
  <c r="K58" i="5"/>
  <c r="L23" i="5" s="1"/>
  <c r="K46" i="5"/>
  <c r="L11" i="5" s="1"/>
  <c r="K63" i="5"/>
  <c r="L28" i="5" s="1"/>
  <c r="K60" i="5"/>
  <c r="L25" i="5" s="1"/>
  <c r="K66" i="5"/>
  <c r="L31" i="5" s="1"/>
  <c r="K42" i="5"/>
  <c r="L7" i="5" s="1"/>
  <c r="K44" i="5"/>
  <c r="L9" i="5" s="1"/>
  <c r="K59" i="5"/>
  <c r="L24" i="5" s="1"/>
  <c r="K56" i="5"/>
  <c r="L21" i="5" s="1"/>
  <c r="K48" i="5"/>
  <c r="L13" i="5" s="1"/>
  <c r="K67" i="5"/>
  <c r="L32" i="5" s="1"/>
  <c r="K71" i="5"/>
  <c r="L36" i="5" s="1"/>
  <c r="K54" i="5"/>
  <c r="L19" i="5" s="1"/>
  <c r="K68" i="5"/>
  <c r="L33" i="5" s="1"/>
  <c r="K49" i="5"/>
  <c r="L14" i="5" s="1"/>
  <c r="K43" i="5"/>
  <c r="L8" i="5" s="1"/>
  <c r="K47" i="5"/>
  <c r="L12" i="5" s="1"/>
  <c r="K57" i="5"/>
  <c r="L22" i="5" s="1"/>
  <c r="K69" i="5"/>
  <c r="L34" i="5" s="1"/>
  <c r="K72" i="5"/>
  <c r="L37" i="5" s="1"/>
  <c r="K61" i="5"/>
  <c r="L26" i="5" s="1"/>
  <c r="K41" i="5"/>
  <c r="C83" i="5" l="1"/>
  <c r="L6" i="5"/>
  <c r="J84" i="5" l="1"/>
  <c r="Q11" i="3"/>
  <c r="Q19" i="3"/>
  <c r="Q27" i="3"/>
  <c r="Q35" i="3"/>
  <c r="Q43" i="3"/>
  <c r="Q51" i="3"/>
  <c r="Q12" i="3"/>
  <c r="Q20" i="3"/>
  <c r="Q28" i="3"/>
  <c r="Q36" i="3"/>
  <c r="Q44" i="3"/>
  <c r="Q52" i="3"/>
  <c r="Q13" i="3"/>
  <c r="Q21" i="3"/>
  <c r="Q29" i="3"/>
  <c r="Q37" i="3"/>
  <c r="Q45" i="3"/>
  <c r="Q53" i="3"/>
  <c r="Q14" i="3"/>
  <c r="Q22" i="3"/>
  <c r="Q30" i="3"/>
  <c r="Q38" i="3"/>
  <c r="Q46" i="3"/>
  <c r="Q54" i="3"/>
  <c r="Q15" i="3"/>
  <c r="Q23" i="3"/>
  <c r="Q31" i="3"/>
  <c r="Q39" i="3"/>
  <c r="Q47" i="3"/>
  <c r="Q55" i="3"/>
  <c r="Q16" i="3"/>
  <c r="Q24" i="3"/>
  <c r="Q32" i="3"/>
  <c r="Q40" i="3"/>
  <c r="Q48" i="3"/>
  <c r="Q56" i="3"/>
  <c r="Q10" i="3"/>
  <c r="Q18" i="3"/>
  <c r="Q26" i="3"/>
  <c r="Q34" i="3"/>
  <c r="Q42" i="3"/>
  <c r="Q50" i="3"/>
  <c r="Q41" i="3"/>
  <c r="Q49" i="3"/>
  <c r="Q17" i="3"/>
  <c r="Q9" i="3"/>
  <c r="Q33" i="3"/>
  <c r="Q25" i="3"/>
  <c r="Q63" i="3" l="1"/>
  <c r="Q75" i="3" s="1"/>
  <c r="Q64" i="3"/>
  <c r="Q76" i="3" s="1"/>
  <c r="Q65" i="3"/>
  <c r="Q77" i="3" s="1"/>
  <c r="Q66" i="3"/>
  <c r="Q78" i="3" s="1"/>
  <c r="Q67" i="3"/>
  <c r="Q79" i="3" s="1"/>
  <c r="Q68" i="3"/>
  <c r="Q80" i="3" s="1"/>
  <c r="Q62" i="3"/>
  <c r="Q74" i="3" s="1"/>
  <c r="Q69" i="3"/>
  <c r="Q81" i="3" s="1"/>
  <c r="H94" i="3" l="1" a="1"/>
  <c r="H94" i="3" s="1"/>
  <c r="L47" i="5" l="1"/>
  <c r="M12" i="5" s="1"/>
  <c r="L53" i="5"/>
  <c r="M18" i="5" s="1"/>
  <c r="L61" i="5"/>
  <c r="M26" i="5" s="1"/>
  <c r="L70" i="5"/>
  <c r="M35" i="5" s="1"/>
  <c r="L50" i="5"/>
  <c r="M15" i="5" s="1"/>
  <c r="L71" i="5"/>
  <c r="M36" i="5" s="1"/>
  <c r="L46" i="5"/>
  <c r="M11" i="5" s="1"/>
  <c r="L60" i="5"/>
  <c r="M25" i="5" s="1"/>
  <c r="L51" i="5"/>
  <c r="M16" i="5" s="1"/>
  <c r="L57" i="5"/>
  <c r="M22" i="5" s="1"/>
  <c r="L59" i="5"/>
  <c r="M24" i="5" s="1"/>
  <c r="L54" i="5"/>
  <c r="M19" i="5" s="1"/>
  <c r="L42" i="5"/>
  <c r="M7" i="5" s="1"/>
  <c r="L55" i="5"/>
  <c r="M20" i="5" s="1"/>
  <c r="L63" i="5"/>
  <c r="M28" i="5" s="1"/>
  <c r="L58" i="5"/>
  <c r="M23" i="5" s="1"/>
  <c r="L72" i="5"/>
  <c r="M37" i="5" s="1"/>
  <c r="L67" i="5"/>
  <c r="M32" i="5" s="1"/>
  <c r="L45" i="5"/>
  <c r="M10" i="5" s="1"/>
  <c r="L69" i="5"/>
  <c r="M34" i="5" s="1"/>
  <c r="L49" i="5"/>
  <c r="M14" i="5" s="1"/>
  <c r="L66" i="5"/>
  <c r="M31" i="5" s="1"/>
  <c r="L56" i="5"/>
  <c r="M21" i="5" s="1"/>
  <c r="L44" i="5"/>
  <c r="M9" i="5" s="1"/>
  <c r="L65" i="5"/>
  <c r="M30" i="5" s="1"/>
  <c r="L68" i="5"/>
  <c r="M33" i="5" s="1"/>
  <c r="L43" i="5"/>
  <c r="M8" i="5" s="1"/>
  <c r="L52" i="5"/>
  <c r="M17" i="5" s="1"/>
  <c r="L62" i="5"/>
  <c r="M27" i="5" s="1"/>
  <c r="L64" i="5"/>
  <c r="M29" i="5" s="1"/>
  <c r="L48" i="5"/>
  <c r="M13" i="5" s="1"/>
  <c r="L41" i="5"/>
  <c r="C84" i="5" l="1"/>
  <c r="M6" i="5"/>
  <c r="R13" i="3" l="1"/>
  <c r="R21" i="3"/>
  <c r="R29" i="3"/>
  <c r="R37" i="3"/>
  <c r="R45" i="3"/>
  <c r="R53" i="3"/>
  <c r="R14" i="3"/>
  <c r="R22" i="3"/>
  <c r="R30" i="3"/>
  <c r="R38" i="3"/>
  <c r="R46" i="3"/>
  <c r="R54" i="3"/>
  <c r="R15" i="3"/>
  <c r="R23" i="3"/>
  <c r="R31" i="3"/>
  <c r="R39" i="3"/>
  <c r="R47" i="3"/>
  <c r="R55" i="3"/>
  <c r="R16" i="3"/>
  <c r="R24" i="3"/>
  <c r="R32" i="3"/>
  <c r="R40" i="3"/>
  <c r="R48" i="3"/>
  <c r="R56" i="3"/>
  <c r="R17" i="3"/>
  <c r="R25" i="3"/>
  <c r="R33" i="3"/>
  <c r="R41" i="3"/>
  <c r="R49" i="3"/>
  <c r="R9" i="3"/>
  <c r="R10" i="3"/>
  <c r="R18" i="3"/>
  <c r="R26" i="3"/>
  <c r="R34" i="3"/>
  <c r="R42" i="3"/>
  <c r="R50" i="3"/>
  <c r="R12" i="3"/>
  <c r="R20" i="3"/>
  <c r="R28" i="3"/>
  <c r="R36" i="3"/>
  <c r="R44" i="3"/>
  <c r="R52" i="3"/>
  <c r="R43" i="3"/>
  <c r="R19" i="3"/>
  <c r="R27" i="3"/>
  <c r="R51" i="3"/>
  <c r="R11" i="3"/>
  <c r="R35" i="3"/>
  <c r="J85" i="5"/>
  <c r="R65" i="3" l="1"/>
  <c r="R77" i="3" s="1"/>
  <c r="R66" i="3"/>
  <c r="R78" i="3" s="1"/>
  <c r="R67" i="3"/>
  <c r="R79" i="3" s="1"/>
  <c r="R68" i="3"/>
  <c r="R80" i="3" s="1"/>
  <c r="R69" i="3"/>
  <c r="R81" i="3" s="1"/>
  <c r="R62" i="3"/>
  <c r="R74" i="3" s="1"/>
  <c r="H95" i="3" s="1" a="1"/>
  <c r="H95" i="3" s="1"/>
  <c r="R64" i="3"/>
  <c r="R76" i="3" s="1"/>
  <c r="R63" i="3"/>
  <c r="R75" i="3" s="1"/>
  <c r="M61" i="5" l="1"/>
  <c r="N26" i="5" s="1"/>
  <c r="M46" i="5"/>
  <c r="N11" i="5" s="1"/>
  <c r="M62" i="5"/>
  <c r="N27" i="5" s="1"/>
  <c r="M71" i="5"/>
  <c r="N36" i="5" s="1"/>
  <c r="M64" i="5"/>
  <c r="N29" i="5" s="1"/>
  <c r="M42" i="5"/>
  <c r="N7" i="5" s="1"/>
  <c r="M72" i="5"/>
  <c r="N37" i="5" s="1"/>
  <c r="M69" i="5"/>
  <c r="N34" i="5" s="1"/>
  <c r="M68" i="5"/>
  <c r="N33" i="5" s="1"/>
  <c r="M43" i="5"/>
  <c r="N8" i="5" s="1"/>
  <c r="M47" i="5"/>
  <c r="N12" i="5" s="1"/>
  <c r="M49" i="5"/>
  <c r="N14" i="5" s="1"/>
  <c r="M56" i="5"/>
  <c r="N21" i="5" s="1"/>
  <c r="M44" i="5"/>
  <c r="N9" i="5" s="1"/>
  <c r="M58" i="5"/>
  <c r="N23" i="5" s="1"/>
  <c r="M55" i="5"/>
  <c r="N20" i="5" s="1"/>
  <c r="M63" i="5"/>
  <c r="N28" i="5" s="1"/>
  <c r="M51" i="5"/>
  <c r="N16" i="5" s="1"/>
  <c r="M70" i="5"/>
  <c r="N35" i="5" s="1"/>
  <c r="M54" i="5"/>
  <c r="N19" i="5" s="1"/>
  <c r="M45" i="5"/>
  <c r="N10" i="5" s="1"/>
  <c r="M50" i="5"/>
  <c r="N15" i="5" s="1"/>
  <c r="M67" i="5"/>
  <c r="N32" i="5" s="1"/>
  <c r="M57" i="5"/>
  <c r="N22" i="5" s="1"/>
  <c r="M59" i="5"/>
  <c r="N24" i="5" s="1"/>
  <c r="M60" i="5"/>
  <c r="N25" i="5" s="1"/>
  <c r="M53" i="5"/>
  <c r="N18" i="5" s="1"/>
  <c r="M48" i="5"/>
  <c r="N13" i="5" s="1"/>
  <c r="M52" i="5"/>
  <c r="N17" i="5" s="1"/>
  <c r="M66" i="5"/>
  <c r="N31" i="5" s="1"/>
  <c r="M65" i="5"/>
  <c r="N30" i="5" s="1"/>
  <c r="M41" i="5"/>
  <c r="C85" i="5" l="1"/>
  <c r="N6" i="5"/>
  <c r="J86" i="5" l="1"/>
  <c r="S15" i="3"/>
  <c r="S23" i="3"/>
  <c r="S31" i="3"/>
  <c r="S39" i="3"/>
  <c r="S47" i="3"/>
  <c r="S55" i="3"/>
  <c r="S16" i="3"/>
  <c r="S24" i="3"/>
  <c r="S32" i="3"/>
  <c r="S40" i="3"/>
  <c r="S48" i="3"/>
  <c r="S56" i="3"/>
  <c r="S17" i="3"/>
  <c r="S25" i="3"/>
  <c r="S33" i="3"/>
  <c r="S41" i="3"/>
  <c r="S49" i="3"/>
  <c r="S9" i="3"/>
  <c r="S10" i="3"/>
  <c r="S18" i="3"/>
  <c r="S26" i="3"/>
  <c r="S34" i="3"/>
  <c r="S42" i="3"/>
  <c r="S50" i="3"/>
  <c r="S11" i="3"/>
  <c r="S19" i="3"/>
  <c r="S27" i="3"/>
  <c r="S35" i="3"/>
  <c r="S43" i="3"/>
  <c r="S51" i="3"/>
  <c r="S12" i="3"/>
  <c r="S20" i="3"/>
  <c r="S28" i="3"/>
  <c r="S36" i="3"/>
  <c r="S44" i="3"/>
  <c r="S52" i="3"/>
  <c r="S14" i="3"/>
  <c r="S22" i="3"/>
  <c r="S30" i="3"/>
  <c r="S38" i="3"/>
  <c r="S46" i="3"/>
  <c r="S54" i="3"/>
  <c r="S45" i="3"/>
  <c r="S53" i="3"/>
  <c r="S29" i="3"/>
  <c r="S21" i="3"/>
  <c r="S13" i="3"/>
  <c r="S37" i="3"/>
  <c r="S67" i="3" l="1"/>
  <c r="S79" i="3" s="1"/>
  <c r="S68" i="3"/>
  <c r="S80" i="3" s="1"/>
  <c r="S69" i="3"/>
  <c r="S81" i="3" s="1"/>
  <c r="S62" i="3"/>
  <c r="S74" i="3" s="1"/>
  <c r="S63" i="3"/>
  <c r="S75" i="3" s="1"/>
  <c r="S64" i="3"/>
  <c r="S76" i="3" s="1"/>
  <c r="S66" i="3"/>
  <c r="S78" i="3" s="1"/>
  <c r="S65" i="3"/>
  <c r="S77" i="3" s="1"/>
  <c r="H96" i="3" l="1" a="1"/>
  <c r="H96" i="3" s="1"/>
  <c r="N58" i="5" l="1"/>
  <c r="O23" i="5" s="1"/>
  <c r="N59" i="5"/>
  <c r="O24" i="5" s="1"/>
  <c r="N53" i="5"/>
  <c r="O18" i="5" s="1"/>
  <c r="N47" i="5"/>
  <c r="O12" i="5" s="1"/>
  <c r="N61" i="5"/>
  <c r="O26" i="5" s="1"/>
  <c r="N46" i="5"/>
  <c r="O11" i="5" s="1"/>
  <c r="N55" i="5"/>
  <c r="O20" i="5" s="1"/>
  <c r="N44" i="5"/>
  <c r="O9" i="5" s="1"/>
  <c r="N52" i="5"/>
  <c r="O17" i="5" s="1"/>
  <c r="N69" i="5"/>
  <c r="O34" i="5" s="1"/>
  <c r="N56" i="5"/>
  <c r="O21" i="5" s="1"/>
  <c r="N54" i="5"/>
  <c r="O19" i="5" s="1"/>
  <c r="N68" i="5"/>
  <c r="O33" i="5" s="1"/>
  <c r="N65" i="5"/>
  <c r="O30" i="5" s="1"/>
  <c r="N50" i="5"/>
  <c r="O15" i="5" s="1"/>
  <c r="N72" i="5"/>
  <c r="O37" i="5" s="1"/>
  <c r="N57" i="5"/>
  <c r="O22" i="5" s="1"/>
  <c r="N66" i="5"/>
  <c r="O31" i="5" s="1"/>
  <c r="N48" i="5"/>
  <c r="O13" i="5" s="1"/>
  <c r="N71" i="5"/>
  <c r="O36" i="5" s="1"/>
  <c r="N45" i="5"/>
  <c r="O10" i="5" s="1"/>
  <c r="N49" i="5"/>
  <c r="O14" i="5" s="1"/>
  <c r="N42" i="5"/>
  <c r="O7" i="5" s="1"/>
  <c r="N60" i="5"/>
  <c r="O25" i="5" s="1"/>
  <c r="N62" i="5"/>
  <c r="O27" i="5" s="1"/>
  <c r="N64" i="5"/>
  <c r="O29" i="5" s="1"/>
  <c r="N63" i="5"/>
  <c r="O28" i="5" s="1"/>
  <c r="N70" i="5"/>
  <c r="O35" i="5" s="1"/>
  <c r="N67" i="5"/>
  <c r="O32" i="5" s="1"/>
  <c r="N43" i="5"/>
  <c r="O8" i="5" s="1"/>
  <c r="N51" i="5"/>
  <c r="O16" i="5" s="1"/>
  <c r="N41" i="5"/>
  <c r="C86" i="5" l="1"/>
  <c r="O6" i="5"/>
  <c r="J87" i="5" l="1"/>
  <c r="T14" i="3"/>
  <c r="T22" i="3"/>
  <c r="T30" i="3"/>
  <c r="T38" i="3"/>
  <c r="T46" i="3"/>
  <c r="T54" i="3"/>
  <c r="T16" i="3"/>
  <c r="T24" i="3"/>
  <c r="T32" i="3"/>
  <c r="T40" i="3"/>
  <c r="T48" i="3"/>
  <c r="T56" i="3"/>
  <c r="T10" i="3"/>
  <c r="T18" i="3"/>
  <c r="T26" i="3"/>
  <c r="T34" i="3"/>
  <c r="T42" i="3"/>
  <c r="T50" i="3"/>
  <c r="T11" i="3"/>
  <c r="T19" i="3"/>
  <c r="T27" i="3"/>
  <c r="T35" i="3"/>
  <c r="T43" i="3"/>
  <c r="T51" i="3"/>
  <c r="T12" i="3"/>
  <c r="T20" i="3"/>
  <c r="T28" i="3"/>
  <c r="T36" i="3"/>
  <c r="T44" i="3"/>
  <c r="T52" i="3"/>
  <c r="T13" i="3"/>
  <c r="T21" i="3"/>
  <c r="T29" i="3"/>
  <c r="T37" i="3"/>
  <c r="T45" i="3"/>
  <c r="T53" i="3"/>
  <c r="T33" i="3"/>
  <c r="T39" i="3"/>
  <c r="T41" i="3"/>
  <c r="T15" i="3"/>
  <c r="T47" i="3"/>
  <c r="T17" i="3"/>
  <c r="T49" i="3"/>
  <c r="T23" i="3"/>
  <c r="T55" i="3"/>
  <c r="T31" i="3"/>
  <c r="T9" i="3"/>
  <c r="T25" i="3"/>
  <c r="T66" i="3" l="1"/>
  <c r="T78" i="3" s="1"/>
  <c r="T68" i="3"/>
  <c r="T80" i="3" s="1"/>
  <c r="T62" i="3"/>
  <c r="T74" i="3" s="1"/>
  <c r="T63" i="3"/>
  <c r="T75" i="3" s="1"/>
  <c r="T64" i="3"/>
  <c r="T76" i="3" s="1"/>
  <c r="T65" i="3"/>
  <c r="T77" i="3" s="1"/>
  <c r="T67" i="3"/>
  <c r="T79" i="3" s="1"/>
  <c r="T69" i="3"/>
  <c r="T81" i="3" s="1"/>
  <c r="H97" i="3" l="1" a="1"/>
  <c r="H97" i="3" s="1"/>
  <c r="O69" i="5" l="1"/>
  <c r="P34" i="5" s="1"/>
  <c r="O54" i="5"/>
  <c r="P19" i="5" s="1"/>
  <c r="O44" i="5"/>
  <c r="P9" i="5" s="1"/>
  <c r="O72" i="5"/>
  <c r="P37" i="5" s="1"/>
  <c r="O61" i="5"/>
  <c r="P26" i="5" s="1"/>
  <c r="O55" i="5"/>
  <c r="P20" i="5" s="1"/>
  <c r="O48" i="5"/>
  <c r="P13" i="5" s="1"/>
  <c r="O47" i="5"/>
  <c r="P12" i="5" s="1"/>
  <c r="O64" i="5"/>
  <c r="P29" i="5" s="1"/>
  <c r="O43" i="5"/>
  <c r="P8" i="5" s="1"/>
  <c r="O46" i="5"/>
  <c r="P11" i="5" s="1"/>
  <c r="O63" i="5"/>
  <c r="P28" i="5" s="1"/>
  <c r="O50" i="5"/>
  <c r="P15" i="5" s="1"/>
  <c r="O57" i="5"/>
  <c r="P22" i="5" s="1"/>
  <c r="O66" i="5"/>
  <c r="P31" i="5" s="1"/>
  <c r="O71" i="5"/>
  <c r="P36" i="5" s="1"/>
  <c r="O49" i="5"/>
  <c r="P14" i="5" s="1"/>
  <c r="O42" i="5"/>
  <c r="P7" i="5" s="1"/>
  <c r="O70" i="5"/>
  <c r="P35" i="5" s="1"/>
  <c r="O53" i="5"/>
  <c r="P18" i="5" s="1"/>
  <c r="O51" i="5"/>
  <c r="P16" i="5" s="1"/>
  <c r="O52" i="5"/>
  <c r="P17" i="5" s="1"/>
  <c r="O65" i="5"/>
  <c r="P30" i="5" s="1"/>
  <c r="O45" i="5"/>
  <c r="P10" i="5" s="1"/>
  <c r="O67" i="5"/>
  <c r="P32" i="5" s="1"/>
  <c r="O60" i="5"/>
  <c r="P25" i="5" s="1"/>
  <c r="O56" i="5"/>
  <c r="P21" i="5" s="1"/>
  <c r="O62" i="5"/>
  <c r="P27" i="5" s="1"/>
  <c r="O59" i="5"/>
  <c r="P24" i="5" s="1"/>
  <c r="O58" i="5"/>
  <c r="P23" i="5" s="1"/>
  <c r="O68" i="5"/>
  <c r="P33" i="5" s="1"/>
  <c r="O41" i="5"/>
  <c r="C87" i="5" l="1"/>
  <c r="P6" i="5"/>
  <c r="J88" i="5" l="1"/>
  <c r="U16" i="3"/>
  <c r="U24" i="3"/>
  <c r="U32" i="3"/>
  <c r="U40" i="3"/>
  <c r="U48" i="3"/>
  <c r="U56" i="3"/>
  <c r="U10" i="3"/>
  <c r="U18" i="3"/>
  <c r="U26" i="3"/>
  <c r="U34" i="3"/>
  <c r="U42" i="3"/>
  <c r="U50" i="3"/>
  <c r="U12" i="3"/>
  <c r="U20" i="3"/>
  <c r="U28" i="3"/>
  <c r="U36" i="3"/>
  <c r="U44" i="3"/>
  <c r="U52" i="3"/>
  <c r="U13" i="3"/>
  <c r="U21" i="3"/>
  <c r="U29" i="3"/>
  <c r="U37" i="3"/>
  <c r="U45" i="3"/>
  <c r="U53" i="3"/>
  <c r="U14" i="3"/>
  <c r="U22" i="3"/>
  <c r="U30" i="3"/>
  <c r="U38" i="3"/>
  <c r="U46" i="3"/>
  <c r="U54" i="3"/>
  <c r="U15" i="3"/>
  <c r="U23" i="3"/>
  <c r="U31" i="3"/>
  <c r="U39" i="3"/>
  <c r="U47" i="3"/>
  <c r="U55" i="3"/>
  <c r="U35" i="3"/>
  <c r="U41" i="3"/>
  <c r="U11" i="3"/>
  <c r="U43" i="3"/>
  <c r="U17" i="3"/>
  <c r="U49" i="3"/>
  <c r="U19" i="3"/>
  <c r="U51" i="3"/>
  <c r="U25" i="3"/>
  <c r="U9" i="3"/>
  <c r="U33" i="3"/>
  <c r="U27" i="3"/>
  <c r="U68" i="3" l="1"/>
  <c r="U80" i="3" s="1"/>
  <c r="U62" i="3"/>
  <c r="U74" i="3" s="1"/>
  <c r="U64" i="3"/>
  <c r="U76" i="3" s="1"/>
  <c r="U65" i="3"/>
  <c r="U77" i="3" s="1"/>
  <c r="U66" i="3"/>
  <c r="U78" i="3" s="1"/>
  <c r="U67" i="3"/>
  <c r="U79" i="3" s="1"/>
  <c r="U63" i="3"/>
  <c r="U75" i="3" s="1"/>
  <c r="U69" i="3"/>
  <c r="U81" i="3" s="1"/>
  <c r="H98" i="3" l="1" a="1"/>
  <c r="H98" i="3" s="1"/>
  <c r="P61" i="5" l="1"/>
  <c r="Q26" i="5" s="1"/>
  <c r="P63" i="5"/>
  <c r="Q28" i="5" s="1"/>
  <c r="P42" i="5"/>
  <c r="Q7" i="5" s="1"/>
  <c r="P48" i="5"/>
  <c r="Q13" i="5" s="1"/>
  <c r="P59" i="5"/>
  <c r="Q24" i="5" s="1"/>
  <c r="P56" i="5"/>
  <c r="Q21" i="5" s="1"/>
  <c r="P51" i="5"/>
  <c r="Q16" i="5" s="1"/>
  <c r="P71" i="5"/>
  <c r="Q36" i="5" s="1"/>
  <c r="P43" i="5"/>
  <c r="Q8" i="5" s="1"/>
  <c r="P55" i="5"/>
  <c r="Q20" i="5" s="1"/>
  <c r="P70" i="5"/>
  <c r="Q35" i="5" s="1"/>
  <c r="P47" i="5"/>
  <c r="Q12" i="5" s="1"/>
  <c r="P45" i="5"/>
  <c r="Q10" i="5" s="1"/>
  <c r="P57" i="5"/>
  <c r="Q22" i="5" s="1"/>
  <c r="P69" i="5"/>
  <c r="Q34" i="5" s="1"/>
  <c r="P60" i="5"/>
  <c r="Q25" i="5" s="1"/>
  <c r="P49" i="5"/>
  <c r="Q14" i="5" s="1"/>
  <c r="P53" i="5"/>
  <c r="Q18" i="5" s="1"/>
  <c r="P44" i="5"/>
  <c r="Q9" i="5" s="1"/>
  <c r="P68" i="5"/>
  <c r="Q33" i="5" s="1"/>
  <c r="P72" i="5"/>
  <c r="Q37" i="5" s="1"/>
  <c r="P65" i="5"/>
  <c r="Q30" i="5" s="1"/>
  <c r="P67" i="5"/>
  <c r="Q32" i="5" s="1"/>
  <c r="P50" i="5"/>
  <c r="Q15" i="5" s="1"/>
  <c r="P66" i="5"/>
  <c r="Q31" i="5" s="1"/>
  <c r="P54" i="5"/>
  <c r="Q19" i="5" s="1"/>
  <c r="P62" i="5"/>
  <c r="Q27" i="5" s="1"/>
  <c r="P64" i="5"/>
  <c r="Q29" i="5" s="1"/>
  <c r="P52" i="5"/>
  <c r="Q17" i="5" s="1"/>
  <c r="P58" i="5"/>
  <c r="Q23" i="5" s="1"/>
  <c r="P46" i="5"/>
  <c r="Q11" i="5" s="1"/>
  <c r="P41" i="5"/>
  <c r="C88" i="5" l="1"/>
  <c r="Q6" i="5"/>
  <c r="V10" i="3" l="1"/>
  <c r="V18" i="3"/>
  <c r="V26" i="3"/>
  <c r="V34" i="3"/>
  <c r="V42" i="3"/>
  <c r="V50" i="3"/>
  <c r="V12" i="3"/>
  <c r="V20" i="3"/>
  <c r="V28" i="3"/>
  <c r="V36" i="3"/>
  <c r="V44" i="3"/>
  <c r="V52" i="3"/>
  <c r="V14" i="3"/>
  <c r="V22" i="3"/>
  <c r="V30" i="3"/>
  <c r="V38" i="3"/>
  <c r="V46" i="3"/>
  <c r="V54" i="3"/>
  <c r="V15" i="3"/>
  <c r="V23" i="3"/>
  <c r="V31" i="3"/>
  <c r="V39" i="3"/>
  <c r="V47" i="3"/>
  <c r="V55" i="3"/>
  <c r="V16" i="3"/>
  <c r="V24" i="3"/>
  <c r="V32" i="3"/>
  <c r="V40" i="3"/>
  <c r="V48" i="3"/>
  <c r="V56" i="3"/>
  <c r="V17" i="3"/>
  <c r="V25" i="3"/>
  <c r="V33" i="3"/>
  <c r="V41" i="3"/>
  <c r="V49" i="3"/>
  <c r="V9" i="3"/>
  <c r="V37" i="3"/>
  <c r="V11" i="3"/>
  <c r="V43" i="3"/>
  <c r="V13" i="3"/>
  <c r="V45" i="3"/>
  <c r="V19" i="3"/>
  <c r="V51" i="3"/>
  <c r="V21" i="3"/>
  <c r="V53" i="3"/>
  <c r="V27" i="3"/>
  <c r="V35" i="3"/>
  <c r="V29" i="3"/>
  <c r="J89" i="5"/>
  <c r="V62" i="3" l="1"/>
  <c r="V74" i="3" s="1"/>
  <c r="V64" i="3"/>
  <c r="V76" i="3" s="1"/>
  <c r="V66" i="3"/>
  <c r="V78" i="3" s="1"/>
  <c r="V67" i="3"/>
  <c r="V79" i="3" s="1"/>
  <c r="V68" i="3"/>
  <c r="V80" i="3" s="1"/>
  <c r="V69" i="3"/>
  <c r="V81" i="3" s="1"/>
  <c r="V65" i="3"/>
  <c r="V77" i="3" s="1"/>
  <c r="V63" i="3"/>
  <c r="V75" i="3" s="1"/>
  <c r="H99" i="3" l="1" a="1"/>
  <c r="H99" i="3" s="1"/>
  <c r="Q50" i="5" l="1"/>
  <c r="R15" i="5" s="1"/>
  <c r="Q55" i="5"/>
  <c r="R20" i="5" s="1"/>
  <c r="Q61" i="5"/>
  <c r="R26" i="5" s="1"/>
  <c r="Q56" i="5"/>
  <c r="R21" i="5" s="1"/>
  <c r="Q54" i="5"/>
  <c r="R19" i="5" s="1"/>
  <c r="Q52" i="5"/>
  <c r="R17" i="5" s="1"/>
  <c r="Q59" i="5"/>
  <c r="R24" i="5" s="1"/>
  <c r="Q53" i="5"/>
  <c r="R18" i="5" s="1"/>
  <c r="Q60" i="5"/>
  <c r="R25" i="5" s="1"/>
  <c r="Q63" i="5"/>
  <c r="R28" i="5" s="1"/>
  <c r="Q67" i="5"/>
  <c r="R32" i="5" s="1"/>
  <c r="Q49" i="5"/>
  <c r="R14" i="5" s="1"/>
  <c r="Q42" i="5"/>
  <c r="R7" i="5" s="1"/>
  <c r="Q43" i="5"/>
  <c r="R8" i="5" s="1"/>
  <c r="Q45" i="5"/>
  <c r="R10" i="5" s="1"/>
  <c r="Q68" i="5"/>
  <c r="R33" i="5" s="1"/>
  <c r="Q70" i="5"/>
  <c r="R35" i="5" s="1"/>
  <c r="Q48" i="5"/>
  <c r="R13" i="5" s="1"/>
  <c r="Q46" i="5"/>
  <c r="R11" i="5" s="1"/>
  <c r="Q47" i="5"/>
  <c r="R12" i="5" s="1"/>
  <c r="Q44" i="5"/>
  <c r="R9" i="5" s="1"/>
  <c r="Q66" i="5"/>
  <c r="R31" i="5" s="1"/>
  <c r="Q58" i="5"/>
  <c r="R23" i="5" s="1"/>
  <c r="Q62" i="5"/>
  <c r="R27" i="5" s="1"/>
  <c r="Q51" i="5"/>
  <c r="R16" i="5" s="1"/>
  <c r="Q64" i="5"/>
  <c r="R29" i="5" s="1"/>
  <c r="Q71" i="5"/>
  <c r="R36" i="5" s="1"/>
  <c r="Q72" i="5"/>
  <c r="R37" i="5" s="1"/>
  <c r="Q65" i="5"/>
  <c r="R30" i="5" s="1"/>
  <c r="Q69" i="5"/>
  <c r="R34" i="5" s="1"/>
  <c r="Q57" i="5"/>
  <c r="R22" i="5" s="1"/>
  <c r="Q41" i="5"/>
  <c r="C89" i="5" l="1"/>
  <c r="R6" i="5"/>
  <c r="J90" i="5" s="1"/>
  <c r="W12" i="3" l="1"/>
  <c r="W20" i="3"/>
  <c r="W28" i="3"/>
  <c r="W36" i="3"/>
  <c r="W44" i="3"/>
  <c r="W52" i="3"/>
  <c r="W14" i="3"/>
  <c r="W22" i="3"/>
  <c r="W30" i="3"/>
  <c r="W38" i="3"/>
  <c r="W46" i="3"/>
  <c r="W54" i="3"/>
  <c r="W16" i="3"/>
  <c r="W24" i="3"/>
  <c r="W32" i="3"/>
  <c r="W40" i="3"/>
  <c r="W48" i="3"/>
  <c r="W56" i="3"/>
  <c r="W17" i="3"/>
  <c r="W25" i="3"/>
  <c r="W33" i="3"/>
  <c r="W41" i="3"/>
  <c r="W49" i="3"/>
  <c r="W9" i="3"/>
  <c r="W10" i="3"/>
  <c r="W18" i="3"/>
  <c r="W26" i="3"/>
  <c r="W34" i="3"/>
  <c r="W42" i="3"/>
  <c r="W50" i="3"/>
  <c r="W11" i="3"/>
  <c r="W19" i="3"/>
  <c r="W27" i="3"/>
  <c r="W35" i="3"/>
  <c r="W43" i="3"/>
  <c r="W51" i="3"/>
  <c r="W39" i="3"/>
  <c r="W13" i="3"/>
  <c r="W45" i="3"/>
  <c r="W15" i="3"/>
  <c r="W47" i="3"/>
  <c r="W21" i="3"/>
  <c r="W53" i="3"/>
  <c r="W23" i="3"/>
  <c r="W55" i="3"/>
  <c r="W29" i="3"/>
  <c r="W37" i="3"/>
  <c r="W31" i="3"/>
  <c r="W64" i="3" l="1"/>
  <c r="W76" i="3" s="1"/>
  <c r="W66" i="3"/>
  <c r="W78" i="3" s="1"/>
  <c r="W68" i="3"/>
  <c r="W80" i="3" s="1"/>
  <c r="W69" i="3"/>
  <c r="W81" i="3" s="1"/>
  <c r="W62" i="3"/>
  <c r="W74" i="3" s="1"/>
  <c r="W63" i="3"/>
  <c r="W75" i="3" s="1"/>
  <c r="W67" i="3"/>
  <c r="W79" i="3" s="1"/>
  <c r="W65" i="3"/>
  <c r="W77" i="3" s="1"/>
  <c r="H100" i="3" l="1" a="1"/>
  <c r="H100" i="3" s="1"/>
  <c r="R50" i="5" l="1"/>
  <c r="R72" i="5"/>
  <c r="R62" i="5"/>
  <c r="R61" i="5"/>
  <c r="R45" i="5"/>
  <c r="R70" i="5"/>
  <c r="R71" i="5"/>
  <c r="R42" i="5"/>
  <c r="R64" i="5"/>
  <c r="R67" i="5"/>
  <c r="R69" i="5"/>
  <c r="R44" i="5"/>
  <c r="R68" i="5"/>
  <c r="R53" i="5"/>
  <c r="R66" i="5"/>
  <c r="R48" i="5"/>
  <c r="R52" i="5"/>
  <c r="R60" i="5"/>
  <c r="R58" i="5"/>
  <c r="R46" i="5"/>
  <c r="R65" i="5"/>
  <c r="R54" i="5"/>
  <c r="R47" i="5"/>
  <c r="R63" i="5"/>
  <c r="R51" i="5"/>
  <c r="R43" i="5"/>
  <c r="R59" i="5"/>
  <c r="R57" i="5"/>
  <c r="R55" i="5"/>
  <c r="R56" i="5"/>
  <c r="R49" i="5"/>
  <c r="R41" i="5"/>
  <c r="C90" i="5" s="1"/>
  <c r="X14" i="3" l="1"/>
  <c r="X22" i="3"/>
  <c r="X30" i="3"/>
  <c r="X38" i="3"/>
  <c r="X46" i="3"/>
  <c r="X54" i="3"/>
  <c r="X16" i="3"/>
  <c r="X24" i="3"/>
  <c r="X32" i="3"/>
  <c r="X40" i="3"/>
  <c r="X48" i="3"/>
  <c r="X56" i="3"/>
  <c r="H94" i="5"/>
  <c r="X17" i="3"/>
  <c r="X25" i="3"/>
  <c r="X33" i="3"/>
  <c r="X41" i="3"/>
  <c r="X49" i="3"/>
  <c r="X9" i="3"/>
  <c r="X10" i="3"/>
  <c r="X18" i="3"/>
  <c r="X26" i="3"/>
  <c r="X34" i="3"/>
  <c r="X42" i="3"/>
  <c r="X50" i="3"/>
  <c r="X11" i="3"/>
  <c r="X19" i="3"/>
  <c r="X27" i="3"/>
  <c r="X35" i="3"/>
  <c r="X43" i="3"/>
  <c r="X51" i="3"/>
  <c r="X12" i="3"/>
  <c r="X20" i="3"/>
  <c r="X28" i="3"/>
  <c r="X36" i="3"/>
  <c r="X44" i="3"/>
  <c r="X52" i="3"/>
  <c r="X13" i="3"/>
  <c r="X21" i="3"/>
  <c r="X29" i="3"/>
  <c r="X37" i="3"/>
  <c r="X45" i="3"/>
  <c r="X53" i="3"/>
  <c r="X15" i="3"/>
  <c r="X23" i="3"/>
  <c r="X31" i="3"/>
  <c r="X39" i="3"/>
  <c r="X47" i="3"/>
  <c r="X55" i="3"/>
  <c r="E103" i="5" l="1"/>
  <c r="E111" i="5"/>
  <c r="E119" i="5"/>
  <c r="E127" i="5"/>
  <c r="E135" i="5"/>
  <c r="E143" i="5"/>
  <c r="E151" i="5"/>
  <c r="E159" i="5"/>
  <c r="E104" i="5"/>
  <c r="E112" i="5"/>
  <c r="E120" i="5"/>
  <c r="E128" i="5"/>
  <c r="E136" i="5"/>
  <c r="E144" i="5"/>
  <c r="E152" i="5"/>
  <c r="E160" i="5"/>
  <c r="E105" i="5"/>
  <c r="E113" i="5"/>
  <c r="E121" i="5"/>
  <c r="E129" i="5"/>
  <c r="E137" i="5"/>
  <c r="E145" i="5"/>
  <c r="E153" i="5"/>
  <c r="E97" i="5"/>
  <c r="E98" i="5"/>
  <c r="E106" i="5"/>
  <c r="E114" i="5"/>
  <c r="E122" i="5"/>
  <c r="E130" i="5"/>
  <c r="E138" i="5"/>
  <c r="E146" i="5"/>
  <c r="E154" i="5"/>
  <c r="E99" i="5"/>
  <c r="E107" i="5"/>
  <c r="E115" i="5"/>
  <c r="E123" i="5"/>
  <c r="E131" i="5"/>
  <c r="E139" i="5"/>
  <c r="E147" i="5"/>
  <c r="E155" i="5"/>
  <c r="E100" i="5"/>
  <c r="E108" i="5"/>
  <c r="E116" i="5"/>
  <c r="E124" i="5"/>
  <c r="E132" i="5"/>
  <c r="E140" i="5"/>
  <c r="E148" i="5"/>
  <c r="E156" i="5"/>
  <c r="E101" i="5"/>
  <c r="E109" i="5"/>
  <c r="E117" i="5"/>
  <c r="E125" i="5"/>
  <c r="E133" i="5"/>
  <c r="E141" i="5"/>
  <c r="E149" i="5"/>
  <c r="E157" i="5"/>
  <c r="E102" i="5"/>
  <c r="E110" i="5"/>
  <c r="E118" i="5"/>
  <c r="E126" i="5"/>
  <c r="E134" i="5"/>
  <c r="E142" i="5"/>
  <c r="E150" i="5"/>
  <c r="E158" i="5"/>
  <c r="F159" i="5" l="1"/>
  <c r="F158" i="5"/>
  <c r="F157" i="5" s="1"/>
  <c r="F156" i="5" s="1"/>
  <c r="F155" i="5" s="1"/>
  <c r="F154" i="5" s="1"/>
  <c r="F153" i="5" s="1"/>
  <c r="F152" i="5" s="1"/>
  <c r="F151" i="5" s="1"/>
  <c r="F150" i="5" s="1"/>
  <c r="F149" i="5" s="1"/>
  <c r="F148" i="5" s="1"/>
  <c r="F147" i="5" s="1"/>
  <c r="F146" i="5" s="1"/>
  <c r="F145" i="5" s="1"/>
  <c r="F144" i="5" s="1"/>
  <c r="F143" i="5" s="1"/>
  <c r="F142" i="5" s="1"/>
  <c r="F141" i="5" s="1"/>
  <c r="F140" i="5" s="1"/>
  <c r="F139" i="5" s="1"/>
  <c r="F138" i="5" s="1"/>
  <c r="F137" i="5" s="1"/>
  <c r="F136" i="5" s="1"/>
  <c r="F135" i="5" s="1"/>
  <c r="F134" i="5" s="1"/>
  <c r="F133" i="5" s="1"/>
  <c r="F132" i="5" s="1"/>
  <c r="F131" i="5" s="1"/>
  <c r="F130" i="5" s="1"/>
  <c r="F129" i="5" s="1"/>
  <c r="F128" i="5" s="1"/>
  <c r="F127" i="5" s="1"/>
  <c r="F126" i="5" s="1"/>
  <c r="F125" i="5" s="1"/>
  <c r="F124" i="5" s="1"/>
  <c r="F123" i="5" s="1"/>
  <c r="F122" i="5" s="1"/>
  <c r="F121" i="5" s="1"/>
  <c r="F120" i="5" s="1"/>
  <c r="F119" i="5" s="1"/>
  <c r="F118" i="5" s="1"/>
  <c r="F117" i="5" s="1"/>
  <c r="F116" i="5" s="1"/>
  <c r="F115" i="5" s="1"/>
  <c r="F114" i="5" s="1"/>
  <c r="F113" i="5" s="1"/>
  <c r="F112" i="5" s="1"/>
  <c r="F111" i="5" s="1"/>
  <c r="F110" i="5" s="1"/>
  <c r="F109" i="5" s="1"/>
  <c r="F108" i="5" s="1"/>
  <c r="F107" i="5" s="1"/>
  <c r="F106" i="5" s="1"/>
  <c r="F105" i="5" s="1"/>
  <c r="F104" i="5" s="1"/>
  <c r="F103" i="5" s="1"/>
  <c r="F102" i="5" s="1"/>
  <c r="F101" i="5" s="1"/>
  <c r="F100" i="5" s="1"/>
  <c r="F99" i="5" s="1"/>
  <c r="F98" i="5" s="1"/>
  <c r="F97" i="5" s="1"/>
  <c r="O105" i="5" l="1"/>
  <c r="P105" i="5" s="1"/>
  <c r="O99" i="5"/>
  <c r="P99" i="5" s="1"/>
  <c r="O100" i="5"/>
  <c r="P100" i="5" s="1"/>
  <c r="O101" i="5"/>
  <c r="P101" i="5" s="1"/>
  <c r="O102" i="5"/>
  <c r="P102" i="5" s="1"/>
  <c r="O103" i="5"/>
  <c r="P103" i="5" s="1"/>
  <c r="O104" i="5"/>
  <c r="P104" i="5" s="1"/>
  <c r="O98" i="5"/>
  <c r="P9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<sst xmlns="http://schemas.openxmlformats.org/spreadsheetml/2006/main" count="223" uniqueCount="149">
  <si>
    <t>Khóa K:</t>
  </si>
  <si>
    <t>0133457799BBCDFF</t>
  </si>
  <si>
    <t>Vị trí</t>
  </si>
  <si>
    <t>ký tự hexan</t>
  </si>
  <si>
    <t>binary</t>
  </si>
  <si>
    <t>0000000100110011010001010111011110011001101110111100110111111111</t>
  </si>
  <si>
    <t>STT</t>
  </si>
  <si>
    <t>bit i</t>
  </si>
  <si>
    <t>hexan</t>
  </si>
  <si>
    <t>0000000000010010001101000101011001111000100110101011110011011110</t>
  </si>
  <si>
    <t>IP(M)</t>
  </si>
  <si>
    <t>IP</t>
  </si>
  <si>
    <t xml:space="preserve">L0 = </t>
  </si>
  <si>
    <t xml:space="preserve">R0 = 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</si>
  <si>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</si>
  <si>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</si>
  <si>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</si>
  <si>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</si>
  <si>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</si>
  <si>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</si>
  <si>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</si>
  <si>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</si>
  <si>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</si>
  <si>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</si>
  <si>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</si>
  <si>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</si>
  <si>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</si>
  <si>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</si>
  <si>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</si>
  <si>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</si>
  <si>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</si>
  <si>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</si>
  <si>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</si>
  <si>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</si>
  <si>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</si>
  <si>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</si>
  <si>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</si>
  <si>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</si>
  <si>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</si>
  <si>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</si>
  <si>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</si>
  <si>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</si>
  <si>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</si>
  <si>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</si>
  <si>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</si>
  <si>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</si>
  <si>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L16</t>
  </si>
  <si>
    <t>Pc-1</t>
  </si>
  <si>
    <t xml:space="preserve">Sau khi Pc-1 ta có k0 = </t>
  </si>
  <si>
    <t>Bảng dịch trái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</si>
  <si>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</si>
  <si>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</si>
  <si>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</si>
  <si>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</si>
  <si>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</si>
  <si>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</si>
  <si>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</si>
  <si>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</si>
  <si>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</si>
  <si>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</si>
  <si>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</si>
  <si>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</si>
  <si>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</si>
  <si>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</si>
  <si>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 xml:space="preserve">C16 </t>
  </si>
  <si>
    <t xml:space="preserve">C1 </t>
  </si>
  <si>
    <t xml:space="preserve">C0 </t>
  </si>
  <si>
    <t>Dịch bit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</si>
  <si>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</si>
  <si>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</si>
  <si>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</si>
  <si>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</si>
  <si>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</si>
  <si>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</si>
  <si>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</si>
  <si>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</si>
  <si>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</si>
  <si>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</si>
  <si>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</si>
  <si>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</si>
  <si>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</si>
  <si>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</si>
  <si>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</si>
  <si>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</si>
  <si>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</si>
  <si>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Khoá K sau khi dịch bit</t>
  </si>
  <si>
    <t>K</t>
  </si>
  <si>
    <t>PC2</t>
  </si>
  <si>
    <t>k1</t>
  </si>
  <si>
    <t>k2</t>
  </si>
  <si>
    <t>Tính khóa k1 = PC2(C1D1)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</si>
  <si>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</si>
  <si>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</si>
  <si>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</si>
  <si>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</si>
  <si>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</si>
  <si>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</si>
  <si>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</si>
  <si>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</si>
  <si>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</si>
  <si>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</si>
  <si>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</si>
  <si>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</si>
  <si>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</si>
  <si>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</si>
  <si>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48 bit</t>
  </si>
  <si>
    <t>byte thứ</t>
  </si>
  <si>
    <t>stt</t>
  </si>
  <si>
    <t>Ma trận E</t>
  </si>
  <si>
    <t>IP^-1</t>
  </si>
  <si>
    <t>Bản rõ M</t>
  </si>
  <si>
    <t xml:space="preserve"> Input M =</t>
  </si>
  <si>
    <t>00123456789abcde</t>
  </si>
  <si>
    <t xml:space="preserve">IP(M) = </t>
  </si>
  <si>
    <t>Tính A = E(Ri) XOR ki+1</t>
  </si>
  <si>
    <t>i</t>
  </si>
  <si>
    <t>STT/i</t>
  </si>
  <si>
    <t>R0</t>
  </si>
  <si>
    <t>Chia thành các kí tự 6 bit</t>
  </si>
  <si>
    <t xml:space="preserve">Sau khi đi qua S_BOX thì kết quả là </t>
  </si>
  <si>
    <t>S1</t>
  </si>
  <si>
    <t>S2</t>
  </si>
  <si>
    <t>S3</t>
  </si>
  <si>
    <t>S4</t>
  </si>
  <si>
    <t>S5</t>
  </si>
  <si>
    <t>S6</t>
  </si>
  <si>
    <t>S7</t>
  </si>
  <si>
    <t>S8</t>
  </si>
  <si>
    <t xml:space="preserve">Kết quả sau khi L R đi qua fitsle 16 vòng là R16 +L16 = </t>
  </si>
  <si>
    <t>Đi qua IP^-1</t>
  </si>
  <si>
    <t xml:space="preserve">bit </t>
  </si>
  <si>
    <t>byte</t>
  </si>
  <si>
    <t xml:space="preserve">Kết quả của P(S(E(R0) XOR k1))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</si>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</sst>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D36-0080-4860-8022-C48F60F311B2}">
  <sheetPr codeName="Sheet1"/>
  <dimension ref="A1:Q54"/>
  <sheetViews>
    <sheetView topLeftCell="A34" workbookViewId="0">
      <selection activeCell="S17" sqref="S17"/>
    </sheetView>
  </sheetViews>
  <sheetFormatPr defaultRowHeight="15" x14ac:dyDescent="0.25"/>
  <sheetData>
    <row r="1" spans="1:17" x14ac:dyDescent="0.25">
      <c r="A1" s="2" t="s">
        <v>120</v>
      </c>
      <c r="B1" s="17">
        <v>0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</row>
    <row r="2" spans="1:17" x14ac:dyDescent="0.25">
      <c r="A2" s="2">
        <v>0</v>
      </c>
      <c r="B2" s="11">
        <v>14</v>
      </c>
      <c r="C2" s="11">
        <v>4</v>
      </c>
      <c r="D2" s="11">
        <v>13</v>
      </c>
      <c r="E2" s="11">
        <v>1</v>
      </c>
      <c r="F2" s="11">
        <v>2</v>
      </c>
      <c r="G2" s="11">
        <v>15</v>
      </c>
      <c r="H2" s="11">
        <v>11</v>
      </c>
      <c r="I2" s="11">
        <v>8</v>
      </c>
      <c r="J2" s="11">
        <v>3</v>
      </c>
      <c r="K2" s="11">
        <v>10</v>
      </c>
      <c r="L2" s="11">
        <v>6</v>
      </c>
      <c r="M2" s="11">
        <v>12</v>
      </c>
      <c r="N2" s="11">
        <v>5</v>
      </c>
      <c r="O2" s="11">
        <v>9</v>
      </c>
      <c r="P2" s="11">
        <v>0</v>
      </c>
      <c r="Q2" s="11">
        <v>7</v>
      </c>
    </row>
    <row r="3" spans="1:17" x14ac:dyDescent="0.25">
      <c r="A3" s="2">
        <v>1</v>
      </c>
      <c r="B3" s="11">
        <v>0</v>
      </c>
      <c r="C3" s="11">
        <v>15</v>
      </c>
      <c r="D3" s="11">
        <v>7</v>
      </c>
      <c r="E3" s="11">
        <v>4</v>
      </c>
      <c r="F3" s="11">
        <v>14</v>
      </c>
      <c r="G3" s="11">
        <v>2</v>
      </c>
      <c r="H3" s="11">
        <v>13</v>
      </c>
      <c r="I3" s="11">
        <v>1</v>
      </c>
      <c r="J3" s="11">
        <v>10</v>
      </c>
      <c r="K3" s="11">
        <v>6</v>
      </c>
      <c r="L3" s="11">
        <v>12</v>
      </c>
      <c r="M3" s="11">
        <v>11</v>
      </c>
      <c r="N3" s="11">
        <v>9</v>
      </c>
      <c r="O3" s="11">
        <v>5</v>
      </c>
      <c r="P3" s="11">
        <v>3</v>
      </c>
      <c r="Q3" s="11">
        <v>8</v>
      </c>
    </row>
    <row r="4" spans="1:17" x14ac:dyDescent="0.25">
      <c r="A4" s="2">
        <v>2</v>
      </c>
      <c r="B4" s="11">
        <v>4</v>
      </c>
      <c r="C4" s="11">
        <v>1</v>
      </c>
      <c r="D4" s="11">
        <v>14</v>
      </c>
      <c r="E4" s="11">
        <v>8</v>
      </c>
      <c r="F4" s="11">
        <v>13</v>
      </c>
      <c r="G4" s="11">
        <v>6</v>
      </c>
      <c r="H4" s="11">
        <v>2</v>
      </c>
      <c r="I4" s="11">
        <v>11</v>
      </c>
      <c r="J4" s="11">
        <v>15</v>
      </c>
      <c r="K4" s="11">
        <v>12</v>
      </c>
      <c r="L4" s="11">
        <v>9</v>
      </c>
      <c r="M4" s="11">
        <v>7</v>
      </c>
      <c r="N4" s="11">
        <v>3</v>
      </c>
      <c r="O4" s="11">
        <v>10</v>
      </c>
      <c r="P4" s="11">
        <v>5</v>
      </c>
      <c r="Q4" s="11">
        <v>0</v>
      </c>
    </row>
    <row r="5" spans="1:17" x14ac:dyDescent="0.25">
      <c r="A5" s="2">
        <v>3</v>
      </c>
      <c r="B5" s="11">
        <v>15</v>
      </c>
      <c r="C5" s="11">
        <v>12</v>
      </c>
      <c r="D5" s="11">
        <v>8</v>
      </c>
      <c r="E5" s="11">
        <v>2</v>
      </c>
      <c r="F5" s="11">
        <v>4</v>
      </c>
      <c r="G5" s="11">
        <v>9</v>
      </c>
      <c r="H5" s="11">
        <v>1</v>
      </c>
      <c r="I5" s="11">
        <v>7</v>
      </c>
      <c r="J5" s="11">
        <v>5</v>
      </c>
      <c r="K5" s="11">
        <v>11</v>
      </c>
      <c r="L5" s="11">
        <v>3</v>
      </c>
      <c r="M5" s="11">
        <v>14</v>
      </c>
      <c r="N5" s="11">
        <v>10</v>
      </c>
      <c r="O5" s="11">
        <v>0</v>
      </c>
      <c r="P5" s="11">
        <v>6</v>
      </c>
      <c r="Q5" s="11">
        <v>13</v>
      </c>
    </row>
    <row r="8" spans="1:17" x14ac:dyDescent="0.25">
      <c r="A8" s="2" t="s">
        <v>121</v>
      </c>
      <c r="B8" s="17">
        <v>0</v>
      </c>
      <c r="C8" s="17">
        <v>1</v>
      </c>
      <c r="D8" s="17">
        <v>2</v>
      </c>
      <c r="E8" s="17">
        <v>3</v>
      </c>
      <c r="F8" s="17">
        <v>4</v>
      </c>
      <c r="G8" s="17">
        <v>5</v>
      </c>
      <c r="H8" s="17">
        <v>6</v>
      </c>
      <c r="I8" s="17">
        <v>7</v>
      </c>
      <c r="J8" s="17">
        <v>8</v>
      </c>
      <c r="K8" s="17">
        <v>9</v>
      </c>
      <c r="L8" s="17">
        <v>10</v>
      </c>
      <c r="M8" s="17">
        <v>11</v>
      </c>
      <c r="N8" s="17">
        <v>12</v>
      </c>
      <c r="O8" s="17">
        <v>13</v>
      </c>
      <c r="P8" s="17">
        <v>14</v>
      </c>
      <c r="Q8" s="17">
        <v>15</v>
      </c>
    </row>
    <row r="9" spans="1:17" x14ac:dyDescent="0.25">
      <c r="A9" s="2">
        <v>0</v>
      </c>
      <c r="B9" s="11">
        <v>15</v>
      </c>
      <c r="C9" s="11">
        <v>1</v>
      </c>
      <c r="D9" s="11">
        <v>8</v>
      </c>
      <c r="E9" s="11">
        <v>14</v>
      </c>
      <c r="F9" s="11">
        <v>6</v>
      </c>
      <c r="G9" s="11">
        <v>11</v>
      </c>
      <c r="H9" s="11">
        <v>3</v>
      </c>
      <c r="I9" s="11">
        <v>4</v>
      </c>
      <c r="J9" s="11">
        <v>9</v>
      </c>
      <c r="K9" s="11">
        <v>7</v>
      </c>
      <c r="L9" s="11">
        <v>2</v>
      </c>
      <c r="M9" s="11">
        <v>13</v>
      </c>
      <c r="N9" s="11">
        <v>12</v>
      </c>
      <c r="O9" s="11">
        <v>0</v>
      </c>
      <c r="P9" s="11">
        <v>5</v>
      </c>
      <c r="Q9" s="11">
        <v>10</v>
      </c>
    </row>
    <row r="10" spans="1:17" x14ac:dyDescent="0.25">
      <c r="A10" s="2">
        <v>1</v>
      </c>
      <c r="B10" s="11">
        <v>3</v>
      </c>
      <c r="C10" s="11">
        <v>13</v>
      </c>
      <c r="D10" s="11">
        <v>4</v>
      </c>
      <c r="E10" s="11">
        <v>7</v>
      </c>
      <c r="F10" s="11">
        <v>15</v>
      </c>
      <c r="G10" s="11">
        <v>2</v>
      </c>
      <c r="H10" s="11">
        <v>8</v>
      </c>
      <c r="I10" s="11">
        <v>14</v>
      </c>
      <c r="J10" s="11">
        <v>12</v>
      </c>
      <c r="K10" s="11">
        <v>0</v>
      </c>
      <c r="L10" s="11">
        <v>1</v>
      </c>
      <c r="M10" s="11">
        <v>10</v>
      </c>
      <c r="N10" s="11">
        <v>6</v>
      </c>
      <c r="O10" s="11">
        <v>9</v>
      </c>
      <c r="P10" s="11">
        <v>11</v>
      </c>
      <c r="Q10" s="11">
        <v>5</v>
      </c>
    </row>
    <row r="11" spans="1:17" x14ac:dyDescent="0.25">
      <c r="A11" s="2">
        <v>2</v>
      </c>
      <c r="B11" s="11">
        <v>0</v>
      </c>
      <c r="C11" s="11">
        <v>14</v>
      </c>
      <c r="D11" s="11">
        <v>7</v>
      </c>
      <c r="E11" s="11">
        <v>11</v>
      </c>
      <c r="F11" s="11">
        <v>10</v>
      </c>
      <c r="G11" s="11">
        <v>4</v>
      </c>
      <c r="H11" s="11">
        <v>13</v>
      </c>
      <c r="I11" s="11">
        <v>1</v>
      </c>
      <c r="J11" s="11">
        <v>5</v>
      </c>
      <c r="K11" s="11">
        <v>8</v>
      </c>
      <c r="L11" s="11">
        <v>12</v>
      </c>
      <c r="M11" s="11">
        <v>6</v>
      </c>
      <c r="N11" s="11">
        <v>9</v>
      </c>
      <c r="O11" s="11">
        <v>3</v>
      </c>
      <c r="P11" s="11">
        <v>2</v>
      </c>
      <c r="Q11" s="11">
        <v>15</v>
      </c>
    </row>
    <row r="12" spans="1:17" x14ac:dyDescent="0.25">
      <c r="A12" s="2">
        <v>3</v>
      </c>
      <c r="B12" s="11">
        <v>13</v>
      </c>
      <c r="C12" s="11">
        <v>8</v>
      </c>
      <c r="D12" s="11">
        <v>10</v>
      </c>
      <c r="E12" s="11">
        <v>1</v>
      </c>
      <c r="F12" s="11">
        <v>3</v>
      </c>
      <c r="G12" s="11">
        <v>15</v>
      </c>
      <c r="H12" s="11">
        <v>4</v>
      </c>
      <c r="I12" s="11">
        <v>2</v>
      </c>
      <c r="J12" s="11">
        <v>11</v>
      </c>
      <c r="K12" s="11">
        <v>6</v>
      </c>
      <c r="L12" s="11">
        <v>7</v>
      </c>
      <c r="M12" s="11">
        <v>12</v>
      </c>
      <c r="N12" s="11">
        <v>0</v>
      </c>
      <c r="O12" s="11">
        <v>5</v>
      </c>
      <c r="P12" s="11">
        <v>14</v>
      </c>
      <c r="Q12" s="11">
        <v>9</v>
      </c>
    </row>
    <row r="13" spans="1:1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25">
      <c r="A15" s="2" t="s">
        <v>122</v>
      </c>
      <c r="B15" s="17">
        <v>0</v>
      </c>
      <c r="C15" s="17">
        <v>1</v>
      </c>
      <c r="D15" s="17">
        <v>2</v>
      </c>
      <c r="E15" s="17">
        <v>3</v>
      </c>
      <c r="F15" s="17">
        <v>4</v>
      </c>
      <c r="G15" s="17">
        <v>5</v>
      </c>
      <c r="H15" s="17">
        <v>6</v>
      </c>
      <c r="I15" s="17">
        <v>7</v>
      </c>
      <c r="J15" s="17">
        <v>8</v>
      </c>
      <c r="K15" s="17">
        <v>9</v>
      </c>
      <c r="L15" s="17">
        <v>10</v>
      </c>
      <c r="M15" s="17">
        <v>11</v>
      </c>
      <c r="N15" s="17">
        <v>12</v>
      </c>
      <c r="O15" s="17">
        <v>13</v>
      </c>
      <c r="P15" s="17">
        <v>14</v>
      </c>
      <c r="Q15" s="17">
        <v>15</v>
      </c>
    </row>
    <row r="16" spans="1:17" x14ac:dyDescent="0.25">
      <c r="A16" s="2">
        <v>0</v>
      </c>
      <c r="B16" s="11">
        <v>10</v>
      </c>
      <c r="C16" s="11">
        <v>0</v>
      </c>
      <c r="D16" s="11">
        <v>9</v>
      </c>
      <c r="E16" s="11">
        <v>14</v>
      </c>
      <c r="F16" s="11">
        <v>6</v>
      </c>
      <c r="G16" s="11">
        <v>3</v>
      </c>
      <c r="H16" s="11">
        <v>15</v>
      </c>
      <c r="I16" s="11">
        <v>5</v>
      </c>
      <c r="J16" s="11">
        <v>1</v>
      </c>
      <c r="K16" s="11">
        <v>13</v>
      </c>
      <c r="L16" s="11">
        <v>12</v>
      </c>
      <c r="M16" s="11">
        <v>7</v>
      </c>
      <c r="N16" s="11">
        <v>11</v>
      </c>
      <c r="O16" s="11">
        <v>4</v>
      </c>
      <c r="P16" s="11">
        <v>2</v>
      </c>
      <c r="Q16" s="11">
        <v>8</v>
      </c>
    </row>
    <row r="17" spans="1:17" x14ac:dyDescent="0.25">
      <c r="A17" s="2">
        <v>1</v>
      </c>
      <c r="B17" s="11">
        <v>13</v>
      </c>
      <c r="C17" s="11">
        <v>7</v>
      </c>
      <c r="D17" s="11">
        <v>0</v>
      </c>
      <c r="E17" s="11">
        <v>9</v>
      </c>
      <c r="F17" s="11">
        <v>3</v>
      </c>
      <c r="G17" s="11">
        <v>4</v>
      </c>
      <c r="H17" s="11">
        <v>6</v>
      </c>
      <c r="I17" s="11">
        <v>10</v>
      </c>
      <c r="J17" s="11">
        <v>2</v>
      </c>
      <c r="K17" s="11">
        <v>8</v>
      </c>
      <c r="L17" s="11">
        <v>5</v>
      </c>
      <c r="M17" s="11">
        <v>14</v>
      </c>
      <c r="N17" s="11">
        <v>12</v>
      </c>
      <c r="O17" s="11">
        <v>11</v>
      </c>
      <c r="P17" s="11">
        <v>15</v>
      </c>
      <c r="Q17" s="11">
        <v>1</v>
      </c>
    </row>
    <row r="18" spans="1:17" x14ac:dyDescent="0.25">
      <c r="A18" s="2">
        <v>2</v>
      </c>
      <c r="B18" s="11">
        <v>13</v>
      </c>
      <c r="C18" s="11">
        <v>6</v>
      </c>
      <c r="D18" s="11">
        <v>4</v>
      </c>
      <c r="E18" s="11">
        <v>9</v>
      </c>
      <c r="F18" s="11">
        <v>8</v>
      </c>
      <c r="G18" s="11">
        <v>15</v>
      </c>
      <c r="H18" s="11">
        <v>3</v>
      </c>
      <c r="I18" s="11">
        <v>0</v>
      </c>
      <c r="J18" s="11">
        <v>11</v>
      </c>
      <c r="K18" s="11">
        <v>1</v>
      </c>
      <c r="L18" s="11">
        <v>2</v>
      </c>
      <c r="M18" s="11">
        <v>12</v>
      </c>
      <c r="N18" s="11">
        <v>5</v>
      </c>
      <c r="O18" s="11">
        <v>10</v>
      </c>
      <c r="P18" s="11">
        <v>14</v>
      </c>
      <c r="Q18" s="11">
        <v>7</v>
      </c>
    </row>
    <row r="19" spans="1:17" x14ac:dyDescent="0.25">
      <c r="A19" s="2">
        <v>3</v>
      </c>
      <c r="B19" s="11">
        <v>1</v>
      </c>
      <c r="C19" s="11">
        <v>10</v>
      </c>
      <c r="D19" s="11">
        <v>13</v>
      </c>
      <c r="E19" s="11">
        <v>0</v>
      </c>
      <c r="F19" s="11">
        <v>6</v>
      </c>
      <c r="G19" s="11">
        <v>9</v>
      </c>
      <c r="H19" s="11">
        <v>8</v>
      </c>
      <c r="I19" s="11">
        <v>7</v>
      </c>
      <c r="J19" s="11">
        <v>4</v>
      </c>
      <c r="K19" s="11">
        <v>15</v>
      </c>
      <c r="L19" s="11">
        <v>14</v>
      </c>
      <c r="M19" s="11">
        <v>3</v>
      </c>
      <c r="N19" s="11">
        <v>11</v>
      </c>
      <c r="O19" s="11">
        <v>5</v>
      </c>
      <c r="P19" s="11">
        <v>2</v>
      </c>
      <c r="Q19" s="11">
        <v>12</v>
      </c>
    </row>
    <row r="20" spans="1:1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x14ac:dyDescent="0.25">
      <c r="A22" s="2" t="s">
        <v>123</v>
      </c>
      <c r="B22" s="17">
        <v>0</v>
      </c>
      <c r="C22" s="17">
        <v>1</v>
      </c>
      <c r="D22" s="17">
        <v>2</v>
      </c>
      <c r="E22" s="17">
        <v>3</v>
      </c>
      <c r="F22" s="17">
        <v>4</v>
      </c>
      <c r="G22" s="17">
        <v>5</v>
      </c>
      <c r="H22" s="17">
        <v>6</v>
      </c>
      <c r="I22" s="17">
        <v>7</v>
      </c>
      <c r="J22" s="17">
        <v>8</v>
      </c>
      <c r="K22" s="17">
        <v>9</v>
      </c>
      <c r="L22" s="17">
        <v>10</v>
      </c>
      <c r="M22" s="17">
        <v>11</v>
      </c>
      <c r="N22" s="17">
        <v>12</v>
      </c>
      <c r="O22" s="17">
        <v>13</v>
      </c>
      <c r="P22" s="17">
        <v>14</v>
      </c>
      <c r="Q22" s="17">
        <v>15</v>
      </c>
    </row>
    <row r="23" spans="1:17" x14ac:dyDescent="0.25">
      <c r="A23" s="2">
        <v>0</v>
      </c>
      <c r="B23" s="11">
        <v>7</v>
      </c>
      <c r="C23" s="11">
        <v>13</v>
      </c>
      <c r="D23" s="11">
        <v>14</v>
      </c>
      <c r="E23" s="11">
        <v>3</v>
      </c>
      <c r="F23" s="11">
        <v>0</v>
      </c>
      <c r="G23" s="11">
        <v>6</v>
      </c>
      <c r="H23" s="11">
        <v>9</v>
      </c>
      <c r="I23" s="11">
        <v>10</v>
      </c>
      <c r="J23" s="11">
        <v>1</v>
      </c>
      <c r="K23" s="11">
        <v>2</v>
      </c>
      <c r="L23" s="11">
        <v>8</v>
      </c>
      <c r="M23" s="11">
        <v>5</v>
      </c>
      <c r="N23" s="11">
        <v>11</v>
      </c>
      <c r="O23" s="11">
        <v>12</v>
      </c>
      <c r="P23" s="11">
        <v>4</v>
      </c>
      <c r="Q23" s="11">
        <v>15</v>
      </c>
    </row>
    <row r="24" spans="1:17" x14ac:dyDescent="0.25">
      <c r="A24" s="2">
        <v>1</v>
      </c>
      <c r="B24" s="11">
        <v>13</v>
      </c>
      <c r="C24" s="11">
        <v>8</v>
      </c>
      <c r="D24" s="11">
        <v>11</v>
      </c>
      <c r="E24" s="11">
        <v>5</v>
      </c>
      <c r="F24" s="11">
        <v>6</v>
      </c>
      <c r="G24" s="11">
        <v>15</v>
      </c>
      <c r="H24" s="11">
        <v>0</v>
      </c>
      <c r="I24" s="11">
        <v>3</v>
      </c>
      <c r="J24" s="11">
        <v>4</v>
      </c>
      <c r="K24" s="11">
        <v>7</v>
      </c>
      <c r="L24" s="11">
        <v>2</v>
      </c>
      <c r="M24" s="11">
        <v>12</v>
      </c>
      <c r="N24" s="11">
        <v>1</v>
      </c>
      <c r="O24" s="11">
        <v>10</v>
      </c>
      <c r="P24" s="11">
        <v>14</v>
      </c>
      <c r="Q24" s="11">
        <v>9</v>
      </c>
    </row>
    <row r="25" spans="1:17" x14ac:dyDescent="0.25">
      <c r="A25" s="2">
        <v>2</v>
      </c>
      <c r="B25" s="11">
        <v>10</v>
      </c>
      <c r="C25" s="11">
        <v>6</v>
      </c>
      <c r="D25" s="11">
        <v>9</v>
      </c>
      <c r="E25" s="11">
        <v>0</v>
      </c>
      <c r="F25" s="11">
        <v>12</v>
      </c>
      <c r="G25" s="11">
        <v>11</v>
      </c>
      <c r="H25" s="11">
        <v>7</v>
      </c>
      <c r="I25" s="11">
        <v>13</v>
      </c>
      <c r="J25" s="11">
        <v>15</v>
      </c>
      <c r="K25" s="11">
        <v>1</v>
      </c>
      <c r="L25" s="11">
        <v>3</v>
      </c>
      <c r="M25" s="11">
        <v>14</v>
      </c>
      <c r="N25" s="11">
        <v>5</v>
      </c>
      <c r="O25" s="11">
        <v>2</v>
      </c>
      <c r="P25" s="11">
        <v>8</v>
      </c>
      <c r="Q25" s="11">
        <v>4</v>
      </c>
    </row>
    <row r="26" spans="1:17" x14ac:dyDescent="0.25">
      <c r="A26" s="2">
        <v>3</v>
      </c>
      <c r="B26" s="11">
        <v>3</v>
      </c>
      <c r="C26" s="11">
        <v>15</v>
      </c>
      <c r="D26" s="11">
        <v>0</v>
      </c>
      <c r="E26" s="11">
        <v>6</v>
      </c>
      <c r="F26" s="11">
        <v>10</v>
      </c>
      <c r="G26" s="11">
        <v>1</v>
      </c>
      <c r="H26" s="11">
        <v>13</v>
      </c>
      <c r="I26" s="11">
        <v>8</v>
      </c>
      <c r="J26" s="11">
        <v>9</v>
      </c>
      <c r="K26" s="11">
        <v>4</v>
      </c>
      <c r="L26" s="11">
        <v>5</v>
      </c>
      <c r="M26" s="11">
        <v>11</v>
      </c>
      <c r="N26" s="11">
        <v>12</v>
      </c>
      <c r="O26" s="11">
        <v>7</v>
      </c>
      <c r="P26" s="11">
        <v>2</v>
      </c>
      <c r="Q26" s="11">
        <v>14</v>
      </c>
    </row>
    <row r="27" spans="1:1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2" t="s">
        <v>124</v>
      </c>
      <c r="B29" s="17">
        <v>0</v>
      </c>
      <c r="C29" s="17">
        <v>1</v>
      </c>
      <c r="D29" s="17">
        <v>2</v>
      </c>
      <c r="E29" s="17">
        <v>3</v>
      </c>
      <c r="F29" s="17">
        <v>4</v>
      </c>
      <c r="G29" s="17">
        <v>5</v>
      </c>
      <c r="H29" s="17">
        <v>6</v>
      </c>
      <c r="I29" s="17">
        <v>7</v>
      </c>
      <c r="J29" s="17">
        <v>8</v>
      </c>
      <c r="K29" s="17">
        <v>9</v>
      </c>
      <c r="L29" s="17">
        <v>10</v>
      </c>
      <c r="M29" s="17">
        <v>11</v>
      </c>
      <c r="N29" s="17">
        <v>12</v>
      </c>
      <c r="O29" s="17">
        <v>13</v>
      </c>
      <c r="P29" s="17">
        <v>14</v>
      </c>
      <c r="Q29" s="17">
        <v>15</v>
      </c>
    </row>
    <row r="30" spans="1:17" x14ac:dyDescent="0.25">
      <c r="A30" s="2">
        <v>0</v>
      </c>
      <c r="B30" s="11">
        <v>2</v>
      </c>
      <c r="C30" s="11">
        <v>12</v>
      </c>
      <c r="D30" s="11">
        <v>4</v>
      </c>
      <c r="E30" s="11">
        <v>1</v>
      </c>
      <c r="F30" s="11">
        <v>7</v>
      </c>
      <c r="G30" s="11">
        <v>10</v>
      </c>
      <c r="H30" s="11">
        <v>11</v>
      </c>
      <c r="I30" s="11">
        <v>6</v>
      </c>
      <c r="J30" s="11">
        <v>8</v>
      </c>
      <c r="K30" s="11">
        <v>5</v>
      </c>
      <c r="L30" s="11">
        <v>3</v>
      </c>
      <c r="M30" s="11">
        <v>15</v>
      </c>
      <c r="N30" s="11">
        <v>13</v>
      </c>
      <c r="O30" s="11">
        <v>0</v>
      </c>
      <c r="P30" s="11">
        <v>14</v>
      </c>
      <c r="Q30" s="11">
        <v>9</v>
      </c>
    </row>
    <row r="31" spans="1:17" x14ac:dyDescent="0.25">
      <c r="A31" s="2">
        <v>1</v>
      </c>
      <c r="B31" s="11">
        <v>14</v>
      </c>
      <c r="C31" s="11">
        <v>11</v>
      </c>
      <c r="D31" s="11">
        <v>2</v>
      </c>
      <c r="E31" s="11">
        <v>12</v>
      </c>
      <c r="F31" s="11">
        <v>4</v>
      </c>
      <c r="G31" s="11">
        <v>7</v>
      </c>
      <c r="H31" s="11">
        <v>13</v>
      </c>
      <c r="I31" s="11">
        <v>1</v>
      </c>
      <c r="J31" s="11">
        <v>5</v>
      </c>
      <c r="K31" s="11">
        <v>0</v>
      </c>
      <c r="L31" s="11">
        <v>15</v>
      </c>
      <c r="M31" s="11">
        <v>10</v>
      </c>
      <c r="N31" s="11">
        <v>3</v>
      </c>
      <c r="O31" s="11">
        <v>9</v>
      </c>
      <c r="P31" s="11">
        <v>8</v>
      </c>
      <c r="Q31" s="11">
        <v>6</v>
      </c>
    </row>
    <row r="32" spans="1:17" x14ac:dyDescent="0.25">
      <c r="A32" s="2">
        <v>2</v>
      </c>
      <c r="B32" s="11">
        <v>4</v>
      </c>
      <c r="C32" s="11">
        <v>2</v>
      </c>
      <c r="D32" s="11">
        <v>1</v>
      </c>
      <c r="E32" s="11">
        <v>11</v>
      </c>
      <c r="F32" s="11">
        <v>10</v>
      </c>
      <c r="G32" s="11">
        <v>13</v>
      </c>
      <c r="H32" s="11">
        <v>7</v>
      </c>
      <c r="I32" s="11">
        <v>8</v>
      </c>
      <c r="J32" s="11">
        <v>15</v>
      </c>
      <c r="K32" s="11">
        <v>9</v>
      </c>
      <c r="L32" s="11">
        <v>12</v>
      </c>
      <c r="M32" s="11">
        <v>5</v>
      </c>
      <c r="N32" s="11">
        <v>6</v>
      </c>
      <c r="O32" s="11">
        <v>3</v>
      </c>
      <c r="P32" s="11">
        <v>0</v>
      </c>
      <c r="Q32" s="11">
        <v>14</v>
      </c>
    </row>
    <row r="33" spans="1:17" x14ac:dyDescent="0.25">
      <c r="A33" s="2">
        <v>3</v>
      </c>
      <c r="B33" s="11">
        <v>11</v>
      </c>
      <c r="C33" s="11">
        <v>8</v>
      </c>
      <c r="D33" s="11">
        <v>12</v>
      </c>
      <c r="E33" s="11">
        <v>7</v>
      </c>
      <c r="F33" s="11">
        <v>1</v>
      </c>
      <c r="G33" s="11">
        <v>14</v>
      </c>
      <c r="H33" s="11">
        <v>2</v>
      </c>
      <c r="I33" s="11">
        <v>13</v>
      </c>
      <c r="J33" s="11">
        <v>6</v>
      </c>
      <c r="K33" s="11">
        <v>15</v>
      </c>
      <c r="L33" s="11">
        <v>0</v>
      </c>
      <c r="M33" s="11">
        <v>9</v>
      </c>
      <c r="N33" s="11">
        <v>10</v>
      </c>
      <c r="O33" s="11">
        <v>4</v>
      </c>
      <c r="P33" s="11">
        <v>5</v>
      </c>
      <c r="Q33" s="11">
        <v>3</v>
      </c>
    </row>
    <row r="34" spans="1:17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25">
      <c r="A36" s="2" t="s">
        <v>125</v>
      </c>
      <c r="B36" s="17">
        <v>0</v>
      </c>
      <c r="C36" s="17">
        <v>1</v>
      </c>
      <c r="D36" s="17">
        <v>2</v>
      </c>
      <c r="E36" s="17">
        <v>3</v>
      </c>
      <c r="F36" s="17">
        <v>4</v>
      </c>
      <c r="G36" s="17">
        <v>5</v>
      </c>
      <c r="H36" s="17">
        <v>6</v>
      </c>
      <c r="I36" s="17">
        <v>7</v>
      </c>
      <c r="J36" s="17">
        <v>8</v>
      </c>
      <c r="K36" s="17">
        <v>9</v>
      </c>
      <c r="L36" s="17">
        <v>10</v>
      </c>
      <c r="M36" s="17">
        <v>11</v>
      </c>
      <c r="N36" s="17">
        <v>12</v>
      </c>
      <c r="O36" s="17">
        <v>13</v>
      </c>
      <c r="P36" s="17">
        <v>14</v>
      </c>
      <c r="Q36" s="17">
        <v>15</v>
      </c>
    </row>
    <row r="37" spans="1:17" x14ac:dyDescent="0.25">
      <c r="A37" s="2">
        <v>0</v>
      </c>
      <c r="B37" s="11">
        <v>12</v>
      </c>
      <c r="C37" s="11">
        <v>1</v>
      </c>
      <c r="D37" s="11">
        <v>10</v>
      </c>
      <c r="E37" s="11">
        <v>15</v>
      </c>
      <c r="F37" s="11">
        <v>9</v>
      </c>
      <c r="G37" s="11">
        <v>2</v>
      </c>
      <c r="H37" s="11">
        <v>6</v>
      </c>
      <c r="I37" s="11">
        <v>8</v>
      </c>
      <c r="J37" s="11">
        <v>0</v>
      </c>
      <c r="K37" s="11">
        <v>13</v>
      </c>
      <c r="L37" s="11">
        <v>3</v>
      </c>
      <c r="M37" s="11">
        <v>4</v>
      </c>
      <c r="N37" s="11">
        <v>14</v>
      </c>
      <c r="O37" s="11">
        <v>7</v>
      </c>
      <c r="P37" s="11">
        <v>5</v>
      </c>
      <c r="Q37" s="11">
        <v>11</v>
      </c>
    </row>
    <row r="38" spans="1:17" x14ac:dyDescent="0.25">
      <c r="A38" s="2">
        <v>1</v>
      </c>
      <c r="B38" s="11">
        <v>10</v>
      </c>
      <c r="C38" s="11">
        <v>15</v>
      </c>
      <c r="D38" s="11">
        <v>4</v>
      </c>
      <c r="E38" s="11">
        <v>2</v>
      </c>
      <c r="F38" s="11">
        <v>7</v>
      </c>
      <c r="G38" s="11">
        <v>12</v>
      </c>
      <c r="H38" s="11">
        <v>9</v>
      </c>
      <c r="I38" s="11">
        <v>5</v>
      </c>
      <c r="J38" s="11">
        <v>6</v>
      </c>
      <c r="K38" s="11">
        <v>1</v>
      </c>
      <c r="L38" s="11">
        <v>13</v>
      </c>
      <c r="M38" s="11">
        <v>14</v>
      </c>
      <c r="N38" s="11">
        <v>0</v>
      </c>
      <c r="O38" s="11">
        <v>11</v>
      </c>
      <c r="P38" s="11">
        <v>3</v>
      </c>
      <c r="Q38" s="11">
        <v>8</v>
      </c>
    </row>
    <row r="39" spans="1:17" x14ac:dyDescent="0.25">
      <c r="A39" s="2">
        <v>2</v>
      </c>
      <c r="B39" s="11">
        <v>9</v>
      </c>
      <c r="C39" s="11">
        <v>14</v>
      </c>
      <c r="D39" s="11">
        <v>15</v>
      </c>
      <c r="E39" s="11">
        <v>5</v>
      </c>
      <c r="F39" s="11">
        <v>2</v>
      </c>
      <c r="G39" s="11">
        <v>8</v>
      </c>
      <c r="H39" s="11">
        <v>12</v>
      </c>
      <c r="I39" s="11">
        <v>3</v>
      </c>
      <c r="J39" s="11">
        <v>7</v>
      </c>
      <c r="K39" s="11">
        <v>0</v>
      </c>
      <c r="L39" s="11">
        <v>4</v>
      </c>
      <c r="M39" s="11">
        <v>10</v>
      </c>
      <c r="N39" s="11">
        <v>1</v>
      </c>
      <c r="O39" s="11">
        <v>13</v>
      </c>
      <c r="P39" s="11">
        <v>11</v>
      </c>
      <c r="Q39" s="11">
        <v>6</v>
      </c>
    </row>
    <row r="40" spans="1:17" x14ac:dyDescent="0.25">
      <c r="A40" s="2">
        <v>3</v>
      </c>
      <c r="B40" s="11">
        <v>4</v>
      </c>
      <c r="C40" s="11">
        <v>3</v>
      </c>
      <c r="D40" s="11">
        <v>2</v>
      </c>
      <c r="E40" s="11">
        <v>12</v>
      </c>
      <c r="F40" s="11">
        <v>9</v>
      </c>
      <c r="G40" s="11">
        <v>5</v>
      </c>
      <c r="H40" s="11">
        <v>15</v>
      </c>
      <c r="I40" s="11">
        <v>10</v>
      </c>
      <c r="J40" s="11">
        <v>11</v>
      </c>
      <c r="K40" s="11">
        <v>14</v>
      </c>
      <c r="L40" s="11">
        <v>1</v>
      </c>
      <c r="M40" s="11">
        <v>7</v>
      </c>
      <c r="N40" s="11">
        <v>6</v>
      </c>
      <c r="O40" s="11">
        <v>0</v>
      </c>
      <c r="P40" s="11">
        <v>8</v>
      </c>
      <c r="Q40" s="11">
        <v>13</v>
      </c>
    </row>
    <row r="41" spans="1:17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x14ac:dyDescent="0.25">
      <c r="A43" s="2" t="s">
        <v>126</v>
      </c>
      <c r="B43" s="17">
        <v>0</v>
      </c>
      <c r="C43" s="17">
        <v>1</v>
      </c>
      <c r="D43" s="17">
        <v>2</v>
      </c>
      <c r="E43" s="17">
        <v>3</v>
      </c>
      <c r="F43" s="17">
        <v>4</v>
      </c>
      <c r="G43" s="17">
        <v>5</v>
      </c>
      <c r="H43" s="17">
        <v>6</v>
      </c>
      <c r="I43" s="17">
        <v>7</v>
      </c>
      <c r="J43" s="17">
        <v>8</v>
      </c>
      <c r="K43" s="17">
        <v>9</v>
      </c>
      <c r="L43" s="17">
        <v>10</v>
      </c>
      <c r="M43" s="17">
        <v>11</v>
      </c>
      <c r="N43" s="17">
        <v>12</v>
      </c>
      <c r="O43" s="17">
        <v>13</v>
      </c>
      <c r="P43" s="17">
        <v>14</v>
      </c>
      <c r="Q43" s="17">
        <v>15</v>
      </c>
    </row>
    <row r="44" spans="1:17" x14ac:dyDescent="0.25">
      <c r="A44" s="2">
        <v>0</v>
      </c>
      <c r="B44" s="11">
        <v>4</v>
      </c>
      <c r="C44" s="11">
        <v>11</v>
      </c>
      <c r="D44" s="11">
        <v>2</v>
      </c>
      <c r="E44" s="11">
        <v>14</v>
      </c>
      <c r="F44" s="11">
        <v>15</v>
      </c>
      <c r="G44" s="11">
        <v>0</v>
      </c>
      <c r="H44" s="11">
        <v>8</v>
      </c>
      <c r="I44" s="11">
        <v>13</v>
      </c>
      <c r="J44" s="11">
        <v>3</v>
      </c>
      <c r="K44" s="11">
        <v>12</v>
      </c>
      <c r="L44" s="11">
        <v>9</v>
      </c>
      <c r="M44" s="11">
        <v>7</v>
      </c>
      <c r="N44" s="11">
        <v>5</v>
      </c>
      <c r="O44" s="11">
        <v>10</v>
      </c>
      <c r="P44" s="11">
        <v>6</v>
      </c>
      <c r="Q44" s="11">
        <v>1</v>
      </c>
    </row>
    <row r="45" spans="1:17" x14ac:dyDescent="0.25">
      <c r="A45" s="2">
        <v>1</v>
      </c>
      <c r="B45" s="11">
        <v>13</v>
      </c>
      <c r="C45" s="11">
        <v>0</v>
      </c>
      <c r="D45" s="11">
        <v>11</v>
      </c>
      <c r="E45" s="11">
        <v>7</v>
      </c>
      <c r="F45" s="11">
        <v>4</v>
      </c>
      <c r="G45" s="11">
        <v>9</v>
      </c>
      <c r="H45" s="11">
        <v>1</v>
      </c>
      <c r="I45" s="11">
        <v>10</v>
      </c>
      <c r="J45" s="11">
        <v>14</v>
      </c>
      <c r="K45" s="11">
        <v>3</v>
      </c>
      <c r="L45" s="11">
        <v>5</v>
      </c>
      <c r="M45" s="11">
        <v>12</v>
      </c>
      <c r="N45" s="11">
        <v>2</v>
      </c>
      <c r="O45" s="11">
        <v>15</v>
      </c>
      <c r="P45" s="11">
        <v>8</v>
      </c>
      <c r="Q45" s="11">
        <v>6</v>
      </c>
    </row>
    <row r="46" spans="1:17" x14ac:dyDescent="0.25">
      <c r="A46" s="2">
        <v>2</v>
      </c>
      <c r="B46" s="11">
        <v>1</v>
      </c>
      <c r="C46" s="11">
        <v>4</v>
      </c>
      <c r="D46" s="11">
        <v>11</v>
      </c>
      <c r="E46" s="11">
        <v>13</v>
      </c>
      <c r="F46" s="11">
        <v>12</v>
      </c>
      <c r="G46" s="11">
        <v>3</v>
      </c>
      <c r="H46" s="11">
        <v>7</v>
      </c>
      <c r="I46" s="11">
        <v>14</v>
      </c>
      <c r="J46" s="11">
        <v>10</v>
      </c>
      <c r="K46" s="11">
        <v>15</v>
      </c>
      <c r="L46" s="11">
        <v>6</v>
      </c>
      <c r="M46" s="11">
        <v>8</v>
      </c>
      <c r="N46" s="11">
        <v>0</v>
      </c>
      <c r="O46" s="11">
        <v>5</v>
      </c>
      <c r="P46" s="11">
        <v>9</v>
      </c>
      <c r="Q46" s="11">
        <v>2</v>
      </c>
    </row>
    <row r="47" spans="1:17" x14ac:dyDescent="0.25">
      <c r="A47" s="2">
        <v>3</v>
      </c>
      <c r="B47" s="11">
        <v>6</v>
      </c>
      <c r="C47" s="11">
        <v>11</v>
      </c>
      <c r="D47" s="11">
        <v>13</v>
      </c>
      <c r="E47" s="11">
        <v>8</v>
      </c>
      <c r="F47" s="11">
        <v>1</v>
      </c>
      <c r="G47" s="11">
        <v>4</v>
      </c>
      <c r="H47" s="11">
        <v>10</v>
      </c>
      <c r="I47" s="11">
        <v>7</v>
      </c>
      <c r="J47" s="11">
        <v>9</v>
      </c>
      <c r="K47" s="11">
        <v>5</v>
      </c>
      <c r="L47" s="11">
        <v>0</v>
      </c>
      <c r="M47" s="11">
        <v>15</v>
      </c>
      <c r="N47" s="11">
        <v>14</v>
      </c>
      <c r="O47" s="11">
        <v>2</v>
      </c>
      <c r="P47" s="11">
        <v>3</v>
      </c>
      <c r="Q47" s="11">
        <v>12</v>
      </c>
    </row>
    <row r="48" spans="1:17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 x14ac:dyDescent="0.25">
      <c r="A50" s="2" t="s">
        <v>127</v>
      </c>
      <c r="B50" s="17">
        <v>0</v>
      </c>
      <c r="C50" s="17">
        <v>1</v>
      </c>
      <c r="D50" s="17">
        <v>2</v>
      </c>
      <c r="E50" s="17">
        <v>3</v>
      </c>
      <c r="F50" s="17">
        <v>4</v>
      </c>
      <c r="G50" s="17">
        <v>5</v>
      </c>
      <c r="H50" s="17">
        <v>6</v>
      </c>
      <c r="I50" s="17">
        <v>7</v>
      </c>
      <c r="J50" s="17">
        <v>8</v>
      </c>
      <c r="K50" s="17">
        <v>9</v>
      </c>
      <c r="L50" s="17">
        <v>10</v>
      </c>
      <c r="M50" s="17">
        <v>11</v>
      </c>
      <c r="N50" s="17">
        <v>12</v>
      </c>
      <c r="O50" s="17">
        <v>13</v>
      </c>
      <c r="P50" s="17">
        <v>14</v>
      </c>
      <c r="Q50" s="17">
        <v>15</v>
      </c>
    </row>
    <row r="51" spans="1:17" x14ac:dyDescent="0.25">
      <c r="A51" s="2">
        <v>0</v>
      </c>
      <c r="B51" s="11">
        <v>13</v>
      </c>
      <c r="C51" s="11">
        <v>2</v>
      </c>
      <c r="D51" s="11">
        <v>8</v>
      </c>
      <c r="E51" s="11">
        <v>4</v>
      </c>
      <c r="F51" s="11">
        <v>6</v>
      </c>
      <c r="G51" s="11">
        <v>15</v>
      </c>
      <c r="H51" s="11">
        <v>11</v>
      </c>
      <c r="I51" s="11">
        <v>1</v>
      </c>
      <c r="J51" s="11">
        <v>10</v>
      </c>
      <c r="K51" s="11">
        <v>9</v>
      </c>
      <c r="L51" s="11">
        <v>3</v>
      </c>
      <c r="M51" s="11">
        <v>14</v>
      </c>
      <c r="N51" s="11">
        <v>5</v>
      </c>
      <c r="O51" s="11">
        <v>0</v>
      </c>
      <c r="P51" s="11">
        <v>12</v>
      </c>
      <c r="Q51" s="11">
        <v>7</v>
      </c>
    </row>
    <row r="52" spans="1:17" x14ac:dyDescent="0.25">
      <c r="A52" s="2">
        <v>1</v>
      </c>
      <c r="B52" s="11">
        <v>1</v>
      </c>
      <c r="C52" s="11">
        <v>15</v>
      </c>
      <c r="D52" s="11">
        <v>13</v>
      </c>
      <c r="E52" s="11">
        <v>8</v>
      </c>
      <c r="F52" s="11">
        <v>10</v>
      </c>
      <c r="G52" s="11">
        <v>3</v>
      </c>
      <c r="H52" s="11">
        <v>7</v>
      </c>
      <c r="I52" s="11">
        <v>4</v>
      </c>
      <c r="J52" s="11">
        <v>12</v>
      </c>
      <c r="K52" s="11">
        <v>5</v>
      </c>
      <c r="L52" s="11">
        <v>6</v>
      </c>
      <c r="M52" s="11">
        <v>11</v>
      </c>
      <c r="N52" s="11">
        <v>0</v>
      </c>
      <c r="O52" s="11">
        <v>14</v>
      </c>
      <c r="P52" s="11">
        <v>9</v>
      </c>
      <c r="Q52" s="11">
        <v>2</v>
      </c>
    </row>
    <row r="53" spans="1:17" x14ac:dyDescent="0.25">
      <c r="A53" s="2">
        <v>2</v>
      </c>
      <c r="B53" s="11">
        <v>7</v>
      </c>
      <c r="C53" s="11">
        <v>11</v>
      </c>
      <c r="D53" s="11">
        <v>4</v>
      </c>
      <c r="E53" s="11">
        <v>1</v>
      </c>
      <c r="F53" s="11">
        <v>9</v>
      </c>
      <c r="G53" s="11">
        <v>12</v>
      </c>
      <c r="H53" s="11">
        <v>14</v>
      </c>
      <c r="I53" s="11">
        <v>2</v>
      </c>
      <c r="J53" s="11">
        <v>0</v>
      </c>
      <c r="K53" s="11">
        <v>6</v>
      </c>
      <c r="L53" s="11">
        <v>10</v>
      </c>
      <c r="M53" s="11">
        <v>13</v>
      </c>
      <c r="N53" s="11">
        <v>15</v>
      </c>
      <c r="O53" s="11">
        <v>3</v>
      </c>
      <c r="P53" s="11">
        <v>5</v>
      </c>
      <c r="Q53" s="11">
        <v>8</v>
      </c>
    </row>
    <row r="54" spans="1:17" x14ac:dyDescent="0.25">
      <c r="A54" s="2">
        <v>3</v>
      </c>
      <c r="B54" s="11">
        <v>2</v>
      </c>
      <c r="C54" s="11">
        <v>1</v>
      </c>
      <c r="D54" s="11">
        <v>14</v>
      </c>
      <c r="E54" s="11">
        <v>7</v>
      </c>
      <c r="F54" s="11">
        <v>4</v>
      </c>
      <c r="G54" s="11">
        <v>10</v>
      </c>
      <c r="H54" s="11">
        <v>8</v>
      </c>
      <c r="I54" s="11">
        <v>13</v>
      </c>
      <c r="J54" s="11">
        <v>15</v>
      </c>
      <c r="K54" s="11">
        <v>12</v>
      </c>
      <c r="L54" s="11">
        <v>9</v>
      </c>
      <c r="M54" s="11">
        <v>0</v>
      </c>
      <c r="N54" s="11">
        <v>3</v>
      </c>
      <c r="O54" s="11">
        <v>5</v>
      </c>
      <c r="P54" s="11">
        <v>6</v>
      </c>
      <c r="Q54" s="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6E26-A9DD-4B39-8210-CBC7991FE01E}">
  <sheetPr codeName="Sheet2"/>
  <dimension ref="A2:Q418"/>
  <sheetViews>
    <sheetView topLeftCell="A217" workbookViewId="0">
      <selection activeCell="E238" sqref="E238"/>
    </sheetView>
  </sheetViews>
  <sheetFormatPr defaultRowHeight="15" x14ac:dyDescent="0.25"/>
  <cols>
    <col min="2" max="2" width="11.5703125" customWidth="1"/>
    <col min="6" max="6" width="11.28515625" customWidth="1"/>
    <col min="7" max="7" width="10.140625" customWidth="1"/>
    <col min="12" max="12" width="12" bestFit="1" customWidth="1"/>
    <col min="15" max="15" width="10" bestFit="1" customWidth="1"/>
  </cols>
  <sheetData>
    <row r="2" spans="1:13" ht="15.75" x14ac:dyDescent="0.25">
      <c r="A2" t="s">
        <v>0</v>
      </c>
      <c r="B2" s="1" t="s">
        <v>1</v>
      </c>
      <c r="D2" s="1" t="s">
        <v>5</v>
      </c>
    </row>
    <row r="3" spans="1:13" hidden="1" x14ac:dyDescent="0.25">
      <c r="A3" t="s">
        <v>2</v>
      </c>
      <c r="B3" t="s">
        <v>3</v>
      </c>
      <c r="C3" t="s">
        <v>4</v>
      </c>
      <c r="M3">
        <f t="shared" ref="M3:M19" si="0">LEN(D3)</f>
        <v>0</v>
      </c>
    </row>
    <row r="4" spans="1:13" hidden="1" x14ac:dyDescent="0.25">
      <c r="A4">
        <v>1</v>
      </c>
      <c r="B4" t="str">
        <f>MID($B$2,A4,1)</f>
        <v>0</v>
      </c>
      <c r="C4" t="str">
        <f>HEX2BIN(B4,4)</f>
        <v>0000</v>
      </c>
      <c r="D4" t="str">
        <f t="shared" ref="D4:D16" si="1">C4&amp;D5</f>
        <v>0000000100110011010001010111011110011001101110111100110111111111</v>
      </c>
      <c r="M4">
        <f t="shared" si="0"/>
        <v>64</v>
      </c>
    </row>
    <row r="5" spans="1:13" hidden="1" x14ac:dyDescent="0.25">
      <c r="A5">
        <v>2</v>
      </c>
      <c r="B5" t="str">
        <f t="shared" ref="B5:B19" si="2">MID($B$2,A5,1)</f>
        <v>1</v>
      </c>
      <c r="C5" t="str">
        <f t="shared" ref="C5:C19" si="3">HEX2BIN(B5,4)</f>
        <v>0001</v>
      </c>
      <c r="D5" t="str">
        <f t="shared" si="1"/>
        <v>000100110011010001010111011110011001101110111100110111111111</v>
      </c>
      <c r="M5">
        <f t="shared" si="0"/>
        <v>60</v>
      </c>
    </row>
    <row r="6" spans="1:13" hidden="1" x14ac:dyDescent="0.25">
      <c r="A6">
        <v>3</v>
      </c>
      <c r="B6" t="str">
        <f t="shared" si="2"/>
        <v>3</v>
      </c>
      <c r="C6" t="str">
        <f t="shared" si="3"/>
        <v>0011</v>
      </c>
      <c r="D6" t="str">
        <f t="shared" si="1"/>
        <v>00110011010001010111011110011001101110111100110111111111</v>
      </c>
      <c r="M6">
        <f t="shared" si="0"/>
        <v>56</v>
      </c>
    </row>
    <row r="7" spans="1:13" hidden="1" x14ac:dyDescent="0.25">
      <c r="A7">
        <v>4</v>
      </c>
      <c r="B7" t="str">
        <f t="shared" si="2"/>
        <v>3</v>
      </c>
      <c r="C7" t="str">
        <f t="shared" si="3"/>
        <v>0011</v>
      </c>
      <c r="D7" t="str">
        <f t="shared" si="1"/>
        <v>0011010001010111011110011001101110111100110111111111</v>
      </c>
      <c r="M7">
        <f t="shared" si="0"/>
        <v>52</v>
      </c>
    </row>
    <row r="8" spans="1:13" hidden="1" x14ac:dyDescent="0.25">
      <c r="A8">
        <v>5</v>
      </c>
      <c r="B8" t="str">
        <f t="shared" si="2"/>
        <v>4</v>
      </c>
      <c r="C8" t="str">
        <f t="shared" si="3"/>
        <v>0100</v>
      </c>
      <c r="D8" t="str">
        <f t="shared" si="1"/>
        <v>010001010111011110011001101110111100110111111111</v>
      </c>
      <c r="M8">
        <f t="shared" si="0"/>
        <v>48</v>
      </c>
    </row>
    <row r="9" spans="1:13" hidden="1" x14ac:dyDescent="0.25">
      <c r="A9">
        <v>6</v>
      </c>
      <c r="B9" t="str">
        <f t="shared" si="2"/>
        <v>5</v>
      </c>
      <c r="C9" t="str">
        <f t="shared" si="3"/>
        <v>0101</v>
      </c>
      <c r="D9" t="str">
        <f t="shared" si="1"/>
        <v>01010111011110011001101110111100110111111111</v>
      </c>
      <c r="M9">
        <f t="shared" si="0"/>
        <v>44</v>
      </c>
    </row>
    <row r="10" spans="1:13" hidden="1" x14ac:dyDescent="0.25">
      <c r="A10">
        <v>7</v>
      </c>
      <c r="B10" t="str">
        <f t="shared" si="2"/>
        <v>7</v>
      </c>
      <c r="C10" t="str">
        <f t="shared" si="3"/>
        <v>0111</v>
      </c>
      <c r="D10" t="str">
        <f t="shared" si="1"/>
        <v>0111011110011001101110111100110111111111</v>
      </c>
      <c r="M10">
        <f t="shared" si="0"/>
        <v>40</v>
      </c>
    </row>
    <row r="11" spans="1:13" hidden="1" x14ac:dyDescent="0.25">
      <c r="A11">
        <v>8</v>
      </c>
      <c r="B11" t="str">
        <f t="shared" si="2"/>
        <v>7</v>
      </c>
      <c r="C11" t="str">
        <f t="shared" si="3"/>
        <v>0111</v>
      </c>
      <c r="D11" t="str">
        <f t="shared" si="1"/>
        <v>011110011001101110111100110111111111</v>
      </c>
      <c r="M11">
        <f t="shared" si="0"/>
        <v>36</v>
      </c>
    </row>
    <row r="12" spans="1:13" hidden="1" x14ac:dyDescent="0.25">
      <c r="A12">
        <v>9</v>
      </c>
      <c r="B12" t="str">
        <f t="shared" si="2"/>
        <v>9</v>
      </c>
      <c r="C12" t="str">
        <f t="shared" si="3"/>
        <v>1001</v>
      </c>
      <c r="D12" t="str">
        <f t="shared" si="1"/>
        <v>10011001101110111100110111111111</v>
      </c>
      <c r="M12">
        <f t="shared" si="0"/>
        <v>32</v>
      </c>
    </row>
    <row r="13" spans="1:13" hidden="1" x14ac:dyDescent="0.25">
      <c r="A13">
        <v>10</v>
      </c>
      <c r="B13" t="str">
        <f t="shared" si="2"/>
        <v>9</v>
      </c>
      <c r="C13" t="str">
        <f t="shared" si="3"/>
        <v>1001</v>
      </c>
      <c r="D13" t="str">
        <f t="shared" si="1"/>
        <v>1001101110111100110111111111</v>
      </c>
      <c r="M13">
        <f t="shared" si="0"/>
        <v>28</v>
      </c>
    </row>
    <row r="14" spans="1:13" hidden="1" x14ac:dyDescent="0.25">
      <c r="A14">
        <v>11</v>
      </c>
      <c r="B14" t="str">
        <f t="shared" si="2"/>
        <v>B</v>
      </c>
      <c r="C14" t="str">
        <f t="shared" si="3"/>
        <v>1011</v>
      </c>
      <c r="D14" t="str">
        <f t="shared" si="1"/>
        <v>101110111100110111111111</v>
      </c>
      <c r="M14">
        <f t="shared" si="0"/>
        <v>24</v>
      </c>
    </row>
    <row r="15" spans="1:13" hidden="1" x14ac:dyDescent="0.25">
      <c r="A15">
        <v>12</v>
      </c>
      <c r="B15" t="str">
        <f t="shared" si="2"/>
        <v>B</v>
      </c>
      <c r="C15" t="str">
        <f t="shared" si="3"/>
        <v>1011</v>
      </c>
      <c r="D15" t="str">
        <f t="shared" si="1"/>
        <v>10111100110111111111</v>
      </c>
      <c r="M15">
        <f t="shared" si="0"/>
        <v>20</v>
      </c>
    </row>
    <row r="16" spans="1:13" hidden="1" x14ac:dyDescent="0.25">
      <c r="A16">
        <v>13</v>
      </c>
      <c r="B16" t="str">
        <f t="shared" si="2"/>
        <v>C</v>
      </c>
      <c r="C16" t="str">
        <f t="shared" si="3"/>
        <v>1100</v>
      </c>
      <c r="D16" t="str">
        <f t="shared" si="1"/>
        <v>1100110111111111</v>
      </c>
      <c r="M16">
        <f t="shared" si="0"/>
        <v>16</v>
      </c>
    </row>
    <row r="17" spans="1:13" hidden="1" x14ac:dyDescent="0.25">
      <c r="A17">
        <v>14</v>
      </c>
      <c r="B17" t="str">
        <f t="shared" si="2"/>
        <v>D</v>
      </c>
      <c r="C17" t="str">
        <f t="shared" si="3"/>
        <v>1101</v>
      </c>
      <c r="D17" t="str">
        <f>C17&amp;D18</f>
        <v>110111111111</v>
      </c>
      <c r="M17">
        <f t="shared" si="0"/>
        <v>12</v>
      </c>
    </row>
    <row r="18" spans="1:13" hidden="1" x14ac:dyDescent="0.25">
      <c r="A18">
        <v>15</v>
      </c>
      <c r="B18" t="str">
        <f t="shared" si="2"/>
        <v>F</v>
      </c>
      <c r="C18" t="str">
        <f t="shared" si="3"/>
        <v>1111</v>
      </c>
      <c r="D18" t="str">
        <f>C18&amp;C19</f>
        <v>11111111</v>
      </c>
      <c r="M18">
        <f t="shared" si="0"/>
        <v>8</v>
      </c>
    </row>
    <row r="19" spans="1:13" hidden="1" x14ac:dyDescent="0.25">
      <c r="A19">
        <v>16</v>
      </c>
      <c r="B19" t="str">
        <f t="shared" si="2"/>
        <v>F</v>
      </c>
      <c r="C19" t="str">
        <f t="shared" si="3"/>
        <v>1111</v>
      </c>
      <c r="M19">
        <f t="shared" si="0"/>
        <v>0</v>
      </c>
    </row>
    <row r="21" spans="1:13" x14ac:dyDescent="0.25">
      <c r="A21" s="2" t="s">
        <v>6</v>
      </c>
      <c r="B21" s="2" t="s">
        <v>47</v>
      </c>
      <c r="C21" s="2" t="s">
        <v>7</v>
      </c>
    </row>
    <row r="22" spans="1:13" x14ac:dyDescent="0.25">
      <c r="A22" s="2">
        <v>1</v>
      </c>
      <c r="B22" s="11">
        <v>57</v>
      </c>
      <c r="C22" s="3" t="str">
        <f>MID($D$2,B22,1)</f>
        <v>1</v>
      </c>
      <c r="D22" t="str">
        <f t="shared" ref="D22:D74" si="4">C22&amp;D23</f>
        <v>11110000110011001010101010111010101011001100111100001010</v>
      </c>
    </row>
    <row r="23" spans="1:13" x14ac:dyDescent="0.25">
      <c r="A23" s="2">
        <v>2</v>
      </c>
      <c r="B23" s="11">
        <v>49</v>
      </c>
      <c r="C23" s="3" t="str">
        <f t="shared" ref="C23:C77" si="5">MID($D$2,B23,1)</f>
        <v>1</v>
      </c>
      <c r="D23" t="str">
        <f t="shared" si="4"/>
        <v>1110000110011001010101010111010101011001100111100001010</v>
      </c>
    </row>
    <row r="24" spans="1:13" x14ac:dyDescent="0.25">
      <c r="A24" s="2">
        <v>3</v>
      </c>
      <c r="B24" s="11">
        <v>41</v>
      </c>
      <c r="C24" s="3" t="str">
        <f t="shared" si="5"/>
        <v>1</v>
      </c>
      <c r="D24" t="str">
        <f t="shared" si="4"/>
        <v>110000110011001010101010111010101011001100111100001010</v>
      </c>
    </row>
    <row r="25" spans="1:13" x14ac:dyDescent="0.25">
      <c r="A25" s="2">
        <v>4</v>
      </c>
      <c r="B25" s="11">
        <v>33</v>
      </c>
      <c r="C25" s="3" t="str">
        <f t="shared" si="5"/>
        <v>1</v>
      </c>
      <c r="D25" t="str">
        <f t="shared" si="4"/>
        <v>10000110011001010101010111010101011001100111100001010</v>
      </c>
    </row>
    <row r="26" spans="1:13" x14ac:dyDescent="0.25">
      <c r="A26" s="2">
        <v>5</v>
      </c>
      <c r="B26" s="11">
        <v>25</v>
      </c>
      <c r="C26" s="3" t="str">
        <f t="shared" si="5"/>
        <v>0</v>
      </c>
      <c r="D26" t="str">
        <f t="shared" si="4"/>
        <v>0000110011001010101010111010101011001100111100001010</v>
      </c>
    </row>
    <row r="27" spans="1:13" x14ac:dyDescent="0.25">
      <c r="A27" s="2">
        <v>6</v>
      </c>
      <c r="B27" s="11">
        <v>17</v>
      </c>
      <c r="C27" s="3" t="str">
        <f t="shared" si="5"/>
        <v>0</v>
      </c>
      <c r="D27" t="str">
        <f t="shared" si="4"/>
        <v>000110011001010101010111010101011001100111100001010</v>
      </c>
    </row>
    <row r="28" spans="1:13" x14ac:dyDescent="0.25">
      <c r="A28" s="2">
        <v>7</v>
      </c>
      <c r="B28" s="11">
        <v>9</v>
      </c>
      <c r="C28" s="3" t="str">
        <f t="shared" si="5"/>
        <v>0</v>
      </c>
      <c r="D28" t="str">
        <f t="shared" si="4"/>
        <v>00110011001010101010111010101011001100111100001010</v>
      </c>
    </row>
    <row r="29" spans="1:13" x14ac:dyDescent="0.25">
      <c r="A29" s="2">
        <v>8</v>
      </c>
      <c r="B29" s="11">
        <v>1</v>
      </c>
      <c r="C29" s="3" t="str">
        <f t="shared" si="5"/>
        <v>0</v>
      </c>
      <c r="D29" t="str">
        <f t="shared" si="4"/>
        <v>0110011001010101010111010101011001100111100001010</v>
      </c>
    </row>
    <row r="30" spans="1:13" x14ac:dyDescent="0.25">
      <c r="A30" s="2">
        <v>9</v>
      </c>
      <c r="B30" s="11">
        <v>58</v>
      </c>
      <c r="C30" s="3" t="str">
        <f t="shared" si="5"/>
        <v>1</v>
      </c>
      <c r="D30" t="str">
        <f t="shared" si="4"/>
        <v>110011001010101010111010101011001100111100001010</v>
      </c>
    </row>
    <row r="31" spans="1:13" x14ac:dyDescent="0.25">
      <c r="A31" s="2">
        <v>10</v>
      </c>
      <c r="B31" s="11">
        <v>50</v>
      </c>
      <c r="C31" s="3" t="str">
        <f t="shared" si="5"/>
        <v>1</v>
      </c>
      <c r="D31" t="str">
        <f t="shared" si="4"/>
        <v>10011001010101010111010101011001100111100001010</v>
      </c>
    </row>
    <row r="32" spans="1:13" x14ac:dyDescent="0.25">
      <c r="A32" s="2">
        <v>11</v>
      </c>
      <c r="B32" s="11">
        <v>42</v>
      </c>
      <c r="C32" s="3" t="str">
        <f t="shared" si="5"/>
        <v>0</v>
      </c>
      <c r="D32" t="str">
        <f t="shared" si="4"/>
        <v>0011001010101010111010101011001100111100001010</v>
      </c>
    </row>
    <row r="33" spans="1:4" x14ac:dyDescent="0.25">
      <c r="A33" s="2">
        <v>12</v>
      </c>
      <c r="B33" s="11">
        <v>34</v>
      </c>
      <c r="C33" s="3" t="str">
        <f t="shared" si="5"/>
        <v>0</v>
      </c>
      <c r="D33" t="str">
        <f t="shared" si="4"/>
        <v>011001010101010111010101011001100111100001010</v>
      </c>
    </row>
    <row r="34" spans="1:4" x14ac:dyDescent="0.25">
      <c r="A34" s="2">
        <v>13</v>
      </c>
      <c r="B34" s="11">
        <v>26</v>
      </c>
      <c r="C34" s="3" t="str">
        <f t="shared" si="5"/>
        <v>1</v>
      </c>
      <c r="D34" t="str">
        <f t="shared" si="4"/>
        <v>11001010101010111010101011001100111100001010</v>
      </c>
    </row>
    <row r="35" spans="1:4" x14ac:dyDescent="0.25">
      <c r="A35" s="2">
        <v>14</v>
      </c>
      <c r="B35" s="11">
        <v>18</v>
      </c>
      <c r="C35" s="3" t="str">
        <f t="shared" si="5"/>
        <v>1</v>
      </c>
      <c r="D35" t="str">
        <f t="shared" si="4"/>
        <v>1001010101010111010101011001100111100001010</v>
      </c>
    </row>
    <row r="36" spans="1:4" x14ac:dyDescent="0.25">
      <c r="A36" s="2">
        <v>15</v>
      </c>
      <c r="B36" s="11">
        <v>10</v>
      </c>
      <c r="C36" s="3" t="str">
        <f t="shared" si="5"/>
        <v>0</v>
      </c>
      <c r="D36" t="str">
        <f t="shared" si="4"/>
        <v>001010101010111010101011001100111100001010</v>
      </c>
    </row>
    <row r="37" spans="1:4" x14ac:dyDescent="0.25">
      <c r="A37" s="2">
        <v>16</v>
      </c>
      <c r="B37" s="11">
        <v>2</v>
      </c>
      <c r="C37" s="3" t="str">
        <f t="shared" si="5"/>
        <v>0</v>
      </c>
      <c r="D37" t="str">
        <f t="shared" si="4"/>
        <v>01010101010111010101011001100111100001010</v>
      </c>
    </row>
    <row r="38" spans="1:4" x14ac:dyDescent="0.25">
      <c r="A38" s="2">
        <v>17</v>
      </c>
      <c r="B38" s="11">
        <v>59</v>
      </c>
      <c r="C38" s="3" t="str">
        <f t="shared" si="5"/>
        <v>1</v>
      </c>
      <c r="D38" t="str">
        <f t="shared" si="4"/>
        <v>1010101010111010101011001100111100001010</v>
      </c>
    </row>
    <row r="39" spans="1:4" x14ac:dyDescent="0.25">
      <c r="A39" s="2">
        <v>18</v>
      </c>
      <c r="B39" s="11">
        <v>51</v>
      </c>
      <c r="C39" s="3" t="str">
        <f t="shared" si="5"/>
        <v>0</v>
      </c>
      <c r="D39" t="str">
        <f t="shared" si="4"/>
        <v>010101010111010101011001100111100001010</v>
      </c>
    </row>
    <row r="40" spans="1:4" x14ac:dyDescent="0.25">
      <c r="A40" s="2">
        <v>19</v>
      </c>
      <c r="B40" s="11">
        <v>43</v>
      </c>
      <c r="C40" s="3" t="str">
        <f t="shared" si="5"/>
        <v>1</v>
      </c>
      <c r="D40" t="str">
        <f t="shared" si="4"/>
        <v>10101010111010101011001100111100001010</v>
      </c>
    </row>
    <row r="41" spans="1:4" x14ac:dyDescent="0.25">
      <c r="A41" s="2">
        <v>20</v>
      </c>
      <c r="B41" s="11">
        <v>35</v>
      </c>
      <c r="C41" s="3" t="str">
        <f t="shared" si="5"/>
        <v>0</v>
      </c>
      <c r="D41" t="str">
        <f t="shared" si="4"/>
        <v>0101010111010101011001100111100001010</v>
      </c>
    </row>
    <row r="42" spans="1:4" x14ac:dyDescent="0.25">
      <c r="A42" s="2">
        <v>21</v>
      </c>
      <c r="B42" s="11">
        <v>27</v>
      </c>
      <c r="C42" s="3" t="str">
        <f t="shared" si="5"/>
        <v>1</v>
      </c>
      <c r="D42" t="str">
        <f t="shared" si="4"/>
        <v>101010111010101011001100111100001010</v>
      </c>
    </row>
    <row r="43" spans="1:4" x14ac:dyDescent="0.25">
      <c r="A43" s="2">
        <v>22</v>
      </c>
      <c r="B43" s="11">
        <v>19</v>
      </c>
      <c r="C43" s="3" t="str">
        <f t="shared" si="5"/>
        <v>0</v>
      </c>
      <c r="D43" t="str">
        <f t="shared" si="4"/>
        <v>01010111010101011001100111100001010</v>
      </c>
    </row>
    <row r="44" spans="1:4" x14ac:dyDescent="0.25">
      <c r="A44" s="2">
        <v>23</v>
      </c>
      <c r="B44" s="11">
        <v>11</v>
      </c>
      <c r="C44" s="3" t="str">
        <f t="shared" si="5"/>
        <v>1</v>
      </c>
      <c r="D44" t="str">
        <f t="shared" si="4"/>
        <v>1010111010101011001100111100001010</v>
      </c>
    </row>
    <row r="45" spans="1:4" x14ac:dyDescent="0.25">
      <c r="A45" s="2">
        <v>24</v>
      </c>
      <c r="B45" s="11">
        <v>3</v>
      </c>
      <c r="C45" s="3" t="str">
        <f t="shared" si="5"/>
        <v>0</v>
      </c>
      <c r="D45" t="str">
        <f t="shared" si="4"/>
        <v>010111010101011001100111100001010</v>
      </c>
    </row>
    <row r="46" spans="1:4" x14ac:dyDescent="0.25">
      <c r="A46" s="2">
        <v>25</v>
      </c>
      <c r="B46" s="11">
        <v>60</v>
      </c>
      <c r="C46" s="3" t="str">
        <f t="shared" si="5"/>
        <v>1</v>
      </c>
      <c r="D46" t="str">
        <f t="shared" si="4"/>
        <v>10111010101011001100111100001010</v>
      </c>
    </row>
    <row r="47" spans="1:4" x14ac:dyDescent="0.25">
      <c r="A47" s="2">
        <v>26</v>
      </c>
      <c r="B47" s="11">
        <v>52</v>
      </c>
      <c r="C47" s="3" t="str">
        <f t="shared" si="5"/>
        <v>0</v>
      </c>
      <c r="D47" t="str">
        <f t="shared" si="4"/>
        <v>0111010101011001100111100001010</v>
      </c>
    </row>
    <row r="48" spans="1:4" x14ac:dyDescent="0.25">
      <c r="A48" s="2">
        <v>27</v>
      </c>
      <c r="B48" s="11">
        <v>44</v>
      </c>
      <c r="C48" s="3" t="str">
        <f t="shared" si="5"/>
        <v>1</v>
      </c>
      <c r="D48" t="str">
        <f t="shared" si="4"/>
        <v>111010101011001100111100001010</v>
      </c>
    </row>
    <row r="49" spans="1:4" x14ac:dyDescent="0.25">
      <c r="A49" s="2">
        <v>28</v>
      </c>
      <c r="B49" s="11">
        <v>36</v>
      </c>
      <c r="C49" s="3" t="str">
        <f t="shared" si="5"/>
        <v>1</v>
      </c>
      <c r="D49" t="str">
        <f t="shared" si="4"/>
        <v>11010101011001100111100001010</v>
      </c>
    </row>
    <row r="50" spans="1:4" x14ac:dyDescent="0.25">
      <c r="A50" s="2">
        <v>29</v>
      </c>
      <c r="B50" s="11">
        <v>63</v>
      </c>
      <c r="C50" s="3" t="str">
        <f t="shared" si="5"/>
        <v>1</v>
      </c>
      <c r="D50" t="str">
        <f t="shared" si="4"/>
        <v>1010101011001100111100001010</v>
      </c>
    </row>
    <row r="51" spans="1:4" x14ac:dyDescent="0.25">
      <c r="A51" s="2">
        <v>30</v>
      </c>
      <c r="B51" s="11">
        <v>55</v>
      </c>
      <c r="C51" s="3" t="str">
        <f t="shared" si="5"/>
        <v>0</v>
      </c>
      <c r="D51" t="str">
        <f t="shared" si="4"/>
        <v>010101011001100111100001010</v>
      </c>
    </row>
    <row r="52" spans="1:4" x14ac:dyDescent="0.25">
      <c r="A52" s="2">
        <v>31</v>
      </c>
      <c r="B52" s="11">
        <v>47</v>
      </c>
      <c r="C52" s="3" t="str">
        <f t="shared" si="5"/>
        <v>1</v>
      </c>
      <c r="D52" t="str">
        <f t="shared" si="4"/>
        <v>10101011001100111100001010</v>
      </c>
    </row>
    <row r="53" spans="1:4" x14ac:dyDescent="0.25">
      <c r="A53" s="2">
        <v>32</v>
      </c>
      <c r="B53" s="11">
        <v>39</v>
      </c>
      <c r="C53" s="3" t="str">
        <f t="shared" si="5"/>
        <v>0</v>
      </c>
      <c r="D53" t="str">
        <f t="shared" si="4"/>
        <v>0101011001100111100001010</v>
      </c>
    </row>
    <row r="54" spans="1:4" x14ac:dyDescent="0.25">
      <c r="A54" s="2">
        <v>33</v>
      </c>
      <c r="B54" s="11">
        <v>31</v>
      </c>
      <c r="C54" s="3" t="str">
        <f t="shared" si="5"/>
        <v>1</v>
      </c>
      <c r="D54" t="str">
        <f t="shared" si="4"/>
        <v>101011001100111100001010</v>
      </c>
    </row>
    <row r="55" spans="1:4" x14ac:dyDescent="0.25">
      <c r="A55" s="2">
        <v>34</v>
      </c>
      <c r="B55" s="11">
        <v>23</v>
      </c>
      <c r="C55" s="3" t="str">
        <f t="shared" si="5"/>
        <v>0</v>
      </c>
      <c r="D55" t="str">
        <f t="shared" si="4"/>
        <v>01011001100111100001010</v>
      </c>
    </row>
    <row r="56" spans="1:4" x14ac:dyDescent="0.25">
      <c r="A56" s="2">
        <v>35</v>
      </c>
      <c r="B56" s="11">
        <v>15</v>
      </c>
      <c r="C56" s="3" t="str">
        <f t="shared" si="5"/>
        <v>1</v>
      </c>
      <c r="D56" t="str">
        <f t="shared" si="4"/>
        <v>1011001100111100001010</v>
      </c>
    </row>
    <row r="57" spans="1:4" x14ac:dyDescent="0.25">
      <c r="A57" s="2">
        <v>36</v>
      </c>
      <c r="B57" s="11">
        <v>7</v>
      </c>
      <c r="C57" s="3" t="str">
        <f t="shared" si="5"/>
        <v>0</v>
      </c>
      <c r="D57" t="str">
        <f t="shared" si="4"/>
        <v>011001100111100001010</v>
      </c>
    </row>
    <row r="58" spans="1:4" x14ac:dyDescent="0.25">
      <c r="A58" s="2">
        <v>37</v>
      </c>
      <c r="B58" s="11">
        <v>62</v>
      </c>
      <c r="C58" s="3" t="str">
        <f t="shared" si="5"/>
        <v>1</v>
      </c>
      <c r="D58" t="str">
        <f t="shared" si="4"/>
        <v>11001100111100001010</v>
      </c>
    </row>
    <row r="59" spans="1:4" x14ac:dyDescent="0.25">
      <c r="A59" s="2">
        <v>38</v>
      </c>
      <c r="B59" s="11">
        <v>54</v>
      </c>
      <c r="C59" s="3" t="str">
        <f t="shared" si="5"/>
        <v>1</v>
      </c>
      <c r="D59" t="str">
        <f t="shared" si="4"/>
        <v>1001100111100001010</v>
      </c>
    </row>
    <row r="60" spans="1:4" x14ac:dyDescent="0.25">
      <c r="A60" s="2">
        <v>39</v>
      </c>
      <c r="B60" s="11">
        <v>46</v>
      </c>
      <c r="C60" s="3" t="str">
        <f t="shared" si="5"/>
        <v>0</v>
      </c>
      <c r="D60" t="str">
        <f t="shared" si="4"/>
        <v>001100111100001010</v>
      </c>
    </row>
    <row r="61" spans="1:4" x14ac:dyDescent="0.25">
      <c r="A61" s="2">
        <v>40</v>
      </c>
      <c r="B61" s="11">
        <v>38</v>
      </c>
      <c r="C61" s="3" t="str">
        <f t="shared" si="5"/>
        <v>0</v>
      </c>
      <c r="D61" t="str">
        <f t="shared" si="4"/>
        <v>01100111100001010</v>
      </c>
    </row>
    <row r="62" spans="1:4" x14ac:dyDescent="0.25">
      <c r="A62" s="2">
        <v>41</v>
      </c>
      <c r="B62" s="11">
        <v>30</v>
      </c>
      <c r="C62" s="3" t="str">
        <f t="shared" si="5"/>
        <v>1</v>
      </c>
      <c r="D62" t="str">
        <f t="shared" si="4"/>
        <v>1100111100001010</v>
      </c>
    </row>
    <row r="63" spans="1:4" x14ac:dyDescent="0.25">
      <c r="A63" s="2">
        <v>42</v>
      </c>
      <c r="B63" s="11">
        <v>22</v>
      </c>
      <c r="C63" s="3" t="str">
        <f t="shared" si="5"/>
        <v>1</v>
      </c>
      <c r="D63" t="str">
        <f t="shared" si="4"/>
        <v>100111100001010</v>
      </c>
    </row>
    <row r="64" spans="1:4" x14ac:dyDescent="0.25">
      <c r="A64" s="2">
        <v>43</v>
      </c>
      <c r="B64" s="11">
        <v>14</v>
      </c>
      <c r="C64" s="3" t="str">
        <f t="shared" si="5"/>
        <v>0</v>
      </c>
      <c r="D64" t="str">
        <f t="shared" si="4"/>
        <v>00111100001010</v>
      </c>
    </row>
    <row r="65" spans="1:4" x14ac:dyDescent="0.25">
      <c r="A65" s="2">
        <v>44</v>
      </c>
      <c r="B65" s="11">
        <v>6</v>
      </c>
      <c r="C65" s="3" t="str">
        <f t="shared" si="5"/>
        <v>0</v>
      </c>
      <c r="D65" t="str">
        <f t="shared" si="4"/>
        <v>0111100001010</v>
      </c>
    </row>
    <row r="66" spans="1:4" x14ac:dyDescent="0.25">
      <c r="A66" s="2">
        <v>45</v>
      </c>
      <c r="B66" s="11">
        <v>61</v>
      </c>
      <c r="C66" s="3" t="str">
        <f t="shared" si="5"/>
        <v>1</v>
      </c>
      <c r="D66" t="str">
        <f t="shared" si="4"/>
        <v>111100001010</v>
      </c>
    </row>
    <row r="67" spans="1:4" x14ac:dyDescent="0.25">
      <c r="A67" s="2">
        <v>46</v>
      </c>
      <c r="B67" s="11">
        <v>53</v>
      </c>
      <c r="C67" s="3" t="str">
        <f t="shared" si="5"/>
        <v>1</v>
      </c>
      <c r="D67" t="str">
        <f t="shared" si="4"/>
        <v>11100001010</v>
      </c>
    </row>
    <row r="68" spans="1:4" x14ac:dyDescent="0.25">
      <c r="A68" s="2">
        <v>47</v>
      </c>
      <c r="B68" s="11">
        <v>45</v>
      </c>
      <c r="C68" s="3" t="str">
        <f t="shared" si="5"/>
        <v>1</v>
      </c>
      <c r="D68" t="str">
        <f t="shared" si="4"/>
        <v>1100001010</v>
      </c>
    </row>
    <row r="69" spans="1:4" x14ac:dyDescent="0.25">
      <c r="A69" s="2">
        <v>48</v>
      </c>
      <c r="B69" s="11">
        <v>37</v>
      </c>
      <c r="C69" s="3" t="str">
        <f t="shared" si="5"/>
        <v>1</v>
      </c>
      <c r="D69" t="str">
        <f t="shared" si="4"/>
        <v>100001010</v>
      </c>
    </row>
    <row r="70" spans="1:4" x14ac:dyDescent="0.25">
      <c r="A70" s="2">
        <v>49</v>
      </c>
      <c r="B70" s="11">
        <v>29</v>
      </c>
      <c r="C70" s="3" t="str">
        <f t="shared" si="5"/>
        <v>0</v>
      </c>
      <c r="D70" t="str">
        <f t="shared" si="4"/>
        <v>00001010</v>
      </c>
    </row>
    <row r="71" spans="1:4" x14ac:dyDescent="0.25">
      <c r="A71" s="2">
        <v>50</v>
      </c>
      <c r="B71" s="11">
        <v>21</v>
      </c>
      <c r="C71" s="3" t="str">
        <f t="shared" si="5"/>
        <v>0</v>
      </c>
      <c r="D71" t="str">
        <f t="shared" si="4"/>
        <v>0001010</v>
      </c>
    </row>
    <row r="72" spans="1:4" x14ac:dyDescent="0.25">
      <c r="A72" s="2">
        <v>51</v>
      </c>
      <c r="B72" s="11">
        <v>13</v>
      </c>
      <c r="C72" s="3" t="str">
        <f t="shared" si="5"/>
        <v>0</v>
      </c>
      <c r="D72" t="str">
        <f t="shared" si="4"/>
        <v>001010</v>
      </c>
    </row>
    <row r="73" spans="1:4" x14ac:dyDescent="0.25">
      <c r="A73" s="2">
        <v>52</v>
      </c>
      <c r="B73" s="11">
        <v>5</v>
      </c>
      <c r="C73" s="3" t="str">
        <f t="shared" si="5"/>
        <v>0</v>
      </c>
      <c r="D73" t="str">
        <f t="shared" si="4"/>
        <v>01010</v>
      </c>
    </row>
    <row r="74" spans="1:4" x14ac:dyDescent="0.25">
      <c r="A74" s="2">
        <v>53</v>
      </c>
      <c r="B74" s="11">
        <v>28</v>
      </c>
      <c r="C74" s="3" t="str">
        <f t="shared" si="5"/>
        <v>1</v>
      </c>
      <c r="D74" t="str">
        <f t="shared" si="4"/>
        <v>1010</v>
      </c>
    </row>
    <row r="75" spans="1:4" x14ac:dyDescent="0.25">
      <c r="A75" s="2">
        <v>54</v>
      </c>
      <c r="B75" s="11">
        <v>20</v>
      </c>
      <c r="C75" s="3" t="str">
        <f t="shared" si="5"/>
        <v>0</v>
      </c>
      <c r="D75" t="str">
        <f>C75&amp;D76</f>
        <v>010</v>
      </c>
    </row>
    <row r="76" spans="1:4" x14ac:dyDescent="0.25">
      <c r="A76" s="2">
        <v>55</v>
      </c>
      <c r="B76" s="11">
        <v>12</v>
      </c>
      <c r="C76" s="3" t="str">
        <f t="shared" si="5"/>
        <v>1</v>
      </c>
      <c r="D76" t="str">
        <f>C76&amp;C77</f>
        <v>10</v>
      </c>
    </row>
    <row r="77" spans="1:4" x14ac:dyDescent="0.25">
      <c r="A77" s="2">
        <v>56</v>
      </c>
      <c r="B77" s="11">
        <v>4</v>
      </c>
      <c r="C77" s="3" t="str">
        <f t="shared" si="5"/>
        <v>0</v>
      </c>
    </row>
    <row r="79" spans="1:4" x14ac:dyDescent="0.25">
      <c r="A79" t="s">
        <v>48</v>
      </c>
      <c r="C79" t="str">
        <f>D22</f>
        <v>11110000110011001010101010111010101011001100111100001010</v>
      </c>
    </row>
    <row r="81" spans="1:12" x14ac:dyDescent="0.25">
      <c r="A81" s="5" t="s">
        <v>67</v>
      </c>
      <c r="K81" s="15" t="s">
        <v>49</v>
      </c>
      <c r="L81" s="15"/>
    </row>
    <row r="83" spans="1:12" x14ac:dyDescent="0.25">
      <c r="A83" s="2" t="s">
        <v>66</v>
      </c>
      <c r="B83" s="6" t="str">
        <f>LEFT(C79,28)</f>
        <v>1111000011001100101010101011</v>
      </c>
      <c r="C83" s="6"/>
      <c r="D83" s="6"/>
      <c r="F83" s="2" t="s">
        <v>68</v>
      </c>
      <c r="G83" s="6" t="str">
        <f>RIGHT(C79,28)</f>
        <v>1010101011001100111100001010</v>
      </c>
      <c r="H83" s="6"/>
      <c r="I83" s="6"/>
      <c r="K83" s="9">
        <v>1</v>
      </c>
      <c r="L83" s="9">
        <v>1</v>
      </c>
    </row>
    <row r="84" spans="1:12" x14ac:dyDescent="0.25">
      <c r="A84" s="2" t="s">
        <v>65</v>
      </c>
      <c r="B84" s="6" t="str">
        <f>MID(B83, L83+1, LEN(B83)-L83) &amp; LEFT(B83, L83)</f>
        <v>1110000110011001010101010111</v>
      </c>
      <c r="C84" s="6"/>
      <c r="D84" s="6"/>
      <c r="F84" s="2" t="s">
        <v>69</v>
      </c>
      <c r="G84" s="6" t="str">
        <f>MID(G83, L83+1, LEN(G83)-L83) &amp; LEFT(G83, L83)</f>
        <v>0101010110011001111000010101</v>
      </c>
      <c r="H84" s="6"/>
      <c r="I84" s="6"/>
      <c r="K84" s="9">
        <v>2</v>
      </c>
      <c r="L84" s="9">
        <v>1</v>
      </c>
    </row>
    <row r="85" spans="1:12" x14ac:dyDescent="0.25">
      <c r="A85" s="2" t="s">
        <v>50</v>
      </c>
      <c r="B85" s="6" t="str">
        <f t="shared" ref="B85:B99" si="6">MID(B84, L84+1, LEN(B84)-L84) &amp; LEFT(B84, L84)</f>
        <v>1100001100110010101010101111</v>
      </c>
      <c r="C85" s="6"/>
      <c r="D85" s="6"/>
      <c r="F85" s="2" t="s">
        <v>70</v>
      </c>
      <c r="G85" s="6" t="str">
        <f t="shared" ref="G85:G99" si="7">MID(G84, L84+1, LEN(G84)-L84) &amp; LEFT(G84, L84)</f>
        <v>1010101100110011110000101010</v>
      </c>
      <c r="H85" s="6"/>
      <c r="I85" s="6"/>
      <c r="K85" s="9">
        <v>3</v>
      </c>
      <c r="L85" s="9">
        <v>2</v>
      </c>
    </row>
    <row r="86" spans="1:12" x14ac:dyDescent="0.25">
      <c r="A86" s="2" t="s">
        <v>51</v>
      </c>
      <c r="B86" s="6" t="str">
        <f t="shared" si="6"/>
        <v>0000110011001010101010111111</v>
      </c>
      <c r="C86" s="6"/>
      <c r="D86" s="6"/>
      <c r="F86" s="2" t="s">
        <v>71</v>
      </c>
      <c r="G86" s="6" t="str">
        <f t="shared" si="7"/>
        <v>1010110011001111000010101010</v>
      </c>
      <c r="H86" s="6"/>
      <c r="I86" s="6"/>
      <c r="K86" s="9">
        <v>4</v>
      </c>
      <c r="L86" s="9">
        <v>2</v>
      </c>
    </row>
    <row r="87" spans="1:12" x14ac:dyDescent="0.25">
      <c r="A87" s="2" t="s">
        <v>52</v>
      </c>
      <c r="B87" s="6" t="str">
        <f t="shared" si="6"/>
        <v>0011001100101010101011111100</v>
      </c>
      <c r="C87" s="6"/>
      <c r="D87" s="6"/>
      <c r="F87" s="2" t="s">
        <v>72</v>
      </c>
      <c r="G87" s="6" t="str">
        <f t="shared" si="7"/>
        <v>1011001100111100001010101010</v>
      </c>
      <c r="H87" s="6"/>
      <c r="I87" s="6"/>
      <c r="K87" s="9">
        <v>5</v>
      </c>
      <c r="L87" s="9">
        <v>2</v>
      </c>
    </row>
    <row r="88" spans="1:12" x14ac:dyDescent="0.25">
      <c r="A88" s="2" t="s">
        <v>53</v>
      </c>
      <c r="B88" s="6" t="str">
        <f t="shared" si="6"/>
        <v>1100110010101010101111110000</v>
      </c>
      <c r="C88" s="6"/>
      <c r="D88" s="6"/>
      <c r="F88" s="2" t="s">
        <v>73</v>
      </c>
      <c r="G88" s="6" t="str">
        <f t="shared" si="7"/>
        <v>1100110011110000101010101010</v>
      </c>
      <c r="H88" s="6"/>
      <c r="I88" s="6"/>
      <c r="K88" s="9">
        <v>6</v>
      </c>
      <c r="L88" s="9">
        <v>2</v>
      </c>
    </row>
    <row r="89" spans="1:12" x14ac:dyDescent="0.25">
      <c r="A89" s="2" t="s">
        <v>54</v>
      </c>
      <c r="B89" s="6" t="str">
        <f t="shared" si="6"/>
        <v>0011001010101010111111000011</v>
      </c>
      <c r="C89" s="6"/>
      <c r="D89" s="6"/>
      <c r="F89" s="2" t="s">
        <v>74</v>
      </c>
      <c r="G89" s="6" t="str">
        <f t="shared" si="7"/>
        <v>0011001111000010101010101011</v>
      </c>
      <c r="H89" s="6"/>
      <c r="I89" s="6"/>
      <c r="K89" s="9">
        <v>7</v>
      </c>
      <c r="L89" s="9">
        <v>2</v>
      </c>
    </row>
    <row r="90" spans="1:12" x14ac:dyDescent="0.25">
      <c r="A90" s="2" t="s">
        <v>55</v>
      </c>
      <c r="B90" s="6" t="str">
        <f t="shared" si="6"/>
        <v>1100101010101011111100001100</v>
      </c>
      <c r="C90" s="6"/>
      <c r="D90" s="6"/>
      <c r="F90" s="2" t="s">
        <v>75</v>
      </c>
      <c r="G90" s="6" t="str">
        <f t="shared" si="7"/>
        <v>1100111100001010101010101100</v>
      </c>
      <c r="H90" s="6"/>
      <c r="I90" s="6"/>
      <c r="K90" s="9">
        <v>8</v>
      </c>
      <c r="L90" s="9">
        <v>2</v>
      </c>
    </row>
    <row r="91" spans="1:12" x14ac:dyDescent="0.25">
      <c r="A91" s="2" t="s">
        <v>56</v>
      </c>
      <c r="B91" s="6" t="str">
        <f t="shared" si="6"/>
        <v>0010101010101111110000110011</v>
      </c>
      <c r="C91" s="6"/>
      <c r="D91" s="6"/>
      <c r="F91" s="2" t="s">
        <v>76</v>
      </c>
      <c r="G91" s="6" t="str">
        <f t="shared" si="7"/>
        <v>0011110000101010101010110011</v>
      </c>
      <c r="H91" s="6"/>
      <c r="I91" s="6"/>
      <c r="K91" s="9">
        <v>9</v>
      </c>
      <c r="L91" s="9">
        <v>1</v>
      </c>
    </row>
    <row r="92" spans="1:12" x14ac:dyDescent="0.25">
      <c r="A92" s="2" t="s">
        <v>57</v>
      </c>
      <c r="B92" s="6" t="str">
        <f t="shared" si="6"/>
        <v>0101010101011111100001100110</v>
      </c>
      <c r="C92" s="6"/>
      <c r="D92" s="6"/>
      <c r="F92" s="2" t="s">
        <v>77</v>
      </c>
      <c r="G92" s="6" t="str">
        <f t="shared" si="7"/>
        <v>0111100001010101010101100110</v>
      </c>
      <c r="H92" s="6"/>
      <c r="I92" s="6"/>
      <c r="K92" s="9">
        <v>10</v>
      </c>
      <c r="L92" s="9">
        <v>2</v>
      </c>
    </row>
    <row r="93" spans="1:12" x14ac:dyDescent="0.25">
      <c r="A93" s="2" t="s">
        <v>58</v>
      </c>
      <c r="B93" s="6" t="str">
        <f t="shared" si="6"/>
        <v>0101010101111110000110011001</v>
      </c>
      <c r="C93" s="6"/>
      <c r="D93" s="6"/>
      <c r="F93" s="2" t="s">
        <v>78</v>
      </c>
      <c r="G93" s="6" t="str">
        <f t="shared" si="7"/>
        <v>1110000101010101010110011001</v>
      </c>
      <c r="H93" s="6"/>
      <c r="I93" s="6"/>
      <c r="K93" s="9">
        <v>11</v>
      </c>
      <c r="L93" s="9">
        <v>2</v>
      </c>
    </row>
    <row r="94" spans="1:12" x14ac:dyDescent="0.25">
      <c r="A94" s="2" t="s">
        <v>59</v>
      </c>
      <c r="B94" s="6" t="str">
        <f t="shared" si="6"/>
        <v>0101010111111000011001100101</v>
      </c>
      <c r="C94" s="6"/>
      <c r="D94" s="6"/>
      <c r="F94" s="2" t="s">
        <v>79</v>
      </c>
      <c r="G94" s="6" t="str">
        <f t="shared" si="7"/>
        <v>1000010101010101011001100111</v>
      </c>
      <c r="H94" s="6"/>
      <c r="I94" s="6"/>
      <c r="K94" s="9">
        <v>12</v>
      </c>
      <c r="L94" s="9">
        <v>2</v>
      </c>
    </row>
    <row r="95" spans="1:12" x14ac:dyDescent="0.25">
      <c r="A95" s="2" t="s">
        <v>60</v>
      </c>
      <c r="B95" s="6" t="str">
        <f t="shared" si="6"/>
        <v>0101011111100001100110010101</v>
      </c>
      <c r="C95" s="6"/>
      <c r="D95" s="6"/>
      <c r="F95" s="2" t="s">
        <v>80</v>
      </c>
      <c r="G95" s="6" t="str">
        <f t="shared" si="7"/>
        <v>0001010101010101100110011110</v>
      </c>
      <c r="H95" s="6"/>
      <c r="I95" s="6"/>
      <c r="K95" s="9">
        <v>13</v>
      </c>
      <c r="L95" s="9">
        <v>2</v>
      </c>
    </row>
    <row r="96" spans="1:12" x14ac:dyDescent="0.25">
      <c r="A96" s="2" t="s">
        <v>61</v>
      </c>
      <c r="B96" s="6" t="str">
        <f t="shared" si="6"/>
        <v>0101111110000110011001010101</v>
      </c>
      <c r="C96" s="6"/>
      <c r="D96" s="6"/>
      <c r="F96" s="2" t="s">
        <v>81</v>
      </c>
      <c r="G96" s="6" t="str">
        <f t="shared" si="7"/>
        <v>0101010101010110011001111000</v>
      </c>
      <c r="H96" s="6"/>
      <c r="I96" s="6"/>
      <c r="K96" s="9">
        <v>14</v>
      </c>
      <c r="L96" s="9">
        <v>2</v>
      </c>
    </row>
    <row r="97" spans="1:12" x14ac:dyDescent="0.25">
      <c r="A97" s="2" t="s">
        <v>62</v>
      </c>
      <c r="B97" s="6" t="str">
        <f t="shared" si="6"/>
        <v>0111111000011001100101010101</v>
      </c>
      <c r="C97" s="6"/>
      <c r="D97" s="6"/>
      <c r="F97" s="2" t="s">
        <v>82</v>
      </c>
      <c r="G97" s="6" t="str">
        <f t="shared" si="7"/>
        <v>0101010101011001100111100001</v>
      </c>
      <c r="H97" s="6"/>
      <c r="I97" s="6"/>
      <c r="K97" s="9">
        <v>15</v>
      </c>
      <c r="L97" s="9">
        <v>2</v>
      </c>
    </row>
    <row r="98" spans="1:12" x14ac:dyDescent="0.25">
      <c r="A98" s="2" t="s">
        <v>63</v>
      </c>
      <c r="B98" s="6" t="str">
        <f t="shared" si="6"/>
        <v>1111100001100110010101010101</v>
      </c>
      <c r="C98" s="6"/>
      <c r="D98" s="6"/>
      <c r="F98" s="2" t="s">
        <v>83</v>
      </c>
      <c r="G98" s="6" t="str">
        <f t="shared" si="7"/>
        <v>0101010101100110011110000101</v>
      </c>
      <c r="H98" s="6"/>
      <c r="I98" s="6"/>
      <c r="K98" s="9">
        <v>16</v>
      </c>
      <c r="L98" s="9">
        <v>1</v>
      </c>
    </row>
    <row r="99" spans="1:12" x14ac:dyDescent="0.25">
      <c r="A99" s="2" t="s">
        <v>64</v>
      </c>
      <c r="B99" s="6" t="str">
        <f t="shared" si="6"/>
        <v>1111000011001100101010101011</v>
      </c>
      <c r="C99" s="6"/>
      <c r="D99" s="6"/>
      <c r="F99" s="2" t="s">
        <v>84</v>
      </c>
      <c r="G99" s="6" t="str">
        <f t="shared" si="7"/>
        <v>1010101011001100111100001010</v>
      </c>
      <c r="H99" s="6"/>
      <c r="I99" s="6"/>
    </row>
    <row r="101" spans="1:12" ht="18.75" x14ac:dyDescent="0.3">
      <c r="A101" s="14" t="s">
        <v>85</v>
      </c>
      <c r="B101" s="14"/>
      <c r="C101" s="12"/>
    </row>
    <row r="103" spans="1:12" x14ac:dyDescent="0.25">
      <c r="A103" s="10" t="s">
        <v>86</v>
      </c>
    </row>
    <row r="104" spans="1:12" x14ac:dyDescent="0.25">
      <c r="A104" s="10">
        <v>1</v>
      </c>
      <c r="B104" s="7" t="str">
        <f>B84&amp;G84</f>
        <v>11100001100110010101010101110101010110011001111000010101</v>
      </c>
      <c r="C104" s="7"/>
      <c r="D104" s="7"/>
      <c r="E104" s="7"/>
      <c r="F104" s="7"/>
      <c r="G104" s="7"/>
    </row>
    <row r="105" spans="1:12" x14ac:dyDescent="0.25">
      <c r="A105" s="10">
        <v>2</v>
      </c>
      <c r="B105" s="7" t="str">
        <f t="shared" ref="B105:B119" si="8">B85&amp;G85</f>
        <v>11000011001100101010101011111010101100110011110000101010</v>
      </c>
      <c r="C105" s="7"/>
      <c r="D105" s="7"/>
      <c r="E105" s="7"/>
      <c r="F105" s="7"/>
      <c r="G105" s="7"/>
    </row>
    <row r="106" spans="1:12" x14ac:dyDescent="0.25">
      <c r="A106" s="10">
        <v>3</v>
      </c>
      <c r="B106" s="7" t="str">
        <f t="shared" si="8"/>
        <v>00001100110010101010101111111010110011001111000010101010</v>
      </c>
      <c r="C106" s="7"/>
      <c r="D106" s="7"/>
      <c r="E106" s="7"/>
      <c r="F106" s="7"/>
      <c r="G106" s="7"/>
    </row>
    <row r="107" spans="1:12" x14ac:dyDescent="0.25">
      <c r="A107" s="10">
        <v>4</v>
      </c>
      <c r="B107" s="7" t="str">
        <f t="shared" si="8"/>
        <v>00110011001010101010111111001011001100111100001010101010</v>
      </c>
      <c r="C107" s="7"/>
      <c r="D107" s="7"/>
      <c r="E107" s="7"/>
      <c r="F107" s="7"/>
      <c r="G107" s="7"/>
    </row>
    <row r="108" spans="1:12" x14ac:dyDescent="0.25">
      <c r="A108" s="10">
        <v>5</v>
      </c>
      <c r="B108" s="7" t="str">
        <f t="shared" si="8"/>
        <v>11001100101010101011111100001100110011110000101010101010</v>
      </c>
      <c r="C108" s="7"/>
      <c r="D108" s="7"/>
      <c r="E108" s="7"/>
      <c r="F108" s="7"/>
      <c r="G108" s="7"/>
    </row>
    <row r="109" spans="1:12" x14ac:dyDescent="0.25">
      <c r="A109" s="10">
        <v>6</v>
      </c>
      <c r="B109" s="7" t="str">
        <f t="shared" si="8"/>
        <v>00110010101010101111110000110011001111000010101010101011</v>
      </c>
      <c r="C109" s="7"/>
      <c r="D109" s="7"/>
      <c r="E109" s="7"/>
      <c r="F109" s="7"/>
      <c r="G109" s="7"/>
    </row>
    <row r="110" spans="1:12" x14ac:dyDescent="0.25">
      <c r="A110" s="10">
        <v>7</v>
      </c>
      <c r="B110" s="7" t="str">
        <f t="shared" si="8"/>
        <v>11001010101010111111000011001100111100001010101010101100</v>
      </c>
      <c r="C110" s="7"/>
      <c r="D110" s="7"/>
      <c r="E110" s="7"/>
      <c r="F110" s="7"/>
      <c r="G110" s="7"/>
    </row>
    <row r="111" spans="1:12" x14ac:dyDescent="0.25">
      <c r="A111" s="10">
        <v>8</v>
      </c>
      <c r="B111" s="7" t="str">
        <f t="shared" si="8"/>
        <v>00101010101011111100001100110011110000101010101010110011</v>
      </c>
      <c r="C111" s="7"/>
      <c r="D111" s="7"/>
      <c r="E111" s="7"/>
      <c r="F111" s="7"/>
      <c r="G111" s="7"/>
    </row>
    <row r="112" spans="1:12" x14ac:dyDescent="0.25">
      <c r="A112" s="10">
        <v>9</v>
      </c>
      <c r="B112" s="7" t="str">
        <f t="shared" si="8"/>
        <v>01010101010111111000011001100111100001010101010101100110</v>
      </c>
      <c r="C112" s="7"/>
      <c r="D112" s="7"/>
      <c r="E112" s="7"/>
      <c r="F112" s="7"/>
      <c r="G112" s="7"/>
    </row>
    <row r="113" spans="1:17" x14ac:dyDescent="0.25">
      <c r="A113" s="10">
        <v>10</v>
      </c>
      <c r="B113" s="7" t="str">
        <f t="shared" si="8"/>
        <v>01010101011111100001100110011110000101010101010110011001</v>
      </c>
      <c r="C113" s="7"/>
      <c r="D113" s="7"/>
      <c r="E113" s="7"/>
      <c r="F113" s="7"/>
      <c r="G113" s="7"/>
    </row>
    <row r="114" spans="1:17" x14ac:dyDescent="0.25">
      <c r="A114" s="10">
        <v>11</v>
      </c>
      <c r="B114" s="7" t="str">
        <f t="shared" si="8"/>
        <v>01010101111110000110011001011000010101010101011001100111</v>
      </c>
      <c r="C114" s="7"/>
      <c r="D114" s="7"/>
      <c r="E114" s="7"/>
      <c r="F114" s="7"/>
      <c r="G114" s="7"/>
    </row>
    <row r="115" spans="1:17" x14ac:dyDescent="0.25">
      <c r="A115" s="10">
        <v>12</v>
      </c>
      <c r="B115" s="7" t="str">
        <f t="shared" si="8"/>
        <v>01010111111000011001100101010001010101010101100110011110</v>
      </c>
      <c r="C115" s="7"/>
      <c r="D115" s="7"/>
      <c r="E115" s="7"/>
      <c r="F115" s="7"/>
      <c r="G115" s="7"/>
    </row>
    <row r="116" spans="1:17" x14ac:dyDescent="0.25">
      <c r="A116" s="10">
        <v>13</v>
      </c>
      <c r="B116" s="7" t="str">
        <f t="shared" si="8"/>
        <v>01011111100001100110010101010101010101010110011001111000</v>
      </c>
      <c r="C116" s="7"/>
      <c r="D116" s="7"/>
      <c r="E116" s="7"/>
      <c r="F116" s="7"/>
      <c r="G116" s="7"/>
    </row>
    <row r="117" spans="1:17" x14ac:dyDescent="0.25">
      <c r="A117" s="10">
        <v>14</v>
      </c>
      <c r="B117" s="7" t="str">
        <f t="shared" si="8"/>
        <v>01111110000110011001010101010101010101011001100111100001</v>
      </c>
      <c r="C117" s="7"/>
      <c r="D117" s="7"/>
      <c r="E117" s="7"/>
      <c r="F117" s="7"/>
      <c r="G117" s="7"/>
    </row>
    <row r="118" spans="1:17" x14ac:dyDescent="0.25">
      <c r="A118" s="10">
        <v>15</v>
      </c>
      <c r="B118" s="7" t="str">
        <f t="shared" si="8"/>
        <v>11111000011001100101010101010101010101100110011110000101</v>
      </c>
      <c r="C118" s="7"/>
      <c r="D118" s="7"/>
      <c r="E118" s="7"/>
      <c r="F118" s="7"/>
      <c r="G118" s="7"/>
    </row>
    <row r="119" spans="1:17" x14ac:dyDescent="0.25">
      <c r="A119" s="10">
        <v>16</v>
      </c>
      <c r="B119" s="7" t="str">
        <f t="shared" si="8"/>
        <v>11110000110011001010101010111010101011001100111100001010</v>
      </c>
      <c r="C119" s="7"/>
      <c r="D119" s="7"/>
      <c r="E119" s="7"/>
      <c r="F119" s="7"/>
      <c r="G119" s="7"/>
    </row>
    <row r="121" spans="1:17" ht="18.75" x14ac:dyDescent="0.3">
      <c r="A121" s="14" t="s">
        <v>90</v>
      </c>
      <c r="B121" s="14"/>
      <c r="C121" s="14"/>
    </row>
    <row r="123" spans="1:17" x14ac:dyDescent="0.25">
      <c r="A123" s="2" t="s">
        <v>87</v>
      </c>
      <c r="B123" s="2" t="s">
        <v>88</v>
      </c>
      <c r="C123" s="2" t="s">
        <v>89</v>
      </c>
      <c r="D123" s="2" t="s">
        <v>91</v>
      </c>
      <c r="E123" s="2" t="s">
        <v>92</v>
      </c>
      <c r="F123" s="2" t="s">
        <v>93</v>
      </c>
      <c r="G123" s="2" t="s">
        <v>94</v>
      </c>
      <c r="H123" s="2" t="s">
        <v>95</v>
      </c>
      <c r="I123" s="2" t="s">
        <v>96</v>
      </c>
      <c r="J123" s="2" t="s">
        <v>97</v>
      </c>
      <c r="K123" s="2" t="s">
        <v>98</v>
      </c>
      <c r="L123" s="2" t="s">
        <v>99</v>
      </c>
      <c r="M123" s="2" t="s">
        <v>100</v>
      </c>
      <c r="N123" s="2" t="s">
        <v>101</v>
      </c>
      <c r="O123" s="2" t="s">
        <v>102</v>
      </c>
      <c r="P123" s="2" t="s">
        <v>103</v>
      </c>
      <c r="Q123" s="2" t="s">
        <v>104</v>
      </c>
    </row>
    <row r="124" spans="1:17" x14ac:dyDescent="0.25">
      <c r="A124" s="2">
        <v>14</v>
      </c>
      <c r="B124" s="3" t="str">
        <f>MID($B$104,A124,1)</f>
        <v>0</v>
      </c>
      <c r="C124" s="3" t="str">
        <f>MID($B$105,A124,1)</f>
        <v>0</v>
      </c>
      <c r="D124" s="3" t="str">
        <f>MID($B$106,A124,1)</f>
        <v>0</v>
      </c>
      <c r="E124" s="3" t="str">
        <f>MID($B$107,A124,1)</f>
        <v>0</v>
      </c>
      <c r="F124" s="3" t="str">
        <f>MID($B$108,A124,1)</f>
        <v>0</v>
      </c>
      <c r="G124" s="3" t="str">
        <f>MID($B$109,A124,1)</f>
        <v>0</v>
      </c>
      <c r="H124" s="3" t="str">
        <f>MID($B$110,A124,1)</f>
        <v>0</v>
      </c>
      <c r="I124" s="3" t="str">
        <f>MID($B$111,A124,1)</f>
        <v>1</v>
      </c>
      <c r="J124" s="3" t="str">
        <f>MID($B$112,A124,1)</f>
        <v>1</v>
      </c>
      <c r="K124" s="3" t="str">
        <f>MID($B$113,A124,1)</f>
        <v>1</v>
      </c>
      <c r="L124" s="3" t="str">
        <f>MID($B$114,A124,1)</f>
        <v>0</v>
      </c>
      <c r="M124" s="3" t="str">
        <f>MID($B$115,A124,1)</f>
        <v>0</v>
      </c>
      <c r="N124" s="3" t="str">
        <f>MID($B$116,A124,1)</f>
        <v>1</v>
      </c>
      <c r="O124" s="3" t="str">
        <f>MID($B$117,A124,1)</f>
        <v>0</v>
      </c>
      <c r="P124" s="3" t="str">
        <f>MID($B$118,A124,1)</f>
        <v>1</v>
      </c>
      <c r="Q124" s="3" t="str">
        <f>MID($B$119,A124,1)</f>
        <v>1</v>
      </c>
    </row>
    <row r="125" spans="1:17" x14ac:dyDescent="0.25">
      <c r="A125" s="2">
        <v>17</v>
      </c>
      <c r="B125" s="3" t="str">
        <f t="shared" ref="B125:B171" si="9">MID($B$104,A125,1)</f>
        <v>0</v>
      </c>
      <c r="C125" s="3" t="str">
        <f t="shared" ref="C125:C171" si="10">MID($B$105,A125,1)</f>
        <v>1</v>
      </c>
      <c r="D125" s="3" t="str">
        <f t="shared" ref="D125:D171" si="11">MID($B$106,A125,1)</f>
        <v>1</v>
      </c>
      <c r="E125" s="3" t="str">
        <f t="shared" ref="E125:E171" si="12">MID($B$107,A125,1)</f>
        <v>1</v>
      </c>
      <c r="F125" s="3" t="str">
        <f t="shared" ref="F125:F171" si="13">MID($B$108,A125,1)</f>
        <v>1</v>
      </c>
      <c r="G125" s="3" t="str">
        <f t="shared" ref="G125:G171" si="14">MID($B$109,A125,1)</f>
        <v>1</v>
      </c>
      <c r="H125" s="3" t="str">
        <f t="shared" ref="H125:H171" si="15">MID($B$110,A125,1)</f>
        <v>1</v>
      </c>
      <c r="I125" s="3" t="str">
        <f t="shared" ref="I125:I171" si="16">MID($B$111,A125,1)</f>
        <v>1</v>
      </c>
      <c r="J125" s="3" t="str">
        <f t="shared" ref="J125:J171" si="17">MID($B$112,A125,1)</f>
        <v>1</v>
      </c>
      <c r="K125" s="3" t="str">
        <f t="shared" ref="K125:K171" si="18">MID($B$113,A125,1)</f>
        <v>0</v>
      </c>
      <c r="L125" s="3" t="str">
        <f t="shared" ref="L125:L171" si="19">MID($B$114,A125,1)</f>
        <v>0</v>
      </c>
      <c r="M125" s="3" t="str">
        <f t="shared" ref="M125:M171" si="20">MID($B$115,A125,1)</f>
        <v>1</v>
      </c>
      <c r="N125" s="3" t="str">
        <f t="shared" ref="N125:N171" si="21">MID($B$116,A125,1)</f>
        <v>0</v>
      </c>
      <c r="O125" s="3" t="str">
        <f t="shared" ref="O125:O171" si="22">MID($B$117,A125,1)</f>
        <v>1</v>
      </c>
      <c r="P125" s="3" t="str">
        <f t="shared" ref="P125:P171" si="23">MID($B$118,A125,1)</f>
        <v>0</v>
      </c>
      <c r="Q125" s="3" t="str">
        <f t="shared" ref="Q125:Q171" si="24">MID($B$119,A125,1)</f>
        <v>1</v>
      </c>
    </row>
    <row r="126" spans="1:17" x14ac:dyDescent="0.25">
      <c r="A126" s="2">
        <v>11</v>
      </c>
      <c r="B126" s="3" t="str">
        <f t="shared" si="9"/>
        <v>0</v>
      </c>
      <c r="C126" s="3" t="str">
        <f t="shared" si="10"/>
        <v>1</v>
      </c>
      <c r="D126" s="3" t="str">
        <f t="shared" si="11"/>
        <v>0</v>
      </c>
      <c r="E126" s="3" t="str">
        <f t="shared" si="12"/>
        <v>1</v>
      </c>
      <c r="F126" s="3" t="str">
        <f t="shared" si="13"/>
        <v>1</v>
      </c>
      <c r="G126" s="3" t="str">
        <f t="shared" si="14"/>
        <v>1</v>
      </c>
      <c r="H126" s="3" t="str">
        <f t="shared" si="15"/>
        <v>1</v>
      </c>
      <c r="I126" s="3" t="str">
        <f t="shared" si="16"/>
        <v>1</v>
      </c>
      <c r="J126" s="3" t="str">
        <f t="shared" si="17"/>
        <v>0</v>
      </c>
      <c r="K126" s="3" t="str">
        <f t="shared" si="18"/>
        <v>1</v>
      </c>
      <c r="L126" s="3" t="str">
        <f t="shared" si="19"/>
        <v>1</v>
      </c>
      <c r="M126" s="3" t="str">
        <f t="shared" si="20"/>
        <v>1</v>
      </c>
      <c r="N126" s="3" t="str">
        <f t="shared" si="21"/>
        <v>0</v>
      </c>
      <c r="O126" s="3" t="str">
        <f t="shared" si="22"/>
        <v>0</v>
      </c>
      <c r="P126" s="3" t="str">
        <f t="shared" si="23"/>
        <v>1</v>
      </c>
      <c r="Q126" s="3" t="str">
        <f t="shared" si="24"/>
        <v>0</v>
      </c>
    </row>
    <row r="127" spans="1:17" x14ac:dyDescent="0.25">
      <c r="A127" s="2">
        <v>24</v>
      </c>
      <c r="B127" s="3" t="str">
        <f t="shared" si="9"/>
        <v>1</v>
      </c>
      <c r="C127" s="3" t="str">
        <f t="shared" si="10"/>
        <v>0</v>
      </c>
      <c r="D127" s="3" t="str">
        <f t="shared" si="11"/>
        <v>1</v>
      </c>
      <c r="E127" s="3" t="str">
        <f t="shared" si="12"/>
        <v>1</v>
      </c>
      <c r="F127" s="3" t="str">
        <f t="shared" si="13"/>
        <v>1</v>
      </c>
      <c r="G127" s="3" t="str">
        <f t="shared" si="14"/>
        <v>0</v>
      </c>
      <c r="H127" s="3" t="str">
        <f t="shared" si="15"/>
        <v>0</v>
      </c>
      <c r="I127" s="3" t="str">
        <f t="shared" si="16"/>
        <v>1</v>
      </c>
      <c r="J127" s="3" t="str">
        <f t="shared" si="17"/>
        <v>0</v>
      </c>
      <c r="K127" s="3" t="str">
        <f t="shared" si="18"/>
        <v>1</v>
      </c>
      <c r="L127" s="3" t="str">
        <f t="shared" si="19"/>
        <v>0</v>
      </c>
      <c r="M127" s="3" t="str">
        <f t="shared" si="20"/>
        <v>1</v>
      </c>
      <c r="N127" s="3" t="str">
        <f t="shared" si="21"/>
        <v>1</v>
      </c>
      <c r="O127" s="3" t="str">
        <f t="shared" si="22"/>
        <v>1</v>
      </c>
      <c r="P127" s="3" t="str">
        <f t="shared" si="23"/>
        <v>1</v>
      </c>
      <c r="Q127" s="3" t="str">
        <f t="shared" si="24"/>
        <v>0</v>
      </c>
    </row>
    <row r="128" spans="1:17" x14ac:dyDescent="0.25">
      <c r="A128" s="2">
        <v>1</v>
      </c>
      <c r="B128" s="3" t="str">
        <f t="shared" si="9"/>
        <v>1</v>
      </c>
      <c r="C128" s="3" t="str">
        <f t="shared" si="10"/>
        <v>1</v>
      </c>
      <c r="D128" s="3" t="str">
        <f t="shared" si="11"/>
        <v>0</v>
      </c>
      <c r="E128" s="3" t="str">
        <f t="shared" si="12"/>
        <v>0</v>
      </c>
      <c r="F128" s="3" t="str">
        <f t="shared" si="13"/>
        <v>1</v>
      </c>
      <c r="G128" s="3" t="str">
        <f t="shared" si="14"/>
        <v>0</v>
      </c>
      <c r="H128" s="3" t="str">
        <f t="shared" si="15"/>
        <v>1</v>
      </c>
      <c r="I128" s="3" t="str">
        <f t="shared" si="16"/>
        <v>0</v>
      </c>
      <c r="J128" s="3" t="str">
        <f t="shared" si="17"/>
        <v>0</v>
      </c>
      <c r="K128" s="3" t="str">
        <f t="shared" si="18"/>
        <v>0</v>
      </c>
      <c r="L128" s="3" t="str">
        <f t="shared" si="19"/>
        <v>0</v>
      </c>
      <c r="M128" s="3" t="str">
        <f t="shared" si="20"/>
        <v>0</v>
      </c>
      <c r="N128" s="3" t="str">
        <f t="shared" si="21"/>
        <v>0</v>
      </c>
      <c r="O128" s="3" t="str">
        <f t="shared" si="22"/>
        <v>0</v>
      </c>
      <c r="P128" s="3" t="str">
        <f t="shared" si="23"/>
        <v>1</v>
      </c>
      <c r="Q128" s="3" t="str">
        <f t="shared" si="24"/>
        <v>1</v>
      </c>
    </row>
    <row r="129" spans="1:17" x14ac:dyDescent="0.25">
      <c r="A129" s="2">
        <v>5</v>
      </c>
      <c r="B129" s="3" t="str">
        <f t="shared" si="9"/>
        <v>0</v>
      </c>
      <c r="C129" s="3" t="str">
        <f t="shared" si="10"/>
        <v>0</v>
      </c>
      <c r="D129" s="3" t="str">
        <f t="shared" si="11"/>
        <v>1</v>
      </c>
      <c r="E129" s="3" t="str">
        <f t="shared" si="12"/>
        <v>0</v>
      </c>
      <c r="F129" s="3" t="str">
        <f t="shared" si="13"/>
        <v>1</v>
      </c>
      <c r="G129" s="3" t="str">
        <f t="shared" si="14"/>
        <v>0</v>
      </c>
      <c r="H129" s="3" t="str">
        <f t="shared" si="15"/>
        <v>1</v>
      </c>
      <c r="I129" s="3" t="str">
        <f t="shared" si="16"/>
        <v>1</v>
      </c>
      <c r="J129" s="3" t="str">
        <f t="shared" si="17"/>
        <v>0</v>
      </c>
      <c r="K129" s="3" t="str">
        <f t="shared" si="18"/>
        <v>0</v>
      </c>
      <c r="L129" s="3" t="str">
        <f t="shared" si="19"/>
        <v>0</v>
      </c>
      <c r="M129" s="3" t="str">
        <f t="shared" si="20"/>
        <v>0</v>
      </c>
      <c r="N129" s="3" t="str">
        <f t="shared" si="21"/>
        <v>1</v>
      </c>
      <c r="O129" s="3" t="str">
        <f t="shared" si="22"/>
        <v>1</v>
      </c>
      <c r="P129" s="3" t="str">
        <f t="shared" si="23"/>
        <v>1</v>
      </c>
      <c r="Q129" s="3" t="str">
        <f t="shared" si="24"/>
        <v>0</v>
      </c>
    </row>
    <row r="130" spans="1:17" x14ac:dyDescent="0.25">
      <c r="A130" s="2">
        <v>3</v>
      </c>
      <c r="B130" s="3" t="str">
        <f t="shared" si="9"/>
        <v>1</v>
      </c>
      <c r="C130" s="3" t="str">
        <f t="shared" si="10"/>
        <v>0</v>
      </c>
      <c r="D130" s="3" t="str">
        <f t="shared" si="11"/>
        <v>0</v>
      </c>
      <c r="E130" s="3" t="str">
        <f t="shared" si="12"/>
        <v>1</v>
      </c>
      <c r="F130" s="3" t="str">
        <f t="shared" si="13"/>
        <v>0</v>
      </c>
      <c r="G130" s="3" t="str">
        <f t="shared" si="14"/>
        <v>1</v>
      </c>
      <c r="H130" s="3" t="str">
        <f t="shared" si="15"/>
        <v>0</v>
      </c>
      <c r="I130" s="3" t="str">
        <f t="shared" si="16"/>
        <v>1</v>
      </c>
      <c r="J130" s="3" t="str">
        <f t="shared" si="17"/>
        <v>0</v>
      </c>
      <c r="K130" s="3" t="str">
        <f t="shared" si="18"/>
        <v>0</v>
      </c>
      <c r="L130" s="3" t="str">
        <f t="shared" si="19"/>
        <v>0</v>
      </c>
      <c r="M130" s="3" t="str">
        <f t="shared" si="20"/>
        <v>0</v>
      </c>
      <c r="N130" s="3" t="str">
        <f t="shared" si="21"/>
        <v>0</v>
      </c>
      <c r="O130" s="3" t="str">
        <f t="shared" si="22"/>
        <v>1</v>
      </c>
      <c r="P130" s="3" t="str">
        <f t="shared" si="23"/>
        <v>1</v>
      </c>
      <c r="Q130" s="3" t="str">
        <f t="shared" si="24"/>
        <v>1</v>
      </c>
    </row>
    <row r="131" spans="1:17" x14ac:dyDescent="0.25">
      <c r="A131" s="2">
        <v>28</v>
      </c>
      <c r="B131" s="3" t="str">
        <f t="shared" si="9"/>
        <v>1</v>
      </c>
      <c r="C131" s="3" t="str">
        <f t="shared" si="10"/>
        <v>1</v>
      </c>
      <c r="D131" s="3" t="str">
        <f t="shared" si="11"/>
        <v>1</v>
      </c>
      <c r="E131" s="3" t="str">
        <f t="shared" si="12"/>
        <v>0</v>
      </c>
      <c r="F131" s="3" t="str">
        <f t="shared" si="13"/>
        <v>0</v>
      </c>
      <c r="G131" s="3" t="str">
        <f t="shared" si="14"/>
        <v>1</v>
      </c>
      <c r="H131" s="3" t="str">
        <f t="shared" si="15"/>
        <v>0</v>
      </c>
      <c r="I131" s="3" t="str">
        <f t="shared" si="16"/>
        <v>1</v>
      </c>
      <c r="J131" s="3" t="str">
        <f t="shared" si="17"/>
        <v>0</v>
      </c>
      <c r="K131" s="3" t="str">
        <f t="shared" si="18"/>
        <v>1</v>
      </c>
      <c r="L131" s="3" t="str">
        <f t="shared" si="19"/>
        <v>1</v>
      </c>
      <c r="M131" s="3" t="str">
        <f t="shared" si="20"/>
        <v>1</v>
      </c>
      <c r="N131" s="3" t="str">
        <f t="shared" si="21"/>
        <v>1</v>
      </c>
      <c r="O131" s="3" t="str">
        <f t="shared" si="22"/>
        <v>1</v>
      </c>
      <c r="P131" s="3" t="str">
        <f t="shared" si="23"/>
        <v>1</v>
      </c>
      <c r="Q131" s="3" t="str">
        <f t="shared" si="24"/>
        <v>1</v>
      </c>
    </row>
    <row r="132" spans="1:17" x14ac:dyDescent="0.25">
      <c r="A132" s="2">
        <v>15</v>
      </c>
      <c r="B132" s="3" t="str">
        <f t="shared" si="9"/>
        <v>0</v>
      </c>
      <c r="C132" s="3" t="str">
        <f t="shared" si="10"/>
        <v>1</v>
      </c>
      <c r="D132" s="3" t="str">
        <f t="shared" si="11"/>
        <v>1</v>
      </c>
      <c r="E132" s="3" t="str">
        <f t="shared" si="12"/>
        <v>1</v>
      </c>
      <c r="F132" s="3" t="str">
        <f t="shared" si="13"/>
        <v>1</v>
      </c>
      <c r="G132" s="3" t="str">
        <f t="shared" si="14"/>
        <v>1</v>
      </c>
      <c r="H132" s="3" t="str">
        <f t="shared" si="15"/>
        <v>1</v>
      </c>
      <c r="I132" s="3" t="str">
        <f t="shared" si="16"/>
        <v>1</v>
      </c>
      <c r="J132" s="3" t="str">
        <f t="shared" si="17"/>
        <v>1</v>
      </c>
      <c r="K132" s="3" t="str">
        <f t="shared" si="18"/>
        <v>1</v>
      </c>
      <c r="L132" s="3" t="str">
        <f t="shared" si="19"/>
        <v>0</v>
      </c>
      <c r="M132" s="3" t="str">
        <f t="shared" si="20"/>
        <v>0</v>
      </c>
      <c r="N132" s="3" t="str">
        <f t="shared" si="21"/>
        <v>1</v>
      </c>
      <c r="O132" s="3" t="str">
        <f t="shared" si="22"/>
        <v>0</v>
      </c>
      <c r="P132" s="3" t="str">
        <f t="shared" si="23"/>
        <v>1</v>
      </c>
      <c r="Q132" s="3" t="str">
        <f t="shared" si="24"/>
        <v>0</v>
      </c>
    </row>
    <row r="133" spans="1:17" x14ac:dyDescent="0.25">
      <c r="A133" s="2">
        <v>6</v>
      </c>
      <c r="B133" s="3" t="str">
        <f t="shared" si="9"/>
        <v>0</v>
      </c>
      <c r="C133" s="3" t="str">
        <f t="shared" si="10"/>
        <v>0</v>
      </c>
      <c r="D133" s="3" t="str">
        <f t="shared" si="11"/>
        <v>1</v>
      </c>
      <c r="E133" s="3" t="str">
        <f t="shared" si="12"/>
        <v>0</v>
      </c>
      <c r="F133" s="3" t="str">
        <f t="shared" si="13"/>
        <v>1</v>
      </c>
      <c r="G133" s="3" t="str">
        <f t="shared" si="14"/>
        <v>0</v>
      </c>
      <c r="H133" s="3" t="str">
        <f t="shared" si="15"/>
        <v>0</v>
      </c>
      <c r="I133" s="3" t="str">
        <f t="shared" si="16"/>
        <v>0</v>
      </c>
      <c r="J133" s="3" t="str">
        <f t="shared" si="17"/>
        <v>1</v>
      </c>
      <c r="K133" s="3" t="str">
        <f t="shared" si="18"/>
        <v>1</v>
      </c>
      <c r="L133" s="3" t="str">
        <f t="shared" si="19"/>
        <v>1</v>
      </c>
      <c r="M133" s="3" t="str">
        <f t="shared" si="20"/>
        <v>1</v>
      </c>
      <c r="N133" s="3" t="str">
        <f t="shared" si="21"/>
        <v>1</v>
      </c>
      <c r="O133" s="3" t="str">
        <f t="shared" si="22"/>
        <v>1</v>
      </c>
      <c r="P133" s="3" t="str">
        <f t="shared" si="23"/>
        <v>0</v>
      </c>
      <c r="Q133" s="3" t="str">
        <f t="shared" si="24"/>
        <v>0</v>
      </c>
    </row>
    <row r="134" spans="1:17" x14ac:dyDescent="0.25">
      <c r="A134" s="2">
        <v>21</v>
      </c>
      <c r="B134" s="3" t="str">
        <f t="shared" si="9"/>
        <v>0</v>
      </c>
      <c r="C134" s="3" t="str">
        <f t="shared" si="10"/>
        <v>1</v>
      </c>
      <c r="D134" s="3" t="str">
        <f t="shared" si="11"/>
        <v>1</v>
      </c>
      <c r="E134" s="3" t="str">
        <f t="shared" si="12"/>
        <v>1</v>
      </c>
      <c r="F134" s="3" t="str">
        <f t="shared" si="13"/>
        <v>1</v>
      </c>
      <c r="G134" s="3" t="str">
        <f t="shared" si="14"/>
        <v>1</v>
      </c>
      <c r="H134" s="3" t="str">
        <f t="shared" si="15"/>
        <v>0</v>
      </c>
      <c r="I134" s="3" t="str">
        <f t="shared" si="16"/>
        <v>0</v>
      </c>
      <c r="J134" s="3" t="str">
        <f t="shared" si="17"/>
        <v>0</v>
      </c>
      <c r="K134" s="3" t="str">
        <f t="shared" si="18"/>
        <v>1</v>
      </c>
      <c r="L134" s="3" t="str">
        <f t="shared" si="19"/>
        <v>0</v>
      </c>
      <c r="M134" s="3" t="str">
        <f t="shared" si="20"/>
        <v>1</v>
      </c>
      <c r="N134" s="3" t="str">
        <f t="shared" si="21"/>
        <v>0</v>
      </c>
      <c r="O134" s="3" t="str">
        <f t="shared" si="22"/>
        <v>0</v>
      </c>
      <c r="P134" s="3" t="str">
        <f t="shared" si="23"/>
        <v>0</v>
      </c>
      <c r="Q134" s="3" t="str">
        <f t="shared" si="24"/>
        <v>1</v>
      </c>
    </row>
    <row r="135" spans="1:17" x14ac:dyDescent="0.25">
      <c r="A135" s="2">
        <v>10</v>
      </c>
      <c r="B135" s="3" t="str">
        <f t="shared" si="9"/>
        <v>0</v>
      </c>
      <c r="C135" s="3" t="str">
        <f t="shared" si="10"/>
        <v>0</v>
      </c>
      <c r="D135" s="3" t="str">
        <f t="shared" si="11"/>
        <v>1</v>
      </c>
      <c r="E135" s="3" t="str">
        <f t="shared" si="12"/>
        <v>0</v>
      </c>
      <c r="F135" s="3" t="str">
        <f t="shared" si="13"/>
        <v>0</v>
      </c>
      <c r="G135" s="3" t="str">
        <f t="shared" si="14"/>
        <v>0</v>
      </c>
      <c r="H135" s="3" t="str">
        <f t="shared" si="15"/>
        <v>0</v>
      </c>
      <c r="I135" s="3" t="str">
        <f t="shared" si="16"/>
        <v>0</v>
      </c>
      <c r="J135" s="3" t="str">
        <f t="shared" si="17"/>
        <v>1</v>
      </c>
      <c r="K135" s="3" t="str">
        <f t="shared" si="18"/>
        <v>1</v>
      </c>
      <c r="L135" s="3" t="str">
        <f t="shared" si="19"/>
        <v>1</v>
      </c>
      <c r="M135" s="3" t="str">
        <f t="shared" si="20"/>
        <v>1</v>
      </c>
      <c r="N135" s="3" t="str">
        <f t="shared" si="21"/>
        <v>0</v>
      </c>
      <c r="O135" s="3" t="str">
        <f t="shared" si="22"/>
        <v>0</v>
      </c>
      <c r="P135" s="3" t="str">
        <f t="shared" si="23"/>
        <v>1</v>
      </c>
      <c r="Q135" s="3" t="str">
        <f t="shared" si="24"/>
        <v>1</v>
      </c>
    </row>
    <row r="136" spans="1:17" x14ac:dyDescent="0.25">
      <c r="A136" s="2">
        <v>23</v>
      </c>
      <c r="B136" s="3" t="str">
        <f t="shared" si="9"/>
        <v>0</v>
      </c>
      <c r="C136" s="3" t="str">
        <f t="shared" si="10"/>
        <v>1</v>
      </c>
      <c r="D136" s="3" t="str">
        <f t="shared" si="11"/>
        <v>1</v>
      </c>
      <c r="E136" s="3" t="str">
        <f t="shared" si="12"/>
        <v>1</v>
      </c>
      <c r="F136" s="3" t="str">
        <f t="shared" si="13"/>
        <v>1</v>
      </c>
      <c r="G136" s="3" t="str">
        <f t="shared" si="14"/>
        <v>0</v>
      </c>
      <c r="H136" s="3" t="str">
        <f t="shared" si="15"/>
        <v>0</v>
      </c>
      <c r="I136" s="3" t="str">
        <f t="shared" si="16"/>
        <v>1</v>
      </c>
      <c r="J136" s="3" t="str">
        <f t="shared" si="17"/>
        <v>1</v>
      </c>
      <c r="K136" s="3" t="str">
        <f t="shared" si="18"/>
        <v>0</v>
      </c>
      <c r="L136" s="3" t="str">
        <f t="shared" si="19"/>
        <v>1</v>
      </c>
      <c r="M136" s="3" t="str">
        <f t="shared" si="20"/>
        <v>0</v>
      </c>
      <c r="N136" s="3" t="str">
        <f t="shared" si="21"/>
        <v>0</v>
      </c>
      <c r="O136" s="3" t="str">
        <f t="shared" si="22"/>
        <v>0</v>
      </c>
      <c r="P136" s="3" t="str">
        <f t="shared" si="23"/>
        <v>0</v>
      </c>
      <c r="Q136" s="3" t="str">
        <f t="shared" si="24"/>
        <v>1</v>
      </c>
    </row>
    <row r="137" spans="1:17" x14ac:dyDescent="0.25">
      <c r="A137" s="2">
        <v>19</v>
      </c>
      <c r="B137" s="3" t="str">
        <f t="shared" si="9"/>
        <v>0</v>
      </c>
      <c r="C137" s="3" t="str">
        <f t="shared" si="10"/>
        <v>1</v>
      </c>
      <c r="D137" s="3" t="str">
        <f t="shared" si="11"/>
        <v>1</v>
      </c>
      <c r="E137" s="3" t="str">
        <f t="shared" si="12"/>
        <v>1</v>
      </c>
      <c r="F137" s="3" t="str">
        <f t="shared" si="13"/>
        <v>1</v>
      </c>
      <c r="G137" s="3" t="str">
        <f t="shared" si="14"/>
        <v>1</v>
      </c>
      <c r="H137" s="3" t="str">
        <f t="shared" si="15"/>
        <v>1</v>
      </c>
      <c r="I137" s="3" t="str">
        <f t="shared" si="16"/>
        <v>0</v>
      </c>
      <c r="J137" s="3" t="str">
        <f t="shared" si="17"/>
        <v>0</v>
      </c>
      <c r="K137" s="3" t="str">
        <f t="shared" si="18"/>
        <v>0</v>
      </c>
      <c r="L137" s="3" t="str">
        <f t="shared" si="19"/>
        <v>1</v>
      </c>
      <c r="M137" s="3" t="str">
        <f t="shared" si="20"/>
        <v>0</v>
      </c>
      <c r="N137" s="3" t="str">
        <f t="shared" si="21"/>
        <v>1</v>
      </c>
      <c r="O137" s="3" t="str">
        <f t="shared" si="22"/>
        <v>0</v>
      </c>
      <c r="P137" s="3" t="str">
        <f t="shared" si="23"/>
        <v>0</v>
      </c>
      <c r="Q137" s="3" t="str">
        <f t="shared" si="24"/>
        <v>1</v>
      </c>
    </row>
    <row r="138" spans="1:17" x14ac:dyDescent="0.25">
      <c r="A138" s="2">
        <v>12</v>
      </c>
      <c r="B138" s="3" t="str">
        <f t="shared" si="9"/>
        <v>1</v>
      </c>
      <c r="C138" s="3" t="str">
        <f t="shared" si="10"/>
        <v>1</v>
      </c>
      <c r="D138" s="3" t="str">
        <f t="shared" si="11"/>
        <v>0</v>
      </c>
      <c r="E138" s="3" t="str">
        <f t="shared" si="12"/>
        <v>0</v>
      </c>
      <c r="F138" s="3" t="str">
        <f t="shared" si="13"/>
        <v>0</v>
      </c>
      <c r="G138" s="3" t="str">
        <f t="shared" si="14"/>
        <v>0</v>
      </c>
      <c r="H138" s="3" t="str">
        <f t="shared" si="15"/>
        <v>0</v>
      </c>
      <c r="I138" s="3" t="str">
        <f t="shared" si="16"/>
        <v>0</v>
      </c>
      <c r="J138" s="3" t="str">
        <f t="shared" si="17"/>
        <v>1</v>
      </c>
      <c r="K138" s="3" t="str">
        <f t="shared" si="18"/>
        <v>1</v>
      </c>
      <c r="L138" s="3" t="str">
        <f t="shared" si="19"/>
        <v>1</v>
      </c>
      <c r="M138" s="3" t="str">
        <f t="shared" si="20"/>
        <v>0</v>
      </c>
      <c r="N138" s="3" t="str">
        <f t="shared" si="21"/>
        <v>0</v>
      </c>
      <c r="O138" s="3" t="str">
        <f t="shared" si="22"/>
        <v>1</v>
      </c>
      <c r="P138" s="3" t="str">
        <f t="shared" si="23"/>
        <v>0</v>
      </c>
      <c r="Q138" s="3" t="str">
        <f t="shared" si="24"/>
        <v>0</v>
      </c>
    </row>
    <row r="139" spans="1:17" x14ac:dyDescent="0.25">
      <c r="A139" s="2">
        <v>4</v>
      </c>
      <c r="B139" s="3" t="str">
        <f t="shared" si="9"/>
        <v>0</v>
      </c>
      <c r="C139" s="3" t="str">
        <f t="shared" si="10"/>
        <v>0</v>
      </c>
      <c r="D139" s="3" t="str">
        <f t="shared" si="11"/>
        <v>0</v>
      </c>
      <c r="E139" s="3" t="str">
        <f t="shared" si="12"/>
        <v>1</v>
      </c>
      <c r="F139" s="3" t="str">
        <f t="shared" si="13"/>
        <v>0</v>
      </c>
      <c r="G139" s="3" t="str">
        <f t="shared" si="14"/>
        <v>1</v>
      </c>
      <c r="H139" s="3" t="str">
        <f t="shared" si="15"/>
        <v>0</v>
      </c>
      <c r="I139" s="3" t="str">
        <f t="shared" si="16"/>
        <v>0</v>
      </c>
      <c r="J139" s="3" t="str">
        <f t="shared" si="17"/>
        <v>1</v>
      </c>
      <c r="K139" s="3" t="str">
        <f t="shared" si="18"/>
        <v>1</v>
      </c>
      <c r="L139" s="3" t="str">
        <f t="shared" si="19"/>
        <v>1</v>
      </c>
      <c r="M139" s="3" t="str">
        <f t="shared" si="20"/>
        <v>1</v>
      </c>
      <c r="N139" s="3" t="str">
        <f t="shared" si="21"/>
        <v>1</v>
      </c>
      <c r="O139" s="3" t="str">
        <f t="shared" si="22"/>
        <v>1</v>
      </c>
      <c r="P139" s="3" t="str">
        <f t="shared" si="23"/>
        <v>1</v>
      </c>
      <c r="Q139" s="3" t="str">
        <f t="shared" si="24"/>
        <v>1</v>
      </c>
    </row>
    <row r="140" spans="1:17" x14ac:dyDescent="0.25">
      <c r="A140" s="2">
        <v>26</v>
      </c>
      <c r="B140" s="3" t="str">
        <f t="shared" si="9"/>
        <v>1</v>
      </c>
      <c r="C140" s="3" t="str">
        <f t="shared" si="10"/>
        <v>1</v>
      </c>
      <c r="D140" s="3" t="str">
        <f t="shared" si="11"/>
        <v>1</v>
      </c>
      <c r="E140" s="3" t="str">
        <f t="shared" si="12"/>
        <v>1</v>
      </c>
      <c r="F140" s="3" t="str">
        <f t="shared" si="13"/>
        <v>0</v>
      </c>
      <c r="G140" s="3" t="str">
        <f t="shared" si="14"/>
        <v>0</v>
      </c>
      <c r="H140" s="3" t="str">
        <f t="shared" si="15"/>
        <v>1</v>
      </c>
      <c r="I140" s="3" t="str">
        <f t="shared" si="16"/>
        <v>0</v>
      </c>
      <c r="J140" s="3" t="str">
        <f t="shared" si="17"/>
        <v>1</v>
      </c>
      <c r="K140" s="3" t="str">
        <f t="shared" si="18"/>
        <v>0</v>
      </c>
      <c r="L140" s="3" t="str">
        <f t="shared" si="19"/>
        <v>1</v>
      </c>
      <c r="M140" s="3" t="str">
        <f t="shared" si="20"/>
        <v>1</v>
      </c>
      <c r="N140" s="3" t="str">
        <f t="shared" si="21"/>
        <v>1</v>
      </c>
      <c r="O140" s="3" t="str">
        <f t="shared" si="22"/>
        <v>1</v>
      </c>
      <c r="P140" s="3" t="str">
        <f t="shared" si="23"/>
        <v>1</v>
      </c>
      <c r="Q140" s="3" t="str">
        <f t="shared" si="24"/>
        <v>0</v>
      </c>
    </row>
    <row r="141" spans="1:17" x14ac:dyDescent="0.25">
      <c r="A141" s="2">
        <v>8</v>
      </c>
      <c r="B141" s="3" t="str">
        <f t="shared" si="9"/>
        <v>1</v>
      </c>
      <c r="C141" s="3" t="str">
        <f t="shared" si="10"/>
        <v>1</v>
      </c>
      <c r="D141" s="3" t="str">
        <f t="shared" si="11"/>
        <v>0</v>
      </c>
      <c r="E141" s="3" t="str">
        <f t="shared" si="12"/>
        <v>1</v>
      </c>
      <c r="F141" s="3" t="str">
        <f t="shared" si="13"/>
        <v>0</v>
      </c>
      <c r="G141" s="3" t="str">
        <f t="shared" si="14"/>
        <v>0</v>
      </c>
      <c r="H141" s="3" t="str">
        <f t="shared" si="15"/>
        <v>0</v>
      </c>
      <c r="I141" s="3" t="str">
        <f t="shared" si="16"/>
        <v>0</v>
      </c>
      <c r="J141" s="3" t="str">
        <f t="shared" si="17"/>
        <v>1</v>
      </c>
      <c r="K141" s="3" t="str">
        <f t="shared" si="18"/>
        <v>1</v>
      </c>
      <c r="L141" s="3" t="str">
        <f t="shared" si="19"/>
        <v>1</v>
      </c>
      <c r="M141" s="3" t="str">
        <f t="shared" si="20"/>
        <v>1</v>
      </c>
      <c r="N141" s="3" t="str">
        <f t="shared" si="21"/>
        <v>1</v>
      </c>
      <c r="O141" s="3" t="str">
        <f t="shared" si="22"/>
        <v>0</v>
      </c>
      <c r="P141" s="3" t="str">
        <f t="shared" si="23"/>
        <v>0</v>
      </c>
      <c r="Q141" s="3" t="str">
        <f t="shared" si="24"/>
        <v>0</v>
      </c>
    </row>
    <row r="142" spans="1:17" x14ac:dyDescent="0.25">
      <c r="A142" s="2">
        <v>16</v>
      </c>
      <c r="B142" s="3" t="str">
        <f t="shared" si="9"/>
        <v>1</v>
      </c>
      <c r="C142" s="3" t="str">
        <f t="shared" si="10"/>
        <v>0</v>
      </c>
      <c r="D142" s="3" t="str">
        <f t="shared" si="11"/>
        <v>0</v>
      </c>
      <c r="E142" s="3" t="str">
        <f t="shared" si="12"/>
        <v>0</v>
      </c>
      <c r="F142" s="3" t="str">
        <f t="shared" si="13"/>
        <v>0</v>
      </c>
      <c r="G142" s="3" t="str">
        <f t="shared" si="14"/>
        <v>0</v>
      </c>
      <c r="H142" s="3" t="str">
        <f t="shared" si="15"/>
        <v>1</v>
      </c>
      <c r="I142" s="3" t="str">
        <f t="shared" si="16"/>
        <v>1</v>
      </c>
      <c r="J142" s="3" t="str">
        <f t="shared" si="17"/>
        <v>1</v>
      </c>
      <c r="K142" s="3" t="str">
        <f t="shared" si="18"/>
        <v>0</v>
      </c>
      <c r="L142" s="3" t="str">
        <f t="shared" si="19"/>
        <v>0</v>
      </c>
      <c r="M142" s="3" t="str">
        <f t="shared" si="20"/>
        <v>1</v>
      </c>
      <c r="N142" s="3" t="str">
        <f t="shared" si="21"/>
        <v>0</v>
      </c>
      <c r="O142" s="3" t="str">
        <f t="shared" si="22"/>
        <v>1</v>
      </c>
      <c r="P142" s="3" t="str">
        <f t="shared" si="23"/>
        <v>0</v>
      </c>
      <c r="Q142" s="3" t="str">
        <f t="shared" si="24"/>
        <v>0</v>
      </c>
    </row>
    <row r="143" spans="1:17" x14ac:dyDescent="0.25">
      <c r="A143" s="2">
        <v>7</v>
      </c>
      <c r="B143" s="3" t="str">
        <f t="shared" si="9"/>
        <v>0</v>
      </c>
      <c r="C143" s="3" t="str">
        <f t="shared" si="10"/>
        <v>1</v>
      </c>
      <c r="D143" s="3" t="str">
        <f t="shared" si="11"/>
        <v>0</v>
      </c>
      <c r="E143" s="3" t="str">
        <f t="shared" si="12"/>
        <v>1</v>
      </c>
      <c r="F143" s="3" t="str">
        <f t="shared" si="13"/>
        <v>0</v>
      </c>
      <c r="G143" s="3" t="str">
        <f t="shared" si="14"/>
        <v>1</v>
      </c>
      <c r="H143" s="3" t="str">
        <f t="shared" si="15"/>
        <v>1</v>
      </c>
      <c r="I143" s="3" t="str">
        <f t="shared" si="16"/>
        <v>1</v>
      </c>
      <c r="J143" s="3" t="str">
        <f t="shared" si="17"/>
        <v>0</v>
      </c>
      <c r="K143" s="3" t="str">
        <f t="shared" si="18"/>
        <v>0</v>
      </c>
      <c r="L143" s="3" t="str">
        <f t="shared" si="19"/>
        <v>0</v>
      </c>
      <c r="M143" s="3" t="str">
        <f t="shared" si="20"/>
        <v>1</v>
      </c>
      <c r="N143" s="3" t="str">
        <f t="shared" si="21"/>
        <v>1</v>
      </c>
      <c r="O143" s="3" t="str">
        <f t="shared" si="22"/>
        <v>1</v>
      </c>
      <c r="P143" s="3" t="str">
        <f t="shared" si="23"/>
        <v>0</v>
      </c>
      <c r="Q143" s="3" t="str">
        <f t="shared" si="24"/>
        <v>0</v>
      </c>
    </row>
    <row r="144" spans="1:17" x14ac:dyDescent="0.25">
      <c r="A144" s="2">
        <v>27</v>
      </c>
      <c r="B144" s="3" t="str">
        <f t="shared" si="9"/>
        <v>1</v>
      </c>
      <c r="C144" s="3" t="str">
        <f t="shared" si="10"/>
        <v>1</v>
      </c>
      <c r="D144" s="3" t="str">
        <f t="shared" si="11"/>
        <v>1</v>
      </c>
      <c r="E144" s="3" t="str">
        <f t="shared" si="12"/>
        <v>0</v>
      </c>
      <c r="F144" s="3" t="str">
        <f t="shared" si="13"/>
        <v>0</v>
      </c>
      <c r="G144" s="3" t="str">
        <f t="shared" si="14"/>
        <v>1</v>
      </c>
      <c r="H144" s="3" t="str">
        <f t="shared" si="15"/>
        <v>0</v>
      </c>
      <c r="I144" s="3" t="str">
        <f t="shared" si="16"/>
        <v>1</v>
      </c>
      <c r="J144" s="3" t="str">
        <f t="shared" si="17"/>
        <v>1</v>
      </c>
      <c r="K144" s="3" t="str">
        <f t="shared" si="18"/>
        <v>0</v>
      </c>
      <c r="L144" s="3" t="str">
        <f t="shared" si="19"/>
        <v>0</v>
      </c>
      <c r="M144" s="3" t="str">
        <f t="shared" si="20"/>
        <v>0</v>
      </c>
      <c r="N144" s="3" t="str">
        <f t="shared" si="21"/>
        <v>0</v>
      </c>
      <c r="O144" s="3" t="str">
        <f t="shared" si="22"/>
        <v>0</v>
      </c>
      <c r="P144" s="3" t="str">
        <f t="shared" si="23"/>
        <v>0</v>
      </c>
      <c r="Q144" s="3" t="str">
        <f t="shared" si="24"/>
        <v>1</v>
      </c>
    </row>
    <row r="145" spans="1:17" x14ac:dyDescent="0.25">
      <c r="A145" s="2">
        <v>20</v>
      </c>
      <c r="B145" s="3" t="str">
        <f t="shared" si="9"/>
        <v>1</v>
      </c>
      <c r="C145" s="3" t="str">
        <f t="shared" si="10"/>
        <v>0</v>
      </c>
      <c r="D145" s="3" t="str">
        <f t="shared" si="11"/>
        <v>0</v>
      </c>
      <c r="E145" s="3" t="str">
        <f t="shared" si="12"/>
        <v>0</v>
      </c>
      <c r="F145" s="3" t="str">
        <f t="shared" si="13"/>
        <v>1</v>
      </c>
      <c r="G145" s="3" t="str">
        <f t="shared" si="14"/>
        <v>1</v>
      </c>
      <c r="H145" s="3" t="str">
        <f t="shared" si="15"/>
        <v>1</v>
      </c>
      <c r="I145" s="3" t="str">
        <f t="shared" si="16"/>
        <v>0</v>
      </c>
      <c r="J145" s="3" t="str">
        <f t="shared" si="17"/>
        <v>0</v>
      </c>
      <c r="K145" s="3" t="str">
        <f t="shared" si="18"/>
        <v>1</v>
      </c>
      <c r="L145" s="3" t="str">
        <f t="shared" si="19"/>
        <v>0</v>
      </c>
      <c r="M145" s="3" t="str">
        <f t="shared" si="20"/>
        <v>1</v>
      </c>
      <c r="N145" s="3" t="str">
        <f t="shared" si="21"/>
        <v>0</v>
      </c>
      <c r="O145" s="3" t="str">
        <f t="shared" si="22"/>
        <v>1</v>
      </c>
      <c r="P145" s="3" t="str">
        <f t="shared" si="23"/>
        <v>1</v>
      </c>
      <c r="Q145" s="3" t="str">
        <f t="shared" si="24"/>
        <v>0</v>
      </c>
    </row>
    <row r="146" spans="1:17" x14ac:dyDescent="0.25">
      <c r="A146" s="2">
        <v>13</v>
      </c>
      <c r="B146" s="3" t="str">
        <f t="shared" si="9"/>
        <v>1</v>
      </c>
      <c r="C146" s="3" t="str">
        <f t="shared" si="10"/>
        <v>0</v>
      </c>
      <c r="D146" s="3" t="str">
        <f t="shared" si="11"/>
        <v>1</v>
      </c>
      <c r="E146" s="3" t="str">
        <f t="shared" si="12"/>
        <v>1</v>
      </c>
      <c r="F146" s="3" t="str">
        <f t="shared" si="13"/>
        <v>1</v>
      </c>
      <c r="G146" s="3" t="str">
        <f t="shared" si="14"/>
        <v>1</v>
      </c>
      <c r="H146" s="3" t="str">
        <f t="shared" si="15"/>
        <v>1</v>
      </c>
      <c r="I146" s="3" t="str">
        <f t="shared" si="16"/>
        <v>1</v>
      </c>
      <c r="J146" s="3" t="str">
        <f t="shared" si="17"/>
        <v>1</v>
      </c>
      <c r="K146" s="3" t="str">
        <f t="shared" si="18"/>
        <v>1</v>
      </c>
      <c r="L146" s="3" t="str">
        <f t="shared" si="19"/>
        <v>1</v>
      </c>
      <c r="M146" s="3" t="str">
        <f t="shared" si="20"/>
        <v>0</v>
      </c>
      <c r="N146" s="3" t="str">
        <f t="shared" si="21"/>
        <v>0</v>
      </c>
      <c r="O146" s="3" t="str">
        <f t="shared" si="22"/>
        <v>1</v>
      </c>
      <c r="P146" s="3" t="str">
        <f t="shared" si="23"/>
        <v>0</v>
      </c>
      <c r="Q146" s="3" t="str">
        <f t="shared" si="24"/>
        <v>1</v>
      </c>
    </row>
    <row r="147" spans="1:17" x14ac:dyDescent="0.25">
      <c r="A147" s="2">
        <v>2</v>
      </c>
      <c r="B147" s="3" t="str">
        <f t="shared" si="9"/>
        <v>1</v>
      </c>
      <c r="C147" s="3" t="str">
        <f t="shared" si="10"/>
        <v>1</v>
      </c>
      <c r="D147" s="3" t="str">
        <f t="shared" si="11"/>
        <v>0</v>
      </c>
      <c r="E147" s="3" t="str">
        <f t="shared" si="12"/>
        <v>0</v>
      </c>
      <c r="F147" s="3" t="str">
        <f t="shared" si="13"/>
        <v>1</v>
      </c>
      <c r="G147" s="3" t="str">
        <f t="shared" si="14"/>
        <v>0</v>
      </c>
      <c r="H147" s="3" t="str">
        <f t="shared" si="15"/>
        <v>1</v>
      </c>
      <c r="I147" s="3" t="str">
        <f t="shared" si="16"/>
        <v>0</v>
      </c>
      <c r="J147" s="3" t="str">
        <f t="shared" si="17"/>
        <v>1</v>
      </c>
      <c r="K147" s="3" t="str">
        <f t="shared" si="18"/>
        <v>1</v>
      </c>
      <c r="L147" s="3" t="str">
        <f t="shared" si="19"/>
        <v>1</v>
      </c>
      <c r="M147" s="3" t="str">
        <f t="shared" si="20"/>
        <v>1</v>
      </c>
      <c r="N147" s="3" t="str">
        <f t="shared" si="21"/>
        <v>1</v>
      </c>
      <c r="O147" s="3" t="str">
        <f t="shared" si="22"/>
        <v>1</v>
      </c>
      <c r="P147" s="3" t="str">
        <f t="shared" si="23"/>
        <v>1</v>
      </c>
      <c r="Q147" s="3" t="str">
        <f t="shared" si="24"/>
        <v>1</v>
      </c>
    </row>
    <row r="148" spans="1:17" x14ac:dyDescent="0.25">
      <c r="A148" s="2">
        <v>41</v>
      </c>
      <c r="B148" s="3" t="str">
        <f t="shared" si="9"/>
        <v>1</v>
      </c>
      <c r="C148" s="3" t="str">
        <f t="shared" si="10"/>
        <v>0</v>
      </c>
      <c r="D148" s="3" t="str">
        <f t="shared" si="11"/>
        <v>1</v>
      </c>
      <c r="E148" s="3" t="str">
        <f t="shared" si="12"/>
        <v>1</v>
      </c>
      <c r="F148" s="3" t="str">
        <f t="shared" si="13"/>
        <v>0</v>
      </c>
      <c r="G148" s="3" t="str">
        <f t="shared" si="14"/>
        <v>0</v>
      </c>
      <c r="H148" s="3" t="str">
        <f t="shared" si="15"/>
        <v>1</v>
      </c>
      <c r="I148" s="3" t="str">
        <f t="shared" si="16"/>
        <v>1</v>
      </c>
      <c r="J148" s="3" t="str">
        <f t="shared" si="17"/>
        <v>0</v>
      </c>
      <c r="K148" s="3" t="str">
        <f t="shared" si="18"/>
        <v>0</v>
      </c>
      <c r="L148" s="3" t="str">
        <f t="shared" si="19"/>
        <v>0</v>
      </c>
      <c r="M148" s="3" t="str">
        <f t="shared" si="20"/>
        <v>0</v>
      </c>
      <c r="N148" s="3" t="str">
        <f t="shared" si="21"/>
        <v>0</v>
      </c>
      <c r="O148" s="3" t="str">
        <f t="shared" si="22"/>
        <v>1</v>
      </c>
      <c r="P148" s="3" t="str">
        <f t="shared" si="23"/>
        <v>0</v>
      </c>
      <c r="Q148" s="3" t="str">
        <f t="shared" si="24"/>
        <v>1</v>
      </c>
    </row>
    <row r="149" spans="1:17" x14ac:dyDescent="0.25">
      <c r="A149" s="2">
        <v>52</v>
      </c>
      <c r="B149" s="3" t="str">
        <f t="shared" si="9"/>
        <v>1</v>
      </c>
      <c r="C149" s="3" t="str">
        <f t="shared" si="10"/>
        <v>0</v>
      </c>
      <c r="D149" s="3" t="str">
        <f t="shared" si="11"/>
        <v>0</v>
      </c>
      <c r="E149" s="3" t="str">
        <f t="shared" si="12"/>
        <v>0</v>
      </c>
      <c r="F149" s="3" t="str">
        <f t="shared" si="13"/>
        <v>0</v>
      </c>
      <c r="G149" s="3" t="str">
        <f t="shared" si="14"/>
        <v>0</v>
      </c>
      <c r="H149" s="3" t="str">
        <f t="shared" si="15"/>
        <v>0</v>
      </c>
      <c r="I149" s="3" t="str">
        <f t="shared" si="16"/>
        <v>1</v>
      </c>
      <c r="J149" s="3" t="str">
        <f t="shared" si="17"/>
        <v>0</v>
      </c>
      <c r="K149" s="3" t="str">
        <f t="shared" si="18"/>
        <v>1</v>
      </c>
      <c r="L149" s="3" t="str">
        <f t="shared" si="19"/>
        <v>0</v>
      </c>
      <c r="M149" s="3" t="str">
        <f t="shared" si="20"/>
        <v>1</v>
      </c>
      <c r="N149" s="3" t="str">
        <f t="shared" si="21"/>
        <v>1</v>
      </c>
      <c r="O149" s="3" t="str">
        <f t="shared" si="22"/>
        <v>0</v>
      </c>
      <c r="P149" s="3" t="str">
        <f t="shared" si="23"/>
        <v>0</v>
      </c>
      <c r="Q149" s="3" t="str">
        <f t="shared" si="24"/>
        <v>0</v>
      </c>
    </row>
    <row r="150" spans="1:17" x14ac:dyDescent="0.25">
      <c r="A150" s="2">
        <v>31</v>
      </c>
      <c r="B150" s="3" t="str">
        <f t="shared" si="9"/>
        <v>0</v>
      </c>
      <c r="C150" s="3" t="str">
        <f t="shared" si="10"/>
        <v>1</v>
      </c>
      <c r="D150" s="3" t="str">
        <f t="shared" si="11"/>
        <v>1</v>
      </c>
      <c r="E150" s="3" t="str">
        <f t="shared" si="12"/>
        <v>1</v>
      </c>
      <c r="F150" s="3" t="str">
        <f t="shared" si="13"/>
        <v>0</v>
      </c>
      <c r="G150" s="3" t="str">
        <f t="shared" si="14"/>
        <v>1</v>
      </c>
      <c r="H150" s="3" t="str">
        <f t="shared" si="15"/>
        <v>0</v>
      </c>
      <c r="I150" s="3" t="str">
        <f t="shared" si="16"/>
        <v>1</v>
      </c>
      <c r="J150" s="3" t="str">
        <f t="shared" si="17"/>
        <v>1</v>
      </c>
      <c r="K150" s="3" t="str">
        <f t="shared" si="18"/>
        <v>1</v>
      </c>
      <c r="L150" s="3" t="str">
        <f t="shared" si="19"/>
        <v>0</v>
      </c>
      <c r="M150" s="3" t="str">
        <f t="shared" si="20"/>
        <v>0</v>
      </c>
      <c r="N150" s="3" t="str">
        <f t="shared" si="21"/>
        <v>0</v>
      </c>
      <c r="O150" s="3" t="str">
        <f t="shared" si="22"/>
        <v>0</v>
      </c>
      <c r="P150" s="3" t="str">
        <f t="shared" si="23"/>
        <v>0</v>
      </c>
      <c r="Q150" s="3" t="str">
        <f t="shared" si="24"/>
        <v>1</v>
      </c>
    </row>
    <row r="151" spans="1:17" x14ac:dyDescent="0.25">
      <c r="A151" s="2">
        <v>37</v>
      </c>
      <c r="B151" s="3" t="str">
        <f t="shared" si="9"/>
        <v>1</v>
      </c>
      <c r="C151" s="3" t="str">
        <f t="shared" si="10"/>
        <v>0</v>
      </c>
      <c r="D151" s="3" t="str">
        <f t="shared" si="11"/>
        <v>1</v>
      </c>
      <c r="E151" s="3" t="str">
        <f t="shared" si="12"/>
        <v>0</v>
      </c>
      <c r="F151" s="3" t="str">
        <f t="shared" si="13"/>
        <v>1</v>
      </c>
      <c r="G151" s="3" t="str">
        <f t="shared" si="14"/>
        <v>1</v>
      </c>
      <c r="H151" s="3" t="str">
        <f t="shared" si="15"/>
        <v>0</v>
      </c>
      <c r="I151" s="3" t="str">
        <f t="shared" si="16"/>
        <v>0</v>
      </c>
      <c r="J151" s="3" t="str">
        <f t="shared" si="17"/>
        <v>0</v>
      </c>
      <c r="K151" s="3" t="str">
        <f t="shared" si="18"/>
        <v>0</v>
      </c>
      <c r="L151" s="3" t="str">
        <f t="shared" si="19"/>
        <v>0</v>
      </c>
      <c r="M151" s="3" t="str">
        <f t="shared" si="20"/>
        <v>0</v>
      </c>
      <c r="N151" s="3" t="str">
        <f t="shared" si="21"/>
        <v>0</v>
      </c>
      <c r="O151" s="3" t="str">
        <f t="shared" si="22"/>
        <v>0</v>
      </c>
      <c r="P151" s="3" t="str">
        <f t="shared" si="23"/>
        <v>0</v>
      </c>
      <c r="Q151" s="3" t="str">
        <f t="shared" si="24"/>
        <v>1</v>
      </c>
    </row>
    <row r="152" spans="1:17" x14ac:dyDescent="0.25">
      <c r="A152" s="2">
        <v>47</v>
      </c>
      <c r="B152" s="3" t="str">
        <f t="shared" si="9"/>
        <v>1</v>
      </c>
      <c r="C152" s="3" t="str">
        <f t="shared" si="10"/>
        <v>0</v>
      </c>
      <c r="D152" s="3" t="str">
        <f t="shared" si="11"/>
        <v>0</v>
      </c>
      <c r="E152" s="3" t="str">
        <f t="shared" si="12"/>
        <v>1</v>
      </c>
      <c r="F152" s="3" t="str">
        <f t="shared" si="13"/>
        <v>1</v>
      </c>
      <c r="G152" s="3" t="str">
        <f t="shared" si="14"/>
        <v>1</v>
      </c>
      <c r="H152" s="3" t="str">
        <f t="shared" si="15"/>
        <v>1</v>
      </c>
      <c r="I152" s="3" t="str">
        <f t="shared" si="16"/>
        <v>1</v>
      </c>
      <c r="J152" s="3" t="str">
        <f t="shared" si="17"/>
        <v>0</v>
      </c>
      <c r="K152" s="3" t="str">
        <f t="shared" si="18"/>
        <v>0</v>
      </c>
      <c r="L152" s="3" t="str">
        <f t="shared" si="19"/>
        <v>1</v>
      </c>
      <c r="M152" s="3" t="str">
        <f t="shared" si="20"/>
        <v>0</v>
      </c>
      <c r="N152" s="3" t="str">
        <f t="shared" si="21"/>
        <v>1</v>
      </c>
      <c r="O152" s="3" t="str">
        <f t="shared" si="22"/>
        <v>0</v>
      </c>
      <c r="P152" s="3" t="str">
        <f t="shared" si="23"/>
        <v>1</v>
      </c>
      <c r="Q152" s="3" t="str">
        <f t="shared" si="24"/>
        <v>1</v>
      </c>
    </row>
    <row r="153" spans="1:17" x14ac:dyDescent="0.25">
      <c r="A153" s="2">
        <v>55</v>
      </c>
      <c r="B153" s="3" t="str">
        <f t="shared" si="9"/>
        <v>0</v>
      </c>
      <c r="C153" s="3" t="str">
        <f t="shared" si="10"/>
        <v>1</v>
      </c>
      <c r="D153" s="3" t="str">
        <f t="shared" si="11"/>
        <v>1</v>
      </c>
      <c r="E153" s="3" t="str">
        <f t="shared" si="12"/>
        <v>1</v>
      </c>
      <c r="F153" s="3" t="str">
        <f t="shared" si="13"/>
        <v>1</v>
      </c>
      <c r="G153" s="3" t="str">
        <f t="shared" si="14"/>
        <v>1</v>
      </c>
      <c r="H153" s="3" t="str">
        <f t="shared" si="15"/>
        <v>0</v>
      </c>
      <c r="I153" s="3" t="str">
        <f t="shared" si="16"/>
        <v>1</v>
      </c>
      <c r="J153" s="3" t="str">
        <f t="shared" si="17"/>
        <v>1</v>
      </c>
      <c r="K153" s="3" t="str">
        <f t="shared" si="18"/>
        <v>0</v>
      </c>
      <c r="L153" s="3" t="str">
        <f t="shared" si="19"/>
        <v>1</v>
      </c>
      <c r="M153" s="3" t="str">
        <f t="shared" si="20"/>
        <v>1</v>
      </c>
      <c r="N153" s="3" t="str">
        <f t="shared" si="21"/>
        <v>0</v>
      </c>
      <c r="O153" s="3" t="str">
        <f t="shared" si="22"/>
        <v>0</v>
      </c>
      <c r="P153" s="3" t="str">
        <f t="shared" si="23"/>
        <v>0</v>
      </c>
      <c r="Q153" s="3" t="str">
        <f t="shared" si="24"/>
        <v>1</v>
      </c>
    </row>
    <row r="154" spans="1:17" x14ac:dyDescent="0.25">
      <c r="A154" s="2">
        <v>30</v>
      </c>
      <c r="B154" s="3" t="str">
        <f t="shared" si="9"/>
        <v>1</v>
      </c>
      <c r="C154" s="3" t="str">
        <f t="shared" si="10"/>
        <v>0</v>
      </c>
      <c r="D154" s="3" t="str">
        <f t="shared" si="11"/>
        <v>0</v>
      </c>
      <c r="E154" s="3" t="str">
        <f t="shared" si="12"/>
        <v>0</v>
      </c>
      <c r="F154" s="3" t="str">
        <f t="shared" si="13"/>
        <v>1</v>
      </c>
      <c r="G154" s="3" t="str">
        <f t="shared" si="14"/>
        <v>0</v>
      </c>
      <c r="H154" s="3" t="str">
        <f t="shared" si="15"/>
        <v>1</v>
      </c>
      <c r="I154" s="3" t="str">
        <f t="shared" si="16"/>
        <v>0</v>
      </c>
      <c r="J154" s="3" t="str">
        <f t="shared" si="17"/>
        <v>1</v>
      </c>
      <c r="K154" s="3" t="str">
        <f t="shared" si="18"/>
        <v>1</v>
      </c>
      <c r="L154" s="3" t="str">
        <f t="shared" si="19"/>
        <v>0</v>
      </c>
      <c r="M154" s="3" t="str">
        <f t="shared" si="20"/>
        <v>0</v>
      </c>
      <c r="N154" s="3" t="str">
        <f t="shared" si="21"/>
        <v>1</v>
      </c>
      <c r="O154" s="3" t="str">
        <f t="shared" si="22"/>
        <v>1</v>
      </c>
      <c r="P154" s="3" t="str">
        <f t="shared" si="23"/>
        <v>1</v>
      </c>
      <c r="Q154" s="3" t="str">
        <f t="shared" si="24"/>
        <v>0</v>
      </c>
    </row>
    <row r="155" spans="1:17" x14ac:dyDescent="0.25">
      <c r="A155" s="2">
        <v>40</v>
      </c>
      <c r="B155" s="3" t="str">
        <f t="shared" si="9"/>
        <v>1</v>
      </c>
      <c r="C155" s="3" t="str">
        <f t="shared" si="10"/>
        <v>1</v>
      </c>
      <c r="D155" s="3" t="str">
        <f t="shared" si="11"/>
        <v>0</v>
      </c>
      <c r="E155" s="3" t="str">
        <f t="shared" si="12"/>
        <v>1</v>
      </c>
      <c r="F155" s="3" t="str">
        <f t="shared" si="13"/>
        <v>1</v>
      </c>
      <c r="G155" s="3" t="str">
        <f t="shared" si="14"/>
        <v>0</v>
      </c>
      <c r="H155" s="3" t="str">
        <f t="shared" si="15"/>
        <v>0</v>
      </c>
      <c r="I155" s="3" t="str">
        <f t="shared" si="16"/>
        <v>0</v>
      </c>
      <c r="J155" s="3" t="str">
        <f t="shared" si="17"/>
        <v>1</v>
      </c>
      <c r="K155" s="3" t="str">
        <f t="shared" si="18"/>
        <v>1</v>
      </c>
      <c r="L155" s="3" t="str">
        <f t="shared" si="19"/>
        <v>1</v>
      </c>
      <c r="M155" s="3" t="str">
        <f t="shared" si="20"/>
        <v>1</v>
      </c>
      <c r="N155" s="3" t="str">
        <f t="shared" si="21"/>
        <v>1</v>
      </c>
      <c r="O155" s="3" t="str">
        <f t="shared" si="22"/>
        <v>1</v>
      </c>
      <c r="P155" s="3" t="str">
        <f t="shared" si="23"/>
        <v>0</v>
      </c>
      <c r="Q155" s="3" t="str">
        <f t="shared" si="24"/>
        <v>0</v>
      </c>
    </row>
    <row r="156" spans="1:17" x14ac:dyDescent="0.25">
      <c r="A156" s="2">
        <v>51</v>
      </c>
      <c r="B156" s="3" t="str">
        <f t="shared" si="9"/>
        <v>0</v>
      </c>
      <c r="C156" s="3" t="str">
        <f t="shared" si="10"/>
        <v>1</v>
      </c>
      <c r="D156" s="3" t="str">
        <f t="shared" si="11"/>
        <v>1</v>
      </c>
      <c r="E156" s="3" t="str">
        <f t="shared" si="12"/>
        <v>1</v>
      </c>
      <c r="F156" s="3" t="str">
        <f t="shared" si="13"/>
        <v>1</v>
      </c>
      <c r="G156" s="3" t="str">
        <f t="shared" si="14"/>
        <v>1</v>
      </c>
      <c r="H156" s="3" t="str">
        <f t="shared" si="15"/>
        <v>1</v>
      </c>
      <c r="I156" s="3" t="str">
        <f t="shared" si="16"/>
        <v>1</v>
      </c>
      <c r="J156" s="3" t="str">
        <f t="shared" si="17"/>
        <v>1</v>
      </c>
      <c r="K156" s="3" t="str">
        <f t="shared" si="18"/>
        <v>0</v>
      </c>
      <c r="L156" s="3" t="str">
        <f t="shared" si="19"/>
        <v>1</v>
      </c>
      <c r="M156" s="3" t="str">
        <f t="shared" si="20"/>
        <v>0</v>
      </c>
      <c r="N156" s="3" t="str">
        <f t="shared" si="21"/>
        <v>1</v>
      </c>
      <c r="O156" s="3" t="str">
        <f t="shared" si="22"/>
        <v>1</v>
      </c>
      <c r="P156" s="3" t="str">
        <f t="shared" si="23"/>
        <v>0</v>
      </c>
      <c r="Q156" s="3" t="str">
        <f t="shared" si="24"/>
        <v>0</v>
      </c>
    </row>
    <row r="157" spans="1:17" x14ac:dyDescent="0.25">
      <c r="A157" s="2">
        <v>45</v>
      </c>
      <c r="B157" s="3" t="str">
        <f t="shared" si="9"/>
        <v>1</v>
      </c>
      <c r="C157" s="3" t="str">
        <f t="shared" si="10"/>
        <v>1</v>
      </c>
      <c r="D157" s="3" t="str">
        <f t="shared" si="11"/>
        <v>0</v>
      </c>
      <c r="E157" s="3" t="str">
        <f t="shared" si="12"/>
        <v>0</v>
      </c>
      <c r="F157" s="3" t="str">
        <f t="shared" si="13"/>
        <v>1</v>
      </c>
      <c r="G157" s="3" t="str">
        <f t="shared" si="14"/>
        <v>1</v>
      </c>
      <c r="H157" s="3" t="str">
        <f t="shared" si="15"/>
        <v>1</v>
      </c>
      <c r="I157" s="3" t="str">
        <f t="shared" si="16"/>
        <v>1</v>
      </c>
      <c r="J157" s="3" t="str">
        <f t="shared" si="17"/>
        <v>0</v>
      </c>
      <c r="K157" s="3" t="str">
        <f t="shared" si="18"/>
        <v>0</v>
      </c>
      <c r="L157" s="3" t="str">
        <f t="shared" si="19"/>
        <v>0</v>
      </c>
      <c r="M157" s="3" t="str">
        <f t="shared" si="20"/>
        <v>1</v>
      </c>
      <c r="N157" s="3" t="str">
        <f t="shared" si="21"/>
        <v>0</v>
      </c>
      <c r="O157" s="3" t="str">
        <f t="shared" si="22"/>
        <v>1</v>
      </c>
      <c r="P157" s="3" t="str">
        <f t="shared" si="23"/>
        <v>0</v>
      </c>
      <c r="Q157" s="3" t="str">
        <f t="shared" si="24"/>
        <v>1</v>
      </c>
    </row>
    <row r="158" spans="1:17" x14ac:dyDescent="0.25">
      <c r="A158" s="2">
        <v>33</v>
      </c>
      <c r="B158" s="3" t="str">
        <f t="shared" si="9"/>
        <v>0</v>
      </c>
      <c r="C158" s="3" t="str">
        <f t="shared" si="10"/>
        <v>1</v>
      </c>
      <c r="D158" s="3" t="str">
        <f t="shared" si="11"/>
        <v>1</v>
      </c>
      <c r="E158" s="3" t="str">
        <f t="shared" si="12"/>
        <v>0</v>
      </c>
      <c r="F158" s="3" t="str">
        <f t="shared" si="13"/>
        <v>1</v>
      </c>
      <c r="G158" s="3" t="str">
        <f t="shared" si="14"/>
        <v>0</v>
      </c>
      <c r="H158" s="3" t="str">
        <f t="shared" si="15"/>
        <v>1</v>
      </c>
      <c r="I158" s="3" t="str">
        <f t="shared" si="16"/>
        <v>1</v>
      </c>
      <c r="J158" s="3" t="str">
        <f t="shared" si="17"/>
        <v>1</v>
      </c>
      <c r="K158" s="3" t="str">
        <f t="shared" si="18"/>
        <v>0</v>
      </c>
      <c r="L158" s="3" t="str">
        <f t="shared" si="19"/>
        <v>0</v>
      </c>
      <c r="M158" s="3" t="str">
        <f t="shared" si="20"/>
        <v>0</v>
      </c>
      <c r="N158" s="3" t="str">
        <f t="shared" si="21"/>
        <v>0</v>
      </c>
      <c r="O158" s="3" t="str">
        <f t="shared" si="22"/>
        <v>0</v>
      </c>
      <c r="P158" s="3" t="str">
        <f t="shared" si="23"/>
        <v>0</v>
      </c>
      <c r="Q158" s="3" t="str">
        <f t="shared" si="24"/>
        <v>1</v>
      </c>
    </row>
    <row r="159" spans="1:17" x14ac:dyDescent="0.25">
      <c r="A159" s="2">
        <v>48</v>
      </c>
      <c r="B159" s="3" t="str">
        <f t="shared" si="9"/>
        <v>0</v>
      </c>
      <c r="C159" s="3" t="str">
        <f t="shared" si="10"/>
        <v>0</v>
      </c>
      <c r="D159" s="3" t="str">
        <f t="shared" si="11"/>
        <v>0</v>
      </c>
      <c r="E159" s="3" t="str">
        <f t="shared" si="12"/>
        <v>0</v>
      </c>
      <c r="F159" s="3" t="str">
        <f t="shared" si="13"/>
        <v>0</v>
      </c>
      <c r="G159" s="3" t="str">
        <f t="shared" si="14"/>
        <v>0</v>
      </c>
      <c r="H159" s="3" t="str">
        <f t="shared" si="15"/>
        <v>0</v>
      </c>
      <c r="I159" s="3" t="str">
        <f t="shared" si="16"/>
        <v>0</v>
      </c>
      <c r="J159" s="3" t="str">
        <f t="shared" si="17"/>
        <v>1</v>
      </c>
      <c r="K159" s="3" t="str">
        <f t="shared" si="18"/>
        <v>1</v>
      </c>
      <c r="L159" s="3" t="str">
        <f t="shared" si="19"/>
        <v>0</v>
      </c>
      <c r="M159" s="3" t="str">
        <f t="shared" si="20"/>
        <v>1</v>
      </c>
      <c r="N159" s="3" t="str">
        <f t="shared" si="21"/>
        <v>0</v>
      </c>
      <c r="O159" s="3" t="str">
        <f t="shared" si="22"/>
        <v>1</v>
      </c>
      <c r="P159" s="3" t="str">
        <f t="shared" si="23"/>
        <v>1</v>
      </c>
      <c r="Q159" s="3" t="str">
        <f t="shared" si="24"/>
        <v>1</v>
      </c>
    </row>
    <row r="160" spans="1:17" x14ac:dyDescent="0.25">
      <c r="A160" s="2">
        <v>44</v>
      </c>
      <c r="B160" s="3" t="str">
        <f t="shared" si="9"/>
        <v>1</v>
      </c>
      <c r="C160" s="3" t="str">
        <f t="shared" si="10"/>
        <v>1</v>
      </c>
      <c r="D160" s="3" t="str">
        <f t="shared" si="11"/>
        <v>1</v>
      </c>
      <c r="E160" s="3" t="str">
        <f t="shared" si="12"/>
        <v>0</v>
      </c>
      <c r="F160" s="3" t="str">
        <f t="shared" si="13"/>
        <v>0</v>
      </c>
      <c r="G160" s="3" t="str">
        <f t="shared" si="14"/>
        <v>0</v>
      </c>
      <c r="H160" s="3" t="str">
        <f t="shared" si="15"/>
        <v>0</v>
      </c>
      <c r="I160" s="3" t="str">
        <f t="shared" si="16"/>
        <v>0</v>
      </c>
      <c r="J160" s="3" t="str">
        <f t="shared" si="17"/>
        <v>1</v>
      </c>
      <c r="K160" s="3" t="str">
        <f t="shared" si="18"/>
        <v>1</v>
      </c>
      <c r="L160" s="3" t="str">
        <f t="shared" si="19"/>
        <v>1</v>
      </c>
      <c r="M160" s="3" t="str">
        <f t="shared" si="20"/>
        <v>1</v>
      </c>
      <c r="N160" s="3" t="str">
        <f t="shared" si="21"/>
        <v>0</v>
      </c>
      <c r="O160" s="3" t="str">
        <f t="shared" si="22"/>
        <v>1</v>
      </c>
      <c r="P160" s="3" t="str">
        <f t="shared" si="23"/>
        <v>0</v>
      </c>
      <c r="Q160" s="3" t="str">
        <f t="shared" si="24"/>
        <v>0</v>
      </c>
    </row>
    <row r="161" spans="1:17" x14ac:dyDescent="0.25">
      <c r="A161" s="2">
        <v>49</v>
      </c>
      <c r="B161" s="3" t="str">
        <f t="shared" si="9"/>
        <v>0</v>
      </c>
      <c r="C161" s="3" t="str">
        <f t="shared" si="10"/>
        <v>0</v>
      </c>
      <c r="D161" s="3" t="str">
        <f t="shared" si="11"/>
        <v>1</v>
      </c>
      <c r="E161" s="3" t="str">
        <f t="shared" si="12"/>
        <v>1</v>
      </c>
      <c r="F161" s="3" t="str">
        <f t="shared" si="13"/>
        <v>1</v>
      </c>
      <c r="G161" s="3" t="str">
        <f t="shared" si="14"/>
        <v>1</v>
      </c>
      <c r="H161" s="3" t="str">
        <f t="shared" si="15"/>
        <v>1</v>
      </c>
      <c r="I161" s="3" t="str">
        <f t="shared" si="16"/>
        <v>1</v>
      </c>
      <c r="J161" s="3" t="str">
        <f t="shared" si="17"/>
        <v>0</v>
      </c>
      <c r="K161" s="3" t="str">
        <f t="shared" si="18"/>
        <v>1</v>
      </c>
      <c r="L161" s="3" t="str">
        <f t="shared" si="19"/>
        <v>0</v>
      </c>
      <c r="M161" s="3" t="str">
        <f t="shared" si="20"/>
        <v>1</v>
      </c>
      <c r="N161" s="3" t="str">
        <f t="shared" si="21"/>
        <v>0</v>
      </c>
      <c r="O161" s="3" t="str">
        <f t="shared" si="22"/>
        <v>1</v>
      </c>
      <c r="P161" s="3" t="str">
        <f t="shared" si="23"/>
        <v>1</v>
      </c>
      <c r="Q161" s="3" t="str">
        <f t="shared" si="24"/>
        <v>0</v>
      </c>
    </row>
    <row r="162" spans="1:17" x14ac:dyDescent="0.25">
      <c r="A162" s="2">
        <v>39</v>
      </c>
      <c r="B162" s="3" t="str">
        <f t="shared" si="9"/>
        <v>0</v>
      </c>
      <c r="C162" s="3" t="str">
        <f t="shared" si="10"/>
        <v>1</v>
      </c>
      <c r="D162" s="3" t="str">
        <f t="shared" si="11"/>
        <v>0</v>
      </c>
      <c r="E162" s="3" t="str">
        <f t="shared" si="12"/>
        <v>1</v>
      </c>
      <c r="F162" s="3" t="str">
        <f t="shared" si="13"/>
        <v>1</v>
      </c>
      <c r="G162" s="3" t="str">
        <f t="shared" si="14"/>
        <v>0</v>
      </c>
      <c r="H162" s="3" t="str">
        <f t="shared" si="15"/>
        <v>0</v>
      </c>
      <c r="I162" s="3" t="str">
        <f t="shared" si="16"/>
        <v>1</v>
      </c>
      <c r="J162" s="3" t="str">
        <f t="shared" si="17"/>
        <v>0</v>
      </c>
      <c r="K162" s="3" t="str">
        <f t="shared" si="18"/>
        <v>0</v>
      </c>
      <c r="L162" s="3" t="str">
        <f t="shared" si="19"/>
        <v>0</v>
      </c>
      <c r="M162" s="3" t="str">
        <f t="shared" si="20"/>
        <v>0</v>
      </c>
      <c r="N162" s="3" t="str">
        <f t="shared" si="21"/>
        <v>0</v>
      </c>
      <c r="O162" s="3" t="str">
        <f t="shared" si="22"/>
        <v>0</v>
      </c>
      <c r="P162" s="3" t="str">
        <f t="shared" si="23"/>
        <v>1</v>
      </c>
      <c r="Q162" s="3" t="str">
        <f t="shared" si="24"/>
        <v>0</v>
      </c>
    </row>
    <row r="163" spans="1:17" x14ac:dyDescent="0.25">
      <c r="A163" s="2">
        <v>56</v>
      </c>
      <c r="B163" s="3" t="str">
        <f t="shared" si="9"/>
        <v>1</v>
      </c>
      <c r="C163" s="3" t="str">
        <f t="shared" si="10"/>
        <v>0</v>
      </c>
      <c r="D163" s="3" t="str">
        <f t="shared" si="11"/>
        <v>0</v>
      </c>
      <c r="E163" s="3" t="str">
        <f t="shared" si="12"/>
        <v>0</v>
      </c>
      <c r="F163" s="3" t="str">
        <f t="shared" si="13"/>
        <v>0</v>
      </c>
      <c r="G163" s="3" t="str">
        <f t="shared" si="14"/>
        <v>1</v>
      </c>
      <c r="H163" s="3" t="str">
        <f t="shared" si="15"/>
        <v>0</v>
      </c>
      <c r="I163" s="3" t="str">
        <f t="shared" si="16"/>
        <v>1</v>
      </c>
      <c r="J163" s="3" t="str">
        <f t="shared" si="17"/>
        <v>0</v>
      </c>
      <c r="K163" s="3" t="str">
        <f t="shared" si="18"/>
        <v>1</v>
      </c>
      <c r="L163" s="3" t="str">
        <f t="shared" si="19"/>
        <v>1</v>
      </c>
      <c r="M163" s="3" t="str">
        <f t="shared" si="20"/>
        <v>0</v>
      </c>
      <c r="N163" s="3" t="str">
        <f t="shared" si="21"/>
        <v>0</v>
      </c>
      <c r="O163" s="3" t="str">
        <f t="shared" si="22"/>
        <v>1</v>
      </c>
      <c r="P163" s="3" t="str">
        <f t="shared" si="23"/>
        <v>1</v>
      </c>
      <c r="Q163" s="3" t="str">
        <f t="shared" si="24"/>
        <v>0</v>
      </c>
    </row>
    <row r="164" spans="1:17" x14ac:dyDescent="0.25">
      <c r="A164" s="2">
        <v>34</v>
      </c>
      <c r="B164" s="3" t="str">
        <f t="shared" si="9"/>
        <v>1</v>
      </c>
      <c r="C164" s="3" t="str">
        <f t="shared" si="10"/>
        <v>0</v>
      </c>
      <c r="D164" s="3" t="str">
        <f t="shared" si="11"/>
        <v>1</v>
      </c>
      <c r="E164" s="3" t="str">
        <f t="shared" si="12"/>
        <v>0</v>
      </c>
      <c r="F164" s="3" t="str">
        <f t="shared" si="13"/>
        <v>1</v>
      </c>
      <c r="G164" s="3" t="str">
        <f t="shared" si="14"/>
        <v>0</v>
      </c>
      <c r="H164" s="3" t="str">
        <f t="shared" si="15"/>
        <v>1</v>
      </c>
      <c r="I164" s="3" t="str">
        <f t="shared" si="16"/>
        <v>1</v>
      </c>
      <c r="J164" s="3" t="str">
        <f t="shared" si="17"/>
        <v>0</v>
      </c>
      <c r="K164" s="3" t="str">
        <f t="shared" si="18"/>
        <v>0</v>
      </c>
      <c r="L164" s="3" t="str">
        <f t="shared" si="19"/>
        <v>1</v>
      </c>
      <c r="M164" s="3" t="str">
        <f t="shared" si="20"/>
        <v>1</v>
      </c>
      <c r="N164" s="3" t="str">
        <f t="shared" si="21"/>
        <v>1</v>
      </c>
      <c r="O164" s="3" t="str">
        <f t="shared" si="22"/>
        <v>1</v>
      </c>
      <c r="P164" s="3" t="str">
        <f t="shared" si="23"/>
        <v>1</v>
      </c>
      <c r="Q164" s="3" t="str">
        <f t="shared" si="24"/>
        <v>0</v>
      </c>
    </row>
    <row r="165" spans="1:17" x14ac:dyDescent="0.25">
      <c r="A165" s="2">
        <v>53</v>
      </c>
      <c r="B165" s="3" t="str">
        <f t="shared" si="9"/>
        <v>0</v>
      </c>
      <c r="C165" s="3" t="str">
        <f t="shared" si="10"/>
        <v>1</v>
      </c>
      <c r="D165" s="3" t="str">
        <f t="shared" si="11"/>
        <v>1</v>
      </c>
      <c r="E165" s="3" t="str">
        <f t="shared" si="12"/>
        <v>1</v>
      </c>
      <c r="F165" s="3" t="str">
        <f t="shared" si="13"/>
        <v>1</v>
      </c>
      <c r="G165" s="3" t="str">
        <f t="shared" si="14"/>
        <v>1</v>
      </c>
      <c r="H165" s="3" t="str">
        <f t="shared" si="15"/>
        <v>1</v>
      </c>
      <c r="I165" s="3" t="str">
        <f t="shared" si="16"/>
        <v>0</v>
      </c>
      <c r="J165" s="3" t="str">
        <f t="shared" si="17"/>
        <v>0</v>
      </c>
      <c r="K165" s="3" t="str">
        <f t="shared" si="18"/>
        <v>1</v>
      </c>
      <c r="L165" s="3" t="str">
        <f t="shared" si="19"/>
        <v>0</v>
      </c>
      <c r="M165" s="3" t="str">
        <f t="shared" si="20"/>
        <v>1</v>
      </c>
      <c r="N165" s="3" t="str">
        <f t="shared" si="21"/>
        <v>1</v>
      </c>
      <c r="O165" s="3" t="str">
        <f t="shared" si="22"/>
        <v>0</v>
      </c>
      <c r="P165" s="3" t="str">
        <f t="shared" si="23"/>
        <v>0</v>
      </c>
      <c r="Q165" s="3" t="str">
        <f t="shared" si="24"/>
        <v>1</v>
      </c>
    </row>
    <row r="166" spans="1:17" x14ac:dyDescent="0.25">
      <c r="A166" s="2">
        <v>46</v>
      </c>
      <c r="B166" s="3" t="str">
        <f t="shared" si="9"/>
        <v>1</v>
      </c>
      <c r="C166" s="3" t="str">
        <f t="shared" si="10"/>
        <v>1</v>
      </c>
      <c r="D166" s="3" t="str">
        <f t="shared" si="11"/>
        <v>0</v>
      </c>
      <c r="E166" s="3" t="str">
        <f t="shared" si="12"/>
        <v>0</v>
      </c>
      <c r="F166" s="3" t="str">
        <f t="shared" si="13"/>
        <v>0</v>
      </c>
      <c r="G166" s="3" t="str">
        <f t="shared" si="14"/>
        <v>0</v>
      </c>
      <c r="H166" s="3" t="str">
        <f t="shared" si="15"/>
        <v>0</v>
      </c>
      <c r="I166" s="3" t="str">
        <f t="shared" si="16"/>
        <v>0</v>
      </c>
      <c r="J166" s="3" t="str">
        <f t="shared" si="17"/>
        <v>1</v>
      </c>
      <c r="K166" s="3" t="str">
        <f t="shared" si="18"/>
        <v>1</v>
      </c>
      <c r="L166" s="3" t="str">
        <f t="shared" si="19"/>
        <v>1</v>
      </c>
      <c r="M166" s="3" t="str">
        <f t="shared" si="20"/>
        <v>0</v>
      </c>
      <c r="N166" s="3" t="str">
        <f t="shared" si="21"/>
        <v>1</v>
      </c>
      <c r="O166" s="3" t="str">
        <f t="shared" si="22"/>
        <v>0</v>
      </c>
      <c r="P166" s="3" t="str">
        <f t="shared" si="23"/>
        <v>1</v>
      </c>
      <c r="Q166" s="3" t="str">
        <f t="shared" si="24"/>
        <v>1</v>
      </c>
    </row>
    <row r="167" spans="1:17" x14ac:dyDescent="0.25">
      <c r="A167" s="2">
        <v>42</v>
      </c>
      <c r="B167" s="3" t="str">
        <f t="shared" si="9"/>
        <v>0</v>
      </c>
      <c r="C167" s="3" t="str">
        <f t="shared" si="10"/>
        <v>0</v>
      </c>
      <c r="D167" s="3" t="str">
        <f t="shared" si="11"/>
        <v>1</v>
      </c>
      <c r="E167" s="3" t="str">
        <f t="shared" si="12"/>
        <v>1</v>
      </c>
      <c r="F167" s="3" t="str">
        <f t="shared" si="13"/>
        <v>0</v>
      </c>
      <c r="G167" s="3" t="str">
        <f t="shared" si="14"/>
        <v>0</v>
      </c>
      <c r="H167" s="3" t="str">
        <f t="shared" si="15"/>
        <v>0</v>
      </c>
      <c r="I167" s="3" t="str">
        <f t="shared" si="16"/>
        <v>0</v>
      </c>
      <c r="J167" s="3" t="str">
        <f t="shared" si="17"/>
        <v>1</v>
      </c>
      <c r="K167" s="3" t="str">
        <f t="shared" si="18"/>
        <v>1</v>
      </c>
      <c r="L167" s="3" t="str">
        <f t="shared" si="19"/>
        <v>1</v>
      </c>
      <c r="M167" s="3" t="str">
        <f t="shared" si="20"/>
        <v>1</v>
      </c>
      <c r="N167" s="3" t="str">
        <f t="shared" si="21"/>
        <v>1</v>
      </c>
      <c r="O167" s="3" t="str">
        <f t="shared" si="22"/>
        <v>0</v>
      </c>
      <c r="P167" s="3" t="str">
        <f t="shared" si="23"/>
        <v>1</v>
      </c>
      <c r="Q167" s="3" t="str">
        <f t="shared" si="24"/>
        <v>1</v>
      </c>
    </row>
    <row r="168" spans="1:17" x14ac:dyDescent="0.25">
      <c r="A168" s="2">
        <v>50</v>
      </c>
      <c r="B168" s="3" t="str">
        <f t="shared" si="9"/>
        <v>0</v>
      </c>
      <c r="C168" s="3" t="str">
        <f t="shared" si="10"/>
        <v>0</v>
      </c>
      <c r="D168" s="3" t="str">
        <f t="shared" si="11"/>
        <v>0</v>
      </c>
      <c r="E168" s="3" t="str">
        <f t="shared" si="12"/>
        <v>0</v>
      </c>
      <c r="F168" s="3" t="str">
        <f t="shared" si="13"/>
        <v>0</v>
      </c>
      <c r="G168" s="3" t="str">
        <f t="shared" si="14"/>
        <v>0</v>
      </c>
      <c r="H168" s="3" t="str">
        <f t="shared" si="15"/>
        <v>0</v>
      </c>
      <c r="I168" s="3" t="str">
        <f t="shared" si="16"/>
        <v>0</v>
      </c>
      <c r="J168" s="3" t="str">
        <f t="shared" si="17"/>
        <v>1</v>
      </c>
      <c r="K168" s="3" t="str">
        <f t="shared" si="18"/>
        <v>0</v>
      </c>
      <c r="L168" s="3" t="str">
        <f t="shared" si="19"/>
        <v>1</v>
      </c>
      <c r="M168" s="3" t="str">
        <f t="shared" si="20"/>
        <v>0</v>
      </c>
      <c r="N168" s="3" t="str">
        <f t="shared" si="21"/>
        <v>1</v>
      </c>
      <c r="O168" s="3" t="str">
        <f t="shared" si="22"/>
        <v>1</v>
      </c>
      <c r="P168" s="3" t="str">
        <f t="shared" si="23"/>
        <v>0</v>
      </c>
      <c r="Q168" s="3" t="str">
        <f t="shared" si="24"/>
        <v>0</v>
      </c>
    </row>
    <row r="169" spans="1:17" x14ac:dyDescent="0.25">
      <c r="A169" s="2">
        <v>36</v>
      </c>
      <c r="B169" s="3" t="str">
        <f t="shared" si="9"/>
        <v>1</v>
      </c>
      <c r="C169" s="3" t="str">
        <f t="shared" si="10"/>
        <v>1</v>
      </c>
      <c r="D169" s="3" t="str">
        <f t="shared" si="11"/>
        <v>0</v>
      </c>
      <c r="E169" s="3" t="str">
        <f t="shared" si="12"/>
        <v>1</v>
      </c>
      <c r="F169" s="3" t="str">
        <f t="shared" si="13"/>
        <v>0</v>
      </c>
      <c r="G169" s="3" t="str">
        <f t="shared" si="14"/>
        <v>1</v>
      </c>
      <c r="H169" s="3" t="str">
        <f t="shared" si="15"/>
        <v>1</v>
      </c>
      <c r="I169" s="3" t="str">
        <f t="shared" si="16"/>
        <v>0</v>
      </c>
      <c r="J169" s="3" t="str">
        <f t="shared" si="17"/>
        <v>0</v>
      </c>
      <c r="K169" s="3" t="str">
        <f t="shared" si="18"/>
        <v>1</v>
      </c>
      <c r="L169" s="3" t="str">
        <f t="shared" si="19"/>
        <v>1</v>
      </c>
      <c r="M169" s="3" t="str">
        <f t="shared" si="20"/>
        <v>1</v>
      </c>
      <c r="N169" s="3" t="str">
        <f t="shared" si="21"/>
        <v>1</v>
      </c>
      <c r="O169" s="3" t="str">
        <f t="shared" si="22"/>
        <v>1</v>
      </c>
      <c r="P169" s="3" t="str">
        <f t="shared" si="23"/>
        <v>1</v>
      </c>
      <c r="Q169" s="3" t="str">
        <f t="shared" si="24"/>
        <v>0</v>
      </c>
    </row>
    <row r="170" spans="1:17" x14ac:dyDescent="0.25">
      <c r="A170" s="2">
        <v>29</v>
      </c>
      <c r="B170" s="3" t="str">
        <f t="shared" si="9"/>
        <v>0</v>
      </c>
      <c r="C170" s="3" t="str">
        <f t="shared" si="10"/>
        <v>1</v>
      </c>
      <c r="D170" s="3" t="str">
        <f t="shared" si="11"/>
        <v>1</v>
      </c>
      <c r="E170" s="3" t="str">
        <f t="shared" si="12"/>
        <v>1</v>
      </c>
      <c r="F170" s="3" t="str">
        <f t="shared" si="13"/>
        <v>1</v>
      </c>
      <c r="G170" s="3" t="str">
        <f t="shared" si="14"/>
        <v>0</v>
      </c>
      <c r="H170" s="3" t="str">
        <f t="shared" si="15"/>
        <v>1</v>
      </c>
      <c r="I170" s="3" t="str">
        <f t="shared" si="16"/>
        <v>0</v>
      </c>
      <c r="J170" s="3" t="str">
        <f t="shared" si="17"/>
        <v>0</v>
      </c>
      <c r="K170" s="3" t="str">
        <f t="shared" si="18"/>
        <v>1</v>
      </c>
      <c r="L170" s="3" t="str">
        <f t="shared" si="19"/>
        <v>1</v>
      </c>
      <c r="M170" s="3" t="str">
        <f t="shared" si="20"/>
        <v>0</v>
      </c>
      <c r="N170" s="3" t="str">
        <f t="shared" si="21"/>
        <v>0</v>
      </c>
      <c r="O170" s="3" t="str">
        <f t="shared" si="22"/>
        <v>0</v>
      </c>
      <c r="P170" s="3" t="str">
        <f t="shared" si="23"/>
        <v>0</v>
      </c>
      <c r="Q170" s="3" t="str">
        <f t="shared" si="24"/>
        <v>1</v>
      </c>
    </row>
    <row r="171" spans="1:17" x14ac:dyDescent="0.25">
      <c r="A171" s="2">
        <v>32</v>
      </c>
      <c r="B171" s="3" t="str">
        <f t="shared" si="9"/>
        <v>1</v>
      </c>
      <c r="C171" s="3" t="str">
        <f t="shared" si="10"/>
        <v>0</v>
      </c>
      <c r="D171" s="3" t="str">
        <f t="shared" si="11"/>
        <v>0</v>
      </c>
      <c r="E171" s="3" t="str">
        <f t="shared" si="12"/>
        <v>1</v>
      </c>
      <c r="F171" s="3" t="str">
        <f t="shared" si="13"/>
        <v>0</v>
      </c>
      <c r="G171" s="3" t="str">
        <f t="shared" si="14"/>
        <v>1</v>
      </c>
      <c r="H171" s="3" t="str">
        <f t="shared" si="15"/>
        <v>0</v>
      </c>
      <c r="I171" s="3" t="str">
        <f t="shared" si="16"/>
        <v>1</v>
      </c>
      <c r="J171" s="3" t="str">
        <f t="shared" si="17"/>
        <v>1</v>
      </c>
      <c r="K171" s="3" t="str">
        <f t="shared" si="18"/>
        <v>0</v>
      </c>
      <c r="L171" s="3" t="str">
        <f t="shared" si="19"/>
        <v>0</v>
      </c>
      <c r="M171" s="3" t="str">
        <f t="shared" si="20"/>
        <v>1</v>
      </c>
      <c r="N171" s="3" t="str">
        <f t="shared" si="21"/>
        <v>1</v>
      </c>
      <c r="O171" s="3" t="str">
        <f t="shared" si="22"/>
        <v>1</v>
      </c>
      <c r="P171" s="3" t="str">
        <f t="shared" si="23"/>
        <v>1</v>
      </c>
      <c r="Q171" s="3" t="str">
        <f t="shared" si="24"/>
        <v>0</v>
      </c>
    </row>
    <row r="173" spans="1:17" x14ac:dyDescent="0.25">
      <c r="A173" s="5" t="s">
        <v>105</v>
      </c>
    </row>
    <row r="174" spans="1:17" x14ac:dyDescent="0.25">
      <c r="A174" s="2" t="s">
        <v>88</v>
      </c>
      <c r="B174" s="7" t="str">
        <f>_xlfn.TEXTJOIN("", TRUE, $B$124:$B$171)</f>
        <v>000110110000001011101111110110110100100110100101</v>
      </c>
      <c r="C174" s="7"/>
      <c r="D174" s="7"/>
      <c r="E174" s="7"/>
      <c r="F174" s="7"/>
    </row>
    <row r="175" spans="1:17" x14ac:dyDescent="0.25">
      <c r="A175" s="2" t="s">
        <v>89</v>
      </c>
      <c r="B175" s="7" t="str">
        <f>_xlfn.TEXTJOIN("", TRUE, $C$124:$C$171)</f>
        <v>011010011010111011011001001001011110101001100110</v>
      </c>
      <c r="C175" s="7"/>
      <c r="D175" s="7"/>
      <c r="E175" s="7"/>
      <c r="F175" s="7"/>
    </row>
    <row r="176" spans="1:17" x14ac:dyDescent="0.25">
      <c r="A176" s="2" t="s">
        <v>91</v>
      </c>
      <c r="B176" s="7" t="str">
        <f>_xlfn.TEXTJOIN("", TRUE, $D$124:$D$171)</f>
        <v>010101011111110010001010101101001010110011010010</v>
      </c>
      <c r="C176" s="7"/>
      <c r="D176" s="7"/>
      <c r="E176" s="7"/>
      <c r="F176" s="7"/>
    </row>
    <row r="177" spans="1:17" x14ac:dyDescent="0.25">
      <c r="A177" s="2" t="s">
        <v>92</v>
      </c>
      <c r="B177" s="7" t="str">
        <f>_xlfn.TEXTJOIN("", TRUE, $E$124:$E$171)</f>
        <v>011100101010110111010010101011011000011001010111</v>
      </c>
      <c r="C177" s="7"/>
      <c r="D177" s="7"/>
      <c r="E177" s="7"/>
      <c r="F177" s="7"/>
    </row>
    <row r="178" spans="1:17" x14ac:dyDescent="0.25">
      <c r="A178" s="2" t="s">
        <v>93</v>
      </c>
      <c r="B178" s="7" t="str">
        <f>_xlfn.TEXTJOIN("", TRUE, $F$124:$F$171)</f>
        <v>011111001110110000000111000111111110011011000010</v>
      </c>
      <c r="C178" s="7"/>
      <c r="D178" s="7"/>
      <c r="E178" s="7"/>
      <c r="F178" s="7"/>
    </row>
    <row r="179" spans="1:17" x14ac:dyDescent="0.25">
      <c r="A179" s="2" t="s">
        <v>94</v>
      </c>
      <c r="B179" s="7" t="str">
        <f>_xlfn.TEXTJOIN("", TRUE, $G$124:$G$171)</f>
        <v>011000111010010100011110001111001100010101000101</v>
      </c>
      <c r="C179" s="7"/>
      <c r="D179" s="7"/>
      <c r="E179" s="7"/>
      <c r="F179" s="7"/>
    </row>
    <row r="180" spans="1:17" x14ac:dyDescent="0.25">
      <c r="A180" s="2" t="s">
        <v>95</v>
      </c>
      <c r="B180" s="7" t="str">
        <f>_xlfn.TEXTJOIN("", TRUE, $H$124:$H$171)</f>
        <v>011011001000010010110111100010101110010011000110</v>
      </c>
      <c r="C180" s="7"/>
      <c r="D180" s="7"/>
      <c r="E180" s="7"/>
      <c r="F180" s="7"/>
    </row>
    <row r="181" spans="1:17" x14ac:dyDescent="0.25">
      <c r="A181" s="2" t="s">
        <v>96</v>
      </c>
      <c r="B181" s="7" t="str">
        <f>_xlfn.TEXTJOIN("", TRUE, $I$124:$I$171)</f>
        <v>111101111000100000111010111011001110011110000001</v>
      </c>
      <c r="C181" s="7"/>
      <c r="D181" s="7"/>
      <c r="E181" s="7"/>
      <c r="F181" s="7"/>
    </row>
    <row r="182" spans="1:17" x14ac:dyDescent="0.25">
      <c r="A182" s="2" t="s">
        <v>97</v>
      </c>
      <c r="B182" s="7" t="str">
        <f>_xlfn.TEXTJOIN("", TRUE, $J$124:$J$171)</f>
        <v>110000001101101111101011001001111011100000111001</v>
      </c>
      <c r="C182" s="7"/>
      <c r="D182" s="7"/>
      <c r="E182" s="7"/>
      <c r="F182" s="7"/>
    </row>
    <row r="183" spans="1:17" x14ac:dyDescent="0.25">
      <c r="A183" s="2" t="s">
        <v>98</v>
      </c>
      <c r="B183" s="7" t="str">
        <f>_xlfn.TEXTJOIN("", TRUE, $K$124:$K$171)</f>
        <v>101100011111001101000111011000110001110101110110</v>
      </c>
      <c r="C183" s="7"/>
      <c r="D183" s="7"/>
      <c r="E183" s="7"/>
      <c r="F183" s="7"/>
    </row>
    <row r="184" spans="1:17" x14ac:dyDescent="0.25">
      <c r="A184" s="2" t="s">
        <v>99</v>
      </c>
      <c r="B184" s="7" t="str">
        <f>_xlfn.TEXTJOIN("", TRUE, $L$124:$L$171)</f>
        <v>001000010101111111000011000011011000100110111110</v>
      </c>
      <c r="C184" s="7"/>
      <c r="D184" s="7"/>
      <c r="E184" s="7"/>
      <c r="F184" s="7"/>
    </row>
    <row r="185" spans="1:17" x14ac:dyDescent="0.25">
      <c r="A185" s="2" t="s">
        <v>100</v>
      </c>
      <c r="B185" s="7" t="str">
        <f>_xlfn.TEXTJOIN("", TRUE, $M$124:$M$171)</f>
        <v>011100010111000111110101010001010101110011010101</v>
      </c>
      <c r="C185" s="7"/>
      <c r="D185" s="7"/>
      <c r="E185" s="7"/>
      <c r="F185" s="7"/>
    </row>
    <row r="186" spans="1:17" x14ac:dyDescent="0.25">
      <c r="A186" s="2" t="s">
        <v>101</v>
      </c>
      <c r="B186" s="7" t="str">
        <f>_xlfn.TEXTJOIN("", TRUE, $N$124:$N$171)</f>
        <v>100101011100010111010001010010111000000011111101</v>
      </c>
      <c r="C186" s="7"/>
      <c r="D186" s="7"/>
      <c r="E186" s="7"/>
      <c r="F186" s="7"/>
    </row>
    <row r="187" spans="1:17" x14ac:dyDescent="0.25">
      <c r="A187" s="2" t="s">
        <v>102</v>
      </c>
      <c r="B187" s="7" t="str">
        <f>_xlfn.TEXTJOIN("", TRUE, $O$124:$O$171)</f>
        <v>010101110100001110110111100000111101110110001101</v>
      </c>
      <c r="C187" s="7"/>
      <c r="D187" s="7"/>
      <c r="E187" s="7"/>
      <c r="F187" s="7"/>
    </row>
    <row r="188" spans="1:17" x14ac:dyDescent="0.25">
      <c r="A188" s="2" t="s">
        <v>103</v>
      </c>
      <c r="B188" s="7" t="str">
        <f>_xlfn.TEXTJOIN("", TRUE, $P$124:$P$171)</f>
        <v>101111111001000110000101000010100001011110110101</v>
      </c>
      <c r="C188" s="7"/>
      <c r="D188" s="7"/>
      <c r="E188" s="7"/>
      <c r="F188" s="7"/>
    </row>
    <row r="189" spans="1:17" x14ac:dyDescent="0.25">
      <c r="A189" s="2" t="s">
        <v>104</v>
      </c>
      <c r="B189" s="7" t="str">
        <f>_xlfn.TEXTJOIN("", TRUE, $Q$124:$Q$171)</f>
        <v>110010110011110100001011101111000111000001110010</v>
      </c>
      <c r="C189" s="7"/>
      <c r="D189" s="7"/>
      <c r="E189" s="7"/>
      <c r="F189" s="7"/>
    </row>
    <row r="191" spans="1:17" x14ac:dyDescent="0.25">
      <c r="A191" s="2" t="s">
        <v>106</v>
      </c>
      <c r="B191" s="2" t="s">
        <v>88</v>
      </c>
      <c r="C191" s="2" t="s">
        <v>89</v>
      </c>
      <c r="D191" s="2" t="s">
        <v>91</v>
      </c>
      <c r="E191" s="2" t="s">
        <v>92</v>
      </c>
      <c r="F191" s="2" t="s">
        <v>93</v>
      </c>
      <c r="G191" s="2" t="s">
        <v>94</v>
      </c>
      <c r="H191" s="2" t="s">
        <v>95</v>
      </c>
      <c r="I191" s="2" t="s">
        <v>96</v>
      </c>
      <c r="J191" s="2" t="s">
        <v>97</v>
      </c>
      <c r="K191" s="2" t="s">
        <v>98</v>
      </c>
      <c r="L191" s="2" t="s">
        <v>99</v>
      </c>
      <c r="M191" s="2" t="s">
        <v>100</v>
      </c>
      <c r="N191" s="2" t="s">
        <v>101</v>
      </c>
      <c r="O191" s="2" t="s">
        <v>102</v>
      </c>
      <c r="P191" s="2" t="s">
        <v>103</v>
      </c>
      <c r="Q191" s="2" t="s">
        <v>104</v>
      </c>
    </row>
    <row r="192" spans="1:17" x14ac:dyDescent="0.25">
      <c r="A192" s="2">
        <v>1</v>
      </c>
      <c r="B192" s="3" t="str">
        <f>BIN2HEX(MID($B$174,(A192-1)*8+1,8),2)</f>
        <v>1B</v>
      </c>
      <c r="C192" s="3" t="str">
        <f>BIN2HEX(MID($B$175,(A192-1)*8+1,8),2)</f>
        <v>69</v>
      </c>
      <c r="D192" s="3" t="str">
        <f>BIN2HEX(MID($B$176,(A192-1)*8+1,8),2)</f>
        <v>55</v>
      </c>
      <c r="E192" s="3" t="str">
        <f>BIN2HEX(MID($B$177,(A192-1)*8+1,8),2)</f>
        <v>72</v>
      </c>
      <c r="F192" s="3" t="str">
        <f>BIN2HEX(MID($B$178,(A192-1)*8+1,8),2)</f>
        <v>7C</v>
      </c>
      <c r="G192" s="3" t="str">
        <f>BIN2HEX(MID($B$179,(A192-1)*8+1,8),2)</f>
        <v>63</v>
      </c>
      <c r="H192" s="3" t="str">
        <f>BIN2HEX(MID($B$180,(A192-1)*8+1,8),2)</f>
        <v>6C</v>
      </c>
      <c r="I192" s="3" t="str">
        <f>BIN2HEX(MID($B$181,(A192-1)*8+1,8),2)</f>
        <v>F7</v>
      </c>
      <c r="J192" s="3" t="str">
        <f>BIN2HEX(MID($B$182,(A192-1)*8+1,8),2)</f>
        <v>C0</v>
      </c>
      <c r="K192" s="3" t="str">
        <f>BIN2HEX(MID($B$183,(A192-1)*8+1,8),2)</f>
        <v>B1</v>
      </c>
      <c r="L192" s="3" t="str">
        <f>BIN2HEX(MID($B$184,(A192-1)*8+1,8),2)</f>
        <v>21</v>
      </c>
      <c r="M192" s="3" t="str">
        <f>BIN2HEX(MID($B$185,(A192-1)*8+1,8),2)</f>
        <v>71</v>
      </c>
      <c r="N192" s="3" t="str">
        <f>BIN2HEX(MID($B$186,(A192-1)*8+1,8),2)</f>
        <v>95</v>
      </c>
      <c r="O192" s="3" t="str">
        <f>BIN2HEX(MID($B$187,(A192-1)*8+1,8),2)</f>
        <v>57</v>
      </c>
      <c r="P192" s="3" t="str">
        <f>BIN2HEX(MID($B$188,(A192-1)*8+1,8),2)</f>
        <v>BF</v>
      </c>
      <c r="Q192" s="3" t="str">
        <f>BIN2HEX(MID($B$189,(A192-1)*8+1,8),2)</f>
        <v>CB</v>
      </c>
    </row>
    <row r="193" spans="1:17" x14ac:dyDescent="0.25">
      <c r="A193" s="2">
        <v>2</v>
      </c>
      <c r="B193" s="3" t="str">
        <f t="shared" ref="B193:B197" si="25">BIN2HEX(MID($B$174,(A193-1)*8+1,8),2)</f>
        <v>02</v>
      </c>
      <c r="C193" s="3" t="str">
        <f t="shared" ref="C193:C197" si="26">BIN2HEX(MID($B$175,(A193-1)*8+1,8),2)</f>
        <v>AE</v>
      </c>
      <c r="D193" s="3" t="str">
        <f t="shared" ref="D193:D197" si="27">BIN2HEX(MID($B$176,(A193-1)*8+1,8),2)</f>
        <v>FC</v>
      </c>
      <c r="E193" s="3" t="str">
        <f t="shared" ref="E193:E197" si="28">BIN2HEX(MID($B$177,(A193-1)*8+1,8),2)</f>
        <v>AD</v>
      </c>
      <c r="F193" s="3" t="str">
        <f t="shared" ref="F193:F197" si="29">BIN2HEX(MID($B$178,(A193-1)*8+1,8),2)</f>
        <v>EC</v>
      </c>
      <c r="G193" s="3" t="str">
        <f t="shared" ref="G193:G197" si="30">BIN2HEX(MID($B$179,(A193-1)*8+1,8),2)</f>
        <v>A5</v>
      </c>
      <c r="H193" s="3" t="str">
        <f t="shared" ref="H193:H197" si="31">BIN2HEX(MID($B$180,(A193-1)*8+1,8),2)</f>
        <v>84</v>
      </c>
      <c r="I193" s="3" t="str">
        <f t="shared" ref="I193:I197" si="32">BIN2HEX(MID($B$181,(A193-1)*8+1,8),2)</f>
        <v>88</v>
      </c>
      <c r="J193" s="3" t="str">
        <f t="shared" ref="J193:J197" si="33">BIN2HEX(MID($B$182,(A193-1)*8+1,8),2)</f>
        <v>DB</v>
      </c>
      <c r="K193" s="3" t="str">
        <f t="shared" ref="K193:K197" si="34">BIN2HEX(MID($B$183,(A193-1)*8+1,8),2)</f>
        <v>F3</v>
      </c>
      <c r="L193" s="3" t="str">
        <f t="shared" ref="L193:L197" si="35">BIN2HEX(MID($B$184,(A193-1)*8+1,8),2)</f>
        <v>5F</v>
      </c>
      <c r="M193" s="3" t="str">
        <f t="shared" ref="M193:M197" si="36">BIN2HEX(MID($B$185,(A193-1)*8+1,8),2)</f>
        <v>71</v>
      </c>
      <c r="N193" s="3" t="str">
        <f t="shared" ref="N193:N197" si="37">BIN2HEX(MID($B$186,(A193-1)*8+1,8),2)</f>
        <v>C5</v>
      </c>
      <c r="O193" s="3" t="str">
        <f t="shared" ref="O193:O197" si="38">BIN2HEX(MID($B$187,(A193-1)*8+1,8),2)</f>
        <v>43</v>
      </c>
      <c r="P193" s="3" t="str">
        <f t="shared" ref="P193:P197" si="39">BIN2HEX(MID($B$188,(A193-1)*8+1,8),2)</f>
        <v>91</v>
      </c>
      <c r="Q193" s="3" t="str">
        <f t="shared" ref="Q193:Q197" si="40">BIN2HEX(MID($B$189,(A193-1)*8+1,8),2)</f>
        <v>3D</v>
      </c>
    </row>
    <row r="194" spans="1:17" x14ac:dyDescent="0.25">
      <c r="A194" s="2">
        <v>3</v>
      </c>
      <c r="B194" s="3" t="str">
        <f t="shared" si="25"/>
        <v>EF</v>
      </c>
      <c r="C194" s="3" t="str">
        <f t="shared" si="26"/>
        <v>D9</v>
      </c>
      <c r="D194" s="3" t="str">
        <f t="shared" si="27"/>
        <v>8A</v>
      </c>
      <c r="E194" s="3" t="str">
        <f t="shared" si="28"/>
        <v>D2</v>
      </c>
      <c r="F194" s="3" t="str">
        <f t="shared" si="29"/>
        <v>07</v>
      </c>
      <c r="G194" s="3" t="str">
        <f t="shared" si="30"/>
        <v>1E</v>
      </c>
      <c r="H194" s="3" t="str">
        <f t="shared" si="31"/>
        <v>B7</v>
      </c>
      <c r="I194" s="3" t="str">
        <f t="shared" si="32"/>
        <v>3A</v>
      </c>
      <c r="J194" s="3" t="str">
        <f t="shared" si="33"/>
        <v>EB</v>
      </c>
      <c r="K194" s="3" t="str">
        <f t="shared" si="34"/>
        <v>47</v>
      </c>
      <c r="L194" s="3" t="str">
        <f t="shared" si="35"/>
        <v>C3</v>
      </c>
      <c r="M194" s="3" t="str">
        <f t="shared" si="36"/>
        <v>F5</v>
      </c>
      <c r="N194" s="3" t="str">
        <f t="shared" si="37"/>
        <v>D1</v>
      </c>
      <c r="O194" s="3" t="str">
        <f t="shared" si="38"/>
        <v>B7</v>
      </c>
      <c r="P194" s="3" t="str">
        <f t="shared" si="39"/>
        <v>85</v>
      </c>
      <c r="Q194" s="3" t="str">
        <f t="shared" si="40"/>
        <v>0B</v>
      </c>
    </row>
    <row r="195" spans="1:17" x14ac:dyDescent="0.25">
      <c r="A195" s="2">
        <v>4</v>
      </c>
      <c r="B195" s="3" t="str">
        <f t="shared" si="25"/>
        <v>DB</v>
      </c>
      <c r="C195" s="3" t="str">
        <f t="shared" si="26"/>
        <v>25</v>
      </c>
      <c r="D195" s="3" t="str">
        <f t="shared" si="27"/>
        <v>B4</v>
      </c>
      <c r="E195" s="3" t="str">
        <f t="shared" si="28"/>
        <v>AD</v>
      </c>
      <c r="F195" s="3" t="str">
        <f t="shared" si="29"/>
        <v>1F</v>
      </c>
      <c r="G195" s="3" t="str">
        <f t="shared" si="30"/>
        <v>3C</v>
      </c>
      <c r="H195" s="3" t="str">
        <f t="shared" si="31"/>
        <v>8A</v>
      </c>
      <c r="I195" s="3" t="str">
        <f t="shared" si="32"/>
        <v>EC</v>
      </c>
      <c r="J195" s="3" t="str">
        <f t="shared" si="33"/>
        <v>27</v>
      </c>
      <c r="K195" s="3" t="str">
        <f t="shared" si="34"/>
        <v>63</v>
      </c>
      <c r="L195" s="3" t="str">
        <f t="shared" si="35"/>
        <v>0D</v>
      </c>
      <c r="M195" s="3" t="str">
        <f t="shared" si="36"/>
        <v>45</v>
      </c>
      <c r="N195" s="3" t="str">
        <f t="shared" si="37"/>
        <v>4B</v>
      </c>
      <c r="O195" s="3" t="str">
        <f t="shared" si="38"/>
        <v>83</v>
      </c>
      <c r="P195" s="3" t="str">
        <f t="shared" si="39"/>
        <v>0A</v>
      </c>
      <c r="Q195" s="3" t="str">
        <f t="shared" si="40"/>
        <v>BC</v>
      </c>
    </row>
    <row r="196" spans="1:17" x14ac:dyDescent="0.25">
      <c r="A196" s="2">
        <v>5</v>
      </c>
      <c r="B196" s="3" t="str">
        <f t="shared" si="25"/>
        <v>49</v>
      </c>
      <c r="C196" s="3" t="str">
        <f t="shared" si="26"/>
        <v>EA</v>
      </c>
      <c r="D196" s="3" t="str">
        <f t="shared" si="27"/>
        <v>AC</v>
      </c>
      <c r="E196" s="3" t="str">
        <f t="shared" si="28"/>
        <v>86</v>
      </c>
      <c r="F196" s="3" t="str">
        <f t="shared" si="29"/>
        <v>E6</v>
      </c>
      <c r="G196" s="3" t="str">
        <f t="shared" si="30"/>
        <v>C5</v>
      </c>
      <c r="H196" s="3" t="str">
        <f t="shared" si="31"/>
        <v>E4</v>
      </c>
      <c r="I196" s="3" t="str">
        <f t="shared" si="32"/>
        <v>E7</v>
      </c>
      <c r="J196" s="3" t="str">
        <f t="shared" si="33"/>
        <v>B8</v>
      </c>
      <c r="K196" s="3" t="str">
        <f t="shared" si="34"/>
        <v>1D</v>
      </c>
      <c r="L196" s="3" t="str">
        <f t="shared" si="35"/>
        <v>89</v>
      </c>
      <c r="M196" s="3" t="str">
        <f t="shared" si="36"/>
        <v>5C</v>
      </c>
      <c r="N196" s="3" t="str">
        <f t="shared" si="37"/>
        <v>80</v>
      </c>
      <c r="O196" s="3" t="str">
        <f t="shared" si="38"/>
        <v>DD</v>
      </c>
      <c r="P196" s="3" t="str">
        <f t="shared" si="39"/>
        <v>17</v>
      </c>
      <c r="Q196" s="3" t="str">
        <f t="shared" si="40"/>
        <v>70</v>
      </c>
    </row>
    <row r="197" spans="1:17" x14ac:dyDescent="0.25">
      <c r="A197" s="2">
        <v>6</v>
      </c>
      <c r="B197" s="3" t="str">
        <f t="shared" si="25"/>
        <v>A5</v>
      </c>
      <c r="C197" s="3" t="str">
        <f t="shared" si="26"/>
        <v>66</v>
      </c>
      <c r="D197" s="3" t="str">
        <f t="shared" si="27"/>
        <v>D2</v>
      </c>
      <c r="E197" s="3" t="str">
        <f t="shared" si="28"/>
        <v>57</v>
      </c>
      <c r="F197" s="3" t="str">
        <f t="shared" si="29"/>
        <v>C2</v>
      </c>
      <c r="G197" s="3" t="str">
        <f t="shared" si="30"/>
        <v>45</v>
      </c>
      <c r="H197" s="3" t="str">
        <f t="shared" si="31"/>
        <v>C6</v>
      </c>
      <c r="I197" s="3" t="str">
        <f t="shared" si="32"/>
        <v>81</v>
      </c>
      <c r="J197" s="3" t="str">
        <f t="shared" si="33"/>
        <v>39</v>
      </c>
      <c r="K197" s="3" t="str">
        <f t="shared" si="34"/>
        <v>76</v>
      </c>
      <c r="L197" s="3" t="str">
        <f t="shared" si="35"/>
        <v>BE</v>
      </c>
      <c r="M197" s="3" t="str">
        <f t="shared" si="36"/>
        <v>D5</v>
      </c>
      <c r="N197" s="3" t="str">
        <f t="shared" si="37"/>
        <v>FD</v>
      </c>
      <c r="O197" s="3" t="str">
        <f t="shared" si="38"/>
        <v>8D</v>
      </c>
      <c r="P197" s="3" t="str">
        <f t="shared" si="39"/>
        <v>B5</v>
      </c>
      <c r="Q197" s="3" t="str">
        <f t="shared" si="40"/>
        <v>72</v>
      </c>
    </row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8" spans="1:13" s="4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</sheetData>
  <mergeCells count="1">
    <mergeCell ref="K81:L8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9474-2D4D-479B-B04E-AE469484F03A}">
  <sheetPr codeName="Sheet4"/>
  <dimension ref="A1:X100"/>
  <sheetViews>
    <sheetView topLeftCell="A80" zoomScaleNormal="100" workbookViewId="0">
      <selection activeCell="N91" sqref="N91"/>
    </sheetView>
  </sheetViews>
  <sheetFormatPr defaultRowHeight="15" x14ac:dyDescent="0.25"/>
  <cols>
    <col min="8" max="8" width="9.140625" customWidth="1"/>
    <col min="9" max="9" width="12.7109375" customWidth="1"/>
    <col min="10" max="10" width="10.28515625" customWidth="1"/>
    <col min="11" max="17" width="9.140625" customWidth="1"/>
  </cols>
  <sheetData>
    <row r="1" spans="1:24" ht="15.75" x14ac:dyDescent="0.25">
      <c r="A1" t="s">
        <v>110</v>
      </c>
      <c r="B1" t="s">
        <v>111</v>
      </c>
      <c r="C1" t="s">
        <v>112</v>
      </c>
      <c r="E1" s="1" t="s">
        <v>9</v>
      </c>
      <c r="N1" s="5" t="s">
        <v>113</v>
      </c>
      <c r="O1" s="8" t="str">
        <f>_xlfn.TEXTJOIN("", TRUE,C4:C67)</f>
        <v>1001100011111110110011000000000011100000010101001111000010101010</v>
      </c>
      <c r="P1" s="5"/>
      <c r="Q1" s="5"/>
      <c r="R1" s="5"/>
      <c r="S1" s="5"/>
      <c r="T1" s="5"/>
      <c r="U1" s="5"/>
      <c r="V1" s="5"/>
    </row>
    <row r="3" spans="1:24" x14ac:dyDescent="0.25">
      <c r="A3" s="3" t="s">
        <v>107</v>
      </c>
      <c r="B3" s="3" t="s">
        <v>11</v>
      </c>
      <c r="C3" s="3" t="s">
        <v>10</v>
      </c>
      <c r="D3" s="3" t="s">
        <v>108</v>
      </c>
      <c r="E3" s="3" t="s">
        <v>109</v>
      </c>
      <c r="N3" t="s">
        <v>12</v>
      </c>
      <c r="O3" t="str">
        <f>LEFT(O1,32)</f>
        <v>10011000111111101100110000000000</v>
      </c>
    </row>
    <row r="4" spans="1:24" x14ac:dyDescent="0.25">
      <c r="A4" s="3">
        <v>1</v>
      </c>
      <c r="B4" s="3">
        <v>58</v>
      </c>
      <c r="C4" s="3" t="str">
        <f>MID($E$1,B4,1)</f>
        <v>1</v>
      </c>
      <c r="D4" s="3">
        <v>32</v>
      </c>
      <c r="E4" s="3">
        <v>40</v>
      </c>
      <c r="N4" t="s">
        <v>13</v>
      </c>
      <c r="O4" t="str">
        <f>RIGHT(O1,32)</f>
        <v>11100000010101001111000010101010</v>
      </c>
    </row>
    <row r="5" spans="1:24" x14ac:dyDescent="0.25">
      <c r="A5" s="3">
        <v>2</v>
      </c>
      <c r="B5" s="3">
        <v>50</v>
      </c>
      <c r="C5" s="3" t="str">
        <f t="shared" ref="C5:C67" si="0">MID($E$1,B5,1)</f>
        <v>0</v>
      </c>
      <c r="D5" s="3">
        <v>1</v>
      </c>
      <c r="E5" s="3">
        <v>8</v>
      </c>
    </row>
    <row r="6" spans="1:24" ht="18.75" x14ac:dyDescent="0.3">
      <c r="A6" s="3">
        <v>3</v>
      </c>
      <c r="B6" s="3">
        <v>42</v>
      </c>
      <c r="C6" s="3" t="str">
        <f t="shared" si="0"/>
        <v>0</v>
      </c>
      <c r="D6" s="3">
        <v>2</v>
      </c>
      <c r="E6" s="3">
        <v>48</v>
      </c>
      <c r="G6" s="14" t="s">
        <v>114</v>
      </c>
      <c r="H6" s="14"/>
      <c r="I6" s="14"/>
    </row>
    <row r="7" spans="1:24" x14ac:dyDescent="0.25">
      <c r="A7" s="3">
        <v>4</v>
      </c>
      <c r="B7" s="3">
        <v>34</v>
      </c>
      <c r="C7" s="3" t="str">
        <f t="shared" si="0"/>
        <v>1</v>
      </c>
      <c r="D7" s="3">
        <v>3</v>
      </c>
      <c r="E7" s="3">
        <v>16</v>
      </c>
    </row>
    <row r="8" spans="1:24" x14ac:dyDescent="0.25">
      <c r="A8" s="3">
        <v>5</v>
      </c>
      <c r="B8" s="3">
        <v>26</v>
      </c>
      <c r="C8" s="3" t="str">
        <f t="shared" si="0"/>
        <v>1</v>
      </c>
      <c r="D8" s="3">
        <v>4</v>
      </c>
      <c r="E8" s="3">
        <v>56</v>
      </c>
      <c r="G8" s="2" t="s">
        <v>116</v>
      </c>
      <c r="H8" s="2">
        <v>0</v>
      </c>
      <c r="I8" s="2">
        <v>1</v>
      </c>
      <c r="J8" s="2">
        <v>2</v>
      </c>
      <c r="K8" s="2">
        <v>3</v>
      </c>
      <c r="L8" s="2">
        <v>4</v>
      </c>
      <c r="M8" s="2">
        <v>5</v>
      </c>
      <c r="N8" s="2">
        <v>6</v>
      </c>
      <c r="O8" s="2">
        <v>7</v>
      </c>
      <c r="P8" s="2">
        <v>8</v>
      </c>
      <c r="Q8" s="2">
        <v>9</v>
      </c>
      <c r="R8" s="2">
        <v>10</v>
      </c>
      <c r="S8" s="2">
        <v>11</v>
      </c>
      <c r="T8" s="2">
        <v>12</v>
      </c>
      <c r="U8" s="2">
        <v>13</v>
      </c>
      <c r="V8" s="2">
        <v>14</v>
      </c>
      <c r="W8" s="2">
        <v>15</v>
      </c>
      <c r="X8" s="2">
        <v>16</v>
      </c>
    </row>
    <row r="9" spans="1:24" x14ac:dyDescent="0.25">
      <c r="A9" s="3">
        <v>6</v>
      </c>
      <c r="B9" s="3">
        <v>18</v>
      </c>
      <c r="C9" s="3" t="str">
        <f t="shared" si="0"/>
        <v>0</v>
      </c>
      <c r="D9" s="3">
        <v>5</v>
      </c>
      <c r="E9" s="3">
        <v>24</v>
      </c>
      <c r="G9" s="2">
        <v>1</v>
      </c>
      <c r="H9" s="3">
        <f>MOD(VALUE(MID($O$4,D4,1)) + VALUE('Khóa k1-16'!B124),2)</f>
        <v>0</v>
      </c>
      <c r="I9" s="3">
        <f>MOD(VALUE(MID(R0_L0!$C$75,'E(Ri) XOR ki+1'!D4,1))+VALUE('Khóa k1-16'!C124),2)</f>
        <v>0</v>
      </c>
      <c r="J9" s="3">
        <f>MOD(VALUE(MID(R0_L0!$C$76,'E(Ri) XOR ki+1'!$D4,1))+VALUE('Khóa k1-16'!D124),2)</f>
        <v>1</v>
      </c>
      <c r="K9" s="3">
        <f>MOD(VALUE(MID(R0_L0!$C$77,'E(Ri) XOR ki+1'!D4,1))+VALUE('Khóa k1-16'!E124),2)</f>
        <v>0</v>
      </c>
      <c r="L9" s="3">
        <f>MOD(VALUE(MID(R0_L0!$C$78,'E(Ri) XOR ki+1'!D4,1))+VALUE('Khóa k1-16'!F124),2)</f>
        <v>1</v>
      </c>
      <c r="M9" s="3">
        <f>MOD(VALUE(MID(R0_L0!$C$79,'E(Ri) XOR ki+1'!$D4,1))+VALUE('Khóa k1-16'!G124),2)</f>
        <v>1</v>
      </c>
      <c r="N9" s="3">
        <f>MOD(VALUE(MID(R0_L0!$C$80,'E(Ri) XOR ki+1'!$D4,1))+VALUE('Khóa k1-16'!H124),2)</f>
        <v>0</v>
      </c>
      <c r="O9" s="3">
        <f>MOD(VALUE(MID(R0_L0!$C$81,'E(Ri) XOR ki+1'!$D4,1))+VALUE('Khóa k1-16'!I124),2)</f>
        <v>0</v>
      </c>
      <c r="P9" s="3">
        <f>MOD(VALUE(MID(R0_L0!$C$82,'E(Ri) XOR ki+1'!$D4,1))+VALUE('Khóa k1-16'!J124),2)</f>
        <v>1</v>
      </c>
      <c r="Q9" s="3">
        <f>MOD(VALUE(MID(R0_L0!$C$83,'E(Ri) XOR ki+1'!$D4,1))+VALUE('Khóa k1-16'!K124),2)</f>
        <v>1</v>
      </c>
      <c r="R9" s="3">
        <f>MOD(VALUE(MID(R0_L0!$C$84,'E(Ri) XOR ki+1'!$D4,1))+VALUE('Khóa k1-16'!L124),2)</f>
        <v>0</v>
      </c>
      <c r="S9" s="3">
        <f>MOD(VALUE(MID(R0_L0!$C$85,'E(Ri) XOR ki+1'!$D4,1))+VALUE('Khóa k1-16'!M124),2)</f>
        <v>0</v>
      </c>
      <c r="T9" s="3">
        <f>MOD(VALUE(MID(R0_L0!$C$86,'E(Ri) XOR ki+1'!$D4,1))+VALUE('Khóa k1-16'!N124),2)</f>
        <v>0</v>
      </c>
      <c r="U9" s="3">
        <f>MOD(VALUE(MID(R0_L0!$C$87,'E(Ri) XOR ki+1'!$D4,1))+VALUE('Khóa k1-16'!O124),2)</f>
        <v>0</v>
      </c>
      <c r="V9" s="3">
        <f>MOD(VALUE(MID(R0_L0!$C$88,'E(Ri) XOR ki+1'!$D4,1))+VALUE('Khóa k1-16'!P124),2)</f>
        <v>0</v>
      </c>
      <c r="W9" s="3">
        <f>MOD(VALUE(MID(R0_L0!$C$89,'E(Ri) XOR ki+1'!$D4,1))+VALUE('Khóa k1-16'!Q124),2)</f>
        <v>0</v>
      </c>
      <c r="X9" s="3">
        <f>MOD(VALUE(MID(R0_L0!$C$90,'E(Ri) XOR ki+1'!$D4,1))+VALUE('Khóa k1-16'!R124),2)</f>
        <v>0</v>
      </c>
    </row>
    <row r="10" spans="1:24" x14ac:dyDescent="0.25">
      <c r="A10" s="3">
        <v>7</v>
      </c>
      <c r="B10" s="3">
        <v>10</v>
      </c>
      <c r="C10" s="3" t="str">
        <f t="shared" si="0"/>
        <v>0</v>
      </c>
      <c r="D10" s="3">
        <v>4</v>
      </c>
      <c r="E10" s="3">
        <v>64</v>
      </c>
      <c r="G10" s="2">
        <v>2</v>
      </c>
      <c r="H10" s="3">
        <f>MOD(VALUE(MID($O$4,D5,1)) + VALUE('Khóa k1-16'!B125),2)</f>
        <v>1</v>
      </c>
      <c r="I10" s="3">
        <f>MOD(VALUE(MID(R0_L0!$C$75,'E(Ri) XOR ki+1'!D5,1))+VALUE('Khóa k1-16'!C125),2)</f>
        <v>1</v>
      </c>
      <c r="J10" s="3">
        <f>MOD(VALUE(MID(R0_L0!$C$76,'E(Ri) XOR ki+1'!$D5,1))+VALUE('Khóa k1-16'!D125),2)</f>
        <v>1</v>
      </c>
      <c r="K10" s="3">
        <f>MOD(VALUE(MID(R0_L0!$C$77,'E(Ri) XOR ki+1'!D5,1))+VALUE('Khóa k1-16'!E125),2)</f>
        <v>0</v>
      </c>
      <c r="L10" s="3">
        <f>MOD(VALUE(MID(R0_L0!$C$78,'E(Ri) XOR ki+1'!D5,1))+VALUE('Khóa k1-16'!F125),2)</f>
        <v>0</v>
      </c>
      <c r="M10" s="3">
        <f>MOD(VALUE(MID(R0_L0!$C$79,'E(Ri) XOR ki+1'!$D5,1))+VALUE('Khóa k1-16'!G125),2)</f>
        <v>1</v>
      </c>
      <c r="N10" s="3">
        <f>MOD(VALUE(MID(R0_L0!$C$80,'E(Ri) XOR ki+1'!$D5,1))+VALUE('Khóa k1-16'!H125),2)</f>
        <v>1</v>
      </c>
      <c r="O10" s="3">
        <f>MOD(VALUE(MID(R0_L0!$C$81,'E(Ri) XOR ki+1'!$D5,1))+VALUE('Khóa k1-16'!I125),2)</f>
        <v>1</v>
      </c>
      <c r="P10" s="3">
        <f>MOD(VALUE(MID(R0_L0!$C$82,'E(Ri) XOR ki+1'!$D5,1))+VALUE('Khóa k1-16'!J125),2)</f>
        <v>1</v>
      </c>
      <c r="Q10" s="3">
        <f>MOD(VALUE(MID(R0_L0!$C$83,'E(Ri) XOR ki+1'!$D5,1))+VALUE('Khóa k1-16'!K125),2)</f>
        <v>1</v>
      </c>
      <c r="R10" s="3">
        <f>MOD(VALUE(MID(R0_L0!$C$84,'E(Ri) XOR ki+1'!$D5,1))+VALUE('Khóa k1-16'!L125),2)</f>
        <v>1</v>
      </c>
      <c r="S10" s="3">
        <f>MOD(VALUE(MID(R0_L0!$C$85,'E(Ri) XOR ki+1'!$D5,1))+VALUE('Khóa k1-16'!M125),2)</f>
        <v>1</v>
      </c>
      <c r="T10" s="3">
        <f>MOD(VALUE(MID(R0_L0!$C$86,'E(Ri) XOR ki+1'!$D5,1))+VALUE('Khóa k1-16'!N125),2)</f>
        <v>1</v>
      </c>
      <c r="U10" s="3">
        <f>MOD(VALUE(MID(R0_L0!$C$87,'E(Ri) XOR ki+1'!$D5,1))+VALUE('Khóa k1-16'!O125),2)</f>
        <v>1</v>
      </c>
      <c r="V10" s="3">
        <f>MOD(VALUE(MID(R0_L0!$C$88,'E(Ri) XOR ki+1'!$D5,1))+VALUE('Khóa k1-16'!P125),2)</f>
        <v>1</v>
      </c>
      <c r="W10" s="3">
        <f>MOD(VALUE(MID(R0_L0!$C$89,'E(Ri) XOR ki+1'!$D5,1))+VALUE('Khóa k1-16'!Q125),2)</f>
        <v>1</v>
      </c>
      <c r="X10" s="3">
        <f>MOD(VALUE(MID(R0_L0!$C$90,'E(Ri) XOR ki+1'!$D5,1))+VALUE('Khóa k1-16'!R125),2)</f>
        <v>0</v>
      </c>
    </row>
    <row r="11" spans="1:24" x14ac:dyDescent="0.25">
      <c r="A11" s="3">
        <v>8</v>
      </c>
      <c r="B11" s="3">
        <v>2</v>
      </c>
      <c r="C11" s="3" t="str">
        <f t="shared" si="0"/>
        <v>0</v>
      </c>
      <c r="D11" s="3">
        <v>5</v>
      </c>
      <c r="E11" s="3">
        <v>32</v>
      </c>
      <c r="G11" s="2">
        <v>3</v>
      </c>
      <c r="H11" s="3">
        <f>MOD(VALUE(MID($O$4,D6,1)) + VALUE('Khóa k1-16'!B126),2)</f>
        <v>1</v>
      </c>
      <c r="I11" s="3">
        <f>MOD(VALUE(MID(R0_L0!$C$75,'E(Ri) XOR ki+1'!D6,1))+VALUE('Khóa k1-16'!C126),2)</f>
        <v>1</v>
      </c>
      <c r="J11" s="3">
        <f>MOD(VALUE(MID(R0_L0!$C$76,'E(Ri) XOR ki+1'!$D6,1))+VALUE('Khóa k1-16'!D126),2)</f>
        <v>1</v>
      </c>
      <c r="K11" s="3">
        <f>MOD(VALUE(MID(R0_L0!$C$77,'E(Ri) XOR ki+1'!D6,1))+VALUE('Khóa k1-16'!E126),2)</f>
        <v>0</v>
      </c>
      <c r="L11" s="3">
        <f>MOD(VALUE(MID(R0_L0!$C$78,'E(Ri) XOR ki+1'!D6,1))+VALUE('Khóa k1-16'!F126),2)</f>
        <v>1</v>
      </c>
      <c r="M11" s="3">
        <f>MOD(VALUE(MID(R0_L0!$C$79,'E(Ri) XOR ki+1'!$D6,1))+VALUE('Khóa k1-16'!G126),2)</f>
        <v>1</v>
      </c>
      <c r="N11" s="3">
        <f>MOD(VALUE(MID(R0_L0!$C$80,'E(Ri) XOR ki+1'!$D6,1))+VALUE('Khóa k1-16'!H126),2)</f>
        <v>1</v>
      </c>
      <c r="O11" s="3">
        <f>MOD(VALUE(MID(R0_L0!$C$81,'E(Ri) XOR ki+1'!$D6,1))+VALUE('Khóa k1-16'!I126),2)</f>
        <v>0</v>
      </c>
      <c r="P11" s="3">
        <f>MOD(VALUE(MID(R0_L0!$C$82,'E(Ri) XOR ki+1'!$D6,1))+VALUE('Khóa k1-16'!J126),2)</f>
        <v>1</v>
      </c>
      <c r="Q11" s="3">
        <f>MOD(VALUE(MID(R0_L0!$C$83,'E(Ri) XOR ki+1'!$D6,1))+VALUE('Khóa k1-16'!K126),2)</f>
        <v>1</v>
      </c>
      <c r="R11" s="3">
        <f>MOD(VALUE(MID(R0_L0!$C$84,'E(Ri) XOR ki+1'!$D6,1))+VALUE('Khóa k1-16'!L126),2)</f>
        <v>1</v>
      </c>
      <c r="S11" s="3">
        <f>MOD(VALUE(MID(R0_L0!$C$85,'E(Ri) XOR ki+1'!$D6,1))+VALUE('Khóa k1-16'!M126),2)</f>
        <v>0</v>
      </c>
      <c r="T11" s="3">
        <f>MOD(VALUE(MID(R0_L0!$C$86,'E(Ri) XOR ki+1'!$D6,1))+VALUE('Khóa k1-16'!N126),2)</f>
        <v>1</v>
      </c>
      <c r="U11" s="3">
        <f>MOD(VALUE(MID(R0_L0!$C$87,'E(Ri) XOR ki+1'!$D6,1))+VALUE('Khóa k1-16'!O126),2)</f>
        <v>0</v>
      </c>
      <c r="V11" s="3">
        <f>MOD(VALUE(MID(R0_L0!$C$88,'E(Ri) XOR ki+1'!$D6,1))+VALUE('Khóa k1-16'!P126),2)</f>
        <v>1</v>
      </c>
      <c r="W11" s="3">
        <f>MOD(VALUE(MID(R0_L0!$C$89,'E(Ri) XOR ki+1'!$D6,1))+VALUE('Khóa k1-16'!Q126),2)</f>
        <v>1</v>
      </c>
      <c r="X11" s="3">
        <f>MOD(VALUE(MID(R0_L0!$C$90,'E(Ri) XOR ki+1'!$D6,1))+VALUE('Khóa k1-16'!R126),2)</f>
        <v>1</v>
      </c>
    </row>
    <row r="12" spans="1:24" x14ac:dyDescent="0.25">
      <c r="A12" s="3">
        <v>9</v>
      </c>
      <c r="B12" s="3">
        <v>60</v>
      </c>
      <c r="C12" s="3" t="str">
        <f t="shared" si="0"/>
        <v>1</v>
      </c>
      <c r="D12" s="3">
        <v>6</v>
      </c>
      <c r="E12" s="3">
        <v>39</v>
      </c>
      <c r="G12" s="2">
        <v>4</v>
      </c>
      <c r="H12" s="3">
        <f>MOD(VALUE(MID($O$4,D7,1)) + VALUE('Khóa k1-16'!B127),2)</f>
        <v>0</v>
      </c>
      <c r="I12" s="3">
        <f>MOD(VALUE(MID(R0_L0!$C$75,'E(Ri) XOR ki+1'!D7,1))+VALUE('Khóa k1-16'!C127),2)</f>
        <v>0</v>
      </c>
      <c r="J12" s="3">
        <f>MOD(VALUE(MID(R0_L0!$C$76,'E(Ri) XOR ki+1'!$D7,1))+VALUE('Khóa k1-16'!D127),2)</f>
        <v>0</v>
      </c>
      <c r="K12" s="3">
        <f>MOD(VALUE(MID(R0_L0!$C$77,'E(Ri) XOR ki+1'!D7,1))+VALUE('Khóa k1-16'!E127),2)</f>
        <v>1</v>
      </c>
      <c r="L12" s="3">
        <f>MOD(VALUE(MID(R0_L0!$C$78,'E(Ri) XOR ki+1'!D7,1))+VALUE('Khóa k1-16'!F127),2)</f>
        <v>1</v>
      </c>
      <c r="M12" s="3">
        <f>MOD(VALUE(MID(R0_L0!$C$79,'E(Ri) XOR ki+1'!$D7,1))+VALUE('Khóa k1-16'!G127),2)</f>
        <v>0</v>
      </c>
      <c r="N12" s="3">
        <f>MOD(VALUE(MID(R0_L0!$C$80,'E(Ri) XOR ki+1'!$D7,1))+VALUE('Khóa k1-16'!H127),2)</f>
        <v>1</v>
      </c>
      <c r="O12" s="3">
        <f>MOD(VALUE(MID(R0_L0!$C$81,'E(Ri) XOR ki+1'!$D7,1))+VALUE('Khóa k1-16'!I127),2)</f>
        <v>1</v>
      </c>
      <c r="P12" s="3">
        <f>MOD(VALUE(MID(R0_L0!$C$82,'E(Ri) XOR ki+1'!$D7,1))+VALUE('Khóa k1-16'!J127),2)</f>
        <v>0</v>
      </c>
      <c r="Q12" s="3">
        <f>MOD(VALUE(MID(R0_L0!$C$83,'E(Ri) XOR ki+1'!$D7,1))+VALUE('Khóa k1-16'!K127),2)</f>
        <v>0</v>
      </c>
      <c r="R12" s="3">
        <f>MOD(VALUE(MID(R0_L0!$C$84,'E(Ri) XOR ki+1'!$D7,1))+VALUE('Khóa k1-16'!L127),2)</f>
        <v>0</v>
      </c>
      <c r="S12" s="3">
        <f>MOD(VALUE(MID(R0_L0!$C$85,'E(Ri) XOR ki+1'!$D7,1))+VALUE('Khóa k1-16'!M127),2)</f>
        <v>1</v>
      </c>
      <c r="T12" s="3">
        <f>MOD(VALUE(MID(R0_L0!$C$86,'E(Ri) XOR ki+1'!$D7,1))+VALUE('Khóa k1-16'!N127),2)</f>
        <v>0</v>
      </c>
      <c r="U12" s="3">
        <f>MOD(VALUE(MID(R0_L0!$C$87,'E(Ri) XOR ki+1'!$D7,1))+VALUE('Khóa k1-16'!O127),2)</f>
        <v>0</v>
      </c>
      <c r="V12" s="3">
        <f>MOD(VALUE(MID(R0_L0!$C$88,'E(Ri) XOR ki+1'!$D7,1))+VALUE('Khóa k1-16'!P127),2)</f>
        <v>1</v>
      </c>
      <c r="W12" s="3">
        <f>MOD(VALUE(MID(R0_L0!$C$89,'E(Ri) XOR ki+1'!$D7,1))+VALUE('Khóa k1-16'!Q127),2)</f>
        <v>1</v>
      </c>
      <c r="X12" s="3">
        <f>MOD(VALUE(MID(R0_L0!$C$90,'E(Ri) XOR ki+1'!$D7,1))+VALUE('Khóa k1-16'!R127),2)</f>
        <v>0</v>
      </c>
    </row>
    <row r="13" spans="1:24" x14ac:dyDescent="0.25">
      <c r="A13" s="3">
        <v>10</v>
      </c>
      <c r="B13" s="3">
        <v>52</v>
      </c>
      <c r="C13" s="3" t="str">
        <f t="shared" si="0"/>
        <v>1</v>
      </c>
      <c r="D13" s="3">
        <v>7</v>
      </c>
      <c r="E13" s="3">
        <v>7</v>
      </c>
      <c r="G13" s="2">
        <v>5</v>
      </c>
      <c r="H13" s="3">
        <f>MOD(VALUE(MID($O$4,D8,1)) + VALUE('Khóa k1-16'!B128),2)</f>
        <v>1</v>
      </c>
      <c r="I13" s="3">
        <f>MOD(VALUE(MID(R0_L0!$C$75,'E(Ri) XOR ki+1'!D8,1))+VALUE('Khóa k1-16'!C128),2)</f>
        <v>1</v>
      </c>
      <c r="J13" s="3">
        <f>MOD(VALUE(MID(R0_L0!$C$76,'E(Ri) XOR ki+1'!$D8,1))+VALUE('Khóa k1-16'!D128),2)</f>
        <v>0</v>
      </c>
      <c r="K13" s="3">
        <f>MOD(VALUE(MID(R0_L0!$C$77,'E(Ri) XOR ki+1'!D8,1))+VALUE('Khóa k1-16'!E128),2)</f>
        <v>1</v>
      </c>
      <c r="L13" s="3">
        <f>MOD(VALUE(MID(R0_L0!$C$78,'E(Ri) XOR ki+1'!D8,1))+VALUE('Khóa k1-16'!F128),2)</f>
        <v>0</v>
      </c>
      <c r="M13" s="3">
        <f>MOD(VALUE(MID(R0_L0!$C$79,'E(Ri) XOR ki+1'!$D8,1))+VALUE('Khóa k1-16'!G128),2)</f>
        <v>0</v>
      </c>
      <c r="N13" s="3">
        <f>MOD(VALUE(MID(R0_L0!$C$80,'E(Ri) XOR ki+1'!$D8,1))+VALUE('Khóa k1-16'!H128),2)</f>
        <v>0</v>
      </c>
      <c r="O13" s="3">
        <f>MOD(VALUE(MID(R0_L0!$C$81,'E(Ri) XOR ki+1'!$D8,1))+VALUE('Khóa k1-16'!I128),2)</f>
        <v>0</v>
      </c>
      <c r="P13" s="3">
        <f>MOD(VALUE(MID(R0_L0!$C$82,'E(Ri) XOR ki+1'!$D8,1))+VALUE('Khóa k1-16'!J128),2)</f>
        <v>1</v>
      </c>
      <c r="Q13" s="3">
        <f>MOD(VALUE(MID(R0_L0!$C$83,'E(Ri) XOR ki+1'!$D8,1))+VALUE('Khóa k1-16'!K128),2)</f>
        <v>1</v>
      </c>
      <c r="R13" s="3">
        <f>MOD(VALUE(MID(R0_L0!$C$84,'E(Ri) XOR ki+1'!$D8,1))+VALUE('Khóa k1-16'!L128),2)</f>
        <v>0</v>
      </c>
      <c r="S13" s="3">
        <f>MOD(VALUE(MID(R0_L0!$C$85,'E(Ri) XOR ki+1'!$D8,1))+VALUE('Khóa k1-16'!M128),2)</f>
        <v>0</v>
      </c>
      <c r="T13" s="3">
        <f>MOD(VALUE(MID(R0_L0!$C$86,'E(Ri) XOR ki+1'!$D8,1))+VALUE('Khóa k1-16'!N128),2)</f>
        <v>1</v>
      </c>
      <c r="U13" s="3">
        <f>MOD(VALUE(MID(R0_L0!$C$87,'E(Ri) XOR ki+1'!$D8,1))+VALUE('Khóa k1-16'!O128),2)</f>
        <v>1</v>
      </c>
      <c r="V13" s="3">
        <f>MOD(VALUE(MID(R0_L0!$C$88,'E(Ri) XOR ki+1'!$D8,1))+VALUE('Khóa k1-16'!P128),2)</f>
        <v>0</v>
      </c>
      <c r="W13" s="3">
        <f>MOD(VALUE(MID(R0_L0!$C$89,'E(Ri) XOR ki+1'!$D8,1))+VALUE('Khóa k1-16'!Q128),2)</f>
        <v>1</v>
      </c>
      <c r="X13" s="3">
        <f>MOD(VALUE(MID(R0_L0!$C$90,'E(Ri) XOR ki+1'!$D8,1))+VALUE('Khóa k1-16'!R128),2)</f>
        <v>1</v>
      </c>
    </row>
    <row r="14" spans="1:24" x14ac:dyDescent="0.25">
      <c r="A14" s="3">
        <v>11</v>
      </c>
      <c r="B14" s="3">
        <v>44</v>
      </c>
      <c r="C14" s="3" t="str">
        <f t="shared" si="0"/>
        <v>1</v>
      </c>
      <c r="D14" s="3">
        <v>8</v>
      </c>
      <c r="E14" s="3">
        <v>47</v>
      </c>
      <c r="G14" s="2">
        <v>6</v>
      </c>
      <c r="H14" s="3">
        <f>MOD(VALUE(MID($O$4,D9,1)) + VALUE('Khóa k1-16'!B129),2)</f>
        <v>0</v>
      </c>
      <c r="I14" s="3">
        <f>MOD(VALUE(MID(R0_L0!$C$75,'E(Ri) XOR ki+1'!D9,1))+VALUE('Khóa k1-16'!C129),2)</f>
        <v>1</v>
      </c>
      <c r="J14" s="3">
        <f>MOD(VALUE(MID(R0_L0!$C$76,'E(Ri) XOR ki+1'!$D9,1))+VALUE('Khóa k1-16'!D129),2)</f>
        <v>0</v>
      </c>
      <c r="K14" s="3">
        <f>MOD(VALUE(MID(R0_L0!$C$77,'E(Ri) XOR ki+1'!D9,1))+VALUE('Khóa k1-16'!E129),2)</f>
        <v>0</v>
      </c>
      <c r="L14" s="3">
        <f>MOD(VALUE(MID(R0_L0!$C$78,'E(Ri) XOR ki+1'!D9,1))+VALUE('Khóa k1-16'!F129),2)</f>
        <v>0</v>
      </c>
      <c r="M14" s="3">
        <f>MOD(VALUE(MID(R0_L0!$C$79,'E(Ri) XOR ki+1'!$D9,1))+VALUE('Khóa k1-16'!G129),2)</f>
        <v>1</v>
      </c>
      <c r="N14" s="3">
        <f>MOD(VALUE(MID(R0_L0!$C$80,'E(Ri) XOR ki+1'!$D9,1))+VALUE('Khóa k1-16'!H129),2)</f>
        <v>1</v>
      </c>
      <c r="O14" s="3">
        <f>MOD(VALUE(MID(R0_L0!$C$81,'E(Ri) XOR ki+1'!$D9,1))+VALUE('Khóa k1-16'!I129),2)</f>
        <v>1</v>
      </c>
      <c r="P14" s="3">
        <f>MOD(VALUE(MID(R0_L0!$C$82,'E(Ri) XOR ki+1'!$D9,1))+VALUE('Khóa k1-16'!J129),2)</f>
        <v>1</v>
      </c>
      <c r="Q14" s="3">
        <f>MOD(VALUE(MID(R0_L0!$C$83,'E(Ri) XOR ki+1'!$D9,1))+VALUE('Khóa k1-16'!K129),2)</f>
        <v>1</v>
      </c>
      <c r="R14" s="3">
        <f>MOD(VALUE(MID(R0_L0!$C$84,'E(Ri) XOR ki+1'!$D9,1))+VALUE('Khóa k1-16'!L129),2)</f>
        <v>1</v>
      </c>
      <c r="S14" s="3">
        <f>MOD(VALUE(MID(R0_L0!$C$85,'E(Ri) XOR ki+1'!$D9,1))+VALUE('Khóa k1-16'!M129),2)</f>
        <v>0</v>
      </c>
      <c r="T14" s="3">
        <f>MOD(VALUE(MID(R0_L0!$C$86,'E(Ri) XOR ki+1'!$D9,1))+VALUE('Khóa k1-16'!N129),2)</f>
        <v>0</v>
      </c>
      <c r="U14" s="3">
        <f>MOD(VALUE(MID(R0_L0!$C$87,'E(Ri) XOR ki+1'!$D9,1))+VALUE('Khóa k1-16'!O129),2)</f>
        <v>0</v>
      </c>
      <c r="V14" s="3">
        <f>MOD(VALUE(MID(R0_L0!$C$88,'E(Ri) XOR ki+1'!$D9,1))+VALUE('Khóa k1-16'!P129),2)</f>
        <v>0</v>
      </c>
      <c r="W14" s="3">
        <f>MOD(VALUE(MID(R0_L0!$C$89,'E(Ri) XOR ki+1'!$D9,1))+VALUE('Khóa k1-16'!Q129),2)</f>
        <v>1</v>
      </c>
      <c r="X14" s="3">
        <f>MOD(VALUE(MID(R0_L0!$C$90,'E(Ri) XOR ki+1'!$D9,1))+VALUE('Khóa k1-16'!R129),2)</f>
        <v>0</v>
      </c>
    </row>
    <row r="15" spans="1:24" x14ac:dyDescent="0.25">
      <c r="A15" s="3">
        <v>12</v>
      </c>
      <c r="B15" s="3">
        <v>36</v>
      </c>
      <c r="C15" s="3" t="str">
        <f t="shared" si="0"/>
        <v>1</v>
      </c>
      <c r="D15" s="3">
        <v>9</v>
      </c>
      <c r="E15" s="3">
        <v>15</v>
      </c>
      <c r="G15" s="2">
        <v>7</v>
      </c>
      <c r="H15" s="3">
        <f>MOD(VALUE(MID($O$4,D10,1)) + VALUE('Khóa k1-16'!B130),2)</f>
        <v>1</v>
      </c>
      <c r="I15" s="3">
        <f>MOD(VALUE(MID(R0_L0!$C$75,'E(Ri) XOR ki+1'!D10,1))+VALUE('Khóa k1-16'!C130),2)</f>
        <v>0</v>
      </c>
      <c r="J15" s="3">
        <f>MOD(VALUE(MID(R0_L0!$C$76,'E(Ri) XOR ki+1'!$D10,1))+VALUE('Khóa k1-16'!D130),2)</f>
        <v>0</v>
      </c>
      <c r="K15" s="3">
        <f>MOD(VALUE(MID(R0_L0!$C$77,'E(Ri) XOR ki+1'!D10,1))+VALUE('Khóa k1-16'!E130),2)</f>
        <v>0</v>
      </c>
      <c r="L15" s="3">
        <f>MOD(VALUE(MID(R0_L0!$C$78,'E(Ri) XOR ki+1'!D10,1))+VALUE('Khóa k1-16'!F130),2)</f>
        <v>1</v>
      </c>
      <c r="M15" s="3">
        <f>MOD(VALUE(MID(R0_L0!$C$79,'E(Ri) XOR ki+1'!$D10,1))+VALUE('Khóa k1-16'!G130),2)</f>
        <v>1</v>
      </c>
      <c r="N15" s="3">
        <f>MOD(VALUE(MID(R0_L0!$C$80,'E(Ri) XOR ki+1'!$D10,1))+VALUE('Khóa k1-16'!H130),2)</f>
        <v>1</v>
      </c>
      <c r="O15" s="3">
        <f>MOD(VALUE(MID(R0_L0!$C$81,'E(Ri) XOR ki+1'!$D10,1))+VALUE('Khóa k1-16'!I130),2)</f>
        <v>1</v>
      </c>
      <c r="P15" s="3">
        <f>MOD(VALUE(MID(R0_L0!$C$82,'E(Ri) XOR ki+1'!$D10,1))+VALUE('Khóa k1-16'!J130),2)</f>
        <v>1</v>
      </c>
      <c r="Q15" s="3">
        <f>MOD(VALUE(MID(R0_L0!$C$83,'E(Ri) XOR ki+1'!$D10,1))+VALUE('Khóa k1-16'!K130),2)</f>
        <v>1</v>
      </c>
      <c r="R15" s="3">
        <f>MOD(VALUE(MID(R0_L0!$C$84,'E(Ri) XOR ki+1'!$D10,1))+VALUE('Khóa k1-16'!L130),2)</f>
        <v>0</v>
      </c>
      <c r="S15" s="3">
        <f>MOD(VALUE(MID(R0_L0!$C$85,'E(Ri) XOR ki+1'!$D10,1))+VALUE('Khóa k1-16'!M130),2)</f>
        <v>0</v>
      </c>
      <c r="T15" s="3">
        <f>MOD(VALUE(MID(R0_L0!$C$86,'E(Ri) XOR ki+1'!$D10,1))+VALUE('Khóa k1-16'!N130),2)</f>
        <v>1</v>
      </c>
      <c r="U15" s="3">
        <f>MOD(VALUE(MID(R0_L0!$C$87,'E(Ri) XOR ki+1'!$D10,1))+VALUE('Khóa k1-16'!O130),2)</f>
        <v>0</v>
      </c>
      <c r="V15" s="3">
        <f>MOD(VALUE(MID(R0_L0!$C$88,'E(Ri) XOR ki+1'!$D10,1))+VALUE('Khóa k1-16'!P130),2)</f>
        <v>0</v>
      </c>
      <c r="W15" s="3">
        <f>MOD(VALUE(MID(R0_L0!$C$89,'E(Ri) XOR ki+1'!$D10,1))+VALUE('Khóa k1-16'!Q130),2)</f>
        <v>1</v>
      </c>
      <c r="X15" s="3">
        <f>MOD(VALUE(MID(R0_L0!$C$90,'E(Ri) XOR ki+1'!$D10,1))+VALUE('Khóa k1-16'!R130),2)</f>
        <v>1</v>
      </c>
    </row>
    <row r="16" spans="1:24" x14ac:dyDescent="0.25">
      <c r="A16" s="3">
        <v>13</v>
      </c>
      <c r="B16" s="3">
        <v>28</v>
      </c>
      <c r="C16" s="3" t="str">
        <f t="shared" si="0"/>
        <v>1</v>
      </c>
      <c r="D16" s="3">
        <v>8</v>
      </c>
      <c r="E16" s="3">
        <v>55</v>
      </c>
      <c r="G16" s="2">
        <v>8</v>
      </c>
      <c r="H16" s="3">
        <f>MOD(VALUE(MID($O$4,D11,1)) + VALUE('Khóa k1-16'!B131),2)</f>
        <v>1</v>
      </c>
      <c r="I16" s="3">
        <f>MOD(VALUE(MID(R0_L0!$C$75,'E(Ri) XOR ki+1'!D11,1))+VALUE('Khóa k1-16'!C131),2)</f>
        <v>0</v>
      </c>
      <c r="J16" s="3">
        <f>MOD(VALUE(MID(R0_L0!$C$76,'E(Ri) XOR ki+1'!$D11,1))+VALUE('Khóa k1-16'!D131),2)</f>
        <v>0</v>
      </c>
      <c r="K16" s="3">
        <f>MOD(VALUE(MID(R0_L0!$C$77,'E(Ri) XOR ki+1'!D11,1))+VALUE('Khóa k1-16'!E131),2)</f>
        <v>0</v>
      </c>
      <c r="L16" s="3">
        <f>MOD(VALUE(MID(R0_L0!$C$78,'E(Ri) XOR ki+1'!D11,1))+VALUE('Khóa k1-16'!F131),2)</f>
        <v>1</v>
      </c>
      <c r="M16" s="3">
        <f>MOD(VALUE(MID(R0_L0!$C$79,'E(Ri) XOR ki+1'!$D11,1))+VALUE('Khóa k1-16'!G131),2)</f>
        <v>0</v>
      </c>
      <c r="N16" s="3">
        <f>MOD(VALUE(MID(R0_L0!$C$80,'E(Ri) XOR ki+1'!$D11,1))+VALUE('Khóa k1-16'!H131),2)</f>
        <v>0</v>
      </c>
      <c r="O16" s="3">
        <f>MOD(VALUE(MID(R0_L0!$C$81,'E(Ri) XOR ki+1'!$D11,1))+VALUE('Khóa k1-16'!I131),2)</f>
        <v>1</v>
      </c>
      <c r="P16" s="3">
        <f>MOD(VALUE(MID(R0_L0!$C$82,'E(Ri) XOR ki+1'!$D11,1))+VALUE('Khóa k1-16'!J131),2)</f>
        <v>1</v>
      </c>
      <c r="Q16" s="3">
        <f>MOD(VALUE(MID(R0_L0!$C$83,'E(Ri) XOR ki+1'!$D11,1))+VALUE('Khóa k1-16'!K131),2)</f>
        <v>0</v>
      </c>
      <c r="R16" s="3">
        <f>MOD(VALUE(MID(R0_L0!$C$84,'E(Ri) XOR ki+1'!$D11,1))+VALUE('Khóa k1-16'!L131),2)</f>
        <v>0</v>
      </c>
      <c r="S16" s="3">
        <f>MOD(VALUE(MID(R0_L0!$C$85,'E(Ri) XOR ki+1'!$D11,1))+VALUE('Khóa k1-16'!M131),2)</f>
        <v>1</v>
      </c>
      <c r="T16" s="3">
        <f>MOD(VALUE(MID(R0_L0!$C$86,'E(Ri) XOR ki+1'!$D11,1))+VALUE('Khóa k1-16'!N131),2)</f>
        <v>0</v>
      </c>
      <c r="U16" s="3">
        <f>MOD(VALUE(MID(R0_L0!$C$87,'E(Ri) XOR ki+1'!$D11,1))+VALUE('Khóa k1-16'!O131),2)</f>
        <v>0</v>
      </c>
      <c r="V16" s="3">
        <f>MOD(VALUE(MID(R0_L0!$C$88,'E(Ri) XOR ki+1'!$D11,1))+VALUE('Khóa k1-16'!P131),2)</f>
        <v>0</v>
      </c>
      <c r="W16" s="3">
        <f>MOD(VALUE(MID(R0_L0!$C$89,'E(Ri) XOR ki+1'!$D11,1))+VALUE('Khóa k1-16'!Q131),2)</f>
        <v>0</v>
      </c>
      <c r="X16" s="3">
        <f>MOD(VALUE(MID(R0_L0!$C$90,'E(Ri) XOR ki+1'!$D11,1))+VALUE('Khóa k1-16'!R131),2)</f>
        <v>0</v>
      </c>
    </row>
    <row r="17" spans="1:24" x14ac:dyDescent="0.25">
      <c r="A17" s="3">
        <v>14</v>
      </c>
      <c r="B17" s="3">
        <v>20</v>
      </c>
      <c r="C17" s="3" t="str">
        <f t="shared" si="0"/>
        <v>1</v>
      </c>
      <c r="D17" s="3">
        <v>9</v>
      </c>
      <c r="E17" s="3">
        <v>23</v>
      </c>
      <c r="G17" s="2">
        <v>9</v>
      </c>
      <c r="H17" s="3">
        <f>MOD(VALUE(MID($O$4,D12,1)) + VALUE('Khóa k1-16'!B132),2)</f>
        <v>0</v>
      </c>
      <c r="I17" s="3">
        <f>MOD(VALUE(MID(R0_L0!$C$75,'E(Ri) XOR ki+1'!D12,1))+VALUE('Khóa k1-16'!C132),2)</f>
        <v>0</v>
      </c>
      <c r="J17" s="3">
        <f>MOD(VALUE(MID(R0_L0!$C$76,'E(Ri) XOR ki+1'!$D12,1))+VALUE('Khóa k1-16'!D132),2)</f>
        <v>1</v>
      </c>
      <c r="K17" s="3">
        <f>MOD(VALUE(MID(R0_L0!$C$77,'E(Ri) XOR ki+1'!D12,1))+VALUE('Khóa k1-16'!E132),2)</f>
        <v>0</v>
      </c>
      <c r="L17" s="3">
        <f>MOD(VALUE(MID(R0_L0!$C$78,'E(Ri) XOR ki+1'!D12,1))+VALUE('Khóa k1-16'!F132),2)</f>
        <v>0</v>
      </c>
      <c r="M17" s="3">
        <f>MOD(VALUE(MID(R0_L0!$C$79,'E(Ri) XOR ki+1'!$D12,1))+VALUE('Khóa k1-16'!G132),2)</f>
        <v>0</v>
      </c>
      <c r="N17" s="3">
        <f>MOD(VALUE(MID(R0_L0!$C$80,'E(Ri) XOR ki+1'!$D12,1))+VALUE('Khóa k1-16'!H132),2)</f>
        <v>1</v>
      </c>
      <c r="O17" s="3">
        <f>MOD(VALUE(MID(R0_L0!$C$81,'E(Ri) XOR ki+1'!$D12,1))+VALUE('Khóa k1-16'!I132),2)</f>
        <v>1</v>
      </c>
      <c r="P17" s="3">
        <f>MOD(VALUE(MID(R0_L0!$C$82,'E(Ri) XOR ki+1'!$D12,1))+VALUE('Khóa k1-16'!J132),2)</f>
        <v>0</v>
      </c>
      <c r="Q17" s="3">
        <f>MOD(VALUE(MID(R0_L0!$C$83,'E(Ri) XOR ki+1'!$D12,1))+VALUE('Khóa k1-16'!K132),2)</f>
        <v>1</v>
      </c>
      <c r="R17" s="3">
        <f>MOD(VALUE(MID(R0_L0!$C$84,'E(Ri) XOR ki+1'!$D12,1))+VALUE('Khóa k1-16'!L132),2)</f>
        <v>0</v>
      </c>
      <c r="S17" s="3">
        <f>MOD(VALUE(MID(R0_L0!$C$85,'E(Ri) XOR ki+1'!$D12,1))+VALUE('Khóa k1-16'!M132),2)</f>
        <v>1</v>
      </c>
      <c r="T17" s="3">
        <f>MOD(VALUE(MID(R0_L0!$C$86,'E(Ri) XOR ki+1'!$D12,1))+VALUE('Khóa k1-16'!N132),2)</f>
        <v>1</v>
      </c>
      <c r="U17" s="3">
        <f>MOD(VALUE(MID(R0_L0!$C$87,'E(Ri) XOR ki+1'!$D12,1))+VALUE('Khóa k1-16'!O132),2)</f>
        <v>1</v>
      </c>
      <c r="V17" s="3">
        <f>MOD(VALUE(MID(R0_L0!$C$88,'E(Ri) XOR ki+1'!$D12,1))+VALUE('Khóa k1-16'!P132),2)</f>
        <v>0</v>
      </c>
      <c r="W17" s="3">
        <f>MOD(VALUE(MID(R0_L0!$C$89,'E(Ri) XOR ki+1'!$D12,1))+VALUE('Khóa k1-16'!Q132),2)</f>
        <v>1</v>
      </c>
      <c r="X17" s="3">
        <f>MOD(VALUE(MID(R0_L0!$C$90,'E(Ri) XOR ki+1'!$D12,1))+VALUE('Khóa k1-16'!R132),2)</f>
        <v>1</v>
      </c>
    </row>
    <row r="18" spans="1:24" x14ac:dyDescent="0.25">
      <c r="A18" s="3">
        <v>15</v>
      </c>
      <c r="B18" s="3">
        <v>12</v>
      </c>
      <c r="C18" s="3" t="str">
        <f t="shared" si="0"/>
        <v>1</v>
      </c>
      <c r="D18" s="3">
        <v>10</v>
      </c>
      <c r="E18" s="3">
        <v>63</v>
      </c>
      <c r="G18" s="2">
        <v>10</v>
      </c>
      <c r="H18" s="3">
        <f>MOD(VALUE(MID($O$4,D13,1)) + VALUE('Khóa k1-16'!B133),2)</f>
        <v>0</v>
      </c>
      <c r="I18" s="3">
        <f>MOD(VALUE(MID(R0_L0!$C$75,'E(Ri) XOR ki+1'!D13,1))+VALUE('Khóa k1-16'!C133),2)</f>
        <v>1</v>
      </c>
      <c r="J18" s="3">
        <f>MOD(VALUE(MID(R0_L0!$C$76,'E(Ri) XOR ki+1'!$D13,1))+VALUE('Khóa k1-16'!D133),2)</f>
        <v>1</v>
      </c>
      <c r="K18" s="3">
        <f>MOD(VALUE(MID(R0_L0!$C$77,'E(Ri) XOR ki+1'!D13,1))+VALUE('Khóa k1-16'!E133),2)</f>
        <v>0</v>
      </c>
      <c r="L18" s="3">
        <f>MOD(VALUE(MID(R0_L0!$C$78,'E(Ri) XOR ki+1'!D13,1))+VALUE('Khóa k1-16'!F133),2)</f>
        <v>1</v>
      </c>
      <c r="M18" s="3">
        <f>MOD(VALUE(MID(R0_L0!$C$79,'E(Ri) XOR ki+1'!$D13,1))+VALUE('Khóa k1-16'!G133),2)</f>
        <v>0</v>
      </c>
      <c r="N18" s="3">
        <f>MOD(VALUE(MID(R0_L0!$C$80,'E(Ri) XOR ki+1'!$D13,1))+VALUE('Khóa k1-16'!H133),2)</f>
        <v>1</v>
      </c>
      <c r="O18" s="3">
        <f>MOD(VALUE(MID(R0_L0!$C$81,'E(Ri) XOR ki+1'!$D13,1))+VALUE('Khóa k1-16'!I133),2)</f>
        <v>1</v>
      </c>
      <c r="P18" s="3">
        <f>MOD(VALUE(MID(R0_L0!$C$82,'E(Ri) XOR ki+1'!$D13,1))+VALUE('Khóa k1-16'!J133),2)</f>
        <v>0</v>
      </c>
      <c r="Q18" s="3">
        <f>MOD(VALUE(MID(R0_L0!$C$83,'E(Ri) XOR ki+1'!$D13,1))+VALUE('Khóa k1-16'!K133),2)</f>
        <v>1</v>
      </c>
      <c r="R18" s="3">
        <f>MOD(VALUE(MID(R0_L0!$C$84,'E(Ri) XOR ki+1'!$D13,1))+VALUE('Khóa k1-16'!L133),2)</f>
        <v>0</v>
      </c>
      <c r="S18" s="3">
        <f>MOD(VALUE(MID(R0_L0!$C$85,'E(Ri) XOR ki+1'!$D13,1))+VALUE('Khóa k1-16'!M133),2)</f>
        <v>1</v>
      </c>
      <c r="T18" s="3">
        <f>MOD(VALUE(MID(R0_L0!$C$86,'E(Ri) XOR ki+1'!$D13,1))+VALUE('Khóa k1-16'!N133),2)</f>
        <v>0</v>
      </c>
      <c r="U18" s="3">
        <f>MOD(VALUE(MID(R0_L0!$C$87,'E(Ri) XOR ki+1'!$D13,1))+VALUE('Khóa k1-16'!O133),2)</f>
        <v>0</v>
      </c>
      <c r="V18" s="3">
        <f>MOD(VALUE(MID(R0_L0!$C$88,'E(Ri) XOR ki+1'!$D13,1))+VALUE('Khóa k1-16'!P133),2)</f>
        <v>1</v>
      </c>
      <c r="W18" s="3">
        <f>MOD(VALUE(MID(R0_L0!$C$89,'E(Ri) XOR ki+1'!$D13,1))+VALUE('Khóa k1-16'!Q133),2)</f>
        <v>1</v>
      </c>
      <c r="X18" s="3">
        <f>MOD(VALUE(MID(R0_L0!$C$90,'E(Ri) XOR ki+1'!$D13,1))+VALUE('Khóa k1-16'!R133),2)</f>
        <v>0</v>
      </c>
    </row>
    <row r="19" spans="1:24" x14ac:dyDescent="0.25">
      <c r="A19" s="3">
        <v>16</v>
      </c>
      <c r="B19" s="3">
        <v>4</v>
      </c>
      <c r="C19" s="3" t="str">
        <f t="shared" si="0"/>
        <v>0</v>
      </c>
      <c r="D19" s="3">
        <v>11</v>
      </c>
      <c r="E19" s="3">
        <v>31</v>
      </c>
      <c r="G19" s="2">
        <v>11</v>
      </c>
      <c r="H19" s="3">
        <f>MOD(VALUE(MID($O$4,D14,1)) + VALUE('Khóa k1-16'!B134),2)</f>
        <v>0</v>
      </c>
      <c r="I19" s="3">
        <f>MOD(VALUE(MID(R0_L0!$C$75,'E(Ri) XOR ki+1'!D14,1))+VALUE('Khóa k1-16'!C134),2)</f>
        <v>0</v>
      </c>
      <c r="J19" s="3">
        <f>MOD(VALUE(MID(R0_L0!$C$76,'E(Ri) XOR ki+1'!$D14,1))+VALUE('Khóa k1-16'!D134),2)</f>
        <v>1</v>
      </c>
      <c r="K19" s="3">
        <f>MOD(VALUE(MID(R0_L0!$C$77,'E(Ri) XOR ki+1'!D14,1))+VALUE('Khóa k1-16'!E134),2)</f>
        <v>0</v>
      </c>
      <c r="L19" s="3">
        <f>MOD(VALUE(MID(R0_L0!$C$78,'E(Ri) XOR ki+1'!D14,1))+VALUE('Khóa k1-16'!F134),2)</f>
        <v>1</v>
      </c>
      <c r="M19" s="3">
        <f>MOD(VALUE(MID(R0_L0!$C$79,'E(Ri) XOR ki+1'!$D14,1))+VALUE('Khóa k1-16'!G134),2)</f>
        <v>0</v>
      </c>
      <c r="N19" s="3">
        <f>MOD(VALUE(MID(R0_L0!$C$80,'E(Ri) XOR ki+1'!$D14,1))+VALUE('Khóa k1-16'!H134),2)</f>
        <v>1</v>
      </c>
      <c r="O19" s="3">
        <f>MOD(VALUE(MID(R0_L0!$C$81,'E(Ri) XOR ki+1'!$D14,1))+VALUE('Khóa k1-16'!I134),2)</f>
        <v>1</v>
      </c>
      <c r="P19" s="3">
        <f>MOD(VALUE(MID(R0_L0!$C$82,'E(Ri) XOR ki+1'!$D14,1))+VALUE('Khóa k1-16'!J134),2)</f>
        <v>1</v>
      </c>
      <c r="Q19" s="3">
        <f>MOD(VALUE(MID(R0_L0!$C$83,'E(Ri) XOR ki+1'!$D14,1))+VALUE('Khóa k1-16'!K134),2)</f>
        <v>1</v>
      </c>
      <c r="R19" s="3">
        <f>MOD(VALUE(MID(R0_L0!$C$84,'E(Ri) XOR ki+1'!$D14,1))+VALUE('Khóa k1-16'!L134),2)</f>
        <v>0</v>
      </c>
      <c r="S19" s="3">
        <f>MOD(VALUE(MID(R0_L0!$C$85,'E(Ri) XOR ki+1'!$D14,1))+VALUE('Khóa k1-16'!M134),2)</f>
        <v>1</v>
      </c>
      <c r="T19" s="3">
        <f>MOD(VALUE(MID(R0_L0!$C$86,'E(Ri) XOR ki+1'!$D14,1))+VALUE('Khóa k1-16'!N134),2)</f>
        <v>0</v>
      </c>
      <c r="U19" s="3">
        <f>MOD(VALUE(MID(R0_L0!$C$87,'E(Ri) XOR ki+1'!$D14,1))+VALUE('Khóa k1-16'!O134),2)</f>
        <v>1</v>
      </c>
      <c r="V19" s="3">
        <f>MOD(VALUE(MID(R0_L0!$C$88,'E(Ri) XOR ki+1'!$D14,1))+VALUE('Khóa k1-16'!P134),2)</f>
        <v>1</v>
      </c>
      <c r="W19" s="3">
        <f>MOD(VALUE(MID(R0_L0!$C$89,'E(Ri) XOR ki+1'!$D14,1))+VALUE('Khóa k1-16'!Q134),2)</f>
        <v>1</v>
      </c>
      <c r="X19" s="3">
        <f>MOD(VALUE(MID(R0_L0!$C$90,'E(Ri) XOR ki+1'!$D14,1))+VALUE('Khóa k1-16'!R134),2)</f>
        <v>0</v>
      </c>
    </row>
    <row r="20" spans="1:24" x14ac:dyDescent="0.25">
      <c r="A20" s="3">
        <v>17</v>
      </c>
      <c r="B20" s="3">
        <v>62</v>
      </c>
      <c r="C20" s="3" t="str">
        <f t="shared" si="0"/>
        <v>1</v>
      </c>
      <c r="D20" s="3">
        <v>12</v>
      </c>
      <c r="E20" s="3">
        <v>38</v>
      </c>
      <c r="G20" s="2">
        <v>12</v>
      </c>
      <c r="H20" s="3">
        <f>MOD(VALUE(MID($O$4,D15,1)) + VALUE('Khóa k1-16'!B135),2)</f>
        <v>0</v>
      </c>
      <c r="I20" s="3">
        <f>MOD(VALUE(MID(R0_L0!$C$75,'E(Ri) XOR ki+1'!D15,1))+VALUE('Khóa k1-16'!C135),2)</f>
        <v>0</v>
      </c>
      <c r="J20" s="3">
        <f>MOD(VALUE(MID(R0_L0!$C$76,'E(Ri) XOR ki+1'!$D15,1))+VALUE('Khóa k1-16'!D135),2)</f>
        <v>1</v>
      </c>
      <c r="K20" s="3">
        <f>MOD(VALUE(MID(R0_L0!$C$77,'E(Ri) XOR ki+1'!D15,1))+VALUE('Khóa k1-16'!E135),2)</f>
        <v>0</v>
      </c>
      <c r="L20" s="3">
        <f>MOD(VALUE(MID(R0_L0!$C$78,'E(Ri) XOR ki+1'!D15,1))+VALUE('Khóa k1-16'!F135),2)</f>
        <v>0</v>
      </c>
      <c r="M20" s="3">
        <f>MOD(VALUE(MID(R0_L0!$C$79,'E(Ri) XOR ki+1'!$D15,1))+VALUE('Khóa k1-16'!G135),2)</f>
        <v>0</v>
      </c>
      <c r="N20" s="3">
        <f>MOD(VALUE(MID(R0_L0!$C$80,'E(Ri) XOR ki+1'!$D15,1))+VALUE('Khóa k1-16'!H135),2)</f>
        <v>1</v>
      </c>
      <c r="O20" s="3">
        <f>MOD(VALUE(MID(R0_L0!$C$81,'E(Ri) XOR ki+1'!$D15,1))+VALUE('Khóa k1-16'!I135),2)</f>
        <v>0</v>
      </c>
      <c r="P20" s="3">
        <f>MOD(VALUE(MID(R0_L0!$C$82,'E(Ri) XOR ki+1'!$D15,1))+VALUE('Khóa k1-16'!J135),2)</f>
        <v>1</v>
      </c>
      <c r="Q20" s="3">
        <f>MOD(VALUE(MID(R0_L0!$C$83,'E(Ri) XOR ki+1'!$D15,1))+VALUE('Khóa k1-16'!K135),2)</f>
        <v>1</v>
      </c>
      <c r="R20" s="3">
        <f>MOD(VALUE(MID(R0_L0!$C$84,'E(Ri) XOR ki+1'!$D15,1))+VALUE('Khóa k1-16'!L135),2)</f>
        <v>1</v>
      </c>
      <c r="S20" s="3">
        <f>MOD(VALUE(MID(R0_L0!$C$85,'E(Ri) XOR ki+1'!$D15,1))+VALUE('Khóa k1-16'!M135),2)</f>
        <v>0</v>
      </c>
      <c r="T20" s="3">
        <f>MOD(VALUE(MID(R0_L0!$C$86,'E(Ri) XOR ki+1'!$D15,1))+VALUE('Khóa k1-16'!N135),2)</f>
        <v>0</v>
      </c>
      <c r="U20" s="3">
        <f>MOD(VALUE(MID(R0_L0!$C$87,'E(Ri) XOR ki+1'!$D15,1))+VALUE('Khóa k1-16'!O135),2)</f>
        <v>0</v>
      </c>
      <c r="V20" s="3">
        <f>MOD(VALUE(MID(R0_L0!$C$88,'E(Ri) XOR ki+1'!$D15,1))+VALUE('Khóa k1-16'!P135),2)</f>
        <v>0</v>
      </c>
      <c r="W20" s="3">
        <f>MOD(VALUE(MID(R0_L0!$C$89,'E(Ri) XOR ki+1'!$D15,1))+VALUE('Khóa k1-16'!Q135),2)</f>
        <v>1</v>
      </c>
      <c r="X20" s="3">
        <f>MOD(VALUE(MID(R0_L0!$C$90,'E(Ri) XOR ki+1'!$D15,1))+VALUE('Khóa k1-16'!R135),2)</f>
        <v>0</v>
      </c>
    </row>
    <row r="21" spans="1:24" x14ac:dyDescent="0.25">
      <c r="A21" s="3">
        <v>18</v>
      </c>
      <c r="B21" s="3">
        <v>54</v>
      </c>
      <c r="C21" s="3" t="str">
        <f t="shared" si="0"/>
        <v>1</v>
      </c>
      <c r="D21" s="3">
        <v>13</v>
      </c>
      <c r="E21" s="3">
        <v>6</v>
      </c>
      <c r="G21" s="2">
        <v>13</v>
      </c>
      <c r="H21" s="3">
        <f>MOD(VALUE(MID($O$4,D16,1)) + VALUE('Khóa k1-16'!B136),2)</f>
        <v>0</v>
      </c>
      <c r="I21" s="3">
        <f>MOD(VALUE(MID(R0_L0!$C$75,'E(Ri) XOR ki+1'!D16,1))+VALUE('Khóa k1-16'!C136),2)</f>
        <v>0</v>
      </c>
      <c r="J21" s="3">
        <f>MOD(VALUE(MID(R0_L0!$C$76,'E(Ri) XOR ki+1'!$D16,1))+VALUE('Khóa k1-16'!D136),2)</f>
        <v>1</v>
      </c>
      <c r="K21" s="3">
        <f>MOD(VALUE(MID(R0_L0!$C$77,'E(Ri) XOR ki+1'!D16,1))+VALUE('Khóa k1-16'!E136),2)</f>
        <v>0</v>
      </c>
      <c r="L21" s="3">
        <f>MOD(VALUE(MID(R0_L0!$C$78,'E(Ri) XOR ki+1'!D16,1))+VALUE('Khóa k1-16'!F136),2)</f>
        <v>1</v>
      </c>
      <c r="M21" s="3">
        <f>MOD(VALUE(MID(R0_L0!$C$79,'E(Ri) XOR ki+1'!$D16,1))+VALUE('Khóa k1-16'!G136),2)</f>
        <v>1</v>
      </c>
      <c r="N21" s="3">
        <f>MOD(VALUE(MID(R0_L0!$C$80,'E(Ri) XOR ki+1'!$D16,1))+VALUE('Khóa k1-16'!H136),2)</f>
        <v>1</v>
      </c>
      <c r="O21" s="3">
        <f>MOD(VALUE(MID(R0_L0!$C$81,'E(Ri) XOR ki+1'!$D16,1))+VALUE('Khóa k1-16'!I136),2)</f>
        <v>0</v>
      </c>
      <c r="P21" s="3">
        <f>MOD(VALUE(MID(R0_L0!$C$82,'E(Ri) XOR ki+1'!$D16,1))+VALUE('Khóa k1-16'!J136),2)</f>
        <v>0</v>
      </c>
      <c r="Q21" s="3">
        <f>MOD(VALUE(MID(R0_L0!$C$83,'E(Ri) XOR ki+1'!$D16,1))+VALUE('Khóa k1-16'!K136),2)</f>
        <v>0</v>
      </c>
      <c r="R21" s="3">
        <f>MOD(VALUE(MID(R0_L0!$C$84,'E(Ri) XOR ki+1'!$D16,1))+VALUE('Khóa k1-16'!L136),2)</f>
        <v>1</v>
      </c>
      <c r="S21" s="3">
        <f>MOD(VALUE(MID(R0_L0!$C$85,'E(Ri) XOR ki+1'!$D16,1))+VALUE('Khóa k1-16'!M136),2)</f>
        <v>0</v>
      </c>
      <c r="T21" s="3">
        <f>MOD(VALUE(MID(R0_L0!$C$86,'E(Ri) XOR ki+1'!$D16,1))+VALUE('Khóa k1-16'!N136),2)</f>
        <v>0</v>
      </c>
      <c r="U21" s="3">
        <f>MOD(VALUE(MID(R0_L0!$C$87,'E(Ri) XOR ki+1'!$D16,1))+VALUE('Khóa k1-16'!O136),2)</f>
        <v>1</v>
      </c>
      <c r="V21" s="3">
        <f>MOD(VALUE(MID(R0_L0!$C$88,'E(Ri) XOR ki+1'!$D16,1))+VALUE('Khóa k1-16'!P136),2)</f>
        <v>1</v>
      </c>
      <c r="W21" s="3">
        <f>MOD(VALUE(MID(R0_L0!$C$89,'E(Ri) XOR ki+1'!$D16,1))+VALUE('Khóa k1-16'!Q136),2)</f>
        <v>1</v>
      </c>
      <c r="X21" s="3">
        <f>MOD(VALUE(MID(R0_L0!$C$90,'E(Ri) XOR ki+1'!$D16,1))+VALUE('Khóa k1-16'!R136),2)</f>
        <v>0</v>
      </c>
    </row>
    <row r="22" spans="1:24" x14ac:dyDescent="0.25">
      <c r="A22" s="3">
        <v>19</v>
      </c>
      <c r="B22" s="3">
        <v>46</v>
      </c>
      <c r="C22" s="3" t="str">
        <f t="shared" si="0"/>
        <v>0</v>
      </c>
      <c r="D22" s="3">
        <v>12</v>
      </c>
      <c r="E22" s="3">
        <v>46</v>
      </c>
      <c r="G22" s="2">
        <v>14</v>
      </c>
      <c r="H22" s="3">
        <f>MOD(VALUE(MID($O$4,D17,1)) + VALUE('Khóa k1-16'!B137),2)</f>
        <v>0</v>
      </c>
      <c r="I22" s="3">
        <f>MOD(VALUE(MID(R0_L0!$C$75,'E(Ri) XOR ki+1'!D17,1))+VALUE('Khóa k1-16'!C137),2)</f>
        <v>1</v>
      </c>
      <c r="J22" s="3">
        <f>MOD(VALUE(MID(R0_L0!$C$76,'E(Ri) XOR ki+1'!$D17,1))+VALUE('Khóa k1-16'!D137),2)</f>
        <v>1</v>
      </c>
      <c r="K22" s="3">
        <f>MOD(VALUE(MID(R0_L0!$C$77,'E(Ri) XOR ki+1'!D17,1))+VALUE('Khóa k1-16'!E137),2)</f>
        <v>1</v>
      </c>
      <c r="L22" s="3">
        <f>MOD(VALUE(MID(R0_L0!$C$78,'E(Ri) XOR ki+1'!D17,1))+VALUE('Khóa k1-16'!F137),2)</f>
        <v>1</v>
      </c>
      <c r="M22" s="3">
        <f>MOD(VALUE(MID(R0_L0!$C$79,'E(Ri) XOR ki+1'!$D17,1))+VALUE('Khóa k1-16'!G137),2)</f>
        <v>1</v>
      </c>
      <c r="N22" s="3">
        <f>MOD(VALUE(MID(R0_L0!$C$80,'E(Ri) XOR ki+1'!$D17,1))+VALUE('Khóa k1-16'!H137),2)</f>
        <v>0</v>
      </c>
      <c r="O22" s="3">
        <f>MOD(VALUE(MID(R0_L0!$C$81,'E(Ri) XOR ki+1'!$D17,1))+VALUE('Khóa k1-16'!I137),2)</f>
        <v>0</v>
      </c>
      <c r="P22" s="3">
        <f>MOD(VALUE(MID(R0_L0!$C$82,'E(Ri) XOR ki+1'!$D17,1))+VALUE('Khóa k1-16'!J137),2)</f>
        <v>0</v>
      </c>
      <c r="Q22" s="3">
        <f>MOD(VALUE(MID(R0_L0!$C$83,'E(Ri) XOR ki+1'!$D17,1))+VALUE('Khóa k1-16'!K137),2)</f>
        <v>0</v>
      </c>
      <c r="R22" s="3">
        <f>MOD(VALUE(MID(R0_L0!$C$84,'E(Ri) XOR ki+1'!$D17,1))+VALUE('Khóa k1-16'!L137),2)</f>
        <v>1</v>
      </c>
      <c r="S22" s="3">
        <f>MOD(VALUE(MID(R0_L0!$C$85,'E(Ri) XOR ki+1'!$D17,1))+VALUE('Khóa k1-16'!M137),2)</f>
        <v>1</v>
      </c>
      <c r="T22" s="3">
        <f>MOD(VALUE(MID(R0_L0!$C$86,'E(Ri) XOR ki+1'!$D17,1))+VALUE('Khóa k1-16'!N137),2)</f>
        <v>1</v>
      </c>
      <c r="U22" s="3">
        <f>MOD(VALUE(MID(R0_L0!$C$87,'E(Ri) XOR ki+1'!$D17,1))+VALUE('Khóa k1-16'!O137),2)</f>
        <v>0</v>
      </c>
      <c r="V22" s="3">
        <f>MOD(VALUE(MID(R0_L0!$C$88,'E(Ri) XOR ki+1'!$D17,1))+VALUE('Khóa k1-16'!P137),2)</f>
        <v>1</v>
      </c>
      <c r="W22" s="3">
        <f>MOD(VALUE(MID(R0_L0!$C$89,'E(Ri) XOR ki+1'!$D17,1))+VALUE('Khóa k1-16'!Q137),2)</f>
        <v>1</v>
      </c>
      <c r="X22" s="3">
        <f>MOD(VALUE(MID(R0_L0!$C$90,'E(Ri) XOR ki+1'!$D17,1))+VALUE('Khóa k1-16'!R137),2)</f>
        <v>0</v>
      </c>
    </row>
    <row r="23" spans="1:24" x14ac:dyDescent="0.25">
      <c r="A23" s="3">
        <v>20</v>
      </c>
      <c r="B23" s="3">
        <v>38</v>
      </c>
      <c r="C23" s="3" t="str">
        <f t="shared" si="0"/>
        <v>0</v>
      </c>
      <c r="D23" s="3">
        <v>13</v>
      </c>
      <c r="E23" s="3">
        <v>14</v>
      </c>
      <c r="G23" s="2">
        <v>15</v>
      </c>
      <c r="H23" s="3">
        <f>MOD(VALUE(MID($O$4,D18,1)) + VALUE('Khóa k1-16'!B138),2)</f>
        <v>0</v>
      </c>
      <c r="I23" s="3">
        <f>MOD(VALUE(MID(R0_L0!$C$75,'E(Ri) XOR ki+1'!D18,1))+VALUE('Khóa k1-16'!C138),2)</f>
        <v>1</v>
      </c>
      <c r="J23" s="3">
        <f>MOD(VALUE(MID(R0_L0!$C$76,'E(Ri) XOR ki+1'!$D18,1))+VALUE('Khóa k1-16'!D138),2)</f>
        <v>0</v>
      </c>
      <c r="K23" s="3">
        <f>MOD(VALUE(MID(R0_L0!$C$77,'E(Ri) XOR ki+1'!D18,1))+VALUE('Khóa k1-16'!E138),2)</f>
        <v>0</v>
      </c>
      <c r="L23" s="3">
        <f>MOD(VALUE(MID(R0_L0!$C$78,'E(Ri) XOR ki+1'!D18,1))+VALUE('Khóa k1-16'!F138),2)</f>
        <v>1</v>
      </c>
      <c r="M23" s="3">
        <f>MOD(VALUE(MID(R0_L0!$C$79,'E(Ri) XOR ki+1'!$D18,1))+VALUE('Khóa k1-16'!G138),2)</f>
        <v>0</v>
      </c>
      <c r="N23" s="3">
        <f>MOD(VALUE(MID(R0_L0!$C$80,'E(Ri) XOR ki+1'!$D18,1))+VALUE('Khóa k1-16'!H138),2)</f>
        <v>0</v>
      </c>
      <c r="O23" s="3">
        <f>MOD(VALUE(MID(R0_L0!$C$81,'E(Ri) XOR ki+1'!$D18,1))+VALUE('Khóa k1-16'!I138),2)</f>
        <v>1</v>
      </c>
      <c r="P23" s="3">
        <f>MOD(VALUE(MID(R0_L0!$C$82,'E(Ri) XOR ki+1'!$D18,1))+VALUE('Khóa k1-16'!J138),2)</f>
        <v>0</v>
      </c>
      <c r="Q23" s="3">
        <f>MOD(VALUE(MID(R0_L0!$C$83,'E(Ri) XOR ki+1'!$D18,1))+VALUE('Khóa k1-16'!K138),2)</f>
        <v>0</v>
      </c>
      <c r="R23" s="3">
        <f>MOD(VALUE(MID(R0_L0!$C$84,'E(Ri) XOR ki+1'!$D18,1))+VALUE('Khóa k1-16'!L138),2)</f>
        <v>0</v>
      </c>
      <c r="S23" s="3">
        <f>MOD(VALUE(MID(R0_L0!$C$85,'E(Ri) XOR ki+1'!$D18,1))+VALUE('Khóa k1-16'!M138),2)</f>
        <v>0</v>
      </c>
      <c r="T23" s="3">
        <f>MOD(VALUE(MID(R0_L0!$C$86,'E(Ri) XOR ki+1'!$D18,1))+VALUE('Khóa k1-16'!N138),2)</f>
        <v>0</v>
      </c>
      <c r="U23" s="3">
        <f>MOD(VALUE(MID(R0_L0!$C$87,'E(Ri) XOR ki+1'!$D18,1))+VALUE('Khóa k1-16'!O138),2)</f>
        <v>0</v>
      </c>
      <c r="V23" s="3">
        <f>MOD(VALUE(MID(R0_L0!$C$88,'E(Ri) XOR ki+1'!$D18,1))+VALUE('Khóa k1-16'!P138),2)</f>
        <v>1</v>
      </c>
      <c r="W23" s="3">
        <f>MOD(VALUE(MID(R0_L0!$C$89,'E(Ri) XOR ki+1'!$D18,1))+VALUE('Khóa k1-16'!Q138),2)</f>
        <v>1</v>
      </c>
      <c r="X23" s="3">
        <f>MOD(VALUE(MID(R0_L0!$C$90,'E(Ri) XOR ki+1'!$D18,1))+VALUE('Khóa k1-16'!R138),2)</f>
        <v>0</v>
      </c>
    </row>
    <row r="24" spans="1:24" x14ac:dyDescent="0.25">
      <c r="A24" s="3">
        <v>21</v>
      </c>
      <c r="B24" s="3">
        <v>30</v>
      </c>
      <c r="C24" s="3" t="str">
        <f t="shared" si="0"/>
        <v>1</v>
      </c>
      <c r="D24" s="3">
        <v>14</v>
      </c>
      <c r="E24" s="3">
        <v>54</v>
      </c>
      <c r="G24" s="2">
        <v>16</v>
      </c>
      <c r="H24" s="3">
        <f>MOD(VALUE(MID($O$4,D19,1)) + VALUE('Khóa k1-16'!B139),2)</f>
        <v>0</v>
      </c>
      <c r="I24" s="3">
        <f>MOD(VALUE(MID(R0_L0!$C$75,'E(Ri) XOR ki+1'!D19,1))+VALUE('Khóa k1-16'!C139),2)</f>
        <v>1</v>
      </c>
      <c r="J24" s="3">
        <f>MOD(VALUE(MID(R0_L0!$C$76,'E(Ri) XOR ki+1'!$D19,1))+VALUE('Khóa k1-16'!D139),2)</f>
        <v>0</v>
      </c>
      <c r="K24" s="3">
        <f>MOD(VALUE(MID(R0_L0!$C$77,'E(Ri) XOR ki+1'!D19,1))+VALUE('Khóa k1-16'!E139),2)</f>
        <v>1</v>
      </c>
      <c r="L24" s="3">
        <f>MOD(VALUE(MID(R0_L0!$C$78,'E(Ri) XOR ki+1'!D19,1))+VALUE('Khóa k1-16'!F139),2)</f>
        <v>0</v>
      </c>
      <c r="M24" s="3">
        <f>MOD(VALUE(MID(R0_L0!$C$79,'E(Ri) XOR ki+1'!$D19,1))+VALUE('Khóa k1-16'!G139),2)</f>
        <v>0</v>
      </c>
      <c r="N24" s="3">
        <f>MOD(VALUE(MID(R0_L0!$C$80,'E(Ri) XOR ki+1'!$D19,1))+VALUE('Khóa k1-16'!H139),2)</f>
        <v>0</v>
      </c>
      <c r="O24" s="3">
        <f>MOD(VALUE(MID(R0_L0!$C$81,'E(Ri) XOR ki+1'!$D19,1))+VALUE('Khóa k1-16'!I139),2)</f>
        <v>1</v>
      </c>
      <c r="P24" s="3">
        <f>MOD(VALUE(MID(R0_L0!$C$82,'E(Ri) XOR ki+1'!$D19,1))+VALUE('Khóa k1-16'!J139),2)</f>
        <v>0</v>
      </c>
      <c r="Q24" s="3">
        <f>MOD(VALUE(MID(R0_L0!$C$83,'E(Ri) XOR ki+1'!$D19,1))+VALUE('Khóa k1-16'!K139),2)</f>
        <v>0</v>
      </c>
      <c r="R24" s="3">
        <f>MOD(VALUE(MID(R0_L0!$C$84,'E(Ri) XOR ki+1'!$D19,1))+VALUE('Khóa k1-16'!L139),2)</f>
        <v>0</v>
      </c>
      <c r="S24" s="3">
        <f>MOD(VALUE(MID(R0_L0!$C$85,'E(Ri) XOR ki+1'!$D19,1))+VALUE('Khóa k1-16'!M139),2)</f>
        <v>1</v>
      </c>
      <c r="T24" s="3">
        <f>MOD(VALUE(MID(R0_L0!$C$86,'E(Ri) XOR ki+1'!$D19,1))+VALUE('Khóa k1-16'!N139),2)</f>
        <v>0</v>
      </c>
      <c r="U24" s="3">
        <f>MOD(VALUE(MID(R0_L0!$C$87,'E(Ri) XOR ki+1'!$D19,1))+VALUE('Khóa k1-16'!O139),2)</f>
        <v>0</v>
      </c>
      <c r="V24" s="3">
        <f>MOD(VALUE(MID(R0_L0!$C$88,'E(Ri) XOR ki+1'!$D19,1))+VALUE('Khóa k1-16'!P139),2)</f>
        <v>1</v>
      </c>
      <c r="W24" s="3">
        <f>MOD(VALUE(MID(R0_L0!$C$89,'E(Ri) XOR ki+1'!$D19,1))+VALUE('Khóa k1-16'!Q139),2)</f>
        <v>1</v>
      </c>
      <c r="X24" s="3">
        <f>MOD(VALUE(MID(R0_L0!$C$90,'E(Ri) XOR ki+1'!$D19,1))+VALUE('Khóa k1-16'!R139),2)</f>
        <v>1</v>
      </c>
    </row>
    <row r="25" spans="1:24" x14ac:dyDescent="0.25">
      <c r="A25" s="3">
        <v>22</v>
      </c>
      <c r="B25" s="3">
        <v>22</v>
      </c>
      <c r="C25" s="3" t="str">
        <f t="shared" si="0"/>
        <v>1</v>
      </c>
      <c r="D25" s="3">
        <v>15</v>
      </c>
      <c r="E25" s="3">
        <v>22</v>
      </c>
      <c r="G25" s="2">
        <v>17</v>
      </c>
      <c r="H25" s="3">
        <f>MOD(VALUE(MID($O$4,D20,1)) + VALUE('Khóa k1-16'!B140),2)</f>
        <v>0</v>
      </c>
      <c r="I25" s="3">
        <f>MOD(VALUE(MID(R0_L0!$C$75,'E(Ri) XOR ki+1'!D20,1))+VALUE('Khóa k1-16'!C140),2)</f>
        <v>1</v>
      </c>
      <c r="J25" s="3">
        <f>MOD(VALUE(MID(R0_L0!$C$76,'E(Ri) XOR ki+1'!$D20,1))+VALUE('Khóa k1-16'!D140),2)</f>
        <v>0</v>
      </c>
      <c r="K25" s="3">
        <f>MOD(VALUE(MID(R0_L0!$C$77,'E(Ri) XOR ki+1'!D20,1))+VALUE('Khóa k1-16'!E140),2)</f>
        <v>0</v>
      </c>
      <c r="L25" s="3">
        <f>MOD(VALUE(MID(R0_L0!$C$78,'E(Ri) XOR ki+1'!D20,1))+VALUE('Khóa k1-16'!F140),2)</f>
        <v>1</v>
      </c>
      <c r="M25" s="3">
        <f>MOD(VALUE(MID(R0_L0!$C$79,'E(Ri) XOR ki+1'!$D20,1))+VALUE('Khóa k1-16'!G140),2)</f>
        <v>0</v>
      </c>
      <c r="N25" s="3">
        <f>MOD(VALUE(MID(R0_L0!$C$80,'E(Ri) XOR ki+1'!$D20,1))+VALUE('Khóa k1-16'!H140),2)</f>
        <v>0</v>
      </c>
      <c r="O25" s="3">
        <f>MOD(VALUE(MID(R0_L0!$C$81,'E(Ri) XOR ki+1'!$D20,1))+VALUE('Khóa k1-16'!I140),2)</f>
        <v>1</v>
      </c>
      <c r="P25" s="3">
        <f>MOD(VALUE(MID(R0_L0!$C$82,'E(Ri) XOR ki+1'!$D20,1))+VALUE('Khóa k1-16'!J140),2)</f>
        <v>1</v>
      </c>
      <c r="Q25" s="3">
        <f>MOD(VALUE(MID(R0_L0!$C$83,'E(Ri) XOR ki+1'!$D20,1))+VALUE('Khóa k1-16'!K140),2)</f>
        <v>1</v>
      </c>
      <c r="R25" s="3">
        <f>MOD(VALUE(MID(R0_L0!$C$84,'E(Ri) XOR ki+1'!$D20,1))+VALUE('Khóa k1-16'!L140),2)</f>
        <v>0</v>
      </c>
      <c r="S25" s="3">
        <f>MOD(VALUE(MID(R0_L0!$C$85,'E(Ri) XOR ki+1'!$D20,1))+VALUE('Khóa k1-16'!M140),2)</f>
        <v>1</v>
      </c>
      <c r="T25" s="3">
        <f>MOD(VALUE(MID(R0_L0!$C$86,'E(Ri) XOR ki+1'!$D20,1))+VALUE('Khóa k1-16'!N140),2)</f>
        <v>0</v>
      </c>
      <c r="U25" s="3">
        <f>MOD(VALUE(MID(R0_L0!$C$87,'E(Ri) XOR ki+1'!$D20,1))+VALUE('Khóa k1-16'!O140),2)</f>
        <v>0</v>
      </c>
      <c r="V25" s="3">
        <f>MOD(VALUE(MID(R0_L0!$C$88,'E(Ri) XOR ki+1'!$D20,1))+VALUE('Khóa k1-16'!P140),2)</f>
        <v>1</v>
      </c>
      <c r="W25" s="3">
        <f>MOD(VALUE(MID(R0_L0!$C$89,'E(Ri) XOR ki+1'!$D20,1))+VALUE('Khóa k1-16'!Q140),2)</f>
        <v>0</v>
      </c>
      <c r="X25" s="3">
        <f>MOD(VALUE(MID(R0_L0!$C$90,'E(Ri) XOR ki+1'!$D20,1))+VALUE('Khóa k1-16'!R140),2)</f>
        <v>1</v>
      </c>
    </row>
    <row r="26" spans="1:24" x14ac:dyDescent="0.25">
      <c r="A26" s="3">
        <v>23</v>
      </c>
      <c r="B26" s="3">
        <v>14</v>
      </c>
      <c r="C26" s="3" t="str">
        <f t="shared" si="0"/>
        <v>0</v>
      </c>
      <c r="D26" s="3">
        <v>16</v>
      </c>
      <c r="E26" s="3">
        <v>62</v>
      </c>
      <c r="G26" s="2">
        <v>18</v>
      </c>
      <c r="H26" s="3">
        <f>MOD(VALUE(MID($O$4,D21,1)) + VALUE('Khóa k1-16'!B141),2)</f>
        <v>1</v>
      </c>
      <c r="I26" s="3">
        <f>MOD(VALUE(MID(R0_L0!$C$75,'E(Ri) XOR ki+1'!D21,1))+VALUE('Khóa k1-16'!C141),2)</f>
        <v>0</v>
      </c>
      <c r="J26" s="3">
        <f>MOD(VALUE(MID(R0_L0!$C$76,'E(Ri) XOR ki+1'!$D21,1))+VALUE('Khóa k1-16'!D141),2)</f>
        <v>1</v>
      </c>
      <c r="K26" s="3">
        <f>MOD(VALUE(MID(R0_L0!$C$77,'E(Ri) XOR ki+1'!D21,1))+VALUE('Khóa k1-16'!E141),2)</f>
        <v>1</v>
      </c>
      <c r="L26" s="3">
        <f>MOD(VALUE(MID(R0_L0!$C$78,'E(Ri) XOR ki+1'!D21,1))+VALUE('Khóa k1-16'!F141),2)</f>
        <v>0</v>
      </c>
      <c r="M26" s="3">
        <f>MOD(VALUE(MID(R0_L0!$C$79,'E(Ri) XOR ki+1'!$D21,1))+VALUE('Khóa k1-16'!G141),2)</f>
        <v>0</v>
      </c>
      <c r="N26" s="3">
        <f>MOD(VALUE(MID(R0_L0!$C$80,'E(Ri) XOR ki+1'!$D21,1))+VALUE('Khóa k1-16'!H141),2)</f>
        <v>0</v>
      </c>
      <c r="O26" s="3">
        <f>MOD(VALUE(MID(R0_L0!$C$81,'E(Ri) XOR ki+1'!$D21,1))+VALUE('Khóa k1-16'!I141),2)</f>
        <v>0</v>
      </c>
      <c r="P26" s="3">
        <f>MOD(VALUE(MID(R0_L0!$C$82,'E(Ri) XOR ki+1'!$D21,1))+VALUE('Khóa k1-16'!J141),2)</f>
        <v>0</v>
      </c>
      <c r="Q26" s="3">
        <f>MOD(VALUE(MID(R0_L0!$C$83,'E(Ri) XOR ki+1'!$D21,1))+VALUE('Khóa k1-16'!K141),2)</f>
        <v>1</v>
      </c>
      <c r="R26" s="3">
        <f>MOD(VALUE(MID(R0_L0!$C$84,'E(Ri) XOR ki+1'!$D21,1))+VALUE('Khóa k1-16'!L141),2)</f>
        <v>0</v>
      </c>
      <c r="S26" s="3">
        <f>MOD(VALUE(MID(R0_L0!$C$85,'E(Ri) XOR ki+1'!$D21,1))+VALUE('Khóa k1-16'!M141),2)</f>
        <v>1</v>
      </c>
      <c r="T26" s="3">
        <f>MOD(VALUE(MID(R0_L0!$C$86,'E(Ri) XOR ki+1'!$D21,1))+VALUE('Khóa k1-16'!N141),2)</f>
        <v>1</v>
      </c>
      <c r="U26" s="3">
        <f>MOD(VALUE(MID(R0_L0!$C$87,'E(Ri) XOR ki+1'!$D21,1))+VALUE('Khóa k1-16'!O141),2)</f>
        <v>1</v>
      </c>
      <c r="V26" s="3">
        <f>MOD(VALUE(MID(R0_L0!$C$88,'E(Ri) XOR ki+1'!$D21,1))+VALUE('Khóa k1-16'!P141),2)</f>
        <v>1</v>
      </c>
      <c r="W26" s="3">
        <f>MOD(VALUE(MID(R0_L0!$C$89,'E(Ri) XOR ki+1'!$D21,1))+VALUE('Khóa k1-16'!Q141),2)</f>
        <v>0</v>
      </c>
      <c r="X26" s="3">
        <f>MOD(VALUE(MID(R0_L0!$C$90,'E(Ri) XOR ki+1'!$D21,1))+VALUE('Khóa k1-16'!R141),2)</f>
        <v>1</v>
      </c>
    </row>
    <row r="27" spans="1:24" x14ac:dyDescent="0.25">
      <c r="A27" s="3">
        <v>24</v>
      </c>
      <c r="B27" s="3">
        <v>6</v>
      </c>
      <c r="C27" s="3" t="str">
        <f t="shared" si="0"/>
        <v>0</v>
      </c>
      <c r="D27" s="3">
        <v>17</v>
      </c>
      <c r="E27" s="3">
        <v>30</v>
      </c>
      <c r="G27" s="2">
        <v>19</v>
      </c>
      <c r="H27" s="3">
        <f>MOD(VALUE(MID($O$4,D22,1)) + VALUE('Khóa k1-16'!B142),2)</f>
        <v>0</v>
      </c>
      <c r="I27" s="3">
        <f>MOD(VALUE(MID(R0_L0!$C$75,'E(Ri) XOR ki+1'!D22,1))+VALUE('Khóa k1-16'!C142),2)</f>
        <v>0</v>
      </c>
      <c r="J27" s="3">
        <f>MOD(VALUE(MID(R0_L0!$C$76,'E(Ri) XOR ki+1'!$D22,1))+VALUE('Khóa k1-16'!D142),2)</f>
        <v>1</v>
      </c>
      <c r="K27" s="3">
        <f>MOD(VALUE(MID(R0_L0!$C$77,'E(Ri) XOR ki+1'!D22,1))+VALUE('Khóa k1-16'!E142),2)</f>
        <v>1</v>
      </c>
      <c r="L27" s="3">
        <f>MOD(VALUE(MID(R0_L0!$C$78,'E(Ri) XOR ki+1'!D22,1))+VALUE('Khóa k1-16'!F142),2)</f>
        <v>1</v>
      </c>
      <c r="M27" s="3">
        <f>MOD(VALUE(MID(R0_L0!$C$79,'E(Ri) XOR ki+1'!$D22,1))+VALUE('Khóa k1-16'!G142),2)</f>
        <v>0</v>
      </c>
      <c r="N27" s="3">
        <f>MOD(VALUE(MID(R0_L0!$C$80,'E(Ri) XOR ki+1'!$D22,1))+VALUE('Khóa k1-16'!H142),2)</f>
        <v>0</v>
      </c>
      <c r="O27" s="3">
        <f>MOD(VALUE(MID(R0_L0!$C$81,'E(Ri) XOR ki+1'!$D22,1))+VALUE('Khóa k1-16'!I142),2)</f>
        <v>0</v>
      </c>
      <c r="P27" s="3">
        <f>MOD(VALUE(MID(R0_L0!$C$82,'E(Ri) XOR ki+1'!$D22,1))+VALUE('Khóa k1-16'!J142),2)</f>
        <v>1</v>
      </c>
      <c r="Q27" s="3">
        <f>MOD(VALUE(MID(R0_L0!$C$83,'E(Ri) XOR ki+1'!$D22,1))+VALUE('Khóa k1-16'!K142),2)</f>
        <v>1</v>
      </c>
      <c r="R27" s="3">
        <f>MOD(VALUE(MID(R0_L0!$C$84,'E(Ri) XOR ki+1'!$D22,1))+VALUE('Khóa k1-16'!L142),2)</f>
        <v>1</v>
      </c>
      <c r="S27" s="3">
        <f>MOD(VALUE(MID(R0_L0!$C$85,'E(Ri) XOR ki+1'!$D22,1))+VALUE('Khóa k1-16'!M142),2)</f>
        <v>1</v>
      </c>
      <c r="T27" s="3">
        <f>MOD(VALUE(MID(R0_L0!$C$86,'E(Ri) XOR ki+1'!$D22,1))+VALUE('Khóa k1-16'!N142),2)</f>
        <v>1</v>
      </c>
      <c r="U27" s="3">
        <f>MOD(VALUE(MID(R0_L0!$C$87,'E(Ri) XOR ki+1'!$D22,1))+VALUE('Khóa k1-16'!O142),2)</f>
        <v>0</v>
      </c>
      <c r="V27" s="3">
        <f>MOD(VALUE(MID(R0_L0!$C$88,'E(Ri) XOR ki+1'!$D22,1))+VALUE('Khóa k1-16'!P142),2)</f>
        <v>0</v>
      </c>
      <c r="W27" s="3">
        <f>MOD(VALUE(MID(R0_L0!$C$89,'E(Ri) XOR ki+1'!$D22,1))+VALUE('Khóa k1-16'!Q142),2)</f>
        <v>0</v>
      </c>
      <c r="X27" s="3">
        <f>MOD(VALUE(MID(R0_L0!$C$90,'E(Ri) XOR ki+1'!$D22,1))+VALUE('Khóa k1-16'!R142),2)</f>
        <v>1</v>
      </c>
    </row>
    <row r="28" spans="1:24" x14ac:dyDescent="0.25">
      <c r="A28" s="3">
        <v>25</v>
      </c>
      <c r="B28" s="3">
        <v>64</v>
      </c>
      <c r="C28" s="3" t="str">
        <f t="shared" si="0"/>
        <v>0</v>
      </c>
      <c r="D28" s="3">
        <v>16</v>
      </c>
      <c r="E28" s="3">
        <v>37</v>
      </c>
      <c r="G28" s="2">
        <v>20</v>
      </c>
      <c r="H28" s="3">
        <f>MOD(VALUE(MID($O$4,D23,1)) + VALUE('Khóa k1-16'!B143),2)</f>
        <v>0</v>
      </c>
      <c r="I28" s="3">
        <f>MOD(VALUE(MID(R0_L0!$C$75,'E(Ri) XOR ki+1'!D23,1))+VALUE('Khóa k1-16'!C143),2)</f>
        <v>0</v>
      </c>
      <c r="J28" s="3">
        <f>MOD(VALUE(MID(R0_L0!$C$76,'E(Ri) XOR ki+1'!$D23,1))+VALUE('Khóa k1-16'!D143),2)</f>
        <v>1</v>
      </c>
      <c r="K28" s="3">
        <f>MOD(VALUE(MID(R0_L0!$C$77,'E(Ri) XOR ki+1'!D23,1))+VALUE('Khóa k1-16'!E143),2)</f>
        <v>1</v>
      </c>
      <c r="L28" s="3">
        <f>MOD(VALUE(MID(R0_L0!$C$78,'E(Ri) XOR ki+1'!D23,1))+VALUE('Khóa k1-16'!F143),2)</f>
        <v>0</v>
      </c>
      <c r="M28" s="3">
        <f>MOD(VALUE(MID(R0_L0!$C$79,'E(Ri) XOR ki+1'!$D23,1))+VALUE('Khóa k1-16'!G143),2)</f>
        <v>1</v>
      </c>
      <c r="N28" s="3">
        <f>MOD(VALUE(MID(R0_L0!$C$80,'E(Ri) XOR ki+1'!$D23,1))+VALUE('Khóa k1-16'!H143),2)</f>
        <v>1</v>
      </c>
      <c r="O28" s="3">
        <f>MOD(VALUE(MID(R0_L0!$C$81,'E(Ri) XOR ki+1'!$D23,1))+VALUE('Khóa k1-16'!I143),2)</f>
        <v>1</v>
      </c>
      <c r="P28" s="3">
        <f>MOD(VALUE(MID(R0_L0!$C$82,'E(Ri) XOR ki+1'!$D23,1))+VALUE('Khóa k1-16'!J143),2)</f>
        <v>1</v>
      </c>
      <c r="Q28" s="3">
        <f>MOD(VALUE(MID(R0_L0!$C$83,'E(Ri) XOR ki+1'!$D23,1))+VALUE('Khóa k1-16'!K143),2)</f>
        <v>0</v>
      </c>
      <c r="R28" s="3">
        <f>MOD(VALUE(MID(R0_L0!$C$84,'E(Ri) XOR ki+1'!$D23,1))+VALUE('Khóa k1-16'!L143),2)</f>
        <v>1</v>
      </c>
      <c r="S28" s="3">
        <f>MOD(VALUE(MID(R0_L0!$C$85,'E(Ri) XOR ki+1'!$D23,1))+VALUE('Khóa k1-16'!M143),2)</f>
        <v>1</v>
      </c>
      <c r="T28" s="3">
        <f>MOD(VALUE(MID(R0_L0!$C$86,'E(Ri) XOR ki+1'!$D23,1))+VALUE('Khóa k1-16'!N143),2)</f>
        <v>1</v>
      </c>
      <c r="U28" s="3">
        <f>MOD(VALUE(MID(R0_L0!$C$87,'E(Ri) XOR ki+1'!$D23,1))+VALUE('Khóa k1-16'!O143),2)</f>
        <v>0</v>
      </c>
      <c r="V28" s="3">
        <f>MOD(VALUE(MID(R0_L0!$C$88,'E(Ri) XOR ki+1'!$D23,1))+VALUE('Khóa k1-16'!P143),2)</f>
        <v>1</v>
      </c>
      <c r="W28" s="3">
        <f>MOD(VALUE(MID(R0_L0!$C$89,'E(Ri) XOR ki+1'!$D23,1))+VALUE('Khóa k1-16'!Q143),2)</f>
        <v>0</v>
      </c>
      <c r="X28" s="3">
        <f>MOD(VALUE(MID(R0_L0!$C$90,'E(Ri) XOR ki+1'!$D23,1))+VALUE('Khóa k1-16'!R143),2)</f>
        <v>1</v>
      </c>
    </row>
    <row r="29" spans="1:24" x14ac:dyDescent="0.25">
      <c r="A29" s="3">
        <v>26</v>
      </c>
      <c r="B29" s="3">
        <v>56</v>
      </c>
      <c r="C29" s="3" t="str">
        <f t="shared" si="0"/>
        <v>0</v>
      </c>
      <c r="D29" s="3">
        <v>17</v>
      </c>
      <c r="E29" s="3">
        <v>5</v>
      </c>
      <c r="G29" s="2">
        <v>21</v>
      </c>
      <c r="H29" s="3">
        <f>MOD(VALUE(MID($O$4,D24,1)) + VALUE('Khóa k1-16'!B144),2)</f>
        <v>0</v>
      </c>
      <c r="I29" s="3">
        <f>MOD(VALUE(MID(R0_L0!$C$75,'E(Ri) XOR ki+1'!D24,1))+VALUE('Khóa k1-16'!C144),2)</f>
        <v>0</v>
      </c>
      <c r="J29" s="3">
        <f>MOD(VALUE(MID(R0_L0!$C$76,'E(Ri) XOR ki+1'!$D24,1))+VALUE('Khóa k1-16'!D144),2)</f>
        <v>0</v>
      </c>
      <c r="K29" s="3">
        <f>MOD(VALUE(MID(R0_L0!$C$77,'E(Ri) XOR ki+1'!D24,1))+VALUE('Khóa k1-16'!E144),2)</f>
        <v>1</v>
      </c>
      <c r="L29" s="3">
        <f>MOD(VALUE(MID(R0_L0!$C$78,'E(Ri) XOR ki+1'!D24,1))+VALUE('Khóa k1-16'!F144),2)</f>
        <v>1</v>
      </c>
      <c r="M29" s="3">
        <f>MOD(VALUE(MID(R0_L0!$C$79,'E(Ri) XOR ki+1'!$D24,1))+VALUE('Khóa k1-16'!G144),2)</f>
        <v>0</v>
      </c>
      <c r="N29" s="3">
        <f>MOD(VALUE(MID(R0_L0!$C$80,'E(Ri) XOR ki+1'!$D24,1))+VALUE('Khóa k1-16'!H144),2)</f>
        <v>0</v>
      </c>
      <c r="O29" s="3">
        <f>MOD(VALUE(MID(R0_L0!$C$81,'E(Ri) XOR ki+1'!$D24,1))+VALUE('Khóa k1-16'!I144),2)</f>
        <v>0</v>
      </c>
      <c r="P29" s="3">
        <f>MOD(VALUE(MID(R0_L0!$C$82,'E(Ri) XOR ki+1'!$D24,1))+VALUE('Khóa k1-16'!J144),2)</f>
        <v>0</v>
      </c>
      <c r="Q29" s="3">
        <f>MOD(VALUE(MID(R0_L0!$C$83,'E(Ri) XOR ki+1'!$D24,1))+VALUE('Khóa k1-16'!K144),2)</f>
        <v>0</v>
      </c>
      <c r="R29" s="3">
        <f>MOD(VALUE(MID(R0_L0!$C$84,'E(Ri) XOR ki+1'!$D24,1))+VALUE('Khóa k1-16'!L144),2)</f>
        <v>0</v>
      </c>
      <c r="S29" s="3">
        <f>MOD(VALUE(MID(R0_L0!$C$85,'E(Ri) XOR ki+1'!$D24,1))+VALUE('Khóa k1-16'!M144),2)</f>
        <v>1</v>
      </c>
      <c r="T29" s="3">
        <f>MOD(VALUE(MID(R0_L0!$C$86,'E(Ri) XOR ki+1'!$D24,1))+VALUE('Khóa k1-16'!N144),2)</f>
        <v>1</v>
      </c>
      <c r="U29" s="3">
        <f>MOD(VALUE(MID(R0_L0!$C$87,'E(Ri) XOR ki+1'!$D24,1))+VALUE('Khóa k1-16'!O144),2)</f>
        <v>0</v>
      </c>
      <c r="V29" s="3">
        <f>MOD(VALUE(MID(R0_L0!$C$88,'E(Ri) XOR ki+1'!$D24,1))+VALUE('Khóa k1-16'!P144),2)</f>
        <v>0</v>
      </c>
      <c r="W29" s="3">
        <f>MOD(VALUE(MID(R0_L0!$C$89,'E(Ri) XOR ki+1'!$D24,1))+VALUE('Khóa k1-16'!Q144),2)</f>
        <v>0</v>
      </c>
      <c r="X29" s="3">
        <f>MOD(VALUE(MID(R0_L0!$C$90,'E(Ri) XOR ki+1'!$D24,1))+VALUE('Khóa k1-16'!R144),2)</f>
        <v>1</v>
      </c>
    </row>
    <row r="30" spans="1:24" x14ac:dyDescent="0.25">
      <c r="A30" s="3">
        <v>27</v>
      </c>
      <c r="B30" s="3">
        <v>48</v>
      </c>
      <c r="C30" s="3" t="str">
        <f t="shared" si="0"/>
        <v>0</v>
      </c>
      <c r="D30" s="3">
        <v>18</v>
      </c>
      <c r="E30" s="3">
        <v>45</v>
      </c>
      <c r="G30" s="2">
        <v>22</v>
      </c>
      <c r="H30" s="3">
        <f>MOD(VALUE(MID($O$4,D25,1)) + VALUE('Khóa k1-16'!B145),2)</f>
        <v>1</v>
      </c>
      <c r="I30" s="3">
        <f>MOD(VALUE(MID(R0_L0!$C$75,'E(Ri) XOR ki+1'!D25,1))+VALUE('Khóa k1-16'!C145),2)</f>
        <v>1</v>
      </c>
      <c r="J30" s="3">
        <f>MOD(VALUE(MID(R0_L0!$C$76,'E(Ri) XOR ki+1'!$D25,1))+VALUE('Khóa k1-16'!D145),2)</f>
        <v>0</v>
      </c>
      <c r="K30" s="3">
        <f>MOD(VALUE(MID(R0_L0!$C$77,'E(Ri) XOR ki+1'!D25,1))+VALUE('Khóa k1-16'!E145),2)</f>
        <v>0</v>
      </c>
      <c r="L30" s="3">
        <f>MOD(VALUE(MID(R0_L0!$C$78,'E(Ri) XOR ki+1'!D25,1))+VALUE('Khóa k1-16'!F145),2)</f>
        <v>1</v>
      </c>
      <c r="M30" s="3">
        <f>MOD(VALUE(MID(R0_L0!$C$79,'E(Ri) XOR ki+1'!$D25,1))+VALUE('Khóa k1-16'!G145),2)</f>
        <v>0</v>
      </c>
      <c r="N30" s="3">
        <f>MOD(VALUE(MID(R0_L0!$C$80,'E(Ri) XOR ki+1'!$D25,1))+VALUE('Khóa k1-16'!H145),2)</f>
        <v>1</v>
      </c>
      <c r="O30" s="3">
        <f>MOD(VALUE(MID(R0_L0!$C$81,'E(Ri) XOR ki+1'!$D25,1))+VALUE('Khóa k1-16'!I145),2)</f>
        <v>1</v>
      </c>
      <c r="P30" s="3">
        <f>MOD(VALUE(MID(R0_L0!$C$82,'E(Ri) XOR ki+1'!$D25,1))+VALUE('Khóa k1-16'!J145),2)</f>
        <v>0</v>
      </c>
      <c r="Q30" s="3">
        <f>MOD(VALUE(MID(R0_L0!$C$83,'E(Ri) XOR ki+1'!$D25,1))+VALUE('Khóa k1-16'!K145),2)</f>
        <v>1</v>
      </c>
      <c r="R30" s="3">
        <f>MOD(VALUE(MID(R0_L0!$C$84,'E(Ri) XOR ki+1'!$D25,1))+VALUE('Khóa k1-16'!L145),2)</f>
        <v>0</v>
      </c>
      <c r="S30" s="3">
        <f>MOD(VALUE(MID(R0_L0!$C$85,'E(Ri) XOR ki+1'!$D25,1))+VALUE('Khóa k1-16'!M145),2)</f>
        <v>0</v>
      </c>
      <c r="T30" s="3">
        <f>MOD(VALUE(MID(R0_L0!$C$86,'E(Ri) XOR ki+1'!$D25,1))+VALUE('Khóa k1-16'!N145),2)</f>
        <v>1</v>
      </c>
      <c r="U30" s="3">
        <f>MOD(VALUE(MID(R0_L0!$C$87,'E(Ri) XOR ki+1'!$D25,1))+VALUE('Khóa k1-16'!O145),2)</f>
        <v>1</v>
      </c>
      <c r="V30" s="3">
        <f>MOD(VALUE(MID(R0_L0!$C$88,'E(Ri) XOR ki+1'!$D25,1))+VALUE('Khóa k1-16'!P145),2)</f>
        <v>0</v>
      </c>
      <c r="W30" s="3">
        <f>MOD(VALUE(MID(R0_L0!$C$89,'E(Ri) XOR ki+1'!$D25,1))+VALUE('Khóa k1-16'!Q145),2)</f>
        <v>1</v>
      </c>
      <c r="X30" s="3">
        <f>MOD(VALUE(MID(R0_L0!$C$90,'E(Ri) XOR ki+1'!$D25,1))+VALUE('Khóa k1-16'!R145),2)</f>
        <v>1</v>
      </c>
    </row>
    <row r="31" spans="1:24" x14ac:dyDescent="0.25">
      <c r="A31" s="3">
        <v>28</v>
      </c>
      <c r="B31" s="3">
        <v>40</v>
      </c>
      <c r="C31" s="3" t="str">
        <f t="shared" si="0"/>
        <v>0</v>
      </c>
      <c r="D31" s="3">
        <v>19</v>
      </c>
      <c r="E31" s="3">
        <v>13</v>
      </c>
      <c r="G31" s="2">
        <v>23</v>
      </c>
      <c r="H31" s="3">
        <f>MOD(VALUE(MID($O$4,D26,1)) + VALUE('Khóa k1-16'!B146),2)</f>
        <v>1</v>
      </c>
      <c r="I31" s="3">
        <f>MOD(VALUE(MID(R0_L0!$C$75,'E(Ri) XOR ki+1'!D26,1))+VALUE('Khóa k1-16'!C146),2)</f>
        <v>1</v>
      </c>
      <c r="J31" s="3">
        <f>MOD(VALUE(MID(R0_L0!$C$76,'E(Ri) XOR ki+1'!$D26,1))+VALUE('Khóa k1-16'!D146),2)</f>
        <v>1</v>
      </c>
      <c r="K31" s="3">
        <f>MOD(VALUE(MID(R0_L0!$C$77,'E(Ri) XOR ki+1'!D26,1))+VALUE('Khóa k1-16'!E146),2)</f>
        <v>1</v>
      </c>
      <c r="L31" s="3">
        <f>MOD(VALUE(MID(R0_L0!$C$78,'E(Ri) XOR ki+1'!D26,1))+VALUE('Khóa k1-16'!F146),2)</f>
        <v>0</v>
      </c>
      <c r="M31" s="3">
        <f>MOD(VALUE(MID(R0_L0!$C$79,'E(Ri) XOR ki+1'!$D26,1))+VALUE('Khóa k1-16'!G146),2)</f>
        <v>1</v>
      </c>
      <c r="N31" s="3">
        <f>MOD(VALUE(MID(R0_L0!$C$80,'E(Ri) XOR ki+1'!$D26,1))+VALUE('Khóa k1-16'!H146),2)</f>
        <v>0</v>
      </c>
      <c r="O31" s="3">
        <f>MOD(VALUE(MID(R0_L0!$C$81,'E(Ri) XOR ki+1'!$D26,1))+VALUE('Khóa k1-16'!I146),2)</f>
        <v>0</v>
      </c>
      <c r="P31" s="3">
        <f>MOD(VALUE(MID(R0_L0!$C$82,'E(Ri) XOR ki+1'!$D26,1))+VALUE('Khóa k1-16'!J146),2)</f>
        <v>1</v>
      </c>
      <c r="Q31" s="3">
        <f>MOD(VALUE(MID(R0_L0!$C$83,'E(Ri) XOR ki+1'!$D26,1))+VALUE('Khóa k1-16'!K146),2)</f>
        <v>0</v>
      </c>
      <c r="R31" s="3">
        <f>MOD(VALUE(MID(R0_L0!$C$84,'E(Ri) XOR ki+1'!$D26,1))+VALUE('Khóa k1-16'!L146),2)</f>
        <v>0</v>
      </c>
      <c r="S31" s="3">
        <f>MOD(VALUE(MID(R0_L0!$C$85,'E(Ri) XOR ki+1'!$D26,1))+VALUE('Khóa k1-16'!M146),2)</f>
        <v>1</v>
      </c>
      <c r="T31" s="3">
        <f>MOD(VALUE(MID(R0_L0!$C$86,'E(Ri) XOR ki+1'!$D26,1))+VALUE('Khóa k1-16'!N146),2)</f>
        <v>0</v>
      </c>
      <c r="U31" s="3">
        <f>MOD(VALUE(MID(R0_L0!$C$87,'E(Ri) XOR ki+1'!$D26,1))+VALUE('Khóa k1-16'!O146),2)</f>
        <v>0</v>
      </c>
      <c r="V31" s="3">
        <f>MOD(VALUE(MID(R0_L0!$C$88,'E(Ri) XOR ki+1'!$D26,1))+VALUE('Khóa k1-16'!P146),2)</f>
        <v>0</v>
      </c>
      <c r="W31" s="3">
        <f>MOD(VALUE(MID(R0_L0!$C$89,'E(Ri) XOR ki+1'!$D26,1))+VALUE('Khóa k1-16'!Q146),2)</f>
        <v>1</v>
      </c>
      <c r="X31" s="3">
        <f>MOD(VALUE(MID(R0_L0!$C$90,'E(Ri) XOR ki+1'!$D26,1))+VALUE('Khóa k1-16'!R146),2)</f>
        <v>1</v>
      </c>
    </row>
    <row r="32" spans="1:24" x14ac:dyDescent="0.25">
      <c r="A32" s="3">
        <v>29</v>
      </c>
      <c r="B32" s="3">
        <v>32</v>
      </c>
      <c r="C32" s="3" t="str">
        <f t="shared" si="0"/>
        <v>0</v>
      </c>
      <c r="D32" s="3">
        <v>20</v>
      </c>
      <c r="E32" s="3">
        <v>53</v>
      </c>
      <c r="G32" s="2">
        <v>24</v>
      </c>
      <c r="H32" s="3">
        <f>MOD(VALUE(MID($O$4,D27,1)) + VALUE('Khóa k1-16'!B147),2)</f>
        <v>0</v>
      </c>
      <c r="I32" s="3">
        <f>MOD(VALUE(MID(R0_L0!$C$75,'E(Ri) XOR ki+1'!D27,1))+VALUE('Khóa k1-16'!C147),2)</f>
        <v>0</v>
      </c>
      <c r="J32" s="3">
        <f>MOD(VALUE(MID(R0_L0!$C$76,'E(Ri) XOR ki+1'!$D27,1))+VALUE('Khóa k1-16'!D147),2)</f>
        <v>0</v>
      </c>
      <c r="K32" s="3">
        <f>MOD(VALUE(MID(R0_L0!$C$77,'E(Ri) XOR ki+1'!D27,1))+VALUE('Khóa k1-16'!E147),2)</f>
        <v>1</v>
      </c>
      <c r="L32" s="3">
        <f>MOD(VALUE(MID(R0_L0!$C$78,'E(Ri) XOR ki+1'!D27,1))+VALUE('Khóa k1-16'!F147),2)</f>
        <v>1</v>
      </c>
      <c r="M32" s="3">
        <f>MOD(VALUE(MID(R0_L0!$C$79,'E(Ri) XOR ki+1'!$D27,1))+VALUE('Khóa k1-16'!G147),2)</f>
        <v>1</v>
      </c>
      <c r="N32" s="3">
        <f>MOD(VALUE(MID(R0_L0!$C$80,'E(Ri) XOR ki+1'!$D27,1))+VALUE('Khóa k1-16'!H147),2)</f>
        <v>1</v>
      </c>
      <c r="O32" s="3">
        <f>MOD(VALUE(MID(R0_L0!$C$81,'E(Ri) XOR ki+1'!$D27,1))+VALUE('Khóa k1-16'!I147),2)</f>
        <v>1</v>
      </c>
      <c r="P32" s="3">
        <f>MOD(VALUE(MID(R0_L0!$C$82,'E(Ri) XOR ki+1'!$D27,1))+VALUE('Khóa k1-16'!J147),2)</f>
        <v>0</v>
      </c>
      <c r="Q32" s="3">
        <f>MOD(VALUE(MID(R0_L0!$C$83,'E(Ri) XOR ki+1'!$D27,1))+VALUE('Khóa k1-16'!K147),2)</f>
        <v>0</v>
      </c>
      <c r="R32" s="3">
        <f>MOD(VALUE(MID(R0_L0!$C$84,'E(Ri) XOR ki+1'!$D27,1))+VALUE('Khóa k1-16'!L147),2)</f>
        <v>0</v>
      </c>
      <c r="S32" s="3">
        <f>MOD(VALUE(MID(R0_L0!$C$85,'E(Ri) XOR ki+1'!$D27,1))+VALUE('Khóa k1-16'!M147),2)</f>
        <v>0</v>
      </c>
      <c r="T32" s="3">
        <f>MOD(VALUE(MID(R0_L0!$C$86,'E(Ri) XOR ki+1'!$D27,1))+VALUE('Khóa k1-16'!N147),2)</f>
        <v>1</v>
      </c>
      <c r="U32" s="3">
        <f>MOD(VALUE(MID(R0_L0!$C$87,'E(Ri) XOR ki+1'!$D27,1))+VALUE('Khóa k1-16'!O147),2)</f>
        <v>0</v>
      </c>
      <c r="V32" s="3">
        <f>MOD(VALUE(MID(R0_L0!$C$88,'E(Ri) XOR ki+1'!$D27,1))+VALUE('Khóa k1-16'!P147),2)</f>
        <v>1</v>
      </c>
      <c r="W32" s="3">
        <f>MOD(VALUE(MID(R0_L0!$C$89,'E(Ri) XOR ki+1'!$D27,1))+VALUE('Khóa k1-16'!Q147),2)</f>
        <v>0</v>
      </c>
      <c r="X32" s="3">
        <f>MOD(VALUE(MID(R0_L0!$C$90,'E(Ri) XOR ki+1'!$D27,1))+VALUE('Khóa k1-16'!R147),2)</f>
        <v>0</v>
      </c>
    </row>
    <row r="33" spans="1:24" x14ac:dyDescent="0.25">
      <c r="A33" s="3">
        <v>30</v>
      </c>
      <c r="B33" s="3">
        <v>24</v>
      </c>
      <c r="C33" s="3" t="str">
        <f t="shared" si="0"/>
        <v>0</v>
      </c>
      <c r="D33" s="3">
        <v>21</v>
      </c>
      <c r="E33" s="3">
        <v>21</v>
      </c>
      <c r="G33" s="2">
        <v>25</v>
      </c>
      <c r="H33" s="3">
        <f>MOD(VALUE(MID($O$4,D28,1)) + VALUE('Khóa k1-16'!B148),2)</f>
        <v>1</v>
      </c>
      <c r="I33" s="3">
        <f>MOD(VALUE(MID(R0_L0!$C$75,'E(Ri) XOR ki+1'!D28,1))+VALUE('Khóa k1-16'!C148),2)</f>
        <v>1</v>
      </c>
      <c r="J33" s="3">
        <f>MOD(VALUE(MID(R0_L0!$C$76,'E(Ri) XOR ki+1'!$D28,1))+VALUE('Khóa k1-16'!D148),2)</f>
        <v>1</v>
      </c>
      <c r="K33" s="3">
        <f>MOD(VALUE(MID(R0_L0!$C$77,'E(Ri) XOR ki+1'!D28,1))+VALUE('Khóa k1-16'!E148),2)</f>
        <v>1</v>
      </c>
      <c r="L33" s="3">
        <f>MOD(VALUE(MID(R0_L0!$C$78,'E(Ri) XOR ki+1'!D28,1))+VALUE('Khóa k1-16'!F148),2)</f>
        <v>1</v>
      </c>
      <c r="M33" s="3">
        <f>MOD(VALUE(MID(R0_L0!$C$79,'E(Ri) XOR ki+1'!$D28,1))+VALUE('Khóa k1-16'!G148),2)</f>
        <v>0</v>
      </c>
      <c r="N33" s="3">
        <f>MOD(VALUE(MID(R0_L0!$C$80,'E(Ri) XOR ki+1'!$D28,1))+VALUE('Khóa k1-16'!H148),2)</f>
        <v>0</v>
      </c>
      <c r="O33" s="3">
        <f>MOD(VALUE(MID(R0_L0!$C$81,'E(Ri) XOR ki+1'!$D28,1))+VALUE('Khóa k1-16'!I148),2)</f>
        <v>0</v>
      </c>
      <c r="P33" s="3">
        <f>MOD(VALUE(MID(R0_L0!$C$82,'E(Ri) XOR ki+1'!$D28,1))+VALUE('Khóa k1-16'!J148),2)</f>
        <v>0</v>
      </c>
      <c r="Q33" s="3">
        <f>MOD(VALUE(MID(R0_L0!$C$83,'E(Ri) XOR ki+1'!$D28,1))+VALUE('Khóa k1-16'!K148),2)</f>
        <v>1</v>
      </c>
      <c r="R33" s="3">
        <f>MOD(VALUE(MID(R0_L0!$C$84,'E(Ri) XOR ki+1'!$D28,1))+VALUE('Khóa k1-16'!L148),2)</f>
        <v>1</v>
      </c>
      <c r="S33" s="3">
        <f>MOD(VALUE(MID(R0_L0!$C$85,'E(Ri) XOR ki+1'!$D28,1))+VALUE('Khóa k1-16'!M148),2)</f>
        <v>1</v>
      </c>
      <c r="T33" s="3">
        <f>MOD(VALUE(MID(R0_L0!$C$86,'E(Ri) XOR ki+1'!$D28,1))+VALUE('Khóa k1-16'!N148),2)</f>
        <v>0</v>
      </c>
      <c r="U33" s="3">
        <f>MOD(VALUE(MID(R0_L0!$C$87,'E(Ri) XOR ki+1'!$D28,1))+VALUE('Khóa k1-16'!O148),2)</f>
        <v>0</v>
      </c>
      <c r="V33" s="3">
        <f>MOD(VALUE(MID(R0_L0!$C$88,'E(Ri) XOR ki+1'!$D28,1))+VALUE('Khóa k1-16'!P148),2)</f>
        <v>0</v>
      </c>
      <c r="W33" s="3">
        <f>MOD(VALUE(MID(R0_L0!$C$89,'E(Ri) XOR ki+1'!$D28,1))+VALUE('Khóa k1-16'!Q148),2)</f>
        <v>1</v>
      </c>
      <c r="X33" s="3">
        <f>MOD(VALUE(MID(R0_L0!$C$90,'E(Ri) XOR ki+1'!$D28,1))+VALUE('Khóa k1-16'!R148),2)</f>
        <v>1</v>
      </c>
    </row>
    <row r="34" spans="1:24" x14ac:dyDescent="0.25">
      <c r="A34" s="3">
        <v>31</v>
      </c>
      <c r="B34" s="3">
        <v>16</v>
      </c>
      <c r="C34" s="3" t="str">
        <f t="shared" si="0"/>
        <v>0</v>
      </c>
      <c r="D34" s="3">
        <v>20</v>
      </c>
      <c r="E34" s="3">
        <v>61</v>
      </c>
      <c r="G34" s="2">
        <v>26</v>
      </c>
      <c r="H34" s="3">
        <f>MOD(VALUE(MID($O$4,D29,1)) + VALUE('Khóa k1-16'!B149),2)</f>
        <v>0</v>
      </c>
      <c r="I34" s="3">
        <f>MOD(VALUE(MID(R0_L0!$C$75,'E(Ri) XOR ki+1'!D29,1))+VALUE('Khóa k1-16'!C149),2)</f>
        <v>1</v>
      </c>
      <c r="J34" s="3">
        <f>MOD(VALUE(MID(R0_L0!$C$76,'E(Ri) XOR ki+1'!$D29,1))+VALUE('Khóa k1-16'!D149),2)</f>
        <v>0</v>
      </c>
      <c r="K34" s="3">
        <f>MOD(VALUE(MID(R0_L0!$C$77,'E(Ri) XOR ki+1'!D29,1))+VALUE('Khóa k1-16'!E149),2)</f>
        <v>1</v>
      </c>
      <c r="L34" s="3">
        <f>MOD(VALUE(MID(R0_L0!$C$78,'E(Ri) XOR ki+1'!D29,1))+VALUE('Khóa k1-16'!F149),2)</f>
        <v>0</v>
      </c>
      <c r="M34" s="3">
        <f>MOD(VALUE(MID(R0_L0!$C$79,'E(Ri) XOR ki+1'!$D29,1))+VALUE('Khóa k1-16'!G149),2)</f>
        <v>1</v>
      </c>
      <c r="N34" s="3">
        <f>MOD(VALUE(MID(R0_L0!$C$80,'E(Ri) XOR ki+1'!$D29,1))+VALUE('Khóa k1-16'!H149),2)</f>
        <v>0</v>
      </c>
      <c r="O34" s="3">
        <f>MOD(VALUE(MID(R0_L0!$C$81,'E(Ri) XOR ki+1'!$D29,1))+VALUE('Khóa k1-16'!I149),2)</f>
        <v>0</v>
      </c>
      <c r="P34" s="3">
        <f>MOD(VALUE(MID(R0_L0!$C$82,'E(Ri) XOR ki+1'!$D29,1))+VALUE('Khóa k1-16'!J149),2)</f>
        <v>1</v>
      </c>
      <c r="Q34" s="3">
        <f>MOD(VALUE(MID(R0_L0!$C$83,'E(Ri) XOR ki+1'!$D29,1))+VALUE('Khóa k1-16'!K149),2)</f>
        <v>0</v>
      </c>
      <c r="R34" s="3">
        <f>MOD(VALUE(MID(R0_L0!$C$84,'E(Ri) XOR ki+1'!$D29,1))+VALUE('Khóa k1-16'!L149),2)</f>
        <v>1</v>
      </c>
      <c r="S34" s="3">
        <f>MOD(VALUE(MID(R0_L0!$C$85,'E(Ri) XOR ki+1'!$D29,1))+VALUE('Khóa k1-16'!M149),2)</f>
        <v>0</v>
      </c>
      <c r="T34" s="3">
        <f>MOD(VALUE(MID(R0_L0!$C$86,'E(Ri) XOR ki+1'!$D29,1))+VALUE('Khóa k1-16'!N149),2)</f>
        <v>1</v>
      </c>
      <c r="U34" s="3">
        <f>MOD(VALUE(MID(R0_L0!$C$87,'E(Ri) XOR ki+1'!$D29,1))+VALUE('Khóa k1-16'!O149),2)</f>
        <v>1</v>
      </c>
      <c r="V34" s="3">
        <f>MOD(VALUE(MID(R0_L0!$C$88,'E(Ri) XOR ki+1'!$D29,1))+VALUE('Khóa k1-16'!P149),2)</f>
        <v>0</v>
      </c>
      <c r="W34" s="3">
        <f>MOD(VALUE(MID(R0_L0!$C$89,'E(Ri) XOR ki+1'!$D29,1))+VALUE('Khóa k1-16'!Q149),2)</f>
        <v>1</v>
      </c>
      <c r="X34" s="3">
        <f>MOD(VALUE(MID(R0_L0!$C$90,'E(Ri) XOR ki+1'!$D29,1))+VALUE('Khóa k1-16'!R149),2)</f>
        <v>0</v>
      </c>
    </row>
    <row r="35" spans="1:24" x14ac:dyDescent="0.25">
      <c r="A35" s="3">
        <v>32</v>
      </c>
      <c r="B35" s="3">
        <v>8</v>
      </c>
      <c r="C35" s="3" t="str">
        <f t="shared" si="0"/>
        <v>0</v>
      </c>
      <c r="D35" s="3">
        <v>21</v>
      </c>
      <c r="E35" s="3">
        <v>29</v>
      </c>
      <c r="G35" s="2">
        <v>27</v>
      </c>
      <c r="H35" s="3">
        <f>MOD(VALUE(MID($O$4,D30,1)) + VALUE('Khóa k1-16'!B150),2)</f>
        <v>1</v>
      </c>
      <c r="I35" s="3">
        <f>MOD(VALUE(MID(R0_L0!$C$75,'E(Ri) XOR ki+1'!D30,1))+VALUE('Khóa k1-16'!C150),2)</f>
        <v>1</v>
      </c>
      <c r="J35" s="3">
        <f>MOD(VALUE(MID(R0_L0!$C$76,'E(Ri) XOR ki+1'!$D30,1))+VALUE('Khóa k1-16'!D150),2)</f>
        <v>0</v>
      </c>
      <c r="K35" s="3">
        <f>MOD(VALUE(MID(R0_L0!$C$77,'E(Ri) XOR ki+1'!D30,1))+VALUE('Khóa k1-16'!E150),2)</f>
        <v>1</v>
      </c>
      <c r="L35" s="3">
        <f>MOD(VALUE(MID(R0_L0!$C$78,'E(Ri) XOR ki+1'!D30,1))+VALUE('Khóa k1-16'!F150),2)</f>
        <v>0</v>
      </c>
      <c r="M35" s="3">
        <f>MOD(VALUE(MID(R0_L0!$C$79,'E(Ri) XOR ki+1'!$D30,1))+VALUE('Khóa k1-16'!G150),2)</f>
        <v>1</v>
      </c>
      <c r="N35" s="3">
        <f>MOD(VALUE(MID(R0_L0!$C$80,'E(Ri) XOR ki+1'!$D30,1))+VALUE('Khóa k1-16'!H150),2)</f>
        <v>0</v>
      </c>
      <c r="O35" s="3">
        <f>MOD(VALUE(MID(R0_L0!$C$81,'E(Ri) XOR ki+1'!$D30,1))+VALUE('Khóa k1-16'!I150),2)</f>
        <v>1</v>
      </c>
      <c r="P35" s="3">
        <f>MOD(VALUE(MID(R0_L0!$C$82,'E(Ri) XOR ki+1'!$D30,1))+VALUE('Khóa k1-16'!J150),2)</f>
        <v>0</v>
      </c>
      <c r="Q35" s="3">
        <f>MOD(VALUE(MID(R0_L0!$C$83,'E(Ri) XOR ki+1'!$D30,1))+VALUE('Khóa k1-16'!K150),2)</f>
        <v>1</v>
      </c>
      <c r="R35" s="3">
        <f>MOD(VALUE(MID(R0_L0!$C$84,'E(Ri) XOR ki+1'!$D30,1))+VALUE('Khóa k1-16'!L150),2)</f>
        <v>1</v>
      </c>
      <c r="S35" s="3">
        <f>MOD(VALUE(MID(R0_L0!$C$85,'E(Ri) XOR ki+1'!$D30,1))+VALUE('Khóa k1-16'!M150),2)</f>
        <v>1</v>
      </c>
      <c r="T35" s="3">
        <f>MOD(VALUE(MID(R0_L0!$C$86,'E(Ri) XOR ki+1'!$D30,1))+VALUE('Khóa k1-16'!N150),2)</f>
        <v>1</v>
      </c>
      <c r="U35" s="3">
        <f>MOD(VALUE(MID(R0_L0!$C$87,'E(Ri) XOR ki+1'!$D30,1))+VALUE('Khóa k1-16'!O150),2)</f>
        <v>1</v>
      </c>
      <c r="V35" s="3">
        <f>MOD(VALUE(MID(R0_L0!$C$88,'E(Ri) XOR ki+1'!$D30,1))+VALUE('Khóa k1-16'!P150),2)</f>
        <v>0</v>
      </c>
      <c r="W35" s="3">
        <f>MOD(VALUE(MID(R0_L0!$C$89,'E(Ri) XOR ki+1'!$D30,1))+VALUE('Khóa k1-16'!Q150),2)</f>
        <v>0</v>
      </c>
      <c r="X35" s="3">
        <f>MOD(VALUE(MID(R0_L0!$C$90,'E(Ri) XOR ki+1'!$D30,1))+VALUE('Khóa k1-16'!R150),2)</f>
        <v>0</v>
      </c>
    </row>
    <row r="36" spans="1:24" x14ac:dyDescent="0.25">
      <c r="A36" s="3">
        <v>33</v>
      </c>
      <c r="B36" s="3">
        <v>57</v>
      </c>
      <c r="C36" s="3" t="str">
        <f t="shared" si="0"/>
        <v>1</v>
      </c>
      <c r="D36" s="3">
        <v>22</v>
      </c>
      <c r="E36" s="3">
        <v>36</v>
      </c>
      <c r="G36" s="2">
        <v>28</v>
      </c>
      <c r="H36" s="3">
        <f>MOD(VALUE(MID($O$4,D31,1)) + VALUE('Khóa k1-16'!B151),2)</f>
        <v>0</v>
      </c>
      <c r="I36" s="3">
        <f>MOD(VALUE(MID(R0_L0!$C$75,'E(Ri) XOR ki+1'!D31,1))+VALUE('Khóa k1-16'!C151),2)</f>
        <v>1</v>
      </c>
      <c r="J36" s="3">
        <f>MOD(VALUE(MID(R0_L0!$C$76,'E(Ri) XOR ki+1'!$D31,1))+VALUE('Khóa k1-16'!D151),2)</f>
        <v>0</v>
      </c>
      <c r="K36" s="3">
        <f>MOD(VALUE(MID(R0_L0!$C$77,'E(Ri) XOR ki+1'!D31,1))+VALUE('Khóa k1-16'!E151),2)</f>
        <v>0</v>
      </c>
      <c r="L36" s="3">
        <f>MOD(VALUE(MID(R0_L0!$C$78,'E(Ri) XOR ki+1'!D31,1))+VALUE('Khóa k1-16'!F151),2)</f>
        <v>0</v>
      </c>
      <c r="M36" s="3">
        <f>MOD(VALUE(MID(R0_L0!$C$79,'E(Ri) XOR ki+1'!$D31,1))+VALUE('Khóa k1-16'!G151),2)</f>
        <v>0</v>
      </c>
      <c r="N36" s="3">
        <f>MOD(VALUE(MID(R0_L0!$C$80,'E(Ri) XOR ki+1'!$D31,1))+VALUE('Khóa k1-16'!H151),2)</f>
        <v>0</v>
      </c>
      <c r="O36" s="3">
        <f>MOD(VALUE(MID(R0_L0!$C$81,'E(Ri) XOR ki+1'!$D31,1))+VALUE('Khóa k1-16'!I151),2)</f>
        <v>0</v>
      </c>
      <c r="P36" s="3">
        <f>MOD(VALUE(MID(R0_L0!$C$82,'E(Ri) XOR ki+1'!$D31,1))+VALUE('Khóa k1-16'!J151),2)</f>
        <v>1</v>
      </c>
      <c r="Q36" s="3">
        <f>MOD(VALUE(MID(R0_L0!$C$83,'E(Ri) XOR ki+1'!$D31,1))+VALUE('Khóa k1-16'!K151),2)</f>
        <v>0</v>
      </c>
      <c r="R36" s="3">
        <f>MOD(VALUE(MID(R0_L0!$C$84,'E(Ri) XOR ki+1'!$D31,1))+VALUE('Khóa k1-16'!L151),2)</f>
        <v>1</v>
      </c>
      <c r="S36" s="3">
        <f>MOD(VALUE(MID(R0_L0!$C$85,'E(Ri) XOR ki+1'!$D31,1))+VALUE('Khóa k1-16'!M151),2)</f>
        <v>1</v>
      </c>
      <c r="T36" s="3">
        <f>MOD(VALUE(MID(R0_L0!$C$86,'E(Ri) XOR ki+1'!$D31,1))+VALUE('Khóa k1-16'!N151),2)</f>
        <v>0</v>
      </c>
      <c r="U36" s="3">
        <f>MOD(VALUE(MID(R0_L0!$C$87,'E(Ri) XOR ki+1'!$D31,1))+VALUE('Khóa k1-16'!O151),2)</f>
        <v>0</v>
      </c>
      <c r="V36" s="3">
        <f>MOD(VALUE(MID(R0_L0!$C$88,'E(Ri) XOR ki+1'!$D31,1))+VALUE('Khóa k1-16'!P151),2)</f>
        <v>1</v>
      </c>
      <c r="W36" s="3">
        <f>MOD(VALUE(MID(R0_L0!$C$89,'E(Ri) XOR ki+1'!$D31,1))+VALUE('Khóa k1-16'!Q151),2)</f>
        <v>1</v>
      </c>
      <c r="X36" s="3">
        <f>MOD(VALUE(MID(R0_L0!$C$90,'E(Ri) XOR ki+1'!$D31,1))+VALUE('Khóa k1-16'!R151),2)</f>
        <v>0</v>
      </c>
    </row>
    <row r="37" spans="1:24" x14ac:dyDescent="0.25">
      <c r="A37" s="3">
        <v>34</v>
      </c>
      <c r="B37" s="3">
        <v>49</v>
      </c>
      <c r="C37" s="3" t="str">
        <f t="shared" si="0"/>
        <v>1</v>
      </c>
      <c r="D37" s="3">
        <v>23</v>
      </c>
      <c r="E37" s="3">
        <v>4</v>
      </c>
      <c r="G37" s="2">
        <v>29</v>
      </c>
      <c r="H37" s="3">
        <f>MOD(VALUE(MID($O$4,D32,1)) + VALUE('Khóa k1-16'!B152),2)</f>
        <v>0</v>
      </c>
      <c r="I37" s="3">
        <f>MOD(VALUE(MID(R0_L0!$C$75,'E(Ri) XOR ki+1'!D32,1))+VALUE('Khóa k1-16'!C152),2)</f>
        <v>0</v>
      </c>
      <c r="J37" s="3">
        <f>MOD(VALUE(MID(R0_L0!$C$76,'E(Ri) XOR ki+1'!$D32,1))+VALUE('Khóa k1-16'!D152),2)</f>
        <v>1</v>
      </c>
      <c r="K37" s="3">
        <f>MOD(VALUE(MID(R0_L0!$C$77,'E(Ri) XOR ki+1'!D32,1))+VALUE('Khóa k1-16'!E152),2)</f>
        <v>1</v>
      </c>
      <c r="L37" s="3">
        <f>MOD(VALUE(MID(R0_L0!$C$78,'E(Ri) XOR ki+1'!D32,1))+VALUE('Khóa k1-16'!F152),2)</f>
        <v>1</v>
      </c>
      <c r="M37" s="3">
        <f>MOD(VALUE(MID(R0_L0!$C$79,'E(Ri) XOR ki+1'!$D32,1))+VALUE('Khóa k1-16'!G152),2)</f>
        <v>0</v>
      </c>
      <c r="N37" s="3">
        <f>MOD(VALUE(MID(R0_L0!$C$80,'E(Ri) XOR ki+1'!$D32,1))+VALUE('Khóa k1-16'!H152),2)</f>
        <v>0</v>
      </c>
      <c r="O37" s="3">
        <f>MOD(VALUE(MID(R0_L0!$C$81,'E(Ri) XOR ki+1'!$D32,1))+VALUE('Khóa k1-16'!I152),2)</f>
        <v>0</v>
      </c>
      <c r="P37" s="3">
        <f>MOD(VALUE(MID(R0_L0!$C$82,'E(Ri) XOR ki+1'!$D32,1))+VALUE('Khóa k1-16'!J152),2)</f>
        <v>1</v>
      </c>
      <c r="Q37" s="3">
        <f>MOD(VALUE(MID(R0_L0!$C$83,'E(Ri) XOR ki+1'!$D32,1))+VALUE('Khóa k1-16'!K152),2)</f>
        <v>1</v>
      </c>
      <c r="R37" s="3">
        <f>MOD(VALUE(MID(R0_L0!$C$84,'E(Ri) XOR ki+1'!$D32,1))+VALUE('Khóa k1-16'!L152),2)</f>
        <v>0</v>
      </c>
      <c r="S37" s="3">
        <f>MOD(VALUE(MID(R0_L0!$C$85,'E(Ri) XOR ki+1'!$D32,1))+VALUE('Khóa k1-16'!M152),2)</f>
        <v>0</v>
      </c>
      <c r="T37" s="3">
        <f>MOD(VALUE(MID(R0_L0!$C$86,'E(Ri) XOR ki+1'!$D32,1))+VALUE('Khóa k1-16'!N152),2)</f>
        <v>0</v>
      </c>
      <c r="U37" s="3">
        <f>MOD(VALUE(MID(R0_L0!$C$87,'E(Ri) XOR ki+1'!$D32,1))+VALUE('Khóa k1-16'!O152),2)</f>
        <v>0</v>
      </c>
      <c r="V37" s="3">
        <f>MOD(VALUE(MID(R0_L0!$C$88,'E(Ri) XOR ki+1'!$D32,1))+VALUE('Khóa k1-16'!P152),2)</f>
        <v>1</v>
      </c>
      <c r="W37" s="3">
        <f>MOD(VALUE(MID(R0_L0!$C$89,'E(Ri) XOR ki+1'!$D32,1))+VALUE('Khóa k1-16'!Q152),2)</f>
        <v>0</v>
      </c>
      <c r="X37" s="3">
        <f>MOD(VALUE(MID(R0_L0!$C$90,'E(Ri) XOR ki+1'!$D32,1))+VALUE('Khóa k1-16'!R152),2)</f>
        <v>0</v>
      </c>
    </row>
    <row r="38" spans="1:24" x14ac:dyDescent="0.25">
      <c r="A38" s="3">
        <v>35</v>
      </c>
      <c r="B38" s="3">
        <v>41</v>
      </c>
      <c r="C38" s="3" t="str">
        <f t="shared" si="0"/>
        <v>1</v>
      </c>
      <c r="D38" s="3">
        <v>24</v>
      </c>
      <c r="E38" s="3">
        <v>44</v>
      </c>
      <c r="G38" s="2">
        <v>30</v>
      </c>
      <c r="H38" s="3">
        <f>MOD(VALUE(MID($O$4,D33,1)) + VALUE('Khóa k1-16'!B153),2)</f>
        <v>0</v>
      </c>
      <c r="I38" s="3">
        <f>MOD(VALUE(MID(R0_L0!$C$75,'E(Ri) XOR ki+1'!D33,1))+VALUE('Khóa k1-16'!C153),2)</f>
        <v>0</v>
      </c>
      <c r="J38" s="3">
        <f>MOD(VALUE(MID(R0_L0!$C$76,'E(Ri) XOR ki+1'!$D33,1))+VALUE('Khóa k1-16'!D153),2)</f>
        <v>0</v>
      </c>
      <c r="K38" s="3">
        <f>MOD(VALUE(MID(R0_L0!$C$77,'E(Ri) XOR ki+1'!D33,1))+VALUE('Khóa k1-16'!E153),2)</f>
        <v>0</v>
      </c>
      <c r="L38" s="3">
        <f>MOD(VALUE(MID(R0_L0!$C$78,'E(Ri) XOR ki+1'!D33,1))+VALUE('Khóa k1-16'!F153),2)</f>
        <v>0</v>
      </c>
      <c r="M38" s="3">
        <f>MOD(VALUE(MID(R0_L0!$C$79,'E(Ri) XOR ki+1'!$D33,1))+VALUE('Khóa k1-16'!G153),2)</f>
        <v>0</v>
      </c>
      <c r="N38" s="3">
        <f>MOD(VALUE(MID(R0_L0!$C$80,'E(Ri) XOR ki+1'!$D33,1))+VALUE('Khóa k1-16'!H153),2)</f>
        <v>0</v>
      </c>
      <c r="O38" s="3">
        <f>MOD(VALUE(MID(R0_L0!$C$81,'E(Ri) XOR ki+1'!$D33,1))+VALUE('Khóa k1-16'!I153),2)</f>
        <v>0</v>
      </c>
      <c r="P38" s="3">
        <f>MOD(VALUE(MID(R0_L0!$C$82,'E(Ri) XOR ki+1'!$D33,1))+VALUE('Khóa k1-16'!J153),2)</f>
        <v>0</v>
      </c>
      <c r="Q38" s="3">
        <f>MOD(VALUE(MID(R0_L0!$C$83,'E(Ri) XOR ki+1'!$D33,1))+VALUE('Khóa k1-16'!K153),2)</f>
        <v>1</v>
      </c>
      <c r="R38" s="3">
        <f>MOD(VALUE(MID(R0_L0!$C$84,'E(Ri) XOR ki+1'!$D33,1))+VALUE('Khóa k1-16'!L153),2)</f>
        <v>1</v>
      </c>
      <c r="S38" s="3">
        <f>MOD(VALUE(MID(R0_L0!$C$85,'E(Ri) XOR ki+1'!$D33,1))+VALUE('Khóa k1-16'!M153),2)</f>
        <v>0</v>
      </c>
      <c r="T38" s="3">
        <f>MOD(VALUE(MID(R0_L0!$C$86,'E(Ri) XOR ki+1'!$D33,1))+VALUE('Khóa k1-16'!N153),2)</f>
        <v>0</v>
      </c>
      <c r="U38" s="3">
        <f>MOD(VALUE(MID(R0_L0!$C$87,'E(Ri) XOR ki+1'!$D33,1))+VALUE('Khóa k1-16'!O153),2)</f>
        <v>0</v>
      </c>
      <c r="V38" s="3">
        <f>MOD(VALUE(MID(R0_L0!$C$88,'E(Ri) XOR ki+1'!$D33,1))+VALUE('Khóa k1-16'!P153),2)</f>
        <v>1</v>
      </c>
      <c r="W38" s="3">
        <f>MOD(VALUE(MID(R0_L0!$C$89,'E(Ri) XOR ki+1'!$D33,1))+VALUE('Khóa k1-16'!Q153),2)</f>
        <v>0</v>
      </c>
      <c r="X38" s="3">
        <f>MOD(VALUE(MID(R0_L0!$C$90,'E(Ri) XOR ki+1'!$D33,1))+VALUE('Khóa k1-16'!R153),2)</f>
        <v>1</v>
      </c>
    </row>
    <row r="39" spans="1:24" x14ac:dyDescent="0.25">
      <c r="A39" s="3">
        <v>36</v>
      </c>
      <c r="B39" s="3">
        <v>33</v>
      </c>
      <c r="C39" s="3" t="str">
        <f t="shared" si="0"/>
        <v>0</v>
      </c>
      <c r="D39" s="3">
        <v>25</v>
      </c>
      <c r="E39" s="3">
        <v>12</v>
      </c>
      <c r="G39" s="2">
        <v>31</v>
      </c>
      <c r="H39" s="3">
        <f>MOD(VALUE(MID($O$4,D34,1)) + VALUE('Khóa k1-16'!B154),2)</f>
        <v>0</v>
      </c>
      <c r="I39" s="3">
        <f>MOD(VALUE(MID(R0_L0!$C$75,'E(Ri) XOR ki+1'!D34,1))+VALUE('Khóa k1-16'!C154),2)</f>
        <v>0</v>
      </c>
      <c r="J39" s="3">
        <f>MOD(VALUE(MID(R0_L0!$C$76,'E(Ri) XOR ki+1'!$D34,1))+VALUE('Khóa k1-16'!D154),2)</f>
        <v>1</v>
      </c>
      <c r="K39" s="3">
        <f>MOD(VALUE(MID(R0_L0!$C$77,'E(Ri) XOR ki+1'!D34,1))+VALUE('Khóa k1-16'!E154),2)</f>
        <v>0</v>
      </c>
      <c r="L39" s="3">
        <f>MOD(VALUE(MID(R0_L0!$C$78,'E(Ri) XOR ki+1'!D34,1))+VALUE('Khóa k1-16'!F154),2)</f>
        <v>1</v>
      </c>
      <c r="M39" s="3">
        <f>MOD(VALUE(MID(R0_L0!$C$79,'E(Ri) XOR ki+1'!$D34,1))+VALUE('Khóa k1-16'!G154),2)</f>
        <v>1</v>
      </c>
      <c r="N39" s="3">
        <f>MOD(VALUE(MID(R0_L0!$C$80,'E(Ri) XOR ki+1'!$D34,1))+VALUE('Khóa k1-16'!H154),2)</f>
        <v>0</v>
      </c>
      <c r="O39" s="3">
        <f>MOD(VALUE(MID(R0_L0!$C$81,'E(Ri) XOR ki+1'!$D34,1))+VALUE('Khóa k1-16'!I154),2)</f>
        <v>1</v>
      </c>
      <c r="P39" s="3">
        <f>MOD(VALUE(MID(R0_L0!$C$82,'E(Ri) XOR ki+1'!$D34,1))+VALUE('Khóa k1-16'!J154),2)</f>
        <v>0</v>
      </c>
      <c r="Q39" s="3">
        <f>MOD(VALUE(MID(R0_L0!$C$83,'E(Ri) XOR ki+1'!$D34,1))+VALUE('Khóa k1-16'!K154),2)</f>
        <v>0</v>
      </c>
      <c r="R39" s="3">
        <f>MOD(VALUE(MID(R0_L0!$C$84,'E(Ri) XOR ki+1'!$D34,1))+VALUE('Khóa k1-16'!L154),2)</f>
        <v>1</v>
      </c>
      <c r="S39" s="3">
        <f>MOD(VALUE(MID(R0_L0!$C$85,'E(Ri) XOR ki+1'!$D34,1))+VALUE('Khóa k1-16'!M154),2)</f>
        <v>0</v>
      </c>
      <c r="T39" s="3">
        <f>MOD(VALUE(MID(R0_L0!$C$86,'E(Ri) XOR ki+1'!$D34,1))+VALUE('Khóa k1-16'!N154),2)</f>
        <v>0</v>
      </c>
      <c r="U39" s="3">
        <f>MOD(VALUE(MID(R0_L0!$C$87,'E(Ri) XOR ki+1'!$D34,1))+VALUE('Khóa k1-16'!O154),2)</f>
        <v>1</v>
      </c>
      <c r="V39" s="3">
        <f>MOD(VALUE(MID(R0_L0!$C$88,'E(Ri) XOR ki+1'!$D34,1))+VALUE('Khóa k1-16'!P154),2)</f>
        <v>1</v>
      </c>
      <c r="W39" s="3">
        <f>MOD(VALUE(MID(R0_L0!$C$89,'E(Ri) XOR ki+1'!$D34,1))+VALUE('Khóa k1-16'!Q154),2)</f>
        <v>1</v>
      </c>
      <c r="X39" s="3">
        <f>MOD(VALUE(MID(R0_L0!$C$90,'E(Ri) XOR ki+1'!$D34,1))+VALUE('Khóa k1-16'!R154),2)</f>
        <v>0</v>
      </c>
    </row>
    <row r="40" spans="1:24" x14ac:dyDescent="0.25">
      <c r="A40" s="3">
        <v>37</v>
      </c>
      <c r="B40" s="3">
        <v>25</v>
      </c>
      <c r="C40" s="3" t="str">
        <f t="shared" si="0"/>
        <v>0</v>
      </c>
      <c r="D40" s="3">
        <v>24</v>
      </c>
      <c r="E40" s="3">
        <v>52</v>
      </c>
      <c r="G40" s="2">
        <v>32</v>
      </c>
      <c r="H40" s="3">
        <f>MOD(VALUE(MID($O$4,D35,1)) + VALUE('Khóa k1-16'!B155),2)</f>
        <v>1</v>
      </c>
      <c r="I40" s="3">
        <f>MOD(VALUE(MID(R0_L0!$C$75,'E(Ri) XOR ki+1'!D35,1))+VALUE('Khóa k1-16'!C155),2)</f>
        <v>0</v>
      </c>
      <c r="J40" s="3">
        <f>MOD(VALUE(MID(R0_L0!$C$76,'E(Ri) XOR ki+1'!$D35,1))+VALUE('Khóa k1-16'!D155),2)</f>
        <v>1</v>
      </c>
      <c r="K40" s="3">
        <f>MOD(VALUE(MID(R0_L0!$C$77,'E(Ri) XOR ki+1'!D35,1))+VALUE('Khóa k1-16'!E155),2)</f>
        <v>0</v>
      </c>
      <c r="L40" s="3">
        <f>MOD(VALUE(MID(R0_L0!$C$78,'E(Ri) XOR ki+1'!D35,1))+VALUE('Khóa k1-16'!F155),2)</f>
        <v>0</v>
      </c>
      <c r="M40" s="3">
        <f>MOD(VALUE(MID(R0_L0!$C$79,'E(Ri) XOR ki+1'!$D35,1))+VALUE('Khóa k1-16'!G155),2)</f>
        <v>1</v>
      </c>
      <c r="N40" s="3">
        <f>MOD(VALUE(MID(R0_L0!$C$80,'E(Ri) XOR ki+1'!$D35,1))+VALUE('Khóa k1-16'!H155),2)</f>
        <v>0</v>
      </c>
      <c r="O40" s="3">
        <f>MOD(VALUE(MID(R0_L0!$C$81,'E(Ri) XOR ki+1'!$D35,1))+VALUE('Khóa k1-16'!I155),2)</f>
        <v>1</v>
      </c>
      <c r="P40" s="3">
        <f>MOD(VALUE(MID(R0_L0!$C$82,'E(Ri) XOR ki+1'!$D35,1))+VALUE('Khóa k1-16'!J155),2)</f>
        <v>0</v>
      </c>
      <c r="Q40" s="3">
        <f>MOD(VALUE(MID(R0_L0!$C$83,'E(Ri) XOR ki+1'!$D35,1))+VALUE('Khóa k1-16'!K155),2)</f>
        <v>0</v>
      </c>
      <c r="R40" s="3">
        <f>MOD(VALUE(MID(R0_L0!$C$84,'E(Ri) XOR ki+1'!$D35,1))+VALUE('Khóa k1-16'!L155),2)</f>
        <v>1</v>
      </c>
      <c r="S40" s="3">
        <f>MOD(VALUE(MID(R0_L0!$C$85,'E(Ri) XOR ki+1'!$D35,1))+VALUE('Khóa k1-16'!M155),2)</f>
        <v>0</v>
      </c>
      <c r="T40" s="3">
        <f>MOD(VALUE(MID(R0_L0!$C$86,'E(Ri) XOR ki+1'!$D35,1))+VALUE('Khóa k1-16'!N155),2)</f>
        <v>1</v>
      </c>
      <c r="U40" s="3">
        <f>MOD(VALUE(MID(R0_L0!$C$87,'E(Ri) XOR ki+1'!$D35,1))+VALUE('Khóa k1-16'!O155),2)</f>
        <v>1</v>
      </c>
      <c r="V40" s="3">
        <f>MOD(VALUE(MID(R0_L0!$C$88,'E(Ri) XOR ki+1'!$D35,1))+VALUE('Khóa k1-16'!P155),2)</f>
        <v>1</v>
      </c>
      <c r="W40" s="3">
        <f>MOD(VALUE(MID(R0_L0!$C$89,'E(Ri) XOR ki+1'!$D35,1))+VALUE('Khóa k1-16'!Q155),2)</f>
        <v>1</v>
      </c>
      <c r="X40" s="3">
        <f>MOD(VALUE(MID(R0_L0!$C$90,'E(Ri) XOR ki+1'!$D35,1))+VALUE('Khóa k1-16'!R155),2)</f>
        <v>1</v>
      </c>
    </row>
    <row r="41" spans="1:24" x14ac:dyDescent="0.25">
      <c r="A41" s="3">
        <v>38</v>
      </c>
      <c r="B41" s="3">
        <v>17</v>
      </c>
      <c r="C41" s="3" t="str">
        <f t="shared" si="0"/>
        <v>0</v>
      </c>
      <c r="D41" s="3">
        <v>25</v>
      </c>
      <c r="E41" s="3">
        <v>20</v>
      </c>
      <c r="G41" s="2">
        <v>33</v>
      </c>
      <c r="H41" s="3">
        <f>MOD(VALUE(MID($O$4,D36,1)) + VALUE('Khóa k1-16'!B156),2)</f>
        <v>0</v>
      </c>
      <c r="I41" s="3">
        <f>MOD(VALUE(MID(R0_L0!$C$75,'E(Ri) XOR ki+1'!D36,1))+VALUE('Khóa k1-16'!C156),2)</f>
        <v>0</v>
      </c>
      <c r="J41" s="3">
        <f>MOD(VALUE(MID(R0_L0!$C$76,'E(Ri) XOR ki+1'!$D36,1))+VALUE('Khóa k1-16'!D156),2)</f>
        <v>0</v>
      </c>
      <c r="K41" s="3">
        <f>MOD(VALUE(MID(R0_L0!$C$77,'E(Ri) XOR ki+1'!D36,1))+VALUE('Khóa k1-16'!E156),2)</f>
        <v>1</v>
      </c>
      <c r="L41" s="3">
        <f>MOD(VALUE(MID(R0_L0!$C$78,'E(Ri) XOR ki+1'!D36,1))+VALUE('Khóa k1-16'!F156),2)</f>
        <v>0</v>
      </c>
      <c r="M41" s="3">
        <f>MOD(VALUE(MID(R0_L0!$C$79,'E(Ri) XOR ki+1'!$D36,1))+VALUE('Khóa k1-16'!G156),2)</f>
        <v>0</v>
      </c>
      <c r="N41" s="3">
        <f>MOD(VALUE(MID(R0_L0!$C$80,'E(Ri) XOR ki+1'!$D36,1))+VALUE('Khóa k1-16'!H156),2)</f>
        <v>0</v>
      </c>
      <c r="O41" s="3">
        <f>MOD(VALUE(MID(R0_L0!$C$81,'E(Ri) XOR ki+1'!$D36,1))+VALUE('Khóa k1-16'!I156),2)</f>
        <v>0</v>
      </c>
      <c r="P41" s="3">
        <f>MOD(VALUE(MID(R0_L0!$C$82,'E(Ri) XOR ki+1'!$D36,1))+VALUE('Khóa k1-16'!J156),2)</f>
        <v>1</v>
      </c>
      <c r="Q41" s="3">
        <f>MOD(VALUE(MID(R0_L0!$C$83,'E(Ri) XOR ki+1'!$D36,1))+VALUE('Khóa k1-16'!K156),2)</f>
        <v>1</v>
      </c>
      <c r="R41" s="3">
        <f>MOD(VALUE(MID(R0_L0!$C$84,'E(Ri) XOR ki+1'!$D36,1))+VALUE('Khóa k1-16'!L156),2)</f>
        <v>1</v>
      </c>
      <c r="S41" s="3">
        <f>MOD(VALUE(MID(R0_L0!$C$85,'E(Ri) XOR ki+1'!$D36,1))+VALUE('Khóa k1-16'!M156),2)</f>
        <v>1</v>
      </c>
      <c r="T41" s="3">
        <f>MOD(VALUE(MID(R0_L0!$C$86,'E(Ri) XOR ki+1'!$D36,1))+VALUE('Khóa k1-16'!N156),2)</f>
        <v>1</v>
      </c>
      <c r="U41" s="3">
        <f>MOD(VALUE(MID(R0_L0!$C$87,'E(Ri) XOR ki+1'!$D36,1))+VALUE('Khóa k1-16'!O156),2)</f>
        <v>0</v>
      </c>
      <c r="V41" s="3">
        <f>MOD(VALUE(MID(R0_L0!$C$88,'E(Ri) XOR ki+1'!$D36,1))+VALUE('Khóa k1-16'!P156),2)</f>
        <v>0</v>
      </c>
      <c r="W41" s="3">
        <f>MOD(VALUE(MID(R0_L0!$C$89,'E(Ri) XOR ki+1'!$D36,1))+VALUE('Khóa k1-16'!Q156),2)</f>
        <v>0</v>
      </c>
      <c r="X41" s="3">
        <f>MOD(VALUE(MID(R0_L0!$C$90,'E(Ri) XOR ki+1'!$D36,1))+VALUE('Khóa k1-16'!R156),2)</f>
        <v>1</v>
      </c>
    </row>
    <row r="42" spans="1:24" x14ac:dyDescent="0.25">
      <c r="A42" s="3">
        <v>39</v>
      </c>
      <c r="B42" s="3">
        <v>9</v>
      </c>
      <c r="C42" s="3" t="str">
        <f t="shared" si="0"/>
        <v>0</v>
      </c>
      <c r="D42" s="3">
        <v>26</v>
      </c>
      <c r="E42" s="3">
        <v>60</v>
      </c>
      <c r="G42" s="2">
        <v>34</v>
      </c>
      <c r="H42" s="3">
        <f>MOD(VALUE(MID($O$4,D37,1)) + VALUE('Khóa k1-16'!B157),2)</f>
        <v>1</v>
      </c>
      <c r="I42" s="3">
        <f>MOD(VALUE(MID(R0_L0!$C$75,'E(Ri) XOR ki+1'!D37,1))+VALUE('Khóa k1-16'!C157),2)</f>
        <v>1</v>
      </c>
      <c r="J42" s="3">
        <f>MOD(VALUE(MID(R0_L0!$C$76,'E(Ri) XOR ki+1'!$D37,1))+VALUE('Khóa k1-16'!D157),2)</f>
        <v>0</v>
      </c>
      <c r="K42" s="3">
        <f>MOD(VALUE(MID(R0_L0!$C$77,'E(Ri) XOR ki+1'!D37,1))+VALUE('Khóa k1-16'!E157),2)</f>
        <v>1</v>
      </c>
      <c r="L42" s="3">
        <f>MOD(VALUE(MID(R0_L0!$C$78,'E(Ri) XOR ki+1'!D37,1))+VALUE('Khóa k1-16'!F157),2)</f>
        <v>1</v>
      </c>
      <c r="M42" s="3">
        <f>MOD(VALUE(MID(R0_L0!$C$79,'E(Ri) XOR ki+1'!$D37,1))+VALUE('Khóa k1-16'!G157),2)</f>
        <v>1</v>
      </c>
      <c r="N42" s="3">
        <f>MOD(VALUE(MID(R0_L0!$C$80,'E(Ri) XOR ki+1'!$D37,1))+VALUE('Khóa k1-16'!H157),2)</f>
        <v>0</v>
      </c>
      <c r="O42" s="3">
        <f>MOD(VALUE(MID(R0_L0!$C$81,'E(Ri) XOR ki+1'!$D37,1))+VALUE('Khóa k1-16'!I157),2)</f>
        <v>0</v>
      </c>
      <c r="P42" s="3">
        <f>MOD(VALUE(MID(R0_L0!$C$82,'E(Ri) XOR ki+1'!$D37,1))+VALUE('Khóa k1-16'!J157),2)</f>
        <v>1</v>
      </c>
      <c r="Q42" s="3">
        <f>MOD(VALUE(MID(R0_L0!$C$83,'E(Ri) XOR ki+1'!$D37,1))+VALUE('Khóa k1-16'!K157),2)</f>
        <v>1</v>
      </c>
      <c r="R42" s="3">
        <f>MOD(VALUE(MID(R0_L0!$C$84,'E(Ri) XOR ki+1'!$D37,1))+VALUE('Khóa k1-16'!L157),2)</f>
        <v>1</v>
      </c>
      <c r="S42" s="3">
        <f>MOD(VALUE(MID(R0_L0!$C$85,'E(Ri) XOR ki+1'!$D37,1))+VALUE('Khóa k1-16'!M157),2)</f>
        <v>0</v>
      </c>
      <c r="T42" s="3">
        <f>MOD(VALUE(MID(R0_L0!$C$86,'E(Ri) XOR ki+1'!$D37,1))+VALUE('Khóa k1-16'!N157),2)</f>
        <v>0</v>
      </c>
      <c r="U42" s="3">
        <f>MOD(VALUE(MID(R0_L0!$C$87,'E(Ri) XOR ki+1'!$D37,1))+VALUE('Khóa k1-16'!O157),2)</f>
        <v>0</v>
      </c>
      <c r="V42" s="3">
        <f>MOD(VALUE(MID(R0_L0!$C$88,'E(Ri) XOR ki+1'!$D37,1))+VALUE('Khóa k1-16'!P157),2)</f>
        <v>1</v>
      </c>
      <c r="W42" s="3">
        <f>MOD(VALUE(MID(R0_L0!$C$89,'E(Ri) XOR ki+1'!$D37,1))+VALUE('Khóa k1-16'!Q157),2)</f>
        <v>0</v>
      </c>
      <c r="X42" s="3">
        <f>MOD(VALUE(MID(R0_L0!$C$90,'E(Ri) XOR ki+1'!$D37,1))+VALUE('Khóa k1-16'!R157),2)</f>
        <v>1</v>
      </c>
    </row>
    <row r="43" spans="1:24" x14ac:dyDescent="0.25">
      <c r="A43" s="3">
        <v>40</v>
      </c>
      <c r="B43" s="3">
        <v>1</v>
      </c>
      <c r="C43" s="3" t="str">
        <f t="shared" si="0"/>
        <v>0</v>
      </c>
      <c r="D43" s="3">
        <v>27</v>
      </c>
      <c r="E43" s="3">
        <v>28</v>
      </c>
      <c r="G43" s="2">
        <v>35</v>
      </c>
      <c r="H43" s="3">
        <f>MOD(VALUE(MID($O$4,D38,1)) + VALUE('Khóa k1-16'!B158),2)</f>
        <v>0</v>
      </c>
      <c r="I43" s="3">
        <f>MOD(VALUE(MID(R0_L0!$C$75,'E(Ri) XOR ki+1'!D38,1))+VALUE('Khóa k1-16'!C158),2)</f>
        <v>0</v>
      </c>
      <c r="J43" s="3">
        <f>MOD(VALUE(MID(R0_L0!$C$76,'E(Ri) XOR ki+1'!$D38,1))+VALUE('Khóa k1-16'!D158),2)</f>
        <v>0</v>
      </c>
      <c r="K43" s="3">
        <f>MOD(VALUE(MID(R0_L0!$C$77,'E(Ri) XOR ki+1'!D38,1))+VALUE('Khóa k1-16'!E158),2)</f>
        <v>1</v>
      </c>
      <c r="L43" s="3">
        <f>MOD(VALUE(MID(R0_L0!$C$78,'E(Ri) XOR ki+1'!D38,1))+VALUE('Khóa k1-16'!F158),2)</f>
        <v>0</v>
      </c>
      <c r="M43" s="3">
        <f>MOD(VALUE(MID(R0_L0!$C$79,'E(Ri) XOR ki+1'!$D38,1))+VALUE('Khóa k1-16'!G158),2)</f>
        <v>0</v>
      </c>
      <c r="N43" s="3">
        <f>MOD(VALUE(MID(R0_L0!$C$80,'E(Ri) XOR ki+1'!$D38,1))+VALUE('Khóa k1-16'!H158),2)</f>
        <v>1</v>
      </c>
      <c r="O43" s="3">
        <f>MOD(VALUE(MID(R0_L0!$C$81,'E(Ri) XOR ki+1'!$D38,1))+VALUE('Khóa k1-16'!I158),2)</f>
        <v>0</v>
      </c>
      <c r="P43" s="3">
        <f>MOD(VALUE(MID(R0_L0!$C$82,'E(Ri) XOR ki+1'!$D38,1))+VALUE('Khóa k1-16'!J158),2)</f>
        <v>1</v>
      </c>
      <c r="Q43" s="3">
        <f>MOD(VALUE(MID(R0_L0!$C$83,'E(Ri) XOR ki+1'!$D38,1))+VALUE('Khóa k1-16'!K158),2)</f>
        <v>1</v>
      </c>
      <c r="R43" s="3">
        <f>MOD(VALUE(MID(R0_L0!$C$84,'E(Ri) XOR ki+1'!$D38,1))+VALUE('Khóa k1-16'!L158),2)</f>
        <v>0</v>
      </c>
      <c r="S43" s="3">
        <f>MOD(VALUE(MID(R0_L0!$C$85,'E(Ri) XOR ki+1'!$D38,1))+VALUE('Khóa k1-16'!M158),2)</f>
        <v>0</v>
      </c>
      <c r="T43" s="3">
        <f>MOD(VALUE(MID(R0_L0!$C$86,'E(Ri) XOR ki+1'!$D38,1))+VALUE('Khóa k1-16'!N158),2)</f>
        <v>1</v>
      </c>
      <c r="U43" s="3">
        <f>MOD(VALUE(MID(R0_L0!$C$87,'E(Ri) XOR ki+1'!$D38,1))+VALUE('Khóa k1-16'!O158),2)</f>
        <v>0</v>
      </c>
      <c r="V43" s="3">
        <f>MOD(VALUE(MID(R0_L0!$C$88,'E(Ri) XOR ki+1'!$D38,1))+VALUE('Khóa k1-16'!P158),2)</f>
        <v>1</v>
      </c>
      <c r="W43" s="3">
        <f>MOD(VALUE(MID(R0_L0!$C$89,'E(Ri) XOR ki+1'!$D38,1))+VALUE('Khóa k1-16'!Q158),2)</f>
        <v>0</v>
      </c>
      <c r="X43" s="3">
        <f>MOD(VALUE(MID(R0_L0!$C$90,'E(Ri) XOR ki+1'!$D38,1))+VALUE('Khóa k1-16'!R158),2)</f>
        <v>0</v>
      </c>
    </row>
    <row r="44" spans="1:24" x14ac:dyDescent="0.25">
      <c r="A44" s="3">
        <v>41</v>
      </c>
      <c r="B44" s="3">
        <v>59</v>
      </c>
      <c r="C44" s="3" t="str">
        <f t="shared" si="0"/>
        <v>0</v>
      </c>
      <c r="D44" s="3">
        <v>28</v>
      </c>
      <c r="E44" s="3">
        <v>35</v>
      </c>
      <c r="G44" s="2">
        <v>36</v>
      </c>
      <c r="H44" s="3">
        <f>MOD(VALUE(MID($O$4,D39,1)) + VALUE('Khóa k1-16'!B159),2)</f>
        <v>1</v>
      </c>
      <c r="I44" s="3">
        <f>MOD(VALUE(MID(R0_L0!$C$75,'E(Ri) XOR ki+1'!D39,1))+VALUE('Khóa k1-16'!C159),2)</f>
        <v>1</v>
      </c>
      <c r="J44" s="3">
        <f>MOD(VALUE(MID(R0_L0!$C$76,'E(Ri) XOR ki+1'!$D39,1))+VALUE('Khóa k1-16'!D159),2)</f>
        <v>1</v>
      </c>
      <c r="K44" s="3">
        <f>MOD(VALUE(MID(R0_L0!$C$77,'E(Ri) XOR ki+1'!D39,1))+VALUE('Khóa k1-16'!E159),2)</f>
        <v>0</v>
      </c>
      <c r="L44" s="3">
        <f>MOD(VALUE(MID(R0_L0!$C$78,'E(Ri) XOR ki+1'!D39,1))+VALUE('Khóa k1-16'!F159),2)</f>
        <v>0</v>
      </c>
      <c r="M44" s="3">
        <f>MOD(VALUE(MID(R0_L0!$C$79,'E(Ri) XOR ki+1'!$D39,1))+VALUE('Khóa k1-16'!G159),2)</f>
        <v>1</v>
      </c>
      <c r="N44" s="3">
        <f>MOD(VALUE(MID(R0_L0!$C$80,'E(Ri) XOR ki+1'!$D39,1))+VALUE('Khóa k1-16'!H159),2)</f>
        <v>0</v>
      </c>
      <c r="O44" s="3">
        <f>MOD(VALUE(MID(R0_L0!$C$81,'E(Ri) XOR ki+1'!$D39,1))+VALUE('Khóa k1-16'!I159),2)</f>
        <v>0</v>
      </c>
      <c r="P44" s="3">
        <f>MOD(VALUE(MID(R0_L0!$C$82,'E(Ri) XOR ki+1'!$D39,1))+VALUE('Khóa k1-16'!J159),2)</f>
        <v>0</v>
      </c>
      <c r="Q44" s="3">
        <f>MOD(VALUE(MID(R0_L0!$C$83,'E(Ri) XOR ki+1'!$D39,1))+VALUE('Khóa k1-16'!K159),2)</f>
        <v>0</v>
      </c>
      <c r="R44" s="3">
        <f>MOD(VALUE(MID(R0_L0!$C$84,'E(Ri) XOR ki+1'!$D39,1))+VALUE('Khóa k1-16'!L159),2)</f>
        <v>0</v>
      </c>
      <c r="S44" s="3">
        <f>MOD(VALUE(MID(R0_L0!$C$85,'E(Ri) XOR ki+1'!$D39,1))+VALUE('Khóa k1-16'!M159),2)</f>
        <v>0</v>
      </c>
      <c r="T44" s="3">
        <f>MOD(VALUE(MID(R0_L0!$C$86,'E(Ri) XOR ki+1'!$D39,1))+VALUE('Khóa k1-16'!N159),2)</f>
        <v>1</v>
      </c>
      <c r="U44" s="3">
        <f>MOD(VALUE(MID(R0_L0!$C$87,'E(Ri) XOR ki+1'!$D39,1))+VALUE('Khóa k1-16'!O159),2)</f>
        <v>0</v>
      </c>
      <c r="V44" s="3">
        <f>MOD(VALUE(MID(R0_L0!$C$88,'E(Ri) XOR ki+1'!$D39,1))+VALUE('Khóa k1-16'!P159),2)</f>
        <v>0</v>
      </c>
      <c r="W44" s="3">
        <f>MOD(VALUE(MID(R0_L0!$C$89,'E(Ri) XOR ki+1'!$D39,1))+VALUE('Khóa k1-16'!Q159),2)</f>
        <v>0</v>
      </c>
      <c r="X44" s="3">
        <f>MOD(VALUE(MID(R0_L0!$C$90,'E(Ri) XOR ki+1'!$D39,1))+VALUE('Khóa k1-16'!R159),2)</f>
        <v>1</v>
      </c>
    </row>
    <row r="45" spans="1:24" x14ac:dyDescent="0.25">
      <c r="A45" s="3">
        <v>42</v>
      </c>
      <c r="B45" s="3">
        <v>51</v>
      </c>
      <c r="C45" s="3" t="str">
        <f t="shared" si="0"/>
        <v>1</v>
      </c>
      <c r="D45" s="3">
        <v>29</v>
      </c>
      <c r="E45" s="3">
        <v>3</v>
      </c>
      <c r="G45" s="2">
        <v>37</v>
      </c>
      <c r="H45" s="3">
        <f>MOD(VALUE(MID($O$4,D40,1)) + VALUE('Khóa k1-16'!B160),2)</f>
        <v>1</v>
      </c>
      <c r="I45" s="3">
        <f>MOD(VALUE(MID(R0_L0!$C$75,'E(Ri) XOR ki+1'!D40,1))+VALUE('Khóa k1-16'!C160),2)</f>
        <v>0</v>
      </c>
      <c r="J45" s="3">
        <f>MOD(VALUE(MID(R0_L0!$C$76,'E(Ri) XOR ki+1'!$D40,1))+VALUE('Khóa k1-16'!D160),2)</f>
        <v>0</v>
      </c>
      <c r="K45" s="3">
        <f>MOD(VALUE(MID(R0_L0!$C$77,'E(Ri) XOR ki+1'!D40,1))+VALUE('Khóa k1-16'!E160),2)</f>
        <v>1</v>
      </c>
      <c r="L45" s="3">
        <f>MOD(VALUE(MID(R0_L0!$C$78,'E(Ri) XOR ki+1'!D40,1))+VALUE('Khóa k1-16'!F160),2)</f>
        <v>1</v>
      </c>
      <c r="M45" s="3">
        <f>MOD(VALUE(MID(R0_L0!$C$79,'E(Ri) XOR ki+1'!$D40,1))+VALUE('Khóa k1-16'!G160),2)</f>
        <v>0</v>
      </c>
      <c r="N45" s="3">
        <f>MOD(VALUE(MID(R0_L0!$C$80,'E(Ri) XOR ki+1'!$D40,1))+VALUE('Khóa k1-16'!H160),2)</f>
        <v>0</v>
      </c>
      <c r="O45" s="3">
        <f>MOD(VALUE(MID(R0_L0!$C$81,'E(Ri) XOR ki+1'!$D40,1))+VALUE('Khóa k1-16'!I160),2)</f>
        <v>1</v>
      </c>
      <c r="P45" s="3">
        <f>MOD(VALUE(MID(R0_L0!$C$82,'E(Ri) XOR ki+1'!$D40,1))+VALUE('Khóa k1-16'!J160),2)</f>
        <v>1</v>
      </c>
      <c r="Q45" s="3">
        <f>MOD(VALUE(MID(R0_L0!$C$83,'E(Ri) XOR ki+1'!$D40,1))+VALUE('Khóa k1-16'!K160),2)</f>
        <v>0</v>
      </c>
      <c r="R45" s="3">
        <f>MOD(VALUE(MID(R0_L0!$C$84,'E(Ri) XOR ki+1'!$D40,1))+VALUE('Khóa k1-16'!L160),2)</f>
        <v>1</v>
      </c>
      <c r="S45" s="3">
        <f>MOD(VALUE(MID(R0_L0!$C$85,'E(Ri) XOR ki+1'!$D40,1))+VALUE('Khóa k1-16'!M160),2)</f>
        <v>1</v>
      </c>
      <c r="T45" s="3">
        <f>MOD(VALUE(MID(R0_L0!$C$86,'E(Ri) XOR ki+1'!$D40,1))+VALUE('Khóa k1-16'!N160),2)</f>
        <v>1</v>
      </c>
      <c r="U45" s="3">
        <f>MOD(VALUE(MID(R0_L0!$C$87,'E(Ri) XOR ki+1'!$D40,1))+VALUE('Khóa k1-16'!O160),2)</f>
        <v>1</v>
      </c>
      <c r="V45" s="3">
        <f>MOD(VALUE(MID(R0_L0!$C$88,'E(Ri) XOR ki+1'!$D40,1))+VALUE('Khóa k1-16'!P160),2)</f>
        <v>1</v>
      </c>
      <c r="W45" s="3">
        <f>MOD(VALUE(MID(R0_L0!$C$89,'E(Ri) XOR ki+1'!$D40,1))+VALUE('Khóa k1-16'!Q160),2)</f>
        <v>1</v>
      </c>
      <c r="X45" s="3">
        <f>MOD(VALUE(MID(R0_L0!$C$90,'E(Ri) XOR ki+1'!$D40,1))+VALUE('Khóa k1-16'!R160),2)</f>
        <v>0</v>
      </c>
    </row>
    <row r="46" spans="1:24" x14ac:dyDescent="0.25">
      <c r="A46" s="3">
        <v>43</v>
      </c>
      <c r="B46" s="3">
        <v>43</v>
      </c>
      <c r="C46" s="3" t="str">
        <f t="shared" si="0"/>
        <v>0</v>
      </c>
      <c r="D46" s="3">
        <v>28</v>
      </c>
      <c r="E46" s="3">
        <v>43</v>
      </c>
      <c r="G46" s="2">
        <v>38</v>
      </c>
      <c r="H46" s="3">
        <f>MOD(VALUE(MID($O$4,D41,1)) + VALUE('Khóa k1-16'!B161),2)</f>
        <v>1</v>
      </c>
      <c r="I46" s="3">
        <f>MOD(VALUE(MID(R0_L0!$C$75,'E(Ri) XOR ki+1'!D41,1))+VALUE('Khóa k1-16'!C161),2)</f>
        <v>1</v>
      </c>
      <c r="J46" s="3">
        <f>MOD(VALUE(MID(R0_L0!$C$76,'E(Ri) XOR ki+1'!$D41,1))+VALUE('Khóa k1-16'!D161),2)</f>
        <v>0</v>
      </c>
      <c r="K46" s="3">
        <f>MOD(VALUE(MID(R0_L0!$C$77,'E(Ri) XOR ki+1'!D41,1))+VALUE('Khóa k1-16'!E161),2)</f>
        <v>1</v>
      </c>
      <c r="L46" s="3">
        <f>MOD(VALUE(MID(R0_L0!$C$78,'E(Ri) XOR ki+1'!D41,1))+VALUE('Khóa k1-16'!F161),2)</f>
        <v>1</v>
      </c>
      <c r="M46" s="3">
        <f>MOD(VALUE(MID(R0_L0!$C$79,'E(Ri) XOR ki+1'!$D41,1))+VALUE('Khóa k1-16'!G161),2)</f>
        <v>0</v>
      </c>
      <c r="N46" s="3">
        <f>MOD(VALUE(MID(R0_L0!$C$80,'E(Ri) XOR ki+1'!$D41,1))+VALUE('Khóa k1-16'!H161),2)</f>
        <v>1</v>
      </c>
      <c r="O46" s="3">
        <f>MOD(VALUE(MID(R0_L0!$C$81,'E(Ri) XOR ki+1'!$D41,1))+VALUE('Khóa k1-16'!I161),2)</f>
        <v>1</v>
      </c>
      <c r="P46" s="3">
        <f>MOD(VALUE(MID(R0_L0!$C$82,'E(Ri) XOR ki+1'!$D41,1))+VALUE('Khóa k1-16'!J161),2)</f>
        <v>1</v>
      </c>
      <c r="Q46" s="3">
        <f>MOD(VALUE(MID(R0_L0!$C$83,'E(Ri) XOR ki+1'!$D41,1))+VALUE('Khóa k1-16'!K161),2)</f>
        <v>0</v>
      </c>
      <c r="R46" s="3">
        <f>MOD(VALUE(MID(R0_L0!$C$84,'E(Ri) XOR ki+1'!$D41,1))+VALUE('Khóa k1-16'!L161),2)</f>
        <v>0</v>
      </c>
      <c r="S46" s="3">
        <f>MOD(VALUE(MID(R0_L0!$C$85,'E(Ri) XOR ki+1'!$D41,1))+VALUE('Khóa k1-16'!M161),2)</f>
        <v>0</v>
      </c>
      <c r="T46" s="3">
        <f>MOD(VALUE(MID(R0_L0!$C$86,'E(Ri) XOR ki+1'!$D41,1))+VALUE('Khóa k1-16'!N161),2)</f>
        <v>1</v>
      </c>
      <c r="U46" s="3">
        <f>MOD(VALUE(MID(R0_L0!$C$87,'E(Ri) XOR ki+1'!$D41,1))+VALUE('Khóa k1-16'!O161),2)</f>
        <v>0</v>
      </c>
      <c r="V46" s="3">
        <f>MOD(VALUE(MID(R0_L0!$C$88,'E(Ri) XOR ki+1'!$D41,1))+VALUE('Khóa k1-16'!P161),2)</f>
        <v>0</v>
      </c>
      <c r="W46" s="3">
        <f>MOD(VALUE(MID(R0_L0!$C$89,'E(Ri) XOR ki+1'!$D41,1))+VALUE('Khóa k1-16'!Q161),2)</f>
        <v>1</v>
      </c>
      <c r="X46" s="3">
        <f>MOD(VALUE(MID(R0_L0!$C$90,'E(Ri) XOR ki+1'!$D41,1))+VALUE('Khóa k1-16'!R161),2)</f>
        <v>1</v>
      </c>
    </row>
    <row r="47" spans="1:24" x14ac:dyDescent="0.25">
      <c r="A47" s="3">
        <v>44</v>
      </c>
      <c r="B47" s="3">
        <v>35</v>
      </c>
      <c r="C47" s="3" t="str">
        <f t="shared" si="0"/>
        <v>1</v>
      </c>
      <c r="D47" s="3">
        <v>29</v>
      </c>
      <c r="E47" s="3">
        <v>11</v>
      </c>
      <c r="G47" s="2">
        <v>39</v>
      </c>
      <c r="H47" s="3">
        <f>MOD(VALUE(MID($O$4,D42,1)) + VALUE('Khóa k1-16'!B162),2)</f>
        <v>0</v>
      </c>
      <c r="I47" s="3">
        <f>MOD(VALUE(MID(R0_L0!$C$75,'E(Ri) XOR ki+1'!D42,1))+VALUE('Khóa k1-16'!C162),2)</f>
        <v>1</v>
      </c>
      <c r="J47" s="3">
        <f>MOD(VALUE(MID(R0_L0!$C$76,'E(Ri) XOR ki+1'!$D42,1))+VALUE('Khóa k1-16'!D162),2)</f>
        <v>0</v>
      </c>
      <c r="K47" s="3">
        <f>MOD(VALUE(MID(R0_L0!$C$77,'E(Ri) XOR ki+1'!D42,1))+VALUE('Khóa k1-16'!E162),2)</f>
        <v>1</v>
      </c>
      <c r="L47" s="3">
        <f>MOD(VALUE(MID(R0_L0!$C$78,'E(Ri) XOR ki+1'!D42,1))+VALUE('Khóa k1-16'!F162),2)</f>
        <v>1</v>
      </c>
      <c r="M47" s="3">
        <f>MOD(VALUE(MID(R0_L0!$C$79,'E(Ri) XOR ki+1'!$D42,1))+VALUE('Khóa k1-16'!G162),2)</f>
        <v>1</v>
      </c>
      <c r="N47" s="3">
        <f>MOD(VALUE(MID(R0_L0!$C$80,'E(Ri) XOR ki+1'!$D42,1))+VALUE('Khóa k1-16'!H162),2)</f>
        <v>0</v>
      </c>
      <c r="O47" s="3">
        <f>MOD(VALUE(MID(R0_L0!$C$81,'E(Ri) XOR ki+1'!$D42,1))+VALUE('Khóa k1-16'!I162),2)</f>
        <v>0</v>
      </c>
      <c r="P47" s="3">
        <f>MOD(VALUE(MID(R0_L0!$C$82,'E(Ri) XOR ki+1'!$D42,1))+VALUE('Khóa k1-16'!J162),2)</f>
        <v>0</v>
      </c>
      <c r="Q47" s="3">
        <f>MOD(VALUE(MID(R0_L0!$C$83,'E(Ri) XOR ki+1'!$D42,1))+VALUE('Khóa k1-16'!K162),2)</f>
        <v>1</v>
      </c>
      <c r="R47" s="3">
        <f>MOD(VALUE(MID(R0_L0!$C$84,'E(Ri) XOR ki+1'!$D42,1))+VALUE('Khóa k1-16'!L162),2)</f>
        <v>1</v>
      </c>
      <c r="S47" s="3">
        <f>MOD(VALUE(MID(R0_L0!$C$85,'E(Ri) XOR ki+1'!$D42,1))+VALUE('Khóa k1-16'!M162),2)</f>
        <v>0</v>
      </c>
      <c r="T47" s="3">
        <f>MOD(VALUE(MID(R0_L0!$C$86,'E(Ri) XOR ki+1'!$D42,1))+VALUE('Khóa k1-16'!N162),2)</f>
        <v>1</v>
      </c>
      <c r="U47" s="3">
        <f>MOD(VALUE(MID(R0_L0!$C$87,'E(Ri) XOR ki+1'!$D42,1))+VALUE('Khóa k1-16'!O162),2)</f>
        <v>0</v>
      </c>
      <c r="V47" s="3">
        <f>MOD(VALUE(MID(R0_L0!$C$88,'E(Ri) XOR ki+1'!$D42,1))+VALUE('Khóa k1-16'!P162),2)</f>
        <v>1</v>
      </c>
      <c r="W47" s="3">
        <f>MOD(VALUE(MID(R0_L0!$C$89,'E(Ri) XOR ki+1'!$D42,1))+VALUE('Khóa k1-16'!Q162),2)</f>
        <v>0</v>
      </c>
      <c r="X47" s="3">
        <f>MOD(VALUE(MID(R0_L0!$C$90,'E(Ri) XOR ki+1'!$D42,1))+VALUE('Khóa k1-16'!R162),2)</f>
        <v>0</v>
      </c>
    </row>
    <row r="48" spans="1:24" x14ac:dyDescent="0.25">
      <c r="A48" s="3">
        <v>45</v>
      </c>
      <c r="B48" s="3">
        <v>27</v>
      </c>
      <c r="C48" s="3" t="str">
        <f t="shared" si="0"/>
        <v>0</v>
      </c>
      <c r="D48" s="3">
        <v>30</v>
      </c>
      <c r="E48" s="3">
        <v>51</v>
      </c>
      <c r="G48" s="2">
        <v>40</v>
      </c>
      <c r="H48" s="3">
        <f>MOD(VALUE(MID($O$4,D43,1)) + VALUE('Khóa k1-16'!B163),2)</f>
        <v>0</v>
      </c>
      <c r="I48" s="3">
        <f>MOD(VALUE(MID(R0_L0!$C$75,'E(Ri) XOR ki+1'!D43,1))+VALUE('Khóa k1-16'!C163),2)</f>
        <v>0</v>
      </c>
      <c r="J48" s="3">
        <f>MOD(VALUE(MID(R0_L0!$C$76,'E(Ri) XOR ki+1'!$D43,1))+VALUE('Khóa k1-16'!D163),2)</f>
        <v>1</v>
      </c>
      <c r="K48" s="3">
        <f>MOD(VALUE(MID(R0_L0!$C$77,'E(Ri) XOR ki+1'!D43,1))+VALUE('Khóa k1-16'!E163),2)</f>
        <v>0</v>
      </c>
      <c r="L48" s="3">
        <f>MOD(VALUE(MID(R0_L0!$C$78,'E(Ri) XOR ki+1'!D43,1))+VALUE('Khóa k1-16'!F163),2)</f>
        <v>0</v>
      </c>
      <c r="M48" s="3">
        <f>MOD(VALUE(MID(R0_L0!$C$79,'E(Ri) XOR ki+1'!$D43,1))+VALUE('Khóa k1-16'!G163),2)</f>
        <v>0</v>
      </c>
      <c r="N48" s="3">
        <f>MOD(VALUE(MID(R0_L0!$C$80,'E(Ri) XOR ki+1'!$D43,1))+VALUE('Khóa k1-16'!H163),2)</f>
        <v>1</v>
      </c>
      <c r="O48" s="3">
        <f>MOD(VALUE(MID(R0_L0!$C$81,'E(Ri) XOR ki+1'!$D43,1))+VALUE('Khóa k1-16'!I163),2)</f>
        <v>1</v>
      </c>
      <c r="P48" s="3">
        <f>MOD(VALUE(MID(R0_L0!$C$82,'E(Ri) XOR ki+1'!$D43,1))+VALUE('Khóa k1-16'!J163),2)</f>
        <v>0</v>
      </c>
      <c r="Q48" s="3">
        <f>MOD(VALUE(MID(R0_L0!$C$83,'E(Ri) XOR ki+1'!$D43,1))+VALUE('Khóa k1-16'!K163),2)</f>
        <v>0</v>
      </c>
      <c r="R48" s="3">
        <f>MOD(VALUE(MID(R0_L0!$C$84,'E(Ri) XOR ki+1'!$D43,1))+VALUE('Khóa k1-16'!L163),2)</f>
        <v>0</v>
      </c>
      <c r="S48" s="3">
        <f>MOD(VALUE(MID(R0_L0!$C$85,'E(Ri) XOR ki+1'!$D43,1))+VALUE('Khóa k1-16'!M163),2)</f>
        <v>1</v>
      </c>
      <c r="T48" s="3">
        <f>MOD(VALUE(MID(R0_L0!$C$86,'E(Ri) XOR ki+1'!$D43,1))+VALUE('Khóa k1-16'!N163),2)</f>
        <v>0</v>
      </c>
      <c r="U48" s="3">
        <f>MOD(VALUE(MID(R0_L0!$C$87,'E(Ri) XOR ki+1'!$D43,1))+VALUE('Khóa k1-16'!O163),2)</f>
        <v>0</v>
      </c>
      <c r="V48" s="3">
        <f>MOD(VALUE(MID(R0_L0!$C$88,'E(Ri) XOR ki+1'!$D43,1))+VALUE('Khóa k1-16'!P163),2)</f>
        <v>1</v>
      </c>
      <c r="W48" s="3">
        <f>MOD(VALUE(MID(R0_L0!$C$89,'E(Ri) XOR ki+1'!$D43,1))+VALUE('Khóa k1-16'!Q163),2)</f>
        <v>1</v>
      </c>
      <c r="X48" s="3">
        <f>MOD(VALUE(MID(R0_L0!$C$90,'E(Ri) XOR ki+1'!$D43,1))+VALUE('Khóa k1-16'!R163),2)</f>
        <v>1</v>
      </c>
    </row>
    <row r="49" spans="1:24" x14ac:dyDescent="0.25">
      <c r="A49" s="3">
        <v>46</v>
      </c>
      <c r="B49" s="3">
        <v>19</v>
      </c>
      <c r="C49" s="3" t="str">
        <f t="shared" si="0"/>
        <v>1</v>
      </c>
      <c r="D49" s="3">
        <v>31</v>
      </c>
      <c r="E49" s="3">
        <v>19</v>
      </c>
      <c r="G49" s="2">
        <v>41</v>
      </c>
      <c r="H49" s="3">
        <f>MOD(VALUE(MID($O$4,D44,1)) + VALUE('Khóa k1-16'!B164),2)</f>
        <v>1</v>
      </c>
      <c r="I49" s="3">
        <f>MOD(VALUE(MID(R0_L0!$C$75,'E(Ri) XOR ki+1'!D44,1))+VALUE('Khóa k1-16'!C164),2)</f>
        <v>1</v>
      </c>
      <c r="J49" s="3">
        <f>MOD(VALUE(MID(R0_L0!$C$76,'E(Ri) XOR ki+1'!$D44,1))+VALUE('Khóa k1-16'!D164),2)</f>
        <v>1</v>
      </c>
      <c r="K49" s="3">
        <f>MOD(VALUE(MID(R0_L0!$C$77,'E(Ri) XOR ki+1'!D44,1))+VALUE('Khóa k1-16'!E164),2)</f>
        <v>0</v>
      </c>
      <c r="L49" s="3">
        <f>MOD(VALUE(MID(R0_L0!$C$78,'E(Ri) XOR ki+1'!D44,1))+VALUE('Khóa k1-16'!F164),2)</f>
        <v>0</v>
      </c>
      <c r="M49" s="3">
        <f>MOD(VALUE(MID(R0_L0!$C$79,'E(Ri) XOR ki+1'!$D44,1))+VALUE('Khóa k1-16'!G164),2)</f>
        <v>1</v>
      </c>
      <c r="N49" s="3">
        <f>MOD(VALUE(MID(R0_L0!$C$80,'E(Ri) XOR ki+1'!$D44,1))+VALUE('Khóa k1-16'!H164),2)</f>
        <v>0</v>
      </c>
      <c r="O49" s="3">
        <f>MOD(VALUE(MID(R0_L0!$C$81,'E(Ri) XOR ki+1'!$D44,1))+VALUE('Khóa k1-16'!I164),2)</f>
        <v>0</v>
      </c>
      <c r="P49" s="3">
        <f>MOD(VALUE(MID(R0_L0!$C$82,'E(Ri) XOR ki+1'!$D44,1))+VALUE('Khóa k1-16'!J164),2)</f>
        <v>0</v>
      </c>
      <c r="Q49" s="3">
        <f>MOD(VALUE(MID(R0_L0!$C$83,'E(Ri) XOR ki+1'!$D44,1))+VALUE('Khóa k1-16'!K164),2)</f>
        <v>0</v>
      </c>
      <c r="R49" s="3">
        <f>MOD(VALUE(MID(R0_L0!$C$84,'E(Ri) XOR ki+1'!$D44,1))+VALUE('Khóa k1-16'!L164),2)</f>
        <v>1</v>
      </c>
      <c r="S49" s="3">
        <f>MOD(VALUE(MID(R0_L0!$C$85,'E(Ri) XOR ki+1'!$D44,1))+VALUE('Khóa k1-16'!M164),2)</f>
        <v>1</v>
      </c>
      <c r="T49" s="3">
        <f>MOD(VALUE(MID(R0_L0!$C$86,'E(Ri) XOR ki+1'!$D44,1))+VALUE('Khóa k1-16'!N164),2)</f>
        <v>1</v>
      </c>
      <c r="U49" s="3">
        <f>MOD(VALUE(MID(R0_L0!$C$87,'E(Ri) XOR ki+1'!$D44,1))+VALUE('Khóa k1-16'!O164),2)</f>
        <v>1</v>
      </c>
      <c r="V49" s="3">
        <f>MOD(VALUE(MID(R0_L0!$C$88,'E(Ri) XOR ki+1'!$D44,1))+VALUE('Khóa k1-16'!P164),2)</f>
        <v>1</v>
      </c>
      <c r="W49" s="3">
        <f>MOD(VALUE(MID(R0_L0!$C$89,'E(Ri) XOR ki+1'!$D44,1))+VALUE('Khóa k1-16'!Q164),2)</f>
        <v>1</v>
      </c>
      <c r="X49" s="3">
        <f>MOD(VALUE(MID(R0_L0!$C$90,'E(Ri) XOR ki+1'!$D44,1))+VALUE('Khóa k1-16'!R164),2)</f>
        <v>0</v>
      </c>
    </row>
    <row r="50" spans="1:24" x14ac:dyDescent="0.25">
      <c r="A50" s="3">
        <v>47</v>
      </c>
      <c r="B50" s="3">
        <v>11</v>
      </c>
      <c r="C50" s="3" t="str">
        <f t="shared" si="0"/>
        <v>0</v>
      </c>
      <c r="D50" s="3">
        <v>32</v>
      </c>
      <c r="E50" s="3">
        <v>59</v>
      </c>
      <c r="G50" s="2">
        <v>42</v>
      </c>
      <c r="H50" s="3">
        <f>MOD(VALUE(MID($O$4,D45,1)) + VALUE('Khóa k1-16'!B165),2)</f>
        <v>1</v>
      </c>
      <c r="I50" s="3">
        <f>MOD(VALUE(MID(R0_L0!$C$75,'E(Ri) XOR ki+1'!D45,1))+VALUE('Khóa k1-16'!C165),2)</f>
        <v>0</v>
      </c>
      <c r="J50" s="3">
        <f>MOD(VALUE(MID(R0_L0!$C$76,'E(Ri) XOR ki+1'!$D45,1))+VALUE('Khóa k1-16'!D165),2)</f>
        <v>1</v>
      </c>
      <c r="K50" s="3">
        <f>MOD(VALUE(MID(R0_L0!$C$77,'E(Ri) XOR ki+1'!D45,1))+VALUE('Khóa k1-16'!E165),2)</f>
        <v>0</v>
      </c>
      <c r="L50" s="3">
        <f>MOD(VALUE(MID(R0_L0!$C$78,'E(Ri) XOR ki+1'!D45,1))+VALUE('Khóa k1-16'!F165),2)</f>
        <v>1</v>
      </c>
      <c r="M50" s="3">
        <f>MOD(VALUE(MID(R0_L0!$C$79,'E(Ri) XOR ki+1'!$D45,1))+VALUE('Khóa k1-16'!G165),2)</f>
        <v>1</v>
      </c>
      <c r="N50" s="3">
        <f>MOD(VALUE(MID(R0_L0!$C$80,'E(Ri) XOR ki+1'!$D45,1))+VALUE('Khóa k1-16'!H165),2)</f>
        <v>1</v>
      </c>
      <c r="O50" s="3">
        <f>MOD(VALUE(MID(R0_L0!$C$81,'E(Ri) XOR ki+1'!$D45,1))+VALUE('Khóa k1-16'!I165),2)</f>
        <v>0</v>
      </c>
      <c r="P50" s="3">
        <f>MOD(VALUE(MID(R0_L0!$C$82,'E(Ri) XOR ki+1'!$D45,1))+VALUE('Khóa k1-16'!J165),2)</f>
        <v>1</v>
      </c>
      <c r="Q50" s="3">
        <f>MOD(VALUE(MID(R0_L0!$C$83,'E(Ri) XOR ki+1'!$D45,1))+VALUE('Khóa k1-16'!K165),2)</f>
        <v>1</v>
      </c>
      <c r="R50" s="3">
        <f>MOD(VALUE(MID(R0_L0!$C$84,'E(Ri) XOR ki+1'!$D45,1))+VALUE('Khóa k1-16'!L165),2)</f>
        <v>1</v>
      </c>
      <c r="S50" s="3">
        <f>MOD(VALUE(MID(R0_L0!$C$85,'E(Ri) XOR ki+1'!$D45,1))+VALUE('Khóa k1-16'!M165),2)</f>
        <v>1</v>
      </c>
      <c r="T50" s="3">
        <f>MOD(VALUE(MID(R0_L0!$C$86,'E(Ri) XOR ki+1'!$D45,1))+VALUE('Khóa k1-16'!N165),2)</f>
        <v>0</v>
      </c>
      <c r="U50" s="3">
        <f>MOD(VALUE(MID(R0_L0!$C$87,'E(Ri) XOR ki+1'!$D45,1))+VALUE('Khóa k1-16'!O165),2)</f>
        <v>0</v>
      </c>
      <c r="V50" s="3">
        <f>MOD(VALUE(MID(R0_L0!$C$88,'E(Ri) XOR ki+1'!$D45,1))+VALUE('Khóa k1-16'!P165),2)</f>
        <v>0</v>
      </c>
      <c r="W50" s="3">
        <f>MOD(VALUE(MID(R0_L0!$C$89,'E(Ri) XOR ki+1'!$D45,1))+VALUE('Khóa k1-16'!Q165),2)</f>
        <v>1</v>
      </c>
      <c r="X50" s="3">
        <f>MOD(VALUE(MID(R0_L0!$C$90,'E(Ri) XOR ki+1'!$D45,1))+VALUE('Khóa k1-16'!R165),2)</f>
        <v>1</v>
      </c>
    </row>
    <row r="51" spans="1:24" x14ac:dyDescent="0.25">
      <c r="A51" s="3">
        <v>48</v>
      </c>
      <c r="B51" s="3">
        <v>3</v>
      </c>
      <c r="C51" s="3" t="str">
        <f t="shared" si="0"/>
        <v>0</v>
      </c>
      <c r="D51" s="3">
        <v>1</v>
      </c>
      <c r="E51" s="3">
        <v>27</v>
      </c>
      <c r="G51" s="2">
        <v>43</v>
      </c>
      <c r="H51" s="3">
        <f>MOD(VALUE(MID($O$4,D46,1)) + VALUE('Khóa k1-16'!B166),2)</f>
        <v>1</v>
      </c>
      <c r="I51" s="3">
        <f>MOD(VALUE(MID(R0_L0!$C$75,'E(Ri) XOR ki+1'!D46,1))+VALUE('Khóa k1-16'!C166),2)</f>
        <v>0</v>
      </c>
      <c r="J51" s="3">
        <f>MOD(VALUE(MID(R0_L0!$C$76,'E(Ri) XOR ki+1'!$D46,1))+VALUE('Khóa k1-16'!D166),2)</f>
        <v>0</v>
      </c>
      <c r="K51" s="3">
        <f>MOD(VALUE(MID(R0_L0!$C$77,'E(Ri) XOR ki+1'!D46,1))+VALUE('Khóa k1-16'!E166),2)</f>
        <v>0</v>
      </c>
      <c r="L51" s="3">
        <f>MOD(VALUE(MID(R0_L0!$C$78,'E(Ri) XOR ki+1'!D46,1))+VALUE('Khóa k1-16'!F166),2)</f>
        <v>1</v>
      </c>
      <c r="M51" s="3">
        <f>MOD(VALUE(MID(R0_L0!$C$79,'E(Ri) XOR ki+1'!$D46,1))+VALUE('Khóa k1-16'!G166),2)</f>
        <v>1</v>
      </c>
      <c r="N51" s="3">
        <f>MOD(VALUE(MID(R0_L0!$C$80,'E(Ri) XOR ki+1'!$D46,1))+VALUE('Khóa k1-16'!H166),2)</f>
        <v>1</v>
      </c>
      <c r="O51" s="3">
        <f>MOD(VALUE(MID(R0_L0!$C$81,'E(Ri) XOR ki+1'!$D46,1))+VALUE('Khóa k1-16'!I166),2)</f>
        <v>1</v>
      </c>
      <c r="P51" s="3">
        <f>MOD(VALUE(MID(R0_L0!$C$82,'E(Ri) XOR ki+1'!$D46,1))+VALUE('Khóa k1-16'!J166),2)</f>
        <v>1</v>
      </c>
      <c r="Q51" s="3">
        <f>MOD(VALUE(MID(R0_L0!$C$83,'E(Ri) XOR ki+1'!$D46,1))+VALUE('Khóa k1-16'!K166),2)</f>
        <v>1</v>
      </c>
      <c r="R51" s="3">
        <f>MOD(VALUE(MID(R0_L0!$C$84,'E(Ri) XOR ki+1'!$D46,1))+VALUE('Khóa k1-16'!L166),2)</f>
        <v>1</v>
      </c>
      <c r="S51" s="3">
        <f>MOD(VALUE(MID(R0_L0!$C$85,'E(Ri) XOR ki+1'!$D46,1))+VALUE('Khóa k1-16'!M166),2)</f>
        <v>0</v>
      </c>
      <c r="T51" s="3">
        <f>MOD(VALUE(MID(R0_L0!$C$86,'E(Ri) XOR ki+1'!$D46,1))+VALUE('Khóa k1-16'!N166),2)</f>
        <v>1</v>
      </c>
      <c r="U51" s="3">
        <f>MOD(VALUE(MID(R0_L0!$C$87,'E(Ri) XOR ki+1'!$D46,1))+VALUE('Khóa k1-16'!O166),2)</f>
        <v>0</v>
      </c>
      <c r="V51" s="3">
        <f>MOD(VALUE(MID(R0_L0!$C$88,'E(Ri) XOR ki+1'!$D46,1))+VALUE('Khóa k1-16'!P166),2)</f>
        <v>1</v>
      </c>
      <c r="W51" s="3">
        <f>MOD(VALUE(MID(R0_L0!$C$89,'E(Ri) XOR ki+1'!$D46,1))+VALUE('Khóa k1-16'!Q166),2)</f>
        <v>0</v>
      </c>
      <c r="X51" s="3">
        <f>MOD(VALUE(MID(R0_L0!$C$90,'E(Ri) XOR ki+1'!$D46,1))+VALUE('Khóa k1-16'!R166),2)</f>
        <v>0</v>
      </c>
    </row>
    <row r="52" spans="1:24" x14ac:dyDescent="0.25">
      <c r="A52" s="3">
        <v>49</v>
      </c>
      <c r="B52" s="3">
        <v>61</v>
      </c>
      <c r="C52" s="3" t="str">
        <f t="shared" si="0"/>
        <v>1</v>
      </c>
      <c r="D52" s="3"/>
      <c r="E52" s="3">
        <v>34</v>
      </c>
      <c r="G52" s="2">
        <v>44</v>
      </c>
      <c r="H52" s="3">
        <f>MOD(VALUE(MID($O$4,D47,1)) + VALUE('Khóa k1-16'!B167),2)</f>
        <v>1</v>
      </c>
      <c r="I52" s="3">
        <f>MOD(VALUE(MID(R0_L0!$C$75,'E(Ri) XOR ki+1'!D47,1))+VALUE('Khóa k1-16'!C167),2)</f>
        <v>1</v>
      </c>
      <c r="J52" s="3">
        <f>MOD(VALUE(MID(R0_L0!$C$76,'E(Ri) XOR ki+1'!$D47,1))+VALUE('Khóa k1-16'!D167),2)</f>
        <v>1</v>
      </c>
      <c r="K52" s="3">
        <f>MOD(VALUE(MID(R0_L0!$C$77,'E(Ri) XOR ki+1'!D47,1))+VALUE('Khóa k1-16'!E167),2)</f>
        <v>0</v>
      </c>
      <c r="L52" s="3">
        <f>MOD(VALUE(MID(R0_L0!$C$78,'E(Ri) XOR ki+1'!D47,1))+VALUE('Khóa k1-16'!F167),2)</f>
        <v>0</v>
      </c>
      <c r="M52" s="3">
        <f>MOD(VALUE(MID(R0_L0!$C$79,'E(Ri) XOR ki+1'!$D47,1))+VALUE('Khóa k1-16'!G167),2)</f>
        <v>0</v>
      </c>
      <c r="N52" s="3">
        <f>MOD(VALUE(MID(R0_L0!$C$80,'E(Ri) XOR ki+1'!$D47,1))+VALUE('Khóa k1-16'!H167),2)</f>
        <v>0</v>
      </c>
      <c r="O52" s="3">
        <f>MOD(VALUE(MID(R0_L0!$C$81,'E(Ri) XOR ki+1'!$D47,1))+VALUE('Khóa k1-16'!I167),2)</f>
        <v>0</v>
      </c>
      <c r="P52" s="3">
        <f>MOD(VALUE(MID(R0_L0!$C$82,'E(Ri) XOR ki+1'!$D47,1))+VALUE('Khóa k1-16'!J167),2)</f>
        <v>0</v>
      </c>
      <c r="Q52" s="3">
        <f>MOD(VALUE(MID(R0_L0!$C$83,'E(Ri) XOR ki+1'!$D47,1))+VALUE('Khóa k1-16'!K167),2)</f>
        <v>1</v>
      </c>
      <c r="R52" s="3">
        <f>MOD(VALUE(MID(R0_L0!$C$84,'E(Ri) XOR ki+1'!$D47,1))+VALUE('Khóa k1-16'!L167),2)</f>
        <v>0</v>
      </c>
      <c r="S52" s="3">
        <f>MOD(VALUE(MID(R0_L0!$C$85,'E(Ri) XOR ki+1'!$D47,1))+VALUE('Khóa k1-16'!M167),2)</f>
        <v>1</v>
      </c>
      <c r="T52" s="3">
        <f>MOD(VALUE(MID(R0_L0!$C$86,'E(Ri) XOR ki+1'!$D47,1))+VALUE('Khóa k1-16'!N167),2)</f>
        <v>0</v>
      </c>
      <c r="U52" s="3">
        <f>MOD(VALUE(MID(R0_L0!$C$87,'E(Ri) XOR ki+1'!$D47,1))+VALUE('Khóa k1-16'!O167),2)</f>
        <v>0</v>
      </c>
      <c r="V52" s="3">
        <f>MOD(VALUE(MID(R0_L0!$C$88,'E(Ri) XOR ki+1'!$D47,1))+VALUE('Khóa k1-16'!P167),2)</f>
        <v>1</v>
      </c>
      <c r="W52" s="3">
        <f>MOD(VALUE(MID(R0_L0!$C$89,'E(Ri) XOR ki+1'!$D47,1))+VALUE('Khóa k1-16'!Q167),2)</f>
        <v>1</v>
      </c>
      <c r="X52" s="3">
        <f>MOD(VALUE(MID(R0_L0!$C$90,'E(Ri) XOR ki+1'!$D47,1))+VALUE('Khóa k1-16'!R167),2)</f>
        <v>1</v>
      </c>
    </row>
    <row r="53" spans="1:24" x14ac:dyDescent="0.25">
      <c r="A53" s="3">
        <v>50</v>
      </c>
      <c r="B53" s="3">
        <v>53</v>
      </c>
      <c r="C53" s="3" t="str">
        <f t="shared" si="0"/>
        <v>1</v>
      </c>
      <c r="D53" s="3"/>
      <c r="E53" s="3">
        <v>2</v>
      </c>
      <c r="G53" s="2">
        <v>45</v>
      </c>
      <c r="H53" s="3">
        <f>MOD(VALUE(MID($O$4,D48,1)) + VALUE('Khóa k1-16'!B168),2)</f>
        <v>0</v>
      </c>
      <c r="I53" s="3">
        <f>MOD(VALUE(MID(R0_L0!$C$75,'E(Ri) XOR ki+1'!D48,1))+VALUE('Khóa k1-16'!C168),2)</f>
        <v>0</v>
      </c>
      <c r="J53" s="3">
        <f>MOD(VALUE(MID(R0_L0!$C$76,'E(Ri) XOR ki+1'!$D48,1))+VALUE('Khóa k1-16'!D168),2)</f>
        <v>0</v>
      </c>
      <c r="K53" s="3">
        <f>MOD(VALUE(MID(R0_L0!$C$77,'E(Ri) XOR ki+1'!D48,1))+VALUE('Khóa k1-16'!E168),2)</f>
        <v>0</v>
      </c>
      <c r="L53" s="3">
        <f>MOD(VALUE(MID(R0_L0!$C$78,'E(Ri) XOR ki+1'!D48,1))+VALUE('Khóa k1-16'!F168),2)</f>
        <v>0</v>
      </c>
      <c r="M53" s="3">
        <f>MOD(VALUE(MID(R0_L0!$C$79,'E(Ri) XOR ki+1'!$D48,1))+VALUE('Khóa k1-16'!G168),2)</f>
        <v>1</v>
      </c>
      <c r="N53" s="3">
        <f>MOD(VALUE(MID(R0_L0!$C$80,'E(Ri) XOR ki+1'!$D48,1))+VALUE('Khóa k1-16'!H168),2)</f>
        <v>1</v>
      </c>
      <c r="O53" s="3">
        <f>MOD(VALUE(MID(R0_L0!$C$81,'E(Ri) XOR ki+1'!$D48,1))+VALUE('Khóa k1-16'!I168),2)</f>
        <v>1</v>
      </c>
      <c r="P53" s="3">
        <f>MOD(VALUE(MID(R0_L0!$C$82,'E(Ri) XOR ki+1'!$D48,1))+VALUE('Khóa k1-16'!J168),2)</f>
        <v>0</v>
      </c>
      <c r="Q53" s="3">
        <f>MOD(VALUE(MID(R0_L0!$C$83,'E(Ri) XOR ki+1'!$D48,1))+VALUE('Khóa k1-16'!K168),2)</f>
        <v>1</v>
      </c>
      <c r="R53" s="3">
        <f>MOD(VALUE(MID(R0_L0!$C$84,'E(Ri) XOR ki+1'!$D48,1))+VALUE('Khóa k1-16'!L168),2)</f>
        <v>1</v>
      </c>
      <c r="S53" s="3">
        <f>MOD(VALUE(MID(R0_L0!$C$85,'E(Ri) XOR ki+1'!$D48,1))+VALUE('Khóa k1-16'!M168),2)</f>
        <v>0</v>
      </c>
      <c r="T53" s="3">
        <f>MOD(VALUE(MID(R0_L0!$C$86,'E(Ri) XOR ki+1'!$D48,1))+VALUE('Khóa k1-16'!N168),2)</f>
        <v>0</v>
      </c>
      <c r="U53" s="3">
        <f>MOD(VALUE(MID(R0_L0!$C$87,'E(Ri) XOR ki+1'!$D48,1))+VALUE('Khóa k1-16'!O168),2)</f>
        <v>0</v>
      </c>
      <c r="V53" s="3">
        <f>MOD(VALUE(MID(R0_L0!$C$88,'E(Ri) XOR ki+1'!$D48,1))+VALUE('Khóa k1-16'!P168),2)</f>
        <v>1</v>
      </c>
      <c r="W53" s="3">
        <f>MOD(VALUE(MID(R0_L0!$C$89,'E(Ri) XOR ki+1'!$D48,1))+VALUE('Khóa k1-16'!Q168),2)</f>
        <v>1</v>
      </c>
      <c r="X53" s="3">
        <f>MOD(VALUE(MID(R0_L0!$C$90,'E(Ri) XOR ki+1'!$D48,1))+VALUE('Khóa k1-16'!R168),2)</f>
        <v>0</v>
      </c>
    </row>
    <row r="54" spans="1:24" x14ac:dyDescent="0.25">
      <c r="A54" s="3">
        <v>51</v>
      </c>
      <c r="B54" s="3">
        <v>45</v>
      </c>
      <c r="C54" s="3" t="str">
        <f t="shared" si="0"/>
        <v>1</v>
      </c>
      <c r="D54" s="3"/>
      <c r="E54" s="3">
        <v>42</v>
      </c>
      <c r="G54" s="2">
        <v>46</v>
      </c>
      <c r="H54" s="3">
        <f>MOD(VALUE(MID($O$4,D49,1)) + VALUE('Khóa k1-16'!B169),2)</f>
        <v>0</v>
      </c>
      <c r="I54" s="3">
        <f>MOD(VALUE(MID(R0_L0!$C$75,'E(Ri) XOR ki+1'!D49,1))+VALUE('Khóa k1-16'!C169),2)</f>
        <v>0</v>
      </c>
      <c r="J54" s="3">
        <f>MOD(VALUE(MID(R0_L0!$C$76,'E(Ri) XOR ki+1'!$D49,1))+VALUE('Khóa k1-16'!D169),2)</f>
        <v>0</v>
      </c>
      <c r="K54" s="3">
        <f>MOD(VALUE(MID(R0_L0!$C$77,'E(Ri) XOR ki+1'!D49,1))+VALUE('Khóa k1-16'!E169),2)</f>
        <v>1</v>
      </c>
      <c r="L54" s="3">
        <f>MOD(VALUE(MID(R0_L0!$C$78,'E(Ri) XOR ki+1'!D49,1))+VALUE('Khóa k1-16'!F169),2)</f>
        <v>1</v>
      </c>
      <c r="M54" s="3">
        <f>MOD(VALUE(MID(R0_L0!$C$79,'E(Ri) XOR ki+1'!$D49,1))+VALUE('Khóa k1-16'!G169),2)</f>
        <v>1</v>
      </c>
      <c r="N54" s="3">
        <f>MOD(VALUE(MID(R0_L0!$C$80,'E(Ri) XOR ki+1'!$D49,1))+VALUE('Khóa k1-16'!H169),2)</f>
        <v>0</v>
      </c>
      <c r="O54" s="3">
        <f>MOD(VALUE(MID(R0_L0!$C$81,'E(Ri) XOR ki+1'!$D49,1))+VALUE('Khóa k1-16'!I169),2)</f>
        <v>1</v>
      </c>
      <c r="P54" s="3">
        <f>MOD(VALUE(MID(R0_L0!$C$82,'E(Ri) XOR ki+1'!$D49,1))+VALUE('Khóa k1-16'!J169),2)</f>
        <v>1</v>
      </c>
      <c r="Q54" s="3">
        <f>MOD(VALUE(MID(R0_L0!$C$83,'E(Ri) XOR ki+1'!$D49,1))+VALUE('Khóa k1-16'!K169),2)</f>
        <v>0</v>
      </c>
      <c r="R54" s="3">
        <f>MOD(VALUE(MID(R0_L0!$C$84,'E(Ri) XOR ki+1'!$D49,1))+VALUE('Khóa k1-16'!L169),2)</f>
        <v>0</v>
      </c>
      <c r="S54" s="3">
        <f>MOD(VALUE(MID(R0_L0!$C$85,'E(Ri) XOR ki+1'!$D49,1))+VALUE('Khóa k1-16'!M169),2)</f>
        <v>1</v>
      </c>
      <c r="T54" s="3">
        <f>MOD(VALUE(MID(R0_L0!$C$86,'E(Ri) XOR ki+1'!$D49,1))+VALUE('Khóa k1-16'!N169),2)</f>
        <v>0</v>
      </c>
      <c r="U54" s="3">
        <f>MOD(VALUE(MID(R0_L0!$C$87,'E(Ri) XOR ki+1'!$D49,1))+VALUE('Khóa k1-16'!O169),2)</f>
        <v>0</v>
      </c>
      <c r="V54" s="3">
        <f>MOD(VALUE(MID(R0_L0!$C$88,'E(Ri) XOR ki+1'!$D49,1))+VALUE('Khóa k1-16'!P169),2)</f>
        <v>0</v>
      </c>
      <c r="W54" s="3">
        <f>MOD(VALUE(MID(R0_L0!$C$89,'E(Ri) XOR ki+1'!$D49,1))+VALUE('Khóa k1-16'!Q169),2)</f>
        <v>1</v>
      </c>
      <c r="X54" s="3">
        <f>MOD(VALUE(MID(R0_L0!$C$90,'E(Ri) XOR ki+1'!$D49,1))+VALUE('Khóa k1-16'!R169),2)</f>
        <v>1</v>
      </c>
    </row>
    <row r="55" spans="1:24" x14ac:dyDescent="0.25">
      <c r="A55" s="3">
        <v>52</v>
      </c>
      <c r="B55" s="3">
        <v>37</v>
      </c>
      <c r="C55" s="3" t="str">
        <f t="shared" si="0"/>
        <v>1</v>
      </c>
      <c r="D55" s="3"/>
      <c r="E55" s="3">
        <v>10</v>
      </c>
      <c r="G55" s="2">
        <v>47</v>
      </c>
      <c r="H55" s="3">
        <f>MOD(VALUE(MID($O$4,D50,1)) + VALUE('Khóa k1-16'!B170),2)</f>
        <v>0</v>
      </c>
      <c r="I55" s="3">
        <f>MOD(VALUE(MID(R0_L0!$C$75,'E(Ri) XOR ki+1'!D50,1))+VALUE('Khóa k1-16'!C170),2)</f>
        <v>1</v>
      </c>
      <c r="J55" s="3">
        <f>MOD(VALUE(MID(R0_L0!$C$76,'E(Ri) XOR ki+1'!$D50,1))+VALUE('Khóa k1-16'!D170),2)</f>
        <v>0</v>
      </c>
      <c r="K55" s="3">
        <f>MOD(VALUE(MID(R0_L0!$C$77,'E(Ri) XOR ki+1'!D50,1))+VALUE('Khóa k1-16'!E170),2)</f>
        <v>1</v>
      </c>
      <c r="L55" s="3">
        <f>MOD(VALUE(MID(R0_L0!$C$78,'E(Ri) XOR ki+1'!D50,1))+VALUE('Khóa k1-16'!F170),2)</f>
        <v>0</v>
      </c>
      <c r="M55" s="3">
        <f>MOD(VALUE(MID(R0_L0!$C$79,'E(Ri) XOR ki+1'!$D50,1))+VALUE('Khóa k1-16'!G170),2)</f>
        <v>1</v>
      </c>
      <c r="N55" s="3">
        <f>MOD(VALUE(MID(R0_L0!$C$80,'E(Ri) XOR ki+1'!$D50,1))+VALUE('Khóa k1-16'!H170),2)</f>
        <v>1</v>
      </c>
      <c r="O55" s="3">
        <f>MOD(VALUE(MID(R0_L0!$C$81,'E(Ri) XOR ki+1'!$D50,1))+VALUE('Khóa k1-16'!I170),2)</f>
        <v>1</v>
      </c>
      <c r="P55" s="3">
        <f>MOD(VALUE(MID(R0_L0!$C$82,'E(Ri) XOR ki+1'!$D50,1))+VALUE('Khóa k1-16'!J170),2)</f>
        <v>0</v>
      </c>
      <c r="Q55" s="3">
        <f>MOD(VALUE(MID(R0_L0!$C$83,'E(Ri) XOR ki+1'!$D50,1))+VALUE('Khóa k1-16'!K170),2)</f>
        <v>1</v>
      </c>
      <c r="R55" s="3">
        <f>MOD(VALUE(MID(R0_L0!$C$84,'E(Ri) XOR ki+1'!$D50,1))+VALUE('Khóa k1-16'!L170),2)</f>
        <v>1</v>
      </c>
      <c r="S55" s="3">
        <f>MOD(VALUE(MID(R0_L0!$C$85,'E(Ri) XOR ki+1'!$D50,1))+VALUE('Khóa k1-16'!M170),2)</f>
        <v>0</v>
      </c>
      <c r="T55" s="3">
        <f>MOD(VALUE(MID(R0_L0!$C$86,'E(Ri) XOR ki+1'!$D50,1))+VALUE('Khóa k1-16'!N170),2)</f>
        <v>1</v>
      </c>
      <c r="U55" s="3">
        <f>MOD(VALUE(MID(R0_L0!$C$87,'E(Ri) XOR ki+1'!$D50,1))+VALUE('Khóa k1-16'!O170),2)</f>
        <v>0</v>
      </c>
      <c r="V55" s="3">
        <f>MOD(VALUE(MID(R0_L0!$C$88,'E(Ri) XOR ki+1'!$D50,1))+VALUE('Khóa k1-16'!P170),2)</f>
        <v>1</v>
      </c>
      <c r="W55" s="3">
        <f>MOD(VALUE(MID(R0_L0!$C$89,'E(Ri) XOR ki+1'!$D50,1))+VALUE('Khóa k1-16'!Q170),2)</f>
        <v>0</v>
      </c>
      <c r="X55" s="3">
        <f>MOD(VALUE(MID(R0_L0!$C$90,'E(Ri) XOR ki+1'!$D50,1))+VALUE('Khóa k1-16'!R170),2)</f>
        <v>0</v>
      </c>
    </row>
    <row r="56" spans="1:24" x14ac:dyDescent="0.25">
      <c r="A56" s="3">
        <v>53</v>
      </c>
      <c r="B56" s="3">
        <v>29</v>
      </c>
      <c r="C56" s="3" t="str">
        <f t="shared" si="0"/>
        <v>0</v>
      </c>
      <c r="D56" s="3"/>
      <c r="E56" s="3">
        <v>50</v>
      </c>
      <c r="G56" s="2">
        <v>48</v>
      </c>
      <c r="H56" s="3">
        <f>MOD(VALUE(MID($O$4,D51,1)) + VALUE('Khóa k1-16'!B171),2)</f>
        <v>0</v>
      </c>
      <c r="I56" s="3">
        <f>MOD(VALUE(MID(R0_L0!$C$75,'E(Ri) XOR ki+1'!D51,1))+VALUE('Khóa k1-16'!C171),2)</f>
        <v>0</v>
      </c>
      <c r="J56" s="3">
        <f>MOD(VALUE(MID(R0_L0!$C$76,'E(Ri) XOR ki+1'!$D51,1))+VALUE('Khóa k1-16'!D171),2)</f>
        <v>0</v>
      </c>
      <c r="K56" s="3">
        <f>MOD(VALUE(MID(R0_L0!$C$77,'E(Ri) XOR ki+1'!D51,1))+VALUE('Khóa k1-16'!E171),2)</f>
        <v>0</v>
      </c>
      <c r="L56" s="3">
        <f>MOD(VALUE(MID(R0_L0!$C$78,'E(Ri) XOR ki+1'!D51,1))+VALUE('Khóa k1-16'!F171),2)</f>
        <v>1</v>
      </c>
      <c r="M56" s="3">
        <f>MOD(VALUE(MID(R0_L0!$C$79,'E(Ri) XOR ki+1'!$D51,1))+VALUE('Khóa k1-16'!G171),2)</f>
        <v>1</v>
      </c>
      <c r="N56" s="3">
        <f>MOD(VALUE(MID(R0_L0!$C$80,'E(Ri) XOR ki+1'!$D51,1))+VALUE('Khóa k1-16'!H171),2)</f>
        <v>0</v>
      </c>
      <c r="O56" s="3">
        <f>MOD(VALUE(MID(R0_L0!$C$81,'E(Ri) XOR ki+1'!$D51,1))+VALUE('Khóa k1-16'!I171),2)</f>
        <v>1</v>
      </c>
      <c r="P56" s="3">
        <f>MOD(VALUE(MID(R0_L0!$C$82,'E(Ri) XOR ki+1'!$D51,1))+VALUE('Khóa k1-16'!J171),2)</f>
        <v>1</v>
      </c>
      <c r="Q56" s="3">
        <f>MOD(VALUE(MID(R0_L0!$C$83,'E(Ri) XOR ki+1'!$D51,1))+VALUE('Khóa k1-16'!K171),2)</f>
        <v>1</v>
      </c>
      <c r="R56" s="3">
        <f>MOD(VALUE(MID(R0_L0!$C$84,'E(Ri) XOR ki+1'!$D51,1))+VALUE('Khóa k1-16'!L171),2)</f>
        <v>1</v>
      </c>
      <c r="S56" s="3">
        <f>MOD(VALUE(MID(R0_L0!$C$85,'E(Ri) XOR ki+1'!$D51,1))+VALUE('Khóa k1-16'!M171),2)</f>
        <v>1</v>
      </c>
      <c r="T56" s="3">
        <f>MOD(VALUE(MID(R0_L0!$C$86,'E(Ri) XOR ki+1'!$D51,1))+VALUE('Khóa k1-16'!N171),2)</f>
        <v>0</v>
      </c>
      <c r="U56" s="3">
        <f>MOD(VALUE(MID(R0_L0!$C$87,'E(Ri) XOR ki+1'!$D51,1))+VALUE('Khóa k1-16'!O171),2)</f>
        <v>1</v>
      </c>
      <c r="V56" s="3">
        <f>MOD(VALUE(MID(R0_L0!$C$88,'E(Ri) XOR ki+1'!$D51,1))+VALUE('Khóa k1-16'!P171),2)</f>
        <v>0</v>
      </c>
      <c r="W56" s="3">
        <f>MOD(VALUE(MID(R0_L0!$C$89,'E(Ri) XOR ki+1'!$D51,1))+VALUE('Khóa k1-16'!Q171),2)</f>
        <v>0</v>
      </c>
      <c r="X56" s="3">
        <f>MOD(VALUE(MID(R0_L0!$C$90,'E(Ri) XOR ki+1'!$D51,1))+VALUE('Khóa k1-16'!R171),2)</f>
        <v>0</v>
      </c>
    </row>
    <row r="57" spans="1:24" x14ac:dyDescent="0.25">
      <c r="A57" s="3">
        <v>54</v>
      </c>
      <c r="B57" s="3">
        <v>21</v>
      </c>
      <c r="C57" s="3" t="str">
        <f t="shared" si="0"/>
        <v>0</v>
      </c>
      <c r="D57" s="3"/>
      <c r="E57" s="3">
        <v>18</v>
      </c>
    </row>
    <row r="58" spans="1:24" x14ac:dyDescent="0.25">
      <c r="A58" s="3">
        <v>55</v>
      </c>
      <c r="B58" s="3">
        <v>13</v>
      </c>
      <c r="C58" s="3" t="str">
        <f t="shared" si="0"/>
        <v>0</v>
      </c>
      <c r="D58" s="3"/>
      <c r="E58" s="3">
        <v>58</v>
      </c>
    </row>
    <row r="59" spans="1:24" ht="18.75" x14ac:dyDescent="0.3">
      <c r="A59" s="3">
        <v>56</v>
      </c>
      <c r="B59" s="3">
        <v>5</v>
      </c>
      <c r="C59" s="3" t="str">
        <f t="shared" si="0"/>
        <v>0</v>
      </c>
      <c r="D59" s="3"/>
      <c r="E59" s="3">
        <v>26</v>
      </c>
      <c r="G59" s="14" t="s">
        <v>118</v>
      </c>
      <c r="H59" s="14"/>
      <c r="I59" s="14"/>
    </row>
    <row r="60" spans="1:24" x14ac:dyDescent="0.25">
      <c r="A60" s="3">
        <v>57</v>
      </c>
      <c r="B60" s="3">
        <v>63</v>
      </c>
      <c r="C60" s="3" t="str">
        <f t="shared" si="0"/>
        <v>1</v>
      </c>
      <c r="D60" s="3"/>
      <c r="E60" s="3">
        <v>33</v>
      </c>
    </row>
    <row r="61" spans="1:24" x14ac:dyDescent="0.25">
      <c r="A61" s="3">
        <v>58</v>
      </c>
      <c r="B61" s="3">
        <v>55</v>
      </c>
      <c r="C61" s="3" t="str">
        <f t="shared" si="0"/>
        <v>0</v>
      </c>
      <c r="D61" s="3"/>
      <c r="E61" s="3">
        <v>1</v>
      </c>
      <c r="G61" s="2" t="s">
        <v>115</v>
      </c>
      <c r="H61" s="2">
        <v>1</v>
      </c>
      <c r="I61" s="2">
        <v>2</v>
      </c>
      <c r="J61" s="2">
        <v>3</v>
      </c>
      <c r="K61" s="2">
        <v>4</v>
      </c>
      <c r="L61" s="2">
        <v>5</v>
      </c>
      <c r="M61" s="2">
        <v>6</v>
      </c>
      <c r="N61" s="2">
        <v>7</v>
      </c>
      <c r="O61" s="2">
        <v>8</v>
      </c>
      <c r="P61" s="2">
        <v>9</v>
      </c>
      <c r="Q61" s="2">
        <v>10</v>
      </c>
      <c r="R61" s="2">
        <v>11</v>
      </c>
      <c r="S61" s="2">
        <v>12</v>
      </c>
      <c r="T61" s="2">
        <v>13</v>
      </c>
      <c r="U61" s="2">
        <v>14</v>
      </c>
      <c r="V61" s="2">
        <v>15</v>
      </c>
      <c r="W61" s="2">
        <v>16</v>
      </c>
    </row>
    <row r="62" spans="1:24" x14ac:dyDescent="0.25">
      <c r="A62" s="3">
        <v>59</v>
      </c>
      <c r="B62" s="3">
        <v>47</v>
      </c>
      <c r="C62" s="3" t="str">
        <f t="shared" si="0"/>
        <v>1</v>
      </c>
      <c r="D62" s="3"/>
      <c r="E62" s="3">
        <v>41</v>
      </c>
      <c r="G62" s="2">
        <v>1</v>
      </c>
      <c r="H62" s="3" t="str">
        <f t="shared" ref="H62:W62" si="1">MID(_xlfn.TEXTJOIN("",TRUE,H$9:H$56), 1 + 6*($G62-1), 6)</f>
        <v>011010</v>
      </c>
      <c r="I62" s="3" t="str">
        <f t="shared" si="1"/>
        <v>011011</v>
      </c>
      <c r="J62" s="3" t="str">
        <f t="shared" si="1"/>
        <v>111000</v>
      </c>
      <c r="K62" s="3" t="str">
        <f t="shared" si="1"/>
        <v>000110</v>
      </c>
      <c r="L62" s="3" t="str">
        <f t="shared" si="1"/>
        <v>101100</v>
      </c>
      <c r="M62" s="3" t="str">
        <f t="shared" si="1"/>
        <v>111001</v>
      </c>
      <c r="N62" s="3" t="str">
        <f t="shared" si="1"/>
        <v>011101</v>
      </c>
      <c r="O62" s="3" t="str">
        <f t="shared" si="1"/>
        <v>010101</v>
      </c>
      <c r="P62" s="3" t="str">
        <f t="shared" si="1"/>
        <v>111011</v>
      </c>
      <c r="Q62" s="3" t="str">
        <f t="shared" si="1"/>
        <v>111011</v>
      </c>
      <c r="R62" s="3" t="str">
        <f t="shared" si="1"/>
        <v>011001</v>
      </c>
      <c r="S62" s="3" t="str">
        <f t="shared" si="1"/>
        <v>010100</v>
      </c>
      <c r="T62" s="3" t="str">
        <f t="shared" si="1"/>
        <v>011010</v>
      </c>
      <c r="U62" s="3" t="str">
        <f t="shared" si="1"/>
        <v>010010</v>
      </c>
      <c r="V62" s="3" t="str">
        <f t="shared" si="1"/>
        <v>011100</v>
      </c>
      <c r="W62" s="3" t="str">
        <f t="shared" si="1"/>
        <v>011111</v>
      </c>
    </row>
    <row r="63" spans="1:24" x14ac:dyDescent="0.25">
      <c r="A63" s="3">
        <v>60</v>
      </c>
      <c r="B63" s="3">
        <v>39</v>
      </c>
      <c r="C63" s="3" t="str">
        <f t="shared" si="0"/>
        <v>0</v>
      </c>
      <c r="D63" s="3"/>
      <c r="E63" s="3">
        <v>9</v>
      </c>
      <c r="G63" s="2">
        <v>2</v>
      </c>
      <c r="H63" s="3" t="str">
        <f t="shared" ref="H63:W69" si="2">MID(_xlfn.TEXTJOIN("",TRUE,H$9:H$56), 1 + 6*($G63-1), 6)</f>
        <v>110000</v>
      </c>
      <c r="I63" s="3" t="str">
        <f t="shared" si="2"/>
        <v>000100</v>
      </c>
      <c r="J63" s="3" t="str">
        <f t="shared" si="2"/>
        <v>001111</v>
      </c>
      <c r="K63" s="3" t="str">
        <f t="shared" si="2"/>
        <v>000000</v>
      </c>
      <c r="L63" s="3" t="str">
        <f t="shared" si="2"/>
        <v>110110</v>
      </c>
      <c r="M63" s="3" t="str">
        <f t="shared" si="2"/>
        <v>100000</v>
      </c>
      <c r="N63" s="3" t="str">
        <f t="shared" si="2"/>
        <v>101111</v>
      </c>
      <c r="O63" s="3" t="str">
        <f t="shared" si="2"/>
        <v>111110</v>
      </c>
      <c r="P63" s="3" t="str">
        <f t="shared" si="2"/>
        <v>110011</v>
      </c>
      <c r="Q63" s="3" t="str">
        <f t="shared" si="2"/>
        <v>101111</v>
      </c>
      <c r="R63" s="3" t="str">
        <f t="shared" si="2"/>
        <v>000001</v>
      </c>
      <c r="S63" s="3" t="str">
        <f t="shared" si="2"/>
        <v>011110</v>
      </c>
      <c r="T63" s="3" t="str">
        <f t="shared" si="2"/>
        <v>101000</v>
      </c>
      <c r="U63" s="3" t="str">
        <f t="shared" si="2"/>
        <v>001010</v>
      </c>
      <c r="V63" s="3" t="str">
        <f t="shared" si="2"/>
        <v>000110</v>
      </c>
      <c r="W63" s="3" t="str">
        <f t="shared" si="2"/>
        <v>101111</v>
      </c>
    </row>
    <row r="64" spans="1:24" x14ac:dyDescent="0.25">
      <c r="A64" s="3">
        <v>61</v>
      </c>
      <c r="B64" s="3">
        <v>31</v>
      </c>
      <c r="C64" s="3" t="str">
        <f t="shared" si="0"/>
        <v>1</v>
      </c>
      <c r="D64" s="3"/>
      <c r="E64" s="3">
        <v>49</v>
      </c>
      <c r="G64" s="2">
        <v>3</v>
      </c>
      <c r="H64" s="3" t="str">
        <f t="shared" si="2"/>
        <v>000001</v>
      </c>
      <c r="I64" s="3" t="str">
        <f t="shared" si="2"/>
        <v>011110</v>
      </c>
      <c r="J64" s="3" t="str">
        <f t="shared" si="2"/>
        <v>110001</v>
      </c>
      <c r="K64" s="3" t="str">
        <f t="shared" si="2"/>
        <v>010101</v>
      </c>
      <c r="L64" s="3" t="str">
        <f t="shared" si="2"/>
        <v>111010</v>
      </c>
      <c r="M64" s="3" t="str">
        <f t="shared" si="2"/>
        <v>110000</v>
      </c>
      <c r="N64" s="3" t="str">
        <f t="shared" si="2"/>
        <v>100000</v>
      </c>
      <c r="O64" s="3" t="str">
        <f t="shared" si="2"/>
        <v>001110</v>
      </c>
      <c r="P64" s="3" t="str">
        <f t="shared" si="2"/>
        <v>000010</v>
      </c>
      <c r="Q64" s="3" t="str">
        <f t="shared" si="2"/>
        <v>000011</v>
      </c>
      <c r="R64" s="3" t="str">
        <f t="shared" si="2"/>
        <v>110000</v>
      </c>
      <c r="S64" s="3" t="str">
        <f t="shared" si="2"/>
        <v>010111</v>
      </c>
      <c r="T64" s="3" t="str">
        <f t="shared" si="2"/>
        <v>010001</v>
      </c>
      <c r="U64" s="3" t="str">
        <f t="shared" si="2"/>
        <v>100001</v>
      </c>
      <c r="V64" s="3" t="str">
        <f t="shared" si="2"/>
        <v>111111</v>
      </c>
      <c r="W64" s="3" t="str">
        <f t="shared" si="2"/>
        <v>111100</v>
      </c>
    </row>
    <row r="65" spans="1:23" x14ac:dyDescent="0.25">
      <c r="A65" s="3">
        <v>62</v>
      </c>
      <c r="B65" s="3">
        <v>23</v>
      </c>
      <c r="C65" s="3" t="str">
        <f t="shared" si="0"/>
        <v>0</v>
      </c>
      <c r="D65" s="3"/>
      <c r="E65" s="3">
        <v>17</v>
      </c>
      <c r="G65" s="2">
        <v>4</v>
      </c>
      <c r="H65" s="3" t="str">
        <f t="shared" si="2"/>
        <v>000110</v>
      </c>
      <c r="I65" s="3" t="str">
        <f t="shared" si="2"/>
        <v>000110</v>
      </c>
      <c r="J65" s="3" t="str">
        <f t="shared" si="2"/>
        <v>110010</v>
      </c>
      <c r="K65" s="3" t="str">
        <f t="shared" si="2"/>
        <v>111011</v>
      </c>
      <c r="L65" s="3" t="str">
        <f t="shared" si="2"/>
        <v>101101</v>
      </c>
      <c r="M65" s="3" t="str">
        <f t="shared" si="2"/>
        <v>010011</v>
      </c>
      <c r="N65" s="3" t="str">
        <f t="shared" si="2"/>
        <v>010101</v>
      </c>
      <c r="O65" s="3" t="str">
        <f t="shared" si="2"/>
        <v>010101</v>
      </c>
      <c r="P65" s="3" t="str">
        <f t="shared" si="2"/>
        <v>110010</v>
      </c>
      <c r="Q65" s="3" t="str">
        <f t="shared" si="2"/>
        <v>100100</v>
      </c>
      <c r="R65" s="3" t="str">
        <f t="shared" si="2"/>
        <v>110000</v>
      </c>
      <c r="S65" s="3" t="str">
        <f t="shared" si="2"/>
        <v>111010</v>
      </c>
      <c r="T65" s="3" t="str">
        <f t="shared" si="2"/>
        <v>111101</v>
      </c>
      <c r="U65" s="3" t="str">
        <f t="shared" si="2"/>
        <v>000100</v>
      </c>
      <c r="V65" s="3" t="str">
        <f t="shared" si="2"/>
        <v>010001</v>
      </c>
      <c r="W65" s="3" t="str">
        <f t="shared" si="2"/>
        <v>000110</v>
      </c>
    </row>
    <row r="66" spans="1:23" x14ac:dyDescent="0.25">
      <c r="A66" s="3">
        <v>63</v>
      </c>
      <c r="B66" s="3">
        <v>15</v>
      </c>
      <c r="C66" s="3" t="str">
        <f t="shared" si="0"/>
        <v>1</v>
      </c>
      <c r="D66" s="3"/>
      <c r="E66" s="3">
        <v>57</v>
      </c>
      <c r="G66" s="2">
        <v>5</v>
      </c>
      <c r="H66" s="3" t="str">
        <f t="shared" si="2"/>
        <v>101000</v>
      </c>
      <c r="I66" s="3" t="str">
        <f t="shared" si="2"/>
        <v>111100</v>
      </c>
      <c r="J66" s="3" t="str">
        <f t="shared" si="2"/>
        <v>100010</v>
      </c>
      <c r="K66" s="3" t="str">
        <f t="shared" si="2"/>
        <v>111010</v>
      </c>
      <c r="L66" s="3" t="str">
        <f t="shared" si="2"/>
        <v>100010</v>
      </c>
      <c r="M66" s="3" t="str">
        <f t="shared" si="2"/>
        <v>011000</v>
      </c>
      <c r="N66" s="3" t="str">
        <f t="shared" si="2"/>
        <v>000000</v>
      </c>
      <c r="O66" s="3" t="str">
        <f t="shared" si="2"/>
        <v>001000</v>
      </c>
      <c r="P66" s="3" t="str">
        <f t="shared" si="2"/>
        <v>010110</v>
      </c>
      <c r="Q66" s="3" t="str">
        <f t="shared" si="2"/>
        <v>101011</v>
      </c>
      <c r="R66" s="3" t="str">
        <f t="shared" si="2"/>
        <v>111101</v>
      </c>
      <c r="S66" s="3" t="str">
        <f t="shared" si="2"/>
        <v>101100</v>
      </c>
      <c r="T66" s="3" t="str">
        <f t="shared" si="2"/>
        <v>011000</v>
      </c>
      <c r="U66" s="3" t="str">
        <f t="shared" si="2"/>
        <v>011000</v>
      </c>
      <c r="V66" s="3" t="str">
        <f t="shared" si="2"/>
        <v>000111</v>
      </c>
      <c r="W66" s="3" t="str">
        <f t="shared" si="2"/>
        <v>110100</v>
      </c>
    </row>
    <row r="67" spans="1:23" x14ac:dyDescent="0.25">
      <c r="A67" s="3">
        <v>64</v>
      </c>
      <c r="B67" s="3">
        <v>7</v>
      </c>
      <c r="C67" s="3" t="str">
        <f t="shared" si="0"/>
        <v>0</v>
      </c>
      <c r="D67" s="3"/>
      <c r="E67" s="3">
        <v>25</v>
      </c>
      <c r="G67" s="2">
        <v>6</v>
      </c>
      <c r="H67" s="3" t="str">
        <f t="shared" si="2"/>
        <v>010101</v>
      </c>
      <c r="I67" s="3" t="str">
        <f t="shared" si="2"/>
        <v>000101</v>
      </c>
      <c r="J67" s="3" t="str">
        <f t="shared" si="2"/>
        <v>110001</v>
      </c>
      <c r="K67" s="3" t="str">
        <f t="shared" si="2"/>
        <v>001110</v>
      </c>
      <c r="L67" s="3" t="str">
        <f t="shared" si="2"/>
        <v>100100</v>
      </c>
      <c r="M67" s="3" t="str">
        <f t="shared" si="2"/>
        <v>110101</v>
      </c>
      <c r="N67" s="3" t="str">
        <f t="shared" si="2"/>
        <v>000010</v>
      </c>
      <c r="O67" s="3" t="str">
        <f t="shared" si="2"/>
        <v>110000</v>
      </c>
      <c r="P67" s="3" t="str">
        <f t="shared" si="2"/>
        <v>001110</v>
      </c>
      <c r="Q67" s="3" t="str">
        <f t="shared" si="2"/>
        <v>001110</v>
      </c>
      <c r="R67" s="3" t="str">
        <f t="shared" si="2"/>
        <v>111100</v>
      </c>
      <c r="S67" s="3" t="str">
        <f t="shared" si="2"/>
        <v>001000</v>
      </c>
      <c r="T67" s="3" t="str">
        <f t="shared" si="2"/>
        <v>011011</v>
      </c>
      <c r="U67" s="3" t="str">
        <f t="shared" si="2"/>
        <v>110000</v>
      </c>
      <c r="V67" s="3" t="str">
        <f t="shared" si="2"/>
        <v>110110</v>
      </c>
      <c r="W67" s="3" t="str">
        <f t="shared" si="2"/>
        <v>110000</v>
      </c>
    </row>
    <row r="68" spans="1:23" x14ac:dyDescent="0.25">
      <c r="G68" s="2">
        <v>7</v>
      </c>
      <c r="H68" s="3" t="str">
        <f t="shared" si="2"/>
        <v>110011</v>
      </c>
      <c r="I68" s="3" t="str">
        <f t="shared" si="2"/>
        <v>011010</v>
      </c>
      <c r="J68" s="3" t="str">
        <f t="shared" si="2"/>
        <v>000111</v>
      </c>
      <c r="K68" s="3" t="str">
        <f t="shared" si="2"/>
        <v>111000</v>
      </c>
      <c r="L68" s="3" t="str">
        <f t="shared" si="2"/>
        <v>111001</v>
      </c>
      <c r="M68" s="3" t="str">
        <f t="shared" si="2"/>
        <v>001011</v>
      </c>
      <c r="N68" s="3" t="str">
        <f t="shared" si="2"/>
        <v>010101</v>
      </c>
      <c r="O68" s="3" t="str">
        <f t="shared" si="2"/>
        <v>110100</v>
      </c>
      <c r="P68" s="3" t="str">
        <f t="shared" si="2"/>
        <v>110001</v>
      </c>
      <c r="Q68" s="3" t="str">
        <f t="shared" si="2"/>
        <v>001001</v>
      </c>
      <c r="R68" s="3" t="str">
        <f t="shared" si="2"/>
        <v>101011</v>
      </c>
      <c r="S68" s="3" t="str">
        <f t="shared" si="2"/>
        <v>100111</v>
      </c>
      <c r="T68" s="3" t="str">
        <f t="shared" si="2"/>
        <v>111010</v>
      </c>
      <c r="U68" s="3" t="str">
        <f t="shared" si="2"/>
        <v>100010</v>
      </c>
      <c r="V68" s="3" t="str">
        <f t="shared" si="2"/>
        <v>101110</v>
      </c>
      <c r="W68" s="3" t="str">
        <f t="shared" si="2"/>
        <v>110111</v>
      </c>
    </row>
    <row r="69" spans="1:23" x14ac:dyDescent="0.25">
      <c r="G69" s="2">
        <v>8</v>
      </c>
      <c r="H69" s="3" t="str">
        <f t="shared" si="2"/>
        <v>110000</v>
      </c>
      <c r="I69" s="3" t="str">
        <f t="shared" si="2"/>
        <v>010010</v>
      </c>
      <c r="J69" s="3" t="str">
        <f t="shared" si="2"/>
        <v>010000</v>
      </c>
      <c r="K69" s="3" t="str">
        <f t="shared" si="2"/>
        <v>000110</v>
      </c>
      <c r="L69" s="3" t="str">
        <f t="shared" si="2"/>
        <v>100101</v>
      </c>
      <c r="M69" s="3" t="str">
        <f t="shared" si="2"/>
        <v>101111</v>
      </c>
      <c r="N69" s="3" t="str">
        <f t="shared" si="2"/>
        <v>101010</v>
      </c>
      <c r="O69" s="3" t="str">
        <f t="shared" si="2"/>
        <v>101111</v>
      </c>
      <c r="P69" s="3" t="str">
        <f t="shared" si="2"/>
        <v>100101</v>
      </c>
      <c r="Q69" s="3" t="str">
        <f t="shared" si="2"/>
        <v>111011</v>
      </c>
      <c r="R69" s="3" t="str">
        <f t="shared" si="2"/>
        <v>101011</v>
      </c>
      <c r="S69" s="3" t="str">
        <f t="shared" si="2"/>
        <v>010101</v>
      </c>
      <c r="T69" s="3" t="str">
        <f t="shared" si="2"/>
        <v>100010</v>
      </c>
      <c r="U69" s="3" t="str">
        <f t="shared" si="2"/>
        <v>000001</v>
      </c>
      <c r="V69" s="3" t="str">
        <f t="shared" si="2"/>
        <v>111010</v>
      </c>
      <c r="W69" s="3" t="str">
        <f t="shared" si="2"/>
        <v>011100</v>
      </c>
    </row>
    <row r="71" spans="1:23" ht="18.75" x14ac:dyDescent="0.3">
      <c r="G71" s="14" t="s">
        <v>119</v>
      </c>
      <c r="H71" s="14"/>
      <c r="I71" s="14"/>
      <c r="J71" s="14"/>
    </row>
    <row r="73" spans="1:23" x14ac:dyDescent="0.25">
      <c r="G73" s="2" t="s">
        <v>115</v>
      </c>
      <c r="H73" s="2">
        <v>1</v>
      </c>
      <c r="I73" s="2">
        <v>2</v>
      </c>
      <c r="J73" s="2">
        <v>3</v>
      </c>
      <c r="K73" s="2">
        <v>4</v>
      </c>
      <c r="L73" s="2">
        <v>5</v>
      </c>
      <c r="M73" s="2">
        <v>6</v>
      </c>
      <c r="N73" s="2">
        <v>7</v>
      </c>
      <c r="O73" s="2">
        <v>8</v>
      </c>
      <c r="P73" s="2">
        <v>9</v>
      </c>
      <c r="Q73" s="2">
        <v>10</v>
      </c>
      <c r="R73" s="2">
        <v>11</v>
      </c>
      <c r="S73" s="2">
        <v>12</v>
      </c>
      <c r="T73" s="2">
        <v>13</v>
      </c>
      <c r="U73" s="2">
        <v>14</v>
      </c>
      <c r="V73" s="2">
        <v>15</v>
      </c>
      <c r="W73" s="2">
        <v>16</v>
      </c>
    </row>
    <row r="74" spans="1:23" x14ac:dyDescent="0.25">
      <c r="G74" s="2">
        <v>1</v>
      </c>
      <c r="H74" s="3" t="str">
        <f>DEC2BIN(INDEX('S-boxes'!$B$2:$Q$5,BIN2DEC(LEFT('E(Ri) XOR ki+1'!H62,1)&amp;RIGHT('E(Ri) XOR ki+1'!H62,1))+1,BIN2DEC(MID('E(Ri) XOR ki+1'!H62,2,4))+1),4)</f>
        <v>1001</v>
      </c>
      <c r="I74" s="3" t="str">
        <f>DEC2BIN(INDEX('S-boxes'!$B$2:$Q$5,BIN2DEC(LEFT('E(Ri) XOR ki+1'!I62,1)&amp;RIGHT('E(Ri) XOR ki+1'!I62,1))+1,BIN2DEC(MID('E(Ri) XOR ki+1'!I62,2,4))+1),4)</f>
        <v>0101</v>
      </c>
      <c r="J74" s="3" t="str">
        <f>DEC2BIN(INDEX('S-boxes'!$B$2:$Q$5,BIN2DEC(LEFT('E(Ri) XOR ki+1'!J62,1)&amp;RIGHT('E(Ri) XOR ki+1'!J62,1))+1,BIN2DEC(MID('E(Ri) XOR ki+1'!J62,2,4))+1),4)</f>
        <v>0011</v>
      </c>
      <c r="K74" s="3" t="str">
        <f>DEC2BIN(INDEX('S-boxes'!$B$2:$Q$5,BIN2DEC(LEFT('E(Ri) XOR ki+1'!K62,1)&amp;RIGHT('E(Ri) XOR ki+1'!K62,1))+1,BIN2DEC(MID('E(Ri) XOR ki+1'!K62,2,4))+1),4)</f>
        <v>0001</v>
      </c>
      <c r="L74" s="3" t="str">
        <f>DEC2BIN(INDEX('S-boxes'!$B$2:$Q$5,BIN2DEC(LEFT('E(Ri) XOR ki+1'!L62,1)&amp;RIGHT('E(Ri) XOR ki+1'!L62,1))+1,BIN2DEC(MID('E(Ri) XOR ki+1'!L62,2,4))+1),4)</f>
        <v>0010</v>
      </c>
      <c r="M74" s="3" t="str">
        <f>DEC2BIN(INDEX('S-boxes'!$B$2:$Q$5,BIN2DEC(LEFT('E(Ri) XOR ki+1'!M62,1)&amp;RIGHT('E(Ri) XOR ki+1'!M62,1))+1,BIN2DEC(MID('E(Ri) XOR ki+1'!M62,2,4))+1),4)</f>
        <v>1010</v>
      </c>
      <c r="N74" s="3" t="str">
        <f>DEC2BIN(INDEX('S-boxes'!$B$2:$Q$5,BIN2DEC(LEFT('E(Ri) XOR ki+1'!N62,1)&amp;RIGHT('E(Ri) XOR ki+1'!N62,1))+1,BIN2DEC(MID('E(Ri) XOR ki+1'!N62,2,4))+1),4)</f>
        <v>0011</v>
      </c>
      <c r="O74" s="3" t="str">
        <f>DEC2BIN(INDEX('S-boxes'!$B$2:$Q$5,BIN2DEC(LEFT('E(Ri) XOR ki+1'!O62,1)&amp;RIGHT('E(Ri) XOR ki+1'!O62,1))+1,BIN2DEC(MID('E(Ri) XOR ki+1'!O62,2,4))+1),4)</f>
        <v>1100</v>
      </c>
      <c r="P74" s="3" t="str">
        <f>DEC2BIN(INDEX('S-boxes'!$B$2:$Q$5,BIN2DEC(LEFT('E(Ri) XOR ki+1'!P62,1)&amp;RIGHT('E(Ri) XOR ki+1'!P62,1))+1,BIN2DEC(MID('E(Ri) XOR ki+1'!P62,2,4))+1),4)</f>
        <v>0000</v>
      </c>
      <c r="Q74" s="3" t="str">
        <f>DEC2BIN(INDEX('S-boxes'!$B$2:$Q$5,BIN2DEC(LEFT('E(Ri) XOR ki+1'!Q62,1)&amp;RIGHT('E(Ri) XOR ki+1'!Q62,1))+1,BIN2DEC(MID('E(Ri) XOR ki+1'!Q62,2,4))+1),4)</f>
        <v>0000</v>
      </c>
      <c r="R74" s="3" t="str">
        <f>DEC2BIN(INDEX('S-boxes'!$B$2:$Q$5,BIN2DEC(LEFT('E(Ri) XOR ki+1'!R62,1)&amp;RIGHT('E(Ri) XOR ki+1'!R62,1))+1,BIN2DEC(MID('E(Ri) XOR ki+1'!R62,2,4))+1),4)</f>
        <v>1001</v>
      </c>
      <c r="S74" s="3" t="str">
        <f>DEC2BIN(INDEX('S-boxes'!$B$2:$Q$5,BIN2DEC(LEFT('E(Ri) XOR ki+1'!S62,1)&amp;RIGHT('E(Ri) XOR ki+1'!S62,1))+1,BIN2DEC(MID('E(Ri) XOR ki+1'!S62,2,4))+1),4)</f>
        <v>0110</v>
      </c>
      <c r="T74" s="3" t="str">
        <f>DEC2BIN(INDEX('S-boxes'!$B$2:$Q$5,BIN2DEC(LEFT('E(Ri) XOR ki+1'!T62,1)&amp;RIGHT('E(Ri) XOR ki+1'!T62,1))+1,BIN2DEC(MID('E(Ri) XOR ki+1'!T62,2,4))+1),4)</f>
        <v>1001</v>
      </c>
      <c r="U74" s="3" t="str">
        <f>DEC2BIN(INDEX('S-boxes'!$B$2:$Q$5,BIN2DEC(LEFT('E(Ri) XOR ki+1'!U62,1)&amp;RIGHT('E(Ri) XOR ki+1'!U62,1))+1,BIN2DEC(MID('E(Ri) XOR ki+1'!U62,2,4))+1),4)</f>
        <v>1010</v>
      </c>
      <c r="V74" s="3" t="str">
        <f>DEC2BIN(INDEX('S-boxes'!$B$2:$Q$5,BIN2DEC(LEFT('E(Ri) XOR ki+1'!V62,1)&amp;RIGHT('E(Ri) XOR ki+1'!V62,1))+1,BIN2DEC(MID('E(Ri) XOR ki+1'!V62,2,4))+1),4)</f>
        <v>0000</v>
      </c>
      <c r="W74" s="3" t="str">
        <f>DEC2BIN(INDEX('S-boxes'!$B$2:$Q$5,BIN2DEC(LEFT('E(Ri) XOR ki+1'!W62,1)&amp;RIGHT('E(Ri) XOR ki+1'!W62,1))+1,BIN2DEC(MID('E(Ri) XOR ki+1'!W62,2,4))+1),4)</f>
        <v>1000</v>
      </c>
    </row>
    <row r="75" spans="1:23" x14ac:dyDescent="0.25">
      <c r="G75" s="2">
        <v>2</v>
      </c>
      <c r="H75" s="3" t="str">
        <f>DEC2BIN(INDEX('S-boxes'!$B$9:$Q$12,BIN2DEC(LEFT('E(Ri) XOR ki+1'!H63,1)&amp;RIGHT('E(Ri) XOR ki+1'!H63,1))+1,BIN2DEC(MID('E(Ri) XOR ki+1'!H63,2,4))+1),4)</f>
        <v>0101</v>
      </c>
      <c r="I75" s="3" t="str">
        <f>DEC2BIN(INDEX('S-boxes'!$B$9:$Q$12,BIN2DEC(LEFT('E(Ri) XOR ki+1'!I63,1)&amp;RIGHT('E(Ri) XOR ki+1'!I63,1))+1,BIN2DEC(MID('E(Ri) XOR ki+1'!I63,2,4))+1),4)</f>
        <v>1000</v>
      </c>
      <c r="J75" s="3" t="str">
        <f>DEC2BIN(INDEX('S-boxes'!$B$9:$Q$12,BIN2DEC(LEFT('E(Ri) XOR ki+1'!J63,1)&amp;RIGHT('E(Ri) XOR ki+1'!J63,1))+1,BIN2DEC(MID('E(Ri) XOR ki+1'!J63,2,4))+1),4)</f>
        <v>1110</v>
      </c>
      <c r="K75" s="3" t="str">
        <f>DEC2BIN(INDEX('S-boxes'!$B$9:$Q$12,BIN2DEC(LEFT('E(Ri) XOR ki+1'!K63,1)&amp;RIGHT('E(Ri) XOR ki+1'!K63,1))+1,BIN2DEC(MID('E(Ri) XOR ki+1'!K63,2,4))+1),4)</f>
        <v>1111</v>
      </c>
      <c r="L75" s="3" t="str">
        <f>DEC2BIN(INDEX('S-boxes'!$B$9:$Q$12,BIN2DEC(LEFT('E(Ri) XOR ki+1'!L63,1)&amp;RIGHT('E(Ri) XOR ki+1'!L63,1))+1,BIN2DEC(MID('E(Ri) XOR ki+1'!L63,2,4))+1),4)</f>
        <v>0110</v>
      </c>
      <c r="M75" s="3" t="str">
        <f>DEC2BIN(INDEX('S-boxes'!$B$9:$Q$12,BIN2DEC(LEFT('E(Ri) XOR ki+1'!M63,1)&amp;RIGHT('E(Ri) XOR ki+1'!M63,1))+1,BIN2DEC(MID('E(Ri) XOR ki+1'!M63,2,4))+1),4)</f>
        <v>0000</v>
      </c>
      <c r="N75" s="3" t="str">
        <f>DEC2BIN(INDEX('S-boxes'!$B$9:$Q$12,BIN2DEC(LEFT('E(Ri) XOR ki+1'!N63,1)&amp;RIGHT('E(Ri) XOR ki+1'!N63,1))+1,BIN2DEC(MID('E(Ri) XOR ki+1'!N63,2,4))+1),4)</f>
        <v>0010</v>
      </c>
      <c r="O75" s="3" t="str">
        <f>DEC2BIN(INDEX('S-boxes'!$B$9:$Q$12,BIN2DEC(LEFT('E(Ri) XOR ki+1'!O63,1)&amp;RIGHT('E(Ri) XOR ki+1'!O63,1))+1,BIN2DEC(MID('E(Ri) XOR ki+1'!O63,2,4))+1),4)</f>
        <v>1111</v>
      </c>
      <c r="P75" s="3" t="str">
        <f>DEC2BIN(INDEX('S-boxes'!$B$9:$Q$12,BIN2DEC(LEFT('E(Ri) XOR ki+1'!P63,1)&amp;RIGHT('E(Ri) XOR ki+1'!P63,1))+1,BIN2DEC(MID('E(Ri) XOR ki+1'!P63,2,4))+1),4)</f>
        <v>0110</v>
      </c>
      <c r="Q75" s="3" t="str">
        <f>DEC2BIN(INDEX('S-boxes'!$B$9:$Q$12,BIN2DEC(LEFT('E(Ri) XOR ki+1'!Q63,1)&amp;RIGHT('E(Ri) XOR ki+1'!Q63,1))+1,BIN2DEC(MID('E(Ri) XOR ki+1'!Q63,2,4))+1),4)</f>
        <v>0010</v>
      </c>
      <c r="R75" s="3" t="str">
        <f>DEC2BIN(INDEX('S-boxes'!$B$9:$Q$12,BIN2DEC(LEFT('E(Ri) XOR ki+1'!R63,1)&amp;RIGHT('E(Ri) XOR ki+1'!R63,1))+1,BIN2DEC(MID('E(Ri) XOR ki+1'!R63,2,4))+1),4)</f>
        <v>0011</v>
      </c>
      <c r="S75" s="3" t="str">
        <f>DEC2BIN(INDEX('S-boxes'!$B$9:$Q$12,BIN2DEC(LEFT('E(Ri) XOR ki+1'!S63,1)&amp;RIGHT('E(Ri) XOR ki+1'!S63,1))+1,BIN2DEC(MID('E(Ri) XOR ki+1'!S63,2,4))+1),4)</f>
        <v>1010</v>
      </c>
      <c r="T75" s="3" t="str">
        <f>DEC2BIN(INDEX('S-boxes'!$B$9:$Q$12,BIN2DEC(LEFT('E(Ri) XOR ki+1'!T63,1)&amp;RIGHT('E(Ri) XOR ki+1'!T63,1))+1,BIN2DEC(MID('E(Ri) XOR ki+1'!T63,2,4))+1),4)</f>
        <v>1010</v>
      </c>
      <c r="U75" s="3" t="str">
        <f>DEC2BIN(INDEX('S-boxes'!$B$9:$Q$12,BIN2DEC(LEFT('E(Ri) XOR ki+1'!U63,1)&amp;RIGHT('E(Ri) XOR ki+1'!U63,1))+1,BIN2DEC(MID('E(Ri) XOR ki+1'!U63,2,4))+1),4)</f>
        <v>1011</v>
      </c>
      <c r="V75" s="3" t="str">
        <f>DEC2BIN(INDEX('S-boxes'!$B$9:$Q$12,BIN2DEC(LEFT('E(Ri) XOR ki+1'!V63,1)&amp;RIGHT('E(Ri) XOR ki+1'!V63,1))+1,BIN2DEC(MID('E(Ri) XOR ki+1'!V63,2,4))+1),4)</f>
        <v>1110</v>
      </c>
      <c r="W75" s="3" t="str">
        <f>DEC2BIN(INDEX('S-boxes'!$B$9:$Q$12,BIN2DEC(LEFT('E(Ri) XOR ki+1'!W63,1)&amp;RIGHT('E(Ri) XOR ki+1'!W63,1))+1,BIN2DEC(MID('E(Ri) XOR ki+1'!W63,2,4))+1),4)</f>
        <v>0010</v>
      </c>
    </row>
    <row r="76" spans="1:23" x14ac:dyDescent="0.25">
      <c r="G76" s="2">
        <v>3</v>
      </c>
      <c r="H76" s="3" t="str">
        <f>DEC2BIN(INDEX('S-boxes'!$B$16:$Q$19,BIN2DEC(LEFT('E(Ri) XOR ki+1'!H64,1)&amp;RIGHT('E(Ri) XOR ki+1'!H64,1))+1,BIN2DEC(MID('E(Ri) XOR ki+1'!H64,2,4))+1),4)</f>
        <v>1101</v>
      </c>
      <c r="I76" s="3" t="str">
        <f>DEC2BIN(INDEX('S-boxes'!$B$16:$Q$19,BIN2DEC(LEFT('E(Ri) XOR ki+1'!I64,1)&amp;RIGHT('E(Ri) XOR ki+1'!I64,1))+1,BIN2DEC(MID('E(Ri) XOR ki+1'!I64,2,4))+1),4)</f>
        <v>1000</v>
      </c>
      <c r="J76" s="3" t="str">
        <f>DEC2BIN(INDEX('S-boxes'!$B$16:$Q$19,BIN2DEC(LEFT('E(Ri) XOR ki+1'!J64,1)&amp;RIGHT('E(Ri) XOR ki+1'!J64,1))+1,BIN2DEC(MID('E(Ri) XOR ki+1'!J64,2,4))+1),4)</f>
        <v>0100</v>
      </c>
      <c r="K76" s="3" t="str">
        <f>DEC2BIN(INDEX('S-boxes'!$B$16:$Q$19,BIN2DEC(LEFT('E(Ri) XOR ki+1'!K64,1)&amp;RIGHT('E(Ri) XOR ki+1'!K64,1))+1,BIN2DEC(MID('E(Ri) XOR ki+1'!K64,2,4))+1),4)</f>
        <v>0101</v>
      </c>
      <c r="L76" s="3" t="str">
        <f>DEC2BIN(INDEX('S-boxes'!$B$16:$Q$19,BIN2DEC(LEFT('E(Ri) XOR ki+1'!L64,1)&amp;RIGHT('E(Ri) XOR ki+1'!L64,1))+1,BIN2DEC(MID('E(Ri) XOR ki+1'!L64,2,4))+1),4)</f>
        <v>1010</v>
      </c>
      <c r="M76" s="3" t="str">
        <f>DEC2BIN(INDEX('S-boxes'!$B$16:$Q$19,BIN2DEC(LEFT('E(Ri) XOR ki+1'!M64,1)&amp;RIGHT('E(Ri) XOR ki+1'!M64,1))+1,BIN2DEC(MID('E(Ri) XOR ki+1'!M64,2,4))+1),4)</f>
        <v>1011</v>
      </c>
      <c r="N76" s="3" t="str">
        <f>DEC2BIN(INDEX('S-boxes'!$B$16:$Q$19,BIN2DEC(LEFT('E(Ri) XOR ki+1'!N64,1)&amp;RIGHT('E(Ri) XOR ki+1'!N64,1))+1,BIN2DEC(MID('E(Ri) XOR ki+1'!N64,2,4))+1),4)</f>
        <v>1101</v>
      </c>
      <c r="O76" s="3" t="str">
        <f>DEC2BIN(INDEX('S-boxes'!$B$16:$Q$19,BIN2DEC(LEFT('E(Ri) XOR ki+1'!O64,1)&amp;RIGHT('E(Ri) XOR ki+1'!O64,1))+1,BIN2DEC(MID('E(Ri) XOR ki+1'!O64,2,4))+1),4)</f>
        <v>0101</v>
      </c>
      <c r="P76" s="3" t="str">
        <f>DEC2BIN(INDEX('S-boxes'!$B$16:$Q$19,BIN2DEC(LEFT('E(Ri) XOR ki+1'!P64,1)&amp;RIGHT('E(Ri) XOR ki+1'!P64,1))+1,BIN2DEC(MID('E(Ri) XOR ki+1'!P64,2,4))+1),4)</f>
        <v>0000</v>
      </c>
      <c r="Q76" s="3" t="str">
        <f>DEC2BIN(INDEX('S-boxes'!$B$16:$Q$19,BIN2DEC(LEFT('E(Ri) XOR ki+1'!Q64,1)&amp;RIGHT('E(Ri) XOR ki+1'!Q64,1))+1,BIN2DEC(MID('E(Ri) XOR ki+1'!Q64,2,4))+1),4)</f>
        <v>0111</v>
      </c>
      <c r="R76" s="3" t="str">
        <f>DEC2BIN(INDEX('S-boxes'!$B$16:$Q$19,BIN2DEC(LEFT('E(Ri) XOR ki+1'!R64,1)&amp;RIGHT('E(Ri) XOR ki+1'!R64,1))+1,BIN2DEC(MID('E(Ri) XOR ki+1'!R64,2,4))+1),4)</f>
        <v>1011</v>
      </c>
      <c r="S76" s="3" t="str">
        <f>DEC2BIN(INDEX('S-boxes'!$B$16:$Q$19,BIN2DEC(LEFT('E(Ri) XOR ki+1'!S64,1)&amp;RIGHT('E(Ri) XOR ki+1'!S64,1))+1,BIN2DEC(MID('E(Ri) XOR ki+1'!S64,2,4))+1),4)</f>
        <v>1110</v>
      </c>
      <c r="T76" s="3" t="str">
        <f>DEC2BIN(INDEX('S-boxes'!$B$16:$Q$19,BIN2DEC(LEFT('E(Ri) XOR ki+1'!T64,1)&amp;RIGHT('E(Ri) XOR ki+1'!T64,1))+1,BIN2DEC(MID('E(Ri) XOR ki+1'!T64,2,4))+1),4)</f>
        <v>0010</v>
      </c>
      <c r="U76" s="3" t="str">
        <f>DEC2BIN(INDEX('S-boxes'!$B$16:$Q$19,BIN2DEC(LEFT('E(Ri) XOR ki+1'!U64,1)&amp;RIGHT('E(Ri) XOR ki+1'!U64,1))+1,BIN2DEC(MID('E(Ri) XOR ki+1'!U64,2,4))+1),4)</f>
        <v>0001</v>
      </c>
      <c r="V76" s="3" t="str">
        <f>DEC2BIN(INDEX('S-boxes'!$B$16:$Q$19,BIN2DEC(LEFT('E(Ri) XOR ki+1'!V64,1)&amp;RIGHT('E(Ri) XOR ki+1'!V64,1))+1,BIN2DEC(MID('E(Ri) XOR ki+1'!V64,2,4))+1),4)</f>
        <v>1100</v>
      </c>
      <c r="W76" s="3" t="str">
        <f>DEC2BIN(INDEX('S-boxes'!$B$16:$Q$19,BIN2DEC(LEFT('E(Ri) XOR ki+1'!W64,1)&amp;RIGHT('E(Ri) XOR ki+1'!W64,1))+1,BIN2DEC(MID('E(Ri) XOR ki+1'!W64,2,4))+1),4)</f>
        <v>1110</v>
      </c>
    </row>
    <row r="77" spans="1:23" x14ac:dyDescent="0.25">
      <c r="G77" s="2">
        <v>4</v>
      </c>
      <c r="H77" s="3" t="str">
        <f>DEC2BIN(INDEX('S-boxes'!$B$23:$Q$26,BIN2DEC(LEFT('E(Ri) XOR ki+1'!H65,1)&amp;RIGHT('E(Ri) XOR ki+1'!H65,1))+1,BIN2DEC(MID('E(Ri) XOR ki+1'!H65,2,4))+1),4)</f>
        <v>0011</v>
      </c>
      <c r="I77" s="3" t="str">
        <f>DEC2BIN(INDEX('S-boxes'!$B$23:$Q$26,BIN2DEC(LEFT('E(Ri) XOR ki+1'!I65,1)&amp;RIGHT('E(Ri) XOR ki+1'!I65,1))+1,BIN2DEC(MID('E(Ri) XOR ki+1'!I65,2,4))+1),4)</f>
        <v>0011</v>
      </c>
      <c r="J77" s="3" t="str">
        <f>DEC2BIN(INDEX('S-boxes'!$B$23:$Q$26,BIN2DEC(LEFT('E(Ri) XOR ki+1'!J65,1)&amp;RIGHT('E(Ri) XOR ki+1'!J65,1))+1,BIN2DEC(MID('E(Ri) XOR ki+1'!J65,2,4))+1),4)</f>
        <v>0001</v>
      </c>
      <c r="K77" s="3" t="str">
        <f>DEC2BIN(INDEX('S-boxes'!$B$23:$Q$26,BIN2DEC(LEFT('E(Ri) XOR ki+1'!K65,1)&amp;RIGHT('E(Ri) XOR ki+1'!K65,1))+1,BIN2DEC(MID('E(Ri) XOR ki+1'!K65,2,4))+1),4)</f>
        <v>0111</v>
      </c>
      <c r="L77" s="3" t="str">
        <f>DEC2BIN(INDEX('S-boxes'!$B$23:$Q$26,BIN2DEC(LEFT('E(Ri) XOR ki+1'!L65,1)&amp;RIGHT('E(Ri) XOR ki+1'!L65,1))+1,BIN2DEC(MID('E(Ri) XOR ki+1'!L65,2,4))+1),4)</f>
        <v>1101</v>
      </c>
      <c r="M77" s="3" t="str">
        <f>DEC2BIN(INDEX('S-boxes'!$B$23:$Q$26,BIN2DEC(LEFT('E(Ri) XOR ki+1'!M65,1)&amp;RIGHT('E(Ri) XOR ki+1'!M65,1))+1,BIN2DEC(MID('E(Ri) XOR ki+1'!M65,2,4))+1),4)</f>
        <v>0111</v>
      </c>
      <c r="N77" s="3" t="str">
        <f>DEC2BIN(INDEX('S-boxes'!$B$23:$Q$26,BIN2DEC(LEFT('E(Ri) XOR ki+1'!N65,1)&amp;RIGHT('E(Ri) XOR ki+1'!N65,1))+1,BIN2DEC(MID('E(Ri) XOR ki+1'!N65,2,4))+1),4)</f>
        <v>0010</v>
      </c>
      <c r="O77" s="3" t="str">
        <f>DEC2BIN(INDEX('S-boxes'!$B$23:$Q$26,BIN2DEC(LEFT('E(Ri) XOR ki+1'!O65,1)&amp;RIGHT('E(Ri) XOR ki+1'!O65,1))+1,BIN2DEC(MID('E(Ri) XOR ki+1'!O65,2,4))+1),4)</f>
        <v>0010</v>
      </c>
      <c r="P77" s="3" t="str">
        <f>DEC2BIN(INDEX('S-boxes'!$B$23:$Q$26,BIN2DEC(LEFT('E(Ri) XOR ki+1'!P65,1)&amp;RIGHT('E(Ri) XOR ki+1'!P65,1))+1,BIN2DEC(MID('E(Ri) XOR ki+1'!P65,2,4))+1),4)</f>
        <v>0001</v>
      </c>
      <c r="Q77" s="3" t="str">
        <f>DEC2BIN(INDEX('S-boxes'!$B$23:$Q$26,BIN2DEC(LEFT('E(Ri) XOR ki+1'!Q65,1)&amp;RIGHT('E(Ri) XOR ki+1'!Q65,1))+1,BIN2DEC(MID('E(Ri) XOR ki+1'!Q65,2,4))+1),4)</f>
        <v>1001</v>
      </c>
      <c r="R77" s="3" t="str">
        <f>DEC2BIN(INDEX('S-boxes'!$B$23:$Q$26,BIN2DEC(LEFT('E(Ri) XOR ki+1'!R65,1)&amp;RIGHT('E(Ri) XOR ki+1'!R65,1))+1,BIN2DEC(MID('E(Ri) XOR ki+1'!R65,2,4))+1),4)</f>
        <v>1111</v>
      </c>
      <c r="S77" s="3" t="str">
        <f>DEC2BIN(INDEX('S-boxes'!$B$23:$Q$26,BIN2DEC(LEFT('E(Ri) XOR ki+1'!S65,1)&amp;RIGHT('E(Ri) XOR ki+1'!S65,1))+1,BIN2DEC(MID('E(Ri) XOR ki+1'!S65,2,4))+1),4)</f>
        <v>0010</v>
      </c>
      <c r="T77" s="3" t="str">
        <f>DEC2BIN(INDEX('S-boxes'!$B$23:$Q$26,BIN2DEC(LEFT('E(Ri) XOR ki+1'!T65,1)&amp;RIGHT('E(Ri) XOR ki+1'!T65,1))+1,BIN2DEC(MID('E(Ri) XOR ki+1'!T65,2,4))+1),4)</f>
        <v>0010</v>
      </c>
      <c r="U77" s="3" t="str">
        <f>DEC2BIN(INDEX('S-boxes'!$B$23:$Q$26,BIN2DEC(LEFT('E(Ri) XOR ki+1'!U65,1)&amp;RIGHT('E(Ri) XOR ki+1'!U65,1))+1,BIN2DEC(MID('E(Ri) XOR ki+1'!U65,2,4))+1),4)</f>
        <v>1110</v>
      </c>
      <c r="V77" s="3" t="str">
        <f>DEC2BIN(INDEX('S-boxes'!$B$23:$Q$26,BIN2DEC(LEFT('E(Ri) XOR ki+1'!V65,1)&amp;RIGHT('E(Ri) XOR ki+1'!V65,1))+1,BIN2DEC(MID('E(Ri) XOR ki+1'!V65,2,4))+1),4)</f>
        <v>0100</v>
      </c>
      <c r="W77" s="3" t="str">
        <f>DEC2BIN(INDEX('S-boxes'!$B$23:$Q$26,BIN2DEC(LEFT('E(Ri) XOR ki+1'!W65,1)&amp;RIGHT('E(Ri) XOR ki+1'!W65,1))+1,BIN2DEC(MID('E(Ri) XOR ki+1'!W65,2,4))+1),4)</f>
        <v>0011</v>
      </c>
    </row>
    <row r="78" spans="1:23" x14ac:dyDescent="0.25">
      <c r="G78" s="2">
        <v>5</v>
      </c>
      <c r="H78" s="3" t="str">
        <f>DEC2BIN(INDEX('S-boxes'!$B$30:$Q$33,BIN2DEC(LEFT('E(Ri) XOR ki+1'!H66,1)&amp;RIGHT('E(Ri) XOR ki+1'!H66,1))+1,BIN2DEC(MID('E(Ri) XOR ki+1'!H66,2,4))+1),4)</f>
        <v>1010</v>
      </c>
      <c r="I78" s="3" t="str">
        <f>DEC2BIN(INDEX('S-boxes'!$B$30:$Q$33,BIN2DEC(LEFT('E(Ri) XOR ki+1'!I66,1)&amp;RIGHT('E(Ri) XOR ki+1'!I66,1))+1,BIN2DEC(MID('E(Ri) XOR ki+1'!I66,2,4))+1),4)</f>
        <v>0000</v>
      </c>
      <c r="J78" s="3" t="str">
        <f>DEC2BIN(INDEX('S-boxes'!$B$30:$Q$33,BIN2DEC(LEFT('E(Ri) XOR ki+1'!J66,1)&amp;RIGHT('E(Ri) XOR ki+1'!J66,1))+1,BIN2DEC(MID('E(Ri) XOR ki+1'!J66,2,4))+1),4)</f>
        <v>0010</v>
      </c>
      <c r="K78" s="3" t="str">
        <f>DEC2BIN(INDEX('S-boxes'!$B$30:$Q$33,BIN2DEC(LEFT('E(Ri) XOR ki+1'!K66,1)&amp;RIGHT('E(Ri) XOR ki+1'!K66,1))+1,BIN2DEC(MID('E(Ri) XOR ki+1'!K66,2,4))+1),4)</f>
        <v>0011</v>
      </c>
      <c r="L78" s="3" t="str">
        <f>DEC2BIN(INDEX('S-boxes'!$B$30:$Q$33,BIN2DEC(LEFT('E(Ri) XOR ki+1'!L66,1)&amp;RIGHT('E(Ri) XOR ki+1'!L66,1))+1,BIN2DEC(MID('E(Ri) XOR ki+1'!L66,2,4))+1),4)</f>
        <v>0010</v>
      </c>
      <c r="M78" s="3" t="str">
        <f>DEC2BIN(INDEX('S-boxes'!$B$30:$Q$33,BIN2DEC(LEFT('E(Ri) XOR ki+1'!M66,1)&amp;RIGHT('E(Ri) XOR ki+1'!M66,1))+1,BIN2DEC(MID('E(Ri) XOR ki+1'!M66,2,4))+1),4)</f>
        <v>1101</v>
      </c>
      <c r="N78" s="3" t="str">
        <f>DEC2BIN(INDEX('S-boxes'!$B$30:$Q$33,BIN2DEC(LEFT('E(Ri) XOR ki+1'!N66,1)&amp;RIGHT('E(Ri) XOR ki+1'!N66,1))+1,BIN2DEC(MID('E(Ri) XOR ki+1'!N66,2,4))+1),4)</f>
        <v>0010</v>
      </c>
      <c r="O78" s="3" t="str">
        <f>DEC2BIN(INDEX('S-boxes'!$B$30:$Q$33,BIN2DEC(LEFT('E(Ri) XOR ki+1'!O66,1)&amp;RIGHT('E(Ri) XOR ki+1'!O66,1))+1,BIN2DEC(MID('E(Ri) XOR ki+1'!O66,2,4))+1),4)</f>
        <v>0111</v>
      </c>
      <c r="P78" s="3" t="str">
        <f>DEC2BIN(INDEX('S-boxes'!$B$30:$Q$33,BIN2DEC(LEFT('E(Ri) XOR ki+1'!P66,1)&amp;RIGHT('E(Ri) XOR ki+1'!P66,1))+1,BIN2DEC(MID('E(Ri) XOR ki+1'!P66,2,4))+1),4)</f>
        <v>1111</v>
      </c>
      <c r="Q78" s="3" t="str">
        <f>DEC2BIN(INDEX('S-boxes'!$B$30:$Q$33,BIN2DEC(LEFT('E(Ri) XOR ki+1'!Q66,1)&amp;RIGHT('E(Ri) XOR ki+1'!Q66,1))+1,BIN2DEC(MID('E(Ri) XOR ki+1'!Q66,2,4))+1),4)</f>
        <v>1110</v>
      </c>
      <c r="R78" s="3" t="str">
        <f>DEC2BIN(INDEX('S-boxes'!$B$30:$Q$33,BIN2DEC(LEFT('E(Ri) XOR ki+1'!R66,1)&amp;RIGHT('E(Ri) XOR ki+1'!R66,1))+1,BIN2DEC(MID('E(Ri) XOR ki+1'!R66,2,4))+1),4)</f>
        <v>0101</v>
      </c>
      <c r="S78" s="3" t="str">
        <f>DEC2BIN(INDEX('S-boxes'!$B$30:$Q$33,BIN2DEC(LEFT('E(Ri) XOR ki+1'!S66,1)&amp;RIGHT('E(Ri) XOR ki+1'!S66,1))+1,BIN2DEC(MID('E(Ri) XOR ki+1'!S66,2,4))+1),4)</f>
        <v>0111</v>
      </c>
      <c r="T78" s="3" t="str">
        <f>DEC2BIN(INDEX('S-boxes'!$B$30:$Q$33,BIN2DEC(LEFT('E(Ri) XOR ki+1'!T66,1)&amp;RIGHT('E(Ri) XOR ki+1'!T66,1))+1,BIN2DEC(MID('E(Ri) XOR ki+1'!T66,2,4))+1),4)</f>
        <v>1101</v>
      </c>
      <c r="U78" s="3" t="str">
        <f>DEC2BIN(INDEX('S-boxes'!$B$30:$Q$33,BIN2DEC(LEFT('E(Ri) XOR ki+1'!U66,1)&amp;RIGHT('E(Ri) XOR ki+1'!U66,1))+1,BIN2DEC(MID('E(Ri) XOR ki+1'!U66,2,4))+1),4)</f>
        <v>1101</v>
      </c>
      <c r="V78" s="3" t="str">
        <f>DEC2BIN(INDEX('S-boxes'!$B$30:$Q$33,BIN2DEC(LEFT('E(Ri) XOR ki+1'!V66,1)&amp;RIGHT('E(Ri) XOR ki+1'!V66,1))+1,BIN2DEC(MID('E(Ri) XOR ki+1'!V66,2,4))+1),4)</f>
        <v>1100</v>
      </c>
      <c r="W78" s="3" t="str">
        <f>DEC2BIN(INDEX('S-boxes'!$B$30:$Q$33,BIN2DEC(LEFT('E(Ri) XOR ki+1'!W66,1)&amp;RIGHT('E(Ri) XOR ki+1'!W66,1))+1,BIN2DEC(MID('E(Ri) XOR ki+1'!W66,2,4))+1),4)</f>
        <v>1100</v>
      </c>
    </row>
    <row r="79" spans="1:23" x14ac:dyDescent="0.25">
      <c r="G79" s="2">
        <v>6</v>
      </c>
      <c r="H79" s="3" t="str">
        <f>DEC2BIN(INDEX('S-boxes'!$B$37:$Q$40,BIN2DEC(LEFT('E(Ri) XOR ki+1'!H67,1)&amp;RIGHT('E(Ri) XOR ki+1'!H67,1))+1,BIN2DEC(MID('E(Ri) XOR ki+1'!H67,2,4))+1),4)</f>
        <v>1101</v>
      </c>
      <c r="I79" s="3" t="str">
        <f>DEC2BIN(INDEX('S-boxes'!$B$37:$Q$40,BIN2DEC(LEFT('E(Ri) XOR ki+1'!I67,1)&amp;RIGHT('E(Ri) XOR ki+1'!I67,1))+1,BIN2DEC(MID('E(Ri) XOR ki+1'!I67,2,4))+1),4)</f>
        <v>0100</v>
      </c>
      <c r="J79" s="3" t="str">
        <f>DEC2BIN(INDEX('S-boxes'!$B$37:$Q$40,BIN2DEC(LEFT('E(Ri) XOR ki+1'!J67,1)&amp;RIGHT('E(Ri) XOR ki+1'!J67,1))+1,BIN2DEC(MID('E(Ri) XOR ki+1'!J67,2,4))+1),4)</f>
        <v>1011</v>
      </c>
      <c r="K79" s="3" t="str">
        <f>DEC2BIN(INDEX('S-boxes'!$B$37:$Q$40,BIN2DEC(LEFT('E(Ri) XOR ki+1'!K67,1)&amp;RIGHT('E(Ri) XOR ki+1'!K67,1))+1,BIN2DEC(MID('E(Ri) XOR ki+1'!K67,2,4))+1),4)</f>
        <v>1000</v>
      </c>
      <c r="L79" s="3" t="str">
        <f>DEC2BIN(INDEX('S-boxes'!$B$37:$Q$40,BIN2DEC(LEFT('E(Ri) XOR ki+1'!L67,1)&amp;RIGHT('E(Ri) XOR ki+1'!L67,1))+1,BIN2DEC(MID('E(Ri) XOR ki+1'!L67,2,4))+1),4)</f>
        <v>1111</v>
      </c>
      <c r="M79" s="3" t="str">
        <f>DEC2BIN(INDEX('S-boxes'!$B$37:$Q$40,BIN2DEC(LEFT('E(Ri) XOR ki+1'!M67,1)&amp;RIGHT('E(Ri) XOR ki+1'!M67,1))+1,BIN2DEC(MID('E(Ri) XOR ki+1'!M67,2,4))+1),4)</f>
        <v>0001</v>
      </c>
      <c r="N79" s="3" t="str">
        <f>DEC2BIN(INDEX('S-boxes'!$B$37:$Q$40,BIN2DEC(LEFT('E(Ri) XOR ki+1'!N67,1)&amp;RIGHT('E(Ri) XOR ki+1'!N67,1))+1,BIN2DEC(MID('E(Ri) XOR ki+1'!N67,2,4))+1),4)</f>
        <v>0001</v>
      </c>
      <c r="O79" s="3" t="str">
        <f>DEC2BIN(INDEX('S-boxes'!$B$37:$Q$40,BIN2DEC(LEFT('E(Ri) XOR ki+1'!O67,1)&amp;RIGHT('E(Ri) XOR ki+1'!O67,1))+1,BIN2DEC(MID('E(Ri) XOR ki+1'!O67,2,4))+1),4)</f>
        <v>0111</v>
      </c>
      <c r="P79" s="3" t="str">
        <f>DEC2BIN(INDEX('S-boxes'!$B$37:$Q$40,BIN2DEC(LEFT('E(Ri) XOR ki+1'!P67,1)&amp;RIGHT('E(Ri) XOR ki+1'!P67,1))+1,BIN2DEC(MID('E(Ri) XOR ki+1'!P67,2,4))+1),4)</f>
        <v>1000</v>
      </c>
      <c r="Q79" s="3" t="str">
        <f>DEC2BIN(INDEX('S-boxes'!$B$37:$Q$40,BIN2DEC(LEFT('E(Ri) XOR ki+1'!Q67,1)&amp;RIGHT('E(Ri) XOR ki+1'!Q67,1))+1,BIN2DEC(MID('E(Ri) XOR ki+1'!Q67,2,4))+1),4)</f>
        <v>1000</v>
      </c>
      <c r="R79" s="3" t="str">
        <f>DEC2BIN(INDEX('S-boxes'!$B$37:$Q$40,BIN2DEC(LEFT('E(Ri) XOR ki+1'!R67,1)&amp;RIGHT('E(Ri) XOR ki+1'!R67,1))+1,BIN2DEC(MID('E(Ri) XOR ki+1'!R67,2,4))+1),4)</f>
        <v>1011</v>
      </c>
      <c r="S79" s="3" t="str">
        <f>DEC2BIN(INDEX('S-boxes'!$B$37:$Q$40,BIN2DEC(LEFT('E(Ri) XOR ki+1'!S67,1)&amp;RIGHT('E(Ri) XOR ki+1'!S67,1))+1,BIN2DEC(MID('E(Ri) XOR ki+1'!S67,2,4))+1),4)</f>
        <v>1001</v>
      </c>
      <c r="T79" s="3" t="str">
        <f>DEC2BIN(INDEX('S-boxes'!$B$37:$Q$40,BIN2DEC(LEFT('E(Ri) XOR ki+1'!T67,1)&amp;RIGHT('E(Ri) XOR ki+1'!T67,1))+1,BIN2DEC(MID('E(Ri) XOR ki+1'!T67,2,4))+1),4)</f>
        <v>1011</v>
      </c>
      <c r="U79" s="3" t="str">
        <f>DEC2BIN(INDEX('S-boxes'!$B$37:$Q$40,BIN2DEC(LEFT('E(Ri) XOR ki+1'!U67,1)&amp;RIGHT('E(Ri) XOR ki+1'!U67,1))+1,BIN2DEC(MID('E(Ri) XOR ki+1'!U67,2,4))+1),4)</f>
        <v>0111</v>
      </c>
      <c r="V79" s="3" t="str">
        <f>DEC2BIN(INDEX('S-boxes'!$B$37:$Q$40,BIN2DEC(LEFT('E(Ri) XOR ki+1'!V67,1)&amp;RIGHT('E(Ri) XOR ki+1'!V67,1))+1,BIN2DEC(MID('E(Ri) XOR ki+1'!V67,2,4))+1),4)</f>
        <v>1010</v>
      </c>
      <c r="W79" s="3" t="str">
        <f>DEC2BIN(INDEX('S-boxes'!$B$37:$Q$40,BIN2DEC(LEFT('E(Ri) XOR ki+1'!W67,1)&amp;RIGHT('E(Ri) XOR ki+1'!W67,1))+1,BIN2DEC(MID('E(Ri) XOR ki+1'!W67,2,4))+1),4)</f>
        <v>0111</v>
      </c>
    </row>
    <row r="80" spans="1:23" x14ac:dyDescent="0.25">
      <c r="G80" s="2">
        <v>7</v>
      </c>
      <c r="H80" s="3" t="str">
        <f>DEC2BIN(INDEX('S-boxes'!$B$44:$Q$47,BIN2DEC(LEFT('E(Ri) XOR ki+1'!H68,1)&amp;RIGHT('E(Ri) XOR ki+1'!H68,1))+1,BIN2DEC(MID('E(Ri) XOR ki+1'!H68,2,4))+1),4)</f>
        <v>0101</v>
      </c>
      <c r="I80" s="3" t="str">
        <f>DEC2BIN(INDEX('S-boxes'!$B$44:$Q$47,BIN2DEC(LEFT('E(Ri) XOR ki+1'!I68,1)&amp;RIGHT('E(Ri) XOR ki+1'!I68,1))+1,BIN2DEC(MID('E(Ri) XOR ki+1'!I68,2,4))+1),4)</f>
        <v>1010</v>
      </c>
      <c r="J80" s="3" t="str">
        <f>DEC2BIN(INDEX('S-boxes'!$B$44:$Q$47,BIN2DEC(LEFT('E(Ri) XOR ki+1'!J68,1)&amp;RIGHT('E(Ri) XOR ki+1'!J68,1))+1,BIN2DEC(MID('E(Ri) XOR ki+1'!J68,2,4))+1),4)</f>
        <v>0111</v>
      </c>
      <c r="K80" s="3" t="str">
        <f>DEC2BIN(INDEX('S-boxes'!$B$44:$Q$47,BIN2DEC(LEFT('E(Ri) XOR ki+1'!K68,1)&amp;RIGHT('E(Ri) XOR ki+1'!K68,1))+1,BIN2DEC(MID('E(Ri) XOR ki+1'!K68,2,4))+1),4)</f>
        <v>0000</v>
      </c>
      <c r="L80" s="3" t="str">
        <f>DEC2BIN(INDEX('S-boxes'!$B$44:$Q$47,BIN2DEC(LEFT('E(Ri) XOR ki+1'!L68,1)&amp;RIGHT('E(Ri) XOR ki+1'!L68,1))+1,BIN2DEC(MID('E(Ri) XOR ki+1'!L68,2,4))+1),4)</f>
        <v>1110</v>
      </c>
      <c r="M80" s="3" t="str">
        <f>DEC2BIN(INDEX('S-boxes'!$B$44:$Q$47,BIN2DEC(LEFT('E(Ri) XOR ki+1'!M68,1)&amp;RIGHT('E(Ri) XOR ki+1'!M68,1))+1,BIN2DEC(MID('E(Ri) XOR ki+1'!M68,2,4))+1),4)</f>
        <v>1001</v>
      </c>
      <c r="N80" s="3" t="str">
        <f>DEC2BIN(INDEX('S-boxes'!$B$44:$Q$47,BIN2DEC(LEFT('E(Ri) XOR ki+1'!N68,1)&amp;RIGHT('E(Ri) XOR ki+1'!N68,1))+1,BIN2DEC(MID('E(Ri) XOR ki+1'!N68,2,4))+1),4)</f>
        <v>0101</v>
      </c>
      <c r="O80" s="3" t="str">
        <f>DEC2BIN(INDEX('S-boxes'!$B$44:$Q$47,BIN2DEC(LEFT('E(Ri) XOR ki+1'!O68,1)&amp;RIGHT('E(Ri) XOR ki+1'!O68,1))+1,BIN2DEC(MID('E(Ri) XOR ki+1'!O68,2,4))+1),4)</f>
        <v>0110</v>
      </c>
      <c r="P80" s="3" t="str">
        <f>DEC2BIN(INDEX('S-boxes'!$B$44:$Q$47,BIN2DEC(LEFT('E(Ri) XOR ki+1'!P68,1)&amp;RIGHT('E(Ri) XOR ki+1'!P68,1))+1,BIN2DEC(MID('E(Ri) XOR ki+1'!P68,2,4))+1),4)</f>
        <v>1001</v>
      </c>
      <c r="Q80" s="3" t="str">
        <f>DEC2BIN(INDEX('S-boxes'!$B$44:$Q$47,BIN2DEC(LEFT('E(Ri) XOR ki+1'!Q68,1)&amp;RIGHT('E(Ri) XOR ki+1'!Q68,1))+1,BIN2DEC(MID('E(Ri) XOR ki+1'!Q68,2,4))+1),4)</f>
        <v>0100</v>
      </c>
      <c r="R80" s="3" t="str">
        <f>DEC2BIN(INDEX('S-boxes'!$B$44:$Q$47,BIN2DEC(LEFT('E(Ri) XOR ki+1'!R68,1)&amp;RIGHT('E(Ri) XOR ki+1'!R68,1))+1,BIN2DEC(MID('E(Ri) XOR ki+1'!R68,2,4))+1),4)</f>
        <v>0100</v>
      </c>
      <c r="S80" s="3" t="str">
        <f>DEC2BIN(INDEX('S-boxes'!$B$44:$Q$47,BIN2DEC(LEFT('E(Ri) XOR ki+1'!S68,1)&amp;RIGHT('E(Ri) XOR ki+1'!S68,1))+1,BIN2DEC(MID('E(Ri) XOR ki+1'!S68,2,4))+1),4)</f>
        <v>1000</v>
      </c>
      <c r="T80" s="3" t="str">
        <f>DEC2BIN(INDEX('S-boxes'!$B$44:$Q$47,BIN2DEC(LEFT('E(Ri) XOR ki+1'!T68,1)&amp;RIGHT('E(Ri) XOR ki+1'!T68,1))+1,BIN2DEC(MID('E(Ri) XOR ki+1'!T68,2,4))+1),4)</f>
        <v>0101</v>
      </c>
      <c r="U80" s="3" t="str">
        <f>DEC2BIN(INDEX('S-boxes'!$B$44:$Q$47,BIN2DEC(LEFT('E(Ri) XOR ki+1'!U68,1)&amp;RIGHT('E(Ri) XOR ki+1'!U68,1))+1,BIN2DEC(MID('E(Ri) XOR ki+1'!U68,2,4))+1),4)</f>
        <v>0100</v>
      </c>
      <c r="V80" s="3" t="str">
        <f>DEC2BIN(INDEX('S-boxes'!$B$44:$Q$47,BIN2DEC(LEFT('E(Ri) XOR ki+1'!V68,1)&amp;RIGHT('E(Ri) XOR ki+1'!V68,1))+1,BIN2DEC(MID('E(Ri) XOR ki+1'!V68,2,4))+1),4)</f>
        <v>1110</v>
      </c>
      <c r="W80" s="3" t="str">
        <f>DEC2BIN(INDEX('S-boxes'!$B$44:$Q$47,BIN2DEC(LEFT('E(Ri) XOR ki+1'!W68,1)&amp;RIGHT('E(Ri) XOR ki+1'!W68,1))+1,BIN2DEC(MID('E(Ri) XOR ki+1'!W68,2,4))+1),4)</f>
        <v>1111</v>
      </c>
    </row>
    <row r="81" spans="7:23" x14ac:dyDescent="0.25">
      <c r="G81" s="2">
        <v>8</v>
      </c>
      <c r="H81" s="3" t="str">
        <f>DEC2BIN(INDEX('S-boxes'!$B$51:$Q$54,BIN2DEC(LEFT('E(Ri) XOR ki+1'!H69,1)&amp;RIGHT('E(Ri) XOR ki+1'!H69,1))+1,BIN2DEC(MID('E(Ri) XOR ki+1'!H69,2,4))+1),4)</f>
        <v>0000</v>
      </c>
      <c r="I81" s="3" t="str">
        <f>DEC2BIN(INDEX('S-boxes'!$B$51:$Q$54,BIN2DEC(LEFT('E(Ri) XOR ki+1'!I69,1)&amp;RIGHT('E(Ri) XOR ki+1'!I69,1))+1,BIN2DEC(MID('E(Ri) XOR ki+1'!I69,2,4))+1),4)</f>
        <v>1001</v>
      </c>
      <c r="J81" s="3" t="str">
        <f>DEC2BIN(INDEX('S-boxes'!$B$51:$Q$54,BIN2DEC(LEFT('E(Ri) XOR ki+1'!J69,1)&amp;RIGHT('E(Ri) XOR ki+1'!J69,1))+1,BIN2DEC(MID('E(Ri) XOR ki+1'!J69,2,4))+1),4)</f>
        <v>1010</v>
      </c>
      <c r="K81" s="3" t="str">
        <f>DEC2BIN(INDEX('S-boxes'!$B$51:$Q$54,BIN2DEC(LEFT('E(Ri) XOR ki+1'!K69,1)&amp;RIGHT('E(Ri) XOR ki+1'!K69,1))+1,BIN2DEC(MID('E(Ri) XOR ki+1'!K69,2,4))+1),4)</f>
        <v>0100</v>
      </c>
      <c r="L81" s="3" t="str">
        <f>DEC2BIN(INDEX('S-boxes'!$B$51:$Q$54,BIN2DEC(LEFT('E(Ri) XOR ki+1'!L69,1)&amp;RIGHT('E(Ri) XOR ki+1'!L69,1))+1,BIN2DEC(MID('E(Ri) XOR ki+1'!L69,2,4))+1),4)</f>
        <v>1110</v>
      </c>
      <c r="M81" s="3" t="str">
        <f>DEC2BIN(INDEX('S-boxes'!$B$51:$Q$54,BIN2DEC(LEFT('E(Ri) XOR ki+1'!M69,1)&amp;RIGHT('E(Ri) XOR ki+1'!M69,1))+1,BIN2DEC(MID('E(Ri) XOR ki+1'!M69,2,4))+1),4)</f>
        <v>1101</v>
      </c>
      <c r="N81" s="3" t="str">
        <f>DEC2BIN(INDEX('S-boxes'!$B$51:$Q$54,BIN2DEC(LEFT('E(Ri) XOR ki+1'!N69,1)&amp;RIGHT('E(Ri) XOR ki+1'!N69,1))+1,BIN2DEC(MID('E(Ri) XOR ki+1'!N69,2,4))+1),4)</f>
        <v>1100</v>
      </c>
      <c r="O81" s="3" t="str">
        <f>DEC2BIN(INDEX('S-boxes'!$B$51:$Q$54,BIN2DEC(LEFT('E(Ri) XOR ki+1'!O69,1)&amp;RIGHT('E(Ri) XOR ki+1'!O69,1))+1,BIN2DEC(MID('E(Ri) XOR ki+1'!O69,2,4))+1),4)</f>
        <v>1101</v>
      </c>
      <c r="P81" s="3" t="str">
        <f>DEC2BIN(INDEX('S-boxes'!$B$51:$Q$54,BIN2DEC(LEFT('E(Ri) XOR ki+1'!P69,1)&amp;RIGHT('E(Ri) XOR ki+1'!P69,1))+1,BIN2DEC(MID('E(Ri) XOR ki+1'!P69,2,4))+1),4)</f>
        <v>1110</v>
      </c>
      <c r="Q81" s="3" t="str">
        <f>DEC2BIN(INDEX('S-boxes'!$B$51:$Q$54,BIN2DEC(LEFT('E(Ri) XOR ki+1'!Q69,1)&amp;RIGHT('E(Ri) XOR ki+1'!Q69,1))+1,BIN2DEC(MID('E(Ri) XOR ki+1'!Q69,2,4))+1),4)</f>
        <v>0101</v>
      </c>
      <c r="R81" s="3" t="str">
        <f>DEC2BIN(INDEX('S-boxes'!$B$51:$Q$54,BIN2DEC(LEFT('E(Ri) XOR ki+1'!R69,1)&amp;RIGHT('E(Ri) XOR ki+1'!R69,1))+1,BIN2DEC(MID('E(Ri) XOR ki+1'!R69,2,4))+1),4)</f>
        <v>1010</v>
      </c>
      <c r="S81" s="3" t="str">
        <f>DEC2BIN(INDEX('S-boxes'!$B$51:$Q$54,BIN2DEC(LEFT('E(Ri) XOR ki+1'!S69,1)&amp;RIGHT('E(Ri) XOR ki+1'!S69,1))+1,BIN2DEC(MID('E(Ri) XOR ki+1'!S69,2,4))+1),4)</f>
        <v>0110</v>
      </c>
      <c r="T81" s="3" t="str">
        <f>DEC2BIN(INDEX('S-boxes'!$B$51:$Q$54,BIN2DEC(LEFT('E(Ri) XOR ki+1'!T69,1)&amp;RIGHT('E(Ri) XOR ki+1'!T69,1))+1,BIN2DEC(MID('E(Ri) XOR ki+1'!T69,2,4))+1),4)</f>
        <v>1011</v>
      </c>
      <c r="U81" s="3" t="str">
        <f>DEC2BIN(INDEX('S-boxes'!$B$51:$Q$54,BIN2DEC(LEFT('E(Ri) XOR ki+1'!U69,1)&amp;RIGHT('E(Ri) XOR ki+1'!U69,1))+1,BIN2DEC(MID('E(Ri) XOR ki+1'!U69,2,4))+1),4)</f>
        <v>0001</v>
      </c>
      <c r="V81" s="3" t="str">
        <f>DEC2BIN(INDEX('S-boxes'!$B$51:$Q$54,BIN2DEC(LEFT('E(Ri) XOR ki+1'!V69,1)&amp;RIGHT('E(Ri) XOR ki+1'!V69,1))+1,BIN2DEC(MID('E(Ri) XOR ki+1'!V69,2,4))+1),4)</f>
        <v>0011</v>
      </c>
      <c r="W81" s="3" t="str">
        <f>DEC2BIN(INDEX('S-boxes'!$B$51:$Q$54,BIN2DEC(LEFT('E(Ri) XOR ki+1'!W69,1)&amp;RIGHT('E(Ri) XOR ki+1'!W69,1))+1,BIN2DEC(MID('E(Ri) XOR ki+1'!W69,2,4))+1),4)</f>
        <v>1100</v>
      </c>
    </row>
    <row r="83" spans="7:23" ht="18.75" x14ac:dyDescent="0.3">
      <c r="G83" s="14" t="s">
        <v>132</v>
      </c>
      <c r="H83" s="14"/>
      <c r="I83" s="14"/>
      <c r="J83" s="12"/>
    </row>
    <row r="85" spans="7:23" x14ac:dyDescent="0.25">
      <c r="G85" s="2" t="s">
        <v>133</v>
      </c>
      <c r="H85" s="7" t="str" cm="1">
        <f t="array" ref="H85">_xlfn.TEXTJOIN("",TRUE,MID(_xlfn.TEXTJOIN("",TRUE,H$74:H$81),{16,7,20,21,29,12,28,17,1,15,23,26,5,18,31,10,2,8,24,14,32,27,3,9,19,13,30,6,22,11,4,25},1))</f>
        <v>10010111110100010110000110011010</v>
      </c>
      <c r="I85" s="7"/>
      <c r="J85" s="7"/>
      <c r="K85" s="7"/>
    </row>
    <row r="86" spans="7:23" x14ac:dyDescent="0.25">
      <c r="G86" s="2" t="s">
        <v>134</v>
      </c>
      <c r="H86" s="7" t="str" cm="1">
        <f t="array" ref="H86">_xlfn.TEXTJOIN("",TRUE,MID(_xlfn.TEXTJOIN("",TRUE,I$74:I$81),{16,7,20,21,29,12,28,17,1,15,23,26,5,18,31,10,2,8,24,14,32,27,3,9,19,13,30,6,22,11,4,25},1))</f>
        <v>10001000010010001000110100001011</v>
      </c>
      <c r="I86" s="7"/>
      <c r="J86" s="7"/>
      <c r="K86" s="7"/>
    </row>
    <row r="87" spans="7:23" x14ac:dyDescent="0.25">
      <c r="G87" s="2" t="s">
        <v>135</v>
      </c>
      <c r="H87" s="7" t="str" cm="1">
        <f t="array" ref="H87">_xlfn.TEXTJOIN("",TRUE,MID(_xlfn.TEXTJOIN("",TRUE,J$74:J$81),{16,7,20,21,29,12,28,17,1,15,23,26,5,18,31,10,2,8,24,14,32,27,3,9,19,13,30,6,22,11,4,25},1))</f>
        <v>11011010001110110010011010010010</v>
      </c>
      <c r="I87" s="7"/>
      <c r="J87" s="7"/>
      <c r="K87" s="7"/>
    </row>
    <row r="88" spans="7:23" x14ac:dyDescent="0.25">
      <c r="G88" s="2" t="s">
        <v>136</v>
      </c>
      <c r="H88" s="7" t="str" cm="1">
        <f t="array" ref="H88">_xlfn.TEXTJOIN("",TRUE,MID(_xlfn.TEXTJOIN("",TRUE,K$74:K$81),{16,7,20,21,29,12,28,17,1,15,23,26,5,18,31,10,2,8,24,14,32,27,3,9,19,13,30,6,22,11,4,25},1))</f>
        <v>11110100010010010101000010110010</v>
      </c>
      <c r="I88" s="7"/>
      <c r="J88" s="7"/>
      <c r="K88" s="7"/>
    </row>
    <row r="89" spans="7:23" x14ac:dyDescent="0.25">
      <c r="G89" s="2" t="s">
        <v>137</v>
      </c>
      <c r="H89" s="7" t="str" cm="1">
        <f t="array" ref="H89">_xlfn.TEXTJOIN("",TRUE,MID(_xlfn.TEXTJOIN("",TRUE,L$74:L$81),{16,7,20,21,29,12,28,17,1,15,23,26,5,18,31,10,2,8,24,14,32,27,3,9,19,13,30,6,22,11,4,25},1))</f>
        <v>11011000001100100011011111111101</v>
      </c>
      <c r="I89" s="7"/>
      <c r="J89" s="7"/>
      <c r="K89" s="7"/>
    </row>
    <row r="90" spans="7:23" x14ac:dyDescent="0.25">
      <c r="G90" s="2" t="s">
        <v>138</v>
      </c>
      <c r="H90" s="7" t="str" cm="1">
        <f t="array" ref="H90">_xlfn.TEXTJOIN("",TRUE,MID(_xlfn.TEXTJOIN("",TRUE,M$74:M$81),{16,7,20,21,29,12,28,17,1,15,23,26,5,18,31,10,2,8,24,14,32,27,3,9,19,13,30,6,22,11,4,25},1))</f>
        <v>10101111110001000011101100100101</v>
      </c>
      <c r="I90" s="7"/>
      <c r="J90" s="7"/>
      <c r="K90" s="7"/>
    </row>
    <row r="91" spans="7:23" x14ac:dyDescent="0.25">
      <c r="G91" s="2" t="s">
        <v>139</v>
      </c>
      <c r="H91" s="7" t="str" cm="1">
        <f t="array" ref="H91">_xlfn.TEXTJOIN("",TRUE,MID(_xlfn.TEXTJOIN("",TRUE,N$74:N$81),{16,7,20,21,29,12,28,17,1,15,23,26,5,18,31,10,2,8,24,14,32,27,3,9,19,13,30,6,22,11,4,25},1))</f>
        <v>01001110010100010010001110100010</v>
      </c>
      <c r="I91" s="7"/>
      <c r="J91" s="7"/>
      <c r="K91" s="7"/>
    </row>
    <row r="92" spans="7:23" x14ac:dyDescent="0.25">
      <c r="G92" s="2" t="s">
        <v>140</v>
      </c>
      <c r="H92" s="7" t="str" cm="1">
        <f t="array" ref="H92">_xlfn.TEXTJOIN("",TRUE,MID(_xlfn.TEXTJOIN("",TRUE,O$74:O$81),{16,7,20,21,29,12,28,17,1,15,23,26,5,18,31,10,2,8,24,14,32,27,3,9,19,13,30,6,22,11,4,25},1))</f>
        <v>01101100111111011110110010111000</v>
      </c>
      <c r="I92" s="7"/>
      <c r="J92" s="7"/>
      <c r="K92" s="7"/>
    </row>
    <row r="93" spans="7:23" x14ac:dyDescent="0.25">
      <c r="G93" s="2" t="s">
        <v>141</v>
      </c>
      <c r="H93" s="7" t="str" cm="1">
        <f t="array" ref="H93">_xlfn.TEXTJOIN("",TRUE,MID(_xlfn.TEXTJOIN("",TRUE,P$74:P$81),{16,7,20,21,29,12,28,17,1,15,23,26,5,18,31,10,2,8,24,14,32,27,3,9,19,13,30,6,22,11,4,25},1))</f>
        <v>11111011000001100000000010110001</v>
      </c>
      <c r="I93" s="7"/>
      <c r="J93" s="7"/>
      <c r="K93" s="7"/>
    </row>
    <row r="94" spans="7:23" x14ac:dyDescent="0.25">
      <c r="G94" s="2" t="s">
        <v>142</v>
      </c>
      <c r="H94" s="7" t="str" cm="1">
        <f t="array" ref="H94">_xlfn.TEXTJOIN("",TRUE,MID(_xlfn.TEXTJOIN("",TRUE,Q$74:Q$81),{16,7,20,21,29,12,28,17,1,15,23,26,5,18,31,10,2,8,24,14,32,27,3,9,19,13,30,6,22,11,4,25},1))</f>
        <v>11010101000101010000100011100100</v>
      </c>
      <c r="I94" s="7"/>
      <c r="J94" s="7"/>
      <c r="K94" s="7"/>
    </row>
    <row r="95" spans="7:23" x14ac:dyDescent="0.25">
      <c r="G95" s="2" t="s">
        <v>143</v>
      </c>
      <c r="H95" s="7" t="str" cm="1">
        <f t="array" ref="H95">_xlfn.TEXTJOIN("",TRUE,MID(_xlfn.TEXTJOIN("",TRUE,R$74:R$81),{16,7,20,21,29,12,28,17,1,15,23,26,5,18,31,10,2,8,24,14,32,27,3,9,19,13,30,6,22,11,4,25},1))</f>
        <v>11111100111101100111000101000110</v>
      </c>
      <c r="I95" s="7"/>
      <c r="J95" s="7"/>
      <c r="K95" s="7"/>
    </row>
    <row r="96" spans="7:23" x14ac:dyDescent="0.25">
      <c r="G96" s="2" t="s">
        <v>144</v>
      </c>
      <c r="H96" s="7" t="str" cm="1">
        <f t="array" ref="H96">_xlfn.TEXTJOIN("",TRUE,MID(_xlfn.TEXTJOIN("",TRUE,S$74:S$81),{16,7,20,21,29,12,28,17,1,15,23,26,5,18,31,10,2,8,24,14,32,27,3,9,19,13,30,6,22,11,4,25},1))</f>
        <v>01110000010011111010001110100101</v>
      </c>
      <c r="I96" s="7"/>
      <c r="J96" s="7"/>
      <c r="K96" s="7"/>
    </row>
    <row r="97" spans="7:11" x14ac:dyDescent="0.25">
      <c r="G97" s="2" t="s">
        <v>145</v>
      </c>
      <c r="H97" s="7" t="str" cm="1">
        <f t="array" ref="H97">_xlfn.TEXTJOIN("",TRUE,MID(_xlfn.TEXTJOIN("",TRUE,T$74:T$81),{16,7,20,21,29,12,28,17,1,15,23,26,5,18,31,10,2,8,24,14,32,27,3,9,19,13,30,6,22,11,4,25},1))</f>
        <v>01111011111111100010100000000110</v>
      </c>
      <c r="I97" s="7"/>
      <c r="J97" s="7"/>
      <c r="K97" s="7"/>
    </row>
    <row r="98" spans="7:11" x14ac:dyDescent="0.25">
      <c r="G98" s="2" t="s">
        <v>146</v>
      </c>
      <c r="H98" s="7" t="str" cm="1">
        <f t="array" ref="H98">_xlfn.TEXTJOIN("",TRUE,MID(_xlfn.TEXTJOIN("",TRUE,U$74:U$81),{16,7,20,21,29,12,28,17,1,15,23,26,5,18,31,10,2,8,24,14,32,27,3,9,19,13,30,6,22,11,4,25},1))</f>
        <v>01100101111111000111101001001000</v>
      </c>
      <c r="I98" s="7"/>
      <c r="J98" s="7"/>
      <c r="K98" s="7"/>
    </row>
    <row r="99" spans="7:11" x14ac:dyDescent="0.25">
      <c r="G99" s="2" t="s">
        <v>147</v>
      </c>
      <c r="H99" s="7" t="str" cm="1">
        <f t="array" ref="H99">_xlfn.TEXTJOIN("",TRUE,MID(_xlfn.TEXTJOIN("",TRUE,V$74:V$81),{16,7,20,21,29,12,28,17,1,15,23,26,5,18,31,10,2,8,24,14,32,27,3,9,19,13,30,6,22,11,4,25},1))</f>
        <v>01010001001111110001110100010001</v>
      </c>
      <c r="I99" s="7"/>
      <c r="J99" s="7"/>
      <c r="K99" s="7"/>
    </row>
    <row r="100" spans="7:11" x14ac:dyDescent="0.25">
      <c r="G100" s="2" t="s">
        <v>148</v>
      </c>
      <c r="H100" s="7" t="str" cm="1">
        <f t="array" ref="H100">_xlfn.TEXTJOIN("",TRUE,MID(_xlfn.TEXTJOIN("",TRUE,W$74:W$81),{16,7,20,21,29,12,28,17,1,15,23,26,5,18,31,10,2,8,24,14,32,27,3,9,19,13,30,6,22,11,4,25},1))</f>
        <v>11001011111101010010010100101101</v>
      </c>
      <c r="I100" s="7"/>
      <c r="J100" s="7"/>
      <c r="K100" s="7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524A-2FFF-4D1F-900D-AF5262DB7514}">
  <dimension ref="A1:R160"/>
  <sheetViews>
    <sheetView tabSelected="1" workbookViewId="0">
      <selection activeCell="R98" sqref="R98"/>
    </sheetView>
  </sheetViews>
  <sheetFormatPr defaultRowHeight="15" x14ac:dyDescent="0.25"/>
  <cols>
    <col min="15" max="15" width="16.28515625" customWidth="1"/>
  </cols>
  <sheetData>
    <row r="1" spans="1:18" ht="15.75" x14ac:dyDescent="0.25">
      <c r="A1" s="5" t="s">
        <v>113</v>
      </c>
      <c r="B1" s="8" t="str">
        <f>'E(Ri) XOR ki+1'!O1</f>
        <v>1001100011111110110011000000000011100000010101001111000010101010</v>
      </c>
      <c r="C1" s="5"/>
      <c r="D1" s="5"/>
      <c r="E1" s="5"/>
      <c r="F1" s="5"/>
      <c r="G1" s="5"/>
      <c r="H1" s="5"/>
      <c r="I1" s="5"/>
      <c r="J1" s="5"/>
    </row>
    <row r="3" spans="1:18" x14ac:dyDescent="0.25">
      <c r="A3" t="s">
        <v>12</v>
      </c>
      <c r="B3" t="str">
        <f>LEFT(B1,32)</f>
        <v>10011000111111101100110000000000</v>
      </c>
      <c r="G3" t="s">
        <v>13</v>
      </c>
      <c r="H3" t="str">
        <f>RIGHT(B1,32)</f>
        <v>11100000010101001111000010101010</v>
      </c>
    </row>
    <row r="5" spans="1:18" x14ac:dyDescent="0.25">
      <c r="A5" s="2" t="s">
        <v>6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46</v>
      </c>
    </row>
    <row r="6" spans="1:18" x14ac:dyDescent="0.25">
      <c r="A6" s="2">
        <v>1</v>
      </c>
      <c r="B6" s="3" t="str">
        <f>MID($B$3,ROW(A1),1)</f>
        <v>1</v>
      </c>
      <c r="C6" s="3" t="str">
        <f t="shared" ref="C6:R6" si="0">B41</f>
        <v>1</v>
      </c>
      <c r="D6" s="3">
        <f t="shared" si="0"/>
        <v>0</v>
      </c>
      <c r="E6" s="3">
        <f t="shared" si="0"/>
        <v>0</v>
      </c>
      <c r="F6" s="3">
        <f t="shared" si="0"/>
        <v>1</v>
      </c>
      <c r="G6" s="3">
        <f t="shared" si="0"/>
        <v>1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1</v>
      </c>
      <c r="M6" s="3">
        <f t="shared" si="0"/>
        <v>1</v>
      </c>
      <c r="N6" s="3">
        <f t="shared" si="0"/>
        <v>0</v>
      </c>
      <c r="O6" s="3">
        <f t="shared" si="0"/>
        <v>1</v>
      </c>
      <c r="P6" s="3">
        <f t="shared" si="0"/>
        <v>0</v>
      </c>
      <c r="Q6" s="3">
        <f t="shared" si="0"/>
        <v>1</v>
      </c>
      <c r="R6" s="3">
        <f t="shared" si="0"/>
        <v>0</v>
      </c>
    </row>
    <row r="7" spans="1:18" x14ac:dyDescent="0.25">
      <c r="A7" s="2">
        <v>2</v>
      </c>
      <c r="B7" s="3" t="str">
        <f t="shared" ref="B7:B37" si="1">MID($B$3,ROW(A2),1)</f>
        <v>0</v>
      </c>
      <c r="C7" s="3" t="str">
        <f t="shared" ref="C7:G37" si="2">B42</f>
        <v>1</v>
      </c>
      <c r="D7" s="3">
        <f t="shared" si="2"/>
        <v>0</v>
      </c>
      <c r="E7" s="3">
        <f t="shared" si="2"/>
        <v>1</v>
      </c>
      <c r="F7" s="3">
        <f t="shared" si="2"/>
        <v>1</v>
      </c>
      <c r="G7" s="3">
        <f t="shared" si="2"/>
        <v>0</v>
      </c>
      <c r="H7" s="3">
        <f t="shared" ref="H7:P37" si="3">G42</f>
        <v>0</v>
      </c>
      <c r="I7" s="3">
        <f t="shared" si="3"/>
        <v>0</v>
      </c>
      <c r="J7" s="3">
        <f t="shared" si="3"/>
        <v>1</v>
      </c>
      <c r="K7" s="3">
        <f t="shared" si="3"/>
        <v>1</v>
      </c>
      <c r="L7" s="3">
        <f t="shared" si="3"/>
        <v>0</v>
      </c>
      <c r="M7" s="3">
        <f t="shared" si="3"/>
        <v>0</v>
      </c>
      <c r="N7" s="3">
        <f t="shared" si="3"/>
        <v>1</v>
      </c>
      <c r="O7" s="3">
        <f t="shared" si="3"/>
        <v>1</v>
      </c>
      <c r="P7" s="3">
        <f t="shared" si="3"/>
        <v>0</v>
      </c>
      <c r="Q7" s="3">
        <f t="shared" ref="Q7:R37" si="4">P42</f>
        <v>0</v>
      </c>
      <c r="R7" s="3">
        <f t="shared" si="4"/>
        <v>1</v>
      </c>
    </row>
    <row r="8" spans="1:18" x14ac:dyDescent="0.25">
      <c r="A8" s="2">
        <v>3</v>
      </c>
      <c r="B8" s="3" t="str">
        <f t="shared" si="1"/>
        <v>0</v>
      </c>
      <c r="C8" s="3" t="str">
        <f t="shared" si="2"/>
        <v>1</v>
      </c>
      <c r="D8" s="3">
        <f t="shared" si="2"/>
        <v>0</v>
      </c>
      <c r="E8" s="3">
        <f t="shared" si="2"/>
        <v>1</v>
      </c>
      <c r="F8" s="3">
        <f t="shared" si="2"/>
        <v>0</v>
      </c>
      <c r="G8" s="3">
        <f t="shared" si="2"/>
        <v>0</v>
      </c>
      <c r="H8" s="3">
        <f t="shared" si="3"/>
        <v>0</v>
      </c>
      <c r="I8" s="3">
        <f t="shared" si="3"/>
        <v>1</v>
      </c>
      <c r="J8" s="3">
        <f t="shared" si="3"/>
        <v>0</v>
      </c>
      <c r="K8" s="3">
        <f t="shared" si="3"/>
        <v>0</v>
      </c>
      <c r="L8" s="3">
        <f t="shared" si="3"/>
        <v>1</v>
      </c>
      <c r="M8" s="3">
        <f t="shared" si="3"/>
        <v>0</v>
      </c>
      <c r="N8" s="3">
        <f t="shared" si="3"/>
        <v>0</v>
      </c>
      <c r="O8" s="3">
        <f t="shared" si="3"/>
        <v>1</v>
      </c>
      <c r="P8" s="3">
        <f t="shared" si="3"/>
        <v>1</v>
      </c>
      <c r="Q8" s="3">
        <f t="shared" si="4"/>
        <v>0</v>
      </c>
      <c r="R8" s="3">
        <f t="shared" si="4"/>
        <v>1</v>
      </c>
    </row>
    <row r="9" spans="1:18" x14ac:dyDescent="0.25">
      <c r="A9" s="2">
        <v>4</v>
      </c>
      <c r="B9" s="3" t="str">
        <f t="shared" si="1"/>
        <v>1</v>
      </c>
      <c r="C9" s="3" t="str">
        <f t="shared" si="2"/>
        <v>0</v>
      </c>
      <c r="D9" s="3">
        <f t="shared" si="2"/>
        <v>0</v>
      </c>
      <c r="E9" s="3">
        <f t="shared" si="2"/>
        <v>0</v>
      </c>
      <c r="F9" s="3">
        <f t="shared" si="2"/>
        <v>1</v>
      </c>
      <c r="G9" s="3">
        <f t="shared" si="2"/>
        <v>1</v>
      </c>
      <c r="H9" s="3">
        <f t="shared" si="3"/>
        <v>0</v>
      </c>
      <c r="I9" s="3">
        <f t="shared" si="3"/>
        <v>1</v>
      </c>
      <c r="J9" s="3">
        <f t="shared" si="3"/>
        <v>0</v>
      </c>
      <c r="K9" s="3">
        <f t="shared" si="3"/>
        <v>1</v>
      </c>
      <c r="L9" s="3">
        <f t="shared" si="3"/>
        <v>1</v>
      </c>
      <c r="M9" s="3">
        <f t="shared" si="3"/>
        <v>0</v>
      </c>
      <c r="N9" s="3">
        <f t="shared" si="3"/>
        <v>0</v>
      </c>
      <c r="O9" s="3">
        <f t="shared" si="3"/>
        <v>1</v>
      </c>
      <c r="P9" s="3">
        <f t="shared" si="3"/>
        <v>1</v>
      </c>
      <c r="Q9" s="3">
        <f t="shared" si="4"/>
        <v>1</v>
      </c>
      <c r="R9" s="3">
        <f t="shared" si="4"/>
        <v>0</v>
      </c>
    </row>
    <row r="10" spans="1:18" x14ac:dyDescent="0.25">
      <c r="A10" s="2">
        <v>5</v>
      </c>
      <c r="B10" s="3" t="str">
        <f t="shared" si="1"/>
        <v>1</v>
      </c>
      <c r="C10" s="3" t="str">
        <f t="shared" si="2"/>
        <v>0</v>
      </c>
      <c r="D10" s="3">
        <f t="shared" si="2"/>
        <v>1</v>
      </c>
      <c r="E10" s="3">
        <f t="shared" si="2"/>
        <v>1</v>
      </c>
      <c r="F10" s="3">
        <f t="shared" si="2"/>
        <v>0</v>
      </c>
      <c r="G10" s="3">
        <f t="shared" si="2"/>
        <v>1</v>
      </c>
      <c r="H10" s="3">
        <f t="shared" si="3"/>
        <v>1</v>
      </c>
      <c r="I10" s="3">
        <f t="shared" si="3"/>
        <v>0</v>
      </c>
      <c r="J10" s="3">
        <f t="shared" si="3"/>
        <v>0</v>
      </c>
      <c r="K10" s="3">
        <f t="shared" si="3"/>
        <v>1</v>
      </c>
      <c r="L10" s="3">
        <f t="shared" si="3"/>
        <v>1</v>
      </c>
      <c r="M10" s="3">
        <f t="shared" si="3"/>
        <v>1</v>
      </c>
      <c r="N10" s="3">
        <f t="shared" si="3"/>
        <v>0</v>
      </c>
      <c r="O10" s="3">
        <f t="shared" si="3"/>
        <v>1</v>
      </c>
      <c r="P10" s="3">
        <f t="shared" si="3"/>
        <v>1</v>
      </c>
      <c r="Q10" s="3">
        <f t="shared" si="4"/>
        <v>1</v>
      </c>
      <c r="R10" s="3">
        <f t="shared" si="4"/>
        <v>1</v>
      </c>
    </row>
    <row r="11" spans="1:18" x14ac:dyDescent="0.25">
      <c r="A11" s="2">
        <v>6</v>
      </c>
      <c r="B11" s="3" t="str">
        <f t="shared" si="1"/>
        <v>0</v>
      </c>
      <c r="C11" s="3" t="str">
        <f t="shared" si="2"/>
        <v>0</v>
      </c>
      <c r="D11" s="3">
        <f t="shared" si="2"/>
        <v>1</v>
      </c>
      <c r="E11" s="3">
        <f t="shared" si="2"/>
        <v>0</v>
      </c>
      <c r="F11" s="3">
        <f t="shared" si="2"/>
        <v>1</v>
      </c>
      <c r="G11" s="3">
        <f t="shared" si="2"/>
        <v>1</v>
      </c>
      <c r="H11" s="3">
        <f t="shared" si="3"/>
        <v>1</v>
      </c>
      <c r="I11" s="3">
        <f t="shared" si="3"/>
        <v>0</v>
      </c>
      <c r="J11" s="3">
        <f t="shared" si="3"/>
        <v>0</v>
      </c>
      <c r="K11" s="3">
        <f t="shared" si="3"/>
        <v>1</v>
      </c>
      <c r="L11" s="3">
        <f t="shared" si="3"/>
        <v>0</v>
      </c>
      <c r="M11" s="3">
        <f t="shared" si="3"/>
        <v>0</v>
      </c>
      <c r="N11" s="3">
        <f t="shared" si="3"/>
        <v>1</v>
      </c>
      <c r="O11" s="3">
        <f t="shared" si="3"/>
        <v>0</v>
      </c>
      <c r="P11" s="3">
        <f t="shared" si="3"/>
        <v>1</v>
      </c>
      <c r="Q11" s="3">
        <f t="shared" si="4"/>
        <v>1</v>
      </c>
      <c r="R11" s="3">
        <f t="shared" si="4"/>
        <v>1</v>
      </c>
    </row>
    <row r="12" spans="1:18" x14ac:dyDescent="0.25">
      <c r="A12" s="2">
        <v>7</v>
      </c>
      <c r="B12" s="3" t="str">
        <f t="shared" si="1"/>
        <v>0</v>
      </c>
      <c r="C12" s="3" t="str">
        <f t="shared" si="2"/>
        <v>0</v>
      </c>
      <c r="D12" s="3">
        <f t="shared" si="2"/>
        <v>1</v>
      </c>
      <c r="E12" s="3">
        <f t="shared" si="2"/>
        <v>0</v>
      </c>
      <c r="F12" s="3">
        <f t="shared" si="2"/>
        <v>0</v>
      </c>
      <c r="G12" s="3">
        <f t="shared" si="2"/>
        <v>0</v>
      </c>
      <c r="H12" s="3">
        <f t="shared" si="3"/>
        <v>0</v>
      </c>
      <c r="I12" s="3">
        <f t="shared" si="3"/>
        <v>1</v>
      </c>
      <c r="J12" s="3">
        <f t="shared" si="3"/>
        <v>1</v>
      </c>
      <c r="K12" s="3">
        <f t="shared" si="3"/>
        <v>1</v>
      </c>
      <c r="L12" s="3">
        <f t="shared" si="3"/>
        <v>0</v>
      </c>
      <c r="M12" s="3">
        <f t="shared" si="3"/>
        <v>1</v>
      </c>
      <c r="N12" s="3">
        <f t="shared" si="3"/>
        <v>0</v>
      </c>
      <c r="O12" s="3">
        <f t="shared" si="3"/>
        <v>1</v>
      </c>
      <c r="P12" s="3">
        <f t="shared" si="3"/>
        <v>1</v>
      </c>
      <c r="Q12" s="3">
        <f t="shared" si="4"/>
        <v>1</v>
      </c>
      <c r="R12" s="3">
        <f t="shared" si="4"/>
        <v>1</v>
      </c>
    </row>
    <row r="13" spans="1:18" x14ac:dyDescent="0.25">
      <c r="A13" s="2">
        <v>8</v>
      </c>
      <c r="B13" s="3" t="str">
        <f t="shared" si="1"/>
        <v>0</v>
      </c>
      <c r="C13" s="3" t="str">
        <f t="shared" si="2"/>
        <v>0</v>
      </c>
      <c r="D13" s="3">
        <f t="shared" si="2"/>
        <v>1</v>
      </c>
      <c r="E13" s="3">
        <f t="shared" si="2"/>
        <v>0</v>
      </c>
      <c r="F13" s="3">
        <f t="shared" si="2"/>
        <v>1</v>
      </c>
      <c r="G13" s="3">
        <f t="shared" si="2"/>
        <v>0</v>
      </c>
      <c r="H13" s="3">
        <f t="shared" si="3"/>
        <v>1</v>
      </c>
      <c r="I13" s="3">
        <f t="shared" si="3"/>
        <v>1</v>
      </c>
      <c r="J13" s="3">
        <f t="shared" si="3"/>
        <v>1</v>
      </c>
      <c r="K13" s="3">
        <f t="shared" si="3"/>
        <v>1</v>
      </c>
      <c r="L13" s="3">
        <f t="shared" si="3"/>
        <v>0</v>
      </c>
      <c r="M13" s="3">
        <f t="shared" si="3"/>
        <v>0</v>
      </c>
      <c r="N13" s="3">
        <f t="shared" si="3"/>
        <v>0</v>
      </c>
      <c r="O13" s="3">
        <f t="shared" si="3"/>
        <v>0</v>
      </c>
      <c r="P13" s="3">
        <f t="shared" si="3"/>
        <v>1</v>
      </c>
      <c r="Q13" s="3">
        <f t="shared" si="4"/>
        <v>1</v>
      </c>
      <c r="R13" s="3">
        <f t="shared" si="4"/>
        <v>0</v>
      </c>
    </row>
    <row r="14" spans="1:18" x14ac:dyDescent="0.25">
      <c r="A14" s="2">
        <v>9</v>
      </c>
      <c r="B14" s="3" t="str">
        <f t="shared" si="1"/>
        <v>1</v>
      </c>
      <c r="C14" s="3" t="str">
        <f t="shared" si="2"/>
        <v>0</v>
      </c>
      <c r="D14" s="3">
        <f t="shared" si="2"/>
        <v>0</v>
      </c>
      <c r="E14" s="3">
        <f t="shared" si="2"/>
        <v>0</v>
      </c>
      <c r="F14" s="3">
        <f t="shared" si="2"/>
        <v>0</v>
      </c>
      <c r="G14" s="3">
        <f t="shared" si="2"/>
        <v>0</v>
      </c>
      <c r="H14" s="3">
        <f t="shared" si="3"/>
        <v>0</v>
      </c>
      <c r="I14" s="3">
        <f t="shared" si="3"/>
        <v>1</v>
      </c>
      <c r="J14" s="3">
        <f t="shared" si="3"/>
        <v>0</v>
      </c>
      <c r="K14" s="3">
        <f t="shared" si="3"/>
        <v>0</v>
      </c>
      <c r="L14" s="3">
        <f t="shared" si="3"/>
        <v>0</v>
      </c>
      <c r="M14" s="3">
        <f t="shared" si="3"/>
        <v>0</v>
      </c>
      <c r="N14" s="3">
        <f t="shared" si="3"/>
        <v>1</v>
      </c>
      <c r="O14" s="3">
        <f t="shared" si="3"/>
        <v>0</v>
      </c>
      <c r="P14" s="3">
        <f t="shared" ref="P14:P37" si="5">O49</f>
        <v>0</v>
      </c>
      <c r="Q14" s="3">
        <f t="shared" si="4"/>
        <v>1</v>
      </c>
      <c r="R14" s="3">
        <f t="shared" si="4"/>
        <v>0</v>
      </c>
    </row>
    <row r="15" spans="1:18" x14ac:dyDescent="0.25">
      <c r="A15" s="2">
        <v>10</v>
      </c>
      <c r="B15" s="3" t="str">
        <f t="shared" si="1"/>
        <v>1</v>
      </c>
      <c r="C15" s="3" t="str">
        <f t="shared" si="2"/>
        <v>1</v>
      </c>
      <c r="D15" s="3">
        <f t="shared" si="2"/>
        <v>0</v>
      </c>
      <c r="E15" s="3">
        <f t="shared" si="2"/>
        <v>0</v>
      </c>
      <c r="F15" s="3">
        <f t="shared" si="2"/>
        <v>0</v>
      </c>
      <c r="G15" s="3">
        <f t="shared" si="2"/>
        <v>1</v>
      </c>
      <c r="H15" s="3">
        <f t="shared" si="3"/>
        <v>0</v>
      </c>
      <c r="I15" s="3">
        <f t="shared" si="3"/>
        <v>0</v>
      </c>
      <c r="J15" s="3">
        <f t="shared" si="3"/>
        <v>1</v>
      </c>
      <c r="K15" s="3">
        <f t="shared" si="3"/>
        <v>1</v>
      </c>
      <c r="L15" s="3">
        <f t="shared" si="3"/>
        <v>1</v>
      </c>
      <c r="M15" s="3">
        <f t="shared" si="3"/>
        <v>1</v>
      </c>
      <c r="N15" s="3">
        <f t="shared" si="3"/>
        <v>0</v>
      </c>
      <c r="O15" s="3">
        <f t="shared" si="3"/>
        <v>0</v>
      </c>
      <c r="P15" s="3">
        <f t="shared" si="5"/>
        <v>1</v>
      </c>
      <c r="Q15" s="3">
        <f t="shared" si="4"/>
        <v>1</v>
      </c>
      <c r="R15" s="3">
        <f t="shared" si="4"/>
        <v>1</v>
      </c>
    </row>
    <row r="16" spans="1:18" x14ac:dyDescent="0.25">
      <c r="A16" s="2">
        <v>11</v>
      </c>
      <c r="B16" s="3" t="str">
        <f t="shared" si="1"/>
        <v>1</v>
      </c>
      <c r="C16" s="3" t="str">
        <f t="shared" si="2"/>
        <v>0</v>
      </c>
      <c r="D16" s="3">
        <f t="shared" si="2"/>
        <v>1</v>
      </c>
      <c r="E16" s="3">
        <f t="shared" si="2"/>
        <v>0</v>
      </c>
      <c r="F16" s="3">
        <f t="shared" si="2"/>
        <v>0</v>
      </c>
      <c r="G16" s="3">
        <f t="shared" si="2"/>
        <v>0</v>
      </c>
      <c r="H16" s="3">
        <f t="shared" si="3"/>
        <v>1</v>
      </c>
      <c r="I16" s="3">
        <f t="shared" si="3"/>
        <v>0</v>
      </c>
      <c r="J16" s="3">
        <f t="shared" si="3"/>
        <v>1</v>
      </c>
      <c r="K16" s="3">
        <f t="shared" si="3"/>
        <v>1</v>
      </c>
      <c r="L16" s="3">
        <f t="shared" si="3"/>
        <v>1</v>
      </c>
      <c r="M16" s="3">
        <f t="shared" si="3"/>
        <v>1</v>
      </c>
      <c r="N16" s="3">
        <f t="shared" si="3"/>
        <v>0</v>
      </c>
      <c r="O16" s="3">
        <f t="shared" si="3"/>
        <v>1</v>
      </c>
      <c r="P16" s="3">
        <f t="shared" si="5"/>
        <v>1</v>
      </c>
      <c r="Q16" s="3">
        <f t="shared" si="4"/>
        <v>0</v>
      </c>
      <c r="R16" s="3">
        <f t="shared" si="4"/>
        <v>0</v>
      </c>
    </row>
    <row r="17" spans="1:18" x14ac:dyDescent="0.25">
      <c r="A17" s="2">
        <v>12</v>
      </c>
      <c r="B17" s="3" t="str">
        <f t="shared" si="1"/>
        <v>1</v>
      </c>
      <c r="C17" s="3" t="str">
        <f t="shared" si="2"/>
        <v>1</v>
      </c>
      <c r="D17" s="3">
        <f t="shared" si="2"/>
        <v>0</v>
      </c>
      <c r="E17" s="3">
        <f t="shared" si="2"/>
        <v>1</v>
      </c>
      <c r="F17" s="3">
        <f t="shared" si="2"/>
        <v>1</v>
      </c>
      <c r="G17" s="3">
        <f t="shared" si="2"/>
        <v>1</v>
      </c>
      <c r="H17" s="3">
        <f t="shared" si="3"/>
        <v>0</v>
      </c>
      <c r="I17" s="3">
        <f t="shared" si="3"/>
        <v>1</v>
      </c>
      <c r="J17" s="3">
        <f t="shared" si="3"/>
        <v>1</v>
      </c>
      <c r="K17" s="3">
        <f t="shared" si="3"/>
        <v>0</v>
      </c>
      <c r="L17" s="3">
        <f t="shared" si="3"/>
        <v>1</v>
      </c>
      <c r="M17" s="3">
        <f t="shared" si="3"/>
        <v>1</v>
      </c>
      <c r="N17" s="3">
        <f t="shared" si="3"/>
        <v>0</v>
      </c>
      <c r="O17" s="3">
        <f t="shared" si="3"/>
        <v>1</v>
      </c>
      <c r="P17" s="3">
        <f t="shared" si="5"/>
        <v>1</v>
      </c>
      <c r="Q17" s="3">
        <f t="shared" si="4"/>
        <v>0</v>
      </c>
      <c r="R17" s="3">
        <f t="shared" si="4"/>
        <v>0</v>
      </c>
    </row>
    <row r="18" spans="1:18" x14ac:dyDescent="0.25">
      <c r="A18" s="2">
        <v>13</v>
      </c>
      <c r="B18" s="3" t="str">
        <f t="shared" si="1"/>
        <v>1</v>
      </c>
      <c r="C18" s="3" t="str">
        <f t="shared" si="2"/>
        <v>0</v>
      </c>
      <c r="D18" s="3">
        <f t="shared" si="2"/>
        <v>1</v>
      </c>
      <c r="E18" s="3">
        <f t="shared" si="2"/>
        <v>1</v>
      </c>
      <c r="F18" s="3">
        <f t="shared" si="2"/>
        <v>0</v>
      </c>
      <c r="G18" s="3">
        <f t="shared" si="2"/>
        <v>0</v>
      </c>
      <c r="H18" s="3">
        <f t="shared" si="3"/>
        <v>0</v>
      </c>
      <c r="I18" s="3">
        <f t="shared" si="3"/>
        <v>0</v>
      </c>
      <c r="J18" s="3">
        <f t="shared" si="3"/>
        <v>0</v>
      </c>
      <c r="K18" s="3">
        <f t="shared" si="3"/>
        <v>1</v>
      </c>
      <c r="L18" s="3">
        <f t="shared" si="3"/>
        <v>0</v>
      </c>
      <c r="M18" s="3">
        <f t="shared" si="3"/>
        <v>1</v>
      </c>
      <c r="N18" s="3">
        <f t="shared" si="3"/>
        <v>0</v>
      </c>
      <c r="O18" s="3">
        <f t="shared" si="3"/>
        <v>0</v>
      </c>
      <c r="P18" s="3">
        <f t="shared" si="5"/>
        <v>1</v>
      </c>
      <c r="Q18" s="3">
        <f t="shared" si="4"/>
        <v>1</v>
      </c>
      <c r="R18" s="3">
        <f t="shared" si="4"/>
        <v>0</v>
      </c>
    </row>
    <row r="19" spans="1:18" x14ac:dyDescent="0.25">
      <c r="A19" s="2">
        <v>14</v>
      </c>
      <c r="B19" s="3" t="str">
        <f t="shared" si="1"/>
        <v>1</v>
      </c>
      <c r="C19" s="3" t="str">
        <f t="shared" si="2"/>
        <v>1</v>
      </c>
      <c r="D19" s="3">
        <f t="shared" si="2"/>
        <v>1</v>
      </c>
      <c r="E19" s="3">
        <f t="shared" si="2"/>
        <v>1</v>
      </c>
      <c r="F19" s="3">
        <f t="shared" si="2"/>
        <v>1</v>
      </c>
      <c r="G19" s="3">
        <f t="shared" si="2"/>
        <v>1</v>
      </c>
      <c r="H19" s="3">
        <f t="shared" si="3"/>
        <v>1</v>
      </c>
      <c r="I19" s="3">
        <f t="shared" si="3"/>
        <v>0</v>
      </c>
      <c r="J19" s="3">
        <f t="shared" si="3"/>
        <v>1</v>
      </c>
      <c r="K19" s="3">
        <f t="shared" si="3"/>
        <v>1</v>
      </c>
      <c r="L19" s="3">
        <f t="shared" si="3"/>
        <v>0</v>
      </c>
      <c r="M19" s="3">
        <f t="shared" si="3"/>
        <v>0</v>
      </c>
      <c r="N19" s="3">
        <f t="shared" si="3"/>
        <v>1</v>
      </c>
      <c r="O19" s="3">
        <f t="shared" si="3"/>
        <v>1</v>
      </c>
      <c r="P19" s="3">
        <f t="shared" si="5"/>
        <v>0</v>
      </c>
      <c r="Q19" s="3">
        <f t="shared" si="4"/>
        <v>0</v>
      </c>
      <c r="R19" s="3">
        <f t="shared" si="4"/>
        <v>1</v>
      </c>
    </row>
    <row r="20" spans="1:18" x14ac:dyDescent="0.25">
      <c r="A20" s="2">
        <v>15</v>
      </c>
      <c r="B20" s="3" t="str">
        <f t="shared" si="1"/>
        <v>1</v>
      </c>
      <c r="C20" s="3" t="str">
        <f t="shared" si="2"/>
        <v>0</v>
      </c>
      <c r="D20" s="3">
        <f t="shared" si="2"/>
        <v>1</v>
      </c>
      <c r="E20" s="3">
        <f t="shared" si="2"/>
        <v>0</v>
      </c>
      <c r="F20" s="3">
        <f t="shared" si="2"/>
        <v>0</v>
      </c>
      <c r="G20" s="3">
        <f t="shared" si="2"/>
        <v>0</v>
      </c>
      <c r="H20" s="3">
        <f t="shared" si="3"/>
        <v>1</v>
      </c>
      <c r="I20" s="3">
        <f t="shared" si="3"/>
        <v>0</v>
      </c>
      <c r="J20" s="3">
        <f t="shared" si="3"/>
        <v>1</v>
      </c>
      <c r="K20" s="3">
        <f t="shared" si="3"/>
        <v>0</v>
      </c>
      <c r="L20" s="3">
        <f t="shared" si="3"/>
        <v>0</v>
      </c>
      <c r="M20" s="3">
        <f t="shared" si="3"/>
        <v>0</v>
      </c>
      <c r="N20" s="3">
        <f t="shared" si="3"/>
        <v>1</v>
      </c>
      <c r="O20" s="3">
        <f t="shared" si="3"/>
        <v>1</v>
      </c>
      <c r="P20" s="3">
        <f t="shared" si="5"/>
        <v>0</v>
      </c>
      <c r="Q20" s="3">
        <f t="shared" si="4"/>
        <v>1</v>
      </c>
      <c r="R20" s="3">
        <f t="shared" si="4"/>
        <v>1</v>
      </c>
    </row>
    <row r="21" spans="1:18" x14ac:dyDescent="0.25">
      <c r="A21" s="2">
        <v>16</v>
      </c>
      <c r="B21" s="3" t="str">
        <f t="shared" si="1"/>
        <v>0</v>
      </c>
      <c r="C21" s="3" t="str">
        <f t="shared" si="2"/>
        <v>0</v>
      </c>
      <c r="D21" s="3">
        <f t="shared" si="2"/>
        <v>1</v>
      </c>
      <c r="E21" s="3">
        <f t="shared" si="2"/>
        <v>0</v>
      </c>
      <c r="F21" s="3">
        <f t="shared" si="2"/>
        <v>0</v>
      </c>
      <c r="G21" s="3">
        <f t="shared" si="2"/>
        <v>1</v>
      </c>
      <c r="H21" s="3">
        <f t="shared" si="3"/>
        <v>0</v>
      </c>
      <c r="I21" s="3">
        <f t="shared" si="3"/>
        <v>1</v>
      </c>
      <c r="J21" s="3">
        <f t="shared" si="3"/>
        <v>1</v>
      </c>
      <c r="K21" s="3">
        <f t="shared" si="3"/>
        <v>0</v>
      </c>
      <c r="L21" s="3">
        <f t="shared" si="3"/>
        <v>1</v>
      </c>
      <c r="M21" s="3">
        <f t="shared" si="3"/>
        <v>1</v>
      </c>
      <c r="N21" s="3">
        <f t="shared" si="3"/>
        <v>1</v>
      </c>
      <c r="O21" s="3">
        <f t="shared" si="3"/>
        <v>0</v>
      </c>
      <c r="P21" s="3">
        <f t="shared" si="5"/>
        <v>1</v>
      </c>
      <c r="Q21" s="3">
        <f t="shared" si="4"/>
        <v>0</v>
      </c>
      <c r="R21" s="3">
        <f t="shared" si="4"/>
        <v>0</v>
      </c>
    </row>
    <row r="22" spans="1:18" x14ac:dyDescent="0.25">
      <c r="A22" s="2">
        <v>17</v>
      </c>
      <c r="B22" s="3" t="str">
        <f t="shared" si="1"/>
        <v>1</v>
      </c>
      <c r="C22" s="3" t="str">
        <f t="shared" si="2"/>
        <v>1</v>
      </c>
      <c r="D22" s="3">
        <f t="shared" si="2"/>
        <v>1</v>
      </c>
      <c r="E22" s="3">
        <f t="shared" si="2"/>
        <v>0</v>
      </c>
      <c r="F22" s="3">
        <f t="shared" si="2"/>
        <v>1</v>
      </c>
      <c r="G22" s="3">
        <f t="shared" si="2"/>
        <v>0</v>
      </c>
      <c r="H22" s="3">
        <f t="shared" si="3"/>
        <v>1</v>
      </c>
      <c r="I22" s="3">
        <f t="shared" si="3"/>
        <v>0</v>
      </c>
      <c r="J22" s="3">
        <f t="shared" si="3"/>
        <v>1</v>
      </c>
      <c r="K22" s="3">
        <f t="shared" si="3"/>
        <v>1</v>
      </c>
      <c r="L22" s="3">
        <f t="shared" si="3"/>
        <v>1</v>
      </c>
      <c r="M22" s="3">
        <f t="shared" si="3"/>
        <v>1</v>
      </c>
      <c r="N22" s="3">
        <f t="shared" si="3"/>
        <v>1</v>
      </c>
      <c r="O22" s="3">
        <f t="shared" si="3"/>
        <v>0</v>
      </c>
      <c r="P22" s="3">
        <f t="shared" si="5"/>
        <v>1</v>
      </c>
      <c r="Q22" s="3">
        <f t="shared" si="4"/>
        <v>0</v>
      </c>
      <c r="R22" s="3">
        <f t="shared" si="4"/>
        <v>1</v>
      </c>
    </row>
    <row r="23" spans="1:18" x14ac:dyDescent="0.25">
      <c r="A23" s="2">
        <v>18</v>
      </c>
      <c r="B23" s="3" t="str">
        <f t="shared" si="1"/>
        <v>1</v>
      </c>
      <c r="C23" s="3" t="str">
        <f t="shared" si="2"/>
        <v>1</v>
      </c>
      <c r="D23" s="3">
        <f t="shared" si="2"/>
        <v>0</v>
      </c>
      <c r="E23" s="3">
        <f t="shared" si="2"/>
        <v>1</v>
      </c>
      <c r="F23" s="3">
        <f t="shared" si="2"/>
        <v>0</v>
      </c>
      <c r="G23" s="3">
        <f t="shared" si="2"/>
        <v>0</v>
      </c>
      <c r="H23" s="3">
        <f t="shared" si="3"/>
        <v>0</v>
      </c>
      <c r="I23" s="3">
        <f t="shared" si="3"/>
        <v>0</v>
      </c>
      <c r="J23" s="3">
        <f t="shared" si="3"/>
        <v>0</v>
      </c>
      <c r="K23" s="3">
        <f t="shared" si="3"/>
        <v>1</v>
      </c>
      <c r="L23" s="3">
        <f t="shared" si="3"/>
        <v>0</v>
      </c>
      <c r="M23" s="3">
        <f t="shared" si="3"/>
        <v>1</v>
      </c>
      <c r="N23" s="3">
        <f t="shared" si="3"/>
        <v>1</v>
      </c>
      <c r="O23" s="3">
        <f t="shared" si="3"/>
        <v>1</v>
      </c>
      <c r="P23" s="3">
        <f t="shared" si="5"/>
        <v>1</v>
      </c>
      <c r="Q23" s="3">
        <f t="shared" si="4"/>
        <v>0</v>
      </c>
      <c r="R23" s="3">
        <f t="shared" si="4"/>
        <v>1</v>
      </c>
    </row>
    <row r="24" spans="1:18" x14ac:dyDescent="0.25">
      <c r="A24" s="2">
        <v>19</v>
      </c>
      <c r="B24" s="3" t="str">
        <f t="shared" si="1"/>
        <v>0</v>
      </c>
      <c r="C24" s="3" t="str">
        <f t="shared" si="2"/>
        <v>1</v>
      </c>
      <c r="D24" s="3">
        <f t="shared" si="2"/>
        <v>1</v>
      </c>
      <c r="E24" s="3">
        <f t="shared" si="2"/>
        <v>1</v>
      </c>
      <c r="F24" s="3">
        <f t="shared" si="2"/>
        <v>0</v>
      </c>
      <c r="G24" s="3">
        <f t="shared" si="2"/>
        <v>1</v>
      </c>
      <c r="H24" s="3">
        <f t="shared" si="3"/>
        <v>1</v>
      </c>
      <c r="I24" s="3">
        <f t="shared" si="3"/>
        <v>0</v>
      </c>
      <c r="J24" s="3">
        <f t="shared" si="3"/>
        <v>0</v>
      </c>
      <c r="K24" s="3">
        <f t="shared" si="3"/>
        <v>1</v>
      </c>
      <c r="L24" s="3">
        <f t="shared" si="3"/>
        <v>0</v>
      </c>
      <c r="M24" s="3">
        <f t="shared" si="3"/>
        <v>1</v>
      </c>
      <c r="N24" s="3">
        <f t="shared" si="3"/>
        <v>1</v>
      </c>
      <c r="O24" s="3">
        <f t="shared" si="3"/>
        <v>0</v>
      </c>
      <c r="P24" s="3">
        <f t="shared" si="5"/>
        <v>0</v>
      </c>
      <c r="Q24" s="3">
        <f t="shared" si="4"/>
        <v>1</v>
      </c>
      <c r="R24" s="3">
        <f t="shared" si="4"/>
        <v>0</v>
      </c>
    </row>
    <row r="25" spans="1:18" x14ac:dyDescent="0.25">
      <c r="A25" s="2">
        <v>20</v>
      </c>
      <c r="B25" s="3" t="str">
        <f t="shared" si="1"/>
        <v>0</v>
      </c>
      <c r="C25" s="3" t="str">
        <f t="shared" si="2"/>
        <v>1</v>
      </c>
      <c r="D25" s="3">
        <f t="shared" si="2"/>
        <v>0</v>
      </c>
      <c r="E25" s="3">
        <f t="shared" si="2"/>
        <v>1</v>
      </c>
      <c r="F25" s="3">
        <f t="shared" si="2"/>
        <v>0</v>
      </c>
      <c r="G25" s="3">
        <f t="shared" si="2"/>
        <v>0</v>
      </c>
      <c r="H25" s="3">
        <f t="shared" si="3"/>
        <v>1</v>
      </c>
      <c r="I25" s="3">
        <f t="shared" si="3"/>
        <v>1</v>
      </c>
      <c r="J25" s="3">
        <f t="shared" si="3"/>
        <v>1</v>
      </c>
      <c r="K25" s="3">
        <f t="shared" si="3"/>
        <v>1</v>
      </c>
      <c r="L25" s="3">
        <f t="shared" si="3"/>
        <v>1</v>
      </c>
      <c r="M25" s="3">
        <f t="shared" si="3"/>
        <v>1</v>
      </c>
      <c r="N25" s="3">
        <f t="shared" si="3"/>
        <v>0</v>
      </c>
      <c r="O25" s="3">
        <f t="shared" si="3"/>
        <v>1</v>
      </c>
      <c r="P25" s="3">
        <f t="shared" si="5"/>
        <v>0</v>
      </c>
      <c r="Q25" s="3">
        <f t="shared" si="4"/>
        <v>0</v>
      </c>
      <c r="R25" s="3">
        <f t="shared" si="4"/>
        <v>1</v>
      </c>
    </row>
    <row r="26" spans="1:18" x14ac:dyDescent="0.25">
      <c r="A26" s="2">
        <v>21</v>
      </c>
      <c r="B26" s="3" t="str">
        <f t="shared" si="1"/>
        <v>1</v>
      </c>
      <c r="C26" s="3" t="str">
        <f t="shared" si="2"/>
        <v>0</v>
      </c>
      <c r="D26" s="3">
        <f t="shared" si="2"/>
        <v>1</v>
      </c>
      <c r="E26" s="3">
        <f t="shared" si="2"/>
        <v>1</v>
      </c>
      <c r="F26" s="3">
        <f t="shared" si="2"/>
        <v>1</v>
      </c>
      <c r="G26" s="3">
        <f t="shared" si="2"/>
        <v>1</v>
      </c>
      <c r="H26" s="3">
        <f t="shared" si="3"/>
        <v>1</v>
      </c>
      <c r="I26" s="3">
        <f t="shared" si="3"/>
        <v>0</v>
      </c>
      <c r="J26" s="3">
        <f t="shared" si="3"/>
        <v>1</v>
      </c>
      <c r="K26" s="3">
        <f t="shared" si="3"/>
        <v>1</v>
      </c>
      <c r="L26" s="3">
        <f t="shared" si="3"/>
        <v>1</v>
      </c>
      <c r="M26" s="3">
        <f t="shared" si="3"/>
        <v>0</v>
      </c>
      <c r="N26" s="3">
        <f t="shared" si="3"/>
        <v>1</v>
      </c>
      <c r="O26" s="3">
        <f t="shared" si="3"/>
        <v>0</v>
      </c>
      <c r="P26" s="3">
        <f t="shared" si="5"/>
        <v>0</v>
      </c>
      <c r="Q26" s="3">
        <f t="shared" si="4"/>
        <v>1</v>
      </c>
      <c r="R26" s="3">
        <f t="shared" si="4"/>
        <v>1</v>
      </c>
    </row>
    <row r="27" spans="1:18" x14ac:dyDescent="0.25">
      <c r="A27" s="2">
        <v>22</v>
      </c>
      <c r="B27" s="3" t="str">
        <f t="shared" si="1"/>
        <v>1</v>
      </c>
      <c r="C27" s="3" t="str">
        <f t="shared" si="2"/>
        <v>0</v>
      </c>
      <c r="D27" s="3">
        <f t="shared" si="2"/>
        <v>1</v>
      </c>
      <c r="E27" s="3">
        <f t="shared" si="2"/>
        <v>1</v>
      </c>
      <c r="F27" s="3">
        <f t="shared" si="2"/>
        <v>0</v>
      </c>
      <c r="G27" s="3">
        <f t="shared" si="2"/>
        <v>1</v>
      </c>
      <c r="H27" s="3">
        <f t="shared" si="3"/>
        <v>1</v>
      </c>
      <c r="I27" s="3">
        <f t="shared" si="3"/>
        <v>1</v>
      </c>
      <c r="J27" s="3">
        <f t="shared" si="3"/>
        <v>1</v>
      </c>
      <c r="K27" s="3">
        <f t="shared" si="3"/>
        <v>0</v>
      </c>
      <c r="L27" s="3">
        <f t="shared" si="3"/>
        <v>1</v>
      </c>
      <c r="M27" s="3">
        <f t="shared" si="3"/>
        <v>0</v>
      </c>
      <c r="N27" s="3">
        <f t="shared" si="3"/>
        <v>1</v>
      </c>
      <c r="O27" s="3">
        <f t="shared" si="3"/>
        <v>0</v>
      </c>
      <c r="P27" s="3">
        <f t="shared" si="5"/>
        <v>1</v>
      </c>
      <c r="Q27" s="3">
        <f t="shared" si="4"/>
        <v>0</v>
      </c>
      <c r="R27" s="3">
        <f t="shared" si="4"/>
        <v>0</v>
      </c>
    </row>
    <row r="28" spans="1:18" x14ac:dyDescent="0.25">
      <c r="A28" s="2">
        <v>23</v>
      </c>
      <c r="B28" s="3" t="str">
        <f t="shared" si="1"/>
        <v>0</v>
      </c>
      <c r="C28" s="3" t="str">
        <f t="shared" si="2"/>
        <v>0</v>
      </c>
      <c r="D28" s="3">
        <f t="shared" si="2"/>
        <v>0</v>
      </c>
      <c r="E28" s="3">
        <f t="shared" si="2"/>
        <v>0</v>
      </c>
      <c r="F28" s="3">
        <f t="shared" si="2"/>
        <v>1</v>
      </c>
      <c r="G28" s="3">
        <f t="shared" si="2"/>
        <v>0</v>
      </c>
      <c r="H28" s="3">
        <f t="shared" si="3"/>
        <v>0</v>
      </c>
      <c r="I28" s="3">
        <f t="shared" si="3"/>
        <v>1</v>
      </c>
      <c r="J28" s="3">
        <f t="shared" si="3"/>
        <v>1</v>
      </c>
      <c r="K28" s="3">
        <f t="shared" si="3"/>
        <v>1</v>
      </c>
      <c r="L28" s="3">
        <f t="shared" si="3"/>
        <v>1</v>
      </c>
      <c r="M28" s="3">
        <f t="shared" si="3"/>
        <v>1</v>
      </c>
      <c r="N28" s="3">
        <f t="shared" si="3"/>
        <v>1</v>
      </c>
      <c r="O28" s="3">
        <f t="shared" si="3"/>
        <v>0</v>
      </c>
      <c r="P28" s="3">
        <f t="shared" si="5"/>
        <v>1</v>
      </c>
      <c r="Q28" s="3">
        <f t="shared" si="4"/>
        <v>1</v>
      </c>
      <c r="R28" s="3">
        <f t="shared" si="4"/>
        <v>1</v>
      </c>
    </row>
    <row r="29" spans="1:18" x14ac:dyDescent="0.25">
      <c r="A29" s="2">
        <v>24</v>
      </c>
      <c r="B29" s="3" t="str">
        <f t="shared" si="1"/>
        <v>0</v>
      </c>
      <c r="C29" s="3" t="str">
        <f t="shared" si="2"/>
        <v>0</v>
      </c>
      <c r="D29" s="3">
        <f t="shared" si="2"/>
        <v>1</v>
      </c>
      <c r="E29" s="3">
        <f t="shared" si="2"/>
        <v>1</v>
      </c>
      <c r="F29" s="3">
        <f t="shared" si="2"/>
        <v>1</v>
      </c>
      <c r="G29" s="3">
        <f t="shared" si="2"/>
        <v>1</v>
      </c>
      <c r="H29" s="3">
        <f t="shared" si="3"/>
        <v>0</v>
      </c>
      <c r="I29" s="3">
        <f t="shared" si="3"/>
        <v>0</v>
      </c>
      <c r="J29" s="3">
        <f t="shared" si="3"/>
        <v>1</v>
      </c>
      <c r="K29" s="3">
        <f t="shared" si="3"/>
        <v>0</v>
      </c>
      <c r="L29" s="3">
        <f t="shared" si="3"/>
        <v>1</v>
      </c>
      <c r="M29" s="3">
        <f t="shared" si="3"/>
        <v>0</v>
      </c>
      <c r="N29" s="3">
        <f t="shared" si="3"/>
        <v>0</v>
      </c>
      <c r="O29" s="3">
        <f t="shared" si="3"/>
        <v>1</v>
      </c>
      <c r="P29" s="3">
        <f t="shared" si="5"/>
        <v>0</v>
      </c>
      <c r="Q29" s="3">
        <f t="shared" si="4"/>
        <v>1</v>
      </c>
      <c r="R29" s="3">
        <f t="shared" si="4"/>
        <v>1</v>
      </c>
    </row>
    <row r="30" spans="1:18" x14ac:dyDescent="0.25">
      <c r="A30" s="2">
        <v>25</v>
      </c>
      <c r="B30" s="3" t="str">
        <f t="shared" si="1"/>
        <v>0</v>
      </c>
      <c r="C30" s="3" t="str">
        <f t="shared" si="2"/>
        <v>1</v>
      </c>
      <c r="D30" s="3">
        <f t="shared" si="2"/>
        <v>1</v>
      </c>
      <c r="E30" s="3">
        <f t="shared" si="2"/>
        <v>1</v>
      </c>
      <c r="F30" s="3">
        <f t="shared" si="2"/>
        <v>0</v>
      </c>
      <c r="G30" s="3">
        <f t="shared" si="2"/>
        <v>0</v>
      </c>
      <c r="H30" s="3">
        <f t="shared" si="3"/>
        <v>1</v>
      </c>
      <c r="I30" s="3">
        <f t="shared" si="3"/>
        <v>0</v>
      </c>
      <c r="J30" s="3">
        <f t="shared" si="3"/>
        <v>0</v>
      </c>
      <c r="K30" s="3">
        <f t="shared" si="3"/>
        <v>1</v>
      </c>
      <c r="L30" s="3">
        <f t="shared" si="3"/>
        <v>1</v>
      </c>
      <c r="M30" s="3">
        <f t="shared" si="3"/>
        <v>0</v>
      </c>
      <c r="N30" s="3">
        <f t="shared" si="3"/>
        <v>1</v>
      </c>
      <c r="O30" s="3">
        <f t="shared" si="3"/>
        <v>1</v>
      </c>
      <c r="P30" s="3">
        <f t="shared" si="5"/>
        <v>1</v>
      </c>
      <c r="Q30" s="3">
        <f t="shared" si="4"/>
        <v>1</v>
      </c>
      <c r="R30" s="3">
        <f t="shared" si="4"/>
        <v>1</v>
      </c>
    </row>
    <row r="31" spans="1:18" x14ac:dyDescent="0.25">
      <c r="A31" s="2">
        <v>26</v>
      </c>
      <c r="B31" s="3" t="str">
        <f t="shared" si="1"/>
        <v>0</v>
      </c>
      <c r="C31" s="3" t="str">
        <f t="shared" si="2"/>
        <v>0</v>
      </c>
      <c r="D31" s="3">
        <f t="shared" si="2"/>
        <v>0</v>
      </c>
      <c r="E31" s="3">
        <f t="shared" si="2"/>
        <v>0</v>
      </c>
      <c r="F31" s="3">
        <f t="shared" si="2"/>
        <v>0</v>
      </c>
      <c r="G31" s="3">
        <f t="shared" si="2"/>
        <v>0</v>
      </c>
      <c r="H31" s="3">
        <f t="shared" si="3"/>
        <v>1</v>
      </c>
      <c r="I31" s="3">
        <f t="shared" si="3"/>
        <v>0</v>
      </c>
      <c r="J31" s="3">
        <f t="shared" si="3"/>
        <v>1</v>
      </c>
      <c r="K31" s="3">
        <f t="shared" si="3"/>
        <v>0</v>
      </c>
      <c r="L31" s="3">
        <f t="shared" si="3"/>
        <v>1</v>
      </c>
      <c r="M31" s="3">
        <f t="shared" si="3"/>
        <v>1</v>
      </c>
      <c r="N31" s="3">
        <f t="shared" si="3"/>
        <v>0</v>
      </c>
      <c r="O31" s="3">
        <f t="shared" si="3"/>
        <v>1</v>
      </c>
      <c r="P31" s="3">
        <f t="shared" si="5"/>
        <v>0</v>
      </c>
      <c r="Q31" s="3">
        <f t="shared" si="4"/>
        <v>0</v>
      </c>
      <c r="R31" s="3">
        <f t="shared" si="4"/>
        <v>0</v>
      </c>
    </row>
    <row r="32" spans="1:18" x14ac:dyDescent="0.25">
      <c r="A32" s="2">
        <v>27</v>
      </c>
      <c r="B32" s="3" t="str">
        <f t="shared" si="1"/>
        <v>0</v>
      </c>
      <c r="C32" s="3" t="str">
        <f t="shared" si="2"/>
        <v>1</v>
      </c>
      <c r="D32" s="3">
        <f t="shared" si="2"/>
        <v>0</v>
      </c>
      <c r="E32" s="3">
        <f t="shared" si="2"/>
        <v>1</v>
      </c>
      <c r="F32" s="3">
        <f t="shared" si="2"/>
        <v>0</v>
      </c>
      <c r="G32" s="3">
        <f t="shared" si="2"/>
        <v>0</v>
      </c>
      <c r="H32" s="3">
        <f t="shared" si="3"/>
        <v>1</v>
      </c>
      <c r="I32" s="3">
        <f t="shared" si="3"/>
        <v>1</v>
      </c>
      <c r="J32" s="3">
        <f t="shared" si="3"/>
        <v>0</v>
      </c>
      <c r="K32" s="3">
        <f t="shared" si="3"/>
        <v>0</v>
      </c>
      <c r="L32" s="3">
        <f t="shared" si="3"/>
        <v>1</v>
      </c>
      <c r="M32" s="3">
        <f t="shared" si="3"/>
        <v>1</v>
      </c>
      <c r="N32" s="3">
        <f t="shared" si="3"/>
        <v>1</v>
      </c>
      <c r="O32" s="3">
        <f t="shared" si="3"/>
        <v>0</v>
      </c>
      <c r="P32" s="3">
        <f t="shared" si="5"/>
        <v>1</v>
      </c>
      <c r="Q32" s="3">
        <f t="shared" si="4"/>
        <v>0</v>
      </c>
      <c r="R32" s="3">
        <f t="shared" si="4"/>
        <v>1</v>
      </c>
    </row>
    <row r="33" spans="1:18" x14ac:dyDescent="0.25">
      <c r="A33" s="2">
        <v>28</v>
      </c>
      <c r="B33" s="3" t="str">
        <f t="shared" si="1"/>
        <v>0</v>
      </c>
      <c r="C33" s="3" t="str">
        <f t="shared" si="2"/>
        <v>0</v>
      </c>
      <c r="D33" s="3">
        <f t="shared" si="2"/>
        <v>1</v>
      </c>
      <c r="E33" s="3">
        <f t="shared" si="2"/>
        <v>0</v>
      </c>
      <c r="F33" s="3">
        <f t="shared" si="2"/>
        <v>0</v>
      </c>
      <c r="G33" s="3">
        <f t="shared" si="2"/>
        <v>1</v>
      </c>
      <c r="H33" s="3">
        <f t="shared" si="3"/>
        <v>1</v>
      </c>
      <c r="I33" s="3">
        <f t="shared" si="3"/>
        <v>1</v>
      </c>
      <c r="J33" s="3">
        <f t="shared" si="3"/>
        <v>1</v>
      </c>
      <c r="K33" s="3">
        <f t="shared" si="3"/>
        <v>0</v>
      </c>
      <c r="L33" s="3">
        <f t="shared" si="3"/>
        <v>0</v>
      </c>
      <c r="M33" s="3">
        <f t="shared" si="3"/>
        <v>0</v>
      </c>
      <c r="N33" s="3">
        <f t="shared" si="3"/>
        <v>0</v>
      </c>
      <c r="O33" s="3">
        <f t="shared" si="3"/>
        <v>0</v>
      </c>
      <c r="P33" s="3">
        <f t="shared" si="5"/>
        <v>0</v>
      </c>
      <c r="Q33" s="3">
        <f t="shared" si="4"/>
        <v>0</v>
      </c>
      <c r="R33" s="3">
        <f t="shared" si="4"/>
        <v>1</v>
      </c>
    </row>
    <row r="34" spans="1:18" x14ac:dyDescent="0.25">
      <c r="A34" s="2">
        <v>29</v>
      </c>
      <c r="B34" s="3" t="str">
        <f t="shared" si="1"/>
        <v>0</v>
      </c>
      <c r="C34" s="3" t="str">
        <f t="shared" si="2"/>
        <v>1</v>
      </c>
      <c r="D34" s="3">
        <f t="shared" si="2"/>
        <v>1</v>
      </c>
      <c r="E34" s="3">
        <f t="shared" si="2"/>
        <v>0</v>
      </c>
      <c r="F34" s="3">
        <f t="shared" si="2"/>
        <v>1</v>
      </c>
      <c r="G34" s="3">
        <f t="shared" si="2"/>
        <v>0</v>
      </c>
      <c r="H34" s="3">
        <f t="shared" si="3"/>
        <v>0</v>
      </c>
      <c r="I34" s="3">
        <f t="shared" si="3"/>
        <v>0</v>
      </c>
      <c r="J34" s="3">
        <f t="shared" si="3"/>
        <v>0</v>
      </c>
      <c r="K34" s="3">
        <f t="shared" si="3"/>
        <v>1</v>
      </c>
      <c r="L34" s="3">
        <f t="shared" si="3"/>
        <v>0</v>
      </c>
      <c r="M34" s="3">
        <f t="shared" si="3"/>
        <v>1</v>
      </c>
      <c r="N34" s="3">
        <f t="shared" si="3"/>
        <v>0</v>
      </c>
      <c r="O34" s="3">
        <f t="shared" si="3"/>
        <v>1</v>
      </c>
      <c r="P34" s="3">
        <f t="shared" si="5"/>
        <v>0</v>
      </c>
      <c r="Q34" s="3">
        <f t="shared" si="4"/>
        <v>0</v>
      </c>
      <c r="R34" s="3">
        <f t="shared" si="4"/>
        <v>0</v>
      </c>
    </row>
    <row r="35" spans="1:18" x14ac:dyDescent="0.25">
      <c r="A35" s="2">
        <v>30</v>
      </c>
      <c r="B35" s="3" t="str">
        <f t="shared" si="1"/>
        <v>0</v>
      </c>
      <c r="C35" s="3" t="str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3">
        <f t="shared" si="3"/>
        <v>1</v>
      </c>
      <c r="I35" s="3">
        <f t="shared" si="3"/>
        <v>1</v>
      </c>
      <c r="J35" s="3">
        <f t="shared" si="3"/>
        <v>1</v>
      </c>
      <c r="K35" s="3">
        <f t="shared" si="3"/>
        <v>1</v>
      </c>
      <c r="L35" s="3">
        <f t="shared" si="3"/>
        <v>1</v>
      </c>
      <c r="M35" s="3">
        <f t="shared" si="3"/>
        <v>0</v>
      </c>
      <c r="N35" s="3">
        <f t="shared" si="3"/>
        <v>0</v>
      </c>
      <c r="O35" s="3">
        <f t="shared" si="3"/>
        <v>1</v>
      </c>
      <c r="P35" s="3">
        <f t="shared" si="5"/>
        <v>1</v>
      </c>
      <c r="Q35" s="3">
        <f t="shared" si="4"/>
        <v>1</v>
      </c>
      <c r="R35" s="3">
        <f t="shared" si="4"/>
        <v>1</v>
      </c>
    </row>
    <row r="36" spans="1:18" x14ac:dyDescent="0.25">
      <c r="A36" s="2">
        <v>31</v>
      </c>
      <c r="B36" s="3" t="str">
        <f t="shared" si="1"/>
        <v>0</v>
      </c>
      <c r="C36" s="3" t="str">
        <f t="shared" si="2"/>
        <v>1</v>
      </c>
      <c r="D36" s="3">
        <f t="shared" si="2"/>
        <v>1</v>
      </c>
      <c r="E36" s="3">
        <f t="shared" si="2"/>
        <v>0</v>
      </c>
      <c r="F36" s="3">
        <f t="shared" si="2"/>
        <v>0</v>
      </c>
      <c r="G36" s="3">
        <f t="shared" si="2"/>
        <v>1</v>
      </c>
      <c r="H36" s="3">
        <f t="shared" si="3"/>
        <v>0</v>
      </c>
      <c r="I36" s="3">
        <f t="shared" si="3"/>
        <v>1</v>
      </c>
      <c r="J36" s="3">
        <f t="shared" si="3"/>
        <v>1</v>
      </c>
      <c r="K36" s="3">
        <f t="shared" si="3"/>
        <v>1</v>
      </c>
      <c r="L36" s="3">
        <f t="shared" si="3"/>
        <v>1</v>
      </c>
      <c r="M36" s="3">
        <f t="shared" si="3"/>
        <v>1</v>
      </c>
      <c r="N36" s="3">
        <f t="shared" si="3"/>
        <v>0</v>
      </c>
      <c r="O36" s="3">
        <f t="shared" si="3"/>
        <v>1</v>
      </c>
      <c r="P36" s="3">
        <f t="shared" si="5"/>
        <v>1</v>
      </c>
      <c r="Q36" s="3">
        <f t="shared" si="4"/>
        <v>1</v>
      </c>
      <c r="R36" s="3">
        <f t="shared" si="4"/>
        <v>1</v>
      </c>
    </row>
    <row r="37" spans="1:18" x14ac:dyDescent="0.25">
      <c r="A37" s="2">
        <v>32</v>
      </c>
      <c r="B37" s="3" t="str">
        <f t="shared" si="1"/>
        <v>0</v>
      </c>
      <c r="C37" s="3" t="str">
        <f t="shared" si="2"/>
        <v>0</v>
      </c>
      <c r="D37" s="3">
        <f t="shared" si="2"/>
        <v>0</v>
      </c>
      <c r="E37" s="3">
        <f t="shared" si="2"/>
        <v>1</v>
      </c>
      <c r="F37" s="3">
        <f t="shared" si="2"/>
        <v>0</v>
      </c>
      <c r="G37" s="3">
        <f t="shared" si="2"/>
        <v>1</v>
      </c>
      <c r="H37" s="3">
        <f t="shared" si="3"/>
        <v>1</v>
      </c>
      <c r="I37" s="3">
        <f t="shared" si="3"/>
        <v>0</v>
      </c>
      <c r="J37" s="3">
        <f t="shared" si="3"/>
        <v>1</v>
      </c>
      <c r="K37" s="3">
        <f t="shared" si="3"/>
        <v>0</v>
      </c>
      <c r="L37" s="3">
        <f t="shared" si="3"/>
        <v>0</v>
      </c>
      <c r="M37" s="3">
        <f t="shared" si="3"/>
        <v>0</v>
      </c>
      <c r="N37" s="3">
        <f t="shared" si="3"/>
        <v>0</v>
      </c>
      <c r="O37" s="3">
        <f t="shared" si="3"/>
        <v>1</v>
      </c>
      <c r="P37" s="3">
        <f t="shared" si="5"/>
        <v>0</v>
      </c>
      <c r="Q37" s="3">
        <f t="shared" si="4"/>
        <v>1</v>
      </c>
      <c r="R37" s="3">
        <f t="shared" si="4"/>
        <v>1</v>
      </c>
    </row>
    <row r="40" spans="1:18" x14ac:dyDescent="0.25">
      <c r="A40" s="2" t="s">
        <v>6</v>
      </c>
      <c r="B40" s="2" t="s">
        <v>117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36</v>
      </c>
      <c r="J40" s="2" t="s">
        <v>37</v>
      </c>
      <c r="K40" s="2" t="s">
        <v>38</v>
      </c>
      <c r="L40" s="2" t="s">
        <v>39</v>
      </c>
      <c r="M40" s="2" t="s">
        <v>40</v>
      </c>
      <c r="N40" s="2" t="s">
        <v>41</v>
      </c>
      <c r="O40" s="2" t="s">
        <v>42</v>
      </c>
      <c r="P40" s="2" t="s">
        <v>43</v>
      </c>
      <c r="Q40" s="2" t="s">
        <v>44</v>
      </c>
      <c r="R40" s="2" t="s">
        <v>45</v>
      </c>
    </row>
    <row r="41" spans="1:18" x14ac:dyDescent="0.25">
      <c r="A41" s="2">
        <v>1</v>
      </c>
      <c r="B41" s="3" t="str">
        <f>MID($H$3, ROW(A1),1)</f>
        <v>1</v>
      </c>
      <c r="C41" s="3">
        <f>MOD(B6 + MID('E(Ri) XOR ki+1'!$H$85, ROW(R0_L0!A1),1),2)</f>
        <v>0</v>
      </c>
      <c r="D41" s="3">
        <f>MOD(C6+MID('E(Ri) XOR ki+1'!$H$86,ROW(R0_L0!$A1),1),2)</f>
        <v>0</v>
      </c>
      <c r="E41" s="3">
        <f>MOD(D6+MID('E(Ri) XOR ki+1'!$H$87,ROW(R0_L0!A1),1),2)</f>
        <v>1</v>
      </c>
      <c r="F41" s="3">
        <f>MOD(E6+MID('E(Ri) XOR ki+1'!$H$88,ROW(R0_L0!A1),1),2)</f>
        <v>1</v>
      </c>
      <c r="G41" s="3">
        <f>MOD(F6+MID('E(Ri) XOR ki+1'!$H$89,ROW(R0_L0!$A1),1),2)</f>
        <v>0</v>
      </c>
      <c r="H41" s="3">
        <f>MOD(G6+MID('E(Ri) XOR ki+1'!$H$90,ROW(R0_L0!$A1),1),2)</f>
        <v>0</v>
      </c>
      <c r="I41" s="3">
        <f>MOD(H6+MID('E(Ri) XOR ki+1'!$H$91,ROW(R0_L0!$A1),1),2)</f>
        <v>0</v>
      </c>
      <c r="J41" s="3">
        <f>MOD(I6+MID('E(Ri) XOR ki+1'!$H$92,ROW(R0_L0!$A1),1),2)</f>
        <v>0</v>
      </c>
      <c r="K41" s="3">
        <f>MOD(J6+MID('E(Ri) XOR ki+1'!$H$93,ROW(R0_L0!$A1),1),2)</f>
        <v>1</v>
      </c>
      <c r="L41" s="3">
        <f>MOD(K6+MID('E(Ri) XOR ki+1'!$H$94,ROW(R0_L0!$A1),1),2)</f>
        <v>1</v>
      </c>
      <c r="M41" s="3">
        <f>MOD(L6+MID('E(Ri) XOR ki+1'!$H$95,ROW(R0_L0!$A1),1),2)</f>
        <v>0</v>
      </c>
      <c r="N41" s="3">
        <f>MOD(M6+MID('E(Ri) XOR ki+1'!$H$96,ROW(R0_L0!$A1),1),2)</f>
        <v>1</v>
      </c>
      <c r="O41" s="3">
        <f>MOD(N6+MID('E(Ri) XOR ki+1'!$H$97,ROW(R0_L0!$A1),1),2)</f>
        <v>0</v>
      </c>
      <c r="P41" s="3">
        <f>MOD(O6+MID('E(Ri) XOR ki+1'!$H$98,ROW(R0_L0!$A1),1),2)</f>
        <v>1</v>
      </c>
      <c r="Q41" s="3">
        <f>MOD(P6+MID('E(Ri) XOR ki+1'!$H$99,ROW(R0_L0!$A1),1),2)</f>
        <v>0</v>
      </c>
      <c r="R41" s="3">
        <f>MOD(Q6+MID('E(Ri) XOR ki+1'!$H$100,ROW(R0_L0!$A1),1),2)</f>
        <v>0</v>
      </c>
    </row>
    <row r="42" spans="1:18" x14ac:dyDescent="0.25">
      <c r="A42" s="2">
        <v>2</v>
      </c>
      <c r="B42" s="3" t="str">
        <f t="shared" ref="B42:B72" si="6">MID($H$3, ROW(A2),1)</f>
        <v>1</v>
      </c>
      <c r="C42" s="3">
        <f>MOD(B7 + MID('E(Ri) XOR ki+1'!$H$85, ROW(R0_L0!A2),1),2)</f>
        <v>0</v>
      </c>
      <c r="D42" s="3">
        <f>MOD(C7+MID('E(Ri) XOR ki+1'!$H$86,ROW(R0_L0!$A2),1),2)</f>
        <v>1</v>
      </c>
      <c r="E42" s="3">
        <f>MOD(D7+MID('E(Ri) XOR ki+1'!$H$87,ROW(R0_L0!A2),1),2)</f>
        <v>1</v>
      </c>
      <c r="F42" s="3">
        <f>MOD(E7+MID('E(Ri) XOR ki+1'!$H$88,ROW(R0_L0!A2),1),2)</f>
        <v>0</v>
      </c>
      <c r="G42" s="3">
        <f>MOD(F7+MID('E(Ri) XOR ki+1'!$H$89,ROW(R0_L0!$A2),1),2)</f>
        <v>0</v>
      </c>
      <c r="H42" s="3">
        <f>MOD(G7+MID('E(Ri) XOR ki+1'!$H$90,ROW(R0_L0!$A2),1),2)</f>
        <v>0</v>
      </c>
      <c r="I42" s="3">
        <f>MOD(H7+MID('E(Ri) XOR ki+1'!$H$91,ROW(R0_L0!$A2),1),2)</f>
        <v>1</v>
      </c>
      <c r="J42" s="3">
        <f>MOD(I7+MID('E(Ri) XOR ki+1'!$H$92,ROW(R0_L0!$A2),1),2)</f>
        <v>1</v>
      </c>
      <c r="K42" s="3">
        <f>MOD(J7+MID('E(Ri) XOR ki+1'!$H$93,ROW(R0_L0!$A2),1),2)</f>
        <v>0</v>
      </c>
      <c r="L42" s="3">
        <f>MOD(K7+MID('E(Ri) XOR ki+1'!$H$94,ROW(R0_L0!$A2),1),2)</f>
        <v>0</v>
      </c>
      <c r="M42" s="3">
        <f>MOD(L7+MID('E(Ri) XOR ki+1'!$H$95,ROW(R0_L0!$A2),1),2)</f>
        <v>1</v>
      </c>
      <c r="N42" s="3">
        <f>MOD(M7+MID('E(Ri) XOR ki+1'!$H$96,ROW(R0_L0!$A2),1),2)</f>
        <v>1</v>
      </c>
      <c r="O42" s="3">
        <f>MOD(N7+MID('E(Ri) XOR ki+1'!$H$97,ROW(R0_L0!$A2),1),2)</f>
        <v>0</v>
      </c>
      <c r="P42" s="3">
        <f>MOD(O7+MID('E(Ri) XOR ki+1'!$H$98,ROW(R0_L0!$A2),1),2)</f>
        <v>0</v>
      </c>
      <c r="Q42" s="3">
        <f>MOD(P7+MID('E(Ri) XOR ki+1'!$H$99,ROW(R0_L0!$A2),1),2)</f>
        <v>1</v>
      </c>
      <c r="R42" s="3">
        <f>MOD(Q7+MID('E(Ri) XOR ki+1'!$H$100,ROW(R0_L0!$A2),1),2)</f>
        <v>1</v>
      </c>
    </row>
    <row r="43" spans="1:18" x14ac:dyDescent="0.25">
      <c r="A43" s="2">
        <v>3</v>
      </c>
      <c r="B43" s="3" t="str">
        <f t="shared" si="6"/>
        <v>1</v>
      </c>
      <c r="C43" s="3">
        <f>MOD(B8 + MID('E(Ri) XOR ki+1'!$H$85, ROW(R0_L0!A3),1),2)</f>
        <v>0</v>
      </c>
      <c r="D43" s="3">
        <f>MOD(C8+MID('E(Ri) XOR ki+1'!$H$86,ROW(R0_L0!$A3),1),2)</f>
        <v>1</v>
      </c>
      <c r="E43" s="3">
        <f>MOD(D8+MID('E(Ri) XOR ki+1'!$H$87,ROW(R0_L0!A3),1),2)</f>
        <v>0</v>
      </c>
      <c r="F43" s="3">
        <f>MOD(E8+MID('E(Ri) XOR ki+1'!$H$88,ROW(R0_L0!A3),1),2)</f>
        <v>0</v>
      </c>
      <c r="G43" s="3">
        <f>MOD(F8+MID('E(Ri) XOR ki+1'!$H$89,ROW(R0_L0!$A3),1),2)</f>
        <v>0</v>
      </c>
      <c r="H43" s="3">
        <f>MOD(G8+MID('E(Ri) XOR ki+1'!$H$90,ROW(R0_L0!$A3),1),2)</f>
        <v>1</v>
      </c>
      <c r="I43" s="3">
        <f>MOD(H8+MID('E(Ri) XOR ki+1'!$H$91,ROW(R0_L0!$A3),1),2)</f>
        <v>0</v>
      </c>
      <c r="J43" s="3">
        <f>MOD(I8+MID('E(Ri) XOR ki+1'!$H$92,ROW(R0_L0!$A3),1),2)</f>
        <v>0</v>
      </c>
      <c r="K43" s="3">
        <f>MOD(J8+MID('E(Ri) XOR ki+1'!$H$93,ROW(R0_L0!$A3),1),2)</f>
        <v>1</v>
      </c>
      <c r="L43" s="3">
        <f>MOD(K8+MID('E(Ri) XOR ki+1'!$H$94,ROW(R0_L0!$A3),1),2)</f>
        <v>0</v>
      </c>
      <c r="M43" s="3">
        <f>MOD(L8+MID('E(Ri) XOR ki+1'!$H$95,ROW(R0_L0!$A3),1),2)</f>
        <v>0</v>
      </c>
      <c r="N43" s="3">
        <f>MOD(M8+MID('E(Ri) XOR ki+1'!$H$96,ROW(R0_L0!$A3),1),2)</f>
        <v>1</v>
      </c>
      <c r="O43" s="3">
        <f>MOD(N8+MID('E(Ri) XOR ki+1'!$H$97,ROW(R0_L0!$A3),1),2)</f>
        <v>1</v>
      </c>
      <c r="P43" s="3">
        <f>MOD(O8+MID('E(Ri) XOR ki+1'!$H$98,ROW(R0_L0!$A3),1),2)</f>
        <v>0</v>
      </c>
      <c r="Q43" s="3">
        <f>MOD(P8+MID('E(Ri) XOR ki+1'!$H$99,ROW(R0_L0!$A3),1),2)</f>
        <v>1</v>
      </c>
      <c r="R43" s="3">
        <f>MOD(Q8+MID('E(Ri) XOR ki+1'!$H$100,ROW(R0_L0!$A3),1),2)</f>
        <v>0</v>
      </c>
    </row>
    <row r="44" spans="1:18" x14ac:dyDescent="0.25">
      <c r="A44" s="2">
        <v>4</v>
      </c>
      <c r="B44" s="3" t="str">
        <f t="shared" si="6"/>
        <v>0</v>
      </c>
      <c r="C44" s="3">
        <f>MOD(B9 + MID('E(Ri) XOR ki+1'!$H$85, ROW(R0_L0!A4),1),2)</f>
        <v>0</v>
      </c>
      <c r="D44" s="3">
        <f>MOD(C9+MID('E(Ri) XOR ki+1'!$H$86,ROW(R0_L0!$A4),1),2)</f>
        <v>0</v>
      </c>
      <c r="E44" s="3">
        <f>MOD(D9+MID('E(Ri) XOR ki+1'!$H$87,ROW(R0_L0!A4),1),2)</f>
        <v>1</v>
      </c>
      <c r="F44" s="3">
        <f>MOD(E9+MID('E(Ri) XOR ki+1'!$H$88,ROW(R0_L0!A4),1),2)</f>
        <v>1</v>
      </c>
      <c r="G44" s="3">
        <f>MOD(F9+MID('E(Ri) XOR ki+1'!$H$89,ROW(R0_L0!$A4),1),2)</f>
        <v>0</v>
      </c>
      <c r="H44" s="3">
        <f>MOD(G9+MID('E(Ri) XOR ki+1'!$H$90,ROW(R0_L0!$A4),1),2)</f>
        <v>1</v>
      </c>
      <c r="I44" s="3">
        <f>MOD(H9+MID('E(Ri) XOR ki+1'!$H$91,ROW(R0_L0!$A4),1),2)</f>
        <v>0</v>
      </c>
      <c r="J44" s="3">
        <f>MOD(I9+MID('E(Ri) XOR ki+1'!$H$92,ROW(R0_L0!$A4),1),2)</f>
        <v>1</v>
      </c>
      <c r="K44" s="3">
        <f>MOD(J9+MID('E(Ri) XOR ki+1'!$H$93,ROW(R0_L0!$A4),1),2)</f>
        <v>1</v>
      </c>
      <c r="L44" s="3">
        <f>MOD(K9+MID('E(Ri) XOR ki+1'!$H$94,ROW(R0_L0!$A4),1),2)</f>
        <v>0</v>
      </c>
      <c r="M44" s="3">
        <f>MOD(L9+MID('E(Ri) XOR ki+1'!$H$95,ROW(R0_L0!$A4),1),2)</f>
        <v>0</v>
      </c>
      <c r="N44" s="3">
        <f>MOD(M9+MID('E(Ri) XOR ki+1'!$H$96,ROW(R0_L0!$A4),1),2)</f>
        <v>1</v>
      </c>
      <c r="O44" s="3">
        <f>MOD(N9+MID('E(Ri) XOR ki+1'!$H$97,ROW(R0_L0!$A4),1),2)</f>
        <v>1</v>
      </c>
      <c r="P44" s="3">
        <f>MOD(O9+MID('E(Ri) XOR ki+1'!$H$98,ROW(R0_L0!$A4),1),2)</f>
        <v>1</v>
      </c>
      <c r="Q44" s="3">
        <f>MOD(P9+MID('E(Ri) XOR ki+1'!$H$99,ROW(R0_L0!$A4),1),2)</f>
        <v>0</v>
      </c>
      <c r="R44" s="3">
        <f>MOD(Q9+MID('E(Ri) XOR ki+1'!$H$100,ROW(R0_L0!$A4),1),2)</f>
        <v>1</v>
      </c>
    </row>
    <row r="45" spans="1:18" x14ac:dyDescent="0.25">
      <c r="A45" s="2">
        <v>5</v>
      </c>
      <c r="B45" s="3" t="str">
        <f t="shared" si="6"/>
        <v>0</v>
      </c>
      <c r="C45" s="3">
        <f>MOD(B10 + MID('E(Ri) XOR ki+1'!$H$85, ROW(R0_L0!A5),1),2)</f>
        <v>1</v>
      </c>
      <c r="D45" s="3">
        <f>MOD(C10+MID('E(Ri) XOR ki+1'!$H$86,ROW(R0_L0!$A5),1),2)</f>
        <v>1</v>
      </c>
      <c r="E45" s="3">
        <f>MOD(D10+MID('E(Ri) XOR ki+1'!$H$87,ROW(R0_L0!A5),1),2)</f>
        <v>0</v>
      </c>
      <c r="F45" s="3">
        <f>MOD(E10+MID('E(Ri) XOR ki+1'!$H$88,ROW(R0_L0!A5),1),2)</f>
        <v>1</v>
      </c>
      <c r="G45" s="3">
        <f>MOD(F10+MID('E(Ri) XOR ki+1'!$H$89,ROW(R0_L0!$A5),1),2)</f>
        <v>1</v>
      </c>
      <c r="H45" s="3">
        <f>MOD(G10+MID('E(Ri) XOR ki+1'!$H$90,ROW(R0_L0!$A5),1),2)</f>
        <v>0</v>
      </c>
      <c r="I45" s="3">
        <f>MOD(H10+MID('E(Ri) XOR ki+1'!$H$91,ROW(R0_L0!$A5),1),2)</f>
        <v>0</v>
      </c>
      <c r="J45" s="3">
        <f>MOD(I10+MID('E(Ri) XOR ki+1'!$H$92,ROW(R0_L0!$A5),1),2)</f>
        <v>1</v>
      </c>
      <c r="K45" s="3">
        <f>MOD(J10+MID('E(Ri) XOR ki+1'!$H$93,ROW(R0_L0!$A5),1),2)</f>
        <v>1</v>
      </c>
      <c r="L45" s="3">
        <f>MOD(K10+MID('E(Ri) XOR ki+1'!$H$94,ROW(R0_L0!$A5),1),2)</f>
        <v>1</v>
      </c>
      <c r="M45" s="3">
        <f>MOD(L10+MID('E(Ri) XOR ki+1'!$H$95,ROW(R0_L0!$A5),1),2)</f>
        <v>0</v>
      </c>
      <c r="N45" s="3">
        <f>MOD(M10+MID('E(Ri) XOR ki+1'!$H$96,ROW(R0_L0!$A5),1),2)</f>
        <v>1</v>
      </c>
      <c r="O45" s="3">
        <f>MOD(N10+MID('E(Ri) XOR ki+1'!$H$97,ROW(R0_L0!$A5),1),2)</f>
        <v>1</v>
      </c>
      <c r="P45" s="3">
        <f>MOD(O10+MID('E(Ri) XOR ki+1'!$H$98,ROW(R0_L0!$A5),1),2)</f>
        <v>1</v>
      </c>
      <c r="Q45" s="3">
        <f>MOD(P10+MID('E(Ri) XOR ki+1'!$H$99,ROW(R0_L0!$A5),1),2)</f>
        <v>1</v>
      </c>
      <c r="R45" s="3">
        <f>MOD(Q10+MID('E(Ri) XOR ki+1'!$H$100,ROW(R0_L0!$A5),1),2)</f>
        <v>0</v>
      </c>
    </row>
    <row r="46" spans="1:18" x14ac:dyDescent="0.25">
      <c r="A46" s="2">
        <v>6</v>
      </c>
      <c r="B46" s="3" t="str">
        <f t="shared" si="6"/>
        <v>0</v>
      </c>
      <c r="C46" s="3">
        <f>MOD(B11 + MID('E(Ri) XOR ki+1'!$H$85, ROW(R0_L0!A6),1),2)</f>
        <v>1</v>
      </c>
      <c r="D46" s="3">
        <f>MOD(C11+MID('E(Ri) XOR ki+1'!$H$86,ROW(R0_L0!$A6),1),2)</f>
        <v>0</v>
      </c>
      <c r="E46" s="3">
        <f>MOD(D11+MID('E(Ri) XOR ki+1'!$H$87,ROW(R0_L0!A6),1),2)</f>
        <v>1</v>
      </c>
      <c r="F46" s="3">
        <f>MOD(E11+MID('E(Ri) XOR ki+1'!$H$88,ROW(R0_L0!A6),1),2)</f>
        <v>1</v>
      </c>
      <c r="G46" s="3">
        <f>MOD(F11+MID('E(Ri) XOR ki+1'!$H$89,ROW(R0_L0!$A6),1),2)</f>
        <v>1</v>
      </c>
      <c r="H46" s="3">
        <f>MOD(G11+MID('E(Ri) XOR ki+1'!$H$90,ROW(R0_L0!$A6),1),2)</f>
        <v>0</v>
      </c>
      <c r="I46" s="3">
        <f>MOD(H11+MID('E(Ri) XOR ki+1'!$H$91,ROW(R0_L0!$A6),1),2)</f>
        <v>0</v>
      </c>
      <c r="J46" s="3">
        <f>MOD(I11+MID('E(Ri) XOR ki+1'!$H$92,ROW(R0_L0!$A6),1),2)</f>
        <v>1</v>
      </c>
      <c r="K46" s="3">
        <f>MOD(J11+MID('E(Ri) XOR ki+1'!$H$93,ROW(R0_L0!$A6),1),2)</f>
        <v>0</v>
      </c>
      <c r="L46" s="3">
        <f>MOD(K11+MID('E(Ri) XOR ki+1'!$H$94,ROW(R0_L0!$A6),1),2)</f>
        <v>0</v>
      </c>
      <c r="M46" s="3">
        <f>MOD(L11+MID('E(Ri) XOR ki+1'!$H$95,ROW(R0_L0!$A6),1),2)</f>
        <v>1</v>
      </c>
      <c r="N46" s="3">
        <f>MOD(M11+MID('E(Ri) XOR ki+1'!$H$96,ROW(R0_L0!$A6),1),2)</f>
        <v>0</v>
      </c>
      <c r="O46" s="3">
        <f>MOD(N11+MID('E(Ri) XOR ki+1'!$H$97,ROW(R0_L0!$A6),1),2)</f>
        <v>1</v>
      </c>
      <c r="P46" s="3">
        <f>MOD(O11+MID('E(Ri) XOR ki+1'!$H$98,ROW(R0_L0!$A6),1),2)</f>
        <v>1</v>
      </c>
      <c r="Q46" s="3">
        <f>MOD(P11+MID('E(Ri) XOR ki+1'!$H$99,ROW(R0_L0!$A6),1),2)</f>
        <v>1</v>
      </c>
      <c r="R46" s="3">
        <f>MOD(Q11+MID('E(Ri) XOR ki+1'!$H$100,ROW(R0_L0!$A6),1),2)</f>
        <v>1</v>
      </c>
    </row>
    <row r="47" spans="1:18" x14ac:dyDescent="0.25">
      <c r="A47" s="2">
        <v>7</v>
      </c>
      <c r="B47" s="3" t="str">
        <f t="shared" si="6"/>
        <v>0</v>
      </c>
      <c r="C47" s="3">
        <f>MOD(B12 + MID('E(Ri) XOR ki+1'!$H$85, ROW(R0_L0!A7),1),2)</f>
        <v>1</v>
      </c>
      <c r="D47" s="3">
        <f>MOD(C12+MID('E(Ri) XOR ki+1'!$H$86,ROW(R0_L0!$A7),1),2)</f>
        <v>0</v>
      </c>
      <c r="E47" s="3">
        <f>MOD(D12+MID('E(Ri) XOR ki+1'!$H$87,ROW(R0_L0!A7),1),2)</f>
        <v>0</v>
      </c>
      <c r="F47" s="3">
        <f>MOD(E12+MID('E(Ri) XOR ki+1'!$H$88,ROW(R0_L0!A7),1),2)</f>
        <v>0</v>
      </c>
      <c r="G47" s="3">
        <f>MOD(F12+MID('E(Ri) XOR ki+1'!$H$89,ROW(R0_L0!$A7),1),2)</f>
        <v>0</v>
      </c>
      <c r="H47" s="3">
        <f>MOD(G12+MID('E(Ri) XOR ki+1'!$H$90,ROW(R0_L0!$A7),1),2)</f>
        <v>1</v>
      </c>
      <c r="I47" s="3">
        <f>MOD(H12+MID('E(Ri) XOR ki+1'!$H$91,ROW(R0_L0!$A7),1),2)</f>
        <v>1</v>
      </c>
      <c r="J47" s="3">
        <f>MOD(I12+MID('E(Ri) XOR ki+1'!$H$92,ROW(R0_L0!$A7),1),2)</f>
        <v>1</v>
      </c>
      <c r="K47" s="3">
        <f>MOD(J12+MID('E(Ri) XOR ki+1'!$H$93,ROW(R0_L0!$A7),1),2)</f>
        <v>0</v>
      </c>
      <c r="L47" s="3">
        <f>MOD(K12+MID('E(Ri) XOR ki+1'!$H$94,ROW(R0_L0!$A7),1),2)</f>
        <v>1</v>
      </c>
      <c r="M47" s="3">
        <f>MOD(L12+MID('E(Ri) XOR ki+1'!$H$95,ROW(R0_L0!$A7),1),2)</f>
        <v>0</v>
      </c>
      <c r="N47" s="3">
        <f>MOD(M12+MID('E(Ri) XOR ki+1'!$H$96,ROW(R0_L0!$A7),1),2)</f>
        <v>1</v>
      </c>
      <c r="O47" s="3">
        <f>MOD(N12+MID('E(Ri) XOR ki+1'!$H$97,ROW(R0_L0!$A7),1),2)</f>
        <v>1</v>
      </c>
      <c r="P47" s="3">
        <f>MOD(O12+MID('E(Ri) XOR ki+1'!$H$98,ROW(R0_L0!$A7),1),2)</f>
        <v>1</v>
      </c>
      <c r="Q47" s="3">
        <f>MOD(P12+MID('E(Ri) XOR ki+1'!$H$99,ROW(R0_L0!$A7),1),2)</f>
        <v>1</v>
      </c>
      <c r="R47" s="3">
        <f>MOD(Q12+MID('E(Ri) XOR ki+1'!$H$100,ROW(R0_L0!$A7),1),2)</f>
        <v>0</v>
      </c>
    </row>
    <row r="48" spans="1:18" x14ac:dyDescent="0.25">
      <c r="A48" s="2">
        <v>8</v>
      </c>
      <c r="B48" s="3" t="str">
        <f t="shared" si="6"/>
        <v>0</v>
      </c>
      <c r="C48" s="3">
        <f>MOD(B13 + MID('E(Ri) XOR ki+1'!$H$85, ROW(R0_L0!A8),1),2)</f>
        <v>1</v>
      </c>
      <c r="D48" s="3">
        <f>MOD(C13+MID('E(Ri) XOR ki+1'!$H$86,ROW(R0_L0!$A8),1),2)</f>
        <v>0</v>
      </c>
      <c r="E48" s="3">
        <f>MOD(D13+MID('E(Ri) XOR ki+1'!$H$87,ROW(R0_L0!A8),1),2)</f>
        <v>1</v>
      </c>
      <c r="F48" s="3">
        <f>MOD(E13+MID('E(Ri) XOR ki+1'!$H$88,ROW(R0_L0!A8),1),2)</f>
        <v>0</v>
      </c>
      <c r="G48" s="3">
        <f>MOD(F13+MID('E(Ri) XOR ki+1'!$H$89,ROW(R0_L0!$A8),1),2)</f>
        <v>1</v>
      </c>
      <c r="H48" s="3">
        <f>MOD(G13+MID('E(Ri) XOR ki+1'!$H$90,ROW(R0_L0!$A8),1),2)</f>
        <v>1</v>
      </c>
      <c r="I48" s="3">
        <f>MOD(H13+MID('E(Ri) XOR ki+1'!$H$91,ROW(R0_L0!$A8),1),2)</f>
        <v>1</v>
      </c>
      <c r="J48" s="3">
        <f>MOD(I13+MID('E(Ri) XOR ki+1'!$H$92,ROW(R0_L0!$A8),1),2)</f>
        <v>1</v>
      </c>
      <c r="K48" s="3">
        <f>MOD(J13+MID('E(Ri) XOR ki+1'!$H$93,ROW(R0_L0!$A8),1),2)</f>
        <v>0</v>
      </c>
      <c r="L48" s="3">
        <f>MOD(K13+MID('E(Ri) XOR ki+1'!$H$94,ROW(R0_L0!$A8),1),2)</f>
        <v>0</v>
      </c>
      <c r="M48" s="3">
        <f>MOD(L13+MID('E(Ri) XOR ki+1'!$H$95,ROW(R0_L0!$A8),1),2)</f>
        <v>0</v>
      </c>
      <c r="N48" s="3">
        <f>MOD(M13+MID('E(Ri) XOR ki+1'!$H$96,ROW(R0_L0!$A8),1),2)</f>
        <v>0</v>
      </c>
      <c r="O48" s="3">
        <f>MOD(N13+MID('E(Ri) XOR ki+1'!$H$97,ROW(R0_L0!$A8),1),2)</f>
        <v>1</v>
      </c>
      <c r="P48" s="3">
        <f>MOD(O13+MID('E(Ri) XOR ki+1'!$H$98,ROW(R0_L0!$A8),1),2)</f>
        <v>1</v>
      </c>
      <c r="Q48" s="3">
        <f>MOD(P13+MID('E(Ri) XOR ki+1'!$H$99,ROW(R0_L0!$A8),1),2)</f>
        <v>0</v>
      </c>
      <c r="R48" s="3">
        <f>MOD(Q13+MID('E(Ri) XOR ki+1'!$H$100,ROW(R0_L0!$A8),1),2)</f>
        <v>0</v>
      </c>
    </row>
    <row r="49" spans="1:18" x14ac:dyDescent="0.25">
      <c r="A49" s="2">
        <v>9</v>
      </c>
      <c r="B49" s="3" t="str">
        <f t="shared" si="6"/>
        <v>0</v>
      </c>
      <c r="C49" s="3">
        <f>MOD(B14 + MID('E(Ri) XOR ki+1'!$H$85, ROW(R0_L0!A9),1),2)</f>
        <v>0</v>
      </c>
      <c r="D49" s="3">
        <f>MOD(C14+MID('E(Ri) XOR ki+1'!$H$86,ROW(R0_L0!$A9),1),2)</f>
        <v>0</v>
      </c>
      <c r="E49" s="3">
        <f>MOD(D14+MID('E(Ri) XOR ki+1'!$H$87,ROW(R0_L0!A9),1),2)</f>
        <v>0</v>
      </c>
      <c r="F49" s="3">
        <f>MOD(E14+MID('E(Ri) XOR ki+1'!$H$88,ROW(R0_L0!A9),1),2)</f>
        <v>0</v>
      </c>
      <c r="G49" s="3">
        <f>MOD(F14+MID('E(Ri) XOR ki+1'!$H$89,ROW(R0_L0!$A9),1),2)</f>
        <v>0</v>
      </c>
      <c r="H49" s="3">
        <f>MOD(G14+MID('E(Ri) XOR ki+1'!$H$90,ROW(R0_L0!$A9),1),2)</f>
        <v>1</v>
      </c>
      <c r="I49" s="3">
        <f>MOD(H14+MID('E(Ri) XOR ki+1'!$H$91,ROW(R0_L0!$A9),1),2)</f>
        <v>0</v>
      </c>
      <c r="J49" s="3">
        <f>MOD(I14+MID('E(Ri) XOR ki+1'!$H$92,ROW(R0_L0!$A9),1),2)</f>
        <v>0</v>
      </c>
      <c r="K49" s="3">
        <f>MOD(J14+MID('E(Ri) XOR ki+1'!$H$93,ROW(R0_L0!$A9),1),2)</f>
        <v>0</v>
      </c>
      <c r="L49" s="3">
        <f>MOD(K14+MID('E(Ri) XOR ki+1'!$H$94,ROW(R0_L0!$A9),1),2)</f>
        <v>0</v>
      </c>
      <c r="M49" s="3">
        <f>MOD(L14+MID('E(Ri) XOR ki+1'!$H$95,ROW(R0_L0!$A9),1),2)</f>
        <v>1</v>
      </c>
      <c r="N49" s="3">
        <f>MOD(M14+MID('E(Ri) XOR ki+1'!$H$96,ROW(R0_L0!$A9),1),2)</f>
        <v>0</v>
      </c>
      <c r="O49" s="3">
        <f>MOD(N14+MID('E(Ri) XOR ki+1'!$H$97,ROW(R0_L0!$A9),1),2)</f>
        <v>0</v>
      </c>
      <c r="P49" s="3">
        <f>MOD(O14+MID('E(Ri) XOR ki+1'!$H$98,ROW(R0_L0!$A9),1),2)</f>
        <v>1</v>
      </c>
      <c r="Q49" s="3">
        <f>MOD(P14+MID('E(Ri) XOR ki+1'!$H$99,ROW(R0_L0!$A9),1),2)</f>
        <v>0</v>
      </c>
      <c r="R49" s="3">
        <f>MOD(Q14+MID('E(Ri) XOR ki+1'!$H$100,ROW(R0_L0!$A9),1),2)</f>
        <v>0</v>
      </c>
    </row>
    <row r="50" spans="1:18" x14ac:dyDescent="0.25">
      <c r="A50" s="2">
        <v>10</v>
      </c>
      <c r="B50" s="3" t="str">
        <f t="shared" si="6"/>
        <v>1</v>
      </c>
      <c r="C50" s="3">
        <f>MOD(B15 + MID('E(Ri) XOR ki+1'!$H$85, ROW(R0_L0!A10),1),2)</f>
        <v>0</v>
      </c>
      <c r="D50" s="3">
        <f>MOD(C15+MID('E(Ri) XOR ki+1'!$H$86,ROW(R0_L0!$A10),1),2)</f>
        <v>0</v>
      </c>
      <c r="E50" s="3">
        <f>MOD(D15+MID('E(Ri) XOR ki+1'!$H$87,ROW(R0_L0!A10),1),2)</f>
        <v>0</v>
      </c>
      <c r="F50" s="3">
        <f>MOD(E15+MID('E(Ri) XOR ki+1'!$H$88,ROW(R0_L0!A10),1),2)</f>
        <v>1</v>
      </c>
      <c r="G50" s="3">
        <f>MOD(F15+MID('E(Ri) XOR ki+1'!$H$89,ROW(R0_L0!$A10),1),2)</f>
        <v>0</v>
      </c>
      <c r="H50" s="3">
        <f>MOD(G15+MID('E(Ri) XOR ki+1'!$H$90,ROW(R0_L0!$A10),1),2)</f>
        <v>0</v>
      </c>
      <c r="I50" s="3">
        <f>MOD(H15+MID('E(Ri) XOR ki+1'!$H$91,ROW(R0_L0!$A10),1),2)</f>
        <v>1</v>
      </c>
      <c r="J50" s="3">
        <f>MOD(I15+MID('E(Ri) XOR ki+1'!$H$92,ROW(R0_L0!$A10),1),2)</f>
        <v>1</v>
      </c>
      <c r="K50" s="3">
        <f>MOD(J15+MID('E(Ri) XOR ki+1'!$H$93,ROW(R0_L0!$A10),1),2)</f>
        <v>1</v>
      </c>
      <c r="L50" s="3">
        <f>MOD(K15+MID('E(Ri) XOR ki+1'!$H$94,ROW(R0_L0!$A10),1),2)</f>
        <v>1</v>
      </c>
      <c r="M50" s="3">
        <f>MOD(L15+MID('E(Ri) XOR ki+1'!$H$95,ROW(R0_L0!$A10),1),2)</f>
        <v>0</v>
      </c>
      <c r="N50" s="3">
        <f>MOD(M15+MID('E(Ri) XOR ki+1'!$H$96,ROW(R0_L0!$A10),1),2)</f>
        <v>0</v>
      </c>
      <c r="O50" s="3">
        <f>MOD(N15+MID('E(Ri) XOR ki+1'!$H$97,ROW(R0_L0!$A10),1),2)</f>
        <v>1</v>
      </c>
      <c r="P50" s="3">
        <f>MOD(O15+MID('E(Ri) XOR ki+1'!$H$98,ROW(R0_L0!$A10),1),2)</f>
        <v>1</v>
      </c>
      <c r="Q50" s="3">
        <f>MOD(P15+MID('E(Ri) XOR ki+1'!$H$99,ROW(R0_L0!$A10),1),2)</f>
        <v>1</v>
      </c>
      <c r="R50" s="3">
        <f>MOD(Q15+MID('E(Ri) XOR ki+1'!$H$100,ROW(R0_L0!$A10),1),2)</f>
        <v>0</v>
      </c>
    </row>
    <row r="51" spans="1:18" x14ac:dyDescent="0.25">
      <c r="A51" s="2">
        <v>11</v>
      </c>
      <c r="B51" s="3" t="str">
        <f t="shared" si="6"/>
        <v>0</v>
      </c>
      <c r="C51" s="3">
        <f>MOD(B16 + MID('E(Ri) XOR ki+1'!$H$85, ROW(R0_L0!A11),1),2)</f>
        <v>1</v>
      </c>
      <c r="D51" s="3">
        <f>MOD(C16+MID('E(Ri) XOR ki+1'!$H$86,ROW(R0_L0!$A11),1),2)</f>
        <v>0</v>
      </c>
      <c r="E51" s="3">
        <f>MOD(D16+MID('E(Ri) XOR ki+1'!$H$87,ROW(R0_L0!A11),1),2)</f>
        <v>0</v>
      </c>
      <c r="F51" s="3">
        <f>MOD(E16+MID('E(Ri) XOR ki+1'!$H$88,ROW(R0_L0!A11),1),2)</f>
        <v>0</v>
      </c>
      <c r="G51" s="3">
        <f>MOD(F16+MID('E(Ri) XOR ki+1'!$H$89,ROW(R0_L0!$A11),1),2)</f>
        <v>1</v>
      </c>
      <c r="H51" s="3">
        <f>MOD(G16+MID('E(Ri) XOR ki+1'!$H$90,ROW(R0_L0!$A11),1),2)</f>
        <v>0</v>
      </c>
      <c r="I51" s="3">
        <f>MOD(H16+MID('E(Ri) XOR ki+1'!$H$91,ROW(R0_L0!$A11),1),2)</f>
        <v>1</v>
      </c>
      <c r="J51" s="3">
        <f>MOD(I16+MID('E(Ri) XOR ki+1'!$H$92,ROW(R0_L0!$A11),1),2)</f>
        <v>1</v>
      </c>
      <c r="K51" s="3">
        <f>MOD(J16+MID('E(Ri) XOR ki+1'!$H$93,ROW(R0_L0!$A11),1),2)</f>
        <v>1</v>
      </c>
      <c r="L51" s="3">
        <f>MOD(K16+MID('E(Ri) XOR ki+1'!$H$94,ROW(R0_L0!$A11),1),2)</f>
        <v>1</v>
      </c>
      <c r="M51" s="3">
        <f>MOD(L16+MID('E(Ri) XOR ki+1'!$H$95,ROW(R0_L0!$A11),1),2)</f>
        <v>0</v>
      </c>
      <c r="N51" s="3">
        <f>MOD(M16+MID('E(Ri) XOR ki+1'!$H$96,ROW(R0_L0!$A11),1),2)</f>
        <v>1</v>
      </c>
      <c r="O51" s="3">
        <f>MOD(N16+MID('E(Ri) XOR ki+1'!$H$97,ROW(R0_L0!$A11),1),2)</f>
        <v>1</v>
      </c>
      <c r="P51" s="3">
        <f>MOD(O16+MID('E(Ri) XOR ki+1'!$H$98,ROW(R0_L0!$A11),1),2)</f>
        <v>0</v>
      </c>
      <c r="Q51" s="3">
        <f>MOD(P16+MID('E(Ri) XOR ki+1'!$H$99,ROW(R0_L0!$A11),1),2)</f>
        <v>0</v>
      </c>
      <c r="R51" s="3">
        <f>MOD(Q16+MID('E(Ri) XOR ki+1'!$H$100,ROW(R0_L0!$A11),1),2)</f>
        <v>1</v>
      </c>
    </row>
    <row r="52" spans="1:18" x14ac:dyDescent="0.25">
      <c r="A52" s="2">
        <v>12</v>
      </c>
      <c r="B52" s="3" t="str">
        <f t="shared" si="6"/>
        <v>1</v>
      </c>
      <c r="C52" s="3">
        <f>MOD(B17 + MID('E(Ri) XOR ki+1'!$H$85, ROW(R0_L0!A12),1),2)</f>
        <v>0</v>
      </c>
      <c r="D52" s="3">
        <f>MOD(C17+MID('E(Ri) XOR ki+1'!$H$86,ROW(R0_L0!$A12),1),2)</f>
        <v>1</v>
      </c>
      <c r="E52" s="3">
        <f>MOD(D17+MID('E(Ri) XOR ki+1'!$H$87,ROW(R0_L0!A12),1),2)</f>
        <v>1</v>
      </c>
      <c r="F52" s="3">
        <f>MOD(E17+MID('E(Ri) XOR ki+1'!$H$88,ROW(R0_L0!A12),1),2)</f>
        <v>1</v>
      </c>
      <c r="G52" s="3">
        <f>MOD(F17+MID('E(Ri) XOR ki+1'!$H$89,ROW(R0_L0!$A12),1),2)</f>
        <v>0</v>
      </c>
      <c r="H52" s="3">
        <f>MOD(G17+MID('E(Ri) XOR ki+1'!$H$90,ROW(R0_L0!$A12),1),2)</f>
        <v>1</v>
      </c>
      <c r="I52" s="3">
        <f>MOD(H17+MID('E(Ri) XOR ki+1'!$H$91,ROW(R0_L0!$A12),1),2)</f>
        <v>1</v>
      </c>
      <c r="J52" s="3">
        <f>MOD(I17+MID('E(Ri) XOR ki+1'!$H$92,ROW(R0_L0!$A12),1),2)</f>
        <v>0</v>
      </c>
      <c r="K52" s="3">
        <f>MOD(J17+MID('E(Ri) XOR ki+1'!$H$93,ROW(R0_L0!$A12),1),2)</f>
        <v>1</v>
      </c>
      <c r="L52" s="3">
        <f>MOD(K17+MID('E(Ri) XOR ki+1'!$H$94,ROW(R0_L0!$A12),1),2)</f>
        <v>1</v>
      </c>
      <c r="M52" s="3">
        <f>MOD(L17+MID('E(Ri) XOR ki+1'!$H$95,ROW(R0_L0!$A12),1),2)</f>
        <v>0</v>
      </c>
      <c r="N52" s="3">
        <f>MOD(M17+MID('E(Ri) XOR ki+1'!$H$96,ROW(R0_L0!$A12),1),2)</f>
        <v>1</v>
      </c>
      <c r="O52" s="3">
        <f>MOD(N17+MID('E(Ri) XOR ki+1'!$H$97,ROW(R0_L0!$A12),1),2)</f>
        <v>1</v>
      </c>
      <c r="P52" s="3">
        <f>MOD(O17+MID('E(Ri) XOR ki+1'!$H$98,ROW(R0_L0!$A12),1),2)</f>
        <v>0</v>
      </c>
      <c r="Q52" s="3">
        <f>MOD(P17+MID('E(Ri) XOR ki+1'!$H$99,ROW(R0_L0!$A12),1),2)</f>
        <v>0</v>
      </c>
      <c r="R52" s="3">
        <f>MOD(Q17+MID('E(Ri) XOR ki+1'!$H$100,ROW(R0_L0!$A12),1),2)</f>
        <v>1</v>
      </c>
    </row>
    <row r="53" spans="1:18" x14ac:dyDescent="0.25">
      <c r="A53" s="2">
        <v>13</v>
      </c>
      <c r="B53" s="3" t="str">
        <f t="shared" si="6"/>
        <v>0</v>
      </c>
      <c r="C53" s="3">
        <f>MOD(B18 + MID('E(Ri) XOR ki+1'!$H$85, ROW(R0_L0!A13),1),2)</f>
        <v>1</v>
      </c>
      <c r="D53" s="3">
        <f>MOD(C18+MID('E(Ri) XOR ki+1'!$H$86,ROW(R0_L0!$A13),1),2)</f>
        <v>1</v>
      </c>
      <c r="E53" s="3">
        <f>MOD(D18+MID('E(Ri) XOR ki+1'!$H$87,ROW(R0_L0!A13),1),2)</f>
        <v>0</v>
      </c>
      <c r="F53" s="3">
        <f>MOD(E18+MID('E(Ri) XOR ki+1'!$H$88,ROW(R0_L0!A13),1),2)</f>
        <v>0</v>
      </c>
      <c r="G53" s="3">
        <f>MOD(F18+MID('E(Ri) XOR ki+1'!$H$89,ROW(R0_L0!$A13),1),2)</f>
        <v>0</v>
      </c>
      <c r="H53" s="3">
        <f>MOD(G18+MID('E(Ri) XOR ki+1'!$H$90,ROW(R0_L0!$A13),1),2)</f>
        <v>0</v>
      </c>
      <c r="I53" s="3">
        <f>MOD(H18+MID('E(Ri) XOR ki+1'!$H$91,ROW(R0_L0!$A13),1),2)</f>
        <v>0</v>
      </c>
      <c r="J53" s="3">
        <f>MOD(I18+MID('E(Ri) XOR ki+1'!$H$92,ROW(R0_L0!$A13),1),2)</f>
        <v>1</v>
      </c>
      <c r="K53" s="3">
        <f>MOD(J18+MID('E(Ri) XOR ki+1'!$H$93,ROW(R0_L0!$A13),1),2)</f>
        <v>0</v>
      </c>
      <c r="L53" s="3">
        <f>MOD(K18+MID('E(Ri) XOR ki+1'!$H$94,ROW(R0_L0!$A13),1),2)</f>
        <v>1</v>
      </c>
      <c r="M53" s="3">
        <f>MOD(L18+MID('E(Ri) XOR ki+1'!$H$95,ROW(R0_L0!$A13),1),2)</f>
        <v>0</v>
      </c>
      <c r="N53" s="3">
        <f>MOD(M18+MID('E(Ri) XOR ki+1'!$H$96,ROW(R0_L0!$A13),1),2)</f>
        <v>0</v>
      </c>
      <c r="O53" s="3">
        <f>MOD(N18+MID('E(Ri) XOR ki+1'!$H$97,ROW(R0_L0!$A13),1),2)</f>
        <v>1</v>
      </c>
      <c r="P53" s="3">
        <f>MOD(O18+MID('E(Ri) XOR ki+1'!$H$98,ROW(R0_L0!$A13),1),2)</f>
        <v>1</v>
      </c>
      <c r="Q53" s="3">
        <f>MOD(P18+MID('E(Ri) XOR ki+1'!$H$99,ROW(R0_L0!$A13),1),2)</f>
        <v>0</v>
      </c>
      <c r="R53" s="3">
        <f>MOD(Q18+MID('E(Ri) XOR ki+1'!$H$100,ROW(R0_L0!$A13),1),2)</f>
        <v>1</v>
      </c>
    </row>
    <row r="54" spans="1:18" x14ac:dyDescent="0.25">
      <c r="A54" s="2">
        <v>14</v>
      </c>
      <c r="B54" s="3" t="str">
        <f t="shared" si="6"/>
        <v>1</v>
      </c>
      <c r="C54" s="3">
        <f>MOD(B19 + MID('E(Ri) XOR ki+1'!$H$85, ROW(R0_L0!A14),1),2)</f>
        <v>1</v>
      </c>
      <c r="D54" s="3">
        <f>MOD(C19+MID('E(Ri) XOR ki+1'!$H$86,ROW(R0_L0!$A14),1),2)</f>
        <v>1</v>
      </c>
      <c r="E54" s="3">
        <f>MOD(D19+MID('E(Ri) XOR ki+1'!$H$87,ROW(R0_L0!A14),1),2)</f>
        <v>1</v>
      </c>
      <c r="F54" s="3">
        <f>MOD(E19+MID('E(Ri) XOR ki+1'!$H$88,ROW(R0_L0!A14),1),2)</f>
        <v>1</v>
      </c>
      <c r="G54" s="3">
        <f>MOD(F19+MID('E(Ri) XOR ki+1'!$H$89,ROW(R0_L0!$A14),1),2)</f>
        <v>1</v>
      </c>
      <c r="H54" s="3">
        <f>MOD(G19+MID('E(Ri) XOR ki+1'!$H$90,ROW(R0_L0!$A14),1),2)</f>
        <v>0</v>
      </c>
      <c r="I54" s="3">
        <f>MOD(H19+MID('E(Ri) XOR ki+1'!$H$91,ROW(R0_L0!$A14),1),2)</f>
        <v>1</v>
      </c>
      <c r="J54" s="3">
        <f>MOD(I19+MID('E(Ri) XOR ki+1'!$H$92,ROW(R0_L0!$A14),1),2)</f>
        <v>1</v>
      </c>
      <c r="K54" s="3">
        <f>MOD(J19+MID('E(Ri) XOR ki+1'!$H$93,ROW(R0_L0!$A14),1),2)</f>
        <v>0</v>
      </c>
      <c r="L54" s="3">
        <f>MOD(K19+MID('E(Ri) XOR ki+1'!$H$94,ROW(R0_L0!$A14),1),2)</f>
        <v>0</v>
      </c>
      <c r="M54" s="3">
        <f>MOD(L19+MID('E(Ri) XOR ki+1'!$H$95,ROW(R0_L0!$A14),1),2)</f>
        <v>1</v>
      </c>
      <c r="N54" s="3">
        <f>MOD(M19+MID('E(Ri) XOR ki+1'!$H$96,ROW(R0_L0!$A14),1),2)</f>
        <v>1</v>
      </c>
      <c r="O54" s="3">
        <f>MOD(N19+MID('E(Ri) XOR ki+1'!$H$97,ROW(R0_L0!$A14),1),2)</f>
        <v>0</v>
      </c>
      <c r="P54" s="3">
        <f>MOD(O19+MID('E(Ri) XOR ki+1'!$H$98,ROW(R0_L0!$A14),1),2)</f>
        <v>0</v>
      </c>
      <c r="Q54" s="3">
        <f>MOD(P19+MID('E(Ri) XOR ki+1'!$H$99,ROW(R0_L0!$A14),1),2)</f>
        <v>1</v>
      </c>
      <c r="R54" s="3">
        <f>MOD(Q19+MID('E(Ri) XOR ki+1'!$H$100,ROW(R0_L0!$A14),1),2)</f>
        <v>1</v>
      </c>
    </row>
    <row r="55" spans="1:18" x14ac:dyDescent="0.25">
      <c r="A55" s="2">
        <v>15</v>
      </c>
      <c r="B55" s="3" t="str">
        <f t="shared" si="6"/>
        <v>0</v>
      </c>
      <c r="C55" s="3">
        <f>MOD(B20 + MID('E(Ri) XOR ki+1'!$H$85, ROW(R0_L0!A15),1),2)</f>
        <v>1</v>
      </c>
      <c r="D55" s="3">
        <f>MOD(C20+MID('E(Ri) XOR ki+1'!$H$86,ROW(R0_L0!$A15),1),2)</f>
        <v>0</v>
      </c>
      <c r="E55" s="3">
        <f>MOD(D20+MID('E(Ri) XOR ki+1'!$H$87,ROW(R0_L0!A15),1),2)</f>
        <v>0</v>
      </c>
      <c r="F55" s="3">
        <f>MOD(E20+MID('E(Ri) XOR ki+1'!$H$88,ROW(R0_L0!A15),1),2)</f>
        <v>0</v>
      </c>
      <c r="G55" s="3">
        <f>MOD(F20+MID('E(Ri) XOR ki+1'!$H$89,ROW(R0_L0!$A15),1),2)</f>
        <v>1</v>
      </c>
      <c r="H55" s="3">
        <f>MOD(G20+MID('E(Ri) XOR ki+1'!$H$90,ROW(R0_L0!$A15),1),2)</f>
        <v>0</v>
      </c>
      <c r="I55" s="3">
        <f>MOD(H20+MID('E(Ri) XOR ki+1'!$H$91,ROW(R0_L0!$A15),1),2)</f>
        <v>1</v>
      </c>
      <c r="J55" s="3">
        <f>MOD(I20+MID('E(Ri) XOR ki+1'!$H$92,ROW(R0_L0!$A15),1),2)</f>
        <v>0</v>
      </c>
      <c r="K55" s="3">
        <f>MOD(J20+MID('E(Ri) XOR ki+1'!$H$93,ROW(R0_L0!$A15),1),2)</f>
        <v>0</v>
      </c>
      <c r="L55" s="3">
        <f>MOD(K20+MID('E(Ri) XOR ki+1'!$H$94,ROW(R0_L0!$A15),1),2)</f>
        <v>0</v>
      </c>
      <c r="M55" s="3">
        <f>MOD(L20+MID('E(Ri) XOR ki+1'!$H$95,ROW(R0_L0!$A15),1),2)</f>
        <v>1</v>
      </c>
      <c r="N55" s="3">
        <f>MOD(M20+MID('E(Ri) XOR ki+1'!$H$96,ROW(R0_L0!$A15),1),2)</f>
        <v>1</v>
      </c>
      <c r="O55" s="3">
        <f>MOD(N20+MID('E(Ri) XOR ki+1'!$H$97,ROW(R0_L0!$A15),1),2)</f>
        <v>0</v>
      </c>
      <c r="P55" s="3">
        <f>MOD(O20+MID('E(Ri) XOR ki+1'!$H$98,ROW(R0_L0!$A15),1),2)</f>
        <v>1</v>
      </c>
      <c r="Q55" s="3">
        <f>MOD(P20+MID('E(Ri) XOR ki+1'!$H$99,ROW(R0_L0!$A15),1),2)</f>
        <v>1</v>
      </c>
      <c r="R55" s="3">
        <f>MOD(Q20+MID('E(Ri) XOR ki+1'!$H$100,ROW(R0_L0!$A15),1),2)</f>
        <v>1</v>
      </c>
    </row>
    <row r="56" spans="1:18" x14ac:dyDescent="0.25">
      <c r="A56" s="2">
        <v>16</v>
      </c>
      <c r="B56" s="3" t="str">
        <f t="shared" si="6"/>
        <v>0</v>
      </c>
      <c r="C56" s="3">
        <f>MOD(B21 + MID('E(Ri) XOR ki+1'!$H$85, ROW(R0_L0!A16),1),2)</f>
        <v>1</v>
      </c>
      <c r="D56" s="3">
        <f>MOD(C21+MID('E(Ri) XOR ki+1'!$H$86,ROW(R0_L0!$A16),1),2)</f>
        <v>0</v>
      </c>
      <c r="E56" s="3">
        <f>MOD(D21+MID('E(Ri) XOR ki+1'!$H$87,ROW(R0_L0!A16),1),2)</f>
        <v>0</v>
      </c>
      <c r="F56" s="3">
        <f>MOD(E21+MID('E(Ri) XOR ki+1'!$H$88,ROW(R0_L0!A16),1),2)</f>
        <v>1</v>
      </c>
      <c r="G56" s="3">
        <f>MOD(F21+MID('E(Ri) XOR ki+1'!$H$89,ROW(R0_L0!$A16),1),2)</f>
        <v>0</v>
      </c>
      <c r="H56" s="3">
        <f>MOD(G21+MID('E(Ri) XOR ki+1'!$H$90,ROW(R0_L0!$A16),1),2)</f>
        <v>1</v>
      </c>
      <c r="I56" s="3">
        <f>MOD(H21+MID('E(Ri) XOR ki+1'!$H$91,ROW(R0_L0!$A16),1),2)</f>
        <v>1</v>
      </c>
      <c r="J56" s="3">
        <f>MOD(I21+MID('E(Ri) XOR ki+1'!$H$92,ROW(R0_L0!$A16),1),2)</f>
        <v>0</v>
      </c>
      <c r="K56" s="3">
        <f>MOD(J21+MID('E(Ri) XOR ki+1'!$H$93,ROW(R0_L0!$A16),1),2)</f>
        <v>1</v>
      </c>
      <c r="L56" s="3">
        <f>MOD(K21+MID('E(Ri) XOR ki+1'!$H$94,ROW(R0_L0!$A16),1),2)</f>
        <v>1</v>
      </c>
      <c r="M56" s="3">
        <f>MOD(L21+MID('E(Ri) XOR ki+1'!$H$95,ROW(R0_L0!$A16),1),2)</f>
        <v>1</v>
      </c>
      <c r="N56" s="3">
        <f>MOD(M21+MID('E(Ri) XOR ki+1'!$H$96,ROW(R0_L0!$A16),1),2)</f>
        <v>0</v>
      </c>
      <c r="O56" s="3">
        <f>MOD(N21+MID('E(Ri) XOR ki+1'!$H$97,ROW(R0_L0!$A16),1),2)</f>
        <v>1</v>
      </c>
      <c r="P56" s="3">
        <f>MOD(O21+MID('E(Ri) XOR ki+1'!$H$98,ROW(R0_L0!$A16),1),2)</f>
        <v>0</v>
      </c>
      <c r="Q56" s="3">
        <f>MOD(P21+MID('E(Ri) XOR ki+1'!$H$99,ROW(R0_L0!$A16),1),2)</f>
        <v>0</v>
      </c>
      <c r="R56" s="3">
        <f>MOD(Q21+MID('E(Ri) XOR ki+1'!$H$100,ROW(R0_L0!$A16),1),2)</f>
        <v>1</v>
      </c>
    </row>
    <row r="57" spans="1:18" x14ac:dyDescent="0.25">
      <c r="A57" s="2">
        <v>17</v>
      </c>
      <c r="B57" s="3" t="str">
        <f t="shared" si="6"/>
        <v>1</v>
      </c>
      <c r="C57" s="3">
        <f>MOD(B22 + MID('E(Ri) XOR ki+1'!$H$85, ROW(R0_L0!A17),1),2)</f>
        <v>1</v>
      </c>
      <c r="D57" s="3">
        <f>MOD(C22+MID('E(Ri) XOR ki+1'!$H$86,ROW(R0_L0!$A17),1),2)</f>
        <v>0</v>
      </c>
      <c r="E57" s="3">
        <f>MOD(D22+MID('E(Ri) XOR ki+1'!$H$87,ROW(R0_L0!A17),1),2)</f>
        <v>1</v>
      </c>
      <c r="F57" s="3">
        <f>MOD(E22+MID('E(Ri) XOR ki+1'!$H$88,ROW(R0_L0!A17),1),2)</f>
        <v>0</v>
      </c>
      <c r="G57" s="3">
        <f>MOD(F22+MID('E(Ri) XOR ki+1'!$H$89,ROW(R0_L0!$A17),1),2)</f>
        <v>1</v>
      </c>
      <c r="H57" s="3">
        <f>MOD(G22+MID('E(Ri) XOR ki+1'!$H$90,ROW(R0_L0!$A17),1),2)</f>
        <v>0</v>
      </c>
      <c r="I57" s="3">
        <f>MOD(H22+MID('E(Ri) XOR ki+1'!$H$91,ROW(R0_L0!$A17),1),2)</f>
        <v>1</v>
      </c>
      <c r="J57" s="3">
        <f>MOD(I22+MID('E(Ri) XOR ki+1'!$H$92,ROW(R0_L0!$A17),1),2)</f>
        <v>1</v>
      </c>
      <c r="K57" s="3">
        <f>MOD(J22+MID('E(Ri) XOR ki+1'!$H$93,ROW(R0_L0!$A17),1),2)</f>
        <v>1</v>
      </c>
      <c r="L57" s="3">
        <f>MOD(K22+MID('E(Ri) XOR ki+1'!$H$94,ROW(R0_L0!$A17),1),2)</f>
        <v>1</v>
      </c>
      <c r="M57" s="3">
        <f>MOD(L22+MID('E(Ri) XOR ki+1'!$H$95,ROW(R0_L0!$A17),1),2)</f>
        <v>1</v>
      </c>
      <c r="N57" s="3">
        <f>MOD(M22+MID('E(Ri) XOR ki+1'!$H$96,ROW(R0_L0!$A17),1),2)</f>
        <v>0</v>
      </c>
      <c r="O57" s="3">
        <f>MOD(N22+MID('E(Ri) XOR ki+1'!$H$97,ROW(R0_L0!$A17),1),2)</f>
        <v>1</v>
      </c>
      <c r="P57" s="3">
        <f>MOD(O22+MID('E(Ri) XOR ki+1'!$H$98,ROW(R0_L0!$A17),1),2)</f>
        <v>0</v>
      </c>
      <c r="Q57" s="3">
        <f>MOD(P22+MID('E(Ri) XOR ki+1'!$H$99,ROW(R0_L0!$A17),1),2)</f>
        <v>1</v>
      </c>
      <c r="R57" s="3">
        <f>MOD(Q22+MID('E(Ri) XOR ki+1'!$H$100,ROW(R0_L0!$A17),1),2)</f>
        <v>0</v>
      </c>
    </row>
    <row r="58" spans="1:18" x14ac:dyDescent="0.25">
      <c r="A58" s="2">
        <v>18</v>
      </c>
      <c r="B58" s="3" t="str">
        <f t="shared" si="6"/>
        <v>1</v>
      </c>
      <c r="C58" s="3">
        <f>MOD(B23 + MID('E(Ri) XOR ki+1'!$H$85, ROW(R0_L0!A18),1),2)</f>
        <v>0</v>
      </c>
      <c r="D58" s="3">
        <f>MOD(C23+MID('E(Ri) XOR ki+1'!$H$86,ROW(R0_L0!$A18),1),2)</f>
        <v>1</v>
      </c>
      <c r="E58" s="3">
        <f>MOD(D23+MID('E(Ri) XOR ki+1'!$H$87,ROW(R0_L0!A18),1),2)</f>
        <v>0</v>
      </c>
      <c r="F58" s="3">
        <f>MOD(E23+MID('E(Ri) XOR ki+1'!$H$88,ROW(R0_L0!A18),1),2)</f>
        <v>0</v>
      </c>
      <c r="G58" s="3">
        <f>MOD(F23+MID('E(Ri) XOR ki+1'!$H$89,ROW(R0_L0!$A18),1),2)</f>
        <v>0</v>
      </c>
      <c r="H58" s="3">
        <f>MOD(G23+MID('E(Ri) XOR ki+1'!$H$90,ROW(R0_L0!$A18),1),2)</f>
        <v>0</v>
      </c>
      <c r="I58" s="3">
        <f>MOD(H23+MID('E(Ri) XOR ki+1'!$H$91,ROW(R0_L0!$A18),1),2)</f>
        <v>0</v>
      </c>
      <c r="J58" s="3">
        <f>MOD(I23+MID('E(Ri) XOR ki+1'!$H$92,ROW(R0_L0!$A18),1),2)</f>
        <v>1</v>
      </c>
      <c r="K58" s="3">
        <f>MOD(J23+MID('E(Ri) XOR ki+1'!$H$93,ROW(R0_L0!$A18),1),2)</f>
        <v>0</v>
      </c>
      <c r="L58" s="3">
        <f>MOD(K23+MID('E(Ri) XOR ki+1'!$H$94,ROW(R0_L0!$A18),1),2)</f>
        <v>1</v>
      </c>
      <c r="M58" s="3">
        <f>MOD(L23+MID('E(Ri) XOR ki+1'!$H$95,ROW(R0_L0!$A18),1),2)</f>
        <v>1</v>
      </c>
      <c r="N58" s="3">
        <f>MOD(M23+MID('E(Ri) XOR ki+1'!$H$96,ROW(R0_L0!$A18),1),2)</f>
        <v>1</v>
      </c>
      <c r="O58" s="3">
        <f>MOD(N23+MID('E(Ri) XOR ki+1'!$H$97,ROW(R0_L0!$A18),1),2)</f>
        <v>1</v>
      </c>
      <c r="P58" s="3">
        <f>MOD(O23+MID('E(Ri) XOR ki+1'!$H$98,ROW(R0_L0!$A18),1),2)</f>
        <v>0</v>
      </c>
      <c r="Q58" s="3">
        <f>MOD(P23+MID('E(Ri) XOR ki+1'!$H$99,ROW(R0_L0!$A18),1),2)</f>
        <v>1</v>
      </c>
      <c r="R58" s="3">
        <f>MOD(Q23+MID('E(Ri) XOR ki+1'!$H$100,ROW(R0_L0!$A18),1),2)</f>
        <v>0</v>
      </c>
    </row>
    <row r="59" spans="1:18" x14ac:dyDescent="0.25">
      <c r="A59" s="2">
        <v>19</v>
      </c>
      <c r="B59" s="3" t="str">
        <f t="shared" si="6"/>
        <v>1</v>
      </c>
      <c r="C59" s="3">
        <f>MOD(B24 + MID('E(Ri) XOR ki+1'!$H$85, ROW(R0_L0!A19),1),2)</f>
        <v>1</v>
      </c>
      <c r="D59" s="3">
        <f>MOD(C24+MID('E(Ri) XOR ki+1'!$H$86,ROW(R0_L0!$A19),1),2)</f>
        <v>1</v>
      </c>
      <c r="E59" s="3">
        <f>MOD(D24+MID('E(Ri) XOR ki+1'!$H$87,ROW(R0_L0!A19),1),2)</f>
        <v>0</v>
      </c>
      <c r="F59" s="3">
        <f>MOD(E24+MID('E(Ri) XOR ki+1'!$H$88,ROW(R0_L0!A19),1),2)</f>
        <v>1</v>
      </c>
      <c r="G59" s="3">
        <f>MOD(F24+MID('E(Ri) XOR ki+1'!$H$89,ROW(R0_L0!$A19),1),2)</f>
        <v>1</v>
      </c>
      <c r="H59" s="3">
        <f>MOD(G24+MID('E(Ri) XOR ki+1'!$H$90,ROW(R0_L0!$A19),1),2)</f>
        <v>0</v>
      </c>
      <c r="I59" s="3">
        <f>MOD(H24+MID('E(Ri) XOR ki+1'!$H$91,ROW(R0_L0!$A19),1),2)</f>
        <v>0</v>
      </c>
      <c r="J59" s="3">
        <f>MOD(I24+MID('E(Ri) XOR ki+1'!$H$92,ROW(R0_L0!$A19),1),2)</f>
        <v>1</v>
      </c>
      <c r="K59" s="3">
        <f>MOD(J24+MID('E(Ri) XOR ki+1'!$H$93,ROW(R0_L0!$A19),1),2)</f>
        <v>0</v>
      </c>
      <c r="L59" s="3">
        <f>MOD(K24+MID('E(Ri) XOR ki+1'!$H$94,ROW(R0_L0!$A19),1),2)</f>
        <v>1</v>
      </c>
      <c r="M59" s="3">
        <f>MOD(L24+MID('E(Ri) XOR ki+1'!$H$95,ROW(R0_L0!$A19),1),2)</f>
        <v>1</v>
      </c>
      <c r="N59" s="3">
        <f>MOD(M24+MID('E(Ri) XOR ki+1'!$H$96,ROW(R0_L0!$A19),1),2)</f>
        <v>0</v>
      </c>
      <c r="O59" s="3">
        <f>MOD(N24+MID('E(Ri) XOR ki+1'!$H$97,ROW(R0_L0!$A19),1),2)</f>
        <v>0</v>
      </c>
      <c r="P59" s="3">
        <f>MOD(O24+MID('E(Ri) XOR ki+1'!$H$98,ROW(R0_L0!$A19),1),2)</f>
        <v>1</v>
      </c>
      <c r="Q59" s="3">
        <f>MOD(P24+MID('E(Ri) XOR ki+1'!$H$99,ROW(R0_L0!$A19),1),2)</f>
        <v>0</v>
      </c>
      <c r="R59" s="3">
        <f>MOD(Q24+MID('E(Ri) XOR ki+1'!$H$100,ROW(R0_L0!$A19),1),2)</f>
        <v>0</v>
      </c>
    </row>
    <row r="60" spans="1:18" x14ac:dyDescent="0.25">
      <c r="A60" s="2">
        <v>20</v>
      </c>
      <c r="B60" s="3" t="str">
        <f t="shared" si="6"/>
        <v>1</v>
      </c>
      <c r="C60" s="3">
        <f>MOD(B25 + MID('E(Ri) XOR ki+1'!$H$85, ROW(R0_L0!A20),1),2)</f>
        <v>0</v>
      </c>
      <c r="D60" s="3">
        <f>MOD(C25+MID('E(Ri) XOR ki+1'!$H$86,ROW(R0_L0!$A20),1),2)</f>
        <v>1</v>
      </c>
      <c r="E60" s="3">
        <f>MOD(D25+MID('E(Ri) XOR ki+1'!$H$87,ROW(R0_L0!A20),1),2)</f>
        <v>0</v>
      </c>
      <c r="F60" s="3">
        <f>MOD(E25+MID('E(Ri) XOR ki+1'!$H$88,ROW(R0_L0!A20),1),2)</f>
        <v>0</v>
      </c>
      <c r="G60" s="3">
        <f>MOD(F25+MID('E(Ri) XOR ki+1'!$H$89,ROW(R0_L0!$A20),1),2)</f>
        <v>1</v>
      </c>
      <c r="H60" s="3">
        <f>MOD(G25+MID('E(Ri) XOR ki+1'!$H$90,ROW(R0_L0!$A20),1),2)</f>
        <v>1</v>
      </c>
      <c r="I60" s="3">
        <f>MOD(H25+MID('E(Ri) XOR ki+1'!$H$91,ROW(R0_L0!$A20),1),2)</f>
        <v>1</v>
      </c>
      <c r="J60" s="3">
        <f>MOD(I25+MID('E(Ri) XOR ki+1'!$H$92,ROW(R0_L0!$A20),1),2)</f>
        <v>1</v>
      </c>
      <c r="K60" s="3">
        <f>MOD(J25+MID('E(Ri) XOR ki+1'!$H$93,ROW(R0_L0!$A20),1),2)</f>
        <v>1</v>
      </c>
      <c r="L60" s="3">
        <f>MOD(K25+MID('E(Ri) XOR ki+1'!$H$94,ROW(R0_L0!$A20),1),2)</f>
        <v>1</v>
      </c>
      <c r="M60" s="3">
        <f>MOD(L25+MID('E(Ri) XOR ki+1'!$H$95,ROW(R0_L0!$A20),1),2)</f>
        <v>0</v>
      </c>
      <c r="N60" s="3">
        <f>MOD(M25+MID('E(Ri) XOR ki+1'!$H$96,ROW(R0_L0!$A20),1),2)</f>
        <v>1</v>
      </c>
      <c r="O60" s="3">
        <f>MOD(N25+MID('E(Ri) XOR ki+1'!$H$97,ROW(R0_L0!$A20),1),2)</f>
        <v>0</v>
      </c>
      <c r="P60" s="3">
        <f>MOD(O25+MID('E(Ri) XOR ki+1'!$H$98,ROW(R0_L0!$A20),1),2)</f>
        <v>0</v>
      </c>
      <c r="Q60" s="3">
        <f>MOD(P25+MID('E(Ri) XOR ki+1'!$H$99,ROW(R0_L0!$A20),1),2)</f>
        <v>1</v>
      </c>
      <c r="R60" s="3">
        <f>MOD(Q25+MID('E(Ri) XOR ki+1'!$H$100,ROW(R0_L0!$A20),1),2)</f>
        <v>0</v>
      </c>
    </row>
    <row r="61" spans="1:18" x14ac:dyDescent="0.25">
      <c r="A61" s="2">
        <v>21</v>
      </c>
      <c r="B61" s="3" t="str">
        <f t="shared" si="6"/>
        <v>0</v>
      </c>
      <c r="C61" s="3">
        <f>MOD(B26 + MID('E(Ri) XOR ki+1'!$H$85, ROW(R0_L0!A21),1),2)</f>
        <v>1</v>
      </c>
      <c r="D61" s="3">
        <f>MOD(C26+MID('E(Ri) XOR ki+1'!$H$86,ROW(R0_L0!$A21),1),2)</f>
        <v>1</v>
      </c>
      <c r="E61" s="3">
        <f>MOD(D26+MID('E(Ri) XOR ki+1'!$H$87,ROW(R0_L0!A21),1),2)</f>
        <v>1</v>
      </c>
      <c r="F61" s="3">
        <f>MOD(E26+MID('E(Ri) XOR ki+1'!$H$88,ROW(R0_L0!A21),1),2)</f>
        <v>1</v>
      </c>
      <c r="G61" s="3">
        <f>MOD(F26+MID('E(Ri) XOR ki+1'!$H$89,ROW(R0_L0!$A21),1),2)</f>
        <v>1</v>
      </c>
      <c r="H61" s="3">
        <f>MOD(G26+MID('E(Ri) XOR ki+1'!$H$90,ROW(R0_L0!$A21),1),2)</f>
        <v>0</v>
      </c>
      <c r="I61" s="3">
        <f>MOD(H26+MID('E(Ri) XOR ki+1'!$H$91,ROW(R0_L0!$A21),1),2)</f>
        <v>1</v>
      </c>
      <c r="J61" s="3">
        <f>MOD(I26+MID('E(Ri) XOR ki+1'!$H$92,ROW(R0_L0!$A21),1),2)</f>
        <v>1</v>
      </c>
      <c r="K61" s="3">
        <f>MOD(J26+MID('E(Ri) XOR ki+1'!$H$93,ROW(R0_L0!$A21),1),2)</f>
        <v>1</v>
      </c>
      <c r="L61" s="3">
        <f>MOD(K26+MID('E(Ri) XOR ki+1'!$H$94,ROW(R0_L0!$A21),1),2)</f>
        <v>0</v>
      </c>
      <c r="M61" s="3">
        <f>MOD(L26+MID('E(Ri) XOR ki+1'!$H$95,ROW(R0_L0!$A21),1),2)</f>
        <v>1</v>
      </c>
      <c r="N61" s="3">
        <f>MOD(M26+MID('E(Ri) XOR ki+1'!$H$96,ROW(R0_L0!$A21),1),2)</f>
        <v>0</v>
      </c>
      <c r="O61" s="3">
        <f>MOD(N26+MID('E(Ri) XOR ki+1'!$H$97,ROW(R0_L0!$A21),1),2)</f>
        <v>0</v>
      </c>
      <c r="P61" s="3">
        <f>MOD(O26+MID('E(Ri) XOR ki+1'!$H$98,ROW(R0_L0!$A21),1),2)</f>
        <v>1</v>
      </c>
      <c r="Q61" s="3">
        <f>MOD(P26+MID('E(Ri) XOR ki+1'!$H$99,ROW(R0_L0!$A21),1),2)</f>
        <v>1</v>
      </c>
      <c r="R61" s="3">
        <f>MOD(Q26+MID('E(Ri) XOR ki+1'!$H$100,ROW(R0_L0!$A21),1),2)</f>
        <v>1</v>
      </c>
    </row>
    <row r="62" spans="1:18" x14ac:dyDescent="0.25">
      <c r="A62" s="2">
        <v>22</v>
      </c>
      <c r="B62" s="3" t="str">
        <f t="shared" si="6"/>
        <v>0</v>
      </c>
      <c r="C62" s="3">
        <f>MOD(B27 + MID('E(Ri) XOR ki+1'!$H$85, ROW(R0_L0!A22),1),2)</f>
        <v>1</v>
      </c>
      <c r="D62" s="3">
        <f>MOD(C27+MID('E(Ri) XOR ki+1'!$H$86,ROW(R0_L0!$A22),1),2)</f>
        <v>1</v>
      </c>
      <c r="E62" s="3">
        <f>MOD(D27+MID('E(Ri) XOR ki+1'!$H$87,ROW(R0_L0!A22),1),2)</f>
        <v>0</v>
      </c>
      <c r="F62" s="3">
        <f>MOD(E27+MID('E(Ri) XOR ki+1'!$H$88,ROW(R0_L0!A22),1),2)</f>
        <v>1</v>
      </c>
      <c r="G62" s="3">
        <f>MOD(F27+MID('E(Ri) XOR ki+1'!$H$89,ROW(R0_L0!$A22),1),2)</f>
        <v>1</v>
      </c>
      <c r="H62" s="3">
        <f>MOD(G27+MID('E(Ri) XOR ki+1'!$H$90,ROW(R0_L0!$A22),1),2)</f>
        <v>1</v>
      </c>
      <c r="I62" s="3">
        <f>MOD(H27+MID('E(Ri) XOR ki+1'!$H$91,ROW(R0_L0!$A22),1),2)</f>
        <v>1</v>
      </c>
      <c r="J62" s="3">
        <f>MOD(I27+MID('E(Ri) XOR ki+1'!$H$92,ROW(R0_L0!$A22),1),2)</f>
        <v>0</v>
      </c>
      <c r="K62" s="3">
        <f>MOD(J27+MID('E(Ri) XOR ki+1'!$H$93,ROW(R0_L0!$A22),1),2)</f>
        <v>1</v>
      </c>
      <c r="L62" s="3">
        <f>MOD(K27+MID('E(Ri) XOR ki+1'!$H$94,ROW(R0_L0!$A22),1),2)</f>
        <v>0</v>
      </c>
      <c r="M62" s="3">
        <f>MOD(L27+MID('E(Ri) XOR ki+1'!$H$95,ROW(R0_L0!$A22),1),2)</f>
        <v>1</v>
      </c>
      <c r="N62" s="3">
        <f>MOD(M27+MID('E(Ri) XOR ki+1'!$H$96,ROW(R0_L0!$A22),1),2)</f>
        <v>0</v>
      </c>
      <c r="O62" s="3">
        <f>MOD(N27+MID('E(Ri) XOR ki+1'!$H$97,ROW(R0_L0!$A22),1),2)</f>
        <v>1</v>
      </c>
      <c r="P62" s="3">
        <f>MOD(O27+MID('E(Ri) XOR ki+1'!$H$98,ROW(R0_L0!$A22),1),2)</f>
        <v>0</v>
      </c>
      <c r="Q62" s="3">
        <f>MOD(P27+MID('E(Ri) XOR ki+1'!$H$99,ROW(R0_L0!$A22),1),2)</f>
        <v>0</v>
      </c>
      <c r="R62" s="3">
        <f>MOD(Q27+MID('E(Ri) XOR ki+1'!$H$100,ROW(R0_L0!$A22),1),2)</f>
        <v>1</v>
      </c>
    </row>
    <row r="63" spans="1:18" x14ac:dyDescent="0.25">
      <c r="A63" s="2">
        <v>23</v>
      </c>
      <c r="B63" s="3" t="str">
        <f t="shared" si="6"/>
        <v>0</v>
      </c>
      <c r="C63" s="3">
        <f>MOD(B28 + MID('E(Ri) XOR ki+1'!$H$85, ROW(R0_L0!A23),1),2)</f>
        <v>0</v>
      </c>
      <c r="D63" s="3">
        <f>MOD(C28+MID('E(Ri) XOR ki+1'!$H$86,ROW(R0_L0!$A23),1),2)</f>
        <v>0</v>
      </c>
      <c r="E63" s="3">
        <f>MOD(D28+MID('E(Ri) XOR ki+1'!$H$87,ROW(R0_L0!A23),1),2)</f>
        <v>1</v>
      </c>
      <c r="F63" s="3">
        <f>MOD(E28+MID('E(Ri) XOR ki+1'!$H$88,ROW(R0_L0!A23),1),2)</f>
        <v>0</v>
      </c>
      <c r="G63" s="3">
        <f>MOD(F28+MID('E(Ri) XOR ki+1'!$H$89,ROW(R0_L0!$A23),1),2)</f>
        <v>0</v>
      </c>
      <c r="H63" s="3">
        <f>MOD(G28+MID('E(Ri) XOR ki+1'!$H$90,ROW(R0_L0!$A23),1),2)</f>
        <v>1</v>
      </c>
      <c r="I63" s="3">
        <f>MOD(H28+MID('E(Ri) XOR ki+1'!$H$91,ROW(R0_L0!$A23),1),2)</f>
        <v>1</v>
      </c>
      <c r="J63" s="3">
        <f>MOD(I28+MID('E(Ri) XOR ki+1'!$H$92,ROW(R0_L0!$A23),1),2)</f>
        <v>1</v>
      </c>
      <c r="K63" s="3">
        <f>MOD(J28+MID('E(Ri) XOR ki+1'!$H$93,ROW(R0_L0!$A23),1),2)</f>
        <v>1</v>
      </c>
      <c r="L63" s="3">
        <f>MOD(K28+MID('E(Ri) XOR ki+1'!$H$94,ROW(R0_L0!$A23),1),2)</f>
        <v>1</v>
      </c>
      <c r="M63" s="3">
        <f>MOD(L28+MID('E(Ri) XOR ki+1'!$H$95,ROW(R0_L0!$A23),1),2)</f>
        <v>1</v>
      </c>
      <c r="N63" s="3">
        <f>MOD(M28+MID('E(Ri) XOR ki+1'!$H$96,ROW(R0_L0!$A23),1),2)</f>
        <v>0</v>
      </c>
      <c r="O63" s="3">
        <f>MOD(N28+MID('E(Ri) XOR ki+1'!$H$97,ROW(R0_L0!$A23),1),2)</f>
        <v>1</v>
      </c>
      <c r="P63" s="3">
        <f>MOD(O28+MID('E(Ri) XOR ki+1'!$H$98,ROW(R0_L0!$A23),1),2)</f>
        <v>1</v>
      </c>
      <c r="Q63" s="3">
        <f>MOD(P28+MID('E(Ri) XOR ki+1'!$H$99,ROW(R0_L0!$A23),1),2)</f>
        <v>1</v>
      </c>
      <c r="R63" s="3">
        <f>MOD(Q28+MID('E(Ri) XOR ki+1'!$H$100,ROW(R0_L0!$A23),1),2)</f>
        <v>1</v>
      </c>
    </row>
    <row r="64" spans="1:18" x14ac:dyDescent="0.25">
      <c r="A64" s="2">
        <v>24</v>
      </c>
      <c r="B64" s="3" t="str">
        <f t="shared" si="6"/>
        <v>0</v>
      </c>
      <c r="C64" s="3">
        <f>MOD(B29 + MID('E(Ri) XOR ki+1'!$H$85, ROW(R0_L0!A24),1),2)</f>
        <v>1</v>
      </c>
      <c r="D64" s="3">
        <f>MOD(C29+MID('E(Ri) XOR ki+1'!$H$86,ROW(R0_L0!$A24),1),2)</f>
        <v>1</v>
      </c>
      <c r="E64" s="3">
        <f>MOD(D29+MID('E(Ri) XOR ki+1'!$H$87,ROW(R0_L0!A24),1),2)</f>
        <v>1</v>
      </c>
      <c r="F64" s="3">
        <f>MOD(E29+MID('E(Ri) XOR ki+1'!$H$88,ROW(R0_L0!A24),1),2)</f>
        <v>1</v>
      </c>
      <c r="G64" s="3">
        <f>MOD(F29+MID('E(Ri) XOR ki+1'!$H$89,ROW(R0_L0!$A24),1),2)</f>
        <v>0</v>
      </c>
      <c r="H64" s="3">
        <f>MOD(G29+MID('E(Ri) XOR ki+1'!$H$90,ROW(R0_L0!$A24),1),2)</f>
        <v>0</v>
      </c>
      <c r="I64" s="3">
        <f>MOD(H29+MID('E(Ri) XOR ki+1'!$H$91,ROW(R0_L0!$A24),1),2)</f>
        <v>1</v>
      </c>
      <c r="J64" s="3">
        <f>MOD(I29+MID('E(Ri) XOR ki+1'!$H$92,ROW(R0_L0!$A24),1),2)</f>
        <v>0</v>
      </c>
      <c r="K64" s="3">
        <f>MOD(J29+MID('E(Ri) XOR ki+1'!$H$93,ROW(R0_L0!$A24),1),2)</f>
        <v>1</v>
      </c>
      <c r="L64" s="3">
        <f>MOD(K29+MID('E(Ri) XOR ki+1'!$H$94,ROW(R0_L0!$A24),1),2)</f>
        <v>0</v>
      </c>
      <c r="M64" s="3">
        <f>MOD(L29+MID('E(Ri) XOR ki+1'!$H$95,ROW(R0_L0!$A24),1),2)</f>
        <v>0</v>
      </c>
      <c r="N64" s="3">
        <f>MOD(M29+MID('E(Ri) XOR ki+1'!$H$96,ROW(R0_L0!$A24),1),2)</f>
        <v>1</v>
      </c>
      <c r="O64" s="3">
        <f>MOD(N29+MID('E(Ri) XOR ki+1'!$H$97,ROW(R0_L0!$A24),1),2)</f>
        <v>0</v>
      </c>
      <c r="P64" s="3">
        <f>MOD(O29+MID('E(Ri) XOR ki+1'!$H$98,ROW(R0_L0!$A24),1),2)</f>
        <v>1</v>
      </c>
      <c r="Q64" s="3">
        <f>MOD(P29+MID('E(Ri) XOR ki+1'!$H$99,ROW(R0_L0!$A24),1),2)</f>
        <v>1</v>
      </c>
      <c r="R64" s="3">
        <f>MOD(Q29+MID('E(Ri) XOR ki+1'!$H$100,ROW(R0_L0!$A24),1),2)</f>
        <v>0</v>
      </c>
    </row>
    <row r="65" spans="1:18" x14ac:dyDescent="0.25">
      <c r="A65" s="2">
        <v>25</v>
      </c>
      <c r="B65" s="3" t="str">
        <f t="shared" si="6"/>
        <v>1</v>
      </c>
      <c r="C65" s="3">
        <f>MOD(B30 + MID('E(Ri) XOR ki+1'!$H$85, ROW(R0_L0!A25),1),2)</f>
        <v>1</v>
      </c>
      <c r="D65" s="3">
        <f>MOD(C30+MID('E(Ri) XOR ki+1'!$H$86,ROW(R0_L0!$A25),1),2)</f>
        <v>1</v>
      </c>
      <c r="E65" s="3">
        <f>MOD(D30+MID('E(Ri) XOR ki+1'!$H$87,ROW(R0_L0!A25),1),2)</f>
        <v>0</v>
      </c>
      <c r="F65" s="3">
        <f>MOD(E30+MID('E(Ri) XOR ki+1'!$H$88,ROW(R0_L0!A25),1),2)</f>
        <v>0</v>
      </c>
      <c r="G65" s="3">
        <f>MOD(F30+MID('E(Ri) XOR ki+1'!$H$89,ROW(R0_L0!$A25),1),2)</f>
        <v>1</v>
      </c>
      <c r="H65" s="3">
        <f>MOD(G30+MID('E(Ri) XOR ki+1'!$H$90,ROW(R0_L0!$A25),1),2)</f>
        <v>0</v>
      </c>
      <c r="I65" s="3">
        <f>MOD(H30+MID('E(Ri) XOR ki+1'!$H$91,ROW(R0_L0!$A25),1),2)</f>
        <v>0</v>
      </c>
      <c r="J65" s="3">
        <f>MOD(I30+MID('E(Ri) XOR ki+1'!$H$92,ROW(R0_L0!$A25),1),2)</f>
        <v>1</v>
      </c>
      <c r="K65" s="3">
        <f>MOD(J30+MID('E(Ri) XOR ki+1'!$H$93,ROW(R0_L0!$A25),1),2)</f>
        <v>1</v>
      </c>
      <c r="L65" s="3">
        <f>MOD(K30+MID('E(Ri) XOR ki+1'!$H$94,ROW(R0_L0!$A25),1),2)</f>
        <v>0</v>
      </c>
      <c r="M65" s="3">
        <f>MOD(L30+MID('E(Ri) XOR ki+1'!$H$95,ROW(R0_L0!$A25),1),2)</f>
        <v>1</v>
      </c>
      <c r="N65" s="3">
        <f>MOD(M30+MID('E(Ri) XOR ki+1'!$H$96,ROW(R0_L0!$A25),1),2)</f>
        <v>1</v>
      </c>
      <c r="O65" s="3">
        <f>MOD(N30+MID('E(Ri) XOR ki+1'!$H$97,ROW(R0_L0!$A25),1),2)</f>
        <v>1</v>
      </c>
      <c r="P65" s="3">
        <f>MOD(O30+MID('E(Ri) XOR ki+1'!$H$98,ROW(R0_L0!$A25),1),2)</f>
        <v>1</v>
      </c>
      <c r="Q65" s="3">
        <f>MOD(P30+MID('E(Ri) XOR ki+1'!$H$99,ROW(R0_L0!$A25),1),2)</f>
        <v>1</v>
      </c>
      <c r="R65" s="3">
        <f>MOD(Q30+MID('E(Ri) XOR ki+1'!$H$100,ROW(R0_L0!$A25),1),2)</f>
        <v>1</v>
      </c>
    </row>
    <row r="66" spans="1:18" x14ac:dyDescent="0.25">
      <c r="A66" s="2">
        <v>26</v>
      </c>
      <c r="B66" s="3" t="str">
        <f t="shared" si="6"/>
        <v>0</v>
      </c>
      <c r="C66" s="3">
        <f>MOD(B31 + MID('E(Ri) XOR ki+1'!$H$85, ROW(R0_L0!A26),1),2)</f>
        <v>0</v>
      </c>
      <c r="D66" s="3">
        <f>MOD(C31+MID('E(Ri) XOR ki+1'!$H$86,ROW(R0_L0!$A26),1),2)</f>
        <v>0</v>
      </c>
      <c r="E66" s="3">
        <f>MOD(D31+MID('E(Ri) XOR ki+1'!$H$87,ROW(R0_L0!A26),1),2)</f>
        <v>0</v>
      </c>
      <c r="F66" s="3">
        <f>MOD(E31+MID('E(Ri) XOR ki+1'!$H$88,ROW(R0_L0!A26),1),2)</f>
        <v>0</v>
      </c>
      <c r="G66" s="3">
        <f>MOD(F31+MID('E(Ri) XOR ki+1'!$H$89,ROW(R0_L0!$A26),1),2)</f>
        <v>1</v>
      </c>
      <c r="H66" s="3">
        <f>MOD(G31+MID('E(Ri) XOR ki+1'!$H$90,ROW(R0_L0!$A26),1),2)</f>
        <v>0</v>
      </c>
      <c r="I66" s="3">
        <f>MOD(H31+MID('E(Ri) XOR ki+1'!$H$91,ROW(R0_L0!$A26),1),2)</f>
        <v>1</v>
      </c>
      <c r="J66" s="3">
        <f>MOD(I31+MID('E(Ri) XOR ki+1'!$H$92,ROW(R0_L0!$A26),1),2)</f>
        <v>0</v>
      </c>
      <c r="K66" s="3">
        <f>MOD(J31+MID('E(Ri) XOR ki+1'!$H$93,ROW(R0_L0!$A26),1),2)</f>
        <v>1</v>
      </c>
      <c r="L66" s="3">
        <f>MOD(K31+MID('E(Ri) XOR ki+1'!$H$94,ROW(R0_L0!$A26),1),2)</f>
        <v>1</v>
      </c>
      <c r="M66" s="3">
        <f>MOD(L31+MID('E(Ri) XOR ki+1'!$H$95,ROW(R0_L0!$A26),1),2)</f>
        <v>0</v>
      </c>
      <c r="N66" s="3">
        <f>MOD(M31+MID('E(Ri) XOR ki+1'!$H$96,ROW(R0_L0!$A26),1),2)</f>
        <v>1</v>
      </c>
      <c r="O66" s="3">
        <f>MOD(N31+MID('E(Ri) XOR ki+1'!$H$97,ROW(R0_L0!$A26),1),2)</f>
        <v>0</v>
      </c>
      <c r="P66" s="3">
        <f>MOD(O31+MID('E(Ri) XOR ki+1'!$H$98,ROW(R0_L0!$A26),1),2)</f>
        <v>0</v>
      </c>
      <c r="Q66" s="3">
        <f>MOD(P31+MID('E(Ri) XOR ki+1'!$H$99,ROW(R0_L0!$A26),1),2)</f>
        <v>0</v>
      </c>
      <c r="R66" s="3">
        <f>MOD(Q31+MID('E(Ri) XOR ki+1'!$H$100,ROW(R0_L0!$A26),1),2)</f>
        <v>0</v>
      </c>
    </row>
    <row r="67" spans="1:18" x14ac:dyDescent="0.25">
      <c r="A67" s="2">
        <v>27</v>
      </c>
      <c r="B67" s="3" t="str">
        <f t="shared" si="6"/>
        <v>1</v>
      </c>
      <c r="C67" s="3">
        <f>MOD(B32 + MID('E(Ri) XOR ki+1'!$H$85, ROW(R0_L0!A27),1),2)</f>
        <v>0</v>
      </c>
      <c r="D67" s="3">
        <f>MOD(C32+MID('E(Ri) XOR ki+1'!$H$86,ROW(R0_L0!$A27),1),2)</f>
        <v>1</v>
      </c>
      <c r="E67" s="3">
        <f>MOD(D32+MID('E(Ri) XOR ki+1'!$H$87,ROW(R0_L0!A27),1),2)</f>
        <v>0</v>
      </c>
      <c r="F67" s="3">
        <f>MOD(E32+MID('E(Ri) XOR ki+1'!$H$88,ROW(R0_L0!A27),1),2)</f>
        <v>0</v>
      </c>
      <c r="G67" s="3">
        <f>MOD(F32+MID('E(Ri) XOR ki+1'!$H$89,ROW(R0_L0!$A27),1),2)</f>
        <v>1</v>
      </c>
      <c r="H67" s="3">
        <f>MOD(G32+MID('E(Ri) XOR ki+1'!$H$90,ROW(R0_L0!$A27),1),2)</f>
        <v>1</v>
      </c>
      <c r="I67" s="3">
        <f>MOD(H32+MID('E(Ri) XOR ki+1'!$H$91,ROW(R0_L0!$A27),1),2)</f>
        <v>0</v>
      </c>
      <c r="J67" s="3">
        <f>MOD(I32+MID('E(Ri) XOR ki+1'!$H$92,ROW(R0_L0!$A27),1),2)</f>
        <v>0</v>
      </c>
      <c r="K67" s="3">
        <f>MOD(J32+MID('E(Ri) XOR ki+1'!$H$93,ROW(R0_L0!$A27),1),2)</f>
        <v>1</v>
      </c>
      <c r="L67" s="3">
        <f>MOD(K32+MID('E(Ri) XOR ki+1'!$H$94,ROW(R0_L0!$A27),1),2)</f>
        <v>1</v>
      </c>
      <c r="M67" s="3">
        <f>MOD(L32+MID('E(Ri) XOR ki+1'!$H$95,ROW(R0_L0!$A27),1),2)</f>
        <v>1</v>
      </c>
      <c r="N67" s="3">
        <f>MOD(M32+MID('E(Ri) XOR ki+1'!$H$96,ROW(R0_L0!$A27),1),2)</f>
        <v>0</v>
      </c>
      <c r="O67" s="3">
        <f>MOD(N32+MID('E(Ri) XOR ki+1'!$H$97,ROW(R0_L0!$A27),1),2)</f>
        <v>1</v>
      </c>
      <c r="P67" s="3">
        <f>MOD(O32+MID('E(Ri) XOR ki+1'!$H$98,ROW(R0_L0!$A27),1),2)</f>
        <v>0</v>
      </c>
      <c r="Q67" s="3">
        <f>MOD(P32+MID('E(Ri) XOR ki+1'!$H$99,ROW(R0_L0!$A27),1),2)</f>
        <v>1</v>
      </c>
      <c r="R67" s="3">
        <f>MOD(Q32+MID('E(Ri) XOR ki+1'!$H$100,ROW(R0_L0!$A27),1),2)</f>
        <v>1</v>
      </c>
    </row>
    <row r="68" spans="1:18" x14ac:dyDescent="0.25">
      <c r="A68" s="2">
        <v>28</v>
      </c>
      <c r="B68" s="3" t="str">
        <f t="shared" si="6"/>
        <v>0</v>
      </c>
      <c r="C68" s="3">
        <f>MOD(B33 + MID('E(Ri) XOR ki+1'!$H$85, ROW(R0_L0!A28),1),2)</f>
        <v>1</v>
      </c>
      <c r="D68" s="3">
        <f>MOD(C33+MID('E(Ri) XOR ki+1'!$H$86,ROW(R0_L0!$A28),1),2)</f>
        <v>0</v>
      </c>
      <c r="E68" s="3">
        <f>MOD(D33+MID('E(Ri) XOR ki+1'!$H$87,ROW(R0_L0!A28),1),2)</f>
        <v>0</v>
      </c>
      <c r="F68" s="3">
        <f>MOD(E33+MID('E(Ri) XOR ki+1'!$H$88,ROW(R0_L0!A28),1),2)</f>
        <v>1</v>
      </c>
      <c r="G68" s="3">
        <f>MOD(F33+MID('E(Ri) XOR ki+1'!$H$89,ROW(R0_L0!$A28),1),2)</f>
        <v>1</v>
      </c>
      <c r="H68" s="3">
        <f>MOD(G33+MID('E(Ri) XOR ki+1'!$H$90,ROW(R0_L0!$A28),1),2)</f>
        <v>1</v>
      </c>
      <c r="I68" s="3">
        <f>MOD(H33+MID('E(Ri) XOR ki+1'!$H$91,ROW(R0_L0!$A28),1),2)</f>
        <v>1</v>
      </c>
      <c r="J68" s="3">
        <f>MOD(I33+MID('E(Ri) XOR ki+1'!$H$92,ROW(R0_L0!$A28),1),2)</f>
        <v>0</v>
      </c>
      <c r="K68" s="3">
        <f>MOD(J33+MID('E(Ri) XOR ki+1'!$H$93,ROW(R0_L0!$A28),1),2)</f>
        <v>0</v>
      </c>
      <c r="L68" s="3">
        <f>MOD(K33+MID('E(Ri) XOR ki+1'!$H$94,ROW(R0_L0!$A28),1),2)</f>
        <v>0</v>
      </c>
      <c r="M68" s="3">
        <f>MOD(L33+MID('E(Ri) XOR ki+1'!$H$95,ROW(R0_L0!$A28),1),2)</f>
        <v>0</v>
      </c>
      <c r="N68" s="3">
        <f>MOD(M33+MID('E(Ri) XOR ki+1'!$H$96,ROW(R0_L0!$A28),1),2)</f>
        <v>0</v>
      </c>
      <c r="O68" s="3">
        <f>MOD(N33+MID('E(Ri) XOR ki+1'!$H$97,ROW(R0_L0!$A28),1),2)</f>
        <v>0</v>
      </c>
      <c r="P68" s="3">
        <f>MOD(O33+MID('E(Ri) XOR ki+1'!$H$98,ROW(R0_L0!$A28),1),2)</f>
        <v>0</v>
      </c>
      <c r="Q68" s="3">
        <f>MOD(P33+MID('E(Ri) XOR ki+1'!$H$99,ROW(R0_L0!$A28),1),2)</f>
        <v>1</v>
      </c>
      <c r="R68" s="3">
        <f>MOD(Q33+MID('E(Ri) XOR ki+1'!$H$100,ROW(R0_L0!$A28),1),2)</f>
        <v>0</v>
      </c>
    </row>
    <row r="69" spans="1:18" x14ac:dyDescent="0.25">
      <c r="A69" s="2">
        <v>29</v>
      </c>
      <c r="B69" s="3" t="str">
        <f t="shared" si="6"/>
        <v>1</v>
      </c>
      <c r="C69" s="3">
        <f>MOD(B34 + MID('E(Ri) XOR ki+1'!$H$85, ROW(R0_L0!A29),1),2)</f>
        <v>1</v>
      </c>
      <c r="D69" s="3">
        <f>MOD(C34+MID('E(Ri) XOR ki+1'!$H$86,ROW(R0_L0!$A29),1),2)</f>
        <v>0</v>
      </c>
      <c r="E69" s="3">
        <f>MOD(D34+MID('E(Ri) XOR ki+1'!$H$87,ROW(R0_L0!A29),1),2)</f>
        <v>1</v>
      </c>
      <c r="F69" s="3">
        <f>MOD(E34+MID('E(Ri) XOR ki+1'!$H$88,ROW(R0_L0!A29),1),2)</f>
        <v>0</v>
      </c>
      <c r="G69" s="3">
        <f>MOD(F34+MID('E(Ri) XOR ki+1'!$H$89,ROW(R0_L0!$A29),1),2)</f>
        <v>0</v>
      </c>
      <c r="H69" s="3">
        <f>MOD(G34+MID('E(Ri) XOR ki+1'!$H$90,ROW(R0_L0!$A29),1),2)</f>
        <v>0</v>
      </c>
      <c r="I69" s="3">
        <f>MOD(H34+MID('E(Ri) XOR ki+1'!$H$91,ROW(R0_L0!$A29),1),2)</f>
        <v>0</v>
      </c>
      <c r="J69" s="3">
        <f>MOD(I34+MID('E(Ri) XOR ki+1'!$H$92,ROW(R0_L0!$A29),1),2)</f>
        <v>1</v>
      </c>
      <c r="K69" s="3">
        <f>MOD(J34+MID('E(Ri) XOR ki+1'!$H$93,ROW(R0_L0!$A29),1),2)</f>
        <v>0</v>
      </c>
      <c r="L69" s="3">
        <f>MOD(K34+MID('E(Ri) XOR ki+1'!$H$94,ROW(R0_L0!$A29),1),2)</f>
        <v>1</v>
      </c>
      <c r="M69" s="3">
        <f>MOD(L34+MID('E(Ri) XOR ki+1'!$H$95,ROW(R0_L0!$A29),1),2)</f>
        <v>0</v>
      </c>
      <c r="N69" s="3">
        <f>MOD(M34+MID('E(Ri) XOR ki+1'!$H$96,ROW(R0_L0!$A29),1),2)</f>
        <v>1</v>
      </c>
      <c r="O69" s="3">
        <f>MOD(N34+MID('E(Ri) XOR ki+1'!$H$97,ROW(R0_L0!$A29),1),2)</f>
        <v>0</v>
      </c>
      <c r="P69" s="3">
        <f>MOD(O34+MID('E(Ri) XOR ki+1'!$H$98,ROW(R0_L0!$A29),1),2)</f>
        <v>0</v>
      </c>
      <c r="Q69" s="3">
        <f>MOD(P34+MID('E(Ri) XOR ki+1'!$H$99,ROW(R0_L0!$A29),1),2)</f>
        <v>0</v>
      </c>
      <c r="R69" s="3">
        <f>MOD(Q34+MID('E(Ri) XOR ki+1'!$H$100,ROW(R0_L0!$A29),1),2)</f>
        <v>1</v>
      </c>
    </row>
    <row r="70" spans="1:18" x14ac:dyDescent="0.25">
      <c r="A70" s="2">
        <v>30</v>
      </c>
      <c r="B70" s="3" t="str">
        <f t="shared" si="6"/>
        <v>0</v>
      </c>
      <c r="C70" s="3">
        <f>MOD(B35 + MID('E(Ri) XOR ki+1'!$H$85, ROW(R0_L0!A30),1),2)</f>
        <v>0</v>
      </c>
      <c r="D70" s="3">
        <f>MOD(C35+MID('E(Ri) XOR ki+1'!$H$86,ROW(R0_L0!$A30),1),2)</f>
        <v>0</v>
      </c>
      <c r="E70" s="3">
        <f>MOD(D35+MID('E(Ri) XOR ki+1'!$H$87,ROW(R0_L0!A30),1),2)</f>
        <v>0</v>
      </c>
      <c r="F70" s="3">
        <f>MOD(E35+MID('E(Ri) XOR ki+1'!$H$88,ROW(R0_L0!A30),1),2)</f>
        <v>0</v>
      </c>
      <c r="G70" s="3">
        <f>MOD(F35+MID('E(Ri) XOR ki+1'!$H$89,ROW(R0_L0!$A30),1),2)</f>
        <v>1</v>
      </c>
      <c r="H70" s="3">
        <f>MOD(G35+MID('E(Ri) XOR ki+1'!$H$90,ROW(R0_L0!$A30),1),2)</f>
        <v>1</v>
      </c>
      <c r="I70" s="3">
        <f>MOD(H35+MID('E(Ri) XOR ki+1'!$H$91,ROW(R0_L0!$A30),1),2)</f>
        <v>1</v>
      </c>
      <c r="J70" s="3">
        <f>MOD(I35+MID('E(Ri) XOR ki+1'!$H$92,ROW(R0_L0!$A30),1),2)</f>
        <v>1</v>
      </c>
      <c r="K70" s="3">
        <f>MOD(J35+MID('E(Ri) XOR ki+1'!$H$93,ROW(R0_L0!$A30),1),2)</f>
        <v>1</v>
      </c>
      <c r="L70" s="3">
        <f>MOD(K35+MID('E(Ri) XOR ki+1'!$H$94,ROW(R0_L0!$A30),1),2)</f>
        <v>0</v>
      </c>
      <c r="M70" s="3">
        <f>MOD(L35+MID('E(Ri) XOR ki+1'!$H$95,ROW(R0_L0!$A30),1),2)</f>
        <v>0</v>
      </c>
      <c r="N70" s="3">
        <f>MOD(M35+MID('E(Ri) XOR ki+1'!$H$96,ROW(R0_L0!$A30),1),2)</f>
        <v>1</v>
      </c>
      <c r="O70" s="3">
        <f>MOD(N35+MID('E(Ri) XOR ki+1'!$H$97,ROW(R0_L0!$A30),1),2)</f>
        <v>1</v>
      </c>
      <c r="P70" s="3">
        <f>MOD(O35+MID('E(Ri) XOR ki+1'!$H$98,ROW(R0_L0!$A30),1),2)</f>
        <v>1</v>
      </c>
      <c r="Q70" s="3">
        <f>MOD(P35+MID('E(Ri) XOR ki+1'!$H$99,ROW(R0_L0!$A30),1),2)</f>
        <v>1</v>
      </c>
      <c r="R70" s="3">
        <f>MOD(Q35+MID('E(Ri) XOR ki+1'!$H$100,ROW(R0_L0!$A30),1),2)</f>
        <v>0</v>
      </c>
    </row>
    <row r="71" spans="1:18" x14ac:dyDescent="0.25">
      <c r="A71" s="2">
        <v>31</v>
      </c>
      <c r="B71" s="3" t="str">
        <f t="shared" si="6"/>
        <v>1</v>
      </c>
      <c r="C71" s="3">
        <f>MOD(B36 + MID('E(Ri) XOR ki+1'!$H$85, ROW(R0_L0!A31),1),2)</f>
        <v>1</v>
      </c>
      <c r="D71" s="3">
        <f>MOD(C36+MID('E(Ri) XOR ki+1'!$H$86,ROW(R0_L0!$A31),1),2)</f>
        <v>0</v>
      </c>
      <c r="E71" s="3">
        <f>MOD(D36+MID('E(Ri) XOR ki+1'!$H$87,ROW(R0_L0!A31),1),2)</f>
        <v>0</v>
      </c>
      <c r="F71" s="3">
        <f>MOD(E36+MID('E(Ri) XOR ki+1'!$H$88,ROW(R0_L0!A31),1),2)</f>
        <v>1</v>
      </c>
      <c r="G71" s="3">
        <f>MOD(F36+MID('E(Ri) XOR ki+1'!$H$89,ROW(R0_L0!$A31),1),2)</f>
        <v>0</v>
      </c>
      <c r="H71" s="3">
        <f>MOD(G36+MID('E(Ri) XOR ki+1'!$H$90,ROW(R0_L0!$A31),1),2)</f>
        <v>1</v>
      </c>
      <c r="I71" s="3">
        <f>MOD(H36+MID('E(Ri) XOR ki+1'!$H$91,ROW(R0_L0!$A31),1),2)</f>
        <v>1</v>
      </c>
      <c r="J71" s="3">
        <f>MOD(I36+MID('E(Ri) XOR ki+1'!$H$92,ROW(R0_L0!$A31),1),2)</f>
        <v>1</v>
      </c>
      <c r="K71" s="3">
        <f>MOD(J36+MID('E(Ri) XOR ki+1'!$H$93,ROW(R0_L0!$A31),1),2)</f>
        <v>1</v>
      </c>
      <c r="L71" s="3">
        <f>MOD(K36+MID('E(Ri) XOR ki+1'!$H$94,ROW(R0_L0!$A31),1),2)</f>
        <v>1</v>
      </c>
      <c r="M71" s="3">
        <f>MOD(L36+MID('E(Ri) XOR ki+1'!$H$95,ROW(R0_L0!$A31),1),2)</f>
        <v>0</v>
      </c>
      <c r="N71" s="3">
        <f>MOD(M36+MID('E(Ri) XOR ki+1'!$H$96,ROW(R0_L0!$A31),1),2)</f>
        <v>1</v>
      </c>
      <c r="O71" s="3">
        <f>MOD(N36+MID('E(Ri) XOR ki+1'!$H$97,ROW(R0_L0!$A31),1),2)</f>
        <v>1</v>
      </c>
      <c r="P71" s="3">
        <f>MOD(O36+MID('E(Ri) XOR ki+1'!$H$98,ROW(R0_L0!$A31),1),2)</f>
        <v>1</v>
      </c>
      <c r="Q71" s="3">
        <f>MOD(P36+MID('E(Ri) XOR ki+1'!$H$99,ROW(R0_L0!$A31),1),2)</f>
        <v>1</v>
      </c>
      <c r="R71" s="3">
        <f>MOD(Q36+MID('E(Ri) XOR ki+1'!$H$100,ROW(R0_L0!$A31),1),2)</f>
        <v>1</v>
      </c>
    </row>
    <row r="72" spans="1:18" x14ac:dyDescent="0.25">
      <c r="A72" s="2">
        <v>32</v>
      </c>
      <c r="B72" s="3" t="str">
        <f t="shared" si="6"/>
        <v>0</v>
      </c>
      <c r="C72" s="3">
        <f>MOD(B37 + MID('E(Ri) XOR ki+1'!$H$85, ROW(R0_L0!A32),1),2)</f>
        <v>0</v>
      </c>
      <c r="D72" s="3">
        <f>MOD(C37+MID('E(Ri) XOR ki+1'!$H$86,ROW(R0_L0!$A32),1),2)</f>
        <v>1</v>
      </c>
      <c r="E72" s="3">
        <f>MOD(D37+MID('E(Ri) XOR ki+1'!$H$87,ROW(R0_L0!A32),1),2)</f>
        <v>0</v>
      </c>
      <c r="F72" s="3">
        <f>MOD(E37+MID('E(Ri) XOR ki+1'!$H$88,ROW(R0_L0!A32),1),2)</f>
        <v>1</v>
      </c>
      <c r="G72" s="3">
        <f>MOD(F37+MID('E(Ri) XOR ki+1'!$H$89,ROW(R0_L0!$A32),1),2)</f>
        <v>1</v>
      </c>
      <c r="H72" s="3">
        <f>MOD(G37+MID('E(Ri) XOR ki+1'!$H$90,ROW(R0_L0!$A32),1),2)</f>
        <v>0</v>
      </c>
      <c r="I72" s="3">
        <f>MOD(H37+MID('E(Ri) XOR ki+1'!$H$91,ROW(R0_L0!$A32),1),2)</f>
        <v>1</v>
      </c>
      <c r="J72" s="3">
        <f>MOD(I37+MID('E(Ri) XOR ki+1'!$H$92,ROW(R0_L0!$A32),1),2)</f>
        <v>0</v>
      </c>
      <c r="K72" s="3">
        <f>MOD(J37+MID('E(Ri) XOR ki+1'!$H$93,ROW(R0_L0!$A32),1),2)</f>
        <v>0</v>
      </c>
      <c r="L72" s="3">
        <f>MOD(K37+MID('E(Ri) XOR ki+1'!$H$94,ROW(R0_L0!$A32),1),2)</f>
        <v>0</v>
      </c>
      <c r="M72" s="3">
        <f>MOD(L37+MID('E(Ri) XOR ki+1'!$H$95,ROW(R0_L0!$A32),1),2)</f>
        <v>0</v>
      </c>
      <c r="N72" s="3">
        <f>MOD(M37+MID('E(Ri) XOR ki+1'!$H$96,ROW(R0_L0!$A32),1),2)</f>
        <v>1</v>
      </c>
      <c r="O72" s="3">
        <f>MOD(N37+MID('E(Ri) XOR ki+1'!$H$97,ROW(R0_L0!$A32),1),2)</f>
        <v>0</v>
      </c>
      <c r="P72" s="3">
        <f>MOD(O37+MID('E(Ri) XOR ki+1'!$H$98,ROW(R0_L0!$A32),1),2)</f>
        <v>1</v>
      </c>
      <c r="Q72" s="3">
        <f>MOD(P37+MID('E(Ri) XOR ki+1'!$H$99,ROW(R0_L0!$A32),1),2)</f>
        <v>1</v>
      </c>
      <c r="R72" s="3">
        <f>MOD(Q37+MID('E(Ri) XOR ki+1'!$H$100,ROW(R0_L0!$A32),1),2)</f>
        <v>0</v>
      </c>
    </row>
    <row r="75" spans="1:18" x14ac:dyDescent="0.25">
      <c r="B75" s="2" t="s">
        <v>30</v>
      </c>
      <c r="C75" s="6" t="str">
        <f>_xlfn.TEXTJOIN("",TRUE,$C$41:$C$72)</f>
        <v>00001111001011111010110110011010</v>
      </c>
      <c r="D75" s="6"/>
      <c r="E75" s="6"/>
      <c r="F75" s="6"/>
      <c r="I75" s="2" t="s">
        <v>15</v>
      </c>
      <c r="J75" s="6" t="str">
        <f>_xlfn.TEXTJOIN("",TRUE,$C$6:$C$37)</f>
        <v>11100000010101001111000010101010</v>
      </c>
      <c r="K75" s="6"/>
      <c r="L75" s="6"/>
      <c r="M75" s="6"/>
    </row>
    <row r="76" spans="1:18" x14ac:dyDescent="0.25">
      <c r="B76" s="2" t="s">
        <v>31</v>
      </c>
      <c r="C76" s="6" t="str">
        <f>_xlfn.TEXTJOIN("",TRUE,$D$41:$D$72)</f>
        <v>01101000000111000111110110100001</v>
      </c>
      <c r="D76" s="6"/>
      <c r="E76" s="6"/>
      <c r="F76" s="6"/>
      <c r="I76" s="2" t="s">
        <v>16</v>
      </c>
      <c r="J76" s="6" t="str">
        <f>_xlfn.TEXTJOIN("",TRUE,$D$6:$D$37)</f>
        <v>00001111001011111010110110011010</v>
      </c>
      <c r="K76" s="6"/>
      <c r="L76" s="6"/>
      <c r="M76" s="6"/>
    </row>
    <row r="77" spans="1:18" x14ac:dyDescent="0.25">
      <c r="B77" s="2" t="s">
        <v>32</v>
      </c>
      <c r="C77" s="6" t="str">
        <f>_xlfn.TEXTJOIN("",TRUE,$E$41:$E$72)</f>
        <v>11010101000101001000101100001000</v>
      </c>
      <c r="D77" s="6"/>
      <c r="E77" s="6"/>
      <c r="F77" s="6"/>
      <c r="I77" s="2" t="s">
        <v>17</v>
      </c>
      <c r="J77" s="6" t="str">
        <f>_xlfn.TEXTJOIN("",TRUE,$E$6:$E$37)</f>
        <v>01101000000111000111110110100001</v>
      </c>
      <c r="K77" s="6"/>
      <c r="L77" s="6"/>
      <c r="M77" s="6"/>
    </row>
    <row r="78" spans="1:18" x14ac:dyDescent="0.25">
      <c r="B78" s="2" t="s">
        <v>33</v>
      </c>
      <c r="C78" s="6" t="str">
        <f>_xlfn.TEXTJOIN("",TRUE,$F$41:$F$72)</f>
        <v>10011100010101010010110100010011</v>
      </c>
      <c r="D78" s="6"/>
      <c r="E78" s="6"/>
      <c r="F78" s="6"/>
      <c r="I78" s="2" t="s">
        <v>18</v>
      </c>
      <c r="J78" s="6" t="str">
        <f>_xlfn.TEXTJOIN("",TRUE,$F$6:$F$37)</f>
        <v>11010101000101001000101100001000</v>
      </c>
      <c r="K78" s="6"/>
      <c r="L78" s="6"/>
      <c r="M78" s="6"/>
    </row>
    <row r="79" spans="1:18" x14ac:dyDescent="0.25">
      <c r="B79" s="2" t="s">
        <v>34</v>
      </c>
      <c r="C79" s="6" t="str">
        <f>_xlfn.TEXTJOIN("",TRUE,$G$41:$G$72)</f>
        <v>00001101001001101011110011110101</v>
      </c>
      <c r="D79" s="6"/>
      <c r="E79" s="6"/>
      <c r="F79" s="6"/>
      <c r="I79" s="2" t="s">
        <v>19</v>
      </c>
      <c r="J79" s="6" t="str">
        <f>_xlfn.TEXTJOIN("",TRUE,$G$6:$G$37)</f>
        <v>10011100010101010010110100010011</v>
      </c>
      <c r="K79" s="6"/>
      <c r="L79" s="6"/>
      <c r="M79" s="6"/>
    </row>
    <row r="80" spans="1:18" x14ac:dyDescent="0.25">
      <c r="B80" s="2" t="s">
        <v>35</v>
      </c>
      <c r="C80" s="6" t="str">
        <f>_xlfn.TEXTJOIN("",TRUE,$H$41:$H$72)</f>
        <v>00110011100100010001011000110110</v>
      </c>
      <c r="D80" s="6"/>
      <c r="E80" s="6"/>
      <c r="F80" s="6"/>
      <c r="I80" s="2" t="s">
        <v>20</v>
      </c>
      <c r="J80" s="6" t="str">
        <f>_xlfn.TEXTJOIN("",TRUE,$H$6:$H$37)</f>
        <v>00001101001001101011110011110101</v>
      </c>
      <c r="K80" s="6"/>
      <c r="L80" s="6"/>
      <c r="M80" s="6"/>
    </row>
    <row r="81" spans="2:13" x14ac:dyDescent="0.25">
      <c r="B81" s="2" t="s">
        <v>36</v>
      </c>
      <c r="C81" s="6" t="str">
        <f>_xlfn.TEXTJOIN("",TRUE,$I$41:$I$72)</f>
        <v>01000011011101111001111101010111</v>
      </c>
      <c r="D81" s="6"/>
      <c r="E81" s="6"/>
      <c r="F81" s="6"/>
      <c r="I81" s="2" t="s">
        <v>21</v>
      </c>
      <c r="J81" s="6" t="str">
        <f>_xlfn.TEXTJOIN("",TRUE,$I$6:$I$37)</f>
        <v>00110011100100010001011000110110</v>
      </c>
      <c r="K81" s="6"/>
      <c r="L81" s="6"/>
      <c r="M81" s="6"/>
    </row>
    <row r="82" spans="2:13" x14ac:dyDescent="0.25">
      <c r="B82" s="2" t="s">
        <v>37</v>
      </c>
      <c r="C82" s="6" t="str">
        <f>_xlfn.TEXTJOIN("",TRUE,$J$41:$J$72)</f>
        <v>01011111011011001111101010001110</v>
      </c>
      <c r="D82" s="6"/>
      <c r="E82" s="6"/>
      <c r="F82" s="6"/>
      <c r="I82" s="2" t="s">
        <v>22</v>
      </c>
      <c r="J82" s="6" t="str">
        <f>_xlfn.TEXTJOIN("",TRUE,$J$6:$J$37)</f>
        <v>01000011011101111001111101010111</v>
      </c>
      <c r="K82" s="6"/>
      <c r="L82" s="6"/>
      <c r="M82" s="6"/>
    </row>
    <row r="83" spans="2:13" x14ac:dyDescent="0.25">
      <c r="B83" s="2" t="s">
        <v>38</v>
      </c>
      <c r="C83" s="6" t="str">
        <f>_xlfn.TEXTJOIN("",TRUE,$K$41:$K$72)</f>
        <v>10111000011100011001111111100110</v>
      </c>
      <c r="D83" s="6"/>
      <c r="E83" s="6"/>
      <c r="F83" s="6"/>
      <c r="I83" s="2" t="s">
        <v>23</v>
      </c>
      <c r="J83" s="6" t="str">
        <f>_xlfn.TEXTJOIN("",TRUE,$K$6:$K$37)</f>
        <v>01011111011011001111101010001110</v>
      </c>
      <c r="K83" s="6"/>
      <c r="L83" s="6"/>
      <c r="M83" s="6"/>
    </row>
    <row r="84" spans="2:13" x14ac:dyDescent="0.25">
      <c r="B84" s="2" t="s">
        <v>39</v>
      </c>
      <c r="C84" s="6" t="str">
        <f>_xlfn.TEXTJOIN("",TRUE,$L$41:$L$72)</f>
        <v>10001010011110011111001001101010</v>
      </c>
      <c r="D84" s="6"/>
      <c r="E84" s="6"/>
      <c r="F84" s="6"/>
      <c r="I84" s="2" t="s">
        <v>24</v>
      </c>
      <c r="J84" s="6" t="str">
        <f>_xlfn.TEXTJOIN("",TRUE,$L$6:$L$37)</f>
        <v>10111000011100011001111111100110</v>
      </c>
      <c r="K84" s="6"/>
      <c r="L84" s="6"/>
      <c r="M84" s="6"/>
    </row>
    <row r="85" spans="2:13" x14ac:dyDescent="0.25">
      <c r="B85" s="2" t="s">
        <v>40</v>
      </c>
      <c r="C85" s="6" t="str">
        <f>_xlfn.TEXTJOIN("",TRUE,$M$41:$M$72)</f>
        <v>01000100100001111110111010100000</v>
      </c>
      <c r="D85" s="6"/>
      <c r="E85" s="6"/>
      <c r="F85" s="6"/>
      <c r="I85" s="2" t="s">
        <v>25</v>
      </c>
      <c r="J85" s="6" t="str">
        <f>_xlfn.TEXTJOIN("",TRUE,$M$6:$M$37)</f>
        <v>10001010011110011111001001101010</v>
      </c>
      <c r="K85" s="6"/>
      <c r="L85" s="6"/>
      <c r="M85" s="6"/>
    </row>
    <row r="86" spans="2:13" x14ac:dyDescent="0.25">
      <c r="B86" s="2" t="s">
        <v>41</v>
      </c>
      <c r="C86" s="6" t="str">
        <f>_xlfn.TEXTJOIN("",TRUE,$N$41:$N$72)</f>
        <v>11111010001101100101000111001111</v>
      </c>
      <c r="D86" s="6"/>
      <c r="E86" s="6"/>
      <c r="F86" s="6"/>
      <c r="I86" s="2" t="s">
        <v>26</v>
      </c>
      <c r="J86" s="6" t="str">
        <f>_xlfn.TEXTJOIN("",TRUE,$N$6:$N$37)</f>
        <v>01000100100001111110111010100000</v>
      </c>
      <c r="K86" s="6"/>
      <c r="L86" s="6"/>
      <c r="M86" s="6"/>
    </row>
    <row r="87" spans="2:13" x14ac:dyDescent="0.25">
      <c r="B87" s="2" t="s">
        <v>42</v>
      </c>
      <c r="C87" s="6" t="str">
        <f>_xlfn.TEXTJOIN("",TRUE,$O$41:$O$72)</f>
        <v>00111111011110011100011010100110</v>
      </c>
      <c r="D87" s="6"/>
      <c r="E87" s="6"/>
      <c r="F87" s="6"/>
      <c r="I87" s="2" t="s">
        <v>27</v>
      </c>
      <c r="J87" s="6" t="str">
        <f>_xlfn.TEXTJOIN("",TRUE,$O$6:$O$37)</f>
        <v>11111010001101100101000111001111</v>
      </c>
      <c r="K87" s="6"/>
      <c r="L87" s="6"/>
      <c r="M87" s="6"/>
    </row>
    <row r="88" spans="2:13" x14ac:dyDescent="0.25">
      <c r="B88" s="2" t="s">
        <v>43</v>
      </c>
      <c r="C88" s="6" t="str">
        <f>_xlfn.TEXTJOIN("",TRUE,$P$41:$P$72)</f>
        <v>10011111110010100010101110000111</v>
      </c>
      <c r="D88" s="6"/>
      <c r="E88" s="6"/>
      <c r="F88" s="6"/>
      <c r="I88" s="2" t="s">
        <v>28</v>
      </c>
      <c r="J88" s="6" t="str">
        <f>_xlfn.TEXTJOIN("",TRUE,$P$6:$P$37)</f>
        <v>00111111011110011100011010100110</v>
      </c>
      <c r="K88" s="6"/>
      <c r="L88" s="6"/>
      <c r="M88" s="6"/>
    </row>
    <row r="89" spans="2:13" x14ac:dyDescent="0.25">
      <c r="B89" s="2" t="s">
        <v>44</v>
      </c>
      <c r="C89" s="6" t="str">
        <f>_xlfn.TEXTJOIN("",TRUE,$Q$41:$Q$72)</f>
        <v>01101110010001101101101110110111</v>
      </c>
      <c r="D89" s="6"/>
      <c r="E89" s="6"/>
      <c r="F89" s="6"/>
      <c r="I89" s="2" t="s">
        <v>29</v>
      </c>
      <c r="J89" s="6" t="str">
        <f>_xlfn.TEXTJOIN("",TRUE,$Q$6:$Q$37)</f>
        <v>10011111110010100010101110000111</v>
      </c>
      <c r="K89" s="6"/>
      <c r="L89" s="6"/>
      <c r="M89" s="6"/>
    </row>
    <row r="90" spans="2:13" x14ac:dyDescent="0.25">
      <c r="B90" s="2" t="s">
        <v>45</v>
      </c>
      <c r="C90" s="6" t="str">
        <f>_xlfn.TEXTJOIN("",TRUE,$R$41:$R$72)</f>
        <v>01010100001111110000111010101010</v>
      </c>
      <c r="D90" s="6"/>
      <c r="E90" s="6"/>
      <c r="F90" s="6"/>
      <c r="I90" s="2" t="s">
        <v>46</v>
      </c>
      <c r="J90" s="6" t="str">
        <f>_xlfn.TEXTJOIN("",TRUE,$R$6:$R$37)</f>
        <v>01101110010001101101101110110111</v>
      </c>
      <c r="K90" s="6"/>
      <c r="L90" s="6"/>
      <c r="M90" s="6"/>
    </row>
    <row r="94" spans="2:13" x14ac:dyDescent="0.25">
      <c r="B94" s="13" t="s">
        <v>128</v>
      </c>
      <c r="C94" s="13"/>
      <c r="D94" s="13"/>
      <c r="E94" s="13"/>
      <c r="F94" s="13"/>
      <c r="H94" t="str">
        <f>C90&amp;J90</f>
        <v>0101010000111111000011101010101001101110010001101101101110110111</v>
      </c>
    </row>
    <row r="96" spans="2:13" x14ac:dyDescent="0.25">
      <c r="B96" t="s">
        <v>129</v>
      </c>
      <c r="D96" s="2" t="s">
        <v>109</v>
      </c>
      <c r="E96" s="2" t="s">
        <v>130</v>
      </c>
    </row>
    <row r="97" spans="4:16" x14ac:dyDescent="0.25">
      <c r="D97" s="3">
        <v>40</v>
      </c>
      <c r="E97" s="3" t="str">
        <f>MID($H$94,D97,1)</f>
        <v>0</v>
      </c>
      <c r="F97" t="str">
        <f t="shared" ref="F97:F157" si="7">E97&amp;F98</f>
        <v>0001101010111111111101101001110101011010100100111110100000001011</v>
      </c>
      <c r="N97" s="2" t="s">
        <v>131</v>
      </c>
      <c r="O97" s="2" t="s">
        <v>4</v>
      </c>
      <c r="P97" s="2" t="s">
        <v>8</v>
      </c>
    </row>
    <row r="98" spans="4:16" x14ac:dyDescent="0.25">
      <c r="D98" s="3">
        <v>8</v>
      </c>
      <c r="E98" s="3" t="str">
        <f t="shared" ref="E98:E160" si="8">MID($H$94,D98,1)</f>
        <v>0</v>
      </c>
      <c r="F98" t="str">
        <f t="shared" si="7"/>
        <v>001101010111111111101101001110101011010100100111110100000001011</v>
      </c>
      <c r="N98" s="2">
        <v>1</v>
      </c>
      <c r="O98" s="2" t="str">
        <f>MID($F$97,(N98-1)*8+1,8)</f>
        <v>00011010</v>
      </c>
      <c r="P98" s="2" t="str">
        <f>BIN2HEX(O98,2)</f>
        <v>1A</v>
      </c>
    </row>
    <row r="99" spans="4:16" x14ac:dyDescent="0.25">
      <c r="D99" s="3">
        <v>48</v>
      </c>
      <c r="E99" s="3" t="str">
        <f t="shared" si="8"/>
        <v>0</v>
      </c>
      <c r="F99" t="str">
        <f t="shared" si="7"/>
        <v>01101010111111111101101001110101011010100100111110100000001011</v>
      </c>
      <c r="N99" s="2">
        <v>2</v>
      </c>
      <c r="O99" s="2" t="str">
        <f t="shared" ref="O99:O105" si="9">MID($F$97,(N99-1)*8+1,8)</f>
        <v>10111111</v>
      </c>
      <c r="P99" s="2" t="str">
        <f t="shared" ref="P99:P105" si="10">BIN2HEX(O99,2)</f>
        <v>BF</v>
      </c>
    </row>
    <row r="100" spans="4:16" x14ac:dyDescent="0.25">
      <c r="D100" s="3">
        <v>16</v>
      </c>
      <c r="E100" s="3" t="str">
        <f t="shared" si="8"/>
        <v>1</v>
      </c>
      <c r="F100" t="str">
        <f t="shared" si="7"/>
        <v>1101010111111111101101001110101011010100100111110100000001011</v>
      </c>
      <c r="N100" s="2">
        <v>3</v>
      </c>
      <c r="O100" s="2" t="str">
        <f t="shared" si="9"/>
        <v>11110110</v>
      </c>
      <c r="P100" s="2" t="str">
        <f t="shared" si="10"/>
        <v>F6</v>
      </c>
    </row>
    <row r="101" spans="4:16" x14ac:dyDescent="0.25">
      <c r="D101" s="3">
        <v>56</v>
      </c>
      <c r="E101" s="3" t="str">
        <f t="shared" si="8"/>
        <v>1</v>
      </c>
      <c r="F101" t="str">
        <f t="shared" si="7"/>
        <v>101010111111111101101001110101011010100100111110100000001011</v>
      </c>
      <c r="N101" s="2">
        <v>4</v>
      </c>
      <c r="O101" s="2" t="str">
        <f t="shared" si="9"/>
        <v>10011101</v>
      </c>
      <c r="P101" s="2" t="str">
        <f t="shared" si="10"/>
        <v>9D</v>
      </c>
    </row>
    <row r="102" spans="4:16" x14ac:dyDescent="0.25">
      <c r="D102" s="3">
        <v>24</v>
      </c>
      <c r="E102" s="3" t="str">
        <f t="shared" si="8"/>
        <v>0</v>
      </c>
      <c r="F102" t="str">
        <f t="shared" si="7"/>
        <v>01010111111111101101001110101011010100100111110100000001011</v>
      </c>
      <c r="N102" s="2">
        <v>5</v>
      </c>
      <c r="O102" s="2" t="str">
        <f t="shared" si="9"/>
        <v>01011010</v>
      </c>
      <c r="P102" s="2" t="str">
        <f t="shared" si="10"/>
        <v>5A</v>
      </c>
    </row>
    <row r="103" spans="4:16" x14ac:dyDescent="0.25">
      <c r="D103" s="3">
        <v>64</v>
      </c>
      <c r="E103" s="3" t="str">
        <f t="shared" si="8"/>
        <v>1</v>
      </c>
      <c r="F103" t="str">
        <f t="shared" si="7"/>
        <v>1010111111111101101001110101011010100100111110100000001011</v>
      </c>
      <c r="N103" s="2">
        <v>6</v>
      </c>
      <c r="O103" s="2" t="str">
        <f t="shared" si="9"/>
        <v>10010011</v>
      </c>
      <c r="P103" s="2" t="str">
        <f t="shared" si="10"/>
        <v>93</v>
      </c>
    </row>
    <row r="104" spans="4:16" x14ac:dyDescent="0.25">
      <c r="D104" s="3">
        <v>32</v>
      </c>
      <c r="E104" s="3" t="str">
        <f t="shared" si="8"/>
        <v>0</v>
      </c>
      <c r="F104" t="str">
        <f t="shared" si="7"/>
        <v>010111111111101101001110101011010100100111110100000001011</v>
      </c>
      <c r="N104" s="2">
        <v>7</v>
      </c>
      <c r="O104" s="2" t="str">
        <f t="shared" si="9"/>
        <v>11101000</v>
      </c>
      <c r="P104" s="2" t="str">
        <f t="shared" si="10"/>
        <v>E8</v>
      </c>
    </row>
    <row r="105" spans="4:16" x14ac:dyDescent="0.25">
      <c r="D105" s="3">
        <v>39</v>
      </c>
      <c r="E105" s="3" t="str">
        <f t="shared" si="8"/>
        <v>1</v>
      </c>
      <c r="F105" t="str">
        <f t="shared" si="7"/>
        <v>10111111111101101001110101011010100100111110100000001011</v>
      </c>
      <c r="N105" s="2">
        <v>8</v>
      </c>
      <c r="O105" s="2" t="str">
        <f t="shared" si="9"/>
        <v>00001011</v>
      </c>
      <c r="P105" s="2" t="str">
        <f t="shared" si="10"/>
        <v>0B</v>
      </c>
    </row>
    <row r="106" spans="4:16" x14ac:dyDescent="0.25">
      <c r="D106" s="3">
        <v>7</v>
      </c>
      <c r="E106" s="3" t="str">
        <f t="shared" si="8"/>
        <v>0</v>
      </c>
      <c r="F106" t="str">
        <f t="shared" si="7"/>
        <v>0111111111101101001110101011010100100111110100000001011</v>
      </c>
    </row>
    <row r="107" spans="4:16" ht="15.75" x14ac:dyDescent="0.25">
      <c r="D107" s="3">
        <v>47</v>
      </c>
      <c r="E107" s="3" t="str">
        <f t="shared" si="8"/>
        <v>1</v>
      </c>
      <c r="F107" t="str">
        <f t="shared" si="7"/>
        <v>111111111101101001110101011010100100111110100000001011</v>
      </c>
      <c r="N107" s="8" t="s">
        <v>4</v>
      </c>
      <c r="O107" t="str">
        <f>O98&amp;O99&amp;O100&amp;O101&amp;O102&amp;O103&amp;O104&amp;O105</f>
        <v>0001101010111111111101101001110101011010100100111110100000001011</v>
      </c>
    </row>
    <row r="108" spans="4:16" ht="15.75" x14ac:dyDescent="0.25">
      <c r="D108" s="3">
        <v>15</v>
      </c>
      <c r="E108" s="3" t="str">
        <f t="shared" si="8"/>
        <v>1</v>
      </c>
      <c r="F108" t="str">
        <f t="shared" si="7"/>
        <v>11111111101101001110101011010100100111110100000001011</v>
      </c>
      <c r="N108" s="8" t="s">
        <v>8</v>
      </c>
      <c r="O108" t="str">
        <f>P98&amp;P99&amp;P100&amp;P101&amp;P102&amp;P103&amp;P104&amp;P105</f>
        <v>1ABFF69D5A93E80B</v>
      </c>
    </row>
    <row r="109" spans="4:16" x14ac:dyDescent="0.25">
      <c r="D109" s="3">
        <v>55</v>
      </c>
      <c r="E109" s="3" t="str">
        <f t="shared" si="8"/>
        <v>1</v>
      </c>
      <c r="F109" t="str">
        <f t="shared" si="7"/>
        <v>1111111101101001110101011010100100111110100000001011</v>
      </c>
    </row>
    <row r="110" spans="4:16" x14ac:dyDescent="0.25">
      <c r="D110" s="3">
        <v>23</v>
      </c>
      <c r="E110" s="3" t="str">
        <f t="shared" si="8"/>
        <v>1</v>
      </c>
      <c r="F110" t="str">
        <f t="shared" si="7"/>
        <v>111111101101001110101011010100100111110100000001011</v>
      </c>
    </row>
    <row r="111" spans="4:16" x14ac:dyDescent="0.25">
      <c r="D111" s="3">
        <v>63</v>
      </c>
      <c r="E111" s="3" t="str">
        <f t="shared" si="8"/>
        <v>1</v>
      </c>
      <c r="F111" t="str">
        <f t="shared" si="7"/>
        <v>11111101101001110101011010100100111110100000001011</v>
      </c>
    </row>
    <row r="112" spans="4:16" x14ac:dyDescent="0.25">
      <c r="D112" s="3">
        <v>31</v>
      </c>
      <c r="E112" s="3" t="str">
        <f t="shared" si="8"/>
        <v>1</v>
      </c>
      <c r="F112" t="str">
        <f t="shared" si="7"/>
        <v>1111101101001110101011010100100111110100000001011</v>
      </c>
    </row>
    <row r="113" spans="4:6" x14ac:dyDescent="0.25">
      <c r="D113" s="3">
        <v>38</v>
      </c>
      <c r="E113" s="3" t="str">
        <f t="shared" si="8"/>
        <v>1</v>
      </c>
      <c r="F113" t="str">
        <f t="shared" si="7"/>
        <v>111101101001110101011010100100111110100000001011</v>
      </c>
    </row>
    <row r="114" spans="4:6" x14ac:dyDescent="0.25">
      <c r="D114" s="3">
        <v>6</v>
      </c>
      <c r="E114" s="3" t="str">
        <f t="shared" si="8"/>
        <v>1</v>
      </c>
      <c r="F114" t="str">
        <f t="shared" si="7"/>
        <v>11101101001110101011010100100111110100000001011</v>
      </c>
    </row>
    <row r="115" spans="4:6" x14ac:dyDescent="0.25">
      <c r="D115" s="3">
        <v>46</v>
      </c>
      <c r="E115" s="3" t="str">
        <f t="shared" si="8"/>
        <v>1</v>
      </c>
      <c r="F115" t="str">
        <f t="shared" si="7"/>
        <v>1101101001110101011010100100111110100000001011</v>
      </c>
    </row>
    <row r="116" spans="4:6" x14ac:dyDescent="0.25">
      <c r="D116" s="3">
        <v>14</v>
      </c>
      <c r="E116" s="3" t="str">
        <f t="shared" si="8"/>
        <v>1</v>
      </c>
      <c r="F116" t="str">
        <f t="shared" si="7"/>
        <v>101101001110101011010100100111110100000001011</v>
      </c>
    </row>
    <row r="117" spans="4:6" x14ac:dyDescent="0.25">
      <c r="D117" s="3">
        <v>54</v>
      </c>
      <c r="E117" s="3" t="str">
        <f t="shared" si="8"/>
        <v>0</v>
      </c>
      <c r="F117" t="str">
        <f t="shared" si="7"/>
        <v>01101001110101011010100100111110100000001011</v>
      </c>
    </row>
    <row r="118" spans="4:6" x14ac:dyDescent="0.25">
      <c r="D118" s="3">
        <v>22</v>
      </c>
      <c r="E118" s="3" t="str">
        <f t="shared" si="8"/>
        <v>1</v>
      </c>
      <c r="F118" t="str">
        <f t="shared" si="7"/>
        <v>1101001110101011010100100111110100000001011</v>
      </c>
    </row>
    <row r="119" spans="4:6" x14ac:dyDescent="0.25">
      <c r="D119" s="3">
        <v>62</v>
      </c>
      <c r="E119" s="3" t="str">
        <f t="shared" si="8"/>
        <v>1</v>
      </c>
      <c r="F119" t="str">
        <f t="shared" si="7"/>
        <v>101001110101011010100100111110100000001011</v>
      </c>
    </row>
    <row r="120" spans="4:6" x14ac:dyDescent="0.25">
      <c r="D120" s="3">
        <v>30</v>
      </c>
      <c r="E120" s="3" t="str">
        <f t="shared" si="8"/>
        <v>0</v>
      </c>
      <c r="F120" t="str">
        <f t="shared" si="7"/>
        <v>01001110101011010100100111110100000001011</v>
      </c>
    </row>
    <row r="121" spans="4:6" x14ac:dyDescent="0.25">
      <c r="D121" s="3">
        <v>37</v>
      </c>
      <c r="E121" s="3" t="str">
        <f t="shared" si="8"/>
        <v>1</v>
      </c>
      <c r="F121" t="str">
        <f t="shared" si="7"/>
        <v>1001110101011010100100111110100000001011</v>
      </c>
    </row>
    <row r="122" spans="4:6" x14ac:dyDescent="0.25">
      <c r="D122" s="3">
        <v>5</v>
      </c>
      <c r="E122" s="3" t="str">
        <f t="shared" si="8"/>
        <v>0</v>
      </c>
      <c r="F122" t="str">
        <f t="shared" si="7"/>
        <v>001110101011010100100111110100000001011</v>
      </c>
    </row>
    <row r="123" spans="4:6" x14ac:dyDescent="0.25">
      <c r="D123" s="3">
        <v>45</v>
      </c>
      <c r="E123" s="3" t="str">
        <f t="shared" si="8"/>
        <v>0</v>
      </c>
      <c r="F123" t="str">
        <f t="shared" si="7"/>
        <v>01110101011010100100111110100000001011</v>
      </c>
    </row>
    <row r="124" spans="4:6" x14ac:dyDescent="0.25">
      <c r="D124" s="3">
        <v>13</v>
      </c>
      <c r="E124" s="3" t="str">
        <f t="shared" si="8"/>
        <v>1</v>
      </c>
      <c r="F124" t="str">
        <f t="shared" si="7"/>
        <v>1110101011010100100111110100000001011</v>
      </c>
    </row>
    <row r="125" spans="4:6" x14ac:dyDescent="0.25">
      <c r="D125" s="3">
        <v>53</v>
      </c>
      <c r="E125" s="3" t="str">
        <f t="shared" si="8"/>
        <v>1</v>
      </c>
      <c r="F125" t="str">
        <f t="shared" si="7"/>
        <v>110101011010100100111110100000001011</v>
      </c>
    </row>
    <row r="126" spans="4:6" x14ac:dyDescent="0.25">
      <c r="D126" s="3">
        <v>21</v>
      </c>
      <c r="E126" s="3" t="str">
        <f t="shared" si="8"/>
        <v>1</v>
      </c>
      <c r="F126" t="str">
        <f t="shared" si="7"/>
        <v>10101011010100100111110100000001011</v>
      </c>
    </row>
    <row r="127" spans="4:6" x14ac:dyDescent="0.25">
      <c r="D127" s="3">
        <v>61</v>
      </c>
      <c r="E127" s="3" t="str">
        <f t="shared" si="8"/>
        <v>0</v>
      </c>
      <c r="F127" t="str">
        <f t="shared" si="7"/>
        <v>0101011010100100111110100000001011</v>
      </c>
    </row>
    <row r="128" spans="4:6" x14ac:dyDescent="0.25">
      <c r="D128" s="3">
        <v>29</v>
      </c>
      <c r="E128" s="3" t="str">
        <f t="shared" si="8"/>
        <v>1</v>
      </c>
      <c r="F128" t="str">
        <f t="shared" si="7"/>
        <v>101011010100100111110100000001011</v>
      </c>
    </row>
    <row r="129" spans="4:6" x14ac:dyDescent="0.25">
      <c r="D129" s="3">
        <v>36</v>
      </c>
      <c r="E129" s="3" t="str">
        <f t="shared" si="8"/>
        <v>0</v>
      </c>
      <c r="F129" t="str">
        <f t="shared" si="7"/>
        <v>01011010100100111110100000001011</v>
      </c>
    </row>
    <row r="130" spans="4:6" x14ac:dyDescent="0.25">
      <c r="D130" s="3">
        <v>4</v>
      </c>
      <c r="E130" s="3" t="str">
        <f t="shared" si="8"/>
        <v>1</v>
      </c>
      <c r="F130" t="str">
        <f t="shared" si="7"/>
        <v>1011010100100111110100000001011</v>
      </c>
    </row>
    <row r="131" spans="4:6" x14ac:dyDescent="0.25">
      <c r="D131" s="3">
        <v>44</v>
      </c>
      <c r="E131" s="3" t="str">
        <f t="shared" si="8"/>
        <v>0</v>
      </c>
      <c r="F131" t="str">
        <f t="shared" si="7"/>
        <v>011010100100111110100000001011</v>
      </c>
    </row>
    <row r="132" spans="4:6" x14ac:dyDescent="0.25">
      <c r="D132" s="3">
        <v>12</v>
      </c>
      <c r="E132" s="3" t="str">
        <f t="shared" si="8"/>
        <v>1</v>
      </c>
      <c r="F132" t="str">
        <f t="shared" si="7"/>
        <v>11010100100111110100000001011</v>
      </c>
    </row>
    <row r="133" spans="4:6" x14ac:dyDescent="0.25">
      <c r="D133" s="3">
        <v>52</v>
      </c>
      <c r="E133" s="3" t="str">
        <f t="shared" si="8"/>
        <v>1</v>
      </c>
      <c r="F133" t="str">
        <f t="shared" si="7"/>
        <v>1010100100111110100000001011</v>
      </c>
    </row>
    <row r="134" spans="4:6" x14ac:dyDescent="0.25">
      <c r="D134" s="3">
        <v>20</v>
      </c>
      <c r="E134" s="3" t="str">
        <f t="shared" si="8"/>
        <v>0</v>
      </c>
      <c r="F134" t="str">
        <f t="shared" si="7"/>
        <v>010100100111110100000001011</v>
      </c>
    </row>
    <row r="135" spans="4:6" x14ac:dyDescent="0.25">
      <c r="D135" s="3">
        <v>60</v>
      </c>
      <c r="E135" s="3" t="str">
        <f t="shared" si="8"/>
        <v>1</v>
      </c>
      <c r="F135" t="str">
        <f t="shared" si="7"/>
        <v>10100100111110100000001011</v>
      </c>
    </row>
    <row r="136" spans="4:6" x14ac:dyDescent="0.25">
      <c r="D136" s="3">
        <v>28</v>
      </c>
      <c r="E136" s="3" t="str">
        <f t="shared" si="8"/>
        <v>0</v>
      </c>
      <c r="F136" t="str">
        <f t="shared" si="7"/>
        <v>0100100111110100000001011</v>
      </c>
    </row>
    <row r="137" spans="4:6" x14ac:dyDescent="0.25">
      <c r="D137" s="3">
        <v>35</v>
      </c>
      <c r="E137" s="3" t="str">
        <f t="shared" si="8"/>
        <v>1</v>
      </c>
      <c r="F137" t="str">
        <f t="shared" si="7"/>
        <v>100100111110100000001011</v>
      </c>
    </row>
    <row r="138" spans="4:6" x14ac:dyDescent="0.25">
      <c r="D138" s="3">
        <v>3</v>
      </c>
      <c r="E138" s="3" t="str">
        <f t="shared" si="8"/>
        <v>0</v>
      </c>
      <c r="F138" t="str">
        <f t="shared" si="7"/>
        <v>00100111110100000001011</v>
      </c>
    </row>
    <row r="139" spans="4:6" x14ac:dyDescent="0.25">
      <c r="D139" s="3">
        <v>43</v>
      </c>
      <c r="E139" s="3" t="str">
        <f t="shared" si="8"/>
        <v>0</v>
      </c>
      <c r="F139" t="str">
        <f t="shared" si="7"/>
        <v>0100111110100000001011</v>
      </c>
    </row>
    <row r="140" spans="4:6" x14ac:dyDescent="0.25">
      <c r="D140" s="3">
        <v>11</v>
      </c>
      <c r="E140" s="3" t="str">
        <f t="shared" si="8"/>
        <v>1</v>
      </c>
      <c r="F140" t="str">
        <f t="shared" si="7"/>
        <v>100111110100000001011</v>
      </c>
    </row>
    <row r="141" spans="4:6" x14ac:dyDescent="0.25">
      <c r="D141" s="3">
        <v>51</v>
      </c>
      <c r="E141" s="3" t="str">
        <f t="shared" si="8"/>
        <v>0</v>
      </c>
      <c r="F141" t="str">
        <f t="shared" si="7"/>
        <v>00111110100000001011</v>
      </c>
    </row>
    <row r="142" spans="4:6" x14ac:dyDescent="0.25">
      <c r="D142" s="3">
        <v>19</v>
      </c>
      <c r="E142" s="3" t="str">
        <f t="shared" si="8"/>
        <v>0</v>
      </c>
      <c r="F142" t="str">
        <f t="shared" si="7"/>
        <v>0111110100000001011</v>
      </c>
    </row>
    <row r="143" spans="4:6" x14ac:dyDescent="0.25">
      <c r="D143" s="3">
        <v>59</v>
      </c>
      <c r="E143" s="3" t="str">
        <f t="shared" si="8"/>
        <v>1</v>
      </c>
      <c r="F143" t="str">
        <f t="shared" si="7"/>
        <v>111110100000001011</v>
      </c>
    </row>
    <row r="144" spans="4:6" x14ac:dyDescent="0.25">
      <c r="D144" s="3">
        <v>27</v>
      </c>
      <c r="E144" s="3" t="str">
        <f t="shared" si="8"/>
        <v>1</v>
      </c>
      <c r="F144" t="str">
        <f t="shared" si="7"/>
        <v>11110100000001011</v>
      </c>
    </row>
    <row r="145" spans="4:6" x14ac:dyDescent="0.25">
      <c r="D145" s="3">
        <v>34</v>
      </c>
      <c r="E145" s="3" t="str">
        <f t="shared" si="8"/>
        <v>1</v>
      </c>
      <c r="F145" t="str">
        <f t="shared" si="7"/>
        <v>1110100000001011</v>
      </c>
    </row>
    <row r="146" spans="4:6" x14ac:dyDescent="0.25">
      <c r="D146" s="3">
        <v>2</v>
      </c>
      <c r="E146" s="3" t="str">
        <f t="shared" si="8"/>
        <v>1</v>
      </c>
      <c r="F146" t="str">
        <f t="shared" si="7"/>
        <v>110100000001011</v>
      </c>
    </row>
    <row r="147" spans="4:6" x14ac:dyDescent="0.25">
      <c r="D147" s="3">
        <v>42</v>
      </c>
      <c r="E147" s="3" t="str">
        <f t="shared" si="8"/>
        <v>1</v>
      </c>
      <c r="F147" t="str">
        <f t="shared" si="7"/>
        <v>10100000001011</v>
      </c>
    </row>
    <row r="148" spans="4:6" x14ac:dyDescent="0.25">
      <c r="D148" s="3">
        <v>10</v>
      </c>
      <c r="E148" s="3" t="str">
        <f t="shared" si="8"/>
        <v>0</v>
      </c>
      <c r="F148" t="str">
        <f t="shared" si="7"/>
        <v>0100000001011</v>
      </c>
    </row>
    <row r="149" spans="4:6" x14ac:dyDescent="0.25">
      <c r="D149" s="3">
        <v>50</v>
      </c>
      <c r="E149" s="3" t="str">
        <f t="shared" si="8"/>
        <v>1</v>
      </c>
      <c r="F149" t="str">
        <f t="shared" si="7"/>
        <v>100000001011</v>
      </c>
    </row>
    <row r="150" spans="4:6" x14ac:dyDescent="0.25">
      <c r="D150" s="3">
        <v>18</v>
      </c>
      <c r="E150" s="3" t="str">
        <f t="shared" si="8"/>
        <v>0</v>
      </c>
      <c r="F150" t="str">
        <f t="shared" si="7"/>
        <v>00000001011</v>
      </c>
    </row>
    <row r="151" spans="4:6" x14ac:dyDescent="0.25">
      <c r="D151" s="3">
        <v>58</v>
      </c>
      <c r="E151" s="3" t="str">
        <f t="shared" si="8"/>
        <v>0</v>
      </c>
      <c r="F151" t="str">
        <f t="shared" si="7"/>
        <v>0000001011</v>
      </c>
    </row>
    <row r="152" spans="4:6" x14ac:dyDescent="0.25">
      <c r="D152" s="3">
        <v>26</v>
      </c>
      <c r="E152" s="3" t="str">
        <f t="shared" si="8"/>
        <v>0</v>
      </c>
      <c r="F152" t="str">
        <f t="shared" si="7"/>
        <v>000001011</v>
      </c>
    </row>
    <row r="153" spans="4:6" x14ac:dyDescent="0.25">
      <c r="D153" s="3">
        <v>33</v>
      </c>
      <c r="E153" s="3" t="str">
        <f t="shared" si="8"/>
        <v>0</v>
      </c>
      <c r="F153" t="str">
        <f t="shared" si="7"/>
        <v>00001011</v>
      </c>
    </row>
    <row r="154" spans="4:6" x14ac:dyDescent="0.25">
      <c r="D154" s="3">
        <v>1</v>
      </c>
      <c r="E154" s="3" t="str">
        <f t="shared" si="8"/>
        <v>0</v>
      </c>
      <c r="F154" t="str">
        <f t="shared" si="7"/>
        <v>0001011</v>
      </c>
    </row>
    <row r="155" spans="4:6" x14ac:dyDescent="0.25">
      <c r="D155" s="3">
        <v>41</v>
      </c>
      <c r="E155" s="3" t="str">
        <f t="shared" si="8"/>
        <v>0</v>
      </c>
      <c r="F155" t="str">
        <f t="shared" si="7"/>
        <v>001011</v>
      </c>
    </row>
    <row r="156" spans="4:6" x14ac:dyDescent="0.25">
      <c r="D156" s="3">
        <v>9</v>
      </c>
      <c r="E156" s="3" t="str">
        <f t="shared" si="8"/>
        <v>0</v>
      </c>
      <c r="F156" t="str">
        <f t="shared" si="7"/>
        <v>01011</v>
      </c>
    </row>
    <row r="157" spans="4:6" x14ac:dyDescent="0.25">
      <c r="D157" s="3">
        <v>49</v>
      </c>
      <c r="E157" s="3" t="str">
        <f t="shared" si="8"/>
        <v>1</v>
      </c>
      <c r="F157" t="str">
        <f t="shared" si="7"/>
        <v>1011</v>
      </c>
    </row>
    <row r="158" spans="4:6" x14ac:dyDescent="0.25">
      <c r="D158" s="3">
        <v>17</v>
      </c>
      <c r="E158" s="3" t="str">
        <f t="shared" si="8"/>
        <v>0</v>
      </c>
      <c r="F158" t="str">
        <f>E158&amp;F159</f>
        <v>011</v>
      </c>
    </row>
    <row r="159" spans="4:6" x14ac:dyDescent="0.25">
      <c r="D159" s="3">
        <v>57</v>
      </c>
      <c r="E159" s="3" t="str">
        <f t="shared" si="8"/>
        <v>1</v>
      </c>
      <c r="F159" t="str">
        <f>E159&amp;E160</f>
        <v>11</v>
      </c>
    </row>
    <row r="160" spans="4:6" x14ac:dyDescent="0.25">
      <c r="D160" s="3">
        <v>25</v>
      </c>
      <c r="E160" s="3" t="str">
        <f t="shared" si="8"/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S-boxes</vt:lpstr>
      <vt:lpstr>Khóa k1-16</vt:lpstr>
      <vt:lpstr>E(Ri) XOR ki+1</vt:lpstr>
      <vt:lpstr>R0_L0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hoang</dc:creator>
  <cp:lastModifiedBy>thanh hoang</cp:lastModifiedBy>
  <dcterms:created xsi:type="dcterms:W3CDTF">2025-08-19T01:14:31Z</dcterms:created>
  <dcterms:modified xsi:type="dcterms:W3CDTF">2025-08-27T08:51:53Z</dcterms:modified>
</cp:coreProperties>
</file>