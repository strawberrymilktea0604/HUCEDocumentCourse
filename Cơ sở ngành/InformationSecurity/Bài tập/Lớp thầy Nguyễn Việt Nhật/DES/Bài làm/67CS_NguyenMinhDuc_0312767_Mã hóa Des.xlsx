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Constanst" sheetId="2" r:id="rId5"/>
    <sheet state="visible" name="PC1" sheetId="3" r:id="rId6"/>
    <sheet state="visible" name="IP(M)" sheetId="4" r:id="rId7"/>
    <sheet state="visible" name="f(R0,K1)" sheetId="5" r:id="rId8"/>
    <sheet state="visible" name="f(R1,K2)" sheetId="6" r:id="rId9"/>
    <sheet state="visible" name="f(R2,K3)" sheetId="7" r:id="rId10"/>
    <sheet state="visible" name="f(R3,K4)" sheetId="8" r:id="rId11"/>
    <sheet state="visible" name="f(R4,K5)" sheetId="9" r:id="rId12"/>
    <sheet state="visible" name="f(R5,K6)" sheetId="10" r:id="rId13"/>
    <sheet state="visible" name="f(R6,K7)" sheetId="11" r:id="rId14"/>
    <sheet state="visible" name="f(R7,K8)" sheetId="12" r:id="rId15"/>
    <sheet state="visible" name="f(R8,K9)" sheetId="13" r:id="rId16"/>
    <sheet state="visible" name="f(R9,K10)" sheetId="14" r:id="rId17"/>
    <sheet state="visible" name="f(R10,K11)" sheetId="15" r:id="rId18"/>
    <sheet state="visible" name="f(R11,K12)" sheetId="16" r:id="rId19"/>
    <sheet state="visible" name="f(R12,K13)" sheetId="17" r:id="rId20"/>
    <sheet state="visible" name="f(R13,K14)" sheetId="18" r:id="rId21"/>
    <sheet state="visible" name="f(R14,K15)" sheetId="19" r:id="rId22"/>
    <sheet state="visible" name="f(R15,K16)" sheetId="20" r:id="rId23"/>
    <sheet state="visible" name="L16,R16" sheetId="21" r:id="rId24"/>
    <sheet state="visible" name="K1 &amp; K2" sheetId="22" r:id="rId25"/>
    <sheet state="visible" name="K3" sheetId="23" r:id="rId26"/>
    <sheet state="visible" name="K4" sheetId="24" r:id="rId27"/>
    <sheet state="visible" name="K5" sheetId="25" r:id="rId28"/>
    <sheet state="visible" name="K6" sheetId="26" r:id="rId29"/>
    <sheet state="visible" name="K7" sheetId="27" r:id="rId30"/>
    <sheet state="visible" name="K8" sheetId="28" r:id="rId31"/>
    <sheet state="visible" name="K9" sheetId="29" r:id="rId32"/>
    <sheet state="visible" name="K10" sheetId="30" r:id="rId33"/>
    <sheet state="visible" name="K11" sheetId="31" r:id="rId34"/>
    <sheet state="visible" name="K12" sheetId="32" r:id="rId35"/>
    <sheet state="visible" name="K13" sheetId="33" r:id="rId36"/>
    <sheet state="visible" name="K14" sheetId="34" r:id="rId37"/>
    <sheet state="visible" name="K15" sheetId="35" r:id="rId38"/>
    <sheet state="visible" name="K16" sheetId="36" r:id="rId39"/>
  </sheets>
  <definedNames/>
  <calcPr/>
  <extLst>
    <ext uri="GoogleSheetsCustomDataVersion2">
      <go:sheetsCustomData xmlns:go="http://customooxmlschemas.google.com/" r:id="rId40" roundtripDataChecksum="4hGYZI7JqTRthDFiT19Ms5D5HaixsoejzvTDYEdLW9k="/>
    </ext>
  </extLst>
</workbook>
</file>

<file path=xl/sharedStrings.xml><?xml version="1.0" encoding="utf-8"?>
<sst xmlns="http://schemas.openxmlformats.org/spreadsheetml/2006/main" count="1125" uniqueCount="181">
  <si>
    <t>Khóa K =</t>
  </si>
  <si>
    <t>0133457799bbcdff</t>
  </si>
  <si>
    <t xml:space="preserve">&lt;-  Thay đổi </t>
  </si>
  <si>
    <t>K1</t>
  </si>
  <si>
    <t>Bản rõ =</t>
  </si>
  <si>
    <t>00123456789abcde</t>
  </si>
  <si>
    <t>K2</t>
  </si>
  <si>
    <t>K3</t>
  </si>
  <si>
    <t>Mã hóa =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</si>
  <si>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</si>
  <si>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</si>
  <si>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</si>
  <si>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</si>
  <si>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</si>
  <si>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</si>
  <si>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</si>
  <si>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</si>
  <si>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</si>
  <si>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</si>
  <si>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</si>
  <si>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</si>
  <si>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</si>
  <si>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f(R0,K1)</t>
  </si>
  <si>
    <t>f(R1,K2)</t>
  </si>
  <si>
    <t>f(R2,K3)</t>
  </si>
  <si>
    <t>f(R3,K4)</t>
  </si>
  <si>
    <t>f(R4,K5)</t>
  </si>
  <si>
    <t>f(R5,K6)</t>
  </si>
  <si>
    <t>f(R6,K7)</t>
  </si>
  <si>
    <t>f(R7,K8)</t>
  </si>
  <si>
    <t>f(R8,K9)</t>
  </si>
  <si>
    <t>f(R9,K10)</t>
  </si>
  <si>
    <t>f(R10,K11)</t>
  </si>
  <si>
    <t>f(R11,K12)</t>
  </si>
  <si>
    <t>f(R12,K13)</t>
  </si>
  <si>
    <t>f(R13,K14)</t>
  </si>
  <si>
    <t>f(R14,K15)</t>
  </si>
  <si>
    <t>f(R15,K16)</t>
  </si>
  <si>
    <t xml:space="preserve"> PC1</t>
  </si>
  <si>
    <t>PC2</t>
  </si>
  <si>
    <t>IP</t>
  </si>
  <si>
    <t>E</t>
  </si>
  <si>
    <t>P</t>
  </si>
  <si>
    <t>IP-1</t>
  </si>
  <si>
    <t>STT</t>
  </si>
  <si>
    <t>Vị trí</t>
  </si>
  <si>
    <t>Chỉ số</t>
  </si>
  <si>
    <t>S1</t>
  </si>
  <si>
    <t>S2</t>
  </si>
  <si>
    <t>S3</t>
  </si>
  <si>
    <t>S4</t>
  </si>
  <si>
    <t>S5</t>
  </si>
  <si>
    <t>S6</t>
  </si>
  <si>
    <t>S7</t>
  </si>
  <si>
    <t>S8</t>
  </si>
  <si>
    <t>Khoa K =</t>
  </si>
  <si>
    <t>Bản rõ</t>
  </si>
  <si>
    <t>vi tri</t>
  </si>
  <si>
    <t>ki tu hexan</t>
  </si>
  <si>
    <t>binary</t>
  </si>
  <si>
    <t>PC1</t>
  </si>
  <si>
    <t>byte</t>
  </si>
  <si>
    <t>hexan</t>
  </si>
  <si>
    <t>bit i</t>
  </si>
  <si>
    <t xml:space="preserve"> </t>
  </si>
  <si>
    <t>input=</t>
  </si>
  <si>
    <t>bit</t>
  </si>
  <si>
    <t>IP(M)=</t>
  </si>
  <si>
    <t>K1=</t>
  </si>
  <si>
    <t>Nửa trái</t>
  </si>
  <si>
    <t xml:space="preserve"> L0=</t>
  </si>
  <si>
    <t>Nửa phải</t>
  </si>
  <si>
    <t xml:space="preserve"> R0=</t>
  </si>
  <si>
    <t>Mở rộng R0 =&gt; E(R0)</t>
  </si>
  <si>
    <t>Thực hiện phép XOR A = E(R0) XOR K1</t>
  </si>
  <si>
    <t>decimal</t>
  </si>
  <si>
    <t>Khóa K1</t>
  </si>
  <si>
    <t>E(R0)</t>
  </si>
  <si>
    <t>Byte</t>
  </si>
  <si>
    <t>XOR(ER0, K1)</t>
  </si>
  <si>
    <t>Binary</t>
  </si>
  <si>
    <t>A = ER0 XOR K1 =</t>
  </si>
  <si>
    <t>Thực hiện phép thế</t>
  </si>
  <si>
    <t>Hàng = bit đầu + bit cuối</t>
  </si>
  <si>
    <t>Cột = 4 bit giữa</t>
  </si>
  <si>
    <t>cặp 6 bit</t>
  </si>
  <si>
    <t xml:space="preserve">hàng </t>
  </si>
  <si>
    <t>cột</t>
  </si>
  <si>
    <t>Chỉ số mảng</t>
  </si>
  <si>
    <t>Tra bảng S</t>
  </si>
  <si>
    <t xml:space="preserve">B= </t>
  </si>
  <si>
    <t>Hoán vị P(B)</t>
  </si>
  <si>
    <t>F=P(B)=</t>
  </si>
  <si>
    <t>dec</t>
  </si>
  <si>
    <t>L0</t>
  </si>
  <si>
    <t>L1</t>
  </si>
  <si>
    <t>R0</t>
  </si>
  <si>
    <t>R1</t>
  </si>
  <si>
    <t>F</t>
  </si>
  <si>
    <t>XOR</t>
  </si>
  <si>
    <t>HEX</t>
  </si>
  <si>
    <t>Bin</t>
  </si>
  <si>
    <t>L2</t>
  </si>
  <si>
    <t>R2</t>
  </si>
  <si>
    <t>L3</t>
  </si>
  <si>
    <t>R3</t>
  </si>
  <si>
    <t>L4</t>
  </si>
  <si>
    <t>R4</t>
  </si>
  <si>
    <t>L5</t>
  </si>
  <si>
    <t>R5</t>
  </si>
  <si>
    <t>L6</t>
  </si>
  <si>
    <t>R6</t>
  </si>
  <si>
    <t>L7</t>
  </si>
  <si>
    <t>R7</t>
  </si>
  <si>
    <t>L8</t>
  </si>
  <si>
    <t>R8</t>
  </si>
  <si>
    <t>L9</t>
  </si>
  <si>
    <t>R9</t>
  </si>
  <si>
    <t>L10</t>
  </si>
  <si>
    <t>R10</t>
  </si>
  <si>
    <t>L11</t>
  </si>
  <si>
    <t>R11</t>
  </si>
  <si>
    <t>L12</t>
  </si>
  <si>
    <t>R12</t>
  </si>
  <si>
    <t>L13</t>
  </si>
  <si>
    <t>R13</t>
  </si>
  <si>
    <t>L14</t>
  </si>
  <si>
    <t>R14</t>
  </si>
  <si>
    <t>L15</t>
  </si>
  <si>
    <t>R15</t>
  </si>
  <si>
    <t>L16</t>
  </si>
  <si>
    <t>R16</t>
  </si>
  <si>
    <t>L16R16=</t>
  </si>
  <si>
    <t xml:space="preserve">IP-1 = </t>
  </si>
  <si>
    <t>C0=</t>
  </si>
  <si>
    <t>C1=shiftleft(C0,S1)</t>
  </si>
  <si>
    <t>D0=</t>
  </si>
  <si>
    <t>D1=shiftleft(D0,S1)</t>
  </si>
  <si>
    <t>C1=</t>
  </si>
  <si>
    <t>D1=</t>
  </si>
  <si>
    <t>Tính khóa K1 = PC2(C1D1)</t>
  </si>
  <si>
    <t>C1D1=</t>
  </si>
  <si>
    <t>K1=PC2(C1D1)</t>
  </si>
  <si>
    <t>C2=</t>
  </si>
  <si>
    <t>D2=</t>
  </si>
  <si>
    <t>C2D2=</t>
  </si>
  <si>
    <t>K2=PC2(C2D2)</t>
  </si>
  <si>
    <t>Tính khóa K2 = PC2(C2D2)</t>
  </si>
  <si>
    <t>C3=</t>
  </si>
  <si>
    <t>D3=</t>
  </si>
  <si>
    <t>=RIGHT('K1 &amp; K2'!F73; LEN('K1 &amp; K2'!F73)-1) &amp; LEFT('K1 &amp; K2'!F73;1)</t>
  </si>
  <si>
    <t>=RIGHT('K1 &amp; K2'!K73; LEN('K1 &amp; K2'!K73)-1) &amp; LEFT('K1 &amp; K2'!K73;1)</t>
  </si>
  <si>
    <t>C3D3=</t>
  </si>
  <si>
    <t>K3=PC3(C3D3)</t>
  </si>
  <si>
    <t>Tính khóa K3 = PC3(C3D3)</t>
  </si>
  <si>
    <t>C4</t>
  </si>
  <si>
    <t>D4</t>
  </si>
  <si>
    <t>C5</t>
  </si>
  <si>
    <t>D5</t>
  </si>
  <si>
    <t>C6</t>
  </si>
  <si>
    <t>D6</t>
  </si>
  <si>
    <t>C7</t>
  </si>
  <si>
    <t>D7</t>
  </si>
  <si>
    <t>C8</t>
  </si>
  <si>
    <t>D8</t>
  </si>
  <si>
    <t>C9</t>
  </si>
  <si>
    <t>D9</t>
  </si>
  <si>
    <t>C10</t>
  </si>
  <si>
    <t>D10</t>
  </si>
  <si>
    <t>C11</t>
  </si>
  <si>
    <t>D11</t>
  </si>
  <si>
    <t>C12</t>
  </si>
  <si>
    <t>D12</t>
  </si>
  <si>
    <t>C13</t>
  </si>
  <si>
    <t>D13</t>
  </si>
  <si>
    <t>C14</t>
  </si>
  <si>
    <t>D14</t>
  </si>
  <si>
    <t>C15</t>
  </si>
  <si>
    <t>D15</t>
  </si>
  <si>
    <t>C16</t>
  </si>
  <si>
    <t>D16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</si>
</sst>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FF0000"/>
      <name val="Arial"/>
    </font>
    <font>
      <sz val="11.0"/>
      <color theme="1"/>
      <name val="Arial"/>
    </font>
    <font/>
    <font>
      <b/>
      <sz val="11.0"/>
      <color theme="1"/>
      <name val="Arial"/>
    </font>
    <font>
      <sz val="12.0"/>
      <color theme="1"/>
      <name val="Arial"/>
    </font>
    <font>
      <sz val="18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Border="1" applyFont="1"/>
    <xf borderId="2" fillId="0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5" fillId="0" fontId="4" numFmtId="0" xfId="0" applyBorder="1" applyFont="1"/>
    <xf borderId="0" fillId="0" fontId="3" numFmtId="0" xfId="0" applyAlignment="1" applyFont="1">
      <alignment horizontal="left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2" fontId="3" numFmtId="0" xfId="0" applyBorder="1" applyFill="1" applyFont="1"/>
    <xf borderId="0" fillId="0" fontId="5" numFmtId="0" xfId="0" applyAlignment="1" applyFont="1">
      <alignment horizontal="right" shrinkToFit="0" vertical="center" wrapText="1"/>
    </xf>
    <xf borderId="6" fillId="2" fontId="3" numFmtId="0" xfId="0" applyBorder="1" applyFont="1"/>
    <xf borderId="7" fillId="2" fontId="3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38.13"/>
    <col customWidth="1" min="8" max="8" width="11.38"/>
    <col customWidth="1" min="9" max="14" width="8.63"/>
    <col customWidth="1" min="15" max="15" width="18.13"/>
    <col customWidth="1" min="16" max="26" width="8.63"/>
  </cols>
  <sheetData>
    <row r="1" ht="14.25" customHeight="1">
      <c r="A1" s="1" t="s">
        <v>0</v>
      </c>
      <c r="B1" s="1" t="s">
        <v>1</v>
      </c>
      <c r="E1" s="2" t="s">
        <v>2</v>
      </c>
      <c r="H1" s="3" t="s">
        <v>3</v>
      </c>
      <c r="I1" s="4" t="str">
        <f>'K1 &amp; K2'!D15</f>
        <v>000110110000001011101111110110110100100110100101</v>
      </c>
      <c r="J1" s="5"/>
      <c r="K1" s="5"/>
      <c r="L1" s="5"/>
      <c r="M1" s="5"/>
      <c r="N1" s="6"/>
      <c r="O1" s="3" t="str">
        <f>'K1 &amp; K2'!P12 &amp; 'K1 &amp; K2'!P13 &amp; 'K1 &amp; K2'!P14 &amp; 'K1 &amp; K2'!P15 &amp; 'K1 &amp; K2'!P16 &amp; 'K1 &amp; K2'!P17</f>
        <v>1B02EFDB49A5</v>
      </c>
    </row>
    <row r="2" ht="14.25" customHeight="1">
      <c r="A2" s="1" t="s">
        <v>4</v>
      </c>
      <c r="B2" s="7" t="s">
        <v>5</v>
      </c>
      <c r="E2" s="2" t="s">
        <v>2</v>
      </c>
      <c r="H2" s="3" t="s">
        <v>6</v>
      </c>
      <c r="I2" s="4" t="str">
        <f>'K1 &amp; K2'!D133</f>
        <v>011010011010111011011001001001011110101001100110</v>
      </c>
      <c r="J2" s="5"/>
      <c r="K2" s="5"/>
      <c r="L2" s="5"/>
      <c r="M2" s="5"/>
      <c r="N2" s="6"/>
      <c r="O2" s="3" t="str">
        <f>'K1 &amp; K2'!$C$136&amp;'K1 &amp; K2'!$C$137&amp;'K1 &amp; K2'!$C$138&amp;'K1 &amp; K2'!$C$139&amp;'K1 &amp; K2'!$C$140&amp;'K1 &amp; K2'!$C$141</f>
        <v>69AED925EA66</v>
      </c>
    </row>
    <row r="3" ht="14.25" customHeight="1">
      <c r="H3" s="3" t="s">
        <v>7</v>
      </c>
      <c r="I3" s="4" t="str">
        <f>'K3'!$D$61</f>
        <v>010101011111110010001010101101001010110011010010</v>
      </c>
      <c r="J3" s="5"/>
      <c r="K3" s="5"/>
      <c r="L3" s="5"/>
      <c r="M3" s="5"/>
      <c r="N3" s="6"/>
      <c r="O3" s="3" t="str">
        <f t="array" ref="O3">INDIRECT("'"&amp;H3&amp;"'!C64") &amp; INDIRECT("'"&amp;H3&amp;"'!C65") &amp; INDIRECT("'"&amp;H3&amp;"'!C66") &amp; INDIRECT("'"&amp;H3&amp;"'!C67") &amp; INDIRECT("'"&amp;H3&amp;"'!C68") &amp; INDIRECT("'"&amp;H3&amp;"'!C69")</f>
        <v>55FC8AB4ACD2</v>
      </c>
    </row>
    <row r="4" ht="14.25" customHeight="1">
      <c r="A4" s="1" t="s">
        <v>8</v>
      </c>
      <c r="B4" s="8" t="str">
        <f>'L16,R16'!B92</f>
        <v>0001101010111111111101101001110101011010100100111110100000001011</v>
      </c>
      <c r="G4" s="9"/>
      <c r="H4" s="3" t="s">
        <v>9</v>
      </c>
      <c r="I4" s="4" t="str">
        <f>'K4'!$D$61</f>
        <v>011100101010110111010010101011011000011001010111</v>
      </c>
      <c r="J4" s="5"/>
      <c r="K4" s="5"/>
      <c r="L4" s="5"/>
      <c r="M4" s="5"/>
      <c r="N4" s="6"/>
      <c r="O4" s="3" t="str">
        <f t="array" ref="O4">INDIRECT("'"&amp;H4&amp;"'!C64") &amp; INDIRECT("'"&amp;H4&amp;"'!C65") &amp; INDIRECT("'"&amp;H4&amp;"'!C66") &amp; INDIRECT("'"&amp;H4&amp;"'!C67") &amp; INDIRECT("'"&amp;H4&amp;"'!C68") &amp; INDIRECT("'"&amp;H4&amp;"'!C69")</f>
        <v>72ADD2AD8657</v>
      </c>
    </row>
    <row r="5" ht="14.25" customHeight="1">
      <c r="B5" s="10" t="str">
        <f>'L16,R16'!C95&amp;'L16,R16'!C96&amp;'L16,R16'!C97&amp;'L16,R16'!C98&amp;'L16,R16'!C99&amp;'L16,R16'!C100&amp;'L16,R16'!C101&amp;'L16,R16'!C102</f>
        <v>1ABFF69D5A93E80B</v>
      </c>
      <c r="G5" s="9"/>
      <c r="H5" s="3" t="s">
        <v>10</v>
      </c>
      <c r="I5" s="4" t="str">
        <f>'K5'!$D$61</f>
        <v>011111001110110000000111000111111110011011000010</v>
      </c>
      <c r="J5" s="5"/>
      <c r="K5" s="5"/>
      <c r="L5" s="5"/>
      <c r="M5" s="5"/>
      <c r="N5" s="6"/>
      <c r="O5" s="3" t="str">
        <f t="array" ref="O5">INDIRECT("'"&amp;H5&amp;"'!C64") &amp; INDIRECT("'"&amp;H5&amp;"'!C65") &amp; INDIRECT("'"&amp;H5&amp;"'!C66") &amp; INDIRECT("'"&amp;H5&amp;"'!C67") &amp; INDIRECT("'"&amp;H5&amp;"'!C68") &amp; INDIRECT("'"&amp;H5&amp;"'!C69")</f>
        <v>7CEC071FE6C2</v>
      </c>
    </row>
    <row r="6" ht="14.25" customHeight="1">
      <c r="H6" s="3" t="s">
        <v>11</v>
      </c>
      <c r="I6" s="4" t="str">
        <f>'K6'!$D$61</f>
        <v>011000111010010100011110001111001100010101000101</v>
      </c>
      <c r="J6" s="5"/>
      <c r="K6" s="5"/>
      <c r="L6" s="5"/>
      <c r="M6" s="5"/>
      <c r="N6" s="6"/>
      <c r="O6" s="3" t="str">
        <f t="array" ref="O6">INDIRECT("'"&amp;H6&amp;"'!C64") &amp; INDIRECT("'"&amp;H6&amp;"'!C65") &amp; INDIRECT("'"&amp;H6&amp;"'!C66") &amp; INDIRECT("'"&amp;H6&amp;"'!C67") &amp; INDIRECT("'"&amp;H6&amp;"'!C68") &amp; INDIRECT("'"&amp;H6&amp;"'!C69")</f>
        <v>63A51E3CC545</v>
      </c>
    </row>
    <row r="7" ht="14.25" customHeight="1">
      <c r="H7" s="3" t="s">
        <v>12</v>
      </c>
      <c r="I7" s="4" t="str">
        <f>'K7'!$D$61</f>
        <v>011011001000010010110111100010101110010011000110</v>
      </c>
      <c r="J7" s="5"/>
      <c r="K7" s="5"/>
      <c r="L7" s="5"/>
      <c r="M7" s="5"/>
      <c r="N7" s="6"/>
      <c r="O7" s="3" t="str">
        <f t="array" ref="O7">INDIRECT("'"&amp;H7&amp;"'!C64") &amp; INDIRECT("'"&amp;H7&amp;"'!C65") &amp; INDIRECT("'"&amp;H7&amp;"'!C66") &amp; INDIRECT("'"&amp;H7&amp;"'!C67") &amp; INDIRECT("'"&amp;H7&amp;"'!C68") &amp; INDIRECT("'"&amp;H7&amp;"'!C69")</f>
        <v>6C84B78AE4C6</v>
      </c>
    </row>
    <row r="8" ht="14.25" customHeight="1">
      <c r="H8" s="3" t="s">
        <v>13</v>
      </c>
      <c r="I8" s="4" t="str">
        <f>'K8'!$D$61</f>
        <v>111101111000100000111010111011001110011110000001</v>
      </c>
      <c r="J8" s="5"/>
      <c r="K8" s="5"/>
      <c r="L8" s="5"/>
      <c r="M8" s="5"/>
      <c r="N8" s="6"/>
      <c r="O8" s="3" t="str">
        <f t="array" ref="O8">INDIRECT("'"&amp;H8&amp;"'!C64") &amp; INDIRECT("'"&amp;H8&amp;"'!C65") &amp; INDIRECT("'"&amp;H8&amp;"'!C66") &amp; INDIRECT("'"&amp;H8&amp;"'!C67") &amp; INDIRECT("'"&amp;H8&amp;"'!C68") &amp; INDIRECT("'"&amp;H8&amp;"'!C69")</f>
        <v>F7883AECE781</v>
      </c>
    </row>
    <row r="9" ht="14.25" customHeight="1">
      <c r="H9" s="3" t="s">
        <v>14</v>
      </c>
      <c r="I9" s="4" t="str">
        <f>'K9'!$D$61</f>
        <v>110000001101101111101011001001111011100000111001</v>
      </c>
      <c r="J9" s="5"/>
      <c r="K9" s="5"/>
      <c r="L9" s="5"/>
      <c r="M9" s="5"/>
      <c r="N9" s="6"/>
      <c r="O9" s="3" t="str">
        <f t="array" ref="O9">INDIRECT("'"&amp;H9&amp;"'!C64") &amp; INDIRECT("'"&amp;H9&amp;"'!C65") &amp; INDIRECT("'"&amp;H9&amp;"'!C66") &amp; INDIRECT("'"&amp;H9&amp;"'!C67") &amp; INDIRECT("'"&amp;H9&amp;"'!C68") &amp; INDIRECT("'"&amp;H9&amp;"'!C69")</f>
        <v>C0DBEB27B839</v>
      </c>
    </row>
    <row r="10" ht="14.25" customHeight="1">
      <c r="H10" s="3" t="s">
        <v>15</v>
      </c>
      <c r="I10" s="4" t="str">
        <f>'K10'!$D$61</f>
        <v>101100011111001101000111011000110001110101110110</v>
      </c>
      <c r="J10" s="5"/>
      <c r="K10" s="5"/>
      <c r="L10" s="5"/>
      <c r="M10" s="5"/>
      <c r="N10" s="6"/>
      <c r="O10" s="3" t="str">
        <f t="array" ref="O10">INDIRECT("'"&amp;H10&amp;"'!C64") &amp; INDIRECT("'"&amp;H10&amp;"'!C65") &amp; INDIRECT("'"&amp;H10&amp;"'!C66") &amp; INDIRECT("'"&amp;H10&amp;"'!C67") &amp; INDIRECT("'"&amp;H10&amp;"'!C68") &amp; INDIRECT("'"&amp;H10&amp;"'!C69")</f>
        <v>B1F347631D76</v>
      </c>
    </row>
    <row r="11" ht="14.25" customHeight="1">
      <c r="H11" s="3" t="s">
        <v>16</v>
      </c>
      <c r="I11" s="4" t="str">
        <f>'K11'!$D$61</f>
        <v>001000010101111111000011000011011000100110111110</v>
      </c>
      <c r="J11" s="5"/>
      <c r="K11" s="5"/>
      <c r="L11" s="5"/>
      <c r="M11" s="5"/>
      <c r="N11" s="6"/>
      <c r="O11" s="3" t="str">
        <f t="array" ref="O11">INDIRECT("'"&amp;H11&amp;"'!C64") &amp; INDIRECT("'"&amp;H11&amp;"'!C65") &amp; INDIRECT("'"&amp;H11&amp;"'!C66") &amp; INDIRECT("'"&amp;H11&amp;"'!C67") &amp; INDIRECT("'"&amp;H11&amp;"'!C68") &amp; INDIRECT("'"&amp;H11&amp;"'!C69")</f>
        <v>215FC30D89BE</v>
      </c>
    </row>
    <row r="12" ht="14.25" customHeight="1">
      <c r="H12" s="3" t="s">
        <v>17</v>
      </c>
      <c r="I12" s="4" t="str">
        <f>'K12'!$D$61</f>
        <v>011100010111000111110101010001010101110011010101</v>
      </c>
      <c r="J12" s="5"/>
      <c r="K12" s="5"/>
      <c r="L12" s="5"/>
      <c r="M12" s="5"/>
      <c r="N12" s="6"/>
      <c r="O12" s="3" t="str">
        <f t="array" ref="O12">INDIRECT("'"&amp;H12&amp;"'!C64") &amp; INDIRECT("'"&amp;H12&amp;"'!C65") &amp; INDIRECT("'"&amp;H12&amp;"'!C66") &amp; INDIRECT("'"&amp;H12&amp;"'!C67") &amp; INDIRECT("'"&amp;H12&amp;"'!C68") &amp; INDIRECT("'"&amp;H12&amp;"'!C69")</f>
        <v>7171F5455CD5</v>
      </c>
    </row>
    <row r="13" ht="14.25" customHeight="1">
      <c r="H13" s="3" t="s">
        <v>18</v>
      </c>
      <c r="I13" s="4" t="str">
        <f>'K13'!$D$61</f>
        <v>100101011100010111010001010010111000000011111101</v>
      </c>
      <c r="J13" s="5"/>
      <c r="K13" s="5"/>
      <c r="L13" s="5"/>
      <c r="M13" s="5"/>
      <c r="N13" s="6"/>
      <c r="O13" s="3" t="str">
        <f t="array" ref="O13">INDIRECT("'"&amp;H13&amp;"'!C64") &amp; INDIRECT("'"&amp;H13&amp;"'!C65") &amp; INDIRECT("'"&amp;H13&amp;"'!C66") &amp; INDIRECT("'"&amp;H13&amp;"'!C67") &amp; INDIRECT("'"&amp;H13&amp;"'!C68") &amp; INDIRECT("'"&amp;H13&amp;"'!C69")</f>
        <v>95C5D14B80FD</v>
      </c>
    </row>
    <row r="14" ht="14.25" customHeight="1">
      <c r="H14" s="3" t="s">
        <v>19</v>
      </c>
      <c r="I14" s="4" t="str">
        <f>'K14'!$D$61</f>
        <v>010101110100001110110111100000111101110110001101</v>
      </c>
      <c r="J14" s="5"/>
      <c r="K14" s="5"/>
      <c r="L14" s="5"/>
      <c r="M14" s="5"/>
      <c r="N14" s="6"/>
      <c r="O14" s="3" t="str">
        <f t="array" ref="O14">INDIRECT("'"&amp;H14&amp;"'!C64") &amp; INDIRECT("'"&amp;H14&amp;"'!C65") &amp; INDIRECT("'"&amp;H14&amp;"'!C66") &amp; INDIRECT("'"&amp;H14&amp;"'!C67") &amp; INDIRECT("'"&amp;H14&amp;"'!C68") &amp; INDIRECT("'"&amp;H14&amp;"'!C69")</f>
        <v>5743B783DD8D</v>
      </c>
    </row>
    <row r="15" ht="14.25" customHeight="1">
      <c r="H15" s="3" t="s">
        <v>20</v>
      </c>
      <c r="I15" s="4" t="str">
        <f>'K15'!$D$61</f>
        <v>101111111001000110000101000010100001011110110101</v>
      </c>
      <c r="J15" s="5"/>
      <c r="K15" s="5"/>
      <c r="L15" s="5"/>
      <c r="M15" s="5"/>
      <c r="N15" s="6"/>
      <c r="O15" s="3" t="str">
        <f t="array" ref="O15">INDIRECT("'"&amp;H15&amp;"'!C64") &amp; INDIRECT("'"&amp;H15&amp;"'!C65") &amp; INDIRECT("'"&amp;H15&amp;"'!C66") &amp; INDIRECT("'"&amp;H15&amp;"'!C67") &amp; INDIRECT("'"&amp;H15&amp;"'!C68") &amp; INDIRECT("'"&amp;H15&amp;"'!C69")</f>
        <v>BF91850A17B5</v>
      </c>
    </row>
    <row r="16" ht="14.25" customHeight="1">
      <c r="H16" s="3" t="s">
        <v>21</v>
      </c>
      <c r="I16" s="4" t="str">
        <f>'K16'!$D$61</f>
        <v>110010110011110100001011101111000111000001110010</v>
      </c>
      <c r="J16" s="5"/>
      <c r="K16" s="5"/>
      <c r="L16" s="5"/>
      <c r="M16" s="5"/>
      <c r="N16" s="6"/>
      <c r="O16" s="3" t="str">
        <f t="array" ref="O16">INDIRECT("'"&amp;H16&amp;"'!C64") &amp; INDIRECT("'"&amp;H16&amp;"'!C65") &amp; INDIRECT("'"&amp;H16&amp;"'!C66") &amp; INDIRECT("'"&amp;H16&amp;"'!C67") &amp; INDIRECT("'"&amp;H16&amp;"'!C68") &amp; INDIRECT("'"&amp;H16&amp;"'!C69")</f>
        <v>CB3D0BBC7072</v>
      </c>
    </row>
    <row r="17" ht="14.25" customHeight="1"/>
    <row r="18" ht="14.25" customHeight="1">
      <c r="H18" s="3" t="s">
        <v>22</v>
      </c>
      <c r="I18" s="4" t="str">
        <f>'f(R0,K1)'!B129</f>
        <v>10010111110100010110000110011010</v>
      </c>
      <c r="J18" s="5"/>
      <c r="K18" s="5"/>
      <c r="L18" s="5"/>
      <c r="M18" s="5"/>
      <c r="N18" s="6"/>
      <c r="O18" s="3" t="str">
        <f t="array" ref="O18">INDIRECT("'"&amp;H18&amp;"'!C132") &amp; INDIRECT("'"&amp;H18&amp;"'!C133") &amp; INDIRECT("'"&amp;H18&amp;"'!C134") &amp; INDIRECT("'"&amp;H18&amp;"'!C135")</f>
        <v>97D1619A</v>
      </c>
    </row>
    <row r="19" ht="14.25" customHeight="1">
      <c r="H19" s="3" t="s">
        <v>23</v>
      </c>
      <c r="I19" s="4" t="str">
        <f t="array" ref="I19">INDIRECT("'" &amp; H19 &amp; "'!B145")</f>
        <v>10001000010010001000110100001011</v>
      </c>
      <c r="J19" s="5"/>
      <c r="K19" s="5"/>
      <c r="L19" s="5"/>
      <c r="M19" s="5"/>
      <c r="N19" s="6"/>
      <c r="O19" s="3" t="str">
        <f t="array" ref="O19">INDIRECT("'"&amp;H19&amp;"'!C148") &amp; INDIRECT("'"&amp;H19&amp;"'!C149") &amp; INDIRECT("'"&amp;H19&amp;"'!C150") &amp; INDIRECT("'"&amp;H19&amp;"'!C151")</f>
        <v>88488D0B</v>
      </c>
    </row>
    <row r="20" ht="14.25" customHeight="1">
      <c r="H20" s="3" t="s">
        <v>24</v>
      </c>
      <c r="I20" s="4" t="str">
        <f t="array" ref="I20">INDIRECT("'" &amp; H20 &amp; "'!B145")</f>
        <v>11011010001110110010011010010010</v>
      </c>
      <c r="J20" s="5"/>
      <c r="K20" s="5"/>
      <c r="L20" s="5"/>
      <c r="M20" s="5"/>
      <c r="N20" s="6"/>
      <c r="O20" s="3" t="str">
        <f t="array" ref="O20">INDIRECT("'"&amp;H20&amp;"'!C148") &amp; INDIRECT("'"&amp;H20&amp;"'!C149") &amp; INDIRECT("'"&amp;H20&amp;"'!C150") &amp; INDIRECT("'"&amp;H20&amp;"'!C151")</f>
        <v>DA3B2692</v>
      </c>
    </row>
    <row r="21" ht="14.25" customHeight="1">
      <c r="H21" s="3" t="s">
        <v>25</v>
      </c>
      <c r="I21" s="4" t="str">
        <f t="array" ref="I21">INDIRECT("'" &amp; H21 &amp; "'!B145")</f>
        <v>11110100010010010101000010110010</v>
      </c>
      <c r="J21" s="5"/>
      <c r="K21" s="5"/>
      <c r="L21" s="5"/>
      <c r="M21" s="5"/>
      <c r="N21" s="6"/>
      <c r="O21" s="3" t="str">
        <f t="array" ref="O21">INDIRECT("'"&amp;H21&amp;"'!C148") &amp; INDIRECT("'"&amp;H21&amp;"'!C149") &amp; INDIRECT("'"&amp;H21&amp;"'!C150") &amp; INDIRECT("'"&amp;H21&amp;"'!C151")</f>
        <v>F44950B2</v>
      </c>
    </row>
    <row r="22" ht="14.25" customHeight="1">
      <c r="H22" s="3" t="s">
        <v>26</v>
      </c>
      <c r="I22" s="4" t="str">
        <f t="array" ref="I22">INDIRECT("'" &amp; H22 &amp; "'!B145")</f>
        <v>11011000001100100011011111111101</v>
      </c>
      <c r="J22" s="5"/>
      <c r="K22" s="5"/>
      <c r="L22" s="5"/>
      <c r="M22" s="5"/>
      <c r="N22" s="6"/>
      <c r="O22" s="3" t="str">
        <f t="array" ref="O22">INDIRECT("'"&amp;H22&amp;"'!C148") &amp; INDIRECT("'"&amp;H22&amp;"'!C149") &amp; INDIRECT("'"&amp;H22&amp;"'!C150") &amp; INDIRECT("'"&amp;H22&amp;"'!C151")</f>
        <v>D83237FD</v>
      </c>
    </row>
    <row r="23" ht="14.25" customHeight="1">
      <c r="H23" s="3" t="s">
        <v>27</v>
      </c>
      <c r="I23" s="4" t="str">
        <f t="array" ref="I23">INDIRECT("'" &amp; H23 &amp; "'!B145")</f>
        <v>10101111110001000011101100100101</v>
      </c>
      <c r="J23" s="5"/>
      <c r="K23" s="5"/>
      <c r="L23" s="5"/>
      <c r="M23" s="5"/>
      <c r="N23" s="6"/>
      <c r="O23" s="3" t="str">
        <f t="array" ref="O23">INDIRECT("'"&amp;H23&amp;"'!C148") &amp; INDIRECT("'"&amp;H23&amp;"'!C149") &amp; INDIRECT("'"&amp;H23&amp;"'!C150") &amp; INDIRECT("'"&amp;H23&amp;"'!C151")</f>
        <v>AFC43B25</v>
      </c>
    </row>
    <row r="24" ht="14.25" customHeight="1">
      <c r="H24" s="3" t="s">
        <v>28</v>
      </c>
      <c r="I24" s="4" t="str">
        <f t="array" ref="I24">INDIRECT("'" &amp; H24 &amp; "'!B145")</f>
        <v>01001110010100010010001110100010</v>
      </c>
      <c r="J24" s="5"/>
      <c r="K24" s="5"/>
      <c r="L24" s="5"/>
      <c r="M24" s="5"/>
      <c r="N24" s="6"/>
      <c r="O24" s="3" t="str">
        <f t="array" ref="O24">INDIRECT("'"&amp;H24&amp;"'!C148") &amp; INDIRECT("'"&amp;H24&amp;"'!C149") &amp; INDIRECT("'"&amp;H24&amp;"'!C150") &amp; INDIRECT("'"&amp;H24&amp;"'!C151")</f>
        <v>4E5123A2</v>
      </c>
    </row>
    <row r="25" ht="14.25" customHeight="1">
      <c r="H25" s="3" t="s">
        <v>29</v>
      </c>
      <c r="I25" s="4" t="str">
        <f t="array" ref="I25">INDIRECT("'" &amp; H25 &amp; "'!B145")</f>
        <v>01101100111111011110110010111000</v>
      </c>
      <c r="J25" s="5"/>
      <c r="K25" s="5"/>
      <c r="L25" s="5"/>
      <c r="M25" s="5"/>
      <c r="N25" s="6"/>
      <c r="O25" s="3" t="str">
        <f t="array" ref="O25">INDIRECT("'"&amp;H25&amp;"'!C148") &amp; INDIRECT("'"&amp;H25&amp;"'!C149") &amp; INDIRECT("'"&amp;H25&amp;"'!C150") &amp; INDIRECT("'"&amp;H25&amp;"'!C151")</f>
        <v>6CFDECB8</v>
      </c>
    </row>
    <row r="26" ht="14.25" customHeight="1">
      <c r="H26" s="3" t="s">
        <v>30</v>
      </c>
      <c r="I26" s="4" t="str">
        <f t="array" ref="I26">INDIRECT("'" &amp; H26 &amp; "'!B145")</f>
        <v>11111011000001100000000010110001</v>
      </c>
      <c r="J26" s="5"/>
      <c r="K26" s="5"/>
      <c r="L26" s="5"/>
      <c r="M26" s="5"/>
      <c r="N26" s="6"/>
      <c r="O26" s="3" t="str">
        <f t="array" ref="O26">INDIRECT("'"&amp;H26&amp;"'!C148") &amp; INDIRECT("'"&amp;H26&amp;"'!C149") &amp; INDIRECT("'"&amp;H26&amp;"'!C150") &amp; INDIRECT("'"&amp;H26&amp;"'!C151")</f>
        <v>FB0600B1</v>
      </c>
    </row>
    <row r="27" ht="14.25" customHeight="1">
      <c r="H27" s="3" t="s">
        <v>31</v>
      </c>
      <c r="I27" s="4" t="str">
        <f t="array" ref="I27">INDIRECT("'" &amp; H27 &amp; "'!B145")</f>
        <v>11010101000101010000100011100100</v>
      </c>
      <c r="J27" s="5"/>
      <c r="K27" s="5"/>
      <c r="L27" s="5"/>
      <c r="M27" s="5"/>
      <c r="N27" s="6"/>
      <c r="O27" s="3" t="str">
        <f t="array" ref="O27">INDIRECT("'"&amp;H27&amp;"'!C148") &amp; INDIRECT("'"&amp;H27&amp;"'!C149") &amp; INDIRECT("'"&amp;H27&amp;"'!C150") &amp; INDIRECT("'"&amp;H27&amp;"'!C151")</f>
        <v>D51508E4</v>
      </c>
    </row>
    <row r="28" ht="14.25" customHeight="1">
      <c r="H28" s="3" t="s">
        <v>32</v>
      </c>
      <c r="I28" s="4" t="str">
        <f t="array" ref="I28">INDIRECT("'" &amp; H28 &amp; "'!B145")</f>
        <v>11111100111101100111000101000110</v>
      </c>
      <c r="J28" s="5"/>
      <c r="K28" s="5"/>
      <c r="L28" s="5"/>
      <c r="M28" s="5"/>
      <c r="N28" s="6"/>
      <c r="O28" s="3" t="str">
        <f t="array" ref="O28">INDIRECT("'"&amp;H28&amp;"'!C148") &amp; INDIRECT("'"&amp;H28&amp;"'!C149") &amp; INDIRECT("'"&amp;H28&amp;"'!C150") &amp; INDIRECT("'"&amp;H28&amp;"'!C151")</f>
        <v>FCF67146</v>
      </c>
    </row>
    <row r="29" ht="14.25" customHeight="1">
      <c r="H29" s="3" t="s">
        <v>33</v>
      </c>
      <c r="I29" s="4" t="str">
        <f t="array" ref="I29">INDIRECT("'" &amp; H29 &amp; "'!B145")</f>
        <v>01110000010011111010001110100101</v>
      </c>
      <c r="J29" s="5"/>
      <c r="K29" s="5"/>
      <c r="L29" s="5"/>
      <c r="M29" s="5"/>
      <c r="N29" s="6"/>
      <c r="O29" s="3" t="str">
        <f t="array" ref="O29">INDIRECT("'"&amp;H29&amp;"'!C148") &amp; INDIRECT("'"&amp;H29&amp;"'!C149") &amp; INDIRECT("'"&amp;H29&amp;"'!C150") &amp; INDIRECT("'"&amp;H29&amp;"'!C151")</f>
        <v>704FA3A5</v>
      </c>
    </row>
    <row r="30" ht="14.25" customHeight="1">
      <c r="H30" s="3" t="s">
        <v>34</v>
      </c>
      <c r="I30" s="4" t="str">
        <f t="array" ref="I30">INDIRECT("'" &amp; H30 &amp; "'!B145")</f>
        <v>01111011111111100010100000000110</v>
      </c>
      <c r="J30" s="5"/>
      <c r="K30" s="5"/>
      <c r="L30" s="5"/>
      <c r="M30" s="5"/>
      <c r="N30" s="6"/>
      <c r="O30" s="3" t="str">
        <f t="array" ref="O30">INDIRECT("'"&amp;H30&amp;"'!C148") &amp; INDIRECT("'"&amp;H30&amp;"'!C149") &amp; INDIRECT("'"&amp;H30&amp;"'!C150") &amp; INDIRECT("'"&amp;H30&amp;"'!C151")</f>
        <v>7BFE2806</v>
      </c>
    </row>
    <row r="31" ht="14.25" customHeight="1">
      <c r="H31" s="3" t="s">
        <v>35</v>
      </c>
      <c r="I31" s="4" t="str">
        <f t="array" ref="I31">INDIRECT("'" &amp; H31 &amp; "'!B145")</f>
        <v>01100101111111000111101001001000</v>
      </c>
      <c r="J31" s="5"/>
      <c r="K31" s="5"/>
      <c r="L31" s="5"/>
      <c r="M31" s="5"/>
      <c r="N31" s="6"/>
      <c r="O31" s="3" t="str">
        <f t="array" ref="O31">INDIRECT("'"&amp;H31&amp;"'!C148") &amp; INDIRECT("'"&amp;H31&amp;"'!C149") &amp; INDIRECT("'"&amp;H31&amp;"'!C150") &amp; INDIRECT("'"&amp;H31&amp;"'!C151")</f>
        <v>65FC7A48</v>
      </c>
    </row>
    <row r="32" ht="14.25" customHeight="1">
      <c r="H32" s="3" t="s">
        <v>36</v>
      </c>
      <c r="I32" s="4" t="str">
        <f t="array" ref="I32">INDIRECT("'" &amp; H32 &amp; "'!B145")</f>
        <v>01010001001111110001110100010001</v>
      </c>
      <c r="J32" s="5"/>
      <c r="K32" s="5"/>
      <c r="L32" s="5"/>
      <c r="M32" s="5"/>
      <c r="N32" s="6"/>
      <c r="O32" s="3" t="str">
        <f t="array" ref="O32">INDIRECT("'"&amp;H32&amp;"'!C148") &amp; INDIRECT("'"&amp;H32&amp;"'!C149") &amp; INDIRECT("'"&amp;H32&amp;"'!C150") &amp; INDIRECT("'"&amp;H32&amp;"'!C151")</f>
        <v>513F1D11</v>
      </c>
    </row>
    <row r="33" ht="14.25" customHeight="1">
      <c r="H33" s="3" t="s">
        <v>37</v>
      </c>
      <c r="I33" s="4" t="str">
        <f t="array" ref="I33">INDIRECT("'" &amp; H33 &amp; "'!B145")</f>
        <v>11001011111101010010010100101101</v>
      </c>
      <c r="J33" s="5"/>
      <c r="K33" s="5"/>
      <c r="L33" s="5"/>
      <c r="M33" s="5"/>
      <c r="N33" s="6"/>
      <c r="O33" s="3" t="str">
        <f t="array" ref="O33">INDIRECT("'"&amp;H33&amp;"'!C148") &amp; INDIRECT("'"&amp;H33&amp;"'!C149") &amp; INDIRECT("'"&amp;H33&amp;"'!C150") &amp; INDIRECT("'"&amp;H33&amp;"'!C151")</f>
        <v>CBF5252D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E1:F1"/>
    <mergeCell ref="I1:N1"/>
    <mergeCell ref="E2:F2"/>
    <mergeCell ref="I2:N2"/>
    <mergeCell ref="I3:N3"/>
    <mergeCell ref="B4:G4"/>
    <mergeCell ref="B5:G5"/>
    <mergeCell ref="I4:N4"/>
    <mergeCell ref="I5:N5"/>
    <mergeCell ref="I6:N6"/>
    <mergeCell ref="I7:N7"/>
    <mergeCell ref="I8:N8"/>
    <mergeCell ref="I9:N9"/>
    <mergeCell ref="I10:N10"/>
    <mergeCell ref="I11:N11"/>
    <mergeCell ref="I12:N12"/>
    <mergeCell ref="I13:N13"/>
    <mergeCell ref="I14:N14"/>
    <mergeCell ref="I15:N15"/>
    <mergeCell ref="I16:N16"/>
    <mergeCell ref="I18:N18"/>
    <mergeCell ref="I26:N26"/>
    <mergeCell ref="I27:N27"/>
    <mergeCell ref="I28:N28"/>
    <mergeCell ref="I29:N29"/>
    <mergeCell ref="I30:N30"/>
    <mergeCell ref="I31:N31"/>
    <mergeCell ref="I32:N32"/>
    <mergeCell ref="I33:N33"/>
    <mergeCell ref="I19:N19"/>
    <mergeCell ref="I20:N20"/>
    <mergeCell ref="I21:N21"/>
    <mergeCell ref="I22:N22"/>
    <mergeCell ref="I23:N23"/>
    <mergeCell ref="I24:N24"/>
    <mergeCell ref="I25:N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27" width="8.63"/>
  </cols>
  <sheetData>
    <row r="1" ht="14.25" customHeight="1">
      <c r="A1" s="11" t="s">
        <v>38</v>
      </c>
      <c r="B1" s="6"/>
      <c r="D1" s="12" t="s">
        <v>39</v>
      </c>
      <c r="G1" s="13" t="s">
        <v>40</v>
      </c>
      <c r="J1" s="13" t="s">
        <v>41</v>
      </c>
      <c r="W1" s="13" t="s">
        <v>42</v>
      </c>
      <c r="Y1" s="13"/>
      <c r="Z1" s="12" t="s">
        <v>43</v>
      </c>
    </row>
    <row r="2" ht="14.25" customHeight="1">
      <c r="A2" s="14" t="s">
        <v>44</v>
      </c>
      <c r="B2" s="14" t="s">
        <v>45</v>
      </c>
      <c r="D2" s="14" t="s">
        <v>44</v>
      </c>
      <c r="E2" s="14" t="s">
        <v>45</v>
      </c>
      <c r="G2" s="14" t="s">
        <v>44</v>
      </c>
      <c r="H2" s="14" t="s">
        <v>45</v>
      </c>
      <c r="J2" s="14" t="s">
        <v>44</v>
      </c>
      <c r="K2" s="14" t="s">
        <v>45</v>
      </c>
      <c r="M2" s="15" t="s">
        <v>46</v>
      </c>
      <c r="N2" s="15" t="s">
        <v>47</v>
      </c>
      <c r="O2" s="15" t="s">
        <v>48</v>
      </c>
      <c r="P2" s="15" t="s">
        <v>49</v>
      </c>
      <c r="Q2" s="15" t="s">
        <v>50</v>
      </c>
      <c r="R2" s="15" t="s">
        <v>51</v>
      </c>
      <c r="S2" s="15" t="s">
        <v>52</v>
      </c>
      <c r="T2" s="15" t="s">
        <v>53</v>
      </c>
      <c r="U2" s="15" t="s">
        <v>54</v>
      </c>
      <c r="W2" s="14" t="s">
        <v>44</v>
      </c>
      <c r="X2" s="14" t="s">
        <v>45</v>
      </c>
      <c r="Y2" s="16"/>
      <c r="Z2" s="14" t="s">
        <v>44</v>
      </c>
      <c r="AA2" s="14" t="s">
        <v>45</v>
      </c>
    </row>
    <row r="3" ht="14.25" customHeight="1">
      <c r="A3" s="17">
        <v>1.0</v>
      </c>
      <c r="B3" s="17">
        <v>57.0</v>
      </c>
      <c r="D3" s="17">
        <v>1.0</v>
      </c>
      <c r="E3" s="17">
        <v>14.0</v>
      </c>
      <c r="G3" s="17">
        <v>1.0</v>
      </c>
      <c r="H3" s="17">
        <v>58.0</v>
      </c>
      <c r="J3" s="18">
        <v>1.0</v>
      </c>
      <c r="K3" s="18">
        <v>32.0</v>
      </c>
      <c r="M3" s="18">
        <v>0.0</v>
      </c>
      <c r="N3" s="18">
        <v>14.0</v>
      </c>
      <c r="O3" s="18">
        <v>15.0</v>
      </c>
      <c r="P3" s="18">
        <v>10.0</v>
      </c>
      <c r="Q3" s="18">
        <v>7.0</v>
      </c>
      <c r="R3" s="18">
        <v>2.0</v>
      </c>
      <c r="S3" s="18">
        <v>12.0</v>
      </c>
      <c r="T3" s="18">
        <v>4.0</v>
      </c>
      <c r="U3" s="18">
        <v>13.0</v>
      </c>
      <c r="W3" s="17">
        <v>1.0</v>
      </c>
      <c r="X3" s="17">
        <v>16.0</v>
      </c>
      <c r="Y3" s="19"/>
      <c r="Z3" s="17">
        <v>1.0</v>
      </c>
      <c r="AA3" s="17">
        <v>40.0</v>
      </c>
    </row>
    <row r="4" ht="14.25" customHeight="1">
      <c r="A4" s="17">
        <v>2.0</v>
      </c>
      <c r="B4" s="17">
        <v>49.0</v>
      </c>
      <c r="D4" s="17">
        <v>2.0</v>
      </c>
      <c r="E4" s="17">
        <v>17.0</v>
      </c>
      <c r="G4" s="17">
        <v>2.0</v>
      </c>
      <c r="H4" s="17">
        <v>50.0</v>
      </c>
      <c r="J4" s="18">
        <v>2.0</v>
      </c>
      <c r="K4" s="18">
        <v>1.0</v>
      </c>
      <c r="M4" s="18">
        <v>1.0</v>
      </c>
      <c r="N4" s="18">
        <v>4.0</v>
      </c>
      <c r="O4" s="18">
        <v>1.0</v>
      </c>
      <c r="P4" s="18">
        <v>0.0</v>
      </c>
      <c r="Q4" s="18">
        <v>13.0</v>
      </c>
      <c r="R4" s="18">
        <v>12.0</v>
      </c>
      <c r="S4" s="18">
        <v>1.0</v>
      </c>
      <c r="T4" s="18">
        <v>11.0</v>
      </c>
      <c r="U4" s="18">
        <v>2.0</v>
      </c>
      <c r="W4" s="17">
        <v>2.0</v>
      </c>
      <c r="X4" s="17">
        <v>7.0</v>
      </c>
      <c r="Y4" s="19"/>
      <c r="Z4" s="17">
        <v>2.0</v>
      </c>
      <c r="AA4" s="17">
        <v>8.0</v>
      </c>
    </row>
    <row r="5" ht="14.25" customHeight="1">
      <c r="A5" s="17">
        <v>3.0</v>
      </c>
      <c r="B5" s="17">
        <v>41.0</v>
      </c>
      <c r="D5" s="17">
        <v>3.0</v>
      </c>
      <c r="E5" s="17">
        <v>11.0</v>
      </c>
      <c r="G5" s="17">
        <v>3.0</v>
      </c>
      <c r="H5" s="17">
        <v>42.0</v>
      </c>
      <c r="J5" s="18">
        <v>3.0</v>
      </c>
      <c r="K5" s="18">
        <v>2.0</v>
      </c>
      <c r="M5" s="18">
        <v>2.0</v>
      </c>
      <c r="N5" s="18">
        <v>13.0</v>
      </c>
      <c r="O5" s="18">
        <v>8.0</v>
      </c>
      <c r="P5" s="18">
        <v>9.0</v>
      </c>
      <c r="Q5" s="18">
        <v>14.0</v>
      </c>
      <c r="R5" s="18">
        <v>4.0</v>
      </c>
      <c r="S5" s="18">
        <v>10.0</v>
      </c>
      <c r="T5" s="18">
        <v>2.0</v>
      </c>
      <c r="U5" s="18">
        <v>8.0</v>
      </c>
      <c r="W5" s="17">
        <v>3.0</v>
      </c>
      <c r="X5" s="17">
        <v>20.0</v>
      </c>
      <c r="Y5" s="19"/>
      <c r="Z5" s="17">
        <v>3.0</v>
      </c>
      <c r="AA5" s="17">
        <v>48.0</v>
      </c>
    </row>
    <row r="6" ht="14.25" customHeight="1">
      <c r="A6" s="17">
        <v>4.0</v>
      </c>
      <c r="B6" s="17">
        <v>33.0</v>
      </c>
      <c r="D6" s="17">
        <v>4.0</v>
      </c>
      <c r="E6" s="17">
        <v>24.0</v>
      </c>
      <c r="G6" s="17">
        <v>4.0</v>
      </c>
      <c r="H6" s="17">
        <v>34.0</v>
      </c>
      <c r="J6" s="18">
        <v>4.0</v>
      </c>
      <c r="K6" s="18">
        <v>3.0</v>
      </c>
      <c r="M6" s="18">
        <v>3.0</v>
      </c>
      <c r="N6" s="18">
        <v>1.0</v>
      </c>
      <c r="O6" s="18">
        <v>14.0</v>
      </c>
      <c r="P6" s="18">
        <v>14.0</v>
      </c>
      <c r="Q6" s="18">
        <v>3.0</v>
      </c>
      <c r="R6" s="18">
        <v>1.0</v>
      </c>
      <c r="S6" s="18">
        <v>15.0</v>
      </c>
      <c r="T6" s="18">
        <v>14.0</v>
      </c>
      <c r="U6" s="18">
        <v>4.0</v>
      </c>
      <c r="W6" s="17">
        <v>4.0</v>
      </c>
      <c r="X6" s="17">
        <v>21.0</v>
      </c>
      <c r="Y6" s="19"/>
      <c r="Z6" s="17">
        <v>4.0</v>
      </c>
      <c r="AA6" s="17">
        <v>16.0</v>
      </c>
    </row>
    <row r="7" ht="14.25" customHeight="1">
      <c r="A7" s="17">
        <v>5.0</v>
      </c>
      <c r="B7" s="17">
        <v>25.0</v>
      </c>
      <c r="D7" s="17">
        <v>5.0</v>
      </c>
      <c r="E7" s="17">
        <v>1.0</v>
      </c>
      <c r="G7" s="17">
        <v>5.0</v>
      </c>
      <c r="H7" s="17">
        <v>26.0</v>
      </c>
      <c r="J7" s="18">
        <v>5.0</v>
      </c>
      <c r="K7" s="18">
        <v>4.0</v>
      </c>
      <c r="M7" s="18">
        <v>4.0</v>
      </c>
      <c r="N7" s="18">
        <v>2.0</v>
      </c>
      <c r="O7" s="18">
        <v>6.0</v>
      </c>
      <c r="P7" s="18">
        <v>6.0</v>
      </c>
      <c r="Q7" s="18">
        <v>0.0</v>
      </c>
      <c r="R7" s="18">
        <v>7.0</v>
      </c>
      <c r="S7" s="18">
        <v>9.0</v>
      </c>
      <c r="T7" s="18">
        <v>15.0</v>
      </c>
      <c r="U7" s="18">
        <v>6.0</v>
      </c>
      <c r="W7" s="17">
        <v>5.0</v>
      </c>
      <c r="X7" s="17">
        <v>29.0</v>
      </c>
      <c r="Y7" s="19"/>
      <c r="Z7" s="17">
        <v>5.0</v>
      </c>
      <c r="AA7" s="17">
        <v>56.0</v>
      </c>
    </row>
    <row r="8" ht="14.25" customHeight="1">
      <c r="A8" s="17">
        <v>6.0</v>
      </c>
      <c r="B8" s="17">
        <v>17.0</v>
      </c>
      <c r="D8" s="17">
        <v>6.0</v>
      </c>
      <c r="E8" s="17">
        <v>5.0</v>
      </c>
      <c r="G8" s="17">
        <v>6.0</v>
      </c>
      <c r="H8" s="17">
        <v>18.0</v>
      </c>
      <c r="J8" s="18">
        <v>6.0</v>
      </c>
      <c r="K8" s="18">
        <v>5.0</v>
      </c>
      <c r="M8" s="18">
        <v>5.0</v>
      </c>
      <c r="N8" s="18">
        <v>15.0</v>
      </c>
      <c r="O8" s="18">
        <v>11.0</v>
      </c>
      <c r="P8" s="18">
        <v>3.0</v>
      </c>
      <c r="Q8" s="18">
        <v>6.0</v>
      </c>
      <c r="R8" s="18">
        <v>10.0</v>
      </c>
      <c r="S8" s="18">
        <v>2.0</v>
      </c>
      <c r="T8" s="18">
        <v>0.0</v>
      </c>
      <c r="U8" s="18">
        <v>15.0</v>
      </c>
      <c r="W8" s="17">
        <v>6.0</v>
      </c>
      <c r="X8" s="17">
        <v>12.0</v>
      </c>
      <c r="Y8" s="19"/>
      <c r="Z8" s="17">
        <v>6.0</v>
      </c>
      <c r="AA8" s="17">
        <v>24.0</v>
      </c>
    </row>
    <row r="9" ht="14.25" customHeight="1">
      <c r="A9" s="17">
        <v>7.0</v>
      </c>
      <c r="B9" s="17">
        <v>9.0</v>
      </c>
      <c r="D9" s="17">
        <v>7.0</v>
      </c>
      <c r="E9" s="17">
        <v>3.0</v>
      </c>
      <c r="G9" s="17">
        <v>7.0</v>
      </c>
      <c r="H9" s="17">
        <v>10.0</v>
      </c>
      <c r="J9" s="17">
        <v>7.0</v>
      </c>
      <c r="K9" s="17">
        <v>4.0</v>
      </c>
      <c r="M9" s="18">
        <v>6.0</v>
      </c>
      <c r="N9" s="18">
        <v>11.0</v>
      </c>
      <c r="O9" s="18">
        <v>3.0</v>
      </c>
      <c r="P9" s="18">
        <v>15.0</v>
      </c>
      <c r="Q9" s="18">
        <v>9.0</v>
      </c>
      <c r="R9" s="18">
        <v>11.0</v>
      </c>
      <c r="S9" s="18">
        <v>6.0</v>
      </c>
      <c r="T9" s="18">
        <v>8.0</v>
      </c>
      <c r="U9" s="18">
        <v>11.0</v>
      </c>
      <c r="W9" s="17">
        <v>7.0</v>
      </c>
      <c r="X9" s="17">
        <v>28.0</v>
      </c>
      <c r="Y9" s="19"/>
      <c r="Z9" s="17">
        <v>7.0</v>
      </c>
      <c r="AA9" s="17">
        <v>64.0</v>
      </c>
    </row>
    <row r="10" ht="14.25" customHeight="1">
      <c r="A10" s="17">
        <v>8.0</v>
      </c>
      <c r="B10" s="17">
        <v>1.0</v>
      </c>
      <c r="D10" s="17">
        <v>8.0</v>
      </c>
      <c r="E10" s="17">
        <v>28.0</v>
      </c>
      <c r="G10" s="17">
        <v>8.0</v>
      </c>
      <c r="H10" s="17">
        <v>2.0</v>
      </c>
      <c r="J10" s="17">
        <v>8.0</v>
      </c>
      <c r="K10" s="17">
        <v>5.0</v>
      </c>
      <c r="M10" s="18">
        <v>7.0</v>
      </c>
      <c r="N10" s="18">
        <v>8.0</v>
      </c>
      <c r="O10" s="18">
        <v>4.0</v>
      </c>
      <c r="P10" s="18">
        <v>5.0</v>
      </c>
      <c r="Q10" s="18">
        <v>10.0</v>
      </c>
      <c r="R10" s="18">
        <v>6.0</v>
      </c>
      <c r="S10" s="18">
        <v>8.0</v>
      </c>
      <c r="T10" s="18">
        <v>13.0</v>
      </c>
      <c r="U10" s="18">
        <v>1.0</v>
      </c>
      <c r="W10" s="17">
        <v>8.0</v>
      </c>
      <c r="X10" s="17">
        <v>17.0</v>
      </c>
      <c r="Y10" s="19"/>
      <c r="Z10" s="17">
        <v>8.0</v>
      </c>
      <c r="AA10" s="17">
        <v>32.0</v>
      </c>
    </row>
    <row r="11" ht="14.25" customHeight="1">
      <c r="A11" s="17">
        <v>9.0</v>
      </c>
      <c r="B11" s="17">
        <v>58.0</v>
      </c>
      <c r="D11" s="17">
        <v>9.0</v>
      </c>
      <c r="E11" s="17">
        <v>15.0</v>
      </c>
      <c r="G11" s="17">
        <v>9.0</v>
      </c>
      <c r="H11" s="17">
        <v>60.0</v>
      </c>
      <c r="J11" s="17">
        <v>9.0</v>
      </c>
      <c r="K11" s="17">
        <v>6.0</v>
      </c>
      <c r="M11" s="18">
        <v>8.0</v>
      </c>
      <c r="N11" s="18">
        <v>3.0</v>
      </c>
      <c r="O11" s="18">
        <v>9.0</v>
      </c>
      <c r="P11" s="18">
        <v>1.0</v>
      </c>
      <c r="Q11" s="18">
        <v>1.0</v>
      </c>
      <c r="R11" s="18">
        <v>8.0</v>
      </c>
      <c r="S11" s="18">
        <v>0.0</v>
      </c>
      <c r="T11" s="18">
        <v>3.0</v>
      </c>
      <c r="U11" s="18">
        <v>10.0</v>
      </c>
      <c r="W11" s="17">
        <v>9.0</v>
      </c>
      <c r="X11" s="17">
        <v>1.0</v>
      </c>
      <c r="Y11" s="19"/>
      <c r="Z11" s="17">
        <v>9.0</v>
      </c>
      <c r="AA11" s="17">
        <v>39.0</v>
      </c>
    </row>
    <row r="12" ht="14.25" customHeight="1">
      <c r="A12" s="17">
        <v>10.0</v>
      </c>
      <c r="B12" s="17">
        <v>50.0</v>
      </c>
      <c r="D12" s="17">
        <v>10.0</v>
      </c>
      <c r="E12" s="17">
        <v>6.0</v>
      </c>
      <c r="G12" s="17">
        <v>10.0</v>
      </c>
      <c r="H12" s="17">
        <v>52.0</v>
      </c>
      <c r="J12" s="17">
        <v>10.0</v>
      </c>
      <c r="K12" s="17">
        <v>7.0</v>
      </c>
      <c r="M12" s="18">
        <v>9.0</v>
      </c>
      <c r="N12" s="18">
        <v>10.0</v>
      </c>
      <c r="O12" s="18">
        <v>7.0</v>
      </c>
      <c r="P12" s="18">
        <v>13.0</v>
      </c>
      <c r="Q12" s="18">
        <v>2.0</v>
      </c>
      <c r="R12" s="18">
        <v>5.0</v>
      </c>
      <c r="S12" s="18">
        <v>13.0</v>
      </c>
      <c r="T12" s="18">
        <v>12.0</v>
      </c>
      <c r="U12" s="18">
        <v>9.0</v>
      </c>
      <c r="W12" s="17">
        <v>10.0</v>
      </c>
      <c r="X12" s="17">
        <v>15.0</v>
      </c>
      <c r="Y12" s="19"/>
      <c r="Z12" s="17">
        <v>10.0</v>
      </c>
      <c r="AA12" s="17">
        <v>7.0</v>
      </c>
    </row>
    <row r="13" ht="14.25" customHeight="1">
      <c r="A13" s="17">
        <v>11.0</v>
      </c>
      <c r="B13" s="17">
        <v>42.0</v>
      </c>
      <c r="D13" s="17">
        <v>11.0</v>
      </c>
      <c r="E13" s="17">
        <v>21.0</v>
      </c>
      <c r="G13" s="17">
        <v>11.0</v>
      </c>
      <c r="H13" s="17">
        <v>44.0</v>
      </c>
      <c r="J13" s="17">
        <v>11.0</v>
      </c>
      <c r="K13" s="17">
        <v>8.0</v>
      </c>
      <c r="M13" s="18">
        <v>10.0</v>
      </c>
      <c r="N13" s="18">
        <v>6.0</v>
      </c>
      <c r="O13" s="18">
        <v>2.0</v>
      </c>
      <c r="P13" s="18">
        <v>12.0</v>
      </c>
      <c r="Q13" s="18">
        <v>8.0</v>
      </c>
      <c r="R13" s="18">
        <v>3.0</v>
      </c>
      <c r="S13" s="18">
        <v>3.0</v>
      </c>
      <c r="T13" s="18">
        <v>9.0</v>
      </c>
      <c r="U13" s="18">
        <v>3.0</v>
      </c>
      <c r="W13" s="17">
        <v>11.0</v>
      </c>
      <c r="X13" s="17">
        <v>23.0</v>
      </c>
      <c r="Y13" s="19"/>
      <c r="Z13" s="17">
        <v>11.0</v>
      </c>
      <c r="AA13" s="17">
        <v>47.0</v>
      </c>
    </row>
    <row r="14" ht="14.25" customHeight="1">
      <c r="A14" s="17">
        <v>12.0</v>
      </c>
      <c r="B14" s="17">
        <v>34.0</v>
      </c>
      <c r="D14" s="17">
        <v>12.0</v>
      </c>
      <c r="E14" s="17">
        <v>10.0</v>
      </c>
      <c r="G14" s="17">
        <v>12.0</v>
      </c>
      <c r="H14" s="17">
        <v>36.0</v>
      </c>
      <c r="J14" s="17">
        <v>12.0</v>
      </c>
      <c r="K14" s="17">
        <v>9.0</v>
      </c>
      <c r="M14" s="18">
        <v>11.0</v>
      </c>
      <c r="N14" s="18">
        <v>12.0</v>
      </c>
      <c r="O14" s="18">
        <v>13.0</v>
      </c>
      <c r="P14" s="18">
        <v>7.0</v>
      </c>
      <c r="Q14" s="18">
        <v>5.0</v>
      </c>
      <c r="R14" s="18">
        <v>15.0</v>
      </c>
      <c r="S14" s="18">
        <v>4.0</v>
      </c>
      <c r="T14" s="18">
        <v>7.0</v>
      </c>
      <c r="U14" s="18">
        <v>14.0</v>
      </c>
      <c r="W14" s="17">
        <v>12.0</v>
      </c>
      <c r="X14" s="17">
        <v>26.0</v>
      </c>
      <c r="Y14" s="19"/>
      <c r="Z14" s="17">
        <v>12.0</v>
      </c>
      <c r="AA14" s="17">
        <v>15.0</v>
      </c>
    </row>
    <row r="15" ht="14.25" customHeight="1">
      <c r="A15" s="17">
        <v>13.0</v>
      </c>
      <c r="B15" s="17">
        <v>26.0</v>
      </c>
      <c r="D15" s="17">
        <v>13.0</v>
      </c>
      <c r="E15" s="17">
        <v>23.0</v>
      </c>
      <c r="G15" s="17">
        <v>13.0</v>
      </c>
      <c r="H15" s="17">
        <v>28.0</v>
      </c>
      <c r="J15" s="17">
        <v>13.0</v>
      </c>
      <c r="K15" s="17">
        <v>8.0</v>
      </c>
      <c r="M15" s="18">
        <v>12.0</v>
      </c>
      <c r="N15" s="18">
        <v>5.0</v>
      </c>
      <c r="O15" s="18">
        <v>12.0</v>
      </c>
      <c r="P15" s="18">
        <v>11.0</v>
      </c>
      <c r="Q15" s="18">
        <v>11.0</v>
      </c>
      <c r="R15" s="18">
        <v>13.0</v>
      </c>
      <c r="S15" s="18">
        <v>14.0</v>
      </c>
      <c r="T15" s="18">
        <v>5.0</v>
      </c>
      <c r="U15" s="18">
        <v>5.0</v>
      </c>
      <c r="W15" s="17">
        <v>13.0</v>
      </c>
      <c r="X15" s="17">
        <v>5.0</v>
      </c>
      <c r="Y15" s="19"/>
      <c r="Z15" s="17">
        <v>13.0</v>
      </c>
      <c r="AA15" s="17">
        <v>55.0</v>
      </c>
    </row>
    <row r="16" ht="14.25" customHeight="1">
      <c r="A16" s="17">
        <v>14.0</v>
      </c>
      <c r="B16" s="17">
        <v>18.0</v>
      </c>
      <c r="D16" s="17">
        <v>14.0</v>
      </c>
      <c r="E16" s="17">
        <v>19.0</v>
      </c>
      <c r="G16" s="17">
        <v>14.0</v>
      </c>
      <c r="H16" s="17">
        <v>20.0</v>
      </c>
      <c r="J16" s="17">
        <v>14.0</v>
      </c>
      <c r="K16" s="17">
        <v>9.0</v>
      </c>
      <c r="M16" s="18">
        <v>13.0</v>
      </c>
      <c r="N16" s="18">
        <v>9.0</v>
      </c>
      <c r="O16" s="18">
        <v>0.0</v>
      </c>
      <c r="P16" s="18">
        <v>4.0</v>
      </c>
      <c r="Q16" s="18">
        <v>12.0</v>
      </c>
      <c r="R16" s="18">
        <v>0.0</v>
      </c>
      <c r="S16" s="18">
        <v>7.0</v>
      </c>
      <c r="T16" s="18">
        <v>10.0</v>
      </c>
      <c r="U16" s="18">
        <v>0.0</v>
      </c>
      <c r="W16" s="17">
        <v>14.0</v>
      </c>
      <c r="X16" s="17">
        <v>18.0</v>
      </c>
      <c r="Y16" s="19"/>
      <c r="Z16" s="17">
        <v>14.0</v>
      </c>
      <c r="AA16" s="17">
        <v>23.0</v>
      </c>
    </row>
    <row r="17" ht="14.25" customHeight="1">
      <c r="A17" s="17">
        <v>15.0</v>
      </c>
      <c r="B17" s="17">
        <v>10.0</v>
      </c>
      <c r="D17" s="17">
        <v>15.0</v>
      </c>
      <c r="E17" s="17">
        <v>12.0</v>
      </c>
      <c r="G17" s="17">
        <v>15.0</v>
      </c>
      <c r="H17" s="17">
        <v>12.0</v>
      </c>
      <c r="J17" s="17">
        <v>15.0</v>
      </c>
      <c r="K17" s="17">
        <v>10.0</v>
      </c>
      <c r="M17" s="18">
        <v>14.0</v>
      </c>
      <c r="N17" s="18">
        <v>0.0</v>
      </c>
      <c r="O17" s="18">
        <v>5.0</v>
      </c>
      <c r="P17" s="18">
        <v>2.0</v>
      </c>
      <c r="Q17" s="18">
        <v>4.0</v>
      </c>
      <c r="R17" s="18">
        <v>14.0</v>
      </c>
      <c r="S17" s="18">
        <v>5.0</v>
      </c>
      <c r="T17" s="18">
        <v>6.0</v>
      </c>
      <c r="U17" s="18">
        <v>12.0</v>
      </c>
      <c r="W17" s="17">
        <v>15.0</v>
      </c>
      <c r="X17" s="17">
        <v>31.0</v>
      </c>
      <c r="Y17" s="19"/>
      <c r="Z17" s="17">
        <v>15.0</v>
      </c>
      <c r="AA17" s="17">
        <v>63.0</v>
      </c>
    </row>
    <row r="18" ht="14.25" customHeight="1">
      <c r="A18" s="17">
        <v>16.0</v>
      </c>
      <c r="B18" s="17">
        <v>2.0</v>
      </c>
      <c r="D18" s="17">
        <v>16.0</v>
      </c>
      <c r="E18" s="17">
        <v>4.0</v>
      </c>
      <c r="G18" s="17">
        <v>16.0</v>
      </c>
      <c r="H18" s="17">
        <v>4.0</v>
      </c>
      <c r="J18" s="17">
        <v>16.0</v>
      </c>
      <c r="K18" s="17">
        <v>11.0</v>
      </c>
      <c r="M18" s="18">
        <v>15.0</v>
      </c>
      <c r="N18" s="18">
        <v>7.0</v>
      </c>
      <c r="O18" s="18">
        <v>10.0</v>
      </c>
      <c r="P18" s="18">
        <v>8.0</v>
      </c>
      <c r="Q18" s="18">
        <v>15.0</v>
      </c>
      <c r="R18" s="18">
        <v>9.0</v>
      </c>
      <c r="S18" s="18">
        <v>11.0</v>
      </c>
      <c r="T18" s="18">
        <v>1.0</v>
      </c>
      <c r="U18" s="18">
        <v>7.0</v>
      </c>
      <c r="W18" s="17">
        <v>16.0</v>
      </c>
      <c r="X18" s="17">
        <v>10.0</v>
      </c>
      <c r="Y18" s="19"/>
      <c r="Z18" s="17">
        <v>16.0</v>
      </c>
      <c r="AA18" s="17">
        <v>31.0</v>
      </c>
    </row>
    <row r="19" ht="14.25" customHeight="1">
      <c r="A19" s="17">
        <v>17.0</v>
      </c>
      <c r="B19" s="17">
        <v>59.0</v>
      </c>
      <c r="D19" s="17">
        <v>17.0</v>
      </c>
      <c r="E19" s="17">
        <v>26.0</v>
      </c>
      <c r="G19" s="17">
        <v>17.0</v>
      </c>
      <c r="H19" s="17">
        <v>62.0</v>
      </c>
      <c r="J19" s="17">
        <v>17.0</v>
      </c>
      <c r="K19" s="17">
        <v>12.0</v>
      </c>
      <c r="M19" s="18">
        <v>16.0</v>
      </c>
      <c r="N19" s="18">
        <v>0.0</v>
      </c>
      <c r="O19" s="18">
        <v>3.0</v>
      </c>
      <c r="P19" s="18">
        <v>13.0</v>
      </c>
      <c r="Q19" s="18">
        <v>13.0</v>
      </c>
      <c r="R19" s="18">
        <v>14.0</v>
      </c>
      <c r="S19" s="18">
        <v>10.0</v>
      </c>
      <c r="T19" s="18">
        <v>13.0</v>
      </c>
      <c r="U19" s="18">
        <v>1.0</v>
      </c>
      <c r="W19" s="17">
        <v>17.0</v>
      </c>
      <c r="X19" s="17">
        <v>2.0</v>
      </c>
      <c r="Y19" s="19"/>
      <c r="Z19" s="17">
        <v>17.0</v>
      </c>
      <c r="AA19" s="17">
        <v>38.0</v>
      </c>
    </row>
    <row r="20" ht="14.25" customHeight="1">
      <c r="A20" s="17">
        <v>18.0</v>
      </c>
      <c r="B20" s="17">
        <v>51.0</v>
      </c>
      <c r="D20" s="17">
        <v>18.0</v>
      </c>
      <c r="E20" s="17">
        <v>8.0</v>
      </c>
      <c r="G20" s="17">
        <v>18.0</v>
      </c>
      <c r="H20" s="17">
        <v>54.0</v>
      </c>
      <c r="J20" s="17">
        <v>18.0</v>
      </c>
      <c r="K20" s="17">
        <v>13.0</v>
      </c>
      <c r="M20" s="18">
        <v>17.0</v>
      </c>
      <c r="N20" s="18">
        <v>15.0</v>
      </c>
      <c r="O20" s="18">
        <v>13.0</v>
      </c>
      <c r="P20" s="18">
        <v>7.0</v>
      </c>
      <c r="Q20" s="18">
        <v>8.0</v>
      </c>
      <c r="R20" s="18">
        <v>11.0</v>
      </c>
      <c r="S20" s="18">
        <v>15.0</v>
      </c>
      <c r="T20" s="18">
        <v>0.0</v>
      </c>
      <c r="U20" s="18">
        <v>15.0</v>
      </c>
      <c r="W20" s="17">
        <v>18.0</v>
      </c>
      <c r="X20" s="17">
        <v>8.0</v>
      </c>
      <c r="Y20" s="19"/>
      <c r="Z20" s="17">
        <v>18.0</v>
      </c>
      <c r="AA20" s="17">
        <v>6.0</v>
      </c>
    </row>
    <row r="21" ht="14.25" customHeight="1">
      <c r="A21" s="17">
        <v>19.0</v>
      </c>
      <c r="B21" s="17">
        <v>43.0</v>
      </c>
      <c r="D21" s="17">
        <v>19.0</v>
      </c>
      <c r="E21" s="17">
        <v>16.0</v>
      </c>
      <c r="G21" s="17">
        <v>19.0</v>
      </c>
      <c r="H21" s="17">
        <v>46.0</v>
      </c>
      <c r="J21" s="17">
        <v>19.0</v>
      </c>
      <c r="K21" s="17">
        <v>12.0</v>
      </c>
      <c r="M21" s="18">
        <v>18.0</v>
      </c>
      <c r="N21" s="18">
        <v>7.0</v>
      </c>
      <c r="O21" s="18">
        <v>4.0</v>
      </c>
      <c r="P21" s="18">
        <v>0.0</v>
      </c>
      <c r="Q21" s="18">
        <v>11.0</v>
      </c>
      <c r="R21" s="18">
        <v>2.0</v>
      </c>
      <c r="S21" s="18">
        <v>4.0</v>
      </c>
      <c r="T21" s="18">
        <v>11.0</v>
      </c>
      <c r="U21" s="18">
        <v>13.0</v>
      </c>
      <c r="W21" s="17">
        <v>19.0</v>
      </c>
      <c r="X21" s="17">
        <v>24.0</v>
      </c>
      <c r="Y21" s="19"/>
      <c r="Z21" s="17">
        <v>19.0</v>
      </c>
      <c r="AA21" s="17">
        <v>46.0</v>
      </c>
    </row>
    <row r="22" ht="14.25" customHeight="1">
      <c r="A22" s="17">
        <v>20.0</v>
      </c>
      <c r="B22" s="17">
        <v>35.0</v>
      </c>
      <c r="D22" s="17">
        <v>20.0</v>
      </c>
      <c r="E22" s="17">
        <v>7.0</v>
      </c>
      <c r="G22" s="17">
        <v>20.0</v>
      </c>
      <c r="H22" s="17">
        <v>38.0</v>
      </c>
      <c r="J22" s="17">
        <v>20.0</v>
      </c>
      <c r="K22" s="17">
        <v>13.0</v>
      </c>
      <c r="M22" s="18">
        <v>19.0</v>
      </c>
      <c r="N22" s="18">
        <v>4.0</v>
      </c>
      <c r="O22" s="18">
        <v>7.0</v>
      </c>
      <c r="P22" s="18">
        <v>9.0</v>
      </c>
      <c r="Q22" s="18">
        <v>5.0</v>
      </c>
      <c r="R22" s="18">
        <v>12.0</v>
      </c>
      <c r="S22" s="18">
        <v>2.0</v>
      </c>
      <c r="T22" s="18">
        <v>7.0</v>
      </c>
      <c r="U22" s="18">
        <v>8.0</v>
      </c>
      <c r="W22" s="17">
        <v>20.0</v>
      </c>
      <c r="X22" s="17">
        <v>14.0</v>
      </c>
      <c r="Y22" s="19"/>
      <c r="Z22" s="17">
        <v>20.0</v>
      </c>
      <c r="AA22" s="17">
        <v>14.0</v>
      </c>
    </row>
    <row r="23" ht="14.25" customHeight="1">
      <c r="A23" s="17">
        <v>21.0</v>
      </c>
      <c r="B23" s="17">
        <v>27.0</v>
      </c>
      <c r="D23" s="17">
        <v>21.0</v>
      </c>
      <c r="E23" s="17">
        <v>27.0</v>
      </c>
      <c r="G23" s="17">
        <v>21.0</v>
      </c>
      <c r="H23" s="17">
        <v>30.0</v>
      </c>
      <c r="J23" s="17">
        <v>21.0</v>
      </c>
      <c r="K23" s="17">
        <v>14.0</v>
      </c>
      <c r="M23" s="18">
        <v>20.0</v>
      </c>
      <c r="N23" s="18">
        <v>14.0</v>
      </c>
      <c r="O23" s="18">
        <v>15.0</v>
      </c>
      <c r="P23" s="18">
        <v>3.0</v>
      </c>
      <c r="Q23" s="18">
        <v>6.0</v>
      </c>
      <c r="R23" s="18">
        <v>4.0</v>
      </c>
      <c r="S23" s="18">
        <v>7.0</v>
      </c>
      <c r="T23" s="18">
        <v>4.0</v>
      </c>
      <c r="U23" s="18">
        <v>10.0</v>
      </c>
      <c r="W23" s="17">
        <v>21.0</v>
      </c>
      <c r="X23" s="17">
        <v>32.0</v>
      </c>
      <c r="Y23" s="19"/>
      <c r="Z23" s="17">
        <v>21.0</v>
      </c>
      <c r="AA23" s="17">
        <v>54.0</v>
      </c>
    </row>
    <row r="24" ht="14.25" customHeight="1">
      <c r="A24" s="17">
        <v>22.0</v>
      </c>
      <c r="B24" s="17">
        <v>19.0</v>
      </c>
      <c r="D24" s="17">
        <v>22.0</v>
      </c>
      <c r="E24" s="17">
        <v>20.0</v>
      </c>
      <c r="G24" s="17">
        <v>22.0</v>
      </c>
      <c r="H24" s="17">
        <v>22.0</v>
      </c>
      <c r="J24" s="17">
        <v>22.0</v>
      </c>
      <c r="K24" s="17">
        <v>15.0</v>
      </c>
      <c r="M24" s="18">
        <v>21.0</v>
      </c>
      <c r="N24" s="18">
        <v>2.0</v>
      </c>
      <c r="O24" s="18">
        <v>2.0</v>
      </c>
      <c r="P24" s="18">
        <v>4.0</v>
      </c>
      <c r="Q24" s="18">
        <v>15.0</v>
      </c>
      <c r="R24" s="18">
        <v>7.0</v>
      </c>
      <c r="S24" s="18">
        <v>12.0</v>
      </c>
      <c r="T24" s="18">
        <v>9.0</v>
      </c>
      <c r="U24" s="18">
        <v>3.0</v>
      </c>
      <c r="W24" s="17">
        <v>22.0</v>
      </c>
      <c r="X24" s="17">
        <v>27.0</v>
      </c>
      <c r="Y24" s="19"/>
      <c r="Z24" s="17">
        <v>22.0</v>
      </c>
      <c r="AA24" s="17">
        <v>22.0</v>
      </c>
    </row>
    <row r="25" ht="14.25" customHeight="1">
      <c r="A25" s="17">
        <v>23.0</v>
      </c>
      <c r="B25" s="17">
        <v>11.0</v>
      </c>
      <c r="D25" s="17">
        <v>23.0</v>
      </c>
      <c r="E25" s="17">
        <v>13.0</v>
      </c>
      <c r="G25" s="17">
        <v>23.0</v>
      </c>
      <c r="H25" s="17">
        <v>14.0</v>
      </c>
      <c r="J25" s="17">
        <v>23.0</v>
      </c>
      <c r="K25" s="17">
        <v>16.0</v>
      </c>
      <c r="M25" s="18">
        <v>22.0</v>
      </c>
      <c r="N25" s="18">
        <v>13.0</v>
      </c>
      <c r="O25" s="18">
        <v>8.0</v>
      </c>
      <c r="P25" s="18">
        <v>6.0</v>
      </c>
      <c r="Q25" s="18">
        <v>0.0</v>
      </c>
      <c r="R25" s="18">
        <v>13.0</v>
      </c>
      <c r="S25" s="18">
        <v>9.0</v>
      </c>
      <c r="T25" s="18">
        <v>1.0</v>
      </c>
      <c r="U25" s="18">
        <v>7.0</v>
      </c>
      <c r="W25" s="17">
        <v>23.0</v>
      </c>
      <c r="X25" s="17">
        <v>3.0</v>
      </c>
      <c r="Y25" s="19"/>
      <c r="Z25" s="17">
        <v>23.0</v>
      </c>
      <c r="AA25" s="17">
        <v>62.0</v>
      </c>
    </row>
    <row r="26" ht="14.25" customHeight="1">
      <c r="A26" s="17">
        <v>24.0</v>
      </c>
      <c r="B26" s="17">
        <v>3.0</v>
      </c>
      <c r="D26" s="17">
        <v>24.0</v>
      </c>
      <c r="E26" s="17">
        <v>2.0</v>
      </c>
      <c r="G26" s="17">
        <v>24.0</v>
      </c>
      <c r="H26" s="17">
        <v>6.0</v>
      </c>
      <c r="J26" s="17">
        <v>24.0</v>
      </c>
      <c r="K26" s="17">
        <v>17.0</v>
      </c>
      <c r="M26" s="18">
        <v>23.0</v>
      </c>
      <c r="N26" s="18">
        <v>1.0</v>
      </c>
      <c r="O26" s="18">
        <v>14.0</v>
      </c>
      <c r="P26" s="18">
        <v>10.0</v>
      </c>
      <c r="Q26" s="18">
        <v>3.0</v>
      </c>
      <c r="R26" s="18">
        <v>1.0</v>
      </c>
      <c r="S26" s="18">
        <v>5.0</v>
      </c>
      <c r="T26" s="18">
        <v>10.0</v>
      </c>
      <c r="U26" s="18">
        <v>4.0</v>
      </c>
      <c r="W26" s="17">
        <v>24.0</v>
      </c>
      <c r="X26" s="17">
        <v>9.0</v>
      </c>
      <c r="Y26" s="19"/>
      <c r="Z26" s="17">
        <v>24.0</v>
      </c>
      <c r="AA26" s="17">
        <v>30.0</v>
      </c>
    </row>
    <row r="27" ht="14.25" customHeight="1">
      <c r="A27" s="17">
        <v>25.0</v>
      </c>
      <c r="B27" s="17">
        <v>60.0</v>
      </c>
      <c r="D27" s="17">
        <v>25.0</v>
      </c>
      <c r="E27" s="17">
        <v>41.0</v>
      </c>
      <c r="G27" s="17">
        <v>25.0</v>
      </c>
      <c r="H27" s="17">
        <v>64.0</v>
      </c>
      <c r="J27" s="17">
        <v>25.0</v>
      </c>
      <c r="K27" s="17">
        <v>16.0</v>
      </c>
      <c r="M27" s="18">
        <v>24.0</v>
      </c>
      <c r="N27" s="18">
        <v>10.0</v>
      </c>
      <c r="O27" s="18">
        <v>12.0</v>
      </c>
      <c r="P27" s="18">
        <v>2.0</v>
      </c>
      <c r="Q27" s="18">
        <v>4.0</v>
      </c>
      <c r="R27" s="18">
        <v>5.0</v>
      </c>
      <c r="S27" s="18">
        <v>6.0</v>
      </c>
      <c r="T27" s="18">
        <v>14.0</v>
      </c>
      <c r="U27" s="18">
        <v>12.0</v>
      </c>
      <c r="W27" s="17">
        <v>25.0</v>
      </c>
      <c r="X27" s="17">
        <v>19.0</v>
      </c>
      <c r="Y27" s="19"/>
      <c r="Z27" s="17">
        <v>25.0</v>
      </c>
      <c r="AA27" s="17">
        <v>37.0</v>
      </c>
    </row>
    <row r="28" ht="14.25" customHeight="1">
      <c r="A28" s="17">
        <v>26.0</v>
      </c>
      <c r="B28" s="17">
        <v>52.0</v>
      </c>
      <c r="D28" s="17">
        <v>26.0</v>
      </c>
      <c r="E28" s="17">
        <v>52.0</v>
      </c>
      <c r="G28" s="17">
        <v>26.0</v>
      </c>
      <c r="H28" s="17">
        <v>56.0</v>
      </c>
      <c r="J28" s="17">
        <v>26.0</v>
      </c>
      <c r="K28" s="17">
        <v>17.0</v>
      </c>
      <c r="M28" s="18">
        <v>25.0</v>
      </c>
      <c r="N28" s="18">
        <v>6.0</v>
      </c>
      <c r="O28" s="18">
        <v>0.0</v>
      </c>
      <c r="P28" s="18">
        <v>8.0</v>
      </c>
      <c r="Q28" s="18">
        <v>7.0</v>
      </c>
      <c r="R28" s="18">
        <v>0.0</v>
      </c>
      <c r="S28" s="18">
        <v>1.0</v>
      </c>
      <c r="T28" s="18">
        <v>3.0</v>
      </c>
      <c r="U28" s="18">
        <v>5.0</v>
      </c>
      <c r="W28" s="17">
        <v>26.0</v>
      </c>
      <c r="X28" s="17">
        <v>13.0</v>
      </c>
      <c r="Y28" s="19"/>
      <c r="Z28" s="17">
        <v>26.0</v>
      </c>
      <c r="AA28" s="17">
        <v>5.0</v>
      </c>
    </row>
    <row r="29" ht="14.25" customHeight="1">
      <c r="A29" s="17">
        <v>27.0</v>
      </c>
      <c r="B29" s="17">
        <v>44.0</v>
      </c>
      <c r="D29" s="17">
        <v>27.0</v>
      </c>
      <c r="E29" s="17">
        <v>31.0</v>
      </c>
      <c r="G29" s="17">
        <v>27.0</v>
      </c>
      <c r="H29" s="17">
        <v>48.0</v>
      </c>
      <c r="J29" s="17">
        <v>27.0</v>
      </c>
      <c r="K29" s="17">
        <v>18.0</v>
      </c>
      <c r="M29" s="18">
        <v>26.0</v>
      </c>
      <c r="N29" s="18">
        <v>12.0</v>
      </c>
      <c r="O29" s="18">
        <v>1.0</v>
      </c>
      <c r="P29" s="18">
        <v>5.0</v>
      </c>
      <c r="Q29" s="18">
        <v>2.0</v>
      </c>
      <c r="R29" s="18">
        <v>15.0</v>
      </c>
      <c r="S29" s="18">
        <v>13.0</v>
      </c>
      <c r="T29" s="18">
        <v>5.0</v>
      </c>
      <c r="U29" s="18">
        <v>6.0</v>
      </c>
      <c r="W29" s="17">
        <v>27.0</v>
      </c>
      <c r="X29" s="17">
        <v>30.0</v>
      </c>
      <c r="Y29" s="19"/>
      <c r="Z29" s="17">
        <v>27.0</v>
      </c>
      <c r="AA29" s="17">
        <v>45.0</v>
      </c>
    </row>
    <row r="30" ht="14.25" customHeight="1">
      <c r="A30" s="17">
        <v>28.0</v>
      </c>
      <c r="B30" s="17">
        <v>36.0</v>
      </c>
      <c r="D30" s="17">
        <v>28.0</v>
      </c>
      <c r="E30" s="17">
        <v>37.0</v>
      </c>
      <c r="G30" s="17">
        <v>28.0</v>
      </c>
      <c r="H30" s="17">
        <v>40.0</v>
      </c>
      <c r="J30" s="17">
        <v>28.0</v>
      </c>
      <c r="K30" s="17">
        <v>19.0</v>
      </c>
      <c r="M30" s="18">
        <v>27.0</v>
      </c>
      <c r="N30" s="18">
        <v>11.0</v>
      </c>
      <c r="O30" s="18">
        <v>10.0</v>
      </c>
      <c r="P30" s="18">
        <v>14.0</v>
      </c>
      <c r="Q30" s="18">
        <v>12.0</v>
      </c>
      <c r="R30" s="18">
        <v>10.0</v>
      </c>
      <c r="S30" s="18">
        <v>14.0</v>
      </c>
      <c r="T30" s="18">
        <v>12.0</v>
      </c>
      <c r="U30" s="18">
        <v>11.0</v>
      </c>
      <c r="W30" s="17">
        <v>28.0</v>
      </c>
      <c r="X30" s="17">
        <v>6.0</v>
      </c>
      <c r="Y30" s="19"/>
      <c r="Z30" s="17">
        <v>28.0</v>
      </c>
      <c r="AA30" s="17">
        <v>13.0</v>
      </c>
    </row>
    <row r="31" ht="14.25" customHeight="1">
      <c r="A31" s="17">
        <v>29.0</v>
      </c>
      <c r="B31" s="17">
        <v>63.0</v>
      </c>
      <c r="D31" s="17">
        <v>29.0</v>
      </c>
      <c r="E31" s="17">
        <v>47.0</v>
      </c>
      <c r="G31" s="17">
        <v>29.0</v>
      </c>
      <c r="H31" s="17">
        <v>32.0</v>
      </c>
      <c r="J31" s="17">
        <v>29.0</v>
      </c>
      <c r="K31" s="17">
        <v>20.0</v>
      </c>
      <c r="M31" s="18">
        <v>28.0</v>
      </c>
      <c r="N31" s="18">
        <v>9.0</v>
      </c>
      <c r="O31" s="18">
        <v>6.0</v>
      </c>
      <c r="P31" s="18">
        <v>12.0</v>
      </c>
      <c r="Q31" s="18">
        <v>1.0</v>
      </c>
      <c r="R31" s="18">
        <v>3.0</v>
      </c>
      <c r="S31" s="18">
        <v>0.0</v>
      </c>
      <c r="T31" s="18">
        <v>2.0</v>
      </c>
      <c r="U31" s="18">
        <v>0.0</v>
      </c>
      <c r="W31" s="17">
        <v>29.0</v>
      </c>
      <c r="X31" s="17">
        <v>22.0</v>
      </c>
      <c r="Y31" s="19"/>
      <c r="Z31" s="17">
        <v>29.0</v>
      </c>
      <c r="AA31" s="17">
        <v>53.0</v>
      </c>
    </row>
    <row r="32" ht="14.25" customHeight="1">
      <c r="A32" s="17">
        <v>30.0</v>
      </c>
      <c r="B32" s="17">
        <v>55.0</v>
      </c>
      <c r="D32" s="17">
        <v>30.0</v>
      </c>
      <c r="E32" s="17">
        <v>55.0</v>
      </c>
      <c r="G32" s="17">
        <v>30.0</v>
      </c>
      <c r="H32" s="17">
        <v>24.0</v>
      </c>
      <c r="J32" s="17">
        <v>30.0</v>
      </c>
      <c r="K32" s="17">
        <v>21.0</v>
      </c>
      <c r="M32" s="18">
        <v>29.0</v>
      </c>
      <c r="N32" s="18">
        <v>5.0</v>
      </c>
      <c r="O32" s="18">
        <v>9.0</v>
      </c>
      <c r="P32" s="18">
        <v>11.0</v>
      </c>
      <c r="Q32" s="18">
        <v>10.0</v>
      </c>
      <c r="R32" s="18">
        <v>9.0</v>
      </c>
      <c r="S32" s="18">
        <v>11.0</v>
      </c>
      <c r="T32" s="18">
        <v>15.0</v>
      </c>
      <c r="U32" s="18">
        <v>14.0</v>
      </c>
      <c r="W32" s="17">
        <v>30.0</v>
      </c>
      <c r="X32" s="17">
        <v>11.0</v>
      </c>
      <c r="Y32" s="19"/>
      <c r="Z32" s="17">
        <v>30.0</v>
      </c>
      <c r="AA32" s="17">
        <v>21.0</v>
      </c>
    </row>
    <row r="33" ht="14.25" customHeight="1">
      <c r="A33" s="17">
        <v>31.0</v>
      </c>
      <c r="B33" s="17">
        <v>47.0</v>
      </c>
      <c r="D33" s="17">
        <v>31.0</v>
      </c>
      <c r="E33" s="17">
        <v>30.0</v>
      </c>
      <c r="G33" s="17">
        <v>31.0</v>
      </c>
      <c r="H33" s="17">
        <v>16.0</v>
      </c>
      <c r="J33" s="17">
        <v>31.0</v>
      </c>
      <c r="K33" s="17">
        <v>20.0</v>
      </c>
      <c r="M33" s="18">
        <v>30.0</v>
      </c>
      <c r="N33" s="18">
        <v>3.0</v>
      </c>
      <c r="O33" s="18">
        <v>11.0</v>
      </c>
      <c r="P33" s="18">
        <v>15.0</v>
      </c>
      <c r="Q33" s="18">
        <v>14.0</v>
      </c>
      <c r="R33" s="18">
        <v>8.0</v>
      </c>
      <c r="S33" s="18">
        <v>3.0</v>
      </c>
      <c r="T33" s="18">
        <v>8.0</v>
      </c>
      <c r="U33" s="18">
        <v>9.0</v>
      </c>
      <c r="W33" s="17">
        <v>31.0</v>
      </c>
      <c r="X33" s="17">
        <v>4.0</v>
      </c>
      <c r="Y33" s="19"/>
      <c r="Z33" s="17">
        <v>31.0</v>
      </c>
      <c r="AA33" s="17">
        <v>61.0</v>
      </c>
    </row>
    <row r="34" ht="14.25" customHeight="1">
      <c r="A34" s="17">
        <v>32.0</v>
      </c>
      <c r="B34" s="17">
        <v>39.0</v>
      </c>
      <c r="D34" s="17">
        <v>32.0</v>
      </c>
      <c r="E34" s="17">
        <v>40.0</v>
      </c>
      <c r="G34" s="17">
        <v>32.0</v>
      </c>
      <c r="H34" s="17">
        <v>8.0</v>
      </c>
      <c r="J34" s="17">
        <v>32.0</v>
      </c>
      <c r="K34" s="17">
        <v>21.0</v>
      </c>
      <c r="M34" s="18">
        <v>31.0</v>
      </c>
      <c r="N34" s="18">
        <v>8.0</v>
      </c>
      <c r="O34" s="18">
        <v>5.0</v>
      </c>
      <c r="P34" s="18">
        <v>1.0</v>
      </c>
      <c r="Q34" s="18">
        <v>9.0</v>
      </c>
      <c r="R34" s="18">
        <v>6.0</v>
      </c>
      <c r="S34" s="18">
        <v>8.0</v>
      </c>
      <c r="T34" s="18">
        <v>6.0</v>
      </c>
      <c r="U34" s="18">
        <v>2.0</v>
      </c>
      <c r="W34" s="17">
        <v>32.0</v>
      </c>
      <c r="X34" s="17">
        <v>25.0</v>
      </c>
      <c r="Y34" s="19"/>
      <c r="Z34" s="17">
        <v>32.0</v>
      </c>
      <c r="AA34" s="17">
        <v>29.0</v>
      </c>
    </row>
    <row r="35" ht="14.25" customHeight="1">
      <c r="A35" s="17">
        <v>33.0</v>
      </c>
      <c r="B35" s="17">
        <v>31.0</v>
      </c>
      <c r="D35" s="17">
        <v>33.0</v>
      </c>
      <c r="E35" s="17">
        <v>51.0</v>
      </c>
      <c r="G35" s="17">
        <v>33.0</v>
      </c>
      <c r="H35" s="17">
        <v>57.0</v>
      </c>
      <c r="J35" s="17">
        <v>33.0</v>
      </c>
      <c r="K35" s="17">
        <v>22.0</v>
      </c>
      <c r="M35" s="18">
        <v>32.0</v>
      </c>
      <c r="N35" s="18">
        <v>4.0</v>
      </c>
      <c r="O35" s="18">
        <v>0.0</v>
      </c>
      <c r="P35" s="18">
        <v>13.0</v>
      </c>
      <c r="Q35" s="18">
        <v>10.0</v>
      </c>
      <c r="R35" s="18">
        <v>4.0</v>
      </c>
      <c r="S35" s="18">
        <v>9.0</v>
      </c>
      <c r="T35" s="18">
        <v>1.0</v>
      </c>
      <c r="U35" s="18">
        <v>7.0</v>
      </c>
      <c r="Z35" s="17">
        <v>33.0</v>
      </c>
      <c r="AA35" s="17">
        <v>36.0</v>
      </c>
    </row>
    <row r="36" ht="14.25" customHeight="1">
      <c r="A36" s="17">
        <v>34.0</v>
      </c>
      <c r="B36" s="17">
        <v>23.0</v>
      </c>
      <c r="D36" s="17">
        <v>34.0</v>
      </c>
      <c r="E36" s="17">
        <v>45.0</v>
      </c>
      <c r="G36" s="17">
        <v>34.0</v>
      </c>
      <c r="H36" s="17">
        <v>49.0</v>
      </c>
      <c r="J36" s="17">
        <v>34.0</v>
      </c>
      <c r="K36" s="17">
        <v>23.0</v>
      </c>
      <c r="M36" s="18">
        <v>33.0</v>
      </c>
      <c r="N36" s="18">
        <v>1.0</v>
      </c>
      <c r="O36" s="18">
        <v>14.0</v>
      </c>
      <c r="P36" s="18">
        <v>6.0</v>
      </c>
      <c r="Q36" s="18">
        <v>6.0</v>
      </c>
      <c r="R36" s="18">
        <v>2.0</v>
      </c>
      <c r="S36" s="18">
        <v>14.0</v>
      </c>
      <c r="T36" s="18">
        <v>4.0</v>
      </c>
      <c r="U36" s="18">
        <v>11.0</v>
      </c>
      <c r="Z36" s="17">
        <v>34.0</v>
      </c>
      <c r="AA36" s="17">
        <v>4.0</v>
      </c>
    </row>
    <row r="37" ht="14.25" customHeight="1">
      <c r="A37" s="17">
        <v>35.0</v>
      </c>
      <c r="B37" s="17">
        <v>15.0</v>
      </c>
      <c r="D37" s="17">
        <v>35.0</v>
      </c>
      <c r="E37" s="17">
        <v>33.0</v>
      </c>
      <c r="G37" s="17">
        <v>35.0</v>
      </c>
      <c r="H37" s="17">
        <v>41.0</v>
      </c>
      <c r="J37" s="17">
        <v>35.0</v>
      </c>
      <c r="K37" s="17">
        <v>24.0</v>
      </c>
      <c r="M37" s="18">
        <v>34.0</v>
      </c>
      <c r="N37" s="18">
        <v>14.0</v>
      </c>
      <c r="O37" s="18">
        <v>7.0</v>
      </c>
      <c r="P37" s="18">
        <v>4.0</v>
      </c>
      <c r="Q37" s="18">
        <v>9.0</v>
      </c>
      <c r="R37" s="18">
        <v>1.0</v>
      </c>
      <c r="S37" s="18">
        <v>15.0</v>
      </c>
      <c r="T37" s="18">
        <v>11.0</v>
      </c>
      <c r="U37" s="18">
        <v>4.0</v>
      </c>
      <c r="Z37" s="17">
        <v>35.0</v>
      </c>
      <c r="AA37" s="17">
        <v>44.0</v>
      </c>
    </row>
    <row r="38" ht="14.25" customHeight="1">
      <c r="A38" s="17">
        <v>36.0</v>
      </c>
      <c r="B38" s="17">
        <v>7.0</v>
      </c>
      <c r="D38" s="17">
        <v>36.0</v>
      </c>
      <c r="E38" s="17">
        <v>48.0</v>
      </c>
      <c r="G38" s="17">
        <v>36.0</v>
      </c>
      <c r="H38" s="17">
        <v>33.0</v>
      </c>
      <c r="J38" s="17">
        <v>36.0</v>
      </c>
      <c r="K38" s="17">
        <v>25.0</v>
      </c>
      <c r="M38" s="18">
        <v>35.0</v>
      </c>
      <c r="N38" s="18">
        <v>8.0</v>
      </c>
      <c r="O38" s="18">
        <v>11.0</v>
      </c>
      <c r="P38" s="18">
        <v>9.0</v>
      </c>
      <c r="Q38" s="18">
        <v>0.0</v>
      </c>
      <c r="R38" s="18">
        <v>11.0</v>
      </c>
      <c r="S38" s="18">
        <v>5.0</v>
      </c>
      <c r="T38" s="18">
        <v>13.0</v>
      </c>
      <c r="U38" s="18">
        <v>1.0</v>
      </c>
      <c r="Z38" s="17">
        <v>36.0</v>
      </c>
      <c r="AA38" s="17">
        <v>12.0</v>
      </c>
    </row>
    <row r="39" ht="14.25" customHeight="1">
      <c r="A39" s="17">
        <v>37.0</v>
      </c>
      <c r="B39" s="17">
        <v>62.0</v>
      </c>
      <c r="D39" s="17">
        <v>37.0</v>
      </c>
      <c r="E39" s="17">
        <v>44.0</v>
      </c>
      <c r="G39" s="17">
        <v>37.0</v>
      </c>
      <c r="H39" s="17">
        <v>25.0</v>
      </c>
      <c r="J39" s="17">
        <v>37.0</v>
      </c>
      <c r="K39" s="17">
        <v>24.0</v>
      </c>
      <c r="M39" s="18">
        <v>36.0</v>
      </c>
      <c r="N39" s="18">
        <v>13.0</v>
      </c>
      <c r="O39" s="18">
        <v>10.0</v>
      </c>
      <c r="P39" s="18">
        <v>8.0</v>
      </c>
      <c r="Q39" s="18">
        <v>12.0</v>
      </c>
      <c r="R39" s="18">
        <v>10.0</v>
      </c>
      <c r="S39" s="18">
        <v>2.0</v>
      </c>
      <c r="T39" s="18">
        <v>12.0</v>
      </c>
      <c r="U39" s="18">
        <v>9.0</v>
      </c>
      <c r="Z39" s="17">
        <v>37.0</v>
      </c>
      <c r="AA39" s="17">
        <v>52.0</v>
      </c>
    </row>
    <row r="40" ht="14.25" customHeight="1">
      <c r="A40" s="17">
        <v>38.0</v>
      </c>
      <c r="B40" s="17">
        <v>54.0</v>
      </c>
      <c r="D40" s="17">
        <v>38.0</v>
      </c>
      <c r="E40" s="17">
        <v>49.0</v>
      </c>
      <c r="G40" s="17">
        <v>38.0</v>
      </c>
      <c r="H40" s="17">
        <v>17.0</v>
      </c>
      <c r="J40" s="17">
        <v>38.0</v>
      </c>
      <c r="K40" s="17">
        <v>25.0</v>
      </c>
      <c r="M40" s="18">
        <v>37.0</v>
      </c>
      <c r="N40" s="18">
        <v>6.0</v>
      </c>
      <c r="O40" s="18">
        <v>4.0</v>
      </c>
      <c r="P40" s="18">
        <v>15.0</v>
      </c>
      <c r="Q40" s="18">
        <v>11.0</v>
      </c>
      <c r="R40" s="18">
        <v>13.0</v>
      </c>
      <c r="S40" s="18">
        <v>8.0</v>
      </c>
      <c r="T40" s="18">
        <v>3.0</v>
      </c>
      <c r="U40" s="18">
        <v>12.0</v>
      </c>
      <c r="Z40" s="17">
        <v>38.0</v>
      </c>
      <c r="AA40" s="17">
        <v>20.0</v>
      </c>
    </row>
    <row r="41" ht="14.25" customHeight="1">
      <c r="A41" s="17">
        <v>39.0</v>
      </c>
      <c r="B41" s="17">
        <v>46.0</v>
      </c>
      <c r="D41" s="17">
        <v>39.0</v>
      </c>
      <c r="E41" s="17">
        <v>39.0</v>
      </c>
      <c r="G41" s="17">
        <v>39.0</v>
      </c>
      <c r="H41" s="17">
        <v>9.0</v>
      </c>
      <c r="J41" s="17">
        <v>39.0</v>
      </c>
      <c r="K41" s="17">
        <v>26.0</v>
      </c>
      <c r="M41" s="18">
        <v>38.0</v>
      </c>
      <c r="N41" s="18">
        <v>2.0</v>
      </c>
      <c r="O41" s="18">
        <v>13.0</v>
      </c>
      <c r="P41" s="18">
        <v>3.0</v>
      </c>
      <c r="Q41" s="18">
        <v>7.0</v>
      </c>
      <c r="R41" s="18">
        <v>7.0</v>
      </c>
      <c r="S41" s="18">
        <v>12.0</v>
      </c>
      <c r="T41" s="18">
        <v>7.0</v>
      </c>
      <c r="U41" s="18">
        <v>14.0</v>
      </c>
      <c r="Z41" s="17">
        <v>39.0</v>
      </c>
      <c r="AA41" s="17">
        <v>60.0</v>
      </c>
    </row>
    <row r="42" ht="14.25" customHeight="1">
      <c r="A42" s="17">
        <v>40.0</v>
      </c>
      <c r="B42" s="17">
        <v>38.0</v>
      </c>
      <c r="D42" s="17">
        <v>40.0</v>
      </c>
      <c r="E42" s="17">
        <v>56.0</v>
      </c>
      <c r="G42" s="17">
        <v>40.0</v>
      </c>
      <c r="H42" s="17">
        <v>1.0</v>
      </c>
      <c r="J42" s="17">
        <v>40.0</v>
      </c>
      <c r="K42" s="17">
        <v>27.0</v>
      </c>
      <c r="M42" s="18">
        <v>39.0</v>
      </c>
      <c r="N42" s="18">
        <v>11.0</v>
      </c>
      <c r="O42" s="18">
        <v>1.0</v>
      </c>
      <c r="P42" s="18">
        <v>0.0</v>
      </c>
      <c r="Q42" s="18">
        <v>13.0</v>
      </c>
      <c r="R42" s="18">
        <v>8.0</v>
      </c>
      <c r="S42" s="18">
        <v>3.0</v>
      </c>
      <c r="T42" s="18">
        <v>14.0</v>
      </c>
      <c r="U42" s="18">
        <v>2.0</v>
      </c>
      <c r="Z42" s="17">
        <v>40.0</v>
      </c>
      <c r="AA42" s="17">
        <v>28.0</v>
      </c>
    </row>
    <row r="43" ht="14.25" customHeight="1">
      <c r="A43" s="17">
        <v>41.0</v>
      </c>
      <c r="B43" s="17">
        <v>30.0</v>
      </c>
      <c r="D43" s="17">
        <v>41.0</v>
      </c>
      <c r="E43" s="17">
        <v>34.0</v>
      </c>
      <c r="G43" s="17">
        <v>41.0</v>
      </c>
      <c r="H43" s="17">
        <v>59.0</v>
      </c>
      <c r="J43" s="17">
        <v>41.0</v>
      </c>
      <c r="K43" s="17">
        <v>28.0</v>
      </c>
      <c r="M43" s="18">
        <v>40.0</v>
      </c>
      <c r="N43" s="18">
        <v>15.0</v>
      </c>
      <c r="O43" s="18">
        <v>5.0</v>
      </c>
      <c r="P43" s="18">
        <v>11.0</v>
      </c>
      <c r="Q43" s="18">
        <v>15.0</v>
      </c>
      <c r="R43" s="18">
        <v>15.0</v>
      </c>
      <c r="S43" s="18">
        <v>7.0</v>
      </c>
      <c r="T43" s="18">
        <v>10.0</v>
      </c>
      <c r="U43" s="18">
        <v>0.0</v>
      </c>
      <c r="Z43" s="17">
        <v>41.0</v>
      </c>
      <c r="AA43" s="17">
        <v>35.0</v>
      </c>
    </row>
    <row r="44" ht="14.25" customHeight="1">
      <c r="A44" s="17">
        <v>42.0</v>
      </c>
      <c r="B44" s="17">
        <v>22.0</v>
      </c>
      <c r="D44" s="17">
        <v>42.0</v>
      </c>
      <c r="E44" s="17">
        <v>53.0</v>
      </c>
      <c r="G44" s="17">
        <v>42.0</v>
      </c>
      <c r="H44" s="17">
        <v>51.0</v>
      </c>
      <c r="J44" s="17">
        <v>42.0</v>
      </c>
      <c r="K44" s="17">
        <v>29.0</v>
      </c>
      <c r="M44" s="18">
        <v>41.0</v>
      </c>
      <c r="N44" s="18">
        <v>12.0</v>
      </c>
      <c r="O44" s="18">
        <v>8.0</v>
      </c>
      <c r="P44" s="18">
        <v>1.0</v>
      </c>
      <c r="Q44" s="18">
        <v>1.0</v>
      </c>
      <c r="R44" s="18">
        <v>9.0</v>
      </c>
      <c r="S44" s="18">
        <v>0.0</v>
      </c>
      <c r="T44" s="18">
        <v>15.0</v>
      </c>
      <c r="U44" s="18">
        <v>6.0</v>
      </c>
      <c r="Z44" s="17">
        <v>42.0</v>
      </c>
      <c r="AA44" s="17">
        <v>3.0</v>
      </c>
    </row>
    <row r="45" ht="14.25" customHeight="1">
      <c r="A45" s="17">
        <v>43.0</v>
      </c>
      <c r="B45" s="17">
        <v>14.0</v>
      </c>
      <c r="D45" s="17">
        <v>43.0</v>
      </c>
      <c r="E45" s="17">
        <v>46.0</v>
      </c>
      <c r="G45" s="17">
        <v>43.0</v>
      </c>
      <c r="H45" s="17">
        <v>43.0</v>
      </c>
      <c r="J45" s="17">
        <v>43.0</v>
      </c>
      <c r="K45" s="17">
        <v>28.0</v>
      </c>
      <c r="M45" s="18">
        <v>42.0</v>
      </c>
      <c r="N45" s="18">
        <v>9.0</v>
      </c>
      <c r="O45" s="18">
        <v>12.0</v>
      </c>
      <c r="P45" s="18">
        <v>2.0</v>
      </c>
      <c r="Q45" s="18">
        <v>3.0</v>
      </c>
      <c r="R45" s="18">
        <v>12.0</v>
      </c>
      <c r="S45" s="18">
        <v>4.0</v>
      </c>
      <c r="T45" s="18">
        <v>6.0</v>
      </c>
      <c r="U45" s="18">
        <v>10.0</v>
      </c>
      <c r="Z45" s="17">
        <v>43.0</v>
      </c>
      <c r="AA45" s="17">
        <v>43.0</v>
      </c>
    </row>
    <row r="46" ht="14.25" customHeight="1">
      <c r="A46" s="17">
        <v>44.0</v>
      </c>
      <c r="B46" s="17">
        <v>6.0</v>
      </c>
      <c r="D46" s="17">
        <v>44.0</v>
      </c>
      <c r="E46" s="17">
        <v>42.0</v>
      </c>
      <c r="G46" s="17">
        <v>44.0</v>
      </c>
      <c r="H46" s="17">
        <v>35.0</v>
      </c>
      <c r="J46" s="17">
        <v>44.0</v>
      </c>
      <c r="K46" s="17">
        <v>29.0</v>
      </c>
      <c r="M46" s="18">
        <v>43.0</v>
      </c>
      <c r="N46" s="18">
        <v>7.0</v>
      </c>
      <c r="O46" s="18">
        <v>6.0</v>
      </c>
      <c r="P46" s="18">
        <v>12.0</v>
      </c>
      <c r="Q46" s="18">
        <v>14.0</v>
      </c>
      <c r="R46" s="18">
        <v>5.0</v>
      </c>
      <c r="S46" s="18">
        <v>10.0</v>
      </c>
      <c r="T46" s="18">
        <v>8.0</v>
      </c>
      <c r="U46" s="18">
        <v>13.0</v>
      </c>
      <c r="Z46" s="17">
        <v>44.0</v>
      </c>
      <c r="AA46" s="17">
        <v>11.0</v>
      </c>
    </row>
    <row r="47" ht="14.25" customHeight="1">
      <c r="A47" s="17">
        <v>45.0</v>
      </c>
      <c r="B47" s="17">
        <v>61.0</v>
      </c>
      <c r="D47" s="17">
        <v>45.0</v>
      </c>
      <c r="E47" s="17">
        <v>50.0</v>
      </c>
      <c r="G47" s="17">
        <v>45.0</v>
      </c>
      <c r="H47" s="17">
        <v>27.0</v>
      </c>
      <c r="J47" s="17">
        <v>45.0</v>
      </c>
      <c r="K47" s="17">
        <v>30.0</v>
      </c>
      <c r="M47" s="18">
        <v>44.0</v>
      </c>
      <c r="N47" s="18">
        <v>3.0</v>
      </c>
      <c r="O47" s="18">
        <v>9.0</v>
      </c>
      <c r="P47" s="18">
        <v>5.0</v>
      </c>
      <c r="Q47" s="18">
        <v>5.0</v>
      </c>
      <c r="R47" s="18">
        <v>6.0</v>
      </c>
      <c r="S47" s="18">
        <v>1.0</v>
      </c>
      <c r="T47" s="18">
        <v>0.0</v>
      </c>
      <c r="U47" s="18">
        <v>15.0</v>
      </c>
      <c r="Z47" s="17">
        <v>45.0</v>
      </c>
      <c r="AA47" s="17">
        <v>51.0</v>
      </c>
    </row>
    <row r="48" ht="14.25" customHeight="1">
      <c r="A48" s="17">
        <v>46.0</v>
      </c>
      <c r="B48" s="17">
        <v>53.0</v>
      </c>
      <c r="D48" s="17">
        <v>46.0</v>
      </c>
      <c r="E48" s="17">
        <v>36.0</v>
      </c>
      <c r="G48" s="17">
        <v>46.0</v>
      </c>
      <c r="H48" s="17">
        <v>19.0</v>
      </c>
      <c r="J48" s="17">
        <v>46.0</v>
      </c>
      <c r="K48" s="17">
        <v>31.0</v>
      </c>
      <c r="M48" s="18">
        <v>45.0</v>
      </c>
      <c r="N48" s="18">
        <v>10.0</v>
      </c>
      <c r="O48" s="18">
        <v>3.0</v>
      </c>
      <c r="P48" s="18">
        <v>10.0</v>
      </c>
      <c r="Q48" s="18">
        <v>2.0</v>
      </c>
      <c r="R48" s="18">
        <v>3.0</v>
      </c>
      <c r="S48" s="18">
        <v>13.0</v>
      </c>
      <c r="T48" s="18">
        <v>5.0</v>
      </c>
      <c r="U48" s="18">
        <v>3.0</v>
      </c>
      <c r="Z48" s="17">
        <v>46.0</v>
      </c>
      <c r="AA48" s="17">
        <v>19.0</v>
      </c>
    </row>
    <row r="49" ht="14.25" customHeight="1">
      <c r="A49" s="17">
        <v>47.0</v>
      </c>
      <c r="B49" s="17">
        <v>45.0</v>
      </c>
      <c r="D49" s="17">
        <v>47.0</v>
      </c>
      <c r="E49" s="17">
        <v>29.0</v>
      </c>
      <c r="G49" s="17">
        <v>47.0</v>
      </c>
      <c r="H49" s="17">
        <v>11.0</v>
      </c>
      <c r="J49" s="17">
        <v>47.0</v>
      </c>
      <c r="K49" s="17">
        <v>32.0</v>
      </c>
      <c r="M49" s="18">
        <v>46.0</v>
      </c>
      <c r="N49" s="18">
        <v>5.0</v>
      </c>
      <c r="O49" s="18">
        <v>2.0</v>
      </c>
      <c r="P49" s="18">
        <v>14.0</v>
      </c>
      <c r="Q49" s="18">
        <v>8.0</v>
      </c>
      <c r="R49" s="18">
        <v>0.0</v>
      </c>
      <c r="S49" s="18">
        <v>11.0</v>
      </c>
      <c r="T49" s="18">
        <v>9.0</v>
      </c>
      <c r="U49" s="18">
        <v>5.0</v>
      </c>
      <c r="Z49" s="17">
        <v>47.0</v>
      </c>
      <c r="AA49" s="17">
        <v>59.0</v>
      </c>
    </row>
    <row r="50" ht="14.25" customHeight="1">
      <c r="A50" s="17">
        <v>48.0</v>
      </c>
      <c r="B50" s="17">
        <v>37.0</v>
      </c>
      <c r="D50" s="17">
        <v>48.0</v>
      </c>
      <c r="E50" s="17">
        <v>32.0</v>
      </c>
      <c r="G50" s="17">
        <v>48.0</v>
      </c>
      <c r="H50" s="17">
        <v>3.0</v>
      </c>
      <c r="J50" s="17">
        <v>48.0</v>
      </c>
      <c r="K50" s="17">
        <v>1.0</v>
      </c>
      <c r="M50" s="18">
        <v>47.0</v>
      </c>
      <c r="N50" s="18">
        <v>0.0</v>
      </c>
      <c r="O50" s="18">
        <v>15.0</v>
      </c>
      <c r="P50" s="18">
        <v>7.0</v>
      </c>
      <c r="Q50" s="18">
        <v>4.0</v>
      </c>
      <c r="R50" s="18">
        <v>14.0</v>
      </c>
      <c r="S50" s="18">
        <v>6.0</v>
      </c>
      <c r="T50" s="18">
        <v>2.0</v>
      </c>
      <c r="U50" s="18">
        <v>8.0</v>
      </c>
      <c r="Z50" s="17">
        <v>48.0</v>
      </c>
      <c r="AA50" s="17">
        <v>27.0</v>
      </c>
    </row>
    <row r="51" ht="14.25" customHeight="1">
      <c r="A51" s="17">
        <v>49.0</v>
      </c>
      <c r="B51" s="17">
        <v>29.0</v>
      </c>
      <c r="G51" s="17">
        <v>49.0</v>
      </c>
      <c r="H51" s="17">
        <v>61.0</v>
      </c>
      <c r="M51" s="18">
        <v>48.0</v>
      </c>
      <c r="N51" s="18">
        <v>15.0</v>
      </c>
      <c r="O51" s="18">
        <v>13.0</v>
      </c>
      <c r="P51" s="18">
        <v>1.0</v>
      </c>
      <c r="Q51" s="18">
        <v>3.0</v>
      </c>
      <c r="R51" s="18">
        <v>11.0</v>
      </c>
      <c r="S51" s="18">
        <v>4.0</v>
      </c>
      <c r="T51" s="18">
        <v>6.0</v>
      </c>
      <c r="U51" s="18">
        <v>2.0</v>
      </c>
      <c r="Z51" s="17">
        <v>49.0</v>
      </c>
      <c r="AA51" s="17">
        <v>34.0</v>
      </c>
    </row>
    <row r="52" ht="14.25" customHeight="1">
      <c r="A52" s="17">
        <v>50.0</v>
      </c>
      <c r="B52" s="17">
        <v>21.0</v>
      </c>
      <c r="G52" s="17">
        <v>50.0</v>
      </c>
      <c r="H52" s="17">
        <v>53.0</v>
      </c>
      <c r="M52" s="18">
        <v>49.0</v>
      </c>
      <c r="N52" s="18">
        <v>12.0</v>
      </c>
      <c r="O52" s="18">
        <v>8.0</v>
      </c>
      <c r="P52" s="18">
        <v>10.0</v>
      </c>
      <c r="Q52" s="18">
        <v>15.0</v>
      </c>
      <c r="R52" s="18">
        <v>8.0</v>
      </c>
      <c r="S52" s="18">
        <v>3.0</v>
      </c>
      <c r="T52" s="18">
        <v>11.0</v>
      </c>
      <c r="U52" s="18">
        <v>1.0</v>
      </c>
      <c r="Z52" s="17">
        <v>50.0</v>
      </c>
      <c r="AA52" s="17">
        <v>2.0</v>
      </c>
    </row>
    <row r="53" ht="14.25" customHeight="1">
      <c r="A53" s="17">
        <v>51.0</v>
      </c>
      <c r="B53" s="17">
        <v>13.0</v>
      </c>
      <c r="G53" s="17">
        <v>51.0</v>
      </c>
      <c r="H53" s="17">
        <v>45.0</v>
      </c>
      <c r="M53" s="18">
        <v>50.0</v>
      </c>
      <c r="N53" s="18">
        <v>8.0</v>
      </c>
      <c r="O53" s="18">
        <v>10.0</v>
      </c>
      <c r="P53" s="18">
        <v>13.0</v>
      </c>
      <c r="Q53" s="18">
        <v>0.0</v>
      </c>
      <c r="R53" s="18">
        <v>12.0</v>
      </c>
      <c r="S53" s="18">
        <v>2.0</v>
      </c>
      <c r="T53" s="18">
        <v>13.0</v>
      </c>
      <c r="U53" s="18">
        <v>14.0</v>
      </c>
      <c r="Z53" s="17">
        <v>51.0</v>
      </c>
      <c r="AA53" s="17">
        <v>42.0</v>
      </c>
    </row>
    <row r="54" ht="14.25" customHeight="1">
      <c r="A54" s="17">
        <v>52.0</v>
      </c>
      <c r="B54" s="17">
        <v>5.0</v>
      </c>
      <c r="G54" s="17">
        <v>52.0</v>
      </c>
      <c r="H54" s="17">
        <v>37.0</v>
      </c>
      <c r="M54" s="18">
        <v>51.0</v>
      </c>
      <c r="N54" s="18">
        <v>2.0</v>
      </c>
      <c r="O54" s="18">
        <v>1.0</v>
      </c>
      <c r="P54" s="18">
        <v>0.0</v>
      </c>
      <c r="Q54" s="18">
        <v>6.0</v>
      </c>
      <c r="R54" s="18">
        <v>7.0</v>
      </c>
      <c r="S54" s="18">
        <v>12.0</v>
      </c>
      <c r="T54" s="18">
        <v>8.0</v>
      </c>
      <c r="U54" s="18">
        <v>7.0</v>
      </c>
      <c r="Z54" s="17">
        <v>52.0</v>
      </c>
      <c r="AA54" s="17">
        <v>10.0</v>
      </c>
    </row>
    <row r="55" ht="14.25" customHeight="1">
      <c r="A55" s="17">
        <v>53.0</v>
      </c>
      <c r="B55" s="17">
        <v>28.0</v>
      </c>
      <c r="G55" s="17">
        <v>53.0</v>
      </c>
      <c r="H55" s="17">
        <v>29.0</v>
      </c>
      <c r="M55" s="18">
        <v>52.0</v>
      </c>
      <c r="N55" s="18">
        <v>4.0</v>
      </c>
      <c r="O55" s="18">
        <v>3.0</v>
      </c>
      <c r="P55" s="18">
        <v>6.0</v>
      </c>
      <c r="Q55" s="18">
        <v>10.0</v>
      </c>
      <c r="R55" s="18">
        <v>1.0</v>
      </c>
      <c r="S55" s="18">
        <v>9.0</v>
      </c>
      <c r="T55" s="18">
        <v>1.0</v>
      </c>
      <c r="U55" s="18">
        <v>4.0</v>
      </c>
      <c r="Z55" s="17">
        <v>53.0</v>
      </c>
      <c r="AA55" s="17">
        <v>50.0</v>
      </c>
    </row>
    <row r="56" ht="14.25" customHeight="1">
      <c r="A56" s="17">
        <v>54.0</v>
      </c>
      <c r="B56" s="17">
        <v>20.0</v>
      </c>
      <c r="G56" s="17">
        <v>54.0</v>
      </c>
      <c r="H56" s="17">
        <v>21.0</v>
      </c>
      <c r="M56" s="18">
        <v>53.0</v>
      </c>
      <c r="N56" s="18">
        <v>9.0</v>
      </c>
      <c r="O56" s="18">
        <v>15.0</v>
      </c>
      <c r="P56" s="18">
        <v>9.0</v>
      </c>
      <c r="Q56" s="18">
        <v>1.0</v>
      </c>
      <c r="R56" s="18">
        <v>14.0</v>
      </c>
      <c r="S56" s="18">
        <v>5.0</v>
      </c>
      <c r="T56" s="18">
        <v>4.0</v>
      </c>
      <c r="U56" s="18">
        <v>10.0</v>
      </c>
      <c r="Z56" s="17">
        <v>54.0</v>
      </c>
      <c r="AA56" s="17">
        <v>18.0</v>
      </c>
    </row>
    <row r="57" ht="14.25" customHeight="1">
      <c r="A57" s="17">
        <v>55.0</v>
      </c>
      <c r="B57" s="17">
        <v>12.0</v>
      </c>
      <c r="G57" s="17">
        <v>55.0</v>
      </c>
      <c r="H57" s="17">
        <v>13.0</v>
      </c>
      <c r="M57" s="18">
        <v>54.0</v>
      </c>
      <c r="N57" s="18">
        <v>1.0</v>
      </c>
      <c r="O57" s="18">
        <v>4.0</v>
      </c>
      <c r="P57" s="18">
        <v>8.0</v>
      </c>
      <c r="Q57" s="18">
        <v>13.0</v>
      </c>
      <c r="R57" s="18">
        <v>2.0</v>
      </c>
      <c r="S57" s="18">
        <v>15.0</v>
      </c>
      <c r="T57" s="18">
        <v>10.0</v>
      </c>
      <c r="U57" s="18">
        <v>8.0</v>
      </c>
      <c r="Z57" s="17">
        <v>55.0</v>
      </c>
      <c r="AA57" s="17">
        <v>58.0</v>
      </c>
    </row>
    <row r="58" ht="14.25" customHeight="1">
      <c r="A58" s="17">
        <v>56.0</v>
      </c>
      <c r="B58" s="17">
        <v>4.0</v>
      </c>
      <c r="G58" s="17">
        <v>56.0</v>
      </c>
      <c r="H58" s="17">
        <v>5.0</v>
      </c>
      <c r="M58" s="18">
        <v>55.0</v>
      </c>
      <c r="N58" s="18">
        <v>7.0</v>
      </c>
      <c r="O58" s="18">
        <v>2.0</v>
      </c>
      <c r="P58" s="18">
        <v>7.0</v>
      </c>
      <c r="Q58" s="18">
        <v>8.0</v>
      </c>
      <c r="R58" s="18">
        <v>13.0</v>
      </c>
      <c r="S58" s="18">
        <v>10.0</v>
      </c>
      <c r="T58" s="18">
        <v>7.0</v>
      </c>
      <c r="U58" s="18">
        <v>13.0</v>
      </c>
      <c r="Z58" s="17">
        <v>56.0</v>
      </c>
      <c r="AA58" s="17">
        <v>26.0</v>
      </c>
    </row>
    <row r="59" ht="14.25" customHeight="1">
      <c r="A59" s="12"/>
      <c r="B59" s="12"/>
      <c r="G59" s="17">
        <v>57.0</v>
      </c>
      <c r="H59" s="17">
        <v>63.0</v>
      </c>
      <c r="M59" s="18">
        <v>56.0</v>
      </c>
      <c r="N59" s="18">
        <v>5.0</v>
      </c>
      <c r="O59" s="18">
        <v>11.0</v>
      </c>
      <c r="P59" s="18">
        <v>4.0</v>
      </c>
      <c r="Q59" s="18">
        <v>9.0</v>
      </c>
      <c r="R59" s="18">
        <v>6.0</v>
      </c>
      <c r="S59" s="18">
        <v>11.0</v>
      </c>
      <c r="T59" s="18">
        <v>9.0</v>
      </c>
      <c r="U59" s="18">
        <v>15.0</v>
      </c>
      <c r="Z59" s="17">
        <v>57.0</v>
      </c>
      <c r="AA59" s="17">
        <v>33.0</v>
      </c>
    </row>
    <row r="60" ht="14.25" customHeight="1">
      <c r="A60" s="12"/>
      <c r="B60" s="12"/>
      <c r="G60" s="17">
        <v>58.0</v>
      </c>
      <c r="H60" s="17">
        <v>55.0</v>
      </c>
      <c r="M60" s="18">
        <v>57.0</v>
      </c>
      <c r="N60" s="18">
        <v>11.0</v>
      </c>
      <c r="O60" s="18">
        <v>6.0</v>
      </c>
      <c r="P60" s="18">
        <v>15.0</v>
      </c>
      <c r="Q60" s="18">
        <v>4.0</v>
      </c>
      <c r="R60" s="18">
        <v>15.0</v>
      </c>
      <c r="S60" s="18">
        <v>14.0</v>
      </c>
      <c r="T60" s="18">
        <v>5.0</v>
      </c>
      <c r="U60" s="18">
        <v>12.0</v>
      </c>
      <c r="Z60" s="17">
        <v>58.0</v>
      </c>
      <c r="AA60" s="17">
        <v>1.0</v>
      </c>
    </row>
    <row r="61" ht="14.25" customHeight="1">
      <c r="A61" s="12"/>
      <c r="B61" s="12"/>
      <c r="G61" s="17">
        <v>59.0</v>
      </c>
      <c r="H61" s="17">
        <v>47.0</v>
      </c>
      <c r="M61" s="18">
        <v>58.0</v>
      </c>
      <c r="N61" s="18">
        <v>3.0</v>
      </c>
      <c r="O61" s="18">
        <v>7.0</v>
      </c>
      <c r="P61" s="18">
        <v>14.0</v>
      </c>
      <c r="Q61" s="18">
        <v>5.0</v>
      </c>
      <c r="R61" s="18">
        <v>0.0</v>
      </c>
      <c r="S61" s="18">
        <v>1.0</v>
      </c>
      <c r="T61" s="18">
        <v>0.0</v>
      </c>
      <c r="U61" s="18">
        <v>9.0</v>
      </c>
      <c r="Z61" s="17">
        <v>59.0</v>
      </c>
      <c r="AA61" s="17">
        <v>41.0</v>
      </c>
    </row>
    <row r="62" ht="14.25" customHeight="1">
      <c r="A62" s="12"/>
      <c r="B62" s="12"/>
      <c r="G62" s="17">
        <v>60.0</v>
      </c>
      <c r="H62" s="17">
        <v>39.0</v>
      </c>
      <c r="M62" s="18">
        <v>59.0</v>
      </c>
      <c r="N62" s="18">
        <v>14.0</v>
      </c>
      <c r="O62" s="18">
        <v>12.0</v>
      </c>
      <c r="P62" s="18">
        <v>3.0</v>
      </c>
      <c r="Q62" s="18">
        <v>11.0</v>
      </c>
      <c r="R62" s="18">
        <v>9.0</v>
      </c>
      <c r="S62" s="18">
        <v>7.0</v>
      </c>
      <c r="T62" s="18">
        <v>15.0</v>
      </c>
      <c r="U62" s="18">
        <v>0.0</v>
      </c>
      <c r="Z62" s="17">
        <v>60.0</v>
      </c>
      <c r="AA62" s="17">
        <v>9.0</v>
      </c>
    </row>
    <row r="63" ht="14.25" customHeight="1">
      <c r="A63" s="12"/>
      <c r="B63" s="12"/>
      <c r="G63" s="17">
        <v>61.0</v>
      </c>
      <c r="H63" s="17">
        <v>31.0</v>
      </c>
      <c r="M63" s="18">
        <v>60.0</v>
      </c>
      <c r="N63" s="18">
        <v>10.0</v>
      </c>
      <c r="O63" s="18">
        <v>0.0</v>
      </c>
      <c r="P63" s="18">
        <v>11.0</v>
      </c>
      <c r="Q63" s="18">
        <v>12.0</v>
      </c>
      <c r="R63" s="18">
        <v>10.0</v>
      </c>
      <c r="S63" s="18">
        <v>6.0</v>
      </c>
      <c r="T63" s="18">
        <v>14.0</v>
      </c>
      <c r="U63" s="18">
        <v>3.0</v>
      </c>
      <c r="Z63" s="17">
        <v>61.0</v>
      </c>
      <c r="AA63" s="17">
        <v>49.0</v>
      </c>
    </row>
    <row r="64" ht="14.25" customHeight="1">
      <c r="A64" s="12"/>
      <c r="B64" s="12"/>
      <c r="G64" s="17">
        <v>62.0</v>
      </c>
      <c r="H64" s="17">
        <v>23.0</v>
      </c>
      <c r="M64" s="18">
        <v>61.0</v>
      </c>
      <c r="N64" s="18">
        <v>0.0</v>
      </c>
      <c r="O64" s="18">
        <v>5.0</v>
      </c>
      <c r="P64" s="18">
        <v>5.0</v>
      </c>
      <c r="Q64" s="18">
        <v>7.0</v>
      </c>
      <c r="R64" s="18">
        <v>4.0</v>
      </c>
      <c r="S64" s="18">
        <v>0.0</v>
      </c>
      <c r="T64" s="18">
        <v>2.0</v>
      </c>
      <c r="U64" s="18">
        <v>5.0</v>
      </c>
      <c r="Z64" s="17">
        <v>62.0</v>
      </c>
      <c r="AA64" s="17">
        <v>17.0</v>
      </c>
    </row>
    <row r="65" ht="14.25" customHeight="1">
      <c r="A65" s="12"/>
      <c r="B65" s="12"/>
      <c r="G65" s="17">
        <v>63.0</v>
      </c>
      <c r="H65" s="17">
        <v>15.0</v>
      </c>
      <c r="M65" s="18">
        <v>62.0</v>
      </c>
      <c r="N65" s="18">
        <v>6.0</v>
      </c>
      <c r="O65" s="18">
        <v>14.0</v>
      </c>
      <c r="P65" s="18">
        <v>2.0</v>
      </c>
      <c r="Q65" s="18">
        <v>2.0</v>
      </c>
      <c r="R65" s="18">
        <v>5.0</v>
      </c>
      <c r="S65" s="18">
        <v>8.0</v>
      </c>
      <c r="T65" s="18">
        <v>3.0</v>
      </c>
      <c r="U65" s="18">
        <v>6.0</v>
      </c>
      <c r="Z65" s="17">
        <v>63.0</v>
      </c>
      <c r="AA65" s="17">
        <v>57.0</v>
      </c>
    </row>
    <row r="66" ht="14.25" customHeight="1">
      <c r="A66" s="12"/>
      <c r="B66" s="12"/>
      <c r="G66" s="17">
        <v>64.0</v>
      </c>
      <c r="H66" s="17">
        <v>7.0</v>
      </c>
      <c r="M66" s="18">
        <v>63.0</v>
      </c>
      <c r="N66" s="18">
        <v>13.0</v>
      </c>
      <c r="O66" s="18">
        <v>9.0</v>
      </c>
      <c r="P66" s="18">
        <v>12.0</v>
      </c>
      <c r="Q66" s="18">
        <v>14.0</v>
      </c>
      <c r="R66" s="18">
        <v>3.0</v>
      </c>
      <c r="S66" s="18">
        <v>13.0</v>
      </c>
      <c r="T66" s="18">
        <v>12.0</v>
      </c>
      <c r="U66" s="18">
        <v>11.0</v>
      </c>
      <c r="Z66" s="17">
        <v>64.0</v>
      </c>
      <c r="AA66" s="17">
        <v>25.0</v>
      </c>
    </row>
    <row r="67" ht="14.25" customHeight="1">
      <c r="A67" s="12"/>
      <c r="B67" s="12"/>
    </row>
    <row r="68" ht="14.25" customHeight="1">
      <c r="A68" s="12"/>
      <c r="B68" s="12"/>
    </row>
    <row r="69" ht="14.25" customHeight="1">
      <c r="A69" s="12"/>
      <c r="B69" s="12"/>
    </row>
    <row r="70" ht="14.25" customHeight="1">
      <c r="A70" s="12"/>
      <c r="B70" s="12"/>
    </row>
    <row r="71" ht="14.25" customHeight="1">
      <c r="A71" s="12"/>
      <c r="B71" s="12"/>
    </row>
    <row r="72" ht="14.25" customHeight="1">
      <c r="A72" s="12"/>
      <c r="B72" s="12"/>
    </row>
    <row r="73" ht="14.25" customHeight="1">
      <c r="A73" s="12"/>
      <c r="B73" s="12"/>
    </row>
    <row r="74" ht="14.25" customHeight="1">
      <c r="A74" s="12"/>
      <c r="B74" s="12"/>
    </row>
    <row r="75" ht="14.25" customHeight="1">
      <c r="A75" s="12"/>
      <c r="B75" s="12"/>
    </row>
    <row r="76" ht="14.25" customHeight="1">
      <c r="A76" s="12"/>
      <c r="B76" s="12"/>
    </row>
    <row r="77" ht="14.25" customHeight="1">
      <c r="A77" s="12"/>
      <c r="B77" s="12"/>
    </row>
    <row r="78" ht="14.25" customHeight="1">
      <c r="A78" s="12"/>
      <c r="B78" s="12"/>
    </row>
    <row r="79" ht="14.25" customHeight="1">
      <c r="A79" s="12"/>
      <c r="B79" s="12"/>
    </row>
    <row r="80" ht="14.25" customHeight="1">
      <c r="A80" s="12"/>
      <c r="B80" s="12"/>
    </row>
    <row r="81" ht="14.25" customHeight="1">
      <c r="A81" s="12"/>
      <c r="B81" s="12"/>
    </row>
    <row r="82" ht="14.25" customHeight="1">
      <c r="A82" s="12"/>
      <c r="B82" s="12"/>
    </row>
    <row r="83" ht="14.25" customHeight="1">
      <c r="A83" s="12"/>
      <c r="B83" s="12"/>
    </row>
    <row r="84" ht="14.25" customHeight="1">
      <c r="A84" s="12"/>
      <c r="B84" s="12"/>
    </row>
    <row r="85" ht="14.25" customHeight="1">
      <c r="A85" s="12"/>
      <c r="B85" s="12"/>
    </row>
    <row r="86" ht="14.25" customHeight="1">
      <c r="A86" s="12"/>
      <c r="B86" s="12"/>
    </row>
    <row r="87" ht="14.25" customHeight="1">
      <c r="A87" s="12"/>
      <c r="B87" s="12"/>
    </row>
    <row r="88" ht="14.25" customHeight="1">
      <c r="A88" s="12"/>
      <c r="B88" s="12"/>
    </row>
    <row r="89" ht="14.25" customHeight="1">
      <c r="A89" s="12"/>
      <c r="B89" s="12"/>
    </row>
    <row r="90" ht="14.25" customHeight="1">
      <c r="A90" s="12"/>
      <c r="B90" s="12"/>
    </row>
    <row r="91" ht="14.25" customHeight="1">
      <c r="A91" s="12"/>
      <c r="B91" s="12"/>
    </row>
    <row r="92" ht="14.25" customHeight="1">
      <c r="A92" s="12"/>
      <c r="B92" s="12"/>
    </row>
    <row r="93" ht="14.25" customHeight="1">
      <c r="A93" s="12"/>
      <c r="B93" s="12"/>
    </row>
    <row r="94" ht="14.25" customHeight="1">
      <c r="A94" s="12"/>
      <c r="B94" s="12"/>
    </row>
    <row r="95" ht="14.25" customHeight="1">
      <c r="A95" s="12"/>
      <c r="B95" s="12"/>
    </row>
    <row r="96" ht="14.25" customHeight="1">
      <c r="A96" s="12"/>
      <c r="B96" s="12"/>
    </row>
    <row r="97" ht="14.25" customHeight="1">
      <c r="A97" s="12"/>
      <c r="B97" s="12"/>
    </row>
    <row r="98" ht="14.25" customHeight="1">
      <c r="A98" s="12"/>
      <c r="B98" s="12"/>
    </row>
    <row r="99" ht="14.25" customHeight="1">
      <c r="A99" s="12"/>
      <c r="B99" s="12"/>
    </row>
    <row r="100" ht="14.25" customHeight="1">
      <c r="A100" s="12"/>
      <c r="B100" s="12"/>
    </row>
    <row r="101" ht="14.25" customHeight="1">
      <c r="A101" s="12"/>
      <c r="B101" s="12"/>
    </row>
    <row r="102" ht="14.25" customHeight="1">
      <c r="A102" s="12"/>
      <c r="B102" s="12"/>
    </row>
    <row r="103" ht="14.25" customHeight="1">
      <c r="A103" s="12"/>
      <c r="B103" s="12"/>
    </row>
    <row r="104" ht="14.25" customHeight="1">
      <c r="A104" s="12"/>
      <c r="B104" s="12"/>
    </row>
    <row r="105" ht="14.25" customHeight="1">
      <c r="A105" s="12"/>
      <c r="B105" s="12"/>
    </row>
    <row r="106" ht="14.25" customHeight="1">
      <c r="A106" s="12"/>
      <c r="B106" s="12"/>
    </row>
    <row r="107" ht="14.25" customHeight="1">
      <c r="A107" s="12"/>
      <c r="B107" s="12"/>
    </row>
    <row r="108" ht="14.25" customHeight="1">
      <c r="A108" s="12"/>
      <c r="B108" s="12"/>
    </row>
    <row r="109" ht="14.25" customHeight="1">
      <c r="A109" s="12"/>
      <c r="B109" s="12"/>
    </row>
    <row r="110" ht="14.25" customHeight="1">
      <c r="A110" s="12"/>
      <c r="B110" s="12"/>
    </row>
    <row r="111" ht="14.25" customHeight="1">
      <c r="A111" s="12"/>
      <c r="B111" s="12"/>
    </row>
    <row r="112" ht="14.25" customHeight="1">
      <c r="A112" s="12"/>
      <c r="B112" s="12"/>
    </row>
    <row r="113" ht="14.25" customHeight="1">
      <c r="A113" s="12"/>
      <c r="B113" s="12"/>
    </row>
    <row r="114" ht="14.25" customHeight="1">
      <c r="A114" s="12"/>
      <c r="B114" s="12"/>
    </row>
    <row r="115" ht="14.25" customHeight="1">
      <c r="A115" s="12"/>
      <c r="B115" s="12"/>
    </row>
    <row r="116" ht="14.25" customHeight="1">
      <c r="A116" s="12"/>
      <c r="B116" s="12"/>
    </row>
    <row r="117" ht="14.25" customHeight="1">
      <c r="A117" s="12"/>
      <c r="B117" s="12"/>
    </row>
    <row r="118" ht="14.25" customHeight="1">
      <c r="A118" s="12"/>
      <c r="B118" s="12"/>
    </row>
    <row r="119" ht="14.25" customHeight="1">
      <c r="A119" s="12"/>
      <c r="B119" s="12"/>
    </row>
    <row r="120" ht="14.25" customHeight="1">
      <c r="A120" s="12"/>
      <c r="B120" s="12"/>
    </row>
    <row r="121" ht="14.25" customHeight="1">
      <c r="A121" s="12"/>
      <c r="B121" s="12"/>
    </row>
    <row r="122" ht="14.25" customHeight="1">
      <c r="A122" s="12"/>
      <c r="B122" s="12"/>
    </row>
    <row r="123" ht="14.25" customHeight="1">
      <c r="A123" s="12"/>
      <c r="B123" s="12"/>
    </row>
    <row r="124" ht="14.25" customHeight="1">
      <c r="A124" s="12"/>
      <c r="B124" s="12"/>
    </row>
    <row r="125" ht="14.25" customHeight="1">
      <c r="A125" s="12"/>
      <c r="B125" s="12"/>
    </row>
    <row r="126" ht="14.25" customHeight="1">
      <c r="A126" s="12"/>
      <c r="B126" s="12"/>
    </row>
    <row r="127" ht="14.25" customHeight="1">
      <c r="A127" s="12"/>
      <c r="B127" s="12"/>
    </row>
    <row r="128" ht="14.25" customHeight="1">
      <c r="A128" s="12"/>
      <c r="B128" s="12"/>
    </row>
    <row r="129" ht="14.25" customHeight="1">
      <c r="A129" s="12"/>
      <c r="B129" s="12"/>
    </row>
    <row r="130" ht="14.25" customHeight="1">
      <c r="A130" s="12"/>
      <c r="B130" s="12"/>
    </row>
    <row r="131" ht="14.25" customHeight="1">
      <c r="A131" s="12"/>
      <c r="B131" s="12"/>
    </row>
    <row r="132" ht="14.25" customHeight="1">
      <c r="A132" s="12"/>
      <c r="B132" s="12"/>
    </row>
    <row r="133" ht="14.25" customHeight="1">
      <c r="A133" s="12"/>
      <c r="B133" s="12"/>
    </row>
    <row r="134" ht="14.25" customHeight="1">
      <c r="A134" s="12"/>
      <c r="B134" s="12"/>
    </row>
    <row r="135" ht="14.25" customHeight="1">
      <c r="A135" s="12"/>
      <c r="B135" s="12"/>
    </row>
    <row r="136" ht="14.25" customHeight="1">
      <c r="A136" s="12"/>
      <c r="B136" s="12"/>
    </row>
    <row r="137" ht="14.25" customHeight="1">
      <c r="A137" s="12"/>
      <c r="B137" s="12"/>
    </row>
    <row r="138" ht="14.25" customHeight="1">
      <c r="A138" s="12"/>
      <c r="B138" s="12"/>
    </row>
    <row r="139" ht="14.25" customHeight="1">
      <c r="A139" s="12"/>
      <c r="B139" s="12"/>
    </row>
    <row r="140" ht="14.25" customHeight="1">
      <c r="A140" s="12"/>
      <c r="B140" s="12"/>
    </row>
    <row r="141" ht="14.25" customHeight="1">
      <c r="A141" s="12"/>
      <c r="B141" s="12"/>
    </row>
    <row r="142" ht="14.25" customHeight="1">
      <c r="A142" s="12"/>
      <c r="B142" s="12"/>
    </row>
    <row r="143" ht="14.25" customHeight="1">
      <c r="A143" s="12"/>
      <c r="B143" s="12"/>
    </row>
    <row r="144" ht="14.25" customHeight="1">
      <c r="A144" s="12"/>
      <c r="B144" s="12"/>
    </row>
    <row r="145" ht="14.25" customHeight="1">
      <c r="A145" s="12"/>
      <c r="B145" s="12"/>
    </row>
    <row r="146" ht="14.25" customHeight="1">
      <c r="A146" s="12"/>
      <c r="B146" s="12"/>
    </row>
    <row r="147" ht="14.25" customHeight="1">
      <c r="A147" s="12"/>
      <c r="B147" s="12"/>
    </row>
    <row r="148" ht="14.25" customHeight="1">
      <c r="A148" s="12"/>
      <c r="B148" s="12"/>
    </row>
    <row r="149" ht="14.25" customHeight="1">
      <c r="A149" s="12"/>
      <c r="B149" s="12"/>
    </row>
    <row r="150" ht="14.25" customHeight="1">
      <c r="A150" s="12"/>
      <c r="B150" s="12"/>
    </row>
    <row r="151" ht="14.25" customHeight="1">
      <c r="A151" s="12"/>
      <c r="B151" s="12"/>
    </row>
    <row r="152" ht="14.25" customHeight="1">
      <c r="A152" s="12"/>
      <c r="B152" s="12"/>
    </row>
    <row r="153" ht="14.25" customHeight="1">
      <c r="A153" s="12"/>
      <c r="B153" s="12"/>
    </row>
    <row r="154" ht="14.25" customHeight="1">
      <c r="A154" s="12"/>
      <c r="B154" s="12"/>
    </row>
    <row r="155" ht="14.25" customHeight="1">
      <c r="A155" s="12"/>
      <c r="B155" s="12"/>
    </row>
    <row r="156" ht="14.25" customHeight="1">
      <c r="A156" s="12"/>
      <c r="B156" s="12"/>
    </row>
    <row r="157" ht="14.25" customHeight="1">
      <c r="A157" s="12"/>
      <c r="B157" s="12"/>
    </row>
    <row r="158" ht="14.25" customHeight="1">
      <c r="A158" s="12"/>
      <c r="B158" s="12"/>
    </row>
    <row r="159" ht="14.25" customHeight="1">
      <c r="A159" s="12"/>
      <c r="B159" s="12"/>
    </row>
    <row r="160" ht="14.25" customHeight="1">
      <c r="A160" s="12"/>
      <c r="B160" s="12"/>
    </row>
    <row r="161" ht="14.25" customHeight="1">
      <c r="A161" s="12"/>
      <c r="B161" s="12"/>
    </row>
    <row r="162" ht="14.25" customHeight="1">
      <c r="A162" s="12"/>
      <c r="B162" s="12"/>
    </row>
    <row r="163" ht="14.25" customHeight="1">
      <c r="A163" s="12"/>
      <c r="B163" s="12"/>
    </row>
    <row r="164" ht="14.25" customHeight="1">
      <c r="A164" s="12"/>
      <c r="B164" s="12"/>
    </row>
    <row r="165" ht="14.25" customHeight="1">
      <c r="A165" s="12"/>
      <c r="B165" s="12"/>
    </row>
    <row r="166" ht="14.25" customHeight="1">
      <c r="A166" s="12"/>
      <c r="B166" s="12"/>
    </row>
    <row r="167" ht="14.25" customHeight="1">
      <c r="A167" s="12"/>
      <c r="B167" s="12"/>
    </row>
    <row r="168" ht="14.25" customHeight="1">
      <c r="A168" s="12"/>
      <c r="B168" s="12"/>
    </row>
    <row r="169" ht="14.25" customHeight="1">
      <c r="A169" s="12"/>
      <c r="B169" s="12"/>
    </row>
    <row r="170" ht="14.25" customHeight="1">
      <c r="A170" s="12"/>
      <c r="B170" s="12"/>
    </row>
    <row r="171" ht="14.25" customHeight="1">
      <c r="A171" s="12"/>
      <c r="B171" s="12"/>
    </row>
    <row r="172" ht="14.25" customHeight="1">
      <c r="A172" s="12"/>
      <c r="B172" s="12"/>
    </row>
    <row r="173" ht="14.25" customHeight="1">
      <c r="A173" s="12"/>
      <c r="B173" s="12"/>
    </row>
    <row r="174" ht="14.25" customHeight="1">
      <c r="A174" s="12"/>
      <c r="B174" s="12"/>
    </row>
    <row r="175" ht="14.25" customHeight="1">
      <c r="A175" s="12"/>
      <c r="B175" s="12"/>
    </row>
    <row r="176" ht="14.25" customHeight="1">
      <c r="A176" s="12"/>
      <c r="B176" s="12"/>
    </row>
    <row r="177" ht="14.25" customHeight="1">
      <c r="A177" s="12"/>
      <c r="B177" s="12"/>
    </row>
    <row r="178" ht="14.25" customHeight="1">
      <c r="A178" s="12"/>
      <c r="B178" s="12"/>
    </row>
    <row r="179" ht="14.25" customHeight="1">
      <c r="A179" s="12"/>
      <c r="B179" s="12"/>
    </row>
    <row r="180" ht="14.25" customHeight="1">
      <c r="A180" s="12"/>
      <c r="B180" s="12"/>
    </row>
    <row r="181" ht="14.25" customHeight="1">
      <c r="A181" s="12"/>
      <c r="B181" s="12"/>
    </row>
    <row r="182" ht="14.25" customHeight="1">
      <c r="A182" s="12"/>
      <c r="B182" s="12"/>
    </row>
    <row r="183" ht="14.25" customHeight="1">
      <c r="A183" s="12"/>
      <c r="B183" s="12"/>
    </row>
    <row r="184" ht="14.25" customHeight="1">
      <c r="A184" s="12"/>
      <c r="B184" s="12"/>
    </row>
    <row r="185" ht="14.25" customHeight="1">
      <c r="A185" s="12"/>
      <c r="B185" s="12"/>
    </row>
    <row r="186" ht="14.25" customHeight="1">
      <c r="A186" s="12"/>
      <c r="B186" s="12"/>
    </row>
    <row r="187" ht="14.25" customHeight="1">
      <c r="A187" s="12"/>
      <c r="B187" s="12"/>
    </row>
    <row r="188" ht="14.25" customHeight="1">
      <c r="A188" s="12"/>
      <c r="B188" s="12"/>
    </row>
    <row r="189" ht="14.25" customHeight="1">
      <c r="A189" s="12"/>
      <c r="B189" s="12"/>
    </row>
    <row r="190" ht="14.25" customHeight="1">
      <c r="A190" s="12"/>
      <c r="B190" s="12"/>
    </row>
    <row r="191" ht="14.25" customHeight="1">
      <c r="A191" s="12"/>
      <c r="B191" s="12"/>
    </row>
    <row r="192" ht="14.25" customHeight="1">
      <c r="A192" s="12"/>
      <c r="B192" s="12"/>
    </row>
    <row r="193" ht="14.25" customHeight="1">
      <c r="A193" s="12"/>
      <c r="B193" s="12"/>
    </row>
    <row r="194" ht="14.25" customHeight="1">
      <c r="A194" s="12"/>
      <c r="B194" s="12"/>
    </row>
    <row r="195" ht="14.25" customHeight="1">
      <c r="A195" s="12"/>
      <c r="B195" s="12"/>
    </row>
    <row r="196" ht="14.25" customHeight="1">
      <c r="A196" s="12"/>
      <c r="B196" s="12"/>
    </row>
    <row r="197" ht="14.25" customHeight="1">
      <c r="A197" s="12"/>
      <c r="B197" s="12"/>
    </row>
    <row r="198" ht="14.25" customHeight="1">
      <c r="A198" s="12"/>
      <c r="B198" s="12"/>
    </row>
    <row r="199" ht="14.25" customHeight="1">
      <c r="A199" s="12"/>
      <c r="B199" s="12"/>
    </row>
    <row r="200" ht="14.25" customHeight="1">
      <c r="A200" s="12"/>
      <c r="B200" s="12"/>
    </row>
    <row r="201" ht="14.25" customHeight="1">
      <c r="A201" s="12"/>
      <c r="B201" s="12"/>
    </row>
    <row r="202" ht="14.25" customHeight="1">
      <c r="A202" s="12"/>
      <c r="B202" s="12"/>
    </row>
    <row r="203" ht="14.25" customHeight="1">
      <c r="A203" s="12"/>
      <c r="B203" s="12"/>
    </row>
    <row r="204" ht="14.25" customHeight="1">
      <c r="A204" s="12"/>
      <c r="B204" s="12"/>
    </row>
    <row r="205" ht="14.25" customHeight="1">
      <c r="A205" s="12"/>
      <c r="B205" s="12"/>
    </row>
    <row r="206" ht="14.25" customHeight="1">
      <c r="A206" s="12"/>
      <c r="B206" s="12"/>
    </row>
    <row r="207" ht="14.25" customHeight="1">
      <c r="A207" s="12"/>
      <c r="B207" s="12"/>
    </row>
    <row r="208" ht="14.25" customHeight="1">
      <c r="A208" s="12"/>
      <c r="B208" s="12"/>
    </row>
    <row r="209" ht="14.25" customHeight="1">
      <c r="A209" s="12"/>
      <c r="B209" s="12"/>
    </row>
    <row r="210" ht="14.25" customHeight="1">
      <c r="A210" s="12"/>
      <c r="B210" s="12"/>
    </row>
    <row r="211" ht="14.25" customHeight="1">
      <c r="A211" s="12"/>
      <c r="B211" s="12"/>
    </row>
    <row r="212" ht="14.25" customHeight="1">
      <c r="A212" s="12"/>
      <c r="B212" s="12"/>
    </row>
    <row r="213" ht="14.25" customHeight="1">
      <c r="A213" s="12"/>
      <c r="B213" s="12"/>
    </row>
    <row r="214" ht="14.25" customHeight="1">
      <c r="A214" s="12"/>
      <c r="B214" s="12"/>
    </row>
    <row r="215" ht="14.25" customHeight="1">
      <c r="A215" s="12"/>
      <c r="B215" s="12"/>
    </row>
    <row r="216" ht="14.25" customHeight="1">
      <c r="A216" s="12"/>
      <c r="B216" s="12"/>
    </row>
    <row r="217" ht="14.25" customHeight="1">
      <c r="A217" s="12"/>
      <c r="B217" s="12"/>
    </row>
    <row r="218" ht="14.25" customHeight="1">
      <c r="A218" s="12"/>
      <c r="B218" s="12"/>
    </row>
    <row r="219" ht="14.25" customHeight="1">
      <c r="A219" s="12"/>
      <c r="B219" s="12"/>
    </row>
    <row r="220" ht="14.25" customHeight="1">
      <c r="A220" s="12"/>
      <c r="B220" s="12"/>
    </row>
    <row r="221" ht="14.25" customHeight="1">
      <c r="A221" s="12"/>
      <c r="B221" s="12"/>
    </row>
    <row r="222" ht="14.25" customHeight="1">
      <c r="A222" s="12"/>
      <c r="B222" s="12"/>
    </row>
    <row r="223" ht="14.25" customHeight="1">
      <c r="A223" s="12"/>
      <c r="B223" s="12"/>
    </row>
    <row r="224" ht="14.25" customHeight="1">
      <c r="A224" s="12"/>
      <c r="B224" s="12"/>
    </row>
    <row r="225" ht="14.25" customHeight="1">
      <c r="A225" s="12"/>
      <c r="B225" s="12"/>
    </row>
    <row r="226" ht="14.25" customHeight="1">
      <c r="A226" s="12"/>
      <c r="B226" s="12"/>
    </row>
    <row r="227" ht="14.25" customHeight="1">
      <c r="A227" s="12"/>
      <c r="B227" s="12"/>
    </row>
    <row r="228" ht="14.25" customHeight="1">
      <c r="A228" s="12"/>
      <c r="B228" s="12"/>
    </row>
    <row r="229" ht="14.25" customHeight="1">
      <c r="A229" s="12"/>
      <c r="B229" s="12"/>
    </row>
    <row r="230" ht="14.25" customHeight="1">
      <c r="A230" s="12"/>
      <c r="B230" s="12"/>
    </row>
    <row r="231" ht="14.25" customHeight="1">
      <c r="A231" s="12"/>
      <c r="B231" s="12"/>
    </row>
    <row r="232" ht="14.25" customHeight="1">
      <c r="A232" s="12"/>
      <c r="B232" s="12"/>
    </row>
    <row r="233" ht="14.25" customHeight="1">
      <c r="A233" s="12"/>
      <c r="B233" s="12"/>
    </row>
    <row r="234" ht="14.25" customHeight="1">
      <c r="A234" s="12"/>
      <c r="B234" s="12"/>
    </row>
    <row r="235" ht="14.25" customHeight="1">
      <c r="A235" s="12"/>
      <c r="B235" s="12"/>
    </row>
    <row r="236" ht="14.25" customHeight="1">
      <c r="A236" s="12"/>
      <c r="B236" s="12"/>
    </row>
    <row r="237" ht="14.25" customHeight="1">
      <c r="A237" s="12"/>
      <c r="B237" s="12"/>
    </row>
    <row r="238" ht="14.25" customHeight="1">
      <c r="A238" s="12"/>
      <c r="B238" s="12"/>
    </row>
    <row r="239" ht="14.25" customHeight="1">
      <c r="A239" s="12"/>
      <c r="B239" s="12"/>
    </row>
    <row r="240" ht="14.25" customHeight="1">
      <c r="A240" s="12"/>
      <c r="B240" s="12"/>
    </row>
    <row r="241" ht="14.25" customHeight="1">
      <c r="A241" s="12"/>
      <c r="B241" s="12"/>
    </row>
    <row r="242" ht="14.25" customHeight="1">
      <c r="A242" s="12"/>
      <c r="B242" s="12"/>
    </row>
    <row r="243" ht="14.25" customHeight="1">
      <c r="A243" s="12"/>
      <c r="B243" s="12"/>
    </row>
    <row r="244" ht="14.25" customHeight="1">
      <c r="A244" s="12"/>
      <c r="B244" s="12"/>
    </row>
    <row r="245" ht="14.25" customHeight="1">
      <c r="A245" s="12"/>
      <c r="B245" s="12"/>
    </row>
    <row r="246" ht="14.25" customHeight="1">
      <c r="A246" s="12"/>
      <c r="B246" s="12"/>
    </row>
    <row r="247" ht="14.25" customHeight="1">
      <c r="A247" s="12"/>
      <c r="B247" s="12"/>
    </row>
    <row r="248" ht="14.25" customHeight="1">
      <c r="A248" s="12"/>
      <c r="B248" s="12"/>
    </row>
    <row r="249" ht="14.25" customHeight="1">
      <c r="A249" s="12"/>
      <c r="B249" s="12"/>
    </row>
    <row r="250" ht="14.25" customHeight="1">
      <c r="A250" s="12"/>
      <c r="B250" s="12"/>
    </row>
    <row r="251" ht="14.25" customHeight="1">
      <c r="A251" s="12"/>
      <c r="B251" s="12"/>
    </row>
    <row r="252" ht="14.25" customHeight="1">
      <c r="A252" s="12"/>
      <c r="B252" s="12"/>
    </row>
    <row r="253" ht="14.25" customHeight="1">
      <c r="A253" s="12"/>
      <c r="B253" s="12"/>
    </row>
    <row r="254" ht="14.25" customHeight="1">
      <c r="A254" s="12"/>
      <c r="B254" s="12"/>
    </row>
    <row r="255" ht="14.25" customHeight="1">
      <c r="A255" s="12"/>
      <c r="B255" s="12"/>
    </row>
    <row r="256" ht="14.25" customHeight="1">
      <c r="A256" s="12"/>
      <c r="B256" s="12"/>
    </row>
    <row r="257" ht="14.25" customHeight="1">
      <c r="A257" s="12"/>
      <c r="B257" s="12"/>
    </row>
    <row r="258" ht="14.25" customHeight="1">
      <c r="A258" s="12"/>
      <c r="B258" s="12"/>
    </row>
    <row r="259" ht="14.25" customHeight="1">
      <c r="A259" s="12"/>
      <c r="B259" s="12"/>
    </row>
    <row r="260" ht="14.25" customHeight="1">
      <c r="A260" s="12"/>
      <c r="B260" s="12"/>
    </row>
    <row r="261" ht="14.25" customHeight="1">
      <c r="A261" s="12"/>
      <c r="B261" s="12"/>
    </row>
    <row r="262" ht="14.25" customHeight="1">
      <c r="A262" s="12"/>
      <c r="B262" s="12"/>
    </row>
    <row r="263" ht="14.25" customHeight="1">
      <c r="A263" s="12"/>
      <c r="B263" s="12"/>
    </row>
    <row r="264" ht="14.25" customHeight="1">
      <c r="A264" s="12"/>
      <c r="B264" s="12"/>
    </row>
    <row r="265" ht="14.25" customHeight="1">
      <c r="A265" s="12"/>
      <c r="B265" s="12"/>
    </row>
    <row r="266" ht="14.25" customHeight="1">
      <c r="A266" s="12"/>
      <c r="B266" s="12"/>
    </row>
    <row r="267" ht="14.25" customHeight="1">
      <c r="A267" s="12"/>
      <c r="B267" s="12"/>
    </row>
    <row r="268" ht="14.25" customHeight="1">
      <c r="A268" s="12"/>
      <c r="B268" s="12"/>
    </row>
    <row r="269" ht="14.25" customHeight="1">
      <c r="A269" s="12"/>
      <c r="B269" s="12"/>
    </row>
    <row r="270" ht="14.25" customHeight="1">
      <c r="A270" s="12"/>
      <c r="B270" s="12"/>
    </row>
    <row r="271" ht="14.25" customHeight="1">
      <c r="A271" s="12"/>
      <c r="B271" s="12"/>
    </row>
    <row r="272" ht="14.25" customHeight="1">
      <c r="A272" s="12"/>
      <c r="B272" s="12"/>
    </row>
    <row r="273" ht="14.25" customHeight="1">
      <c r="A273" s="12"/>
      <c r="B273" s="12"/>
    </row>
    <row r="274" ht="14.25" customHeight="1">
      <c r="A274" s="12"/>
      <c r="B274" s="12"/>
    </row>
    <row r="275" ht="14.25" customHeight="1">
      <c r="A275" s="12"/>
      <c r="B275" s="12"/>
    </row>
    <row r="276" ht="14.25" customHeight="1">
      <c r="A276" s="12"/>
      <c r="B276" s="12"/>
    </row>
    <row r="277" ht="14.25" customHeight="1">
      <c r="A277" s="12"/>
      <c r="B277" s="12"/>
    </row>
    <row r="278" ht="14.25" customHeight="1">
      <c r="A278" s="12"/>
      <c r="B278" s="12"/>
    </row>
    <row r="279" ht="14.25" customHeight="1">
      <c r="A279" s="12"/>
      <c r="B279" s="12"/>
    </row>
    <row r="280" ht="14.25" customHeight="1">
      <c r="A280" s="12"/>
      <c r="B280" s="12"/>
    </row>
    <row r="281" ht="14.25" customHeight="1">
      <c r="A281" s="12"/>
      <c r="B281" s="12"/>
    </row>
    <row r="282" ht="14.25" customHeight="1">
      <c r="A282" s="12"/>
      <c r="B282" s="12"/>
    </row>
    <row r="283" ht="14.25" customHeight="1">
      <c r="A283" s="12"/>
      <c r="B283" s="12"/>
    </row>
    <row r="284" ht="14.25" customHeight="1">
      <c r="A284" s="12"/>
      <c r="B284" s="12"/>
    </row>
    <row r="285" ht="14.25" customHeight="1">
      <c r="A285" s="12"/>
      <c r="B285" s="12"/>
    </row>
    <row r="286" ht="14.25" customHeight="1">
      <c r="A286" s="12"/>
      <c r="B286" s="12"/>
    </row>
    <row r="287" ht="14.25" customHeight="1">
      <c r="A287" s="12"/>
      <c r="B287" s="12"/>
    </row>
    <row r="288" ht="14.25" customHeight="1">
      <c r="A288" s="12"/>
      <c r="B288" s="12"/>
    </row>
    <row r="289" ht="14.25" customHeight="1">
      <c r="A289" s="12"/>
      <c r="B289" s="12"/>
    </row>
    <row r="290" ht="14.25" customHeight="1">
      <c r="A290" s="12"/>
      <c r="B290" s="12"/>
    </row>
    <row r="291" ht="14.25" customHeight="1">
      <c r="A291" s="12"/>
      <c r="B291" s="12"/>
    </row>
    <row r="292" ht="14.25" customHeight="1">
      <c r="A292" s="12"/>
      <c r="B292" s="12"/>
    </row>
    <row r="293" ht="14.25" customHeight="1">
      <c r="A293" s="12"/>
      <c r="B293" s="12"/>
    </row>
    <row r="294" ht="14.25" customHeight="1">
      <c r="A294" s="12"/>
      <c r="B294" s="12"/>
    </row>
    <row r="295" ht="14.25" customHeight="1">
      <c r="A295" s="12"/>
      <c r="B295" s="12"/>
    </row>
    <row r="296" ht="14.25" customHeight="1">
      <c r="A296" s="12"/>
      <c r="B296" s="12"/>
    </row>
    <row r="297" ht="14.25" customHeight="1">
      <c r="A297" s="12"/>
      <c r="B297" s="12"/>
    </row>
    <row r="298" ht="14.25" customHeight="1">
      <c r="A298" s="12"/>
      <c r="B298" s="12"/>
    </row>
    <row r="299" ht="14.25" customHeight="1">
      <c r="A299" s="12"/>
      <c r="B299" s="12"/>
    </row>
    <row r="300" ht="14.25" customHeight="1">
      <c r="A300" s="12"/>
      <c r="B300" s="12"/>
    </row>
    <row r="301" ht="14.25" customHeight="1">
      <c r="A301" s="12"/>
      <c r="B301" s="12"/>
    </row>
    <row r="302" ht="14.25" customHeight="1">
      <c r="A302" s="12"/>
      <c r="B302" s="12"/>
    </row>
    <row r="303" ht="14.25" customHeight="1">
      <c r="A303" s="12"/>
      <c r="B303" s="12"/>
    </row>
    <row r="304" ht="14.25" customHeight="1">
      <c r="A304" s="12"/>
      <c r="B304" s="12"/>
    </row>
    <row r="305" ht="14.25" customHeight="1">
      <c r="A305" s="12"/>
      <c r="B305" s="12"/>
    </row>
    <row r="306" ht="14.25" customHeight="1">
      <c r="A306" s="12"/>
      <c r="B306" s="12"/>
    </row>
    <row r="307" ht="14.25" customHeight="1">
      <c r="A307" s="12"/>
      <c r="B307" s="12"/>
    </row>
    <row r="308" ht="14.25" customHeight="1">
      <c r="A308" s="12"/>
      <c r="B308" s="12"/>
    </row>
    <row r="309" ht="14.25" customHeight="1">
      <c r="A309" s="12"/>
      <c r="B309" s="12"/>
    </row>
    <row r="310" ht="14.25" customHeight="1">
      <c r="A310" s="12"/>
      <c r="B310" s="12"/>
    </row>
    <row r="311" ht="14.25" customHeight="1">
      <c r="A311" s="12"/>
      <c r="B311" s="12"/>
    </row>
    <row r="312" ht="14.25" customHeight="1">
      <c r="A312" s="12"/>
      <c r="B312" s="12"/>
    </row>
    <row r="313" ht="14.25" customHeight="1">
      <c r="A313" s="12"/>
      <c r="B313" s="12"/>
    </row>
    <row r="314" ht="14.25" customHeight="1">
      <c r="A314" s="12"/>
      <c r="B314" s="12"/>
    </row>
    <row r="315" ht="14.25" customHeight="1">
      <c r="A315" s="12"/>
      <c r="B315" s="12"/>
    </row>
    <row r="316" ht="14.25" customHeight="1">
      <c r="A316" s="12"/>
      <c r="B316" s="12"/>
    </row>
    <row r="317" ht="14.25" customHeight="1">
      <c r="A317" s="12"/>
      <c r="B317" s="12"/>
    </row>
    <row r="318" ht="14.25" customHeight="1">
      <c r="A318" s="12"/>
      <c r="B318" s="12"/>
    </row>
    <row r="319" ht="14.25" customHeight="1">
      <c r="A319" s="12"/>
      <c r="B319" s="12"/>
    </row>
    <row r="320" ht="14.25" customHeight="1">
      <c r="A320" s="12"/>
      <c r="B320" s="12"/>
    </row>
    <row r="321" ht="14.25" customHeight="1">
      <c r="A321" s="12"/>
      <c r="B321" s="12"/>
    </row>
    <row r="322" ht="14.25" customHeight="1">
      <c r="A322" s="12"/>
      <c r="B322" s="12"/>
    </row>
    <row r="323" ht="14.25" customHeight="1">
      <c r="A323" s="12"/>
      <c r="B323" s="12"/>
    </row>
    <row r="324" ht="14.25" customHeight="1">
      <c r="A324" s="12"/>
      <c r="B324" s="12"/>
    </row>
    <row r="325" ht="14.25" customHeight="1">
      <c r="A325" s="12"/>
      <c r="B325" s="12"/>
    </row>
    <row r="326" ht="14.25" customHeight="1">
      <c r="A326" s="12"/>
      <c r="B326" s="12"/>
    </row>
    <row r="327" ht="14.25" customHeight="1">
      <c r="A327" s="12"/>
      <c r="B327" s="12"/>
    </row>
    <row r="328" ht="14.25" customHeight="1">
      <c r="A328" s="12"/>
      <c r="B328" s="12"/>
    </row>
    <row r="329" ht="14.25" customHeight="1">
      <c r="A329" s="12"/>
      <c r="B329" s="12"/>
    </row>
    <row r="330" ht="14.25" customHeight="1">
      <c r="A330" s="12"/>
      <c r="B330" s="12"/>
    </row>
    <row r="331" ht="14.25" customHeight="1">
      <c r="A331" s="12"/>
      <c r="B331" s="12"/>
    </row>
    <row r="332" ht="14.25" customHeight="1">
      <c r="A332" s="12"/>
      <c r="B332" s="12"/>
    </row>
    <row r="333" ht="14.25" customHeight="1">
      <c r="A333" s="12"/>
      <c r="B333" s="12"/>
    </row>
    <row r="334" ht="14.25" customHeight="1">
      <c r="A334" s="12"/>
      <c r="B334" s="12"/>
    </row>
    <row r="335" ht="14.25" customHeight="1">
      <c r="A335" s="12"/>
      <c r="B335" s="12"/>
    </row>
    <row r="336" ht="14.25" customHeight="1">
      <c r="A336" s="12"/>
      <c r="B336" s="12"/>
    </row>
    <row r="337" ht="14.25" customHeight="1">
      <c r="A337" s="12"/>
      <c r="B337" s="12"/>
    </row>
    <row r="338" ht="14.25" customHeight="1">
      <c r="A338" s="12"/>
      <c r="B338" s="12"/>
    </row>
    <row r="339" ht="14.25" customHeight="1">
      <c r="A339" s="12"/>
      <c r="B339" s="12"/>
    </row>
    <row r="340" ht="14.25" customHeight="1">
      <c r="A340" s="12"/>
      <c r="B340" s="12"/>
    </row>
    <row r="341" ht="14.25" customHeight="1">
      <c r="A341" s="12"/>
      <c r="B341" s="12"/>
    </row>
    <row r="342" ht="14.25" customHeight="1">
      <c r="A342" s="12"/>
      <c r="B342" s="12"/>
    </row>
    <row r="343" ht="14.25" customHeight="1">
      <c r="A343" s="12"/>
      <c r="B343" s="12"/>
    </row>
    <row r="344" ht="14.25" customHeight="1">
      <c r="A344" s="12"/>
      <c r="B344" s="12"/>
    </row>
    <row r="345" ht="14.25" customHeight="1">
      <c r="A345" s="12"/>
      <c r="B345" s="12"/>
    </row>
    <row r="346" ht="14.25" customHeight="1">
      <c r="A346" s="12"/>
      <c r="B346" s="12"/>
    </row>
    <row r="347" ht="14.25" customHeight="1">
      <c r="A347" s="12"/>
      <c r="B347" s="12"/>
    </row>
    <row r="348" ht="14.25" customHeight="1">
      <c r="A348" s="12"/>
      <c r="B348" s="12"/>
    </row>
    <row r="349" ht="14.25" customHeight="1">
      <c r="A349" s="12"/>
      <c r="B349" s="12"/>
    </row>
    <row r="350" ht="14.25" customHeight="1">
      <c r="A350" s="12"/>
      <c r="B350" s="12"/>
    </row>
    <row r="351" ht="14.25" customHeight="1">
      <c r="A351" s="12"/>
      <c r="B351" s="12"/>
    </row>
    <row r="352" ht="14.25" customHeight="1">
      <c r="A352" s="12"/>
      <c r="B352" s="12"/>
    </row>
    <row r="353" ht="14.25" customHeight="1">
      <c r="A353" s="12"/>
      <c r="B353" s="12"/>
    </row>
    <row r="354" ht="14.25" customHeight="1">
      <c r="A354" s="12"/>
      <c r="B354" s="12"/>
    </row>
    <row r="355" ht="14.25" customHeight="1">
      <c r="A355" s="12"/>
      <c r="B355" s="12"/>
    </row>
    <row r="356" ht="14.25" customHeight="1">
      <c r="A356" s="12"/>
      <c r="B356" s="12"/>
    </row>
    <row r="357" ht="14.25" customHeight="1">
      <c r="A357" s="12"/>
      <c r="B357" s="12"/>
    </row>
    <row r="358" ht="14.25" customHeight="1">
      <c r="A358" s="12"/>
      <c r="B358" s="12"/>
    </row>
    <row r="359" ht="14.25" customHeight="1">
      <c r="A359" s="12"/>
      <c r="B359" s="12"/>
    </row>
    <row r="360" ht="14.25" customHeight="1">
      <c r="A360" s="12"/>
      <c r="B360" s="12"/>
    </row>
    <row r="361" ht="14.25" customHeight="1">
      <c r="A361" s="12"/>
      <c r="B361" s="12"/>
    </row>
    <row r="362" ht="14.25" customHeight="1">
      <c r="A362" s="12"/>
      <c r="B362" s="12"/>
    </row>
    <row r="363" ht="14.25" customHeight="1">
      <c r="A363" s="12"/>
      <c r="B363" s="12"/>
    </row>
    <row r="364" ht="14.25" customHeight="1">
      <c r="A364" s="12"/>
      <c r="B364" s="12"/>
    </row>
    <row r="365" ht="14.25" customHeight="1">
      <c r="A365" s="12"/>
      <c r="B365" s="12"/>
    </row>
    <row r="366" ht="14.25" customHeight="1">
      <c r="A366" s="12"/>
      <c r="B366" s="12"/>
    </row>
    <row r="367" ht="14.25" customHeight="1">
      <c r="A367" s="12"/>
      <c r="B367" s="12"/>
    </row>
    <row r="368" ht="14.25" customHeight="1">
      <c r="A368" s="12"/>
      <c r="B368" s="12"/>
    </row>
    <row r="369" ht="14.25" customHeight="1">
      <c r="A369" s="12"/>
      <c r="B369" s="12"/>
    </row>
    <row r="370" ht="14.25" customHeight="1">
      <c r="A370" s="12"/>
      <c r="B370" s="12"/>
    </row>
    <row r="371" ht="14.25" customHeight="1">
      <c r="A371" s="12"/>
      <c r="B371" s="12"/>
    </row>
    <row r="372" ht="14.25" customHeight="1">
      <c r="A372" s="12"/>
      <c r="B372" s="12"/>
    </row>
    <row r="373" ht="14.25" customHeight="1">
      <c r="A373" s="12"/>
      <c r="B373" s="12"/>
    </row>
    <row r="374" ht="14.25" customHeight="1">
      <c r="A374" s="12"/>
      <c r="B374" s="12"/>
    </row>
    <row r="375" ht="14.25" customHeight="1">
      <c r="A375" s="12"/>
      <c r="B375" s="12"/>
    </row>
    <row r="376" ht="14.25" customHeight="1">
      <c r="A376" s="12"/>
      <c r="B376" s="12"/>
    </row>
    <row r="377" ht="14.25" customHeight="1">
      <c r="A377" s="12"/>
      <c r="B377" s="12"/>
    </row>
    <row r="378" ht="14.25" customHeight="1">
      <c r="A378" s="12"/>
      <c r="B378" s="12"/>
    </row>
    <row r="379" ht="14.25" customHeight="1">
      <c r="A379" s="12"/>
      <c r="B379" s="12"/>
    </row>
    <row r="380" ht="14.25" customHeight="1">
      <c r="A380" s="12"/>
      <c r="B380" s="12"/>
    </row>
    <row r="381" ht="14.25" customHeight="1">
      <c r="A381" s="12"/>
      <c r="B381" s="12"/>
    </row>
    <row r="382" ht="14.25" customHeight="1">
      <c r="A382" s="12"/>
      <c r="B382" s="12"/>
    </row>
    <row r="383" ht="14.25" customHeight="1">
      <c r="A383" s="12"/>
      <c r="B383" s="12"/>
    </row>
    <row r="384" ht="14.25" customHeight="1">
      <c r="A384" s="12"/>
      <c r="B384" s="12"/>
    </row>
    <row r="385" ht="14.25" customHeight="1">
      <c r="A385" s="12"/>
      <c r="B385" s="12"/>
    </row>
    <row r="386" ht="14.25" customHeight="1">
      <c r="A386" s="12"/>
      <c r="B386" s="12"/>
    </row>
    <row r="387" ht="14.25" customHeight="1">
      <c r="A387" s="12"/>
      <c r="B387" s="12"/>
    </row>
    <row r="388" ht="14.25" customHeight="1">
      <c r="A388" s="12"/>
      <c r="B388" s="12"/>
    </row>
    <row r="389" ht="14.25" customHeight="1">
      <c r="A389" s="12"/>
      <c r="B389" s="12"/>
    </row>
    <row r="390" ht="14.25" customHeight="1">
      <c r="A390" s="12"/>
      <c r="B390" s="12"/>
    </row>
    <row r="391" ht="14.25" customHeight="1">
      <c r="A391" s="12"/>
      <c r="B391" s="12"/>
    </row>
    <row r="392" ht="14.25" customHeight="1">
      <c r="A392" s="12"/>
      <c r="B392" s="12"/>
    </row>
    <row r="393" ht="14.25" customHeight="1">
      <c r="A393" s="12"/>
      <c r="B393" s="12"/>
    </row>
    <row r="394" ht="14.25" customHeight="1">
      <c r="A394" s="12"/>
      <c r="B394" s="12"/>
    </row>
    <row r="395" ht="14.25" customHeight="1">
      <c r="A395" s="12"/>
      <c r="B395" s="12"/>
    </row>
    <row r="396" ht="14.25" customHeight="1">
      <c r="A396" s="12"/>
      <c r="B396" s="12"/>
    </row>
    <row r="397" ht="14.25" customHeight="1">
      <c r="A397" s="12"/>
      <c r="B397" s="12"/>
    </row>
    <row r="398" ht="14.25" customHeight="1">
      <c r="A398" s="12"/>
      <c r="B398" s="12"/>
    </row>
    <row r="399" ht="14.25" customHeight="1">
      <c r="A399" s="12"/>
      <c r="B399" s="12"/>
    </row>
    <row r="400" ht="14.25" customHeight="1">
      <c r="A400" s="12"/>
      <c r="B400" s="12"/>
    </row>
    <row r="401" ht="14.25" customHeight="1">
      <c r="A401" s="12"/>
      <c r="B401" s="12"/>
    </row>
    <row r="402" ht="14.25" customHeight="1">
      <c r="A402" s="12"/>
      <c r="B402" s="12"/>
    </row>
    <row r="403" ht="14.25" customHeight="1">
      <c r="A403" s="12"/>
      <c r="B403" s="12"/>
    </row>
    <row r="404" ht="14.25" customHeight="1">
      <c r="A404" s="12"/>
      <c r="B404" s="12"/>
    </row>
    <row r="405" ht="14.25" customHeight="1">
      <c r="A405" s="12"/>
      <c r="B405" s="12"/>
    </row>
    <row r="406" ht="14.25" customHeight="1">
      <c r="A406" s="12"/>
      <c r="B406" s="12"/>
    </row>
    <row r="407" ht="14.25" customHeight="1">
      <c r="A407" s="12"/>
      <c r="B407" s="12"/>
    </row>
    <row r="408" ht="14.25" customHeight="1">
      <c r="A408" s="12"/>
      <c r="B408" s="12"/>
    </row>
    <row r="409" ht="14.25" customHeight="1">
      <c r="A409" s="12"/>
      <c r="B409" s="12"/>
    </row>
    <row r="410" ht="14.25" customHeight="1">
      <c r="A410" s="12"/>
      <c r="B410" s="12"/>
    </row>
    <row r="411" ht="14.25" customHeight="1">
      <c r="A411" s="12"/>
      <c r="B411" s="12"/>
    </row>
    <row r="412" ht="14.25" customHeight="1">
      <c r="A412" s="12"/>
      <c r="B412" s="12"/>
    </row>
    <row r="413" ht="14.25" customHeight="1">
      <c r="A413" s="12"/>
      <c r="B413" s="12"/>
    </row>
    <row r="414" ht="14.25" customHeight="1">
      <c r="A414" s="12"/>
      <c r="B414" s="12"/>
    </row>
    <row r="415" ht="14.25" customHeight="1">
      <c r="A415" s="12"/>
      <c r="B415" s="12"/>
    </row>
    <row r="416" ht="14.25" customHeight="1">
      <c r="A416" s="12"/>
      <c r="B416" s="12"/>
    </row>
    <row r="417" ht="14.25" customHeight="1">
      <c r="A417" s="12"/>
      <c r="B417" s="12"/>
    </row>
    <row r="418" ht="14.25" customHeight="1">
      <c r="A418" s="12"/>
      <c r="B418" s="12"/>
    </row>
    <row r="419" ht="14.25" customHeight="1">
      <c r="A419" s="12"/>
      <c r="B419" s="12"/>
    </row>
    <row r="420" ht="14.25" customHeight="1">
      <c r="A420" s="12"/>
      <c r="B420" s="12"/>
    </row>
    <row r="421" ht="14.25" customHeight="1">
      <c r="A421" s="12"/>
      <c r="B421" s="12"/>
    </row>
    <row r="422" ht="14.25" customHeight="1">
      <c r="A422" s="12"/>
      <c r="B422" s="12"/>
    </row>
    <row r="423" ht="14.25" customHeight="1">
      <c r="A423" s="12"/>
      <c r="B423" s="12"/>
    </row>
    <row r="424" ht="14.25" customHeight="1">
      <c r="A424" s="12"/>
      <c r="B424" s="12"/>
    </row>
    <row r="425" ht="14.25" customHeight="1">
      <c r="A425" s="12"/>
      <c r="B425" s="12"/>
    </row>
    <row r="426" ht="14.25" customHeight="1">
      <c r="A426" s="12"/>
      <c r="B426" s="12"/>
    </row>
    <row r="427" ht="14.25" customHeight="1">
      <c r="A427" s="12"/>
      <c r="B427" s="12"/>
    </row>
    <row r="428" ht="14.25" customHeight="1">
      <c r="A428" s="12"/>
      <c r="B428" s="12"/>
    </row>
    <row r="429" ht="14.25" customHeight="1">
      <c r="A429" s="12"/>
      <c r="B429" s="12"/>
    </row>
    <row r="430" ht="14.25" customHeight="1">
      <c r="A430" s="12"/>
      <c r="B430" s="12"/>
    </row>
    <row r="431" ht="14.25" customHeight="1">
      <c r="A431" s="12"/>
      <c r="B431" s="12"/>
    </row>
    <row r="432" ht="14.25" customHeight="1">
      <c r="A432" s="12"/>
      <c r="B432" s="12"/>
    </row>
    <row r="433" ht="14.25" customHeight="1">
      <c r="A433" s="12"/>
      <c r="B433" s="12"/>
    </row>
    <row r="434" ht="14.25" customHeight="1">
      <c r="A434" s="12"/>
      <c r="B434" s="12"/>
    </row>
    <row r="435" ht="14.25" customHeight="1">
      <c r="A435" s="12"/>
      <c r="B435" s="12"/>
    </row>
    <row r="436" ht="14.25" customHeight="1">
      <c r="A436" s="12"/>
      <c r="B436" s="12"/>
    </row>
    <row r="437" ht="14.25" customHeight="1">
      <c r="A437" s="12"/>
      <c r="B437" s="12"/>
    </row>
    <row r="438" ht="14.25" customHeight="1">
      <c r="A438" s="12"/>
      <c r="B438" s="12"/>
    </row>
    <row r="439" ht="14.25" customHeight="1">
      <c r="A439" s="12"/>
      <c r="B439" s="12"/>
    </row>
    <row r="440" ht="14.25" customHeight="1">
      <c r="A440" s="12"/>
      <c r="B440" s="12"/>
    </row>
    <row r="441" ht="14.25" customHeight="1">
      <c r="A441" s="12"/>
      <c r="B441" s="12"/>
    </row>
    <row r="442" ht="14.25" customHeight="1">
      <c r="A442" s="12"/>
      <c r="B442" s="12"/>
    </row>
    <row r="443" ht="14.25" customHeight="1">
      <c r="A443" s="12"/>
      <c r="B443" s="12"/>
    </row>
    <row r="444" ht="14.25" customHeight="1">
      <c r="A444" s="12"/>
      <c r="B444" s="12"/>
    </row>
    <row r="445" ht="14.25" customHeight="1">
      <c r="A445" s="12"/>
      <c r="B445" s="12"/>
    </row>
    <row r="446" ht="14.25" customHeight="1">
      <c r="A446" s="12"/>
      <c r="B446" s="12"/>
    </row>
    <row r="447" ht="14.25" customHeight="1">
      <c r="A447" s="12"/>
      <c r="B447" s="12"/>
    </row>
    <row r="448" ht="14.25" customHeight="1">
      <c r="A448" s="12"/>
      <c r="B448" s="12"/>
    </row>
    <row r="449" ht="14.25" customHeight="1">
      <c r="A449" s="12"/>
      <c r="B449" s="12"/>
    </row>
    <row r="450" ht="14.25" customHeight="1">
      <c r="A450" s="12"/>
      <c r="B450" s="12"/>
    </row>
    <row r="451" ht="14.25" customHeight="1">
      <c r="A451" s="12"/>
      <c r="B451" s="12"/>
    </row>
    <row r="452" ht="14.25" customHeight="1">
      <c r="A452" s="12"/>
      <c r="B452" s="12"/>
    </row>
    <row r="453" ht="14.25" customHeight="1">
      <c r="A453" s="12"/>
      <c r="B453" s="12"/>
    </row>
    <row r="454" ht="14.25" customHeight="1">
      <c r="A454" s="12"/>
      <c r="B454" s="12"/>
    </row>
    <row r="455" ht="14.25" customHeight="1">
      <c r="A455" s="12"/>
      <c r="B455" s="12"/>
    </row>
    <row r="456" ht="14.25" customHeight="1">
      <c r="A456" s="12"/>
      <c r="B456" s="12"/>
    </row>
    <row r="457" ht="14.25" customHeight="1">
      <c r="A457" s="12"/>
      <c r="B457" s="12"/>
    </row>
    <row r="458" ht="14.25" customHeight="1">
      <c r="A458" s="12"/>
      <c r="B458" s="12"/>
    </row>
    <row r="459" ht="14.25" customHeight="1">
      <c r="A459" s="12"/>
      <c r="B459" s="12"/>
    </row>
    <row r="460" ht="14.25" customHeight="1">
      <c r="A460" s="12"/>
      <c r="B460" s="12"/>
    </row>
    <row r="461" ht="14.25" customHeight="1">
      <c r="A461" s="12"/>
      <c r="B461" s="12"/>
    </row>
    <row r="462" ht="14.25" customHeight="1">
      <c r="A462" s="12"/>
      <c r="B462" s="12"/>
    </row>
    <row r="463" ht="14.25" customHeight="1">
      <c r="A463" s="12"/>
      <c r="B463" s="12"/>
    </row>
    <row r="464" ht="14.25" customHeight="1">
      <c r="A464" s="12"/>
      <c r="B464" s="12"/>
    </row>
    <row r="465" ht="14.25" customHeight="1">
      <c r="A465" s="12"/>
      <c r="B465" s="12"/>
    </row>
    <row r="466" ht="14.25" customHeight="1">
      <c r="A466" s="12"/>
      <c r="B466" s="12"/>
    </row>
    <row r="467" ht="14.25" customHeight="1">
      <c r="A467" s="12"/>
      <c r="B467" s="12"/>
    </row>
    <row r="468" ht="14.25" customHeight="1">
      <c r="A468" s="12"/>
      <c r="B468" s="12"/>
    </row>
    <row r="469" ht="14.25" customHeight="1">
      <c r="A469" s="12"/>
      <c r="B469" s="12"/>
    </row>
    <row r="470" ht="14.25" customHeight="1">
      <c r="A470" s="12"/>
      <c r="B470" s="12"/>
    </row>
    <row r="471" ht="14.25" customHeight="1">
      <c r="A471" s="12"/>
      <c r="B471" s="12"/>
    </row>
    <row r="472" ht="14.25" customHeight="1">
      <c r="A472" s="12"/>
      <c r="B472" s="12"/>
    </row>
    <row r="473" ht="14.25" customHeight="1">
      <c r="A473" s="12"/>
      <c r="B473" s="12"/>
    </row>
    <row r="474" ht="14.25" customHeight="1">
      <c r="A474" s="12"/>
      <c r="B474" s="12"/>
    </row>
    <row r="475" ht="14.25" customHeight="1">
      <c r="A475" s="12"/>
      <c r="B475" s="12"/>
    </row>
    <row r="476" ht="14.25" customHeight="1">
      <c r="A476" s="12"/>
      <c r="B476" s="12"/>
    </row>
    <row r="477" ht="14.25" customHeight="1">
      <c r="A477" s="12"/>
      <c r="B477" s="12"/>
    </row>
    <row r="478" ht="14.25" customHeight="1">
      <c r="A478" s="12"/>
      <c r="B478" s="12"/>
    </row>
    <row r="479" ht="14.25" customHeight="1">
      <c r="A479" s="12"/>
      <c r="B479" s="12"/>
    </row>
    <row r="480" ht="14.25" customHeight="1">
      <c r="A480" s="12"/>
      <c r="B480" s="12"/>
    </row>
    <row r="481" ht="14.25" customHeight="1">
      <c r="A481" s="12"/>
      <c r="B481" s="12"/>
    </row>
    <row r="482" ht="14.25" customHeight="1">
      <c r="A482" s="12"/>
      <c r="B482" s="12"/>
    </row>
    <row r="483" ht="14.25" customHeight="1">
      <c r="A483" s="12"/>
      <c r="B483" s="12"/>
    </row>
    <row r="484" ht="14.25" customHeight="1">
      <c r="A484" s="12"/>
      <c r="B484" s="12"/>
    </row>
    <row r="485" ht="14.25" customHeight="1">
      <c r="A485" s="12"/>
      <c r="B485" s="12"/>
    </row>
    <row r="486" ht="14.25" customHeight="1">
      <c r="A486" s="12"/>
      <c r="B486" s="12"/>
    </row>
    <row r="487" ht="14.25" customHeight="1">
      <c r="A487" s="12"/>
      <c r="B487" s="12"/>
    </row>
    <row r="488" ht="14.25" customHeight="1">
      <c r="A488" s="12"/>
      <c r="B488" s="12"/>
    </row>
    <row r="489" ht="14.25" customHeight="1">
      <c r="A489" s="12"/>
      <c r="B489" s="12"/>
    </row>
    <row r="490" ht="14.25" customHeight="1">
      <c r="A490" s="12"/>
      <c r="B490" s="12"/>
    </row>
    <row r="491" ht="14.25" customHeight="1">
      <c r="A491" s="12"/>
      <c r="B491" s="12"/>
    </row>
    <row r="492" ht="14.25" customHeight="1">
      <c r="A492" s="12"/>
      <c r="B492" s="12"/>
    </row>
    <row r="493" ht="14.25" customHeight="1">
      <c r="A493" s="12"/>
      <c r="B493" s="12"/>
    </row>
    <row r="494" ht="14.25" customHeight="1">
      <c r="A494" s="12"/>
      <c r="B494" s="12"/>
    </row>
    <row r="495" ht="14.25" customHeight="1">
      <c r="A495" s="12"/>
      <c r="B495" s="12"/>
    </row>
    <row r="496" ht="14.25" customHeight="1">
      <c r="A496" s="12"/>
      <c r="B496" s="12"/>
    </row>
    <row r="497" ht="14.25" customHeight="1">
      <c r="A497" s="12"/>
      <c r="B497" s="12"/>
    </row>
    <row r="498" ht="14.25" customHeight="1">
      <c r="A498" s="12"/>
      <c r="B498" s="12"/>
    </row>
    <row r="499" ht="14.25" customHeight="1">
      <c r="A499" s="12"/>
      <c r="B499" s="12"/>
    </row>
    <row r="500" ht="14.25" customHeight="1">
      <c r="A500" s="12"/>
      <c r="B500" s="12"/>
    </row>
    <row r="501" ht="14.25" customHeight="1">
      <c r="A501" s="12"/>
      <c r="B501" s="12"/>
    </row>
    <row r="502" ht="14.25" customHeight="1">
      <c r="A502" s="12"/>
      <c r="B502" s="12"/>
    </row>
    <row r="503" ht="14.25" customHeight="1">
      <c r="A503" s="12"/>
      <c r="B503" s="12"/>
    </row>
    <row r="504" ht="14.25" customHeight="1">
      <c r="A504" s="12"/>
      <c r="B504" s="12"/>
    </row>
    <row r="505" ht="14.25" customHeight="1">
      <c r="A505" s="12"/>
      <c r="B505" s="12"/>
    </row>
    <row r="506" ht="14.25" customHeight="1">
      <c r="A506" s="12"/>
      <c r="B506" s="12"/>
    </row>
    <row r="507" ht="14.25" customHeight="1">
      <c r="A507" s="12"/>
      <c r="B507" s="12"/>
    </row>
    <row r="508" ht="14.25" customHeight="1">
      <c r="A508" s="12"/>
      <c r="B508" s="12"/>
    </row>
    <row r="509" ht="14.25" customHeight="1">
      <c r="A509" s="12"/>
      <c r="B509" s="12"/>
    </row>
    <row r="510" ht="14.25" customHeight="1">
      <c r="A510" s="12"/>
      <c r="B510" s="12"/>
    </row>
    <row r="511" ht="14.25" customHeight="1">
      <c r="A511" s="12"/>
      <c r="B511" s="12"/>
    </row>
    <row r="512" ht="14.25" customHeight="1">
      <c r="A512" s="12"/>
      <c r="B512" s="12"/>
    </row>
    <row r="513" ht="14.25" customHeight="1">
      <c r="A513" s="12"/>
      <c r="B513" s="12"/>
    </row>
    <row r="514" ht="14.25" customHeight="1">
      <c r="A514" s="12"/>
      <c r="B514" s="12"/>
    </row>
    <row r="515" ht="14.25" customHeight="1">
      <c r="A515" s="12"/>
      <c r="B515" s="12"/>
    </row>
    <row r="516" ht="14.25" customHeight="1">
      <c r="A516" s="12"/>
      <c r="B516" s="12"/>
    </row>
    <row r="517" ht="14.25" customHeight="1">
      <c r="A517" s="12"/>
      <c r="B517" s="12"/>
    </row>
    <row r="518" ht="14.25" customHeight="1">
      <c r="A518" s="12"/>
      <c r="B518" s="12"/>
    </row>
    <row r="519" ht="14.25" customHeight="1">
      <c r="A519" s="12"/>
      <c r="B519" s="12"/>
    </row>
    <row r="520" ht="14.25" customHeight="1">
      <c r="A520" s="12"/>
      <c r="B520" s="12"/>
    </row>
    <row r="521" ht="14.25" customHeight="1">
      <c r="A521" s="12"/>
      <c r="B521" s="12"/>
    </row>
    <row r="522" ht="14.25" customHeight="1">
      <c r="A522" s="12"/>
      <c r="B522" s="12"/>
    </row>
    <row r="523" ht="14.25" customHeight="1">
      <c r="A523" s="12"/>
      <c r="B523" s="12"/>
    </row>
    <row r="524" ht="14.25" customHeight="1">
      <c r="A524" s="12"/>
      <c r="B524" s="12"/>
    </row>
    <row r="525" ht="14.25" customHeight="1">
      <c r="A525" s="12"/>
      <c r="B525" s="12"/>
    </row>
    <row r="526" ht="14.25" customHeight="1">
      <c r="A526" s="12"/>
      <c r="B526" s="12"/>
    </row>
    <row r="527" ht="14.25" customHeight="1">
      <c r="A527" s="12"/>
      <c r="B527" s="12"/>
    </row>
    <row r="528" ht="14.25" customHeight="1">
      <c r="A528" s="12"/>
      <c r="B528" s="12"/>
    </row>
    <row r="529" ht="14.25" customHeight="1">
      <c r="A529" s="12"/>
      <c r="B529" s="12"/>
    </row>
    <row r="530" ht="14.25" customHeight="1">
      <c r="A530" s="12"/>
      <c r="B530" s="12"/>
    </row>
    <row r="531" ht="14.25" customHeight="1">
      <c r="A531" s="12"/>
      <c r="B531" s="12"/>
    </row>
    <row r="532" ht="14.25" customHeight="1">
      <c r="A532" s="12"/>
      <c r="B532" s="12"/>
    </row>
    <row r="533" ht="14.25" customHeight="1">
      <c r="A533" s="12"/>
      <c r="B533" s="12"/>
    </row>
    <row r="534" ht="14.25" customHeight="1">
      <c r="A534" s="12"/>
      <c r="B534" s="12"/>
    </row>
    <row r="535" ht="14.25" customHeight="1">
      <c r="A535" s="12"/>
      <c r="B535" s="12"/>
    </row>
    <row r="536" ht="14.25" customHeight="1">
      <c r="A536" s="12"/>
      <c r="B536" s="12"/>
    </row>
    <row r="537" ht="14.25" customHeight="1">
      <c r="A537" s="12"/>
      <c r="B537" s="12"/>
    </row>
    <row r="538" ht="14.25" customHeight="1">
      <c r="A538" s="12"/>
      <c r="B538" s="12"/>
    </row>
    <row r="539" ht="14.25" customHeight="1">
      <c r="A539" s="12"/>
      <c r="B539" s="12"/>
    </row>
    <row r="540" ht="14.25" customHeight="1">
      <c r="A540" s="12"/>
      <c r="B540" s="12"/>
    </row>
    <row r="541" ht="14.25" customHeight="1">
      <c r="A541" s="12"/>
      <c r="B541" s="12"/>
    </row>
    <row r="542" ht="14.25" customHeight="1">
      <c r="A542" s="12"/>
      <c r="B542" s="12"/>
    </row>
    <row r="543" ht="14.25" customHeight="1">
      <c r="A543" s="12"/>
      <c r="B543" s="12"/>
    </row>
    <row r="544" ht="14.25" customHeight="1">
      <c r="A544" s="12"/>
      <c r="B544" s="12"/>
    </row>
    <row r="545" ht="14.25" customHeight="1">
      <c r="A545" s="12"/>
      <c r="B545" s="12"/>
    </row>
    <row r="546" ht="14.25" customHeight="1">
      <c r="A546" s="12"/>
      <c r="B546" s="12"/>
    </row>
    <row r="547" ht="14.25" customHeight="1">
      <c r="A547" s="12"/>
      <c r="B547" s="12"/>
    </row>
    <row r="548" ht="14.25" customHeight="1">
      <c r="A548" s="12"/>
      <c r="B548" s="12"/>
    </row>
    <row r="549" ht="14.25" customHeight="1">
      <c r="A549" s="12"/>
      <c r="B549" s="12"/>
    </row>
    <row r="550" ht="14.25" customHeight="1">
      <c r="A550" s="12"/>
      <c r="B550" s="12"/>
    </row>
    <row r="551" ht="14.25" customHeight="1">
      <c r="A551" s="12"/>
      <c r="B551" s="12"/>
    </row>
    <row r="552" ht="14.25" customHeight="1">
      <c r="A552" s="12"/>
      <c r="B552" s="12"/>
    </row>
    <row r="553" ht="14.25" customHeight="1">
      <c r="A553" s="12"/>
      <c r="B553" s="12"/>
    </row>
    <row r="554" ht="14.25" customHeight="1">
      <c r="A554" s="12"/>
      <c r="B554" s="12"/>
    </row>
    <row r="555" ht="14.25" customHeight="1">
      <c r="A555" s="12"/>
      <c r="B555" s="12"/>
    </row>
    <row r="556" ht="14.25" customHeight="1">
      <c r="A556" s="12"/>
      <c r="B556" s="12"/>
    </row>
    <row r="557" ht="14.25" customHeight="1">
      <c r="A557" s="12"/>
      <c r="B557" s="12"/>
    </row>
    <row r="558" ht="14.25" customHeight="1">
      <c r="A558" s="12"/>
      <c r="B558" s="12"/>
    </row>
    <row r="559" ht="14.25" customHeight="1">
      <c r="A559" s="12"/>
      <c r="B559" s="12"/>
    </row>
    <row r="560" ht="14.25" customHeight="1">
      <c r="A560" s="12"/>
      <c r="B560" s="12"/>
    </row>
    <row r="561" ht="14.25" customHeight="1">
      <c r="A561" s="12"/>
      <c r="B561" s="12"/>
    </row>
    <row r="562" ht="14.25" customHeight="1">
      <c r="A562" s="12"/>
      <c r="B562" s="12"/>
    </row>
    <row r="563" ht="14.25" customHeight="1">
      <c r="A563" s="12"/>
      <c r="B563" s="12"/>
    </row>
    <row r="564" ht="14.25" customHeight="1">
      <c r="A564" s="12"/>
      <c r="B564" s="12"/>
    </row>
    <row r="565" ht="14.25" customHeight="1">
      <c r="A565" s="12"/>
      <c r="B565" s="12"/>
    </row>
    <row r="566" ht="14.25" customHeight="1">
      <c r="A566" s="12"/>
      <c r="B566" s="12"/>
    </row>
    <row r="567" ht="14.25" customHeight="1">
      <c r="A567" s="12"/>
      <c r="B567" s="12"/>
    </row>
    <row r="568" ht="14.25" customHeight="1">
      <c r="A568" s="12"/>
      <c r="B568" s="12"/>
    </row>
    <row r="569" ht="14.25" customHeight="1">
      <c r="A569" s="12"/>
      <c r="B569" s="12"/>
    </row>
    <row r="570" ht="14.25" customHeight="1">
      <c r="A570" s="12"/>
      <c r="B570" s="12"/>
    </row>
    <row r="571" ht="14.25" customHeight="1">
      <c r="A571" s="12"/>
      <c r="B571" s="12"/>
    </row>
    <row r="572" ht="14.25" customHeight="1">
      <c r="A572" s="12"/>
      <c r="B572" s="12"/>
    </row>
    <row r="573" ht="14.25" customHeight="1">
      <c r="A573" s="12"/>
      <c r="B573" s="12"/>
    </row>
    <row r="574" ht="14.25" customHeight="1">
      <c r="A574" s="12"/>
      <c r="B574" s="12"/>
    </row>
    <row r="575" ht="14.25" customHeight="1">
      <c r="A575" s="12"/>
      <c r="B575" s="12"/>
    </row>
    <row r="576" ht="14.25" customHeight="1">
      <c r="A576" s="12"/>
      <c r="B576" s="12"/>
    </row>
    <row r="577" ht="14.25" customHeight="1">
      <c r="A577" s="12"/>
      <c r="B577" s="12"/>
    </row>
    <row r="578" ht="14.25" customHeight="1">
      <c r="A578" s="12"/>
      <c r="B578" s="12"/>
    </row>
    <row r="579" ht="14.25" customHeight="1">
      <c r="A579" s="12"/>
      <c r="B579" s="12"/>
    </row>
    <row r="580" ht="14.25" customHeight="1">
      <c r="A580" s="12"/>
      <c r="B580" s="12"/>
    </row>
    <row r="581" ht="14.25" customHeight="1">
      <c r="A581" s="12"/>
      <c r="B581" s="12"/>
    </row>
    <row r="582" ht="14.25" customHeight="1">
      <c r="A582" s="12"/>
      <c r="B582" s="12"/>
    </row>
    <row r="583" ht="14.25" customHeight="1">
      <c r="A583" s="12"/>
      <c r="B583" s="12"/>
    </row>
    <row r="584" ht="14.25" customHeight="1">
      <c r="A584" s="12"/>
      <c r="B584" s="12"/>
    </row>
    <row r="585" ht="14.25" customHeight="1">
      <c r="A585" s="12"/>
      <c r="B585" s="12"/>
    </row>
    <row r="586" ht="14.25" customHeight="1">
      <c r="A586" s="12"/>
      <c r="B586" s="12"/>
    </row>
    <row r="587" ht="14.25" customHeight="1">
      <c r="A587" s="12"/>
      <c r="B587" s="12"/>
    </row>
    <row r="588" ht="14.25" customHeight="1">
      <c r="A588" s="12"/>
      <c r="B588" s="12"/>
    </row>
    <row r="589" ht="14.25" customHeight="1">
      <c r="A589" s="12"/>
      <c r="B589" s="12"/>
    </row>
    <row r="590" ht="14.25" customHeight="1">
      <c r="A590" s="12"/>
      <c r="B590" s="12"/>
    </row>
    <row r="591" ht="14.25" customHeight="1">
      <c r="A591" s="12"/>
      <c r="B591" s="12"/>
    </row>
    <row r="592" ht="14.25" customHeight="1">
      <c r="A592" s="12"/>
      <c r="B592" s="12"/>
    </row>
    <row r="593" ht="14.25" customHeight="1">
      <c r="A593" s="12"/>
      <c r="B593" s="12"/>
    </row>
    <row r="594" ht="14.25" customHeight="1">
      <c r="A594" s="12"/>
      <c r="B594" s="12"/>
    </row>
    <row r="595" ht="14.25" customHeight="1">
      <c r="A595" s="12"/>
      <c r="B595" s="12"/>
    </row>
    <row r="596" ht="14.25" customHeight="1">
      <c r="A596" s="12"/>
      <c r="B596" s="12"/>
    </row>
    <row r="597" ht="14.25" customHeight="1">
      <c r="A597" s="12"/>
      <c r="B597" s="12"/>
    </row>
    <row r="598" ht="14.25" customHeight="1">
      <c r="A598" s="12"/>
      <c r="B598" s="12"/>
    </row>
    <row r="599" ht="14.25" customHeight="1">
      <c r="A599" s="12"/>
      <c r="B599" s="12"/>
    </row>
    <row r="600" ht="14.25" customHeight="1">
      <c r="A600" s="12"/>
      <c r="B600" s="12"/>
    </row>
    <row r="601" ht="14.25" customHeight="1">
      <c r="A601" s="12"/>
      <c r="B601" s="12"/>
    </row>
    <row r="602" ht="14.25" customHeight="1">
      <c r="A602" s="12"/>
      <c r="B602" s="12"/>
    </row>
    <row r="603" ht="14.25" customHeight="1">
      <c r="A603" s="12"/>
      <c r="B603" s="12"/>
    </row>
    <row r="604" ht="14.25" customHeight="1">
      <c r="A604" s="12"/>
      <c r="B604" s="12"/>
    </row>
    <row r="605" ht="14.25" customHeight="1">
      <c r="A605" s="12"/>
      <c r="B605" s="12"/>
    </row>
    <row r="606" ht="14.25" customHeight="1">
      <c r="A606" s="12"/>
      <c r="B606" s="12"/>
    </row>
    <row r="607" ht="14.25" customHeight="1">
      <c r="A607" s="12"/>
      <c r="B607" s="12"/>
    </row>
    <row r="608" ht="14.25" customHeight="1">
      <c r="A608" s="12"/>
      <c r="B608" s="12"/>
    </row>
    <row r="609" ht="14.25" customHeight="1">
      <c r="A609" s="12"/>
      <c r="B609" s="12"/>
    </row>
    <row r="610" ht="14.25" customHeight="1">
      <c r="A610" s="12"/>
      <c r="B610" s="12"/>
    </row>
    <row r="611" ht="14.25" customHeight="1">
      <c r="A611" s="12"/>
      <c r="B611" s="12"/>
    </row>
    <row r="612" ht="14.25" customHeight="1">
      <c r="A612" s="12"/>
      <c r="B612" s="12"/>
    </row>
    <row r="613" ht="14.25" customHeight="1">
      <c r="A613" s="12"/>
      <c r="B613" s="12"/>
    </row>
    <row r="614" ht="14.25" customHeight="1">
      <c r="A614" s="12"/>
      <c r="B614" s="12"/>
    </row>
    <row r="615" ht="14.25" customHeight="1">
      <c r="A615" s="12"/>
      <c r="B615" s="12"/>
    </row>
    <row r="616" ht="14.25" customHeight="1">
      <c r="A616" s="12"/>
      <c r="B616" s="12"/>
    </row>
    <row r="617" ht="14.25" customHeight="1">
      <c r="A617" s="12"/>
      <c r="B617" s="12"/>
    </row>
    <row r="618" ht="14.25" customHeight="1">
      <c r="A618" s="12"/>
      <c r="B618" s="12"/>
    </row>
    <row r="619" ht="14.25" customHeight="1">
      <c r="A619" s="12"/>
      <c r="B619" s="12"/>
    </row>
    <row r="620" ht="14.25" customHeight="1">
      <c r="A620" s="12"/>
      <c r="B620" s="12"/>
    </row>
    <row r="621" ht="14.25" customHeight="1">
      <c r="A621" s="12"/>
      <c r="B621" s="12"/>
    </row>
    <row r="622" ht="14.25" customHeight="1">
      <c r="A622" s="12"/>
      <c r="B622" s="12"/>
    </row>
    <row r="623" ht="14.25" customHeight="1">
      <c r="A623" s="12"/>
      <c r="B623" s="12"/>
    </row>
    <row r="624" ht="14.25" customHeight="1">
      <c r="A624" s="12"/>
      <c r="B624" s="12"/>
    </row>
    <row r="625" ht="14.25" customHeight="1">
      <c r="A625" s="12"/>
      <c r="B625" s="12"/>
    </row>
    <row r="626" ht="14.25" customHeight="1">
      <c r="A626" s="12"/>
      <c r="B626" s="12"/>
    </row>
    <row r="627" ht="14.25" customHeight="1">
      <c r="A627" s="12"/>
      <c r="B627" s="12"/>
    </row>
    <row r="628" ht="14.25" customHeight="1">
      <c r="A628" s="12"/>
      <c r="B628" s="12"/>
    </row>
    <row r="629" ht="14.25" customHeight="1">
      <c r="A629" s="12"/>
      <c r="B629" s="12"/>
    </row>
    <row r="630" ht="14.25" customHeight="1">
      <c r="A630" s="12"/>
      <c r="B630" s="12"/>
    </row>
    <row r="631" ht="14.25" customHeight="1">
      <c r="A631" s="12"/>
      <c r="B631" s="12"/>
    </row>
    <row r="632" ht="14.25" customHeight="1">
      <c r="A632" s="12"/>
      <c r="B632" s="12"/>
    </row>
    <row r="633" ht="14.25" customHeight="1">
      <c r="A633" s="12"/>
      <c r="B633" s="12"/>
    </row>
    <row r="634" ht="14.25" customHeight="1">
      <c r="A634" s="12"/>
      <c r="B634" s="12"/>
    </row>
    <row r="635" ht="14.25" customHeight="1">
      <c r="A635" s="12"/>
      <c r="B635" s="12"/>
    </row>
    <row r="636" ht="14.25" customHeight="1">
      <c r="A636" s="12"/>
      <c r="B636" s="12"/>
    </row>
    <row r="637" ht="14.25" customHeight="1">
      <c r="A637" s="12"/>
      <c r="B637" s="12"/>
    </row>
    <row r="638" ht="14.25" customHeight="1">
      <c r="A638" s="12"/>
      <c r="B638" s="12"/>
    </row>
    <row r="639" ht="14.25" customHeight="1">
      <c r="A639" s="12"/>
      <c r="B639" s="12"/>
    </row>
    <row r="640" ht="14.25" customHeight="1">
      <c r="A640" s="12"/>
      <c r="B640" s="12"/>
    </row>
    <row r="641" ht="14.25" customHeight="1">
      <c r="A641" s="12"/>
      <c r="B641" s="12"/>
    </row>
    <row r="642" ht="14.25" customHeight="1">
      <c r="A642" s="12"/>
      <c r="B642" s="12"/>
    </row>
    <row r="643" ht="14.25" customHeight="1">
      <c r="A643" s="12"/>
      <c r="B643" s="12"/>
    </row>
    <row r="644" ht="14.25" customHeight="1">
      <c r="A644" s="12"/>
      <c r="B644" s="12"/>
    </row>
    <row r="645" ht="14.25" customHeight="1">
      <c r="A645" s="12"/>
      <c r="B645" s="12"/>
    </row>
    <row r="646" ht="14.25" customHeight="1">
      <c r="A646" s="12"/>
      <c r="B646" s="12"/>
    </row>
    <row r="647" ht="14.25" customHeight="1">
      <c r="A647" s="12"/>
      <c r="B647" s="12"/>
    </row>
    <row r="648" ht="14.25" customHeight="1">
      <c r="A648" s="12"/>
      <c r="B648" s="12"/>
    </row>
    <row r="649" ht="14.25" customHeight="1">
      <c r="A649" s="12"/>
      <c r="B649" s="12"/>
    </row>
    <row r="650" ht="14.25" customHeight="1">
      <c r="A650" s="12"/>
      <c r="B650" s="12"/>
    </row>
    <row r="651" ht="14.25" customHeight="1">
      <c r="A651" s="12"/>
      <c r="B651" s="12"/>
    </row>
    <row r="652" ht="14.25" customHeight="1">
      <c r="A652" s="12"/>
      <c r="B652" s="12"/>
    </row>
    <row r="653" ht="14.25" customHeight="1">
      <c r="A653" s="12"/>
      <c r="B653" s="12"/>
    </row>
    <row r="654" ht="14.25" customHeight="1">
      <c r="A654" s="12"/>
      <c r="B654" s="12"/>
    </row>
    <row r="655" ht="14.25" customHeight="1">
      <c r="A655" s="12"/>
      <c r="B655" s="12"/>
    </row>
    <row r="656" ht="14.25" customHeight="1">
      <c r="A656" s="12"/>
      <c r="B656" s="12"/>
    </row>
    <row r="657" ht="14.25" customHeight="1">
      <c r="A657" s="12"/>
      <c r="B657" s="12"/>
    </row>
    <row r="658" ht="14.25" customHeight="1">
      <c r="A658" s="12"/>
      <c r="B658" s="12"/>
    </row>
    <row r="659" ht="14.25" customHeight="1">
      <c r="A659" s="12"/>
      <c r="B659" s="12"/>
    </row>
    <row r="660" ht="14.25" customHeight="1">
      <c r="A660" s="12"/>
      <c r="B660" s="12"/>
    </row>
    <row r="661" ht="14.25" customHeight="1">
      <c r="A661" s="12"/>
      <c r="B661" s="12"/>
    </row>
    <row r="662" ht="14.25" customHeight="1">
      <c r="A662" s="12"/>
      <c r="B662" s="12"/>
    </row>
    <row r="663" ht="14.25" customHeight="1">
      <c r="A663" s="12"/>
      <c r="B663" s="12"/>
    </row>
    <row r="664" ht="14.25" customHeight="1">
      <c r="A664" s="12"/>
      <c r="B664" s="12"/>
    </row>
    <row r="665" ht="14.25" customHeight="1">
      <c r="A665" s="12"/>
      <c r="B665" s="12"/>
    </row>
    <row r="666" ht="14.25" customHeight="1">
      <c r="A666" s="12"/>
      <c r="B666" s="12"/>
    </row>
    <row r="667" ht="14.25" customHeight="1">
      <c r="A667" s="12"/>
      <c r="B667" s="12"/>
    </row>
    <row r="668" ht="14.25" customHeight="1">
      <c r="A668" s="12"/>
      <c r="B668" s="12"/>
    </row>
    <row r="669" ht="14.25" customHeight="1">
      <c r="A669" s="12"/>
      <c r="B669" s="12"/>
    </row>
    <row r="670" ht="14.25" customHeight="1">
      <c r="A670" s="12"/>
      <c r="B670" s="12"/>
    </row>
    <row r="671" ht="14.25" customHeight="1">
      <c r="A671" s="12"/>
      <c r="B671" s="12"/>
    </row>
    <row r="672" ht="14.25" customHeight="1">
      <c r="A672" s="12"/>
      <c r="B672" s="12"/>
    </row>
    <row r="673" ht="14.25" customHeight="1">
      <c r="A673" s="12"/>
      <c r="B673" s="12"/>
    </row>
    <row r="674" ht="14.25" customHeight="1">
      <c r="A674" s="12"/>
      <c r="B674" s="12"/>
    </row>
    <row r="675" ht="14.25" customHeight="1">
      <c r="A675" s="12"/>
      <c r="B675" s="12"/>
    </row>
    <row r="676" ht="14.25" customHeight="1">
      <c r="A676" s="12"/>
      <c r="B676" s="12"/>
    </row>
    <row r="677" ht="14.25" customHeight="1">
      <c r="A677" s="12"/>
      <c r="B677" s="12"/>
    </row>
    <row r="678" ht="14.25" customHeight="1">
      <c r="A678" s="12"/>
      <c r="B678" s="12"/>
    </row>
    <row r="679" ht="14.25" customHeight="1">
      <c r="A679" s="12"/>
      <c r="B679" s="12"/>
    </row>
    <row r="680" ht="14.25" customHeight="1">
      <c r="A680" s="12"/>
      <c r="B680" s="12"/>
    </row>
    <row r="681" ht="14.25" customHeight="1">
      <c r="A681" s="12"/>
      <c r="B681" s="12"/>
    </row>
    <row r="682" ht="14.25" customHeight="1">
      <c r="A682" s="12"/>
      <c r="B682" s="12"/>
    </row>
    <row r="683" ht="14.25" customHeight="1">
      <c r="A683" s="12"/>
      <c r="B683" s="12"/>
    </row>
    <row r="684" ht="14.25" customHeight="1">
      <c r="A684" s="12"/>
      <c r="B684" s="12"/>
    </row>
    <row r="685" ht="14.25" customHeight="1">
      <c r="A685" s="12"/>
      <c r="B685" s="12"/>
    </row>
    <row r="686" ht="14.25" customHeight="1">
      <c r="A686" s="12"/>
      <c r="B686" s="12"/>
    </row>
    <row r="687" ht="14.25" customHeight="1">
      <c r="A687" s="12"/>
      <c r="B687" s="12"/>
    </row>
    <row r="688" ht="14.25" customHeight="1">
      <c r="A688" s="12"/>
      <c r="B688" s="12"/>
    </row>
    <row r="689" ht="14.25" customHeight="1">
      <c r="A689" s="12"/>
      <c r="B689" s="12"/>
    </row>
    <row r="690" ht="14.25" customHeight="1">
      <c r="A690" s="12"/>
      <c r="B690" s="12"/>
    </row>
    <row r="691" ht="14.25" customHeight="1">
      <c r="A691" s="12"/>
      <c r="B691" s="12"/>
    </row>
    <row r="692" ht="14.25" customHeight="1">
      <c r="A692" s="12"/>
      <c r="B692" s="12"/>
    </row>
    <row r="693" ht="14.25" customHeight="1">
      <c r="A693" s="12"/>
      <c r="B693" s="12"/>
    </row>
    <row r="694" ht="14.25" customHeight="1">
      <c r="A694" s="12"/>
      <c r="B694" s="12"/>
    </row>
    <row r="695" ht="14.25" customHeight="1">
      <c r="A695" s="12"/>
      <c r="B695" s="12"/>
    </row>
    <row r="696" ht="14.25" customHeight="1">
      <c r="A696" s="12"/>
      <c r="B696" s="12"/>
    </row>
    <row r="697" ht="14.25" customHeight="1">
      <c r="A697" s="12"/>
      <c r="B697" s="12"/>
    </row>
    <row r="698" ht="14.25" customHeight="1">
      <c r="A698" s="12"/>
      <c r="B698" s="12"/>
    </row>
    <row r="699" ht="14.25" customHeight="1">
      <c r="A699" s="12"/>
      <c r="B699" s="12"/>
    </row>
    <row r="700" ht="14.25" customHeight="1">
      <c r="A700" s="12"/>
      <c r="B700" s="12"/>
    </row>
    <row r="701" ht="14.25" customHeight="1">
      <c r="A701" s="12"/>
      <c r="B701" s="12"/>
    </row>
    <row r="702" ht="14.25" customHeight="1">
      <c r="A702" s="12"/>
      <c r="B702" s="12"/>
    </row>
    <row r="703" ht="14.25" customHeight="1">
      <c r="A703" s="12"/>
      <c r="B703" s="12"/>
    </row>
    <row r="704" ht="14.25" customHeight="1">
      <c r="A704" s="12"/>
      <c r="B704" s="12"/>
    </row>
    <row r="705" ht="14.25" customHeight="1">
      <c r="A705" s="12"/>
      <c r="B705" s="12"/>
    </row>
    <row r="706" ht="14.25" customHeight="1">
      <c r="A706" s="12"/>
      <c r="B706" s="12"/>
    </row>
    <row r="707" ht="14.25" customHeight="1">
      <c r="A707" s="12"/>
      <c r="B707" s="12"/>
    </row>
    <row r="708" ht="14.25" customHeight="1">
      <c r="A708" s="12"/>
      <c r="B708" s="12"/>
    </row>
    <row r="709" ht="14.25" customHeight="1">
      <c r="A709" s="12"/>
      <c r="B709" s="12"/>
    </row>
    <row r="710" ht="14.25" customHeight="1">
      <c r="A710" s="12"/>
      <c r="B710" s="12"/>
    </row>
    <row r="711" ht="14.25" customHeight="1">
      <c r="A711" s="12"/>
      <c r="B711" s="12"/>
    </row>
    <row r="712" ht="14.25" customHeight="1">
      <c r="A712" s="12"/>
      <c r="B712" s="12"/>
    </row>
    <row r="713" ht="14.25" customHeight="1">
      <c r="A713" s="12"/>
      <c r="B713" s="12"/>
    </row>
    <row r="714" ht="14.25" customHeight="1">
      <c r="A714" s="12"/>
      <c r="B714" s="12"/>
    </row>
    <row r="715" ht="14.25" customHeight="1">
      <c r="A715" s="12"/>
      <c r="B715" s="12"/>
    </row>
    <row r="716" ht="14.25" customHeight="1">
      <c r="A716" s="12"/>
      <c r="B716" s="12"/>
    </row>
    <row r="717" ht="14.25" customHeight="1">
      <c r="A717" s="12"/>
      <c r="B717" s="12"/>
    </row>
    <row r="718" ht="14.25" customHeight="1">
      <c r="A718" s="12"/>
      <c r="B718" s="12"/>
    </row>
    <row r="719" ht="14.25" customHeight="1">
      <c r="A719" s="12"/>
      <c r="B719" s="12"/>
    </row>
    <row r="720" ht="14.25" customHeight="1">
      <c r="A720" s="12"/>
      <c r="B720" s="12"/>
    </row>
    <row r="721" ht="14.25" customHeight="1">
      <c r="A721" s="12"/>
      <c r="B721" s="12"/>
    </row>
    <row r="722" ht="14.25" customHeight="1">
      <c r="A722" s="12"/>
      <c r="B722" s="12"/>
    </row>
    <row r="723" ht="14.25" customHeight="1">
      <c r="A723" s="12"/>
      <c r="B723" s="12"/>
    </row>
    <row r="724" ht="14.25" customHeight="1">
      <c r="A724" s="12"/>
      <c r="B724" s="12"/>
    </row>
    <row r="725" ht="14.25" customHeight="1">
      <c r="A725" s="12"/>
      <c r="B725" s="12"/>
    </row>
    <row r="726" ht="14.25" customHeight="1">
      <c r="A726" s="12"/>
      <c r="B726" s="12"/>
    </row>
    <row r="727" ht="14.25" customHeight="1">
      <c r="A727" s="12"/>
      <c r="B727" s="12"/>
    </row>
    <row r="728" ht="14.25" customHeight="1">
      <c r="A728" s="12"/>
      <c r="B728" s="12"/>
    </row>
    <row r="729" ht="14.25" customHeight="1">
      <c r="A729" s="12"/>
      <c r="B729" s="12"/>
    </row>
    <row r="730" ht="14.25" customHeight="1">
      <c r="A730" s="12"/>
      <c r="B730" s="12"/>
    </row>
    <row r="731" ht="14.25" customHeight="1">
      <c r="A731" s="12"/>
      <c r="B731" s="12"/>
    </row>
    <row r="732" ht="14.25" customHeight="1">
      <c r="A732" s="12"/>
      <c r="B732" s="12"/>
    </row>
    <row r="733" ht="14.25" customHeight="1">
      <c r="A733" s="12"/>
      <c r="B733" s="12"/>
    </row>
    <row r="734" ht="14.25" customHeight="1">
      <c r="A734" s="12"/>
      <c r="B734" s="12"/>
    </row>
    <row r="735" ht="14.25" customHeight="1">
      <c r="A735" s="12"/>
      <c r="B735" s="12"/>
    </row>
    <row r="736" ht="14.25" customHeight="1">
      <c r="A736" s="12"/>
      <c r="B736" s="12"/>
    </row>
    <row r="737" ht="14.25" customHeight="1">
      <c r="A737" s="12"/>
      <c r="B737" s="12"/>
    </row>
    <row r="738" ht="14.25" customHeight="1">
      <c r="A738" s="12"/>
      <c r="B738" s="12"/>
    </row>
    <row r="739" ht="14.25" customHeight="1">
      <c r="A739" s="12"/>
      <c r="B739" s="12"/>
    </row>
    <row r="740" ht="14.25" customHeight="1">
      <c r="A740" s="12"/>
      <c r="B740" s="12"/>
    </row>
    <row r="741" ht="14.25" customHeight="1">
      <c r="A741" s="12"/>
      <c r="B741" s="12"/>
    </row>
    <row r="742" ht="14.25" customHeight="1">
      <c r="A742" s="12"/>
      <c r="B742" s="12"/>
    </row>
    <row r="743" ht="14.25" customHeight="1">
      <c r="A743" s="12"/>
      <c r="B743" s="12"/>
    </row>
    <row r="744" ht="14.25" customHeight="1">
      <c r="A744" s="12"/>
      <c r="B744" s="12"/>
    </row>
    <row r="745" ht="14.25" customHeight="1">
      <c r="A745" s="12"/>
      <c r="B745" s="12"/>
    </row>
    <row r="746" ht="14.25" customHeight="1">
      <c r="A746" s="12"/>
      <c r="B746" s="12"/>
    </row>
    <row r="747" ht="14.25" customHeight="1">
      <c r="A747" s="12"/>
      <c r="B747" s="12"/>
    </row>
    <row r="748" ht="14.25" customHeight="1">
      <c r="A748" s="12"/>
      <c r="B748" s="12"/>
    </row>
    <row r="749" ht="14.25" customHeight="1">
      <c r="A749" s="12"/>
      <c r="B749" s="12"/>
    </row>
    <row r="750" ht="14.25" customHeight="1">
      <c r="A750" s="12"/>
      <c r="B750" s="12"/>
    </row>
    <row r="751" ht="14.25" customHeight="1">
      <c r="A751" s="12"/>
      <c r="B751" s="12"/>
    </row>
    <row r="752" ht="14.25" customHeight="1">
      <c r="A752" s="12"/>
      <c r="B752" s="12"/>
    </row>
    <row r="753" ht="14.25" customHeight="1">
      <c r="A753" s="12"/>
      <c r="B753" s="12"/>
    </row>
    <row r="754" ht="14.25" customHeight="1">
      <c r="A754" s="12"/>
      <c r="B754" s="12"/>
    </row>
    <row r="755" ht="14.25" customHeight="1">
      <c r="A755" s="12"/>
      <c r="B755" s="12"/>
    </row>
    <row r="756" ht="14.25" customHeight="1">
      <c r="A756" s="12"/>
      <c r="B756" s="12"/>
    </row>
    <row r="757" ht="14.25" customHeight="1">
      <c r="A757" s="12"/>
      <c r="B757" s="12"/>
    </row>
    <row r="758" ht="14.25" customHeight="1">
      <c r="A758" s="12"/>
      <c r="B758" s="12"/>
    </row>
    <row r="759" ht="14.25" customHeight="1">
      <c r="A759" s="12"/>
      <c r="B759" s="12"/>
    </row>
    <row r="760" ht="14.25" customHeight="1">
      <c r="A760" s="12"/>
      <c r="B760" s="12"/>
    </row>
    <row r="761" ht="14.25" customHeight="1">
      <c r="A761" s="12"/>
      <c r="B761" s="12"/>
    </row>
    <row r="762" ht="14.25" customHeight="1">
      <c r="A762" s="12"/>
      <c r="B762" s="12"/>
    </row>
    <row r="763" ht="14.25" customHeight="1">
      <c r="A763" s="12"/>
      <c r="B763" s="12"/>
    </row>
    <row r="764" ht="14.25" customHeight="1">
      <c r="A764" s="12"/>
      <c r="B764" s="12"/>
    </row>
    <row r="765" ht="14.25" customHeight="1">
      <c r="A765" s="12"/>
      <c r="B765" s="12"/>
    </row>
    <row r="766" ht="14.25" customHeight="1">
      <c r="A766" s="12"/>
      <c r="B766" s="12"/>
    </row>
    <row r="767" ht="14.25" customHeight="1">
      <c r="A767" s="12"/>
      <c r="B767" s="12"/>
    </row>
    <row r="768" ht="14.25" customHeight="1">
      <c r="A768" s="12"/>
      <c r="B768" s="12"/>
    </row>
    <row r="769" ht="14.25" customHeight="1">
      <c r="A769" s="12"/>
      <c r="B769" s="12"/>
    </row>
    <row r="770" ht="14.25" customHeight="1">
      <c r="A770" s="12"/>
      <c r="B770" s="12"/>
    </row>
    <row r="771" ht="14.25" customHeight="1">
      <c r="A771" s="12"/>
      <c r="B771" s="12"/>
    </row>
    <row r="772" ht="14.25" customHeight="1">
      <c r="A772" s="12"/>
      <c r="B772" s="12"/>
    </row>
    <row r="773" ht="14.25" customHeight="1">
      <c r="A773" s="12"/>
      <c r="B773" s="12"/>
    </row>
    <row r="774" ht="14.25" customHeight="1">
      <c r="A774" s="12"/>
      <c r="B774" s="12"/>
    </row>
    <row r="775" ht="14.25" customHeight="1">
      <c r="A775" s="12"/>
      <c r="B775" s="12"/>
    </row>
    <row r="776" ht="14.25" customHeight="1">
      <c r="A776" s="12"/>
      <c r="B776" s="12"/>
    </row>
    <row r="777" ht="14.25" customHeight="1">
      <c r="A777" s="12"/>
      <c r="B777" s="12"/>
    </row>
    <row r="778" ht="14.25" customHeight="1">
      <c r="A778" s="12"/>
      <c r="B778" s="12"/>
    </row>
    <row r="779" ht="14.25" customHeight="1">
      <c r="A779" s="12"/>
      <c r="B779" s="12"/>
    </row>
    <row r="780" ht="14.25" customHeight="1">
      <c r="A780" s="12"/>
      <c r="B780" s="12"/>
    </row>
    <row r="781" ht="14.25" customHeight="1">
      <c r="A781" s="12"/>
      <c r="B781" s="12"/>
    </row>
    <row r="782" ht="14.25" customHeight="1">
      <c r="A782" s="12"/>
      <c r="B782" s="12"/>
    </row>
    <row r="783" ht="14.25" customHeight="1">
      <c r="A783" s="12"/>
      <c r="B783" s="12"/>
    </row>
    <row r="784" ht="14.25" customHeight="1">
      <c r="A784" s="12"/>
      <c r="B784" s="12"/>
    </row>
    <row r="785" ht="14.25" customHeight="1">
      <c r="A785" s="12"/>
      <c r="B785" s="12"/>
    </row>
    <row r="786" ht="14.25" customHeight="1">
      <c r="A786" s="12"/>
      <c r="B786" s="12"/>
    </row>
    <row r="787" ht="14.25" customHeight="1">
      <c r="A787" s="12"/>
      <c r="B787" s="12"/>
    </row>
    <row r="788" ht="14.25" customHeight="1">
      <c r="A788" s="12"/>
      <c r="B788" s="12"/>
    </row>
    <row r="789" ht="14.25" customHeight="1">
      <c r="A789" s="12"/>
      <c r="B789" s="12"/>
    </row>
    <row r="790" ht="14.25" customHeight="1">
      <c r="A790" s="12"/>
      <c r="B790" s="12"/>
    </row>
    <row r="791" ht="14.25" customHeight="1">
      <c r="A791" s="12"/>
      <c r="B791" s="12"/>
    </row>
    <row r="792" ht="14.25" customHeight="1">
      <c r="A792" s="12"/>
      <c r="B792" s="12"/>
    </row>
    <row r="793" ht="14.25" customHeight="1">
      <c r="A793" s="12"/>
      <c r="B793" s="12"/>
    </row>
    <row r="794" ht="14.25" customHeight="1">
      <c r="A794" s="12"/>
      <c r="B794" s="12"/>
    </row>
    <row r="795" ht="14.25" customHeight="1">
      <c r="A795" s="12"/>
      <c r="B795" s="12"/>
    </row>
    <row r="796" ht="14.25" customHeight="1">
      <c r="A796" s="12"/>
      <c r="B796" s="12"/>
    </row>
    <row r="797" ht="14.25" customHeight="1">
      <c r="A797" s="12"/>
      <c r="B797" s="12"/>
    </row>
    <row r="798" ht="14.25" customHeight="1">
      <c r="A798" s="12"/>
      <c r="B798" s="12"/>
    </row>
    <row r="799" ht="14.25" customHeight="1">
      <c r="A799" s="12"/>
      <c r="B799" s="12"/>
    </row>
    <row r="800" ht="14.25" customHeight="1">
      <c r="A800" s="12"/>
      <c r="B800" s="12"/>
    </row>
    <row r="801" ht="14.25" customHeight="1">
      <c r="A801" s="12"/>
      <c r="B801" s="12"/>
    </row>
    <row r="802" ht="14.25" customHeight="1">
      <c r="A802" s="12"/>
      <c r="B802" s="12"/>
    </row>
    <row r="803" ht="14.25" customHeight="1">
      <c r="A803" s="12"/>
      <c r="B803" s="12"/>
    </row>
    <row r="804" ht="14.25" customHeight="1">
      <c r="A804" s="12"/>
      <c r="B804" s="12"/>
    </row>
    <row r="805" ht="14.25" customHeight="1">
      <c r="A805" s="12"/>
      <c r="B805" s="12"/>
    </row>
    <row r="806" ht="14.25" customHeight="1">
      <c r="A806" s="12"/>
      <c r="B806" s="12"/>
    </row>
    <row r="807" ht="14.25" customHeight="1">
      <c r="A807" s="12"/>
      <c r="B807" s="12"/>
    </row>
    <row r="808" ht="14.25" customHeight="1">
      <c r="A808" s="12"/>
      <c r="B808" s="12"/>
    </row>
    <row r="809" ht="14.25" customHeight="1">
      <c r="A809" s="12"/>
      <c r="B809" s="12"/>
    </row>
    <row r="810" ht="14.25" customHeight="1">
      <c r="A810" s="12"/>
      <c r="B810" s="12"/>
    </row>
    <row r="811" ht="14.25" customHeight="1">
      <c r="A811" s="12"/>
      <c r="B811" s="12"/>
    </row>
    <row r="812" ht="14.25" customHeight="1">
      <c r="A812" s="12"/>
      <c r="B812" s="12"/>
    </row>
    <row r="813" ht="14.25" customHeight="1">
      <c r="A813" s="12"/>
      <c r="B813" s="12"/>
    </row>
    <row r="814" ht="14.25" customHeight="1">
      <c r="A814" s="12"/>
      <c r="B814" s="12"/>
    </row>
    <row r="815" ht="14.25" customHeight="1">
      <c r="A815" s="12"/>
      <c r="B815" s="12"/>
    </row>
    <row r="816" ht="14.25" customHeight="1">
      <c r="A816" s="12"/>
      <c r="B816" s="12"/>
    </row>
    <row r="817" ht="14.25" customHeight="1">
      <c r="A817" s="12"/>
      <c r="B817" s="12"/>
    </row>
    <row r="818" ht="14.25" customHeight="1">
      <c r="A818" s="12"/>
      <c r="B818" s="12"/>
    </row>
    <row r="819" ht="14.25" customHeight="1">
      <c r="A819" s="12"/>
      <c r="B819" s="12"/>
    </row>
    <row r="820" ht="14.25" customHeight="1">
      <c r="A820" s="12"/>
      <c r="B820" s="12"/>
    </row>
    <row r="821" ht="14.25" customHeight="1">
      <c r="A821" s="12"/>
      <c r="B821" s="12"/>
    </row>
    <row r="822" ht="14.25" customHeight="1">
      <c r="A822" s="12"/>
      <c r="B822" s="12"/>
    </row>
    <row r="823" ht="14.25" customHeight="1">
      <c r="A823" s="12"/>
      <c r="B823" s="12"/>
    </row>
    <row r="824" ht="14.25" customHeight="1">
      <c r="A824" s="12"/>
      <c r="B824" s="12"/>
    </row>
    <row r="825" ht="14.25" customHeight="1">
      <c r="A825" s="12"/>
      <c r="B825" s="12"/>
    </row>
    <row r="826" ht="14.25" customHeight="1">
      <c r="A826" s="12"/>
      <c r="B826" s="12"/>
    </row>
    <row r="827" ht="14.25" customHeight="1">
      <c r="A827" s="12"/>
      <c r="B827" s="12"/>
    </row>
    <row r="828" ht="14.25" customHeight="1">
      <c r="A828" s="12"/>
      <c r="B828" s="12"/>
    </row>
    <row r="829" ht="14.25" customHeight="1">
      <c r="A829" s="12"/>
      <c r="B829" s="12"/>
    </row>
    <row r="830" ht="14.25" customHeight="1">
      <c r="A830" s="12"/>
      <c r="B830" s="12"/>
    </row>
    <row r="831" ht="14.25" customHeight="1">
      <c r="A831" s="12"/>
      <c r="B831" s="12"/>
    </row>
    <row r="832" ht="14.25" customHeight="1">
      <c r="A832" s="12"/>
      <c r="B832" s="12"/>
    </row>
    <row r="833" ht="14.25" customHeight="1">
      <c r="A833" s="12"/>
      <c r="B833" s="12"/>
    </row>
    <row r="834" ht="14.25" customHeight="1">
      <c r="A834" s="12"/>
      <c r="B834" s="12"/>
    </row>
    <row r="835" ht="14.25" customHeight="1">
      <c r="A835" s="12"/>
      <c r="B835" s="12"/>
    </row>
    <row r="836" ht="14.25" customHeight="1">
      <c r="A836" s="12"/>
      <c r="B836" s="12"/>
    </row>
    <row r="837" ht="14.25" customHeight="1">
      <c r="A837" s="12"/>
      <c r="B837" s="12"/>
    </row>
    <row r="838" ht="14.25" customHeight="1">
      <c r="A838" s="12"/>
      <c r="B838" s="12"/>
    </row>
    <row r="839" ht="14.25" customHeight="1">
      <c r="A839" s="12"/>
      <c r="B839" s="12"/>
    </row>
    <row r="840" ht="14.25" customHeight="1">
      <c r="A840" s="12"/>
      <c r="B840" s="12"/>
    </row>
    <row r="841" ht="14.25" customHeight="1">
      <c r="A841" s="12"/>
      <c r="B841" s="12"/>
    </row>
    <row r="842" ht="14.25" customHeight="1">
      <c r="A842" s="12"/>
      <c r="B842" s="12"/>
    </row>
    <row r="843" ht="14.25" customHeight="1">
      <c r="A843" s="12"/>
      <c r="B843" s="12"/>
    </row>
    <row r="844" ht="14.25" customHeight="1">
      <c r="A844" s="12"/>
      <c r="B844" s="12"/>
    </row>
    <row r="845" ht="14.25" customHeight="1">
      <c r="A845" s="12"/>
      <c r="B845" s="12"/>
    </row>
    <row r="846" ht="14.25" customHeight="1">
      <c r="A846" s="12"/>
      <c r="B846" s="12"/>
    </row>
    <row r="847" ht="14.25" customHeight="1">
      <c r="A847" s="12"/>
      <c r="B847" s="12"/>
    </row>
    <row r="848" ht="14.25" customHeight="1">
      <c r="A848" s="12"/>
      <c r="B848" s="12"/>
    </row>
    <row r="849" ht="14.25" customHeight="1">
      <c r="A849" s="12"/>
      <c r="B849" s="12"/>
    </row>
    <row r="850" ht="14.25" customHeight="1">
      <c r="A850" s="12"/>
      <c r="B850" s="12"/>
    </row>
    <row r="851" ht="14.25" customHeight="1">
      <c r="A851" s="12"/>
      <c r="B851" s="12"/>
    </row>
    <row r="852" ht="14.25" customHeight="1">
      <c r="A852" s="12"/>
      <c r="B852" s="12"/>
    </row>
    <row r="853" ht="14.25" customHeight="1">
      <c r="A853" s="12"/>
      <c r="B853" s="12"/>
    </row>
    <row r="854" ht="14.25" customHeight="1">
      <c r="A854" s="12"/>
      <c r="B854" s="12"/>
    </row>
    <row r="855" ht="14.25" customHeight="1">
      <c r="A855" s="12"/>
      <c r="B855" s="12"/>
    </row>
    <row r="856" ht="14.25" customHeight="1">
      <c r="A856" s="12"/>
      <c r="B856" s="12"/>
    </row>
    <row r="857" ht="14.25" customHeight="1">
      <c r="A857" s="12"/>
      <c r="B857" s="12"/>
    </row>
    <row r="858" ht="14.25" customHeight="1">
      <c r="A858" s="12"/>
      <c r="B858" s="12"/>
    </row>
    <row r="859" ht="14.25" customHeight="1">
      <c r="A859" s="12"/>
      <c r="B859" s="12"/>
    </row>
    <row r="860" ht="14.25" customHeight="1">
      <c r="A860" s="12"/>
      <c r="B860" s="12"/>
    </row>
    <row r="861" ht="14.25" customHeight="1">
      <c r="A861" s="12"/>
      <c r="B861" s="12"/>
    </row>
    <row r="862" ht="14.25" customHeight="1">
      <c r="A862" s="12"/>
      <c r="B862" s="12"/>
    </row>
    <row r="863" ht="14.25" customHeight="1">
      <c r="A863" s="12"/>
      <c r="B863" s="12"/>
    </row>
    <row r="864" ht="14.25" customHeight="1">
      <c r="A864" s="12"/>
      <c r="B864" s="12"/>
    </row>
    <row r="865" ht="14.25" customHeight="1">
      <c r="A865" s="12"/>
      <c r="B865" s="12"/>
    </row>
    <row r="866" ht="14.25" customHeight="1">
      <c r="A866" s="12"/>
      <c r="B866" s="12"/>
    </row>
    <row r="867" ht="14.25" customHeight="1">
      <c r="A867" s="12"/>
      <c r="B867" s="12"/>
    </row>
    <row r="868" ht="14.25" customHeight="1">
      <c r="A868" s="12"/>
      <c r="B868" s="12"/>
    </row>
    <row r="869" ht="14.25" customHeight="1">
      <c r="A869" s="12"/>
      <c r="B869" s="12"/>
    </row>
    <row r="870" ht="14.25" customHeight="1">
      <c r="A870" s="12"/>
      <c r="B870" s="12"/>
    </row>
    <row r="871" ht="14.25" customHeight="1">
      <c r="A871" s="12"/>
      <c r="B871" s="12"/>
    </row>
    <row r="872" ht="14.25" customHeight="1">
      <c r="A872" s="12"/>
      <c r="B872" s="12"/>
    </row>
    <row r="873" ht="14.25" customHeight="1">
      <c r="A873" s="12"/>
      <c r="B873" s="12"/>
    </row>
    <row r="874" ht="14.25" customHeight="1">
      <c r="A874" s="12"/>
      <c r="B874" s="12"/>
    </row>
    <row r="875" ht="14.25" customHeight="1">
      <c r="A875" s="12"/>
      <c r="B875" s="12"/>
    </row>
    <row r="876" ht="14.25" customHeight="1">
      <c r="A876" s="12"/>
      <c r="B876" s="12"/>
    </row>
    <row r="877" ht="14.25" customHeight="1">
      <c r="A877" s="12"/>
      <c r="B877" s="12"/>
    </row>
    <row r="878" ht="14.25" customHeight="1">
      <c r="A878" s="12"/>
      <c r="B878" s="12"/>
    </row>
    <row r="879" ht="14.25" customHeight="1">
      <c r="A879" s="12"/>
      <c r="B879" s="12"/>
    </row>
    <row r="880" ht="14.25" customHeight="1">
      <c r="A880" s="12"/>
      <c r="B880" s="12"/>
    </row>
    <row r="881" ht="14.25" customHeight="1">
      <c r="A881" s="12"/>
      <c r="B881" s="12"/>
    </row>
    <row r="882" ht="14.25" customHeight="1">
      <c r="A882" s="12"/>
      <c r="B882" s="12"/>
    </row>
    <row r="883" ht="14.25" customHeight="1">
      <c r="A883" s="12"/>
      <c r="B883" s="12"/>
    </row>
    <row r="884" ht="14.25" customHeight="1">
      <c r="A884" s="12"/>
      <c r="B884" s="12"/>
    </row>
    <row r="885" ht="14.25" customHeight="1">
      <c r="A885" s="12"/>
      <c r="B885" s="12"/>
    </row>
    <row r="886" ht="14.25" customHeight="1">
      <c r="A886" s="12"/>
      <c r="B886" s="12"/>
    </row>
    <row r="887" ht="14.25" customHeight="1">
      <c r="A887" s="12"/>
      <c r="B887" s="12"/>
    </row>
    <row r="888" ht="14.25" customHeight="1">
      <c r="A888" s="12"/>
      <c r="B888" s="12"/>
    </row>
    <row r="889" ht="14.25" customHeight="1">
      <c r="A889" s="12"/>
      <c r="B889" s="12"/>
    </row>
    <row r="890" ht="14.25" customHeight="1">
      <c r="A890" s="12"/>
      <c r="B890" s="12"/>
    </row>
    <row r="891" ht="14.25" customHeight="1">
      <c r="A891" s="12"/>
      <c r="B891" s="12"/>
    </row>
    <row r="892" ht="14.25" customHeight="1">
      <c r="A892" s="12"/>
      <c r="B892" s="12"/>
    </row>
    <row r="893" ht="14.25" customHeight="1">
      <c r="A893" s="12"/>
      <c r="B893" s="12"/>
    </row>
    <row r="894" ht="14.25" customHeight="1">
      <c r="A894" s="12"/>
      <c r="B894" s="12"/>
    </row>
    <row r="895" ht="14.25" customHeight="1">
      <c r="A895" s="12"/>
      <c r="B895" s="12"/>
    </row>
    <row r="896" ht="14.25" customHeight="1">
      <c r="A896" s="12"/>
      <c r="B896" s="12"/>
    </row>
    <row r="897" ht="14.25" customHeight="1">
      <c r="A897" s="12"/>
      <c r="B897" s="12"/>
    </row>
    <row r="898" ht="14.25" customHeight="1">
      <c r="A898" s="12"/>
      <c r="B898" s="12"/>
    </row>
    <row r="899" ht="14.25" customHeight="1">
      <c r="A899" s="12"/>
      <c r="B899" s="12"/>
    </row>
    <row r="900" ht="14.25" customHeight="1">
      <c r="A900" s="12"/>
      <c r="B900" s="12"/>
    </row>
    <row r="901" ht="14.25" customHeight="1">
      <c r="A901" s="12"/>
      <c r="B901" s="12"/>
    </row>
    <row r="902" ht="14.25" customHeight="1">
      <c r="A902" s="12"/>
      <c r="B902" s="12"/>
    </row>
    <row r="903" ht="14.25" customHeight="1">
      <c r="A903" s="12"/>
      <c r="B903" s="12"/>
    </row>
    <row r="904" ht="14.25" customHeight="1">
      <c r="A904" s="12"/>
      <c r="B904" s="12"/>
    </row>
    <row r="905" ht="14.25" customHeight="1">
      <c r="A905" s="12"/>
      <c r="B905" s="12"/>
    </row>
    <row r="906" ht="14.25" customHeight="1">
      <c r="A906" s="12"/>
      <c r="B906" s="12"/>
    </row>
    <row r="907" ht="14.25" customHeight="1">
      <c r="A907" s="12"/>
      <c r="B907" s="12"/>
    </row>
    <row r="908" ht="14.25" customHeight="1">
      <c r="A908" s="12"/>
      <c r="B908" s="12"/>
    </row>
    <row r="909" ht="14.25" customHeight="1">
      <c r="A909" s="12"/>
      <c r="B909" s="12"/>
    </row>
    <row r="910" ht="14.25" customHeight="1">
      <c r="A910" s="12"/>
      <c r="B910" s="12"/>
    </row>
    <row r="911" ht="14.25" customHeight="1">
      <c r="A911" s="12"/>
      <c r="B911" s="12"/>
    </row>
    <row r="912" ht="14.25" customHeight="1">
      <c r="A912" s="12"/>
      <c r="B912" s="12"/>
    </row>
    <row r="913" ht="14.25" customHeight="1">
      <c r="A913" s="12"/>
      <c r="B913" s="12"/>
    </row>
    <row r="914" ht="14.25" customHeight="1">
      <c r="A914" s="12"/>
      <c r="B914" s="12"/>
    </row>
    <row r="915" ht="14.25" customHeight="1">
      <c r="A915" s="12"/>
      <c r="B915" s="12"/>
    </row>
    <row r="916" ht="14.25" customHeight="1">
      <c r="A916" s="12"/>
      <c r="B916" s="12"/>
    </row>
    <row r="917" ht="14.25" customHeight="1">
      <c r="A917" s="12"/>
      <c r="B917" s="12"/>
    </row>
    <row r="918" ht="14.25" customHeight="1">
      <c r="A918" s="12"/>
      <c r="B918" s="12"/>
    </row>
    <row r="919" ht="14.25" customHeight="1">
      <c r="A919" s="12"/>
      <c r="B919" s="12"/>
    </row>
    <row r="920" ht="14.25" customHeight="1">
      <c r="A920" s="12"/>
      <c r="B920" s="12"/>
    </row>
    <row r="921" ht="14.25" customHeight="1">
      <c r="A921" s="12"/>
      <c r="B921" s="12"/>
    </row>
    <row r="922" ht="14.25" customHeight="1">
      <c r="A922" s="12"/>
      <c r="B922" s="12"/>
    </row>
    <row r="923" ht="14.25" customHeight="1">
      <c r="A923" s="12"/>
      <c r="B923" s="12"/>
    </row>
    <row r="924" ht="14.25" customHeight="1">
      <c r="A924" s="12"/>
      <c r="B924" s="12"/>
    </row>
    <row r="925" ht="14.25" customHeight="1">
      <c r="A925" s="12"/>
      <c r="B925" s="12"/>
    </row>
    <row r="926" ht="14.25" customHeight="1">
      <c r="A926" s="12"/>
      <c r="B926" s="12"/>
    </row>
    <row r="927" ht="14.25" customHeight="1">
      <c r="A927" s="12"/>
      <c r="B927" s="12"/>
    </row>
    <row r="928" ht="14.25" customHeight="1">
      <c r="A928" s="12"/>
      <c r="B928" s="12"/>
    </row>
    <row r="929" ht="14.25" customHeight="1">
      <c r="A929" s="12"/>
      <c r="B929" s="12"/>
    </row>
    <row r="930" ht="14.25" customHeight="1">
      <c r="A930" s="12"/>
      <c r="B930" s="12"/>
    </row>
    <row r="931" ht="14.25" customHeight="1">
      <c r="A931" s="12"/>
      <c r="B931" s="12"/>
    </row>
    <row r="932" ht="14.25" customHeight="1">
      <c r="A932" s="12"/>
      <c r="B932" s="12"/>
    </row>
    <row r="933" ht="14.25" customHeight="1">
      <c r="A933" s="12"/>
      <c r="B933" s="12"/>
    </row>
    <row r="934" ht="14.25" customHeight="1">
      <c r="A934" s="12"/>
      <c r="B934" s="12"/>
    </row>
    <row r="935" ht="14.25" customHeight="1">
      <c r="A935" s="12"/>
      <c r="B935" s="12"/>
    </row>
    <row r="936" ht="14.25" customHeight="1">
      <c r="A936" s="12"/>
      <c r="B936" s="12"/>
    </row>
    <row r="937" ht="14.25" customHeight="1">
      <c r="A937" s="12"/>
      <c r="B937" s="12"/>
    </row>
    <row r="938" ht="14.25" customHeight="1">
      <c r="A938" s="12"/>
      <c r="B938" s="12"/>
    </row>
    <row r="939" ht="14.25" customHeight="1">
      <c r="A939" s="12"/>
      <c r="B939" s="12"/>
    </row>
    <row r="940" ht="14.25" customHeight="1">
      <c r="A940" s="12"/>
      <c r="B940" s="12"/>
    </row>
    <row r="941" ht="14.25" customHeight="1">
      <c r="A941" s="12"/>
      <c r="B941" s="12"/>
    </row>
    <row r="942" ht="14.25" customHeight="1">
      <c r="A942" s="12"/>
      <c r="B942" s="12"/>
    </row>
    <row r="943" ht="14.25" customHeight="1">
      <c r="A943" s="12"/>
      <c r="B943" s="12"/>
    </row>
    <row r="944" ht="14.25" customHeight="1">
      <c r="A944" s="12"/>
      <c r="B944" s="12"/>
    </row>
    <row r="945" ht="14.25" customHeight="1">
      <c r="A945" s="12"/>
      <c r="B945" s="12"/>
    </row>
    <row r="946" ht="14.25" customHeight="1">
      <c r="A946" s="12"/>
      <c r="B946" s="12"/>
    </row>
    <row r="947" ht="14.25" customHeight="1">
      <c r="A947" s="12"/>
      <c r="B947" s="12"/>
    </row>
    <row r="948" ht="14.25" customHeight="1">
      <c r="A948" s="12"/>
      <c r="B948" s="12"/>
    </row>
    <row r="949" ht="14.25" customHeight="1">
      <c r="A949" s="12"/>
      <c r="B949" s="12"/>
    </row>
    <row r="950" ht="14.25" customHeight="1">
      <c r="A950" s="12"/>
      <c r="B950" s="12"/>
    </row>
    <row r="951" ht="14.25" customHeight="1">
      <c r="A951" s="12"/>
      <c r="B951" s="12"/>
    </row>
    <row r="952" ht="14.25" customHeight="1">
      <c r="A952" s="12"/>
      <c r="B952" s="12"/>
    </row>
    <row r="953" ht="14.25" customHeight="1">
      <c r="A953" s="12"/>
      <c r="B953" s="12"/>
    </row>
    <row r="954" ht="14.25" customHeight="1">
      <c r="A954" s="12"/>
      <c r="B954" s="12"/>
    </row>
    <row r="955" ht="14.25" customHeight="1">
      <c r="A955" s="12"/>
      <c r="B955" s="12"/>
    </row>
    <row r="956" ht="14.25" customHeight="1">
      <c r="A956" s="12"/>
      <c r="B956" s="12"/>
    </row>
    <row r="957" ht="14.25" customHeight="1">
      <c r="A957" s="12"/>
      <c r="B957" s="12"/>
    </row>
    <row r="958" ht="14.25" customHeight="1">
      <c r="A958" s="12"/>
      <c r="B958" s="12"/>
    </row>
    <row r="959" ht="14.25" customHeight="1">
      <c r="A959" s="12"/>
      <c r="B959" s="12"/>
    </row>
    <row r="960" ht="14.25" customHeight="1">
      <c r="A960" s="12"/>
      <c r="B960" s="12"/>
    </row>
    <row r="961" ht="14.25" customHeight="1">
      <c r="A961" s="12"/>
      <c r="B961" s="12"/>
    </row>
    <row r="962" ht="14.25" customHeight="1">
      <c r="A962" s="12"/>
      <c r="B962" s="12"/>
    </row>
    <row r="963" ht="14.25" customHeight="1">
      <c r="A963" s="12"/>
      <c r="B963" s="12"/>
    </row>
    <row r="964" ht="14.25" customHeight="1">
      <c r="A964" s="12"/>
      <c r="B964" s="12"/>
    </row>
    <row r="965" ht="14.25" customHeight="1">
      <c r="A965" s="12"/>
      <c r="B965" s="12"/>
    </row>
    <row r="966" ht="14.25" customHeight="1">
      <c r="A966" s="12"/>
      <c r="B966" s="12"/>
    </row>
    <row r="967" ht="14.25" customHeight="1">
      <c r="A967" s="12"/>
      <c r="B967" s="12"/>
    </row>
    <row r="968" ht="14.25" customHeight="1">
      <c r="A968" s="12"/>
      <c r="B968" s="12"/>
    </row>
    <row r="969" ht="14.25" customHeight="1">
      <c r="A969" s="12"/>
      <c r="B969" s="12"/>
    </row>
    <row r="970" ht="14.25" customHeight="1">
      <c r="A970" s="12"/>
      <c r="B970" s="12"/>
    </row>
    <row r="971" ht="14.25" customHeight="1">
      <c r="A971" s="12"/>
      <c r="B971" s="12"/>
    </row>
    <row r="972" ht="14.25" customHeight="1">
      <c r="A972" s="12"/>
      <c r="B972" s="12"/>
    </row>
    <row r="973" ht="14.25" customHeight="1">
      <c r="A973" s="12"/>
      <c r="B973" s="12"/>
    </row>
    <row r="974" ht="14.25" customHeight="1">
      <c r="A974" s="12"/>
      <c r="B974" s="12"/>
    </row>
    <row r="975" ht="14.25" customHeight="1">
      <c r="A975" s="12"/>
      <c r="B975" s="12"/>
    </row>
    <row r="976" ht="14.25" customHeight="1">
      <c r="A976" s="12"/>
      <c r="B976" s="12"/>
    </row>
    <row r="977" ht="14.25" customHeight="1">
      <c r="A977" s="12"/>
      <c r="B977" s="12"/>
    </row>
    <row r="978" ht="14.25" customHeight="1">
      <c r="A978" s="12"/>
      <c r="B978" s="12"/>
    </row>
    <row r="979" ht="14.25" customHeight="1">
      <c r="A979" s="12"/>
      <c r="B979" s="12"/>
    </row>
    <row r="980" ht="14.25" customHeight="1">
      <c r="A980" s="12"/>
      <c r="B980" s="12"/>
    </row>
    <row r="981" ht="14.25" customHeight="1">
      <c r="A981" s="12"/>
      <c r="B981" s="12"/>
    </row>
    <row r="982" ht="14.25" customHeight="1">
      <c r="A982" s="12"/>
      <c r="B982" s="12"/>
    </row>
    <row r="983" ht="14.25" customHeight="1">
      <c r="A983" s="12"/>
      <c r="B983" s="12"/>
    </row>
    <row r="984" ht="14.25" customHeight="1">
      <c r="A984" s="12"/>
      <c r="B984" s="12"/>
    </row>
    <row r="985" ht="14.25" customHeight="1">
      <c r="A985" s="12"/>
      <c r="B985" s="12"/>
    </row>
    <row r="986" ht="14.25" customHeight="1">
      <c r="A986" s="12"/>
      <c r="B986" s="12"/>
    </row>
    <row r="987" ht="14.25" customHeight="1">
      <c r="A987" s="12"/>
      <c r="B987" s="12"/>
    </row>
    <row r="988" ht="14.25" customHeight="1">
      <c r="A988" s="12"/>
      <c r="B988" s="12"/>
    </row>
    <row r="989" ht="14.25" customHeight="1">
      <c r="A989" s="12"/>
      <c r="B989" s="12"/>
    </row>
    <row r="990" ht="14.25" customHeight="1">
      <c r="A990" s="12"/>
      <c r="B990" s="12"/>
    </row>
    <row r="991" ht="14.25" customHeight="1">
      <c r="A991" s="12"/>
      <c r="B991" s="12"/>
    </row>
    <row r="992" ht="14.25" customHeight="1">
      <c r="A992" s="12"/>
      <c r="B992" s="12"/>
    </row>
    <row r="993" ht="14.25" customHeight="1">
      <c r="A993" s="12"/>
      <c r="B993" s="12"/>
    </row>
    <row r="994" ht="14.25" customHeight="1">
      <c r="A994" s="12"/>
      <c r="B994" s="12"/>
    </row>
    <row r="995" ht="14.25" customHeight="1">
      <c r="A995" s="12"/>
      <c r="B995" s="12"/>
    </row>
    <row r="996" ht="14.25" customHeight="1">
      <c r="A996" s="12"/>
      <c r="B996" s="12"/>
    </row>
    <row r="997" ht="14.25" customHeight="1">
      <c r="A997" s="12"/>
      <c r="B997" s="12"/>
    </row>
    <row r="998" ht="14.25" customHeight="1">
      <c r="A998" s="12"/>
      <c r="B998" s="12"/>
    </row>
    <row r="999" ht="14.25" customHeight="1">
      <c r="A999" s="12"/>
      <c r="B999" s="12"/>
    </row>
    <row r="1000" ht="14.25" customHeight="1">
      <c r="A1000" s="12"/>
      <c r="B1000" s="12"/>
    </row>
  </sheetData>
  <mergeCells count="6">
    <mergeCell ref="A1:B1"/>
    <mergeCell ref="D1:E1"/>
    <mergeCell ref="G1:H1"/>
    <mergeCell ref="J1:K1"/>
    <mergeCell ref="W1:X1"/>
    <mergeCell ref="Z1:AA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88"/>
    <col customWidth="1" min="3" max="26" width="8.63"/>
  </cols>
  <sheetData>
    <row r="1" ht="14.25" customHeight="1">
      <c r="A1" s="1" t="s">
        <v>55</v>
      </c>
      <c r="B1" s="1" t="str">
        <f>Input!B1</f>
        <v>0133457799bbcdff</v>
      </c>
      <c r="L1" s="1" t="s">
        <v>56</v>
      </c>
      <c r="M1" s="1" t="str">
        <f>Input!B2</f>
        <v>00123456789abcde</v>
      </c>
    </row>
    <row r="2" ht="14.25" customHeight="1">
      <c r="A2" s="1" t="s">
        <v>57</v>
      </c>
      <c r="B2" s="1" t="s">
        <v>58</v>
      </c>
      <c r="C2" s="1" t="s">
        <v>59</v>
      </c>
      <c r="L2" s="1" t="s">
        <v>57</v>
      </c>
      <c r="M2" s="1" t="s">
        <v>58</v>
      </c>
      <c r="N2" s="1" t="s">
        <v>59</v>
      </c>
    </row>
    <row r="3" ht="14.25" customHeight="1">
      <c r="A3" s="1">
        <v>1.0</v>
      </c>
      <c r="B3" s="1" t="str">
        <f t="shared" ref="B3:B18" si="1">MID($B$1,A3,1)</f>
        <v>0</v>
      </c>
      <c r="C3" s="1" t="str">
        <f t="shared" ref="C3:C18" si="2">HEX2BIN(B3,4)</f>
        <v>0000</v>
      </c>
      <c r="D3" s="1" t="str">
        <f t="shared" ref="D3:D16" si="3">C3&amp;D4</f>
        <v>0000000100110011010001010111011110011001101110111100110111111111</v>
      </c>
      <c r="L3" s="1">
        <v>1.0</v>
      </c>
      <c r="M3" s="1" t="str">
        <f t="shared" ref="M3:M18" si="4">MID($M$1,L3,1)</f>
        <v>0</v>
      </c>
      <c r="N3" s="1" t="str">
        <f t="shared" ref="N3:N18" si="5">HEX2BIN(M3,4)</f>
        <v>0000</v>
      </c>
      <c r="O3" s="1" t="str">
        <f t="shared" ref="O3:O16" si="6">N3&amp;O4</f>
        <v>0000000000010010001101000101011001111000100110101011110011011110</v>
      </c>
    </row>
    <row r="4" ht="14.25" customHeight="1">
      <c r="A4" s="1">
        <v>2.0</v>
      </c>
      <c r="B4" s="1" t="str">
        <f t="shared" si="1"/>
        <v>1</v>
      </c>
      <c r="C4" s="1" t="str">
        <f t="shared" si="2"/>
        <v>0001</v>
      </c>
      <c r="D4" s="1" t="str">
        <f t="shared" si="3"/>
        <v>000100110011010001010111011110011001101110111100110111111111</v>
      </c>
      <c r="L4" s="1">
        <v>2.0</v>
      </c>
      <c r="M4" s="1" t="str">
        <f t="shared" si="4"/>
        <v>0</v>
      </c>
      <c r="N4" s="1" t="str">
        <f t="shared" si="5"/>
        <v>0000</v>
      </c>
      <c r="O4" s="1" t="str">
        <f t="shared" si="6"/>
        <v>000000010010001101000101011001111000100110101011110011011110</v>
      </c>
    </row>
    <row r="5" ht="14.25" customHeight="1">
      <c r="A5" s="1">
        <v>3.0</v>
      </c>
      <c r="B5" s="1" t="str">
        <f t="shared" si="1"/>
        <v>3</v>
      </c>
      <c r="C5" s="1" t="str">
        <f t="shared" si="2"/>
        <v>0011</v>
      </c>
      <c r="D5" s="1" t="str">
        <f t="shared" si="3"/>
        <v>00110011010001010111011110011001101110111100110111111111</v>
      </c>
      <c r="L5" s="1">
        <v>3.0</v>
      </c>
      <c r="M5" s="1" t="str">
        <f t="shared" si="4"/>
        <v>1</v>
      </c>
      <c r="N5" s="1" t="str">
        <f t="shared" si="5"/>
        <v>0001</v>
      </c>
      <c r="O5" s="1" t="str">
        <f t="shared" si="6"/>
        <v>00010010001101000101011001111000100110101011110011011110</v>
      </c>
    </row>
    <row r="6" ht="14.25" customHeight="1">
      <c r="A6" s="1">
        <v>4.0</v>
      </c>
      <c r="B6" s="1" t="str">
        <f t="shared" si="1"/>
        <v>3</v>
      </c>
      <c r="C6" s="1" t="str">
        <f t="shared" si="2"/>
        <v>0011</v>
      </c>
      <c r="D6" s="1" t="str">
        <f t="shared" si="3"/>
        <v>0011010001010111011110011001101110111100110111111111</v>
      </c>
      <c r="L6" s="1">
        <v>4.0</v>
      </c>
      <c r="M6" s="1" t="str">
        <f t="shared" si="4"/>
        <v>2</v>
      </c>
      <c r="N6" s="1" t="str">
        <f t="shared" si="5"/>
        <v>0010</v>
      </c>
      <c r="O6" s="1" t="str">
        <f t="shared" si="6"/>
        <v>0010001101000101011001111000100110101011110011011110</v>
      </c>
    </row>
    <row r="7" ht="14.25" customHeight="1">
      <c r="A7" s="1">
        <v>5.0</v>
      </c>
      <c r="B7" s="1" t="str">
        <f t="shared" si="1"/>
        <v>4</v>
      </c>
      <c r="C7" s="1" t="str">
        <f t="shared" si="2"/>
        <v>0100</v>
      </c>
      <c r="D7" s="1" t="str">
        <f t="shared" si="3"/>
        <v>010001010111011110011001101110111100110111111111</v>
      </c>
      <c r="L7" s="1">
        <v>5.0</v>
      </c>
      <c r="M7" s="1" t="str">
        <f t="shared" si="4"/>
        <v>3</v>
      </c>
      <c r="N7" s="1" t="str">
        <f t="shared" si="5"/>
        <v>0011</v>
      </c>
      <c r="O7" s="1" t="str">
        <f t="shared" si="6"/>
        <v>001101000101011001111000100110101011110011011110</v>
      </c>
    </row>
    <row r="8" ht="14.25" customHeight="1">
      <c r="A8" s="1">
        <v>6.0</v>
      </c>
      <c r="B8" s="1" t="str">
        <f t="shared" si="1"/>
        <v>5</v>
      </c>
      <c r="C8" s="1" t="str">
        <f t="shared" si="2"/>
        <v>0101</v>
      </c>
      <c r="D8" s="1" t="str">
        <f t="shared" si="3"/>
        <v>01010111011110011001101110111100110111111111</v>
      </c>
      <c r="L8" s="1">
        <v>6.0</v>
      </c>
      <c r="M8" s="1" t="str">
        <f t="shared" si="4"/>
        <v>4</v>
      </c>
      <c r="N8" s="1" t="str">
        <f t="shared" si="5"/>
        <v>0100</v>
      </c>
      <c r="O8" s="1" t="str">
        <f t="shared" si="6"/>
        <v>01000101011001111000100110101011110011011110</v>
      </c>
    </row>
    <row r="9" ht="14.25" customHeight="1">
      <c r="A9" s="1">
        <v>7.0</v>
      </c>
      <c r="B9" s="1" t="str">
        <f t="shared" si="1"/>
        <v>7</v>
      </c>
      <c r="C9" s="1" t="str">
        <f t="shared" si="2"/>
        <v>0111</v>
      </c>
      <c r="D9" s="1" t="str">
        <f t="shared" si="3"/>
        <v>0111011110011001101110111100110111111111</v>
      </c>
      <c r="L9" s="1">
        <v>7.0</v>
      </c>
      <c r="M9" s="1" t="str">
        <f t="shared" si="4"/>
        <v>5</v>
      </c>
      <c r="N9" s="1" t="str">
        <f t="shared" si="5"/>
        <v>0101</v>
      </c>
      <c r="O9" s="1" t="str">
        <f t="shared" si="6"/>
        <v>0101011001111000100110101011110011011110</v>
      </c>
    </row>
    <row r="10" ht="14.25" customHeight="1">
      <c r="A10" s="1">
        <v>8.0</v>
      </c>
      <c r="B10" s="1" t="str">
        <f t="shared" si="1"/>
        <v>7</v>
      </c>
      <c r="C10" s="1" t="str">
        <f t="shared" si="2"/>
        <v>0111</v>
      </c>
      <c r="D10" s="1" t="str">
        <f t="shared" si="3"/>
        <v>011110011001101110111100110111111111</v>
      </c>
      <c r="L10" s="1">
        <v>8.0</v>
      </c>
      <c r="M10" s="1" t="str">
        <f t="shared" si="4"/>
        <v>6</v>
      </c>
      <c r="N10" s="1" t="str">
        <f t="shared" si="5"/>
        <v>0110</v>
      </c>
      <c r="O10" s="1" t="str">
        <f t="shared" si="6"/>
        <v>011001111000100110101011110011011110</v>
      </c>
    </row>
    <row r="11" ht="14.25" customHeight="1">
      <c r="A11" s="1">
        <v>9.0</v>
      </c>
      <c r="B11" s="1" t="str">
        <f t="shared" si="1"/>
        <v>9</v>
      </c>
      <c r="C11" s="1" t="str">
        <f t="shared" si="2"/>
        <v>1001</v>
      </c>
      <c r="D11" s="1" t="str">
        <f t="shared" si="3"/>
        <v>10011001101110111100110111111111</v>
      </c>
      <c r="L11" s="1">
        <v>9.0</v>
      </c>
      <c r="M11" s="1" t="str">
        <f t="shared" si="4"/>
        <v>7</v>
      </c>
      <c r="N11" s="1" t="str">
        <f t="shared" si="5"/>
        <v>0111</v>
      </c>
      <c r="O11" s="1" t="str">
        <f t="shared" si="6"/>
        <v>01111000100110101011110011011110</v>
      </c>
    </row>
    <row r="12" ht="14.25" customHeight="1">
      <c r="A12" s="1">
        <v>10.0</v>
      </c>
      <c r="B12" s="1" t="str">
        <f t="shared" si="1"/>
        <v>9</v>
      </c>
      <c r="C12" s="1" t="str">
        <f t="shared" si="2"/>
        <v>1001</v>
      </c>
      <c r="D12" s="1" t="str">
        <f t="shared" si="3"/>
        <v>1001101110111100110111111111</v>
      </c>
      <c r="L12" s="1">
        <v>10.0</v>
      </c>
      <c r="M12" s="1" t="str">
        <f t="shared" si="4"/>
        <v>8</v>
      </c>
      <c r="N12" s="1" t="str">
        <f t="shared" si="5"/>
        <v>1000</v>
      </c>
      <c r="O12" s="1" t="str">
        <f t="shared" si="6"/>
        <v>1000100110101011110011011110</v>
      </c>
    </row>
    <row r="13" ht="14.25" customHeight="1">
      <c r="A13" s="1">
        <v>11.0</v>
      </c>
      <c r="B13" s="1" t="str">
        <f t="shared" si="1"/>
        <v>b</v>
      </c>
      <c r="C13" s="1" t="str">
        <f t="shared" si="2"/>
        <v>1011</v>
      </c>
      <c r="D13" s="1" t="str">
        <f t="shared" si="3"/>
        <v>101110111100110111111111</v>
      </c>
      <c r="L13" s="1">
        <v>11.0</v>
      </c>
      <c r="M13" s="1" t="str">
        <f t="shared" si="4"/>
        <v>9</v>
      </c>
      <c r="N13" s="1" t="str">
        <f t="shared" si="5"/>
        <v>1001</v>
      </c>
      <c r="O13" s="1" t="str">
        <f t="shared" si="6"/>
        <v>100110101011110011011110</v>
      </c>
    </row>
    <row r="14" ht="14.25" customHeight="1">
      <c r="A14" s="1">
        <v>12.0</v>
      </c>
      <c r="B14" s="1" t="str">
        <f t="shared" si="1"/>
        <v>b</v>
      </c>
      <c r="C14" s="1" t="str">
        <f t="shared" si="2"/>
        <v>1011</v>
      </c>
      <c r="D14" s="1" t="str">
        <f t="shared" si="3"/>
        <v>10111100110111111111</v>
      </c>
      <c r="L14" s="1">
        <v>12.0</v>
      </c>
      <c r="M14" s="1" t="str">
        <f t="shared" si="4"/>
        <v>a</v>
      </c>
      <c r="N14" s="1" t="str">
        <f t="shared" si="5"/>
        <v>1010</v>
      </c>
      <c r="O14" s="1" t="str">
        <f t="shared" si="6"/>
        <v>10101011110011011110</v>
      </c>
    </row>
    <row r="15" ht="14.25" customHeight="1">
      <c r="A15" s="1">
        <v>13.0</v>
      </c>
      <c r="B15" s="1" t="str">
        <f t="shared" si="1"/>
        <v>c</v>
      </c>
      <c r="C15" s="1" t="str">
        <f t="shared" si="2"/>
        <v>1100</v>
      </c>
      <c r="D15" s="1" t="str">
        <f t="shared" si="3"/>
        <v>1100110111111111</v>
      </c>
      <c r="L15" s="1">
        <v>13.0</v>
      </c>
      <c r="M15" s="1" t="str">
        <f t="shared" si="4"/>
        <v>b</v>
      </c>
      <c r="N15" s="1" t="str">
        <f t="shared" si="5"/>
        <v>1011</v>
      </c>
      <c r="O15" s="1" t="str">
        <f t="shared" si="6"/>
        <v>1011110011011110</v>
      </c>
    </row>
    <row r="16" ht="14.25" customHeight="1">
      <c r="A16" s="1">
        <v>14.0</v>
      </c>
      <c r="B16" s="1" t="str">
        <f t="shared" si="1"/>
        <v>d</v>
      </c>
      <c r="C16" s="1" t="str">
        <f t="shared" si="2"/>
        <v>1101</v>
      </c>
      <c r="D16" s="1" t="str">
        <f t="shared" si="3"/>
        <v>110111111111</v>
      </c>
      <c r="L16" s="1">
        <v>14.0</v>
      </c>
      <c r="M16" s="1" t="str">
        <f t="shared" si="4"/>
        <v>c</v>
      </c>
      <c r="N16" s="1" t="str">
        <f t="shared" si="5"/>
        <v>1100</v>
      </c>
      <c r="O16" s="1" t="str">
        <f t="shared" si="6"/>
        <v>110011011110</v>
      </c>
    </row>
    <row r="17" ht="14.25" customHeight="1">
      <c r="A17" s="1">
        <v>15.0</v>
      </c>
      <c r="B17" s="1" t="str">
        <f t="shared" si="1"/>
        <v>f</v>
      </c>
      <c r="C17" s="1" t="str">
        <f t="shared" si="2"/>
        <v>1111</v>
      </c>
      <c r="D17" s="1" t="str">
        <f>C17&amp;C18</f>
        <v>11111111</v>
      </c>
      <c r="L17" s="1">
        <v>15.0</v>
      </c>
      <c r="M17" s="1" t="str">
        <f t="shared" si="4"/>
        <v>d</v>
      </c>
      <c r="N17" s="1" t="str">
        <f t="shared" si="5"/>
        <v>1101</v>
      </c>
      <c r="O17" s="1" t="str">
        <f>N17&amp;N18</f>
        <v>11011110</v>
      </c>
    </row>
    <row r="18" ht="14.25" customHeight="1">
      <c r="A18" s="1">
        <v>16.0</v>
      </c>
      <c r="B18" s="1" t="str">
        <f t="shared" si="1"/>
        <v>f</v>
      </c>
      <c r="C18" s="1" t="str">
        <f t="shared" si="2"/>
        <v>1111</v>
      </c>
      <c r="L18" s="1">
        <v>16.0</v>
      </c>
      <c r="M18" s="1" t="str">
        <f t="shared" si="4"/>
        <v>e</v>
      </c>
      <c r="N18" s="1" t="str">
        <f t="shared" si="5"/>
        <v>1110</v>
      </c>
    </row>
    <row r="19" ht="14.25" customHeight="1"/>
    <row r="20" ht="14.25" customHeight="1">
      <c r="A20" s="1" t="s">
        <v>60</v>
      </c>
      <c r="B20" s="1" t="str">
        <f>B22</f>
        <v>11110000110011001010101010111010101011001100111100001010</v>
      </c>
      <c r="H20" s="20" t="s">
        <v>61</v>
      </c>
      <c r="I20" s="20" t="s">
        <v>61</v>
      </c>
      <c r="J20" s="20" t="s">
        <v>62</v>
      </c>
    </row>
    <row r="21" ht="14.25" customHeight="1">
      <c r="A21" s="1" t="s">
        <v>63</v>
      </c>
      <c r="B21" s="1" t="s">
        <v>64</v>
      </c>
      <c r="H21" s="20">
        <v>1.0</v>
      </c>
      <c r="I21" s="20" t="str">
        <f t="shared" ref="I21:I27" si="7">MID($B$20,(H21-1)*8+1, 8)</f>
        <v>11110000</v>
      </c>
      <c r="J21" s="20" t="str">
        <f t="shared" ref="J21:J27" si="8">BIN2HEX(I21,2)</f>
        <v>F0</v>
      </c>
    </row>
    <row r="22" ht="14.25" customHeight="1">
      <c r="A22" s="1" t="str">
        <f> MID($D$3, Constanst!B3, 1)</f>
        <v>1</v>
      </c>
      <c r="B22" s="1" t="str">
        <f t="shared" ref="B22:B75" si="9">A22&amp;B23</f>
        <v>11110000110011001010101010111010101011001100111100001010</v>
      </c>
      <c r="H22" s="20">
        <v>2.0</v>
      </c>
      <c r="I22" s="20" t="str">
        <f t="shared" si="7"/>
        <v>11001100</v>
      </c>
      <c r="J22" s="20" t="str">
        <f t="shared" si="8"/>
        <v>CC</v>
      </c>
    </row>
    <row r="23" ht="14.25" customHeight="1">
      <c r="A23" s="1" t="str">
        <f> MID($D$3, Constanst!B4, 1)</f>
        <v>1</v>
      </c>
      <c r="B23" s="1" t="str">
        <f t="shared" si="9"/>
        <v>1110000110011001010101010111010101011001100111100001010</v>
      </c>
      <c r="H23" s="20">
        <v>3.0</v>
      </c>
      <c r="I23" s="20" t="str">
        <f t="shared" si="7"/>
        <v>10101010</v>
      </c>
      <c r="J23" s="20" t="str">
        <f t="shared" si="8"/>
        <v>AA</v>
      </c>
    </row>
    <row r="24" ht="14.25" customHeight="1">
      <c r="A24" s="1" t="str">
        <f> MID($D$3, Constanst!B5, 1)</f>
        <v>1</v>
      </c>
      <c r="B24" s="1" t="str">
        <f t="shared" si="9"/>
        <v>110000110011001010101010111010101011001100111100001010</v>
      </c>
      <c r="H24" s="20">
        <v>4.0</v>
      </c>
      <c r="I24" s="20" t="str">
        <f t="shared" si="7"/>
        <v>10111010</v>
      </c>
      <c r="J24" s="20" t="str">
        <f t="shared" si="8"/>
        <v>BA</v>
      </c>
    </row>
    <row r="25" ht="14.25" customHeight="1">
      <c r="A25" s="1" t="str">
        <f> MID($D$3, Constanst!B6, 1)</f>
        <v>1</v>
      </c>
      <c r="B25" s="1" t="str">
        <f t="shared" si="9"/>
        <v>10000110011001010101010111010101011001100111100001010</v>
      </c>
      <c r="H25" s="20">
        <v>5.0</v>
      </c>
      <c r="I25" s="20" t="str">
        <f t="shared" si="7"/>
        <v>10101100</v>
      </c>
      <c r="J25" s="20" t="str">
        <f t="shared" si="8"/>
        <v>AC</v>
      </c>
    </row>
    <row r="26" ht="14.25" customHeight="1">
      <c r="A26" s="1" t="str">
        <f> MID($D$3, Constanst!B7, 1)</f>
        <v>0</v>
      </c>
      <c r="B26" s="1" t="str">
        <f t="shared" si="9"/>
        <v>0000110011001010101010111010101011001100111100001010</v>
      </c>
      <c r="H26" s="20">
        <v>6.0</v>
      </c>
      <c r="I26" s="20" t="str">
        <f t="shared" si="7"/>
        <v>11001111</v>
      </c>
      <c r="J26" s="20" t="str">
        <f t="shared" si="8"/>
        <v>CF</v>
      </c>
    </row>
    <row r="27" ht="14.25" customHeight="1">
      <c r="A27" s="1" t="str">
        <f> MID($D$3, Constanst!B8, 1)</f>
        <v>0</v>
      </c>
      <c r="B27" s="1" t="str">
        <f t="shared" si="9"/>
        <v>000110011001010101010111010101011001100111100001010</v>
      </c>
      <c r="H27" s="20">
        <v>7.0</v>
      </c>
      <c r="I27" s="20" t="str">
        <f t="shared" si="7"/>
        <v>00001010</v>
      </c>
      <c r="J27" s="20" t="str">
        <f t="shared" si="8"/>
        <v>0A</v>
      </c>
    </row>
    <row r="28" ht="14.25" customHeight="1">
      <c r="A28" s="1" t="str">
        <f> MID($D$3, Constanst!B9, 1)</f>
        <v>0</v>
      </c>
      <c r="B28" s="1" t="str">
        <f t="shared" si="9"/>
        <v>00110011001010101010111010101011001100111100001010</v>
      </c>
    </row>
    <row r="29" ht="14.25" customHeight="1">
      <c r="A29" s="1" t="str">
        <f> MID($D$3, Constanst!B10, 1)</f>
        <v>0</v>
      </c>
      <c r="B29" s="1" t="str">
        <f t="shared" si="9"/>
        <v>0110011001010101010111010101011001100111100001010</v>
      </c>
    </row>
    <row r="30" ht="14.25" customHeight="1">
      <c r="A30" s="1" t="str">
        <f> MID($D$3, Constanst!B11, 1)</f>
        <v>1</v>
      </c>
      <c r="B30" s="1" t="str">
        <f t="shared" si="9"/>
        <v>110011001010101010111010101011001100111100001010</v>
      </c>
    </row>
    <row r="31" ht="14.25" customHeight="1">
      <c r="A31" s="1" t="str">
        <f> MID($D$3, Constanst!B12, 1)</f>
        <v>1</v>
      </c>
      <c r="B31" s="1" t="str">
        <f t="shared" si="9"/>
        <v>10011001010101010111010101011001100111100001010</v>
      </c>
    </row>
    <row r="32" ht="14.25" customHeight="1">
      <c r="A32" s="1" t="str">
        <f> MID($D$3, Constanst!B13, 1)</f>
        <v>0</v>
      </c>
      <c r="B32" s="1" t="str">
        <f t="shared" si="9"/>
        <v>0011001010101010111010101011001100111100001010</v>
      </c>
    </row>
    <row r="33" ht="14.25" customHeight="1">
      <c r="A33" s="1" t="str">
        <f> MID($D$3, Constanst!B14, 1)</f>
        <v>0</v>
      </c>
      <c r="B33" s="1" t="str">
        <f t="shared" si="9"/>
        <v>011001010101010111010101011001100111100001010</v>
      </c>
    </row>
    <row r="34" ht="14.25" customHeight="1">
      <c r="A34" s="1" t="str">
        <f> MID($D$3, Constanst!B15, 1)</f>
        <v>1</v>
      </c>
      <c r="B34" s="1" t="str">
        <f t="shared" si="9"/>
        <v>11001010101010111010101011001100111100001010</v>
      </c>
    </row>
    <row r="35" ht="14.25" customHeight="1">
      <c r="A35" s="1" t="str">
        <f> MID($D$3, Constanst!B16, 1)</f>
        <v>1</v>
      </c>
      <c r="B35" s="1" t="str">
        <f t="shared" si="9"/>
        <v>1001010101010111010101011001100111100001010</v>
      </c>
    </row>
    <row r="36" ht="14.25" customHeight="1">
      <c r="A36" s="1" t="str">
        <f> MID($D$3, Constanst!B17, 1)</f>
        <v>0</v>
      </c>
      <c r="B36" s="1" t="str">
        <f t="shared" si="9"/>
        <v>001010101010111010101011001100111100001010</v>
      </c>
    </row>
    <row r="37" ht="14.25" customHeight="1">
      <c r="A37" s="1" t="str">
        <f> MID($D$3, Constanst!B18, 1)</f>
        <v>0</v>
      </c>
      <c r="B37" s="1" t="str">
        <f t="shared" si="9"/>
        <v>01010101010111010101011001100111100001010</v>
      </c>
    </row>
    <row r="38" ht="14.25" customHeight="1">
      <c r="A38" s="1" t="str">
        <f> MID($D$3, Constanst!B19, 1)</f>
        <v>1</v>
      </c>
      <c r="B38" s="1" t="str">
        <f t="shared" si="9"/>
        <v>1010101010111010101011001100111100001010</v>
      </c>
    </row>
    <row r="39" ht="14.25" customHeight="1">
      <c r="A39" s="1" t="str">
        <f> MID($D$3, Constanst!B20, 1)</f>
        <v>0</v>
      </c>
      <c r="B39" s="1" t="str">
        <f t="shared" si="9"/>
        <v>010101010111010101011001100111100001010</v>
      </c>
    </row>
    <row r="40" ht="14.25" customHeight="1">
      <c r="A40" s="1" t="str">
        <f> MID($D$3, Constanst!B21, 1)</f>
        <v>1</v>
      </c>
      <c r="B40" s="1" t="str">
        <f t="shared" si="9"/>
        <v>10101010111010101011001100111100001010</v>
      </c>
    </row>
    <row r="41" ht="14.25" customHeight="1">
      <c r="A41" s="1" t="str">
        <f> MID($D$3, Constanst!B22, 1)</f>
        <v>0</v>
      </c>
      <c r="B41" s="1" t="str">
        <f t="shared" si="9"/>
        <v>0101010111010101011001100111100001010</v>
      </c>
    </row>
    <row r="42" ht="14.25" customHeight="1">
      <c r="A42" s="1" t="str">
        <f> MID($D$3, Constanst!B23, 1)</f>
        <v>1</v>
      </c>
      <c r="B42" s="1" t="str">
        <f t="shared" si="9"/>
        <v>101010111010101011001100111100001010</v>
      </c>
    </row>
    <row r="43" ht="14.25" customHeight="1">
      <c r="A43" s="1" t="str">
        <f> MID($D$3, Constanst!B24, 1)</f>
        <v>0</v>
      </c>
      <c r="B43" s="1" t="str">
        <f t="shared" si="9"/>
        <v>01010111010101011001100111100001010</v>
      </c>
    </row>
    <row r="44" ht="14.25" customHeight="1">
      <c r="A44" s="1" t="str">
        <f> MID($D$3, Constanst!B25, 1)</f>
        <v>1</v>
      </c>
      <c r="B44" s="1" t="str">
        <f t="shared" si="9"/>
        <v>1010111010101011001100111100001010</v>
      </c>
    </row>
    <row r="45" ht="14.25" customHeight="1">
      <c r="A45" s="1" t="str">
        <f> MID($D$3, Constanst!B26, 1)</f>
        <v>0</v>
      </c>
      <c r="B45" s="1" t="str">
        <f t="shared" si="9"/>
        <v>010111010101011001100111100001010</v>
      </c>
    </row>
    <row r="46" ht="14.25" customHeight="1">
      <c r="A46" s="1" t="str">
        <f> MID($D$3, Constanst!B27, 1)</f>
        <v>1</v>
      </c>
      <c r="B46" s="1" t="str">
        <f t="shared" si="9"/>
        <v>10111010101011001100111100001010</v>
      </c>
    </row>
    <row r="47" ht="14.25" customHeight="1">
      <c r="A47" s="1" t="str">
        <f> MID($D$3, Constanst!B28, 1)</f>
        <v>0</v>
      </c>
      <c r="B47" s="1" t="str">
        <f t="shared" si="9"/>
        <v>0111010101011001100111100001010</v>
      </c>
    </row>
    <row r="48" ht="14.25" customHeight="1">
      <c r="A48" s="1" t="str">
        <f> MID($D$3, Constanst!B29, 1)</f>
        <v>1</v>
      </c>
      <c r="B48" s="1" t="str">
        <f t="shared" si="9"/>
        <v>111010101011001100111100001010</v>
      </c>
    </row>
    <row r="49" ht="14.25" customHeight="1">
      <c r="A49" s="1" t="str">
        <f> MID($D$3, Constanst!B30, 1)</f>
        <v>1</v>
      </c>
      <c r="B49" s="1" t="str">
        <f t="shared" si="9"/>
        <v>11010101011001100111100001010</v>
      </c>
    </row>
    <row r="50" ht="14.25" customHeight="1">
      <c r="A50" s="1" t="str">
        <f> MID($D$3, Constanst!B31, 1)</f>
        <v>1</v>
      </c>
      <c r="B50" s="1" t="str">
        <f t="shared" si="9"/>
        <v>1010101011001100111100001010</v>
      </c>
    </row>
    <row r="51" ht="14.25" customHeight="1">
      <c r="A51" s="1" t="str">
        <f> MID($D$3, Constanst!B32, 1)</f>
        <v>0</v>
      </c>
      <c r="B51" s="1" t="str">
        <f t="shared" si="9"/>
        <v>010101011001100111100001010</v>
      </c>
    </row>
    <row r="52" ht="14.25" customHeight="1">
      <c r="A52" s="1" t="str">
        <f> MID($D$3, Constanst!B33, 1)</f>
        <v>1</v>
      </c>
      <c r="B52" s="1" t="str">
        <f t="shared" si="9"/>
        <v>10101011001100111100001010</v>
      </c>
    </row>
    <row r="53" ht="14.25" customHeight="1">
      <c r="A53" s="1" t="str">
        <f> MID($D$3, Constanst!B34, 1)</f>
        <v>0</v>
      </c>
      <c r="B53" s="1" t="str">
        <f t="shared" si="9"/>
        <v>0101011001100111100001010</v>
      </c>
    </row>
    <row r="54" ht="14.25" customHeight="1">
      <c r="A54" s="1" t="str">
        <f> MID($D$3, Constanst!B35, 1)</f>
        <v>1</v>
      </c>
      <c r="B54" s="1" t="str">
        <f t="shared" si="9"/>
        <v>101011001100111100001010</v>
      </c>
    </row>
    <row r="55" ht="14.25" customHeight="1">
      <c r="A55" s="1" t="str">
        <f> MID($D$3, Constanst!B36, 1)</f>
        <v>0</v>
      </c>
      <c r="B55" s="1" t="str">
        <f t="shared" si="9"/>
        <v>01011001100111100001010</v>
      </c>
    </row>
    <row r="56" ht="14.25" customHeight="1">
      <c r="A56" s="1" t="str">
        <f> MID($D$3, Constanst!B37, 1)</f>
        <v>1</v>
      </c>
      <c r="B56" s="1" t="str">
        <f t="shared" si="9"/>
        <v>1011001100111100001010</v>
      </c>
    </row>
    <row r="57" ht="14.25" customHeight="1">
      <c r="A57" s="1" t="str">
        <f> MID($D$3, Constanst!B38, 1)</f>
        <v>0</v>
      </c>
      <c r="B57" s="1" t="str">
        <f t="shared" si="9"/>
        <v>011001100111100001010</v>
      </c>
    </row>
    <row r="58" ht="14.25" customHeight="1">
      <c r="A58" s="1" t="str">
        <f> MID($D$3, Constanst!B39, 1)</f>
        <v>1</v>
      </c>
      <c r="B58" s="1" t="str">
        <f t="shared" si="9"/>
        <v>11001100111100001010</v>
      </c>
    </row>
    <row r="59" ht="14.25" customHeight="1">
      <c r="A59" s="1" t="str">
        <f> MID($D$3, Constanst!B40, 1)</f>
        <v>1</v>
      </c>
      <c r="B59" s="1" t="str">
        <f t="shared" si="9"/>
        <v>1001100111100001010</v>
      </c>
    </row>
    <row r="60" ht="14.25" customHeight="1">
      <c r="A60" s="1" t="str">
        <f> MID($D$3, Constanst!B41, 1)</f>
        <v>0</v>
      </c>
      <c r="B60" s="1" t="str">
        <f t="shared" si="9"/>
        <v>001100111100001010</v>
      </c>
    </row>
    <row r="61" ht="14.25" customHeight="1">
      <c r="A61" s="1" t="str">
        <f> MID($D$3, Constanst!B42, 1)</f>
        <v>0</v>
      </c>
      <c r="B61" s="1" t="str">
        <f t="shared" si="9"/>
        <v>01100111100001010</v>
      </c>
    </row>
    <row r="62" ht="14.25" customHeight="1">
      <c r="A62" s="1" t="str">
        <f> MID($D$3, Constanst!B43, 1)</f>
        <v>1</v>
      </c>
      <c r="B62" s="1" t="str">
        <f t="shared" si="9"/>
        <v>1100111100001010</v>
      </c>
    </row>
    <row r="63" ht="14.25" customHeight="1">
      <c r="A63" s="1" t="str">
        <f> MID($D$3, Constanst!B44, 1)</f>
        <v>1</v>
      </c>
      <c r="B63" s="1" t="str">
        <f t="shared" si="9"/>
        <v>100111100001010</v>
      </c>
    </row>
    <row r="64" ht="14.25" customHeight="1">
      <c r="A64" s="1" t="str">
        <f> MID($D$3, Constanst!B45, 1)</f>
        <v>0</v>
      </c>
      <c r="B64" s="1" t="str">
        <f t="shared" si="9"/>
        <v>00111100001010</v>
      </c>
    </row>
    <row r="65" ht="14.25" customHeight="1">
      <c r="A65" s="1" t="str">
        <f> MID($D$3, Constanst!B46, 1)</f>
        <v>0</v>
      </c>
      <c r="B65" s="1" t="str">
        <f t="shared" si="9"/>
        <v>0111100001010</v>
      </c>
    </row>
    <row r="66" ht="14.25" customHeight="1">
      <c r="A66" s="1" t="str">
        <f> MID($D$3, Constanst!B47, 1)</f>
        <v>1</v>
      </c>
      <c r="B66" s="1" t="str">
        <f t="shared" si="9"/>
        <v>111100001010</v>
      </c>
    </row>
    <row r="67" ht="14.25" customHeight="1">
      <c r="A67" s="1" t="str">
        <f> MID($D$3, Constanst!B48, 1)</f>
        <v>1</v>
      </c>
      <c r="B67" s="1" t="str">
        <f t="shared" si="9"/>
        <v>11100001010</v>
      </c>
    </row>
    <row r="68" ht="14.25" customHeight="1">
      <c r="A68" s="1" t="str">
        <f> MID($D$3, Constanst!B49, 1)</f>
        <v>1</v>
      </c>
      <c r="B68" s="1" t="str">
        <f t="shared" si="9"/>
        <v>1100001010</v>
      </c>
    </row>
    <row r="69" ht="14.25" customHeight="1">
      <c r="A69" s="1" t="str">
        <f> MID($D$3, Constanst!B50, 1)</f>
        <v>1</v>
      </c>
      <c r="B69" s="1" t="str">
        <f t="shared" si="9"/>
        <v>100001010</v>
      </c>
    </row>
    <row r="70" ht="14.25" customHeight="1">
      <c r="A70" s="1" t="str">
        <f> MID($D$3, Constanst!B51, 1)</f>
        <v>0</v>
      </c>
      <c r="B70" s="1" t="str">
        <f t="shared" si="9"/>
        <v>00001010</v>
      </c>
    </row>
    <row r="71" ht="14.25" customHeight="1">
      <c r="A71" s="1" t="str">
        <f> MID($D$3, Constanst!B52, 1)</f>
        <v>0</v>
      </c>
      <c r="B71" s="1" t="str">
        <f t="shared" si="9"/>
        <v>0001010</v>
      </c>
    </row>
    <row r="72" ht="14.25" customHeight="1">
      <c r="A72" s="1" t="str">
        <f> MID($D$3, Constanst!B53, 1)</f>
        <v>0</v>
      </c>
      <c r="B72" s="1" t="str">
        <f t="shared" si="9"/>
        <v>001010</v>
      </c>
    </row>
    <row r="73" ht="14.25" customHeight="1">
      <c r="A73" s="1" t="str">
        <f> MID($D$3, Constanst!B54, 1)</f>
        <v>0</v>
      </c>
      <c r="B73" s="1" t="str">
        <f t="shared" si="9"/>
        <v>01010</v>
      </c>
    </row>
    <row r="74" ht="14.25" customHeight="1">
      <c r="A74" s="1" t="str">
        <f> MID($D$3, Constanst!B55, 1)</f>
        <v>1</v>
      </c>
      <c r="B74" s="1" t="str">
        <f t="shared" si="9"/>
        <v>1010</v>
      </c>
    </row>
    <row r="75" ht="14.25" customHeight="1">
      <c r="A75" s="1" t="str">
        <f> MID($D$3, Constanst!B56, 1)</f>
        <v>0</v>
      </c>
      <c r="B75" s="1" t="str">
        <f t="shared" si="9"/>
        <v>010</v>
      </c>
    </row>
    <row r="76" ht="14.25" customHeight="1">
      <c r="A76" s="1" t="str">
        <f> MID($D$3, Constanst!B57, 1)</f>
        <v>1</v>
      </c>
      <c r="B76" s="1" t="str">
        <f>A76&amp;A77</f>
        <v>10</v>
      </c>
    </row>
    <row r="77" ht="14.25" customHeight="1">
      <c r="A77" s="1" t="str">
        <f> MID($D$3, Constanst!B58, 1)</f>
        <v>0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>
      <c r="C92" s="21"/>
      <c r="D92" s="21"/>
      <c r="E92" s="21"/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0"/>
    <col customWidth="1" min="3" max="26" width="8.63"/>
  </cols>
  <sheetData>
    <row r="1" ht="14.25" customHeight="1"/>
    <row r="2" ht="14.25" customHeight="1">
      <c r="A2" s="20" t="s">
        <v>61</v>
      </c>
      <c r="B2" s="20" t="s">
        <v>61</v>
      </c>
      <c r="C2" s="20" t="s">
        <v>62</v>
      </c>
    </row>
    <row r="3" ht="14.25" customHeight="1">
      <c r="A3" s="20">
        <v>1.0</v>
      </c>
      <c r="B3" s="20" t="str">
        <f>MID('f(R0,K1)'!$D$1,(A3-1)*8+1, 8)</f>
        <v>00011011</v>
      </c>
      <c r="C3" s="20" t="str">
        <f t="shared" ref="C3:C8" si="1">BIN2HEX(B3,2)</f>
        <v>1B</v>
      </c>
    </row>
    <row r="4" ht="14.25" customHeight="1">
      <c r="A4" s="20">
        <v>2.0</v>
      </c>
      <c r="B4" s="20" t="str">
        <f>MID('f(R0,K1)'!$D$1,(A4-1)*8+1, 8)</f>
        <v>00000010</v>
      </c>
      <c r="C4" s="20" t="str">
        <f t="shared" si="1"/>
        <v>02</v>
      </c>
    </row>
    <row r="5" ht="14.25" customHeight="1">
      <c r="A5" s="20">
        <v>3.0</v>
      </c>
      <c r="B5" s="20" t="str">
        <f>MID('f(R0,K1)'!$D$1,(A5-1)*8+1, 8)</f>
        <v>11101111</v>
      </c>
      <c r="C5" s="20" t="str">
        <f t="shared" si="1"/>
        <v>EF</v>
      </c>
    </row>
    <row r="6" ht="14.25" customHeight="1">
      <c r="A6" s="20">
        <v>4.0</v>
      </c>
      <c r="B6" s="20" t="str">
        <f>MID('f(R0,K1)'!$D$1,(A6-1)*8+1, 8)</f>
        <v>11011011</v>
      </c>
      <c r="C6" s="20" t="str">
        <f t="shared" si="1"/>
        <v>DB</v>
      </c>
    </row>
    <row r="7" ht="14.25" customHeight="1">
      <c r="A7" s="20">
        <v>5.0</v>
      </c>
      <c r="B7" s="20" t="str">
        <f>MID('f(R0,K1)'!$D$1,(A7-1)*8+1, 8)</f>
        <v>01001001</v>
      </c>
      <c r="C7" s="20" t="str">
        <f t="shared" si="1"/>
        <v>49</v>
      </c>
    </row>
    <row r="8" ht="14.25" customHeight="1">
      <c r="A8" s="20">
        <v>6.0</v>
      </c>
      <c r="B8" s="20" t="str">
        <f>MID('f(R0,K1)'!$D$1,(A8-1)*8+1, 8)</f>
        <v>10100101</v>
      </c>
      <c r="C8" s="20" t="str">
        <f t="shared" si="1"/>
        <v>A5</v>
      </c>
    </row>
    <row r="9" ht="14.25" customHeight="1"/>
    <row r="10" ht="14.25" customHeight="1">
      <c r="A10" s="1" t="s">
        <v>65</v>
      </c>
      <c r="B10" s="1" t="str">
        <f>Input!B2</f>
        <v>00123456789abcde</v>
      </c>
      <c r="D10" s="1" t="str">
        <f>'PC1'!O3</f>
        <v>0000000000010010001101000101011001111000100110101011110011011110</v>
      </c>
    </row>
    <row r="11" ht="14.25" customHeight="1"/>
    <row r="12" ht="14.25" hidden="1" customHeight="1">
      <c r="A12" s="1" t="s">
        <v>57</v>
      </c>
      <c r="B12" s="1" t="s">
        <v>58</v>
      </c>
      <c r="C12" s="1" t="s">
        <v>59</v>
      </c>
    </row>
    <row r="13" ht="14.25" hidden="1" customHeight="1">
      <c r="A13" s="1">
        <v>1.0</v>
      </c>
      <c r="B13" s="1" t="str">
        <f t="shared" ref="B13:B28" si="2">MID($B$10,A13,1)</f>
        <v>0</v>
      </c>
      <c r="C13" s="1" t="str">
        <f t="shared" ref="C13:C28" si="3">HEX2BIN(B13,4)</f>
        <v>0000</v>
      </c>
      <c r="D13" s="1" t="str">
        <f t="shared" ref="D13:D26" si="4">C13&amp;D14</f>
        <v>0000000000010010001101000101011001111000100110101011110011011110</v>
      </c>
    </row>
    <row r="14" ht="14.25" hidden="1" customHeight="1">
      <c r="A14" s="1">
        <v>2.0</v>
      </c>
      <c r="B14" s="1" t="str">
        <f t="shared" si="2"/>
        <v>0</v>
      </c>
      <c r="C14" s="1" t="str">
        <f t="shared" si="3"/>
        <v>0000</v>
      </c>
      <c r="D14" s="1" t="str">
        <f t="shared" si="4"/>
        <v>000000010010001101000101011001111000100110101011110011011110</v>
      </c>
    </row>
    <row r="15" ht="14.25" hidden="1" customHeight="1">
      <c r="A15" s="1">
        <v>3.0</v>
      </c>
      <c r="B15" s="1" t="str">
        <f t="shared" si="2"/>
        <v>1</v>
      </c>
      <c r="C15" s="1" t="str">
        <f t="shared" si="3"/>
        <v>0001</v>
      </c>
      <c r="D15" s="1" t="str">
        <f t="shared" si="4"/>
        <v>00010010001101000101011001111000100110101011110011011110</v>
      </c>
    </row>
    <row r="16" ht="14.25" hidden="1" customHeight="1">
      <c r="A16" s="1">
        <v>4.0</v>
      </c>
      <c r="B16" s="1" t="str">
        <f t="shared" si="2"/>
        <v>2</v>
      </c>
      <c r="C16" s="1" t="str">
        <f t="shared" si="3"/>
        <v>0010</v>
      </c>
      <c r="D16" s="1" t="str">
        <f t="shared" si="4"/>
        <v>0010001101000101011001111000100110101011110011011110</v>
      </c>
    </row>
    <row r="17" ht="14.25" hidden="1" customHeight="1">
      <c r="A17" s="1">
        <v>5.0</v>
      </c>
      <c r="B17" s="1" t="str">
        <f t="shared" si="2"/>
        <v>3</v>
      </c>
      <c r="C17" s="1" t="str">
        <f t="shared" si="3"/>
        <v>0011</v>
      </c>
      <c r="D17" s="1" t="str">
        <f t="shared" si="4"/>
        <v>001101000101011001111000100110101011110011011110</v>
      </c>
    </row>
    <row r="18" ht="14.25" hidden="1" customHeight="1">
      <c r="A18" s="1">
        <v>6.0</v>
      </c>
      <c r="B18" s="1" t="str">
        <f t="shared" si="2"/>
        <v>4</v>
      </c>
      <c r="C18" s="1" t="str">
        <f t="shared" si="3"/>
        <v>0100</v>
      </c>
      <c r="D18" s="1" t="str">
        <f t="shared" si="4"/>
        <v>01000101011001111000100110101011110011011110</v>
      </c>
    </row>
    <row r="19" ht="14.25" hidden="1" customHeight="1">
      <c r="A19" s="1">
        <v>7.0</v>
      </c>
      <c r="B19" s="1" t="str">
        <f t="shared" si="2"/>
        <v>5</v>
      </c>
      <c r="C19" s="1" t="str">
        <f t="shared" si="3"/>
        <v>0101</v>
      </c>
      <c r="D19" s="1" t="str">
        <f t="shared" si="4"/>
        <v>0101011001111000100110101011110011011110</v>
      </c>
    </row>
    <row r="20" ht="14.25" hidden="1" customHeight="1">
      <c r="A20" s="1">
        <v>8.0</v>
      </c>
      <c r="B20" s="1" t="str">
        <f t="shared" si="2"/>
        <v>6</v>
      </c>
      <c r="C20" s="1" t="str">
        <f t="shared" si="3"/>
        <v>0110</v>
      </c>
      <c r="D20" s="1" t="str">
        <f t="shared" si="4"/>
        <v>011001111000100110101011110011011110</v>
      </c>
    </row>
    <row r="21" ht="14.25" hidden="1" customHeight="1">
      <c r="A21" s="1">
        <v>9.0</v>
      </c>
      <c r="B21" s="1" t="str">
        <f t="shared" si="2"/>
        <v>7</v>
      </c>
      <c r="C21" s="1" t="str">
        <f t="shared" si="3"/>
        <v>0111</v>
      </c>
      <c r="D21" s="1" t="str">
        <f t="shared" si="4"/>
        <v>01111000100110101011110011011110</v>
      </c>
    </row>
    <row r="22" ht="14.25" hidden="1" customHeight="1">
      <c r="A22" s="1">
        <v>10.0</v>
      </c>
      <c r="B22" s="1" t="str">
        <f t="shared" si="2"/>
        <v>8</v>
      </c>
      <c r="C22" s="1" t="str">
        <f t="shared" si="3"/>
        <v>1000</v>
      </c>
      <c r="D22" s="1" t="str">
        <f t="shared" si="4"/>
        <v>1000100110101011110011011110</v>
      </c>
    </row>
    <row r="23" ht="14.25" hidden="1" customHeight="1">
      <c r="A23" s="1">
        <v>11.0</v>
      </c>
      <c r="B23" s="1" t="str">
        <f t="shared" si="2"/>
        <v>9</v>
      </c>
      <c r="C23" s="1" t="str">
        <f t="shared" si="3"/>
        <v>1001</v>
      </c>
      <c r="D23" s="1" t="str">
        <f t="shared" si="4"/>
        <v>100110101011110011011110</v>
      </c>
    </row>
    <row r="24" ht="14.25" hidden="1" customHeight="1">
      <c r="A24" s="1">
        <v>12.0</v>
      </c>
      <c r="B24" s="1" t="str">
        <f t="shared" si="2"/>
        <v>a</v>
      </c>
      <c r="C24" s="1" t="str">
        <f t="shared" si="3"/>
        <v>1010</v>
      </c>
      <c r="D24" s="1" t="str">
        <f t="shared" si="4"/>
        <v>10101011110011011110</v>
      </c>
    </row>
    <row r="25" ht="14.25" hidden="1" customHeight="1">
      <c r="A25" s="1">
        <v>13.0</v>
      </c>
      <c r="B25" s="1" t="str">
        <f t="shared" si="2"/>
        <v>b</v>
      </c>
      <c r="C25" s="1" t="str">
        <f t="shared" si="3"/>
        <v>1011</v>
      </c>
      <c r="D25" s="1" t="str">
        <f t="shared" si="4"/>
        <v>1011110011011110</v>
      </c>
    </row>
    <row r="26" ht="14.25" hidden="1" customHeight="1">
      <c r="A26" s="1">
        <v>14.0</v>
      </c>
      <c r="B26" s="1" t="str">
        <f t="shared" si="2"/>
        <v>c</v>
      </c>
      <c r="C26" s="1" t="str">
        <f t="shared" si="3"/>
        <v>1100</v>
      </c>
      <c r="D26" s="1" t="str">
        <f t="shared" si="4"/>
        <v>110011011110</v>
      </c>
    </row>
    <row r="27" ht="14.25" hidden="1" customHeight="1">
      <c r="A27" s="1">
        <v>15.0</v>
      </c>
      <c r="B27" s="1" t="str">
        <f t="shared" si="2"/>
        <v>d</v>
      </c>
      <c r="C27" s="1" t="str">
        <f t="shared" si="3"/>
        <v>1101</v>
      </c>
      <c r="D27" s="1" t="str">
        <f>C27&amp;C28</f>
        <v>11011110</v>
      </c>
    </row>
    <row r="28" ht="14.25" hidden="1" customHeight="1">
      <c r="A28" s="1">
        <v>16.0</v>
      </c>
      <c r="B28" s="1" t="str">
        <f t="shared" si="2"/>
        <v>e</v>
      </c>
      <c r="C28" s="1" t="str">
        <f t="shared" si="3"/>
        <v>1110</v>
      </c>
    </row>
    <row r="29" ht="14.25" hidden="1" customHeight="1"/>
    <row r="30" ht="14.25" customHeight="1">
      <c r="A30" s="1" t="s">
        <v>66</v>
      </c>
    </row>
    <row r="31" ht="14.25" customHeight="1">
      <c r="A31" s="1" t="str">
        <f>MID($D$10,Constanst!H3,1)</f>
        <v>1</v>
      </c>
      <c r="B31" s="1" t="str">
        <f t="shared" ref="B31:B92" si="5">A31&amp;B32</f>
        <v>1001100011111110110011000000000011100000010101001111000010101010</v>
      </c>
    </row>
    <row r="32" ht="14.25" hidden="1" customHeight="1">
      <c r="A32" s="1" t="str">
        <f>MID($D$10,Constanst!H4,1)</f>
        <v>0</v>
      </c>
      <c r="B32" s="1" t="str">
        <f t="shared" si="5"/>
        <v>001100011111110110011000000000011100000010101001111000010101010</v>
      </c>
    </row>
    <row r="33" ht="14.25" hidden="1" customHeight="1">
      <c r="A33" s="1" t="str">
        <f>MID($D$10,Constanst!H5,1)</f>
        <v>0</v>
      </c>
      <c r="B33" s="1" t="str">
        <f t="shared" si="5"/>
        <v>01100011111110110011000000000011100000010101001111000010101010</v>
      </c>
    </row>
    <row r="34" ht="14.25" hidden="1" customHeight="1">
      <c r="A34" s="1" t="str">
        <f>MID($D$10,Constanst!H6,1)</f>
        <v>1</v>
      </c>
      <c r="B34" s="1" t="str">
        <f t="shared" si="5"/>
        <v>1100011111110110011000000000011100000010101001111000010101010</v>
      </c>
    </row>
    <row r="35" ht="14.25" hidden="1" customHeight="1">
      <c r="A35" s="1" t="str">
        <f>MID($D$10,Constanst!H7,1)</f>
        <v>1</v>
      </c>
      <c r="B35" s="1" t="str">
        <f t="shared" si="5"/>
        <v>100011111110110011000000000011100000010101001111000010101010</v>
      </c>
    </row>
    <row r="36" ht="14.25" hidden="1" customHeight="1">
      <c r="A36" s="1" t="str">
        <f>MID($D$10,Constanst!H8,1)</f>
        <v>0</v>
      </c>
      <c r="B36" s="1" t="str">
        <f t="shared" si="5"/>
        <v>00011111110110011000000000011100000010101001111000010101010</v>
      </c>
    </row>
    <row r="37" ht="14.25" hidden="1" customHeight="1">
      <c r="A37" s="1" t="str">
        <f>MID($D$10,Constanst!H9,1)</f>
        <v>0</v>
      </c>
      <c r="B37" s="1" t="str">
        <f t="shared" si="5"/>
        <v>0011111110110011000000000011100000010101001111000010101010</v>
      </c>
    </row>
    <row r="38" ht="14.25" hidden="1" customHeight="1">
      <c r="A38" s="1" t="str">
        <f>MID($D$10,Constanst!H10,1)</f>
        <v>0</v>
      </c>
      <c r="B38" s="1" t="str">
        <f t="shared" si="5"/>
        <v>011111110110011000000000011100000010101001111000010101010</v>
      </c>
    </row>
    <row r="39" ht="14.25" hidden="1" customHeight="1">
      <c r="A39" s="1" t="str">
        <f>MID($D$10,Constanst!H11,1)</f>
        <v>1</v>
      </c>
      <c r="B39" s="1" t="str">
        <f t="shared" si="5"/>
        <v>11111110110011000000000011100000010101001111000010101010</v>
      </c>
    </row>
    <row r="40" ht="14.25" hidden="1" customHeight="1">
      <c r="A40" s="1" t="str">
        <f>MID($D$10,Constanst!H12,1)</f>
        <v>1</v>
      </c>
      <c r="B40" s="1" t="str">
        <f t="shared" si="5"/>
        <v>1111110110011000000000011100000010101001111000010101010</v>
      </c>
    </row>
    <row r="41" ht="14.25" hidden="1" customHeight="1">
      <c r="A41" s="1" t="str">
        <f>MID($D$10,Constanst!H13,1)</f>
        <v>1</v>
      </c>
      <c r="B41" s="1" t="str">
        <f t="shared" si="5"/>
        <v>111110110011000000000011100000010101001111000010101010</v>
      </c>
    </row>
    <row r="42" ht="14.25" hidden="1" customHeight="1">
      <c r="A42" s="1" t="str">
        <f>MID($D$10,Constanst!H14,1)</f>
        <v>1</v>
      </c>
      <c r="B42" s="1" t="str">
        <f t="shared" si="5"/>
        <v>11110110011000000000011100000010101001111000010101010</v>
      </c>
    </row>
    <row r="43" ht="14.25" hidden="1" customHeight="1">
      <c r="A43" s="1" t="str">
        <f>MID($D$10,Constanst!H15,1)</f>
        <v>1</v>
      </c>
      <c r="B43" s="1" t="str">
        <f t="shared" si="5"/>
        <v>1110110011000000000011100000010101001111000010101010</v>
      </c>
    </row>
    <row r="44" ht="14.25" hidden="1" customHeight="1">
      <c r="A44" s="1" t="str">
        <f>MID($D$10,Constanst!H16,1)</f>
        <v>1</v>
      </c>
      <c r="B44" s="1" t="str">
        <f t="shared" si="5"/>
        <v>110110011000000000011100000010101001111000010101010</v>
      </c>
    </row>
    <row r="45" ht="14.25" hidden="1" customHeight="1">
      <c r="A45" s="1" t="str">
        <f>MID($D$10,Constanst!H17,1)</f>
        <v>1</v>
      </c>
      <c r="B45" s="1" t="str">
        <f t="shared" si="5"/>
        <v>10110011000000000011100000010101001111000010101010</v>
      </c>
    </row>
    <row r="46" ht="14.25" hidden="1" customHeight="1">
      <c r="A46" s="1" t="str">
        <f>MID($D$10,Constanst!H18,1)</f>
        <v>0</v>
      </c>
      <c r="B46" s="1" t="str">
        <f t="shared" si="5"/>
        <v>0110011000000000011100000010101001111000010101010</v>
      </c>
    </row>
    <row r="47" ht="14.25" hidden="1" customHeight="1">
      <c r="A47" s="1" t="str">
        <f>MID($D$10,Constanst!H19,1)</f>
        <v>1</v>
      </c>
      <c r="B47" s="1" t="str">
        <f t="shared" si="5"/>
        <v>110011000000000011100000010101001111000010101010</v>
      </c>
    </row>
    <row r="48" ht="14.25" hidden="1" customHeight="1">
      <c r="A48" s="1" t="str">
        <f>MID($D$10,Constanst!H20,1)</f>
        <v>1</v>
      </c>
      <c r="B48" s="1" t="str">
        <f t="shared" si="5"/>
        <v>10011000000000011100000010101001111000010101010</v>
      </c>
    </row>
    <row r="49" ht="14.25" hidden="1" customHeight="1">
      <c r="A49" s="1" t="str">
        <f>MID($D$10,Constanst!H21,1)</f>
        <v>0</v>
      </c>
      <c r="B49" s="1" t="str">
        <f t="shared" si="5"/>
        <v>0011000000000011100000010101001111000010101010</v>
      </c>
    </row>
    <row r="50" ht="14.25" hidden="1" customHeight="1">
      <c r="A50" s="1" t="str">
        <f>MID($D$10,Constanst!H22,1)</f>
        <v>0</v>
      </c>
      <c r="B50" s="1" t="str">
        <f t="shared" si="5"/>
        <v>011000000000011100000010101001111000010101010</v>
      </c>
    </row>
    <row r="51" ht="14.25" hidden="1" customHeight="1">
      <c r="A51" s="1" t="str">
        <f>MID($D$10,Constanst!H23,1)</f>
        <v>1</v>
      </c>
      <c r="B51" s="1" t="str">
        <f t="shared" si="5"/>
        <v>11000000000011100000010101001111000010101010</v>
      </c>
    </row>
    <row r="52" ht="14.25" hidden="1" customHeight="1">
      <c r="A52" s="1" t="str">
        <f>MID($D$10,Constanst!H24,1)</f>
        <v>1</v>
      </c>
      <c r="B52" s="1" t="str">
        <f t="shared" si="5"/>
        <v>1000000000011100000010101001111000010101010</v>
      </c>
    </row>
    <row r="53" ht="14.25" hidden="1" customHeight="1">
      <c r="A53" s="1" t="str">
        <f>MID($D$10,Constanst!H25,1)</f>
        <v>0</v>
      </c>
      <c r="B53" s="1" t="str">
        <f t="shared" si="5"/>
        <v>000000000011100000010101001111000010101010</v>
      </c>
    </row>
    <row r="54" ht="14.25" hidden="1" customHeight="1">
      <c r="A54" s="1" t="str">
        <f>MID($D$10,Constanst!H26,1)</f>
        <v>0</v>
      </c>
      <c r="B54" s="1" t="str">
        <f t="shared" si="5"/>
        <v>00000000011100000010101001111000010101010</v>
      </c>
    </row>
    <row r="55" ht="14.25" hidden="1" customHeight="1">
      <c r="A55" s="1" t="str">
        <f>MID($D$10,Constanst!H27,1)</f>
        <v>0</v>
      </c>
      <c r="B55" s="1" t="str">
        <f t="shared" si="5"/>
        <v>0000000011100000010101001111000010101010</v>
      </c>
    </row>
    <row r="56" ht="14.25" hidden="1" customHeight="1">
      <c r="A56" s="1" t="str">
        <f>MID($D$10,Constanst!H28,1)</f>
        <v>0</v>
      </c>
      <c r="B56" s="1" t="str">
        <f t="shared" si="5"/>
        <v>000000011100000010101001111000010101010</v>
      </c>
    </row>
    <row r="57" ht="14.25" hidden="1" customHeight="1">
      <c r="A57" s="1" t="str">
        <f>MID($D$10,Constanst!H29,1)</f>
        <v>0</v>
      </c>
      <c r="B57" s="1" t="str">
        <f t="shared" si="5"/>
        <v>00000011100000010101001111000010101010</v>
      </c>
    </row>
    <row r="58" ht="14.25" hidden="1" customHeight="1">
      <c r="A58" s="1" t="str">
        <f>MID($D$10,Constanst!H30,1)</f>
        <v>0</v>
      </c>
      <c r="B58" s="1" t="str">
        <f t="shared" si="5"/>
        <v>0000011100000010101001111000010101010</v>
      </c>
    </row>
    <row r="59" ht="14.25" hidden="1" customHeight="1">
      <c r="A59" s="1" t="str">
        <f>MID($D$10,Constanst!H31,1)</f>
        <v>0</v>
      </c>
      <c r="B59" s="1" t="str">
        <f t="shared" si="5"/>
        <v>000011100000010101001111000010101010</v>
      </c>
    </row>
    <row r="60" ht="14.25" hidden="1" customHeight="1">
      <c r="A60" s="1" t="str">
        <f>MID($D$10,Constanst!H32,1)</f>
        <v>0</v>
      </c>
      <c r="B60" s="1" t="str">
        <f t="shared" si="5"/>
        <v>00011100000010101001111000010101010</v>
      </c>
    </row>
    <row r="61" ht="14.25" hidden="1" customHeight="1">
      <c r="A61" s="1" t="str">
        <f>MID($D$10,Constanst!H33,1)</f>
        <v>0</v>
      </c>
      <c r="B61" s="1" t="str">
        <f t="shared" si="5"/>
        <v>0011100000010101001111000010101010</v>
      </c>
    </row>
    <row r="62" ht="14.25" hidden="1" customHeight="1">
      <c r="A62" s="1" t="str">
        <f>MID($D$10,Constanst!H34,1)</f>
        <v>0</v>
      </c>
      <c r="B62" s="1" t="str">
        <f t="shared" si="5"/>
        <v>011100000010101001111000010101010</v>
      </c>
    </row>
    <row r="63" ht="14.25" hidden="1" customHeight="1">
      <c r="A63" s="1" t="str">
        <f>MID($D$10,Constanst!H35,1)</f>
        <v>1</v>
      </c>
      <c r="B63" s="1" t="str">
        <f t="shared" si="5"/>
        <v>11100000010101001111000010101010</v>
      </c>
    </row>
    <row r="64" ht="14.25" hidden="1" customHeight="1">
      <c r="A64" s="1" t="str">
        <f>MID($D$10,Constanst!H36,1)</f>
        <v>1</v>
      </c>
      <c r="B64" s="1" t="str">
        <f t="shared" si="5"/>
        <v>1100000010101001111000010101010</v>
      </c>
    </row>
    <row r="65" ht="14.25" hidden="1" customHeight="1">
      <c r="A65" s="1" t="str">
        <f>MID($D$10,Constanst!H37,1)</f>
        <v>1</v>
      </c>
      <c r="B65" s="1" t="str">
        <f t="shared" si="5"/>
        <v>100000010101001111000010101010</v>
      </c>
    </row>
    <row r="66" ht="14.25" hidden="1" customHeight="1">
      <c r="A66" s="1" t="str">
        <f>MID($D$10,Constanst!H38,1)</f>
        <v>0</v>
      </c>
      <c r="B66" s="1" t="str">
        <f t="shared" si="5"/>
        <v>00000010101001111000010101010</v>
      </c>
    </row>
    <row r="67" ht="14.25" hidden="1" customHeight="1">
      <c r="A67" s="1" t="str">
        <f>MID($D$10,Constanst!H39,1)</f>
        <v>0</v>
      </c>
      <c r="B67" s="1" t="str">
        <f t="shared" si="5"/>
        <v>0000010101001111000010101010</v>
      </c>
    </row>
    <row r="68" ht="14.25" hidden="1" customHeight="1">
      <c r="A68" s="1" t="str">
        <f>MID($D$10,Constanst!H40,1)</f>
        <v>0</v>
      </c>
      <c r="B68" s="1" t="str">
        <f t="shared" si="5"/>
        <v>000010101001111000010101010</v>
      </c>
    </row>
    <row r="69" ht="14.25" hidden="1" customHeight="1">
      <c r="A69" s="1" t="str">
        <f>MID($D$10,Constanst!H41,1)</f>
        <v>0</v>
      </c>
      <c r="B69" s="1" t="str">
        <f t="shared" si="5"/>
        <v>00010101001111000010101010</v>
      </c>
    </row>
    <row r="70" ht="14.25" hidden="1" customHeight="1">
      <c r="A70" s="1" t="str">
        <f>MID($D$10,Constanst!H42,1)</f>
        <v>0</v>
      </c>
      <c r="B70" s="1" t="str">
        <f t="shared" si="5"/>
        <v>0010101001111000010101010</v>
      </c>
    </row>
    <row r="71" ht="14.25" hidden="1" customHeight="1">
      <c r="A71" s="1" t="str">
        <f>MID($D$10,Constanst!H43,1)</f>
        <v>0</v>
      </c>
      <c r="B71" s="1" t="str">
        <f t="shared" si="5"/>
        <v>010101001111000010101010</v>
      </c>
    </row>
    <row r="72" ht="14.25" hidden="1" customHeight="1">
      <c r="A72" s="1" t="str">
        <f>MID($D$10,Constanst!H44,1)</f>
        <v>1</v>
      </c>
      <c r="B72" s="1" t="str">
        <f t="shared" si="5"/>
        <v>10101001111000010101010</v>
      </c>
    </row>
    <row r="73" ht="14.25" hidden="1" customHeight="1">
      <c r="A73" s="1" t="str">
        <f>MID($D$10,Constanst!H45,1)</f>
        <v>0</v>
      </c>
      <c r="B73" s="1" t="str">
        <f t="shared" si="5"/>
        <v>0101001111000010101010</v>
      </c>
    </row>
    <row r="74" ht="14.25" hidden="1" customHeight="1">
      <c r="A74" s="1" t="str">
        <f>MID($D$10,Constanst!H46,1)</f>
        <v>1</v>
      </c>
      <c r="B74" s="1" t="str">
        <f t="shared" si="5"/>
        <v>101001111000010101010</v>
      </c>
    </row>
    <row r="75" ht="14.25" hidden="1" customHeight="1">
      <c r="A75" s="1" t="str">
        <f>MID($D$10,Constanst!H47,1)</f>
        <v>0</v>
      </c>
      <c r="B75" s="1" t="str">
        <f t="shared" si="5"/>
        <v>01001111000010101010</v>
      </c>
    </row>
    <row r="76" ht="14.25" hidden="1" customHeight="1">
      <c r="A76" s="1" t="str">
        <f>MID($D$10,Constanst!H48,1)</f>
        <v>1</v>
      </c>
      <c r="B76" s="1" t="str">
        <f t="shared" si="5"/>
        <v>1001111000010101010</v>
      </c>
    </row>
    <row r="77" ht="14.25" hidden="1" customHeight="1">
      <c r="A77" s="1" t="str">
        <f>MID($D$10,Constanst!H49,1)</f>
        <v>0</v>
      </c>
      <c r="B77" s="1" t="str">
        <f t="shared" si="5"/>
        <v>001111000010101010</v>
      </c>
    </row>
    <row r="78" ht="14.25" hidden="1" customHeight="1">
      <c r="A78" s="1" t="str">
        <f>MID($D$10,Constanst!H50,1)</f>
        <v>0</v>
      </c>
      <c r="B78" s="1" t="str">
        <f t="shared" si="5"/>
        <v>01111000010101010</v>
      </c>
    </row>
    <row r="79" ht="14.25" hidden="1" customHeight="1">
      <c r="A79" s="1" t="str">
        <f>MID($D$10,Constanst!H51,1)</f>
        <v>1</v>
      </c>
      <c r="B79" s="1" t="str">
        <f t="shared" si="5"/>
        <v>1111000010101010</v>
      </c>
    </row>
    <row r="80" ht="14.25" hidden="1" customHeight="1">
      <c r="A80" s="1" t="str">
        <f>MID($D$10,Constanst!H52,1)</f>
        <v>1</v>
      </c>
      <c r="B80" s="1" t="str">
        <f t="shared" si="5"/>
        <v>111000010101010</v>
      </c>
    </row>
    <row r="81" ht="14.25" hidden="1" customHeight="1">
      <c r="A81" s="1" t="str">
        <f>MID($D$10,Constanst!H53,1)</f>
        <v>1</v>
      </c>
      <c r="B81" s="1" t="str">
        <f t="shared" si="5"/>
        <v>11000010101010</v>
      </c>
    </row>
    <row r="82" ht="14.25" hidden="1" customHeight="1">
      <c r="A82" s="1" t="str">
        <f>MID($D$10,Constanst!H54,1)</f>
        <v>1</v>
      </c>
      <c r="B82" s="1" t="str">
        <f t="shared" si="5"/>
        <v>1000010101010</v>
      </c>
    </row>
    <row r="83" ht="14.25" hidden="1" customHeight="1">
      <c r="A83" s="1" t="str">
        <f>MID($D$10,Constanst!H55,1)</f>
        <v>0</v>
      </c>
      <c r="B83" s="1" t="str">
        <f t="shared" si="5"/>
        <v>000010101010</v>
      </c>
    </row>
    <row r="84" ht="14.25" hidden="1" customHeight="1">
      <c r="A84" s="1" t="str">
        <f>MID($D$10,Constanst!H56,1)</f>
        <v>0</v>
      </c>
      <c r="B84" s="1" t="str">
        <f t="shared" si="5"/>
        <v>00010101010</v>
      </c>
    </row>
    <row r="85" ht="14.25" hidden="1" customHeight="1">
      <c r="A85" s="1" t="str">
        <f>MID($D$10,Constanst!H57,1)</f>
        <v>0</v>
      </c>
      <c r="B85" s="1" t="str">
        <f t="shared" si="5"/>
        <v>0010101010</v>
      </c>
    </row>
    <row r="86" ht="14.25" hidden="1" customHeight="1">
      <c r="A86" s="1" t="str">
        <f>MID($D$10,Constanst!H58,1)</f>
        <v>0</v>
      </c>
      <c r="B86" s="1" t="str">
        <f t="shared" si="5"/>
        <v>010101010</v>
      </c>
    </row>
    <row r="87" ht="14.25" hidden="1" customHeight="1">
      <c r="A87" s="1" t="str">
        <f>MID($D$10,Constanst!H59,1)</f>
        <v>1</v>
      </c>
      <c r="B87" s="1" t="str">
        <f t="shared" si="5"/>
        <v>10101010</v>
      </c>
    </row>
    <row r="88" ht="14.25" hidden="1" customHeight="1">
      <c r="A88" s="1" t="str">
        <f>MID($D$10,Constanst!H60,1)</f>
        <v>0</v>
      </c>
      <c r="B88" s="1" t="str">
        <f t="shared" si="5"/>
        <v>0101010</v>
      </c>
    </row>
    <row r="89" ht="14.25" hidden="1" customHeight="1">
      <c r="A89" s="1" t="str">
        <f>MID($D$10,Constanst!H61,1)</f>
        <v>1</v>
      </c>
      <c r="B89" s="1" t="str">
        <f t="shared" si="5"/>
        <v>101010</v>
      </c>
    </row>
    <row r="90" ht="14.25" hidden="1" customHeight="1">
      <c r="A90" s="1" t="str">
        <f>MID($D$10,Constanst!H62,1)</f>
        <v>0</v>
      </c>
      <c r="B90" s="1" t="str">
        <f t="shared" si="5"/>
        <v>01010</v>
      </c>
    </row>
    <row r="91" ht="14.25" hidden="1" customHeight="1">
      <c r="A91" s="1" t="str">
        <f>MID($D$10,Constanst!H63,1)</f>
        <v>1</v>
      </c>
      <c r="B91" s="1" t="str">
        <f t="shared" si="5"/>
        <v>1010</v>
      </c>
    </row>
    <row r="92" ht="14.25" hidden="1" customHeight="1">
      <c r="A92" s="1" t="str">
        <f>MID($D$10,Constanst!H64,1)</f>
        <v>0</v>
      </c>
      <c r="B92" s="1" t="str">
        <f t="shared" si="5"/>
        <v>010</v>
      </c>
    </row>
    <row r="93" ht="14.25" hidden="1" customHeight="1">
      <c r="A93" s="1" t="str">
        <f>MID($D$10,Constanst!H65,1)</f>
        <v>1</v>
      </c>
      <c r="B93" s="1" t="str">
        <f>A93&amp;A94</f>
        <v>10</v>
      </c>
    </row>
    <row r="94" ht="14.25" hidden="1" customHeight="1">
      <c r="A94" s="1" t="str">
        <f>MID($D$10,Constanst!H66,1)</f>
        <v>0</v>
      </c>
    </row>
    <row r="95" ht="14.25" customHeight="1"/>
    <row r="96" ht="14.25" customHeight="1">
      <c r="B96" s="1" t="s">
        <v>67</v>
      </c>
      <c r="C96" s="1" t="str">
        <f>B31</f>
        <v>1001100011111110110011000000000011100000010101001111000010101010</v>
      </c>
    </row>
    <row r="97" ht="14.25" customHeight="1"/>
    <row r="98" ht="14.25" customHeight="1">
      <c r="B98" s="20" t="s">
        <v>61</v>
      </c>
      <c r="C98" s="20" t="s">
        <v>61</v>
      </c>
      <c r="D98" s="20" t="s">
        <v>62</v>
      </c>
    </row>
    <row r="99" ht="14.25" customHeight="1">
      <c r="B99" s="20">
        <v>1.0</v>
      </c>
      <c r="C99" s="20" t="str">
        <f t="shared" ref="C99:C106" si="6">MID($C$96,(B99-1)*8+1, 8)</f>
        <v>10011000</v>
      </c>
      <c r="D99" s="20" t="str">
        <f t="shared" ref="D99:D106" si="7">BIN2HEX(C99,2)</f>
        <v>98</v>
      </c>
    </row>
    <row r="100" ht="14.25" customHeight="1">
      <c r="B100" s="20">
        <v>2.0</v>
      </c>
      <c r="C100" s="20" t="str">
        <f t="shared" si="6"/>
        <v>11111110</v>
      </c>
      <c r="D100" s="20" t="str">
        <f t="shared" si="7"/>
        <v>FE</v>
      </c>
    </row>
    <row r="101" ht="14.25" customHeight="1">
      <c r="B101" s="20">
        <v>3.0</v>
      </c>
      <c r="C101" s="20" t="str">
        <f t="shared" si="6"/>
        <v>11001100</v>
      </c>
      <c r="D101" s="20" t="str">
        <f t="shared" si="7"/>
        <v>CC</v>
      </c>
    </row>
    <row r="102" ht="14.25" customHeight="1">
      <c r="B102" s="20">
        <v>4.0</v>
      </c>
      <c r="C102" s="20" t="str">
        <f t="shared" si="6"/>
        <v>00000000</v>
      </c>
      <c r="D102" s="20" t="str">
        <f t="shared" si="7"/>
        <v>00</v>
      </c>
    </row>
    <row r="103" ht="14.25" customHeight="1">
      <c r="B103" s="20">
        <v>5.0</v>
      </c>
      <c r="C103" s="20" t="str">
        <f t="shared" si="6"/>
        <v>11100000</v>
      </c>
      <c r="D103" s="20" t="str">
        <f t="shared" si="7"/>
        <v>E0</v>
      </c>
    </row>
    <row r="104" ht="14.25" customHeight="1">
      <c r="B104" s="20">
        <v>6.0</v>
      </c>
      <c r="C104" s="20" t="str">
        <f t="shared" si="6"/>
        <v>01010100</v>
      </c>
      <c r="D104" s="20" t="str">
        <f t="shared" si="7"/>
        <v>54</v>
      </c>
    </row>
    <row r="105" ht="14.25" customHeight="1">
      <c r="B105" s="20">
        <v>7.0</v>
      </c>
      <c r="C105" s="20" t="str">
        <f t="shared" si="6"/>
        <v>11110000</v>
      </c>
      <c r="D105" s="20" t="str">
        <f t="shared" si="7"/>
        <v>F0</v>
      </c>
    </row>
    <row r="106" ht="14.25" customHeight="1">
      <c r="B106" s="20">
        <v>8.0</v>
      </c>
      <c r="C106" s="20" t="str">
        <f t="shared" si="6"/>
        <v>10101010</v>
      </c>
      <c r="D106" s="20" t="str">
        <f t="shared" si="7"/>
        <v>AA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11.5"/>
    <col customWidth="1" min="7" max="26" width="8.63"/>
  </cols>
  <sheetData>
    <row r="1" ht="14.25" customHeight="1">
      <c r="A1" s="1" t="s">
        <v>68</v>
      </c>
      <c r="D1" s="1" t="str">
        <f>Input!I1</f>
        <v>000110110000001011101111110110110100100110100101</v>
      </c>
    </row>
    <row r="2" ht="14.25" customHeight="1"/>
    <row r="3" ht="14.25" customHeight="1"/>
    <row r="4" ht="14.25" customHeight="1">
      <c r="F4" s="1" t="s">
        <v>69</v>
      </c>
      <c r="G4" s="1" t="s">
        <v>70</v>
      </c>
      <c r="H4" s="1" t="str">
        <f>LEFT('IP(M)'!C96, 32)</f>
        <v>10011000111111101100110000000000</v>
      </c>
    </row>
    <row r="5" ht="14.25" customHeight="1">
      <c r="F5" s="1" t="s">
        <v>71</v>
      </c>
      <c r="G5" s="1" t="s">
        <v>72</v>
      </c>
      <c r="H5" s="1" t="str">
        <f>RIGHT('IP(M)'!C96, 32)</f>
        <v>11100000010101001111000010101010</v>
      </c>
    </row>
    <row r="6" ht="14.25" customHeight="1"/>
    <row r="7" ht="14.25" customHeight="1">
      <c r="A7" s="1" t="s">
        <v>73</v>
      </c>
      <c r="D7" s="1" t="str">
        <f>B9</f>
        <v>011100000000001010101001011110100001010101010101</v>
      </c>
    </row>
    <row r="8" ht="14.25" customHeight="1">
      <c r="A8" s="1" t="s">
        <v>66</v>
      </c>
    </row>
    <row r="9" ht="14.25" customHeight="1">
      <c r="A9" s="1" t="str">
        <f>MID($H$5,Constanst!K3,1)</f>
        <v>0</v>
      </c>
      <c r="B9" s="1" t="str">
        <f t="shared" ref="B9:B54" si="1">A9&amp;B10</f>
        <v>011100000000001010101001011110100001010101010101</v>
      </c>
    </row>
    <row r="10" ht="14.25" customHeight="1">
      <c r="A10" s="1" t="str">
        <f>MID($H$5,Constanst!K4,1)</f>
        <v>1</v>
      </c>
      <c r="B10" s="1" t="str">
        <f t="shared" si="1"/>
        <v>11100000000001010101001011110100001010101010101</v>
      </c>
    </row>
    <row r="11" ht="14.25" customHeight="1">
      <c r="A11" s="1" t="str">
        <f>MID($H$5,Constanst!K5,1)</f>
        <v>1</v>
      </c>
      <c r="B11" s="1" t="str">
        <f t="shared" si="1"/>
        <v>1100000000001010101001011110100001010101010101</v>
      </c>
    </row>
    <row r="12" ht="14.25" customHeight="1">
      <c r="A12" s="1" t="str">
        <f>MID($H$5,Constanst!K6,1)</f>
        <v>1</v>
      </c>
      <c r="B12" s="1" t="str">
        <f t="shared" si="1"/>
        <v>100000000001010101001011110100001010101010101</v>
      </c>
    </row>
    <row r="13" ht="14.25" customHeight="1">
      <c r="A13" s="1" t="str">
        <f>MID($H$5,Constanst!K7,1)</f>
        <v>0</v>
      </c>
      <c r="B13" s="1" t="str">
        <f t="shared" si="1"/>
        <v>00000000001010101001011110100001010101010101</v>
      </c>
    </row>
    <row r="14" ht="14.25" customHeight="1">
      <c r="A14" s="1" t="str">
        <f>MID($H$5,Constanst!K8,1)</f>
        <v>0</v>
      </c>
      <c r="B14" s="1" t="str">
        <f t="shared" si="1"/>
        <v>0000000001010101001011110100001010101010101</v>
      </c>
    </row>
    <row r="15" ht="14.25" customHeight="1">
      <c r="A15" s="1" t="str">
        <f>MID($H$5,Constanst!K9,1)</f>
        <v>0</v>
      </c>
      <c r="B15" s="1" t="str">
        <f t="shared" si="1"/>
        <v>000000001010101001011110100001010101010101</v>
      </c>
    </row>
    <row r="16" ht="14.25" customHeight="1">
      <c r="A16" s="1" t="str">
        <f>MID($H$5,Constanst!K10,1)</f>
        <v>0</v>
      </c>
      <c r="B16" s="1" t="str">
        <f t="shared" si="1"/>
        <v>00000001010101001011110100001010101010101</v>
      </c>
    </row>
    <row r="17" ht="14.25" customHeight="1">
      <c r="A17" s="1" t="str">
        <f>MID($H$5,Constanst!K11,1)</f>
        <v>0</v>
      </c>
      <c r="B17" s="1" t="str">
        <f t="shared" si="1"/>
        <v>0000001010101001011110100001010101010101</v>
      </c>
    </row>
    <row r="18" ht="14.25" customHeight="1">
      <c r="A18" s="1" t="str">
        <f>MID($H$5,Constanst!K12,1)</f>
        <v>0</v>
      </c>
      <c r="B18" s="1" t="str">
        <f t="shared" si="1"/>
        <v>000001010101001011110100001010101010101</v>
      </c>
    </row>
    <row r="19" ht="14.25" customHeight="1">
      <c r="A19" s="1" t="str">
        <f>MID($H$5,Constanst!K13,1)</f>
        <v>0</v>
      </c>
      <c r="B19" s="1" t="str">
        <f t="shared" si="1"/>
        <v>00001010101001011110100001010101010101</v>
      </c>
    </row>
    <row r="20" ht="14.25" customHeight="1">
      <c r="A20" s="1" t="str">
        <f>MID($H$5,Constanst!K14,1)</f>
        <v>0</v>
      </c>
      <c r="B20" s="1" t="str">
        <f t="shared" si="1"/>
        <v>0001010101001011110100001010101010101</v>
      </c>
    </row>
    <row r="21" ht="14.25" customHeight="1">
      <c r="A21" s="1" t="str">
        <f>MID($H$5,Constanst!K15,1)</f>
        <v>0</v>
      </c>
      <c r="B21" s="1" t="str">
        <f t="shared" si="1"/>
        <v>001010101001011110100001010101010101</v>
      </c>
    </row>
    <row r="22" ht="14.25" customHeight="1">
      <c r="A22" s="1" t="str">
        <f>MID($H$5,Constanst!K16,1)</f>
        <v>0</v>
      </c>
      <c r="B22" s="1" t="str">
        <f t="shared" si="1"/>
        <v>01010101001011110100001010101010101</v>
      </c>
    </row>
    <row r="23" ht="14.25" customHeight="1">
      <c r="A23" s="1" t="str">
        <f>MID($H$5,Constanst!K17,1)</f>
        <v>1</v>
      </c>
      <c r="B23" s="1" t="str">
        <f t="shared" si="1"/>
        <v>1010101001011110100001010101010101</v>
      </c>
    </row>
    <row r="24" ht="14.25" customHeight="1">
      <c r="A24" s="1" t="str">
        <f>MID($H$5,Constanst!K18,1)</f>
        <v>0</v>
      </c>
      <c r="B24" s="1" t="str">
        <f t="shared" si="1"/>
        <v>010101001011110100001010101010101</v>
      </c>
    </row>
    <row r="25" ht="14.25" customHeight="1">
      <c r="A25" s="1" t="str">
        <f>MID($H$5,Constanst!K19,1)</f>
        <v>1</v>
      </c>
      <c r="B25" s="1" t="str">
        <f t="shared" si="1"/>
        <v>10101001011110100001010101010101</v>
      </c>
    </row>
    <row r="26" ht="14.25" customHeight="1">
      <c r="A26" s="1" t="str">
        <f>MID($H$5,Constanst!K20,1)</f>
        <v>0</v>
      </c>
      <c r="B26" s="1" t="str">
        <f t="shared" si="1"/>
        <v>0101001011110100001010101010101</v>
      </c>
    </row>
    <row r="27" ht="14.25" customHeight="1">
      <c r="A27" s="1" t="str">
        <f>MID($H$5,Constanst!K21,1)</f>
        <v>1</v>
      </c>
      <c r="B27" s="1" t="str">
        <f t="shared" si="1"/>
        <v>101001011110100001010101010101</v>
      </c>
    </row>
    <row r="28" ht="14.25" customHeight="1">
      <c r="A28" s="1" t="str">
        <f>MID($H$5,Constanst!K22,1)</f>
        <v>0</v>
      </c>
      <c r="B28" s="1" t="str">
        <f t="shared" si="1"/>
        <v>01001011110100001010101010101</v>
      </c>
    </row>
    <row r="29" ht="14.25" customHeight="1">
      <c r="A29" s="1" t="str">
        <f>MID($H$5,Constanst!K23,1)</f>
        <v>1</v>
      </c>
      <c r="B29" s="1" t="str">
        <f t="shared" si="1"/>
        <v>1001011110100001010101010101</v>
      </c>
    </row>
    <row r="30" ht="14.25" customHeight="1">
      <c r="A30" s="1" t="str">
        <f>MID($H$5,Constanst!K24,1)</f>
        <v>0</v>
      </c>
      <c r="B30" s="1" t="str">
        <f t="shared" si="1"/>
        <v>001011110100001010101010101</v>
      </c>
    </row>
    <row r="31" ht="14.25" customHeight="1">
      <c r="A31" s="1" t="str">
        <f>MID($H$5,Constanst!K25,1)</f>
        <v>0</v>
      </c>
      <c r="B31" s="1" t="str">
        <f t="shared" si="1"/>
        <v>01011110100001010101010101</v>
      </c>
    </row>
    <row r="32" ht="14.25" customHeight="1">
      <c r="A32" s="1" t="str">
        <f>MID($H$5,Constanst!K26,1)</f>
        <v>1</v>
      </c>
      <c r="B32" s="1" t="str">
        <f t="shared" si="1"/>
        <v>1011110100001010101010101</v>
      </c>
    </row>
    <row r="33" ht="14.25" customHeight="1">
      <c r="A33" s="1" t="str">
        <f>MID($H$5,Constanst!K27,1)</f>
        <v>0</v>
      </c>
      <c r="B33" s="1" t="str">
        <f t="shared" si="1"/>
        <v>011110100001010101010101</v>
      </c>
    </row>
    <row r="34" ht="14.25" customHeight="1">
      <c r="A34" s="1" t="str">
        <f>MID($H$5,Constanst!K28,1)</f>
        <v>1</v>
      </c>
      <c r="B34" s="1" t="str">
        <f t="shared" si="1"/>
        <v>11110100001010101010101</v>
      </c>
    </row>
    <row r="35" ht="14.25" customHeight="1">
      <c r="A35" s="1" t="str">
        <f>MID($H$5,Constanst!K29,1)</f>
        <v>1</v>
      </c>
      <c r="B35" s="1" t="str">
        <f t="shared" si="1"/>
        <v>1110100001010101010101</v>
      </c>
    </row>
    <row r="36" ht="14.25" customHeight="1">
      <c r="A36" s="1" t="str">
        <f>MID($H$5,Constanst!K30,1)</f>
        <v>1</v>
      </c>
      <c r="B36" s="1" t="str">
        <f t="shared" si="1"/>
        <v>110100001010101010101</v>
      </c>
    </row>
    <row r="37" ht="14.25" customHeight="1">
      <c r="A37" s="1" t="str">
        <f>MID($H$5,Constanst!K31,1)</f>
        <v>1</v>
      </c>
      <c r="B37" s="1" t="str">
        <f t="shared" si="1"/>
        <v>10100001010101010101</v>
      </c>
    </row>
    <row r="38" ht="14.25" customHeight="1">
      <c r="A38" s="1" t="str">
        <f>MID($H$5,Constanst!K32,1)</f>
        <v>0</v>
      </c>
      <c r="B38" s="1" t="str">
        <f t="shared" si="1"/>
        <v>0100001010101010101</v>
      </c>
    </row>
    <row r="39" ht="14.25" customHeight="1">
      <c r="A39" s="1" t="str">
        <f>MID($H$5,Constanst!K33,1)</f>
        <v>1</v>
      </c>
      <c r="B39" s="1" t="str">
        <f t="shared" si="1"/>
        <v>100001010101010101</v>
      </c>
    </row>
    <row r="40" ht="14.25" customHeight="1">
      <c r="A40" s="1" t="str">
        <f>MID($H$5,Constanst!K34,1)</f>
        <v>0</v>
      </c>
      <c r="B40" s="1" t="str">
        <f t="shared" si="1"/>
        <v>00001010101010101</v>
      </c>
    </row>
    <row r="41" ht="14.25" customHeight="1">
      <c r="A41" s="1" t="str">
        <f>MID($H$5,Constanst!K35,1)</f>
        <v>0</v>
      </c>
      <c r="B41" s="1" t="str">
        <f t="shared" si="1"/>
        <v>0001010101010101</v>
      </c>
    </row>
    <row r="42" ht="14.25" customHeight="1">
      <c r="A42" s="1" t="str">
        <f>MID($H$5,Constanst!K36,1)</f>
        <v>0</v>
      </c>
      <c r="B42" s="1" t="str">
        <f t="shared" si="1"/>
        <v>001010101010101</v>
      </c>
    </row>
    <row r="43" ht="14.25" customHeight="1">
      <c r="A43" s="1" t="str">
        <f>MID($H$5,Constanst!K37,1)</f>
        <v>0</v>
      </c>
      <c r="B43" s="1" t="str">
        <f t="shared" si="1"/>
        <v>01010101010101</v>
      </c>
    </row>
    <row r="44" ht="14.25" customHeight="1">
      <c r="A44" s="1" t="str">
        <f>MID($H$5,Constanst!K38,1)</f>
        <v>1</v>
      </c>
      <c r="B44" s="1" t="str">
        <f t="shared" si="1"/>
        <v>1010101010101</v>
      </c>
    </row>
    <row r="45" ht="14.25" customHeight="1">
      <c r="A45" s="1" t="str">
        <f>MID($H$5,Constanst!K39,1)</f>
        <v>0</v>
      </c>
      <c r="B45" s="1" t="str">
        <f t="shared" si="1"/>
        <v>010101010101</v>
      </c>
    </row>
    <row r="46" ht="14.25" customHeight="1">
      <c r="A46" s="1" t="str">
        <f>MID($H$5,Constanst!K40,1)</f>
        <v>1</v>
      </c>
      <c r="B46" s="1" t="str">
        <f t="shared" si="1"/>
        <v>10101010101</v>
      </c>
    </row>
    <row r="47" ht="14.25" customHeight="1">
      <c r="A47" s="1" t="str">
        <f>MID($H$5,Constanst!K41,1)</f>
        <v>0</v>
      </c>
      <c r="B47" s="1" t="str">
        <f t="shared" si="1"/>
        <v>0101010101</v>
      </c>
    </row>
    <row r="48" ht="14.25" customHeight="1">
      <c r="A48" s="1" t="str">
        <f>MID($H$5,Constanst!K42,1)</f>
        <v>1</v>
      </c>
      <c r="B48" s="1" t="str">
        <f t="shared" si="1"/>
        <v>101010101</v>
      </c>
    </row>
    <row r="49" ht="14.25" customHeight="1">
      <c r="A49" s="1" t="str">
        <f>MID($H$5,Constanst!K43,1)</f>
        <v>0</v>
      </c>
      <c r="B49" s="1" t="str">
        <f t="shared" si="1"/>
        <v>01010101</v>
      </c>
    </row>
    <row r="50" ht="14.25" customHeight="1">
      <c r="A50" s="1" t="str">
        <f>MID($H$5,Constanst!K44,1)</f>
        <v>1</v>
      </c>
      <c r="B50" s="1" t="str">
        <f t="shared" si="1"/>
        <v>1010101</v>
      </c>
    </row>
    <row r="51" ht="14.25" customHeight="1">
      <c r="A51" s="1" t="str">
        <f>MID($H$5,Constanst!K45,1)</f>
        <v>0</v>
      </c>
      <c r="B51" s="1" t="str">
        <f t="shared" si="1"/>
        <v>010101</v>
      </c>
    </row>
    <row r="52" ht="14.25" customHeight="1">
      <c r="A52" s="1" t="str">
        <f>MID($H$5,Constanst!K46,1)</f>
        <v>1</v>
      </c>
      <c r="B52" s="1" t="str">
        <f t="shared" si="1"/>
        <v>10101</v>
      </c>
    </row>
    <row r="53" ht="14.25" customHeight="1">
      <c r="A53" s="1" t="str">
        <f>MID($H$5,Constanst!K47,1)</f>
        <v>0</v>
      </c>
      <c r="B53" s="1" t="str">
        <f t="shared" si="1"/>
        <v>0101</v>
      </c>
    </row>
    <row r="54" ht="14.25" customHeight="1">
      <c r="A54" s="1" t="str">
        <f>MID($H$5,Constanst!K48,1)</f>
        <v>1</v>
      </c>
      <c r="B54" s="1" t="str">
        <f t="shared" si="1"/>
        <v>101</v>
      </c>
    </row>
    <row r="55" ht="14.25" customHeight="1">
      <c r="A55" s="1" t="str">
        <f>MID($H$5,Constanst!K49,1)</f>
        <v>0</v>
      </c>
      <c r="B55" s="1" t="str">
        <f>A55&amp;A56</f>
        <v>01</v>
      </c>
    </row>
    <row r="56" ht="14.25" customHeight="1">
      <c r="A56" s="1" t="str">
        <f>MID($H$5,Constanst!K50,1)</f>
        <v>1</v>
      </c>
    </row>
    <row r="57" ht="14.25" customHeight="1"/>
    <row r="58" ht="14.25" customHeight="1">
      <c r="A58" s="1" t="s">
        <v>74</v>
      </c>
    </row>
    <row r="59" ht="14.25" customHeight="1">
      <c r="A59" s="20" t="s">
        <v>61</v>
      </c>
      <c r="B59" s="20" t="s">
        <v>61</v>
      </c>
      <c r="C59" s="20" t="s">
        <v>62</v>
      </c>
      <c r="D59" s="20" t="s">
        <v>75</v>
      </c>
      <c r="G59" s="20" t="s">
        <v>61</v>
      </c>
      <c r="H59" s="20" t="s">
        <v>61</v>
      </c>
      <c r="I59" s="20" t="s">
        <v>62</v>
      </c>
      <c r="J59" s="20" t="s">
        <v>75</v>
      </c>
    </row>
    <row r="60" ht="14.25" customHeight="1">
      <c r="A60" s="20">
        <v>1.0</v>
      </c>
      <c r="B60" s="20" t="str">
        <f t="shared" ref="B60:B65" si="2">MID($D$1,(A60-1)*8+1, 8)</f>
        <v>00011011</v>
      </c>
      <c r="C60" s="20" t="str">
        <f t="shared" ref="C60:C65" si="3">BIN2HEX(B60,2)</f>
        <v>1B</v>
      </c>
      <c r="D60" s="20">
        <f t="shared" ref="D60:D65" si="4">BIN2DEC(B60)</f>
        <v>27</v>
      </c>
      <c r="G60" s="20">
        <v>1.0</v>
      </c>
      <c r="H60" s="20" t="str">
        <f t="shared" ref="H60:H65" si="5">MID($D$7,(G60-1)*8+1, 8)</f>
        <v>01110000</v>
      </c>
      <c r="I60" s="20" t="str">
        <f t="shared" ref="I60:I65" si="6">BIN2HEX(H60,2)</f>
        <v>70</v>
      </c>
      <c r="J60" s="20">
        <f t="shared" ref="J60:J65" si="7">BIN2DEC(H60)</f>
        <v>112</v>
      </c>
    </row>
    <row r="61" ht="14.25" customHeight="1">
      <c r="A61" s="20">
        <v>2.0</v>
      </c>
      <c r="B61" s="20" t="str">
        <f t="shared" si="2"/>
        <v>00000010</v>
      </c>
      <c r="C61" s="20" t="str">
        <f t="shared" si="3"/>
        <v>02</v>
      </c>
      <c r="D61" s="20">
        <f t="shared" si="4"/>
        <v>2</v>
      </c>
      <c r="G61" s="20">
        <v>2.0</v>
      </c>
      <c r="H61" s="20" t="str">
        <f t="shared" si="5"/>
        <v>00000010</v>
      </c>
      <c r="I61" s="20" t="str">
        <f t="shared" si="6"/>
        <v>02</v>
      </c>
      <c r="J61" s="20">
        <f t="shared" si="7"/>
        <v>2</v>
      </c>
    </row>
    <row r="62" ht="14.25" customHeight="1">
      <c r="A62" s="20">
        <v>3.0</v>
      </c>
      <c r="B62" s="20" t="str">
        <f t="shared" si="2"/>
        <v>11101111</v>
      </c>
      <c r="C62" s="20" t="str">
        <f t="shared" si="3"/>
        <v>EF</v>
      </c>
      <c r="D62" s="20">
        <f t="shared" si="4"/>
        <v>239</v>
      </c>
      <c r="G62" s="20">
        <v>3.0</v>
      </c>
      <c r="H62" s="20" t="str">
        <f t="shared" si="5"/>
        <v>10101001</v>
      </c>
      <c r="I62" s="20" t="str">
        <f t="shared" si="6"/>
        <v>A9</v>
      </c>
      <c r="J62" s="20">
        <f t="shared" si="7"/>
        <v>169</v>
      </c>
    </row>
    <row r="63" ht="14.25" customHeight="1">
      <c r="A63" s="20">
        <v>4.0</v>
      </c>
      <c r="B63" s="20" t="str">
        <f t="shared" si="2"/>
        <v>11011011</v>
      </c>
      <c r="C63" s="20" t="str">
        <f t="shared" si="3"/>
        <v>DB</v>
      </c>
      <c r="D63" s="20">
        <f t="shared" si="4"/>
        <v>219</v>
      </c>
      <c r="G63" s="20">
        <v>4.0</v>
      </c>
      <c r="H63" s="20" t="str">
        <f t="shared" si="5"/>
        <v>01111010</v>
      </c>
      <c r="I63" s="20" t="str">
        <f t="shared" si="6"/>
        <v>7A</v>
      </c>
      <c r="J63" s="20">
        <f t="shared" si="7"/>
        <v>122</v>
      </c>
    </row>
    <row r="64" ht="14.25" customHeight="1">
      <c r="A64" s="20">
        <v>5.0</v>
      </c>
      <c r="B64" s="20" t="str">
        <f t="shared" si="2"/>
        <v>01001001</v>
      </c>
      <c r="C64" s="20" t="str">
        <f t="shared" si="3"/>
        <v>49</v>
      </c>
      <c r="D64" s="20">
        <f t="shared" si="4"/>
        <v>73</v>
      </c>
      <c r="G64" s="20">
        <v>5.0</v>
      </c>
      <c r="H64" s="20" t="str">
        <f t="shared" si="5"/>
        <v>00010101</v>
      </c>
      <c r="I64" s="20" t="str">
        <f t="shared" si="6"/>
        <v>15</v>
      </c>
      <c r="J64" s="20">
        <f t="shared" si="7"/>
        <v>21</v>
      </c>
    </row>
    <row r="65" ht="14.25" customHeight="1">
      <c r="A65" s="20">
        <v>6.0</v>
      </c>
      <c r="B65" s="20" t="str">
        <f t="shared" si="2"/>
        <v>10100101</v>
      </c>
      <c r="C65" s="20" t="str">
        <f t="shared" si="3"/>
        <v>A5</v>
      </c>
      <c r="D65" s="20">
        <f t="shared" si="4"/>
        <v>165</v>
      </c>
      <c r="G65" s="20">
        <v>6.0</v>
      </c>
      <c r="H65" s="20" t="str">
        <f t="shared" si="5"/>
        <v>01010101</v>
      </c>
      <c r="I65" s="20" t="str">
        <f t="shared" si="6"/>
        <v>55</v>
      </c>
      <c r="J65" s="20">
        <f t="shared" si="7"/>
        <v>85</v>
      </c>
    </row>
    <row r="66" ht="14.25" customHeight="1"/>
    <row r="67" ht="14.25" customHeight="1">
      <c r="B67" s="1" t="s">
        <v>76</v>
      </c>
      <c r="H67" s="1" t="s">
        <v>77</v>
      </c>
    </row>
    <row r="68" ht="14.25" customHeight="1"/>
    <row r="69" ht="14.25" customHeight="1">
      <c r="A69" s="20" t="s">
        <v>78</v>
      </c>
      <c r="B69" s="20" t="s">
        <v>79</v>
      </c>
      <c r="C69" s="20" t="s">
        <v>80</v>
      </c>
      <c r="D69" s="20" t="s">
        <v>62</v>
      </c>
    </row>
    <row r="70" ht="14.25" customHeight="1">
      <c r="A70" s="20">
        <v>1.0</v>
      </c>
      <c r="B70" s="20">
        <f t="shared" ref="B70:B75" si="8">BITXOR(D60,J60)</f>
        <v>107</v>
      </c>
      <c r="C70" s="20" t="str">
        <f t="shared" ref="C70:C75" si="9">DEC2BIN(B70,8)</f>
        <v>01101011</v>
      </c>
      <c r="D70" s="20" t="str">
        <f t="shared" ref="D70:D75" si="10">BIN2HEX(C70,2)</f>
        <v>6B</v>
      </c>
    </row>
    <row r="71" ht="14.25" customHeight="1">
      <c r="A71" s="20">
        <v>2.0</v>
      </c>
      <c r="B71" s="20">
        <f t="shared" si="8"/>
        <v>0</v>
      </c>
      <c r="C71" s="20" t="str">
        <f t="shared" si="9"/>
        <v>00000000</v>
      </c>
      <c r="D71" s="20" t="str">
        <f t="shared" si="10"/>
        <v>00</v>
      </c>
    </row>
    <row r="72" ht="14.25" customHeight="1">
      <c r="A72" s="20">
        <v>3.0</v>
      </c>
      <c r="B72" s="20">
        <f t="shared" si="8"/>
        <v>70</v>
      </c>
      <c r="C72" s="20" t="str">
        <f t="shared" si="9"/>
        <v>01000110</v>
      </c>
      <c r="D72" s="20" t="str">
        <f t="shared" si="10"/>
        <v>46</v>
      </c>
    </row>
    <row r="73" ht="14.25" customHeight="1">
      <c r="A73" s="20">
        <v>4.0</v>
      </c>
      <c r="B73" s="20">
        <f t="shared" si="8"/>
        <v>161</v>
      </c>
      <c r="C73" s="20" t="str">
        <f t="shared" si="9"/>
        <v>10100001</v>
      </c>
      <c r="D73" s="20" t="str">
        <f t="shared" si="10"/>
        <v>A1</v>
      </c>
    </row>
    <row r="74" ht="14.25" customHeight="1">
      <c r="A74" s="20">
        <v>5.0</v>
      </c>
      <c r="B74" s="20">
        <f t="shared" si="8"/>
        <v>92</v>
      </c>
      <c r="C74" s="20" t="str">
        <f t="shared" si="9"/>
        <v>01011100</v>
      </c>
      <c r="D74" s="20" t="str">
        <f t="shared" si="10"/>
        <v>5C</v>
      </c>
    </row>
    <row r="75" ht="14.25" customHeight="1">
      <c r="A75" s="20">
        <v>6.0</v>
      </c>
      <c r="B75" s="20">
        <f t="shared" si="8"/>
        <v>240</v>
      </c>
      <c r="C75" s="20" t="str">
        <f t="shared" si="9"/>
        <v>11110000</v>
      </c>
      <c r="D75" s="20" t="str">
        <f t="shared" si="10"/>
        <v>F0</v>
      </c>
    </row>
    <row r="76" ht="14.25" customHeight="1"/>
    <row r="77" ht="14.25" customHeight="1">
      <c r="B77" s="1" t="s">
        <v>81</v>
      </c>
      <c r="D77" s="22" t="str">
        <f>C70&amp;C71&amp;C72&amp;C73&amp;C74&amp;C75</f>
        <v>011010110000000001000110101000010101110011110000</v>
      </c>
    </row>
    <row r="78" ht="14.25" customHeight="1"/>
    <row r="79" ht="14.25" customHeight="1">
      <c r="A79" s="1" t="s">
        <v>82</v>
      </c>
      <c r="E79" s="1" t="s">
        <v>83</v>
      </c>
    </row>
    <row r="80" ht="14.25" customHeight="1">
      <c r="E80" s="1" t="s">
        <v>84</v>
      </c>
    </row>
    <row r="81" ht="14.25" customHeight="1">
      <c r="A81" s="3" t="s">
        <v>85</v>
      </c>
      <c r="B81" s="3"/>
      <c r="C81" s="3" t="s">
        <v>86</v>
      </c>
      <c r="D81" s="3" t="s">
        <v>87</v>
      </c>
      <c r="E81" s="3"/>
      <c r="F81" s="3" t="s">
        <v>88</v>
      </c>
      <c r="G81" s="3" t="s">
        <v>89</v>
      </c>
      <c r="H81" s="3"/>
      <c r="I81" s="3"/>
    </row>
    <row r="82" ht="14.25" customHeight="1">
      <c r="A82" s="3">
        <v>1.0</v>
      </c>
      <c r="B82" s="3" t="str">
        <f t="shared" ref="B82:B89" si="11">MID($D$77, (A82-1)*6+1,6)</f>
        <v>011010</v>
      </c>
      <c r="C82" s="3" t="str">
        <f t="shared" ref="C82:C89" si="12">LEFT(B82,1)&amp;(RIGHT(B82,1))</f>
        <v>00</v>
      </c>
      <c r="D82" s="3" t="str">
        <f t="shared" ref="D82:D89" si="13">MID(B82,2,4)</f>
        <v>1101</v>
      </c>
      <c r="E82" s="3" t="str">
        <f t="shared" ref="E82:E89" si="14">C82&amp;D82</f>
        <v>001101</v>
      </c>
      <c r="F82" s="18">
        <f t="shared" ref="F82:F89" si="15">BIN2DEC(E82)</f>
        <v>13</v>
      </c>
      <c r="G82" s="3">
        <f>VLOOKUP(F82,Constanst!$M$3:$U$66,2,TRUE)</f>
        <v>9</v>
      </c>
      <c r="H82" s="3" t="str">
        <f t="shared" ref="H82:H89" si="16">DEC2BIN(G82,4)</f>
        <v>1001</v>
      </c>
      <c r="I82" s="3" t="str">
        <f>H82</f>
        <v>1001</v>
      </c>
    </row>
    <row r="83" ht="14.25" customHeight="1">
      <c r="A83" s="3">
        <v>2.0</v>
      </c>
      <c r="B83" s="3" t="str">
        <f t="shared" si="11"/>
        <v>110000</v>
      </c>
      <c r="C83" s="3" t="str">
        <f t="shared" si="12"/>
        <v>10</v>
      </c>
      <c r="D83" s="3" t="str">
        <f t="shared" si="13"/>
        <v>1000</v>
      </c>
      <c r="E83" s="3" t="str">
        <f t="shared" si="14"/>
        <v>101000</v>
      </c>
      <c r="F83" s="18">
        <f t="shared" si="15"/>
        <v>40</v>
      </c>
      <c r="G83" s="3">
        <f>VLOOKUP(F83,Constanst!$M$3:$U$66,3,TRUE)</f>
        <v>5</v>
      </c>
      <c r="H83" s="3" t="str">
        <f t="shared" si="16"/>
        <v>0101</v>
      </c>
      <c r="I83" s="3" t="str">
        <f t="shared" ref="I83:I89" si="17">I82&amp;H83</f>
        <v>10010101</v>
      </c>
    </row>
    <row r="84" ht="14.25" customHeight="1">
      <c r="A84" s="3">
        <v>3.0</v>
      </c>
      <c r="B84" s="3" t="str">
        <f t="shared" si="11"/>
        <v>000001</v>
      </c>
      <c r="C84" s="3" t="str">
        <f t="shared" si="12"/>
        <v>01</v>
      </c>
      <c r="D84" s="3" t="str">
        <f t="shared" si="13"/>
        <v>0000</v>
      </c>
      <c r="E84" s="3" t="str">
        <f t="shared" si="14"/>
        <v>010000</v>
      </c>
      <c r="F84" s="18">
        <f t="shared" si="15"/>
        <v>16</v>
      </c>
      <c r="G84" s="3">
        <f>VLOOKUP(F84,Constanst!$M$3:$U$66,4,TRUE)</f>
        <v>13</v>
      </c>
      <c r="H84" s="3" t="str">
        <f t="shared" si="16"/>
        <v>1101</v>
      </c>
      <c r="I84" s="3" t="str">
        <f t="shared" si="17"/>
        <v>100101011101</v>
      </c>
    </row>
    <row r="85" ht="14.25" customHeight="1">
      <c r="A85" s="3">
        <v>4.0</v>
      </c>
      <c r="B85" s="3" t="str">
        <f t="shared" si="11"/>
        <v>000110</v>
      </c>
      <c r="C85" s="3" t="str">
        <f t="shared" si="12"/>
        <v>00</v>
      </c>
      <c r="D85" s="3" t="str">
        <f t="shared" si="13"/>
        <v>0011</v>
      </c>
      <c r="E85" s="3" t="str">
        <f t="shared" si="14"/>
        <v>000011</v>
      </c>
      <c r="F85" s="18">
        <f t="shared" si="15"/>
        <v>3</v>
      </c>
      <c r="G85" s="3">
        <f>VLOOKUP(F85,Constanst!$M$3:$U$66,5,TRUE)</f>
        <v>3</v>
      </c>
      <c r="H85" s="3" t="str">
        <f t="shared" si="16"/>
        <v>0011</v>
      </c>
      <c r="I85" s="3" t="str">
        <f t="shared" si="17"/>
        <v>1001010111010011</v>
      </c>
    </row>
    <row r="86" ht="14.25" customHeight="1">
      <c r="A86" s="3">
        <v>5.0</v>
      </c>
      <c r="B86" s="3" t="str">
        <f t="shared" si="11"/>
        <v>101000</v>
      </c>
      <c r="C86" s="3" t="str">
        <f t="shared" si="12"/>
        <v>10</v>
      </c>
      <c r="D86" s="3" t="str">
        <f t="shared" si="13"/>
        <v>0100</v>
      </c>
      <c r="E86" s="3" t="str">
        <f t="shared" si="14"/>
        <v>100100</v>
      </c>
      <c r="F86" s="18">
        <f t="shared" si="15"/>
        <v>36</v>
      </c>
      <c r="G86" s="3">
        <f>VLOOKUP(F86,Constanst!$M$3:$U$66,6,TRUE)</f>
        <v>10</v>
      </c>
      <c r="H86" s="3" t="str">
        <f t="shared" si="16"/>
        <v>1010</v>
      </c>
      <c r="I86" s="3" t="str">
        <f t="shared" si="17"/>
        <v>10010101110100111010</v>
      </c>
    </row>
    <row r="87" ht="14.25" customHeight="1">
      <c r="A87" s="3">
        <v>6.0</v>
      </c>
      <c r="B87" s="3" t="str">
        <f t="shared" si="11"/>
        <v>010101</v>
      </c>
      <c r="C87" s="3" t="str">
        <f t="shared" si="12"/>
        <v>01</v>
      </c>
      <c r="D87" s="3" t="str">
        <f t="shared" si="13"/>
        <v>1010</v>
      </c>
      <c r="E87" s="3" t="str">
        <f t="shared" si="14"/>
        <v>011010</v>
      </c>
      <c r="F87" s="18">
        <f t="shared" si="15"/>
        <v>26</v>
      </c>
      <c r="G87" s="3">
        <f>VLOOKUP(F87,Constanst!$M$3:$U$66,7,TRUE)</f>
        <v>13</v>
      </c>
      <c r="H87" s="3" t="str">
        <f t="shared" si="16"/>
        <v>1101</v>
      </c>
      <c r="I87" s="3" t="str">
        <f t="shared" si="17"/>
        <v>100101011101001110101101</v>
      </c>
    </row>
    <row r="88" ht="14.25" customHeight="1">
      <c r="A88" s="3">
        <v>7.0</v>
      </c>
      <c r="B88" s="3" t="str">
        <f t="shared" si="11"/>
        <v>110011</v>
      </c>
      <c r="C88" s="3" t="str">
        <f t="shared" si="12"/>
        <v>11</v>
      </c>
      <c r="D88" s="3" t="str">
        <f t="shared" si="13"/>
        <v>1001</v>
      </c>
      <c r="E88" s="3" t="str">
        <f t="shared" si="14"/>
        <v>111001</v>
      </c>
      <c r="F88" s="18">
        <f t="shared" si="15"/>
        <v>57</v>
      </c>
      <c r="G88" s="3">
        <f>VLOOKUP(F88,Constanst!$M$3:$U$66,8,TRUE)</f>
        <v>5</v>
      </c>
      <c r="H88" s="3" t="str">
        <f t="shared" si="16"/>
        <v>0101</v>
      </c>
      <c r="I88" s="3" t="str">
        <f t="shared" si="17"/>
        <v>1001010111010011101011010101</v>
      </c>
    </row>
    <row r="89" ht="14.25" customHeight="1">
      <c r="A89" s="3">
        <v>8.0</v>
      </c>
      <c r="B89" s="3" t="str">
        <f t="shared" si="11"/>
        <v>110000</v>
      </c>
      <c r="C89" s="3" t="str">
        <f t="shared" si="12"/>
        <v>10</v>
      </c>
      <c r="D89" s="3" t="str">
        <f t="shared" si="13"/>
        <v>1000</v>
      </c>
      <c r="E89" s="3" t="str">
        <f t="shared" si="14"/>
        <v>101000</v>
      </c>
      <c r="F89" s="18">
        <f t="shared" si="15"/>
        <v>40</v>
      </c>
      <c r="G89" s="3">
        <f>VLOOKUP(F89,Constanst!$M$3:$U$66,9,TRUE)</f>
        <v>0</v>
      </c>
      <c r="H89" s="3" t="str">
        <f t="shared" si="16"/>
        <v>0000</v>
      </c>
      <c r="I89" s="3" t="str">
        <f t="shared" si="17"/>
        <v>10010101110100111010110101010000</v>
      </c>
    </row>
    <row r="90" ht="14.25" customHeight="1"/>
    <row r="91" ht="14.25" customHeight="1">
      <c r="B91" s="1" t="s">
        <v>90</v>
      </c>
      <c r="C91" s="1" t="str">
        <f>I89</f>
        <v>10010101110100111010110101010000</v>
      </c>
    </row>
    <row r="92" ht="14.25" customHeight="1"/>
    <row r="93" ht="14.25" customHeight="1">
      <c r="A93" s="1" t="s">
        <v>91</v>
      </c>
    </row>
    <row r="94" ht="14.25" customHeight="1"/>
    <row r="95" ht="14.25" hidden="1" customHeight="1">
      <c r="A95" s="1" t="s">
        <v>66</v>
      </c>
    </row>
    <row r="96" ht="14.25" hidden="1" customHeight="1">
      <c r="A96" s="1" t="str">
        <f>MID($C$91,Constanst!X3,1)</f>
        <v>1</v>
      </c>
    </row>
    <row r="97" ht="14.25" hidden="1" customHeight="1">
      <c r="A97" s="1" t="str">
        <f>MID($C$91,Constanst!X4,1)</f>
        <v>0</v>
      </c>
      <c r="B97" s="1" t="str">
        <f>A96&amp;A97</f>
        <v>10</v>
      </c>
    </row>
    <row r="98" ht="14.25" hidden="1" customHeight="1">
      <c r="A98" s="1" t="str">
        <f>MID($C$91,Constanst!X5,1)</f>
        <v>0</v>
      </c>
      <c r="B98" s="1" t="str">
        <f t="shared" ref="B98:B127" si="18">B97&amp;A98</f>
        <v>100</v>
      </c>
    </row>
    <row r="99" ht="14.25" hidden="1" customHeight="1">
      <c r="A99" s="1" t="str">
        <f>MID($C$91,Constanst!X6,1)</f>
        <v>1</v>
      </c>
      <c r="B99" s="1" t="str">
        <f t="shared" si="18"/>
        <v>1001</v>
      </c>
    </row>
    <row r="100" ht="14.25" hidden="1" customHeight="1">
      <c r="A100" s="1" t="str">
        <f>MID($C$91,Constanst!X7,1)</f>
        <v>0</v>
      </c>
      <c r="B100" s="1" t="str">
        <f t="shared" si="18"/>
        <v>10010</v>
      </c>
    </row>
    <row r="101" ht="14.25" hidden="1" customHeight="1">
      <c r="A101" s="1" t="str">
        <f>MID($C$91,Constanst!X8,1)</f>
        <v>1</v>
      </c>
      <c r="B101" s="1" t="str">
        <f t="shared" si="18"/>
        <v>100101</v>
      </c>
    </row>
    <row r="102" ht="14.25" hidden="1" customHeight="1">
      <c r="A102" s="1" t="str">
        <f>MID($C$91,Constanst!X9,1)</f>
        <v>1</v>
      </c>
      <c r="B102" s="1" t="str">
        <f t="shared" si="18"/>
        <v>1001011</v>
      </c>
    </row>
    <row r="103" ht="14.25" hidden="1" customHeight="1">
      <c r="A103" s="1" t="str">
        <f>MID($C$91,Constanst!X10,1)</f>
        <v>1</v>
      </c>
      <c r="B103" s="1" t="str">
        <f t="shared" si="18"/>
        <v>10010111</v>
      </c>
    </row>
    <row r="104" ht="14.25" hidden="1" customHeight="1">
      <c r="A104" s="1" t="str">
        <f>MID($C$91,Constanst!X11,1)</f>
        <v>1</v>
      </c>
      <c r="B104" s="1" t="str">
        <f t="shared" si="18"/>
        <v>100101111</v>
      </c>
    </row>
    <row r="105" ht="14.25" hidden="1" customHeight="1">
      <c r="A105" s="1" t="str">
        <f>MID($C$91,Constanst!X12,1)</f>
        <v>1</v>
      </c>
      <c r="B105" s="1" t="str">
        <f t="shared" si="18"/>
        <v>1001011111</v>
      </c>
    </row>
    <row r="106" ht="14.25" hidden="1" customHeight="1">
      <c r="A106" s="1" t="str">
        <f>MID($C$91,Constanst!X13,1)</f>
        <v>0</v>
      </c>
      <c r="B106" s="1" t="str">
        <f t="shared" si="18"/>
        <v>10010111110</v>
      </c>
    </row>
    <row r="107" ht="14.25" hidden="1" customHeight="1">
      <c r="A107" s="1" t="str">
        <f>MID($C$91,Constanst!X14,1)</f>
        <v>1</v>
      </c>
      <c r="B107" s="1" t="str">
        <f t="shared" si="18"/>
        <v>100101111101</v>
      </c>
    </row>
    <row r="108" ht="14.25" hidden="1" customHeight="1">
      <c r="A108" s="1" t="str">
        <f>MID($C$91,Constanst!X15,1)</f>
        <v>0</v>
      </c>
      <c r="B108" s="1" t="str">
        <f t="shared" si="18"/>
        <v>1001011111010</v>
      </c>
    </row>
    <row r="109" ht="14.25" hidden="1" customHeight="1">
      <c r="A109" s="1" t="str">
        <f>MID($C$91,Constanst!X16,1)</f>
        <v>0</v>
      </c>
      <c r="B109" s="1" t="str">
        <f t="shared" si="18"/>
        <v>10010111110100</v>
      </c>
    </row>
    <row r="110" ht="14.25" hidden="1" customHeight="1">
      <c r="A110" s="1" t="str">
        <f>MID($C$91,Constanst!X17,1)</f>
        <v>0</v>
      </c>
      <c r="B110" s="1" t="str">
        <f t="shared" si="18"/>
        <v>100101111101000</v>
      </c>
    </row>
    <row r="111" ht="14.25" hidden="1" customHeight="1">
      <c r="A111" s="1" t="str">
        <f>MID($C$91,Constanst!X18,1)</f>
        <v>1</v>
      </c>
      <c r="B111" s="1" t="str">
        <f t="shared" si="18"/>
        <v>1001011111010001</v>
      </c>
    </row>
    <row r="112" ht="14.25" hidden="1" customHeight="1">
      <c r="A112" s="1" t="str">
        <f>MID($C$91,Constanst!X19,1)</f>
        <v>0</v>
      </c>
      <c r="B112" s="1" t="str">
        <f t="shared" si="18"/>
        <v>10010111110100010</v>
      </c>
    </row>
    <row r="113" ht="14.25" hidden="1" customHeight="1">
      <c r="A113" s="1" t="str">
        <f>MID($C$91,Constanst!X20,1)</f>
        <v>1</v>
      </c>
      <c r="B113" s="1" t="str">
        <f t="shared" si="18"/>
        <v>100101111101000101</v>
      </c>
    </row>
    <row r="114" ht="14.25" hidden="1" customHeight="1">
      <c r="A114" s="1" t="str">
        <f>MID($C$91,Constanst!X21,1)</f>
        <v>1</v>
      </c>
      <c r="B114" s="1" t="str">
        <f t="shared" si="18"/>
        <v>1001011111010001011</v>
      </c>
    </row>
    <row r="115" ht="14.25" hidden="1" customHeight="1">
      <c r="A115" s="1" t="str">
        <f>MID($C$91,Constanst!X22,1)</f>
        <v>0</v>
      </c>
      <c r="B115" s="1" t="str">
        <f t="shared" si="18"/>
        <v>10010111110100010110</v>
      </c>
    </row>
    <row r="116" ht="14.25" hidden="1" customHeight="1">
      <c r="A116" s="1" t="str">
        <f>MID($C$91,Constanst!X23,1)</f>
        <v>0</v>
      </c>
      <c r="B116" s="1" t="str">
        <f t="shared" si="18"/>
        <v>100101111101000101100</v>
      </c>
    </row>
    <row r="117" ht="14.25" hidden="1" customHeight="1">
      <c r="A117" s="1" t="str">
        <f>MID($C$91,Constanst!X24,1)</f>
        <v>0</v>
      </c>
      <c r="B117" s="1" t="str">
        <f t="shared" si="18"/>
        <v>1001011111010001011000</v>
      </c>
    </row>
    <row r="118" ht="14.25" hidden="1" customHeight="1">
      <c r="A118" s="1" t="str">
        <f>MID($C$91,Constanst!X25,1)</f>
        <v>0</v>
      </c>
      <c r="B118" s="1" t="str">
        <f t="shared" si="18"/>
        <v>10010111110100010110000</v>
      </c>
    </row>
    <row r="119" ht="14.25" hidden="1" customHeight="1">
      <c r="A119" s="1" t="str">
        <f>MID($C$91,Constanst!X26,1)</f>
        <v>1</v>
      </c>
      <c r="B119" s="1" t="str">
        <f t="shared" si="18"/>
        <v>100101111101000101100001</v>
      </c>
    </row>
    <row r="120" ht="14.25" hidden="1" customHeight="1">
      <c r="A120" s="1" t="str">
        <f>MID($C$91,Constanst!X27,1)</f>
        <v>1</v>
      </c>
      <c r="B120" s="1" t="str">
        <f t="shared" si="18"/>
        <v>1001011111010001011000011</v>
      </c>
    </row>
    <row r="121" ht="14.25" hidden="1" customHeight="1">
      <c r="A121" s="1" t="str">
        <f>MID($C$91,Constanst!X28,1)</f>
        <v>0</v>
      </c>
      <c r="B121" s="1" t="str">
        <f t="shared" si="18"/>
        <v>10010111110100010110000110</v>
      </c>
    </row>
    <row r="122" ht="14.25" hidden="1" customHeight="1">
      <c r="A122" s="1" t="str">
        <f>MID($C$91,Constanst!X29,1)</f>
        <v>0</v>
      </c>
      <c r="B122" s="1" t="str">
        <f t="shared" si="18"/>
        <v>100101111101000101100001100</v>
      </c>
    </row>
    <row r="123" ht="14.25" hidden="1" customHeight="1">
      <c r="A123" s="1" t="str">
        <f>MID($C$91,Constanst!X30,1)</f>
        <v>1</v>
      </c>
      <c r="B123" s="1" t="str">
        <f t="shared" si="18"/>
        <v>1001011111010001011000011001</v>
      </c>
    </row>
    <row r="124" ht="14.25" hidden="1" customHeight="1">
      <c r="A124" s="1" t="str">
        <f>MID($C$91,Constanst!X31,1)</f>
        <v>1</v>
      </c>
      <c r="B124" s="1" t="str">
        <f t="shared" si="18"/>
        <v>10010111110100010110000110011</v>
      </c>
    </row>
    <row r="125" ht="14.25" hidden="1" customHeight="1">
      <c r="A125" s="1" t="str">
        <f>MID($C$91,Constanst!X32,1)</f>
        <v>0</v>
      </c>
      <c r="B125" s="1" t="str">
        <f t="shared" si="18"/>
        <v>100101111101000101100001100110</v>
      </c>
    </row>
    <row r="126" ht="14.25" hidden="1" customHeight="1">
      <c r="A126" s="1" t="str">
        <f>MID($C$91,Constanst!X33,1)</f>
        <v>1</v>
      </c>
      <c r="B126" s="1" t="str">
        <f t="shared" si="18"/>
        <v>1001011111010001011000011001101</v>
      </c>
    </row>
    <row r="127" ht="14.25" customHeight="1">
      <c r="A127" s="1" t="str">
        <f>MID($C$91,Constanst!X34,1)</f>
        <v>0</v>
      </c>
      <c r="B127" s="22" t="str">
        <f t="shared" si="18"/>
        <v>10010111110100010110000110011010</v>
      </c>
    </row>
    <row r="128" ht="14.25" customHeight="1"/>
    <row r="129" ht="14.25" customHeight="1">
      <c r="A129" s="1" t="s">
        <v>92</v>
      </c>
      <c r="B129" s="1" t="str">
        <f>B127</f>
        <v>10010111110100010110000110011010</v>
      </c>
    </row>
    <row r="130" ht="14.25" customHeight="1"/>
    <row r="131" ht="14.25" customHeight="1">
      <c r="A131" s="20" t="s">
        <v>61</v>
      </c>
      <c r="B131" s="20" t="s">
        <v>61</v>
      </c>
      <c r="C131" s="20" t="s">
        <v>62</v>
      </c>
      <c r="D131" s="20" t="s">
        <v>93</v>
      </c>
    </row>
    <row r="132" ht="14.25" customHeight="1">
      <c r="A132" s="20">
        <v>1.0</v>
      </c>
      <c r="B132" s="20" t="str">
        <f t="shared" ref="B132:B135" si="19">MID($B$129,(A132-1)*8+1, 8)</f>
        <v>10010111</v>
      </c>
      <c r="C132" s="20" t="str">
        <f t="shared" ref="C132:C135" si="20">BIN2HEX(B132,2)</f>
        <v>97</v>
      </c>
      <c r="D132" s="20">
        <f t="shared" ref="D132:D135" si="21">HEX2DEC(C132)</f>
        <v>151</v>
      </c>
    </row>
    <row r="133" ht="14.25" customHeight="1">
      <c r="A133" s="20">
        <v>2.0</v>
      </c>
      <c r="B133" s="20" t="str">
        <f t="shared" si="19"/>
        <v>11010001</v>
      </c>
      <c r="C133" s="20" t="str">
        <f t="shared" si="20"/>
        <v>D1</v>
      </c>
      <c r="D133" s="20">
        <f t="shared" si="21"/>
        <v>209</v>
      </c>
    </row>
    <row r="134" ht="14.25" customHeight="1">
      <c r="A134" s="20">
        <v>3.0</v>
      </c>
      <c r="B134" s="20" t="str">
        <f t="shared" si="19"/>
        <v>01100001</v>
      </c>
      <c r="C134" s="20" t="str">
        <f t="shared" si="20"/>
        <v>61</v>
      </c>
      <c r="D134" s="20">
        <f t="shared" si="21"/>
        <v>97</v>
      </c>
    </row>
    <row r="135" ht="14.25" customHeight="1">
      <c r="A135" s="20">
        <v>4.0</v>
      </c>
      <c r="B135" s="20" t="str">
        <f t="shared" si="19"/>
        <v>10011010</v>
      </c>
      <c r="C135" s="20" t="str">
        <f t="shared" si="20"/>
        <v>9A</v>
      </c>
      <c r="D135" s="20">
        <f t="shared" si="21"/>
        <v>154</v>
      </c>
    </row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K2</v>
      </c>
      <c r="D2" s="1" t="str">
        <f>Input!I2</f>
        <v>011010011010111011011001001001011110101001100110</v>
      </c>
    </row>
    <row r="3" ht="14.25" customHeight="1">
      <c r="A3" s="1" t="s">
        <v>92</v>
      </c>
      <c r="B3" s="1" t="str">
        <f t="array" ref="B3">INDIRECT("'f(" &amp; L5 &amp; "," &amp; L7 &amp; ")'!B129")</f>
        <v>10010111110100010110000110011010</v>
      </c>
    </row>
    <row r="4" ht="14.25" customHeight="1">
      <c r="A4" s="1" t="str">
        <f t="shared" ref="A4:A5" si="1">L4</f>
        <v>L0</v>
      </c>
      <c r="B4" s="1" t="str">
        <f t="array" ref="B4">INDIRECT("'f(" &amp; L5 &amp; "," &amp; L7 &amp; ")'!H4")</f>
        <v>10011000111111101100110000000000</v>
      </c>
      <c r="L4" s="1" t="s">
        <v>94</v>
      </c>
      <c r="M4" s="1" t="s">
        <v>95</v>
      </c>
    </row>
    <row r="5" ht="14.25" customHeight="1">
      <c r="A5" s="1" t="str">
        <f t="shared" si="1"/>
        <v>R0</v>
      </c>
      <c r="B5" s="1" t="str">
        <f t="array" ref="B5">INDIRECT("'f(" &amp; L5 &amp; "," &amp; L7 &amp; ")'!H5")</f>
        <v>11100000010101001111000010101010</v>
      </c>
      <c r="L5" s="1" t="s">
        <v>96</v>
      </c>
      <c r="M5" s="1" t="s">
        <v>97</v>
      </c>
    </row>
    <row r="6" ht="14.25" customHeight="1">
      <c r="L6" s="1" t="s">
        <v>6</v>
      </c>
    </row>
    <row r="7" ht="14.25" customHeight="1">
      <c r="A7" s="11" t="s">
        <v>98</v>
      </c>
      <c r="B7" s="5"/>
      <c r="C7" s="5"/>
      <c r="D7" s="6"/>
      <c r="G7" s="11" t="str">
        <f>L4</f>
        <v>L0</v>
      </c>
      <c r="H7" s="5"/>
      <c r="I7" s="5"/>
      <c r="J7" s="6"/>
      <c r="L7" s="1" t="s">
        <v>3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10010111</v>
      </c>
      <c r="C9" s="20" t="str">
        <f t="shared" ref="C9:C12" si="3">BIN2HEX(B9,2)</f>
        <v>97</v>
      </c>
      <c r="D9" s="20">
        <f t="shared" ref="D9:D12" si="4">HEX2DEC(C9)</f>
        <v>151</v>
      </c>
      <c r="G9" s="20">
        <v>1.0</v>
      </c>
      <c r="H9" s="20" t="str">
        <f t="shared" ref="H9:H12" si="5">MID($B$4,(G9-1)*8+1, 8)</f>
        <v>10011000</v>
      </c>
      <c r="I9" s="20" t="str">
        <f t="shared" ref="I9:I12" si="6">BIN2HEX(H9,2)</f>
        <v>98</v>
      </c>
      <c r="J9" s="20">
        <f t="shared" ref="J9:J12" si="7">HEX2DEC(I9)</f>
        <v>152</v>
      </c>
    </row>
    <row r="10" ht="14.25" customHeight="1">
      <c r="A10" s="20">
        <v>2.0</v>
      </c>
      <c r="B10" s="20" t="str">
        <f t="shared" si="2"/>
        <v>11010001</v>
      </c>
      <c r="C10" s="20" t="str">
        <f t="shared" si="3"/>
        <v>D1</v>
      </c>
      <c r="D10" s="20">
        <f t="shared" si="4"/>
        <v>209</v>
      </c>
      <c r="G10" s="20">
        <v>2.0</v>
      </c>
      <c r="H10" s="20" t="str">
        <f t="shared" si="5"/>
        <v>11111110</v>
      </c>
      <c r="I10" s="20" t="str">
        <f t="shared" si="6"/>
        <v>FE</v>
      </c>
      <c r="J10" s="20">
        <f t="shared" si="7"/>
        <v>254</v>
      </c>
    </row>
    <row r="11" ht="14.25" customHeight="1">
      <c r="A11" s="20">
        <v>3.0</v>
      </c>
      <c r="B11" s="20" t="str">
        <f t="shared" si="2"/>
        <v>01100001</v>
      </c>
      <c r="C11" s="20" t="str">
        <f t="shared" si="3"/>
        <v>61</v>
      </c>
      <c r="D11" s="20">
        <f t="shared" si="4"/>
        <v>97</v>
      </c>
      <c r="G11" s="20">
        <v>3.0</v>
      </c>
      <c r="H11" s="20" t="str">
        <f t="shared" si="5"/>
        <v>11001100</v>
      </c>
      <c r="I11" s="20" t="str">
        <f t="shared" si="6"/>
        <v>CC</v>
      </c>
      <c r="J11" s="20">
        <f t="shared" si="7"/>
        <v>204</v>
      </c>
    </row>
    <row r="12" ht="14.25" customHeight="1">
      <c r="A12" s="20">
        <v>4.0</v>
      </c>
      <c r="B12" s="20" t="str">
        <f t="shared" si="2"/>
        <v>10011010</v>
      </c>
      <c r="C12" s="20" t="str">
        <f t="shared" si="3"/>
        <v>9A</v>
      </c>
      <c r="D12" s="20">
        <f t="shared" si="4"/>
        <v>154</v>
      </c>
      <c r="G12" s="20">
        <v>4.0</v>
      </c>
      <c r="H12" s="20" t="str">
        <f t="shared" si="5"/>
        <v>00000000</v>
      </c>
      <c r="I12" s="20" t="str">
        <f t="shared" si="6"/>
        <v>00</v>
      </c>
      <c r="J12" s="20">
        <f t="shared" si="7"/>
        <v>0</v>
      </c>
    </row>
    <row r="13" ht="14.25" customHeight="1"/>
    <row r="14" ht="14.25" customHeight="1">
      <c r="A14" s="1" t="str">
        <f>M5&amp;" = F XOR "&amp;L4&amp;" ="</f>
        <v>R1 = F XOR L0 =</v>
      </c>
      <c r="C14" s="23" t="str">
        <f>F17&amp;F18&amp;F19&amp;F20</f>
        <v>00001111001011111010110110011010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15</v>
      </c>
      <c r="E17" s="20" t="str">
        <f t="shared" ref="E17:E20" si="9">DEC2HEX(D17,2)</f>
        <v>0F</v>
      </c>
      <c r="F17" s="20" t="str">
        <f t="shared" ref="F17:F20" si="10">HEX2BIN(E17,8)</f>
        <v>00001111</v>
      </c>
    </row>
    <row r="18" ht="14.25" customHeight="1">
      <c r="C18" s="20">
        <v>2.0</v>
      </c>
      <c r="D18" s="20">
        <f t="shared" si="8"/>
        <v>47</v>
      </c>
      <c r="E18" s="20" t="str">
        <f t="shared" si="9"/>
        <v>2F</v>
      </c>
      <c r="F18" s="20" t="str">
        <f t="shared" si="10"/>
        <v>00101111</v>
      </c>
    </row>
    <row r="19" ht="14.25" customHeight="1">
      <c r="C19" s="20">
        <v>3.0</v>
      </c>
      <c r="D19" s="20">
        <f t="shared" si="8"/>
        <v>173</v>
      </c>
      <c r="E19" s="20" t="str">
        <f t="shared" si="9"/>
        <v>AD</v>
      </c>
      <c r="F19" s="20" t="str">
        <f t="shared" si="10"/>
        <v>10101101</v>
      </c>
    </row>
    <row r="20" ht="14.25" customHeight="1">
      <c r="C20" s="20">
        <v>4.0</v>
      </c>
      <c r="D20" s="20">
        <f t="shared" si="8"/>
        <v>154</v>
      </c>
      <c r="E20" s="20" t="str">
        <f t="shared" si="9"/>
        <v>9A</v>
      </c>
      <c r="F20" s="20" t="str">
        <f t="shared" si="10"/>
        <v>10011010</v>
      </c>
    </row>
    <row r="21" ht="14.25" customHeight="1"/>
    <row r="22" ht="14.25" customHeight="1">
      <c r="A22" s="1" t="str">
        <f>M4&amp;" = "&amp;L5&amp;" ="</f>
        <v>L1 = R0 =</v>
      </c>
      <c r="C22" s="23" t="str">
        <f>B5</f>
        <v>11100000010101001111000010101010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R1 =&gt; E(R1)</v>
      </c>
      <c r="D24" s="1" t="str">
        <f>B26</f>
        <v>000001011110100101011111110101011011110011110100</v>
      </c>
    </row>
    <row r="25" ht="14.25" customHeight="1">
      <c r="A25" s="1" t="s">
        <v>66</v>
      </c>
    </row>
    <row r="26" ht="14.25" customHeight="1">
      <c r="A26" s="1" t="str">
        <f>MID($C$14,Constanst!K3,1)</f>
        <v>0</v>
      </c>
      <c r="B26" s="1" t="str">
        <f t="shared" ref="B26:B71" si="11">A26&amp;B27</f>
        <v>000001011110100101011111110101011011110011110100</v>
      </c>
    </row>
    <row r="27" ht="14.25" customHeight="1">
      <c r="A27" s="1" t="str">
        <f>MID($C$14,Constanst!K4,1)</f>
        <v>0</v>
      </c>
      <c r="B27" s="1" t="str">
        <f t="shared" si="11"/>
        <v>00001011110100101011111110101011011110011110100</v>
      </c>
    </row>
    <row r="28" ht="14.25" customHeight="1">
      <c r="A28" s="1" t="str">
        <f>MID($C$14,Constanst!K5,1)</f>
        <v>0</v>
      </c>
      <c r="B28" s="1" t="str">
        <f t="shared" si="11"/>
        <v>0001011110100101011111110101011011110011110100</v>
      </c>
    </row>
    <row r="29" ht="14.25" customHeight="1">
      <c r="A29" s="1" t="str">
        <f>MID($C$14,Constanst!K6,1)</f>
        <v>0</v>
      </c>
      <c r="B29" s="1" t="str">
        <f t="shared" si="11"/>
        <v>001011110100101011111110101011011110011110100</v>
      </c>
    </row>
    <row r="30" ht="14.25" customHeight="1">
      <c r="A30" s="1" t="str">
        <f>MID($C$14,Constanst!K7,1)</f>
        <v>0</v>
      </c>
      <c r="B30" s="1" t="str">
        <f t="shared" si="11"/>
        <v>01011110100101011111110101011011110011110100</v>
      </c>
    </row>
    <row r="31" ht="14.25" customHeight="1">
      <c r="A31" s="1" t="str">
        <f>MID($C$14,Constanst!K8,1)</f>
        <v>1</v>
      </c>
      <c r="B31" s="1" t="str">
        <f t="shared" si="11"/>
        <v>1011110100101011111110101011011110011110100</v>
      </c>
    </row>
    <row r="32" ht="14.25" customHeight="1">
      <c r="A32" s="1" t="str">
        <f>MID($C$14,Constanst!K9,1)</f>
        <v>0</v>
      </c>
      <c r="B32" s="1" t="str">
        <f t="shared" si="11"/>
        <v>011110100101011111110101011011110011110100</v>
      </c>
    </row>
    <row r="33" ht="14.25" customHeight="1">
      <c r="A33" s="1" t="str">
        <f>MID($C$14,Constanst!K10,1)</f>
        <v>1</v>
      </c>
      <c r="B33" s="1" t="str">
        <f t="shared" si="11"/>
        <v>11110100101011111110101011011110011110100</v>
      </c>
    </row>
    <row r="34" ht="14.25" customHeight="1">
      <c r="A34" s="1" t="str">
        <f>MID($C$14,Constanst!K11,1)</f>
        <v>1</v>
      </c>
      <c r="B34" s="1" t="str">
        <f t="shared" si="11"/>
        <v>1110100101011111110101011011110011110100</v>
      </c>
    </row>
    <row r="35" ht="14.25" customHeight="1">
      <c r="A35" s="1" t="str">
        <f>MID($C$14,Constanst!K12,1)</f>
        <v>1</v>
      </c>
      <c r="B35" s="1" t="str">
        <f t="shared" si="11"/>
        <v>110100101011111110101011011110011110100</v>
      </c>
    </row>
    <row r="36" ht="14.25" customHeight="1">
      <c r="A36" s="1" t="str">
        <f>MID($C$14,Constanst!K13,1)</f>
        <v>1</v>
      </c>
      <c r="B36" s="1" t="str">
        <f t="shared" si="11"/>
        <v>10100101011111110101011011110011110100</v>
      </c>
    </row>
    <row r="37" ht="14.25" customHeight="1">
      <c r="A37" s="1" t="str">
        <f>MID($C$14,Constanst!K14,1)</f>
        <v>0</v>
      </c>
      <c r="B37" s="1" t="str">
        <f t="shared" si="11"/>
        <v>0100101011111110101011011110011110100</v>
      </c>
    </row>
    <row r="38" ht="14.25" customHeight="1">
      <c r="A38" s="1" t="str">
        <f>MID($C$14,Constanst!K15,1)</f>
        <v>1</v>
      </c>
      <c r="B38" s="1" t="str">
        <f t="shared" si="11"/>
        <v>100101011111110101011011110011110100</v>
      </c>
    </row>
    <row r="39" ht="14.25" customHeight="1">
      <c r="A39" s="1" t="str">
        <f>MID($C$14,Constanst!K16,1)</f>
        <v>0</v>
      </c>
      <c r="B39" s="1" t="str">
        <f t="shared" si="11"/>
        <v>00101011111110101011011110011110100</v>
      </c>
    </row>
    <row r="40" ht="14.25" customHeight="1">
      <c r="A40" s="1" t="str">
        <f>MID($C$14,Constanst!K17,1)</f>
        <v>0</v>
      </c>
      <c r="B40" s="1" t="str">
        <f t="shared" si="11"/>
        <v>0101011111110101011011110011110100</v>
      </c>
    </row>
    <row r="41" ht="14.25" customHeight="1">
      <c r="A41" s="1" t="str">
        <f>MID($C$14,Constanst!K18,1)</f>
        <v>1</v>
      </c>
      <c r="B41" s="1" t="str">
        <f t="shared" si="11"/>
        <v>101011111110101011011110011110100</v>
      </c>
    </row>
    <row r="42" ht="14.25" customHeight="1">
      <c r="A42" s="1" t="str">
        <f>MID($C$14,Constanst!K19,1)</f>
        <v>0</v>
      </c>
      <c r="B42" s="1" t="str">
        <f t="shared" si="11"/>
        <v>01011111110101011011110011110100</v>
      </c>
    </row>
    <row r="43" ht="14.25" customHeight="1">
      <c r="A43" s="1" t="str">
        <f>MID($C$14,Constanst!K20,1)</f>
        <v>1</v>
      </c>
      <c r="B43" s="1" t="str">
        <f t="shared" si="11"/>
        <v>1011111110101011011110011110100</v>
      </c>
    </row>
    <row r="44" ht="14.25" customHeight="1">
      <c r="A44" s="1" t="str">
        <f>MID($C$14,Constanst!K21,1)</f>
        <v>0</v>
      </c>
      <c r="B44" s="1" t="str">
        <f t="shared" si="11"/>
        <v>011111110101011011110011110100</v>
      </c>
    </row>
    <row r="45" ht="14.25" customHeight="1">
      <c r="A45" s="1" t="str">
        <f>MID($C$14,Constanst!K22,1)</f>
        <v>1</v>
      </c>
      <c r="B45" s="1" t="str">
        <f t="shared" si="11"/>
        <v>11111110101011011110011110100</v>
      </c>
    </row>
    <row r="46" ht="14.25" customHeight="1">
      <c r="A46" s="1" t="str">
        <f>MID($C$14,Constanst!K23,1)</f>
        <v>1</v>
      </c>
      <c r="B46" s="1" t="str">
        <f t="shared" si="11"/>
        <v>1111110101011011110011110100</v>
      </c>
    </row>
    <row r="47" ht="14.25" customHeight="1">
      <c r="A47" s="1" t="str">
        <f>MID($C$14,Constanst!K24,1)</f>
        <v>1</v>
      </c>
      <c r="B47" s="1" t="str">
        <f t="shared" si="11"/>
        <v>111110101011011110011110100</v>
      </c>
    </row>
    <row r="48" ht="14.25" customHeight="1">
      <c r="A48" s="1" t="str">
        <f>MID($C$14,Constanst!K25,1)</f>
        <v>1</v>
      </c>
      <c r="B48" s="1" t="str">
        <f t="shared" si="11"/>
        <v>11110101011011110011110100</v>
      </c>
    </row>
    <row r="49" ht="14.25" customHeight="1">
      <c r="A49" s="1" t="str">
        <f>MID($C$14,Constanst!K26,1)</f>
        <v>1</v>
      </c>
      <c r="B49" s="1" t="str">
        <f t="shared" si="11"/>
        <v>1110101011011110011110100</v>
      </c>
    </row>
    <row r="50" ht="14.25" customHeight="1">
      <c r="A50" s="1" t="str">
        <f>MID($C$14,Constanst!K27,1)</f>
        <v>1</v>
      </c>
      <c r="B50" s="1" t="str">
        <f t="shared" si="11"/>
        <v>110101011011110011110100</v>
      </c>
    </row>
    <row r="51" ht="14.25" customHeight="1">
      <c r="A51" s="1" t="str">
        <f>MID($C$14,Constanst!K28,1)</f>
        <v>1</v>
      </c>
      <c r="B51" s="1" t="str">
        <f t="shared" si="11"/>
        <v>10101011011110011110100</v>
      </c>
    </row>
    <row r="52" ht="14.25" customHeight="1">
      <c r="A52" s="1" t="str">
        <f>MID($C$14,Constanst!K29,1)</f>
        <v>0</v>
      </c>
      <c r="B52" s="1" t="str">
        <f t="shared" si="11"/>
        <v>0101011011110011110100</v>
      </c>
    </row>
    <row r="53" ht="14.25" customHeight="1">
      <c r="A53" s="1" t="str">
        <f>MID($C$14,Constanst!K30,1)</f>
        <v>1</v>
      </c>
      <c r="B53" s="1" t="str">
        <f t="shared" si="11"/>
        <v>101011011110011110100</v>
      </c>
    </row>
    <row r="54" ht="14.25" customHeight="1">
      <c r="A54" s="1" t="str">
        <f>MID($C$14,Constanst!K31,1)</f>
        <v>0</v>
      </c>
      <c r="B54" s="1" t="str">
        <f t="shared" si="11"/>
        <v>01011011110011110100</v>
      </c>
    </row>
    <row r="55" ht="14.25" customHeight="1">
      <c r="A55" s="1" t="str">
        <f>MID($C$14,Constanst!K32,1)</f>
        <v>1</v>
      </c>
      <c r="B55" s="1" t="str">
        <f t="shared" si="11"/>
        <v>1011011110011110100</v>
      </c>
    </row>
    <row r="56" ht="14.25" customHeight="1">
      <c r="A56" s="1" t="str">
        <f>MID($C$14,Constanst!K33,1)</f>
        <v>0</v>
      </c>
      <c r="B56" s="1" t="str">
        <f t="shared" si="11"/>
        <v>011011110011110100</v>
      </c>
    </row>
    <row r="57" ht="14.25" customHeight="1">
      <c r="A57" s="1" t="str">
        <f>MID($C$14,Constanst!K34,1)</f>
        <v>1</v>
      </c>
      <c r="B57" s="1" t="str">
        <f t="shared" si="11"/>
        <v>11011110011110100</v>
      </c>
    </row>
    <row r="58" ht="14.25" customHeight="1">
      <c r="A58" s="1" t="str">
        <f>MID($C$14,Constanst!K35,1)</f>
        <v>1</v>
      </c>
      <c r="B58" s="1" t="str">
        <f t="shared" si="11"/>
        <v>1011110011110100</v>
      </c>
    </row>
    <row r="59" ht="14.25" customHeight="1">
      <c r="A59" s="1" t="str">
        <f>MID($C$14,Constanst!K36,1)</f>
        <v>0</v>
      </c>
      <c r="B59" s="1" t="str">
        <f t="shared" si="11"/>
        <v>011110011110100</v>
      </c>
    </row>
    <row r="60" ht="14.25" customHeight="1">
      <c r="A60" s="1" t="str">
        <f>MID($C$14,Constanst!K37,1)</f>
        <v>1</v>
      </c>
      <c r="B60" s="1" t="str">
        <f t="shared" si="11"/>
        <v>11110011110100</v>
      </c>
    </row>
    <row r="61" ht="14.25" customHeight="1">
      <c r="A61" s="1" t="str">
        <f>MID($C$14,Constanst!K38,1)</f>
        <v>1</v>
      </c>
      <c r="B61" s="1" t="str">
        <f t="shared" si="11"/>
        <v>1110011110100</v>
      </c>
    </row>
    <row r="62" ht="14.25" customHeight="1">
      <c r="A62" s="1" t="str">
        <f>MID($C$14,Constanst!K39,1)</f>
        <v>1</v>
      </c>
      <c r="B62" s="1" t="str">
        <f t="shared" si="11"/>
        <v>110011110100</v>
      </c>
    </row>
    <row r="63" ht="14.25" customHeight="1">
      <c r="A63" s="1" t="str">
        <f>MID($C$14,Constanst!K40,1)</f>
        <v>1</v>
      </c>
      <c r="B63" s="1" t="str">
        <f t="shared" si="11"/>
        <v>10011110100</v>
      </c>
    </row>
    <row r="64" ht="14.25" customHeight="1">
      <c r="A64" s="1" t="str">
        <f>MID($C$14,Constanst!K41,1)</f>
        <v>0</v>
      </c>
      <c r="B64" s="1" t="str">
        <f t="shared" si="11"/>
        <v>0011110100</v>
      </c>
    </row>
    <row r="65" ht="14.25" customHeight="1">
      <c r="A65" s="1" t="str">
        <f>MID($C$14,Constanst!K42,1)</f>
        <v>0</v>
      </c>
      <c r="B65" s="1" t="str">
        <f t="shared" si="11"/>
        <v>011110100</v>
      </c>
    </row>
    <row r="66" ht="14.25" customHeight="1">
      <c r="A66" s="1" t="str">
        <f>MID($C$14,Constanst!K43,1)</f>
        <v>1</v>
      </c>
      <c r="B66" s="1" t="str">
        <f t="shared" si="11"/>
        <v>11110100</v>
      </c>
    </row>
    <row r="67" ht="14.25" customHeight="1">
      <c r="A67" s="1" t="str">
        <f>MID($C$14,Constanst!K44,1)</f>
        <v>1</v>
      </c>
      <c r="B67" s="1" t="str">
        <f t="shared" si="11"/>
        <v>1110100</v>
      </c>
    </row>
    <row r="68" ht="14.25" customHeight="1">
      <c r="A68" s="1" t="str">
        <f>MID($C$14,Constanst!K45,1)</f>
        <v>1</v>
      </c>
      <c r="B68" s="1" t="str">
        <f t="shared" si="11"/>
        <v>110100</v>
      </c>
    </row>
    <row r="69" ht="14.25" customHeight="1">
      <c r="A69" s="1" t="str">
        <f>MID($C$14,Constanst!K46,1)</f>
        <v>1</v>
      </c>
      <c r="B69" s="1" t="str">
        <f t="shared" si="11"/>
        <v>10100</v>
      </c>
    </row>
    <row r="70" ht="14.25" customHeight="1">
      <c r="A70" s="1" t="str">
        <f>MID($C$14,Constanst!K47,1)</f>
        <v>0</v>
      </c>
      <c r="B70" s="1" t="str">
        <f t="shared" si="11"/>
        <v>0100</v>
      </c>
    </row>
    <row r="71" ht="14.25" customHeight="1">
      <c r="A71" s="1" t="str">
        <f>MID($C$14,Constanst!K48,1)</f>
        <v>1</v>
      </c>
      <c r="B71" s="1" t="str">
        <f t="shared" si="11"/>
        <v>100</v>
      </c>
    </row>
    <row r="72" ht="14.25" customHeight="1">
      <c r="A72" s="1" t="str">
        <f>MID($C$14,Constanst!K49,1)</f>
        <v>0</v>
      </c>
      <c r="B72" s="1" t="str">
        <f>A72&amp;A73</f>
        <v>00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E(R1) XOR K2</v>
      </c>
    </row>
    <row r="76" ht="14.25" customHeight="1">
      <c r="A76" s="11" t="str">
        <f>"Khóa " &amp; L6</f>
        <v>Khóa K2</v>
      </c>
      <c r="B76" s="5"/>
      <c r="C76" s="5"/>
      <c r="D76" s="6"/>
      <c r="G76" s="11" t="str">
        <f>"E("&amp;M5&amp;")"</f>
        <v>E(R1)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01101001</v>
      </c>
      <c r="C78" s="20" t="str">
        <f t="shared" ref="C78:C83" si="13">BIN2HEX(B78,2)</f>
        <v>69</v>
      </c>
      <c r="D78" s="20">
        <f t="shared" ref="D78:D83" si="14">BIN2DEC(B78)</f>
        <v>105</v>
      </c>
      <c r="G78" s="20">
        <v>1.0</v>
      </c>
      <c r="H78" s="20" t="str">
        <f t="shared" ref="H78:H83" si="15">MID($D$24,(G78-1)*8+1, 8)</f>
        <v>00000101</v>
      </c>
      <c r="I78" s="20" t="str">
        <f t="shared" ref="I78:I83" si="16">BIN2HEX(H78,2)</f>
        <v>05</v>
      </c>
      <c r="J78" s="20">
        <f t="shared" ref="J78:J83" si="17">BIN2DEC(H78)</f>
        <v>5</v>
      </c>
    </row>
    <row r="79" ht="14.25" customHeight="1">
      <c r="A79" s="20">
        <v>2.0</v>
      </c>
      <c r="B79" s="20" t="str">
        <f t="shared" si="12"/>
        <v>10101110</v>
      </c>
      <c r="C79" s="20" t="str">
        <f t="shared" si="13"/>
        <v>AE</v>
      </c>
      <c r="D79" s="20">
        <f t="shared" si="14"/>
        <v>174</v>
      </c>
      <c r="G79" s="20">
        <v>2.0</v>
      </c>
      <c r="H79" s="20" t="str">
        <f t="shared" si="15"/>
        <v>11101001</v>
      </c>
      <c r="I79" s="20" t="str">
        <f t="shared" si="16"/>
        <v>E9</v>
      </c>
      <c r="J79" s="20">
        <f t="shared" si="17"/>
        <v>233</v>
      </c>
    </row>
    <row r="80" ht="14.25" customHeight="1">
      <c r="A80" s="20">
        <v>3.0</v>
      </c>
      <c r="B80" s="20" t="str">
        <f t="shared" si="12"/>
        <v>11011001</v>
      </c>
      <c r="C80" s="20" t="str">
        <f t="shared" si="13"/>
        <v>D9</v>
      </c>
      <c r="D80" s="20">
        <f t="shared" si="14"/>
        <v>217</v>
      </c>
      <c r="G80" s="20">
        <v>3.0</v>
      </c>
      <c r="H80" s="20" t="str">
        <f t="shared" si="15"/>
        <v>01011111</v>
      </c>
      <c r="I80" s="20" t="str">
        <f t="shared" si="16"/>
        <v>5F</v>
      </c>
      <c r="J80" s="20">
        <f t="shared" si="17"/>
        <v>95</v>
      </c>
    </row>
    <row r="81" ht="14.25" customHeight="1">
      <c r="A81" s="20">
        <v>4.0</v>
      </c>
      <c r="B81" s="20" t="str">
        <f t="shared" si="12"/>
        <v>00100101</v>
      </c>
      <c r="C81" s="20" t="str">
        <f t="shared" si="13"/>
        <v>25</v>
      </c>
      <c r="D81" s="20">
        <f t="shared" si="14"/>
        <v>37</v>
      </c>
      <c r="G81" s="20">
        <v>4.0</v>
      </c>
      <c r="H81" s="20" t="str">
        <f t="shared" si="15"/>
        <v>11010101</v>
      </c>
      <c r="I81" s="20" t="str">
        <f t="shared" si="16"/>
        <v>D5</v>
      </c>
      <c r="J81" s="20">
        <f t="shared" si="17"/>
        <v>213</v>
      </c>
    </row>
    <row r="82" ht="14.25" customHeight="1">
      <c r="A82" s="20">
        <v>5.0</v>
      </c>
      <c r="B82" s="20" t="str">
        <f t="shared" si="12"/>
        <v>11101010</v>
      </c>
      <c r="C82" s="20" t="str">
        <f t="shared" si="13"/>
        <v>EA</v>
      </c>
      <c r="D82" s="20">
        <f t="shared" si="14"/>
        <v>234</v>
      </c>
      <c r="G82" s="20">
        <v>5.0</v>
      </c>
      <c r="H82" s="20" t="str">
        <f t="shared" si="15"/>
        <v>10111100</v>
      </c>
      <c r="I82" s="20" t="str">
        <f t="shared" si="16"/>
        <v>BC</v>
      </c>
      <c r="J82" s="20">
        <f t="shared" si="17"/>
        <v>188</v>
      </c>
    </row>
    <row r="83" ht="14.25" customHeight="1">
      <c r="A83" s="20">
        <v>6.0</v>
      </c>
      <c r="B83" s="20" t="str">
        <f t="shared" si="12"/>
        <v>01100110</v>
      </c>
      <c r="C83" s="20" t="str">
        <f t="shared" si="13"/>
        <v>66</v>
      </c>
      <c r="D83" s="20">
        <f t="shared" si="14"/>
        <v>102</v>
      </c>
      <c r="G83" s="20">
        <v>6.0</v>
      </c>
      <c r="H83" s="20" t="str">
        <f t="shared" si="15"/>
        <v>11110100</v>
      </c>
      <c r="I83" s="20" t="str">
        <f t="shared" si="16"/>
        <v>F4</v>
      </c>
      <c r="J83" s="20">
        <f t="shared" si="17"/>
        <v>244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XOR(ER1, K2)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108</v>
      </c>
      <c r="C86" s="26" t="str">
        <f t="shared" ref="C86:C91" si="19">DEC2BIN(B86,8)</f>
        <v>01101100</v>
      </c>
      <c r="D86" s="26" t="str">
        <f t="shared" ref="D86:D91" si="20">BIN2HEX(C86,2)</f>
        <v>6C</v>
      </c>
    </row>
    <row r="87" ht="14.25" customHeight="1">
      <c r="A87" s="26">
        <v>2.0</v>
      </c>
      <c r="B87" s="26">
        <f t="shared" si="18"/>
        <v>71</v>
      </c>
      <c r="C87" s="26" t="str">
        <f t="shared" si="19"/>
        <v>01000111</v>
      </c>
      <c r="D87" s="26" t="str">
        <f t="shared" si="20"/>
        <v>47</v>
      </c>
    </row>
    <row r="88" ht="14.25" customHeight="1">
      <c r="A88" s="26">
        <v>3.0</v>
      </c>
      <c r="B88" s="26">
        <f t="shared" si="18"/>
        <v>134</v>
      </c>
      <c r="C88" s="26" t="str">
        <f t="shared" si="19"/>
        <v>10000110</v>
      </c>
      <c r="D88" s="26" t="str">
        <f t="shared" si="20"/>
        <v>86</v>
      </c>
    </row>
    <row r="89" ht="14.25" customHeight="1">
      <c r="A89" s="26">
        <v>4.0</v>
      </c>
      <c r="B89" s="26">
        <f t="shared" si="18"/>
        <v>240</v>
      </c>
      <c r="C89" s="26" t="str">
        <f t="shared" si="19"/>
        <v>11110000</v>
      </c>
      <c r="D89" s="26" t="str">
        <f t="shared" si="20"/>
        <v>F0</v>
      </c>
    </row>
    <row r="90" ht="14.25" customHeight="1">
      <c r="A90" s="26">
        <v>5.0</v>
      </c>
      <c r="B90" s="26">
        <f t="shared" si="18"/>
        <v>86</v>
      </c>
      <c r="C90" s="26" t="str">
        <f t="shared" si="19"/>
        <v>01010110</v>
      </c>
      <c r="D90" s="26" t="str">
        <f t="shared" si="20"/>
        <v>56</v>
      </c>
    </row>
    <row r="91" ht="14.25" customHeight="1">
      <c r="A91" s="26">
        <v>6.0</v>
      </c>
      <c r="B91" s="26">
        <f t="shared" si="18"/>
        <v>146</v>
      </c>
      <c r="C91" s="26" t="str">
        <f t="shared" si="19"/>
        <v>10010010</v>
      </c>
      <c r="D91" s="26" t="str">
        <f t="shared" si="20"/>
        <v>92</v>
      </c>
    </row>
    <row r="92" ht="14.25" customHeight="1"/>
    <row r="93" ht="14.25" customHeight="1">
      <c r="B93" s="1" t="str">
        <f>"A = E"&amp;M5&amp;" XOR "&amp;L6&amp;" ="</f>
        <v>A = ER1 XOR K2 =</v>
      </c>
      <c r="D93" s="22" t="str">
        <f>C86&amp;C87&amp;C88&amp;C89&amp;C90&amp;C91</f>
        <v>011011000100011110000110111100000101011010010010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011011</v>
      </c>
      <c r="C98" s="3" t="str">
        <f t="shared" ref="C98:C105" si="22">LEFT(B98,1)&amp;(RIGHT(B98,1))</f>
        <v>01</v>
      </c>
      <c r="D98" s="3" t="str">
        <f t="shared" ref="D98:D105" si="23">MID(B98,2,4)</f>
        <v>1101</v>
      </c>
      <c r="E98" s="3" t="str">
        <f t="shared" ref="E98:E105" si="24">C98&amp;D98</f>
        <v>011101</v>
      </c>
      <c r="F98" s="18">
        <f t="shared" ref="F98:F105" si="25">BIN2DEC(E98)</f>
        <v>29</v>
      </c>
      <c r="G98" s="3">
        <f>VLOOKUP(F98,Constanst!$M$3:$U$66,2,TRUE)</f>
        <v>5</v>
      </c>
      <c r="H98" s="3" t="str">
        <f t="shared" ref="H98:H105" si="26">DEC2BIN(G98,4)</f>
        <v>0101</v>
      </c>
      <c r="I98" s="3" t="str">
        <f>H98</f>
        <v>0101</v>
      </c>
    </row>
    <row r="99" ht="14.25" customHeight="1">
      <c r="A99" s="3">
        <v>2.0</v>
      </c>
      <c r="B99" s="3" t="str">
        <f t="shared" si="21"/>
        <v>000100</v>
      </c>
      <c r="C99" s="3" t="str">
        <f t="shared" si="22"/>
        <v>00</v>
      </c>
      <c r="D99" s="3" t="str">
        <f t="shared" si="23"/>
        <v>0010</v>
      </c>
      <c r="E99" s="3" t="str">
        <f t="shared" si="24"/>
        <v>000010</v>
      </c>
      <c r="F99" s="18">
        <f t="shared" si="25"/>
        <v>2</v>
      </c>
      <c r="G99" s="3">
        <f>VLOOKUP(F99,Constanst!$M$3:$U$66,3,TRUE)</f>
        <v>8</v>
      </c>
      <c r="H99" s="3" t="str">
        <f t="shared" si="26"/>
        <v>1000</v>
      </c>
      <c r="I99" s="3" t="str">
        <f t="shared" ref="I99:I105" si="27">I98&amp;H99</f>
        <v>01011000</v>
      </c>
    </row>
    <row r="100" ht="14.25" customHeight="1">
      <c r="A100" s="3">
        <v>3.0</v>
      </c>
      <c r="B100" s="3" t="str">
        <f t="shared" si="21"/>
        <v>011110</v>
      </c>
      <c r="C100" s="3" t="str">
        <f t="shared" si="22"/>
        <v>00</v>
      </c>
      <c r="D100" s="3" t="str">
        <f t="shared" si="23"/>
        <v>1111</v>
      </c>
      <c r="E100" s="3" t="str">
        <f t="shared" si="24"/>
        <v>001111</v>
      </c>
      <c r="F100" s="18">
        <f t="shared" si="25"/>
        <v>15</v>
      </c>
      <c r="G100" s="3">
        <f>VLOOKUP(F100,Constanst!$M$3:$U$66,4,TRUE)</f>
        <v>8</v>
      </c>
      <c r="H100" s="3" t="str">
        <f t="shared" si="26"/>
        <v>1000</v>
      </c>
      <c r="I100" s="3" t="str">
        <f t="shared" si="27"/>
        <v>010110001000</v>
      </c>
    </row>
    <row r="101" ht="14.25" customHeight="1">
      <c r="A101" s="3">
        <v>4.0</v>
      </c>
      <c r="B101" s="3" t="str">
        <f t="shared" si="21"/>
        <v>000110</v>
      </c>
      <c r="C101" s="3" t="str">
        <f t="shared" si="22"/>
        <v>00</v>
      </c>
      <c r="D101" s="3" t="str">
        <f t="shared" si="23"/>
        <v>0011</v>
      </c>
      <c r="E101" s="3" t="str">
        <f t="shared" si="24"/>
        <v>000011</v>
      </c>
      <c r="F101" s="18">
        <f t="shared" si="25"/>
        <v>3</v>
      </c>
      <c r="G101" s="3">
        <f>VLOOKUP(F101,Constanst!$M$3:$U$66,5,TRUE)</f>
        <v>3</v>
      </c>
      <c r="H101" s="3" t="str">
        <f t="shared" si="26"/>
        <v>0011</v>
      </c>
      <c r="I101" s="3" t="str">
        <f t="shared" si="27"/>
        <v>0101100010000011</v>
      </c>
    </row>
    <row r="102" ht="14.25" customHeight="1">
      <c r="A102" s="3">
        <v>5.0</v>
      </c>
      <c r="B102" s="3" t="str">
        <f t="shared" si="21"/>
        <v>111100</v>
      </c>
      <c r="C102" s="3" t="str">
        <f t="shared" si="22"/>
        <v>10</v>
      </c>
      <c r="D102" s="3" t="str">
        <f t="shared" si="23"/>
        <v>1110</v>
      </c>
      <c r="E102" s="3" t="str">
        <f t="shared" si="24"/>
        <v>101110</v>
      </c>
      <c r="F102" s="18">
        <f t="shared" si="25"/>
        <v>46</v>
      </c>
      <c r="G102" s="3">
        <f>VLOOKUP(F102,Constanst!$M$3:$U$66,6,TRUE)</f>
        <v>0</v>
      </c>
      <c r="H102" s="3" t="str">
        <f t="shared" si="26"/>
        <v>0000</v>
      </c>
      <c r="I102" s="3" t="str">
        <f t="shared" si="27"/>
        <v>01011000100000110000</v>
      </c>
    </row>
    <row r="103" ht="14.25" customHeight="1">
      <c r="A103" s="3">
        <v>6.0</v>
      </c>
      <c r="B103" s="3" t="str">
        <f t="shared" si="21"/>
        <v>000101</v>
      </c>
      <c r="C103" s="3" t="str">
        <f t="shared" si="22"/>
        <v>01</v>
      </c>
      <c r="D103" s="3" t="str">
        <f t="shared" si="23"/>
        <v>0010</v>
      </c>
      <c r="E103" s="3" t="str">
        <f t="shared" si="24"/>
        <v>010010</v>
      </c>
      <c r="F103" s="18">
        <f t="shared" si="25"/>
        <v>18</v>
      </c>
      <c r="G103" s="3">
        <f>VLOOKUP(F103,Constanst!$M$3:$U$66,7,TRUE)</f>
        <v>4</v>
      </c>
      <c r="H103" s="3" t="str">
        <f t="shared" si="26"/>
        <v>0100</v>
      </c>
      <c r="I103" s="3" t="str">
        <f t="shared" si="27"/>
        <v>010110001000001100000100</v>
      </c>
    </row>
    <row r="104" ht="14.25" customHeight="1">
      <c r="A104" s="3">
        <v>7.0</v>
      </c>
      <c r="B104" s="3" t="str">
        <f t="shared" si="21"/>
        <v>011010</v>
      </c>
      <c r="C104" s="3" t="str">
        <f t="shared" si="22"/>
        <v>00</v>
      </c>
      <c r="D104" s="3" t="str">
        <f t="shared" si="23"/>
        <v>1101</v>
      </c>
      <c r="E104" s="3" t="str">
        <f t="shared" si="24"/>
        <v>001101</v>
      </c>
      <c r="F104" s="18">
        <f t="shared" si="25"/>
        <v>13</v>
      </c>
      <c r="G104" s="3">
        <f>VLOOKUP(F104,Constanst!$M$3:$U$66,8,TRUE)</f>
        <v>10</v>
      </c>
      <c r="H104" s="3" t="str">
        <f t="shared" si="26"/>
        <v>1010</v>
      </c>
      <c r="I104" s="3" t="str">
        <f t="shared" si="27"/>
        <v>0101100010000011000001001010</v>
      </c>
    </row>
    <row r="105" ht="14.25" customHeight="1">
      <c r="A105" s="3">
        <v>8.0</v>
      </c>
      <c r="B105" s="3" t="str">
        <f t="shared" si="21"/>
        <v>010010</v>
      </c>
      <c r="C105" s="3" t="str">
        <f t="shared" si="22"/>
        <v>00</v>
      </c>
      <c r="D105" s="3" t="str">
        <f t="shared" si="23"/>
        <v>1001</v>
      </c>
      <c r="E105" s="3" t="str">
        <f t="shared" si="24"/>
        <v>001001</v>
      </c>
      <c r="F105" s="18">
        <f t="shared" si="25"/>
        <v>9</v>
      </c>
      <c r="G105" s="3">
        <f>VLOOKUP(F105,Constanst!$M$3:$U$66,9,TRUE)</f>
        <v>9</v>
      </c>
      <c r="H105" s="3" t="str">
        <f t="shared" si="26"/>
        <v>1001</v>
      </c>
      <c r="I105" s="3" t="str">
        <f t="shared" si="27"/>
        <v>01011000100000110000010010101001</v>
      </c>
    </row>
    <row r="106" ht="14.25" customHeight="1"/>
    <row r="107" ht="14.25" customHeight="1">
      <c r="B107" s="1" t="s">
        <v>90</v>
      </c>
      <c r="C107" s="1" t="str">
        <f>I105</f>
        <v>01011000100000110000010010101001</v>
      </c>
    </row>
    <row r="108" ht="14.25" customHeight="1"/>
    <row r="109" ht="14.25" customHeight="1">
      <c r="A109" s="1" t="s">
        <v>91</v>
      </c>
    </row>
    <row r="110" ht="14.25" customHeight="1"/>
    <row r="111" ht="14.25" customHeight="1">
      <c r="A111" s="1" t="s">
        <v>66</v>
      </c>
    </row>
    <row r="112" ht="14.25" customHeight="1">
      <c r="A112" s="1" t="str">
        <f>MID($C$107,Constanst!X3,1)</f>
        <v>1</v>
      </c>
    </row>
    <row r="113" ht="14.25" customHeight="1">
      <c r="A113" s="1" t="str">
        <f>MID($C$107,Constanst!X4,1)</f>
        <v>0</v>
      </c>
      <c r="B113" s="1" t="str">
        <f>A112&amp;A113</f>
        <v>10</v>
      </c>
    </row>
    <row r="114" ht="14.25" customHeight="1">
      <c r="A114" s="1" t="str">
        <f>MID($C$107,Constanst!X5,1)</f>
        <v>0</v>
      </c>
      <c r="B114" s="1" t="str">
        <f t="shared" ref="B114:B143" si="28">B113&amp;A114</f>
        <v>100</v>
      </c>
    </row>
    <row r="115" ht="14.25" customHeight="1">
      <c r="A115" s="1" t="str">
        <f>MID($C$107,Constanst!X6,1)</f>
        <v>0</v>
      </c>
      <c r="B115" s="1" t="str">
        <f t="shared" si="28"/>
        <v>1000</v>
      </c>
    </row>
    <row r="116" ht="14.25" customHeight="1">
      <c r="A116" s="1" t="str">
        <f>MID($C$107,Constanst!X7,1)</f>
        <v>1</v>
      </c>
      <c r="B116" s="1" t="str">
        <f t="shared" si="28"/>
        <v>10001</v>
      </c>
    </row>
    <row r="117" ht="14.25" customHeight="1">
      <c r="A117" s="1" t="str">
        <f>MID($C$107,Constanst!X8,1)</f>
        <v>0</v>
      </c>
      <c r="B117" s="1" t="str">
        <f t="shared" si="28"/>
        <v>100010</v>
      </c>
    </row>
    <row r="118" ht="14.25" customHeight="1">
      <c r="A118" s="1" t="str">
        <f>MID($C$107,Constanst!X9,1)</f>
        <v>0</v>
      </c>
      <c r="B118" s="1" t="str">
        <f t="shared" si="28"/>
        <v>1000100</v>
      </c>
    </row>
    <row r="119" ht="14.25" customHeight="1">
      <c r="A119" s="1" t="str">
        <f>MID($C$107,Constanst!X10,1)</f>
        <v>0</v>
      </c>
      <c r="B119" s="1" t="str">
        <f t="shared" si="28"/>
        <v>10001000</v>
      </c>
    </row>
    <row r="120" ht="14.25" customHeight="1">
      <c r="A120" s="1" t="str">
        <f>MID($C$107,Constanst!X11,1)</f>
        <v>0</v>
      </c>
      <c r="B120" s="1" t="str">
        <f t="shared" si="28"/>
        <v>100010000</v>
      </c>
    </row>
    <row r="121" ht="14.25" customHeight="1">
      <c r="A121" s="1" t="str">
        <f>MID($C$107,Constanst!X12,1)</f>
        <v>1</v>
      </c>
      <c r="B121" s="1" t="str">
        <f t="shared" si="28"/>
        <v>1000100001</v>
      </c>
    </row>
    <row r="122" ht="14.25" customHeight="1">
      <c r="A122" s="1" t="str">
        <f>MID($C$107,Constanst!X13,1)</f>
        <v>0</v>
      </c>
      <c r="B122" s="1" t="str">
        <f t="shared" si="28"/>
        <v>10001000010</v>
      </c>
    </row>
    <row r="123" ht="14.25" customHeight="1">
      <c r="A123" s="1" t="str">
        <f>MID($C$107,Constanst!X14,1)</f>
        <v>0</v>
      </c>
      <c r="B123" s="1" t="str">
        <f t="shared" si="28"/>
        <v>100010000100</v>
      </c>
    </row>
    <row r="124" ht="14.25" customHeight="1">
      <c r="A124" s="1" t="str">
        <f>MID($C$107,Constanst!X15,1)</f>
        <v>1</v>
      </c>
      <c r="B124" s="1" t="str">
        <f t="shared" si="28"/>
        <v>1000100001001</v>
      </c>
    </row>
    <row r="125" ht="14.25" customHeight="1">
      <c r="A125" s="1" t="str">
        <f>MID($C$107,Constanst!X16,1)</f>
        <v>0</v>
      </c>
      <c r="B125" s="1" t="str">
        <f t="shared" si="28"/>
        <v>10001000010010</v>
      </c>
    </row>
    <row r="126" ht="14.25" customHeight="1">
      <c r="A126" s="1" t="str">
        <f>MID($C$107,Constanst!X17,1)</f>
        <v>0</v>
      </c>
      <c r="B126" s="1" t="str">
        <f t="shared" si="28"/>
        <v>100010000100100</v>
      </c>
    </row>
    <row r="127" ht="14.25" customHeight="1">
      <c r="A127" s="1" t="str">
        <f>MID($C$107,Constanst!X18,1)</f>
        <v>0</v>
      </c>
      <c r="B127" s="1" t="str">
        <f t="shared" si="28"/>
        <v>1000100001001000</v>
      </c>
    </row>
    <row r="128" ht="14.25" customHeight="1">
      <c r="A128" s="1" t="str">
        <f>MID($C$107,Constanst!X19,1)</f>
        <v>1</v>
      </c>
      <c r="B128" s="1" t="str">
        <f t="shared" si="28"/>
        <v>10001000010010001</v>
      </c>
    </row>
    <row r="129" ht="14.25" customHeight="1">
      <c r="A129" s="1" t="str">
        <f>MID($C$107,Constanst!X20,1)</f>
        <v>0</v>
      </c>
      <c r="B129" s="1" t="str">
        <f t="shared" si="28"/>
        <v>100010000100100010</v>
      </c>
    </row>
    <row r="130" ht="14.25" customHeight="1">
      <c r="A130" s="1" t="str">
        <f>MID($C$107,Constanst!X21,1)</f>
        <v>0</v>
      </c>
      <c r="B130" s="1" t="str">
        <f t="shared" si="28"/>
        <v>1000100001001000100</v>
      </c>
    </row>
    <row r="131" ht="14.25" customHeight="1">
      <c r="A131" s="1" t="str">
        <f>MID($C$107,Constanst!X22,1)</f>
        <v>0</v>
      </c>
      <c r="B131" s="1" t="str">
        <f t="shared" si="28"/>
        <v>10001000010010001000</v>
      </c>
    </row>
    <row r="132" ht="14.25" customHeight="1">
      <c r="A132" s="1" t="str">
        <f>MID($C$107,Constanst!X23,1)</f>
        <v>1</v>
      </c>
      <c r="B132" s="1" t="str">
        <f t="shared" si="28"/>
        <v>100010000100100010001</v>
      </c>
    </row>
    <row r="133" ht="14.25" customHeight="1">
      <c r="A133" s="1" t="str">
        <f>MID($C$107,Constanst!X24,1)</f>
        <v>1</v>
      </c>
      <c r="B133" s="1" t="str">
        <f t="shared" si="28"/>
        <v>1000100001001000100011</v>
      </c>
    </row>
    <row r="134" ht="14.25" customHeight="1">
      <c r="A134" s="1" t="str">
        <f>MID($C$107,Constanst!X25,1)</f>
        <v>0</v>
      </c>
      <c r="B134" s="1" t="str">
        <f t="shared" si="28"/>
        <v>10001000010010001000110</v>
      </c>
    </row>
    <row r="135" ht="14.25" customHeight="1">
      <c r="A135" s="1" t="str">
        <f>MID($C$107,Constanst!X26,1)</f>
        <v>1</v>
      </c>
      <c r="B135" s="1" t="str">
        <f t="shared" si="28"/>
        <v>100010000100100010001101</v>
      </c>
    </row>
    <row r="136" ht="14.25" customHeight="1">
      <c r="A136" s="1" t="str">
        <f>MID($C$107,Constanst!X27,1)</f>
        <v>0</v>
      </c>
      <c r="B136" s="1" t="str">
        <f t="shared" si="28"/>
        <v>1000100001001000100011010</v>
      </c>
    </row>
    <row r="137" ht="14.25" customHeight="1">
      <c r="A137" s="1" t="str">
        <f>MID($C$107,Constanst!X28,1)</f>
        <v>0</v>
      </c>
      <c r="B137" s="1" t="str">
        <f t="shared" si="28"/>
        <v>10001000010010001000110100</v>
      </c>
    </row>
    <row r="138" ht="14.25" customHeight="1">
      <c r="A138" s="1" t="str">
        <f>MID($C$107,Constanst!X29,1)</f>
        <v>0</v>
      </c>
      <c r="B138" s="1" t="str">
        <f t="shared" si="28"/>
        <v>100010000100100010001101000</v>
      </c>
    </row>
    <row r="139" ht="14.25" customHeight="1">
      <c r="A139" s="1" t="str">
        <f>MID($C$107,Constanst!X30,1)</f>
        <v>0</v>
      </c>
      <c r="B139" s="1" t="str">
        <f t="shared" si="28"/>
        <v>1000100001001000100011010000</v>
      </c>
    </row>
    <row r="140" ht="14.25" customHeight="1">
      <c r="A140" s="1" t="str">
        <f>MID($C$107,Constanst!X31,1)</f>
        <v>1</v>
      </c>
      <c r="B140" s="1" t="str">
        <f t="shared" si="28"/>
        <v>10001000010010001000110100001</v>
      </c>
    </row>
    <row r="141" ht="14.25" customHeight="1">
      <c r="A141" s="1" t="str">
        <f>MID($C$107,Constanst!X32,1)</f>
        <v>0</v>
      </c>
      <c r="B141" s="1" t="str">
        <f t="shared" si="28"/>
        <v>100010000100100010001101000010</v>
      </c>
    </row>
    <row r="142" ht="14.25" customHeight="1">
      <c r="A142" s="1" t="str">
        <f>MID($C$107,Constanst!X33,1)</f>
        <v>1</v>
      </c>
      <c r="B142" s="1" t="str">
        <f t="shared" si="28"/>
        <v>1000100001001000100011010000101</v>
      </c>
    </row>
    <row r="143" ht="14.25" customHeight="1">
      <c r="A143" s="1" t="str">
        <f>MID($C$107,Constanst!X34,1)</f>
        <v>1</v>
      </c>
      <c r="B143" s="22" t="str">
        <f t="shared" si="28"/>
        <v>10001000010010001000110100001011</v>
      </c>
    </row>
    <row r="144" ht="14.25" customHeight="1"/>
    <row r="145" ht="14.25" customHeight="1">
      <c r="A145" s="1" t="s">
        <v>92</v>
      </c>
      <c r="B145" s="1" t="str">
        <f>B143</f>
        <v>10001000010010001000110100001011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10001000</v>
      </c>
      <c r="C148" s="20" t="str">
        <f t="shared" ref="C148:C151" si="30">BIN2HEX(B148,2)</f>
        <v>88</v>
      </c>
      <c r="D148" s="20">
        <f t="shared" ref="D148:D151" si="31">HEX2DEC(C148)</f>
        <v>136</v>
      </c>
    </row>
    <row r="149" ht="14.25" customHeight="1">
      <c r="A149" s="20">
        <v>2.0</v>
      </c>
      <c r="B149" s="20" t="str">
        <f t="shared" si="29"/>
        <v>01001000</v>
      </c>
      <c r="C149" s="20" t="str">
        <f t="shared" si="30"/>
        <v>48</v>
      </c>
      <c r="D149" s="20">
        <f t="shared" si="31"/>
        <v>72</v>
      </c>
    </row>
    <row r="150" ht="14.25" customHeight="1">
      <c r="A150" s="20">
        <v>3.0</v>
      </c>
      <c r="B150" s="20" t="str">
        <f t="shared" si="29"/>
        <v>10001101</v>
      </c>
      <c r="C150" s="20" t="str">
        <f t="shared" si="30"/>
        <v>8D</v>
      </c>
      <c r="D150" s="20">
        <f t="shared" si="31"/>
        <v>141</v>
      </c>
    </row>
    <row r="151" ht="14.25" customHeight="1">
      <c r="A151" s="20">
        <v>4.0</v>
      </c>
      <c r="B151" s="20" t="str">
        <f t="shared" si="29"/>
        <v>00001011</v>
      </c>
      <c r="C151" s="20" t="str">
        <f t="shared" si="30"/>
        <v>0B</v>
      </c>
      <c r="D151" s="20">
        <f t="shared" si="31"/>
        <v>11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K3</v>
      </c>
      <c r="D2" s="1" t="str">
        <f>Input!I3</f>
        <v>010101011111110010001010101101001010110011010010</v>
      </c>
    </row>
    <row r="3" ht="14.25" customHeight="1">
      <c r="A3" s="1" t="s">
        <v>92</v>
      </c>
      <c r="B3" s="1" t="str">
        <f t="array" ref="B3">INDIRECT("'f(" &amp; L5 &amp; "," &amp; L7 &amp; ")'!B145")</f>
        <v>10001000010010001000110100001011</v>
      </c>
    </row>
    <row r="4" ht="14.25" customHeight="1">
      <c r="A4" s="1" t="str">
        <f t="shared" ref="A4:A5" si="1">L4</f>
        <v>L1</v>
      </c>
      <c r="B4" s="1" t="str">
        <f t="array" ref="B4">INDIRECT("'f(" &amp; L5 &amp; "," &amp; L7 &amp; ")'!C22")</f>
        <v>11100000010101001111000010101010</v>
      </c>
      <c r="L4" s="1" t="s">
        <v>95</v>
      </c>
      <c r="M4" s="1" t="s">
        <v>102</v>
      </c>
    </row>
    <row r="5" ht="14.25" customHeight="1">
      <c r="A5" s="1" t="str">
        <f t="shared" si="1"/>
        <v>R1</v>
      </c>
      <c r="B5" s="1" t="str">
        <f t="array" ref="B5">INDIRECT("'f(" &amp; L5 &amp; "," &amp; L7 &amp; ")'!C14")</f>
        <v>00001111001011111010110110011010</v>
      </c>
      <c r="L5" s="1" t="s">
        <v>97</v>
      </c>
      <c r="M5" s="1" t="s">
        <v>103</v>
      </c>
    </row>
    <row r="6" ht="14.25" customHeight="1">
      <c r="L6" s="1" t="s">
        <v>7</v>
      </c>
    </row>
    <row r="7" ht="14.25" customHeight="1">
      <c r="A7" s="11" t="s">
        <v>98</v>
      </c>
      <c r="B7" s="5"/>
      <c r="C7" s="5"/>
      <c r="D7" s="6"/>
      <c r="G7" s="11" t="str">
        <f>L4</f>
        <v>L1</v>
      </c>
      <c r="H7" s="5"/>
      <c r="I7" s="5"/>
      <c r="J7" s="6"/>
      <c r="L7" s="1" t="s">
        <v>6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10001000</v>
      </c>
      <c r="C9" s="20" t="str">
        <f t="shared" ref="C9:C12" si="3">BIN2HEX(B9,2)</f>
        <v>88</v>
      </c>
      <c r="D9" s="20">
        <f t="shared" ref="D9:D12" si="4">HEX2DEC(C9)</f>
        <v>136</v>
      </c>
      <c r="G9" s="20">
        <v>1.0</v>
      </c>
      <c r="H9" s="20" t="str">
        <f t="shared" ref="H9:H12" si="5">MID($B$4,(G9-1)*8+1, 8)</f>
        <v>11100000</v>
      </c>
      <c r="I9" s="20" t="str">
        <f t="shared" ref="I9:I12" si="6">BIN2HEX(H9,2)</f>
        <v>E0</v>
      </c>
      <c r="J9" s="20">
        <f t="shared" ref="J9:J12" si="7">HEX2DEC(I9)</f>
        <v>224</v>
      </c>
    </row>
    <row r="10" ht="14.25" customHeight="1">
      <c r="A10" s="20">
        <v>2.0</v>
      </c>
      <c r="B10" s="20" t="str">
        <f t="shared" si="2"/>
        <v>01001000</v>
      </c>
      <c r="C10" s="20" t="str">
        <f t="shared" si="3"/>
        <v>48</v>
      </c>
      <c r="D10" s="20">
        <f t="shared" si="4"/>
        <v>72</v>
      </c>
      <c r="G10" s="20">
        <v>2.0</v>
      </c>
      <c r="H10" s="20" t="str">
        <f t="shared" si="5"/>
        <v>01010100</v>
      </c>
      <c r="I10" s="20" t="str">
        <f t="shared" si="6"/>
        <v>54</v>
      </c>
      <c r="J10" s="20">
        <f t="shared" si="7"/>
        <v>84</v>
      </c>
    </row>
    <row r="11" ht="14.25" customHeight="1">
      <c r="A11" s="20">
        <v>3.0</v>
      </c>
      <c r="B11" s="20" t="str">
        <f t="shared" si="2"/>
        <v>10001101</v>
      </c>
      <c r="C11" s="20" t="str">
        <f t="shared" si="3"/>
        <v>8D</v>
      </c>
      <c r="D11" s="20">
        <f t="shared" si="4"/>
        <v>141</v>
      </c>
      <c r="G11" s="20">
        <v>3.0</v>
      </c>
      <c r="H11" s="20" t="str">
        <f t="shared" si="5"/>
        <v>11110000</v>
      </c>
      <c r="I11" s="20" t="str">
        <f t="shared" si="6"/>
        <v>F0</v>
      </c>
      <c r="J11" s="20">
        <f t="shared" si="7"/>
        <v>240</v>
      </c>
    </row>
    <row r="12" ht="14.25" customHeight="1">
      <c r="A12" s="20">
        <v>4.0</v>
      </c>
      <c r="B12" s="20" t="str">
        <f t="shared" si="2"/>
        <v>00001011</v>
      </c>
      <c r="C12" s="20" t="str">
        <f t="shared" si="3"/>
        <v>0B</v>
      </c>
      <c r="D12" s="20">
        <f t="shared" si="4"/>
        <v>11</v>
      </c>
      <c r="G12" s="20">
        <v>4.0</v>
      </c>
      <c r="H12" s="20" t="str">
        <f t="shared" si="5"/>
        <v>10101010</v>
      </c>
      <c r="I12" s="20" t="str">
        <f t="shared" si="6"/>
        <v>AA</v>
      </c>
      <c r="J12" s="20">
        <f t="shared" si="7"/>
        <v>170</v>
      </c>
    </row>
    <row r="13" ht="14.25" customHeight="1"/>
    <row r="14" ht="14.25" customHeight="1">
      <c r="A14" s="1" t="str">
        <f>M5&amp;" = F XOR "&amp;L4&amp;" ="</f>
        <v>R2 = F XOR L1 =</v>
      </c>
      <c r="C14" s="23" t="str">
        <f>F17&amp;F18&amp;F19&amp;F20</f>
        <v>01101000000111000111110110100001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104</v>
      </c>
      <c r="E17" s="20" t="str">
        <f t="shared" ref="E17:E20" si="9">DEC2HEX(D17,2)</f>
        <v>68</v>
      </c>
      <c r="F17" s="20" t="str">
        <f t="shared" ref="F17:F20" si="10">HEX2BIN(E17,8)</f>
        <v>01101000</v>
      </c>
    </row>
    <row r="18" ht="14.25" customHeight="1">
      <c r="C18" s="20">
        <v>2.0</v>
      </c>
      <c r="D18" s="20">
        <f t="shared" si="8"/>
        <v>28</v>
      </c>
      <c r="E18" s="20" t="str">
        <f t="shared" si="9"/>
        <v>1C</v>
      </c>
      <c r="F18" s="20" t="str">
        <f t="shared" si="10"/>
        <v>00011100</v>
      </c>
    </row>
    <row r="19" ht="14.25" customHeight="1">
      <c r="C19" s="20">
        <v>3.0</v>
      </c>
      <c r="D19" s="20">
        <f t="shared" si="8"/>
        <v>125</v>
      </c>
      <c r="E19" s="20" t="str">
        <f t="shared" si="9"/>
        <v>7D</v>
      </c>
      <c r="F19" s="20" t="str">
        <f t="shared" si="10"/>
        <v>01111101</v>
      </c>
    </row>
    <row r="20" ht="14.25" customHeight="1">
      <c r="C20" s="20">
        <v>4.0</v>
      </c>
      <c r="D20" s="20">
        <f t="shared" si="8"/>
        <v>161</v>
      </c>
      <c r="E20" s="20" t="str">
        <f t="shared" si="9"/>
        <v>A1</v>
      </c>
      <c r="F20" s="20" t="str">
        <f t="shared" si="10"/>
        <v>10100001</v>
      </c>
    </row>
    <row r="21" ht="14.25" customHeight="1"/>
    <row r="22" ht="14.25" customHeight="1">
      <c r="A22" s="1" t="str">
        <f>M4&amp;" = "&amp;L5&amp;" ="</f>
        <v>L2 = R1 =</v>
      </c>
      <c r="C22" s="23" t="str">
        <f>B5</f>
        <v>00001111001011111010110110011010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R2 =&gt; E(R2)</v>
      </c>
      <c r="D24" s="1" t="str">
        <f>B26</f>
        <v>101101010000000011111000001111111011110100000010</v>
      </c>
    </row>
    <row r="25" ht="14.25" customHeight="1">
      <c r="A25" s="1" t="s">
        <v>66</v>
      </c>
    </row>
    <row r="26" ht="14.25" customHeight="1">
      <c r="A26" s="1" t="str">
        <f>MID($C$14,Constanst!K3,1)</f>
        <v>1</v>
      </c>
      <c r="B26" s="1" t="str">
        <f t="shared" ref="B26:B71" si="11">A26&amp;B27</f>
        <v>101101010000000011111000001111111011110100000010</v>
      </c>
    </row>
    <row r="27" ht="14.25" customHeight="1">
      <c r="A27" s="1" t="str">
        <f>MID($C$14,Constanst!K4,1)</f>
        <v>0</v>
      </c>
      <c r="B27" s="1" t="str">
        <f t="shared" si="11"/>
        <v>01101010000000011111000001111111011110100000010</v>
      </c>
    </row>
    <row r="28" ht="14.25" customHeight="1">
      <c r="A28" s="1" t="str">
        <f>MID($C$14,Constanst!K5,1)</f>
        <v>1</v>
      </c>
      <c r="B28" s="1" t="str">
        <f t="shared" si="11"/>
        <v>1101010000000011111000001111111011110100000010</v>
      </c>
    </row>
    <row r="29" ht="14.25" customHeight="1">
      <c r="A29" s="1" t="str">
        <f>MID($C$14,Constanst!K6,1)</f>
        <v>1</v>
      </c>
      <c r="B29" s="1" t="str">
        <f t="shared" si="11"/>
        <v>101010000000011111000001111111011110100000010</v>
      </c>
    </row>
    <row r="30" ht="14.25" customHeight="1">
      <c r="A30" s="1" t="str">
        <f>MID($C$14,Constanst!K7,1)</f>
        <v>0</v>
      </c>
      <c r="B30" s="1" t="str">
        <f t="shared" si="11"/>
        <v>01010000000011111000001111111011110100000010</v>
      </c>
    </row>
    <row r="31" ht="14.25" customHeight="1">
      <c r="A31" s="1" t="str">
        <f>MID($C$14,Constanst!K8,1)</f>
        <v>1</v>
      </c>
      <c r="B31" s="1" t="str">
        <f t="shared" si="11"/>
        <v>1010000000011111000001111111011110100000010</v>
      </c>
    </row>
    <row r="32" ht="14.25" customHeight="1">
      <c r="A32" s="1" t="str">
        <f>MID($C$14,Constanst!K9,1)</f>
        <v>0</v>
      </c>
      <c r="B32" s="1" t="str">
        <f t="shared" si="11"/>
        <v>010000000011111000001111111011110100000010</v>
      </c>
    </row>
    <row r="33" ht="14.25" customHeight="1">
      <c r="A33" s="1" t="str">
        <f>MID($C$14,Constanst!K10,1)</f>
        <v>1</v>
      </c>
      <c r="B33" s="1" t="str">
        <f t="shared" si="11"/>
        <v>10000000011111000001111111011110100000010</v>
      </c>
    </row>
    <row r="34" ht="14.25" customHeight="1">
      <c r="A34" s="1" t="str">
        <f>MID($C$14,Constanst!K11,1)</f>
        <v>0</v>
      </c>
      <c r="B34" s="1" t="str">
        <f t="shared" si="11"/>
        <v>0000000011111000001111111011110100000010</v>
      </c>
    </row>
    <row r="35" ht="14.25" customHeight="1">
      <c r="A35" s="1" t="str">
        <f>MID($C$14,Constanst!K12,1)</f>
        <v>0</v>
      </c>
      <c r="B35" s="1" t="str">
        <f t="shared" si="11"/>
        <v>000000011111000001111111011110100000010</v>
      </c>
    </row>
    <row r="36" ht="14.25" customHeight="1">
      <c r="A36" s="1" t="str">
        <f>MID($C$14,Constanst!K13,1)</f>
        <v>0</v>
      </c>
      <c r="B36" s="1" t="str">
        <f t="shared" si="11"/>
        <v>00000011111000001111111011110100000010</v>
      </c>
    </row>
    <row r="37" ht="14.25" customHeight="1">
      <c r="A37" s="1" t="str">
        <f>MID($C$14,Constanst!K14,1)</f>
        <v>0</v>
      </c>
      <c r="B37" s="1" t="str">
        <f t="shared" si="11"/>
        <v>0000011111000001111111011110100000010</v>
      </c>
    </row>
    <row r="38" ht="14.25" customHeight="1">
      <c r="A38" s="1" t="str">
        <f>MID($C$14,Constanst!K15,1)</f>
        <v>0</v>
      </c>
      <c r="B38" s="1" t="str">
        <f t="shared" si="11"/>
        <v>000011111000001111111011110100000010</v>
      </c>
    </row>
    <row r="39" ht="14.25" customHeight="1">
      <c r="A39" s="1" t="str">
        <f>MID($C$14,Constanst!K16,1)</f>
        <v>0</v>
      </c>
      <c r="B39" s="1" t="str">
        <f t="shared" si="11"/>
        <v>00011111000001111111011110100000010</v>
      </c>
    </row>
    <row r="40" ht="14.25" customHeight="1">
      <c r="A40" s="1" t="str">
        <f>MID($C$14,Constanst!K17,1)</f>
        <v>0</v>
      </c>
      <c r="B40" s="1" t="str">
        <f t="shared" si="11"/>
        <v>0011111000001111111011110100000010</v>
      </c>
    </row>
    <row r="41" ht="14.25" customHeight="1">
      <c r="A41" s="1" t="str">
        <f>MID($C$14,Constanst!K18,1)</f>
        <v>0</v>
      </c>
      <c r="B41" s="1" t="str">
        <f t="shared" si="11"/>
        <v>011111000001111111011110100000010</v>
      </c>
    </row>
    <row r="42" ht="14.25" customHeight="1">
      <c r="A42" s="1" t="str">
        <f>MID($C$14,Constanst!K19,1)</f>
        <v>1</v>
      </c>
      <c r="B42" s="1" t="str">
        <f t="shared" si="11"/>
        <v>11111000001111111011110100000010</v>
      </c>
    </row>
    <row r="43" ht="14.25" customHeight="1">
      <c r="A43" s="1" t="str">
        <f>MID($C$14,Constanst!K20,1)</f>
        <v>1</v>
      </c>
      <c r="B43" s="1" t="str">
        <f t="shared" si="11"/>
        <v>1111000001111111011110100000010</v>
      </c>
    </row>
    <row r="44" ht="14.25" customHeight="1">
      <c r="A44" s="1" t="str">
        <f>MID($C$14,Constanst!K21,1)</f>
        <v>1</v>
      </c>
      <c r="B44" s="1" t="str">
        <f t="shared" si="11"/>
        <v>111000001111111011110100000010</v>
      </c>
    </row>
    <row r="45" ht="14.25" customHeight="1">
      <c r="A45" s="1" t="str">
        <f>MID($C$14,Constanst!K22,1)</f>
        <v>1</v>
      </c>
      <c r="B45" s="1" t="str">
        <f t="shared" si="11"/>
        <v>11000001111111011110100000010</v>
      </c>
    </row>
    <row r="46" ht="14.25" customHeight="1">
      <c r="A46" s="1" t="str">
        <f>MID($C$14,Constanst!K23,1)</f>
        <v>1</v>
      </c>
      <c r="B46" s="1" t="str">
        <f t="shared" si="11"/>
        <v>1000001111111011110100000010</v>
      </c>
    </row>
    <row r="47" ht="14.25" customHeight="1">
      <c r="A47" s="1" t="str">
        <f>MID($C$14,Constanst!K24,1)</f>
        <v>0</v>
      </c>
      <c r="B47" s="1" t="str">
        <f t="shared" si="11"/>
        <v>000001111111011110100000010</v>
      </c>
    </row>
    <row r="48" ht="14.25" customHeight="1">
      <c r="A48" s="1" t="str">
        <f>MID($C$14,Constanst!K25,1)</f>
        <v>0</v>
      </c>
      <c r="B48" s="1" t="str">
        <f t="shared" si="11"/>
        <v>00001111111011110100000010</v>
      </c>
    </row>
    <row r="49" ht="14.25" customHeight="1">
      <c r="A49" s="1" t="str">
        <f>MID($C$14,Constanst!K26,1)</f>
        <v>0</v>
      </c>
      <c r="B49" s="1" t="str">
        <f t="shared" si="11"/>
        <v>0001111111011110100000010</v>
      </c>
    </row>
    <row r="50" ht="14.25" customHeight="1">
      <c r="A50" s="1" t="str">
        <f>MID($C$14,Constanst!K27,1)</f>
        <v>0</v>
      </c>
      <c r="B50" s="1" t="str">
        <f t="shared" si="11"/>
        <v>001111111011110100000010</v>
      </c>
    </row>
    <row r="51" ht="14.25" customHeight="1">
      <c r="A51" s="1" t="str">
        <f>MID($C$14,Constanst!K28,1)</f>
        <v>0</v>
      </c>
      <c r="B51" s="1" t="str">
        <f t="shared" si="11"/>
        <v>01111111011110100000010</v>
      </c>
    </row>
    <row r="52" ht="14.25" customHeight="1">
      <c r="A52" s="1" t="str">
        <f>MID($C$14,Constanst!K29,1)</f>
        <v>1</v>
      </c>
      <c r="B52" s="1" t="str">
        <f t="shared" si="11"/>
        <v>1111111011110100000010</v>
      </c>
    </row>
    <row r="53" ht="14.25" customHeight="1">
      <c r="A53" s="1" t="str">
        <f>MID($C$14,Constanst!K30,1)</f>
        <v>1</v>
      </c>
      <c r="B53" s="1" t="str">
        <f t="shared" si="11"/>
        <v>111111011110100000010</v>
      </c>
    </row>
    <row r="54" ht="14.25" customHeight="1">
      <c r="A54" s="1" t="str">
        <f>MID($C$14,Constanst!K31,1)</f>
        <v>1</v>
      </c>
      <c r="B54" s="1" t="str">
        <f t="shared" si="11"/>
        <v>11111011110100000010</v>
      </c>
    </row>
    <row r="55" ht="14.25" customHeight="1">
      <c r="A55" s="1" t="str">
        <f>MID($C$14,Constanst!K32,1)</f>
        <v>1</v>
      </c>
      <c r="B55" s="1" t="str">
        <f t="shared" si="11"/>
        <v>1111011110100000010</v>
      </c>
    </row>
    <row r="56" ht="14.25" customHeight="1">
      <c r="A56" s="1" t="str">
        <f>MID($C$14,Constanst!K33,1)</f>
        <v>1</v>
      </c>
      <c r="B56" s="1" t="str">
        <f t="shared" si="11"/>
        <v>111011110100000010</v>
      </c>
    </row>
    <row r="57" ht="14.25" customHeight="1">
      <c r="A57" s="1" t="str">
        <f>MID($C$14,Constanst!K34,1)</f>
        <v>1</v>
      </c>
      <c r="B57" s="1" t="str">
        <f t="shared" si="11"/>
        <v>11011110100000010</v>
      </c>
    </row>
    <row r="58" ht="14.25" customHeight="1">
      <c r="A58" s="1" t="str">
        <f>MID($C$14,Constanst!K35,1)</f>
        <v>1</v>
      </c>
      <c r="B58" s="1" t="str">
        <f t="shared" si="11"/>
        <v>1011110100000010</v>
      </c>
    </row>
    <row r="59" ht="14.25" customHeight="1">
      <c r="A59" s="1" t="str">
        <f>MID($C$14,Constanst!K36,1)</f>
        <v>0</v>
      </c>
      <c r="B59" s="1" t="str">
        <f t="shared" si="11"/>
        <v>011110100000010</v>
      </c>
    </row>
    <row r="60" ht="14.25" customHeight="1">
      <c r="A60" s="1" t="str">
        <f>MID($C$14,Constanst!K37,1)</f>
        <v>1</v>
      </c>
      <c r="B60" s="1" t="str">
        <f t="shared" si="11"/>
        <v>11110100000010</v>
      </c>
    </row>
    <row r="61" ht="14.25" customHeight="1">
      <c r="A61" s="1" t="str">
        <f>MID($C$14,Constanst!K38,1)</f>
        <v>1</v>
      </c>
      <c r="B61" s="1" t="str">
        <f t="shared" si="11"/>
        <v>1110100000010</v>
      </c>
    </row>
    <row r="62" ht="14.25" customHeight="1">
      <c r="A62" s="1" t="str">
        <f>MID($C$14,Constanst!K39,1)</f>
        <v>1</v>
      </c>
      <c r="B62" s="1" t="str">
        <f t="shared" si="11"/>
        <v>110100000010</v>
      </c>
    </row>
    <row r="63" ht="14.25" customHeight="1">
      <c r="A63" s="1" t="str">
        <f>MID($C$14,Constanst!K40,1)</f>
        <v>1</v>
      </c>
      <c r="B63" s="1" t="str">
        <f t="shared" si="11"/>
        <v>10100000010</v>
      </c>
    </row>
    <row r="64" ht="14.25" customHeight="1">
      <c r="A64" s="1" t="str">
        <f>MID($C$14,Constanst!K41,1)</f>
        <v>0</v>
      </c>
      <c r="B64" s="1" t="str">
        <f t="shared" si="11"/>
        <v>0100000010</v>
      </c>
    </row>
    <row r="65" ht="14.25" customHeight="1">
      <c r="A65" s="1" t="str">
        <f>MID($C$14,Constanst!K42,1)</f>
        <v>1</v>
      </c>
      <c r="B65" s="1" t="str">
        <f t="shared" si="11"/>
        <v>100000010</v>
      </c>
    </row>
    <row r="66" ht="14.25" customHeight="1">
      <c r="A66" s="1" t="str">
        <f>MID($C$14,Constanst!K43,1)</f>
        <v>0</v>
      </c>
      <c r="B66" s="1" t="str">
        <f t="shared" si="11"/>
        <v>00000010</v>
      </c>
    </row>
    <row r="67" ht="14.25" customHeight="1">
      <c r="A67" s="1" t="str">
        <f>MID($C$14,Constanst!K44,1)</f>
        <v>0</v>
      </c>
      <c r="B67" s="1" t="str">
        <f t="shared" si="11"/>
        <v>0000010</v>
      </c>
    </row>
    <row r="68" ht="14.25" customHeight="1">
      <c r="A68" s="1" t="str">
        <f>MID($C$14,Constanst!K45,1)</f>
        <v>0</v>
      </c>
      <c r="B68" s="1" t="str">
        <f t="shared" si="11"/>
        <v>000010</v>
      </c>
    </row>
    <row r="69" ht="14.25" customHeight="1">
      <c r="A69" s="1" t="str">
        <f>MID($C$14,Constanst!K46,1)</f>
        <v>0</v>
      </c>
      <c r="B69" s="1" t="str">
        <f t="shared" si="11"/>
        <v>00010</v>
      </c>
    </row>
    <row r="70" ht="14.25" customHeight="1">
      <c r="A70" s="1" t="str">
        <f>MID($C$14,Constanst!K47,1)</f>
        <v>0</v>
      </c>
      <c r="B70" s="1" t="str">
        <f t="shared" si="11"/>
        <v>0010</v>
      </c>
    </row>
    <row r="71" ht="14.25" customHeight="1">
      <c r="A71" s="1" t="str">
        <f>MID($C$14,Constanst!K48,1)</f>
        <v>0</v>
      </c>
      <c r="B71" s="1" t="str">
        <f t="shared" si="11"/>
        <v>010</v>
      </c>
    </row>
    <row r="72" ht="14.25" customHeight="1">
      <c r="A72" s="1" t="str">
        <f>MID($C$14,Constanst!K49,1)</f>
        <v>1</v>
      </c>
      <c r="B72" s="1" t="str">
        <f>A72&amp;A73</f>
        <v>10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E(R2) XOR K3</v>
      </c>
    </row>
    <row r="76" ht="14.25" customHeight="1">
      <c r="A76" s="11" t="str">
        <f>"Khóa " &amp; L6</f>
        <v>Khóa K3</v>
      </c>
      <c r="B76" s="5"/>
      <c r="C76" s="5"/>
      <c r="D76" s="6"/>
      <c r="G76" s="11" t="str">
        <f>"E("&amp;M5&amp;")"</f>
        <v>E(R2)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01010101</v>
      </c>
      <c r="C78" s="20" t="str">
        <f t="shared" ref="C78:C83" si="13">BIN2HEX(B78,2)</f>
        <v>55</v>
      </c>
      <c r="D78" s="20">
        <f t="shared" ref="D78:D83" si="14">BIN2DEC(B78)</f>
        <v>85</v>
      </c>
      <c r="G78" s="20">
        <v>1.0</v>
      </c>
      <c r="H78" s="20" t="str">
        <f t="shared" ref="H78:H83" si="15">MID($D$24,(G78-1)*8+1, 8)</f>
        <v>10110101</v>
      </c>
      <c r="I78" s="20" t="str">
        <f t="shared" ref="I78:I83" si="16">BIN2HEX(H78,2)</f>
        <v>B5</v>
      </c>
      <c r="J78" s="20">
        <f t="shared" ref="J78:J83" si="17">BIN2DEC(H78)</f>
        <v>181</v>
      </c>
    </row>
    <row r="79" ht="14.25" customHeight="1">
      <c r="A79" s="20">
        <v>2.0</v>
      </c>
      <c r="B79" s="20" t="str">
        <f t="shared" si="12"/>
        <v>11111100</v>
      </c>
      <c r="C79" s="20" t="str">
        <f t="shared" si="13"/>
        <v>FC</v>
      </c>
      <c r="D79" s="20">
        <f t="shared" si="14"/>
        <v>252</v>
      </c>
      <c r="G79" s="20">
        <v>2.0</v>
      </c>
      <c r="H79" s="20" t="str">
        <f t="shared" si="15"/>
        <v>00000000</v>
      </c>
      <c r="I79" s="20" t="str">
        <f t="shared" si="16"/>
        <v>00</v>
      </c>
      <c r="J79" s="20">
        <f t="shared" si="17"/>
        <v>0</v>
      </c>
    </row>
    <row r="80" ht="14.25" customHeight="1">
      <c r="A80" s="20">
        <v>3.0</v>
      </c>
      <c r="B80" s="20" t="str">
        <f t="shared" si="12"/>
        <v>10001010</v>
      </c>
      <c r="C80" s="20" t="str">
        <f t="shared" si="13"/>
        <v>8A</v>
      </c>
      <c r="D80" s="20">
        <f t="shared" si="14"/>
        <v>138</v>
      </c>
      <c r="G80" s="20">
        <v>3.0</v>
      </c>
      <c r="H80" s="20" t="str">
        <f t="shared" si="15"/>
        <v>11111000</v>
      </c>
      <c r="I80" s="20" t="str">
        <f t="shared" si="16"/>
        <v>F8</v>
      </c>
      <c r="J80" s="20">
        <f t="shared" si="17"/>
        <v>248</v>
      </c>
    </row>
    <row r="81" ht="14.25" customHeight="1">
      <c r="A81" s="20">
        <v>4.0</v>
      </c>
      <c r="B81" s="20" t="str">
        <f t="shared" si="12"/>
        <v>10110100</v>
      </c>
      <c r="C81" s="20" t="str">
        <f t="shared" si="13"/>
        <v>B4</v>
      </c>
      <c r="D81" s="20">
        <f t="shared" si="14"/>
        <v>180</v>
      </c>
      <c r="G81" s="20">
        <v>4.0</v>
      </c>
      <c r="H81" s="20" t="str">
        <f t="shared" si="15"/>
        <v>00111111</v>
      </c>
      <c r="I81" s="20" t="str">
        <f t="shared" si="16"/>
        <v>3F</v>
      </c>
      <c r="J81" s="20">
        <f t="shared" si="17"/>
        <v>63</v>
      </c>
    </row>
    <row r="82" ht="14.25" customHeight="1">
      <c r="A82" s="20">
        <v>5.0</v>
      </c>
      <c r="B82" s="20" t="str">
        <f t="shared" si="12"/>
        <v>10101100</v>
      </c>
      <c r="C82" s="20" t="str">
        <f t="shared" si="13"/>
        <v>AC</v>
      </c>
      <c r="D82" s="20">
        <f t="shared" si="14"/>
        <v>172</v>
      </c>
      <c r="G82" s="20">
        <v>5.0</v>
      </c>
      <c r="H82" s="20" t="str">
        <f t="shared" si="15"/>
        <v>10111101</v>
      </c>
      <c r="I82" s="20" t="str">
        <f t="shared" si="16"/>
        <v>BD</v>
      </c>
      <c r="J82" s="20">
        <f t="shared" si="17"/>
        <v>189</v>
      </c>
    </row>
    <row r="83" ht="14.25" customHeight="1">
      <c r="A83" s="20">
        <v>6.0</v>
      </c>
      <c r="B83" s="20" t="str">
        <f t="shared" si="12"/>
        <v>11010010</v>
      </c>
      <c r="C83" s="20" t="str">
        <f t="shared" si="13"/>
        <v>D2</v>
      </c>
      <c r="D83" s="20">
        <f t="shared" si="14"/>
        <v>210</v>
      </c>
      <c r="G83" s="20">
        <v>6.0</v>
      </c>
      <c r="H83" s="20" t="str">
        <f t="shared" si="15"/>
        <v>00000010</v>
      </c>
      <c r="I83" s="20" t="str">
        <f t="shared" si="16"/>
        <v>02</v>
      </c>
      <c r="J83" s="20">
        <f t="shared" si="17"/>
        <v>2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XOR(ER2, K3)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224</v>
      </c>
      <c r="C86" s="26" t="str">
        <f t="shared" ref="C86:C91" si="19">DEC2BIN(B86,8)</f>
        <v>11100000</v>
      </c>
      <c r="D86" s="26" t="str">
        <f t="shared" ref="D86:D91" si="20">BIN2HEX(C86,2)</f>
        <v>E0</v>
      </c>
    </row>
    <row r="87" ht="14.25" customHeight="1">
      <c r="A87" s="26">
        <v>2.0</v>
      </c>
      <c r="B87" s="26">
        <f t="shared" si="18"/>
        <v>252</v>
      </c>
      <c r="C87" s="26" t="str">
        <f t="shared" si="19"/>
        <v>11111100</v>
      </c>
      <c r="D87" s="26" t="str">
        <f t="shared" si="20"/>
        <v>FC</v>
      </c>
    </row>
    <row r="88" ht="14.25" customHeight="1">
      <c r="A88" s="26">
        <v>3.0</v>
      </c>
      <c r="B88" s="26">
        <f t="shared" si="18"/>
        <v>114</v>
      </c>
      <c r="C88" s="26" t="str">
        <f t="shared" si="19"/>
        <v>01110010</v>
      </c>
      <c r="D88" s="26" t="str">
        <f t="shared" si="20"/>
        <v>72</v>
      </c>
    </row>
    <row r="89" ht="14.25" customHeight="1">
      <c r="A89" s="26">
        <v>4.0</v>
      </c>
      <c r="B89" s="26">
        <f t="shared" si="18"/>
        <v>139</v>
      </c>
      <c r="C89" s="26" t="str">
        <f t="shared" si="19"/>
        <v>10001011</v>
      </c>
      <c r="D89" s="26" t="str">
        <f t="shared" si="20"/>
        <v>8B</v>
      </c>
    </row>
    <row r="90" ht="14.25" customHeight="1">
      <c r="A90" s="26">
        <v>5.0</v>
      </c>
      <c r="B90" s="26">
        <f t="shared" si="18"/>
        <v>17</v>
      </c>
      <c r="C90" s="26" t="str">
        <f t="shared" si="19"/>
        <v>00010001</v>
      </c>
      <c r="D90" s="26" t="str">
        <f t="shared" si="20"/>
        <v>11</v>
      </c>
    </row>
    <row r="91" ht="14.25" customHeight="1">
      <c r="A91" s="26">
        <v>6.0</v>
      </c>
      <c r="B91" s="26">
        <f t="shared" si="18"/>
        <v>208</v>
      </c>
      <c r="C91" s="26" t="str">
        <f t="shared" si="19"/>
        <v>11010000</v>
      </c>
      <c r="D91" s="26" t="str">
        <f t="shared" si="20"/>
        <v>D0</v>
      </c>
    </row>
    <row r="92" ht="14.25" customHeight="1"/>
    <row r="93" ht="14.25" customHeight="1">
      <c r="B93" s="1" t="str">
        <f>"A = E"&amp;M5&amp;" XOR "&amp;L6&amp;" ="</f>
        <v>A = ER2 XOR K3 =</v>
      </c>
      <c r="D93" s="22" t="str">
        <f>C86&amp;C87&amp;C88&amp;C89&amp;C90&amp;C91</f>
        <v>111000001111110001110010100010110001000111010000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111000</v>
      </c>
      <c r="C98" s="3" t="str">
        <f t="shared" ref="C98:C105" si="22">LEFT(B98,1)&amp;(RIGHT(B98,1))</f>
        <v>10</v>
      </c>
      <c r="D98" s="3" t="str">
        <f t="shared" ref="D98:D105" si="23">MID(B98,2,4)</f>
        <v>1100</v>
      </c>
      <c r="E98" s="3" t="str">
        <f t="shared" ref="E98:E105" si="24">C98&amp;D98</f>
        <v>101100</v>
      </c>
      <c r="F98" s="18">
        <f t="shared" ref="F98:F105" si="25">BIN2DEC(E98)</f>
        <v>44</v>
      </c>
      <c r="G98" s="3">
        <f>VLOOKUP(F98,Constanst!$M$3:$U$66,2,TRUE)</f>
        <v>3</v>
      </c>
      <c r="H98" s="3" t="str">
        <f t="shared" ref="H98:H105" si="26">DEC2BIN(G98,4)</f>
        <v>0011</v>
      </c>
      <c r="I98" s="3" t="str">
        <f>H98</f>
        <v>0011</v>
      </c>
    </row>
    <row r="99" ht="14.25" customHeight="1">
      <c r="A99" s="3">
        <v>2.0</v>
      </c>
      <c r="B99" s="3" t="str">
        <f t="shared" si="21"/>
        <v>001111</v>
      </c>
      <c r="C99" s="3" t="str">
        <f t="shared" si="22"/>
        <v>01</v>
      </c>
      <c r="D99" s="3" t="str">
        <f t="shared" si="23"/>
        <v>0111</v>
      </c>
      <c r="E99" s="3" t="str">
        <f t="shared" si="24"/>
        <v>010111</v>
      </c>
      <c r="F99" s="18">
        <f t="shared" si="25"/>
        <v>23</v>
      </c>
      <c r="G99" s="3">
        <f>VLOOKUP(F99,Constanst!$M$3:$U$66,3,TRUE)</f>
        <v>14</v>
      </c>
      <c r="H99" s="3" t="str">
        <f t="shared" si="26"/>
        <v>1110</v>
      </c>
      <c r="I99" s="3" t="str">
        <f t="shared" ref="I99:I105" si="27">I98&amp;H99</f>
        <v>00111110</v>
      </c>
    </row>
    <row r="100" ht="14.25" customHeight="1">
      <c r="A100" s="3">
        <v>3.0</v>
      </c>
      <c r="B100" s="3" t="str">
        <f t="shared" si="21"/>
        <v>110001</v>
      </c>
      <c r="C100" s="3" t="str">
        <f t="shared" si="22"/>
        <v>11</v>
      </c>
      <c r="D100" s="3" t="str">
        <f t="shared" si="23"/>
        <v>1000</v>
      </c>
      <c r="E100" s="3" t="str">
        <f t="shared" si="24"/>
        <v>111000</v>
      </c>
      <c r="F100" s="18">
        <f t="shared" si="25"/>
        <v>56</v>
      </c>
      <c r="G100" s="3">
        <f>VLOOKUP(F100,Constanst!$M$3:$U$66,4,TRUE)</f>
        <v>4</v>
      </c>
      <c r="H100" s="3" t="str">
        <f t="shared" si="26"/>
        <v>0100</v>
      </c>
      <c r="I100" s="3" t="str">
        <f t="shared" si="27"/>
        <v>001111100100</v>
      </c>
    </row>
    <row r="101" ht="14.25" customHeight="1">
      <c r="A101" s="3">
        <v>4.0</v>
      </c>
      <c r="B101" s="3" t="str">
        <f t="shared" si="21"/>
        <v>110010</v>
      </c>
      <c r="C101" s="3" t="str">
        <f t="shared" si="22"/>
        <v>10</v>
      </c>
      <c r="D101" s="3" t="str">
        <f t="shared" si="23"/>
        <v>1001</v>
      </c>
      <c r="E101" s="3" t="str">
        <f t="shared" si="24"/>
        <v>101001</v>
      </c>
      <c r="F101" s="18">
        <f t="shared" si="25"/>
        <v>41</v>
      </c>
      <c r="G101" s="3">
        <f>VLOOKUP(F101,Constanst!$M$3:$U$66,5,TRUE)</f>
        <v>1</v>
      </c>
      <c r="H101" s="3" t="str">
        <f t="shared" si="26"/>
        <v>0001</v>
      </c>
      <c r="I101" s="3" t="str">
        <f t="shared" si="27"/>
        <v>0011111001000001</v>
      </c>
    </row>
    <row r="102" ht="14.25" customHeight="1">
      <c r="A102" s="3">
        <v>5.0</v>
      </c>
      <c r="B102" s="3" t="str">
        <f t="shared" si="21"/>
        <v>100010</v>
      </c>
      <c r="C102" s="3" t="str">
        <f t="shared" si="22"/>
        <v>10</v>
      </c>
      <c r="D102" s="3" t="str">
        <f t="shared" si="23"/>
        <v>0001</v>
      </c>
      <c r="E102" s="3" t="str">
        <f t="shared" si="24"/>
        <v>100001</v>
      </c>
      <c r="F102" s="18">
        <f t="shared" si="25"/>
        <v>33</v>
      </c>
      <c r="G102" s="3">
        <f>VLOOKUP(F102,Constanst!$M$3:$U$66,6,TRUE)</f>
        <v>2</v>
      </c>
      <c r="H102" s="3" t="str">
        <f t="shared" si="26"/>
        <v>0010</v>
      </c>
      <c r="I102" s="3" t="str">
        <f t="shared" si="27"/>
        <v>00111110010000010010</v>
      </c>
    </row>
    <row r="103" ht="14.25" customHeight="1">
      <c r="A103" s="3">
        <v>6.0</v>
      </c>
      <c r="B103" s="3" t="str">
        <f t="shared" si="21"/>
        <v>110001</v>
      </c>
      <c r="C103" s="3" t="str">
        <f t="shared" si="22"/>
        <v>11</v>
      </c>
      <c r="D103" s="3" t="str">
        <f t="shared" si="23"/>
        <v>1000</v>
      </c>
      <c r="E103" s="3" t="str">
        <f t="shared" si="24"/>
        <v>111000</v>
      </c>
      <c r="F103" s="18">
        <f t="shared" si="25"/>
        <v>56</v>
      </c>
      <c r="G103" s="3">
        <f>VLOOKUP(F103,Constanst!$M$3:$U$66,7,TRUE)</f>
        <v>11</v>
      </c>
      <c r="H103" s="3" t="str">
        <f t="shared" si="26"/>
        <v>1011</v>
      </c>
      <c r="I103" s="3" t="str">
        <f t="shared" si="27"/>
        <v>001111100100000100101011</v>
      </c>
    </row>
    <row r="104" ht="14.25" customHeight="1">
      <c r="A104" s="3">
        <v>7.0</v>
      </c>
      <c r="B104" s="3" t="str">
        <f t="shared" si="21"/>
        <v>000111</v>
      </c>
      <c r="C104" s="3" t="str">
        <f t="shared" si="22"/>
        <v>01</v>
      </c>
      <c r="D104" s="3" t="str">
        <f t="shared" si="23"/>
        <v>0011</v>
      </c>
      <c r="E104" s="3" t="str">
        <f t="shared" si="24"/>
        <v>010011</v>
      </c>
      <c r="F104" s="18">
        <f t="shared" si="25"/>
        <v>19</v>
      </c>
      <c r="G104" s="3">
        <f>VLOOKUP(F104,Constanst!$M$3:$U$66,8,TRUE)</f>
        <v>7</v>
      </c>
      <c r="H104" s="3" t="str">
        <f t="shared" si="26"/>
        <v>0111</v>
      </c>
      <c r="I104" s="3" t="str">
        <f t="shared" si="27"/>
        <v>0011111001000001001010110111</v>
      </c>
    </row>
    <row r="105" ht="14.25" customHeight="1">
      <c r="A105" s="3">
        <v>8.0</v>
      </c>
      <c r="B105" s="3" t="str">
        <f t="shared" si="21"/>
        <v>010000</v>
      </c>
      <c r="C105" s="3" t="str">
        <f t="shared" si="22"/>
        <v>00</v>
      </c>
      <c r="D105" s="3" t="str">
        <f t="shared" si="23"/>
        <v>1000</v>
      </c>
      <c r="E105" s="3" t="str">
        <f t="shared" si="24"/>
        <v>001000</v>
      </c>
      <c r="F105" s="18">
        <f t="shared" si="25"/>
        <v>8</v>
      </c>
      <c r="G105" s="3">
        <f>VLOOKUP(F105,Constanst!$M$3:$U$66,9,TRUE)</f>
        <v>10</v>
      </c>
      <c r="H105" s="3" t="str">
        <f t="shared" si="26"/>
        <v>1010</v>
      </c>
      <c r="I105" s="3" t="str">
        <f t="shared" si="27"/>
        <v>00111110010000010010101101111010</v>
      </c>
    </row>
    <row r="106" ht="14.25" customHeight="1"/>
    <row r="107" ht="14.25" customHeight="1">
      <c r="B107" s="1" t="s">
        <v>90</v>
      </c>
      <c r="C107" s="1" t="str">
        <f>I105</f>
        <v>00111110010000010010101101111010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1</v>
      </c>
    </row>
    <row r="113" ht="14.25" hidden="1" customHeight="1">
      <c r="A113" s="1" t="str">
        <f>MID($C$107,Constanst!X4,1)</f>
        <v>1</v>
      </c>
      <c r="B113" s="1" t="str">
        <f>A112&amp;A113</f>
        <v>11</v>
      </c>
    </row>
    <row r="114" ht="14.25" hidden="1" customHeight="1">
      <c r="A114" s="1" t="str">
        <f>MID($C$107,Constanst!X5,1)</f>
        <v>0</v>
      </c>
      <c r="B114" s="1" t="str">
        <f t="shared" ref="B114:B143" si="28">B113&amp;A114</f>
        <v>110</v>
      </c>
    </row>
    <row r="115" ht="14.25" hidden="1" customHeight="1">
      <c r="A115" s="1" t="str">
        <f>MID($C$107,Constanst!X6,1)</f>
        <v>1</v>
      </c>
      <c r="B115" s="1" t="str">
        <f t="shared" si="28"/>
        <v>1101</v>
      </c>
    </row>
    <row r="116" ht="14.25" hidden="1" customHeight="1">
      <c r="A116" s="1" t="str">
        <f>MID($C$107,Constanst!X7,1)</f>
        <v>1</v>
      </c>
      <c r="B116" s="1" t="str">
        <f t="shared" si="28"/>
        <v>11011</v>
      </c>
    </row>
    <row r="117" ht="14.25" hidden="1" customHeight="1">
      <c r="A117" s="1" t="str">
        <f>MID($C$107,Constanst!X8,1)</f>
        <v>0</v>
      </c>
      <c r="B117" s="1" t="str">
        <f t="shared" si="28"/>
        <v>110110</v>
      </c>
    </row>
    <row r="118" ht="14.25" hidden="1" customHeight="1">
      <c r="A118" s="1" t="str">
        <f>MID($C$107,Constanst!X9,1)</f>
        <v>1</v>
      </c>
      <c r="B118" s="1" t="str">
        <f t="shared" si="28"/>
        <v>1101101</v>
      </c>
    </row>
    <row r="119" ht="14.25" hidden="1" customHeight="1">
      <c r="A119" s="1" t="str">
        <f>MID($C$107,Constanst!X10,1)</f>
        <v>0</v>
      </c>
      <c r="B119" s="1" t="str">
        <f t="shared" si="28"/>
        <v>11011010</v>
      </c>
    </row>
    <row r="120" ht="14.25" hidden="1" customHeight="1">
      <c r="A120" s="1" t="str">
        <f>MID($C$107,Constanst!X11,1)</f>
        <v>0</v>
      </c>
      <c r="B120" s="1" t="str">
        <f t="shared" si="28"/>
        <v>110110100</v>
      </c>
    </row>
    <row r="121" ht="14.25" hidden="1" customHeight="1">
      <c r="A121" s="1" t="str">
        <f>MID($C$107,Constanst!X12,1)</f>
        <v>0</v>
      </c>
      <c r="B121" s="1" t="str">
        <f t="shared" si="28"/>
        <v>1101101000</v>
      </c>
    </row>
    <row r="122" ht="14.25" hidden="1" customHeight="1">
      <c r="A122" s="1" t="str">
        <f>MID($C$107,Constanst!X13,1)</f>
        <v>1</v>
      </c>
      <c r="B122" s="1" t="str">
        <f t="shared" si="28"/>
        <v>11011010001</v>
      </c>
    </row>
    <row r="123" ht="14.25" hidden="1" customHeight="1">
      <c r="A123" s="1" t="str">
        <f>MID($C$107,Constanst!X14,1)</f>
        <v>1</v>
      </c>
      <c r="B123" s="1" t="str">
        <f t="shared" si="28"/>
        <v>110110100011</v>
      </c>
    </row>
    <row r="124" ht="14.25" hidden="1" customHeight="1">
      <c r="A124" s="1" t="str">
        <f>MID($C$107,Constanst!X15,1)</f>
        <v>1</v>
      </c>
      <c r="B124" s="1" t="str">
        <f t="shared" si="28"/>
        <v>1101101000111</v>
      </c>
    </row>
    <row r="125" ht="14.25" hidden="1" customHeight="1">
      <c r="A125" s="1" t="str">
        <f>MID($C$107,Constanst!X16,1)</f>
        <v>0</v>
      </c>
      <c r="B125" s="1" t="str">
        <f t="shared" si="28"/>
        <v>11011010001110</v>
      </c>
    </row>
    <row r="126" ht="14.25" hidden="1" customHeight="1">
      <c r="A126" s="1" t="str">
        <f>MID($C$107,Constanst!X17,1)</f>
        <v>1</v>
      </c>
      <c r="B126" s="1" t="str">
        <f t="shared" si="28"/>
        <v>110110100011101</v>
      </c>
    </row>
    <row r="127" ht="14.25" hidden="1" customHeight="1">
      <c r="A127" s="1" t="str">
        <f>MID($C$107,Constanst!X18,1)</f>
        <v>1</v>
      </c>
      <c r="B127" s="1" t="str">
        <f t="shared" si="28"/>
        <v>1101101000111011</v>
      </c>
    </row>
    <row r="128" ht="14.25" hidden="1" customHeight="1">
      <c r="A128" s="1" t="str">
        <f>MID($C$107,Constanst!X19,1)</f>
        <v>0</v>
      </c>
      <c r="B128" s="1" t="str">
        <f t="shared" si="28"/>
        <v>11011010001110110</v>
      </c>
    </row>
    <row r="129" ht="14.25" hidden="1" customHeight="1">
      <c r="A129" s="1" t="str">
        <f>MID($C$107,Constanst!X20,1)</f>
        <v>0</v>
      </c>
      <c r="B129" s="1" t="str">
        <f t="shared" si="28"/>
        <v>110110100011101100</v>
      </c>
    </row>
    <row r="130" ht="14.25" hidden="1" customHeight="1">
      <c r="A130" s="1" t="str">
        <f>MID($C$107,Constanst!X21,1)</f>
        <v>1</v>
      </c>
      <c r="B130" s="1" t="str">
        <f t="shared" si="28"/>
        <v>1101101000111011001</v>
      </c>
    </row>
    <row r="131" ht="14.25" hidden="1" customHeight="1">
      <c r="A131" s="1" t="str">
        <f>MID($C$107,Constanst!X22,1)</f>
        <v>0</v>
      </c>
      <c r="B131" s="1" t="str">
        <f t="shared" si="28"/>
        <v>11011010001110110010</v>
      </c>
    </row>
    <row r="132" ht="14.25" hidden="1" customHeight="1">
      <c r="A132" s="1" t="str">
        <f>MID($C$107,Constanst!X23,1)</f>
        <v>0</v>
      </c>
      <c r="B132" s="1" t="str">
        <f t="shared" si="28"/>
        <v>110110100011101100100</v>
      </c>
    </row>
    <row r="133" ht="14.25" hidden="1" customHeight="1">
      <c r="A133" s="1" t="str">
        <f>MID($C$107,Constanst!X24,1)</f>
        <v>1</v>
      </c>
      <c r="B133" s="1" t="str">
        <f t="shared" si="28"/>
        <v>1101101000111011001001</v>
      </c>
    </row>
    <row r="134" ht="14.25" hidden="1" customHeight="1">
      <c r="A134" s="1" t="str">
        <f>MID($C$107,Constanst!X25,1)</f>
        <v>1</v>
      </c>
      <c r="B134" s="1" t="str">
        <f t="shared" si="28"/>
        <v>11011010001110110010011</v>
      </c>
    </row>
    <row r="135" ht="14.25" hidden="1" customHeight="1">
      <c r="A135" s="1" t="str">
        <f>MID($C$107,Constanst!X26,1)</f>
        <v>0</v>
      </c>
      <c r="B135" s="1" t="str">
        <f t="shared" si="28"/>
        <v>110110100011101100100110</v>
      </c>
    </row>
    <row r="136" ht="14.25" hidden="1" customHeight="1">
      <c r="A136" s="1" t="str">
        <f>MID($C$107,Constanst!X27,1)</f>
        <v>1</v>
      </c>
      <c r="B136" s="1" t="str">
        <f t="shared" si="28"/>
        <v>1101101000111011001001101</v>
      </c>
    </row>
    <row r="137" ht="14.25" hidden="1" customHeight="1">
      <c r="A137" s="1" t="str">
        <f>MID($C$107,Constanst!X28,1)</f>
        <v>0</v>
      </c>
      <c r="B137" s="1" t="str">
        <f t="shared" si="28"/>
        <v>11011010001110110010011010</v>
      </c>
    </row>
    <row r="138" ht="14.25" hidden="1" customHeight="1">
      <c r="A138" s="1" t="str">
        <f>MID($C$107,Constanst!X29,1)</f>
        <v>0</v>
      </c>
      <c r="B138" s="1" t="str">
        <f t="shared" si="28"/>
        <v>110110100011101100100110100</v>
      </c>
    </row>
    <row r="139" ht="14.25" hidden="1" customHeight="1">
      <c r="A139" s="1" t="str">
        <f>MID($C$107,Constanst!X30,1)</f>
        <v>1</v>
      </c>
      <c r="B139" s="1" t="str">
        <f t="shared" si="28"/>
        <v>1101101000111011001001101001</v>
      </c>
    </row>
    <row r="140" ht="14.25" hidden="1" customHeight="1">
      <c r="A140" s="1" t="str">
        <f>MID($C$107,Constanst!X31,1)</f>
        <v>0</v>
      </c>
      <c r="B140" s="1" t="str">
        <f t="shared" si="28"/>
        <v>11011010001110110010011010010</v>
      </c>
    </row>
    <row r="141" ht="14.25" hidden="1" customHeight="1">
      <c r="A141" s="1" t="str">
        <f>MID($C$107,Constanst!X32,1)</f>
        <v>0</v>
      </c>
      <c r="B141" s="1" t="str">
        <f t="shared" si="28"/>
        <v>110110100011101100100110100100</v>
      </c>
    </row>
    <row r="142" ht="14.25" hidden="1" customHeight="1">
      <c r="A142" s="1" t="str">
        <f>MID($C$107,Constanst!X33,1)</f>
        <v>1</v>
      </c>
      <c r="B142" s="1" t="str">
        <f t="shared" si="28"/>
        <v>1101101000111011001001101001001</v>
      </c>
    </row>
    <row r="143" ht="14.25" customHeight="1">
      <c r="A143" s="1" t="str">
        <f>MID($C$107,Constanst!X34,1)</f>
        <v>0</v>
      </c>
      <c r="B143" s="22" t="str">
        <f t="shared" si="28"/>
        <v>11011010001110110010011010010010</v>
      </c>
    </row>
    <row r="144" ht="14.25" customHeight="1"/>
    <row r="145" ht="14.25" customHeight="1">
      <c r="A145" s="1" t="s">
        <v>92</v>
      </c>
      <c r="B145" s="1" t="str">
        <f>B143</f>
        <v>11011010001110110010011010010010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11011010</v>
      </c>
      <c r="C148" s="20" t="str">
        <f t="shared" ref="C148:C151" si="30">BIN2HEX(B148,2)</f>
        <v>DA</v>
      </c>
      <c r="D148" s="20">
        <f t="shared" ref="D148:D151" si="31">HEX2DEC(C148)</f>
        <v>218</v>
      </c>
    </row>
    <row r="149" ht="14.25" customHeight="1">
      <c r="A149" s="20">
        <v>2.0</v>
      </c>
      <c r="B149" s="20" t="str">
        <f t="shared" si="29"/>
        <v>00111011</v>
      </c>
      <c r="C149" s="20" t="str">
        <f t="shared" si="30"/>
        <v>3B</v>
      </c>
      <c r="D149" s="20">
        <f t="shared" si="31"/>
        <v>59</v>
      </c>
    </row>
    <row r="150" ht="14.25" customHeight="1">
      <c r="A150" s="20">
        <v>3.0</v>
      </c>
      <c r="B150" s="20" t="str">
        <f t="shared" si="29"/>
        <v>00100110</v>
      </c>
      <c r="C150" s="20" t="str">
        <f t="shared" si="30"/>
        <v>26</v>
      </c>
      <c r="D150" s="20">
        <f t="shared" si="31"/>
        <v>38</v>
      </c>
    </row>
    <row r="151" ht="14.25" customHeight="1">
      <c r="A151" s="20">
        <v>4.0</v>
      </c>
      <c r="B151" s="20" t="str">
        <f t="shared" si="29"/>
        <v>10010010</v>
      </c>
      <c r="C151" s="20" t="str">
        <f t="shared" si="30"/>
        <v>92</v>
      </c>
      <c r="D151" s="20">
        <f t="shared" si="31"/>
        <v>146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K4</v>
      </c>
      <c r="D2" s="1" t="str">
        <f>Input!I4</f>
        <v>011100101010110111010010101011011000011001010111</v>
      </c>
    </row>
    <row r="3" ht="14.25" customHeight="1">
      <c r="A3" s="1" t="s">
        <v>92</v>
      </c>
      <c r="B3" s="1" t="str">
        <f t="array" ref="B3">INDIRECT("'f(" &amp; L5 &amp; "," &amp; L7 &amp; ")'!B145")</f>
        <v>11011010001110110010011010010010</v>
      </c>
    </row>
    <row r="4" ht="14.25" customHeight="1">
      <c r="A4" s="1" t="str">
        <f t="shared" ref="A4:A5" si="1">L4</f>
        <v>L2</v>
      </c>
      <c r="B4" s="1" t="str">
        <f t="array" ref="B4">INDIRECT("'f(" &amp; L5 &amp; "," &amp; L7 &amp; ")'!C22")</f>
        <v>00001111001011111010110110011010</v>
      </c>
      <c r="L4" s="1" t="s">
        <v>102</v>
      </c>
      <c r="M4" s="1" t="s">
        <v>104</v>
      </c>
    </row>
    <row r="5" ht="14.25" customHeight="1">
      <c r="A5" s="1" t="str">
        <f t="shared" si="1"/>
        <v>R2</v>
      </c>
      <c r="B5" s="1" t="str">
        <f t="array" ref="B5">INDIRECT("'f(" &amp; L5 &amp; "," &amp; L7 &amp; ")'!C14")</f>
        <v>01101000000111000111110110100001</v>
      </c>
      <c r="L5" s="1" t="s">
        <v>103</v>
      </c>
      <c r="M5" s="1" t="s">
        <v>105</v>
      </c>
    </row>
    <row r="6" ht="14.25" customHeight="1">
      <c r="L6" s="1" t="s">
        <v>9</v>
      </c>
    </row>
    <row r="7" ht="14.25" customHeight="1">
      <c r="A7" s="11" t="s">
        <v>98</v>
      </c>
      <c r="B7" s="5"/>
      <c r="C7" s="5"/>
      <c r="D7" s="6"/>
      <c r="G7" s="11" t="str">
        <f>L4</f>
        <v>L2</v>
      </c>
      <c r="H7" s="5"/>
      <c r="I7" s="5"/>
      <c r="J7" s="6"/>
      <c r="L7" s="1" t="s">
        <v>7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11011010</v>
      </c>
      <c r="C9" s="20" t="str">
        <f t="shared" ref="C9:C12" si="3">BIN2HEX(B9,2)</f>
        <v>DA</v>
      </c>
      <c r="D9" s="20">
        <f t="shared" ref="D9:D12" si="4">HEX2DEC(C9)</f>
        <v>218</v>
      </c>
      <c r="G9" s="20">
        <v>1.0</v>
      </c>
      <c r="H9" s="20" t="str">
        <f t="shared" ref="H9:H12" si="5">MID($B$4,(G9-1)*8+1, 8)</f>
        <v>00001111</v>
      </c>
      <c r="I9" s="20" t="str">
        <f t="shared" ref="I9:I12" si="6">BIN2HEX(H9,2)</f>
        <v>0F</v>
      </c>
      <c r="J9" s="20">
        <f t="shared" ref="J9:J12" si="7">HEX2DEC(I9)</f>
        <v>15</v>
      </c>
    </row>
    <row r="10" ht="14.25" customHeight="1">
      <c r="A10" s="20">
        <v>2.0</v>
      </c>
      <c r="B10" s="20" t="str">
        <f t="shared" si="2"/>
        <v>00111011</v>
      </c>
      <c r="C10" s="20" t="str">
        <f t="shared" si="3"/>
        <v>3B</v>
      </c>
      <c r="D10" s="20">
        <f t="shared" si="4"/>
        <v>59</v>
      </c>
      <c r="G10" s="20">
        <v>2.0</v>
      </c>
      <c r="H10" s="20" t="str">
        <f t="shared" si="5"/>
        <v>00101111</v>
      </c>
      <c r="I10" s="20" t="str">
        <f t="shared" si="6"/>
        <v>2F</v>
      </c>
      <c r="J10" s="20">
        <f t="shared" si="7"/>
        <v>47</v>
      </c>
    </row>
    <row r="11" ht="14.25" customHeight="1">
      <c r="A11" s="20">
        <v>3.0</v>
      </c>
      <c r="B11" s="20" t="str">
        <f t="shared" si="2"/>
        <v>00100110</v>
      </c>
      <c r="C11" s="20" t="str">
        <f t="shared" si="3"/>
        <v>26</v>
      </c>
      <c r="D11" s="20">
        <f t="shared" si="4"/>
        <v>38</v>
      </c>
      <c r="G11" s="20">
        <v>3.0</v>
      </c>
      <c r="H11" s="20" t="str">
        <f t="shared" si="5"/>
        <v>10101101</v>
      </c>
      <c r="I11" s="20" t="str">
        <f t="shared" si="6"/>
        <v>AD</v>
      </c>
      <c r="J11" s="20">
        <f t="shared" si="7"/>
        <v>173</v>
      </c>
    </row>
    <row r="12" ht="14.25" customHeight="1">
      <c r="A12" s="20">
        <v>4.0</v>
      </c>
      <c r="B12" s="20" t="str">
        <f t="shared" si="2"/>
        <v>10010010</v>
      </c>
      <c r="C12" s="20" t="str">
        <f t="shared" si="3"/>
        <v>92</v>
      </c>
      <c r="D12" s="20">
        <f t="shared" si="4"/>
        <v>146</v>
      </c>
      <c r="G12" s="20">
        <v>4.0</v>
      </c>
      <c r="H12" s="20" t="str">
        <f t="shared" si="5"/>
        <v>10011010</v>
      </c>
      <c r="I12" s="20" t="str">
        <f t="shared" si="6"/>
        <v>9A</v>
      </c>
      <c r="J12" s="20">
        <f t="shared" si="7"/>
        <v>154</v>
      </c>
    </row>
    <row r="13" ht="14.25" customHeight="1"/>
    <row r="14" ht="14.25" customHeight="1">
      <c r="A14" s="1" t="str">
        <f>M5&amp;" = F XOR "&amp;L4&amp;" ="</f>
        <v>R3 = F XOR L2 =</v>
      </c>
      <c r="C14" s="23" t="str">
        <f>F17&amp;F18&amp;F19&amp;F20</f>
        <v>11010101000101001000101100001000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213</v>
      </c>
      <c r="E17" s="20" t="str">
        <f t="shared" ref="E17:E20" si="9">DEC2HEX(D17,2)</f>
        <v>D5</v>
      </c>
      <c r="F17" s="20" t="str">
        <f t="shared" ref="F17:F20" si="10">HEX2BIN(E17,8)</f>
        <v>11010101</v>
      </c>
    </row>
    <row r="18" ht="14.25" customHeight="1">
      <c r="C18" s="20">
        <v>2.0</v>
      </c>
      <c r="D18" s="20">
        <f t="shared" si="8"/>
        <v>20</v>
      </c>
      <c r="E18" s="20" t="str">
        <f t="shared" si="9"/>
        <v>14</v>
      </c>
      <c r="F18" s="20" t="str">
        <f t="shared" si="10"/>
        <v>00010100</v>
      </c>
    </row>
    <row r="19" ht="14.25" customHeight="1">
      <c r="C19" s="20">
        <v>3.0</v>
      </c>
      <c r="D19" s="20">
        <f t="shared" si="8"/>
        <v>139</v>
      </c>
      <c r="E19" s="20" t="str">
        <f t="shared" si="9"/>
        <v>8B</v>
      </c>
      <c r="F19" s="20" t="str">
        <f t="shared" si="10"/>
        <v>10001011</v>
      </c>
    </row>
    <row r="20" ht="14.25" customHeight="1">
      <c r="C20" s="20">
        <v>4.0</v>
      </c>
      <c r="D20" s="20">
        <f t="shared" si="8"/>
        <v>8</v>
      </c>
      <c r="E20" s="20" t="str">
        <f t="shared" si="9"/>
        <v>08</v>
      </c>
      <c r="F20" s="20" t="str">
        <f t="shared" si="10"/>
        <v>00001000</v>
      </c>
    </row>
    <row r="21" ht="14.25" customHeight="1"/>
    <row r="22" ht="14.25" customHeight="1">
      <c r="A22" s="1" t="str">
        <f>M4&amp;" = "&amp;L5&amp;" ="</f>
        <v>L3 = R2 =</v>
      </c>
      <c r="C22" s="23" t="str">
        <f>B5</f>
        <v>01101000000111000111110110100001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R3 =&gt; E(R3)</v>
      </c>
      <c r="D24" s="1" t="str">
        <f>B26</f>
        <v>011010101010100010101001010001010110100001010001</v>
      </c>
    </row>
    <row r="25" ht="14.25" customHeight="1">
      <c r="A25" s="1" t="s">
        <v>66</v>
      </c>
    </row>
    <row r="26" ht="14.25" customHeight="1">
      <c r="A26" s="1" t="str">
        <f>MID($C$14,Constanst!K3,1)</f>
        <v>0</v>
      </c>
      <c r="B26" s="1" t="str">
        <f t="shared" ref="B26:B71" si="11">A26&amp;B27</f>
        <v>011010101010100010101001010001010110100001010001</v>
      </c>
    </row>
    <row r="27" ht="14.25" customHeight="1">
      <c r="A27" s="1" t="str">
        <f>MID($C$14,Constanst!K4,1)</f>
        <v>1</v>
      </c>
      <c r="B27" s="1" t="str">
        <f t="shared" si="11"/>
        <v>11010101010100010101001010001010110100001010001</v>
      </c>
    </row>
    <row r="28" ht="14.25" customHeight="1">
      <c r="A28" s="1" t="str">
        <f>MID($C$14,Constanst!K5,1)</f>
        <v>1</v>
      </c>
      <c r="B28" s="1" t="str">
        <f t="shared" si="11"/>
        <v>1010101010100010101001010001010110100001010001</v>
      </c>
    </row>
    <row r="29" ht="14.25" customHeight="1">
      <c r="A29" s="1" t="str">
        <f>MID($C$14,Constanst!K6,1)</f>
        <v>0</v>
      </c>
      <c r="B29" s="1" t="str">
        <f t="shared" si="11"/>
        <v>010101010100010101001010001010110100001010001</v>
      </c>
    </row>
    <row r="30" ht="14.25" customHeight="1">
      <c r="A30" s="1" t="str">
        <f>MID($C$14,Constanst!K7,1)</f>
        <v>1</v>
      </c>
      <c r="B30" s="1" t="str">
        <f t="shared" si="11"/>
        <v>10101010100010101001010001010110100001010001</v>
      </c>
    </row>
    <row r="31" ht="14.25" customHeight="1">
      <c r="A31" s="1" t="str">
        <f>MID($C$14,Constanst!K8,1)</f>
        <v>0</v>
      </c>
      <c r="B31" s="1" t="str">
        <f t="shared" si="11"/>
        <v>0101010100010101001010001010110100001010001</v>
      </c>
    </row>
    <row r="32" ht="14.25" customHeight="1">
      <c r="A32" s="1" t="str">
        <f>MID($C$14,Constanst!K9,1)</f>
        <v>1</v>
      </c>
      <c r="B32" s="1" t="str">
        <f t="shared" si="11"/>
        <v>101010100010101001010001010110100001010001</v>
      </c>
    </row>
    <row r="33" ht="14.25" customHeight="1">
      <c r="A33" s="1" t="str">
        <f>MID($C$14,Constanst!K10,1)</f>
        <v>0</v>
      </c>
      <c r="B33" s="1" t="str">
        <f t="shared" si="11"/>
        <v>01010100010101001010001010110100001010001</v>
      </c>
    </row>
    <row r="34" ht="14.25" customHeight="1">
      <c r="A34" s="1" t="str">
        <f>MID($C$14,Constanst!K11,1)</f>
        <v>1</v>
      </c>
      <c r="B34" s="1" t="str">
        <f t="shared" si="11"/>
        <v>1010100010101001010001010110100001010001</v>
      </c>
    </row>
    <row r="35" ht="14.25" customHeight="1">
      <c r="A35" s="1" t="str">
        <f>MID($C$14,Constanst!K12,1)</f>
        <v>0</v>
      </c>
      <c r="B35" s="1" t="str">
        <f t="shared" si="11"/>
        <v>010100010101001010001010110100001010001</v>
      </c>
    </row>
    <row r="36" ht="14.25" customHeight="1">
      <c r="A36" s="1" t="str">
        <f>MID($C$14,Constanst!K13,1)</f>
        <v>1</v>
      </c>
      <c r="B36" s="1" t="str">
        <f t="shared" si="11"/>
        <v>10100010101001010001010110100001010001</v>
      </c>
    </row>
    <row r="37" ht="14.25" customHeight="1">
      <c r="A37" s="1" t="str">
        <f>MID($C$14,Constanst!K14,1)</f>
        <v>0</v>
      </c>
      <c r="B37" s="1" t="str">
        <f t="shared" si="11"/>
        <v>0100010101001010001010110100001010001</v>
      </c>
    </row>
    <row r="38" ht="14.25" customHeight="1">
      <c r="A38" s="1" t="str">
        <f>MID($C$14,Constanst!K15,1)</f>
        <v>1</v>
      </c>
      <c r="B38" s="1" t="str">
        <f t="shared" si="11"/>
        <v>100010101001010001010110100001010001</v>
      </c>
    </row>
    <row r="39" ht="14.25" customHeight="1">
      <c r="A39" s="1" t="str">
        <f>MID($C$14,Constanst!K16,1)</f>
        <v>0</v>
      </c>
      <c r="B39" s="1" t="str">
        <f t="shared" si="11"/>
        <v>00010101001010001010110100001010001</v>
      </c>
    </row>
    <row r="40" ht="14.25" customHeight="1">
      <c r="A40" s="1" t="str">
        <f>MID($C$14,Constanst!K17,1)</f>
        <v>0</v>
      </c>
      <c r="B40" s="1" t="str">
        <f t="shared" si="11"/>
        <v>0010101001010001010110100001010001</v>
      </c>
    </row>
    <row r="41" ht="14.25" customHeight="1">
      <c r="A41" s="1" t="str">
        <f>MID($C$14,Constanst!K18,1)</f>
        <v>0</v>
      </c>
      <c r="B41" s="1" t="str">
        <f t="shared" si="11"/>
        <v>010101001010001010110100001010001</v>
      </c>
    </row>
    <row r="42" ht="14.25" customHeight="1">
      <c r="A42" s="1" t="str">
        <f>MID($C$14,Constanst!K19,1)</f>
        <v>1</v>
      </c>
      <c r="B42" s="1" t="str">
        <f t="shared" si="11"/>
        <v>10101001010001010110100001010001</v>
      </c>
    </row>
    <row r="43" ht="14.25" customHeight="1">
      <c r="A43" s="1" t="str">
        <f>MID($C$14,Constanst!K20,1)</f>
        <v>0</v>
      </c>
      <c r="B43" s="1" t="str">
        <f t="shared" si="11"/>
        <v>0101001010001010110100001010001</v>
      </c>
    </row>
    <row r="44" ht="14.25" customHeight="1">
      <c r="A44" s="1" t="str">
        <f>MID($C$14,Constanst!K21,1)</f>
        <v>1</v>
      </c>
      <c r="B44" s="1" t="str">
        <f t="shared" si="11"/>
        <v>101001010001010110100001010001</v>
      </c>
    </row>
    <row r="45" ht="14.25" customHeight="1">
      <c r="A45" s="1" t="str">
        <f>MID($C$14,Constanst!K22,1)</f>
        <v>0</v>
      </c>
      <c r="B45" s="1" t="str">
        <f t="shared" si="11"/>
        <v>01001010001010110100001010001</v>
      </c>
    </row>
    <row r="46" ht="14.25" customHeight="1">
      <c r="A46" s="1" t="str">
        <f>MID($C$14,Constanst!K23,1)</f>
        <v>1</v>
      </c>
      <c r="B46" s="1" t="str">
        <f t="shared" si="11"/>
        <v>1001010001010110100001010001</v>
      </c>
    </row>
    <row r="47" ht="14.25" customHeight="1">
      <c r="A47" s="1" t="str">
        <f>MID($C$14,Constanst!K24,1)</f>
        <v>0</v>
      </c>
      <c r="B47" s="1" t="str">
        <f t="shared" si="11"/>
        <v>001010001010110100001010001</v>
      </c>
    </row>
    <row r="48" ht="14.25" customHeight="1">
      <c r="A48" s="1" t="str">
        <f>MID($C$14,Constanst!K25,1)</f>
        <v>0</v>
      </c>
      <c r="B48" s="1" t="str">
        <f t="shared" si="11"/>
        <v>01010001010110100001010001</v>
      </c>
    </row>
    <row r="49" ht="14.25" customHeight="1">
      <c r="A49" s="1" t="str">
        <f>MID($C$14,Constanst!K26,1)</f>
        <v>1</v>
      </c>
      <c r="B49" s="1" t="str">
        <f t="shared" si="11"/>
        <v>1010001010110100001010001</v>
      </c>
    </row>
    <row r="50" ht="14.25" customHeight="1">
      <c r="A50" s="1" t="str">
        <f>MID($C$14,Constanst!K27,1)</f>
        <v>0</v>
      </c>
      <c r="B50" s="1" t="str">
        <f t="shared" si="11"/>
        <v>010001010110100001010001</v>
      </c>
    </row>
    <row r="51" ht="14.25" customHeight="1">
      <c r="A51" s="1" t="str">
        <f>MID($C$14,Constanst!K28,1)</f>
        <v>1</v>
      </c>
      <c r="B51" s="1" t="str">
        <f t="shared" si="11"/>
        <v>10001010110100001010001</v>
      </c>
    </row>
    <row r="52" ht="14.25" customHeight="1">
      <c r="A52" s="1" t="str">
        <f>MID($C$14,Constanst!K29,1)</f>
        <v>0</v>
      </c>
      <c r="B52" s="1" t="str">
        <f t="shared" si="11"/>
        <v>0001010110100001010001</v>
      </c>
    </row>
    <row r="53" ht="14.25" customHeight="1">
      <c r="A53" s="1" t="str">
        <f>MID($C$14,Constanst!K30,1)</f>
        <v>0</v>
      </c>
      <c r="B53" s="1" t="str">
        <f t="shared" si="11"/>
        <v>001010110100001010001</v>
      </c>
    </row>
    <row r="54" ht="14.25" customHeight="1">
      <c r="A54" s="1" t="str">
        <f>MID($C$14,Constanst!K31,1)</f>
        <v>0</v>
      </c>
      <c r="B54" s="1" t="str">
        <f t="shared" si="11"/>
        <v>01010110100001010001</v>
      </c>
    </row>
    <row r="55" ht="14.25" customHeight="1">
      <c r="A55" s="1" t="str">
        <f>MID($C$14,Constanst!K32,1)</f>
        <v>1</v>
      </c>
      <c r="B55" s="1" t="str">
        <f t="shared" si="11"/>
        <v>1010110100001010001</v>
      </c>
    </row>
    <row r="56" ht="14.25" customHeight="1">
      <c r="A56" s="1" t="str">
        <f>MID($C$14,Constanst!K33,1)</f>
        <v>0</v>
      </c>
      <c r="B56" s="1" t="str">
        <f t="shared" si="11"/>
        <v>010110100001010001</v>
      </c>
    </row>
    <row r="57" ht="14.25" customHeight="1">
      <c r="A57" s="1" t="str">
        <f>MID($C$14,Constanst!K34,1)</f>
        <v>1</v>
      </c>
      <c r="B57" s="1" t="str">
        <f t="shared" si="11"/>
        <v>10110100001010001</v>
      </c>
    </row>
    <row r="58" ht="14.25" customHeight="1">
      <c r="A58" s="1" t="str">
        <f>MID($C$14,Constanst!K35,1)</f>
        <v>0</v>
      </c>
      <c r="B58" s="1" t="str">
        <f t="shared" si="11"/>
        <v>0110100001010001</v>
      </c>
    </row>
    <row r="59" ht="14.25" customHeight="1">
      <c r="A59" s="1" t="str">
        <f>MID($C$14,Constanst!K36,1)</f>
        <v>1</v>
      </c>
      <c r="B59" s="1" t="str">
        <f t="shared" si="11"/>
        <v>110100001010001</v>
      </c>
    </row>
    <row r="60" ht="14.25" customHeight="1">
      <c r="A60" s="1" t="str">
        <f>MID($C$14,Constanst!K37,1)</f>
        <v>1</v>
      </c>
      <c r="B60" s="1" t="str">
        <f t="shared" si="11"/>
        <v>10100001010001</v>
      </c>
    </row>
    <row r="61" ht="14.25" customHeight="1">
      <c r="A61" s="1" t="str">
        <f>MID($C$14,Constanst!K38,1)</f>
        <v>0</v>
      </c>
      <c r="B61" s="1" t="str">
        <f t="shared" si="11"/>
        <v>0100001010001</v>
      </c>
    </row>
    <row r="62" ht="14.25" customHeight="1">
      <c r="A62" s="1" t="str">
        <f>MID($C$14,Constanst!K39,1)</f>
        <v>1</v>
      </c>
      <c r="B62" s="1" t="str">
        <f t="shared" si="11"/>
        <v>100001010001</v>
      </c>
    </row>
    <row r="63" ht="14.25" customHeight="1">
      <c r="A63" s="1" t="str">
        <f>MID($C$14,Constanst!K40,1)</f>
        <v>0</v>
      </c>
      <c r="B63" s="1" t="str">
        <f t="shared" si="11"/>
        <v>00001010001</v>
      </c>
    </row>
    <row r="64" ht="14.25" customHeight="1">
      <c r="A64" s="1" t="str">
        <f>MID($C$14,Constanst!K41,1)</f>
        <v>0</v>
      </c>
      <c r="B64" s="1" t="str">
        <f t="shared" si="11"/>
        <v>0001010001</v>
      </c>
    </row>
    <row r="65" ht="14.25" customHeight="1">
      <c r="A65" s="1" t="str">
        <f>MID($C$14,Constanst!K42,1)</f>
        <v>0</v>
      </c>
      <c r="B65" s="1" t="str">
        <f t="shared" si="11"/>
        <v>001010001</v>
      </c>
    </row>
    <row r="66" ht="14.25" customHeight="1">
      <c r="A66" s="1" t="str">
        <f>MID($C$14,Constanst!K43,1)</f>
        <v>0</v>
      </c>
      <c r="B66" s="1" t="str">
        <f t="shared" si="11"/>
        <v>01010001</v>
      </c>
    </row>
    <row r="67" ht="14.25" customHeight="1">
      <c r="A67" s="1" t="str">
        <f>MID($C$14,Constanst!K44,1)</f>
        <v>1</v>
      </c>
      <c r="B67" s="1" t="str">
        <f t="shared" si="11"/>
        <v>1010001</v>
      </c>
    </row>
    <row r="68" ht="14.25" customHeight="1">
      <c r="A68" s="1" t="str">
        <f>MID($C$14,Constanst!K45,1)</f>
        <v>0</v>
      </c>
      <c r="B68" s="1" t="str">
        <f t="shared" si="11"/>
        <v>010001</v>
      </c>
    </row>
    <row r="69" ht="14.25" customHeight="1">
      <c r="A69" s="1" t="str">
        <f>MID($C$14,Constanst!K46,1)</f>
        <v>1</v>
      </c>
      <c r="B69" s="1" t="str">
        <f t="shared" si="11"/>
        <v>10001</v>
      </c>
    </row>
    <row r="70" ht="14.25" customHeight="1">
      <c r="A70" s="1" t="str">
        <f>MID($C$14,Constanst!K47,1)</f>
        <v>0</v>
      </c>
      <c r="B70" s="1" t="str">
        <f t="shared" si="11"/>
        <v>0001</v>
      </c>
    </row>
    <row r="71" ht="14.25" customHeight="1">
      <c r="A71" s="1" t="str">
        <f>MID($C$14,Constanst!K48,1)</f>
        <v>0</v>
      </c>
      <c r="B71" s="1" t="str">
        <f t="shared" si="11"/>
        <v>001</v>
      </c>
    </row>
    <row r="72" ht="14.25" customHeight="1">
      <c r="A72" s="1" t="str">
        <f>MID($C$14,Constanst!K49,1)</f>
        <v>0</v>
      </c>
      <c r="B72" s="1" t="str">
        <f>A72&amp;A73</f>
        <v>01</v>
      </c>
    </row>
    <row r="73" ht="14.25" customHeight="1">
      <c r="A73" s="1" t="str">
        <f>MID($C$14,Constanst!K50,1)</f>
        <v>1</v>
      </c>
    </row>
    <row r="74" ht="14.25" customHeight="1"/>
    <row r="75" ht="14.25" customHeight="1">
      <c r="A75" s="1" t="str">
        <f>"Thực hiện phép XOR A = E("&amp;M5&amp;") XOR "&amp;L6</f>
        <v>Thực hiện phép XOR A = E(R3) XOR K4</v>
      </c>
    </row>
    <row r="76" ht="14.25" customHeight="1">
      <c r="A76" s="11" t="str">
        <f>"Khóa " &amp; L6</f>
        <v>Khóa K4</v>
      </c>
      <c r="B76" s="5"/>
      <c r="C76" s="5"/>
      <c r="D76" s="6"/>
      <c r="G76" s="11" t="str">
        <f>"E("&amp;M5&amp;")"</f>
        <v>E(R3)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01110010</v>
      </c>
      <c r="C78" s="20" t="str">
        <f t="shared" ref="C78:C83" si="13">BIN2HEX(B78,2)</f>
        <v>72</v>
      </c>
      <c r="D78" s="20">
        <f t="shared" ref="D78:D83" si="14">BIN2DEC(B78)</f>
        <v>114</v>
      </c>
      <c r="G78" s="20">
        <v>1.0</v>
      </c>
      <c r="H78" s="20" t="str">
        <f t="shared" ref="H78:H83" si="15">MID($D$24,(G78-1)*8+1, 8)</f>
        <v>01101010</v>
      </c>
      <c r="I78" s="20" t="str">
        <f t="shared" ref="I78:I83" si="16">BIN2HEX(H78,2)</f>
        <v>6A</v>
      </c>
      <c r="J78" s="20">
        <f t="shared" ref="J78:J83" si="17">BIN2DEC(H78)</f>
        <v>106</v>
      </c>
    </row>
    <row r="79" ht="14.25" customHeight="1">
      <c r="A79" s="20">
        <v>2.0</v>
      </c>
      <c r="B79" s="20" t="str">
        <f t="shared" si="12"/>
        <v>10101101</v>
      </c>
      <c r="C79" s="20" t="str">
        <f t="shared" si="13"/>
        <v>AD</v>
      </c>
      <c r="D79" s="20">
        <f t="shared" si="14"/>
        <v>173</v>
      </c>
      <c r="G79" s="20">
        <v>2.0</v>
      </c>
      <c r="H79" s="20" t="str">
        <f t="shared" si="15"/>
        <v>10101000</v>
      </c>
      <c r="I79" s="20" t="str">
        <f t="shared" si="16"/>
        <v>A8</v>
      </c>
      <c r="J79" s="20">
        <f t="shared" si="17"/>
        <v>168</v>
      </c>
    </row>
    <row r="80" ht="14.25" customHeight="1">
      <c r="A80" s="20">
        <v>3.0</v>
      </c>
      <c r="B80" s="20" t="str">
        <f t="shared" si="12"/>
        <v>11010010</v>
      </c>
      <c r="C80" s="20" t="str">
        <f t="shared" si="13"/>
        <v>D2</v>
      </c>
      <c r="D80" s="20">
        <f t="shared" si="14"/>
        <v>210</v>
      </c>
      <c r="G80" s="20">
        <v>3.0</v>
      </c>
      <c r="H80" s="20" t="str">
        <f t="shared" si="15"/>
        <v>10101001</v>
      </c>
      <c r="I80" s="20" t="str">
        <f t="shared" si="16"/>
        <v>A9</v>
      </c>
      <c r="J80" s="20">
        <f t="shared" si="17"/>
        <v>169</v>
      </c>
    </row>
    <row r="81" ht="14.25" customHeight="1">
      <c r="A81" s="20">
        <v>4.0</v>
      </c>
      <c r="B81" s="20" t="str">
        <f t="shared" si="12"/>
        <v>10101101</v>
      </c>
      <c r="C81" s="20" t="str">
        <f t="shared" si="13"/>
        <v>AD</v>
      </c>
      <c r="D81" s="20">
        <f t="shared" si="14"/>
        <v>173</v>
      </c>
      <c r="G81" s="20">
        <v>4.0</v>
      </c>
      <c r="H81" s="20" t="str">
        <f t="shared" si="15"/>
        <v>01000101</v>
      </c>
      <c r="I81" s="20" t="str">
        <f t="shared" si="16"/>
        <v>45</v>
      </c>
      <c r="J81" s="20">
        <f t="shared" si="17"/>
        <v>69</v>
      </c>
    </row>
    <row r="82" ht="14.25" customHeight="1">
      <c r="A82" s="20">
        <v>5.0</v>
      </c>
      <c r="B82" s="20" t="str">
        <f t="shared" si="12"/>
        <v>10000110</v>
      </c>
      <c r="C82" s="20" t="str">
        <f t="shared" si="13"/>
        <v>86</v>
      </c>
      <c r="D82" s="20">
        <f t="shared" si="14"/>
        <v>134</v>
      </c>
      <c r="G82" s="20">
        <v>5.0</v>
      </c>
      <c r="H82" s="20" t="str">
        <f t="shared" si="15"/>
        <v>01101000</v>
      </c>
      <c r="I82" s="20" t="str">
        <f t="shared" si="16"/>
        <v>68</v>
      </c>
      <c r="J82" s="20">
        <f t="shared" si="17"/>
        <v>104</v>
      </c>
    </row>
    <row r="83" ht="14.25" customHeight="1">
      <c r="A83" s="20">
        <v>6.0</v>
      </c>
      <c r="B83" s="20" t="str">
        <f t="shared" si="12"/>
        <v>01010111</v>
      </c>
      <c r="C83" s="20" t="str">
        <f t="shared" si="13"/>
        <v>57</v>
      </c>
      <c r="D83" s="20">
        <f t="shared" si="14"/>
        <v>87</v>
      </c>
      <c r="G83" s="20">
        <v>6.0</v>
      </c>
      <c r="H83" s="20" t="str">
        <f t="shared" si="15"/>
        <v>01010001</v>
      </c>
      <c r="I83" s="20" t="str">
        <f t="shared" si="16"/>
        <v>51</v>
      </c>
      <c r="J83" s="20">
        <f t="shared" si="17"/>
        <v>81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XOR(ER3, K4)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24</v>
      </c>
      <c r="C86" s="26" t="str">
        <f t="shared" ref="C86:C91" si="19">DEC2BIN(B86,8)</f>
        <v>00011000</v>
      </c>
      <c r="D86" s="26" t="str">
        <f t="shared" ref="D86:D91" si="20">BIN2HEX(C86,2)</f>
        <v>18</v>
      </c>
    </row>
    <row r="87" ht="14.25" customHeight="1">
      <c r="A87" s="26">
        <v>2.0</v>
      </c>
      <c r="B87" s="26">
        <f t="shared" si="18"/>
        <v>5</v>
      </c>
      <c r="C87" s="26" t="str">
        <f t="shared" si="19"/>
        <v>00000101</v>
      </c>
      <c r="D87" s="26" t="str">
        <f t="shared" si="20"/>
        <v>05</v>
      </c>
    </row>
    <row r="88" ht="14.25" customHeight="1">
      <c r="A88" s="26">
        <v>3.0</v>
      </c>
      <c r="B88" s="26">
        <f t="shared" si="18"/>
        <v>123</v>
      </c>
      <c r="C88" s="26" t="str">
        <f t="shared" si="19"/>
        <v>01111011</v>
      </c>
      <c r="D88" s="26" t="str">
        <f t="shared" si="20"/>
        <v>7B</v>
      </c>
    </row>
    <row r="89" ht="14.25" customHeight="1">
      <c r="A89" s="26">
        <v>4.0</v>
      </c>
      <c r="B89" s="26">
        <f t="shared" si="18"/>
        <v>232</v>
      </c>
      <c r="C89" s="26" t="str">
        <f t="shared" si="19"/>
        <v>11101000</v>
      </c>
      <c r="D89" s="26" t="str">
        <f t="shared" si="20"/>
        <v>E8</v>
      </c>
    </row>
    <row r="90" ht="14.25" customHeight="1">
      <c r="A90" s="26">
        <v>5.0</v>
      </c>
      <c r="B90" s="26">
        <f t="shared" si="18"/>
        <v>238</v>
      </c>
      <c r="C90" s="26" t="str">
        <f t="shared" si="19"/>
        <v>11101110</v>
      </c>
      <c r="D90" s="26" t="str">
        <f t="shared" si="20"/>
        <v>EE</v>
      </c>
    </row>
    <row r="91" ht="14.25" customHeight="1">
      <c r="A91" s="26">
        <v>6.0</v>
      </c>
      <c r="B91" s="26">
        <f t="shared" si="18"/>
        <v>6</v>
      </c>
      <c r="C91" s="26" t="str">
        <f t="shared" si="19"/>
        <v>00000110</v>
      </c>
      <c r="D91" s="26" t="str">
        <f t="shared" si="20"/>
        <v>06</v>
      </c>
    </row>
    <row r="92" ht="14.25" customHeight="1"/>
    <row r="93" ht="14.25" customHeight="1">
      <c r="B93" s="1" t="str">
        <f>"A = E"&amp;M5&amp;" XOR "&amp;L6&amp;" ="</f>
        <v>A = ER3 XOR K4 =</v>
      </c>
      <c r="D93" s="22" t="str">
        <f>C86&amp;C87&amp;C88&amp;C89&amp;C90&amp;C91</f>
        <v>000110000000010101111011111010001110111000000110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000110</v>
      </c>
      <c r="C98" s="3" t="str">
        <f t="shared" ref="C98:C105" si="22">LEFT(B98,1)&amp;(RIGHT(B98,1))</f>
        <v>00</v>
      </c>
      <c r="D98" s="3" t="str">
        <f t="shared" ref="D98:D105" si="23">MID(B98,2,4)</f>
        <v>0011</v>
      </c>
      <c r="E98" s="3" t="str">
        <f t="shared" ref="E98:E105" si="24">C98&amp;D98</f>
        <v>000011</v>
      </c>
      <c r="F98" s="18">
        <f t="shared" ref="F98:F105" si="25">BIN2DEC(E98)</f>
        <v>3</v>
      </c>
      <c r="G98" s="3">
        <f>VLOOKUP(F98,Constanst!$M$3:$U$66,2,TRUE)</f>
        <v>1</v>
      </c>
      <c r="H98" s="3" t="str">
        <f t="shared" ref="H98:H105" si="26">DEC2BIN(G98,4)</f>
        <v>0001</v>
      </c>
      <c r="I98" s="3" t="str">
        <f>H98</f>
        <v>0001</v>
      </c>
    </row>
    <row r="99" ht="14.25" customHeight="1">
      <c r="A99" s="3">
        <v>2.0</v>
      </c>
      <c r="B99" s="3" t="str">
        <f t="shared" si="21"/>
        <v>000000</v>
      </c>
      <c r="C99" s="3" t="str">
        <f t="shared" si="22"/>
        <v>00</v>
      </c>
      <c r="D99" s="3" t="str">
        <f t="shared" si="23"/>
        <v>0000</v>
      </c>
      <c r="E99" s="3" t="str">
        <f t="shared" si="24"/>
        <v>000000</v>
      </c>
      <c r="F99" s="18">
        <f t="shared" si="25"/>
        <v>0</v>
      </c>
      <c r="G99" s="3">
        <f>VLOOKUP(F99,Constanst!$M$3:$U$66,3,TRUE)</f>
        <v>15</v>
      </c>
      <c r="H99" s="3" t="str">
        <f t="shared" si="26"/>
        <v>1111</v>
      </c>
      <c r="I99" s="3" t="str">
        <f t="shared" ref="I99:I105" si="27">I98&amp;H99</f>
        <v>00011111</v>
      </c>
    </row>
    <row r="100" ht="14.25" customHeight="1">
      <c r="A100" s="3">
        <v>3.0</v>
      </c>
      <c r="B100" s="3" t="str">
        <f t="shared" si="21"/>
        <v>010101</v>
      </c>
      <c r="C100" s="3" t="str">
        <f t="shared" si="22"/>
        <v>01</v>
      </c>
      <c r="D100" s="3" t="str">
        <f t="shared" si="23"/>
        <v>1010</v>
      </c>
      <c r="E100" s="3" t="str">
        <f t="shared" si="24"/>
        <v>011010</v>
      </c>
      <c r="F100" s="18">
        <f t="shared" si="25"/>
        <v>26</v>
      </c>
      <c r="G100" s="3">
        <f>VLOOKUP(F100,Constanst!$M$3:$U$66,4,TRUE)</f>
        <v>5</v>
      </c>
      <c r="H100" s="3" t="str">
        <f t="shared" si="26"/>
        <v>0101</v>
      </c>
      <c r="I100" s="3" t="str">
        <f t="shared" si="27"/>
        <v>000111110101</v>
      </c>
    </row>
    <row r="101" ht="14.25" customHeight="1">
      <c r="A101" s="3">
        <v>4.0</v>
      </c>
      <c r="B101" s="3" t="str">
        <f t="shared" si="21"/>
        <v>111011</v>
      </c>
      <c r="C101" s="3" t="str">
        <f t="shared" si="22"/>
        <v>11</v>
      </c>
      <c r="D101" s="3" t="str">
        <f t="shared" si="23"/>
        <v>1101</v>
      </c>
      <c r="E101" s="3" t="str">
        <f t="shared" si="24"/>
        <v>111101</v>
      </c>
      <c r="F101" s="18">
        <f t="shared" si="25"/>
        <v>61</v>
      </c>
      <c r="G101" s="3">
        <f>VLOOKUP(F101,Constanst!$M$3:$U$66,5,TRUE)</f>
        <v>7</v>
      </c>
      <c r="H101" s="3" t="str">
        <f t="shared" si="26"/>
        <v>0111</v>
      </c>
      <c r="I101" s="3" t="str">
        <f t="shared" si="27"/>
        <v>0001111101010111</v>
      </c>
    </row>
    <row r="102" ht="14.25" customHeight="1">
      <c r="A102" s="3">
        <v>5.0</v>
      </c>
      <c r="B102" s="3" t="str">
        <f t="shared" si="21"/>
        <v>111010</v>
      </c>
      <c r="C102" s="3" t="str">
        <f t="shared" si="22"/>
        <v>10</v>
      </c>
      <c r="D102" s="3" t="str">
        <f t="shared" si="23"/>
        <v>1101</v>
      </c>
      <c r="E102" s="3" t="str">
        <f t="shared" si="24"/>
        <v>101101</v>
      </c>
      <c r="F102" s="18">
        <f t="shared" si="25"/>
        <v>45</v>
      </c>
      <c r="G102" s="3">
        <f>VLOOKUP(F102,Constanst!$M$3:$U$66,6,TRUE)</f>
        <v>3</v>
      </c>
      <c r="H102" s="3" t="str">
        <f t="shared" si="26"/>
        <v>0011</v>
      </c>
      <c r="I102" s="3" t="str">
        <f t="shared" si="27"/>
        <v>00011111010101110011</v>
      </c>
    </row>
    <row r="103" ht="14.25" customHeight="1">
      <c r="A103" s="3">
        <v>6.0</v>
      </c>
      <c r="B103" s="3" t="str">
        <f t="shared" si="21"/>
        <v>001110</v>
      </c>
      <c r="C103" s="3" t="str">
        <f t="shared" si="22"/>
        <v>00</v>
      </c>
      <c r="D103" s="3" t="str">
        <f t="shared" si="23"/>
        <v>0111</v>
      </c>
      <c r="E103" s="3" t="str">
        <f t="shared" si="24"/>
        <v>000111</v>
      </c>
      <c r="F103" s="18">
        <f t="shared" si="25"/>
        <v>7</v>
      </c>
      <c r="G103" s="3">
        <f>VLOOKUP(F103,Constanst!$M$3:$U$66,7,TRUE)</f>
        <v>8</v>
      </c>
      <c r="H103" s="3" t="str">
        <f t="shared" si="26"/>
        <v>1000</v>
      </c>
      <c r="I103" s="3" t="str">
        <f t="shared" si="27"/>
        <v>000111110101011100111000</v>
      </c>
    </row>
    <row r="104" ht="14.25" customHeight="1">
      <c r="A104" s="3">
        <v>7.0</v>
      </c>
      <c r="B104" s="3" t="str">
        <f t="shared" si="21"/>
        <v>111000</v>
      </c>
      <c r="C104" s="3" t="str">
        <f t="shared" si="22"/>
        <v>10</v>
      </c>
      <c r="D104" s="3" t="str">
        <f t="shared" si="23"/>
        <v>1100</v>
      </c>
      <c r="E104" s="3" t="str">
        <f t="shared" si="24"/>
        <v>101100</v>
      </c>
      <c r="F104" s="18">
        <f t="shared" si="25"/>
        <v>44</v>
      </c>
      <c r="G104" s="3">
        <f>VLOOKUP(F104,Constanst!$M$3:$U$66,8,TRUE)</f>
        <v>0</v>
      </c>
      <c r="H104" s="3" t="str">
        <f t="shared" si="26"/>
        <v>0000</v>
      </c>
      <c r="I104" s="3" t="str">
        <f t="shared" si="27"/>
        <v>0001111101010111001110000000</v>
      </c>
    </row>
    <row r="105" ht="14.25" customHeight="1">
      <c r="A105" s="3">
        <v>8.0</v>
      </c>
      <c r="B105" s="3" t="str">
        <f t="shared" si="21"/>
        <v>000110</v>
      </c>
      <c r="C105" s="3" t="str">
        <f t="shared" si="22"/>
        <v>00</v>
      </c>
      <c r="D105" s="3" t="str">
        <f t="shared" si="23"/>
        <v>0011</v>
      </c>
      <c r="E105" s="3" t="str">
        <f t="shared" si="24"/>
        <v>000011</v>
      </c>
      <c r="F105" s="18">
        <f t="shared" si="25"/>
        <v>3</v>
      </c>
      <c r="G105" s="3">
        <f>VLOOKUP(F105,Constanst!$M$3:$U$66,9,TRUE)</f>
        <v>4</v>
      </c>
      <c r="H105" s="3" t="str">
        <f t="shared" si="26"/>
        <v>0100</v>
      </c>
      <c r="I105" s="3" t="str">
        <f t="shared" si="27"/>
        <v>00011111010101110011100000000100</v>
      </c>
    </row>
    <row r="106" ht="14.25" customHeight="1"/>
    <row r="107" ht="14.25" customHeight="1">
      <c r="B107" s="1" t="s">
        <v>90</v>
      </c>
      <c r="C107" s="1" t="str">
        <f>I105</f>
        <v>00011111010101110011100000000100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1</v>
      </c>
    </row>
    <row r="113" ht="14.25" hidden="1" customHeight="1">
      <c r="A113" s="1" t="str">
        <f>MID($C$107,Constanst!X4,1)</f>
        <v>1</v>
      </c>
      <c r="B113" s="1" t="str">
        <f>A112&amp;A113</f>
        <v>11</v>
      </c>
    </row>
    <row r="114" ht="14.25" hidden="1" customHeight="1">
      <c r="A114" s="1" t="str">
        <f>MID($C$107,Constanst!X5,1)</f>
        <v>1</v>
      </c>
      <c r="B114" s="1" t="str">
        <f t="shared" ref="B114:B143" si="28">B113&amp;A114</f>
        <v>111</v>
      </c>
    </row>
    <row r="115" ht="14.25" hidden="1" customHeight="1">
      <c r="A115" s="1" t="str">
        <f>MID($C$107,Constanst!X6,1)</f>
        <v>1</v>
      </c>
      <c r="B115" s="1" t="str">
        <f t="shared" si="28"/>
        <v>1111</v>
      </c>
    </row>
    <row r="116" ht="14.25" hidden="1" customHeight="1">
      <c r="A116" s="1" t="str">
        <f>MID($C$107,Constanst!X7,1)</f>
        <v>0</v>
      </c>
      <c r="B116" s="1" t="str">
        <f t="shared" si="28"/>
        <v>11110</v>
      </c>
    </row>
    <row r="117" ht="14.25" hidden="1" customHeight="1">
      <c r="A117" s="1" t="str">
        <f>MID($C$107,Constanst!X8,1)</f>
        <v>1</v>
      </c>
      <c r="B117" s="1" t="str">
        <f t="shared" si="28"/>
        <v>111101</v>
      </c>
    </row>
    <row r="118" ht="14.25" hidden="1" customHeight="1">
      <c r="A118" s="1" t="str">
        <f>MID($C$107,Constanst!X9,1)</f>
        <v>0</v>
      </c>
      <c r="B118" s="1" t="str">
        <f t="shared" si="28"/>
        <v>1111010</v>
      </c>
    </row>
    <row r="119" ht="14.25" hidden="1" customHeight="1">
      <c r="A119" s="1" t="str">
        <f>MID($C$107,Constanst!X10,1)</f>
        <v>0</v>
      </c>
      <c r="B119" s="1" t="str">
        <f t="shared" si="28"/>
        <v>11110100</v>
      </c>
    </row>
    <row r="120" ht="14.25" hidden="1" customHeight="1">
      <c r="A120" s="1" t="str">
        <f>MID($C$107,Constanst!X11,1)</f>
        <v>0</v>
      </c>
      <c r="B120" s="1" t="str">
        <f t="shared" si="28"/>
        <v>111101000</v>
      </c>
    </row>
    <row r="121" ht="14.25" hidden="1" customHeight="1">
      <c r="A121" s="1" t="str">
        <f>MID($C$107,Constanst!X12,1)</f>
        <v>1</v>
      </c>
      <c r="B121" s="1" t="str">
        <f t="shared" si="28"/>
        <v>1111010001</v>
      </c>
    </row>
    <row r="122" ht="14.25" hidden="1" customHeight="1">
      <c r="A122" s="1" t="str">
        <f>MID($C$107,Constanst!X13,1)</f>
        <v>0</v>
      </c>
      <c r="B122" s="1" t="str">
        <f t="shared" si="28"/>
        <v>11110100010</v>
      </c>
    </row>
    <row r="123" ht="14.25" hidden="1" customHeight="1">
      <c r="A123" s="1" t="str">
        <f>MID($C$107,Constanst!X14,1)</f>
        <v>0</v>
      </c>
      <c r="B123" s="1" t="str">
        <f t="shared" si="28"/>
        <v>111101000100</v>
      </c>
    </row>
    <row r="124" ht="14.25" hidden="1" customHeight="1">
      <c r="A124" s="1" t="str">
        <f>MID($C$107,Constanst!X15,1)</f>
        <v>1</v>
      </c>
      <c r="B124" s="1" t="str">
        <f t="shared" si="28"/>
        <v>1111010001001</v>
      </c>
    </row>
    <row r="125" ht="14.25" hidden="1" customHeight="1">
      <c r="A125" s="1" t="str">
        <f>MID($C$107,Constanst!X16,1)</f>
        <v>0</v>
      </c>
      <c r="B125" s="1" t="str">
        <f t="shared" si="28"/>
        <v>11110100010010</v>
      </c>
    </row>
    <row r="126" ht="14.25" hidden="1" customHeight="1">
      <c r="A126" s="1" t="str">
        <f>MID($C$107,Constanst!X17,1)</f>
        <v>0</v>
      </c>
      <c r="B126" s="1" t="str">
        <f t="shared" si="28"/>
        <v>111101000100100</v>
      </c>
    </row>
    <row r="127" ht="14.25" hidden="1" customHeight="1">
      <c r="A127" s="1" t="str">
        <f>MID($C$107,Constanst!X18,1)</f>
        <v>1</v>
      </c>
      <c r="B127" s="1" t="str">
        <f t="shared" si="28"/>
        <v>1111010001001001</v>
      </c>
    </row>
    <row r="128" ht="14.25" hidden="1" customHeight="1">
      <c r="A128" s="1" t="str">
        <f>MID($C$107,Constanst!X19,1)</f>
        <v>0</v>
      </c>
      <c r="B128" s="1" t="str">
        <f t="shared" si="28"/>
        <v>11110100010010010</v>
      </c>
    </row>
    <row r="129" ht="14.25" hidden="1" customHeight="1">
      <c r="A129" s="1" t="str">
        <f>MID($C$107,Constanst!X20,1)</f>
        <v>1</v>
      </c>
      <c r="B129" s="1" t="str">
        <f t="shared" si="28"/>
        <v>111101000100100101</v>
      </c>
    </row>
    <row r="130" ht="14.25" hidden="1" customHeight="1">
      <c r="A130" s="1" t="str">
        <f>MID($C$107,Constanst!X21,1)</f>
        <v>0</v>
      </c>
      <c r="B130" s="1" t="str">
        <f t="shared" si="28"/>
        <v>1111010001001001010</v>
      </c>
    </row>
    <row r="131" ht="14.25" hidden="1" customHeight="1">
      <c r="A131" s="1" t="str">
        <f>MID($C$107,Constanst!X22,1)</f>
        <v>1</v>
      </c>
      <c r="B131" s="1" t="str">
        <f t="shared" si="28"/>
        <v>11110100010010010101</v>
      </c>
    </row>
    <row r="132" ht="14.25" hidden="1" customHeight="1">
      <c r="A132" s="1" t="str">
        <f>MID($C$107,Constanst!X23,1)</f>
        <v>0</v>
      </c>
      <c r="B132" s="1" t="str">
        <f t="shared" si="28"/>
        <v>111101000100100101010</v>
      </c>
    </row>
    <row r="133" ht="14.25" hidden="1" customHeight="1">
      <c r="A133" s="1" t="str">
        <f>MID($C$107,Constanst!X24,1)</f>
        <v>0</v>
      </c>
      <c r="B133" s="1" t="str">
        <f t="shared" si="28"/>
        <v>1111010001001001010100</v>
      </c>
    </row>
    <row r="134" ht="14.25" hidden="1" customHeight="1">
      <c r="A134" s="1" t="str">
        <f>MID($C$107,Constanst!X25,1)</f>
        <v>0</v>
      </c>
      <c r="B134" s="1" t="str">
        <f t="shared" si="28"/>
        <v>11110100010010010101000</v>
      </c>
    </row>
    <row r="135" ht="14.25" hidden="1" customHeight="1">
      <c r="A135" s="1" t="str">
        <f>MID($C$107,Constanst!X26,1)</f>
        <v>0</v>
      </c>
      <c r="B135" s="1" t="str">
        <f t="shared" si="28"/>
        <v>111101000100100101010000</v>
      </c>
    </row>
    <row r="136" ht="14.25" hidden="1" customHeight="1">
      <c r="A136" s="1" t="str">
        <f>MID($C$107,Constanst!X27,1)</f>
        <v>1</v>
      </c>
      <c r="B136" s="1" t="str">
        <f t="shared" si="28"/>
        <v>1111010001001001010100001</v>
      </c>
    </row>
    <row r="137" ht="14.25" hidden="1" customHeight="1">
      <c r="A137" s="1" t="str">
        <f>MID($C$107,Constanst!X28,1)</f>
        <v>0</v>
      </c>
      <c r="B137" s="1" t="str">
        <f t="shared" si="28"/>
        <v>11110100010010010101000010</v>
      </c>
    </row>
    <row r="138" ht="14.25" hidden="1" customHeight="1">
      <c r="A138" s="1" t="str">
        <f>MID($C$107,Constanst!X29,1)</f>
        <v>1</v>
      </c>
      <c r="B138" s="1" t="str">
        <f t="shared" si="28"/>
        <v>111101000100100101010000101</v>
      </c>
    </row>
    <row r="139" ht="14.25" hidden="1" customHeight="1">
      <c r="A139" s="1" t="str">
        <f>MID($C$107,Constanst!X30,1)</f>
        <v>1</v>
      </c>
      <c r="B139" s="1" t="str">
        <f t="shared" si="28"/>
        <v>1111010001001001010100001011</v>
      </c>
    </row>
    <row r="140" ht="14.25" hidden="1" customHeight="1">
      <c r="A140" s="1" t="str">
        <f>MID($C$107,Constanst!X31,1)</f>
        <v>0</v>
      </c>
      <c r="B140" s="1" t="str">
        <f t="shared" si="28"/>
        <v>11110100010010010101000010110</v>
      </c>
    </row>
    <row r="141" ht="14.25" hidden="1" customHeight="1">
      <c r="A141" s="1" t="str">
        <f>MID($C$107,Constanst!X32,1)</f>
        <v>0</v>
      </c>
      <c r="B141" s="1" t="str">
        <f t="shared" si="28"/>
        <v>111101000100100101010000101100</v>
      </c>
    </row>
    <row r="142" ht="14.25" hidden="1" customHeight="1">
      <c r="A142" s="1" t="str">
        <f>MID($C$107,Constanst!X33,1)</f>
        <v>1</v>
      </c>
      <c r="B142" s="1" t="str">
        <f t="shared" si="28"/>
        <v>1111010001001001010100001011001</v>
      </c>
    </row>
    <row r="143" ht="14.25" customHeight="1">
      <c r="A143" s="1" t="str">
        <f>MID($C$107,Constanst!X34,1)</f>
        <v>0</v>
      </c>
      <c r="B143" s="22" t="str">
        <f t="shared" si="28"/>
        <v>11110100010010010101000010110010</v>
      </c>
    </row>
    <row r="144" ht="14.25" customHeight="1"/>
    <row r="145" ht="14.25" customHeight="1">
      <c r="A145" s="1" t="s">
        <v>92</v>
      </c>
      <c r="B145" s="1" t="str">
        <f>B143</f>
        <v>11110100010010010101000010110010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11110100</v>
      </c>
      <c r="C148" s="20" t="str">
        <f t="shared" ref="C148:C151" si="30">BIN2HEX(B148,2)</f>
        <v>F4</v>
      </c>
      <c r="D148" s="20">
        <f t="shared" ref="D148:D151" si="31">HEX2DEC(C148)</f>
        <v>244</v>
      </c>
    </row>
    <row r="149" ht="14.25" customHeight="1">
      <c r="A149" s="20">
        <v>2.0</v>
      </c>
      <c r="B149" s="20" t="str">
        <f t="shared" si="29"/>
        <v>01001001</v>
      </c>
      <c r="C149" s="20" t="str">
        <f t="shared" si="30"/>
        <v>49</v>
      </c>
      <c r="D149" s="20">
        <f t="shared" si="31"/>
        <v>73</v>
      </c>
    </row>
    <row r="150" ht="14.25" customHeight="1">
      <c r="A150" s="20">
        <v>3.0</v>
      </c>
      <c r="B150" s="20" t="str">
        <f t="shared" si="29"/>
        <v>01010000</v>
      </c>
      <c r="C150" s="20" t="str">
        <f t="shared" si="30"/>
        <v>50</v>
      </c>
      <c r="D150" s="20">
        <f t="shared" si="31"/>
        <v>80</v>
      </c>
    </row>
    <row r="151" ht="14.25" customHeight="1">
      <c r="A151" s="20">
        <v>4.0</v>
      </c>
      <c r="B151" s="20" t="str">
        <f t="shared" si="29"/>
        <v>10110010</v>
      </c>
      <c r="C151" s="20" t="str">
        <f t="shared" si="30"/>
        <v>B2</v>
      </c>
      <c r="D151" s="20">
        <f t="shared" si="31"/>
        <v>178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K5</v>
      </c>
      <c r="D2" s="1" t="str">
        <f>Input!I5</f>
        <v>011111001110110000000111000111111110011011000010</v>
      </c>
    </row>
    <row r="3" ht="14.25" customHeight="1">
      <c r="A3" s="1" t="s">
        <v>92</v>
      </c>
      <c r="B3" s="1" t="str">
        <f t="array" ref="B3">INDIRECT("'f(" &amp; L5 &amp; "," &amp; L7 &amp; ")'!B145")</f>
        <v>11110100010010010101000010110010</v>
      </c>
    </row>
    <row r="4" ht="14.25" customHeight="1">
      <c r="A4" s="1" t="str">
        <f t="shared" ref="A4:A5" si="1">L4</f>
        <v>L3</v>
      </c>
      <c r="B4" s="1" t="str">
        <f t="array" ref="B4">INDIRECT("'f(" &amp; L5 &amp; "," &amp; L7 &amp; ")'!C22")</f>
        <v>01101000000111000111110110100001</v>
      </c>
      <c r="L4" s="1" t="s">
        <v>104</v>
      </c>
      <c r="M4" s="1" t="s">
        <v>106</v>
      </c>
    </row>
    <row r="5" ht="14.25" customHeight="1">
      <c r="A5" s="1" t="str">
        <f t="shared" si="1"/>
        <v>R3</v>
      </c>
      <c r="B5" s="1" t="str">
        <f t="array" ref="B5">INDIRECT("'f(" &amp; L5 &amp; "," &amp; L7 &amp; ")'!C14")</f>
        <v>11010101000101001000101100001000</v>
      </c>
      <c r="L5" s="1" t="s">
        <v>105</v>
      </c>
      <c r="M5" s="1" t="s">
        <v>107</v>
      </c>
    </row>
    <row r="6" ht="14.25" customHeight="1">
      <c r="L6" s="1" t="s">
        <v>10</v>
      </c>
    </row>
    <row r="7" ht="14.25" customHeight="1">
      <c r="A7" s="11" t="s">
        <v>98</v>
      </c>
      <c r="B7" s="5"/>
      <c r="C7" s="5"/>
      <c r="D7" s="6"/>
      <c r="G7" s="11" t="str">
        <f>L4</f>
        <v>L3</v>
      </c>
      <c r="H7" s="5"/>
      <c r="I7" s="5"/>
      <c r="J7" s="6"/>
      <c r="L7" s="1" t="s">
        <v>9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11110100</v>
      </c>
      <c r="C9" s="20" t="str">
        <f t="shared" ref="C9:C12" si="3">BIN2HEX(B9,2)</f>
        <v>F4</v>
      </c>
      <c r="D9" s="20">
        <f t="shared" ref="D9:D12" si="4">HEX2DEC(C9)</f>
        <v>244</v>
      </c>
      <c r="G9" s="20">
        <v>1.0</v>
      </c>
      <c r="H9" s="20" t="str">
        <f t="shared" ref="H9:H12" si="5">MID($B$4,(G9-1)*8+1, 8)</f>
        <v>01101000</v>
      </c>
      <c r="I9" s="20" t="str">
        <f t="shared" ref="I9:I12" si="6">BIN2HEX(H9,2)</f>
        <v>68</v>
      </c>
      <c r="J9" s="20">
        <f t="shared" ref="J9:J12" si="7">HEX2DEC(I9)</f>
        <v>104</v>
      </c>
    </row>
    <row r="10" ht="14.25" customHeight="1">
      <c r="A10" s="20">
        <v>2.0</v>
      </c>
      <c r="B10" s="20" t="str">
        <f t="shared" si="2"/>
        <v>01001001</v>
      </c>
      <c r="C10" s="20" t="str">
        <f t="shared" si="3"/>
        <v>49</v>
      </c>
      <c r="D10" s="20">
        <f t="shared" si="4"/>
        <v>73</v>
      </c>
      <c r="G10" s="20">
        <v>2.0</v>
      </c>
      <c r="H10" s="20" t="str">
        <f t="shared" si="5"/>
        <v>00011100</v>
      </c>
      <c r="I10" s="20" t="str">
        <f t="shared" si="6"/>
        <v>1C</v>
      </c>
      <c r="J10" s="20">
        <f t="shared" si="7"/>
        <v>28</v>
      </c>
    </row>
    <row r="11" ht="14.25" customHeight="1">
      <c r="A11" s="20">
        <v>3.0</v>
      </c>
      <c r="B11" s="20" t="str">
        <f t="shared" si="2"/>
        <v>01010000</v>
      </c>
      <c r="C11" s="20" t="str">
        <f t="shared" si="3"/>
        <v>50</v>
      </c>
      <c r="D11" s="20">
        <f t="shared" si="4"/>
        <v>80</v>
      </c>
      <c r="G11" s="20">
        <v>3.0</v>
      </c>
      <c r="H11" s="20" t="str">
        <f t="shared" si="5"/>
        <v>01111101</v>
      </c>
      <c r="I11" s="20" t="str">
        <f t="shared" si="6"/>
        <v>7D</v>
      </c>
      <c r="J11" s="20">
        <f t="shared" si="7"/>
        <v>125</v>
      </c>
    </row>
    <row r="12" ht="14.25" customHeight="1">
      <c r="A12" s="20">
        <v>4.0</v>
      </c>
      <c r="B12" s="20" t="str">
        <f t="shared" si="2"/>
        <v>10110010</v>
      </c>
      <c r="C12" s="20" t="str">
        <f t="shared" si="3"/>
        <v>B2</v>
      </c>
      <c r="D12" s="20">
        <f t="shared" si="4"/>
        <v>178</v>
      </c>
      <c r="G12" s="20">
        <v>4.0</v>
      </c>
      <c r="H12" s="20" t="str">
        <f t="shared" si="5"/>
        <v>10100001</v>
      </c>
      <c r="I12" s="20" t="str">
        <f t="shared" si="6"/>
        <v>A1</v>
      </c>
      <c r="J12" s="20">
        <f t="shared" si="7"/>
        <v>161</v>
      </c>
    </row>
    <row r="13" ht="14.25" customHeight="1"/>
    <row r="14" ht="14.25" customHeight="1">
      <c r="A14" s="1" t="str">
        <f>M5&amp;" = F XOR "&amp;L4&amp;" ="</f>
        <v>R4 = F XOR L3 =</v>
      </c>
      <c r="C14" s="23" t="str">
        <f>F17&amp;F18&amp;F19&amp;F20</f>
        <v>10011100010101010010110100010011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156</v>
      </c>
      <c r="E17" s="20" t="str">
        <f t="shared" ref="E17:E20" si="9">DEC2HEX(D17,2)</f>
        <v>9C</v>
      </c>
      <c r="F17" s="20" t="str">
        <f t="shared" ref="F17:F20" si="10">HEX2BIN(E17,8)</f>
        <v>10011100</v>
      </c>
    </row>
    <row r="18" ht="14.25" customHeight="1">
      <c r="C18" s="20">
        <v>2.0</v>
      </c>
      <c r="D18" s="20">
        <f t="shared" si="8"/>
        <v>85</v>
      </c>
      <c r="E18" s="20" t="str">
        <f t="shared" si="9"/>
        <v>55</v>
      </c>
      <c r="F18" s="20" t="str">
        <f t="shared" si="10"/>
        <v>01010101</v>
      </c>
    </row>
    <row r="19" ht="14.25" customHeight="1">
      <c r="C19" s="20">
        <v>3.0</v>
      </c>
      <c r="D19" s="20">
        <f t="shared" si="8"/>
        <v>45</v>
      </c>
      <c r="E19" s="20" t="str">
        <f t="shared" si="9"/>
        <v>2D</v>
      </c>
      <c r="F19" s="20" t="str">
        <f t="shared" si="10"/>
        <v>00101101</v>
      </c>
    </row>
    <row r="20" ht="14.25" customHeight="1">
      <c r="C20" s="20">
        <v>4.0</v>
      </c>
      <c r="D20" s="20">
        <f t="shared" si="8"/>
        <v>19</v>
      </c>
      <c r="E20" s="20" t="str">
        <f t="shared" si="9"/>
        <v>13</v>
      </c>
      <c r="F20" s="20" t="str">
        <f t="shared" si="10"/>
        <v>00010011</v>
      </c>
    </row>
    <row r="21" ht="14.25" customHeight="1"/>
    <row r="22" ht="14.25" customHeight="1">
      <c r="A22" s="1" t="str">
        <f>M4&amp;" = "&amp;L5&amp;" ="</f>
        <v>L4 = R3 =</v>
      </c>
      <c r="C22" s="23" t="str">
        <f>B5</f>
        <v>11010101000101001000101100001000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R4 =&gt; E(R4)</v>
      </c>
      <c r="D24" s="1" t="str">
        <f>B26</f>
        <v>110011111000001010101010100101011010100010100111</v>
      </c>
    </row>
    <row r="25" ht="14.25" customHeight="1">
      <c r="A25" s="1" t="s">
        <v>66</v>
      </c>
    </row>
    <row r="26" ht="14.25" customHeight="1">
      <c r="A26" s="1" t="str">
        <f>MID($C$14,Constanst!K3,1)</f>
        <v>1</v>
      </c>
      <c r="B26" s="1" t="str">
        <f t="shared" ref="B26:B71" si="11">A26&amp;B27</f>
        <v>110011111000001010101010100101011010100010100111</v>
      </c>
    </row>
    <row r="27" ht="14.25" customHeight="1">
      <c r="A27" s="1" t="str">
        <f>MID($C$14,Constanst!K4,1)</f>
        <v>1</v>
      </c>
      <c r="B27" s="1" t="str">
        <f t="shared" si="11"/>
        <v>10011111000001010101010100101011010100010100111</v>
      </c>
    </row>
    <row r="28" ht="14.25" customHeight="1">
      <c r="A28" s="1" t="str">
        <f>MID($C$14,Constanst!K5,1)</f>
        <v>0</v>
      </c>
      <c r="B28" s="1" t="str">
        <f t="shared" si="11"/>
        <v>0011111000001010101010100101011010100010100111</v>
      </c>
    </row>
    <row r="29" ht="14.25" customHeight="1">
      <c r="A29" s="1" t="str">
        <f>MID($C$14,Constanst!K6,1)</f>
        <v>0</v>
      </c>
      <c r="B29" s="1" t="str">
        <f t="shared" si="11"/>
        <v>011111000001010101010100101011010100010100111</v>
      </c>
    </row>
    <row r="30" ht="14.25" customHeight="1">
      <c r="A30" s="1" t="str">
        <f>MID($C$14,Constanst!K7,1)</f>
        <v>1</v>
      </c>
      <c r="B30" s="1" t="str">
        <f t="shared" si="11"/>
        <v>11111000001010101010100101011010100010100111</v>
      </c>
    </row>
    <row r="31" ht="14.25" customHeight="1">
      <c r="A31" s="1" t="str">
        <f>MID($C$14,Constanst!K8,1)</f>
        <v>1</v>
      </c>
      <c r="B31" s="1" t="str">
        <f t="shared" si="11"/>
        <v>1111000001010101010100101011010100010100111</v>
      </c>
    </row>
    <row r="32" ht="14.25" customHeight="1">
      <c r="A32" s="1" t="str">
        <f>MID($C$14,Constanst!K9,1)</f>
        <v>1</v>
      </c>
      <c r="B32" s="1" t="str">
        <f t="shared" si="11"/>
        <v>111000001010101010100101011010100010100111</v>
      </c>
    </row>
    <row r="33" ht="14.25" customHeight="1">
      <c r="A33" s="1" t="str">
        <f>MID($C$14,Constanst!K10,1)</f>
        <v>1</v>
      </c>
      <c r="B33" s="1" t="str">
        <f t="shared" si="11"/>
        <v>11000001010101010100101011010100010100111</v>
      </c>
    </row>
    <row r="34" ht="14.25" customHeight="1">
      <c r="A34" s="1" t="str">
        <f>MID($C$14,Constanst!K11,1)</f>
        <v>1</v>
      </c>
      <c r="B34" s="1" t="str">
        <f t="shared" si="11"/>
        <v>1000001010101010100101011010100010100111</v>
      </c>
    </row>
    <row r="35" ht="14.25" customHeight="1">
      <c r="A35" s="1" t="str">
        <f>MID($C$14,Constanst!K12,1)</f>
        <v>0</v>
      </c>
      <c r="B35" s="1" t="str">
        <f t="shared" si="11"/>
        <v>000001010101010100101011010100010100111</v>
      </c>
    </row>
    <row r="36" ht="14.25" customHeight="1">
      <c r="A36" s="1" t="str">
        <f>MID($C$14,Constanst!K13,1)</f>
        <v>0</v>
      </c>
      <c r="B36" s="1" t="str">
        <f t="shared" si="11"/>
        <v>00001010101010100101011010100010100111</v>
      </c>
    </row>
    <row r="37" ht="14.25" customHeight="1">
      <c r="A37" s="1" t="str">
        <f>MID($C$14,Constanst!K14,1)</f>
        <v>0</v>
      </c>
      <c r="B37" s="1" t="str">
        <f t="shared" si="11"/>
        <v>0001010101010100101011010100010100111</v>
      </c>
    </row>
    <row r="38" ht="14.25" customHeight="1">
      <c r="A38" s="1" t="str">
        <f>MID($C$14,Constanst!K15,1)</f>
        <v>0</v>
      </c>
      <c r="B38" s="1" t="str">
        <f t="shared" si="11"/>
        <v>001010101010100101011010100010100111</v>
      </c>
    </row>
    <row r="39" ht="14.25" customHeight="1">
      <c r="A39" s="1" t="str">
        <f>MID($C$14,Constanst!K16,1)</f>
        <v>0</v>
      </c>
      <c r="B39" s="1" t="str">
        <f t="shared" si="11"/>
        <v>01010101010100101011010100010100111</v>
      </c>
    </row>
    <row r="40" ht="14.25" customHeight="1">
      <c r="A40" s="1" t="str">
        <f>MID($C$14,Constanst!K17,1)</f>
        <v>1</v>
      </c>
      <c r="B40" s="1" t="str">
        <f t="shared" si="11"/>
        <v>1010101010100101011010100010100111</v>
      </c>
    </row>
    <row r="41" ht="14.25" customHeight="1">
      <c r="A41" s="1" t="str">
        <f>MID($C$14,Constanst!K18,1)</f>
        <v>0</v>
      </c>
      <c r="B41" s="1" t="str">
        <f t="shared" si="11"/>
        <v>010101010100101011010100010100111</v>
      </c>
    </row>
    <row r="42" ht="14.25" customHeight="1">
      <c r="A42" s="1" t="str">
        <f>MID($C$14,Constanst!K19,1)</f>
        <v>1</v>
      </c>
      <c r="B42" s="1" t="str">
        <f t="shared" si="11"/>
        <v>10101010100101011010100010100111</v>
      </c>
    </row>
    <row r="43" ht="14.25" customHeight="1">
      <c r="A43" s="1" t="str">
        <f>MID($C$14,Constanst!K20,1)</f>
        <v>0</v>
      </c>
      <c r="B43" s="1" t="str">
        <f t="shared" si="11"/>
        <v>0101010100101011010100010100111</v>
      </c>
    </row>
    <row r="44" ht="14.25" customHeight="1">
      <c r="A44" s="1" t="str">
        <f>MID($C$14,Constanst!K21,1)</f>
        <v>1</v>
      </c>
      <c r="B44" s="1" t="str">
        <f t="shared" si="11"/>
        <v>101010100101011010100010100111</v>
      </c>
    </row>
    <row r="45" ht="14.25" customHeight="1">
      <c r="A45" s="1" t="str">
        <f>MID($C$14,Constanst!K22,1)</f>
        <v>0</v>
      </c>
      <c r="B45" s="1" t="str">
        <f t="shared" si="11"/>
        <v>01010100101011010100010100111</v>
      </c>
    </row>
    <row r="46" ht="14.25" customHeight="1">
      <c r="A46" s="1" t="str">
        <f>MID($C$14,Constanst!K23,1)</f>
        <v>1</v>
      </c>
      <c r="B46" s="1" t="str">
        <f t="shared" si="11"/>
        <v>1010100101011010100010100111</v>
      </c>
    </row>
    <row r="47" ht="14.25" customHeight="1">
      <c r="A47" s="1" t="str">
        <f>MID($C$14,Constanst!K24,1)</f>
        <v>0</v>
      </c>
      <c r="B47" s="1" t="str">
        <f t="shared" si="11"/>
        <v>010100101011010100010100111</v>
      </c>
    </row>
    <row r="48" ht="14.25" customHeight="1">
      <c r="A48" s="1" t="str">
        <f>MID($C$14,Constanst!K25,1)</f>
        <v>1</v>
      </c>
      <c r="B48" s="1" t="str">
        <f t="shared" si="11"/>
        <v>10100101011010100010100111</v>
      </c>
    </row>
    <row r="49" ht="14.25" customHeight="1">
      <c r="A49" s="1" t="str">
        <f>MID($C$14,Constanst!K26,1)</f>
        <v>0</v>
      </c>
      <c r="B49" s="1" t="str">
        <f t="shared" si="11"/>
        <v>0100101011010100010100111</v>
      </c>
    </row>
    <row r="50" ht="14.25" customHeight="1">
      <c r="A50" s="1" t="str">
        <f>MID($C$14,Constanst!K27,1)</f>
        <v>1</v>
      </c>
      <c r="B50" s="1" t="str">
        <f t="shared" si="11"/>
        <v>100101011010100010100111</v>
      </c>
    </row>
    <row r="51" ht="14.25" customHeight="1">
      <c r="A51" s="1" t="str">
        <f>MID($C$14,Constanst!K28,1)</f>
        <v>0</v>
      </c>
      <c r="B51" s="1" t="str">
        <f t="shared" si="11"/>
        <v>00101011010100010100111</v>
      </c>
    </row>
    <row r="52" ht="14.25" customHeight="1">
      <c r="A52" s="1" t="str">
        <f>MID($C$14,Constanst!K29,1)</f>
        <v>0</v>
      </c>
      <c r="B52" s="1" t="str">
        <f t="shared" si="11"/>
        <v>0101011010100010100111</v>
      </c>
    </row>
    <row r="53" ht="14.25" customHeight="1">
      <c r="A53" s="1" t="str">
        <f>MID($C$14,Constanst!K30,1)</f>
        <v>1</v>
      </c>
      <c r="B53" s="1" t="str">
        <f t="shared" si="11"/>
        <v>101011010100010100111</v>
      </c>
    </row>
    <row r="54" ht="14.25" customHeight="1">
      <c r="A54" s="1" t="str">
        <f>MID($C$14,Constanst!K31,1)</f>
        <v>0</v>
      </c>
      <c r="B54" s="1" t="str">
        <f t="shared" si="11"/>
        <v>01011010100010100111</v>
      </c>
    </row>
    <row r="55" ht="14.25" customHeight="1">
      <c r="A55" s="1" t="str">
        <f>MID($C$14,Constanst!K32,1)</f>
        <v>1</v>
      </c>
      <c r="B55" s="1" t="str">
        <f t="shared" si="11"/>
        <v>1011010100010100111</v>
      </c>
    </row>
    <row r="56" ht="14.25" customHeight="1">
      <c r="A56" s="1" t="str">
        <f>MID($C$14,Constanst!K33,1)</f>
        <v>0</v>
      </c>
      <c r="B56" s="1" t="str">
        <f t="shared" si="11"/>
        <v>011010100010100111</v>
      </c>
    </row>
    <row r="57" ht="14.25" customHeight="1">
      <c r="A57" s="1" t="str">
        <f>MID($C$14,Constanst!K34,1)</f>
        <v>1</v>
      </c>
      <c r="B57" s="1" t="str">
        <f t="shared" si="11"/>
        <v>11010100010100111</v>
      </c>
    </row>
    <row r="58" ht="14.25" customHeight="1">
      <c r="A58" s="1" t="str">
        <f>MID($C$14,Constanst!K35,1)</f>
        <v>1</v>
      </c>
      <c r="B58" s="1" t="str">
        <f t="shared" si="11"/>
        <v>1010100010100111</v>
      </c>
    </row>
    <row r="59" ht="14.25" customHeight="1">
      <c r="A59" s="1" t="str">
        <f>MID($C$14,Constanst!K36,1)</f>
        <v>0</v>
      </c>
      <c r="B59" s="1" t="str">
        <f t="shared" si="11"/>
        <v>010100010100111</v>
      </c>
    </row>
    <row r="60" ht="14.25" customHeight="1">
      <c r="A60" s="1" t="str">
        <f>MID($C$14,Constanst!K37,1)</f>
        <v>1</v>
      </c>
      <c r="B60" s="1" t="str">
        <f t="shared" si="11"/>
        <v>10100010100111</v>
      </c>
    </row>
    <row r="61" ht="14.25" customHeight="1">
      <c r="A61" s="1" t="str">
        <f>MID($C$14,Constanst!K38,1)</f>
        <v>0</v>
      </c>
      <c r="B61" s="1" t="str">
        <f t="shared" si="11"/>
        <v>0100010100111</v>
      </c>
    </row>
    <row r="62" ht="14.25" customHeight="1">
      <c r="A62" s="1" t="str">
        <f>MID($C$14,Constanst!K39,1)</f>
        <v>1</v>
      </c>
      <c r="B62" s="1" t="str">
        <f t="shared" si="11"/>
        <v>100010100111</v>
      </c>
    </row>
    <row r="63" ht="14.25" customHeight="1">
      <c r="A63" s="1" t="str">
        <f>MID($C$14,Constanst!K40,1)</f>
        <v>0</v>
      </c>
      <c r="B63" s="1" t="str">
        <f t="shared" si="11"/>
        <v>00010100111</v>
      </c>
    </row>
    <row r="64" ht="14.25" customHeight="1">
      <c r="A64" s="1" t="str">
        <f>MID($C$14,Constanst!K41,1)</f>
        <v>0</v>
      </c>
      <c r="B64" s="1" t="str">
        <f t="shared" si="11"/>
        <v>0010100111</v>
      </c>
    </row>
    <row r="65" ht="14.25" customHeight="1">
      <c r="A65" s="1" t="str">
        <f>MID($C$14,Constanst!K42,1)</f>
        <v>0</v>
      </c>
      <c r="B65" s="1" t="str">
        <f t="shared" si="11"/>
        <v>010100111</v>
      </c>
    </row>
    <row r="66" ht="14.25" customHeight="1">
      <c r="A66" s="1" t="str">
        <f>MID($C$14,Constanst!K43,1)</f>
        <v>1</v>
      </c>
      <c r="B66" s="1" t="str">
        <f t="shared" si="11"/>
        <v>10100111</v>
      </c>
    </row>
    <row r="67" ht="14.25" customHeight="1">
      <c r="A67" s="1" t="str">
        <f>MID($C$14,Constanst!K44,1)</f>
        <v>0</v>
      </c>
      <c r="B67" s="1" t="str">
        <f t="shared" si="11"/>
        <v>0100111</v>
      </c>
    </row>
    <row r="68" ht="14.25" customHeight="1">
      <c r="A68" s="1" t="str">
        <f>MID($C$14,Constanst!K45,1)</f>
        <v>1</v>
      </c>
      <c r="B68" s="1" t="str">
        <f t="shared" si="11"/>
        <v>100111</v>
      </c>
    </row>
    <row r="69" ht="14.25" customHeight="1">
      <c r="A69" s="1" t="str">
        <f>MID($C$14,Constanst!K46,1)</f>
        <v>0</v>
      </c>
      <c r="B69" s="1" t="str">
        <f t="shared" si="11"/>
        <v>00111</v>
      </c>
    </row>
    <row r="70" ht="14.25" customHeight="1">
      <c r="A70" s="1" t="str">
        <f>MID($C$14,Constanst!K47,1)</f>
        <v>0</v>
      </c>
      <c r="B70" s="1" t="str">
        <f t="shared" si="11"/>
        <v>0111</v>
      </c>
    </row>
    <row r="71" ht="14.25" customHeight="1">
      <c r="A71" s="1" t="str">
        <f>MID($C$14,Constanst!K48,1)</f>
        <v>1</v>
      </c>
      <c r="B71" s="1" t="str">
        <f t="shared" si="11"/>
        <v>111</v>
      </c>
    </row>
    <row r="72" ht="14.25" customHeight="1">
      <c r="A72" s="1" t="str">
        <f>MID($C$14,Constanst!K49,1)</f>
        <v>1</v>
      </c>
      <c r="B72" s="1" t="str">
        <f>A72&amp;A73</f>
        <v>11</v>
      </c>
    </row>
    <row r="73" ht="14.25" customHeight="1">
      <c r="A73" s="1" t="str">
        <f>MID($C$14,Constanst!K50,1)</f>
        <v>1</v>
      </c>
    </row>
    <row r="74" ht="14.25" customHeight="1"/>
    <row r="75" ht="14.25" customHeight="1">
      <c r="A75" s="1" t="str">
        <f>"Thực hiện phép XOR A = E("&amp;M5&amp;") XOR "&amp;L6</f>
        <v>Thực hiện phép XOR A = E(R4) XOR K5</v>
      </c>
    </row>
    <row r="76" ht="14.25" customHeight="1">
      <c r="A76" s="11" t="str">
        <f>"Khóa " &amp; L6</f>
        <v>Khóa K5</v>
      </c>
      <c r="B76" s="5"/>
      <c r="C76" s="5"/>
      <c r="D76" s="6"/>
      <c r="G76" s="11" t="str">
        <f>"E("&amp;M5&amp;")"</f>
        <v>E(R4)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01111100</v>
      </c>
      <c r="C78" s="20" t="str">
        <f t="shared" ref="C78:C83" si="13">BIN2HEX(B78,2)</f>
        <v>7C</v>
      </c>
      <c r="D78" s="20">
        <f t="shared" ref="D78:D83" si="14">BIN2DEC(B78)</f>
        <v>124</v>
      </c>
      <c r="G78" s="20">
        <v>1.0</v>
      </c>
      <c r="H78" s="20" t="str">
        <f t="shared" ref="H78:H83" si="15">MID($D$24,(G78-1)*8+1, 8)</f>
        <v>11001111</v>
      </c>
      <c r="I78" s="20" t="str">
        <f t="shared" ref="I78:I83" si="16">BIN2HEX(H78,2)</f>
        <v>CF</v>
      </c>
      <c r="J78" s="20">
        <f t="shared" ref="J78:J83" si="17">BIN2DEC(H78)</f>
        <v>207</v>
      </c>
    </row>
    <row r="79" ht="14.25" customHeight="1">
      <c r="A79" s="20">
        <v>2.0</v>
      </c>
      <c r="B79" s="20" t="str">
        <f t="shared" si="12"/>
        <v>11101100</v>
      </c>
      <c r="C79" s="20" t="str">
        <f t="shared" si="13"/>
        <v>EC</v>
      </c>
      <c r="D79" s="20">
        <f t="shared" si="14"/>
        <v>236</v>
      </c>
      <c r="G79" s="20">
        <v>2.0</v>
      </c>
      <c r="H79" s="20" t="str">
        <f t="shared" si="15"/>
        <v>10000010</v>
      </c>
      <c r="I79" s="20" t="str">
        <f t="shared" si="16"/>
        <v>82</v>
      </c>
      <c r="J79" s="20">
        <f t="shared" si="17"/>
        <v>130</v>
      </c>
    </row>
    <row r="80" ht="14.25" customHeight="1">
      <c r="A80" s="20">
        <v>3.0</v>
      </c>
      <c r="B80" s="20" t="str">
        <f t="shared" si="12"/>
        <v>00000111</v>
      </c>
      <c r="C80" s="20" t="str">
        <f t="shared" si="13"/>
        <v>07</v>
      </c>
      <c r="D80" s="20">
        <f t="shared" si="14"/>
        <v>7</v>
      </c>
      <c r="G80" s="20">
        <v>3.0</v>
      </c>
      <c r="H80" s="20" t="str">
        <f t="shared" si="15"/>
        <v>10101010</v>
      </c>
      <c r="I80" s="20" t="str">
        <f t="shared" si="16"/>
        <v>AA</v>
      </c>
      <c r="J80" s="20">
        <f t="shared" si="17"/>
        <v>170</v>
      </c>
    </row>
    <row r="81" ht="14.25" customHeight="1">
      <c r="A81" s="20">
        <v>4.0</v>
      </c>
      <c r="B81" s="20" t="str">
        <f t="shared" si="12"/>
        <v>00011111</v>
      </c>
      <c r="C81" s="20" t="str">
        <f t="shared" si="13"/>
        <v>1F</v>
      </c>
      <c r="D81" s="20">
        <f t="shared" si="14"/>
        <v>31</v>
      </c>
      <c r="G81" s="20">
        <v>4.0</v>
      </c>
      <c r="H81" s="20" t="str">
        <f t="shared" si="15"/>
        <v>10010101</v>
      </c>
      <c r="I81" s="20" t="str">
        <f t="shared" si="16"/>
        <v>95</v>
      </c>
      <c r="J81" s="20">
        <f t="shared" si="17"/>
        <v>149</v>
      </c>
    </row>
    <row r="82" ht="14.25" customHeight="1">
      <c r="A82" s="20">
        <v>5.0</v>
      </c>
      <c r="B82" s="20" t="str">
        <f t="shared" si="12"/>
        <v>11100110</v>
      </c>
      <c r="C82" s="20" t="str">
        <f t="shared" si="13"/>
        <v>E6</v>
      </c>
      <c r="D82" s="20">
        <f t="shared" si="14"/>
        <v>230</v>
      </c>
      <c r="G82" s="20">
        <v>5.0</v>
      </c>
      <c r="H82" s="20" t="str">
        <f t="shared" si="15"/>
        <v>10101000</v>
      </c>
      <c r="I82" s="20" t="str">
        <f t="shared" si="16"/>
        <v>A8</v>
      </c>
      <c r="J82" s="20">
        <f t="shared" si="17"/>
        <v>168</v>
      </c>
    </row>
    <row r="83" ht="14.25" customHeight="1">
      <c r="A83" s="20">
        <v>6.0</v>
      </c>
      <c r="B83" s="20" t="str">
        <f t="shared" si="12"/>
        <v>11000010</v>
      </c>
      <c r="C83" s="20" t="str">
        <f t="shared" si="13"/>
        <v>C2</v>
      </c>
      <c r="D83" s="20">
        <f t="shared" si="14"/>
        <v>194</v>
      </c>
      <c r="G83" s="20">
        <v>6.0</v>
      </c>
      <c r="H83" s="20" t="str">
        <f t="shared" si="15"/>
        <v>10100111</v>
      </c>
      <c r="I83" s="20" t="str">
        <f t="shared" si="16"/>
        <v>A7</v>
      </c>
      <c r="J83" s="20">
        <f t="shared" si="17"/>
        <v>167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XOR(ER4, K5)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179</v>
      </c>
      <c r="C86" s="26" t="str">
        <f t="shared" ref="C86:C91" si="19">DEC2BIN(B86,8)</f>
        <v>10110011</v>
      </c>
      <c r="D86" s="26" t="str">
        <f t="shared" ref="D86:D91" si="20">BIN2HEX(C86,2)</f>
        <v>B3</v>
      </c>
    </row>
    <row r="87" ht="14.25" customHeight="1">
      <c r="A87" s="26">
        <v>2.0</v>
      </c>
      <c r="B87" s="26">
        <f t="shared" si="18"/>
        <v>110</v>
      </c>
      <c r="C87" s="26" t="str">
        <f t="shared" si="19"/>
        <v>01101110</v>
      </c>
      <c r="D87" s="26" t="str">
        <f t="shared" si="20"/>
        <v>6E</v>
      </c>
    </row>
    <row r="88" ht="14.25" customHeight="1">
      <c r="A88" s="26">
        <v>3.0</v>
      </c>
      <c r="B88" s="26">
        <f t="shared" si="18"/>
        <v>173</v>
      </c>
      <c r="C88" s="26" t="str">
        <f t="shared" si="19"/>
        <v>10101101</v>
      </c>
      <c r="D88" s="26" t="str">
        <f t="shared" si="20"/>
        <v>AD</v>
      </c>
    </row>
    <row r="89" ht="14.25" customHeight="1">
      <c r="A89" s="26">
        <v>4.0</v>
      </c>
      <c r="B89" s="26">
        <f t="shared" si="18"/>
        <v>138</v>
      </c>
      <c r="C89" s="26" t="str">
        <f t="shared" si="19"/>
        <v>10001010</v>
      </c>
      <c r="D89" s="26" t="str">
        <f t="shared" si="20"/>
        <v>8A</v>
      </c>
    </row>
    <row r="90" ht="14.25" customHeight="1">
      <c r="A90" s="26">
        <v>5.0</v>
      </c>
      <c r="B90" s="26">
        <f t="shared" si="18"/>
        <v>78</v>
      </c>
      <c r="C90" s="26" t="str">
        <f t="shared" si="19"/>
        <v>01001110</v>
      </c>
      <c r="D90" s="26" t="str">
        <f t="shared" si="20"/>
        <v>4E</v>
      </c>
    </row>
    <row r="91" ht="14.25" customHeight="1">
      <c r="A91" s="26">
        <v>6.0</v>
      </c>
      <c r="B91" s="26">
        <f t="shared" si="18"/>
        <v>101</v>
      </c>
      <c r="C91" s="26" t="str">
        <f t="shared" si="19"/>
        <v>01100101</v>
      </c>
      <c r="D91" s="26" t="str">
        <f t="shared" si="20"/>
        <v>65</v>
      </c>
    </row>
    <row r="92" ht="14.25" customHeight="1"/>
    <row r="93" ht="14.25" customHeight="1">
      <c r="B93" s="1" t="str">
        <f>"A = E"&amp;M5&amp;" XOR "&amp;L6&amp;" ="</f>
        <v>A = ER4 XOR K5 =</v>
      </c>
      <c r="D93" s="22" t="str">
        <f>C86&amp;C87&amp;C88&amp;C89&amp;C90&amp;C91</f>
        <v>101100110110111010101101100010100100111001100101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101100</v>
      </c>
      <c r="C98" s="3" t="str">
        <f t="shared" ref="C98:C105" si="22">LEFT(B98,1)&amp;(RIGHT(B98,1))</f>
        <v>10</v>
      </c>
      <c r="D98" s="3" t="str">
        <f t="shared" ref="D98:D105" si="23">MID(B98,2,4)</f>
        <v>0110</v>
      </c>
      <c r="E98" s="3" t="str">
        <f t="shared" ref="E98:E105" si="24">C98&amp;D98</f>
        <v>100110</v>
      </c>
      <c r="F98" s="18">
        <f t="shared" ref="F98:F105" si="25">BIN2DEC(E98)</f>
        <v>38</v>
      </c>
      <c r="G98" s="3">
        <f>VLOOKUP(F98,Constanst!$M$3:$U$66,2,TRUE)</f>
        <v>2</v>
      </c>
      <c r="H98" s="3" t="str">
        <f t="shared" ref="H98:H105" si="26">DEC2BIN(G98,4)</f>
        <v>0010</v>
      </c>
      <c r="I98" s="3" t="str">
        <f>H98</f>
        <v>0010</v>
      </c>
    </row>
    <row r="99" ht="14.25" customHeight="1">
      <c r="A99" s="3">
        <v>2.0</v>
      </c>
      <c r="B99" s="3" t="str">
        <f t="shared" si="21"/>
        <v>110110</v>
      </c>
      <c r="C99" s="3" t="str">
        <f t="shared" si="22"/>
        <v>10</v>
      </c>
      <c r="D99" s="3" t="str">
        <f t="shared" si="23"/>
        <v>1011</v>
      </c>
      <c r="E99" s="3" t="str">
        <f t="shared" si="24"/>
        <v>101011</v>
      </c>
      <c r="F99" s="18">
        <f t="shared" si="25"/>
        <v>43</v>
      </c>
      <c r="G99" s="3">
        <f>VLOOKUP(F99,Constanst!$M$3:$U$66,3,TRUE)</f>
        <v>6</v>
      </c>
      <c r="H99" s="3" t="str">
        <f t="shared" si="26"/>
        <v>0110</v>
      </c>
      <c r="I99" s="3" t="str">
        <f t="shared" ref="I99:I105" si="27">I98&amp;H99</f>
        <v>00100110</v>
      </c>
    </row>
    <row r="100" ht="14.25" customHeight="1">
      <c r="A100" s="3">
        <v>3.0</v>
      </c>
      <c r="B100" s="3" t="str">
        <f t="shared" si="21"/>
        <v>111010</v>
      </c>
      <c r="C100" s="3" t="str">
        <f t="shared" si="22"/>
        <v>10</v>
      </c>
      <c r="D100" s="3" t="str">
        <f t="shared" si="23"/>
        <v>1101</v>
      </c>
      <c r="E100" s="3" t="str">
        <f t="shared" si="24"/>
        <v>101101</v>
      </c>
      <c r="F100" s="18">
        <f t="shared" si="25"/>
        <v>45</v>
      </c>
      <c r="G100" s="3">
        <f>VLOOKUP(F100,Constanst!$M$3:$U$66,4,TRUE)</f>
        <v>10</v>
      </c>
      <c r="H100" s="3" t="str">
        <f t="shared" si="26"/>
        <v>1010</v>
      </c>
      <c r="I100" s="3" t="str">
        <f t="shared" si="27"/>
        <v>001001101010</v>
      </c>
    </row>
    <row r="101" ht="14.25" customHeight="1">
      <c r="A101" s="3">
        <v>4.0</v>
      </c>
      <c r="B101" s="3" t="str">
        <f t="shared" si="21"/>
        <v>101101</v>
      </c>
      <c r="C101" s="3" t="str">
        <f t="shared" si="22"/>
        <v>11</v>
      </c>
      <c r="D101" s="3" t="str">
        <f t="shared" si="23"/>
        <v>0110</v>
      </c>
      <c r="E101" s="3" t="str">
        <f t="shared" si="24"/>
        <v>110110</v>
      </c>
      <c r="F101" s="18">
        <f t="shared" si="25"/>
        <v>54</v>
      </c>
      <c r="G101" s="3">
        <f>VLOOKUP(F101,Constanst!$M$3:$U$66,5,TRUE)</f>
        <v>13</v>
      </c>
      <c r="H101" s="3" t="str">
        <f t="shared" si="26"/>
        <v>1101</v>
      </c>
      <c r="I101" s="3" t="str">
        <f t="shared" si="27"/>
        <v>0010011010101101</v>
      </c>
    </row>
    <row r="102" ht="14.25" customHeight="1">
      <c r="A102" s="3">
        <v>5.0</v>
      </c>
      <c r="B102" s="3" t="str">
        <f t="shared" si="21"/>
        <v>100010</v>
      </c>
      <c r="C102" s="3" t="str">
        <f t="shared" si="22"/>
        <v>10</v>
      </c>
      <c r="D102" s="3" t="str">
        <f t="shared" si="23"/>
        <v>0001</v>
      </c>
      <c r="E102" s="3" t="str">
        <f t="shared" si="24"/>
        <v>100001</v>
      </c>
      <c r="F102" s="18">
        <f t="shared" si="25"/>
        <v>33</v>
      </c>
      <c r="G102" s="3">
        <f>VLOOKUP(F102,Constanst!$M$3:$U$66,6,TRUE)</f>
        <v>2</v>
      </c>
      <c r="H102" s="3" t="str">
        <f t="shared" si="26"/>
        <v>0010</v>
      </c>
      <c r="I102" s="3" t="str">
        <f t="shared" si="27"/>
        <v>00100110101011010010</v>
      </c>
    </row>
    <row r="103" ht="14.25" customHeight="1">
      <c r="A103" s="3">
        <v>6.0</v>
      </c>
      <c r="B103" s="3" t="str">
        <f t="shared" si="21"/>
        <v>100100</v>
      </c>
      <c r="C103" s="3" t="str">
        <f t="shared" si="22"/>
        <v>10</v>
      </c>
      <c r="D103" s="3" t="str">
        <f t="shared" si="23"/>
        <v>0010</v>
      </c>
      <c r="E103" s="3" t="str">
        <f t="shared" si="24"/>
        <v>100010</v>
      </c>
      <c r="F103" s="18">
        <f t="shared" si="25"/>
        <v>34</v>
      </c>
      <c r="G103" s="3">
        <f>VLOOKUP(F103,Constanst!$M$3:$U$66,7,TRUE)</f>
        <v>15</v>
      </c>
      <c r="H103" s="3" t="str">
        <f t="shared" si="26"/>
        <v>1111</v>
      </c>
      <c r="I103" s="3" t="str">
        <f t="shared" si="27"/>
        <v>001001101010110100101111</v>
      </c>
    </row>
    <row r="104" ht="14.25" customHeight="1">
      <c r="A104" s="3">
        <v>7.0</v>
      </c>
      <c r="B104" s="3" t="str">
        <f t="shared" si="21"/>
        <v>111001</v>
      </c>
      <c r="C104" s="3" t="str">
        <f t="shared" si="22"/>
        <v>11</v>
      </c>
      <c r="D104" s="3" t="str">
        <f t="shared" si="23"/>
        <v>1100</v>
      </c>
      <c r="E104" s="3" t="str">
        <f t="shared" si="24"/>
        <v>111100</v>
      </c>
      <c r="F104" s="18">
        <f t="shared" si="25"/>
        <v>60</v>
      </c>
      <c r="G104" s="3">
        <f>VLOOKUP(F104,Constanst!$M$3:$U$66,8,TRUE)</f>
        <v>14</v>
      </c>
      <c r="H104" s="3" t="str">
        <f t="shared" si="26"/>
        <v>1110</v>
      </c>
      <c r="I104" s="3" t="str">
        <f t="shared" si="27"/>
        <v>0010011010101101001011111110</v>
      </c>
    </row>
    <row r="105" ht="14.25" customHeight="1">
      <c r="A105" s="3">
        <v>8.0</v>
      </c>
      <c r="B105" s="3" t="str">
        <f t="shared" si="21"/>
        <v>100101</v>
      </c>
      <c r="C105" s="3" t="str">
        <f t="shared" si="22"/>
        <v>11</v>
      </c>
      <c r="D105" s="3" t="str">
        <f t="shared" si="23"/>
        <v>0010</v>
      </c>
      <c r="E105" s="3" t="str">
        <f t="shared" si="24"/>
        <v>110010</v>
      </c>
      <c r="F105" s="18">
        <f t="shared" si="25"/>
        <v>50</v>
      </c>
      <c r="G105" s="3">
        <f>VLOOKUP(F105,Constanst!$M$3:$U$66,9,TRUE)</f>
        <v>14</v>
      </c>
      <c r="H105" s="3" t="str">
        <f t="shared" si="26"/>
        <v>1110</v>
      </c>
      <c r="I105" s="3" t="str">
        <f t="shared" si="27"/>
        <v>00100110101011010010111111101110</v>
      </c>
    </row>
    <row r="106" ht="14.25" customHeight="1"/>
    <row r="107" ht="14.25" customHeight="1">
      <c r="B107" s="1" t="s">
        <v>90</v>
      </c>
      <c r="C107" s="1" t="str">
        <f>I105</f>
        <v>00100110101011010010111111101110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1</v>
      </c>
    </row>
    <row r="113" ht="14.25" hidden="1" customHeight="1">
      <c r="A113" s="1" t="str">
        <f>MID($C$107,Constanst!X4,1)</f>
        <v>1</v>
      </c>
      <c r="B113" s="1" t="str">
        <f>A112&amp;A113</f>
        <v>11</v>
      </c>
    </row>
    <row r="114" ht="14.25" hidden="1" customHeight="1">
      <c r="A114" s="1" t="str">
        <f>MID($C$107,Constanst!X5,1)</f>
        <v>0</v>
      </c>
      <c r="B114" s="1" t="str">
        <f t="shared" ref="B114:B143" si="28">B113&amp;A114</f>
        <v>110</v>
      </c>
    </row>
    <row r="115" ht="14.25" hidden="1" customHeight="1">
      <c r="A115" s="1" t="str">
        <f>MID($C$107,Constanst!X6,1)</f>
        <v>1</v>
      </c>
      <c r="B115" s="1" t="str">
        <f t="shared" si="28"/>
        <v>1101</v>
      </c>
    </row>
    <row r="116" ht="14.25" hidden="1" customHeight="1">
      <c r="A116" s="1" t="str">
        <f>MID($C$107,Constanst!X7,1)</f>
        <v>1</v>
      </c>
      <c r="B116" s="1" t="str">
        <f t="shared" si="28"/>
        <v>11011</v>
      </c>
    </row>
    <row r="117" ht="14.25" hidden="1" customHeight="1">
      <c r="A117" s="1" t="str">
        <f>MID($C$107,Constanst!X8,1)</f>
        <v>0</v>
      </c>
      <c r="B117" s="1" t="str">
        <f t="shared" si="28"/>
        <v>110110</v>
      </c>
    </row>
    <row r="118" ht="14.25" hidden="1" customHeight="1">
      <c r="A118" s="1" t="str">
        <f>MID($C$107,Constanst!X9,1)</f>
        <v>0</v>
      </c>
      <c r="B118" s="1" t="str">
        <f t="shared" si="28"/>
        <v>1101100</v>
      </c>
    </row>
    <row r="119" ht="14.25" hidden="1" customHeight="1">
      <c r="A119" s="1" t="str">
        <f>MID($C$107,Constanst!X10,1)</f>
        <v>0</v>
      </c>
      <c r="B119" s="1" t="str">
        <f t="shared" si="28"/>
        <v>11011000</v>
      </c>
    </row>
    <row r="120" ht="14.25" hidden="1" customHeight="1">
      <c r="A120" s="1" t="str">
        <f>MID($C$107,Constanst!X11,1)</f>
        <v>0</v>
      </c>
      <c r="B120" s="1" t="str">
        <f t="shared" si="28"/>
        <v>110110000</v>
      </c>
    </row>
    <row r="121" ht="14.25" hidden="1" customHeight="1">
      <c r="A121" s="1" t="str">
        <f>MID($C$107,Constanst!X12,1)</f>
        <v>0</v>
      </c>
      <c r="B121" s="1" t="str">
        <f t="shared" si="28"/>
        <v>1101100000</v>
      </c>
    </row>
    <row r="122" ht="14.25" hidden="1" customHeight="1">
      <c r="A122" s="1" t="str">
        <f>MID($C$107,Constanst!X13,1)</f>
        <v>1</v>
      </c>
      <c r="B122" s="1" t="str">
        <f t="shared" si="28"/>
        <v>11011000001</v>
      </c>
    </row>
    <row r="123" ht="14.25" hidden="1" customHeight="1">
      <c r="A123" s="1" t="str">
        <f>MID($C$107,Constanst!X14,1)</f>
        <v>1</v>
      </c>
      <c r="B123" s="1" t="str">
        <f t="shared" si="28"/>
        <v>110110000011</v>
      </c>
    </row>
    <row r="124" ht="14.25" hidden="1" customHeight="1">
      <c r="A124" s="1" t="str">
        <f>MID($C$107,Constanst!X15,1)</f>
        <v>0</v>
      </c>
      <c r="B124" s="1" t="str">
        <f t="shared" si="28"/>
        <v>1101100000110</v>
      </c>
    </row>
    <row r="125" ht="14.25" hidden="1" customHeight="1">
      <c r="A125" s="1" t="str">
        <f>MID($C$107,Constanst!X16,1)</f>
        <v>0</v>
      </c>
      <c r="B125" s="1" t="str">
        <f t="shared" si="28"/>
        <v>11011000001100</v>
      </c>
    </row>
    <row r="126" ht="14.25" hidden="1" customHeight="1">
      <c r="A126" s="1" t="str">
        <f>MID($C$107,Constanst!X17,1)</f>
        <v>1</v>
      </c>
      <c r="B126" s="1" t="str">
        <f t="shared" si="28"/>
        <v>110110000011001</v>
      </c>
    </row>
    <row r="127" ht="14.25" hidden="1" customHeight="1">
      <c r="A127" s="1" t="str">
        <f>MID($C$107,Constanst!X18,1)</f>
        <v>0</v>
      </c>
      <c r="B127" s="1" t="str">
        <f t="shared" si="28"/>
        <v>1101100000110010</v>
      </c>
    </row>
    <row r="128" ht="14.25" hidden="1" customHeight="1">
      <c r="A128" s="1" t="str">
        <f>MID($C$107,Constanst!X19,1)</f>
        <v>0</v>
      </c>
      <c r="B128" s="1" t="str">
        <f t="shared" si="28"/>
        <v>11011000001100100</v>
      </c>
    </row>
    <row r="129" ht="14.25" hidden="1" customHeight="1">
      <c r="A129" s="1" t="str">
        <f>MID($C$107,Constanst!X20,1)</f>
        <v>0</v>
      </c>
      <c r="B129" s="1" t="str">
        <f t="shared" si="28"/>
        <v>110110000011001000</v>
      </c>
    </row>
    <row r="130" ht="14.25" hidden="1" customHeight="1">
      <c r="A130" s="1" t="str">
        <f>MID($C$107,Constanst!X21,1)</f>
        <v>1</v>
      </c>
      <c r="B130" s="1" t="str">
        <f t="shared" si="28"/>
        <v>1101100000110010001</v>
      </c>
    </row>
    <row r="131" ht="14.25" hidden="1" customHeight="1">
      <c r="A131" s="1" t="str">
        <f>MID($C$107,Constanst!X22,1)</f>
        <v>1</v>
      </c>
      <c r="B131" s="1" t="str">
        <f t="shared" si="28"/>
        <v>11011000001100100011</v>
      </c>
    </row>
    <row r="132" ht="14.25" hidden="1" customHeight="1">
      <c r="A132" s="1" t="str">
        <f>MID($C$107,Constanst!X23,1)</f>
        <v>0</v>
      </c>
      <c r="B132" s="1" t="str">
        <f t="shared" si="28"/>
        <v>110110000011001000110</v>
      </c>
    </row>
    <row r="133" ht="14.25" hidden="1" customHeight="1">
      <c r="A133" s="1" t="str">
        <f>MID($C$107,Constanst!X24,1)</f>
        <v>1</v>
      </c>
      <c r="B133" s="1" t="str">
        <f t="shared" si="28"/>
        <v>1101100000110010001101</v>
      </c>
    </row>
    <row r="134" ht="14.25" hidden="1" customHeight="1">
      <c r="A134" s="1" t="str">
        <f>MID($C$107,Constanst!X25,1)</f>
        <v>1</v>
      </c>
      <c r="B134" s="1" t="str">
        <f t="shared" si="28"/>
        <v>11011000001100100011011</v>
      </c>
    </row>
    <row r="135" ht="14.25" hidden="1" customHeight="1">
      <c r="A135" s="1" t="str">
        <f>MID($C$107,Constanst!X26,1)</f>
        <v>1</v>
      </c>
      <c r="B135" s="1" t="str">
        <f t="shared" si="28"/>
        <v>110110000011001000110111</v>
      </c>
    </row>
    <row r="136" ht="14.25" hidden="1" customHeight="1">
      <c r="A136" s="1" t="str">
        <f>MID($C$107,Constanst!X27,1)</f>
        <v>1</v>
      </c>
      <c r="B136" s="1" t="str">
        <f t="shared" si="28"/>
        <v>1101100000110010001101111</v>
      </c>
    </row>
    <row r="137" ht="14.25" hidden="1" customHeight="1">
      <c r="A137" s="1" t="str">
        <f>MID($C$107,Constanst!X28,1)</f>
        <v>1</v>
      </c>
      <c r="B137" s="1" t="str">
        <f t="shared" si="28"/>
        <v>11011000001100100011011111</v>
      </c>
    </row>
    <row r="138" ht="14.25" hidden="1" customHeight="1">
      <c r="A138" s="1" t="str">
        <f>MID($C$107,Constanst!X29,1)</f>
        <v>1</v>
      </c>
      <c r="B138" s="1" t="str">
        <f t="shared" si="28"/>
        <v>110110000011001000110111111</v>
      </c>
    </row>
    <row r="139" ht="14.25" hidden="1" customHeight="1">
      <c r="A139" s="1" t="str">
        <f>MID($C$107,Constanst!X30,1)</f>
        <v>1</v>
      </c>
      <c r="B139" s="1" t="str">
        <f t="shared" si="28"/>
        <v>1101100000110010001101111111</v>
      </c>
    </row>
    <row r="140" ht="14.25" hidden="1" customHeight="1">
      <c r="A140" s="1" t="str">
        <f>MID($C$107,Constanst!X31,1)</f>
        <v>1</v>
      </c>
      <c r="B140" s="1" t="str">
        <f t="shared" si="28"/>
        <v>11011000001100100011011111111</v>
      </c>
    </row>
    <row r="141" ht="14.25" hidden="1" customHeight="1">
      <c r="A141" s="1" t="str">
        <f>MID($C$107,Constanst!X32,1)</f>
        <v>1</v>
      </c>
      <c r="B141" s="1" t="str">
        <f t="shared" si="28"/>
        <v>110110000011001000110111111111</v>
      </c>
    </row>
    <row r="142" ht="14.25" hidden="1" customHeight="1">
      <c r="A142" s="1" t="str">
        <f>MID($C$107,Constanst!X33,1)</f>
        <v>0</v>
      </c>
      <c r="B142" s="1" t="str">
        <f t="shared" si="28"/>
        <v>1101100000110010001101111111110</v>
      </c>
    </row>
    <row r="143" ht="14.25" customHeight="1">
      <c r="A143" s="1" t="str">
        <f>MID($C$107,Constanst!X34,1)</f>
        <v>1</v>
      </c>
      <c r="B143" s="22" t="str">
        <f t="shared" si="28"/>
        <v>11011000001100100011011111111101</v>
      </c>
    </row>
    <row r="144" ht="14.25" customHeight="1"/>
    <row r="145" ht="14.25" customHeight="1">
      <c r="A145" s="1" t="s">
        <v>92</v>
      </c>
      <c r="B145" s="1" t="str">
        <f>B143</f>
        <v>11011000001100100011011111111101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11011000</v>
      </c>
      <c r="C148" s="20" t="str">
        <f t="shared" ref="C148:C151" si="30">BIN2HEX(B148,2)</f>
        <v>D8</v>
      </c>
      <c r="D148" s="20">
        <f t="shared" ref="D148:D151" si="31">HEX2DEC(C148)</f>
        <v>216</v>
      </c>
    </row>
    <row r="149" ht="14.25" customHeight="1">
      <c r="A149" s="20">
        <v>2.0</v>
      </c>
      <c r="B149" s="20" t="str">
        <f t="shared" si="29"/>
        <v>00110010</v>
      </c>
      <c r="C149" s="20" t="str">
        <f t="shared" si="30"/>
        <v>32</v>
      </c>
      <c r="D149" s="20">
        <f t="shared" si="31"/>
        <v>50</v>
      </c>
    </row>
    <row r="150" ht="14.25" customHeight="1">
      <c r="A150" s="20">
        <v>3.0</v>
      </c>
      <c r="B150" s="20" t="str">
        <f t="shared" si="29"/>
        <v>00110111</v>
      </c>
      <c r="C150" s="20" t="str">
        <f t="shared" si="30"/>
        <v>37</v>
      </c>
      <c r="D150" s="20">
        <f t="shared" si="31"/>
        <v>55</v>
      </c>
    </row>
    <row r="151" ht="14.25" customHeight="1">
      <c r="A151" s="20">
        <v>4.0</v>
      </c>
      <c r="B151" s="20" t="str">
        <f t="shared" si="29"/>
        <v>11111101</v>
      </c>
      <c r="C151" s="20" t="str">
        <f t="shared" si="30"/>
        <v>FD</v>
      </c>
      <c r="D151" s="20">
        <f t="shared" si="31"/>
        <v>253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K6</v>
      </c>
      <c r="D2" s="1" t="str">
        <f>Input!I6</f>
        <v>011000111010010100011110001111001100010101000101</v>
      </c>
    </row>
    <row r="3" ht="14.25" customHeight="1">
      <c r="A3" s="1" t="s">
        <v>92</v>
      </c>
      <c r="B3" s="1" t="str">
        <f t="array" ref="B3">INDIRECT("'f(" &amp; L5 &amp; "," &amp; L7 &amp; ")'!B145")</f>
        <v>11011000001100100011011111111101</v>
      </c>
    </row>
    <row r="4" ht="14.25" customHeight="1">
      <c r="A4" s="1" t="str">
        <f t="shared" ref="A4:A5" si="1">L4</f>
        <v>L4</v>
      </c>
      <c r="B4" s="1" t="str">
        <f t="array" ref="B4">INDIRECT("'f(" &amp; L5 &amp; "," &amp; L7 &amp; ")'!C22")</f>
        <v>11010101000101001000101100001000</v>
      </c>
      <c r="L4" s="1" t="s">
        <v>106</v>
      </c>
      <c r="M4" s="1" t="s">
        <v>108</v>
      </c>
    </row>
    <row r="5" ht="14.25" customHeight="1">
      <c r="A5" s="1" t="str">
        <f t="shared" si="1"/>
        <v>R4</v>
      </c>
      <c r="B5" s="1" t="str">
        <f t="array" ref="B5">INDIRECT("'f(" &amp; L5 &amp; "," &amp; L7 &amp; ")'!C14")</f>
        <v>10011100010101010010110100010011</v>
      </c>
      <c r="L5" s="1" t="s">
        <v>107</v>
      </c>
      <c r="M5" s="1" t="s">
        <v>109</v>
      </c>
    </row>
    <row r="6" ht="14.25" customHeight="1">
      <c r="L6" s="1" t="s">
        <v>11</v>
      </c>
    </row>
    <row r="7" ht="14.25" customHeight="1">
      <c r="A7" s="11" t="s">
        <v>98</v>
      </c>
      <c r="B7" s="5"/>
      <c r="C7" s="5"/>
      <c r="D7" s="6"/>
      <c r="G7" s="11" t="str">
        <f>L4</f>
        <v>L4</v>
      </c>
      <c r="H7" s="5"/>
      <c r="I7" s="5"/>
      <c r="J7" s="6"/>
      <c r="L7" s="1" t="s">
        <v>10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11011000</v>
      </c>
      <c r="C9" s="20" t="str">
        <f t="shared" ref="C9:C12" si="3">BIN2HEX(B9,2)</f>
        <v>D8</v>
      </c>
      <c r="D9" s="20">
        <f t="shared" ref="D9:D12" si="4">HEX2DEC(C9)</f>
        <v>216</v>
      </c>
      <c r="G9" s="20">
        <v>1.0</v>
      </c>
      <c r="H9" s="20" t="str">
        <f t="shared" ref="H9:H12" si="5">MID($B$4,(G9-1)*8+1, 8)</f>
        <v>11010101</v>
      </c>
      <c r="I9" s="20" t="str">
        <f t="shared" ref="I9:I12" si="6">BIN2HEX(H9,2)</f>
        <v>D5</v>
      </c>
      <c r="J9" s="20">
        <f t="shared" ref="J9:J12" si="7">HEX2DEC(I9)</f>
        <v>213</v>
      </c>
    </row>
    <row r="10" ht="14.25" customHeight="1">
      <c r="A10" s="20">
        <v>2.0</v>
      </c>
      <c r="B10" s="20" t="str">
        <f t="shared" si="2"/>
        <v>00110010</v>
      </c>
      <c r="C10" s="20" t="str">
        <f t="shared" si="3"/>
        <v>32</v>
      </c>
      <c r="D10" s="20">
        <f t="shared" si="4"/>
        <v>50</v>
      </c>
      <c r="G10" s="20">
        <v>2.0</v>
      </c>
      <c r="H10" s="20" t="str">
        <f t="shared" si="5"/>
        <v>00010100</v>
      </c>
      <c r="I10" s="20" t="str">
        <f t="shared" si="6"/>
        <v>14</v>
      </c>
      <c r="J10" s="20">
        <f t="shared" si="7"/>
        <v>20</v>
      </c>
    </row>
    <row r="11" ht="14.25" customHeight="1">
      <c r="A11" s="20">
        <v>3.0</v>
      </c>
      <c r="B11" s="20" t="str">
        <f t="shared" si="2"/>
        <v>00110111</v>
      </c>
      <c r="C11" s="20" t="str">
        <f t="shared" si="3"/>
        <v>37</v>
      </c>
      <c r="D11" s="20">
        <f t="shared" si="4"/>
        <v>55</v>
      </c>
      <c r="G11" s="20">
        <v>3.0</v>
      </c>
      <c r="H11" s="20" t="str">
        <f t="shared" si="5"/>
        <v>10001011</v>
      </c>
      <c r="I11" s="20" t="str">
        <f t="shared" si="6"/>
        <v>8B</v>
      </c>
      <c r="J11" s="20">
        <f t="shared" si="7"/>
        <v>139</v>
      </c>
    </row>
    <row r="12" ht="14.25" customHeight="1">
      <c r="A12" s="20">
        <v>4.0</v>
      </c>
      <c r="B12" s="20" t="str">
        <f t="shared" si="2"/>
        <v>11111101</v>
      </c>
      <c r="C12" s="20" t="str">
        <f t="shared" si="3"/>
        <v>FD</v>
      </c>
      <c r="D12" s="20">
        <f t="shared" si="4"/>
        <v>253</v>
      </c>
      <c r="G12" s="20">
        <v>4.0</v>
      </c>
      <c r="H12" s="20" t="str">
        <f t="shared" si="5"/>
        <v>00001000</v>
      </c>
      <c r="I12" s="20" t="str">
        <f t="shared" si="6"/>
        <v>08</v>
      </c>
      <c r="J12" s="20">
        <f t="shared" si="7"/>
        <v>8</v>
      </c>
    </row>
    <row r="13" ht="14.25" customHeight="1"/>
    <row r="14" ht="14.25" customHeight="1">
      <c r="A14" s="1" t="str">
        <f>M5&amp;" = F XOR "&amp;L4&amp;" ="</f>
        <v>R5 = F XOR L4 =</v>
      </c>
      <c r="C14" s="23" t="str">
        <f>F17&amp;F18&amp;F19&amp;F20</f>
        <v>00001101001001101011110011110101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13</v>
      </c>
      <c r="E17" s="20" t="str">
        <f t="shared" ref="E17:E20" si="9">DEC2HEX(D17,2)</f>
        <v>0D</v>
      </c>
      <c r="F17" s="20" t="str">
        <f t="shared" ref="F17:F20" si="10">HEX2BIN(E17,8)</f>
        <v>00001101</v>
      </c>
    </row>
    <row r="18" ht="14.25" customHeight="1">
      <c r="C18" s="20">
        <v>2.0</v>
      </c>
      <c r="D18" s="20">
        <f t="shared" si="8"/>
        <v>38</v>
      </c>
      <c r="E18" s="20" t="str">
        <f t="shared" si="9"/>
        <v>26</v>
      </c>
      <c r="F18" s="20" t="str">
        <f t="shared" si="10"/>
        <v>00100110</v>
      </c>
    </row>
    <row r="19" ht="14.25" customHeight="1">
      <c r="C19" s="20">
        <v>3.0</v>
      </c>
      <c r="D19" s="20">
        <f t="shared" si="8"/>
        <v>188</v>
      </c>
      <c r="E19" s="20" t="str">
        <f t="shared" si="9"/>
        <v>BC</v>
      </c>
      <c r="F19" s="20" t="str">
        <f t="shared" si="10"/>
        <v>10111100</v>
      </c>
    </row>
    <row r="20" ht="14.25" customHeight="1">
      <c r="C20" s="20">
        <v>4.0</v>
      </c>
      <c r="D20" s="20">
        <f t="shared" si="8"/>
        <v>245</v>
      </c>
      <c r="E20" s="20" t="str">
        <f t="shared" si="9"/>
        <v>F5</v>
      </c>
      <c r="F20" s="20" t="str">
        <f t="shared" si="10"/>
        <v>11110101</v>
      </c>
    </row>
    <row r="21" ht="14.25" customHeight="1"/>
    <row r="22" ht="14.25" customHeight="1">
      <c r="A22" s="1" t="str">
        <f>M4&amp;" = "&amp;L5&amp;" ="</f>
        <v>L5 = R4 =</v>
      </c>
      <c r="C22" s="23" t="str">
        <f>B5</f>
        <v>10011100010101010010110100010011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R5 =&gt; E(R5)</v>
      </c>
      <c r="D24" s="1" t="str">
        <f>B26</f>
        <v>100001011010100100001101010111111001011110101010</v>
      </c>
    </row>
    <row r="25" ht="14.25" customHeight="1">
      <c r="A25" s="1" t="s">
        <v>66</v>
      </c>
    </row>
    <row r="26" ht="14.25" customHeight="1">
      <c r="A26" s="1" t="str">
        <f>MID($C$14,Constanst!K3,1)</f>
        <v>1</v>
      </c>
      <c r="B26" s="1" t="str">
        <f t="shared" ref="B26:B71" si="11">A26&amp;B27</f>
        <v>100001011010100100001101010111111001011110101010</v>
      </c>
    </row>
    <row r="27" ht="14.25" customHeight="1">
      <c r="A27" s="1" t="str">
        <f>MID($C$14,Constanst!K4,1)</f>
        <v>0</v>
      </c>
      <c r="B27" s="1" t="str">
        <f t="shared" si="11"/>
        <v>00001011010100100001101010111111001011110101010</v>
      </c>
    </row>
    <row r="28" ht="14.25" customHeight="1">
      <c r="A28" s="1" t="str">
        <f>MID($C$14,Constanst!K5,1)</f>
        <v>0</v>
      </c>
      <c r="B28" s="1" t="str">
        <f t="shared" si="11"/>
        <v>0001011010100100001101010111111001011110101010</v>
      </c>
    </row>
    <row r="29" ht="14.25" customHeight="1">
      <c r="A29" s="1" t="str">
        <f>MID($C$14,Constanst!K6,1)</f>
        <v>0</v>
      </c>
      <c r="B29" s="1" t="str">
        <f t="shared" si="11"/>
        <v>001011010100100001101010111111001011110101010</v>
      </c>
    </row>
    <row r="30" ht="14.25" customHeight="1">
      <c r="A30" s="1" t="str">
        <f>MID($C$14,Constanst!K7,1)</f>
        <v>0</v>
      </c>
      <c r="B30" s="1" t="str">
        <f t="shared" si="11"/>
        <v>01011010100100001101010111111001011110101010</v>
      </c>
    </row>
    <row r="31" ht="14.25" customHeight="1">
      <c r="A31" s="1" t="str">
        <f>MID($C$14,Constanst!K8,1)</f>
        <v>1</v>
      </c>
      <c r="B31" s="1" t="str">
        <f t="shared" si="11"/>
        <v>1011010100100001101010111111001011110101010</v>
      </c>
    </row>
    <row r="32" ht="14.25" customHeight="1">
      <c r="A32" s="1" t="str">
        <f>MID($C$14,Constanst!K9,1)</f>
        <v>0</v>
      </c>
      <c r="B32" s="1" t="str">
        <f t="shared" si="11"/>
        <v>011010100100001101010111111001011110101010</v>
      </c>
    </row>
    <row r="33" ht="14.25" customHeight="1">
      <c r="A33" s="1" t="str">
        <f>MID($C$14,Constanst!K10,1)</f>
        <v>1</v>
      </c>
      <c r="B33" s="1" t="str">
        <f t="shared" si="11"/>
        <v>11010100100001101010111111001011110101010</v>
      </c>
    </row>
    <row r="34" ht="14.25" customHeight="1">
      <c r="A34" s="1" t="str">
        <f>MID($C$14,Constanst!K11,1)</f>
        <v>1</v>
      </c>
      <c r="B34" s="1" t="str">
        <f t="shared" si="11"/>
        <v>1010100100001101010111111001011110101010</v>
      </c>
    </row>
    <row r="35" ht="14.25" customHeight="1">
      <c r="A35" s="1" t="str">
        <f>MID($C$14,Constanst!K12,1)</f>
        <v>0</v>
      </c>
      <c r="B35" s="1" t="str">
        <f t="shared" si="11"/>
        <v>010100100001101010111111001011110101010</v>
      </c>
    </row>
    <row r="36" ht="14.25" customHeight="1">
      <c r="A36" s="1" t="str">
        <f>MID($C$14,Constanst!K13,1)</f>
        <v>1</v>
      </c>
      <c r="B36" s="1" t="str">
        <f t="shared" si="11"/>
        <v>10100100001101010111111001011110101010</v>
      </c>
    </row>
    <row r="37" ht="14.25" customHeight="1">
      <c r="A37" s="1" t="str">
        <f>MID($C$14,Constanst!K14,1)</f>
        <v>0</v>
      </c>
      <c r="B37" s="1" t="str">
        <f t="shared" si="11"/>
        <v>0100100001101010111111001011110101010</v>
      </c>
    </row>
    <row r="38" ht="14.25" customHeight="1">
      <c r="A38" s="1" t="str">
        <f>MID($C$14,Constanst!K15,1)</f>
        <v>1</v>
      </c>
      <c r="B38" s="1" t="str">
        <f t="shared" si="11"/>
        <v>100100001101010111111001011110101010</v>
      </c>
    </row>
    <row r="39" ht="14.25" customHeight="1">
      <c r="A39" s="1" t="str">
        <f>MID($C$14,Constanst!K16,1)</f>
        <v>0</v>
      </c>
      <c r="B39" s="1" t="str">
        <f t="shared" si="11"/>
        <v>00100001101010111111001011110101010</v>
      </c>
    </row>
    <row r="40" ht="14.25" customHeight="1">
      <c r="A40" s="1" t="str">
        <f>MID($C$14,Constanst!K17,1)</f>
        <v>0</v>
      </c>
      <c r="B40" s="1" t="str">
        <f t="shared" si="11"/>
        <v>0100001101010111111001011110101010</v>
      </c>
    </row>
    <row r="41" ht="14.25" customHeight="1">
      <c r="A41" s="1" t="str">
        <f>MID($C$14,Constanst!K18,1)</f>
        <v>1</v>
      </c>
      <c r="B41" s="1" t="str">
        <f t="shared" si="11"/>
        <v>100001101010111111001011110101010</v>
      </c>
    </row>
    <row r="42" ht="14.25" customHeight="1">
      <c r="A42" s="1" t="str">
        <f>MID($C$14,Constanst!K19,1)</f>
        <v>0</v>
      </c>
      <c r="B42" s="1" t="str">
        <f t="shared" si="11"/>
        <v>00001101010111111001011110101010</v>
      </c>
    </row>
    <row r="43" ht="14.25" customHeight="1">
      <c r="A43" s="1" t="str">
        <f>MID($C$14,Constanst!K20,1)</f>
        <v>0</v>
      </c>
      <c r="B43" s="1" t="str">
        <f t="shared" si="11"/>
        <v>0001101010111111001011110101010</v>
      </c>
    </row>
    <row r="44" ht="14.25" customHeight="1">
      <c r="A44" s="1" t="str">
        <f>MID($C$14,Constanst!K21,1)</f>
        <v>0</v>
      </c>
      <c r="B44" s="1" t="str">
        <f t="shared" si="11"/>
        <v>001101010111111001011110101010</v>
      </c>
    </row>
    <row r="45" ht="14.25" customHeight="1">
      <c r="A45" s="1" t="str">
        <f>MID($C$14,Constanst!K22,1)</f>
        <v>0</v>
      </c>
      <c r="B45" s="1" t="str">
        <f t="shared" si="11"/>
        <v>01101010111111001011110101010</v>
      </c>
    </row>
    <row r="46" ht="14.25" customHeight="1">
      <c r="A46" s="1" t="str">
        <f>MID($C$14,Constanst!K23,1)</f>
        <v>1</v>
      </c>
      <c r="B46" s="1" t="str">
        <f t="shared" si="11"/>
        <v>1101010111111001011110101010</v>
      </c>
    </row>
    <row r="47" ht="14.25" customHeight="1">
      <c r="A47" s="1" t="str">
        <f>MID($C$14,Constanst!K24,1)</f>
        <v>1</v>
      </c>
      <c r="B47" s="1" t="str">
        <f t="shared" si="11"/>
        <v>101010111111001011110101010</v>
      </c>
    </row>
    <row r="48" ht="14.25" customHeight="1">
      <c r="A48" s="1" t="str">
        <f>MID($C$14,Constanst!K25,1)</f>
        <v>0</v>
      </c>
      <c r="B48" s="1" t="str">
        <f t="shared" si="11"/>
        <v>01010111111001011110101010</v>
      </c>
    </row>
    <row r="49" ht="14.25" customHeight="1">
      <c r="A49" s="1" t="str">
        <f>MID($C$14,Constanst!K26,1)</f>
        <v>1</v>
      </c>
      <c r="B49" s="1" t="str">
        <f t="shared" si="11"/>
        <v>1010111111001011110101010</v>
      </c>
    </row>
    <row r="50" ht="14.25" customHeight="1">
      <c r="A50" s="1" t="str">
        <f>MID($C$14,Constanst!K27,1)</f>
        <v>0</v>
      </c>
      <c r="B50" s="1" t="str">
        <f t="shared" si="11"/>
        <v>010111111001011110101010</v>
      </c>
    </row>
    <row r="51" ht="14.25" customHeight="1">
      <c r="A51" s="1" t="str">
        <f>MID($C$14,Constanst!K28,1)</f>
        <v>1</v>
      </c>
      <c r="B51" s="1" t="str">
        <f t="shared" si="11"/>
        <v>10111111001011110101010</v>
      </c>
    </row>
    <row r="52" ht="14.25" customHeight="1">
      <c r="A52" s="1" t="str">
        <f>MID($C$14,Constanst!K29,1)</f>
        <v>0</v>
      </c>
      <c r="B52" s="1" t="str">
        <f t="shared" si="11"/>
        <v>0111111001011110101010</v>
      </c>
    </row>
    <row r="53" ht="14.25" customHeight="1">
      <c r="A53" s="1" t="str">
        <f>MID($C$14,Constanst!K30,1)</f>
        <v>1</v>
      </c>
      <c r="B53" s="1" t="str">
        <f t="shared" si="11"/>
        <v>111111001011110101010</v>
      </c>
    </row>
    <row r="54" ht="14.25" customHeight="1">
      <c r="A54" s="1" t="str">
        <f>MID($C$14,Constanst!K31,1)</f>
        <v>1</v>
      </c>
      <c r="B54" s="1" t="str">
        <f t="shared" si="11"/>
        <v>11111001011110101010</v>
      </c>
    </row>
    <row r="55" ht="14.25" customHeight="1">
      <c r="A55" s="1" t="str">
        <f>MID($C$14,Constanst!K32,1)</f>
        <v>1</v>
      </c>
      <c r="B55" s="1" t="str">
        <f t="shared" si="11"/>
        <v>1111001011110101010</v>
      </c>
    </row>
    <row r="56" ht="14.25" customHeight="1">
      <c r="A56" s="1" t="str">
        <f>MID($C$14,Constanst!K33,1)</f>
        <v>1</v>
      </c>
      <c r="B56" s="1" t="str">
        <f t="shared" si="11"/>
        <v>111001011110101010</v>
      </c>
    </row>
    <row r="57" ht="14.25" customHeight="1">
      <c r="A57" s="1" t="str">
        <f>MID($C$14,Constanst!K34,1)</f>
        <v>1</v>
      </c>
      <c r="B57" s="1" t="str">
        <f t="shared" si="11"/>
        <v>11001011110101010</v>
      </c>
    </row>
    <row r="58" ht="14.25" customHeight="1">
      <c r="A58" s="1" t="str">
        <f>MID($C$14,Constanst!K35,1)</f>
        <v>1</v>
      </c>
      <c r="B58" s="1" t="str">
        <f t="shared" si="11"/>
        <v>1001011110101010</v>
      </c>
    </row>
    <row r="59" ht="14.25" customHeight="1">
      <c r="A59" s="1" t="str">
        <f>MID($C$14,Constanst!K36,1)</f>
        <v>0</v>
      </c>
      <c r="B59" s="1" t="str">
        <f t="shared" si="11"/>
        <v>001011110101010</v>
      </c>
    </row>
    <row r="60" ht="14.25" customHeight="1">
      <c r="A60" s="1" t="str">
        <f>MID($C$14,Constanst!K37,1)</f>
        <v>0</v>
      </c>
      <c r="B60" s="1" t="str">
        <f t="shared" si="11"/>
        <v>01011110101010</v>
      </c>
    </row>
    <row r="61" ht="14.25" customHeight="1">
      <c r="A61" s="1" t="str">
        <f>MID($C$14,Constanst!K38,1)</f>
        <v>1</v>
      </c>
      <c r="B61" s="1" t="str">
        <f t="shared" si="11"/>
        <v>1011110101010</v>
      </c>
    </row>
    <row r="62" ht="14.25" customHeight="1">
      <c r="A62" s="1" t="str">
        <f>MID($C$14,Constanst!K39,1)</f>
        <v>0</v>
      </c>
      <c r="B62" s="1" t="str">
        <f t="shared" si="11"/>
        <v>011110101010</v>
      </c>
    </row>
    <row r="63" ht="14.25" customHeight="1">
      <c r="A63" s="1" t="str">
        <f>MID($C$14,Constanst!K40,1)</f>
        <v>1</v>
      </c>
      <c r="B63" s="1" t="str">
        <f t="shared" si="11"/>
        <v>11110101010</v>
      </c>
    </row>
    <row r="64" ht="14.25" customHeight="1">
      <c r="A64" s="1" t="str">
        <f>MID($C$14,Constanst!K41,1)</f>
        <v>1</v>
      </c>
      <c r="B64" s="1" t="str">
        <f t="shared" si="11"/>
        <v>1110101010</v>
      </c>
    </row>
    <row r="65" ht="14.25" customHeight="1">
      <c r="A65" s="1" t="str">
        <f>MID($C$14,Constanst!K42,1)</f>
        <v>1</v>
      </c>
      <c r="B65" s="1" t="str">
        <f t="shared" si="11"/>
        <v>110101010</v>
      </c>
    </row>
    <row r="66" ht="14.25" customHeight="1">
      <c r="A66" s="1" t="str">
        <f>MID($C$14,Constanst!K43,1)</f>
        <v>1</v>
      </c>
      <c r="B66" s="1" t="str">
        <f t="shared" si="11"/>
        <v>10101010</v>
      </c>
    </row>
    <row r="67" ht="14.25" customHeight="1">
      <c r="A67" s="1" t="str">
        <f>MID($C$14,Constanst!K44,1)</f>
        <v>0</v>
      </c>
      <c r="B67" s="1" t="str">
        <f t="shared" si="11"/>
        <v>0101010</v>
      </c>
    </row>
    <row r="68" ht="14.25" customHeight="1">
      <c r="A68" s="1" t="str">
        <f>MID($C$14,Constanst!K45,1)</f>
        <v>1</v>
      </c>
      <c r="B68" s="1" t="str">
        <f t="shared" si="11"/>
        <v>101010</v>
      </c>
    </row>
    <row r="69" ht="14.25" customHeight="1">
      <c r="A69" s="1" t="str">
        <f>MID($C$14,Constanst!K46,1)</f>
        <v>0</v>
      </c>
      <c r="B69" s="1" t="str">
        <f t="shared" si="11"/>
        <v>01010</v>
      </c>
    </row>
    <row r="70" ht="14.25" customHeight="1">
      <c r="A70" s="1" t="str">
        <f>MID($C$14,Constanst!K47,1)</f>
        <v>1</v>
      </c>
      <c r="B70" s="1" t="str">
        <f t="shared" si="11"/>
        <v>1010</v>
      </c>
    </row>
    <row r="71" ht="14.25" customHeight="1">
      <c r="A71" s="1" t="str">
        <f>MID($C$14,Constanst!K48,1)</f>
        <v>0</v>
      </c>
      <c r="B71" s="1" t="str">
        <f t="shared" si="11"/>
        <v>010</v>
      </c>
    </row>
    <row r="72" ht="14.25" customHeight="1">
      <c r="A72" s="1" t="str">
        <f>MID($C$14,Constanst!K49,1)</f>
        <v>1</v>
      </c>
      <c r="B72" s="1" t="str">
        <f>A72&amp;A73</f>
        <v>10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E(R5) XOR K6</v>
      </c>
    </row>
    <row r="76" ht="14.25" customHeight="1">
      <c r="A76" s="11" t="str">
        <f>"Khóa " &amp; L6</f>
        <v>Khóa K6</v>
      </c>
      <c r="B76" s="5"/>
      <c r="C76" s="5"/>
      <c r="D76" s="6"/>
      <c r="G76" s="11" t="str">
        <f>"E("&amp;M5&amp;")"</f>
        <v>E(R5)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01100011</v>
      </c>
      <c r="C78" s="20" t="str">
        <f t="shared" ref="C78:C83" si="13">BIN2HEX(B78,2)</f>
        <v>63</v>
      </c>
      <c r="D78" s="20">
        <f t="shared" ref="D78:D83" si="14">BIN2DEC(B78)</f>
        <v>99</v>
      </c>
      <c r="G78" s="20">
        <v>1.0</v>
      </c>
      <c r="H78" s="20" t="str">
        <f t="shared" ref="H78:H83" si="15">MID($D$24,(G78-1)*8+1, 8)</f>
        <v>10000101</v>
      </c>
      <c r="I78" s="20" t="str">
        <f t="shared" ref="I78:I83" si="16">BIN2HEX(H78,2)</f>
        <v>85</v>
      </c>
      <c r="J78" s="20">
        <f t="shared" ref="J78:J83" si="17">BIN2DEC(H78)</f>
        <v>133</v>
      </c>
    </row>
    <row r="79" ht="14.25" customHeight="1">
      <c r="A79" s="20">
        <v>2.0</v>
      </c>
      <c r="B79" s="20" t="str">
        <f t="shared" si="12"/>
        <v>10100101</v>
      </c>
      <c r="C79" s="20" t="str">
        <f t="shared" si="13"/>
        <v>A5</v>
      </c>
      <c r="D79" s="20">
        <f t="shared" si="14"/>
        <v>165</v>
      </c>
      <c r="G79" s="20">
        <v>2.0</v>
      </c>
      <c r="H79" s="20" t="str">
        <f t="shared" si="15"/>
        <v>10101001</v>
      </c>
      <c r="I79" s="20" t="str">
        <f t="shared" si="16"/>
        <v>A9</v>
      </c>
      <c r="J79" s="20">
        <f t="shared" si="17"/>
        <v>169</v>
      </c>
    </row>
    <row r="80" ht="14.25" customHeight="1">
      <c r="A80" s="20">
        <v>3.0</v>
      </c>
      <c r="B80" s="20" t="str">
        <f t="shared" si="12"/>
        <v>00011110</v>
      </c>
      <c r="C80" s="20" t="str">
        <f t="shared" si="13"/>
        <v>1E</v>
      </c>
      <c r="D80" s="20">
        <f t="shared" si="14"/>
        <v>30</v>
      </c>
      <c r="G80" s="20">
        <v>3.0</v>
      </c>
      <c r="H80" s="20" t="str">
        <f t="shared" si="15"/>
        <v>00001101</v>
      </c>
      <c r="I80" s="20" t="str">
        <f t="shared" si="16"/>
        <v>0D</v>
      </c>
      <c r="J80" s="20">
        <f t="shared" si="17"/>
        <v>13</v>
      </c>
    </row>
    <row r="81" ht="14.25" customHeight="1">
      <c r="A81" s="20">
        <v>4.0</v>
      </c>
      <c r="B81" s="20" t="str">
        <f t="shared" si="12"/>
        <v>00111100</v>
      </c>
      <c r="C81" s="20" t="str">
        <f t="shared" si="13"/>
        <v>3C</v>
      </c>
      <c r="D81" s="20">
        <f t="shared" si="14"/>
        <v>60</v>
      </c>
      <c r="G81" s="20">
        <v>4.0</v>
      </c>
      <c r="H81" s="20" t="str">
        <f t="shared" si="15"/>
        <v>01011111</v>
      </c>
      <c r="I81" s="20" t="str">
        <f t="shared" si="16"/>
        <v>5F</v>
      </c>
      <c r="J81" s="20">
        <f t="shared" si="17"/>
        <v>95</v>
      </c>
    </row>
    <row r="82" ht="14.25" customHeight="1">
      <c r="A82" s="20">
        <v>5.0</v>
      </c>
      <c r="B82" s="20" t="str">
        <f t="shared" si="12"/>
        <v>11000101</v>
      </c>
      <c r="C82" s="20" t="str">
        <f t="shared" si="13"/>
        <v>C5</v>
      </c>
      <c r="D82" s="20">
        <f t="shared" si="14"/>
        <v>197</v>
      </c>
      <c r="G82" s="20">
        <v>5.0</v>
      </c>
      <c r="H82" s="20" t="str">
        <f t="shared" si="15"/>
        <v>10010111</v>
      </c>
      <c r="I82" s="20" t="str">
        <f t="shared" si="16"/>
        <v>97</v>
      </c>
      <c r="J82" s="20">
        <f t="shared" si="17"/>
        <v>151</v>
      </c>
    </row>
    <row r="83" ht="14.25" customHeight="1">
      <c r="A83" s="20">
        <v>6.0</v>
      </c>
      <c r="B83" s="20" t="str">
        <f t="shared" si="12"/>
        <v>01000101</v>
      </c>
      <c r="C83" s="20" t="str">
        <f t="shared" si="13"/>
        <v>45</v>
      </c>
      <c r="D83" s="20">
        <f t="shared" si="14"/>
        <v>69</v>
      </c>
      <c r="G83" s="20">
        <v>6.0</v>
      </c>
      <c r="H83" s="20" t="str">
        <f t="shared" si="15"/>
        <v>10101010</v>
      </c>
      <c r="I83" s="20" t="str">
        <f t="shared" si="16"/>
        <v>AA</v>
      </c>
      <c r="J83" s="20">
        <f t="shared" si="17"/>
        <v>170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XOR(ER5, K6)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230</v>
      </c>
      <c r="C86" s="26" t="str">
        <f t="shared" ref="C86:C91" si="19">DEC2BIN(B86,8)</f>
        <v>11100110</v>
      </c>
      <c r="D86" s="26" t="str">
        <f t="shared" ref="D86:D91" si="20">BIN2HEX(C86,2)</f>
        <v>E6</v>
      </c>
    </row>
    <row r="87" ht="14.25" customHeight="1">
      <c r="A87" s="26">
        <v>2.0</v>
      </c>
      <c r="B87" s="26">
        <f t="shared" si="18"/>
        <v>12</v>
      </c>
      <c r="C87" s="26" t="str">
        <f t="shared" si="19"/>
        <v>00001100</v>
      </c>
      <c r="D87" s="26" t="str">
        <f t="shared" si="20"/>
        <v>0C</v>
      </c>
    </row>
    <row r="88" ht="14.25" customHeight="1">
      <c r="A88" s="26">
        <v>3.0</v>
      </c>
      <c r="B88" s="26">
        <f t="shared" si="18"/>
        <v>19</v>
      </c>
      <c r="C88" s="26" t="str">
        <f t="shared" si="19"/>
        <v>00010011</v>
      </c>
      <c r="D88" s="26" t="str">
        <f t="shared" si="20"/>
        <v>13</v>
      </c>
    </row>
    <row r="89" ht="14.25" customHeight="1">
      <c r="A89" s="26">
        <v>4.0</v>
      </c>
      <c r="B89" s="26">
        <f t="shared" si="18"/>
        <v>99</v>
      </c>
      <c r="C89" s="26" t="str">
        <f t="shared" si="19"/>
        <v>01100011</v>
      </c>
      <c r="D89" s="26" t="str">
        <f t="shared" si="20"/>
        <v>63</v>
      </c>
    </row>
    <row r="90" ht="14.25" customHeight="1">
      <c r="A90" s="26">
        <v>5.0</v>
      </c>
      <c r="B90" s="26">
        <f t="shared" si="18"/>
        <v>82</v>
      </c>
      <c r="C90" s="26" t="str">
        <f t="shared" si="19"/>
        <v>01010010</v>
      </c>
      <c r="D90" s="26" t="str">
        <f t="shared" si="20"/>
        <v>52</v>
      </c>
    </row>
    <row r="91" ht="14.25" customHeight="1">
      <c r="A91" s="26">
        <v>6.0</v>
      </c>
      <c r="B91" s="26">
        <f t="shared" si="18"/>
        <v>239</v>
      </c>
      <c r="C91" s="26" t="str">
        <f t="shared" si="19"/>
        <v>11101111</v>
      </c>
      <c r="D91" s="26" t="str">
        <f t="shared" si="20"/>
        <v>EF</v>
      </c>
    </row>
    <row r="92" ht="14.25" customHeight="1"/>
    <row r="93" ht="14.25" customHeight="1">
      <c r="B93" s="1" t="str">
        <f>"A = E"&amp;M5&amp;" XOR "&amp;L6&amp;" ="</f>
        <v>A = ER5 XOR K6 =</v>
      </c>
      <c r="D93" s="22" t="str">
        <f>C86&amp;C87&amp;C88&amp;C89&amp;C90&amp;C91</f>
        <v>111001100000110000010011011000110101001011101111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111001</v>
      </c>
      <c r="C98" s="3" t="str">
        <f t="shared" ref="C98:C105" si="22">LEFT(B98,1)&amp;(RIGHT(B98,1))</f>
        <v>11</v>
      </c>
      <c r="D98" s="3" t="str">
        <f t="shared" ref="D98:D105" si="23">MID(B98,2,4)</f>
        <v>1100</v>
      </c>
      <c r="E98" s="3" t="str">
        <f t="shared" ref="E98:E105" si="24">C98&amp;D98</f>
        <v>111100</v>
      </c>
      <c r="F98" s="18">
        <f t="shared" ref="F98:F105" si="25">BIN2DEC(E98)</f>
        <v>60</v>
      </c>
      <c r="G98" s="3">
        <f>VLOOKUP(F98,Constanst!$M$3:$U$66,2,TRUE)</f>
        <v>10</v>
      </c>
      <c r="H98" s="3" t="str">
        <f t="shared" ref="H98:H105" si="26">DEC2BIN(G98,4)</f>
        <v>1010</v>
      </c>
      <c r="I98" s="3" t="str">
        <f>H98</f>
        <v>1010</v>
      </c>
    </row>
    <row r="99" ht="14.25" customHeight="1">
      <c r="A99" s="3">
        <v>2.0</v>
      </c>
      <c r="B99" s="3" t="str">
        <f t="shared" si="21"/>
        <v>100000</v>
      </c>
      <c r="C99" s="3" t="str">
        <f t="shared" si="22"/>
        <v>10</v>
      </c>
      <c r="D99" s="3" t="str">
        <f t="shared" si="23"/>
        <v>0000</v>
      </c>
      <c r="E99" s="3" t="str">
        <f t="shared" si="24"/>
        <v>100000</v>
      </c>
      <c r="F99" s="18">
        <f t="shared" si="25"/>
        <v>32</v>
      </c>
      <c r="G99" s="3">
        <f>VLOOKUP(F99,Constanst!$M$3:$U$66,3,TRUE)</f>
        <v>0</v>
      </c>
      <c r="H99" s="3" t="str">
        <f t="shared" si="26"/>
        <v>0000</v>
      </c>
      <c r="I99" s="3" t="str">
        <f t="shared" ref="I99:I105" si="27">I98&amp;H99</f>
        <v>10100000</v>
      </c>
    </row>
    <row r="100" ht="14.25" customHeight="1">
      <c r="A100" s="3">
        <v>3.0</v>
      </c>
      <c r="B100" s="3" t="str">
        <f t="shared" si="21"/>
        <v>110000</v>
      </c>
      <c r="C100" s="3" t="str">
        <f t="shared" si="22"/>
        <v>10</v>
      </c>
      <c r="D100" s="3" t="str">
        <f t="shared" si="23"/>
        <v>1000</v>
      </c>
      <c r="E100" s="3" t="str">
        <f t="shared" si="24"/>
        <v>101000</v>
      </c>
      <c r="F100" s="18">
        <f t="shared" si="25"/>
        <v>40</v>
      </c>
      <c r="G100" s="3">
        <f>VLOOKUP(F100,Constanst!$M$3:$U$66,4,TRUE)</f>
        <v>11</v>
      </c>
      <c r="H100" s="3" t="str">
        <f t="shared" si="26"/>
        <v>1011</v>
      </c>
      <c r="I100" s="3" t="str">
        <f t="shared" si="27"/>
        <v>101000001011</v>
      </c>
    </row>
    <row r="101" ht="14.25" customHeight="1">
      <c r="A101" s="3">
        <v>4.0</v>
      </c>
      <c r="B101" s="3" t="str">
        <f t="shared" si="21"/>
        <v>010011</v>
      </c>
      <c r="C101" s="3" t="str">
        <f t="shared" si="22"/>
        <v>01</v>
      </c>
      <c r="D101" s="3" t="str">
        <f t="shared" si="23"/>
        <v>1001</v>
      </c>
      <c r="E101" s="3" t="str">
        <f t="shared" si="24"/>
        <v>011001</v>
      </c>
      <c r="F101" s="18">
        <f t="shared" si="25"/>
        <v>25</v>
      </c>
      <c r="G101" s="3">
        <f>VLOOKUP(F101,Constanst!$M$3:$U$66,5,TRUE)</f>
        <v>7</v>
      </c>
      <c r="H101" s="3" t="str">
        <f t="shared" si="26"/>
        <v>0111</v>
      </c>
      <c r="I101" s="3" t="str">
        <f t="shared" si="27"/>
        <v>1010000010110111</v>
      </c>
    </row>
    <row r="102" ht="14.25" customHeight="1">
      <c r="A102" s="3">
        <v>5.0</v>
      </c>
      <c r="B102" s="3" t="str">
        <f t="shared" si="21"/>
        <v>011000</v>
      </c>
      <c r="C102" s="3" t="str">
        <f t="shared" si="22"/>
        <v>00</v>
      </c>
      <c r="D102" s="3" t="str">
        <f t="shared" si="23"/>
        <v>1100</v>
      </c>
      <c r="E102" s="3" t="str">
        <f t="shared" si="24"/>
        <v>001100</v>
      </c>
      <c r="F102" s="18">
        <f t="shared" si="25"/>
        <v>12</v>
      </c>
      <c r="G102" s="3">
        <f>VLOOKUP(F102,Constanst!$M$3:$U$66,6,TRUE)</f>
        <v>13</v>
      </c>
      <c r="H102" s="3" t="str">
        <f t="shared" si="26"/>
        <v>1101</v>
      </c>
      <c r="I102" s="3" t="str">
        <f t="shared" si="27"/>
        <v>10100000101101111101</v>
      </c>
    </row>
    <row r="103" ht="14.25" customHeight="1">
      <c r="A103" s="3">
        <v>6.0</v>
      </c>
      <c r="B103" s="3" t="str">
        <f t="shared" si="21"/>
        <v>110101</v>
      </c>
      <c r="C103" s="3" t="str">
        <f t="shared" si="22"/>
        <v>11</v>
      </c>
      <c r="D103" s="3" t="str">
        <f t="shared" si="23"/>
        <v>1010</v>
      </c>
      <c r="E103" s="3" t="str">
        <f t="shared" si="24"/>
        <v>111010</v>
      </c>
      <c r="F103" s="18">
        <f t="shared" si="25"/>
        <v>58</v>
      </c>
      <c r="G103" s="3">
        <f>VLOOKUP(F103,Constanst!$M$3:$U$66,7,TRUE)</f>
        <v>1</v>
      </c>
      <c r="H103" s="3" t="str">
        <f t="shared" si="26"/>
        <v>0001</v>
      </c>
      <c r="I103" s="3" t="str">
        <f t="shared" si="27"/>
        <v>101000001011011111010001</v>
      </c>
    </row>
    <row r="104" ht="14.25" customHeight="1">
      <c r="A104" s="3">
        <v>7.0</v>
      </c>
      <c r="B104" s="3" t="str">
        <f t="shared" si="21"/>
        <v>001011</v>
      </c>
      <c r="C104" s="3" t="str">
        <f t="shared" si="22"/>
        <v>01</v>
      </c>
      <c r="D104" s="3" t="str">
        <f t="shared" si="23"/>
        <v>0101</v>
      </c>
      <c r="E104" s="3" t="str">
        <f t="shared" si="24"/>
        <v>010101</v>
      </c>
      <c r="F104" s="18">
        <f t="shared" si="25"/>
        <v>21</v>
      </c>
      <c r="G104" s="3">
        <f>VLOOKUP(F104,Constanst!$M$3:$U$66,8,TRUE)</f>
        <v>9</v>
      </c>
      <c r="H104" s="3" t="str">
        <f t="shared" si="26"/>
        <v>1001</v>
      </c>
      <c r="I104" s="3" t="str">
        <f t="shared" si="27"/>
        <v>1010000010110111110100011001</v>
      </c>
    </row>
    <row r="105" ht="14.25" customHeight="1">
      <c r="A105" s="3">
        <v>8.0</v>
      </c>
      <c r="B105" s="3" t="str">
        <f t="shared" si="21"/>
        <v>101111</v>
      </c>
      <c r="C105" s="3" t="str">
        <f t="shared" si="22"/>
        <v>11</v>
      </c>
      <c r="D105" s="3" t="str">
        <f t="shared" si="23"/>
        <v>0111</v>
      </c>
      <c r="E105" s="3" t="str">
        <f t="shared" si="24"/>
        <v>110111</v>
      </c>
      <c r="F105" s="18">
        <f t="shared" si="25"/>
        <v>55</v>
      </c>
      <c r="G105" s="3">
        <f>VLOOKUP(F105,Constanst!$M$3:$U$66,9,TRUE)</f>
        <v>13</v>
      </c>
      <c r="H105" s="3" t="str">
        <f t="shared" si="26"/>
        <v>1101</v>
      </c>
      <c r="I105" s="3" t="str">
        <f t="shared" si="27"/>
        <v>10100000101101111101000110011101</v>
      </c>
    </row>
    <row r="106" ht="14.25" customHeight="1"/>
    <row r="107" ht="14.25" customHeight="1">
      <c r="B107" s="1" t="s">
        <v>90</v>
      </c>
      <c r="C107" s="1" t="str">
        <f>I105</f>
        <v>10100000101101111101000110011101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1</v>
      </c>
    </row>
    <row r="113" ht="14.25" hidden="1" customHeight="1">
      <c r="A113" s="1" t="str">
        <f>MID($C$107,Constanst!X4,1)</f>
        <v>0</v>
      </c>
      <c r="B113" s="1" t="str">
        <f>A112&amp;A113</f>
        <v>10</v>
      </c>
    </row>
    <row r="114" ht="14.25" hidden="1" customHeight="1">
      <c r="A114" s="1" t="str">
        <f>MID($C$107,Constanst!X5,1)</f>
        <v>1</v>
      </c>
      <c r="B114" s="1" t="str">
        <f t="shared" ref="B114:B143" si="28">B113&amp;A114</f>
        <v>101</v>
      </c>
    </row>
    <row r="115" ht="14.25" hidden="1" customHeight="1">
      <c r="A115" s="1" t="str">
        <f>MID($C$107,Constanst!X6,1)</f>
        <v>0</v>
      </c>
      <c r="B115" s="1" t="str">
        <f t="shared" si="28"/>
        <v>1010</v>
      </c>
    </row>
    <row r="116" ht="14.25" hidden="1" customHeight="1">
      <c r="A116" s="1" t="str">
        <f>MID($C$107,Constanst!X7,1)</f>
        <v>1</v>
      </c>
      <c r="B116" s="1" t="str">
        <f t="shared" si="28"/>
        <v>10101</v>
      </c>
    </row>
    <row r="117" ht="14.25" hidden="1" customHeight="1">
      <c r="A117" s="1" t="str">
        <f>MID($C$107,Constanst!X8,1)</f>
        <v>1</v>
      </c>
      <c r="B117" s="1" t="str">
        <f t="shared" si="28"/>
        <v>101011</v>
      </c>
    </row>
    <row r="118" ht="14.25" hidden="1" customHeight="1">
      <c r="A118" s="1" t="str">
        <f>MID($C$107,Constanst!X9,1)</f>
        <v>1</v>
      </c>
      <c r="B118" s="1" t="str">
        <f t="shared" si="28"/>
        <v>1010111</v>
      </c>
    </row>
    <row r="119" ht="14.25" hidden="1" customHeight="1">
      <c r="A119" s="1" t="str">
        <f>MID($C$107,Constanst!X10,1)</f>
        <v>1</v>
      </c>
      <c r="B119" s="1" t="str">
        <f t="shared" si="28"/>
        <v>10101111</v>
      </c>
    </row>
    <row r="120" ht="14.25" hidden="1" customHeight="1">
      <c r="A120" s="1" t="str">
        <f>MID($C$107,Constanst!X11,1)</f>
        <v>1</v>
      </c>
      <c r="B120" s="1" t="str">
        <f t="shared" si="28"/>
        <v>101011111</v>
      </c>
    </row>
    <row r="121" ht="14.25" hidden="1" customHeight="1">
      <c r="A121" s="1" t="str">
        <f>MID($C$107,Constanst!X12,1)</f>
        <v>1</v>
      </c>
      <c r="B121" s="1" t="str">
        <f t="shared" si="28"/>
        <v>1010111111</v>
      </c>
    </row>
    <row r="122" ht="14.25" hidden="1" customHeight="1">
      <c r="A122" s="1" t="str">
        <f>MID($C$107,Constanst!X13,1)</f>
        <v>0</v>
      </c>
      <c r="B122" s="1" t="str">
        <f t="shared" si="28"/>
        <v>10101111110</v>
      </c>
    </row>
    <row r="123" ht="14.25" hidden="1" customHeight="1">
      <c r="A123" s="1" t="str">
        <f>MID($C$107,Constanst!X14,1)</f>
        <v>0</v>
      </c>
      <c r="B123" s="1" t="str">
        <f t="shared" si="28"/>
        <v>101011111100</v>
      </c>
    </row>
    <row r="124" ht="14.25" hidden="1" customHeight="1">
      <c r="A124" s="1" t="str">
        <f>MID($C$107,Constanst!X15,1)</f>
        <v>0</v>
      </c>
      <c r="B124" s="1" t="str">
        <f t="shared" si="28"/>
        <v>1010111111000</v>
      </c>
    </row>
    <row r="125" ht="14.25" hidden="1" customHeight="1">
      <c r="A125" s="1" t="str">
        <f>MID($C$107,Constanst!X16,1)</f>
        <v>1</v>
      </c>
      <c r="B125" s="1" t="str">
        <f t="shared" si="28"/>
        <v>10101111110001</v>
      </c>
    </row>
    <row r="126" ht="14.25" hidden="1" customHeight="1">
      <c r="A126" s="1" t="str">
        <f>MID($C$107,Constanst!X17,1)</f>
        <v>0</v>
      </c>
      <c r="B126" s="1" t="str">
        <f t="shared" si="28"/>
        <v>101011111100010</v>
      </c>
    </row>
    <row r="127" ht="14.25" hidden="1" customHeight="1">
      <c r="A127" s="1" t="str">
        <f>MID($C$107,Constanst!X18,1)</f>
        <v>0</v>
      </c>
      <c r="B127" s="1" t="str">
        <f t="shared" si="28"/>
        <v>1010111111000100</v>
      </c>
    </row>
    <row r="128" ht="14.25" hidden="1" customHeight="1">
      <c r="A128" s="1" t="str">
        <f>MID($C$107,Constanst!X19,1)</f>
        <v>0</v>
      </c>
      <c r="B128" s="1" t="str">
        <f t="shared" si="28"/>
        <v>10101111110001000</v>
      </c>
    </row>
    <row r="129" ht="14.25" hidden="1" customHeight="1">
      <c r="A129" s="1" t="str">
        <f>MID($C$107,Constanst!X20,1)</f>
        <v>0</v>
      </c>
      <c r="B129" s="1" t="str">
        <f t="shared" si="28"/>
        <v>101011111100010000</v>
      </c>
    </row>
    <row r="130" ht="14.25" hidden="1" customHeight="1">
      <c r="A130" s="1" t="str">
        <f>MID($C$107,Constanst!X21,1)</f>
        <v>1</v>
      </c>
      <c r="B130" s="1" t="str">
        <f t="shared" si="28"/>
        <v>1010111111000100001</v>
      </c>
    </row>
    <row r="131" ht="14.25" hidden="1" customHeight="1">
      <c r="A131" s="1" t="str">
        <f>MID($C$107,Constanst!X22,1)</f>
        <v>1</v>
      </c>
      <c r="B131" s="1" t="str">
        <f t="shared" si="28"/>
        <v>10101111110001000011</v>
      </c>
    </row>
    <row r="132" ht="14.25" hidden="1" customHeight="1">
      <c r="A132" s="1" t="str">
        <f>MID($C$107,Constanst!X23,1)</f>
        <v>1</v>
      </c>
      <c r="B132" s="1" t="str">
        <f t="shared" si="28"/>
        <v>101011111100010000111</v>
      </c>
    </row>
    <row r="133" ht="14.25" hidden="1" customHeight="1">
      <c r="A133" s="1" t="str">
        <f>MID($C$107,Constanst!X24,1)</f>
        <v>0</v>
      </c>
      <c r="B133" s="1" t="str">
        <f t="shared" si="28"/>
        <v>1010111111000100001110</v>
      </c>
    </row>
    <row r="134" ht="14.25" hidden="1" customHeight="1">
      <c r="A134" s="1" t="str">
        <f>MID($C$107,Constanst!X25,1)</f>
        <v>1</v>
      </c>
      <c r="B134" s="1" t="str">
        <f t="shared" si="28"/>
        <v>10101111110001000011101</v>
      </c>
    </row>
    <row r="135" ht="14.25" hidden="1" customHeight="1">
      <c r="A135" s="1" t="str">
        <f>MID($C$107,Constanst!X26,1)</f>
        <v>1</v>
      </c>
      <c r="B135" s="1" t="str">
        <f t="shared" si="28"/>
        <v>101011111100010000111011</v>
      </c>
    </row>
    <row r="136" ht="14.25" hidden="1" customHeight="1">
      <c r="A136" s="1" t="str">
        <f>MID($C$107,Constanst!X27,1)</f>
        <v>0</v>
      </c>
      <c r="B136" s="1" t="str">
        <f t="shared" si="28"/>
        <v>1010111111000100001110110</v>
      </c>
    </row>
    <row r="137" ht="14.25" hidden="1" customHeight="1">
      <c r="A137" s="1" t="str">
        <f>MID($C$107,Constanst!X28,1)</f>
        <v>0</v>
      </c>
      <c r="B137" s="1" t="str">
        <f t="shared" si="28"/>
        <v>10101111110001000011101100</v>
      </c>
    </row>
    <row r="138" ht="14.25" hidden="1" customHeight="1">
      <c r="A138" s="1" t="str">
        <f>MID($C$107,Constanst!X29,1)</f>
        <v>1</v>
      </c>
      <c r="B138" s="1" t="str">
        <f t="shared" si="28"/>
        <v>101011111100010000111011001</v>
      </c>
    </row>
    <row r="139" ht="14.25" hidden="1" customHeight="1">
      <c r="A139" s="1" t="str">
        <f>MID($C$107,Constanst!X30,1)</f>
        <v>0</v>
      </c>
      <c r="B139" s="1" t="str">
        <f t="shared" si="28"/>
        <v>1010111111000100001110110010</v>
      </c>
    </row>
    <row r="140" ht="14.25" hidden="1" customHeight="1">
      <c r="A140" s="1" t="str">
        <f>MID($C$107,Constanst!X31,1)</f>
        <v>0</v>
      </c>
      <c r="B140" s="1" t="str">
        <f t="shared" si="28"/>
        <v>10101111110001000011101100100</v>
      </c>
    </row>
    <row r="141" ht="14.25" hidden="1" customHeight="1">
      <c r="A141" s="1" t="str">
        <f>MID($C$107,Constanst!X32,1)</f>
        <v>1</v>
      </c>
      <c r="B141" s="1" t="str">
        <f t="shared" si="28"/>
        <v>101011111100010000111011001001</v>
      </c>
    </row>
    <row r="142" ht="14.25" hidden="1" customHeight="1">
      <c r="A142" s="1" t="str">
        <f>MID($C$107,Constanst!X33,1)</f>
        <v>0</v>
      </c>
      <c r="B142" s="1" t="str">
        <f t="shared" si="28"/>
        <v>1010111111000100001110110010010</v>
      </c>
    </row>
    <row r="143" ht="14.25" customHeight="1">
      <c r="A143" s="1" t="str">
        <f>MID($C$107,Constanst!X34,1)</f>
        <v>1</v>
      </c>
      <c r="B143" s="22" t="str">
        <f t="shared" si="28"/>
        <v>10101111110001000011101100100101</v>
      </c>
    </row>
    <row r="144" ht="14.25" customHeight="1"/>
    <row r="145" ht="14.25" customHeight="1">
      <c r="A145" s="1" t="s">
        <v>92</v>
      </c>
      <c r="B145" s="1" t="str">
        <f>B143</f>
        <v>10101111110001000011101100100101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10101111</v>
      </c>
      <c r="C148" s="20" t="str">
        <f t="shared" ref="C148:C151" si="30">BIN2HEX(B148,2)</f>
        <v>AF</v>
      </c>
      <c r="D148" s="20">
        <f t="shared" ref="D148:D151" si="31">HEX2DEC(C148)</f>
        <v>175</v>
      </c>
    </row>
    <row r="149" ht="14.25" customHeight="1">
      <c r="A149" s="20">
        <v>2.0</v>
      </c>
      <c r="B149" s="20" t="str">
        <f t="shared" si="29"/>
        <v>11000100</v>
      </c>
      <c r="C149" s="20" t="str">
        <f t="shared" si="30"/>
        <v>C4</v>
      </c>
      <c r="D149" s="20">
        <f t="shared" si="31"/>
        <v>196</v>
      </c>
    </row>
    <row r="150" ht="14.25" customHeight="1">
      <c r="A150" s="20">
        <v>3.0</v>
      </c>
      <c r="B150" s="20" t="str">
        <f t="shared" si="29"/>
        <v>00111011</v>
      </c>
      <c r="C150" s="20" t="str">
        <f t="shared" si="30"/>
        <v>3B</v>
      </c>
      <c r="D150" s="20">
        <f t="shared" si="31"/>
        <v>59</v>
      </c>
    </row>
    <row r="151" ht="14.25" customHeight="1">
      <c r="A151" s="20">
        <v>4.0</v>
      </c>
      <c r="B151" s="20" t="str">
        <f t="shared" si="29"/>
        <v>00100101</v>
      </c>
      <c r="C151" s="20" t="str">
        <f t="shared" si="30"/>
        <v>25</v>
      </c>
      <c r="D151" s="20">
        <f t="shared" si="31"/>
        <v>37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K7</v>
      </c>
      <c r="D2" s="1" t="str">
        <f>Input!I7</f>
        <v>011011001000010010110111100010101110010011000110</v>
      </c>
    </row>
    <row r="3" ht="14.25" customHeight="1">
      <c r="A3" s="1" t="s">
        <v>92</v>
      </c>
      <c r="B3" s="1" t="str">
        <f t="array" ref="B3">INDIRECT("'f(" &amp; L5 &amp; "," &amp; L7 &amp; ")'!B145")</f>
        <v>10101111110001000011101100100101</v>
      </c>
    </row>
    <row r="4" ht="14.25" customHeight="1">
      <c r="A4" s="1" t="str">
        <f t="shared" ref="A4:A5" si="1">L4</f>
        <v>L5</v>
      </c>
      <c r="B4" s="1" t="str">
        <f t="array" ref="B4">INDIRECT("'f(" &amp; L5 &amp; "," &amp; L7 &amp; ")'!C22")</f>
        <v>10011100010101010010110100010011</v>
      </c>
      <c r="L4" s="1" t="s">
        <v>108</v>
      </c>
      <c r="M4" s="1" t="s">
        <v>110</v>
      </c>
    </row>
    <row r="5" ht="14.25" customHeight="1">
      <c r="A5" s="1" t="str">
        <f t="shared" si="1"/>
        <v>R5</v>
      </c>
      <c r="B5" s="1" t="str">
        <f t="array" ref="B5">INDIRECT("'f(" &amp; L5 &amp; "," &amp; L7 &amp; ")'!C14")</f>
        <v>00001101001001101011110011110101</v>
      </c>
      <c r="L5" s="1" t="s">
        <v>109</v>
      </c>
      <c r="M5" s="1" t="s">
        <v>111</v>
      </c>
    </row>
    <row r="6" ht="14.25" customHeight="1">
      <c r="L6" s="1" t="s">
        <v>12</v>
      </c>
    </row>
    <row r="7" ht="14.25" customHeight="1">
      <c r="A7" s="11" t="s">
        <v>98</v>
      </c>
      <c r="B7" s="5"/>
      <c r="C7" s="5"/>
      <c r="D7" s="6"/>
      <c r="G7" s="11" t="str">
        <f>L4</f>
        <v>L5</v>
      </c>
      <c r="H7" s="5"/>
      <c r="I7" s="5"/>
      <c r="J7" s="6"/>
      <c r="L7" s="1" t="s">
        <v>11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10101111</v>
      </c>
      <c r="C9" s="20" t="str">
        <f t="shared" ref="C9:C12" si="3">BIN2HEX(B9,2)</f>
        <v>AF</v>
      </c>
      <c r="D9" s="20">
        <f t="shared" ref="D9:D12" si="4">HEX2DEC(C9)</f>
        <v>175</v>
      </c>
      <c r="G9" s="20">
        <v>1.0</v>
      </c>
      <c r="H9" s="20" t="str">
        <f t="shared" ref="H9:H12" si="5">MID($B$4,(G9-1)*8+1, 8)</f>
        <v>10011100</v>
      </c>
      <c r="I9" s="20" t="str">
        <f t="shared" ref="I9:I12" si="6">BIN2HEX(H9,2)</f>
        <v>9C</v>
      </c>
      <c r="J9" s="20">
        <f t="shared" ref="J9:J12" si="7">HEX2DEC(I9)</f>
        <v>156</v>
      </c>
    </row>
    <row r="10" ht="14.25" customHeight="1">
      <c r="A10" s="20">
        <v>2.0</v>
      </c>
      <c r="B10" s="20" t="str">
        <f t="shared" si="2"/>
        <v>11000100</v>
      </c>
      <c r="C10" s="20" t="str">
        <f t="shared" si="3"/>
        <v>C4</v>
      </c>
      <c r="D10" s="20">
        <f t="shared" si="4"/>
        <v>196</v>
      </c>
      <c r="G10" s="20">
        <v>2.0</v>
      </c>
      <c r="H10" s="20" t="str">
        <f t="shared" si="5"/>
        <v>01010101</v>
      </c>
      <c r="I10" s="20" t="str">
        <f t="shared" si="6"/>
        <v>55</v>
      </c>
      <c r="J10" s="20">
        <f t="shared" si="7"/>
        <v>85</v>
      </c>
    </row>
    <row r="11" ht="14.25" customHeight="1">
      <c r="A11" s="20">
        <v>3.0</v>
      </c>
      <c r="B11" s="20" t="str">
        <f t="shared" si="2"/>
        <v>00111011</v>
      </c>
      <c r="C11" s="20" t="str">
        <f t="shared" si="3"/>
        <v>3B</v>
      </c>
      <c r="D11" s="20">
        <f t="shared" si="4"/>
        <v>59</v>
      </c>
      <c r="G11" s="20">
        <v>3.0</v>
      </c>
      <c r="H11" s="20" t="str">
        <f t="shared" si="5"/>
        <v>00101101</v>
      </c>
      <c r="I11" s="20" t="str">
        <f t="shared" si="6"/>
        <v>2D</v>
      </c>
      <c r="J11" s="20">
        <f t="shared" si="7"/>
        <v>45</v>
      </c>
    </row>
    <row r="12" ht="14.25" customHeight="1">
      <c r="A12" s="20">
        <v>4.0</v>
      </c>
      <c r="B12" s="20" t="str">
        <f t="shared" si="2"/>
        <v>00100101</v>
      </c>
      <c r="C12" s="20" t="str">
        <f t="shared" si="3"/>
        <v>25</v>
      </c>
      <c r="D12" s="20">
        <f t="shared" si="4"/>
        <v>37</v>
      </c>
      <c r="G12" s="20">
        <v>4.0</v>
      </c>
      <c r="H12" s="20" t="str">
        <f t="shared" si="5"/>
        <v>00010011</v>
      </c>
      <c r="I12" s="20" t="str">
        <f t="shared" si="6"/>
        <v>13</v>
      </c>
      <c r="J12" s="20">
        <f t="shared" si="7"/>
        <v>19</v>
      </c>
    </row>
    <row r="13" ht="14.25" customHeight="1"/>
    <row r="14" ht="14.25" customHeight="1">
      <c r="A14" s="1" t="str">
        <f>M5&amp;" = F XOR "&amp;L4&amp;" ="</f>
        <v>R6 = F XOR L5 =</v>
      </c>
      <c r="C14" s="23" t="str">
        <f>F17&amp;F18&amp;F19&amp;F20</f>
        <v>00110011100100010001011000110110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51</v>
      </c>
      <c r="E17" s="20" t="str">
        <f t="shared" ref="E17:E20" si="9">DEC2HEX(D17,2)</f>
        <v>33</v>
      </c>
      <c r="F17" s="20" t="str">
        <f t="shared" ref="F17:F20" si="10">HEX2BIN(E17,8)</f>
        <v>00110011</v>
      </c>
    </row>
    <row r="18" ht="14.25" customHeight="1">
      <c r="C18" s="20">
        <v>2.0</v>
      </c>
      <c r="D18" s="20">
        <f t="shared" si="8"/>
        <v>145</v>
      </c>
      <c r="E18" s="20" t="str">
        <f t="shared" si="9"/>
        <v>91</v>
      </c>
      <c r="F18" s="20" t="str">
        <f t="shared" si="10"/>
        <v>10010001</v>
      </c>
    </row>
    <row r="19" ht="14.25" customHeight="1">
      <c r="C19" s="20">
        <v>3.0</v>
      </c>
      <c r="D19" s="20">
        <f t="shared" si="8"/>
        <v>22</v>
      </c>
      <c r="E19" s="20" t="str">
        <f t="shared" si="9"/>
        <v>16</v>
      </c>
      <c r="F19" s="20" t="str">
        <f t="shared" si="10"/>
        <v>00010110</v>
      </c>
    </row>
    <row r="20" ht="14.25" customHeight="1">
      <c r="C20" s="20">
        <v>4.0</v>
      </c>
      <c r="D20" s="20">
        <f t="shared" si="8"/>
        <v>54</v>
      </c>
      <c r="E20" s="20" t="str">
        <f t="shared" si="9"/>
        <v>36</v>
      </c>
      <c r="F20" s="20" t="str">
        <f t="shared" si="10"/>
        <v>00110110</v>
      </c>
    </row>
    <row r="21" ht="14.25" customHeight="1"/>
    <row r="22" ht="14.25" customHeight="1">
      <c r="A22" s="1" t="str">
        <f>M4&amp;" = "&amp;L5&amp;" ="</f>
        <v>L6 = R5 =</v>
      </c>
      <c r="C22" s="23" t="str">
        <f>B5</f>
        <v>00001101001001101011110011110101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R6 =&gt; E(R6)</v>
      </c>
      <c r="D24" s="1" t="str">
        <f>B26</f>
        <v>000110100111110010100010100010101100000110101100</v>
      </c>
    </row>
    <row r="25" ht="14.25" customHeight="1">
      <c r="A25" s="1" t="s">
        <v>66</v>
      </c>
    </row>
    <row r="26" ht="14.25" customHeight="1">
      <c r="A26" s="1" t="str">
        <f>MID($C$14,Constanst!K3,1)</f>
        <v>0</v>
      </c>
      <c r="B26" s="1" t="str">
        <f t="shared" ref="B26:B71" si="11">A26&amp;B27</f>
        <v>000110100111110010100010100010101100000110101100</v>
      </c>
    </row>
    <row r="27" ht="14.25" customHeight="1">
      <c r="A27" s="1" t="str">
        <f>MID($C$14,Constanst!K4,1)</f>
        <v>0</v>
      </c>
      <c r="B27" s="1" t="str">
        <f t="shared" si="11"/>
        <v>00110100111110010100010100010101100000110101100</v>
      </c>
    </row>
    <row r="28" ht="14.25" customHeight="1">
      <c r="A28" s="1" t="str">
        <f>MID($C$14,Constanst!K5,1)</f>
        <v>0</v>
      </c>
      <c r="B28" s="1" t="str">
        <f t="shared" si="11"/>
        <v>0110100111110010100010100010101100000110101100</v>
      </c>
    </row>
    <row r="29" ht="14.25" customHeight="1">
      <c r="A29" s="1" t="str">
        <f>MID($C$14,Constanst!K6,1)</f>
        <v>1</v>
      </c>
      <c r="B29" s="1" t="str">
        <f t="shared" si="11"/>
        <v>110100111110010100010100010101100000110101100</v>
      </c>
    </row>
    <row r="30" ht="14.25" customHeight="1">
      <c r="A30" s="1" t="str">
        <f>MID($C$14,Constanst!K7,1)</f>
        <v>1</v>
      </c>
      <c r="B30" s="1" t="str">
        <f t="shared" si="11"/>
        <v>10100111110010100010100010101100000110101100</v>
      </c>
    </row>
    <row r="31" ht="14.25" customHeight="1">
      <c r="A31" s="1" t="str">
        <f>MID($C$14,Constanst!K8,1)</f>
        <v>0</v>
      </c>
      <c r="B31" s="1" t="str">
        <f t="shared" si="11"/>
        <v>0100111110010100010100010101100000110101100</v>
      </c>
    </row>
    <row r="32" ht="14.25" customHeight="1">
      <c r="A32" s="1" t="str">
        <f>MID($C$14,Constanst!K9,1)</f>
        <v>1</v>
      </c>
      <c r="B32" s="1" t="str">
        <f t="shared" si="11"/>
        <v>100111110010100010100010101100000110101100</v>
      </c>
    </row>
    <row r="33" ht="14.25" customHeight="1">
      <c r="A33" s="1" t="str">
        <f>MID($C$14,Constanst!K10,1)</f>
        <v>0</v>
      </c>
      <c r="B33" s="1" t="str">
        <f t="shared" si="11"/>
        <v>00111110010100010100010101100000110101100</v>
      </c>
    </row>
    <row r="34" ht="14.25" customHeight="1">
      <c r="A34" s="1" t="str">
        <f>MID($C$14,Constanst!K11,1)</f>
        <v>0</v>
      </c>
      <c r="B34" s="1" t="str">
        <f t="shared" si="11"/>
        <v>0111110010100010100010101100000110101100</v>
      </c>
    </row>
    <row r="35" ht="14.25" customHeight="1">
      <c r="A35" s="1" t="str">
        <f>MID($C$14,Constanst!K12,1)</f>
        <v>1</v>
      </c>
      <c r="B35" s="1" t="str">
        <f t="shared" si="11"/>
        <v>111110010100010100010101100000110101100</v>
      </c>
    </row>
    <row r="36" ht="14.25" customHeight="1">
      <c r="A36" s="1" t="str">
        <f>MID($C$14,Constanst!K13,1)</f>
        <v>1</v>
      </c>
      <c r="B36" s="1" t="str">
        <f t="shared" si="11"/>
        <v>11110010100010100010101100000110101100</v>
      </c>
    </row>
    <row r="37" ht="14.25" customHeight="1">
      <c r="A37" s="1" t="str">
        <f>MID($C$14,Constanst!K14,1)</f>
        <v>1</v>
      </c>
      <c r="B37" s="1" t="str">
        <f t="shared" si="11"/>
        <v>1110010100010100010101100000110101100</v>
      </c>
    </row>
    <row r="38" ht="14.25" customHeight="1">
      <c r="A38" s="1" t="str">
        <f>MID($C$14,Constanst!K15,1)</f>
        <v>1</v>
      </c>
      <c r="B38" s="1" t="str">
        <f t="shared" si="11"/>
        <v>110010100010100010101100000110101100</v>
      </c>
    </row>
    <row r="39" ht="14.25" customHeight="1">
      <c r="A39" s="1" t="str">
        <f>MID($C$14,Constanst!K16,1)</f>
        <v>1</v>
      </c>
      <c r="B39" s="1" t="str">
        <f t="shared" si="11"/>
        <v>10010100010100010101100000110101100</v>
      </c>
    </row>
    <row r="40" ht="14.25" customHeight="1">
      <c r="A40" s="1" t="str">
        <f>MID($C$14,Constanst!K17,1)</f>
        <v>0</v>
      </c>
      <c r="B40" s="1" t="str">
        <f t="shared" si="11"/>
        <v>0010100010100010101100000110101100</v>
      </c>
    </row>
    <row r="41" ht="14.25" customHeight="1">
      <c r="A41" s="1" t="str">
        <f>MID($C$14,Constanst!K18,1)</f>
        <v>0</v>
      </c>
      <c r="B41" s="1" t="str">
        <f t="shared" si="11"/>
        <v>010100010100010101100000110101100</v>
      </c>
    </row>
    <row r="42" ht="14.25" customHeight="1">
      <c r="A42" s="1" t="str">
        <f>MID($C$14,Constanst!K19,1)</f>
        <v>1</v>
      </c>
      <c r="B42" s="1" t="str">
        <f t="shared" si="11"/>
        <v>10100010100010101100000110101100</v>
      </c>
    </row>
    <row r="43" ht="14.25" customHeight="1">
      <c r="A43" s="1" t="str">
        <f>MID($C$14,Constanst!K20,1)</f>
        <v>0</v>
      </c>
      <c r="B43" s="1" t="str">
        <f t="shared" si="11"/>
        <v>0100010100010101100000110101100</v>
      </c>
    </row>
    <row r="44" ht="14.25" customHeight="1">
      <c r="A44" s="1" t="str">
        <f>MID($C$14,Constanst!K21,1)</f>
        <v>1</v>
      </c>
      <c r="B44" s="1" t="str">
        <f t="shared" si="11"/>
        <v>100010100010101100000110101100</v>
      </c>
    </row>
    <row r="45" ht="14.25" customHeight="1">
      <c r="A45" s="1" t="str">
        <f>MID($C$14,Constanst!K22,1)</f>
        <v>0</v>
      </c>
      <c r="B45" s="1" t="str">
        <f t="shared" si="11"/>
        <v>00010100010101100000110101100</v>
      </c>
    </row>
    <row r="46" ht="14.25" customHeight="1">
      <c r="A46" s="1" t="str">
        <f>MID($C$14,Constanst!K23,1)</f>
        <v>0</v>
      </c>
      <c r="B46" s="1" t="str">
        <f t="shared" si="11"/>
        <v>0010100010101100000110101100</v>
      </c>
    </row>
    <row r="47" ht="14.25" customHeight="1">
      <c r="A47" s="1" t="str">
        <f>MID($C$14,Constanst!K24,1)</f>
        <v>0</v>
      </c>
      <c r="B47" s="1" t="str">
        <f t="shared" si="11"/>
        <v>010100010101100000110101100</v>
      </c>
    </row>
    <row r="48" ht="14.25" customHeight="1">
      <c r="A48" s="1" t="str">
        <f>MID($C$14,Constanst!K25,1)</f>
        <v>1</v>
      </c>
      <c r="B48" s="1" t="str">
        <f t="shared" si="11"/>
        <v>10100010101100000110101100</v>
      </c>
    </row>
    <row r="49" ht="14.25" customHeight="1">
      <c r="A49" s="1" t="str">
        <f>MID($C$14,Constanst!K26,1)</f>
        <v>0</v>
      </c>
      <c r="B49" s="1" t="str">
        <f t="shared" si="11"/>
        <v>0100010101100000110101100</v>
      </c>
    </row>
    <row r="50" ht="14.25" customHeight="1">
      <c r="A50" s="1" t="str">
        <f>MID($C$14,Constanst!K27,1)</f>
        <v>1</v>
      </c>
      <c r="B50" s="1" t="str">
        <f t="shared" si="11"/>
        <v>100010101100000110101100</v>
      </c>
    </row>
    <row r="51" ht="14.25" customHeight="1">
      <c r="A51" s="1" t="str">
        <f>MID($C$14,Constanst!K28,1)</f>
        <v>0</v>
      </c>
      <c r="B51" s="1" t="str">
        <f t="shared" si="11"/>
        <v>00010101100000110101100</v>
      </c>
    </row>
    <row r="52" ht="14.25" customHeight="1">
      <c r="A52" s="1" t="str">
        <f>MID($C$14,Constanst!K29,1)</f>
        <v>0</v>
      </c>
      <c r="B52" s="1" t="str">
        <f t="shared" si="11"/>
        <v>0010101100000110101100</v>
      </c>
    </row>
    <row r="53" ht="14.25" customHeight="1">
      <c r="A53" s="1" t="str">
        <f>MID($C$14,Constanst!K30,1)</f>
        <v>0</v>
      </c>
      <c r="B53" s="1" t="str">
        <f t="shared" si="11"/>
        <v>010101100000110101100</v>
      </c>
    </row>
    <row r="54" ht="14.25" customHeight="1">
      <c r="A54" s="1" t="str">
        <f>MID($C$14,Constanst!K31,1)</f>
        <v>1</v>
      </c>
      <c r="B54" s="1" t="str">
        <f t="shared" si="11"/>
        <v>10101100000110101100</v>
      </c>
    </row>
    <row r="55" ht="14.25" customHeight="1">
      <c r="A55" s="1" t="str">
        <f>MID($C$14,Constanst!K32,1)</f>
        <v>0</v>
      </c>
      <c r="B55" s="1" t="str">
        <f t="shared" si="11"/>
        <v>0101100000110101100</v>
      </c>
    </row>
    <row r="56" ht="14.25" customHeight="1">
      <c r="A56" s="1" t="str">
        <f>MID($C$14,Constanst!K33,1)</f>
        <v>1</v>
      </c>
      <c r="B56" s="1" t="str">
        <f t="shared" si="11"/>
        <v>101100000110101100</v>
      </c>
    </row>
    <row r="57" ht="14.25" customHeight="1">
      <c r="A57" s="1" t="str">
        <f>MID($C$14,Constanst!K34,1)</f>
        <v>0</v>
      </c>
      <c r="B57" s="1" t="str">
        <f t="shared" si="11"/>
        <v>01100000110101100</v>
      </c>
    </row>
    <row r="58" ht="14.25" customHeight="1">
      <c r="A58" s="1" t="str">
        <f>MID($C$14,Constanst!K35,1)</f>
        <v>1</v>
      </c>
      <c r="B58" s="1" t="str">
        <f t="shared" si="11"/>
        <v>1100000110101100</v>
      </c>
    </row>
    <row r="59" ht="14.25" customHeight="1">
      <c r="A59" s="1" t="str">
        <f>MID($C$14,Constanst!K36,1)</f>
        <v>1</v>
      </c>
      <c r="B59" s="1" t="str">
        <f t="shared" si="11"/>
        <v>100000110101100</v>
      </c>
    </row>
    <row r="60" ht="14.25" customHeight="1">
      <c r="A60" s="1" t="str">
        <f>MID($C$14,Constanst!K37,1)</f>
        <v>0</v>
      </c>
      <c r="B60" s="1" t="str">
        <f t="shared" si="11"/>
        <v>00000110101100</v>
      </c>
    </row>
    <row r="61" ht="14.25" customHeight="1">
      <c r="A61" s="1" t="str">
        <f>MID($C$14,Constanst!K38,1)</f>
        <v>0</v>
      </c>
      <c r="B61" s="1" t="str">
        <f t="shared" si="11"/>
        <v>0000110101100</v>
      </c>
    </row>
    <row r="62" ht="14.25" customHeight="1">
      <c r="A62" s="1" t="str">
        <f>MID($C$14,Constanst!K39,1)</f>
        <v>0</v>
      </c>
      <c r="B62" s="1" t="str">
        <f t="shared" si="11"/>
        <v>000110101100</v>
      </c>
    </row>
    <row r="63" ht="14.25" customHeight="1">
      <c r="A63" s="1" t="str">
        <f>MID($C$14,Constanst!K40,1)</f>
        <v>0</v>
      </c>
      <c r="B63" s="1" t="str">
        <f t="shared" si="11"/>
        <v>00110101100</v>
      </c>
    </row>
    <row r="64" ht="14.25" customHeight="1">
      <c r="A64" s="1" t="str">
        <f>MID($C$14,Constanst!K41,1)</f>
        <v>0</v>
      </c>
      <c r="B64" s="1" t="str">
        <f t="shared" si="11"/>
        <v>0110101100</v>
      </c>
    </row>
    <row r="65" ht="14.25" customHeight="1">
      <c r="A65" s="1" t="str">
        <f>MID($C$14,Constanst!K42,1)</f>
        <v>1</v>
      </c>
      <c r="B65" s="1" t="str">
        <f t="shared" si="11"/>
        <v>110101100</v>
      </c>
    </row>
    <row r="66" ht="14.25" customHeight="1">
      <c r="A66" s="1" t="str">
        <f>MID($C$14,Constanst!K43,1)</f>
        <v>1</v>
      </c>
      <c r="B66" s="1" t="str">
        <f t="shared" si="11"/>
        <v>10101100</v>
      </c>
    </row>
    <row r="67" ht="14.25" customHeight="1">
      <c r="A67" s="1" t="str">
        <f>MID($C$14,Constanst!K44,1)</f>
        <v>0</v>
      </c>
      <c r="B67" s="1" t="str">
        <f t="shared" si="11"/>
        <v>0101100</v>
      </c>
    </row>
    <row r="68" ht="14.25" customHeight="1">
      <c r="A68" s="1" t="str">
        <f>MID($C$14,Constanst!K45,1)</f>
        <v>1</v>
      </c>
      <c r="B68" s="1" t="str">
        <f t="shared" si="11"/>
        <v>101100</v>
      </c>
    </row>
    <row r="69" ht="14.25" customHeight="1">
      <c r="A69" s="1" t="str">
        <f>MID($C$14,Constanst!K46,1)</f>
        <v>0</v>
      </c>
      <c r="B69" s="1" t="str">
        <f t="shared" si="11"/>
        <v>01100</v>
      </c>
    </row>
    <row r="70" ht="14.25" customHeight="1">
      <c r="A70" s="1" t="str">
        <f>MID($C$14,Constanst!K47,1)</f>
        <v>1</v>
      </c>
      <c r="B70" s="1" t="str">
        <f t="shared" si="11"/>
        <v>1100</v>
      </c>
    </row>
    <row r="71" ht="14.25" customHeight="1">
      <c r="A71" s="1" t="str">
        <f>MID($C$14,Constanst!K48,1)</f>
        <v>1</v>
      </c>
      <c r="B71" s="1" t="str">
        <f t="shared" si="11"/>
        <v>100</v>
      </c>
    </row>
    <row r="72" ht="14.25" customHeight="1">
      <c r="A72" s="1" t="str">
        <f>MID($C$14,Constanst!K49,1)</f>
        <v>0</v>
      </c>
      <c r="B72" s="1" t="str">
        <f>A72&amp;A73</f>
        <v>00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E(R6) XOR K7</v>
      </c>
    </row>
    <row r="76" ht="14.25" customHeight="1">
      <c r="A76" s="11" t="str">
        <f>"Khóa " &amp; L6</f>
        <v>Khóa K7</v>
      </c>
      <c r="B76" s="5"/>
      <c r="C76" s="5"/>
      <c r="D76" s="6"/>
      <c r="G76" s="11" t="str">
        <f>"E("&amp;M5&amp;")"</f>
        <v>E(R6)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01101100</v>
      </c>
      <c r="C78" s="20" t="str">
        <f t="shared" ref="C78:C83" si="13">BIN2HEX(B78,2)</f>
        <v>6C</v>
      </c>
      <c r="D78" s="20">
        <f t="shared" ref="D78:D83" si="14">BIN2DEC(B78)</f>
        <v>108</v>
      </c>
      <c r="G78" s="20">
        <v>1.0</v>
      </c>
      <c r="H78" s="20" t="str">
        <f t="shared" ref="H78:H83" si="15">MID($D$24,(G78-1)*8+1, 8)</f>
        <v>00011010</v>
      </c>
      <c r="I78" s="20" t="str">
        <f t="shared" ref="I78:I83" si="16">BIN2HEX(H78,2)</f>
        <v>1A</v>
      </c>
      <c r="J78" s="20">
        <f t="shared" ref="J78:J83" si="17">BIN2DEC(H78)</f>
        <v>26</v>
      </c>
    </row>
    <row r="79" ht="14.25" customHeight="1">
      <c r="A79" s="20">
        <v>2.0</v>
      </c>
      <c r="B79" s="20" t="str">
        <f t="shared" si="12"/>
        <v>10000100</v>
      </c>
      <c r="C79" s="20" t="str">
        <f t="shared" si="13"/>
        <v>84</v>
      </c>
      <c r="D79" s="20">
        <f t="shared" si="14"/>
        <v>132</v>
      </c>
      <c r="G79" s="20">
        <v>2.0</v>
      </c>
      <c r="H79" s="20" t="str">
        <f t="shared" si="15"/>
        <v>01111100</v>
      </c>
      <c r="I79" s="20" t="str">
        <f t="shared" si="16"/>
        <v>7C</v>
      </c>
      <c r="J79" s="20">
        <f t="shared" si="17"/>
        <v>124</v>
      </c>
    </row>
    <row r="80" ht="14.25" customHeight="1">
      <c r="A80" s="20">
        <v>3.0</v>
      </c>
      <c r="B80" s="20" t="str">
        <f t="shared" si="12"/>
        <v>10110111</v>
      </c>
      <c r="C80" s="20" t="str">
        <f t="shared" si="13"/>
        <v>B7</v>
      </c>
      <c r="D80" s="20">
        <f t="shared" si="14"/>
        <v>183</v>
      </c>
      <c r="G80" s="20">
        <v>3.0</v>
      </c>
      <c r="H80" s="20" t="str">
        <f t="shared" si="15"/>
        <v>10100010</v>
      </c>
      <c r="I80" s="20" t="str">
        <f t="shared" si="16"/>
        <v>A2</v>
      </c>
      <c r="J80" s="20">
        <f t="shared" si="17"/>
        <v>162</v>
      </c>
    </row>
    <row r="81" ht="14.25" customHeight="1">
      <c r="A81" s="20">
        <v>4.0</v>
      </c>
      <c r="B81" s="20" t="str">
        <f t="shared" si="12"/>
        <v>10001010</v>
      </c>
      <c r="C81" s="20" t="str">
        <f t="shared" si="13"/>
        <v>8A</v>
      </c>
      <c r="D81" s="20">
        <f t="shared" si="14"/>
        <v>138</v>
      </c>
      <c r="G81" s="20">
        <v>4.0</v>
      </c>
      <c r="H81" s="20" t="str">
        <f t="shared" si="15"/>
        <v>10001010</v>
      </c>
      <c r="I81" s="20" t="str">
        <f t="shared" si="16"/>
        <v>8A</v>
      </c>
      <c r="J81" s="20">
        <f t="shared" si="17"/>
        <v>138</v>
      </c>
    </row>
    <row r="82" ht="14.25" customHeight="1">
      <c r="A82" s="20">
        <v>5.0</v>
      </c>
      <c r="B82" s="20" t="str">
        <f t="shared" si="12"/>
        <v>11100100</v>
      </c>
      <c r="C82" s="20" t="str">
        <f t="shared" si="13"/>
        <v>E4</v>
      </c>
      <c r="D82" s="20">
        <f t="shared" si="14"/>
        <v>228</v>
      </c>
      <c r="G82" s="20">
        <v>5.0</v>
      </c>
      <c r="H82" s="20" t="str">
        <f t="shared" si="15"/>
        <v>11000001</v>
      </c>
      <c r="I82" s="20" t="str">
        <f t="shared" si="16"/>
        <v>C1</v>
      </c>
      <c r="J82" s="20">
        <f t="shared" si="17"/>
        <v>193</v>
      </c>
    </row>
    <row r="83" ht="14.25" customHeight="1">
      <c r="A83" s="20">
        <v>6.0</v>
      </c>
      <c r="B83" s="20" t="str">
        <f t="shared" si="12"/>
        <v>11000110</v>
      </c>
      <c r="C83" s="20" t="str">
        <f t="shared" si="13"/>
        <v>C6</v>
      </c>
      <c r="D83" s="20">
        <f t="shared" si="14"/>
        <v>198</v>
      </c>
      <c r="G83" s="20">
        <v>6.0</v>
      </c>
      <c r="H83" s="20" t="str">
        <f t="shared" si="15"/>
        <v>10101100</v>
      </c>
      <c r="I83" s="20" t="str">
        <f t="shared" si="16"/>
        <v>AC</v>
      </c>
      <c r="J83" s="20">
        <f t="shared" si="17"/>
        <v>172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XOR(ER6, K7)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118</v>
      </c>
      <c r="C86" s="26" t="str">
        <f t="shared" ref="C86:C91" si="19">DEC2BIN(B86,8)</f>
        <v>01110110</v>
      </c>
      <c r="D86" s="26" t="str">
        <f t="shared" ref="D86:D91" si="20">BIN2HEX(C86,2)</f>
        <v>76</v>
      </c>
    </row>
    <row r="87" ht="14.25" customHeight="1">
      <c r="A87" s="26">
        <v>2.0</v>
      </c>
      <c r="B87" s="26">
        <f t="shared" si="18"/>
        <v>248</v>
      </c>
      <c r="C87" s="26" t="str">
        <f t="shared" si="19"/>
        <v>11111000</v>
      </c>
      <c r="D87" s="26" t="str">
        <f t="shared" si="20"/>
        <v>F8</v>
      </c>
    </row>
    <row r="88" ht="14.25" customHeight="1">
      <c r="A88" s="26">
        <v>3.0</v>
      </c>
      <c r="B88" s="26">
        <f t="shared" si="18"/>
        <v>21</v>
      </c>
      <c r="C88" s="26" t="str">
        <f t="shared" si="19"/>
        <v>00010101</v>
      </c>
      <c r="D88" s="26" t="str">
        <f t="shared" si="20"/>
        <v>15</v>
      </c>
    </row>
    <row r="89" ht="14.25" customHeight="1">
      <c r="A89" s="26">
        <v>4.0</v>
      </c>
      <c r="B89" s="26">
        <f t="shared" si="18"/>
        <v>0</v>
      </c>
      <c r="C89" s="26" t="str">
        <f t="shared" si="19"/>
        <v>00000000</v>
      </c>
      <c r="D89" s="26" t="str">
        <f t="shared" si="20"/>
        <v>00</v>
      </c>
    </row>
    <row r="90" ht="14.25" customHeight="1">
      <c r="A90" s="26">
        <v>5.0</v>
      </c>
      <c r="B90" s="26">
        <f t="shared" si="18"/>
        <v>37</v>
      </c>
      <c r="C90" s="26" t="str">
        <f t="shared" si="19"/>
        <v>00100101</v>
      </c>
      <c r="D90" s="26" t="str">
        <f t="shared" si="20"/>
        <v>25</v>
      </c>
    </row>
    <row r="91" ht="14.25" customHeight="1">
      <c r="A91" s="26">
        <v>6.0</v>
      </c>
      <c r="B91" s="26">
        <f t="shared" si="18"/>
        <v>106</v>
      </c>
      <c r="C91" s="26" t="str">
        <f t="shared" si="19"/>
        <v>01101010</v>
      </c>
      <c r="D91" s="26" t="str">
        <f t="shared" si="20"/>
        <v>6A</v>
      </c>
    </row>
    <row r="92" ht="14.25" customHeight="1"/>
    <row r="93" ht="14.25" customHeight="1">
      <c r="B93" s="1" t="str">
        <f>"A = E"&amp;M5&amp;" XOR "&amp;L6&amp;" ="</f>
        <v>A = ER6 XOR K7 =</v>
      </c>
      <c r="D93" s="22" t="str">
        <f>C86&amp;C87&amp;C88&amp;C89&amp;C90&amp;C91</f>
        <v>011101101111100000010101000000000010010101101010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011101</v>
      </c>
      <c r="C98" s="3" t="str">
        <f t="shared" ref="C98:C105" si="22">LEFT(B98,1)&amp;(RIGHT(B98,1))</f>
        <v>01</v>
      </c>
      <c r="D98" s="3" t="str">
        <f t="shared" ref="D98:D105" si="23">MID(B98,2,4)</f>
        <v>1110</v>
      </c>
      <c r="E98" s="3" t="str">
        <f t="shared" ref="E98:E105" si="24">C98&amp;D98</f>
        <v>011110</v>
      </c>
      <c r="F98" s="18">
        <f t="shared" ref="F98:F105" si="25">BIN2DEC(E98)</f>
        <v>30</v>
      </c>
      <c r="G98" s="3">
        <f>VLOOKUP(F98,Constanst!$M$3:$U$66,2,TRUE)</f>
        <v>3</v>
      </c>
      <c r="H98" s="3" t="str">
        <f t="shared" ref="H98:H105" si="26">DEC2BIN(G98,4)</f>
        <v>0011</v>
      </c>
      <c r="I98" s="3" t="str">
        <f>H98</f>
        <v>0011</v>
      </c>
    </row>
    <row r="99" ht="14.25" customHeight="1">
      <c r="A99" s="3">
        <v>2.0</v>
      </c>
      <c r="B99" s="3" t="str">
        <f t="shared" si="21"/>
        <v>101111</v>
      </c>
      <c r="C99" s="3" t="str">
        <f t="shared" si="22"/>
        <v>11</v>
      </c>
      <c r="D99" s="3" t="str">
        <f t="shared" si="23"/>
        <v>0111</v>
      </c>
      <c r="E99" s="3" t="str">
        <f t="shared" si="24"/>
        <v>110111</v>
      </c>
      <c r="F99" s="18">
        <f t="shared" si="25"/>
        <v>55</v>
      </c>
      <c r="G99" s="3">
        <f>VLOOKUP(F99,Constanst!$M$3:$U$66,3,TRUE)</f>
        <v>2</v>
      </c>
      <c r="H99" s="3" t="str">
        <f t="shared" si="26"/>
        <v>0010</v>
      </c>
      <c r="I99" s="3" t="str">
        <f t="shared" ref="I99:I105" si="27">I98&amp;H99</f>
        <v>00110010</v>
      </c>
    </row>
    <row r="100" ht="14.25" customHeight="1">
      <c r="A100" s="3">
        <v>3.0</v>
      </c>
      <c r="B100" s="3" t="str">
        <f t="shared" si="21"/>
        <v>100000</v>
      </c>
      <c r="C100" s="3" t="str">
        <f t="shared" si="22"/>
        <v>10</v>
      </c>
      <c r="D100" s="3" t="str">
        <f t="shared" si="23"/>
        <v>0000</v>
      </c>
      <c r="E100" s="3" t="str">
        <f t="shared" si="24"/>
        <v>100000</v>
      </c>
      <c r="F100" s="18">
        <f t="shared" si="25"/>
        <v>32</v>
      </c>
      <c r="G100" s="3">
        <f>VLOOKUP(F100,Constanst!$M$3:$U$66,4,TRUE)</f>
        <v>13</v>
      </c>
      <c r="H100" s="3" t="str">
        <f t="shared" si="26"/>
        <v>1101</v>
      </c>
      <c r="I100" s="3" t="str">
        <f t="shared" si="27"/>
        <v>001100101101</v>
      </c>
    </row>
    <row r="101" ht="14.25" customHeight="1">
      <c r="A101" s="3">
        <v>4.0</v>
      </c>
      <c r="B101" s="3" t="str">
        <f t="shared" si="21"/>
        <v>010101</v>
      </c>
      <c r="C101" s="3" t="str">
        <f t="shared" si="22"/>
        <v>01</v>
      </c>
      <c r="D101" s="3" t="str">
        <f t="shared" si="23"/>
        <v>1010</v>
      </c>
      <c r="E101" s="3" t="str">
        <f t="shared" si="24"/>
        <v>011010</v>
      </c>
      <c r="F101" s="18">
        <f t="shared" si="25"/>
        <v>26</v>
      </c>
      <c r="G101" s="3">
        <f>VLOOKUP(F101,Constanst!$M$3:$U$66,5,TRUE)</f>
        <v>2</v>
      </c>
      <c r="H101" s="3" t="str">
        <f t="shared" si="26"/>
        <v>0010</v>
      </c>
      <c r="I101" s="3" t="str">
        <f t="shared" si="27"/>
        <v>0011001011010010</v>
      </c>
    </row>
    <row r="102" ht="14.25" customHeight="1">
      <c r="A102" s="3">
        <v>5.0</v>
      </c>
      <c r="B102" s="3" t="str">
        <f t="shared" si="21"/>
        <v>000000</v>
      </c>
      <c r="C102" s="3" t="str">
        <f t="shared" si="22"/>
        <v>00</v>
      </c>
      <c r="D102" s="3" t="str">
        <f t="shared" si="23"/>
        <v>0000</v>
      </c>
      <c r="E102" s="3" t="str">
        <f t="shared" si="24"/>
        <v>000000</v>
      </c>
      <c r="F102" s="18">
        <f t="shared" si="25"/>
        <v>0</v>
      </c>
      <c r="G102" s="3">
        <f>VLOOKUP(F102,Constanst!$M$3:$U$66,6,TRUE)</f>
        <v>2</v>
      </c>
      <c r="H102" s="3" t="str">
        <f t="shared" si="26"/>
        <v>0010</v>
      </c>
      <c r="I102" s="3" t="str">
        <f t="shared" si="27"/>
        <v>00110010110100100010</v>
      </c>
    </row>
    <row r="103" ht="14.25" customHeight="1">
      <c r="A103" s="3">
        <v>6.0</v>
      </c>
      <c r="B103" s="3" t="str">
        <f t="shared" si="21"/>
        <v>000010</v>
      </c>
      <c r="C103" s="3" t="str">
        <f t="shared" si="22"/>
        <v>00</v>
      </c>
      <c r="D103" s="3" t="str">
        <f t="shared" si="23"/>
        <v>0001</v>
      </c>
      <c r="E103" s="3" t="str">
        <f t="shared" si="24"/>
        <v>000001</v>
      </c>
      <c r="F103" s="18">
        <f t="shared" si="25"/>
        <v>1</v>
      </c>
      <c r="G103" s="3">
        <f>VLOOKUP(F103,Constanst!$M$3:$U$66,7,TRUE)</f>
        <v>1</v>
      </c>
      <c r="H103" s="3" t="str">
        <f t="shared" si="26"/>
        <v>0001</v>
      </c>
      <c r="I103" s="3" t="str">
        <f t="shared" si="27"/>
        <v>001100101101001000100001</v>
      </c>
    </row>
    <row r="104" ht="14.25" customHeight="1">
      <c r="A104" s="3">
        <v>7.0</v>
      </c>
      <c r="B104" s="3" t="str">
        <f t="shared" si="21"/>
        <v>010101</v>
      </c>
      <c r="C104" s="3" t="str">
        <f t="shared" si="22"/>
        <v>01</v>
      </c>
      <c r="D104" s="3" t="str">
        <f t="shared" si="23"/>
        <v>1010</v>
      </c>
      <c r="E104" s="3" t="str">
        <f t="shared" si="24"/>
        <v>011010</v>
      </c>
      <c r="F104" s="18">
        <f t="shared" si="25"/>
        <v>26</v>
      </c>
      <c r="G104" s="3">
        <f>VLOOKUP(F104,Constanst!$M$3:$U$66,8,TRUE)</f>
        <v>5</v>
      </c>
      <c r="H104" s="3" t="str">
        <f t="shared" si="26"/>
        <v>0101</v>
      </c>
      <c r="I104" s="3" t="str">
        <f t="shared" si="27"/>
        <v>0011001011010010001000010101</v>
      </c>
    </row>
    <row r="105" ht="14.25" customHeight="1">
      <c r="A105" s="3">
        <v>8.0</v>
      </c>
      <c r="B105" s="3" t="str">
        <f t="shared" si="21"/>
        <v>101010</v>
      </c>
      <c r="C105" s="3" t="str">
        <f t="shared" si="22"/>
        <v>10</v>
      </c>
      <c r="D105" s="3" t="str">
        <f t="shared" si="23"/>
        <v>0101</v>
      </c>
      <c r="E105" s="3" t="str">
        <f t="shared" si="24"/>
        <v>100101</v>
      </c>
      <c r="F105" s="18">
        <f t="shared" si="25"/>
        <v>37</v>
      </c>
      <c r="G105" s="3">
        <f>VLOOKUP(F105,Constanst!$M$3:$U$66,9,TRUE)</f>
        <v>12</v>
      </c>
      <c r="H105" s="3" t="str">
        <f t="shared" si="26"/>
        <v>1100</v>
      </c>
      <c r="I105" s="3" t="str">
        <f t="shared" si="27"/>
        <v>00110010110100100010000101011100</v>
      </c>
    </row>
    <row r="106" ht="14.25" customHeight="1"/>
    <row r="107" ht="14.25" customHeight="1">
      <c r="B107" s="1" t="s">
        <v>90</v>
      </c>
      <c r="C107" s="1" t="str">
        <f>I105</f>
        <v>00110010110100100010000101011100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0</v>
      </c>
    </row>
    <row r="113" ht="14.25" hidden="1" customHeight="1">
      <c r="A113" s="1" t="str">
        <f>MID($C$107,Constanst!X4,1)</f>
        <v>1</v>
      </c>
      <c r="B113" s="1" t="str">
        <f>A112&amp;A113</f>
        <v>01</v>
      </c>
    </row>
    <row r="114" ht="14.25" hidden="1" customHeight="1">
      <c r="A114" s="1" t="str">
        <f>MID($C$107,Constanst!X5,1)</f>
        <v>0</v>
      </c>
      <c r="B114" s="1" t="str">
        <f t="shared" ref="B114:B143" si="28">B113&amp;A114</f>
        <v>010</v>
      </c>
    </row>
    <row r="115" ht="14.25" hidden="1" customHeight="1">
      <c r="A115" s="1" t="str">
        <f>MID($C$107,Constanst!X6,1)</f>
        <v>0</v>
      </c>
      <c r="B115" s="1" t="str">
        <f t="shared" si="28"/>
        <v>0100</v>
      </c>
    </row>
    <row r="116" ht="14.25" hidden="1" customHeight="1">
      <c r="A116" s="1" t="str">
        <f>MID($C$107,Constanst!X7,1)</f>
        <v>1</v>
      </c>
      <c r="B116" s="1" t="str">
        <f t="shared" si="28"/>
        <v>01001</v>
      </c>
    </row>
    <row r="117" ht="14.25" hidden="1" customHeight="1">
      <c r="A117" s="1" t="str">
        <f>MID($C$107,Constanst!X8,1)</f>
        <v>1</v>
      </c>
      <c r="B117" s="1" t="str">
        <f t="shared" si="28"/>
        <v>010011</v>
      </c>
    </row>
    <row r="118" ht="14.25" hidden="1" customHeight="1">
      <c r="A118" s="1" t="str">
        <f>MID($C$107,Constanst!X9,1)</f>
        <v>1</v>
      </c>
      <c r="B118" s="1" t="str">
        <f t="shared" si="28"/>
        <v>0100111</v>
      </c>
    </row>
    <row r="119" ht="14.25" hidden="1" customHeight="1">
      <c r="A119" s="1" t="str">
        <f>MID($C$107,Constanst!X10,1)</f>
        <v>0</v>
      </c>
      <c r="B119" s="1" t="str">
        <f t="shared" si="28"/>
        <v>01001110</v>
      </c>
    </row>
    <row r="120" ht="14.25" hidden="1" customHeight="1">
      <c r="A120" s="1" t="str">
        <f>MID($C$107,Constanst!X11,1)</f>
        <v>0</v>
      </c>
      <c r="B120" s="1" t="str">
        <f t="shared" si="28"/>
        <v>010011100</v>
      </c>
    </row>
    <row r="121" ht="14.25" hidden="1" customHeight="1">
      <c r="A121" s="1" t="str">
        <f>MID($C$107,Constanst!X12,1)</f>
        <v>1</v>
      </c>
      <c r="B121" s="1" t="str">
        <f t="shared" si="28"/>
        <v>0100111001</v>
      </c>
    </row>
    <row r="122" ht="14.25" hidden="1" customHeight="1">
      <c r="A122" s="1" t="str">
        <f>MID($C$107,Constanst!X13,1)</f>
        <v>0</v>
      </c>
      <c r="B122" s="1" t="str">
        <f t="shared" si="28"/>
        <v>01001110010</v>
      </c>
    </row>
    <row r="123" ht="14.25" hidden="1" customHeight="1">
      <c r="A123" s="1" t="str">
        <f>MID($C$107,Constanst!X14,1)</f>
        <v>1</v>
      </c>
      <c r="B123" s="1" t="str">
        <f t="shared" si="28"/>
        <v>010011100101</v>
      </c>
    </row>
    <row r="124" ht="14.25" hidden="1" customHeight="1">
      <c r="A124" s="1" t="str">
        <f>MID($C$107,Constanst!X15,1)</f>
        <v>0</v>
      </c>
      <c r="B124" s="1" t="str">
        <f t="shared" si="28"/>
        <v>0100111001010</v>
      </c>
    </row>
    <row r="125" ht="14.25" hidden="1" customHeight="1">
      <c r="A125" s="1" t="str">
        <f>MID($C$107,Constanst!X16,1)</f>
        <v>0</v>
      </c>
      <c r="B125" s="1" t="str">
        <f t="shared" si="28"/>
        <v>01001110010100</v>
      </c>
    </row>
    <row r="126" ht="14.25" hidden="1" customHeight="1">
      <c r="A126" s="1" t="str">
        <f>MID($C$107,Constanst!X17,1)</f>
        <v>0</v>
      </c>
      <c r="B126" s="1" t="str">
        <f t="shared" si="28"/>
        <v>010011100101000</v>
      </c>
    </row>
    <row r="127" ht="14.25" hidden="1" customHeight="1">
      <c r="A127" s="1" t="str">
        <f>MID($C$107,Constanst!X18,1)</f>
        <v>1</v>
      </c>
      <c r="B127" s="1" t="str">
        <f t="shared" si="28"/>
        <v>0100111001010001</v>
      </c>
    </row>
    <row r="128" ht="14.25" hidden="1" customHeight="1">
      <c r="A128" s="1" t="str">
        <f>MID($C$107,Constanst!X19,1)</f>
        <v>0</v>
      </c>
      <c r="B128" s="1" t="str">
        <f t="shared" si="28"/>
        <v>01001110010100010</v>
      </c>
    </row>
    <row r="129" ht="14.25" hidden="1" customHeight="1">
      <c r="A129" s="1" t="str">
        <f>MID($C$107,Constanst!X20,1)</f>
        <v>0</v>
      </c>
      <c r="B129" s="1" t="str">
        <f t="shared" si="28"/>
        <v>010011100101000100</v>
      </c>
    </row>
    <row r="130" ht="14.25" hidden="1" customHeight="1">
      <c r="A130" s="1" t="str">
        <f>MID($C$107,Constanst!X21,1)</f>
        <v>1</v>
      </c>
      <c r="B130" s="1" t="str">
        <f t="shared" si="28"/>
        <v>0100111001010001001</v>
      </c>
    </row>
    <row r="131" ht="14.25" hidden="1" customHeight="1">
      <c r="A131" s="1" t="str">
        <f>MID($C$107,Constanst!X22,1)</f>
        <v>0</v>
      </c>
      <c r="B131" s="1" t="str">
        <f t="shared" si="28"/>
        <v>01001110010100010010</v>
      </c>
    </row>
    <row r="132" ht="14.25" hidden="1" customHeight="1">
      <c r="A132" s="1" t="str">
        <f>MID($C$107,Constanst!X23,1)</f>
        <v>0</v>
      </c>
      <c r="B132" s="1" t="str">
        <f t="shared" si="28"/>
        <v>010011100101000100100</v>
      </c>
    </row>
    <row r="133" ht="14.25" hidden="1" customHeight="1">
      <c r="A133" s="1" t="str">
        <f>MID($C$107,Constanst!X24,1)</f>
        <v>0</v>
      </c>
      <c r="B133" s="1" t="str">
        <f t="shared" si="28"/>
        <v>0100111001010001001000</v>
      </c>
    </row>
    <row r="134" ht="14.25" hidden="1" customHeight="1">
      <c r="A134" s="1" t="str">
        <f>MID($C$107,Constanst!X25,1)</f>
        <v>1</v>
      </c>
      <c r="B134" s="1" t="str">
        <f t="shared" si="28"/>
        <v>01001110010100010010001</v>
      </c>
    </row>
    <row r="135" ht="14.25" hidden="1" customHeight="1">
      <c r="A135" s="1" t="str">
        <f>MID($C$107,Constanst!X26,1)</f>
        <v>1</v>
      </c>
      <c r="B135" s="1" t="str">
        <f t="shared" si="28"/>
        <v>010011100101000100100011</v>
      </c>
    </row>
    <row r="136" ht="14.25" hidden="1" customHeight="1">
      <c r="A136" s="1" t="str">
        <f>MID($C$107,Constanst!X27,1)</f>
        <v>1</v>
      </c>
      <c r="B136" s="1" t="str">
        <f t="shared" si="28"/>
        <v>0100111001010001001000111</v>
      </c>
    </row>
    <row r="137" ht="14.25" hidden="1" customHeight="1">
      <c r="A137" s="1" t="str">
        <f>MID($C$107,Constanst!X28,1)</f>
        <v>0</v>
      </c>
      <c r="B137" s="1" t="str">
        <f t="shared" si="28"/>
        <v>01001110010100010010001110</v>
      </c>
    </row>
    <row r="138" ht="14.25" hidden="1" customHeight="1">
      <c r="A138" s="1" t="str">
        <f>MID($C$107,Constanst!X29,1)</f>
        <v>1</v>
      </c>
      <c r="B138" s="1" t="str">
        <f t="shared" si="28"/>
        <v>010011100101000100100011101</v>
      </c>
    </row>
    <row r="139" ht="14.25" hidden="1" customHeight="1">
      <c r="A139" s="1" t="str">
        <f>MID($C$107,Constanst!X30,1)</f>
        <v>0</v>
      </c>
      <c r="B139" s="1" t="str">
        <f t="shared" si="28"/>
        <v>0100111001010001001000111010</v>
      </c>
    </row>
    <row r="140" ht="14.25" hidden="1" customHeight="1">
      <c r="A140" s="1" t="str">
        <f>MID($C$107,Constanst!X31,1)</f>
        <v>0</v>
      </c>
      <c r="B140" s="1" t="str">
        <f t="shared" si="28"/>
        <v>01001110010100010010001110100</v>
      </c>
    </row>
    <row r="141" ht="14.25" hidden="1" customHeight="1">
      <c r="A141" s="1" t="str">
        <f>MID($C$107,Constanst!X32,1)</f>
        <v>0</v>
      </c>
      <c r="B141" s="1" t="str">
        <f t="shared" si="28"/>
        <v>010011100101000100100011101000</v>
      </c>
    </row>
    <row r="142" ht="14.25" hidden="1" customHeight="1">
      <c r="A142" s="1" t="str">
        <f>MID($C$107,Constanst!X33,1)</f>
        <v>1</v>
      </c>
      <c r="B142" s="1" t="str">
        <f t="shared" si="28"/>
        <v>0100111001010001001000111010001</v>
      </c>
    </row>
    <row r="143" ht="14.25" customHeight="1">
      <c r="A143" s="1" t="str">
        <f>MID($C$107,Constanst!X34,1)</f>
        <v>0</v>
      </c>
      <c r="B143" s="22" t="str">
        <f t="shared" si="28"/>
        <v>01001110010100010010001110100010</v>
      </c>
    </row>
    <row r="144" ht="14.25" customHeight="1"/>
    <row r="145" ht="14.25" customHeight="1">
      <c r="A145" s="1" t="s">
        <v>92</v>
      </c>
      <c r="B145" s="1" t="str">
        <f>B143</f>
        <v>01001110010100010010001110100010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01001110</v>
      </c>
      <c r="C148" s="20" t="str">
        <f t="shared" ref="C148:C151" si="30">BIN2HEX(B148,2)</f>
        <v>4E</v>
      </c>
      <c r="D148" s="20">
        <f t="shared" ref="D148:D151" si="31">HEX2DEC(C148)</f>
        <v>78</v>
      </c>
    </row>
    <row r="149" ht="14.25" customHeight="1">
      <c r="A149" s="20">
        <v>2.0</v>
      </c>
      <c r="B149" s="20" t="str">
        <f t="shared" si="29"/>
        <v>01010001</v>
      </c>
      <c r="C149" s="20" t="str">
        <f t="shared" si="30"/>
        <v>51</v>
      </c>
      <c r="D149" s="20">
        <f t="shared" si="31"/>
        <v>81</v>
      </c>
    </row>
    <row r="150" ht="14.25" customHeight="1">
      <c r="A150" s="20">
        <v>3.0</v>
      </c>
      <c r="B150" s="20" t="str">
        <f t="shared" si="29"/>
        <v>00100011</v>
      </c>
      <c r="C150" s="20" t="str">
        <f t="shared" si="30"/>
        <v>23</v>
      </c>
      <c r="D150" s="20">
        <f t="shared" si="31"/>
        <v>35</v>
      </c>
    </row>
    <row r="151" ht="14.25" customHeight="1">
      <c r="A151" s="20">
        <v>4.0</v>
      </c>
      <c r="B151" s="20" t="str">
        <f t="shared" si="29"/>
        <v>10100010</v>
      </c>
      <c r="C151" s="20" t="str">
        <f t="shared" si="30"/>
        <v>A2</v>
      </c>
      <c r="D151" s="20">
        <f t="shared" si="31"/>
        <v>162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K8</v>
      </c>
      <c r="D2" s="1" t="str">
        <f>Input!I8</f>
        <v>111101111000100000111010111011001110011110000001</v>
      </c>
    </row>
    <row r="3" ht="14.25" customHeight="1">
      <c r="A3" s="1" t="s">
        <v>92</v>
      </c>
      <c r="B3" s="1" t="str">
        <f t="array" ref="B3">INDIRECT("'f(" &amp; L5 &amp; "," &amp; L7 &amp; ")'!B145")</f>
        <v>01001110010100010010001110100010</v>
      </c>
    </row>
    <row r="4" ht="14.25" customHeight="1">
      <c r="A4" s="1" t="str">
        <f t="shared" ref="A4:A5" si="1">L4</f>
        <v>L6</v>
      </c>
      <c r="B4" s="1" t="str">
        <f t="array" ref="B4">INDIRECT("'f(" &amp; L5 &amp; "," &amp; L7 &amp; ")'!C22")</f>
        <v>00001101001001101011110011110101</v>
      </c>
      <c r="L4" s="1" t="s">
        <v>110</v>
      </c>
      <c r="M4" s="1" t="s">
        <v>112</v>
      </c>
    </row>
    <row r="5" ht="14.25" customHeight="1">
      <c r="A5" s="1" t="str">
        <f t="shared" si="1"/>
        <v>R6</v>
      </c>
      <c r="B5" s="1" t="str">
        <f t="array" ref="B5">INDIRECT("'f(" &amp; L5 &amp; "," &amp; L7 &amp; ")'!C14")</f>
        <v>00110011100100010001011000110110</v>
      </c>
      <c r="L5" s="1" t="s">
        <v>111</v>
      </c>
      <c r="M5" s="1" t="s">
        <v>113</v>
      </c>
    </row>
    <row r="6" ht="14.25" customHeight="1">
      <c r="L6" s="1" t="s">
        <v>13</v>
      </c>
    </row>
    <row r="7" ht="14.25" customHeight="1">
      <c r="A7" s="11" t="s">
        <v>98</v>
      </c>
      <c r="B7" s="5"/>
      <c r="C7" s="5"/>
      <c r="D7" s="6"/>
      <c r="G7" s="11" t="str">
        <f>L4</f>
        <v>L6</v>
      </c>
      <c r="H7" s="5"/>
      <c r="I7" s="5"/>
      <c r="J7" s="6"/>
      <c r="L7" s="1" t="s">
        <v>12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01001110</v>
      </c>
      <c r="C9" s="20" t="str">
        <f t="shared" ref="C9:C12" si="3">BIN2HEX(B9,2)</f>
        <v>4E</v>
      </c>
      <c r="D9" s="20">
        <f t="shared" ref="D9:D12" si="4">HEX2DEC(C9)</f>
        <v>78</v>
      </c>
      <c r="G9" s="20">
        <v>1.0</v>
      </c>
      <c r="H9" s="20" t="str">
        <f t="shared" ref="H9:H12" si="5">MID($B$4,(G9-1)*8+1, 8)</f>
        <v>00001101</v>
      </c>
      <c r="I9" s="20" t="str">
        <f t="shared" ref="I9:I12" si="6">BIN2HEX(H9,2)</f>
        <v>0D</v>
      </c>
      <c r="J9" s="20">
        <f t="shared" ref="J9:J12" si="7">HEX2DEC(I9)</f>
        <v>13</v>
      </c>
    </row>
    <row r="10" ht="14.25" customHeight="1">
      <c r="A10" s="20">
        <v>2.0</v>
      </c>
      <c r="B10" s="20" t="str">
        <f t="shared" si="2"/>
        <v>01010001</v>
      </c>
      <c r="C10" s="20" t="str">
        <f t="shared" si="3"/>
        <v>51</v>
      </c>
      <c r="D10" s="20">
        <f t="shared" si="4"/>
        <v>81</v>
      </c>
      <c r="G10" s="20">
        <v>2.0</v>
      </c>
      <c r="H10" s="20" t="str">
        <f t="shared" si="5"/>
        <v>00100110</v>
      </c>
      <c r="I10" s="20" t="str">
        <f t="shared" si="6"/>
        <v>26</v>
      </c>
      <c r="J10" s="20">
        <f t="shared" si="7"/>
        <v>38</v>
      </c>
    </row>
    <row r="11" ht="14.25" customHeight="1">
      <c r="A11" s="20">
        <v>3.0</v>
      </c>
      <c r="B11" s="20" t="str">
        <f t="shared" si="2"/>
        <v>00100011</v>
      </c>
      <c r="C11" s="20" t="str">
        <f t="shared" si="3"/>
        <v>23</v>
      </c>
      <c r="D11" s="20">
        <f t="shared" si="4"/>
        <v>35</v>
      </c>
      <c r="G11" s="20">
        <v>3.0</v>
      </c>
      <c r="H11" s="20" t="str">
        <f t="shared" si="5"/>
        <v>10111100</v>
      </c>
      <c r="I11" s="20" t="str">
        <f t="shared" si="6"/>
        <v>BC</v>
      </c>
      <c r="J11" s="20">
        <f t="shared" si="7"/>
        <v>188</v>
      </c>
    </row>
    <row r="12" ht="14.25" customHeight="1">
      <c r="A12" s="20">
        <v>4.0</v>
      </c>
      <c r="B12" s="20" t="str">
        <f t="shared" si="2"/>
        <v>10100010</v>
      </c>
      <c r="C12" s="20" t="str">
        <f t="shared" si="3"/>
        <v>A2</v>
      </c>
      <c r="D12" s="20">
        <f t="shared" si="4"/>
        <v>162</v>
      </c>
      <c r="G12" s="20">
        <v>4.0</v>
      </c>
      <c r="H12" s="20" t="str">
        <f t="shared" si="5"/>
        <v>11110101</v>
      </c>
      <c r="I12" s="20" t="str">
        <f t="shared" si="6"/>
        <v>F5</v>
      </c>
      <c r="J12" s="20">
        <f t="shared" si="7"/>
        <v>245</v>
      </c>
    </row>
    <row r="13" ht="14.25" customHeight="1"/>
    <row r="14" ht="14.25" customHeight="1">
      <c r="A14" s="1" t="str">
        <f>M5&amp;" = F XOR "&amp;L4&amp;" ="</f>
        <v>R7 = F XOR L6 =</v>
      </c>
      <c r="C14" s="23" t="str">
        <f>F17&amp;F18&amp;F19&amp;F20</f>
        <v>01000011011101111001111101010111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67</v>
      </c>
      <c r="E17" s="20" t="str">
        <f t="shared" ref="E17:E20" si="9">DEC2HEX(D17,2)</f>
        <v>43</v>
      </c>
      <c r="F17" s="20" t="str">
        <f t="shared" ref="F17:F20" si="10">HEX2BIN(E17,8)</f>
        <v>01000011</v>
      </c>
    </row>
    <row r="18" ht="14.25" customHeight="1">
      <c r="C18" s="20">
        <v>2.0</v>
      </c>
      <c r="D18" s="20">
        <f t="shared" si="8"/>
        <v>119</v>
      </c>
      <c r="E18" s="20" t="str">
        <f t="shared" si="9"/>
        <v>77</v>
      </c>
      <c r="F18" s="20" t="str">
        <f t="shared" si="10"/>
        <v>01110111</v>
      </c>
    </row>
    <row r="19" ht="14.25" customHeight="1">
      <c r="C19" s="20">
        <v>3.0</v>
      </c>
      <c r="D19" s="20">
        <f t="shared" si="8"/>
        <v>159</v>
      </c>
      <c r="E19" s="20" t="str">
        <f t="shared" si="9"/>
        <v>9F</v>
      </c>
      <c r="F19" s="20" t="str">
        <f t="shared" si="10"/>
        <v>10011111</v>
      </c>
    </row>
    <row r="20" ht="14.25" customHeight="1">
      <c r="C20" s="20">
        <v>4.0</v>
      </c>
      <c r="D20" s="20">
        <f t="shared" si="8"/>
        <v>87</v>
      </c>
      <c r="E20" s="20" t="str">
        <f t="shared" si="9"/>
        <v>57</v>
      </c>
      <c r="F20" s="20" t="str">
        <f t="shared" si="10"/>
        <v>01010111</v>
      </c>
    </row>
    <row r="21" ht="14.25" customHeight="1"/>
    <row r="22" ht="14.25" customHeight="1">
      <c r="A22" s="1" t="str">
        <f>M4&amp;" = "&amp;L5&amp;" ="</f>
        <v>L7 = R6 =</v>
      </c>
      <c r="C22" s="23" t="str">
        <f>B5</f>
        <v>00110011100100010001011000110110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R7 =&gt; E(R7)</v>
      </c>
      <c r="D24" s="1" t="str">
        <f>B26</f>
        <v>101000000110101110101111110011111110101010101110</v>
      </c>
    </row>
    <row r="25" ht="14.25" customHeight="1">
      <c r="A25" s="1" t="s">
        <v>66</v>
      </c>
    </row>
    <row r="26" ht="14.25" customHeight="1">
      <c r="A26" s="1" t="str">
        <f>MID($C$14,Constanst!K3,1)</f>
        <v>1</v>
      </c>
      <c r="B26" s="1" t="str">
        <f t="shared" ref="B26:B71" si="11">A26&amp;B27</f>
        <v>101000000110101110101111110011111110101010101110</v>
      </c>
    </row>
    <row r="27" ht="14.25" customHeight="1">
      <c r="A27" s="1" t="str">
        <f>MID($C$14,Constanst!K4,1)</f>
        <v>0</v>
      </c>
      <c r="B27" s="1" t="str">
        <f t="shared" si="11"/>
        <v>01000000110101110101111110011111110101010101110</v>
      </c>
    </row>
    <row r="28" ht="14.25" customHeight="1">
      <c r="A28" s="1" t="str">
        <f>MID($C$14,Constanst!K5,1)</f>
        <v>1</v>
      </c>
      <c r="B28" s="1" t="str">
        <f t="shared" si="11"/>
        <v>1000000110101110101111110011111110101010101110</v>
      </c>
    </row>
    <row r="29" ht="14.25" customHeight="1">
      <c r="A29" s="1" t="str">
        <f>MID($C$14,Constanst!K6,1)</f>
        <v>0</v>
      </c>
      <c r="B29" s="1" t="str">
        <f t="shared" si="11"/>
        <v>000000110101110101111110011111110101010101110</v>
      </c>
    </row>
    <row r="30" ht="14.25" customHeight="1">
      <c r="A30" s="1" t="str">
        <f>MID($C$14,Constanst!K7,1)</f>
        <v>0</v>
      </c>
      <c r="B30" s="1" t="str">
        <f t="shared" si="11"/>
        <v>00000110101110101111110011111110101010101110</v>
      </c>
    </row>
    <row r="31" ht="14.25" customHeight="1">
      <c r="A31" s="1" t="str">
        <f>MID($C$14,Constanst!K8,1)</f>
        <v>0</v>
      </c>
      <c r="B31" s="1" t="str">
        <f t="shared" si="11"/>
        <v>0000110101110101111110011111110101010101110</v>
      </c>
    </row>
    <row r="32" ht="14.25" customHeight="1">
      <c r="A32" s="1" t="str">
        <f>MID($C$14,Constanst!K9,1)</f>
        <v>0</v>
      </c>
      <c r="B32" s="1" t="str">
        <f t="shared" si="11"/>
        <v>000110101110101111110011111110101010101110</v>
      </c>
    </row>
    <row r="33" ht="14.25" customHeight="1">
      <c r="A33" s="1" t="str">
        <f>MID($C$14,Constanst!K10,1)</f>
        <v>0</v>
      </c>
      <c r="B33" s="1" t="str">
        <f t="shared" si="11"/>
        <v>00110101110101111110011111110101010101110</v>
      </c>
    </row>
    <row r="34" ht="14.25" customHeight="1">
      <c r="A34" s="1" t="str">
        <f>MID($C$14,Constanst!K11,1)</f>
        <v>0</v>
      </c>
      <c r="B34" s="1" t="str">
        <f t="shared" si="11"/>
        <v>0110101110101111110011111110101010101110</v>
      </c>
    </row>
    <row r="35" ht="14.25" customHeight="1">
      <c r="A35" s="1" t="str">
        <f>MID($C$14,Constanst!K12,1)</f>
        <v>1</v>
      </c>
      <c r="B35" s="1" t="str">
        <f t="shared" si="11"/>
        <v>110101110101111110011111110101010101110</v>
      </c>
    </row>
    <row r="36" ht="14.25" customHeight="1">
      <c r="A36" s="1" t="str">
        <f>MID($C$14,Constanst!K13,1)</f>
        <v>1</v>
      </c>
      <c r="B36" s="1" t="str">
        <f t="shared" si="11"/>
        <v>10101110101111110011111110101010101110</v>
      </c>
    </row>
    <row r="37" ht="14.25" customHeight="1">
      <c r="A37" s="1" t="str">
        <f>MID($C$14,Constanst!K14,1)</f>
        <v>0</v>
      </c>
      <c r="B37" s="1" t="str">
        <f t="shared" si="11"/>
        <v>0101110101111110011111110101010101110</v>
      </c>
    </row>
    <row r="38" ht="14.25" customHeight="1">
      <c r="A38" s="1" t="str">
        <f>MID($C$14,Constanst!K15,1)</f>
        <v>1</v>
      </c>
      <c r="B38" s="1" t="str">
        <f t="shared" si="11"/>
        <v>101110101111110011111110101010101110</v>
      </c>
    </row>
    <row r="39" ht="14.25" customHeight="1">
      <c r="A39" s="1" t="str">
        <f>MID($C$14,Constanst!K16,1)</f>
        <v>0</v>
      </c>
      <c r="B39" s="1" t="str">
        <f t="shared" si="11"/>
        <v>01110101111110011111110101010101110</v>
      </c>
    </row>
    <row r="40" ht="14.25" customHeight="1">
      <c r="A40" s="1" t="str">
        <f>MID($C$14,Constanst!K17,1)</f>
        <v>1</v>
      </c>
      <c r="B40" s="1" t="str">
        <f t="shared" si="11"/>
        <v>1110101111110011111110101010101110</v>
      </c>
    </row>
    <row r="41" ht="14.25" customHeight="1">
      <c r="A41" s="1" t="str">
        <f>MID($C$14,Constanst!K18,1)</f>
        <v>1</v>
      </c>
      <c r="B41" s="1" t="str">
        <f t="shared" si="11"/>
        <v>110101111110011111110101010101110</v>
      </c>
    </row>
    <row r="42" ht="14.25" customHeight="1">
      <c r="A42" s="1" t="str">
        <f>MID($C$14,Constanst!K19,1)</f>
        <v>1</v>
      </c>
      <c r="B42" s="1" t="str">
        <f t="shared" si="11"/>
        <v>10101111110011111110101010101110</v>
      </c>
    </row>
    <row r="43" ht="14.25" customHeight="1">
      <c r="A43" s="1" t="str">
        <f>MID($C$14,Constanst!K20,1)</f>
        <v>0</v>
      </c>
      <c r="B43" s="1" t="str">
        <f t="shared" si="11"/>
        <v>0101111110011111110101010101110</v>
      </c>
    </row>
    <row r="44" ht="14.25" customHeight="1">
      <c r="A44" s="1" t="str">
        <f>MID($C$14,Constanst!K21,1)</f>
        <v>1</v>
      </c>
      <c r="B44" s="1" t="str">
        <f t="shared" si="11"/>
        <v>101111110011111110101010101110</v>
      </c>
    </row>
    <row r="45" ht="14.25" customHeight="1">
      <c r="A45" s="1" t="str">
        <f>MID($C$14,Constanst!K22,1)</f>
        <v>0</v>
      </c>
      <c r="B45" s="1" t="str">
        <f t="shared" si="11"/>
        <v>01111110011111110101010101110</v>
      </c>
    </row>
    <row r="46" ht="14.25" customHeight="1">
      <c r="A46" s="1" t="str">
        <f>MID($C$14,Constanst!K23,1)</f>
        <v>1</v>
      </c>
      <c r="B46" s="1" t="str">
        <f t="shared" si="11"/>
        <v>1111110011111110101010101110</v>
      </c>
    </row>
    <row r="47" ht="14.25" customHeight="1">
      <c r="A47" s="1" t="str">
        <f>MID($C$14,Constanst!K24,1)</f>
        <v>1</v>
      </c>
      <c r="B47" s="1" t="str">
        <f t="shared" si="11"/>
        <v>111110011111110101010101110</v>
      </c>
    </row>
    <row r="48" ht="14.25" customHeight="1">
      <c r="A48" s="1" t="str">
        <f>MID($C$14,Constanst!K25,1)</f>
        <v>1</v>
      </c>
      <c r="B48" s="1" t="str">
        <f t="shared" si="11"/>
        <v>11110011111110101010101110</v>
      </c>
    </row>
    <row r="49" ht="14.25" customHeight="1">
      <c r="A49" s="1" t="str">
        <f>MID($C$14,Constanst!K26,1)</f>
        <v>1</v>
      </c>
      <c r="B49" s="1" t="str">
        <f t="shared" si="11"/>
        <v>1110011111110101010101110</v>
      </c>
    </row>
    <row r="50" ht="14.25" customHeight="1">
      <c r="A50" s="1" t="str">
        <f>MID($C$14,Constanst!K27,1)</f>
        <v>1</v>
      </c>
      <c r="B50" s="1" t="str">
        <f t="shared" si="11"/>
        <v>110011111110101010101110</v>
      </c>
    </row>
    <row r="51" ht="14.25" customHeight="1">
      <c r="A51" s="1" t="str">
        <f>MID($C$14,Constanst!K28,1)</f>
        <v>1</v>
      </c>
      <c r="B51" s="1" t="str">
        <f t="shared" si="11"/>
        <v>10011111110101010101110</v>
      </c>
    </row>
    <row r="52" ht="14.25" customHeight="1">
      <c r="A52" s="1" t="str">
        <f>MID($C$14,Constanst!K29,1)</f>
        <v>0</v>
      </c>
      <c r="B52" s="1" t="str">
        <f t="shared" si="11"/>
        <v>0011111110101010101110</v>
      </c>
    </row>
    <row r="53" ht="14.25" customHeight="1">
      <c r="A53" s="1" t="str">
        <f>MID($C$14,Constanst!K30,1)</f>
        <v>0</v>
      </c>
      <c r="B53" s="1" t="str">
        <f t="shared" si="11"/>
        <v>011111110101010101110</v>
      </c>
    </row>
    <row r="54" ht="14.25" customHeight="1">
      <c r="A54" s="1" t="str">
        <f>MID($C$14,Constanst!K31,1)</f>
        <v>1</v>
      </c>
      <c r="B54" s="1" t="str">
        <f t="shared" si="11"/>
        <v>11111110101010101110</v>
      </c>
    </row>
    <row r="55" ht="14.25" customHeight="1">
      <c r="A55" s="1" t="str">
        <f>MID($C$14,Constanst!K32,1)</f>
        <v>1</v>
      </c>
      <c r="B55" s="1" t="str">
        <f t="shared" si="11"/>
        <v>1111110101010101110</v>
      </c>
    </row>
    <row r="56" ht="14.25" customHeight="1">
      <c r="A56" s="1" t="str">
        <f>MID($C$14,Constanst!K33,1)</f>
        <v>1</v>
      </c>
      <c r="B56" s="1" t="str">
        <f t="shared" si="11"/>
        <v>111110101010101110</v>
      </c>
    </row>
    <row r="57" ht="14.25" customHeight="1">
      <c r="A57" s="1" t="str">
        <f>MID($C$14,Constanst!K34,1)</f>
        <v>1</v>
      </c>
      <c r="B57" s="1" t="str">
        <f t="shared" si="11"/>
        <v>11110101010101110</v>
      </c>
    </row>
    <row r="58" ht="14.25" customHeight="1">
      <c r="A58" s="1" t="str">
        <f>MID($C$14,Constanst!K35,1)</f>
        <v>1</v>
      </c>
      <c r="B58" s="1" t="str">
        <f t="shared" si="11"/>
        <v>1110101010101110</v>
      </c>
    </row>
    <row r="59" ht="14.25" customHeight="1">
      <c r="A59" s="1" t="str">
        <f>MID($C$14,Constanst!K36,1)</f>
        <v>1</v>
      </c>
      <c r="B59" s="1" t="str">
        <f t="shared" si="11"/>
        <v>110101010101110</v>
      </c>
    </row>
    <row r="60" ht="14.25" customHeight="1">
      <c r="A60" s="1" t="str">
        <f>MID($C$14,Constanst!K37,1)</f>
        <v>1</v>
      </c>
      <c r="B60" s="1" t="str">
        <f t="shared" si="11"/>
        <v>10101010101110</v>
      </c>
    </row>
    <row r="61" ht="14.25" customHeight="1">
      <c r="A61" s="1" t="str">
        <f>MID($C$14,Constanst!K38,1)</f>
        <v>0</v>
      </c>
      <c r="B61" s="1" t="str">
        <f t="shared" si="11"/>
        <v>0101010101110</v>
      </c>
    </row>
    <row r="62" ht="14.25" customHeight="1">
      <c r="A62" s="1" t="str">
        <f>MID($C$14,Constanst!K39,1)</f>
        <v>1</v>
      </c>
      <c r="B62" s="1" t="str">
        <f t="shared" si="11"/>
        <v>101010101110</v>
      </c>
    </row>
    <row r="63" ht="14.25" customHeight="1">
      <c r="A63" s="1" t="str">
        <f>MID($C$14,Constanst!K40,1)</f>
        <v>0</v>
      </c>
      <c r="B63" s="1" t="str">
        <f t="shared" si="11"/>
        <v>01010101110</v>
      </c>
    </row>
    <row r="64" ht="14.25" customHeight="1">
      <c r="A64" s="1" t="str">
        <f>MID($C$14,Constanst!K41,1)</f>
        <v>1</v>
      </c>
      <c r="B64" s="1" t="str">
        <f t="shared" si="11"/>
        <v>1010101110</v>
      </c>
    </row>
    <row r="65" ht="14.25" customHeight="1">
      <c r="A65" s="1" t="str">
        <f>MID($C$14,Constanst!K42,1)</f>
        <v>0</v>
      </c>
      <c r="B65" s="1" t="str">
        <f t="shared" si="11"/>
        <v>010101110</v>
      </c>
    </row>
    <row r="66" ht="14.25" customHeight="1">
      <c r="A66" s="1" t="str">
        <f>MID($C$14,Constanst!K43,1)</f>
        <v>1</v>
      </c>
      <c r="B66" s="1" t="str">
        <f t="shared" si="11"/>
        <v>10101110</v>
      </c>
    </row>
    <row r="67" ht="14.25" customHeight="1">
      <c r="A67" s="1" t="str">
        <f>MID($C$14,Constanst!K44,1)</f>
        <v>0</v>
      </c>
      <c r="B67" s="1" t="str">
        <f t="shared" si="11"/>
        <v>0101110</v>
      </c>
    </row>
    <row r="68" ht="14.25" customHeight="1">
      <c r="A68" s="1" t="str">
        <f>MID($C$14,Constanst!K45,1)</f>
        <v>1</v>
      </c>
      <c r="B68" s="1" t="str">
        <f t="shared" si="11"/>
        <v>101110</v>
      </c>
    </row>
    <row r="69" ht="14.25" customHeight="1">
      <c r="A69" s="1" t="str">
        <f>MID($C$14,Constanst!K46,1)</f>
        <v>0</v>
      </c>
      <c r="B69" s="1" t="str">
        <f t="shared" si="11"/>
        <v>01110</v>
      </c>
    </row>
    <row r="70" ht="14.25" customHeight="1">
      <c r="A70" s="1" t="str">
        <f>MID($C$14,Constanst!K47,1)</f>
        <v>1</v>
      </c>
      <c r="B70" s="1" t="str">
        <f t="shared" si="11"/>
        <v>1110</v>
      </c>
    </row>
    <row r="71" ht="14.25" customHeight="1">
      <c r="A71" s="1" t="str">
        <f>MID($C$14,Constanst!K48,1)</f>
        <v>1</v>
      </c>
      <c r="B71" s="1" t="str">
        <f t="shared" si="11"/>
        <v>110</v>
      </c>
    </row>
    <row r="72" ht="14.25" customHeight="1">
      <c r="A72" s="1" t="str">
        <f>MID($C$14,Constanst!K49,1)</f>
        <v>1</v>
      </c>
      <c r="B72" s="1" t="str">
        <f>A72&amp;A73</f>
        <v>10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E(R7) XOR K8</v>
      </c>
    </row>
    <row r="76" ht="14.25" customHeight="1">
      <c r="A76" s="11" t="str">
        <f>"Khóa " &amp; L6</f>
        <v>Khóa K8</v>
      </c>
      <c r="B76" s="5"/>
      <c r="C76" s="5"/>
      <c r="D76" s="6"/>
      <c r="G76" s="11" t="str">
        <f>"E("&amp;M5&amp;")"</f>
        <v>E(R7)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11110111</v>
      </c>
      <c r="C78" s="20" t="str">
        <f t="shared" ref="C78:C83" si="13">BIN2HEX(B78,2)</f>
        <v>F7</v>
      </c>
      <c r="D78" s="20">
        <f t="shared" ref="D78:D83" si="14">BIN2DEC(B78)</f>
        <v>247</v>
      </c>
      <c r="G78" s="20">
        <v>1.0</v>
      </c>
      <c r="H78" s="20" t="str">
        <f t="shared" ref="H78:H83" si="15">MID($D$24,(G78-1)*8+1, 8)</f>
        <v>10100000</v>
      </c>
      <c r="I78" s="20" t="str">
        <f t="shared" ref="I78:I83" si="16">BIN2HEX(H78,2)</f>
        <v>A0</v>
      </c>
      <c r="J78" s="20">
        <f t="shared" ref="J78:J83" si="17">BIN2DEC(H78)</f>
        <v>160</v>
      </c>
    </row>
    <row r="79" ht="14.25" customHeight="1">
      <c r="A79" s="20">
        <v>2.0</v>
      </c>
      <c r="B79" s="20" t="str">
        <f t="shared" si="12"/>
        <v>10001000</v>
      </c>
      <c r="C79" s="20" t="str">
        <f t="shared" si="13"/>
        <v>88</v>
      </c>
      <c r="D79" s="20">
        <f t="shared" si="14"/>
        <v>136</v>
      </c>
      <c r="G79" s="20">
        <v>2.0</v>
      </c>
      <c r="H79" s="20" t="str">
        <f t="shared" si="15"/>
        <v>01101011</v>
      </c>
      <c r="I79" s="20" t="str">
        <f t="shared" si="16"/>
        <v>6B</v>
      </c>
      <c r="J79" s="20">
        <f t="shared" si="17"/>
        <v>107</v>
      </c>
    </row>
    <row r="80" ht="14.25" customHeight="1">
      <c r="A80" s="20">
        <v>3.0</v>
      </c>
      <c r="B80" s="20" t="str">
        <f t="shared" si="12"/>
        <v>00111010</v>
      </c>
      <c r="C80" s="20" t="str">
        <f t="shared" si="13"/>
        <v>3A</v>
      </c>
      <c r="D80" s="20">
        <f t="shared" si="14"/>
        <v>58</v>
      </c>
      <c r="G80" s="20">
        <v>3.0</v>
      </c>
      <c r="H80" s="20" t="str">
        <f t="shared" si="15"/>
        <v>10101111</v>
      </c>
      <c r="I80" s="20" t="str">
        <f t="shared" si="16"/>
        <v>AF</v>
      </c>
      <c r="J80" s="20">
        <f t="shared" si="17"/>
        <v>175</v>
      </c>
    </row>
    <row r="81" ht="14.25" customHeight="1">
      <c r="A81" s="20">
        <v>4.0</v>
      </c>
      <c r="B81" s="20" t="str">
        <f t="shared" si="12"/>
        <v>11101100</v>
      </c>
      <c r="C81" s="20" t="str">
        <f t="shared" si="13"/>
        <v>EC</v>
      </c>
      <c r="D81" s="20">
        <f t="shared" si="14"/>
        <v>236</v>
      </c>
      <c r="G81" s="20">
        <v>4.0</v>
      </c>
      <c r="H81" s="20" t="str">
        <f t="shared" si="15"/>
        <v>11001111</v>
      </c>
      <c r="I81" s="20" t="str">
        <f t="shared" si="16"/>
        <v>CF</v>
      </c>
      <c r="J81" s="20">
        <f t="shared" si="17"/>
        <v>207</v>
      </c>
    </row>
    <row r="82" ht="14.25" customHeight="1">
      <c r="A82" s="20">
        <v>5.0</v>
      </c>
      <c r="B82" s="20" t="str">
        <f t="shared" si="12"/>
        <v>11100111</v>
      </c>
      <c r="C82" s="20" t="str">
        <f t="shared" si="13"/>
        <v>E7</v>
      </c>
      <c r="D82" s="20">
        <f t="shared" si="14"/>
        <v>231</v>
      </c>
      <c r="G82" s="20">
        <v>5.0</v>
      </c>
      <c r="H82" s="20" t="str">
        <f t="shared" si="15"/>
        <v>11101010</v>
      </c>
      <c r="I82" s="20" t="str">
        <f t="shared" si="16"/>
        <v>EA</v>
      </c>
      <c r="J82" s="20">
        <f t="shared" si="17"/>
        <v>234</v>
      </c>
    </row>
    <row r="83" ht="14.25" customHeight="1">
      <c r="A83" s="20">
        <v>6.0</v>
      </c>
      <c r="B83" s="20" t="str">
        <f t="shared" si="12"/>
        <v>10000001</v>
      </c>
      <c r="C83" s="20" t="str">
        <f t="shared" si="13"/>
        <v>81</v>
      </c>
      <c r="D83" s="20">
        <f t="shared" si="14"/>
        <v>129</v>
      </c>
      <c r="G83" s="20">
        <v>6.0</v>
      </c>
      <c r="H83" s="20" t="str">
        <f t="shared" si="15"/>
        <v>10101110</v>
      </c>
      <c r="I83" s="20" t="str">
        <f t="shared" si="16"/>
        <v>AE</v>
      </c>
      <c r="J83" s="20">
        <f t="shared" si="17"/>
        <v>174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XOR(ER7, K8)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87</v>
      </c>
      <c r="C86" s="26" t="str">
        <f t="shared" ref="C86:C91" si="19">DEC2BIN(B86,8)</f>
        <v>01010111</v>
      </c>
      <c r="D86" s="26" t="str">
        <f t="shared" ref="D86:D91" si="20">BIN2HEX(C86,2)</f>
        <v>57</v>
      </c>
    </row>
    <row r="87" ht="14.25" customHeight="1">
      <c r="A87" s="26">
        <v>2.0</v>
      </c>
      <c r="B87" s="26">
        <f t="shared" si="18"/>
        <v>227</v>
      </c>
      <c r="C87" s="26" t="str">
        <f t="shared" si="19"/>
        <v>11100011</v>
      </c>
      <c r="D87" s="26" t="str">
        <f t="shared" si="20"/>
        <v>E3</v>
      </c>
    </row>
    <row r="88" ht="14.25" customHeight="1">
      <c r="A88" s="26">
        <v>3.0</v>
      </c>
      <c r="B88" s="26">
        <f t="shared" si="18"/>
        <v>149</v>
      </c>
      <c r="C88" s="26" t="str">
        <f t="shared" si="19"/>
        <v>10010101</v>
      </c>
      <c r="D88" s="26" t="str">
        <f t="shared" si="20"/>
        <v>95</v>
      </c>
    </row>
    <row r="89" ht="14.25" customHeight="1">
      <c r="A89" s="26">
        <v>4.0</v>
      </c>
      <c r="B89" s="26">
        <f t="shared" si="18"/>
        <v>35</v>
      </c>
      <c r="C89" s="26" t="str">
        <f t="shared" si="19"/>
        <v>00100011</v>
      </c>
      <c r="D89" s="26" t="str">
        <f t="shared" si="20"/>
        <v>23</v>
      </c>
    </row>
    <row r="90" ht="14.25" customHeight="1">
      <c r="A90" s="26">
        <v>5.0</v>
      </c>
      <c r="B90" s="26">
        <f t="shared" si="18"/>
        <v>13</v>
      </c>
      <c r="C90" s="26" t="str">
        <f t="shared" si="19"/>
        <v>00001101</v>
      </c>
      <c r="D90" s="26" t="str">
        <f t="shared" si="20"/>
        <v>0D</v>
      </c>
    </row>
    <row r="91" ht="14.25" customHeight="1">
      <c r="A91" s="26">
        <v>6.0</v>
      </c>
      <c r="B91" s="26">
        <f t="shared" si="18"/>
        <v>47</v>
      </c>
      <c r="C91" s="26" t="str">
        <f t="shared" si="19"/>
        <v>00101111</v>
      </c>
      <c r="D91" s="26" t="str">
        <f t="shared" si="20"/>
        <v>2F</v>
      </c>
    </row>
    <row r="92" ht="14.25" customHeight="1"/>
    <row r="93" ht="14.25" customHeight="1">
      <c r="B93" s="1" t="str">
        <f>"A = E"&amp;M5&amp;" XOR "&amp;L6&amp;" ="</f>
        <v>A = ER7 XOR K8 =</v>
      </c>
      <c r="D93" s="22" t="str">
        <f>C86&amp;C87&amp;C88&amp;C89&amp;C90&amp;C91</f>
        <v>010101111110001110010101001000110000110100101111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010101</v>
      </c>
      <c r="C98" s="3" t="str">
        <f t="shared" ref="C98:C105" si="22">LEFT(B98,1)&amp;(RIGHT(B98,1))</f>
        <v>01</v>
      </c>
      <c r="D98" s="3" t="str">
        <f t="shared" ref="D98:D105" si="23">MID(B98,2,4)</f>
        <v>1010</v>
      </c>
      <c r="E98" s="3" t="str">
        <f t="shared" ref="E98:E105" si="24">C98&amp;D98</f>
        <v>011010</v>
      </c>
      <c r="F98" s="18">
        <f t="shared" ref="F98:F105" si="25">BIN2DEC(E98)</f>
        <v>26</v>
      </c>
      <c r="G98" s="3">
        <f>VLOOKUP(F98,Constanst!$M$3:$U$66,2,TRUE)</f>
        <v>12</v>
      </c>
      <c r="H98" s="3" t="str">
        <f t="shared" ref="H98:H105" si="26">DEC2BIN(G98,4)</f>
        <v>1100</v>
      </c>
      <c r="I98" s="3" t="str">
        <f>H98</f>
        <v>1100</v>
      </c>
    </row>
    <row r="99" ht="14.25" customHeight="1">
      <c r="A99" s="3">
        <v>2.0</v>
      </c>
      <c r="B99" s="3" t="str">
        <f t="shared" si="21"/>
        <v>111110</v>
      </c>
      <c r="C99" s="3" t="str">
        <f t="shared" si="22"/>
        <v>10</v>
      </c>
      <c r="D99" s="3" t="str">
        <f t="shared" si="23"/>
        <v>1111</v>
      </c>
      <c r="E99" s="3" t="str">
        <f t="shared" si="24"/>
        <v>101111</v>
      </c>
      <c r="F99" s="18">
        <f t="shared" si="25"/>
        <v>47</v>
      </c>
      <c r="G99" s="3">
        <f>VLOOKUP(F99,Constanst!$M$3:$U$66,3,TRUE)</f>
        <v>15</v>
      </c>
      <c r="H99" s="3" t="str">
        <f t="shared" si="26"/>
        <v>1111</v>
      </c>
      <c r="I99" s="3" t="str">
        <f t="shared" ref="I99:I105" si="27">I98&amp;H99</f>
        <v>11001111</v>
      </c>
    </row>
    <row r="100" ht="14.25" customHeight="1">
      <c r="A100" s="3">
        <v>3.0</v>
      </c>
      <c r="B100" s="3" t="str">
        <f t="shared" si="21"/>
        <v>001110</v>
      </c>
      <c r="C100" s="3" t="str">
        <f t="shared" si="22"/>
        <v>00</v>
      </c>
      <c r="D100" s="3" t="str">
        <f t="shared" si="23"/>
        <v>0111</v>
      </c>
      <c r="E100" s="3" t="str">
        <f t="shared" si="24"/>
        <v>000111</v>
      </c>
      <c r="F100" s="18">
        <f t="shared" si="25"/>
        <v>7</v>
      </c>
      <c r="G100" s="3">
        <f>VLOOKUP(F100,Constanst!$M$3:$U$66,4,TRUE)</f>
        <v>5</v>
      </c>
      <c r="H100" s="3" t="str">
        <f t="shared" si="26"/>
        <v>0101</v>
      </c>
      <c r="I100" s="3" t="str">
        <f t="shared" si="27"/>
        <v>110011110101</v>
      </c>
    </row>
    <row r="101" ht="14.25" customHeight="1">
      <c r="A101" s="3">
        <v>4.0</v>
      </c>
      <c r="B101" s="3" t="str">
        <f t="shared" si="21"/>
        <v>010101</v>
      </c>
      <c r="C101" s="3" t="str">
        <f t="shared" si="22"/>
        <v>01</v>
      </c>
      <c r="D101" s="3" t="str">
        <f t="shared" si="23"/>
        <v>1010</v>
      </c>
      <c r="E101" s="3" t="str">
        <f t="shared" si="24"/>
        <v>011010</v>
      </c>
      <c r="F101" s="18">
        <f t="shared" si="25"/>
        <v>26</v>
      </c>
      <c r="G101" s="3">
        <f>VLOOKUP(F101,Constanst!$M$3:$U$66,5,TRUE)</f>
        <v>2</v>
      </c>
      <c r="H101" s="3" t="str">
        <f t="shared" si="26"/>
        <v>0010</v>
      </c>
      <c r="I101" s="3" t="str">
        <f t="shared" si="27"/>
        <v>1100111101010010</v>
      </c>
    </row>
    <row r="102" ht="14.25" customHeight="1">
      <c r="A102" s="3">
        <v>5.0</v>
      </c>
      <c r="B102" s="3" t="str">
        <f t="shared" si="21"/>
        <v>001000</v>
      </c>
      <c r="C102" s="3" t="str">
        <f t="shared" si="22"/>
        <v>00</v>
      </c>
      <c r="D102" s="3" t="str">
        <f t="shared" si="23"/>
        <v>0100</v>
      </c>
      <c r="E102" s="3" t="str">
        <f t="shared" si="24"/>
        <v>000100</v>
      </c>
      <c r="F102" s="18">
        <f t="shared" si="25"/>
        <v>4</v>
      </c>
      <c r="G102" s="3">
        <f>VLOOKUP(F102,Constanst!$M$3:$U$66,6,TRUE)</f>
        <v>7</v>
      </c>
      <c r="H102" s="3" t="str">
        <f t="shared" si="26"/>
        <v>0111</v>
      </c>
      <c r="I102" s="3" t="str">
        <f t="shared" si="27"/>
        <v>11001111010100100111</v>
      </c>
    </row>
    <row r="103" ht="14.25" customHeight="1">
      <c r="A103" s="3">
        <v>6.0</v>
      </c>
      <c r="B103" s="3" t="str">
        <f t="shared" si="21"/>
        <v>110000</v>
      </c>
      <c r="C103" s="3" t="str">
        <f t="shared" si="22"/>
        <v>10</v>
      </c>
      <c r="D103" s="3" t="str">
        <f t="shared" si="23"/>
        <v>1000</v>
      </c>
      <c r="E103" s="3" t="str">
        <f t="shared" si="24"/>
        <v>101000</v>
      </c>
      <c r="F103" s="18">
        <f t="shared" si="25"/>
        <v>40</v>
      </c>
      <c r="G103" s="3">
        <f>VLOOKUP(F103,Constanst!$M$3:$U$66,7,TRUE)</f>
        <v>7</v>
      </c>
      <c r="H103" s="3" t="str">
        <f t="shared" si="26"/>
        <v>0111</v>
      </c>
      <c r="I103" s="3" t="str">
        <f t="shared" si="27"/>
        <v>110011110101001001110111</v>
      </c>
    </row>
    <row r="104" ht="14.25" customHeight="1">
      <c r="A104" s="3">
        <v>7.0</v>
      </c>
      <c r="B104" s="3" t="str">
        <f t="shared" si="21"/>
        <v>110100</v>
      </c>
      <c r="C104" s="3" t="str">
        <f t="shared" si="22"/>
        <v>10</v>
      </c>
      <c r="D104" s="3" t="str">
        <f t="shared" si="23"/>
        <v>1010</v>
      </c>
      <c r="E104" s="3" t="str">
        <f t="shared" si="24"/>
        <v>101010</v>
      </c>
      <c r="F104" s="18">
        <f t="shared" si="25"/>
        <v>42</v>
      </c>
      <c r="G104" s="3">
        <f>VLOOKUP(F104,Constanst!$M$3:$U$66,8,TRUE)</f>
        <v>6</v>
      </c>
      <c r="H104" s="3" t="str">
        <f t="shared" si="26"/>
        <v>0110</v>
      </c>
      <c r="I104" s="3" t="str">
        <f t="shared" si="27"/>
        <v>1100111101010010011101110110</v>
      </c>
    </row>
    <row r="105" ht="14.25" customHeight="1">
      <c r="A105" s="3">
        <v>8.0</v>
      </c>
      <c r="B105" s="3" t="str">
        <f t="shared" si="21"/>
        <v>101111</v>
      </c>
      <c r="C105" s="3" t="str">
        <f t="shared" si="22"/>
        <v>11</v>
      </c>
      <c r="D105" s="3" t="str">
        <f t="shared" si="23"/>
        <v>0111</v>
      </c>
      <c r="E105" s="3" t="str">
        <f t="shared" si="24"/>
        <v>110111</v>
      </c>
      <c r="F105" s="18">
        <f t="shared" si="25"/>
        <v>55</v>
      </c>
      <c r="G105" s="3">
        <f>VLOOKUP(F105,Constanst!$M$3:$U$66,9,TRUE)</f>
        <v>13</v>
      </c>
      <c r="H105" s="3" t="str">
        <f t="shared" si="26"/>
        <v>1101</v>
      </c>
      <c r="I105" s="3" t="str">
        <f t="shared" si="27"/>
        <v>11001111010100100111011101101101</v>
      </c>
    </row>
    <row r="106" ht="14.25" customHeight="1"/>
    <row r="107" ht="14.25" customHeight="1">
      <c r="B107" s="1" t="s">
        <v>90</v>
      </c>
      <c r="C107" s="1" t="str">
        <f>I105</f>
        <v>11001111010100100111011101101101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0</v>
      </c>
    </row>
    <row r="113" ht="14.25" hidden="1" customHeight="1">
      <c r="A113" s="1" t="str">
        <f>MID($C$107,Constanst!X4,1)</f>
        <v>1</v>
      </c>
      <c r="B113" s="1" t="str">
        <f>A112&amp;A113</f>
        <v>01</v>
      </c>
    </row>
    <row r="114" ht="14.25" hidden="1" customHeight="1">
      <c r="A114" s="1" t="str">
        <f>MID($C$107,Constanst!X5,1)</f>
        <v>1</v>
      </c>
      <c r="B114" s="1" t="str">
        <f t="shared" ref="B114:B143" si="28">B113&amp;A114</f>
        <v>011</v>
      </c>
    </row>
    <row r="115" ht="14.25" hidden="1" customHeight="1">
      <c r="A115" s="1" t="str">
        <f>MID($C$107,Constanst!X6,1)</f>
        <v>0</v>
      </c>
      <c r="B115" s="1" t="str">
        <f t="shared" si="28"/>
        <v>0110</v>
      </c>
    </row>
    <row r="116" ht="14.25" hidden="1" customHeight="1">
      <c r="A116" s="1" t="str">
        <f>MID($C$107,Constanst!X7,1)</f>
        <v>1</v>
      </c>
      <c r="B116" s="1" t="str">
        <f t="shared" si="28"/>
        <v>01101</v>
      </c>
    </row>
    <row r="117" ht="14.25" hidden="1" customHeight="1">
      <c r="A117" s="1" t="str">
        <f>MID($C$107,Constanst!X8,1)</f>
        <v>1</v>
      </c>
      <c r="B117" s="1" t="str">
        <f t="shared" si="28"/>
        <v>011011</v>
      </c>
    </row>
    <row r="118" ht="14.25" hidden="1" customHeight="1">
      <c r="A118" s="1" t="str">
        <f>MID($C$107,Constanst!X9,1)</f>
        <v>0</v>
      </c>
      <c r="B118" s="1" t="str">
        <f t="shared" si="28"/>
        <v>0110110</v>
      </c>
    </row>
    <row r="119" ht="14.25" hidden="1" customHeight="1">
      <c r="A119" s="1" t="str">
        <f>MID($C$107,Constanst!X10,1)</f>
        <v>0</v>
      </c>
      <c r="B119" s="1" t="str">
        <f t="shared" si="28"/>
        <v>01101100</v>
      </c>
    </row>
    <row r="120" ht="14.25" hidden="1" customHeight="1">
      <c r="A120" s="1" t="str">
        <f>MID($C$107,Constanst!X11,1)</f>
        <v>1</v>
      </c>
      <c r="B120" s="1" t="str">
        <f t="shared" si="28"/>
        <v>011011001</v>
      </c>
    </row>
    <row r="121" ht="14.25" hidden="1" customHeight="1">
      <c r="A121" s="1" t="str">
        <f>MID($C$107,Constanst!X12,1)</f>
        <v>1</v>
      </c>
      <c r="B121" s="1" t="str">
        <f t="shared" si="28"/>
        <v>0110110011</v>
      </c>
    </row>
    <row r="122" ht="14.25" hidden="1" customHeight="1">
      <c r="A122" s="1" t="str">
        <f>MID($C$107,Constanst!X13,1)</f>
        <v>1</v>
      </c>
      <c r="B122" s="1" t="str">
        <f t="shared" si="28"/>
        <v>01101100111</v>
      </c>
    </row>
    <row r="123" ht="14.25" hidden="1" customHeight="1">
      <c r="A123" s="1" t="str">
        <f>MID($C$107,Constanst!X14,1)</f>
        <v>1</v>
      </c>
      <c r="B123" s="1" t="str">
        <f t="shared" si="28"/>
        <v>011011001111</v>
      </c>
    </row>
    <row r="124" ht="14.25" hidden="1" customHeight="1">
      <c r="A124" s="1" t="str">
        <f>MID($C$107,Constanst!X15,1)</f>
        <v>1</v>
      </c>
      <c r="B124" s="1" t="str">
        <f t="shared" si="28"/>
        <v>0110110011111</v>
      </c>
    </row>
    <row r="125" ht="14.25" hidden="1" customHeight="1">
      <c r="A125" s="1" t="str">
        <f>MID($C$107,Constanst!X16,1)</f>
        <v>1</v>
      </c>
      <c r="B125" s="1" t="str">
        <f t="shared" si="28"/>
        <v>01101100111111</v>
      </c>
    </row>
    <row r="126" ht="14.25" hidden="1" customHeight="1">
      <c r="A126" s="1" t="str">
        <f>MID($C$107,Constanst!X17,1)</f>
        <v>0</v>
      </c>
      <c r="B126" s="1" t="str">
        <f t="shared" si="28"/>
        <v>011011001111110</v>
      </c>
    </row>
    <row r="127" ht="14.25" hidden="1" customHeight="1">
      <c r="A127" s="1" t="str">
        <f>MID($C$107,Constanst!X18,1)</f>
        <v>1</v>
      </c>
      <c r="B127" s="1" t="str">
        <f t="shared" si="28"/>
        <v>0110110011111101</v>
      </c>
    </row>
    <row r="128" ht="14.25" hidden="1" customHeight="1">
      <c r="A128" s="1" t="str">
        <f>MID($C$107,Constanst!X19,1)</f>
        <v>1</v>
      </c>
      <c r="B128" s="1" t="str">
        <f t="shared" si="28"/>
        <v>01101100111111011</v>
      </c>
    </row>
    <row r="129" ht="14.25" hidden="1" customHeight="1">
      <c r="A129" s="1" t="str">
        <f>MID($C$107,Constanst!X20,1)</f>
        <v>1</v>
      </c>
      <c r="B129" s="1" t="str">
        <f t="shared" si="28"/>
        <v>011011001111110111</v>
      </c>
    </row>
    <row r="130" ht="14.25" hidden="1" customHeight="1">
      <c r="A130" s="1" t="str">
        <f>MID($C$107,Constanst!X21,1)</f>
        <v>1</v>
      </c>
      <c r="B130" s="1" t="str">
        <f t="shared" si="28"/>
        <v>0110110011111101111</v>
      </c>
    </row>
    <row r="131" ht="14.25" hidden="1" customHeight="1">
      <c r="A131" s="1" t="str">
        <f>MID($C$107,Constanst!X22,1)</f>
        <v>0</v>
      </c>
      <c r="B131" s="1" t="str">
        <f t="shared" si="28"/>
        <v>01101100111111011110</v>
      </c>
    </row>
    <row r="132" ht="14.25" hidden="1" customHeight="1">
      <c r="A132" s="1" t="str">
        <f>MID($C$107,Constanst!X23,1)</f>
        <v>1</v>
      </c>
      <c r="B132" s="1" t="str">
        <f t="shared" si="28"/>
        <v>011011001111110111101</v>
      </c>
    </row>
    <row r="133" ht="14.25" hidden="1" customHeight="1">
      <c r="A133" s="1" t="str">
        <f>MID($C$107,Constanst!X24,1)</f>
        <v>1</v>
      </c>
      <c r="B133" s="1" t="str">
        <f t="shared" si="28"/>
        <v>0110110011111101111011</v>
      </c>
    </row>
    <row r="134" ht="14.25" hidden="1" customHeight="1">
      <c r="A134" s="1" t="str">
        <f>MID($C$107,Constanst!X25,1)</f>
        <v>0</v>
      </c>
      <c r="B134" s="1" t="str">
        <f t="shared" si="28"/>
        <v>01101100111111011110110</v>
      </c>
    </row>
    <row r="135" ht="14.25" hidden="1" customHeight="1">
      <c r="A135" s="1" t="str">
        <f>MID($C$107,Constanst!X26,1)</f>
        <v>0</v>
      </c>
      <c r="B135" s="1" t="str">
        <f t="shared" si="28"/>
        <v>011011001111110111101100</v>
      </c>
    </row>
    <row r="136" ht="14.25" hidden="1" customHeight="1">
      <c r="A136" s="1" t="str">
        <f>MID($C$107,Constanst!X27,1)</f>
        <v>1</v>
      </c>
      <c r="B136" s="1" t="str">
        <f t="shared" si="28"/>
        <v>0110110011111101111011001</v>
      </c>
    </row>
    <row r="137" ht="14.25" hidden="1" customHeight="1">
      <c r="A137" s="1" t="str">
        <f>MID($C$107,Constanst!X28,1)</f>
        <v>0</v>
      </c>
      <c r="B137" s="1" t="str">
        <f t="shared" si="28"/>
        <v>01101100111111011110110010</v>
      </c>
    </row>
    <row r="138" ht="14.25" hidden="1" customHeight="1">
      <c r="A138" s="1" t="str">
        <f>MID($C$107,Constanst!X29,1)</f>
        <v>1</v>
      </c>
      <c r="B138" s="1" t="str">
        <f t="shared" si="28"/>
        <v>011011001111110111101100101</v>
      </c>
    </row>
    <row r="139" ht="14.25" hidden="1" customHeight="1">
      <c r="A139" s="1" t="str">
        <f>MID($C$107,Constanst!X30,1)</f>
        <v>1</v>
      </c>
      <c r="B139" s="1" t="str">
        <f t="shared" si="28"/>
        <v>0110110011111101111011001011</v>
      </c>
    </row>
    <row r="140" ht="14.25" hidden="1" customHeight="1">
      <c r="A140" s="1" t="str">
        <f>MID($C$107,Constanst!X31,1)</f>
        <v>1</v>
      </c>
      <c r="B140" s="1" t="str">
        <f t="shared" si="28"/>
        <v>01101100111111011110110010111</v>
      </c>
    </row>
    <row r="141" ht="14.25" hidden="1" customHeight="1">
      <c r="A141" s="1" t="str">
        <f>MID($C$107,Constanst!X32,1)</f>
        <v>0</v>
      </c>
      <c r="B141" s="1" t="str">
        <f t="shared" si="28"/>
        <v>011011001111110111101100101110</v>
      </c>
    </row>
    <row r="142" ht="14.25" hidden="1" customHeight="1">
      <c r="A142" s="1" t="str">
        <f>MID($C$107,Constanst!X33,1)</f>
        <v>0</v>
      </c>
      <c r="B142" s="1" t="str">
        <f t="shared" si="28"/>
        <v>0110110011111101111011001011100</v>
      </c>
    </row>
    <row r="143" ht="14.25" customHeight="1">
      <c r="A143" s="1" t="str">
        <f>MID($C$107,Constanst!X34,1)</f>
        <v>0</v>
      </c>
      <c r="B143" s="22" t="str">
        <f t="shared" si="28"/>
        <v>01101100111111011110110010111000</v>
      </c>
    </row>
    <row r="144" ht="14.25" customHeight="1"/>
    <row r="145" ht="14.25" customHeight="1">
      <c r="A145" s="1" t="s">
        <v>92</v>
      </c>
      <c r="B145" s="1" t="str">
        <f>B143</f>
        <v>01101100111111011110110010111000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01101100</v>
      </c>
      <c r="C148" s="20" t="str">
        <f t="shared" ref="C148:C151" si="30">BIN2HEX(B148,2)</f>
        <v>6C</v>
      </c>
      <c r="D148" s="20">
        <f t="shared" ref="D148:D151" si="31">HEX2DEC(C148)</f>
        <v>108</v>
      </c>
    </row>
    <row r="149" ht="14.25" customHeight="1">
      <c r="A149" s="20">
        <v>2.0</v>
      </c>
      <c r="B149" s="20" t="str">
        <f t="shared" si="29"/>
        <v>11111101</v>
      </c>
      <c r="C149" s="20" t="str">
        <f t="shared" si="30"/>
        <v>FD</v>
      </c>
      <c r="D149" s="20">
        <f t="shared" si="31"/>
        <v>253</v>
      </c>
    </row>
    <row r="150" ht="14.25" customHeight="1">
      <c r="A150" s="20">
        <v>3.0</v>
      </c>
      <c r="B150" s="20" t="str">
        <f t="shared" si="29"/>
        <v>11101100</v>
      </c>
      <c r="C150" s="20" t="str">
        <f t="shared" si="30"/>
        <v>EC</v>
      </c>
      <c r="D150" s="20">
        <f t="shared" si="31"/>
        <v>236</v>
      </c>
    </row>
    <row r="151" ht="14.25" customHeight="1">
      <c r="A151" s="20">
        <v>4.0</v>
      </c>
      <c r="B151" s="20" t="str">
        <f t="shared" si="29"/>
        <v>10111000</v>
      </c>
      <c r="C151" s="20" t="str">
        <f t="shared" si="30"/>
        <v>B8</v>
      </c>
      <c r="D151" s="20">
        <f t="shared" si="31"/>
        <v>184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K9</v>
      </c>
      <c r="D2" s="1" t="str">
        <f>Input!I9</f>
        <v>110000001101101111101011001001111011100000111001</v>
      </c>
    </row>
    <row r="3" ht="14.25" customHeight="1">
      <c r="A3" s="1" t="s">
        <v>92</v>
      </c>
      <c r="B3" s="1" t="str">
        <f t="array" ref="B3">INDIRECT("'f(" &amp; L5 &amp; "," &amp; L7 &amp; ")'!B145")</f>
        <v>01101100111111011110110010111000</v>
      </c>
    </row>
    <row r="4" ht="14.25" customHeight="1">
      <c r="A4" s="1" t="str">
        <f t="shared" ref="A4:A5" si="1">L4</f>
        <v>L7</v>
      </c>
      <c r="B4" s="1" t="str">
        <f t="array" ref="B4">INDIRECT("'f(" &amp; L5 &amp; "," &amp; L7 &amp; ")'!C22")</f>
        <v>00110011100100010001011000110110</v>
      </c>
      <c r="L4" s="1" t="s">
        <v>112</v>
      </c>
      <c r="M4" s="1" t="s">
        <v>114</v>
      </c>
    </row>
    <row r="5" ht="14.25" customHeight="1">
      <c r="A5" s="1" t="str">
        <f t="shared" si="1"/>
        <v>R7</v>
      </c>
      <c r="B5" s="1" t="str">
        <f t="array" ref="B5">INDIRECT("'f(" &amp; L5 &amp; "," &amp; L7 &amp; ")'!C14")</f>
        <v>01000011011101111001111101010111</v>
      </c>
      <c r="L5" s="1" t="s">
        <v>113</v>
      </c>
      <c r="M5" s="1" t="s">
        <v>115</v>
      </c>
    </row>
    <row r="6" ht="14.25" customHeight="1">
      <c r="L6" s="1" t="s">
        <v>14</v>
      </c>
    </row>
    <row r="7" ht="14.25" customHeight="1">
      <c r="A7" s="11" t="s">
        <v>98</v>
      </c>
      <c r="B7" s="5"/>
      <c r="C7" s="5"/>
      <c r="D7" s="6"/>
      <c r="G7" s="11" t="str">
        <f>L4</f>
        <v>L7</v>
      </c>
      <c r="H7" s="5"/>
      <c r="I7" s="5"/>
      <c r="J7" s="6"/>
      <c r="L7" s="1" t="s">
        <v>13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01101100</v>
      </c>
      <c r="C9" s="20" t="str">
        <f t="shared" ref="C9:C12" si="3">BIN2HEX(B9,2)</f>
        <v>6C</v>
      </c>
      <c r="D9" s="20">
        <f t="shared" ref="D9:D12" si="4">HEX2DEC(C9)</f>
        <v>108</v>
      </c>
      <c r="G9" s="20">
        <v>1.0</v>
      </c>
      <c r="H9" s="20" t="str">
        <f t="shared" ref="H9:H12" si="5">MID($B$4,(G9-1)*8+1, 8)</f>
        <v>00110011</v>
      </c>
      <c r="I9" s="20" t="str">
        <f t="shared" ref="I9:I12" si="6">BIN2HEX(H9,2)</f>
        <v>33</v>
      </c>
      <c r="J9" s="20">
        <f t="shared" ref="J9:J12" si="7">HEX2DEC(I9)</f>
        <v>51</v>
      </c>
    </row>
    <row r="10" ht="14.25" customHeight="1">
      <c r="A10" s="20">
        <v>2.0</v>
      </c>
      <c r="B10" s="20" t="str">
        <f t="shared" si="2"/>
        <v>11111101</v>
      </c>
      <c r="C10" s="20" t="str">
        <f t="shared" si="3"/>
        <v>FD</v>
      </c>
      <c r="D10" s="20">
        <f t="shared" si="4"/>
        <v>253</v>
      </c>
      <c r="G10" s="20">
        <v>2.0</v>
      </c>
      <c r="H10" s="20" t="str">
        <f t="shared" si="5"/>
        <v>10010001</v>
      </c>
      <c r="I10" s="20" t="str">
        <f t="shared" si="6"/>
        <v>91</v>
      </c>
      <c r="J10" s="20">
        <f t="shared" si="7"/>
        <v>145</v>
      </c>
    </row>
    <row r="11" ht="14.25" customHeight="1">
      <c r="A11" s="20">
        <v>3.0</v>
      </c>
      <c r="B11" s="20" t="str">
        <f t="shared" si="2"/>
        <v>11101100</v>
      </c>
      <c r="C11" s="20" t="str">
        <f t="shared" si="3"/>
        <v>EC</v>
      </c>
      <c r="D11" s="20">
        <f t="shared" si="4"/>
        <v>236</v>
      </c>
      <c r="G11" s="20">
        <v>3.0</v>
      </c>
      <c r="H11" s="20" t="str">
        <f t="shared" si="5"/>
        <v>00010110</v>
      </c>
      <c r="I11" s="20" t="str">
        <f t="shared" si="6"/>
        <v>16</v>
      </c>
      <c r="J11" s="20">
        <f t="shared" si="7"/>
        <v>22</v>
      </c>
    </row>
    <row r="12" ht="14.25" customHeight="1">
      <c r="A12" s="20">
        <v>4.0</v>
      </c>
      <c r="B12" s="20" t="str">
        <f t="shared" si="2"/>
        <v>10111000</v>
      </c>
      <c r="C12" s="20" t="str">
        <f t="shared" si="3"/>
        <v>B8</v>
      </c>
      <c r="D12" s="20">
        <f t="shared" si="4"/>
        <v>184</v>
      </c>
      <c r="G12" s="20">
        <v>4.0</v>
      </c>
      <c r="H12" s="20" t="str">
        <f t="shared" si="5"/>
        <v>00110110</v>
      </c>
      <c r="I12" s="20" t="str">
        <f t="shared" si="6"/>
        <v>36</v>
      </c>
      <c r="J12" s="20">
        <f t="shared" si="7"/>
        <v>54</v>
      </c>
    </row>
    <row r="13" ht="14.25" customHeight="1"/>
    <row r="14" ht="14.25" customHeight="1">
      <c r="A14" s="1" t="str">
        <f>M5&amp;" = F XOR "&amp;L4&amp;" ="</f>
        <v>R8 = F XOR L7 =</v>
      </c>
      <c r="C14" s="23" t="str">
        <f>F17&amp;F18&amp;F19&amp;F20</f>
        <v>01011111011011001111101010001110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95</v>
      </c>
      <c r="E17" s="20" t="str">
        <f t="shared" ref="E17:E20" si="9">DEC2HEX(D17,2)</f>
        <v>5F</v>
      </c>
      <c r="F17" s="20" t="str">
        <f t="shared" ref="F17:F20" si="10">HEX2BIN(E17,8)</f>
        <v>01011111</v>
      </c>
    </row>
    <row r="18" ht="14.25" customHeight="1">
      <c r="C18" s="20">
        <v>2.0</v>
      </c>
      <c r="D18" s="20">
        <f t="shared" si="8"/>
        <v>108</v>
      </c>
      <c r="E18" s="20" t="str">
        <f t="shared" si="9"/>
        <v>6C</v>
      </c>
      <c r="F18" s="20" t="str">
        <f t="shared" si="10"/>
        <v>01101100</v>
      </c>
    </row>
    <row r="19" ht="14.25" customHeight="1">
      <c r="C19" s="20">
        <v>3.0</v>
      </c>
      <c r="D19" s="20">
        <f t="shared" si="8"/>
        <v>250</v>
      </c>
      <c r="E19" s="20" t="str">
        <f t="shared" si="9"/>
        <v>FA</v>
      </c>
      <c r="F19" s="20" t="str">
        <f t="shared" si="10"/>
        <v>11111010</v>
      </c>
    </row>
    <row r="20" ht="14.25" customHeight="1">
      <c r="C20" s="20">
        <v>4.0</v>
      </c>
      <c r="D20" s="20">
        <f t="shared" si="8"/>
        <v>142</v>
      </c>
      <c r="E20" s="20" t="str">
        <f t="shared" si="9"/>
        <v>8E</v>
      </c>
      <c r="F20" s="20" t="str">
        <f t="shared" si="10"/>
        <v>10001110</v>
      </c>
    </row>
    <row r="21" ht="14.25" customHeight="1"/>
    <row r="22" ht="14.25" customHeight="1">
      <c r="A22" s="1" t="str">
        <f>M4&amp;" = "&amp;L5&amp;" ="</f>
        <v>L8 = R7 =</v>
      </c>
      <c r="C22" s="23" t="str">
        <f>B5</f>
        <v>01000011011101111001111101010111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R8 =&gt; E(R8)</v>
      </c>
      <c r="D24" s="1" t="str">
        <f>B26</f>
        <v>001011111110101101011001011111110101010001011100</v>
      </c>
    </row>
    <row r="25" ht="14.25" customHeight="1">
      <c r="A25" s="1" t="s">
        <v>66</v>
      </c>
    </row>
    <row r="26" ht="14.25" customHeight="1">
      <c r="A26" s="1" t="str">
        <f>MID($C$14,Constanst!K3,1)</f>
        <v>0</v>
      </c>
      <c r="B26" s="1" t="str">
        <f t="shared" ref="B26:B71" si="11">A26&amp;B27</f>
        <v>001011111110101101011001011111110101010001011100</v>
      </c>
    </row>
    <row r="27" ht="14.25" customHeight="1">
      <c r="A27" s="1" t="str">
        <f>MID($C$14,Constanst!K4,1)</f>
        <v>0</v>
      </c>
      <c r="B27" s="1" t="str">
        <f t="shared" si="11"/>
        <v>01011111110101101011001011111110101010001011100</v>
      </c>
    </row>
    <row r="28" ht="14.25" customHeight="1">
      <c r="A28" s="1" t="str">
        <f>MID($C$14,Constanst!K5,1)</f>
        <v>1</v>
      </c>
      <c r="B28" s="1" t="str">
        <f t="shared" si="11"/>
        <v>1011111110101101011001011111110101010001011100</v>
      </c>
    </row>
    <row r="29" ht="14.25" customHeight="1">
      <c r="A29" s="1" t="str">
        <f>MID($C$14,Constanst!K6,1)</f>
        <v>0</v>
      </c>
      <c r="B29" s="1" t="str">
        <f t="shared" si="11"/>
        <v>011111110101101011001011111110101010001011100</v>
      </c>
    </row>
    <row r="30" ht="14.25" customHeight="1">
      <c r="A30" s="1" t="str">
        <f>MID($C$14,Constanst!K7,1)</f>
        <v>1</v>
      </c>
      <c r="B30" s="1" t="str">
        <f t="shared" si="11"/>
        <v>11111110101101011001011111110101010001011100</v>
      </c>
    </row>
    <row r="31" ht="14.25" customHeight="1">
      <c r="A31" s="1" t="str">
        <f>MID($C$14,Constanst!K8,1)</f>
        <v>1</v>
      </c>
      <c r="B31" s="1" t="str">
        <f t="shared" si="11"/>
        <v>1111110101101011001011111110101010001011100</v>
      </c>
    </row>
    <row r="32" ht="14.25" customHeight="1">
      <c r="A32" s="1" t="str">
        <f>MID($C$14,Constanst!K9,1)</f>
        <v>1</v>
      </c>
      <c r="B32" s="1" t="str">
        <f t="shared" si="11"/>
        <v>111110101101011001011111110101010001011100</v>
      </c>
    </row>
    <row r="33" ht="14.25" customHeight="1">
      <c r="A33" s="1" t="str">
        <f>MID($C$14,Constanst!K10,1)</f>
        <v>1</v>
      </c>
      <c r="B33" s="1" t="str">
        <f t="shared" si="11"/>
        <v>11110101101011001011111110101010001011100</v>
      </c>
    </row>
    <row r="34" ht="14.25" customHeight="1">
      <c r="A34" s="1" t="str">
        <f>MID($C$14,Constanst!K11,1)</f>
        <v>1</v>
      </c>
      <c r="B34" s="1" t="str">
        <f t="shared" si="11"/>
        <v>1110101101011001011111110101010001011100</v>
      </c>
    </row>
    <row r="35" ht="14.25" customHeight="1">
      <c r="A35" s="1" t="str">
        <f>MID($C$14,Constanst!K12,1)</f>
        <v>1</v>
      </c>
      <c r="B35" s="1" t="str">
        <f t="shared" si="11"/>
        <v>110101101011001011111110101010001011100</v>
      </c>
    </row>
    <row r="36" ht="14.25" customHeight="1">
      <c r="A36" s="1" t="str">
        <f>MID($C$14,Constanst!K13,1)</f>
        <v>1</v>
      </c>
      <c r="B36" s="1" t="str">
        <f t="shared" si="11"/>
        <v>10101101011001011111110101010001011100</v>
      </c>
    </row>
    <row r="37" ht="14.25" customHeight="1">
      <c r="A37" s="1" t="str">
        <f>MID($C$14,Constanst!K14,1)</f>
        <v>0</v>
      </c>
      <c r="B37" s="1" t="str">
        <f t="shared" si="11"/>
        <v>0101101011001011111110101010001011100</v>
      </c>
    </row>
    <row r="38" ht="14.25" customHeight="1">
      <c r="A38" s="1" t="str">
        <f>MID($C$14,Constanst!K15,1)</f>
        <v>1</v>
      </c>
      <c r="B38" s="1" t="str">
        <f t="shared" si="11"/>
        <v>101101011001011111110101010001011100</v>
      </c>
    </row>
    <row r="39" ht="14.25" customHeight="1">
      <c r="A39" s="1" t="str">
        <f>MID($C$14,Constanst!K16,1)</f>
        <v>0</v>
      </c>
      <c r="B39" s="1" t="str">
        <f t="shared" si="11"/>
        <v>01101011001011111110101010001011100</v>
      </c>
    </row>
    <row r="40" ht="14.25" customHeight="1">
      <c r="A40" s="1" t="str">
        <f>MID($C$14,Constanst!K17,1)</f>
        <v>1</v>
      </c>
      <c r="B40" s="1" t="str">
        <f t="shared" si="11"/>
        <v>1101011001011111110101010001011100</v>
      </c>
    </row>
    <row r="41" ht="14.25" customHeight="1">
      <c r="A41" s="1" t="str">
        <f>MID($C$14,Constanst!K18,1)</f>
        <v>1</v>
      </c>
      <c r="B41" s="1" t="str">
        <f t="shared" si="11"/>
        <v>101011001011111110101010001011100</v>
      </c>
    </row>
    <row r="42" ht="14.25" customHeight="1">
      <c r="A42" s="1" t="str">
        <f>MID($C$14,Constanst!K19,1)</f>
        <v>0</v>
      </c>
      <c r="B42" s="1" t="str">
        <f t="shared" si="11"/>
        <v>01011001011111110101010001011100</v>
      </c>
    </row>
    <row r="43" ht="14.25" customHeight="1">
      <c r="A43" s="1" t="str">
        <f>MID($C$14,Constanst!K20,1)</f>
        <v>1</v>
      </c>
      <c r="B43" s="1" t="str">
        <f t="shared" si="11"/>
        <v>1011001011111110101010001011100</v>
      </c>
    </row>
    <row r="44" ht="14.25" customHeight="1">
      <c r="A44" s="1" t="str">
        <f>MID($C$14,Constanst!K21,1)</f>
        <v>0</v>
      </c>
      <c r="B44" s="1" t="str">
        <f t="shared" si="11"/>
        <v>011001011111110101010001011100</v>
      </c>
    </row>
    <row r="45" ht="14.25" customHeight="1">
      <c r="A45" s="1" t="str">
        <f>MID($C$14,Constanst!K22,1)</f>
        <v>1</v>
      </c>
      <c r="B45" s="1" t="str">
        <f t="shared" si="11"/>
        <v>11001011111110101010001011100</v>
      </c>
    </row>
    <row r="46" ht="14.25" customHeight="1">
      <c r="A46" s="1" t="str">
        <f>MID($C$14,Constanst!K23,1)</f>
        <v>1</v>
      </c>
      <c r="B46" s="1" t="str">
        <f t="shared" si="11"/>
        <v>1001011111110101010001011100</v>
      </c>
    </row>
    <row r="47" ht="14.25" customHeight="1">
      <c r="A47" s="1" t="str">
        <f>MID($C$14,Constanst!K24,1)</f>
        <v>0</v>
      </c>
      <c r="B47" s="1" t="str">
        <f t="shared" si="11"/>
        <v>001011111110101010001011100</v>
      </c>
    </row>
    <row r="48" ht="14.25" customHeight="1">
      <c r="A48" s="1" t="str">
        <f>MID($C$14,Constanst!K25,1)</f>
        <v>0</v>
      </c>
      <c r="B48" s="1" t="str">
        <f t="shared" si="11"/>
        <v>01011111110101010001011100</v>
      </c>
    </row>
    <row r="49" ht="14.25" customHeight="1">
      <c r="A49" s="1" t="str">
        <f>MID($C$14,Constanst!K26,1)</f>
        <v>1</v>
      </c>
      <c r="B49" s="1" t="str">
        <f t="shared" si="11"/>
        <v>1011111110101010001011100</v>
      </c>
    </row>
    <row r="50" ht="14.25" customHeight="1">
      <c r="A50" s="1" t="str">
        <f>MID($C$14,Constanst!K27,1)</f>
        <v>0</v>
      </c>
      <c r="B50" s="1" t="str">
        <f t="shared" si="11"/>
        <v>011111110101010001011100</v>
      </c>
    </row>
    <row r="51" ht="14.25" customHeight="1">
      <c r="A51" s="1" t="str">
        <f>MID($C$14,Constanst!K28,1)</f>
        <v>1</v>
      </c>
      <c r="B51" s="1" t="str">
        <f t="shared" si="11"/>
        <v>11111110101010001011100</v>
      </c>
    </row>
    <row r="52" ht="14.25" customHeight="1">
      <c r="A52" s="1" t="str">
        <f>MID($C$14,Constanst!K29,1)</f>
        <v>1</v>
      </c>
      <c r="B52" s="1" t="str">
        <f t="shared" si="11"/>
        <v>1111110101010001011100</v>
      </c>
    </row>
    <row r="53" ht="14.25" customHeight="1">
      <c r="A53" s="1" t="str">
        <f>MID($C$14,Constanst!K30,1)</f>
        <v>1</v>
      </c>
      <c r="B53" s="1" t="str">
        <f t="shared" si="11"/>
        <v>111110101010001011100</v>
      </c>
    </row>
    <row r="54" ht="14.25" customHeight="1">
      <c r="A54" s="1" t="str">
        <f>MID($C$14,Constanst!K31,1)</f>
        <v>1</v>
      </c>
      <c r="B54" s="1" t="str">
        <f t="shared" si="11"/>
        <v>11110101010001011100</v>
      </c>
    </row>
    <row r="55" ht="14.25" customHeight="1">
      <c r="A55" s="1" t="str">
        <f>MID($C$14,Constanst!K32,1)</f>
        <v>1</v>
      </c>
      <c r="B55" s="1" t="str">
        <f t="shared" si="11"/>
        <v>1110101010001011100</v>
      </c>
    </row>
    <row r="56" ht="14.25" customHeight="1">
      <c r="A56" s="1" t="str">
        <f>MID($C$14,Constanst!K33,1)</f>
        <v>1</v>
      </c>
      <c r="B56" s="1" t="str">
        <f t="shared" si="11"/>
        <v>110101010001011100</v>
      </c>
    </row>
    <row r="57" ht="14.25" customHeight="1">
      <c r="A57" s="1" t="str">
        <f>MID($C$14,Constanst!K34,1)</f>
        <v>1</v>
      </c>
      <c r="B57" s="1" t="str">
        <f t="shared" si="11"/>
        <v>10101010001011100</v>
      </c>
    </row>
    <row r="58" ht="14.25" customHeight="1">
      <c r="A58" s="1" t="str">
        <f>MID($C$14,Constanst!K35,1)</f>
        <v>0</v>
      </c>
      <c r="B58" s="1" t="str">
        <f t="shared" si="11"/>
        <v>0101010001011100</v>
      </c>
    </row>
    <row r="59" ht="14.25" customHeight="1">
      <c r="A59" s="1" t="str">
        <f>MID($C$14,Constanst!K36,1)</f>
        <v>1</v>
      </c>
      <c r="B59" s="1" t="str">
        <f t="shared" si="11"/>
        <v>101010001011100</v>
      </c>
    </row>
    <row r="60" ht="14.25" customHeight="1">
      <c r="A60" s="1" t="str">
        <f>MID($C$14,Constanst!K37,1)</f>
        <v>0</v>
      </c>
      <c r="B60" s="1" t="str">
        <f t="shared" si="11"/>
        <v>01010001011100</v>
      </c>
    </row>
    <row r="61" ht="14.25" customHeight="1">
      <c r="A61" s="1" t="str">
        <f>MID($C$14,Constanst!K38,1)</f>
        <v>1</v>
      </c>
      <c r="B61" s="1" t="str">
        <f t="shared" si="11"/>
        <v>1010001011100</v>
      </c>
    </row>
    <row r="62" ht="14.25" customHeight="1">
      <c r="A62" s="1" t="str">
        <f>MID($C$14,Constanst!K39,1)</f>
        <v>0</v>
      </c>
      <c r="B62" s="1" t="str">
        <f t="shared" si="11"/>
        <v>010001011100</v>
      </c>
    </row>
    <row r="63" ht="14.25" customHeight="1">
      <c r="A63" s="1" t="str">
        <f>MID($C$14,Constanst!K40,1)</f>
        <v>1</v>
      </c>
      <c r="B63" s="1" t="str">
        <f t="shared" si="11"/>
        <v>10001011100</v>
      </c>
    </row>
    <row r="64" ht="14.25" customHeight="1">
      <c r="A64" s="1" t="str">
        <f>MID($C$14,Constanst!K41,1)</f>
        <v>0</v>
      </c>
      <c r="B64" s="1" t="str">
        <f t="shared" si="11"/>
        <v>0001011100</v>
      </c>
    </row>
    <row r="65" ht="14.25" customHeight="1">
      <c r="A65" s="1" t="str">
        <f>MID($C$14,Constanst!K42,1)</f>
        <v>0</v>
      </c>
      <c r="B65" s="1" t="str">
        <f t="shared" si="11"/>
        <v>001011100</v>
      </c>
    </row>
    <row r="66" ht="14.25" customHeight="1">
      <c r="A66" s="1" t="str">
        <f>MID($C$14,Constanst!K43,1)</f>
        <v>0</v>
      </c>
      <c r="B66" s="1" t="str">
        <f t="shared" si="11"/>
        <v>01011100</v>
      </c>
    </row>
    <row r="67" ht="14.25" customHeight="1">
      <c r="A67" s="1" t="str">
        <f>MID($C$14,Constanst!K44,1)</f>
        <v>1</v>
      </c>
      <c r="B67" s="1" t="str">
        <f t="shared" si="11"/>
        <v>1011100</v>
      </c>
    </row>
    <row r="68" ht="14.25" customHeight="1">
      <c r="A68" s="1" t="str">
        <f>MID($C$14,Constanst!K45,1)</f>
        <v>0</v>
      </c>
      <c r="B68" s="1" t="str">
        <f t="shared" si="11"/>
        <v>011100</v>
      </c>
    </row>
    <row r="69" ht="14.25" customHeight="1">
      <c r="A69" s="1" t="str">
        <f>MID($C$14,Constanst!K46,1)</f>
        <v>1</v>
      </c>
      <c r="B69" s="1" t="str">
        <f t="shared" si="11"/>
        <v>11100</v>
      </c>
    </row>
    <row r="70" ht="14.25" customHeight="1">
      <c r="A70" s="1" t="str">
        <f>MID($C$14,Constanst!K47,1)</f>
        <v>1</v>
      </c>
      <c r="B70" s="1" t="str">
        <f t="shared" si="11"/>
        <v>1100</v>
      </c>
    </row>
    <row r="71" ht="14.25" customHeight="1">
      <c r="A71" s="1" t="str">
        <f>MID($C$14,Constanst!K48,1)</f>
        <v>1</v>
      </c>
      <c r="B71" s="1" t="str">
        <f t="shared" si="11"/>
        <v>100</v>
      </c>
    </row>
    <row r="72" ht="14.25" customHeight="1">
      <c r="A72" s="1" t="str">
        <f>MID($C$14,Constanst!K49,1)</f>
        <v>0</v>
      </c>
      <c r="B72" s="1" t="str">
        <f>A72&amp;A73</f>
        <v>00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E(R8) XOR K9</v>
      </c>
    </row>
    <row r="76" ht="14.25" customHeight="1">
      <c r="A76" s="11" t="str">
        <f>"Khóa " &amp; L6</f>
        <v>Khóa K9</v>
      </c>
      <c r="B76" s="5"/>
      <c r="C76" s="5"/>
      <c r="D76" s="6"/>
      <c r="G76" s="11" t="str">
        <f>"E("&amp;M5&amp;")"</f>
        <v>E(R8)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11000000</v>
      </c>
      <c r="C78" s="20" t="str">
        <f t="shared" ref="C78:C83" si="13">BIN2HEX(B78,2)</f>
        <v>C0</v>
      </c>
      <c r="D78" s="20">
        <f t="shared" ref="D78:D83" si="14">BIN2DEC(B78)</f>
        <v>192</v>
      </c>
      <c r="G78" s="20">
        <v>1.0</v>
      </c>
      <c r="H78" s="20" t="str">
        <f t="shared" ref="H78:H83" si="15">MID($D$24,(G78-1)*8+1, 8)</f>
        <v>00101111</v>
      </c>
      <c r="I78" s="20" t="str">
        <f t="shared" ref="I78:I83" si="16">BIN2HEX(H78,2)</f>
        <v>2F</v>
      </c>
      <c r="J78" s="20">
        <f t="shared" ref="J78:J83" si="17">BIN2DEC(H78)</f>
        <v>47</v>
      </c>
    </row>
    <row r="79" ht="14.25" customHeight="1">
      <c r="A79" s="20">
        <v>2.0</v>
      </c>
      <c r="B79" s="20" t="str">
        <f t="shared" si="12"/>
        <v>11011011</v>
      </c>
      <c r="C79" s="20" t="str">
        <f t="shared" si="13"/>
        <v>DB</v>
      </c>
      <c r="D79" s="20">
        <f t="shared" si="14"/>
        <v>219</v>
      </c>
      <c r="G79" s="20">
        <v>2.0</v>
      </c>
      <c r="H79" s="20" t="str">
        <f t="shared" si="15"/>
        <v>11101011</v>
      </c>
      <c r="I79" s="20" t="str">
        <f t="shared" si="16"/>
        <v>EB</v>
      </c>
      <c r="J79" s="20">
        <f t="shared" si="17"/>
        <v>235</v>
      </c>
    </row>
    <row r="80" ht="14.25" customHeight="1">
      <c r="A80" s="20">
        <v>3.0</v>
      </c>
      <c r="B80" s="20" t="str">
        <f t="shared" si="12"/>
        <v>11101011</v>
      </c>
      <c r="C80" s="20" t="str">
        <f t="shared" si="13"/>
        <v>EB</v>
      </c>
      <c r="D80" s="20">
        <f t="shared" si="14"/>
        <v>235</v>
      </c>
      <c r="G80" s="20">
        <v>3.0</v>
      </c>
      <c r="H80" s="20" t="str">
        <f t="shared" si="15"/>
        <v>01011001</v>
      </c>
      <c r="I80" s="20" t="str">
        <f t="shared" si="16"/>
        <v>59</v>
      </c>
      <c r="J80" s="20">
        <f t="shared" si="17"/>
        <v>89</v>
      </c>
    </row>
    <row r="81" ht="14.25" customHeight="1">
      <c r="A81" s="20">
        <v>4.0</v>
      </c>
      <c r="B81" s="20" t="str">
        <f t="shared" si="12"/>
        <v>00100111</v>
      </c>
      <c r="C81" s="20" t="str">
        <f t="shared" si="13"/>
        <v>27</v>
      </c>
      <c r="D81" s="20">
        <f t="shared" si="14"/>
        <v>39</v>
      </c>
      <c r="G81" s="20">
        <v>4.0</v>
      </c>
      <c r="H81" s="20" t="str">
        <f t="shared" si="15"/>
        <v>01111111</v>
      </c>
      <c r="I81" s="20" t="str">
        <f t="shared" si="16"/>
        <v>7F</v>
      </c>
      <c r="J81" s="20">
        <f t="shared" si="17"/>
        <v>127</v>
      </c>
    </row>
    <row r="82" ht="14.25" customHeight="1">
      <c r="A82" s="20">
        <v>5.0</v>
      </c>
      <c r="B82" s="20" t="str">
        <f t="shared" si="12"/>
        <v>10111000</v>
      </c>
      <c r="C82" s="20" t="str">
        <f t="shared" si="13"/>
        <v>B8</v>
      </c>
      <c r="D82" s="20">
        <f t="shared" si="14"/>
        <v>184</v>
      </c>
      <c r="G82" s="20">
        <v>5.0</v>
      </c>
      <c r="H82" s="20" t="str">
        <f t="shared" si="15"/>
        <v>01010100</v>
      </c>
      <c r="I82" s="20" t="str">
        <f t="shared" si="16"/>
        <v>54</v>
      </c>
      <c r="J82" s="20">
        <f t="shared" si="17"/>
        <v>84</v>
      </c>
    </row>
    <row r="83" ht="14.25" customHeight="1">
      <c r="A83" s="20">
        <v>6.0</v>
      </c>
      <c r="B83" s="20" t="str">
        <f t="shared" si="12"/>
        <v>00111001</v>
      </c>
      <c r="C83" s="20" t="str">
        <f t="shared" si="13"/>
        <v>39</v>
      </c>
      <c r="D83" s="20">
        <f t="shared" si="14"/>
        <v>57</v>
      </c>
      <c r="G83" s="20">
        <v>6.0</v>
      </c>
      <c r="H83" s="20" t="str">
        <f t="shared" si="15"/>
        <v>01011100</v>
      </c>
      <c r="I83" s="20" t="str">
        <f t="shared" si="16"/>
        <v>5C</v>
      </c>
      <c r="J83" s="20">
        <f t="shared" si="17"/>
        <v>92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XOR(ER8, K9)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239</v>
      </c>
      <c r="C86" s="26" t="str">
        <f t="shared" ref="C86:C91" si="19">DEC2BIN(B86,8)</f>
        <v>11101111</v>
      </c>
      <c r="D86" s="26" t="str">
        <f t="shared" ref="D86:D91" si="20">BIN2HEX(C86,2)</f>
        <v>EF</v>
      </c>
    </row>
    <row r="87" ht="14.25" customHeight="1">
      <c r="A87" s="26">
        <v>2.0</v>
      </c>
      <c r="B87" s="26">
        <f t="shared" si="18"/>
        <v>48</v>
      </c>
      <c r="C87" s="26" t="str">
        <f t="shared" si="19"/>
        <v>00110000</v>
      </c>
      <c r="D87" s="26" t="str">
        <f t="shared" si="20"/>
        <v>30</v>
      </c>
    </row>
    <row r="88" ht="14.25" customHeight="1">
      <c r="A88" s="26">
        <v>3.0</v>
      </c>
      <c r="B88" s="26">
        <f t="shared" si="18"/>
        <v>178</v>
      </c>
      <c r="C88" s="26" t="str">
        <f t="shared" si="19"/>
        <v>10110010</v>
      </c>
      <c r="D88" s="26" t="str">
        <f t="shared" si="20"/>
        <v>B2</v>
      </c>
    </row>
    <row r="89" ht="14.25" customHeight="1">
      <c r="A89" s="26">
        <v>4.0</v>
      </c>
      <c r="B89" s="26">
        <f t="shared" si="18"/>
        <v>88</v>
      </c>
      <c r="C89" s="26" t="str">
        <f t="shared" si="19"/>
        <v>01011000</v>
      </c>
      <c r="D89" s="26" t="str">
        <f t="shared" si="20"/>
        <v>58</v>
      </c>
    </row>
    <row r="90" ht="14.25" customHeight="1">
      <c r="A90" s="26">
        <v>5.0</v>
      </c>
      <c r="B90" s="26">
        <f t="shared" si="18"/>
        <v>236</v>
      </c>
      <c r="C90" s="26" t="str">
        <f t="shared" si="19"/>
        <v>11101100</v>
      </c>
      <c r="D90" s="26" t="str">
        <f t="shared" si="20"/>
        <v>EC</v>
      </c>
    </row>
    <row r="91" ht="14.25" customHeight="1">
      <c r="A91" s="26">
        <v>6.0</v>
      </c>
      <c r="B91" s="26">
        <f t="shared" si="18"/>
        <v>101</v>
      </c>
      <c r="C91" s="26" t="str">
        <f t="shared" si="19"/>
        <v>01100101</v>
      </c>
      <c r="D91" s="26" t="str">
        <f t="shared" si="20"/>
        <v>65</v>
      </c>
    </row>
    <row r="92" ht="14.25" customHeight="1"/>
    <row r="93" ht="14.25" customHeight="1">
      <c r="B93" s="1" t="str">
        <f>"A = E"&amp;M5&amp;" XOR "&amp;L6&amp;" ="</f>
        <v>A = ER8 XOR K9 =</v>
      </c>
      <c r="D93" s="22" t="str">
        <f>C86&amp;C87&amp;C88&amp;C89&amp;C90&amp;C91</f>
        <v>111011110011000010110010010110001110110001100101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111011</v>
      </c>
      <c r="C98" s="3" t="str">
        <f t="shared" ref="C98:C105" si="22">LEFT(B98,1)&amp;(RIGHT(B98,1))</f>
        <v>11</v>
      </c>
      <c r="D98" s="3" t="str">
        <f t="shared" ref="D98:D105" si="23">MID(B98,2,4)</f>
        <v>1101</v>
      </c>
      <c r="E98" s="3" t="str">
        <f t="shared" ref="E98:E105" si="24">C98&amp;D98</f>
        <v>111101</v>
      </c>
      <c r="F98" s="18">
        <f t="shared" ref="F98:F105" si="25">BIN2DEC(E98)</f>
        <v>61</v>
      </c>
      <c r="G98" s="3">
        <f>VLOOKUP(F98,Constanst!$M$3:$U$66,2,TRUE)</f>
        <v>0</v>
      </c>
      <c r="H98" s="3" t="str">
        <f t="shared" ref="H98:H105" si="26">DEC2BIN(G98,4)</f>
        <v>0000</v>
      </c>
      <c r="I98" s="3" t="str">
        <f>H98</f>
        <v>0000</v>
      </c>
    </row>
    <row r="99" ht="14.25" customHeight="1">
      <c r="A99" s="3">
        <v>2.0</v>
      </c>
      <c r="B99" s="3" t="str">
        <f t="shared" si="21"/>
        <v>110011</v>
      </c>
      <c r="C99" s="3" t="str">
        <f t="shared" si="22"/>
        <v>11</v>
      </c>
      <c r="D99" s="3" t="str">
        <f t="shared" si="23"/>
        <v>1001</v>
      </c>
      <c r="E99" s="3" t="str">
        <f t="shared" si="24"/>
        <v>111001</v>
      </c>
      <c r="F99" s="18">
        <f t="shared" si="25"/>
        <v>57</v>
      </c>
      <c r="G99" s="3">
        <f>VLOOKUP(F99,Constanst!$M$3:$U$66,3,TRUE)</f>
        <v>6</v>
      </c>
      <c r="H99" s="3" t="str">
        <f t="shared" si="26"/>
        <v>0110</v>
      </c>
      <c r="I99" s="3" t="str">
        <f t="shared" ref="I99:I105" si="27">I98&amp;H99</f>
        <v>00000110</v>
      </c>
    </row>
    <row r="100" ht="14.25" customHeight="1">
      <c r="A100" s="3">
        <v>3.0</v>
      </c>
      <c r="B100" s="3" t="str">
        <f t="shared" si="21"/>
        <v>000010</v>
      </c>
      <c r="C100" s="3" t="str">
        <f t="shared" si="22"/>
        <v>00</v>
      </c>
      <c r="D100" s="3" t="str">
        <f t="shared" si="23"/>
        <v>0001</v>
      </c>
      <c r="E100" s="3" t="str">
        <f t="shared" si="24"/>
        <v>000001</v>
      </c>
      <c r="F100" s="18">
        <f t="shared" si="25"/>
        <v>1</v>
      </c>
      <c r="G100" s="3">
        <f>VLOOKUP(F100,Constanst!$M$3:$U$66,4,TRUE)</f>
        <v>0</v>
      </c>
      <c r="H100" s="3" t="str">
        <f t="shared" si="26"/>
        <v>0000</v>
      </c>
      <c r="I100" s="3" t="str">
        <f t="shared" si="27"/>
        <v>000001100000</v>
      </c>
    </row>
    <row r="101" ht="14.25" customHeight="1">
      <c r="A101" s="3">
        <v>4.0</v>
      </c>
      <c r="B101" s="3" t="str">
        <f t="shared" si="21"/>
        <v>110010</v>
      </c>
      <c r="C101" s="3" t="str">
        <f t="shared" si="22"/>
        <v>10</v>
      </c>
      <c r="D101" s="3" t="str">
        <f t="shared" si="23"/>
        <v>1001</v>
      </c>
      <c r="E101" s="3" t="str">
        <f t="shared" si="24"/>
        <v>101001</v>
      </c>
      <c r="F101" s="18">
        <f t="shared" si="25"/>
        <v>41</v>
      </c>
      <c r="G101" s="3">
        <f>VLOOKUP(F101,Constanst!$M$3:$U$66,5,TRUE)</f>
        <v>1</v>
      </c>
      <c r="H101" s="3" t="str">
        <f t="shared" si="26"/>
        <v>0001</v>
      </c>
      <c r="I101" s="3" t="str">
        <f t="shared" si="27"/>
        <v>0000011000000001</v>
      </c>
    </row>
    <row r="102" ht="14.25" customHeight="1">
      <c r="A102" s="3">
        <v>5.0</v>
      </c>
      <c r="B102" s="3" t="str">
        <f t="shared" si="21"/>
        <v>010110</v>
      </c>
      <c r="C102" s="3" t="str">
        <f t="shared" si="22"/>
        <v>00</v>
      </c>
      <c r="D102" s="3" t="str">
        <f t="shared" si="23"/>
        <v>1011</v>
      </c>
      <c r="E102" s="3" t="str">
        <f t="shared" si="24"/>
        <v>001011</v>
      </c>
      <c r="F102" s="18">
        <f t="shared" si="25"/>
        <v>11</v>
      </c>
      <c r="G102" s="3">
        <f>VLOOKUP(F102,Constanst!$M$3:$U$66,6,TRUE)</f>
        <v>15</v>
      </c>
      <c r="H102" s="3" t="str">
        <f t="shared" si="26"/>
        <v>1111</v>
      </c>
      <c r="I102" s="3" t="str">
        <f t="shared" si="27"/>
        <v>00000110000000011111</v>
      </c>
    </row>
    <row r="103" ht="14.25" customHeight="1">
      <c r="A103" s="3">
        <v>6.0</v>
      </c>
      <c r="B103" s="3" t="str">
        <f t="shared" si="21"/>
        <v>001110</v>
      </c>
      <c r="C103" s="3" t="str">
        <f t="shared" si="22"/>
        <v>00</v>
      </c>
      <c r="D103" s="3" t="str">
        <f t="shared" si="23"/>
        <v>0111</v>
      </c>
      <c r="E103" s="3" t="str">
        <f t="shared" si="24"/>
        <v>000111</v>
      </c>
      <c r="F103" s="18">
        <f t="shared" si="25"/>
        <v>7</v>
      </c>
      <c r="G103" s="3">
        <f>VLOOKUP(F103,Constanst!$M$3:$U$66,7,TRUE)</f>
        <v>8</v>
      </c>
      <c r="H103" s="3" t="str">
        <f t="shared" si="26"/>
        <v>1000</v>
      </c>
      <c r="I103" s="3" t="str">
        <f t="shared" si="27"/>
        <v>000001100000000111111000</v>
      </c>
    </row>
    <row r="104" ht="14.25" customHeight="1">
      <c r="A104" s="3">
        <v>7.0</v>
      </c>
      <c r="B104" s="3" t="str">
        <f t="shared" si="21"/>
        <v>110001</v>
      </c>
      <c r="C104" s="3" t="str">
        <f t="shared" si="22"/>
        <v>11</v>
      </c>
      <c r="D104" s="3" t="str">
        <f t="shared" si="23"/>
        <v>1000</v>
      </c>
      <c r="E104" s="3" t="str">
        <f t="shared" si="24"/>
        <v>111000</v>
      </c>
      <c r="F104" s="18">
        <f t="shared" si="25"/>
        <v>56</v>
      </c>
      <c r="G104" s="3">
        <f>VLOOKUP(F104,Constanst!$M$3:$U$66,8,TRUE)</f>
        <v>9</v>
      </c>
      <c r="H104" s="3" t="str">
        <f t="shared" si="26"/>
        <v>1001</v>
      </c>
      <c r="I104" s="3" t="str">
        <f t="shared" si="27"/>
        <v>0000011000000001111110001001</v>
      </c>
    </row>
    <row r="105" ht="14.25" customHeight="1">
      <c r="A105" s="3">
        <v>8.0</v>
      </c>
      <c r="B105" s="3" t="str">
        <f t="shared" si="21"/>
        <v>100101</v>
      </c>
      <c r="C105" s="3" t="str">
        <f t="shared" si="22"/>
        <v>11</v>
      </c>
      <c r="D105" s="3" t="str">
        <f t="shared" si="23"/>
        <v>0010</v>
      </c>
      <c r="E105" s="3" t="str">
        <f t="shared" si="24"/>
        <v>110010</v>
      </c>
      <c r="F105" s="18">
        <f t="shared" si="25"/>
        <v>50</v>
      </c>
      <c r="G105" s="3">
        <f>VLOOKUP(F105,Constanst!$M$3:$U$66,9,TRUE)</f>
        <v>14</v>
      </c>
      <c r="H105" s="3" t="str">
        <f t="shared" si="26"/>
        <v>1110</v>
      </c>
      <c r="I105" s="3" t="str">
        <f t="shared" si="27"/>
        <v>00000110000000011111100010011110</v>
      </c>
    </row>
    <row r="106" ht="14.25" customHeight="1"/>
    <row r="107" ht="14.25" customHeight="1">
      <c r="B107" s="1" t="s">
        <v>90</v>
      </c>
      <c r="C107" s="1" t="str">
        <f>I105</f>
        <v>00000110000000011111100010011110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1</v>
      </c>
    </row>
    <row r="113" ht="14.25" hidden="1" customHeight="1">
      <c r="A113" s="1" t="str">
        <f>MID($C$107,Constanst!X4,1)</f>
        <v>1</v>
      </c>
      <c r="B113" s="1" t="str">
        <f>A112&amp;A113</f>
        <v>11</v>
      </c>
    </row>
    <row r="114" ht="14.25" hidden="1" customHeight="1">
      <c r="A114" s="1" t="str">
        <f>MID($C$107,Constanst!X5,1)</f>
        <v>1</v>
      </c>
      <c r="B114" s="1" t="str">
        <f t="shared" ref="B114:B143" si="28">B113&amp;A114</f>
        <v>111</v>
      </c>
    </row>
    <row r="115" ht="14.25" hidden="1" customHeight="1">
      <c r="A115" s="1" t="str">
        <f>MID($C$107,Constanst!X6,1)</f>
        <v>1</v>
      </c>
      <c r="B115" s="1" t="str">
        <f t="shared" si="28"/>
        <v>1111</v>
      </c>
    </row>
    <row r="116" ht="14.25" hidden="1" customHeight="1">
      <c r="A116" s="1" t="str">
        <f>MID($C$107,Constanst!X7,1)</f>
        <v>1</v>
      </c>
      <c r="B116" s="1" t="str">
        <f t="shared" si="28"/>
        <v>11111</v>
      </c>
    </row>
    <row r="117" ht="14.25" hidden="1" customHeight="1">
      <c r="A117" s="1" t="str">
        <f>MID($C$107,Constanst!X8,1)</f>
        <v>0</v>
      </c>
      <c r="B117" s="1" t="str">
        <f t="shared" si="28"/>
        <v>111110</v>
      </c>
    </row>
    <row r="118" ht="14.25" hidden="1" customHeight="1">
      <c r="A118" s="1" t="str">
        <f>MID($C$107,Constanst!X9,1)</f>
        <v>1</v>
      </c>
      <c r="B118" s="1" t="str">
        <f t="shared" si="28"/>
        <v>1111101</v>
      </c>
    </row>
    <row r="119" ht="14.25" hidden="1" customHeight="1">
      <c r="A119" s="1" t="str">
        <f>MID($C$107,Constanst!X10,1)</f>
        <v>1</v>
      </c>
      <c r="B119" s="1" t="str">
        <f t="shared" si="28"/>
        <v>11111011</v>
      </c>
    </row>
    <row r="120" ht="14.25" hidden="1" customHeight="1">
      <c r="A120" s="1" t="str">
        <f>MID($C$107,Constanst!X11,1)</f>
        <v>0</v>
      </c>
      <c r="B120" s="1" t="str">
        <f t="shared" si="28"/>
        <v>111110110</v>
      </c>
    </row>
    <row r="121" ht="14.25" hidden="1" customHeight="1">
      <c r="A121" s="1" t="str">
        <f>MID($C$107,Constanst!X12,1)</f>
        <v>0</v>
      </c>
      <c r="B121" s="1" t="str">
        <f t="shared" si="28"/>
        <v>1111101100</v>
      </c>
    </row>
    <row r="122" ht="14.25" hidden="1" customHeight="1">
      <c r="A122" s="1" t="str">
        <f>MID($C$107,Constanst!X13,1)</f>
        <v>0</v>
      </c>
      <c r="B122" s="1" t="str">
        <f t="shared" si="28"/>
        <v>11111011000</v>
      </c>
    </row>
    <row r="123" ht="14.25" hidden="1" customHeight="1">
      <c r="A123" s="1" t="str">
        <f>MID($C$107,Constanst!X14,1)</f>
        <v>0</v>
      </c>
      <c r="B123" s="1" t="str">
        <f t="shared" si="28"/>
        <v>111110110000</v>
      </c>
    </row>
    <row r="124" ht="14.25" hidden="1" customHeight="1">
      <c r="A124" s="1" t="str">
        <f>MID($C$107,Constanst!X15,1)</f>
        <v>0</v>
      </c>
      <c r="B124" s="1" t="str">
        <f t="shared" si="28"/>
        <v>1111101100000</v>
      </c>
    </row>
    <row r="125" ht="14.25" hidden="1" customHeight="1">
      <c r="A125" s="1" t="str">
        <f>MID($C$107,Constanst!X16,1)</f>
        <v>1</v>
      </c>
      <c r="B125" s="1" t="str">
        <f t="shared" si="28"/>
        <v>11111011000001</v>
      </c>
    </row>
    <row r="126" ht="14.25" hidden="1" customHeight="1">
      <c r="A126" s="1" t="str">
        <f>MID($C$107,Constanst!X17,1)</f>
        <v>1</v>
      </c>
      <c r="B126" s="1" t="str">
        <f t="shared" si="28"/>
        <v>111110110000011</v>
      </c>
    </row>
    <row r="127" ht="14.25" hidden="1" customHeight="1">
      <c r="A127" s="1" t="str">
        <f>MID($C$107,Constanst!X18,1)</f>
        <v>0</v>
      </c>
      <c r="B127" s="1" t="str">
        <f t="shared" si="28"/>
        <v>1111101100000110</v>
      </c>
    </row>
    <row r="128" ht="14.25" hidden="1" customHeight="1">
      <c r="A128" s="1" t="str">
        <f>MID($C$107,Constanst!X19,1)</f>
        <v>0</v>
      </c>
      <c r="B128" s="1" t="str">
        <f t="shared" si="28"/>
        <v>11111011000001100</v>
      </c>
    </row>
    <row r="129" ht="14.25" hidden="1" customHeight="1">
      <c r="A129" s="1" t="str">
        <f>MID($C$107,Constanst!X20,1)</f>
        <v>0</v>
      </c>
      <c r="B129" s="1" t="str">
        <f t="shared" si="28"/>
        <v>111110110000011000</v>
      </c>
    </row>
    <row r="130" ht="14.25" hidden="1" customHeight="1">
      <c r="A130" s="1" t="str">
        <f>MID($C$107,Constanst!X21,1)</f>
        <v>0</v>
      </c>
      <c r="B130" s="1" t="str">
        <f t="shared" si="28"/>
        <v>1111101100000110000</v>
      </c>
    </row>
    <row r="131" ht="14.25" hidden="1" customHeight="1">
      <c r="A131" s="1" t="str">
        <f>MID($C$107,Constanst!X22,1)</f>
        <v>0</v>
      </c>
      <c r="B131" s="1" t="str">
        <f t="shared" si="28"/>
        <v>11111011000001100000</v>
      </c>
    </row>
    <row r="132" ht="14.25" hidden="1" customHeight="1">
      <c r="A132" s="1" t="str">
        <f>MID($C$107,Constanst!X23,1)</f>
        <v>0</v>
      </c>
      <c r="B132" s="1" t="str">
        <f t="shared" si="28"/>
        <v>111110110000011000000</v>
      </c>
    </row>
    <row r="133" ht="14.25" hidden="1" customHeight="1">
      <c r="A133" s="1" t="str">
        <f>MID($C$107,Constanst!X24,1)</f>
        <v>0</v>
      </c>
      <c r="B133" s="1" t="str">
        <f t="shared" si="28"/>
        <v>1111101100000110000000</v>
      </c>
    </row>
    <row r="134" ht="14.25" hidden="1" customHeight="1">
      <c r="A134" s="1" t="str">
        <f>MID($C$107,Constanst!X25,1)</f>
        <v>0</v>
      </c>
      <c r="B134" s="1" t="str">
        <f t="shared" si="28"/>
        <v>11111011000001100000000</v>
      </c>
    </row>
    <row r="135" ht="14.25" hidden="1" customHeight="1">
      <c r="A135" s="1" t="str">
        <f>MID($C$107,Constanst!X26,1)</f>
        <v>0</v>
      </c>
      <c r="B135" s="1" t="str">
        <f t="shared" si="28"/>
        <v>111110110000011000000000</v>
      </c>
    </row>
    <row r="136" ht="14.25" hidden="1" customHeight="1">
      <c r="A136" s="1" t="str">
        <f>MID($C$107,Constanst!X27,1)</f>
        <v>1</v>
      </c>
      <c r="B136" s="1" t="str">
        <f t="shared" si="28"/>
        <v>1111101100000110000000001</v>
      </c>
    </row>
    <row r="137" ht="14.25" hidden="1" customHeight="1">
      <c r="A137" s="1" t="str">
        <f>MID($C$107,Constanst!X28,1)</f>
        <v>0</v>
      </c>
      <c r="B137" s="1" t="str">
        <f t="shared" si="28"/>
        <v>11111011000001100000000010</v>
      </c>
    </row>
    <row r="138" ht="14.25" hidden="1" customHeight="1">
      <c r="A138" s="1" t="str">
        <f>MID($C$107,Constanst!X29,1)</f>
        <v>1</v>
      </c>
      <c r="B138" s="1" t="str">
        <f t="shared" si="28"/>
        <v>111110110000011000000000101</v>
      </c>
    </row>
    <row r="139" ht="14.25" hidden="1" customHeight="1">
      <c r="A139" s="1" t="str">
        <f>MID($C$107,Constanst!X30,1)</f>
        <v>1</v>
      </c>
      <c r="B139" s="1" t="str">
        <f t="shared" si="28"/>
        <v>1111101100000110000000001011</v>
      </c>
    </row>
    <row r="140" ht="14.25" hidden="1" customHeight="1">
      <c r="A140" s="1" t="str">
        <f>MID($C$107,Constanst!X31,1)</f>
        <v>0</v>
      </c>
      <c r="B140" s="1" t="str">
        <f t="shared" si="28"/>
        <v>11111011000001100000000010110</v>
      </c>
    </row>
    <row r="141" ht="14.25" hidden="1" customHeight="1">
      <c r="A141" s="1" t="str">
        <f>MID($C$107,Constanst!X32,1)</f>
        <v>0</v>
      </c>
      <c r="B141" s="1" t="str">
        <f t="shared" si="28"/>
        <v>111110110000011000000000101100</v>
      </c>
    </row>
    <row r="142" ht="14.25" hidden="1" customHeight="1">
      <c r="A142" s="1" t="str">
        <f>MID($C$107,Constanst!X33,1)</f>
        <v>0</v>
      </c>
      <c r="B142" s="1" t="str">
        <f t="shared" si="28"/>
        <v>1111101100000110000000001011000</v>
      </c>
    </row>
    <row r="143" ht="14.25" customHeight="1">
      <c r="A143" s="1" t="str">
        <f>MID($C$107,Constanst!X34,1)</f>
        <v>1</v>
      </c>
      <c r="B143" s="22" t="str">
        <f t="shared" si="28"/>
        <v>11111011000001100000000010110001</v>
      </c>
    </row>
    <row r="144" ht="14.25" customHeight="1"/>
    <row r="145" ht="14.25" customHeight="1">
      <c r="A145" s="1" t="s">
        <v>92</v>
      </c>
      <c r="B145" s="1" t="str">
        <f>B143</f>
        <v>11111011000001100000000010110001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11111011</v>
      </c>
      <c r="C148" s="20" t="str">
        <f t="shared" ref="C148:C151" si="30">BIN2HEX(B148,2)</f>
        <v>FB</v>
      </c>
      <c r="D148" s="20">
        <f t="shared" ref="D148:D151" si="31">HEX2DEC(C148)</f>
        <v>251</v>
      </c>
    </row>
    <row r="149" ht="14.25" customHeight="1">
      <c r="A149" s="20">
        <v>2.0</v>
      </c>
      <c r="B149" s="20" t="str">
        <f t="shared" si="29"/>
        <v>00000110</v>
      </c>
      <c r="C149" s="20" t="str">
        <f t="shared" si="30"/>
        <v>06</v>
      </c>
      <c r="D149" s="20">
        <f t="shared" si="31"/>
        <v>6</v>
      </c>
    </row>
    <row r="150" ht="14.25" customHeight="1">
      <c r="A150" s="20">
        <v>3.0</v>
      </c>
      <c r="B150" s="20" t="str">
        <f t="shared" si="29"/>
        <v>00000000</v>
      </c>
      <c r="C150" s="20" t="str">
        <f t="shared" si="30"/>
        <v>00</v>
      </c>
      <c r="D150" s="20">
        <f t="shared" si="31"/>
        <v>0</v>
      </c>
    </row>
    <row r="151" ht="14.25" customHeight="1">
      <c r="A151" s="20">
        <v>4.0</v>
      </c>
      <c r="B151" s="20" t="str">
        <f t="shared" si="29"/>
        <v>10110001</v>
      </c>
      <c r="C151" s="20" t="str">
        <f t="shared" si="30"/>
        <v>B1</v>
      </c>
      <c r="D151" s="20">
        <f t="shared" si="31"/>
        <v>177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K10</v>
      </c>
      <c r="D2" s="1" t="str">
        <f>Input!I10</f>
        <v>101100011111001101000111011000110001110101110110</v>
      </c>
    </row>
    <row r="3" ht="14.25" customHeight="1">
      <c r="A3" s="1" t="s">
        <v>92</v>
      </c>
      <c r="B3" s="1" t="str">
        <f t="array" ref="B3">INDIRECT("'f(" &amp; L5 &amp; "," &amp; L7 &amp; ")'!B145")</f>
        <v>11111011000001100000000010110001</v>
      </c>
    </row>
    <row r="4" ht="14.25" customHeight="1">
      <c r="A4" s="1" t="str">
        <f t="shared" ref="A4:A5" si="1">L4</f>
        <v>L8</v>
      </c>
      <c r="B4" s="1" t="str">
        <f t="array" ref="B4">INDIRECT("'f(" &amp; L5 &amp; "," &amp; L7 &amp; ")'!C22")</f>
        <v>01000011011101111001111101010111</v>
      </c>
      <c r="L4" s="1" t="s">
        <v>114</v>
      </c>
      <c r="M4" s="1" t="s">
        <v>116</v>
      </c>
    </row>
    <row r="5" ht="14.25" customHeight="1">
      <c r="A5" s="1" t="str">
        <f t="shared" si="1"/>
        <v>R8</v>
      </c>
      <c r="B5" s="1" t="str">
        <f t="array" ref="B5">INDIRECT("'f(" &amp; L5 &amp; "," &amp; L7 &amp; ")'!C14")</f>
        <v>01011111011011001111101010001110</v>
      </c>
      <c r="L5" s="1" t="s">
        <v>115</v>
      </c>
      <c r="M5" s="1" t="s">
        <v>117</v>
      </c>
    </row>
    <row r="6" ht="14.25" customHeight="1">
      <c r="L6" s="1" t="s">
        <v>15</v>
      </c>
    </row>
    <row r="7" ht="14.25" customHeight="1">
      <c r="A7" s="11" t="s">
        <v>98</v>
      </c>
      <c r="B7" s="5"/>
      <c r="C7" s="5"/>
      <c r="D7" s="6"/>
      <c r="G7" s="11" t="str">
        <f>L4</f>
        <v>L8</v>
      </c>
      <c r="H7" s="5"/>
      <c r="I7" s="5"/>
      <c r="J7" s="6"/>
      <c r="L7" s="1" t="s">
        <v>14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11111011</v>
      </c>
      <c r="C9" s="20" t="str">
        <f t="shared" ref="C9:C12" si="3">BIN2HEX(B9,2)</f>
        <v>FB</v>
      </c>
      <c r="D9" s="20">
        <f t="shared" ref="D9:D12" si="4">HEX2DEC(C9)</f>
        <v>251</v>
      </c>
      <c r="G9" s="20">
        <v>1.0</v>
      </c>
      <c r="H9" s="20" t="str">
        <f t="shared" ref="H9:H12" si="5">MID($B$4,(G9-1)*8+1, 8)</f>
        <v>01000011</v>
      </c>
      <c r="I9" s="20" t="str">
        <f t="shared" ref="I9:I12" si="6">BIN2HEX(H9,2)</f>
        <v>43</v>
      </c>
      <c r="J9" s="20">
        <f t="shared" ref="J9:J12" si="7">HEX2DEC(I9)</f>
        <v>67</v>
      </c>
    </row>
    <row r="10" ht="14.25" customHeight="1">
      <c r="A10" s="20">
        <v>2.0</v>
      </c>
      <c r="B10" s="20" t="str">
        <f t="shared" si="2"/>
        <v>00000110</v>
      </c>
      <c r="C10" s="20" t="str">
        <f t="shared" si="3"/>
        <v>06</v>
      </c>
      <c r="D10" s="20">
        <f t="shared" si="4"/>
        <v>6</v>
      </c>
      <c r="G10" s="20">
        <v>2.0</v>
      </c>
      <c r="H10" s="20" t="str">
        <f t="shared" si="5"/>
        <v>01110111</v>
      </c>
      <c r="I10" s="20" t="str">
        <f t="shared" si="6"/>
        <v>77</v>
      </c>
      <c r="J10" s="20">
        <f t="shared" si="7"/>
        <v>119</v>
      </c>
    </row>
    <row r="11" ht="14.25" customHeight="1">
      <c r="A11" s="20">
        <v>3.0</v>
      </c>
      <c r="B11" s="20" t="str">
        <f t="shared" si="2"/>
        <v>00000000</v>
      </c>
      <c r="C11" s="20" t="str">
        <f t="shared" si="3"/>
        <v>00</v>
      </c>
      <c r="D11" s="20">
        <f t="shared" si="4"/>
        <v>0</v>
      </c>
      <c r="G11" s="20">
        <v>3.0</v>
      </c>
      <c r="H11" s="20" t="str">
        <f t="shared" si="5"/>
        <v>10011111</v>
      </c>
      <c r="I11" s="20" t="str">
        <f t="shared" si="6"/>
        <v>9F</v>
      </c>
      <c r="J11" s="20">
        <f t="shared" si="7"/>
        <v>159</v>
      </c>
    </row>
    <row r="12" ht="14.25" customHeight="1">
      <c r="A12" s="20">
        <v>4.0</v>
      </c>
      <c r="B12" s="20" t="str">
        <f t="shared" si="2"/>
        <v>10110001</v>
      </c>
      <c r="C12" s="20" t="str">
        <f t="shared" si="3"/>
        <v>B1</v>
      </c>
      <c r="D12" s="20">
        <f t="shared" si="4"/>
        <v>177</v>
      </c>
      <c r="G12" s="20">
        <v>4.0</v>
      </c>
      <c r="H12" s="20" t="str">
        <f t="shared" si="5"/>
        <v>01010111</v>
      </c>
      <c r="I12" s="20" t="str">
        <f t="shared" si="6"/>
        <v>57</v>
      </c>
      <c r="J12" s="20">
        <f t="shared" si="7"/>
        <v>87</v>
      </c>
    </row>
    <row r="13" ht="14.25" customHeight="1"/>
    <row r="14" ht="14.25" customHeight="1">
      <c r="A14" s="1" t="str">
        <f>M5&amp;" = F XOR "&amp;L4&amp;" ="</f>
        <v>R9 = F XOR L8 =</v>
      </c>
      <c r="C14" s="23" t="str">
        <f>F17&amp;F18&amp;F19&amp;F20</f>
        <v>10111000011100011001111111100110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184</v>
      </c>
      <c r="E17" s="20" t="str">
        <f t="shared" ref="E17:E20" si="9">DEC2HEX(D17,2)</f>
        <v>B8</v>
      </c>
      <c r="F17" s="20" t="str">
        <f t="shared" ref="F17:F20" si="10">HEX2BIN(E17,8)</f>
        <v>10111000</v>
      </c>
    </row>
    <row r="18" ht="14.25" customHeight="1">
      <c r="C18" s="20">
        <v>2.0</v>
      </c>
      <c r="D18" s="20">
        <f t="shared" si="8"/>
        <v>113</v>
      </c>
      <c r="E18" s="20" t="str">
        <f t="shared" si="9"/>
        <v>71</v>
      </c>
      <c r="F18" s="20" t="str">
        <f t="shared" si="10"/>
        <v>01110001</v>
      </c>
    </row>
    <row r="19" ht="14.25" customHeight="1">
      <c r="C19" s="20">
        <v>3.0</v>
      </c>
      <c r="D19" s="20">
        <f t="shared" si="8"/>
        <v>159</v>
      </c>
      <c r="E19" s="20" t="str">
        <f t="shared" si="9"/>
        <v>9F</v>
      </c>
      <c r="F19" s="20" t="str">
        <f t="shared" si="10"/>
        <v>10011111</v>
      </c>
    </row>
    <row r="20" ht="14.25" customHeight="1">
      <c r="C20" s="20">
        <v>4.0</v>
      </c>
      <c r="D20" s="20">
        <f t="shared" si="8"/>
        <v>230</v>
      </c>
      <c r="E20" s="20" t="str">
        <f t="shared" si="9"/>
        <v>E6</v>
      </c>
      <c r="F20" s="20" t="str">
        <f t="shared" si="10"/>
        <v>11100110</v>
      </c>
    </row>
    <row r="21" ht="14.25" customHeight="1"/>
    <row r="22" ht="14.25" customHeight="1">
      <c r="A22" s="1" t="str">
        <f>M4&amp;" = "&amp;L5&amp;" ="</f>
        <v>L9 = R8 =</v>
      </c>
      <c r="C22" s="23" t="str">
        <f>B5</f>
        <v>01011111011011001111101010001110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R9 =&gt; E(R9)</v>
      </c>
      <c r="D24" s="1" t="str">
        <f>B26</f>
        <v>010111110000001110100011110011111111111100001101</v>
      </c>
    </row>
    <row r="25" ht="14.25" customHeight="1">
      <c r="A25" s="1" t="s">
        <v>66</v>
      </c>
    </row>
    <row r="26" ht="14.25" customHeight="1">
      <c r="A26" s="1" t="str">
        <f>MID($C$14,Constanst!K3,1)</f>
        <v>0</v>
      </c>
      <c r="B26" s="1" t="str">
        <f t="shared" ref="B26:B71" si="11">A26&amp;B27</f>
        <v>010111110000001110100011110011111111111100001101</v>
      </c>
    </row>
    <row r="27" ht="14.25" customHeight="1">
      <c r="A27" s="1" t="str">
        <f>MID($C$14,Constanst!K4,1)</f>
        <v>1</v>
      </c>
      <c r="B27" s="1" t="str">
        <f t="shared" si="11"/>
        <v>10111110000001110100011110011111111111100001101</v>
      </c>
    </row>
    <row r="28" ht="14.25" customHeight="1">
      <c r="A28" s="1" t="str">
        <f>MID($C$14,Constanst!K5,1)</f>
        <v>0</v>
      </c>
      <c r="B28" s="1" t="str">
        <f t="shared" si="11"/>
        <v>0111110000001110100011110011111111111100001101</v>
      </c>
    </row>
    <row r="29" ht="14.25" customHeight="1">
      <c r="A29" s="1" t="str">
        <f>MID($C$14,Constanst!K6,1)</f>
        <v>1</v>
      </c>
      <c r="B29" s="1" t="str">
        <f t="shared" si="11"/>
        <v>111110000001110100011110011111111111100001101</v>
      </c>
    </row>
    <row r="30" ht="14.25" customHeight="1">
      <c r="A30" s="1" t="str">
        <f>MID($C$14,Constanst!K7,1)</f>
        <v>1</v>
      </c>
      <c r="B30" s="1" t="str">
        <f t="shared" si="11"/>
        <v>11110000001110100011110011111111111100001101</v>
      </c>
    </row>
    <row r="31" ht="14.25" customHeight="1">
      <c r="A31" s="1" t="str">
        <f>MID($C$14,Constanst!K8,1)</f>
        <v>1</v>
      </c>
      <c r="B31" s="1" t="str">
        <f t="shared" si="11"/>
        <v>1110000001110100011110011111111111100001101</v>
      </c>
    </row>
    <row r="32" ht="14.25" customHeight="1">
      <c r="A32" s="1" t="str">
        <f>MID($C$14,Constanst!K9,1)</f>
        <v>1</v>
      </c>
      <c r="B32" s="1" t="str">
        <f t="shared" si="11"/>
        <v>110000001110100011110011111111111100001101</v>
      </c>
    </row>
    <row r="33" ht="14.25" customHeight="1">
      <c r="A33" s="1" t="str">
        <f>MID($C$14,Constanst!K10,1)</f>
        <v>1</v>
      </c>
      <c r="B33" s="1" t="str">
        <f t="shared" si="11"/>
        <v>10000001110100011110011111111111100001101</v>
      </c>
    </row>
    <row r="34" ht="14.25" customHeight="1">
      <c r="A34" s="1" t="str">
        <f>MID($C$14,Constanst!K11,1)</f>
        <v>0</v>
      </c>
      <c r="B34" s="1" t="str">
        <f t="shared" si="11"/>
        <v>0000001110100011110011111111111100001101</v>
      </c>
    </row>
    <row r="35" ht="14.25" customHeight="1">
      <c r="A35" s="1" t="str">
        <f>MID($C$14,Constanst!K12,1)</f>
        <v>0</v>
      </c>
      <c r="B35" s="1" t="str">
        <f t="shared" si="11"/>
        <v>000001110100011110011111111111100001101</v>
      </c>
    </row>
    <row r="36" ht="14.25" customHeight="1">
      <c r="A36" s="1" t="str">
        <f>MID($C$14,Constanst!K13,1)</f>
        <v>0</v>
      </c>
      <c r="B36" s="1" t="str">
        <f t="shared" si="11"/>
        <v>00001110100011110011111111111100001101</v>
      </c>
    </row>
    <row r="37" ht="14.25" customHeight="1">
      <c r="A37" s="1" t="str">
        <f>MID($C$14,Constanst!K14,1)</f>
        <v>0</v>
      </c>
      <c r="B37" s="1" t="str">
        <f t="shared" si="11"/>
        <v>0001110100011110011111111111100001101</v>
      </c>
    </row>
    <row r="38" ht="14.25" customHeight="1">
      <c r="A38" s="1" t="str">
        <f>MID($C$14,Constanst!K15,1)</f>
        <v>0</v>
      </c>
      <c r="B38" s="1" t="str">
        <f t="shared" si="11"/>
        <v>001110100011110011111111111100001101</v>
      </c>
    </row>
    <row r="39" ht="14.25" customHeight="1">
      <c r="A39" s="1" t="str">
        <f>MID($C$14,Constanst!K16,1)</f>
        <v>0</v>
      </c>
      <c r="B39" s="1" t="str">
        <f t="shared" si="11"/>
        <v>01110100011110011111111111100001101</v>
      </c>
    </row>
    <row r="40" ht="14.25" customHeight="1">
      <c r="A40" s="1" t="str">
        <f>MID($C$14,Constanst!K17,1)</f>
        <v>1</v>
      </c>
      <c r="B40" s="1" t="str">
        <f t="shared" si="11"/>
        <v>1110100011110011111111111100001101</v>
      </c>
    </row>
    <row r="41" ht="14.25" customHeight="1">
      <c r="A41" s="1" t="str">
        <f>MID($C$14,Constanst!K18,1)</f>
        <v>1</v>
      </c>
      <c r="B41" s="1" t="str">
        <f t="shared" si="11"/>
        <v>110100011110011111111111100001101</v>
      </c>
    </row>
    <row r="42" ht="14.25" customHeight="1">
      <c r="A42" s="1" t="str">
        <f>MID($C$14,Constanst!K19,1)</f>
        <v>1</v>
      </c>
      <c r="B42" s="1" t="str">
        <f t="shared" si="11"/>
        <v>10100011110011111111111100001101</v>
      </c>
    </row>
    <row r="43" ht="14.25" customHeight="1">
      <c r="A43" s="1" t="str">
        <f>MID($C$14,Constanst!K20,1)</f>
        <v>0</v>
      </c>
      <c r="B43" s="1" t="str">
        <f t="shared" si="11"/>
        <v>0100011110011111111111100001101</v>
      </c>
    </row>
    <row r="44" ht="14.25" customHeight="1">
      <c r="A44" s="1" t="str">
        <f>MID($C$14,Constanst!K21,1)</f>
        <v>1</v>
      </c>
      <c r="B44" s="1" t="str">
        <f t="shared" si="11"/>
        <v>100011110011111111111100001101</v>
      </c>
    </row>
    <row r="45" ht="14.25" customHeight="1">
      <c r="A45" s="1" t="str">
        <f>MID($C$14,Constanst!K22,1)</f>
        <v>0</v>
      </c>
      <c r="B45" s="1" t="str">
        <f t="shared" si="11"/>
        <v>00011110011111111111100001101</v>
      </c>
    </row>
    <row r="46" ht="14.25" customHeight="1">
      <c r="A46" s="1" t="str">
        <f>MID($C$14,Constanst!K23,1)</f>
        <v>0</v>
      </c>
      <c r="B46" s="1" t="str">
        <f t="shared" si="11"/>
        <v>0011110011111111111100001101</v>
      </c>
    </row>
    <row r="47" ht="14.25" customHeight="1">
      <c r="A47" s="1" t="str">
        <f>MID($C$14,Constanst!K24,1)</f>
        <v>0</v>
      </c>
      <c r="B47" s="1" t="str">
        <f t="shared" si="11"/>
        <v>011110011111111111100001101</v>
      </c>
    </row>
    <row r="48" ht="14.25" customHeight="1">
      <c r="A48" s="1" t="str">
        <f>MID($C$14,Constanst!K25,1)</f>
        <v>1</v>
      </c>
      <c r="B48" s="1" t="str">
        <f t="shared" si="11"/>
        <v>11110011111111111100001101</v>
      </c>
    </row>
    <row r="49" ht="14.25" customHeight="1">
      <c r="A49" s="1" t="str">
        <f>MID($C$14,Constanst!K26,1)</f>
        <v>1</v>
      </c>
      <c r="B49" s="1" t="str">
        <f t="shared" si="11"/>
        <v>1110011111111111100001101</v>
      </c>
    </row>
    <row r="50" ht="14.25" customHeight="1">
      <c r="A50" s="1" t="str">
        <f>MID($C$14,Constanst!K27,1)</f>
        <v>1</v>
      </c>
      <c r="B50" s="1" t="str">
        <f t="shared" si="11"/>
        <v>110011111111111100001101</v>
      </c>
    </row>
    <row r="51" ht="14.25" customHeight="1">
      <c r="A51" s="1" t="str">
        <f>MID($C$14,Constanst!K28,1)</f>
        <v>1</v>
      </c>
      <c r="B51" s="1" t="str">
        <f t="shared" si="11"/>
        <v>10011111111111100001101</v>
      </c>
    </row>
    <row r="52" ht="14.25" customHeight="1">
      <c r="A52" s="1" t="str">
        <f>MID($C$14,Constanst!K29,1)</f>
        <v>0</v>
      </c>
      <c r="B52" s="1" t="str">
        <f t="shared" si="11"/>
        <v>0011111111111100001101</v>
      </c>
    </row>
    <row r="53" ht="14.25" customHeight="1">
      <c r="A53" s="1" t="str">
        <f>MID($C$14,Constanst!K30,1)</f>
        <v>0</v>
      </c>
      <c r="B53" s="1" t="str">
        <f t="shared" si="11"/>
        <v>011111111111100001101</v>
      </c>
    </row>
    <row r="54" ht="14.25" customHeight="1">
      <c r="A54" s="1" t="str">
        <f>MID($C$14,Constanst!K31,1)</f>
        <v>1</v>
      </c>
      <c r="B54" s="1" t="str">
        <f t="shared" si="11"/>
        <v>11111111111100001101</v>
      </c>
    </row>
    <row r="55" ht="14.25" customHeight="1">
      <c r="A55" s="1" t="str">
        <f>MID($C$14,Constanst!K32,1)</f>
        <v>1</v>
      </c>
      <c r="B55" s="1" t="str">
        <f t="shared" si="11"/>
        <v>1111111111100001101</v>
      </c>
    </row>
    <row r="56" ht="14.25" customHeight="1">
      <c r="A56" s="1" t="str">
        <f>MID($C$14,Constanst!K33,1)</f>
        <v>1</v>
      </c>
      <c r="B56" s="1" t="str">
        <f t="shared" si="11"/>
        <v>111111111100001101</v>
      </c>
    </row>
    <row r="57" ht="14.25" customHeight="1">
      <c r="A57" s="1" t="str">
        <f>MID($C$14,Constanst!K34,1)</f>
        <v>1</v>
      </c>
      <c r="B57" s="1" t="str">
        <f t="shared" si="11"/>
        <v>11111111100001101</v>
      </c>
    </row>
    <row r="58" ht="14.25" customHeight="1">
      <c r="A58" s="1" t="str">
        <f>MID($C$14,Constanst!K35,1)</f>
        <v>1</v>
      </c>
      <c r="B58" s="1" t="str">
        <f t="shared" si="11"/>
        <v>1111111100001101</v>
      </c>
    </row>
    <row r="59" ht="14.25" customHeight="1">
      <c r="A59" s="1" t="str">
        <f>MID($C$14,Constanst!K36,1)</f>
        <v>1</v>
      </c>
      <c r="B59" s="1" t="str">
        <f t="shared" si="11"/>
        <v>111111100001101</v>
      </c>
    </row>
    <row r="60" ht="14.25" customHeight="1">
      <c r="A60" s="1" t="str">
        <f>MID($C$14,Constanst!K37,1)</f>
        <v>1</v>
      </c>
      <c r="B60" s="1" t="str">
        <f t="shared" si="11"/>
        <v>11111100001101</v>
      </c>
    </row>
    <row r="61" ht="14.25" customHeight="1">
      <c r="A61" s="1" t="str">
        <f>MID($C$14,Constanst!K38,1)</f>
        <v>1</v>
      </c>
      <c r="B61" s="1" t="str">
        <f t="shared" si="11"/>
        <v>1111100001101</v>
      </c>
    </row>
    <row r="62" ht="14.25" customHeight="1">
      <c r="A62" s="1" t="str">
        <f>MID($C$14,Constanst!K39,1)</f>
        <v>1</v>
      </c>
      <c r="B62" s="1" t="str">
        <f t="shared" si="11"/>
        <v>111100001101</v>
      </c>
    </row>
    <row r="63" ht="14.25" customHeight="1">
      <c r="A63" s="1" t="str">
        <f>MID($C$14,Constanst!K40,1)</f>
        <v>1</v>
      </c>
      <c r="B63" s="1" t="str">
        <f t="shared" si="11"/>
        <v>11100001101</v>
      </c>
    </row>
    <row r="64" ht="14.25" customHeight="1">
      <c r="A64" s="1" t="str">
        <f>MID($C$14,Constanst!K41,1)</f>
        <v>1</v>
      </c>
      <c r="B64" s="1" t="str">
        <f t="shared" si="11"/>
        <v>1100001101</v>
      </c>
    </row>
    <row r="65" ht="14.25" customHeight="1">
      <c r="A65" s="1" t="str">
        <f>MID($C$14,Constanst!K42,1)</f>
        <v>1</v>
      </c>
      <c r="B65" s="1" t="str">
        <f t="shared" si="11"/>
        <v>100001101</v>
      </c>
    </row>
    <row r="66" ht="14.25" customHeight="1">
      <c r="A66" s="1" t="str">
        <f>MID($C$14,Constanst!K43,1)</f>
        <v>0</v>
      </c>
      <c r="B66" s="1" t="str">
        <f t="shared" si="11"/>
        <v>00001101</v>
      </c>
    </row>
    <row r="67" ht="14.25" customHeight="1">
      <c r="A67" s="1" t="str">
        <f>MID($C$14,Constanst!K44,1)</f>
        <v>0</v>
      </c>
      <c r="B67" s="1" t="str">
        <f t="shared" si="11"/>
        <v>0001101</v>
      </c>
    </row>
    <row r="68" ht="14.25" customHeight="1">
      <c r="A68" s="1" t="str">
        <f>MID($C$14,Constanst!K45,1)</f>
        <v>0</v>
      </c>
      <c r="B68" s="1" t="str">
        <f t="shared" si="11"/>
        <v>001101</v>
      </c>
    </row>
    <row r="69" ht="14.25" customHeight="1">
      <c r="A69" s="1" t="str">
        <f>MID($C$14,Constanst!K46,1)</f>
        <v>0</v>
      </c>
      <c r="B69" s="1" t="str">
        <f t="shared" si="11"/>
        <v>01101</v>
      </c>
    </row>
    <row r="70" ht="14.25" customHeight="1">
      <c r="A70" s="1" t="str">
        <f>MID($C$14,Constanst!K47,1)</f>
        <v>1</v>
      </c>
      <c r="B70" s="1" t="str">
        <f t="shared" si="11"/>
        <v>1101</v>
      </c>
    </row>
    <row r="71" ht="14.25" customHeight="1">
      <c r="A71" s="1" t="str">
        <f>MID($C$14,Constanst!K48,1)</f>
        <v>1</v>
      </c>
      <c r="B71" s="1" t="str">
        <f t="shared" si="11"/>
        <v>101</v>
      </c>
    </row>
    <row r="72" ht="14.25" customHeight="1">
      <c r="A72" s="1" t="str">
        <f>MID($C$14,Constanst!K49,1)</f>
        <v>0</v>
      </c>
      <c r="B72" s="1" t="str">
        <f>A72&amp;A73</f>
        <v>01</v>
      </c>
    </row>
    <row r="73" ht="14.25" customHeight="1">
      <c r="A73" s="1" t="str">
        <f>MID($C$14,Constanst!K50,1)</f>
        <v>1</v>
      </c>
    </row>
    <row r="74" ht="14.25" customHeight="1"/>
    <row r="75" ht="14.25" customHeight="1">
      <c r="A75" s="1" t="str">
        <f>"Thực hiện phép XOR A = E("&amp;M5&amp;") XOR "&amp;L6</f>
        <v>Thực hiện phép XOR A = E(R9) XOR K10</v>
      </c>
    </row>
    <row r="76" ht="14.25" customHeight="1">
      <c r="A76" s="11" t="str">
        <f>"Khóa " &amp; L6</f>
        <v>Khóa K10</v>
      </c>
      <c r="B76" s="5"/>
      <c r="C76" s="5"/>
      <c r="D76" s="6"/>
      <c r="G76" s="11" t="str">
        <f>"E("&amp;M5&amp;")"</f>
        <v>E(R9)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10110001</v>
      </c>
      <c r="C78" s="20" t="str">
        <f t="shared" ref="C78:C83" si="13">BIN2HEX(B78,2)</f>
        <v>B1</v>
      </c>
      <c r="D78" s="20">
        <f t="shared" ref="D78:D83" si="14">BIN2DEC(B78)</f>
        <v>177</v>
      </c>
      <c r="G78" s="20">
        <v>1.0</v>
      </c>
      <c r="H78" s="20" t="str">
        <f t="shared" ref="H78:H83" si="15">MID($D$24,(G78-1)*8+1, 8)</f>
        <v>01011111</v>
      </c>
      <c r="I78" s="20" t="str">
        <f t="shared" ref="I78:I83" si="16">BIN2HEX(H78,2)</f>
        <v>5F</v>
      </c>
      <c r="J78" s="20">
        <f t="shared" ref="J78:J83" si="17">BIN2DEC(H78)</f>
        <v>95</v>
      </c>
    </row>
    <row r="79" ht="14.25" customHeight="1">
      <c r="A79" s="20">
        <v>2.0</v>
      </c>
      <c r="B79" s="20" t="str">
        <f t="shared" si="12"/>
        <v>11110011</v>
      </c>
      <c r="C79" s="20" t="str">
        <f t="shared" si="13"/>
        <v>F3</v>
      </c>
      <c r="D79" s="20">
        <f t="shared" si="14"/>
        <v>243</v>
      </c>
      <c r="G79" s="20">
        <v>2.0</v>
      </c>
      <c r="H79" s="20" t="str">
        <f t="shared" si="15"/>
        <v>00000011</v>
      </c>
      <c r="I79" s="20" t="str">
        <f t="shared" si="16"/>
        <v>03</v>
      </c>
      <c r="J79" s="20">
        <f t="shared" si="17"/>
        <v>3</v>
      </c>
    </row>
    <row r="80" ht="14.25" customHeight="1">
      <c r="A80" s="20">
        <v>3.0</v>
      </c>
      <c r="B80" s="20" t="str">
        <f t="shared" si="12"/>
        <v>01000111</v>
      </c>
      <c r="C80" s="20" t="str">
        <f t="shared" si="13"/>
        <v>47</v>
      </c>
      <c r="D80" s="20">
        <f t="shared" si="14"/>
        <v>71</v>
      </c>
      <c r="G80" s="20">
        <v>3.0</v>
      </c>
      <c r="H80" s="20" t="str">
        <f t="shared" si="15"/>
        <v>10100011</v>
      </c>
      <c r="I80" s="20" t="str">
        <f t="shared" si="16"/>
        <v>A3</v>
      </c>
      <c r="J80" s="20">
        <f t="shared" si="17"/>
        <v>163</v>
      </c>
    </row>
    <row r="81" ht="14.25" customHeight="1">
      <c r="A81" s="20">
        <v>4.0</v>
      </c>
      <c r="B81" s="20" t="str">
        <f t="shared" si="12"/>
        <v>01100011</v>
      </c>
      <c r="C81" s="20" t="str">
        <f t="shared" si="13"/>
        <v>63</v>
      </c>
      <c r="D81" s="20">
        <f t="shared" si="14"/>
        <v>99</v>
      </c>
      <c r="G81" s="20">
        <v>4.0</v>
      </c>
      <c r="H81" s="20" t="str">
        <f t="shared" si="15"/>
        <v>11001111</v>
      </c>
      <c r="I81" s="20" t="str">
        <f t="shared" si="16"/>
        <v>CF</v>
      </c>
      <c r="J81" s="20">
        <f t="shared" si="17"/>
        <v>207</v>
      </c>
    </row>
    <row r="82" ht="14.25" customHeight="1">
      <c r="A82" s="20">
        <v>5.0</v>
      </c>
      <c r="B82" s="20" t="str">
        <f t="shared" si="12"/>
        <v>00011101</v>
      </c>
      <c r="C82" s="20" t="str">
        <f t="shared" si="13"/>
        <v>1D</v>
      </c>
      <c r="D82" s="20">
        <f t="shared" si="14"/>
        <v>29</v>
      </c>
      <c r="G82" s="20">
        <v>5.0</v>
      </c>
      <c r="H82" s="20" t="str">
        <f t="shared" si="15"/>
        <v>11111111</v>
      </c>
      <c r="I82" s="20" t="str">
        <f t="shared" si="16"/>
        <v>FF</v>
      </c>
      <c r="J82" s="20">
        <f t="shared" si="17"/>
        <v>255</v>
      </c>
    </row>
    <row r="83" ht="14.25" customHeight="1">
      <c r="A83" s="20">
        <v>6.0</v>
      </c>
      <c r="B83" s="20" t="str">
        <f t="shared" si="12"/>
        <v>01110110</v>
      </c>
      <c r="C83" s="20" t="str">
        <f t="shared" si="13"/>
        <v>76</v>
      </c>
      <c r="D83" s="20">
        <f t="shared" si="14"/>
        <v>118</v>
      </c>
      <c r="G83" s="20">
        <v>6.0</v>
      </c>
      <c r="H83" s="20" t="str">
        <f t="shared" si="15"/>
        <v>00001101</v>
      </c>
      <c r="I83" s="20" t="str">
        <f t="shared" si="16"/>
        <v>0D</v>
      </c>
      <c r="J83" s="20">
        <f t="shared" si="17"/>
        <v>13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XOR(ER9, K10)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238</v>
      </c>
      <c r="C86" s="26" t="str">
        <f t="shared" ref="C86:C91" si="19">DEC2BIN(B86,8)</f>
        <v>11101110</v>
      </c>
      <c r="D86" s="26" t="str">
        <f t="shared" ref="D86:D91" si="20">BIN2HEX(C86,2)</f>
        <v>EE</v>
      </c>
    </row>
    <row r="87" ht="14.25" customHeight="1">
      <c r="A87" s="26">
        <v>2.0</v>
      </c>
      <c r="B87" s="26">
        <f t="shared" si="18"/>
        <v>240</v>
      </c>
      <c r="C87" s="26" t="str">
        <f t="shared" si="19"/>
        <v>11110000</v>
      </c>
      <c r="D87" s="26" t="str">
        <f t="shared" si="20"/>
        <v>F0</v>
      </c>
    </row>
    <row r="88" ht="14.25" customHeight="1">
      <c r="A88" s="26">
        <v>3.0</v>
      </c>
      <c r="B88" s="26">
        <f t="shared" si="18"/>
        <v>228</v>
      </c>
      <c r="C88" s="26" t="str">
        <f t="shared" si="19"/>
        <v>11100100</v>
      </c>
      <c r="D88" s="26" t="str">
        <f t="shared" si="20"/>
        <v>E4</v>
      </c>
    </row>
    <row r="89" ht="14.25" customHeight="1">
      <c r="A89" s="26">
        <v>4.0</v>
      </c>
      <c r="B89" s="26">
        <f t="shared" si="18"/>
        <v>172</v>
      </c>
      <c r="C89" s="26" t="str">
        <f t="shared" si="19"/>
        <v>10101100</v>
      </c>
      <c r="D89" s="26" t="str">
        <f t="shared" si="20"/>
        <v>AC</v>
      </c>
    </row>
    <row r="90" ht="14.25" customHeight="1">
      <c r="A90" s="26">
        <v>5.0</v>
      </c>
      <c r="B90" s="26">
        <f t="shared" si="18"/>
        <v>226</v>
      </c>
      <c r="C90" s="26" t="str">
        <f t="shared" si="19"/>
        <v>11100010</v>
      </c>
      <c r="D90" s="26" t="str">
        <f t="shared" si="20"/>
        <v>E2</v>
      </c>
    </row>
    <row r="91" ht="14.25" customHeight="1">
      <c r="A91" s="26">
        <v>6.0</v>
      </c>
      <c r="B91" s="26">
        <f t="shared" si="18"/>
        <v>123</v>
      </c>
      <c r="C91" s="26" t="str">
        <f t="shared" si="19"/>
        <v>01111011</v>
      </c>
      <c r="D91" s="26" t="str">
        <f t="shared" si="20"/>
        <v>7B</v>
      </c>
    </row>
    <row r="92" ht="14.25" customHeight="1"/>
    <row r="93" ht="14.25" customHeight="1">
      <c r="B93" s="1" t="str">
        <f>"A = E"&amp;M5&amp;" XOR "&amp;L6&amp;" ="</f>
        <v>A = ER9 XOR K10 =</v>
      </c>
      <c r="D93" s="22" t="str">
        <f>C86&amp;C87&amp;C88&amp;C89&amp;C90&amp;C91</f>
        <v>111011101111000011100100101011001110001001111011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111011</v>
      </c>
      <c r="C98" s="3" t="str">
        <f t="shared" ref="C98:C105" si="22">LEFT(B98,1)&amp;(RIGHT(B98,1))</f>
        <v>11</v>
      </c>
      <c r="D98" s="3" t="str">
        <f t="shared" ref="D98:D105" si="23">MID(B98,2,4)</f>
        <v>1101</v>
      </c>
      <c r="E98" s="3" t="str">
        <f t="shared" ref="E98:E105" si="24">C98&amp;D98</f>
        <v>111101</v>
      </c>
      <c r="F98" s="18">
        <f t="shared" ref="F98:F105" si="25">BIN2DEC(E98)</f>
        <v>61</v>
      </c>
      <c r="G98" s="3">
        <f>VLOOKUP(F98,Constanst!$M$3:$U$66,2,TRUE)</f>
        <v>0</v>
      </c>
      <c r="H98" s="3" t="str">
        <f t="shared" ref="H98:H105" si="26">DEC2BIN(G98,4)</f>
        <v>0000</v>
      </c>
      <c r="I98" s="3" t="str">
        <f>H98</f>
        <v>0000</v>
      </c>
    </row>
    <row r="99" ht="14.25" customHeight="1">
      <c r="A99" s="3">
        <v>2.0</v>
      </c>
      <c r="B99" s="3" t="str">
        <f t="shared" si="21"/>
        <v>101111</v>
      </c>
      <c r="C99" s="3" t="str">
        <f t="shared" si="22"/>
        <v>11</v>
      </c>
      <c r="D99" s="3" t="str">
        <f t="shared" si="23"/>
        <v>0111</v>
      </c>
      <c r="E99" s="3" t="str">
        <f t="shared" si="24"/>
        <v>110111</v>
      </c>
      <c r="F99" s="18">
        <f t="shared" si="25"/>
        <v>55</v>
      </c>
      <c r="G99" s="3">
        <f>VLOOKUP(F99,Constanst!$M$3:$U$66,3,TRUE)</f>
        <v>2</v>
      </c>
      <c r="H99" s="3" t="str">
        <f t="shared" si="26"/>
        <v>0010</v>
      </c>
      <c r="I99" s="3" t="str">
        <f t="shared" ref="I99:I105" si="27">I98&amp;H99</f>
        <v>00000010</v>
      </c>
    </row>
    <row r="100" ht="14.25" customHeight="1">
      <c r="A100" s="3">
        <v>3.0</v>
      </c>
      <c r="B100" s="3" t="str">
        <f t="shared" si="21"/>
        <v>000011</v>
      </c>
      <c r="C100" s="3" t="str">
        <f t="shared" si="22"/>
        <v>01</v>
      </c>
      <c r="D100" s="3" t="str">
        <f t="shared" si="23"/>
        <v>0001</v>
      </c>
      <c r="E100" s="3" t="str">
        <f t="shared" si="24"/>
        <v>010001</v>
      </c>
      <c r="F100" s="18">
        <f t="shared" si="25"/>
        <v>17</v>
      </c>
      <c r="G100" s="3">
        <f>VLOOKUP(F100,Constanst!$M$3:$U$66,4,TRUE)</f>
        <v>7</v>
      </c>
      <c r="H100" s="3" t="str">
        <f t="shared" si="26"/>
        <v>0111</v>
      </c>
      <c r="I100" s="3" t="str">
        <f t="shared" si="27"/>
        <v>000000100111</v>
      </c>
    </row>
    <row r="101" ht="14.25" customHeight="1">
      <c r="A101" s="3">
        <v>4.0</v>
      </c>
      <c r="B101" s="3" t="str">
        <f t="shared" si="21"/>
        <v>100100</v>
      </c>
      <c r="C101" s="3" t="str">
        <f t="shared" si="22"/>
        <v>10</v>
      </c>
      <c r="D101" s="3" t="str">
        <f t="shared" si="23"/>
        <v>0010</v>
      </c>
      <c r="E101" s="3" t="str">
        <f t="shared" si="24"/>
        <v>100010</v>
      </c>
      <c r="F101" s="18">
        <f t="shared" si="25"/>
        <v>34</v>
      </c>
      <c r="G101" s="3">
        <f>VLOOKUP(F101,Constanst!$M$3:$U$66,5,TRUE)</f>
        <v>9</v>
      </c>
      <c r="H101" s="3" t="str">
        <f t="shared" si="26"/>
        <v>1001</v>
      </c>
      <c r="I101" s="3" t="str">
        <f t="shared" si="27"/>
        <v>0000001001111001</v>
      </c>
    </row>
    <row r="102" ht="14.25" customHeight="1">
      <c r="A102" s="3">
        <v>5.0</v>
      </c>
      <c r="B102" s="3" t="str">
        <f t="shared" si="21"/>
        <v>101011</v>
      </c>
      <c r="C102" s="3" t="str">
        <f t="shared" si="22"/>
        <v>11</v>
      </c>
      <c r="D102" s="3" t="str">
        <f t="shared" si="23"/>
        <v>0101</v>
      </c>
      <c r="E102" s="3" t="str">
        <f t="shared" si="24"/>
        <v>110101</v>
      </c>
      <c r="F102" s="18">
        <f t="shared" si="25"/>
        <v>53</v>
      </c>
      <c r="G102" s="3">
        <f>VLOOKUP(F102,Constanst!$M$3:$U$66,6,TRUE)</f>
        <v>14</v>
      </c>
      <c r="H102" s="3" t="str">
        <f t="shared" si="26"/>
        <v>1110</v>
      </c>
      <c r="I102" s="3" t="str">
        <f t="shared" si="27"/>
        <v>00000010011110011110</v>
      </c>
    </row>
    <row r="103" ht="14.25" customHeight="1">
      <c r="A103" s="3">
        <v>6.0</v>
      </c>
      <c r="B103" s="3" t="str">
        <f t="shared" si="21"/>
        <v>001110</v>
      </c>
      <c r="C103" s="3" t="str">
        <f t="shared" si="22"/>
        <v>00</v>
      </c>
      <c r="D103" s="3" t="str">
        <f t="shared" si="23"/>
        <v>0111</v>
      </c>
      <c r="E103" s="3" t="str">
        <f t="shared" si="24"/>
        <v>000111</v>
      </c>
      <c r="F103" s="18">
        <f t="shared" si="25"/>
        <v>7</v>
      </c>
      <c r="G103" s="3">
        <f>VLOOKUP(F103,Constanst!$M$3:$U$66,7,TRUE)</f>
        <v>8</v>
      </c>
      <c r="H103" s="3" t="str">
        <f t="shared" si="26"/>
        <v>1000</v>
      </c>
      <c r="I103" s="3" t="str">
        <f t="shared" si="27"/>
        <v>000000100111100111101000</v>
      </c>
    </row>
    <row r="104" ht="14.25" customHeight="1">
      <c r="A104" s="3">
        <v>7.0</v>
      </c>
      <c r="B104" s="3" t="str">
        <f t="shared" si="21"/>
        <v>001001</v>
      </c>
      <c r="C104" s="3" t="str">
        <f t="shared" si="22"/>
        <v>01</v>
      </c>
      <c r="D104" s="3" t="str">
        <f t="shared" si="23"/>
        <v>0100</v>
      </c>
      <c r="E104" s="3" t="str">
        <f t="shared" si="24"/>
        <v>010100</v>
      </c>
      <c r="F104" s="18">
        <f t="shared" si="25"/>
        <v>20</v>
      </c>
      <c r="G104" s="3">
        <f>VLOOKUP(F104,Constanst!$M$3:$U$66,8,TRUE)</f>
        <v>4</v>
      </c>
      <c r="H104" s="3" t="str">
        <f t="shared" si="26"/>
        <v>0100</v>
      </c>
      <c r="I104" s="3" t="str">
        <f t="shared" si="27"/>
        <v>0000001001111001111010000100</v>
      </c>
    </row>
    <row r="105" ht="14.25" customHeight="1">
      <c r="A105" s="3">
        <v>8.0</v>
      </c>
      <c r="B105" s="3" t="str">
        <f t="shared" si="21"/>
        <v>111011</v>
      </c>
      <c r="C105" s="3" t="str">
        <f t="shared" si="22"/>
        <v>11</v>
      </c>
      <c r="D105" s="3" t="str">
        <f t="shared" si="23"/>
        <v>1101</v>
      </c>
      <c r="E105" s="3" t="str">
        <f t="shared" si="24"/>
        <v>111101</v>
      </c>
      <c r="F105" s="18">
        <f t="shared" si="25"/>
        <v>61</v>
      </c>
      <c r="G105" s="3">
        <f>VLOOKUP(F105,Constanst!$M$3:$U$66,9,TRUE)</f>
        <v>5</v>
      </c>
      <c r="H105" s="3" t="str">
        <f t="shared" si="26"/>
        <v>0101</v>
      </c>
      <c r="I105" s="3" t="str">
        <f t="shared" si="27"/>
        <v>00000010011110011110100001000101</v>
      </c>
    </row>
    <row r="106" ht="14.25" customHeight="1"/>
    <row r="107" ht="14.25" customHeight="1">
      <c r="B107" s="1" t="s">
        <v>90</v>
      </c>
      <c r="C107" s="1" t="str">
        <f>I105</f>
        <v>00000010011110011110100001000101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1</v>
      </c>
    </row>
    <row r="113" ht="14.25" hidden="1" customHeight="1">
      <c r="A113" s="1" t="str">
        <f>MID($C$107,Constanst!X4,1)</f>
        <v>1</v>
      </c>
      <c r="B113" s="1" t="str">
        <f>A112&amp;A113</f>
        <v>11</v>
      </c>
    </row>
    <row r="114" ht="14.25" hidden="1" customHeight="1">
      <c r="A114" s="1" t="str">
        <f>MID($C$107,Constanst!X5,1)</f>
        <v>0</v>
      </c>
      <c r="B114" s="1" t="str">
        <f t="shared" ref="B114:B143" si="28">B113&amp;A114</f>
        <v>110</v>
      </c>
    </row>
    <row r="115" ht="14.25" hidden="1" customHeight="1">
      <c r="A115" s="1" t="str">
        <f>MID($C$107,Constanst!X6,1)</f>
        <v>1</v>
      </c>
      <c r="B115" s="1" t="str">
        <f t="shared" si="28"/>
        <v>1101</v>
      </c>
    </row>
    <row r="116" ht="14.25" hidden="1" customHeight="1">
      <c r="A116" s="1" t="str">
        <f>MID($C$107,Constanst!X7,1)</f>
        <v>0</v>
      </c>
      <c r="B116" s="1" t="str">
        <f t="shared" si="28"/>
        <v>11010</v>
      </c>
    </row>
    <row r="117" ht="14.25" hidden="1" customHeight="1">
      <c r="A117" s="1" t="str">
        <f>MID($C$107,Constanst!X8,1)</f>
        <v>1</v>
      </c>
      <c r="B117" s="1" t="str">
        <f t="shared" si="28"/>
        <v>110101</v>
      </c>
    </row>
    <row r="118" ht="14.25" hidden="1" customHeight="1">
      <c r="A118" s="1" t="str">
        <f>MID($C$107,Constanst!X9,1)</f>
        <v>0</v>
      </c>
      <c r="B118" s="1" t="str">
        <f t="shared" si="28"/>
        <v>1101010</v>
      </c>
    </row>
    <row r="119" ht="14.25" hidden="1" customHeight="1">
      <c r="A119" s="1" t="str">
        <f>MID($C$107,Constanst!X10,1)</f>
        <v>1</v>
      </c>
      <c r="B119" s="1" t="str">
        <f t="shared" si="28"/>
        <v>11010101</v>
      </c>
    </row>
    <row r="120" ht="14.25" hidden="1" customHeight="1">
      <c r="A120" s="1" t="str">
        <f>MID($C$107,Constanst!X11,1)</f>
        <v>0</v>
      </c>
      <c r="B120" s="1" t="str">
        <f t="shared" si="28"/>
        <v>110101010</v>
      </c>
    </row>
    <row r="121" ht="14.25" hidden="1" customHeight="1">
      <c r="A121" s="1" t="str">
        <f>MID($C$107,Constanst!X12,1)</f>
        <v>0</v>
      </c>
      <c r="B121" s="1" t="str">
        <f t="shared" si="28"/>
        <v>1101010100</v>
      </c>
    </row>
    <row r="122" ht="14.25" hidden="1" customHeight="1">
      <c r="A122" s="1" t="str">
        <f>MID($C$107,Constanst!X13,1)</f>
        <v>0</v>
      </c>
      <c r="B122" s="1" t="str">
        <f t="shared" si="28"/>
        <v>11010101000</v>
      </c>
    </row>
    <row r="123" ht="14.25" hidden="1" customHeight="1">
      <c r="A123" s="1" t="str">
        <f>MID($C$107,Constanst!X14,1)</f>
        <v>1</v>
      </c>
      <c r="B123" s="1" t="str">
        <f t="shared" si="28"/>
        <v>110101010001</v>
      </c>
    </row>
    <row r="124" ht="14.25" hidden="1" customHeight="1">
      <c r="A124" s="1" t="str">
        <f>MID($C$107,Constanst!X15,1)</f>
        <v>0</v>
      </c>
      <c r="B124" s="1" t="str">
        <f t="shared" si="28"/>
        <v>1101010100010</v>
      </c>
    </row>
    <row r="125" ht="14.25" hidden="1" customHeight="1">
      <c r="A125" s="1" t="str">
        <f>MID($C$107,Constanst!X16,1)</f>
        <v>1</v>
      </c>
      <c r="B125" s="1" t="str">
        <f t="shared" si="28"/>
        <v>11010101000101</v>
      </c>
    </row>
    <row r="126" ht="14.25" hidden="1" customHeight="1">
      <c r="A126" s="1" t="str">
        <f>MID($C$107,Constanst!X17,1)</f>
        <v>0</v>
      </c>
      <c r="B126" s="1" t="str">
        <f t="shared" si="28"/>
        <v>110101010001010</v>
      </c>
    </row>
    <row r="127" ht="14.25" hidden="1" customHeight="1">
      <c r="A127" s="1" t="str">
        <f>MID($C$107,Constanst!X18,1)</f>
        <v>1</v>
      </c>
      <c r="B127" s="1" t="str">
        <f t="shared" si="28"/>
        <v>1101010100010101</v>
      </c>
    </row>
    <row r="128" ht="14.25" hidden="1" customHeight="1">
      <c r="A128" s="1" t="str">
        <f>MID($C$107,Constanst!X19,1)</f>
        <v>0</v>
      </c>
      <c r="B128" s="1" t="str">
        <f t="shared" si="28"/>
        <v>11010101000101010</v>
      </c>
    </row>
    <row r="129" ht="14.25" hidden="1" customHeight="1">
      <c r="A129" s="1" t="str">
        <f>MID($C$107,Constanst!X20,1)</f>
        <v>0</v>
      </c>
      <c r="B129" s="1" t="str">
        <f t="shared" si="28"/>
        <v>110101010001010100</v>
      </c>
    </row>
    <row r="130" ht="14.25" hidden="1" customHeight="1">
      <c r="A130" s="1" t="str">
        <f>MID($C$107,Constanst!X21,1)</f>
        <v>0</v>
      </c>
      <c r="B130" s="1" t="str">
        <f t="shared" si="28"/>
        <v>1101010100010101000</v>
      </c>
    </row>
    <row r="131" ht="14.25" hidden="1" customHeight="1">
      <c r="A131" s="1" t="str">
        <f>MID($C$107,Constanst!X22,1)</f>
        <v>0</v>
      </c>
      <c r="B131" s="1" t="str">
        <f t="shared" si="28"/>
        <v>11010101000101010000</v>
      </c>
    </row>
    <row r="132" ht="14.25" hidden="1" customHeight="1">
      <c r="A132" s="1" t="str">
        <f>MID($C$107,Constanst!X23,1)</f>
        <v>1</v>
      </c>
      <c r="B132" s="1" t="str">
        <f t="shared" si="28"/>
        <v>110101010001010100001</v>
      </c>
    </row>
    <row r="133" ht="14.25" hidden="1" customHeight="1">
      <c r="A133" s="1" t="str">
        <f>MID($C$107,Constanst!X24,1)</f>
        <v>0</v>
      </c>
      <c r="B133" s="1" t="str">
        <f t="shared" si="28"/>
        <v>1101010100010101000010</v>
      </c>
    </row>
    <row r="134" ht="14.25" hidden="1" customHeight="1">
      <c r="A134" s="1" t="str">
        <f>MID($C$107,Constanst!X25,1)</f>
        <v>0</v>
      </c>
      <c r="B134" s="1" t="str">
        <f t="shared" si="28"/>
        <v>11010101000101010000100</v>
      </c>
    </row>
    <row r="135" ht="14.25" hidden="1" customHeight="1">
      <c r="A135" s="1" t="str">
        <f>MID($C$107,Constanst!X26,1)</f>
        <v>0</v>
      </c>
      <c r="B135" s="1" t="str">
        <f t="shared" si="28"/>
        <v>110101010001010100001000</v>
      </c>
    </row>
    <row r="136" ht="14.25" hidden="1" customHeight="1">
      <c r="A136" s="1" t="str">
        <f>MID($C$107,Constanst!X27,1)</f>
        <v>1</v>
      </c>
      <c r="B136" s="1" t="str">
        <f t="shared" si="28"/>
        <v>1101010100010101000010001</v>
      </c>
    </row>
    <row r="137" ht="14.25" hidden="1" customHeight="1">
      <c r="A137" s="1" t="str">
        <f>MID($C$107,Constanst!X28,1)</f>
        <v>1</v>
      </c>
      <c r="B137" s="1" t="str">
        <f t="shared" si="28"/>
        <v>11010101000101010000100011</v>
      </c>
    </row>
    <row r="138" ht="14.25" hidden="1" customHeight="1">
      <c r="A138" s="1" t="str">
        <f>MID($C$107,Constanst!X29,1)</f>
        <v>1</v>
      </c>
      <c r="B138" s="1" t="str">
        <f t="shared" si="28"/>
        <v>110101010001010100001000111</v>
      </c>
    </row>
    <row r="139" ht="14.25" hidden="1" customHeight="1">
      <c r="A139" s="1" t="str">
        <f>MID($C$107,Constanst!X30,1)</f>
        <v>0</v>
      </c>
      <c r="B139" s="1" t="str">
        <f t="shared" si="28"/>
        <v>1101010100010101000010001110</v>
      </c>
    </row>
    <row r="140" ht="14.25" hidden="1" customHeight="1">
      <c r="A140" s="1" t="str">
        <f>MID($C$107,Constanst!X31,1)</f>
        <v>0</v>
      </c>
      <c r="B140" s="1" t="str">
        <f t="shared" si="28"/>
        <v>11010101000101010000100011100</v>
      </c>
    </row>
    <row r="141" ht="14.25" hidden="1" customHeight="1">
      <c r="A141" s="1" t="str">
        <f>MID($C$107,Constanst!X32,1)</f>
        <v>1</v>
      </c>
      <c r="B141" s="1" t="str">
        <f t="shared" si="28"/>
        <v>110101010001010100001000111001</v>
      </c>
    </row>
    <row r="142" ht="14.25" hidden="1" customHeight="1">
      <c r="A142" s="1" t="str">
        <f>MID($C$107,Constanst!X33,1)</f>
        <v>0</v>
      </c>
      <c r="B142" s="1" t="str">
        <f t="shared" si="28"/>
        <v>1101010100010101000010001110010</v>
      </c>
    </row>
    <row r="143" ht="14.25" customHeight="1">
      <c r="A143" s="1" t="str">
        <f>MID($C$107,Constanst!X34,1)</f>
        <v>0</v>
      </c>
      <c r="B143" s="22" t="str">
        <f t="shared" si="28"/>
        <v>11010101000101010000100011100100</v>
      </c>
    </row>
    <row r="144" ht="14.25" customHeight="1"/>
    <row r="145" ht="14.25" customHeight="1">
      <c r="A145" s="1" t="s">
        <v>92</v>
      </c>
      <c r="B145" s="1" t="str">
        <f>B143</f>
        <v>11010101000101010000100011100100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11010101</v>
      </c>
      <c r="C148" s="20" t="str">
        <f t="shared" ref="C148:C151" si="30">BIN2HEX(B148,2)</f>
        <v>D5</v>
      </c>
      <c r="D148" s="20">
        <f t="shared" ref="D148:D151" si="31">HEX2DEC(C148)</f>
        <v>213</v>
      </c>
    </row>
    <row r="149" ht="14.25" customHeight="1">
      <c r="A149" s="20">
        <v>2.0</v>
      </c>
      <c r="B149" s="20" t="str">
        <f t="shared" si="29"/>
        <v>00010101</v>
      </c>
      <c r="C149" s="20" t="str">
        <f t="shared" si="30"/>
        <v>15</v>
      </c>
      <c r="D149" s="20">
        <f t="shared" si="31"/>
        <v>21</v>
      </c>
    </row>
    <row r="150" ht="14.25" customHeight="1">
      <c r="A150" s="20">
        <v>3.0</v>
      </c>
      <c r="B150" s="20" t="str">
        <f t="shared" si="29"/>
        <v>00001000</v>
      </c>
      <c r="C150" s="20" t="str">
        <f t="shared" si="30"/>
        <v>08</v>
      </c>
      <c r="D150" s="20">
        <f t="shared" si="31"/>
        <v>8</v>
      </c>
    </row>
    <row r="151" ht="14.25" customHeight="1">
      <c r="A151" s="20">
        <v>4.0</v>
      </c>
      <c r="B151" s="20" t="str">
        <f t="shared" si="29"/>
        <v>11100100</v>
      </c>
      <c r="C151" s="20" t="str">
        <f t="shared" si="30"/>
        <v>E4</v>
      </c>
      <c r="D151" s="20">
        <f t="shared" si="31"/>
        <v>228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K11</v>
      </c>
      <c r="D2" s="1" t="str">
        <f>Input!I11</f>
        <v>001000010101111111000011000011011000100110111110</v>
      </c>
    </row>
    <row r="3" ht="14.25" customHeight="1">
      <c r="A3" s="1" t="s">
        <v>92</v>
      </c>
      <c r="B3" s="1" t="str">
        <f t="array" ref="B3">INDIRECT("'f(" &amp; L5 &amp; "," &amp; L7 &amp; ")'!B145")</f>
        <v>11010101000101010000100011100100</v>
      </c>
    </row>
    <row r="4" ht="14.25" customHeight="1">
      <c r="A4" s="1" t="str">
        <f t="shared" ref="A4:A5" si="1">L4</f>
        <v>L9</v>
      </c>
      <c r="B4" s="1" t="str">
        <f t="array" ref="B4">INDIRECT("'f(" &amp; L5 &amp; "," &amp; L7 &amp; ")'!C22")</f>
        <v>01011111011011001111101010001110</v>
      </c>
      <c r="L4" s="1" t="s">
        <v>116</v>
      </c>
      <c r="M4" s="1" t="s">
        <v>118</v>
      </c>
    </row>
    <row r="5" ht="14.25" customHeight="1">
      <c r="A5" s="1" t="str">
        <f t="shared" si="1"/>
        <v>R9</v>
      </c>
      <c r="B5" s="1" t="str">
        <f t="array" ref="B5">INDIRECT("'f(" &amp; L5 &amp; "," &amp; L7 &amp; ")'!C14")</f>
        <v>10111000011100011001111111100110</v>
      </c>
      <c r="L5" s="1" t="s">
        <v>117</v>
      </c>
      <c r="M5" s="1" t="s">
        <v>119</v>
      </c>
    </row>
    <row r="6" ht="14.25" customHeight="1">
      <c r="L6" s="1" t="s">
        <v>16</v>
      </c>
    </row>
    <row r="7" ht="14.25" customHeight="1">
      <c r="A7" s="11" t="s">
        <v>98</v>
      </c>
      <c r="B7" s="5"/>
      <c r="C7" s="5"/>
      <c r="D7" s="6"/>
      <c r="G7" s="11" t="str">
        <f>L4</f>
        <v>L9</v>
      </c>
      <c r="H7" s="5"/>
      <c r="I7" s="5"/>
      <c r="J7" s="6"/>
      <c r="L7" s="1" t="s">
        <v>15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11010101</v>
      </c>
      <c r="C9" s="20" t="str">
        <f t="shared" ref="C9:C12" si="3">BIN2HEX(B9,2)</f>
        <v>D5</v>
      </c>
      <c r="D9" s="20">
        <f t="shared" ref="D9:D12" si="4">HEX2DEC(C9)</f>
        <v>213</v>
      </c>
      <c r="G9" s="20">
        <v>1.0</v>
      </c>
      <c r="H9" s="20" t="str">
        <f t="shared" ref="H9:H12" si="5">MID($B$4,(G9-1)*8+1, 8)</f>
        <v>01011111</v>
      </c>
      <c r="I9" s="20" t="str">
        <f t="shared" ref="I9:I12" si="6">BIN2HEX(H9,2)</f>
        <v>5F</v>
      </c>
      <c r="J9" s="20">
        <f t="shared" ref="J9:J12" si="7">HEX2DEC(I9)</f>
        <v>95</v>
      </c>
    </row>
    <row r="10" ht="14.25" customHeight="1">
      <c r="A10" s="20">
        <v>2.0</v>
      </c>
      <c r="B10" s="20" t="str">
        <f t="shared" si="2"/>
        <v>00010101</v>
      </c>
      <c r="C10" s="20" t="str">
        <f t="shared" si="3"/>
        <v>15</v>
      </c>
      <c r="D10" s="20">
        <f t="shared" si="4"/>
        <v>21</v>
      </c>
      <c r="G10" s="20">
        <v>2.0</v>
      </c>
      <c r="H10" s="20" t="str">
        <f t="shared" si="5"/>
        <v>01101100</v>
      </c>
      <c r="I10" s="20" t="str">
        <f t="shared" si="6"/>
        <v>6C</v>
      </c>
      <c r="J10" s="20">
        <f t="shared" si="7"/>
        <v>108</v>
      </c>
    </row>
    <row r="11" ht="14.25" customHeight="1">
      <c r="A11" s="20">
        <v>3.0</v>
      </c>
      <c r="B11" s="20" t="str">
        <f t="shared" si="2"/>
        <v>00001000</v>
      </c>
      <c r="C11" s="20" t="str">
        <f t="shared" si="3"/>
        <v>08</v>
      </c>
      <c r="D11" s="20">
        <f t="shared" si="4"/>
        <v>8</v>
      </c>
      <c r="G11" s="20">
        <v>3.0</v>
      </c>
      <c r="H11" s="20" t="str">
        <f t="shared" si="5"/>
        <v>11111010</v>
      </c>
      <c r="I11" s="20" t="str">
        <f t="shared" si="6"/>
        <v>FA</v>
      </c>
      <c r="J11" s="20">
        <f t="shared" si="7"/>
        <v>250</v>
      </c>
    </row>
    <row r="12" ht="14.25" customHeight="1">
      <c r="A12" s="20">
        <v>4.0</v>
      </c>
      <c r="B12" s="20" t="str">
        <f t="shared" si="2"/>
        <v>11100100</v>
      </c>
      <c r="C12" s="20" t="str">
        <f t="shared" si="3"/>
        <v>E4</v>
      </c>
      <c r="D12" s="20">
        <f t="shared" si="4"/>
        <v>228</v>
      </c>
      <c r="G12" s="20">
        <v>4.0</v>
      </c>
      <c r="H12" s="20" t="str">
        <f t="shared" si="5"/>
        <v>10001110</v>
      </c>
      <c r="I12" s="20" t="str">
        <f t="shared" si="6"/>
        <v>8E</v>
      </c>
      <c r="J12" s="20">
        <f t="shared" si="7"/>
        <v>142</v>
      </c>
    </row>
    <row r="13" ht="14.25" customHeight="1"/>
    <row r="14" ht="14.25" customHeight="1">
      <c r="A14" s="1" t="str">
        <f>M5&amp;" = F XOR "&amp;L4&amp;" ="</f>
        <v>R10 = F XOR L9 =</v>
      </c>
      <c r="C14" s="23" t="str">
        <f>F17&amp;F18&amp;F19&amp;F20</f>
        <v>10001010011110011111001001101010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138</v>
      </c>
      <c r="E17" s="20" t="str">
        <f t="shared" ref="E17:E20" si="9">DEC2HEX(D17,2)</f>
        <v>8A</v>
      </c>
      <c r="F17" s="20" t="str">
        <f t="shared" ref="F17:F20" si="10">HEX2BIN(E17,8)</f>
        <v>10001010</v>
      </c>
    </row>
    <row r="18" ht="14.25" customHeight="1">
      <c r="C18" s="20">
        <v>2.0</v>
      </c>
      <c r="D18" s="20">
        <f t="shared" si="8"/>
        <v>121</v>
      </c>
      <c r="E18" s="20" t="str">
        <f t="shared" si="9"/>
        <v>79</v>
      </c>
      <c r="F18" s="20" t="str">
        <f t="shared" si="10"/>
        <v>01111001</v>
      </c>
    </row>
    <row r="19" ht="14.25" customHeight="1">
      <c r="C19" s="20">
        <v>3.0</v>
      </c>
      <c r="D19" s="20">
        <f t="shared" si="8"/>
        <v>242</v>
      </c>
      <c r="E19" s="20" t="str">
        <f t="shared" si="9"/>
        <v>F2</v>
      </c>
      <c r="F19" s="20" t="str">
        <f t="shared" si="10"/>
        <v>11110010</v>
      </c>
    </row>
    <row r="20" ht="14.25" customHeight="1">
      <c r="C20" s="20">
        <v>4.0</v>
      </c>
      <c r="D20" s="20">
        <f t="shared" si="8"/>
        <v>106</v>
      </c>
      <c r="E20" s="20" t="str">
        <f t="shared" si="9"/>
        <v>6A</v>
      </c>
      <c r="F20" s="20" t="str">
        <f t="shared" si="10"/>
        <v>01101010</v>
      </c>
    </row>
    <row r="21" ht="14.25" customHeight="1"/>
    <row r="22" ht="14.25" customHeight="1">
      <c r="A22" s="1" t="str">
        <f>M4&amp;" = "&amp;L5&amp;" ="</f>
        <v>L10 = R9 =</v>
      </c>
      <c r="C22" s="23" t="str">
        <f>B5</f>
        <v>10111000011100011001111111100110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R10 =&gt; E(R10)</v>
      </c>
      <c r="D24" s="1" t="str">
        <f>B26</f>
        <v>010001010100001111110011111110100100001101010101</v>
      </c>
    </row>
    <row r="25" ht="14.25" customHeight="1">
      <c r="A25" s="1" t="s">
        <v>66</v>
      </c>
    </row>
    <row r="26" ht="14.25" customHeight="1">
      <c r="A26" s="1" t="str">
        <f>MID($C$14,Constanst!K3,1)</f>
        <v>0</v>
      </c>
      <c r="B26" s="1" t="str">
        <f t="shared" ref="B26:B71" si="11">A26&amp;B27</f>
        <v>010001010100001111110011111110100100001101010101</v>
      </c>
    </row>
    <row r="27" ht="14.25" customHeight="1">
      <c r="A27" s="1" t="str">
        <f>MID($C$14,Constanst!K4,1)</f>
        <v>1</v>
      </c>
      <c r="B27" s="1" t="str">
        <f t="shared" si="11"/>
        <v>10001010100001111110011111110100100001101010101</v>
      </c>
    </row>
    <row r="28" ht="14.25" customHeight="1">
      <c r="A28" s="1" t="str">
        <f>MID($C$14,Constanst!K5,1)</f>
        <v>0</v>
      </c>
      <c r="B28" s="1" t="str">
        <f t="shared" si="11"/>
        <v>0001010100001111110011111110100100001101010101</v>
      </c>
    </row>
    <row r="29" ht="14.25" customHeight="1">
      <c r="A29" s="1" t="str">
        <f>MID($C$14,Constanst!K6,1)</f>
        <v>0</v>
      </c>
      <c r="B29" s="1" t="str">
        <f t="shared" si="11"/>
        <v>001010100001111110011111110100100001101010101</v>
      </c>
    </row>
    <row r="30" ht="14.25" customHeight="1">
      <c r="A30" s="1" t="str">
        <f>MID($C$14,Constanst!K7,1)</f>
        <v>0</v>
      </c>
      <c r="B30" s="1" t="str">
        <f t="shared" si="11"/>
        <v>01010100001111110011111110100100001101010101</v>
      </c>
    </row>
    <row r="31" ht="14.25" customHeight="1">
      <c r="A31" s="1" t="str">
        <f>MID($C$14,Constanst!K8,1)</f>
        <v>1</v>
      </c>
      <c r="B31" s="1" t="str">
        <f t="shared" si="11"/>
        <v>1010100001111110011111110100100001101010101</v>
      </c>
    </row>
    <row r="32" ht="14.25" customHeight="1">
      <c r="A32" s="1" t="str">
        <f>MID($C$14,Constanst!K9,1)</f>
        <v>0</v>
      </c>
      <c r="B32" s="1" t="str">
        <f t="shared" si="11"/>
        <v>010100001111110011111110100100001101010101</v>
      </c>
    </row>
    <row r="33" ht="14.25" customHeight="1">
      <c r="A33" s="1" t="str">
        <f>MID($C$14,Constanst!K10,1)</f>
        <v>1</v>
      </c>
      <c r="B33" s="1" t="str">
        <f t="shared" si="11"/>
        <v>10100001111110011111110100100001101010101</v>
      </c>
    </row>
    <row r="34" ht="14.25" customHeight="1">
      <c r="A34" s="1" t="str">
        <f>MID($C$14,Constanst!K11,1)</f>
        <v>0</v>
      </c>
      <c r="B34" s="1" t="str">
        <f t="shared" si="11"/>
        <v>0100001111110011111110100100001101010101</v>
      </c>
    </row>
    <row r="35" ht="14.25" customHeight="1">
      <c r="A35" s="1" t="str">
        <f>MID($C$14,Constanst!K12,1)</f>
        <v>1</v>
      </c>
      <c r="B35" s="1" t="str">
        <f t="shared" si="11"/>
        <v>100001111110011111110100100001101010101</v>
      </c>
    </row>
    <row r="36" ht="14.25" customHeight="1">
      <c r="A36" s="1" t="str">
        <f>MID($C$14,Constanst!K13,1)</f>
        <v>0</v>
      </c>
      <c r="B36" s="1" t="str">
        <f t="shared" si="11"/>
        <v>00001111110011111110100100001101010101</v>
      </c>
    </row>
    <row r="37" ht="14.25" customHeight="1">
      <c r="A37" s="1" t="str">
        <f>MID($C$14,Constanst!K14,1)</f>
        <v>0</v>
      </c>
      <c r="B37" s="1" t="str">
        <f t="shared" si="11"/>
        <v>0001111110011111110100100001101010101</v>
      </c>
    </row>
    <row r="38" ht="14.25" customHeight="1">
      <c r="A38" s="1" t="str">
        <f>MID($C$14,Constanst!K15,1)</f>
        <v>0</v>
      </c>
      <c r="B38" s="1" t="str">
        <f t="shared" si="11"/>
        <v>001111110011111110100100001101010101</v>
      </c>
    </row>
    <row r="39" ht="14.25" customHeight="1">
      <c r="A39" s="1" t="str">
        <f>MID($C$14,Constanst!K16,1)</f>
        <v>0</v>
      </c>
      <c r="B39" s="1" t="str">
        <f t="shared" si="11"/>
        <v>01111110011111110100100001101010101</v>
      </c>
    </row>
    <row r="40" ht="14.25" customHeight="1">
      <c r="A40" s="1" t="str">
        <f>MID($C$14,Constanst!K17,1)</f>
        <v>1</v>
      </c>
      <c r="B40" s="1" t="str">
        <f t="shared" si="11"/>
        <v>1111110011111110100100001101010101</v>
      </c>
    </row>
    <row r="41" ht="14.25" customHeight="1">
      <c r="A41" s="1" t="str">
        <f>MID($C$14,Constanst!K18,1)</f>
        <v>1</v>
      </c>
      <c r="B41" s="1" t="str">
        <f t="shared" si="11"/>
        <v>111110011111110100100001101010101</v>
      </c>
    </row>
    <row r="42" ht="14.25" customHeight="1">
      <c r="A42" s="1" t="str">
        <f>MID($C$14,Constanst!K19,1)</f>
        <v>1</v>
      </c>
      <c r="B42" s="1" t="str">
        <f t="shared" si="11"/>
        <v>11110011111110100100001101010101</v>
      </c>
    </row>
    <row r="43" ht="14.25" customHeight="1">
      <c r="A43" s="1" t="str">
        <f>MID($C$14,Constanst!K20,1)</f>
        <v>1</v>
      </c>
      <c r="B43" s="1" t="str">
        <f t="shared" si="11"/>
        <v>1110011111110100100001101010101</v>
      </c>
    </row>
    <row r="44" ht="14.25" customHeight="1">
      <c r="A44" s="1" t="str">
        <f>MID($C$14,Constanst!K21,1)</f>
        <v>1</v>
      </c>
      <c r="B44" s="1" t="str">
        <f t="shared" si="11"/>
        <v>110011111110100100001101010101</v>
      </c>
    </row>
    <row r="45" ht="14.25" customHeight="1">
      <c r="A45" s="1" t="str">
        <f>MID($C$14,Constanst!K22,1)</f>
        <v>1</v>
      </c>
      <c r="B45" s="1" t="str">
        <f t="shared" si="11"/>
        <v>10011111110100100001101010101</v>
      </c>
    </row>
    <row r="46" ht="14.25" customHeight="1">
      <c r="A46" s="1" t="str">
        <f>MID($C$14,Constanst!K23,1)</f>
        <v>0</v>
      </c>
      <c r="B46" s="1" t="str">
        <f t="shared" si="11"/>
        <v>0011111110100100001101010101</v>
      </c>
    </row>
    <row r="47" ht="14.25" customHeight="1">
      <c r="A47" s="1" t="str">
        <f>MID($C$14,Constanst!K24,1)</f>
        <v>0</v>
      </c>
      <c r="B47" s="1" t="str">
        <f t="shared" si="11"/>
        <v>011111110100100001101010101</v>
      </c>
    </row>
    <row r="48" ht="14.25" customHeight="1">
      <c r="A48" s="1" t="str">
        <f>MID($C$14,Constanst!K25,1)</f>
        <v>1</v>
      </c>
      <c r="B48" s="1" t="str">
        <f t="shared" si="11"/>
        <v>11111110100100001101010101</v>
      </c>
    </row>
    <row r="49" ht="14.25" customHeight="1">
      <c r="A49" s="1" t="str">
        <f>MID($C$14,Constanst!K26,1)</f>
        <v>1</v>
      </c>
      <c r="B49" s="1" t="str">
        <f t="shared" si="11"/>
        <v>1111110100100001101010101</v>
      </c>
    </row>
    <row r="50" ht="14.25" customHeight="1">
      <c r="A50" s="1" t="str">
        <f>MID($C$14,Constanst!K27,1)</f>
        <v>1</v>
      </c>
      <c r="B50" s="1" t="str">
        <f t="shared" si="11"/>
        <v>111110100100001101010101</v>
      </c>
    </row>
    <row r="51" ht="14.25" customHeight="1">
      <c r="A51" s="1" t="str">
        <f>MID($C$14,Constanst!K28,1)</f>
        <v>1</v>
      </c>
      <c r="B51" s="1" t="str">
        <f t="shared" si="11"/>
        <v>11110100100001101010101</v>
      </c>
    </row>
    <row r="52" ht="14.25" customHeight="1">
      <c r="A52" s="1" t="str">
        <f>MID($C$14,Constanst!K29,1)</f>
        <v>1</v>
      </c>
      <c r="B52" s="1" t="str">
        <f t="shared" si="11"/>
        <v>1110100100001101010101</v>
      </c>
    </row>
    <row r="53" ht="14.25" customHeight="1">
      <c r="A53" s="1" t="str">
        <f>MID($C$14,Constanst!K30,1)</f>
        <v>1</v>
      </c>
      <c r="B53" s="1" t="str">
        <f t="shared" si="11"/>
        <v>110100100001101010101</v>
      </c>
    </row>
    <row r="54" ht="14.25" customHeight="1">
      <c r="A54" s="1" t="str">
        <f>MID($C$14,Constanst!K31,1)</f>
        <v>1</v>
      </c>
      <c r="B54" s="1" t="str">
        <f t="shared" si="11"/>
        <v>10100100001101010101</v>
      </c>
    </row>
    <row r="55" ht="14.25" customHeight="1">
      <c r="A55" s="1" t="str">
        <f>MID($C$14,Constanst!K32,1)</f>
        <v>0</v>
      </c>
      <c r="B55" s="1" t="str">
        <f t="shared" si="11"/>
        <v>0100100001101010101</v>
      </c>
    </row>
    <row r="56" ht="14.25" customHeight="1">
      <c r="A56" s="1" t="str">
        <f>MID($C$14,Constanst!K33,1)</f>
        <v>1</v>
      </c>
      <c r="B56" s="1" t="str">
        <f t="shared" si="11"/>
        <v>100100001101010101</v>
      </c>
    </row>
    <row r="57" ht="14.25" customHeight="1">
      <c r="A57" s="1" t="str">
        <f>MID($C$14,Constanst!K34,1)</f>
        <v>0</v>
      </c>
      <c r="B57" s="1" t="str">
        <f t="shared" si="11"/>
        <v>00100001101010101</v>
      </c>
    </row>
    <row r="58" ht="14.25" customHeight="1">
      <c r="A58" s="1" t="str">
        <f>MID($C$14,Constanst!K35,1)</f>
        <v>0</v>
      </c>
      <c r="B58" s="1" t="str">
        <f t="shared" si="11"/>
        <v>0100001101010101</v>
      </c>
    </row>
    <row r="59" ht="14.25" customHeight="1">
      <c r="A59" s="1" t="str">
        <f>MID($C$14,Constanst!K36,1)</f>
        <v>1</v>
      </c>
      <c r="B59" s="1" t="str">
        <f t="shared" si="11"/>
        <v>100001101010101</v>
      </c>
    </row>
    <row r="60" ht="14.25" customHeight="1">
      <c r="A60" s="1" t="str">
        <f>MID($C$14,Constanst!K37,1)</f>
        <v>0</v>
      </c>
      <c r="B60" s="1" t="str">
        <f t="shared" si="11"/>
        <v>00001101010101</v>
      </c>
    </row>
    <row r="61" ht="14.25" customHeight="1">
      <c r="A61" s="1" t="str">
        <f>MID($C$14,Constanst!K38,1)</f>
        <v>0</v>
      </c>
      <c r="B61" s="1" t="str">
        <f t="shared" si="11"/>
        <v>0001101010101</v>
      </c>
    </row>
    <row r="62" ht="14.25" customHeight="1">
      <c r="A62" s="1" t="str">
        <f>MID($C$14,Constanst!K39,1)</f>
        <v>0</v>
      </c>
      <c r="B62" s="1" t="str">
        <f t="shared" si="11"/>
        <v>001101010101</v>
      </c>
    </row>
    <row r="63" ht="14.25" customHeight="1">
      <c r="A63" s="1" t="str">
        <f>MID($C$14,Constanst!K40,1)</f>
        <v>0</v>
      </c>
      <c r="B63" s="1" t="str">
        <f t="shared" si="11"/>
        <v>01101010101</v>
      </c>
    </row>
    <row r="64" ht="14.25" customHeight="1">
      <c r="A64" s="1" t="str">
        <f>MID($C$14,Constanst!K41,1)</f>
        <v>1</v>
      </c>
      <c r="B64" s="1" t="str">
        <f t="shared" si="11"/>
        <v>1101010101</v>
      </c>
    </row>
    <row r="65" ht="14.25" customHeight="1">
      <c r="A65" s="1" t="str">
        <f>MID($C$14,Constanst!K42,1)</f>
        <v>1</v>
      </c>
      <c r="B65" s="1" t="str">
        <f t="shared" si="11"/>
        <v>101010101</v>
      </c>
    </row>
    <row r="66" ht="14.25" customHeight="1">
      <c r="A66" s="1" t="str">
        <f>MID($C$14,Constanst!K43,1)</f>
        <v>0</v>
      </c>
      <c r="B66" s="1" t="str">
        <f t="shared" si="11"/>
        <v>01010101</v>
      </c>
    </row>
    <row r="67" ht="14.25" customHeight="1">
      <c r="A67" s="1" t="str">
        <f>MID($C$14,Constanst!K44,1)</f>
        <v>1</v>
      </c>
      <c r="B67" s="1" t="str">
        <f t="shared" si="11"/>
        <v>1010101</v>
      </c>
    </row>
    <row r="68" ht="14.25" customHeight="1">
      <c r="A68" s="1" t="str">
        <f>MID($C$14,Constanst!K45,1)</f>
        <v>0</v>
      </c>
      <c r="B68" s="1" t="str">
        <f t="shared" si="11"/>
        <v>010101</v>
      </c>
    </row>
    <row r="69" ht="14.25" customHeight="1">
      <c r="A69" s="1" t="str">
        <f>MID($C$14,Constanst!K46,1)</f>
        <v>1</v>
      </c>
      <c r="B69" s="1" t="str">
        <f t="shared" si="11"/>
        <v>10101</v>
      </c>
    </row>
    <row r="70" ht="14.25" customHeight="1">
      <c r="A70" s="1" t="str">
        <f>MID($C$14,Constanst!K47,1)</f>
        <v>0</v>
      </c>
      <c r="B70" s="1" t="str">
        <f t="shared" si="11"/>
        <v>0101</v>
      </c>
    </row>
    <row r="71" ht="14.25" customHeight="1">
      <c r="A71" s="1" t="str">
        <f>MID($C$14,Constanst!K48,1)</f>
        <v>1</v>
      </c>
      <c r="B71" s="1" t="str">
        <f t="shared" si="11"/>
        <v>101</v>
      </c>
    </row>
    <row r="72" ht="14.25" customHeight="1">
      <c r="A72" s="1" t="str">
        <f>MID($C$14,Constanst!K49,1)</f>
        <v>0</v>
      </c>
      <c r="B72" s="1" t="str">
        <f>A72&amp;A73</f>
        <v>01</v>
      </c>
    </row>
    <row r="73" ht="14.25" customHeight="1">
      <c r="A73" s="1" t="str">
        <f>MID($C$14,Constanst!K50,1)</f>
        <v>1</v>
      </c>
    </row>
    <row r="74" ht="14.25" customHeight="1"/>
    <row r="75" ht="14.25" customHeight="1">
      <c r="A75" s="1" t="str">
        <f>"Thực hiện phép XOR A = E("&amp;M5&amp;") XOR "&amp;L6</f>
        <v>Thực hiện phép XOR A = E(R10) XOR K11</v>
      </c>
    </row>
    <row r="76" ht="14.25" customHeight="1">
      <c r="A76" s="11" t="str">
        <f>"Khóa " &amp; L6</f>
        <v>Khóa K11</v>
      </c>
      <c r="B76" s="5"/>
      <c r="C76" s="5"/>
      <c r="D76" s="6"/>
      <c r="G76" s="11" t="str">
        <f>"E("&amp;M5&amp;")"</f>
        <v>E(R10)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00100001</v>
      </c>
      <c r="C78" s="20" t="str">
        <f t="shared" ref="C78:C83" si="13">BIN2HEX(B78,2)</f>
        <v>21</v>
      </c>
      <c r="D78" s="20">
        <f t="shared" ref="D78:D83" si="14">BIN2DEC(B78)</f>
        <v>33</v>
      </c>
      <c r="G78" s="20">
        <v>1.0</v>
      </c>
      <c r="H78" s="20" t="str">
        <f t="shared" ref="H78:H83" si="15">MID($D$24,(G78-1)*8+1, 8)</f>
        <v>01000101</v>
      </c>
      <c r="I78" s="20" t="str">
        <f t="shared" ref="I78:I83" si="16">BIN2HEX(H78,2)</f>
        <v>45</v>
      </c>
      <c r="J78" s="20">
        <f t="shared" ref="J78:J83" si="17">BIN2DEC(H78)</f>
        <v>69</v>
      </c>
    </row>
    <row r="79" ht="14.25" customHeight="1">
      <c r="A79" s="20">
        <v>2.0</v>
      </c>
      <c r="B79" s="20" t="str">
        <f t="shared" si="12"/>
        <v>01011111</v>
      </c>
      <c r="C79" s="20" t="str">
        <f t="shared" si="13"/>
        <v>5F</v>
      </c>
      <c r="D79" s="20">
        <f t="shared" si="14"/>
        <v>95</v>
      </c>
      <c r="G79" s="20">
        <v>2.0</v>
      </c>
      <c r="H79" s="20" t="str">
        <f t="shared" si="15"/>
        <v>01000011</v>
      </c>
      <c r="I79" s="20" t="str">
        <f t="shared" si="16"/>
        <v>43</v>
      </c>
      <c r="J79" s="20">
        <f t="shared" si="17"/>
        <v>67</v>
      </c>
    </row>
    <row r="80" ht="14.25" customHeight="1">
      <c r="A80" s="20">
        <v>3.0</v>
      </c>
      <c r="B80" s="20" t="str">
        <f t="shared" si="12"/>
        <v>11000011</v>
      </c>
      <c r="C80" s="20" t="str">
        <f t="shared" si="13"/>
        <v>C3</v>
      </c>
      <c r="D80" s="20">
        <f t="shared" si="14"/>
        <v>195</v>
      </c>
      <c r="G80" s="20">
        <v>3.0</v>
      </c>
      <c r="H80" s="20" t="str">
        <f t="shared" si="15"/>
        <v>11110011</v>
      </c>
      <c r="I80" s="20" t="str">
        <f t="shared" si="16"/>
        <v>F3</v>
      </c>
      <c r="J80" s="20">
        <f t="shared" si="17"/>
        <v>243</v>
      </c>
    </row>
    <row r="81" ht="14.25" customHeight="1">
      <c r="A81" s="20">
        <v>4.0</v>
      </c>
      <c r="B81" s="20" t="str">
        <f t="shared" si="12"/>
        <v>00001101</v>
      </c>
      <c r="C81" s="20" t="str">
        <f t="shared" si="13"/>
        <v>0D</v>
      </c>
      <c r="D81" s="20">
        <f t="shared" si="14"/>
        <v>13</v>
      </c>
      <c r="G81" s="20">
        <v>4.0</v>
      </c>
      <c r="H81" s="20" t="str">
        <f t="shared" si="15"/>
        <v>11111010</v>
      </c>
      <c r="I81" s="20" t="str">
        <f t="shared" si="16"/>
        <v>FA</v>
      </c>
      <c r="J81" s="20">
        <f t="shared" si="17"/>
        <v>250</v>
      </c>
    </row>
    <row r="82" ht="14.25" customHeight="1">
      <c r="A82" s="20">
        <v>5.0</v>
      </c>
      <c r="B82" s="20" t="str">
        <f t="shared" si="12"/>
        <v>10001001</v>
      </c>
      <c r="C82" s="20" t="str">
        <f t="shared" si="13"/>
        <v>89</v>
      </c>
      <c r="D82" s="20">
        <f t="shared" si="14"/>
        <v>137</v>
      </c>
      <c r="G82" s="20">
        <v>5.0</v>
      </c>
      <c r="H82" s="20" t="str">
        <f t="shared" si="15"/>
        <v>01000011</v>
      </c>
      <c r="I82" s="20" t="str">
        <f t="shared" si="16"/>
        <v>43</v>
      </c>
      <c r="J82" s="20">
        <f t="shared" si="17"/>
        <v>67</v>
      </c>
    </row>
    <row r="83" ht="14.25" customHeight="1">
      <c r="A83" s="20">
        <v>6.0</v>
      </c>
      <c r="B83" s="20" t="str">
        <f t="shared" si="12"/>
        <v>10111110</v>
      </c>
      <c r="C83" s="20" t="str">
        <f t="shared" si="13"/>
        <v>BE</v>
      </c>
      <c r="D83" s="20">
        <f t="shared" si="14"/>
        <v>190</v>
      </c>
      <c r="G83" s="20">
        <v>6.0</v>
      </c>
      <c r="H83" s="20" t="str">
        <f t="shared" si="15"/>
        <v>01010101</v>
      </c>
      <c r="I83" s="20" t="str">
        <f t="shared" si="16"/>
        <v>55</v>
      </c>
      <c r="J83" s="20">
        <f t="shared" si="17"/>
        <v>85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XOR(ER10, K11)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100</v>
      </c>
      <c r="C86" s="26" t="str">
        <f t="shared" ref="C86:C91" si="19">DEC2BIN(B86,8)</f>
        <v>01100100</v>
      </c>
      <c r="D86" s="26" t="str">
        <f t="shared" ref="D86:D91" si="20">BIN2HEX(C86,2)</f>
        <v>64</v>
      </c>
    </row>
    <row r="87" ht="14.25" customHeight="1">
      <c r="A87" s="26">
        <v>2.0</v>
      </c>
      <c r="B87" s="26">
        <f t="shared" si="18"/>
        <v>28</v>
      </c>
      <c r="C87" s="26" t="str">
        <f t="shared" si="19"/>
        <v>00011100</v>
      </c>
      <c r="D87" s="26" t="str">
        <f t="shared" si="20"/>
        <v>1C</v>
      </c>
    </row>
    <row r="88" ht="14.25" customHeight="1">
      <c r="A88" s="26">
        <v>3.0</v>
      </c>
      <c r="B88" s="26">
        <f t="shared" si="18"/>
        <v>48</v>
      </c>
      <c r="C88" s="26" t="str">
        <f t="shared" si="19"/>
        <v>00110000</v>
      </c>
      <c r="D88" s="26" t="str">
        <f t="shared" si="20"/>
        <v>30</v>
      </c>
    </row>
    <row r="89" ht="14.25" customHeight="1">
      <c r="A89" s="26">
        <v>4.0</v>
      </c>
      <c r="B89" s="26">
        <f t="shared" si="18"/>
        <v>247</v>
      </c>
      <c r="C89" s="26" t="str">
        <f t="shared" si="19"/>
        <v>11110111</v>
      </c>
      <c r="D89" s="26" t="str">
        <f t="shared" si="20"/>
        <v>F7</v>
      </c>
    </row>
    <row r="90" ht="14.25" customHeight="1">
      <c r="A90" s="26">
        <v>5.0</v>
      </c>
      <c r="B90" s="26">
        <f t="shared" si="18"/>
        <v>202</v>
      </c>
      <c r="C90" s="26" t="str">
        <f t="shared" si="19"/>
        <v>11001010</v>
      </c>
      <c r="D90" s="26" t="str">
        <f t="shared" si="20"/>
        <v>CA</v>
      </c>
    </row>
    <row r="91" ht="14.25" customHeight="1">
      <c r="A91" s="26">
        <v>6.0</v>
      </c>
      <c r="B91" s="26">
        <f t="shared" si="18"/>
        <v>235</v>
      </c>
      <c r="C91" s="26" t="str">
        <f t="shared" si="19"/>
        <v>11101011</v>
      </c>
      <c r="D91" s="26" t="str">
        <f t="shared" si="20"/>
        <v>EB</v>
      </c>
    </row>
    <row r="92" ht="14.25" customHeight="1"/>
    <row r="93" ht="14.25" customHeight="1">
      <c r="B93" s="1" t="str">
        <f>"A = E"&amp;M5&amp;" XOR "&amp;L6&amp;" ="</f>
        <v>A = ER10 XOR K11 =</v>
      </c>
      <c r="D93" s="22" t="str">
        <f>C86&amp;C87&amp;C88&amp;C89&amp;C90&amp;C91</f>
        <v>011001000001110000110000111101111100101011101011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011001</v>
      </c>
      <c r="C98" s="3" t="str">
        <f t="shared" ref="C98:C105" si="22">LEFT(B98,1)&amp;(RIGHT(B98,1))</f>
        <v>01</v>
      </c>
      <c r="D98" s="3" t="str">
        <f t="shared" ref="D98:D105" si="23">MID(B98,2,4)</f>
        <v>1100</v>
      </c>
      <c r="E98" s="3" t="str">
        <f t="shared" ref="E98:E105" si="24">C98&amp;D98</f>
        <v>011100</v>
      </c>
      <c r="F98" s="18">
        <f t="shared" ref="F98:F105" si="25">BIN2DEC(E98)</f>
        <v>28</v>
      </c>
      <c r="G98" s="3">
        <f>VLOOKUP(F98,Constanst!$M$3:$U$66,2,TRUE)</f>
        <v>9</v>
      </c>
      <c r="H98" s="3" t="str">
        <f t="shared" ref="H98:H105" si="26">DEC2BIN(G98,4)</f>
        <v>1001</v>
      </c>
      <c r="I98" s="3" t="str">
        <f>H98</f>
        <v>1001</v>
      </c>
    </row>
    <row r="99" ht="14.25" customHeight="1">
      <c r="A99" s="3">
        <v>2.0</v>
      </c>
      <c r="B99" s="3" t="str">
        <f t="shared" si="21"/>
        <v>000001</v>
      </c>
      <c r="C99" s="3" t="str">
        <f t="shared" si="22"/>
        <v>01</v>
      </c>
      <c r="D99" s="3" t="str">
        <f t="shared" si="23"/>
        <v>0000</v>
      </c>
      <c r="E99" s="3" t="str">
        <f t="shared" si="24"/>
        <v>010000</v>
      </c>
      <c r="F99" s="18">
        <f t="shared" si="25"/>
        <v>16</v>
      </c>
      <c r="G99" s="3">
        <f>VLOOKUP(F99,Constanst!$M$3:$U$66,3,TRUE)</f>
        <v>3</v>
      </c>
      <c r="H99" s="3" t="str">
        <f t="shared" si="26"/>
        <v>0011</v>
      </c>
      <c r="I99" s="3" t="str">
        <f t="shared" ref="I99:I105" si="27">I98&amp;H99</f>
        <v>10010011</v>
      </c>
    </row>
    <row r="100" ht="14.25" customHeight="1">
      <c r="A100" s="3">
        <v>3.0</v>
      </c>
      <c r="B100" s="3" t="str">
        <f t="shared" si="21"/>
        <v>110000</v>
      </c>
      <c r="C100" s="3" t="str">
        <f t="shared" si="22"/>
        <v>10</v>
      </c>
      <c r="D100" s="3" t="str">
        <f t="shared" si="23"/>
        <v>1000</v>
      </c>
      <c r="E100" s="3" t="str">
        <f t="shared" si="24"/>
        <v>101000</v>
      </c>
      <c r="F100" s="18">
        <f t="shared" si="25"/>
        <v>40</v>
      </c>
      <c r="G100" s="3">
        <f>VLOOKUP(F100,Constanst!$M$3:$U$66,4,TRUE)</f>
        <v>11</v>
      </c>
      <c r="H100" s="3" t="str">
        <f t="shared" si="26"/>
        <v>1011</v>
      </c>
      <c r="I100" s="3" t="str">
        <f t="shared" si="27"/>
        <v>100100111011</v>
      </c>
    </row>
    <row r="101" ht="14.25" customHeight="1">
      <c r="A101" s="3">
        <v>4.0</v>
      </c>
      <c r="B101" s="3" t="str">
        <f t="shared" si="21"/>
        <v>110000</v>
      </c>
      <c r="C101" s="3" t="str">
        <f t="shared" si="22"/>
        <v>10</v>
      </c>
      <c r="D101" s="3" t="str">
        <f t="shared" si="23"/>
        <v>1000</v>
      </c>
      <c r="E101" s="3" t="str">
        <f t="shared" si="24"/>
        <v>101000</v>
      </c>
      <c r="F101" s="18">
        <f t="shared" si="25"/>
        <v>40</v>
      </c>
      <c r="G101" s="3">
        <f>VLOOKUP(F101,Constanst!$M$3:$U$66,5,TRUE)</f>
        <v>15</v>
      </c>
      <c r="H101" s="3" t="str">
        <f t="shared" si="26"/>
        <v>1111</v>
      </c>
      <c r="I101" s="3" t="str">
        <f t="shared" si="27"/>
        <v>1001001110111111</v>
      </c>
    </row>
    <row r="102" ht="14.25" customHeight="1">
      <c r="A102" s="3">
        <v>5.0</v>
      </c>
      <c r="B102" s="3" t="str">
        <f t="shared" si="21"/>
        <v>111101</v>
      </c>
      <c r="C102" s="3" t="str">
        <f t="shared" si="22"/>
        <v>11</v>
      </c>
      <c r="D102" s="3" t="str">
        <f t="shared" si="23"/>
        <v>1110</v>
      </c>
      <c r="E102" s="3" t="str">
        <f t="shared" si="24"/>
        <v>111110</v>
      </c>
      <c r="F102" s="18">
        <f t="shared" si="25"/>
        <v>62</v>
      </c>
      <c r="G102" s="3">
        <f>VLOOKUP(F102,Constanst!$M$3:$U$66,6,TRUE)</f>
        <v>5</v>
      </c>
      <c r="H102" s="3" t="str">
        <f t="shared" si="26"/>
        <v>0101</v>
      </c>
      <c r="I102" s="3" t="str">
        <f t="shared" si="27"/>
        <v>10010011101111110101</v>
      </c>
    </row>
    <row r="103" ht="14.25" customHeight="1">
      <c r="A103" s="3">
        <v>6.0</v>
      </c>
      <c r="B103" s="3" t="str">
        <f t="shared" si="21"/>
        <v>111100</v>
      </c>
      <c r="C103" s="3" t="str">
        <f t="shared" si="22"/>
        <v>10</v>
      </c>
      <c r="D103" s="3" t="str">
        <f t="shared" si="23"/>
        <v>1110</v>
      </c>
      <c r="E103" s="3" t="str">
        <f t="shared" si="24"/>
        <v>101110</v>
      </c>
      <c r="F103" s="18">
        <f t="shared" si="25"/>
        <v>46</v>
      </c>
      <c r="G103" s="3">
        <f>VLOOKUP(F103,Constanst!$M$3:$U$66,7,TRUE)</f>
        <v>11</v>
      </c>
      <c r="H103" s="3" t="str">
        <f t="shared" si="26"/>
        <v>1011</v>
      </c>
      <c r="I103" s="3" t="str">
        <f t="shared" si="27"/>
        <v>100100111011111101011011</v>
      </c>
    </row>
    <row r="104" ht="14.25" customHeight="1">
      <c r="A104" s="3">
        <v>7.0</v>
      </c>
      <c r="B104" s="3" t="str">
        <f t="shared" si="21"/>
        <v>101011</v>
      </c>
      <c r="C104" s="3" t="str">
        <f t="shared" si="22"/>
        <v>11</v>
      </c>
      <c r="D104" s="3" t="str">
        <f t="shared" si="23"/>
        <v>0101</v>
      </c>
      <c r="E104" s="3" t="str">
        <f t="shared" si="24"/>
        <v>110101</v>
      </c>
      <c r="F104" s="18">
        <f t="shared" si="25"/>
        <v>53</v>
      </c>
      <c r="G104" s="3">
        <f>VLOOKUP(F104,Constanst!$M$3:$U$66,8,TRUE)</f>
        <v>4</v>
      </c>
      <c r="H104" s="3" t="str">
        <f t="shared" si="26"/>
        <v>0100</v>
      </c>
      <c r="I104" s="3" t="str">
        <f t="shared" si="27"/>
        <v>1001001110111111010110110100</v>
      </c>
    </row>
    <row r="105" ht="14.25" customHeight="1">
      <c r="A105" s="3">
        <v>8.0</v>
      </c>
      <c r="B105" s="3" t="str">
        <f t="shared" si="21"/>
        <v>101011</v>
      </c>
      <c r="C105" s="3" t="str">
        <f t="shared" si="22"/>
        <v>11</v>
      </c>
      <c r="D105" s="3" t="str">
        <f t="shared" si="23"/>
        <v>0101</v>
      </c>
      <c r="E105" s="3" t="str">
        <f t="shared" si="24"/>
        <v>110101</v>
      </c>
      <c r="F105" s="18">
        <f t="shared" si="25"/>
        <v>53</v>
      </c>
      <c r="G105" s="3">
        <f>VLOOKUP(F105,Constanst!$M$3:$U$66,9,TRUE)</f>
        <v>10</v>
      </c>
      <c r="H105" s="3" t="str">
        <f t="shared" si="26"/>
        <v>1010</v>
      </c>
      <c r="I105" s="3" t="str">
        <f t="shared" si="27"/>
        <v>10010011101111110101101101001010</v>
      </c>
    </row>
    <row r="106" ht="14.25" customHeight="1"/>
    <row r="107" ht="14.25" customHeight="1">
      <c r="B107" s="1" t="s">
        <v>90</v>
      </c>
      <c r="C107" s="1" t="str">
        <f>I105</f>
        <v>10010011101111110101101101001010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1</v>
      </c>
    </row>
    <row r="113" ht="14.25" hidden="1" customHeight="1">
      <c r="A113" s="1" t="str">
        <f>MID($C$107,Constanst!X4,1)</f>
        <v>1</v>
      </c>
      <c r="B113" s="1" t="str">
        <f>A112&amp;A113</f>
        <v>11</v>
      </c>
    </row>
    <row r="114" ht="14.25" hidden="1" customHeight="1">
      <c r="A114" s="1" t="str">
        <f>MID($C$107,Constanst!X5,1)</f>
        <v>1</v>
      </c>
      <c r="B114" s="1" t="str">
        <f t="shared" ref="B114:B143" si="28">B113&amp;A114</f>
        <v>111</v>
      </c>
    </row>
    <row r="115" ht="14.25" hidden="1" customHeight="1">
      <c r="A115" s="1" t="str">
        <f>MID($C$107,Constanst!X6,1)</f>
        <v>1</v>
      </c>
      <c r="B115" s="1" t="str">
        <f t="shared" si="28"/>
        <v>1111</v>
      </c>
    </row>
    <row r="116" ht="14.25" hidden="1" customHeight="1">
      <c r="A116" s="1" t="str">
        <f>MID($C$107,Constanst!X7,1)</f>
        <v>1</v>
      </c>
      <c r="B116" s="1" t="str">
        <f t="shared" si="28"/>
        <v>11111</v>
      </c>
    </row>
    <row r="117" ht="14.25" hidden="1" customHeight="1">
      <c r="A117" s="1" t="str">
        <f>MID($C$107,Constanst!X8,1)</f>
        <v>1</v>
      </c>
      <c r="B117" s="1" t="str">
        <f t="shared" si="28"/>
        <v>111111</v>
      </c>
    </row>
    <row r="118" ht="14.25" hidden="1" customHeight="1">
      <c r="A118" s="1" t="str">
        <f>MID($C$107,Constanst!X9,1)</f>
        <v>0</v>
      </c>
      <c r="B118" s="1" t="str">
        <f t="shared" si="28"/>
        <v>1111110</v>
      </c>
    </row>
    <row r="119" ht="14.25" hidden="1" customHeight="1">
      <c r="A119" s="1" t="str">
        <f>MID($C$107,Constanst!X10,1)</f>
        <v>0</v>
      </c>
      <c r="B119" s="1" t="str">
        <f t="shared" si="28"/>
        <v>11111100</v>
      </c>
    </row>
    <row r="120" ht="14.25" hidden="1" customHeight="1">
      <c r="A120" s="1" t="str">
        <f>MID($C$107,Constanst!X11,1)</f>
        <v>1</v>
      </c>
      <c r="B120" s="1" t="str">
        <f t="shared" si="28"/>
        <v>111111001</v>
      </c>
    </row>
    <row r="121" ht="14.25" hidden="1" customHeight="1">
      <c r="A121" s="1" t="str">
        <f>MID($C$107,Constanst!X12,1)</f>
        <v>1</v>
      </c>
      <c r="B121" s="1" t="str">
        <f t="shared" si="28"/>
        <v>1111110011</v>
      </c>
    </row>
    <row r="122" ht="14.25" hidden="1" customHeight="1">
      <c r="A122" s="1" t="str">
        <f>MID($C$107,Constanst!X13,1)</f>
        <v>1</v>
      </c>
      <c r="B122" s="1" t="str">
        <f t="shared" si="28"/>
        <v>11111100111</v>
      </c>
    </row>
    <row r="123" ht="14.25" hidden="1" customHeight="1">
      <c r="A123" s="1" t="str">
        <f>MID($C$107,Constanst!X14,1)</f>
        <v>1</v>
      </c>
      <c r="B123" s="1" t="str">
        <f t="shared" si="28"/>
        <v>111111001111</v>
      </c>
    </row>
    <row r="124" ht="14.25" hidden="1" customHeight="1">
      <c r="A124" s="1" t="str">
        <f>MID($C$107,Constanst!X15,1)</f>
        <v>0</v>
      </c>
      <c r="B124" s="1" t="str">
        <f t="shared" si="28"/>
        <v>1111110011110</v>
      </c>
    </row>
    <row r="125" ht="14.25" hidden="1" customHeight="1">
      <c r="A125" s="1" t="str">
        <f>MID($C$107,Constanst!X16,1)</f>
        <v>1</v>
      </c>
      <c r="B125" s="1" t="str">
        <f t="shared" si="28"/>
        <v>11111100111101</v>
      </c>
    </row>
    <row r="126" ht="14.25" hidden="1" customHeight="1">
      <c r="A126" s="1" t="str">
        <f>MID($C$107,Constanst!X17,1)</f>
        <v>1</v>
      </c>
      <c r="B126" s="1" t="str">
        <f t="shared" si="28"/>
        <v>111111001111011</v>
      </c>
    </row>
    <row r="127" ht="14.25" hidden="1" customHeight="1">
      <c r="A127" s="1" t="str">
        <f>MID($C$107,Constanst!X18,1)</f>
        <v>0</v>
      </c>
      <c r="B127" s="1" t="str">
        <f t="shared" si="28"/>
        <v>1111110011110110</v>
      </c>
    </row>
    <row r="128" ht="14.25" hidden="1" customHeight="1">
      <c r="A128" s="1" t="str">
        <f>MID($C$107,Constanst!X19,1)</f>
        <v>0</v>
      </c>
      <c r="B128" s="1" t="str">
        <f t="shared" si="28"/>
        <v>11111100111101100</v>
      </c>
    </row>
    <row r="129" ht="14.25" hidden="1" customHeight="1">
      <c r="A129" s="1" t="str">
        <f>MID($C$107,Constanst!X20,1)</f>
        <v>1</v>
      </c>
      <c r="B129" s="1" t="str">
        <f t="shared" si="28"/>
        <v>111111001111011001</v>
      </c>
    </row>
    <row r="130" ht="14.25" hidden="1" customHeight="1">
      <c r="A130" s="1" t="str">
        <f>MID($C$107,Constanst!X21,1)</f>
        <v>1</v>
      </c>
      <c r="B130" s="1" t="str">
        <f t="shared" si="28"/>
        <v>1111110011110110011</v>
      </c>
    </row>
    <row r="131" ht="14.25" hidden="1" customHeight="1">
      <c r="A131" s="1" t="str">
        <f>MID($C$107,Constanst!X22,1)</f>
        <v>1</v>
      </c>
      <c r="B131" s="1" t="str">
        <f t="shared" si="28"/>
        <v>11111100111101100111</v>
      </c>
    </row>
    <row r="132" ht="14.25" hidden="1" customHeight="1">
      <c r="A132" s="1" t="str">
        <f>MID($C$107,Constanst!X23,1)</f>
        <v>0</v>
      </c>
      <c r="B132" s="1" t="str">
        <f t="shared" si="28"/>
        <v>111111001111011001110</v>
      </c>
    </row>
    <row r="133" ht="14.25" hidden="1" customHeight="1">
      <c r="A133" s="1" t="str">
        <f>MID($C$107,Constanst!X24,1)</f>
        <v>0</v>
      </c>
      <c r="B133" s="1" t="str">
        <f t="shared" si="28"/>
        <v>1111110011110110011100</v>
      </c>
    </row>
    <row r="134" ht="14.25" hidden="1" customHeight="1">
      <c r="A134" s="1" t="str">
        <f>MID($C$107,Constanst!X25,1)</f>
        <v>0</v>
      </c>
      <c r="B134" s="1" t="str">
        <f t="shared" si="28"/>
        <v>11111100111101100111000</v>
      </c>
    </row>
    <row r="135" ht="14.25" hidden="1" customHeight="1">
      <c r="A135" s="1" t="str">
        <f>MID($C$107,Constanst!X26,1)</f>
        <v>1</v>
      </c>
      <c r="B135" s="1" t="str">
        <f t="shared" si="28"/>
        <v>111111001111011001110001</v>
      </c>
    </row>
    <row r="136" ht="14.25" hidden="1" customHeight="1">
      <c r="A136" s="1" t="str">
        <f>MID($C$107,Constanst!X27,1)</f>
        <v>0</v>
      </c>
      <c r="B136" s="1" t="str">
        <f t="shared" si="28"/>
        <v>1111110011110110011100010</v>
      </c>
    </row>
    <row r="137" ht="14.25" hidden="1" customHeight="1">
      <c r="A137" s="1" t="str">
        <f>MID($C$107,Constanst!X28,1)</f>
        <v>1</v>
      </c>
      <c r="B137" s="1" t="str">
        <f t="shared" si="28"/>
        <v>11111100111101100111000101</v>
      </c>
    </row>
    <row r="138" ht="14.25" hidden="1" customHeight="1">
      <c r="A138" s="1" t="str">
        <f>MID($C$107,Constanst!X29,1)</f>
        <v>0</v>
      </c>
      <c r="B138" s="1" t="str">
        <f t="shared" si="28"/>
        <v>111111001111011001110001010</v>
      </c>
    </row>
    <row r="139" ht="14.25" hidden="1" customHeight="1">
      <c r="A139" s="1" t="str">
        <f>MID($C$107,Constanst!X30,1)</f>
        <v>0</v>
      </c>
      <c r="B139" s="1" t="str">
        <f t="shared" si="28"/>
        <v>1111110011110110011100010100</v>
      </c>
    </row>
    <row r="140" ht="14.25" hidden="1" customHeight="1">
      <c r="A140" s="1" t="str">
        <f>MID($C$107,Constanst!X31,1)</f>
        <v>0</v>
      </c>
      <c r="B140" s="1" t="str">
        <f t="shared" si="28"/>
        <v>11111100111101100111000101000</v>
      </c>
    </row>
    <row r="141" ht="14.25" hidden="1" customHeight="1">
      <c r="A141" s="1" t="str">
        <f>MID($C$107,Constanst!X32,1)</f>
        <v>1</v>
      </c>
      <c r="B141" s="1" t="str">
        <f t="shared" si="28"/>
        <v>111111001111011001110001010001</v>
      </c>
    </row>
    <row r="142" ht="14.25" hidden="1" customHeight="1">
      <c r="A142" s="1" t="str">
        <f>MID($C$107,Constanst!X33,1)</f>
        <v>1</v>
      </c>
      <c r="B142" s="1" t="str">
        <f t="shared" si="28"/>
        <v>1111110011110110011100010100011</v>
      </c>
    </row>
    <row r="143" ht="14.25" customHeight="1">
      <c r="A143" s="1" t="str">
        <f>MID($C$107,Constanst!X34,1)</f>
        <v>0</v>
      </c>
      <c r="B143" s="22" t="str">
        <f t="shared" si="28"/>
        <v>11111100111101100111000101000110</v>
      </c>
    </row>
    <row r="144" ht="14.25" customHeight="1"/>
    <row r="145" ht="14.25" customHeight="1">
      <c r="A145" s="1" t="s">
        <v>92</v>
      </c>
      <c r="B145" s="1" t="str">
        <f>B143</f>
        <v>11111100111101100111000101000110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11111100</v>
      </c>
      <c r="C148" s="20" t="str">
        <f t="shared" ref="C148:C151" si="30">BIN2HEX(B148,2)</f>
        <v>FC</v>
      </c>
      <c r="D148" s="20">
        <f t="shared" ref="D148:D151" si="31">HEX2DEC(C148)</f>
        <v>252</v>
      </c>
    </row>
    <row r="149" ht="14.25" customHeight="1">
      <c r="A149" s="20">
        <v>2.0</v>
      </c>
      <c r="B149" s="20" t="str">
        <f t="shared" si="29"/>
        <v>11110110</v>
      </c>
      <c r="C149" s="20" t="str">
        <f t="shared" si="30"/>
        <v>F6</v>
      </c>
      <c r="D149" s="20">
        <f t="shared" si="31"/>
        <v>246</v>
      </c>
    </row>
    <row r="150" ht="14.25" customHeight="1">
      <c r="A150" s="20">
        <v>3.0</v>
      </c>
      <c r="B150" s="20" t="str">
        <f t="shared" si="29"/>
        <v>01110001</v>
      </c>
      <c r="C150" s="20" t="str">
        <f t="shared" si="30"/>
        <v>71</v>
      </c>
      <c r="D150" s="20">
        <f t="shared" si="31"/>
        <v>113</v>
      </c>
    </row>
    <row r="151" ht="14.25" customHeight="1">
      <c r="A151" s="20">
        <v>4.0</v>
      </c>
      <c r="B151" s="20" t="str">
        <f t="shared" si="29"/>
        <v>01000110</v>
      </c>
      <c r="C151" s="20" t="str">
        <f t="shared" si="30"/>
        <v>46</v>
      </c>
      <c r="D151" s="20">
        <f t="shared" si="31"/>
        <v>70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K12</v>
      </c>
      <c r="D2" s="1" t="str">
        <f>Input!I12</f>
        <v>011100010111000111110101010001010101110011010101</v>
      </c>
    </row>
    <row r="3" ht="14.25" customHeight="1">
      <c r="A3" s="1" t="s">
        <v>92</v>
      </c>
      <c r="B3" s="1" t="str">
        <f t="array" ref="B3">INDIRECT("'f(" &amp; L5 &amp; "," &amp; L7 &amp; ")'!B145")</f>
        <v>11111100111101100111000101000110</v>
      </c>
    </row>
    <row r="4" ht="14.25" customHeight="1">
      <c r="A4" s="1" t="str">
        <f t="shared" ref="A4:A5" si="1">L4</f>
        <v>L10</v>
      </c>
      <c r="B4" s="1" t="str">
        <f t="array" ref="B4">INDIRECT("'f(" &amp; L5 &amp; "," &amp; L7 &amp; ")'!C22")</f>
        <v>10111000011100011001111111100110</v>
      </c>
      <c r="L4" s="1" t="s">
        <v>118</v>
      </c>
      <c r="M4" s="1" t="s">
        <v>120</v>
      </c>
    </row>
    <row r="5" ht="14.25" customHeight="1">
      <c r="A5" s="1" t="str">
        <f t="shared" si="1"/>
        <v>R10</v>
      </c>
      <c r="B5" s="1" t="str">
        <f t="array" ref="B5">INDIRECT("'f(" &amp; L5 &amp; "," &amp; L7 &amp; ")'!C14")</f>
        <v>10001010011110011111001001101010</v>
      </c>
      <c r="L5" s="1" t="s">
        <v>119</v>
      </c>
      <c r="M5" s="1" t="s">
        <v>121</v>
      </c>
    </row>
    <row r="6" ht="14.25" customHeight="1">
      <c r="L6" s="1" t="s">
        <v>17</v>
      </c>
    </row>
    <row r="7" ht="14.25" customHeight="1">
      <c r="A7" s="11" t="s">
        <v>98</v>
      </c>
      <c r="B7" s="5"/>
      <c r="C7" s="5"/>
      <c r="D7" s="6"/>
      <c r="G7" s="11" t="str">
        <f>L4</f>
        <v>L10</v>
      </c>
      <c r="H7" s="5"/>
      <c r="I7" s="5"/>
      <c r="J7" s="6"/>
      <c r="L7" s="1" t="s">
        <v>16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11111100</v>
      </c>
      <c r="C9" s="20" t="str">
        <f t="shared" ref="C9:C12" si="3">BIN2HEX(B9,2)</f>
        <v>FC</v>
      </c>
      <c r="D9" s="20">
        <f t="shared" ref="D9:D12" si="4">HEX2DEC(C9)</f>
        <v>252</v>
      </c>
      <c r="G9" s="20">
        <v>1.0</v>
      </c>
      <c r="H9" s="20" t="str">
        <f t="shared" ref="H9:H12" si="5">MID($B$4,(G9-1)*8+1, 8)</f>
        <v>10111000</v>
      </c>
      <c r="I9" s="20" t="str">
        <f t="shared" ref="I9:I12" si="6">BIN2HEX(H9,2)</f>
        <v>B8</v>
      </c>
      <c r="J9" s="20">
        <f t="shared" ref="J9:J12" si="7">HEX2DEC(I9)</f>
        <v>184</v>
      </c>
    </row>
    <row r="10" ht="14.25" customHeight="1">
      <c r="A10" s="20">
        <v>2.0</v>
      </c>
      <c r="B10" s="20" t="str">
        <f t="shared" si="2"/>
        <v>11110110</v>
      </c>
      <c r="C10" s="20" t="str">
        <f t="shared" si="3"/>
        <v>F6</v>
      </c>
      <c r="D10" s="20">
        <f t="shared" si="4"/>
        <v>246</v>
      </c>
      <c r="G10" s="20">
        <v>2.0</v>
      </c>
      <c r="H10" s="20" t="str">
        <f t="shared" si="5"/>
        <v>01110001</v>
      </c>
      <c r="I10" s="20" t="str">
        <f t="shared" si="6"/>
        <v>71</v>
      </c>
      <c r="J10" s="20">
        <f t="shared" si="7"/>
        <v>113</v>
      </c>
    </row>
    <row r="11" ht="14.25" customHeight="1">
      <c r="A11" s="20">
        <v>3.0</v>
      </c>
      <c r="B11" s="20" t="str">
        <f t="shared" si="2"/>
        <v>01110001</v>
      </c>
      <c r="C11" s="20" t="str">
        <f t="shared" si="3"/>
        <v>71</v>
      </c>
      <c r="D11" s="20">
        <f t="shared" si="4"/>
        <v>113</v>
      </c>
      <c r="G11" s="20">
        <v>3.0</v>
      </c>
      <c r="H11" s="20" t="str">
        <f t="shared" si="5"/>
        <v>10011111</v>
      </c>
      <c r="I11" s="20" t="str">
        <f t="shared" si="6"/>
        <v>9F</v>
      </c>
      <c r="J11" s="20">
        <f t="shared" si="7"/>
        <v>159</v>
      </c>
    </row>
    <row r="12" ht="14.25" customHeight="1">
      <c r="A12" s="20">
        <v>4.0</v>
      </c>
      <c r="B12" s="20" t="str">
        <f t="shared" si="2"/>
        <v>01000110</v>
      </c>
      <c r="C12" s="20" t="str">
        <f t="shared" si="3"/>
        <v>46</v>
      </c>
      <c r="D12" s="20">
        <f t="shared" si="4"/>
        <v>70</v>
      </c>
      <c r="G12" s="20">
        <v>4.0</v>
      </c>
      <c r="H12" s="20" t="str">
        <f t="shared" si="5"/>
        <v>11100110</v>
      </c>
      <c r="I12" s="20" t="str">
        <f t="shared" si="6"/>
        <v>E6</v>
      </c>
      <c r="J12" s="20">
        <f t="shared" si="7"/>
        <v>230</v>
      </c>
    </row>
    <row r="13" ht="14.25" customHeight="1"/>
    <row r="14" ht="14.25" customHeight="1">
      <c r="A14" s="1" t="str">
        <f>M5&amp;" = F XOR "&amp;L4&amp;" ="</f>
        <v>R11 = F XOR L10 =</v>
      </c>
      <c r="C14" s="23" t="str">
        <f>F17&amp;F18&amp;F19&amp;F20</f>
        <v>01000100100001111110111010100000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68</v>
      </c>
      <c r="E17" s="20" t="str">
        <f t="shared" ref="E17:E20" si="9">DEC2HEX(D17,2)</f>
        <v>44</v>
      </c>
      <c r="F17" s="20" t="str">
        <f t="shared" ref="F17:F20" si="10">HEX2BIN(E17,8)</f>
        <v>01000100</v>
      </c>
    </row>
    <row r="18" ht="14.25" customHeight="1">
      <c r="C18" s="20">
        <v>2.0</v>
      </c>
      <c r="D18" s="20">
        <f t="shared" si="8"/>
        <v>135</v>
      </c>
      <c r="E18" s="20" t="str">
        <f t="shared" si="9"/>
        <v>87</v>
      </c>
      <c r="F18" s="20" t="str">
        <f t="shared" si="10"/>
        <v>10000111</v>
      </c>
    </row>
    <row r="19" ht="14.25" customHeight="1">
      <c r="C19" s="20">
        <v>3.0</v>
      </c>
      <c r="D19" s="20">
        <f t="shared" si="8"/>
        <v>238</v>
      </c>
      <c r="E19" s="20" t="str">
        <f t="shared" si="9"/>
        <v>EE</v>
      </c>
      <c r="F19" s="20" t="str">
        <f t="shared" si="10"/>
        <v>11101110</v>
      </c>
    </row>
    <row r="20" ht="14.25" customHeight="1">
      <c r="C20" s="20">
        <v>4.0</v>
      </c>
      <c r="D20" s="20">
        <f t="shared" si="8"/>
        <v>160</v>
      </c>
      <c r="E20" s="20" t="str">
        <f t="shared" si="9"/>
        <v>A0</v>
      </c>
      <c r="F20" s="20" t="str">
        <f t="shared" si="10"/>
        <v>10100000</v>
      </c>
    </row>
    <row r="21" ht="14.25" customHeight="1"/>
    <row r="22" ht="14.25" customHeight="1">
      <c r="A22" s="1" t="str">
        <f>M4&amp;" = "&amp;L5&amp;" ="</f>
        <v>L11 = R10 =</v>
      </c>
      <c r="C22" s="23" t="str">
        <f>B5</f>
        <v>10001010011110011111001001101010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R11 =&gt; E(R11)</v>
      </c>
      <c r="D24" s="1" t="str">
        <f>B26</f>
        <v>001000001001010000001111111101011101010100000000</v>
      </c>
    </row>
    <row r="25" ht="14.25" customHeight="1">
      <c r="A25" s="1" t="s">
        <v>66</v>
      </c>
    </row>
    <row r="26" ht="14.25" customHeight="1">
      <c r="A26" s="1" t="str">
        <f>MID($C$14,Constanst!K3,1)</f>
        <v>0</v>
      </c>
      <c r="B26" s="1" t="str">
        <f t="shared" ref="B26:B71" si="11">A26&amp;B27</f>
        <v>001000001001010000001111111101011101010100000000</v>
      </c>
    </row>
    <row r="27" ht="14.25" customHeight="1">
      <c r="A27" s="1" t="str">
        <f>MID($C$14,Constanst!K4,1)</f>
        <v>0</v>
      </c>
      <c r="B27" s="1" t="str">
        <f t="shared" si="11"/>
        <v>01000001001010000001111111101011101010100000000</v>
      </c>
    </row>
    <row r="28" ht="14.25" customHeight="1">
      <c r="A28" s="1" t="str">
        <f>MID($C$14,Constanst!K5,1)</f>
        <v>1</v>
      </c>
      <c r="B28" s="1" t="str">
        <f t="shared" si="11"/>
        <v>1000001001010000001111111101011101010100000000</v>
      </c>
    </row>
    <row r="29" ht="14.25" customHeight="1">
      <c r="A29" s="1" t="str">
        <f>MID($C$14,Constanst!K6,1)</f>
        <v>0</v>
      </c>
      <c r="B29" s="1" t="str">
        <f t="shared" si="11"/>
        <v>000001001010000001111111101011101010100000000</v>
      </c>
    </row>
    <row r="30" ht="14.25" customHeight="1">
      <c r="A30" s="1" t="str">
        <f>MID($C$14,Constanst!K7,1)</f>
        <v>0</v>
      </c>
      <c r="B30" s="1" t="str">
        <f t="shared" si="11"/>
        <v>00001001010000001111111101011101010100000000</v>
      </c>
    </row>
    <row r="31" ht="14.25" customHeight="1">
      <c r="A31" s="1" t="str">
        <f>MID($C$14,Constanst!K8,1)</f>
        <v>0</v>
      </c>
      <c r="B31" s="1" t="str">
        <f t="shared" si="11"/>
        <v>0001001010000001111111101011101010100000000</v>
      </c>
    </row>
    <row r="32" ht="14.25" customHeight="1">
      <c r="A32" s="1" t="str">
        <f>MID($C$14,Constanst!K9,1)</f>
        <v>0</v>
      </c>
      <c r="B32" s="1" t="str">
        <f t="shared" si="11"/>
        <v>001001010000001111111101011101010100000000</v>
      </c>
    </row>
    <row r="33" ht="14.25" customHeight="1">
      <c r="A33" s="1" t="str">
        <f>MID($C$14,Constanst!K10,1)</f>
        <v>0</v>
      </c>
      <c r="B33" s="1" t="str">
        <f t="shared" si="11"/>
        <v>01001010000001111111101011101010100000000</v>
      </c>
    </row>
    <row r="34" ht="14.25" customHeight="1">
      <c r="A34" s="1" t="str">
        <f>MID($C$14,Constanst!K11,1)</f>
        <v>1</v>
      </c>
      <c r="B34" s="1" t="str">
        <f t="shared" si="11"/>
        <v>1001010000001111111101011101010100000000</v>
      </c>
    </row>
    <row r="35" ht="14.25" customHeight="1">
      <c r="A35" s="1" t="str">
        <f>MID($C$14,Constanst!K12,1)</f>
        <v>0</v>
      </c>
      <c r="B35" s="1" t="str">
        <f t="shared" si="11"/>
        <v>001010000001111111101011101010100000000</v>
      </c>
    </row>
    <row r="36" ht="14.25" customHeight="1">
      <c r="A36" s="1" t="str">
        <f>MID($C$14,Constanst!K13,1)</f>
        <v>0</v>
      </c>
      <c r="B36" s="1" t="str">
        <f t="shared" si="11"/>
        <v>01010000001111111101011101010100000000</v>
      </c>
    </row>
    <row r="37" ht="14.25" customHeight="1">
      <c r="A37" s="1" t="str">
        <f>MID($C$14,Constanst!K14,1)</f>
        <v>1</v>
      </c>
      <c r="B37" s="1" t="str">
        <f t="shared" si="11"/>
        <v>1010000001111111101011101010100000000</v>
      </c>
    </row>
    <row r="38" ht="14.25" customHeight="1">
      <c r="A38" s="1" t="str">
        <f>MID($C$14,Constanst!K15,1)</f>
        <v>0</v>
      </c>
      <c r="B38" s="1" t="str">
        <f t="shared" si="11"/>
        <v>010000001111111101011101010100000000</v>
      </c>
    </row>
    <row r="39" ht="14.25" customHeight="1">
      <c r="A39" s="1" t="str">
        <f>MID($C$14,Constanst!K16,1)</f>
        <v>1</v>
      </c>
      <c r="B39" s="1" t="str">
        <f t="shared" si="11"/>
        <v>10000001111111101011101010100000000</v>
      </c>
    </row>
    <row r="40" ht="14.25" customHeight="1">
      <c r="A40" s="1" t="str">
        <f>MID($C$14,Constanst!K17,1)</f>
        <v>0</v>
      </c>
      <c r="B40" s="1" t="str">
        <f t="shared" si="11"/>
        <v>0000001111111101011101010100000000</v>
      </c>
    </row>
    <row r="41" ht="14.25" customHeight="1">
      <c r="A41" s="1" t="str">
        <f>MID($C$14,Constanst!K18,1)</f>
        <v>0</v>
      </c>
      <c r="B41" s="1" t="str">
        <f t="shared" si="11"/>
        <v>000001111111101011101010100000000</v>
      </c>
    </row>
    <row r="42" ht="14.25" customHeight="1">
      <c r="A42" s="1" t="str">
        <f>MID($C$14,Constanst!K19,1)</f>
        <v>0</v>
      </c>
      <c r="B42" s="1" t="str">
        <f t="shared" si="11"/>
        <v>00001111111101011101010100000000</v>
      </c>
    </row>
    <row r="43" ht="14.25" customHeight="1">
      <c r="A43" s="1" t="str">
        <f>MID($C$14,Constanst!K20,1)</f>
        <v>0</v>
      </c>
      <c r="B43" s="1" t="str">
        <f t="shared" si="11"/>
        <v>0001111111101011101010100000000</v>
      </c>
    </row>
    <row r="44" ht="14.25" customHeight="1">
      <c r="A44" s="1" t="str">
        <f>MID($C$14,Constanst!K21,1)</f>
        <v>0</v>
      </c>
      <c r="B44" s="1" t="str">
        <f t="shared" si="11"/>
        <v>001111111101011101010100000000</v>
      </c>
    </row>
    <row r="45" ht="14.25" customHeight="1">
      <c r="A45" s="1" t="str">
        <f>MID($C$14,Constanst!K22,1)</f>
        <v>0</v>
      </c>
      <c r="B45" s="1" t="str">
        <f t="shared" si="11"/>
        <v>01111111101011101010100000000</v>
      </c>
    </row>
    <row r="46" ht="14.25" customHeight="1">
      <c r="A46" s="1" t="str">
        <f>MID($C$14,Constanst!K23,1)</f>
        <v>1</v>
      </c>
      <c r="B46" s="1" t="str">
        <f t="shared" si="11"/>
        <v>1111111101011101010100000000</v>
      </c>
    </row>
    <row r="47" ht="14.25" customHeight="1">
      <c r="A47" s="1" t="str">
        <f>MID($C$14,Constanst!K24,1)</f>
        <v>1</v>
      </c>
      <c r="B47" s="1" t="str">
        <f t="shared" si="11"/>
        <v>111111101011101010100000000</v>
      </c>
    </row>
    <row r="48" ht="14.25" customHeight="1">
      <c r="A48" s="1" t="str">
        <f>MID($C$14,Constanst!K25,1)</f>
        <v>1</v>
      </c>
      <c r="B48" s="1" t="str">
        <f t="shared" si="11"/>
        <v>11111101011101010100000000</v>
      </c>
    </row>
    <row r="49" ht="14.25" customHeight="1">
      <c r="A49" s="1" t="str">
        <f>MID($C$14,Constanst!K26,1)</f>
        <v>1</v>
      </c>
      <c r="B49" s="1" t="str">
        <f t="shared" si="11"/>
        <v>1111101011101010100000000</v>
      </c>
    </row>
    <row r="50" ht="14.25" customHeight="1">
      <c r="A50" s="1" t="str">
        <f>MID($C$14,Constanst!K27,1)</f>
        <v>1</v>
      </c>
      <c r="B50" s="1" t="str">
        <f t="shared" si="11"/>
        <v>111101011101010100000000</v>
      </c>
    </row>
    <row r="51" ht="14.25" customHeight="1">
      <c r="A51" s="1" t="str">
        <f>MID($C$14,Constanst!K28,1)</f>
        <v>1</v>
      </c>
      <c r="B51" s="1" t="str">
        <f t="shared" si="11"/>
        <v>11101011101010100000000</v>
      </c>
    </row>
    <row r="52" ht="14.25" customHeight="1">
      <c r="A52" s="1" t="str">
        <f>MID($C$14,Constanst!K29,1)</f>
        <v>1</v>
      </c>
      <c r="B52" s="1" t="str">
        <f t="shared" si="11"/>
        <v>1101011101010100000000</v>
      </c>
    </row>
    <row r="53" ht="14.25" customHeight="1">
      <c r="A53" s="1" t="str">
        <f>MID($C$14,Constanst!K30,1)</f>
        <v>1</v>
      </c>
      <c r="B53" s="1" t="str">
        <f t="shared" si="11"/>
        <v>101011101010100000000</v>
      </c>
    </row>
    <row r="54" ht="14.25" customHeight="1">
      <c r="A54" s="1" t="str">
        <f>MID($C$14,Constanst!K31,1)</f>
        <v>0</v>
      </c>
      <c r="B54" s="1" t="str">
        <f t="shared" si="11"/>
        <v>01011101010100000000</v>
      </c>
    </row>
    <row r="55" ht="14.25" customHeight="1">
      <c r="A55" s="1" t="str">
        <f>MID($C$14,Constanst!K32,1)</f>
        <v>1</v>
      </c>
      <c r="B55" s="1" t="str">
        <f t="shared" si="11"/>
        <v>1011101010100000000</v>
      </c>
    </row>
    <row r="56" ht="14.25" customHeight="1">
      <c r="A56" s="1" t="str">
        <f>MID($C$14,Constanst!K33,1)</f>
        <v>0</v>
      </c>
      <c r="B56" s="1" t="str">
        <f t="shared" si="11"/>
        <v>011101010100000000</v>
      </c>
    </row>
    <row r="57" ht="14.25" customHeight="1">
      <c r="A57" s="1" t="str">
        <f>MID($C$14,Constanst!K34,1)</f>
        <v>1</v>
      </c>
      <c r="B57" s="1" t="str">
        <f t="shared" si="11"/>
        <v>11101010100000000</v>
      </c>
    </row>
    <row r="58" ht="14.25" customHeight="1">
      <c r="A58" s="1" t="str">
        <f>MID($C$14,Constanst!K35,1)</f>
        <v>1</v>
      </c>
      <c r="B58" s="1" t="str">
        <f t="shared" si="11"/>
        <v>1101010100000000</v>
      </c>
    </row>
    <row r="59" ht="14.25" customHeight="1">
      <c r="A59" s="1" t="str">
        <f>MID($C$14,Constanst!K36,1)</f>
        <v>1</v>
      </c>
      <c r="B59" s="1" t="str">
        <f t="shared" si="11"/>
        <v>101010100000000</v>
      </c>
    </row>
    <row r="60" ht="14.25" customHeight="1">
      <c r="A60" s="1" t="str">
        <f>MID($C$14,Constanst!K37,1)</f>
        <v>0</v>
      </c>
      <c r="B60" s="1" t="str">
        <f t="shared" si="11"/>
        <v>01010100000000</v>
      </c>
    </row>
    <row r="61" ht="14.25" customHeight="1">
      <c r="A61" s="1" t="str">
        <f>MID($C$14,Constanst!K38,1)</f>
        <v>1</v>
      </c>
      <c r="B61" s="1" t="str">
        <f t="shared" si="11"/>
        <v>1010100000000</v>
      </c>
    </row>
    <row r="62" ht="14.25" customHeight="1">
      <c r="A62" s="1" t="str">
        <f>MID($C$14,Constanst!K39,1)</f>
        <v>0</v>
      </c>
      <c r="B62" s="1" t="str">
        <f t="shared" si="11"/>
        <v>010100000000</v>
      </c>
    </row>
    <row r="63" ht="14.25" customHeight="1">
      <c r="A63" s="1" t="str">
        <f>MID($C$14,Constanst!K40,1)</f>
        <v>1</v>
      </c>
      <c r="B63" s="1" t="str">
        <f t="shared" si="11"/>
        <v>10100000000</v>
      </c>
    </row>
    <row r="64" ht="14.25" customHeight="1">
      <c r="A64" s="1" t="str">
        <f>MID($C$14,Constanst!K41,1)</f>
        <v>0</v>
      </c>
      <c r="B64" s="1" t="str">
        <f t="shared" si="11"/>
        <v>0100000000</v>
      </c>
    </row>
    <row r="65" ht="14.25" customHeight="1">
      <c r="A65" s="1" t="str">
        <f>MID($C$14,Constanst!K42,1)</f>
        <v>1</v>
      </c>
      <c r="B65" s="1" t="str">
        <f t="shared" si="11"/>
        <v>100000000</v>
      </c>
    </row>
    <row r="66" ht="14.25" customHeight="1">
      <c r="A66" s="1" t="str">
        <f>MID($C$14,Constanst!K43,1)</f>
        <v>0</v>
      </c>
      <c r="B66" s="1" t="str">
        <f t="shared" si="11"/>
        <v>00000000</v>
      </c>
    </row>
    <row r="67" ht="14.25" customHeight="1">
      <c r="A67" s="1" t="str">
        <f>MID($C$14,Constanst!K44,1)</f>
        <v>0</v>
      </c>
      <c r="B67" s="1" t="str">
        <f t="shared" si="11"/>
        <v>0000000</v>
      </c>
    </row>
    <row r="68" ht="14.25" customHeight="1">
      <c r="A68" s="1" t="str">
        <f>MID($C$14,Constanst!K45,1)</f>
        <v>0</v>
      </c>
      <c r="B68" s="1" t="str">
        <f t="shared" si="11"/>
        <v>000000</v>
      </c>
    </row>
    <row r="69" ht="14.25" customHeight="1">
      <c r="A69" s="1" t="str">
        <f>MID($C$14,Constanst!K46,1)</f>
        <v>0</v>
      </c>
      <c r="B69" s="1" t="str">
        <f t="shared" si="11"/>
        <v>00000</v>
      </c>
    </row>
    <row r="70" ht="14.25" customHeight="1">
      <c r="A70" s="1" t="str">
        <f>MID($C$14,Constanst!K47,1)</f>
        <v>0</v>
      </c>
      <c r="B70" s="1" t="str">
        <f t="shared" si="11"/>
        <v>0000</v>
      </c>
    </row>
    <row r="71" ht="14.25" customHeight="1">
      <c r="A71" s="1" t="str">
        <f>MID($C$14,Constanst!K48,1)</f>
        <v>0</v>
      </c>
      <c r="B71" s="1" t="str">
        <f t="shared" si="11"/>
        <v>000</v>
      </c>
    </row>
    <row r="72" ht="14.25" customHeight="1">
      <c r="A72" s="1" t="str">
        <f>MID($C$14,Constanst!K49,1)</f>
        <v>0</v>
      </c>
      <c r="B72" s="1" t="str">
        <f>A72&amp;A73</f>
        <v>00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E(R11) XOR K12</v>
      </c>
    </row>
    <row r="76" ht="14.25" customHeight="1">
      <c r="A76" s="11" t="str">
        <f>"Khóa " &amp; L6</f>
        <v>Khóa K12</v>
      </c>
      <c r="B76" s="5"/>
      <c r="C76" s="5"/>
      <c r="D76" s="6"/>
      <c r="G76" s="11" t="str">
        <f>"E("&amp;M5&amp;")"</f>
        <v>E(R11)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01110001</v>
      </c>
      <c r="C78" s="20" t="str">
        <f t="shared" ref="C78:C83" si="13">BIN2HEX(B78,2)</f>
        <v>71</v>
      </c>
      <c r="D78" s="20">
        <f t="shared" ref="D78:D83" si="14">BIN2DEC(B78)</f>
        <v>113</v>
      </c>
      <c r="G78" s="20">
        <v>1.0</v>
      </c>
      <c r="H78" s="20" t="str">
        <f t="shared" ref="H78:H83" si="15">MID($D$24,(G78-1)*8+1, 8)</f>
        <v>00100000</v>
      </c>
      <c r="I78" s="20" t="str">
        <f t="shared" ref="I78:I83" si="16">BIN2HEX(H78,2)</f>
        <v>20</v>
      </c>
      <c r="J78" s="20">
        <f t="shared" ref="J78:J83" si="17">BIN2DEC(H78)</f>
        <v>32</v>
      </c>
    </row>
    <row r="79" ht="14.25" customHeight="1">
      <c r="A79" s="20">
        <v>2.0</v>
      </c>
      <c r="B79" s="20" t="str">
        <f t="shared" si="12"/>
        <v>01110001</v>
      </c>
      <c r="C79" s="20" t="str">
        <f t="shared" si="13"/>
        <v>71</v>
      </c>
      <c r="D79" s="20">
        <f t="shared" si="14"/>
        <v>113</v>
      </c>
      <c r="G79" s="20">
        <v>2.0</v>
      </c>
      <c r="H79" s="20" t="str">
        <f t="shared" si="15"/>
        <v>10010100</v>
      </c>
      <c r="I79" s="20" t="str">
        <f t="shared" si="16"/>
        <v>94</v>
      </c>
      <c r="J79" s="20">
        <f t="shared" si="17"/>
        <v>148</v>
      </c>
    </row>
    <row r="80" ht="14.25" customHeight="1">
      <c r="A80" s="20">
        <v>3.0</v>
      </c>
      <c r="B80" s="20" t="str">
        <f t="shared" si="12"/>
        <v>11110101</v>
      </c>
      <c r="C80" s="20" t="str">
        <f t="shared" si="13"/>
        <v>F5</v>
      </c>
      <c r="D80" s="20">
        <f t="shared" si="14"/>
        <v>245</v>
      </c>
      <c r="G80" s="20">
        <v>3.0</v>
      </c>
      <c r="H80" s="20" t="str">
        <f t="shared" si="15"/>
        <v>00001111</v>
      </c>
      <c r="I80" s="20" t="str">
        <f t="shared" si="16"/>
        <v>0F</v>
      </c>
      <c r="J80" s="20">
        <f t="shared" si="17"/>
        <v>15</v>
      </c>
    </row>
    <row r="81" ht="14.25" customHeight="1">
      <c r="A81" s="20">
        <v>4.0</v>
      </c>
      <c r="B81" s="20" t="str">
        <f t="shared" si="12"/>
        <v>01000101</v>
      </c>
      <c r="C81" s="20" t="str">
        <f t="shared" si="13"/>
        <v>45</v>
      </c>
      <c r="D81" s="20">
        <f t="shared" si="14"/>
        <v>69</v>
      </c>
      <c r="G81" s="20">
        <v>4.0</v>
      </c>
      <c r="H81" s="20" t="str">
        <f t="shared" si="15"/>
        <v>11110101</v>
      </c>
      <c r="I81" s="20" t="str">
        <f t="shared" si="16"/>
        <v>F5</v>
      </c>
      <c r="J81" s="20">
        <f t="shared" si="17"/>
        <v>245</v>
      </c>
    </row>
    <row r="82" ht="14.25" customHeight="1">
      <c r="A82" s="20">
        <v>5.0</v>
      </c>
      <c r="B82" s="20" t="str">
        <f t="shared" si="12"/>
        <v>01011100</v>
      </c>
      <c r="C82" s="20" t="str">
        <f t="shared" si="13"/>
        <v>5C</v>
      </c>
      <c r="D82" s="20">
        <f t="shared" si="14"/>
        <v>92</v>
      </c>
      <c r="G82" s="20">
        <v>5.0</v>
      </c>
      <c r="H82" s="20" t="str">
        <f t="shared" si="15"/>
        <v>11010101</v>
      </c>
      <c r="I82" s="20" t="str">
        <f t="shared" si="16"/>
        <v>D5</v>
      </c>
      <c r="J82" s="20">
        <f t="shared" si="17"/>
        <v>213</v>
      </c>
    </row>
    <row r="83" ht="14.25" customHeight="1">
      <c r="A83" s="20">
        <v>6.0</v>
      </c>
      <c r="B83" s="20" t="str">
        <f t="shared" si="12"/>
        <v>11010101</v>
      </c>
      <c r="C83" s="20" t="str">
        <f t="shared" si="13"/>
        <v>D5</v>
      </c>
      <c r="D83" s="20">
        <f t="shared" si="14"/>
        <v>213</v>
      </c>
      <c r="G83" s="20">
        <v>6.0</v>
      </c>
      <c r="H83" s="20" t="str">
        <f t="shared" si="15"/>
        <v>00000000</v>
      </c>
      <c r="I83" s="20" t="str">
        <f t="shared" si="16"/>
        <v>00</v>
      </c>
      <c r="J83" s="20">
        <f t="shared" si="17"/>
        <v>0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XOR(ER11, K12)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81</v>
      </c>
      <c r="C86" s="26" t="str">
        <f t="shared" ref="C86:C91" si="19">DEC2BIN(B86,8)</f>
        <v>01010001</v>
      </c>
      <c r="D86" s="26" t="str">
        <f t="shared" ref="D86:D91" si="20">BIN2HEX(C86,2)</f>
        <v>51</v>
      </c>
    </row>
    <row r="87" ht="14.25" customHeight="1">
      <c r="A87" s="26">
        <v>2.0</v>
      </c>
      <c r="B87" s="26">
        <f t="shared" si="18"/>
        <v>229</v>
      </c>
      <c r="C87" s="26" t="str">
        <f t="shared" si="19"/>
        <v>11100101</v>
      </c>
      <c r="D87" s="26" t="str">
        <f t="shared" si="20"/>
        <v>E5</v>
      </c>
    </row>
    <row r="88" ht="14.25" customHeight="1">
      <c r="A88" s="26">
        <v>3.0</v>
      </c>
      <c r="B88" s="26">
        <f t="shared" si="18"/>
        <v>250</v>
      </c>
      <c r="C88" s="26" t="str">
        <f t="shared" si="19"/>
        <v>11111010</v>
      </c>
      <c r="D88" s="26" t="str">
        <f t="shared" si="20"/>
        <v>FA</v>
      </c>
    </row>
    <row r="89" ht="14.25" customHeight="1">
      <c r="A89" s="26">
        <v>4.0</v>
      </c>
      <c r="B89" s="26">
        <f t="shared" si="18"/>
        <v>176</v>
      </c>
      <c r="C89" s="26" t="str">
        <f t="shared" si="19"/>
        <v>10110000</v>
      </c>
      <c r="D89" s="26" t="str">
        <f t="shared" si="20"/>
        <v>B0</v>
      </c>
    </row>
    <row r="90" ht="14.25" customHeight="1">
      <c r="A90" s="26">
        <v>5.0</v>
      </c>
      <c r="B90" s="26">
        <f t="shared" si="18"/>
        <v>137</v>
      </c>
      <c r="C90" s="26" t="str">
        <f t="shared" si="19"/>
        <v>10001001</v>
      </c>
      <c r="D90" s="26" t="str">
        <f t="shared" si="20"/>
        <v>89</v>
      </c>
    </row>
    <row r="91" ht="14.25" customHeight="1">
      <c r="A91" s="26">
        <v>6.0</v>
      </c>
      <c r="B91" s="26">
        <f t="shared" si="18"/>
        <v>213</v>
      </c>
      <c r="C91" s="26" t="str">
        <f t="shared" si="19"/>
        <v>11010101</v>
      </c>
      <c r="D91" s="26" t="str">
        <f t="shared" si="20"/>
        <v>D5</v>
      </c>
    </row>
    <row r="92" ht="14.25" customHeight="1"/>
    <row r="93" ht="14.25" customHeight="1">
      <c r="B93" s="1" t="str">
        <f>"A = E"&amp;M5&amp;" XOR "&amp;L6&amp;" ="</f>
        <v>A = ER11 XOR K12 =</v>
      </c>
      <c r="D93" s="22" t="str">
        <f>C86&amp;C87&amp;C88&amp;C89&amp;C90&amp;C91</f>
        <v>010100011110010111111010101100001000100111010101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010100</v>
      </c>
      <c r="C98" s="3" t="str">
        <f t="shared" ref="C98:C105" si="22">LEFT(B98,1)&amp;(RIGHT(B98,1))</f>
        <v>00</v>
      </c>
      <c r="D98" s="3" t="str">
        <f t="shared" ref="D98:D105" si="23">MID(B98,2,4)</f>
        <v>1010</v>
      </c>
      <c r="E98" s="3" t="str">
        <f t="shared" ref="E98:E105" si="24">C98&amp;D98</f>
        <v>001010</v>
      </c>
      <c r="F98" s="18">
        <f t="shared" ref="F98:F105" si="25">BIN2DEC(E98)</f>
        <v>10</v>
      </c>
      <c r="G98" s="3">
        <f>VLOOKUP(F98,Constanst!$M$3:$U$66,2,TRUE)</f>
        <v>6</v>
      </c>
      <c r="H98" s="3" t="str">
        <f t="shared" ref="H98:H105" si="26">DEC2BIN(G98,4)</f>
        <v>0110</v>
      </c>
      <c r="I98" s="3" t="str">
        <f>H98</f>
        <v>0110</v>
      </c>
    </row>
    <row r="99" ht="14.25" customHeight="1">
      <c r="A99" s="3">
        <v>2.0</v>
      </c>
      <c r="B99" s="3" t="str">
        <f t="shared" si="21"/>
        <v>011110</v>
      </c>
      <c r="C99" s="3" t="str">
        <f t="shared" si="22"/>
        <v>00</v>
      </c>
      <c r="D99" s="3" t="str">
        <f t="shared" si="23"/>
        <v>1111</v>
      </c>
      <c r="E99" s="3" t="str">
        <f t="shared" si="24"/>
        <v>001111</v>
      </c>
      <c r="F99" s="18">
        <f t="shared" si="25"/>
        <v>15</v>
      </c>
      <c r="G99" s="3">
        <f>VLOOKUP(F99,Constanst!$M$3:$U$66,3,TRUE)</f>
        <v>10</v>
      </c>
      <c r="H99" s="3" t="str">
        <f t="shared" si="26"/>
        <v>1010</v>
      </c>
      <c r="I99" s="3" t="str">
        <f t="shared" ref="I99:I105" si="27">I98&amp;H99</f>
        <v>01101010</v>
      </c>
    </row>
    <row r="100" ht="14.25" customHeight="1">
      <c r="A100" s="3">
        <v>3.0</v>
      </c>
      <c r="B100" s="3" t="str">
        <f t="shared" si="21"/>
        <v>010111</v>
      </c>
      <c r="C100" s="3" t="str">
        <f t="shared" si="22"/>
        <v>01</v>
      </c>
      <c r="D100" s="3" t="str">
        <f t="shared" si="23"/>
        <v>1011</v>
      </c>
      <c r="E100" s="3" t="str">
        <f t="shared" si="24"/>
        <v>011011</v>
      </c>
      <c r="F100" s="18">
        <f t="shared" si="25"/>
        <v>27</v>
      </c>
      <c r="G100" s="3">
        <f>VLOOKUP(F100,Constanst!$M$3:$U$66,4,TRUE)</f>
        <v>14</v>
      </c>
      <c r="H100" s="3" t="str">
        <f t="shared" si="26"/>
        <v>1110</v>
      </c>
      <c r="I100" s="3" t="str">
        <f t="shared" si="27"/>
        <v>011010101110</v>
      </c>
    </row>
    <row r="101" ht="14.25" customHeight="1">
      <c r="A101" s="3">
        <v>4.0</v>
      </c>
      <c r="B101" s="3" t="str">
        <f t="shared" si="21"/>
        <v>111010</v>
      </c>
      <c r="C101" s="3" t="str">
        <f t="shared" si="22"/>
        <v>10</v>
      </c>
      <c r="D101" s="3" t="str">
        <f t="shared" si="23"/>
        <v>1101</v>
      </c>
      <c r="E101" s="3" t="str">
        <f t="shared" si="24"/>
        <v>101101</v>
      </c>
      <c r="F101" s="18">
        <f t="shared" si="25"/>
        <v>45</v>
      </c>
      <c r="G101" s="3">
        <f>VLOOKUP(F101,Constanst!$M$3:$U$66,5,TRUE)</f>
        <v>2</v>
      </c>
      <c r="H101" s="3" t="str">
        <f t="shared" si="26"/>
        <v>0010</v>
      </c>
      <c r="I101" s="3" t="str">
        <f t="shared" si="27"/>
        <v>0110101011100010</v>
      </c>
    </row>
    <row r="102" ht="14.25" customHeight="1">
      <c r="A102" s="3">
        <v>5.0</v>
      </c>
      <c r="B102" s="3" t="str">
        <f t="shared" si="21"/>
        <v>101100</v>
      </c>
      <c r="C102" s="3" t="str">
        <f t="shared" si="22"/>
        <v>10</v>
      </c>
      <c r="D102" s="3" t="str">
        <f t="shared" si="23"/>
        <v>0110</v>
      </c>
      <c r="E102" s="3" t="str">
        <f t="shared" si="24"/>
        <v>100110</v>
      </c>
      <c r="F102" s="18">
        <f t="shared" si="25"/>
        <v>38</v>
      </c>
      <c r="G102" s="3">
        <f>VLOOKUP(F102,Constanst!$M$3:$U$66,6,TRUE)</f>
        <v>7</v>
      </c>
      <c r="H102" s="3" t="str">
        <f t="shared" si="26"/>
        <v>0111</v>
      </c>
      <c r="I102" s="3" t="str">
        <f t="shared" si="27"/>
        <v>01101010111000100111</v>
      </c>
    </row>
    <row r="103" ht="14.25" customHeight="1">
      <c r="A103" s="3">
        <v>6.0</v>
      </c>
      <c r="B103" s="3" t="str">
        <f t="shared" si="21"/>
        <v>001000</v>
      </c>
      <c r="C103" s="3" t="str">
        <f t="shared" si="22"/>
        <v>00</v>
      </c>
      <c r="D103" s="3" t="str">
        <f t="shared" si="23"/>
        <v>0100</v>
      </c>
      <c r="E103" s="3" t="str">
        <f t="shared" si="24"/>
        <v>000100</v>
      </c>
      <c r="F103" s="18">
        <f t="shared" si="25"/>
        <v>4</v>
      </c>
      <c r="G103" s="3">
        <f>VLOOKUP(F103,Constanst!$M$3:$U$66,7,TRUE)</f>
        <v>9</v>
      </c>
      <c r="H103" s="3" t="str">
        <f t="shared" si="26"/>
        <v>1001</v>
      </c>
      <c r="I103" s="3" t="str">
        <f t="shared" si="27"/>
        <v>011010101110001001111001</v>
      </c>
    </row>
    <row r="104" ht="14.25" customHeight="1">
      <c r="A104" s="3">
        <v>7.0</v>
      </c>
      <c r="B104" s="3" t="str">
        <f t="shared" si="21"/>
        <v>100111</v>
      </c>
      <c r="C104" s="3" t="str">
        <f t="shared" si="22"/>
        <v>11</v>
      </c>
      <c r="D104" s="3" t="str">
        <f t="shared" si="23"/>
        <v>0011</v>
      </c>
      <c r="E104" s="3" t="str">
        <f t="shared" si="24"/>
        <v>110011</v>
      </c>
      <c r="F104" s="18">
        <f t="shared" si="25"/>
        <v>51</v>
      </c>
      <c r="G104" s="3">
        <f>VLOOKUP(F104,Constanst!$M$3:$U$66,8,TRUE)</f>
        <v>8</v>
      </c>
      <c r="H104" s="3" t="str">
        <f t="shared" si="26"/>
        <v>1000</v>
      </c>
      <c r="I104" s="3" t="str">
        <f t="shared" si="27"/>
        <v>0110101011100010011110011000</v>
      </c>
    </row>
    <row r="105" ht="14.25" customHeight="1">
      <c r="A105" s="3">
        <v>8.0</v>
      </c>
      <c r="B105" s="3" t="str">
        <f t="shared" si="21"/>
        <v>010101</v>
      </c>
      <c r="C105" s="3" t="str">
        <f t="shared" si="22"/>
        <v>01</v>
      </c>
      <c r="D105" s="3" t="str">
        <f t="shared" si="23"/>
        <v>1010</v>
      </c>
      <c r="E105" s="3" t="str">
        <f t="shared" si="24"/>
        <v>011010</v>
      </c>
      <c r="F105" s="18">
        <f t="shared" si="25"/>
        <v>26</v>
      </c>
      <c r="G105" s="3">
        <f>VLOOKUP(F105,Constanst!$M$3:$U$66,9,TRUE)</f>
        <v>6</v>
      </c>
      <c r="H105" s="3" t="str">
        <f t="shared" si="26"/>
        <v>0110</v>
      </c>
      <c r="I105" s="3" t="str">
        <f t="shared" si="27"/>
        <v>01101010111000100111100110000110</v>
      </c>
    </row>
    <row r="106" ht="14.25" customHeight="1"/>
    <row r="107" ht="14.25" customHeight="1">
      <c r="B107" s="1" t="s">
        <v>90</v>
      </c>
      <c r="C107" s="1" t="str">
        <f>I105</f>
        <v>01101010111000100111100110000110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0</v>
      </c>
    </row>
    <row r="113" ht="14.25" hidden="1" customHeight="1">
      <c r="A113" s="1" t="str">
        <f>MID($C$107,Constanst!X4,1)</f>
        <v>1</v>
      </c>
      <c r="B113" s="1" t="str">
        <f>A112&amp;A113</f>
        <v>01</v>
      </c>
    </row>
    <row r="114" ht="14.25" hidden="1" customHeight="1">
      <c r="A114" s="1" t="str">
        <f>MID($C$107,Constanst!X5,1)</f>
        <v>1</v>
      </c>
      <c r="B114" s="1" t="str">
        <f t="shared" ref="B114:B143" si="28">B113&amp;A114</f>
        <v>011</v>
      </c>
    </row>
    <row r="115" ht="14.25" hidden="1" customHeight="1">
      <c r="A115" s="1" t="str">
        <f>MID($C$107,Constanst!X6,1)</f>
        <v>1</v>
      </c>
      <c r="B115" s="1" t="str">
        <f t="shared" si="28"/>
        <v>0111</v>
      </c>
    </row>
    <row r="116" ht="14.25" hidden="1" customHeight="1">
      <c r="A116" s="1" t="str">
        <f>MID($C$107,Constanst!X7,1)</f>
        <v>0</v>
      </c>
      <c r="B116" s="1" t="str">
        <f t="shared" si="28"/>
        <v>01110</v>
      </c>
    </row>
    <row r="117" ht="14.25" hidden="1" customHeight="1">
      <c r="A117" s="1" t="str">
        <f>MID($C$107,Constanst!X8,1)</f>
        <v>0</v>
      </c>
      <c r="B117" s="1" t="str">
        <f t="shared" si="28"/>
        <v>011100</v>
      </c>
    </row>
    <row r="118" ht="14.25" hidden="1" customHeight="1">
      <c r="A118" s="1" t="str">
        <f>MID($C$107,Constanst!X9,1)</f>
        <v>0</v>
      </c>
      <c r="B118" s="1" t="str">
        <f t="shared" si="28"/>
        <v>0111000</v>
      </c>
    </row>
    <row r="119" ht="14.25" hidden="1" customHeight="1">
      <c r="A119" s="1" t="str">
        <f>MID($C$107,Constanst!X10,1)</f>
        <v>0</v>
      </c>
      <c r="B119" s="1" t="str">
        <f t="shared" si="28"/>
        <v>01110000</v>
      </c>
    </row>
    <row r="120" ht="14.25" hidden="1" customHeight="1">
      <c r="A120" s="1" t="str">
        <f>MID($C$107,Constanst!X11,1)</f>
        <v>0</v>
      </c>
      <c r="B120" s="1" t="str">
        <f t="shared" si="28"/>
        <v>011100000</v>
      </c>
    </row>
    <row r="121" ht="14.25" hidden="1" customHeight="1">
      <c r="A121" s="1" t="str">
        <f>MID($C$107,Constanst!X12,1)</f>
        <v>1</v>
      </c>
      <c r="B121" s="1" t="str">
        <f t="shared" si="28"/>
        <v>0111000001</v>
      </c>
    </row>
    <row r="122" ht="14.25" hidden="1" customHeight="1">
      <c r="A122" s="1" t="str">
        <f>MID($C$107,Constanst!X13,1)</f>
        <v>0</v>
      </c>
      <c r="B122" s="1" t="str">
        <f t="shared" si="28"/>
        <v>01110000010</v>
      </c>
    </row>
    <row r="123" ht="14.25" hidden="1" customHeight="1">
      <c r="A123" s="1" t="str">
        <f>MID($C$107,Constanst!X14,1)</f>
        <v>0</v>
      </c>
      <c r="B123" s="1" t="str">
        <f t="shared" si="28"/>
        <v>011100000100</v>
      </c>
    </row>
    <row r="124" ht="14.25" hidden="1" customHeight="1">
      <c r="A124" s="1" t="str">
        <f>MID($C$107,Constanst!X15,1)</f>
        <v>1</v>
      </c>
      <c r="B124" s="1" t="str">
        <f t="shared" si="28"/>
        <v>0111000001001</v>
      </c>
    </row>
    <row r="125" ht="14.25" hidden="1" customHeight="1">
      <c r="A125" s="1" t="str">
        <f>MID($C$107,Constanst!X16,1)</f>
        <v>1</v>
      </c>
      <c r="B125" s="1" t="str">
        <f t="shared" si="28"/>
        <v>01110000010011</v>
      </c>
    </row>
    <row r="126" ht="14.25" hidden="1" customHeight="1">
      <c r="A126" s="1" t="str">
        <f>MID($C$107,Constanst!X17,1)</f>
        <v>1</v>
      </c>
      <c r="B126" s="1" t="str">
        <f t="shared" si="28"/>
        <v>011100000100111</v>
      </c>
    </row>
    <row r="127" ht="14.25" hidden="1" customHeight="1">
      <c r="A127" s="1" t="str">
        <f>MID($C$107,Constanst!X18,1)</f>
        <v>1</v>
      </c>
      <c r="B127" s="1" t="str">
        <f t="shared" si="28"/>
        <v>0111000001001111</v>
      </c>
    </row>
    <row r="128" ht="14.25" hidden="1" customHeight="1">
      <c r="A128" s="1" t="str">
        <f>MID($C$107,Constanst!X19,1)</f>
        <v>1</v>
      </c>
      <c r="B128" s="1" t="str">
        <f t="shared" si="28"/>
        <v>01110000010011111</v>
      </c>
    </row>
    <row r="129" ht="14.25" hidden="1" customHeight="1">
      <c r="A129" s="1" t="str">
        <f>MID($C$107,Constanst!X20,1)</f>
        <v>0</v>
      </c>
      <c r="B129" s="1" t="str">
        <f t="shared" si="28"/>
        <v>011100000100111110</v>
      </c>
    </row>
    <row r="130" ht="14.25" hidden="1" customHeight="1">
      <c r="A130" s="1" t="str">
        <f>MID($C$107,Constanst!X21,1)</f>
        <v>1</v>
      </c>
      <c r="B130" s="1" t="str">
        <f t="shared" si="28"/>
        <v>0111000001001111101</v>
      </c>
    </row>
    <row r="131" ht="14.25" hidden="1" customHeight="1">
      <c r="A131" s="1" t="str">
        <f>MID($C$107,Constanst!X22,1)</f>
        <v>0</v>
      </c>
      <c r="B131" s="1" t="str">
        <f t="shared" si="28"/>
        <v>01110000010011111010</v>
      </c>
    </row>
    <row r="132" ht="14.25" hidden="1" customHeight="1">
      <c r="A132" s="1" t="str">
        <f>MID($C$107,Constanst!X23,1)</f>
        <v>0</v>
      </c>
      <c r="B132" s="1" t="str">
        <f t="shared" si="28"/>
        <v>011100000100111110100</v>
      </c>
    </row>
    <row r="133" ht="14.25" hidden="1" customHeight="1">
      <c r="A133" s="1" t="str">
        <f>MID($C$107,Constanst!X24,1)</f>
        <v>0</v>
      </c>
      <c r="B133" s="1" t="str">
        <f t="shared" si="28"/>
        <v>0111000001001111101000</v>
      </c>
    </row>
    <row r="134" ht="14.25" hidden="1" customHeight="1">
      <c r="A134" s="1" t="str">
        <f>MID($C$107,Constanst!X25,1)</f>
        <v>1</v>
      </c>
      <c r="B134" s="1" t="str">
        <f t="shared" si="28"/>
        <v>01110000010011111010001</v>
      </c>
    </row>
    <row r="135" ht="14.25" hidden="1" customHeight="1">
      <c r="A135" s="1" t="str">
        <f>MID($C$107,Constanst!X26,1)</f>
        <v>1</v>
      </c>
      <c r="B135" s="1" t="str">
        <f t="shared" si="28"/>
        <v>011100000100111110100011</v>
      </c>
    </row>
    <row r="136" ht="14.25" hidden="1" customHeight="1">
      <c r="A136" s="1" t="str">
        <f>MID($C$107,Constanst!X27,1)</f>
        <v>1</v>
      </c>
      <c r="B136" s="1" t="str">
        <f t="shared" si="28"/>
        <v>0111000001001111101000111</v>
      </c>
    </row>
    <row r="137" ht="14.25" hidden="1" customHeight="1">
      <c r="A137" s="1" t="str">
        <f>MID($C$107,Constanst!X28,1)</f>
        <v>0</v>
      </c>
      <c r="B137" s="1" t="str">
        <f t="shared" si="28"/>
        <v>01110000010011111010001110</v>
      </c>
    </row>
    <row r="138" ht="14.25" hidden="1" customHeight="1">
      <c r="A138" s="1" t="str">
        <f>MID($C$107,Constanst!X29,1)</f>
        <v>1</v>
      </c>
      <c r="B138" s="1" t="str">
        <f t="shared" si="28"/>
        <v>011100000100111110100011101</v>
      </c>
    </row>
    <row r="139" ht="14.25" hidden="1" customHeight="1">
      <c r="A139" s="1" t="str">
        <f>MID($C$107,Constanst!X30,1)</f>
        <v>0</v>
      </c>
      <c r="B139" s="1" t="str">
        <f t="shared" si="28"/>
        <v>0111000001001111101000111010</v>
      </c>
    </row>
    <row r="140" ht="14.25" hidden="1" customHeight="1">
      <c r="A140" s="1" t="str">
        <f>MID($C$107,Constanst!X31,1)</f>
        <v>0</v>
      </c>
      <c r="B140" s="1" t="str">
        <f t="shared" si="28"/>
        <v>01110000010011111010001110100</v>
      </c>
    </row>
    <row r="141" ht="14.25" hidden="1" customHeight="1">
      <c r="A141" s="1" t="str">
        <f>MID($C$107,Constanst!X32,1)</f>
        <v>1</v>
      </c>
      <c r="B141" s="1" t="str">
        <f t="shared" si="28"/>
        <v>011100000100111110100011101001</v>
      </c>
    </row>
    <row r="142" ht="14.25" hidden="1" customHeight="1">
      <c r="A142" s="1" t="str">
        <f>MID($C$107,Constanst!X33,1)</f>
        <v>0</v>
      </c>
      <c r="B142" s="1" t="str">
        <f t="shared" si="28"/>
        <v>0111000001001111101000111010010</v>
      </c>
    </row>
    <row r="143" ht="14.25" customHeight="1">
      <c r="A143" s="1" t="str">
        <f>MID($C$107,Constanst!X34,1)</f>
        <v>1</v>
      </c>
      <c r="B143" s="22" t="str">
        <f t="shared" si="28"/>
        <v>01110000010011111010001110100101</v>
      </c>
    </row>
    <row r="144" ht="14.25" customHeight="1"/>
    <row r="145" ht="14.25" customHeight="1">
      <c r="A145" s="1" t="s">
        <v>92</v>
      </c>
      <c r="B145" s="1" t="str">
        <f>B143</f>
        <v>01110000010011111010001110100101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01110000</v>
      </c>
      <c r="C148" s="20" t="str">
        <f t="shared" ref="C148:C151" si="30">BIN2HEX(B148,2)</f>
        <v>70</v>
      </c>
      <c r="D148" s="20">
        <f t="shared" ref="D148:D151" si="31">HEX2DEC(C148)</f>
        <v>112</v>
      </c>
    </row>
    <row r="149" ht="14.25" customHeight="1">
      <c r="A149" s="20">
        <v>2.0</v>
      </c>
      <c r="B149" s="20" t="str">
        <f t="shared" si="29"/>
        <v>01001111</v>
      </c>
      <c r="C149" s="20" t="str">
        <f t="shared" si="30"/>
        <v>4F</v>
      </c>
      <c r="D149" s="20">
        <f t="shared" si="31"/>
        <v>79</v>
      </c>
    </row>
    <row r="150" ht="14.25" customHeight="1">
      <c r="A150" s="20">
        <v>3.0</v>
      </c>
      <c r="B150" s="20" t="str">
        <f t="shared" si="29"/>
        <v>10100011</v>
      </c>
      <c r="C150" s="20" t="str">
        <f t="shared" si="30"/>
        <v>A3</v>
      </c>
      <c r="D150" s="20">
        <f t="shared" si="31"/>
        <v>163</v>
      </c>
    </row>
    <row r="151" ht="14.25" customHeight="1">
      <c r="A151" s="20">
        <v>4.0</v>
      </c>
      <c r="B151" s="20" t="str">
        <f t="shared" si="29"/>
        <v>10100101</v>
      </c>
      <c r="C151" s="20" t="str">
        <f t="shared" si="30"/>
        <v>A5</v>
      </c>
      <c r="D151" s="20">
        <f t="shared" si="31"/>
        <v>165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K13</v>
      </c>
      <c r="D2" s="1" t="str">
        <f>Input!I13</f>
        <v>100101011100010111010001010010111000000011111101</v>
      </c>
    </row>
    <row r="3" ht="14.25" customHeight="1">
      <c r="A3" s="1" t="s">
        <v>92</v>
      </c>
      <c r="B3" s="1" t="str">
        <f t="array" ref="B3">INDIRECT("'f(" &amp; L5 &amp; "," &amp; L7 &amp; ")'!B145")</f>
        <v>01110000010011111010001110100101</v>
      </c>
    </row>
    <row r="4" ht="14.25" customHeight="1">
      <c r="A4" s="1" t="str">
        <f t="shared" ref="A4:A5" si="1">L4</f>
        <v>L11</v>
      </c>
      <c r="B4" s="1" t="str">
        <f t="array" ref="B4">INDIRECT("'f(" &amp; L5 &amp; "," &amp; L7 &amp; ")'!C22")</f>
        <v>10001010011110011111001001101010</v>
      </c>
      <c r="L4" s="1" t="s">
        <v>120</v>
      </c>
      <c r="M4" s="1" t="s">
        <v>122</v>
      </c>
    </row>
    <row r="5" ht="14.25" customHeight="1">
      <c r="A5" s="1" t="str">
        <f t="shared" si="1"/>
        <v>R11</v>
      </c>
      <c r="B5" s="1" t="str">
        <f t="array" ref="B5">INDIRECT("'f(" &amp; L5 &amp; "," &amp; L7 &amp; ")'!C14")</f>
        <v>01000100100001111110111010100000</v>
      </c>
      <c r="L5" s="1" t="s">
        <v>121</v>
      </c>
      <c r="M5" s="1" t="s">
        <v>123</v>
      </c>
    </row>
    <row r="6" ht="14.25" customHeight="1">
      <c r="L6" s="1" t="s">
        <v>18</v>
      </c>
    </row>
    <row r="7" ht="14.25" customHeight="1">
      <c r="A7" s="11" t="s">
        <v>98</v>
      </c>
      <c r="B7" s="5"/>
      <c r="C7" s="5"/>
      <c r="D7" s="6"/>
      <c r="G7" s="11" t="str">
        <f>L4</f>
        <v>L11</v>
      </c>
      <c r="H7" s="5"/>
      <c r="I7" s="5"/>
      <c r="J7" s="6"/>
      <c r="L7" s="1" t="s">
        <v>17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01110000</v>
      </c>
      <c r="C9" s="20" t="str">
        <f t="shared" ref="C9:C12" si="3">BIN2HEX(B9,2)</f>
        <v>70</v>
      </c>
      <c r="D9" s="20">
        <f t="shared" ref="D9:D12" si="4">HEX2DEC(C9)</f>
        <v>112</v>
      </c>
      <c r="G9" s="20">
        <v>1.0</v>
      </c>
      <c r="H9" s="20" t="str">
        <f t="shared" ref="H9:H12" si="5">MID($B$4,(G9-1)*8+1, 8)</f>
        <v>10001010</v>
      </c>
      <c r="I9" s="20" t="str">
        <f t="shared" ref="I9:I12" si="6">BIN2HEX(H9,2)</f>
        <v>8A</v>
      </c>
      <c r="J9" s="20">
        <f t="shared" ref="J9:J12" si="7">HEX2DEC(I9)</f>
        <v>138</v>
      </c>
    </row>
    <row r="10" ht="14.25" customHeight="1">
      <c r="A10" s="20">
        <v>2.0</v>
      </c>
      <c r="B10" s="20" t="str">
        <f t="shared" si="2"/>
        <v>01001111</v>
      </c>
      <c r="C10" s="20" t="str">
        <f t="shared" si="3"/>
        <v>4F</v>
      </c>
      <c r="D10" s="20">
        <f t="shared" si="4"/>
        <v>79</v>
      </c>
      <c r="G10" s="20">
        <v>2.0</v>
      </c>
      <c r="H10" s="20" t="str">
        <f t="shared" si="5"/>
        <v>01111001</v>
      </c>
      <c r="I10" s="20" t="str">
        <f t="shared" si="6"/>
        <v>79</v>
      </c>
      <c r="J10" s="20">
        <f t="shared" si="7"/>
        <v>121</v>
      </c>
    </row>
    <row r="11" ht="14.25" customHeight="1">
      <c r="A11" s="20">
        <v>3.0</v>
      </c>
      <c r="B11" s="20" t="str">
        <f t="shared" si="2"/>
        <v>10100011</v>
      </c>
      <c r="C11" s="20" t="str">
        <f t="shared" si="3"/>
        <v>A3</v>
      </c>
      <c r="D11" s="20">
        <f t="shared" si="4"/>
        <v>163</v>
      </c>
      <c r="G11" s="20">
        <v>3.0</v>
      </c>
      <c r="H11" s="20" t="str">
        <f t="shared" si="5"/>
        <v>11110010</v>
      </c>
      <c r="I11" s="20" t="str">
        <f t="shared" si="6"/>
        <v>F2</v>
      </c>
      <c r="J11" s="20">
        <f t="shared" si="7"/>
        <v>242</v>
      </c>
    </row>
    <row r="12" ht="14.25" customHeight="1">
      <c r="A12" s="20">
        <v>4.0</v>
      </c>
      <c r="B12" s="20" t="str">
        <f t="shared" si="2"/>
        <v>10100101</v>
      </c>
      <c r="C12" s="20" t="str">
        <f t="shared" si="3"/>
        <v>A5</v>
      </c>
      <c r="D12" s="20">
        <f t="shared" si="4"/>
        <v>165</v>
      </c>
      <c r="G12" s="20">
        <v>4.0</v>
      </c>
      <c r="H12" s="20" t="str">
        <f t="shared" si="5"/>
        <v>01101010</v>
      </c>
      <c r="I12" s="20" t="str">
        <f t="shared" si="6"/>
        <v>6A</v>
      </c>
      <c r="J12" s="20">
        <f t="shared" si="7"/>
        <v>106</v>
      </c>
    </row>
    <row r="13" ht="14.25" customHeight="1"/>
    <row r="14" ht="14.25" customHeight="1">
      <c r="A14" s="1" t="str">
        <f>M5&amp;" = F XOR "&amp;L4&amp;" ="</f>
        <v>R12 = F XOR L11 =</v>
      </c>
      <c r="C14" s="23" t="str">
        <f>F17&amp;F18&amp;F19&amp;F20</f>
        <v>11111010001101100101000111001111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250</v>
      </c>
      <c r="E17" s="20" t="str">
        <f t="shared" ref="E17:E20" si="9">DEC2HEX(D17,2)</f>
        <v>FA</v>
      </c>
      <c r="F17" s="20" t="str">
        <f t="shared" ref="F17:F20" si="10">HEX2BIN(E17,8)</f>
        <v>11111010</v>
      </c>
    </row>
    <row r="18" ht="14.25" customHeight="1">
      <c r="C18" s="20">
        <v>2.0</v>
      </c>
      <c r="D18" s="20">
        <f t="shared" si="8"/>
        <v>54</v>
      </c>
      <c r="E18" s="20" t="str">
        <f t="shared" si="9"/>
        <v>36</v>
      </c>
      <c r="F18" s="20" t="str">
        <f t="shared" si="10"/>
        <v>00110110</v>
      </c>
    </row>
    <row r="19" ht="14.25" customHeight="1">
      <c r="C19" s="20">
        <v>3.0</v>
      </c>
      <c r="D19" s="20">
        <f t="shared" si="8"/>
        <v>81</v>
      </c>
      <c r="E19" s="20" t="str">
        <f t="shared" si="9"/>
        <v>51</v>
      </c>
      <c r="F19" s="20" t="str">
        <f t="shared" si="10"/>
        <v>01010001</v>
      </c>
    </row>
    <row r="20" ht="14.25" customHeight="1">
      <c r="C20" s="20">
        <v>4.0</v>
      </c>
      <c r="D20" s="20">
        <f t="shared" si="8"/>
        <v>207</v>
      </c>
      <c r="E20" s="20" t="str">
        <f t="shared" si="9"/>
        <v>CF</v>
      </c>
      <c r="F20" s="20" t="str">
        <f t="shared" si="10"/>
        <v>11001111</v>
      </c>
    </row>
    <row r="21" ht="14.25" customHeight="1"/>
    <row r="22" ht="14.25" customHeight="1">
      <c r="A22" s="1" t="str">
        <f>M4&amp;" = "&amp;L5&amp;" ="</f>
        <v>L12 = R11 =</v>
      </c>
      <c r="C22" s="23" t="str">
        <f>B5</f>
        <v>01000100100001111110111010100000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R12 =&gt; E(R12)</v>
      </c>
      <c r="D24" s="1" t="str">
        <f>B26</f>
        <v>111111110100000110101100001010100011111001011111</v>
      </c>
    </row>
    <row r="25" ht="14.25" customHeight="1">
      <c r="A25" s="1" t="s">
        <v>66</v>
      </c>
    </row>
    <row r="26" ht="14.25" customHeight="1">
      <c r="A26" s="1" t="str">
        <f>MID($C$14,Constanst!K3,1)</f>
        <v>1</v>
      </c>
      <c r="B26" s="1" t="str">
        <f t="shared" ref="B26:B71" si="11">A26&amp;B27</f>
        <v>111111110100000110101100001010100011111001011111</v>
      </c>
    </row>
    <row r="27" ht="14.25" customHeight="1">
      <c r="A27" s="1" t="str">
        <f>MID($C$14,Constanst!K4,1)</f>
        <v>1</v>
      </c>
      <c r="B27" s="1" t="str">
        <f t="shared" si="11"/>
        <v>11111110100000110101100001010100011111001011111</v>
      </c>
    </row>
    <row r="28" ht="14.25" customHeight="1">
      <c r="A28" s="1" t="str">
        <f>MID($C$14,Constanst!K5,1)</f>
        <v>1</v>
      </c>
      <c r="B28" s="1" t="str">
        <f t="shared" si="11"/>
        <v>1111110100000110101100001010100011111001011111</v>
      </c>
    </row>
    <row r="29" ht="14.25" customHeight="1">
      <c r="A29" s="1" t="str">
        <f>MID($C$14,Constanst!K6,1)</f>
        <v>1</v>
      </c>
      <c r="B29" s="1" t="str">
        <f t="shared" si="11"/>
        <v>111110100000110101100001010100011111001011111</v>
      </c>
    </row>
    <row r="30" ht="14.25" customHeight="1">
      <c r="A30" s="1" t="str">
        <f>MID($C$14,Constanst!K7,1)</f>
        <v>1</v>
      </c>
      <c r="B30" s="1" t="str">
        <f t="shared" si="11"/>
        <v>11110100000110101100001010100011111001011111</v>
      </c>
    </row>
    <row r="31" ht="14.25" customHeight="1">
      <c r="A31" s="1" t="str">
        <f>MID($C$14,Constanst!K8,1)</f>
        <v>1</v>
      </c>
      <c r="B31" s="1" t="str">
        <f t="shared" si="11"/>
        <v>1110100000110101100001010100011111001011111</v>
      </c>
    </row>
    <row r="32" ht="14.25" customHeight="1">
      <c r="A32" s="1" t="str">
        <f>MID($C$14,Constanst!K9,1)</f>
        <v>1</v>
      </c>
      <c r="B32" s="1" t="str">
        <f t="shared" si="11"/>
        <v>110100000110101100001010100011111001011111</v>
      </c>
    </row>
    <row r="33" ht="14.25" customHeight="1">
      <c r="A33" s="1" t="str">
        <f>MID($C$14,Constanst!K10,1)</f>
        <v>1</v>
      </c>
      <c r="B33" s="1" t="str">
        <f t="shared" si="11"/>
        <v>10100000110101100001010100011111001011111</v>
      </c>
    </row>
    <row r="34" ht="14.25" customHeight="1">
      <c r="A34" s="1" t="str">
        <f>MID($C$14,Constanst!K11,1)</f>
        <v>0</v>
      </c>
      <c r="B34" s="1" t="str">
        <f t="shared" si="11"/>
        <v>0100000110101100001010100011111001011111</v>
      </c>
    </row>
    <row r="35" ht="14.25" customHeight="1">
      <c r="A35" s="1" t="str">
        <f>MID($C$14,Constanst!K12,1)</f>
        <v>1</v>
      </c>
      <c r="B35" s="1" t="str">
        <f t="shared" si="11"/>
        <v>100000110101100001010100011111001011111</v>
      </c>
    </row>
    <row r="36" ht="14.25" customHeight="1">
      <c r="A36" s="1" t="str">
        <f>MID($C$14,Constanst!K13,1)</f>
        <v>0</v>
      </c>
      <c r="B36" s="1" t="str">
        <f t="shared" si="11"/>
        <v>00000110101100001010100011111001011111</v>
      </c>
    </row>
    <row r="37" ht="14.25" customHeight="1">
      <c r="A37" s="1" t="str">
        <f>MID($C$14,Constanst!K14,1)</f>
        <v>0</v>
      </c>
      <c r="B37" s="1" t="str">
        <f t="shared" si="11"/>
        <v>0000110101100001010100011111001011111</v>
      </c>
    </row>
    <row r="38" ht="14.25" customHeight="1">
      <c r="A38" s="1" t="str">
        <f>MID($C$14,Constanst!K15,1)</f>
        <v>0</v>
      </c>
      <c r="B38" s="1" t="str">
        <f t="shared" si="11"/>
        <v>000110101100001010100011111001011111</v>
      </c>
    </row>
    <row r="39" ht="14.25" customHeight="1">
      <c r="A39" s="1" t="str">
        <f>MID($C$14,Constanst!K16,1)</f>
        <v>0</v>
      </c>
      <c r="B39" s="1" t="str">
        <f t="shared" si="11"/>
        <v>00110101100001010100011111001011111</v>
      </c>
    </row>
    <row r="40" ht="14.25" customHeight="1">
      <c r="A40" s="1" t="str">
        <f>MID($C$14,Constanst!K17,1)</f>
        <v>0</v>
      </c>
      <c r="B40" s="1" t="str">
        <f t="shared" si="11"/>
        <v>0110101100001010100011111001011111</v>
      </c>
    </row>
    <row r="41" ht="14.25" customHeight="1">
      <c r="A41" s="1" t="str">
        <f>MID($C$14,Constanst!K18,1)</f>
        <v>1</v>
      </c>
      <c r="B41" s="1" t="str">
        <f t="shared" si="11"/>
        <v>110101100001010100011111001011111</v>
      </c>
    </row>
    <row r="42" ht="14.25" customHeight="1">
      <c r="A42" s="1" t="str">
        <f>MID($C$14,Constanst!K19,1)</f>
        <v>1</v>
      </c>
      <c r="B42" s="1" t="str">
        <f t="shared" si="11"/>
        <v>10101100001010100011111001011111</v>
      </c>
    </row>
    <row r="43" ht="14.25" customHeight="1">
      <c r="A43" s="1" t="str">
        <f>MID($C$14,Constanst!K20,1)</f>
        <v>0</v>
      </c>
      <c r="B43" s="1" t="str">
        <f t="shared" si="11"/>
        <v>0101100001010100011111001011111</v>
      </c>
    </row>
    <row r="44" ht="14.25" customHeight="1">
      <c r="A44" s="1" t="str">
        <f>MID($C$14,Constanst!K21,1)</f>
        <v>1</v>
      </c>
      <c r="B44" s="1" t="str">
        <f t="shared" si="11"/>
        <v>101100001010100011111001011111</v>
      </c>
    </row>
    <row r="45" ht="14.25" customHeight="1">
      <c r="A45" s="1" t="str">
        <f>MID($C$14,Constanst!K22,1)</f>
        <v>0</v>
      </c>
      <c r="B45" s="1" t="str">
        <f t="shared" si="11"/>
        <v>01100001010100011111001011111</v>
      </c>
    </row>
    <row r="46" ht="14.25" customHeight="1">
      <c r="A46" s="1" t="str">
        <f>MID($C$14,Constanst!K23,1)</f>
        <v>1</v>
      </c>
      <c r="B46" s="1" t="str">
        <f t="shared" si="11"/>
        <v>1100001010100011111001011111</v>
      </c>
    </row>
    <row r="47" ht="14.25" customHeight="1">
      <c r="A47" s="1" t="str">
        <f>MID($C$14,Constanst!K24,1)</f>
        <v>1</v>
      </c>
      <c r="B47" s="1" t="str">
        <f t="shared" si="11"/>
        <v>100001010100011111001011111</v>
      </c>
    </row>
    <row r="48" ht="14.25" customHeight="1">
      <c r="A48" s="1" t="str">
        <f>MID($C$14,Constanst!K25,1)</f>
        <v>0</v>
      </c>
      <c r="B48" s="1" t="str">
        <f t="shared" si="11"/>
        <v>00001010100011111001011111</v>
      </c>
    </row>
    <row r="49" ht="14.25" customHeight="1">
      <c r="A49" s="1" t="str">
        <f>MID($C$14,Constanst!K26,1)</f>
        <v>0</v>
      </c>
      <c r="B49" s="1" t="str">
        <f t="shared" si="11"/>
        <v>0001010100011111001011111</v>
      </c>
    </row>
    <row r="50" ht="14.25" customHeight="1">
      <c r="A50" s="1" t="str">
        <f>MID($C$14,Constanst!K27,1)</f>
        <v>0</v>
      </c>
      <c r="B50" s="1" t="str">
        <f t="shared" si="11"/>
        <v>001010100011111001011111</v>
      </c>
    </row>
    <row r="51" ht="14.25" customHeight="1">
      <c r="A51" s="1" t="str">
        <f>MID($C$14,Constanst!K28,1)</f>
        <v>0</v>
      </c>
      <c r="B51" s="1" t="str">
        <f t="shared" si="11"/>
        <v>01010100011111001011111</v>
      </c>
    </row>
    <row r="52" ht="14.25" customHeight="1">
      <c r="A52" s="1" t="str">
        <f>MID($C$14,Constanst!K29,1)</f>
        <v>1</v>
      </c>
      <c r="B52" s="1" t="str">
        <f t="shared" si="11"/>
        <v>1010100011111001011111</v>
      </c>
    </row>
    <row r="53" ht="14.25" customHeight="1">
      <c r="A53" s="1" t="str">
        <f>MID($C$14,Constanst!K30,1)</f>
        <v>0</v>
      </c>
      <c r="B53" s="1" t="str">
        <f t="shared" si="11"/>
        <v>010100011111001011111</v>
      </c>
    </row>
    <row r="54" ht="14.25" customHeight="1">
      <c r="A54" s="1" t="str">
        <f>MID($C$14,Constanst!K31,1)</f>
        <v>1</v>
      </c>
      <c r="B54" s="1" t="str">
        <f t="shared" si="11"/>
        <v>10100011111001011111</v>
      </c>
    </row>
    <row r="55" ht="14.25" customHeight="1">
      <c r="A55" s="1" t="str">
        <f>MID($C$14,Constanst!K32,1)</f>
        <v>0</v>
      </c>
      <c r="B55" s="1" t="str">
        <f t="shared" si="11"/>
        <v>0100011111001011111</v>
      </c>
    </row>
    <row r="56" ht="14.25" customHeight="1">
      <c r="A56" s="1" t="str">
        <f>MID($C$14,Constanst!K33,1)</f>
        <v>1</v>
      </c>
      <c r="B56" s="1" t="str">
        <f t="shared" si="11"/>
        <v>100011111001011111</v>
      </c>
    </row>
    <row r="57" ht="14.25" customHeight="1">
      <c r="A57" s="1" t="str">
        <f>MID($C$14,Constanst!K34,1)</f>
        <v>0</v>
      </c>
      <c r="B57" s="1" t="str">
        <f t="shared" si="11"/>
        <v>00011111001011111</v>
      </c>
    </row>
    <row r="58" ht="14.25" customHeight="1">
      <c r="A58" s="1" t="str">
        <f>MID($C$14,Constanst!K35,1)</f>
        <v>0</v>
      </c>
      <c r="B58" s="1" t="str">
        <f t="shared" si="11"/>
        <v>0011111001011111</v>
      </c>
    </row>
    <row r="59" ht="14.25" customHeight="1">
      <c r="A59" s="1" t="str">
        <f>MID($C$14,Constanst!K36,1)</f>
        <v>0</v>
      </c>
      <c r="B59" s="1" t="str">
        <f t="shared" si="11"/>
        <v>011111001011111</v>
      </c>
    </row>
    <row r="60" ht="14.25" customHeight="1">
      <c r="A60" s="1" t="str">
        <f>MID($C$14,Constanst!K37,1)</f>
        <v>1</v>
      </c>
      <c r="B60" s="1" t="str">
        <f t="shared" si="11"/>
        <v>11111001011111</v>
      </c>
    </row>
    <row r="61" ht="14.25" customHeight="1">
      <c r="A61" s="1" t="str">
        <f>MID($C$14,Constanst!K38,1)</f>
        <v>1</v>
      </c>
      <c r="B61" s="1" t="str">
        <f t="shared" si="11"/>
        <v>1111001011111</v>
      </c>
    </row>
    <row r="62" ht="14.25" customHeight="1">
      <c r="A62" s="1" t="str">
        <f>MID($C$14,Constanst!K39,1)</f>
        <v>1</v>
      </c>
      <c r="B62" s="1" t="str">
        <f t="shared" si="11"/>
        <v>111001011111</v>
      </c>
    </row>
    <row r="63" ht="14.25" customHeight="1">
      <c r="A63" s="1" t="str">
        <f>MID($C$14,Constanst!K40,1)</f>
        <v>1</v>
      </c>
      <c r="B63" s="1" t="str">
        <f t="shared" si="11"/>
        <v>11001011111</v>
      </c>
    </row>
    <row r="64" ht="14.25" customHeight="1">
      <c r="A64" s="1" t="str">
        <f>MID($C$14,Constanst!K41,1)</f>
        <v>1</v>
      </c>
      <c r="B64" s="1" t="str">
        <f t="shared" si="11"/>
        <v>1001011111</v>
      </c>
    </row>
    <row r="65" ht="14.25" customHeight="1">
      <c r="A65" s="1" t="str">
        <f>MID($C$14,Constanst!K42,1)</f>
        <v>0</v>
      </c>
      <c r="B65" s="1" t="str">
        <f t="shared" si="11"/>
        <v>001011111</v>
      </c>
    </row>
    <row r="66" ht="14.25" customHeight="1">
      <c r="A66" s="1" t="str">
        <f>MID($C$14,Constanst!K43,1)</f>
        <v>0</v>
      </c>
      <c r="B66" s="1" t="str">
        <f t="shared" si="11"/>
        <v>01011111</v>
      </c>
    </row>
    <row r="67" ht="14.25" customHeight="1">
      <c r="A67" s="1" t="str">
        <f>MID($C$14,Constanst!K44,1)</f>
        <v>1</v>
      </c>
      <c r="B67" s="1" t="str">
        <f t="shared" si="11"/>
        <v>1011111</v>
      </c>
    </row>
    <row r="68" ht="14.25" customHeight="1">
      <c r="A68" s="1" t="str">
        <f>MID($C$14,Constanst!K45,1)</f>
        <v>0</v>
      </c>
      <c r="B68" s="1" t="str">
        <f t="shared" si="11"/>
        <v>011111</v>
      </c>
    </row>
    <row r="69" ht="14.25" customHeight="1">
      <c r="A69" s="1" t="str">
        <f>MID($C$14,Constanst!K46,1)</f>
        <v>1</v>
      </c>
      <c r="B69" s="1" t="str">
        <f t="shared" si="11"/>
        <v>11111</v>
      </c>
    </row>
    <row r="70" ht="14.25" customHeight="1">
      <c r="A70" s="1" t="str">
        <f>MID($C$14,Constanst!K47,1)</f>
        <v>1</v>
      </c>
      <c r="B70" s="1" t="str">
        <f t="shared" si="11"/>
        <v>1111</v>
      </c>
    </row>
    <row r="71" ht="14.25" customHeight="1">
      <c r="A71" s="1" t="str">
        <f>MID($C$14,Constanst!K48,1)</f>
        <v>1</v>
      </c>
      <c r="B71" s="1" t="str">
        <f t="shared" si="11"/>
        <v>111</v>
      </c>
    </row>
    <row r="72" ht="14.25" customHeight="1">
      <c r="A72" s="1" t="str">
        <f>MID($C$14,Constanst!K49,1)</f>
        <v>1</v>
      </c>
      <c r="B72" s="1" t="str">
        <f>A72&amp;A73</f>
        <v>11</v>
      </c>
    </row>
    <row r="73" ht="14.25" customHeight="1">
      <c r="A73" s="1" t="str">
        <f>MID($C$14,Constanst!K50,1)</f>
        <v>1</v>
      </c>
    </row>
    <row r="74" ht="14.25" customHeight="1"/>
    <row r="75" ht="14.25" customHeight="1">
      <c r="A75" s="1" t="str">
        <f>"Thực hiện phép XOR A = E("&amp;M5&amp;") XOR "&amp;L6</f>
        <v>Thực hiện phép XOR A = E(R12) XOR K13</v>
      </c>
    </row>
    <row r="76" ht="14.25" customHeight="1">
      <c r="A76" s="11" t="str">
        <f>"Khóa " &amp; L6</f>
        <v>Khóa K13</v>
      </c>
      <c r="B76" s="5"/>
      <c r="C76" s="5"/>
      <c r="D76" s="6"/>
      <c r="G76" s="11" t="str">
        <f>"E("&amp;M5&amp;")"</f>
        <v>E(R12)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10010101</v>
      </c>
      <c r="C78" s="20" t="str">
        <f t="shared" ref="C78:C83" si="13">BIN2HEX(B78,2)</f>
        <v>95</v>
      </c>
      <c r="D78" s="20">
        <f t="shared" ref="D78:D83" si="14">BIN2DEC(B78)</f>
        <v>149</v>
      </c>
      <c r="G78" s="20">
        <v>1.0</v>
      </c>
      <c r="H78" s="20" t="str">
        <f t="shared" ref="H78:H83" si="15">MID($D$24,(G78-1)*8+1, 8)</f>
        <v>11111111</v>
      </c>
      <c r="I78" s="20" t="str">
        <f t="shared" ref="I78:I83" si="16">BIN2HEX(H78,2)</f>
        <v>FF</v>
      </c>
      <c r="J78" s="20">
        <f t="shared" ref="J78:J83" si="17">BIN2DEC(H78)</f>
        <v>255</v>
      </c>
    </row>
    <row r="79" ht="14.25" customHeight="1">
      <c r="A79" s="20">
        <v>2.0</v>
      </c>
      <c r="B79" s="20" t="str">
        <f t="shared" si="12"/>
        <v>11000101</v>
      </c>
      <c r="C79" s="20" t="str">
        <f t="shared" si="13"/>
        <v>C5</v>
      </c>
      <c r="D79" s="20">
        <f t="shared" si="14"/>
        <v>197</v>
      </c>
      <c r="G79" s="20">
        <v>2.0</v>
      </c>
      <c r="H79" s="20" t="str">
        <f t="shared" si="15"/>
        <v>01000001</v>
      </c>
      <c r="I79" s="20" t="str">
        <f t="shared" si="16"/>
        <v>41</v>
      </c>
      <c r="J79" s="20">
        <f t="shared" si="17"/>
        <v>65</v>
      </c>
    </row>
    <row r="80" ht="14.25" customHeight="1">
      <c r="A80" s="20">
        <v>3.0</v>
      </c>
      <c r="B80" s="20" t="str">
        <f t="shared" si="12"/>
        <v>11010001</v>
      </c>
      <c r="C80" s="20" t="str">
        <f t="shared" si="13"/>
        <v>D1</v>
      </c>
      <c r="D80" s="20">
        <f t="shared" si="14"/>
        <v>209</v>
      </c>
      <c r="G80" s="20">
        <v>3.0</v>
      </c>
      <c r="H80" s="20" t="str">
        <f t="shared" si="15"/>
        <v>10101100</v>
      </c>
      <c r="I80" s="20" t="str">
        <f t="shared" si="16"/>
        <v>AC</v>
      </c>
      <c r="J80" s="20">
        <f t="shared" si="17"/>
        <v>172</v>
      </c>
    </row>
    <row r="81" ht="14.25" customHeight="1">
      <c r="A81" s="20">
        <v>4.0</v>
      </c>
      <c r="B81" s="20" t="str">
        <f t="shared" si="12"/>
        <v>01001011</v>
      </c>
      <c r="C81" s="20" t="str">
        <f t="shared" si="13"/>
        <v>4B</v>
      </c>
      <c r="D81" s="20">
        <f t="shared" si="14"/>
        <v>75</v>
      </c>
      <c r="G81" s="20">
        <v>4.0</v>
      </c>
      <c r="H81" s="20" t="str">
        <f t="shared" si="15"/>
        <v>00101010</v>
      </c>
      <c r="I81" s="20" t="str">
        <f t="shared" si="16"/>
        <v>2A</v>
      </c>
      <c r="J81" s="20">
        <f t="shared" si="17"/>
        <v>42</v>
      </c>
    </row>
    <row r="82" ht="14.25" customHeight="1">
      <c r="A82" s="20">
        <v>5.0</v>
      </c>
      <c r="B82" s="20" t="str">
        <f t="shared" si="12"/>
        <v>10000000</v>
      </c>
      <c r="C82" s="20" t="str">
        <f t="shared" si="13"/>
        <v>80</v>
      </c>
      <c r="D82" s="20">
        <f t="shared" si="14"/>
        <v>128</v>
      </c>
      <c r="G82" s="20">
        <v>5.0</v>
      </c>
      <c r="H82" s="20" t="str">
        <f t="shared" si="15"/>
        <v>00111110</v>
      </c>
      <c r="I82" s="20" t="str">
        <f t="shared" si="16"/>
        <v>3E</v>
      </c>
      <c r="J82" s="20">
        <f t="shared" si="17"/>
        <v>62</v>
      </c>
    </row>
    <row r="83" ht="14.25" customHeight="1">
      <c r="A83" s="20">
        <v>6.0</v>
      </c>
      <c r="B83" s="20" t="str">
        <f t="shared" si="12"/>
        <v>11111101</v>
      </c>
      <c r="C83" s="20" t="str">
        <f t="shared" si="13"/>
        <v>FD</v>
      </c>
      <c r="D83" s="20">
        <f t="shared" si="14"/>
        <v>253</v>
      </c>
      <c r="G83" s="20">
        <v>6.0</v>
      </c>
      <c r="H83" s="20" t="str">
        <f t="shared" si="15"/>
        <v>01011111</v>
      </c>
      <c r="I83" s="20" t="str">
        <f t="shared" si="16"/>
        <v>5F</v>
      </c>
      <c r="J83" s="20">
        <f t="shared" si="17"/>
        <v>95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XOR(ER12, K13)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106</v>
      </c>
      <c r="C86" s="26" t="str">
        <f t="shared" ref="C86:C91" si="19">DEC2BIN(B86,8)</f>
        <v>01101010</v>
      </c>
      <c r="D86" s="26" t="str">
        <f t="shared" ref="D86:D91" si="20">BIN2HEX(C86,2)</f>
        <v>6A</v>
      </c>
    </row>
    <row r="87" ht="14.25" customHeight="1">
      <c r="A87" s="26">
        <v>2.0</v>
      </c>
      <c r="B87" s="26">
        <f t="shared" si="18"/>
        <v>132</v>
      </c>
      <c r="C87" s="26" t="str">
        <f t="shared" si="19"/>
        <v>10000100</v>
      </c>
      <c r="D87" s="26" t="str">
        <f t="shared" si="20"/>
        <v>84</v>
      </c>
    </row>
    <row r="88" ht="14.25" customHeight="1">
      <c r="A88" s="26">
        <v>3.0</v>
      </c>
      <c r="B88" s="26">
        <f t="shared" si="18"/>
        <v>125</v>
      </c>
      <c r="C88" s="26" t="str">
        <f t="shared" si="19"/>
        <v>01111101</v>
      </c>
      <c r="D88" s="26" t="str">
        <f t="shared" si="20"/>
        <v>7D</v>
      </c>
    </row>
    <row r="89" ht="14.25" customHeight="1">
      <c r="A89" s="26">
        <v>4.0</v>
      </c>
      <c r="B89" s="26">
        <f t="shared" si="18"/>
        <v>97</v>
      </c>
      <c r="C89" s="26" t="str">
        <f t="shared" si="19"/>
        <v>01100001</v>
      </c>
      <c r="D89" s="26" t="str">
        <f t="shared" si="20"/>
        <v>61</v>
      </c>
    </row>
    <row r="90" ht="14.25" customHeight="1">
      <c r="A90" s="26">
        <v>5.0</v>
      </c>
      <c r="B90" s="26">
        <f t="shared" si="18"/>
        <v>190</v>
      </c>
      <c r="C90" s="26" t="str">
        <f t="shared" si="19"/>
        <v>10111110</v>
      </c>
      <c r="D90" s="26" t="str">
        <f t="shared" si="20"/>
        <v>BE</v>
      </c>
    </row>
    <row r="91" ht="14.25" customHeight="1">
      <c r="A91" s="26">
        <v>6.0</v>
      </c>
      <c r="B91" s="26">
        <f t="shared" si="18"/>
        <v>162</v>
      </c>
      <c r="C91" s="26" t="str">
        <f t="shared" si="19"/>
        <v>10100010</v>
      </c>
      <c r="D91" s="26" t="str">
        <f t="shared" si="20"/>
        <v>A2</v>
      </c>
    </row>
    <row r="92" ht="14.25" customHeight="1"/>
    <row r="93" ht="14.25" customHeight="1">
      <c r="B93" s="1" t="str">
        <f>"A = E"&amp;M5&amp;" XOR "&amp;L6&amp;" ="</f>
        <v>A = ER12 XOR K13 =</v>
      </c>
      <c r="D93" s="22" t="str">
        <f>C86&amp;C87&amp;C88&amp;C89&amp;C90&amp;C91</f>
        <v>011010101000010001111101011000011011111010100010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011010</v>
      </c>
      <c r="C98" s="3" t="str">
        <f t="shared" ref="C98:C105" si="22">LEFT(B98,1)&amp;(RIGHT(B98,1))</f>
        <v>00</v>
      </c>
      <c r="D98" s="3" t="str">
        <f t="shared" ref="D98:D105" si="23">MID(B98,2,4)</f>
        <v>1101</v>
      </c>
      <c r="E98" s="3" t="str">
        <f t="shared" ref="E98:E105" si="24">C98&amp;D98</f>
        <v>001101</v>
      </c>
      <c r="F98" s="18">
        <f t="shared" ref="F98:F105" si="25">BIN2DEC(E98)</f>
        <v>13</v>
      </c>
      <c r="G98" s="3">
        <f>VLOOKUP(F98,Constanst!$M$3:$U$66,2,TRUE)</f>
        <v>9</v>
      </c>
      <c r="H98" s="3" t="str">
        <f t="shared" ref="H98:H105" si="26">DEC2BIN(G98,4)</f>
        <v>1001</v>
      </c>
      <c r="I98" s="3" t="str">
        <f>H98</f>
        <v>1001</v>
      </c>
    </row>
    <row r="99" ht="14.25" customHeight="1">
      <c r="A99" s="3">
        <v>2.0</v>
      </c>
      <c r="B99" s="3" t="str">
        <f t="shared" si="21"/>
        <v>101000</v>
      </c>
      <c r="C99" s="3" t="str">
        <f t="shared" si="22"/>
        <v>10</v>
      </c>
      <c r="D99" s="3" t="str">
        <f t="shared" si="23"/>
        <v>0100</v>
      </c>
      <c r="E99" s="3" t="str">
        <f t="shared" si="24"/>
        <v>100100</v>
      </c>
      <c r="F99" s="18">
        <f t="shared" si="25"/>
        <v>36</v>
      </c>
      <c r="G99" s="3">
        <f>VLOOKUP(F99,Constanst!$M$3:$U$66,3,TRUE)</f>
        <v>10</v>
      </c>
      <c r="H99" s="3" t="str">
        <f t="shared" si="26"/>
        <v>1010</v>
      </c>
      <c r="I99" s="3" t="str">
        <f t="shared" ref="I99:I105" si="27">I98&amp;H99</f>
        <v>10011010</v>
      </c>
    </row>
    <row r="100" ht="14.25" customHeight="1">
      <c r="A100" s="3">
        <v>3.0</v>
      </c>
      <c r="B100" s="3" t="str">
        <f t="shared" si="21"/>
        <v>010001</v>
      </c>
      <c r="C100" s="3" t="str">
        <f t="shared" si="22"/>
        <v>01</v>
      </c>
      <c r="D100" s="3" t="str">
        <f t="shared" si="23"/>
        <v>1000</v>
      </c>
      <c r="E100" s="3" t="str">
        <f t="shared" si="24"/>
        <v>011000</v>
      </c>
      <c r="F100" s="18">
        <f t="shared" si="25"/>
        <v>24</v>
      </c>
      <c r="G100" s="3">
        <f>VLOOKUP(F100,Constanst!$M$3:$U$66,4,TRUE)</f>
        <v>2</v>
      </c>
      <c r="H100" s="3" t="str">
        <f t="shared" si="26"/>
        <v>0010</v>
      </c>
      <c r="I100" s="3" t="str">
        <f t="shared" si="27"/>
        <v>100110100010</v>
      </c>
    </row>
    <row r="101" ht="14.25" customHeight="1">
      <c r="A101" s="3">
        <v>4.0</v>
      </c>
      <c r="B101" s="3" t="str">
        <f t="shared" si="21"/>
        <v>111101</v>
      </c>
      <c r="C101" s="3" t="str">
        <f t="shared" si="22"/>
        <v>11</v>
      </c>
      <c r="D101" s="3" t="str">
        <f t="shared" si="23"/>
        <v>1110</v>
      </c>
      <c r="E101" s="3" t="str">
        <f t="shared" si="24"/>
        <v>111110</v>
      </c>
      <c r="F101" s="18">
        <f t="shared" si="25"/>
        <v>62</v>
      </c>
      <c r="G101" s="3">
        <f>VLOOKUP(F101,Constanst!$M$3:$U$66,5,TRUE)</f>
        <v>2</v>
      </c>
      <c r="H101" s="3" t="str">
        <f t="shared" si="26"/>
        <v>0010</v>
      </c>
      <c r="I101" s="3" t="str">
        <f t="shared" si="27"/>
        <v>1001101000100010</v>
      </c>
    </row>
    <row r="102" ht="14.25" customHeight="1">
      <c r="A102" s="3">
        <v>5.0</v>
      </c>
      <c r="B102" s="3" t="str">
        <f t="shared" si="21"/>
        <v>011000</v>
      </c>
      <c r="C102" s="3" t="str">
        <f t="shared" si="22"/>
        <v>00</v>
      </c>
      <c r="D102" s="3" t="str">
        <f t="shared" si="23"/>
        <v>1100</v>
      </c>
      <c r="E102" s="3" t="str">
        <f t="shared" si="24"/>
        <v>001100</v>
      </c>
      <c r="F102" s="18">
        <f t="shared" si="25"/>
        <v>12</v>
      </c>
      <c r="G102" s="3">
        <f>VLOOKUP(F102,Constanst!$M$3:$U$66,6,TRUE)</f>
        <v>13</v>
      </c>
      <c r="H102" s="3" t="str">
        <f t="shared" si="26"/>
        <v>1101</v>
      </c>
      <c r="I102" s="3" t="str">
        <f t="shared" si="27"/>
        <v>10011010001000101101</v>
      </c>
    </row>
    <row r="103" ht="14.25" customHeight="1">
      <c r="A103" s="3">
        <v>6.0</v>
      </c>
      <c r="B103" s="3" t="str">
        <f t="shared" si="21"/>
        <v>011011</v>
      </c>
      <c r="C103" s="3" t="str">
        <f t="shared" si="22"/>
        <v>01</v>
      </c>
      <c r="D103" s="3" t="str">
        <f t="shared" si="23"/>
        <v>1101</v>
      </c>
      <c r="E103" s="3" t="str">
        <f t="shared" si="24"/>
        <v>011101</v>
      </c>
      <c r="F103" s="18">
        <f t="shared" si="25"/>
        <v>29</v>
      </c>
      <c r="G103" s="3">
        <f>VLOOKUP(F103,Constanst!$M$3:$U$66,7,TRUE)</f>
        <v>11</v>
      </c>
      <c r="H103" s="3" t="str">
        <f t="shared" si="26"/>
        <v>1011</v>
      </c>
      <c r="I103" s="3" t="str">
        <f t="shared" si="27"/>
        <v>100110100010001011011011</v>
      </c>
    </row>
    <row r="104" ht="14.25" customHeight="1">
      <c r="A104" s="3">
        <v>7.0</v>
      </c>
      <c r="B104" s="3" t="str">
        <f t="shared" si="21"/>
        <v>111010</v>
      </c>
      <c r="C104" s="3" t="str">
        <f t="shared" si="22"/>
        <v>10</v>
      </c>
      <c r="D104" s="3" t="str">
        <f t="shared" si="23"/>
        <v>1101</v>
      </c>
      <c r="E104" s="3" t="str">
        <f t="shared" si="24"/>
        <v>101101</v>
      </c>
      <c r="F104" s="18">
        <f t="shared" si="25"/>
        <v>45</v>
      </c>
      <c r="G104" s="3">
        <f>VLOOKUP(F104,Constanst!$M$3:$U$66,8,TRUE)</f>
        <v>5</v>
      </c>
      <c r="H104" s="3" t="str">
        <f t="shared" si="26"/>
        <v>0101</v>
      </c>
      <c r="I104" s="3" t="str">
        <f t="shared" si="27"/>
        <v>1001101000100010110110110101</v>
      </c>
    </row>
    <row r="105" ht="14.25" customHeight="1">
      <c r="A105" s="3">
        <v>8.0</v>
      </c>
      <c r="B105" s="3" t="str">
        <f t="shared" si="21"/>
        <v>100010</v>
      </c>
      <c r="C105" s="3" t="str">
        <f t="shared" si="22"/>
        <v>10</v>
      </c>
      <c r="D105" s="3" t="str">
        <f t="shared" si="23"/>
        <v>0001</v>
      </c>
      <c r="E105" s="3" t="str">
        <f t="shared" si="24"/>
        <v>100001</v>
      </c>
      <c r="F105" s="18">
        <f t="shared" si="25"/>
        <v>33</v>
      </c>
      <c r="G105" s="3">
        <f>VLOOKUP(F105,Constanst!$M$3:$U$66,9,TRUE)</f>
        <v>11</v>
      </c>
      <c r="H105" s="3" t="str">
        <f t="shared" si="26"/>
        <v>1011</v>
      </c>
      <c r="I105" s="3" t="str">
        <f t="shared" si="27"/>
        <v>10011010001000101101101101011011</v>
      </c>
    </row>
    <row r="106" ht="14.25" customHeight="1"/>
    <row r="107" ht="14.25" customHeight="1">
      <c r="B107" s="1" t="s">
        <v>90</v>
      </c>
      <c r="C107" s="1" t="str">
        <f>I105</f>
        <v>10011010001000101101101101011011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0</v>
      </c>
    </row>
    <row r="113" ht="14.25" hidden="1" customHeight="1">
      <c r="A113" s="1" t="str">
        <f>MID($C$107,Constanst!X4,1)</f>
        <v>1</v>
      </c>
      <c r="B113" s="1" t="str">
        <f>A112&amp;A113</f>
        <v>01</v>
      </c>
    </row>
    <row r="114" ht="14.25" hidden="1" customHeight="1">
      <c r="A114" s="1" t="str">
        <f>MID($C$107,Constanst!X5,1)</f>
        <v>1</v>
      </c>
      <c r="B114" s="1" t="str">
        <f t="shared" ref="B114:B143" si="28">B113&amp;A114</f>
        <v>011</v>
      </c>
    </row>
    <row r="115" ht="14.25" hidden="1" customHeight="1">
      <c r="A115" s="1" t="str">
        <f>MID($C$107,Constanst!X6,1)</f>
        <v>1</v>
      </c>
      <c r="B115" s="1" t="str">
        <f t="shared" si="28"/>
        <v>0111</v>
      </c>
    </row>
    <row r="116" ht="14.25" hidden="1" customHeight="1">
      <c r="A116" s="1" t="str">
        <f>MID($C$107,Constanst!X7,1)</f>
        <v>1</v>
      </c>
      <c r="B116" s="1" t="str">
        <f t="shared" si="28"/>
        <v>01111</v>
      </c>
    </row>
    <row r="117" ht="14.25" hidden="1" customHeight="1">
      <c r="A117" s="1" t="str">
        <f>MID($C$107,Constanst!X8,1)</f>
        <v>0</v>
      </c>
      <c r="B117" s="1" t="str">
        <f t="shared" si="28"/>
        <v>011110</v>
      </c>
    </row>
    <row r="118" ht="14.25" hidden="1" customHeight="1">
      <c r="A118" s="1" t="str">
        <f>MID($C$107,Constanst!X9,1)</f>
        <v>1</v>
      </c>
      <c r="B118" s="1" t="str">
        <f t="shared" si="28"/>
        <v>0111101</v>
      </c>
    </row>
    <row r="119" ht="14.25" hidden="1" customHeight="1">
      <c r="A119" s="1" t="str">
        <f>MID($C$107,Constanst!X10,1)</f>
        <v>1</v>
      </c>
      <c r="B119" s="1" t="str">
        <f t="shared" si="28"/>
        <v>01111011</v>
      </c>
    </row>
    <row r="120" ht="14.25" hidden="1" customHeight="1">
      <c r="A120" s="1" t="str">
        <f>MID($C$107,Constanst!X11,1)</f>
        <v>1</v>
      </c>
      <c r="B120" s="1" t="str">
        <f t="shared" si="28"/>
        <v>011110111</v>
      </c>
    </row>
    <row r="121" ht="14.25" hidden="1" customHeight="1">
      <c r="A121" s="1" t="str">
        <f>MID($C$107,Constanst!X12,1)</f>
        <v>1</v>
      </c>
      <c r="B121" s="1" t="str">
        <f t="shared" si="28"/>
        <v>0111101111</v>
      </c>
    </row>
    <row r="122" ht="14.25" hidden="1" customHeight="1">
      <c r="A122" s="1" t="str">
        <f>MID($C$107,Constanst!X13,1)</f>
        <v>1</v>
      </c>
      <c r="B122" s="1" t="str">
        <f t="shared" si="28"/>
        <v>01111011111</v>
      </c>
    </row>
    <row r="123" ht="14.25" hidden="1" customHeight="1">
      <c r="A123" s="1" t="str">
        <f>MID($C$107,Constanst!X14,1)</f>
        <v>1</v>
      </c>
      <c r="B123" s="1" t="str">
        <f t="shared" si="28"/>
        <v>011110111111</v>
      </c>
    </row>
    <row r="124" ht="14.25" hidden="1" customHeight="1">
      <c r="A124" s="1" t="str">
        <f>MID($C$107,Constanst!X15,1)</f>
        <v>1</v>
      </c>
      <c r="B124" s="1" t="str">
        <f t="shared" si="28"/>
        <v>0111101111111</v>
      </c>
    </row>
    <row r="125" ht="14.25" hidden="1" customHeight="1">
      <c r="A125" s="1" t="str">
        <f>MID($C$107,Constanst!X16,1)</f>
        <v>1</v>
      </c>
      <c r="B125" s="1" t="str">
        <f t="shared" si="28"/>
        <v>01111011111111</v>
      </c>
    </row>
    <row r="126" ht="14.25" hidden="1" customHeight="1">
      <c r="A126" s="1" t="str">
        <f>MID($C$107,Constanst!X17,1)</f>
        <v>1</v>
      </c>
      <c r="B126" s="1" t="str">
        <f t="shared" si="28"/>
        <v>011110111111111</v>
      </c>
    </row>
    <row r="127" ht="14.25" hidden="1" customHeight="1">
      <c r="A127" s="1" t="str">
        <f>MID($C$107,Constanst!X18,1)</f>
        <v>0</v>
      </c>
      <c r="B127" s="1" t="str">
        <f t="shared" si="28"/>
        <v>0111101111111110</v>
      </c>
    </row>
    <row r="128" ht="14.25" hidden="1" customHeight="1">
      <c r="A128" s="1" t="str">
        <f>MID($C$107,Constanst!X19,1)</f>
        <v>0</v>
      </c>
      <c r="B128" s="1" t="str">
        <f t="shared" si="28"/>
        <v>01111011111111100</v>
      </c>
    </row>
    <row r="129" ht="14.25" hidden="1" customHeight="1">
      <c r="A129" s="1" t="str">
        <f>MID($C$107,Constanst!X20,1)</f>
        <v>0</v>
      </c>
      <c r="B129" s="1" t="str">
        <f t="shared" si="28"/>
        <v>011110111111111000</v>
      </c>
    </row>
    <row r="130" ht="14.25" hidden="1" customHeight="1">
      <c r="A130" s="1" t="str">
        <f>MID($C$107,Constanst!X21,1)</f>
        <v>1</v>
      </c>
      <c r="B130" s="1" t="str">
        <f t="shared" si="28"/>
        <v>0111101111111110001</v>
      </c>
    </row>
    <row r="131" ht="14.25" hidden="1" customHeight="1">
      <c r="A131" s="1" t="str">
        <f>MID($C$107,Constanst!X22,1)</f>
        <v>0</v>
      </c>
      <c r="B131" s="1" t="str">
        <f t="shared" si="28"/>
        <v>01111011111111100010</v>
      </c>
    </row>
    <row r="132" ht="14.25" hidden="1" customHeight="1">
      <c r="A132" s="1" t="str">
        <f>MID($C$107,Constanst!X23,1)</f>
        <v>1</v>
      </c>
      <c r="B132" s="1" t="str">
        <f t="shared" si="28"/>
        <v>011110111111111000101</v>
      </c>
    </row>
    <row r="133" ht="14.25" hidden="1" customHeight="1">
      <c r="A133" s="1" t="str">
        <f>MID($C$107,Constanst!X24,1)</f>
        <v>0</v>
      </c>
      <c r="B133" s="1" t="str">
        <f t="shared" si="28"/>
        <v>0111101111111110001010</v>
      </c>
    </row>
    <row r="134" ht="14.25" hidden="1" customHeight="1">
      <c r="A134" s="1" t="str">
        <f>MID($C$107,Constanst!X25,1)</f>
        <v>0</v>
      </c>
      <c r="B134" s="1" t="str">
        <f t="shared" si="28"/>
        <v>01111011111111100010100</v>
      </c>
    </row>
    <row r="135" ht="14.25" hidden="1" customHeight="1">
      <c r="A135" s="1" t="str">
        <f>MID($C$107,Constanst!X26,1)</f>
        <v>0</v>
      </c>
      <c r="B135" s="1" t="str">
        <f t="shared" si="28"/>
        <v>011110111111111000101000</v>
      </c>
    </row>
    <row r="136" ht="14.25" hidden="1" customHeight="1">
      <c r="A136" s="1" t="str">
        <f>MID($C$107,Constanst!X27,1)</f>
        <v>0</v>
      </c>
      <c r="B136" s="1" t="str">
        <f t="shared" si="28"/>
        <v>0111101111111110001010000</v>
      </c>
    </row>
    <row r="137" ht="14.25" hidden="1" customHeight="1">
      <c r="A137" s="1" t="str">
        <f>MID($C$107,Constanst!X28,1)</f>
        <v>0</v>
      </c>
      <c r="B137" s="1" t="str">
        <f t="shared" si="28"/>
        <v>01111011111111100010100000</v>
      </c>
    </row>
    <row r="138" ht="14.25" hidden="1" customHeight="1">
      <c r="A138" s="1" t="str">
        <f>MID($C$107,Constanst!X29,1)</f>
        <v>0</v>
      </c>
      <c r="B138" s="1" t="str">
        <f t="shared" si="28"/>
        <v>011110111111111000101000000</v>
      </c>
    </row>
    <row r="139" ht="14.25" hidden="1" customHeight="1">
      <c r="A139" s="1" t="str">
        <f>MID($C$107,Constanst!X30,1)</f>
        <v>0</v>
      </c>
      <c r="B139" s="1" t="str">
        <f t="shared" si="28"/>
        <v>0111101111111110001010000000</v>
      </c>
    </row>
    <row r="140" ht="14.25" hidden="1" customHeight="1">
      <c r="A140" s="1" t="str">
        <f>MID($C$107,Constanst!X31,1)</f>
        <v>0</v>
      </c>
      <c r="B140" s="1" t="str">
        <f t="shared" si="28"/>
        <v>01111011111111100010100000000</v>
      </c>
    </row>
    <row r="141" ht="14.25" hidden="1" customHeight="1">
      <c r="A141" s="1" t="str">
        <f>MID($C$107,Constanst!X32,1)</f>
        <v>1</v>
      </c>
      <c r="B141" s="1" t="str">
        <f t="shared" si="28"/>
        <v>011110111111111000101000000001</v>
      </c>
    </row>
    <row r="142" ht="14.25" hidden="1" customHeight="1">
      <c r="A142" s="1" t="str">
        <f>MID($C$107,Constanst!X33,1)</f>
        <v>1</v>
      </c>
      <c r="B142" s="1" t="str">
        <f t="shared" si="28"/>
        <v>0111101111111110001010000000011</v>
      </c>
    </row>
    <row r="143" ht="14.25" customHeight="1">
      <c r="A143" s="1" t="str">
        <f>MID($C$107,Constanst!X34,1)</f>
        <v>0</v>
      </c>
      <c r="B143" s="22" t="str">
        <f t="shared" si="28"/>
        <v>01111011111111100010100000000110</v>
      </c>
    </row>
    <row r="144" ht="14.25" customHeight="1"/>
    <row r="145" ht="14.25" customHeight="1">
      <c r="A145" s="1" t="s">
        <v>92</v>
      </c>
      <c r="B145" s="1" t="str">
        <f>B143</f>
        <v>01111011111111100010100000000110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01111011</v>
      </c>
      <c r="C148" s="20" t="str">
        <f t="shared" ref="C148:C151" si="30">BIN2HEX(B148,2)</f>
        <v>7B</v>
      </c>
      <c r="D148" s="20">
        <f t="shared" ref="D148:D151" si="31">HEX2DEC(C148)</f>
        <v>123</v>
      </c>
    </row>
    <row r="149" ht="14.25" customHeight="1">
      <c r="A149" s="20">
        <v>2.0</v>
      </c>
      <c r="B149" s="20" t="str">
        <f t="shared" si="29"/>
        <v>11111110</v>
      </c>
      <c r="C149" s="20" t="str">
        <f t="shared" si="30"/>
        <v>FE</v>
      </c>
      <c r="D149" s="20">
        <f t="shared" si="31"/>
        <v>254</v>
      </c>
    </row>
    <row r="150" ht="14.25" customHeight="1">
      <c r="A150" s="20">
        <v>3.0</v>
      </c>
      <c r="B150" s="20" t="str">
        <f t="shared" si="29"/>
        <v>00101000</v>
      </c>
      <c r="C150" s="20" t="str">
        <f t="shared" si="30"/>
        <v>28</v>
      </c>
      <c r="D150" s="20">
        <f t="shared" si="31"/>
        <v>40</v>
      </c>
    </row>
    <row r="151" ht="14.25" customHeight="1">
      <c r="A151" s="20">
        <v>4.0</v>
      </c>
      <c r="B151" s="20" t="str">
        <f t="shared" si="29"/>
        <v>00000110</v>
      </c>
      <c r="C151" s="20" t="str">
        <f t="shared" si="30"/>
        <v>06</v>
      </c>
      <c r="D151" s="20">
        <f t="shared" si="31"/>
        <v>6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K14</v>
      </c>
      <c r="D2" s="1" t="str">
        <f>Input!I14</f>
        <v>010101110100001110110111100000111101110110001101</v>
      </c>
    </row>
    <row r="3" ht="14.25" customHeight="1">
      <c r="A3" s="1" t="s">
        <v>92</v>
      </c>
      <c r="B3" s="1" t="str">
        <f t="array" ref="B3">INDIRECT("'f(" &amp; L5 &amp; "," &amp; L7 &amp; ")'!B145")</f>
        <v>01111011111111100010100000000110</v>
      </c>
    </row>
    <row r="4" ht="14.25" customHeight="1">
      <c r="A4" s="1" t="str">
        <f t="shared" ref="A4:A5" si="1">L4</f>
        <v>L12</v>
      </c>
      <c r="B4" s="1" t="str">
        <f t="array" ref="B4">INDIRECT("'f(" &amp; L5 &amp; "," &amp; L7 &amp; ")'!C22")</f>
        <v>01000100100001111110111010100000</v>
      </c>
      <c r="L4" s="1" t="s">
        <v>122</v>
      </c>
      <c r="M4" s="1" t="s">
        <v>124</v>
      </c>
    </row>
    <row r="5" ht="14.25" customHeight="1">
      <c r="A5" s="1" t="str">
        <f t="shared" si="1"/>
        <v>R12</v>
      </c>
      <c r="B5" s="1" t="str">
        <f t="array" ref="B5">INDIRECT("'f(" &amp; L5 &amp; "," &amp; L7 &amp; ")'!C14")</f>
        <v>11111010001101100101000111001111</v>
      </c>
      <c r="L5" s="1" t="s">
        <v>123</v>
      </c>
      <c r="M5" s="1" t="s">
        <v>125</v>
      </c>
    </row>
    <row r="6" ht="14.25" customHeight="1">
      <c r="L6" s="1" t="s">
        <v>19</v>
      </c>
    </row>
    <row r="7" ht="14.25" customHeight="1">
      <c r="A7" s="11" t="s">
        <v>98</v>
      </c>
      <c r="B7" s="5"/>
      <c r="C7" s="5"/>
      <c r="D7" s="6"/>
      <c r="G7" s="11" t="str">
        <f>L4</f>
        <v>L12</v>
      </c>
      <c r="H7" s="5"/>
      <c r="I7" s="5"/>
      <c r="J7" s="6"/>
      <c r="L7" s="1" t="s">
        <v>18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01111011</v>
      </c>
      <c r="C9" s="20" t="str">
        <f t="shared" ref="C9:C12" si="3">BIN2HEX(B9,2)</f>
        <v>7B</v>
      </c>
      <c r="D9" s="20">
        <f t="shared" ref="D9:D12" si="4">HEX2DEC(C9)</f>
        <v>123</v>
      </c>
      <c r="G9" s="20">
        <v>1.0</v>
      </c>
      <c r="H9" s="20" t="str">
        <f t="shared" ref="H9:H12" si="5">MID($B$4,(G9-1)*8+1, 8)</f>
        <v>01000100</v>
      </c>
      <c r="I9" s="20" t="str">
        <f t="shared" ref="I9:I12" si="6">BIN2HEX(H9,2)</f>
        <v>44</v>
      </c>
      <c r="J9" s="20">
        <f t="shared" ref="J9:J12" si="7">HEX2DEC(I9)</f>
        <v>68</v>
      </c>
    </row>
    <row r="10" ht="14.25" customHeight="1">
      <c r="A10" s="20">
        <v>2.0</v>
      </c>
      <c r="B10" s="20" t="str">
        <f t="shared" si="2"/>
        <v>11111110</v>
      </c>
      <c r="C10" s="20" t="str">
        <f t="shared" si="3"/>
        <v>FE</v>
      </c>
      <c r="D10" s="20">
        <f t="shared" si="4"/>
        <v>254</v>
      </c>
      <c r="G10" s="20">
        <v>2.0</v>
      </c>
      <c r="H10" s="20" t="str">
        <f t="shared" si="5"/>
        <v>10000111</v>
      </c>
      <c r="I10" s="20" t="str">
        <f t="shared" si="6"/>
        <v>87</v>
      </c>
      <c r="J10" s="20">
        <f t="shared" si="7"/>
        <v>135</v>
      </c>
    </row>
    <row r="11" ht="14.25" customHeight="1">
      <c r="A11" s="20">
        <v>3.0</v>
      </c>
      <c r="B11" s="20" t="str">
        <f t="shared" si="2"/>
        <v>00101000</v>
      </c>
      <c r="C11" s="20" t="str">
        <f t="shared" si="3"/>
        <v>28</v>
      </c>
      <c r="D11" s="20">
        <f t="shared" si="4"/>
        <v>40</v>
      </c>
      <c r="G11" s="20">
        <v>3.0</v>
      </c>
      <c r="H11" s="20" t="str">
        <f t="shared" si="5"/>
        <v>11101110</v>
      </c>
      <c r="I11" s="20" t="str">
        <f t="shared" si="6"/>
        <v>EE</v>
      </c>
      <c r="J11" s="20">
        <f t="shared" si="7"/>
        <v>238</v>
      </c>
    </row>
    <row r="12" ht="14.25" customHeight="1">
      <c r="A12" s="20">
        <v>4.0</v>
      </c>
      <c r="B12" s="20" t="str">
        <f t="shared" si="2"/>
        <v>00000110</v>
      </c>
      <c r="C12" s="20" t="str">
        <f t="shared" si="3"/>
        <v>06</v>
      </c>
      <c r="D12" s="20">
        <f t="shared" si="4"/>
        <v>6</v>
      </c>
      <c r="G12" s="20">
        <v>4.0</v>
      </c>
      <c r="H12" s="20" t="str">
        <f t="shared" si="5"/>
        <v>10100000</v>
      </c>
      <c r="I12" s="20" t="str">
        <f t="shared" si="6"/>
        <v>A0</v>
      </c>
      <c r="J12" s="20">
        <f t="shared" si="7"/>
        <v>160</v>
      </c>
    </row>
    <row r="13" ht="14.25" customHeight="1"/>
    <row r="14" ht="14.25" customHeight="1">
      <c r="A14" s="1" t="str">
        <f>M5&amp;" = F XOR "&amp;L4&amp;" ="</f>
        <v>R13 = F XOR L12 =</v>
      </c>
      <c r="C14" s="23" t="str">
        <f>F17&amp;F18&amp;F19&amp;F20</f>
        <v>00111111011110011100011010100110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63</v>
      </c>
      <c r="E17" s="20" t="str">
        <f t="shared" ref="E17:E20" si="9">DEC2HEX(D17,2)</f>
        <v>3F</v>
      </c>
      <c r="F17" s="20" t="str">
        <f t="shared" ref="F17:F20" si="10">HEX2BIN(E17,8)</f>
        <v>00111111</v>
      </c>
    </row>
    <row r="18" ht="14.25" customHeight="1">
      <c r="C18" s="20">
        <v>2.0</v>
      </c>
      <c r="D18" s="20">
        <f t="shared" si="8"/>
        <v>121</v>
      </c>
      <c r="E18" s="20" t="str">
        <f t="shared" si="9"/>
        <v>79</v>
      </c>
      <c r="F18" s="20" t="str">
        <f t="shared" si="10"/>
        <v>01111001</v>
      </c>
    </row>
    <row r="19" ht="14.25" customHeight="1">
      <c r="C19" s="20">
        <v>3.0</v>
      </c>
      <c r="D19" s="20">
        <f t="shared" si="8"/>
        <v>198</v>
      </c>
      <c r="E19" s="20" t="str">
        <f t="shared" si="9"/>
        <v>C6</v>
      </c>
      <c r="F19" s="20" t="str">
        <f t="shared" si="10"/>
        <v>11000110</v>
      </c>
    </row>
    <row r="20" ht="14.25" customHeight="1">
      <c r="C20" s="20">
        <v>4.0</v>
      </c>
      <c r="D20" s="20">
        <f t="shared" si="8"/>
        <v>166</v>
      </c>
      <c r="E20" s="20" t="str">
        <f t="shared" si="9"/>
        <v>A6</v>
      </c>
      <c r="F20" s="20" t="str">
        <f t="shared" si="10"/>
        <v>10100110</v>
      </c>
    </row>
    <row r="21" ht="14.25" customHeight="1"/>
    <row r="22" ht="14.25" customHeight="1">
      <c r="A22" s="1" t="str">
        <f>M4&amp;" = "&amp;L5&amp;" ="</f>
        <v>L13 = R12 =</v>
      </c>
      <c r="C22" s="23" t="str">
        <f>B5</f>
        <v>11111010001101100101000111001111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R13 =&gt; E(R13)</v>
      </c>
      <c r="D24" s="1" t="str">
        <f>B26</f>
        <v>000111111110101111110011111000001101010100001100</v>
      </c>
    </row>
    <row r="25" ht="14.25" customHeight="1">
      <c r="A25" s="1" t="s">
        <v>66</v>
      </c>
    </row>
    <row r="26" ht="14.25" customHeight="1">
      <c r="A26" s="1" t="str">
        <f>MID($C$14,Constanst!K3,1)</f>
        <v>0</v>
      </c>
      <c r="B26" s="1" t="str">
        <f t="shared" ref="B26:B71" si="11">A26&amp;B27</f>
        <v>000111111110101111110011111000001101010100001100</v>
      </c>
    </row>
    <row r="27" ht="14.25" customHeight="1">
      <c r="A27" s="1" t="str">
        <f>MID($C$14,Constanst!K4,1)</f>
        <v>0</v>
      </c>
      <c r="B27" s="1" t="str">
        <f t="shared" si="11"/>
        <v>00111111110101111110011111000001101010100001100</v>
      </c>
    </row>
    <row r="28" ht="14.25" customHeight="1">
      <c r="A28" s="1" t="str">
        <f>MID($C$14,Constanst!K5,1)</f>
        <v>0</v>
      </c>
      <c r="B28" s="1" t="str">
        <f t="shared" si="11"/>
        <v>0111111110101111110011111000001101010100001100</v>
      </c>
    </row>
    <row r="29" ht="14.25" customHeight="1">
      <c r="A29" s="1" t="str">
        <f>MID($C$14,Constanst!K6,1)</f>
        <v>1</v>
      </c>
      <c r="B29" s="1" t="str">
        <f t="shared" si="11"/>
        <v>111111110101111110011111000001101010100001100</v>
      </c>
    </row>
    <row r="30" ht="14.25" customHeight="1">
      <c r="A30" s="1" t="str">
        <f>MID($C$14,Constanst!K7,1)</f>
        <v>1</v>
      </c>
      <c r="B30" s="1" t="str">
        <f t="shared" si="11"/>
        <v>11111110101111110011111000001101010100001100</v>
      </c>
    </row>
    <row r="31" ht="14.25" customHeight="1">
      <c r="A31" s="1" t="str">
        <f>MID($C$14,Constanst!K8,1)</f>
        <v>1</v>
      </c>
      <c r="B31" s="1" t="str">
        <f t="shared" si="11"/>
        <v>1111110101111110011111000001101010100001100</v>
      </c>
    </row>
    <row r="32" ht="14.25" customHeight="1">
      <c r="A32" s="1" t="str">
        <f>MID($C$14,Constanst!K9,1)</f>
        <v>1</v>
      </c>
      <c r="B32" s="1" t="str">
        <f t="shared" si="11"/>
        <v>111110101111110011111000001101010100001100</v>
      </c>
    </row>
    <row r="33" ht="14.25" customHeight="1">
      <c r="A33" s="1" t="str">
        <f>MID($C$14,Constanst!K10,1)</f>
        <v>1</v>
      </c>
      <c r="B33" s="1" t="str">
        <f t="shared" si="11"/>
        <v>11110101111110011111000001101010100001100</v>
      </c>
    </row>
    <row r="34" ht="14.25" customHeight="1">
      <c r="A34" s="1" t="str">
        <f>MID($C$14,Constanst!K11,1)</f>
        <v>1</v>
      </c>
      <c r="B34" s="1" t="str">
        <f t="shared" si="11"/>
        <v>1110101111110011111000001101010100001100</v>
      </c>
    </row>
    <row r="35" ht="14.25" customHeight="1">
      <c r="A35" s="1" t="str">
        <f>MID($C$14,Constanst!K12,1)</f>
        <v>1</v>
      </c>
      <c r="B35" s="1" t="str">
        <f t="shared" si="11"/>
        <v>110101111110011111000001101010100001100</v>
      </c>
    </row>
    <row r="36" ht="14.25" customHeight="1">
      <c r="A36" s="1" t="str">
        <f>MID($C$14,Constanst!K13,1)</f>
        <v>1</v>
      </c>
      <c r="B36" s="1" t="str">
        <f t="shared" si="11"/>
        <v>10101111110011111000001101010100001100</v>
      </c>
    </row>
    <row r="37" ht="14.25" customHeight="1">
      <c r="A37" s="1" t="str">
        <f>MID($C$14,Constanst!K14,1)</f>
        <v>0</v>
      </c>
      <c r="B37" s="1" t="str">
        <f t="shared" si="11"/>
        <v>0101111110011111000001101010100001100</v>
      </c>
    </row>
    <row r="38" ht="14.25" customHeight="1">
      <c r="A38" s="1" t="str">
        <f>MID($C$14,Constanst!K15,1)</f>
        <v>1</v>
      </c>
      <c r="B38" s="1" t="str">
        <f t="shared" si="11"/>
        <v>101111110011111000001101010100001100</v>
      </c>
    </row>
    <row r="39" ht="14.25" customHeight="1">
      <c r="A39" s="1" t="str">
        <f>MID($C$14,Constanst!K16,1)</f>
        <v>0</v>
      </c>
      <c r="B39" s="1" t="str">
        <f t="shared" si="11"/>
        <v>01111110011111000001101010100001100</v>
      </c>
    </row>
    <row r="40" ht="14.25" customHeight="1">
      <c r="A40" s="1" t="str">
        <f>MID($C$14,Constanst!K17,1)</f>
        <v>1</v>
      </c>
      <c r="B40" s="1" t="str">
        <f t="shared" si="11"/>
        <v>1111110011111000001101010100001100</v>
      </c>
    </row>
    <row r="41" ht="14.25" customHeight="1">
      <c r="A41" s="1" t="str">
        <f>MID($C$14,Constanst!K18,1)</f>
        <v>1</v>
      </c>
      <c r="B41" s="1" t="str">
        <f t="shared" si="11"/>
        <v>111110011111000001101010100001100</v>
      </c>
    </row>
    <row r="42" ht="14.25" customHeight="1">
      <c r="A42" s="1" t="str">
        <f>MID($C$14,Constanst!K19,1)</f>
        <v>1</v>
      </c>
      <c r="B42" s="1" t="str">
        <f t="shared" si="11"/>
        <v>11110011111000001101010100001100</v>
      </c>
    </row>
    <row r="43" ht="14.25" customHeight="1">
      <c r="A43" s="1" t="str">
        <f>MID($C$14,Constanst!K20,1)</f>
        <v>1</v>
      </c>
      <c r="B43" s="1" t="str">
        <f t="shared" si="11"/>
        <v>1110011111000001101010100001100</v>
      </c>
    </row>
    <row r="44" ht="14.25" customHeight="1">
      <c r="A44" s="1" t="str">
        <f>MID($C$14,Constanst!K21,1)</f>
        <v>1</v>
      </c>
      <c r="B44" s="1" t="str">
        <f t="shared" si="11"/>
        <v>110011111000001101010100001100</v>
      </c>
    </row>
    <row r="45" ht="14.25" customHeight="1">
      <c r="A45" s="1" t="str">
        <f>MID($C$14,Constanst!K22,1)</f>
        <v>1</v>
      </c>
      <c r="B45" s="1" t="str">
        <f t="shared" si="11"/>
        <v>10011111000001101010100001100</v>
      </c>
    </row>
    <row r="46" ht="14.25" customHeight="1">
      <c r="A46" s="1" t="str">
        <f>MID($C$14,Constanst!K23,1)</f>
        <v>0</v>
      </c>
      <c r="B46" s="1" t="str">
        <f t="shared" si="11"/>
        <v>0011111000001101010100001100</v>
      </c>
    </row>
    <row r="47" ht="14.25" customHeight="1">
      <c r="A47" s="1" t="str">
        <f>MID($C$14,Constanst!K24,1)</f>
        <v>0</v>
      </c>
      <c r="B47" s="1" t="str">
        <f t="shared" si="11"/>
        <v>011111000001101010100001100</v>
      </c>
    </row>
    <row r="48" ht="14.25" customHeight="1">
      <c r="A48" s="1" t="str">
        <f>MID($C$14,Constanst!K25,1)</f>
        <v>1</v>
      </c>
      <c r="B48" s="1" t="str">
        <f t="shared" si="11"/>
        <v>11111000001101010100001100</v>
      </c>
    </row>
    <row r="49" ht="14.25" customHeight="1">
      <c r="A49" s="1" t="str">
        <f>MID($C$14,Constanst!K26,1)</f>
        <v>1</v>
      </c>
      <c r="B49" s="1" t="str">
        <f t="shared" si="11"/>
        <v>1111000001101010100001100</v>
      </c>
    </row>
    <row r="50" ht="14.25" customHeight="1">
      <c r="A50" s="1" t="str">
        <f>MID($C$14,Constanst!K27,1)</f>
        <v>1</v>
      </c>
      <c r="B50" s="1" t="str">
        <f t="shared" si="11"/>
        <v>111000001101010100001100</v>
      </c>
    </row>
    <row r="51" ht="14.25" customHeight="1">
      <c r="A51" s="1" t="str">
        <f>MID($C$14,Constanst!K28,1)</f>
        <v>1</v>
      </c>
      <c r="B51" s="1" t="str">
        <f t="shared" si="11"/>
        <v>11000001101010100001100</v>
      </c>
    </row>
    <row r="52" ht="14.25" customHeight="1">
      <c r="A52" s="1" t="str">
        <f>MID($C$14,Constanst!K29,1)</f>
        <v>1</v>
      </c>
      <c r="B52" s="1" t="str">
        <f t="shared" si="11"/>
        <v>1000001101010100001100</v>
      </c>
    </row>
    <row r="53" ht="14.25" customHeight="1">
      <c r="A53" s="1" t="str">
        <f>MID($C$14,Constanst!K30,1)</f>
        <v>0</v>
      </c>
      <c r="B53" s="1" t="str">
        <f t="shared" si="11"/>
        <v>000001101010100001100</v>
      </c>
    </row>
    <row r="54" ht="14.25" customHeight="1">
      <c r="A54" s="1" t="str">
        <f>MID($C$14,Constanst!K31,1)</f>
        <v>0</v>
      </c>
      <c r="B54" s="1" t="str">
        <f t="shared" si="11"/>
        <v>00001101010100001100</v>
      </c>
    </row>
    <row r="55" ht="14.25" customHeight="1">
      <c r="A55" s="1" t="str">
        <f>MID($C$14,Constanst!K32,1)</f>
        <v>0</v>
      </c>
      <c r="B55" s="1" t="str">
        <f t="shared" si="11"/>
        <v>0001101010100001100</v>
      </c>
    </row>
    <row r="56" ht="14.25" customHeight="1">
      <c r="A56" s="1" t="str">
        <f>MID($C$14,Constanst!K33,1)</f>
        <v>0</v>
      </c>
      <c r="B56" s="1" t="str">
        <f t="shared" si="11"/>
        <v>001101010100001100</v>
      </c>
    </row>
    <row r="57" ht="14.25" customHeight="1">
      <c r="A57" s="1" t="str">
        <f>MID($C$14,Constanst!K34,1)</f>
        <v>0</v>
      </c>
      <c r="B57" s="1" t="str">
        <f t="shared" si="11"/>
        <v>01101010100001100</v>
      </c>
    </row>
    <row r="58" ht="14.25" customHeight="1">
      <c r="A58" s="1" t="str">
        <f>MID($C$14,Constanst!K35,1)</f>
        <v>1</v>
      </c>
      <c r="B58" s="1" t="str">
        <f t="shared" si="11"/>
        <v>1101010100001100</v>
      </c>
    </row>
    <row r="59" ht="14.25" customHeight="1">
      <c r="A59" s="1" t="str">
        <f>MID($C$14,Constanst!K36,1)</f>
        <v>1</v>
      </c>
      <c r="B59" s="1" t="str">
        <f t="shared" si="11"/>
        <v>101010100001100</v>
      </c>
    </row>
    <row r="60" ht="14.25" customHeight="1">
      <c r="A60" s="1" t="str">
        <f>MID($C$14,Constanst!K37,1)</f>
        <v>0</v>
      </c>
      <c r="B60" s="1" t="str">
        <f t="shared" si="11"/>
        <v>01010100001100</v>
      </c>
    </row>
    <row r="61" ht="14.25" customHeight="1">
      <c r="A61" s="1" t="str">
        <f>MID($C$14,Constanst!K38,1)</f>
        <v>1</v>
      </c>
      <c r="B61" s="1" t="str">
        <f t="shared" si="11"/>
        <v>1010100001100</v>
      </c>
    </row>
    <row r="62" ht="14.25" customHeight="1">
      <c r="A62" s="1" t="str">
        <f>MID($C$14,Constanst!K39,1)</f>
        <v>0</v>
      </c>
      <c r="B62" s="1" t="str">
        <f t="shared" si="11"/>
        <v>010100001100</v>
      </c>
    </row>
    <row r="63" ht="14.25" customHeight="1">
      <c r="A63" s="1" t="str">
        <f>MID($C$14,Constanst!K40,1)</f>
        <v>1</v>
      </c>
      <c r="B63" s="1" t="str">
        <f t="shared" si="11"/>
        <v>10100001100</v>
      </c>
    </row>
    <row r="64" ht="14.25" customHeight="1">
      <c r="A64" s="1" t="str">
        <f>MID($C$14,Constanst!K41,1)</f>
        <v>0</v>
      </c>
      <c r="B64" s="1" t="str">
        <f t="shared" si="11"/>
        <v>0100001100</v>
      </c>
    </row>
    <row r="65" ht="14.25" customHeight="1">
      <c r="A65" s="1" t="str">
        <f>MID($C$14,Constanst!K42,1)</f>
        <v>1</v>
      </c>
      <c r="B65" s="1" t="str">
        <f t="shared" si="11"/>
        <v>100001100</v>
      </c>
    </row>
    <row r="66" ht="14.25" customHeight="1">
      <c r="A66" s="1" t="str">
        <f>MID($C$14,Constanst!K43,1)</f>
        <v>0</v>
      </c>
      <c r="B66" s="1" t="str">
        <f t="shared" si="11"/>
        <v>00001100</v>
      </c>
    </row>
    <row r="67" ht="14.25" customHeight="1">
      <c r="A67" s="1" t="str">
        <f>MID($C$14,Constanst!K44,1)</f>
        <v>0</v>
      </c>
      <c r="B67" s="1" t="str">
        <f t="shared" si="11"/>
        <v>0001100</v>
      </c>
    </row>
    <row r="68" ht="14.25" customHeight="1">
      <c r="A68" s="1" t="str">
        <f>MID($C$14,Constanst!K45,1)</f>
        <v>0</v>
      </c>
      <c r="B68" s="1" t="str">
        <f t="shared" si="11"/>
        <v>001100</v>
      </c>
    </row>
    <row r="69" ht="14.25" customHeight="1">
      <c r="A69" s="1" t="str">
        <f>MID($C$14,Constanst!K46,1)</f>
        <v>0</v>
      </c>
      <c r="B69" s="1" t="str">
        <f t="shared" si="11"/>
        <v>01100</v>
      </c>
    </row>
    <row r="70" ht="14.25" customHeight="1">
      <c r="A70" s="1" t="str">
        <f>MID($C$14,Constanst!K47,1)</f>
        <v>1</v>
      </c>
      <c r="B70" s="1" t="str">
        <f t="shared" si="11"/>
        <v>1100</v>
      </c>
    </row>
    <row r="71" ht="14.25" customHeight="1">
      <c r="A71" s="1" t="str">
        <f>MID($C$14,Constanst!K48,1)</f>
        <v>1</v>
      </c>
      <c r="B71" s="1" t="str">
        <f t="shared" si="11"/>
        <v>100</v>
      </c>
    </row>
    <row r="72" ht="14.25" customHeight="1">
      <c r="A72" s="1" t="str">
        <f>MID($C$14,Constanst!K49,1)</f>
        <v>0</v>
      </c>
      <c r="B72" s="1" t="str">
        <f>A72&amp;A73</f>
        <v>00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E(R13) XOR K14</v>
      </c>
    </row>
    <row r="76" ht="14.25" customHeight="1">
      <c r="A76" s="11" t="str">
        <f>"Khóa " &amp; L6</f>
        <v>Khóa K14</v>
      </c>
      <c r="B76" s="5"/>
      <c r="C76" s="5"/>
      <c r="D76" s="6"/>
      <c r="G76" s="11" t="str">
        <f>"E("&amp;M5&amp;")"</f>
        <v>E(R13)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01010111</v>
      </c>
      <c r="C78" s="20" t="str">
        <f t="shared" ref="C78:C83" si="13">BIN2HEX(B78,2)</f>
        <v>57</v>
      </c>
      <c r="D78" s="20">
        <f t="shared" ref="D78:D83" si="14">BIN2DEC(B78)</f>
        <v>87</v>
      </c>
      <c r="G78" s="20">
        <v>1.0</v>
      </c>
      <c r="H78" s="20" t="str">
        <f t="shared" ref="H78:H83" si="15">MID($D$24,(G78-1)*8+1, 8)</f>
        <v>00011111</v>
      </c>
      <c r="I78" s="20" t="str">
        <f t="shared" ref="I78:I83" si="16">BIN2HEX(H78,2)</f>
        <v>1F</v>
      </c>
      <c r="J78" s="20">
        <f t="shared" ref="J78:J83" si="17">BIN2DEC(H78)</f>
        <v>31</v>
      </c>
    </row>
    <row r="79" ht="14.25" customHeight="1">
      <c r="A79" s="20">
        <v>2.0</v>
      </c>
      <c r="B79" s="20" t="str">
        <f t="shared" si="12"/>
        <v>01000011</v>
      </c>
      <c r="C79" s="20" t="str">
        <f t="shared" si="13"/>
        <v>43</v>
      </c>
      <c r="D79" s="20">
        <f t="shared" si="14"/>
        <v>67</v>
      </c>
      <c r="G79" s="20">
        <v>2.0</v>
      </c>
      <c r="H79" s="20" t="str">
        <f t="shared" si="15"/>
        <v>11101011</v>
      </c>
      <c r="I79" s="20" t="str">
        <f t="shared" si="16"/>
        <v>EB</v>
      </c>
      <c r="J79" s="20">
        <f t="shared" si="17"/>
        <v>235</v>
      </c>
    </row>
    <row r="80" ht="14.25" customHeight="1">
      <c r="A80" s="20">
        <v>3.0</v>
      </c>
      <c r="B80" s="20" t="str">
        <f t="shared" si="12"/>
        <v>10110111</v>
      </c>
      <c r="C80" s="20" t="str">
        <f t="shared" si="13"/>
        <v>B7</v>
      </c>
      <c r="D80" s="20">
        <f t="shared" si="14"/>
        <v>183</v>
      </c>
      <c r="G80" s="20">
        <v>3.0</v>
      </c>
      <c r="H80" s="20" t="str">
        <f t="shared" si="15"/>
        <v>11110011</v>
      </c>
      <c r="I80" s="20" t="str">
        <f t="shared" si="16"/>
        <v>F3</v>
      </c>
      <c r="J80" s="20">
        <f t="shared" si="17"/>
        <v>243</v>
      </c>
    </row>
    <row r="81" ht="14.25" customHeight="1">
      <c r="A81" s="20">
        <v>4.0</v>
      </c>
      <c r="B81" s="20" t="str">
        <f t="shared" si="12"/>
        <v>10000011</v>
      </c>
      <c r="C81" s="20" t="str">
        <f t="shared" si="13"/>
        <v>83</v>
      </c>
      <c r="D81" s="20">
        <f t="shared" si="14"/>
        <v>131</v>
      </c>
      <c r="G81" s="20">
        <v>4.0</v>
      </c>
      <c r="H81" s="20" t="str">
        <f t="shared" si="15"/>
        <v>11100000</v>
      </c>
      <c r="I81" s="20" t="str">
        <f t="shared" si="16"/>
        <v>E0</v>
      </c>
      <c r="J81" s="20">
        <f t="shared" si="17"/>
        <v>224</v>
      </c>
    </row>
    <row r="82" ht="14.25" customHeight="1">
      <c r="A82" s="20">
        <v>5.0</v>
      </c>
      <c r="B82" s="20" t="str">
        <f t="shared" si="12"/>
        <v>11011101</v>
      </c>
      <c r="C82" s="20" t="str">
        <f t="shared" si="13"/>
        <v>DD</v>
      </c>
      <c r="D82" s="20">
        <f t="shared" si="14"/>
        <v>221</v>
      </c>
      <c r="G82" s="20">
        <v>5.0</v>
      </c>
      <c r="H82" s="20" t="str">
        <f t="shared" si="15"/>
        <v>11010101</v>
      </c>
      <c r="I82" s="20" t="str">
        <f t="shared" si="16"/>
        <v>D5</v>
      </c>
      <c r="J82" s="20">
        <f t="shared" si="17"/>
        <v>213</v>
      </c>
    </row>
    <row r="83" ht="14.25" customHeight="1">
      <c r="A83" s="20">
        <v>6.0</v>
      </c>
      <c r="B83" s="20" t="str">
        <f t="shared" si="12"/>
        <v>10001101</v>
      </c>
      <c r="C83" s="20" t="str">
        <f t="shared" si="13"/>
        <v>8D</v>
      </c>
      <c r="D83" s="20">
        <f t="shared" si="14"/>
        <v>141</v>
      </c>
      <c r="G83" s="20">
        <v>6.0</v>
      </c>
      <c r="H83" s="20" t="str">
        <f t="shared" si="15"/>
        <v>00001100</v>
      </c>
      <c r="I83" s="20" t="str">
        <f t="shared" si="16"/>
        <v>0C</v>
      </c>
      <c r="J83" s="20">
        <f t="shared" si="17"/>
        <v>12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XOR(ER13, K14)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72</v>
      </c>
      <c r="C86" s="26" t="str">
        <f t="shared" ref="C86:C91" si="19">DEC2BIN(B86,8)</f>
        <v>01001000</v>
      </c>
      <c r="D86" s="26" t="str">
        <f t="shared" ref="D86:D91" si="20">BIN2HEX(C86,2)</f>
        <v>48</v>
      </c>
    </row>
    <row r="87" ht="14.25" customHeight="1">
      <c r="A87" s="26">
        <v>2.0</v>
      </c>
      <c r="B87" s="26">
        <f t="shared" si="18"/>
        <v>168</v>
      </c>
      <c r="C87" s="26" t="str">
        <f t="shared" si="19"/>
        <v>10101000</v>
      </c>
      <c r="D87" s="26" t="str">
        <f t="shared" si="20"/>
        <v>A8</v>
      </c>
    </row>
    <row r="88" ht="14.25" customHeight="1">
      <c r="A88" s="26">
        <v>3.0</v>
      </c>
      <c r="B88" s="26">
        <f t="shared" si="18"/>
        <v>68</v>
      </c>
      <c r="C88" s="26" t="str">
        <f t="shared" si="19"/>
        <v>01000100</v>
      </c>
      <c r="D88" s="26" t="str">
        <f t="shared" si="20"/>
        <v>44</v>
      </c>
    </row>
    <row r="89" ht="14.25" customHeight="1">
      <c r="A89" s="26">
        <v>4.0</v>
      </c>
      <c r="B89" s="26">
        <f t="shared" si="18"/>
        <v>99</v>
      </c>
      <c r="C89" s="26" t="str">
        <f t="shared" si="19"/>
        <v>01100011</v>
      </c>
      <c r="D89" s="26" t="str">
        <f t="shared" si="20"/>
        <v>63</v>
      </c>
    </row>
    <row r="90" ht="14.25" customHeight="1">
      <c r="A90" s="26">
        <v>5.0</v>
      </c>
      <c r="B90" s="26">
        <f t="shared" si="18"/>
        <v>8</v>
      </c>
      <c r="C90" s="26" t="str">
        <f t="shared" si="19"/>
        <v>00001000</v>
      </c>
      <c r="D90" s="26" t="str">
        <f t="shared" si="20"/>
        <v>08</v>
      </c>
    </row>
    <row r="91" ht="14.25" customHeight="1">
      <c r="A91" s="26">
        <v>6.0</v>
      </c>
      <c r="B91" s="26">
        <f t="shared" si="18"/>
        <v>129</v>
      </c>
      <c r="C91" s="26" t="str">
        <f t="shared" si="19"/>
        <v>10000001</v>
      </c>
      <c r="D91" s="26" t="str">
        <f t="shared" si="20"/>
        <v>81</v>
      </c>
    </row>
    <row r="92" ht="14.25" customHeight="1"/>
    <row r="93" ht="14.25" customHeight="1">
      <c r="B93" s="1" t="str">
        <f>"A = E"&amp;M5&amp;" XOR "&amp;L6&amp;" ="</f>
        <v>A = ER13 XOR K14 =</v>
      </c>
      <c r="D93" s="22" t="str">
        <f>C86&amp;C87&amp;C88&amp;C89&amp;C90&amp;C91</f>
        <v>010010001010100001000100011000110000100010000001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010010</v>
      </c>
      <c r="C98" s="3" t="str">
        <f t="shared" ref="C98:C105" si="22">LEFT(B98,1)&amp;(RIGHT(B98,1))</f>
        <v>00</v>
      </c>
      <c r="D98" s="3" t="str">
        <f t="shared" ref="D98:D105" si="23">MID(B98,2,4)</f>
        <v>1001</v>
      </c>
      <c r="E98" s="3" t="str">
        <f t="shared" ref="E98:E105" si="24">C98&amp;D98</f>
        <v>001001</v>
      </c>
      <c r="F98" s="18">
        <f t="shared" ref="F98:F105" si="25">BIN2DEC(E98)</f>
        <v>9</v>
      </c>
      <c r="G98" s="3">
        <f>VLOOKUP(F98,Constanst!$M$3:$U$66,2,TRUE)</f>
        <v>10</v>
      </c>
      <c r="H98" s="3" t="str">
        <f t="shared" ref="H98:H105" si="26">DEC2BIN(G98,4)</f>
        <v>1010</v>
      </c>
      <c r="I98" s="3" t="str">
        <f>H98</f>
        <v>1010</v>
      </c>
    </row>
    <row r="99" ht="14.25" customHeight="1">
      <c r="A99" s="3">
        <v>2.0</v>
      </c>
      <c r="B99" s="3" t="str">
        <f t="shared" si="21"/>
        <v>001010</v>
      </c>
      <c r="C99" s="3" t="str">
        <f t="shared" si="22"/>
        <v>00</v>
      </c>
      <c r="D99" s="3" t="str">
        <f t="shared" si="23"/>
        <v>0101</v>
      </c>
      <c r="E99" s="3" t="str">
        <f t="shared" si="24"/>
        <v>000101</v>
      </c>
      <c r="F99" s="18">
        <f t="shared" si="25"/>
        <v>5</v>
      </c>
      <c r="G99" s="3">
        <f>VLOOKUP(F99,Constanst!$M$3:$U$66,3,TRUE)</f>
        <v>11</v>
      </c>
      <c r="H99" s="3" t="str">
        <f t="shared" si="26"/>
        <v>1011</v>
      </c>
      <c r="I99" s="3" t="str">
        <f t="shared" ref="I99:I105" si="27">I98&amp;H99</f>
        <v>10101011</v>
      </c>
    </row>
    <row r="100" ht="14.25" customHeight="1">
      <c r="A100" s="3">
        <v>3.0</v>
      </c>
      <c r="B100" s="3" t="str">
        <f t="shared" si="21"/>
        <v>100001</v>
      </c>
      <c r="C100" s="3" t="str">
        <f t="shared" si="22"/>
        <v>11</v>
      </c>
      <c r="D100" s="3" t="str">
        <f t="shared" si="23"/>
        <v>0000</v>
      </c>
      <c r="E100" s="3" t="str">
        <f t="shared" si="24"/>
        <v>110000</v>
      </c>
      <c r="F100" s="18">
        <f t="shared" si="25"/>
        <v>48</v>
      </c>
      <c r="G100" s="3">
        <f>VLOOKUP(F100,Constanst!$M$3:$U$66,4,TRUE)</f>
        <v>1</v>
      </c>
      <c r="H100" s="3" t="str">
        <f t="shared" si="26"/>
        <v>0001</v>
      </c>
      <c r="I100" s="3" t="str">
        <f t="shared" si="27"/>
        <v>101010110001</v>
      </c>
    </row>
    <row r="101" ht="14.25" customHeight="1">
      <c r="A101" s="3">
        <v>4.0</v>
      </c>
      <c r="B101" s="3" t="str">
        <f t="shared" si="21"/>
        <v>000100</v>
      </c>
      <c r="C101" s="3" t="str">
        <f t="shared" si="22"/>
        <v>00</v>
      </c>
      <c r="D101" s="3" t="str">
        <f t="shared" si="23"/>
        <v>0010</v>
      </c>
      <c r="E101" s="3" t="str">
        <f t="shared" si="24"/>
        <v>000010</v>
      </c>
      <c r="F101" s="18">
        <f t="shared" si="25"/>
        <v>2</v>
      </c>
      <c r="G101" s="3">
        <f>VLOOKUP(F101,Constanst!$M$3:$U$66,5,TRUE)</f>
        <v>14</v>
      </c>
      <c r="H101" s="3" t="str">
        <f t="shared" si="26"/>
        <v>1110</v>
      </c>
      <c r="I101" s="3" t="str">
        <f t="shared" si="27"/>
        <v>1010101100011110</v>
      </c>
    </row>
    <row r="102" ht="14.25" customHeight="1">
      <c r="A102" s="3">
        <v>5.0</v>
      </c>
      <c r="B102" s="3" t="str">
        <f t="shared" si="21"/>
        <v>011000</v>
      </c>
      <c r="C102" s="3" t="str">
        <f t="shared" si="22"/>
        <v>00</v>
      </c>
      <c r="D102" s="3" t="str">
        <f t="shared" si="23"/>
        <v>1100</v>
      </c>
      <c r="E102" s="3" t="str">
        <f t="shared" si="24"/>
        <v>001100</v>
      </c>
      <c r="F102" s="18">
        <f t="shared" si="25"/>
        <v>12</v>
      </c>
      <c r="G102" s="3">
        <f>VLOOKUP(F102,Constanst!$M$3:$U$66,6,TRUE)</f>
        <v>13</v>
      </c>
      <c r="H102" s="3" t="str">
        <f t="shared" si="26"/>
        <v>1101</v>
      </c>
      <c r="I102" s="3" t="str">
        <f t="shared" si="27"/>
        <v>10101011000111101101</v>
      </c>
    </row>
    <row r="103" ht="14.25" customHeight="1">
      <c r="A103" s="3">
        <v>6.0</v>
      </c>
      <c r="B103" s="3" t="str">
        <f t="shared" si="21"/>
        <v>110000</v>
      </c>
      <c r="C103" s="3" t="str">
        <f t="shared" si="22"/>
        <v>10</v>
      </c>
      <c r="D103" s="3" t="str">
        <f t="shared" si="23"/>
        <v>1000</v>
      </c>
      <c r="E103" s="3" t="str">
        <f t="shared" si="24"/>
        <v>101000</v>
      </c>
      <c r="F103" s="18">
        <f t="shared" si="25"/>
        <v>40</v>
      </c>
      <c r="G103" s="3">
        <f>VLOOKUP(F103,Constanst!$M$3:$U$66,7,TRUE)</f>
        <v>7</v>
      </c>
      <c r="H103" s="3" t="str">
        <f t="shared" si="26"/>
        <v>0111</v>
      </c>
      <c r="I103" s="3" t="str">
        <f t="shared" si="27"/>
        <v>101010110001111011010111</v>
      </c>
    </row>
    <row r="104" ht="14.25" customHeight="1">
      <c r="A104" s="3">
        <v>7.0</v>
      </c>
      <c r="B104" s="3" t="str">
        <f t="shared" si="21"/>
        <v>100010</v>
      </c>
      <c r="C104" s="3" t="str">
        <f t="shared" si="22"/>
        <v>10</v>
      </c>
      <c r="D104" s="3" t="str">
        <f t="shared" si="23"/>
        <v>0001</v>
      </c>
      <c r="E104" s="3" t="str">
        <f t="shared" si="24"/>
        <v>100001</v>
      </c>
      <c r="F104" s="18">
        <f t="shared" si="25"/>
        <v>33</v>
      </c>
      <c r="G104" s="3">
        <f>VLOOKUP(F104,Constanst!$M$3:$U$66,8,TRUE)</f>
        <v>4</v>
      </c>
      <c r="H104" s="3" t="str">
        <f t="shared" si="26"/>
        <v>0100</v>
      </c>
      <c r="I104" s="3" t="str">
        <f t="shared" si="27"/>
        <v>1010101100011110110101110100</v>
      </c>
    </row>
    <row r="105" ht="14.25" customHeight="1">
      <c r="A105" s="3">
        <v>8.0</v>
      </c>
      <c r="B105" s="3" t="str">
        <f t="shared" si="21"/>
        <v>000001</v>
      </c>
      <c r="C105" s="3" t="str">
        <f t="shared" si="22"/>
        <v>01</v>
      </c>
      <c r="D105" s="3" t="str">
        <f t="shared" si="23"/>
        <v>0000</v>
      </c>
      <c r="E105" s="3" t="str">
        <f t="shared" si="24"/>
        <v>010000</v>
      </c>
      <c r="F105" s="18">
        <f t="shared" si="25"/>
        <v>16</v>
      </c>
      <c r="G105" s="3">
        <f>VLOOKUP(F105,Constanst!$M$3:$U$66,9,TRUE)</f>
        <v>1</v>
      </c>
      <c r="H105" s="3" t="str">
        <f t="shared" si="26"/>
        <v>0001</v>
      </c>
      <c r="I105" s="3" t="str">
        <f t="shared" si="27"/>
        <v>10101011000111101101011101000001</v>
      </c>
    </row>
    <row r="106" ht="14.25" customHeight="1"/>
    <row r="107" ht="14.25" customHeight="1">
      <c r="B107" s="1" t="s">
        <v>90</v>
      </c>
      <c r="C107" s="1" t="str">
        <f>I105</f>
        <v>10101011000111101101011101000001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0</v>
      </c>
    </row>
    <row r="113" ht="14.25" hidden="1" customHeight="1">
      <c r="A113" s="1" t="str">
        <f>MID($C$107,Constanst!X4,1)</f>
        <v>1</v>
      </c>
      <c r="B113" s="1" t="str">
        <f>A112&amp;A113</f>
        <v>01</v>
      </c>
    </row>
    <row r="114" ht="14.25" hidden="1" customHeight="1">
      <c r="A114" s="1" t="str">
        <f>MID($C$107,Constanst!X5,1)</f>
        <v>1</v>
      </c>
      <c r="B114" s="1" t="str">
        <f t="shared" ref="B114:B143" si="28">B113&amp;A114</f>
        <v>011</v>
      </c>
    </row>
    <row r="115" ht="14.25" hidden="1" customHeight="1">
      <c r="A115" s="1" t="str">
        <f>MID($C$107,Constanst!X6,1)</f>
        <v>0</v>
      </c>
      <c r="B115" s="1" t="str">
        <f t="shared" si="28"/>
        <v>0110</v>
      </c>
    </row>
    <row r="116" ht="14.25" hidden="1" customHeight="1">
      <c r="A116" s="1" t="str">
        <f>MID($C$107,Constanst!X7,1)</f>
        <v>0</v>
      </c>
      <c r="B116" s="1" t="str">
        <f t="shared" si="28"/>
        <v>01100</v>
      </c>
    </row>
    <row r="117" ht="14.25" hidden="1" customHeight="1">
      <c r="A117" s="1" t="str">
        <f>MID($C$107,Constanst!X8,1)</f>
        <v>1</v>
      </c>
      <c r="B117" s="1" t="str">
        <f t="shared" si="28"/>
        <v>011001</v>
      </c>
    </row>
    <row r="118" ht="14.25" hidden="1" customHeight="1">
      <c r="A118" s="1" t="str">
        <f>MID($C$107,Constanst!X9,1)</f>
        <v>0</v>
      </c>
      <c r="B118" s="1" t="str">
        <f t="shared" si="28"/>
        <v>0110010</v>
      </c>
    </row>
    <row r="119" ht="14.25" hidden="1" customHeight="1">
      <c r="A119" s="1" t="str">
        <f>MID($C$107,Constanst!X10,1)</f>
        <v>1</v>
      </c>
      <c r="B119" s="1" t="str">
        <f t="shared" si="28"/>
        <v>01100101</v>
      </c>
    </row>
    <row r="120" ht="14.25" hidden="1" customHeight="1">
      <c r="A120" s="1" t="str">
        <f>MID($C$107,Constanst!X11,1)</f>
        <v>1</v>
      </c>
      <c r="B120" s="1" t="str">
        <f t="shared" si="28"/>
        <v>011001011</v>
      </c>
    </row>
    <row r="121" ht="14.25" hidden="1" customHeight="1">
      <c r="A121" s="1" t="str">
        <f>MID($C$107,Constanst!X12,1)</f>
        <v>1</v>
      </c>
      <c r="B121" s="1" t="str">
        <f t="shared" si="28"/>
        <v>0110010111</v>
      </c>
    </row>
    <row r="122" ht="14.25" hidden="1" customHeight="1">
      <c r="A122" s="1" t="str">
        <f>MID($C$107,Constanst!X13,1)</f>
        <v>1</v>
      </c>
      <c r="B122" s="1" t="str">
        <f t="shared" si="28"/>
        <v>01100101111</v>
      </c>
    </row>
    <row r="123" ht="14.25" hidden="1" customHeight="1">
      <c r="A123" s="1" t="str">
        <f>MID($C$107,Constanst!X14,1)</f>
        <v>1</v>
      </c>
      <c r="B123" s="1" t="str">
        <f t="shared" si="28"/>
        <v>011001011111</v>
      </c>
    </row>
    <row r="124" ht="14.25" hidden="1" customHeight="1">
      <c r="A124" s="1" t="str">
        <f>MID($C$107,Constanst!X15,1)</f>
        <v>1</v>
      </c>
      <c r="B124" s="1" t="str">
        <f t="shared" si="28"/>
        <v>0110010111111</v>
      </c>
    </row>
    <row r="125" ht="14.25" hidden="1" customHeight="1">
      <c r="A125" s="1" t="str">
        <f>MID($C$107,Constanst!X16,1)</f>
        <v>1</v>
      </c>
      <c r="B125" s="1" t="str">
        <f t="shared" si="28"/>
        <v>01100101111111</v>
      </c>
    </row>
    <row r="126" ht="14.25" hidden="1" customHeight="1">
      <c r="A126" s="1" t="str">
        <f>MID($C$107,Constanst!X17,1)</f>
        <v>0</v>
      </c>
      <c r="B126" s="1" t="str">
        <f t="shared" si="28"/>
        <v>011001011111110</v>
      </c>
    </row>
    <row r="127" ht="14.25" hidden="1" customHeight="1">
      <c r="A127" s="1" t="str">
        <f>MID($C$107,Constanst!X18,1)</f>
        <v>0</v>
      </c>
      <c r="B127" s="1" t="str">
        <f t="shared" si="28"/>
        <v>0110010111111100</v>
      </c>
    </row>
    <row r="128" ht="14.25" hidden="1" customHeight="1">
      <c r="A128" s="1" t="str">
        <f>MID($C$107,Constanst!X19,1)</f>
        <v>0</v>
      </c>
      <c r="B128" s="1" t="str">
        <f t="shared" si="28"/>
        <v>01100101111111000</v>
      </c>
    </row>
    <row r="129" ht="14.25" hidden="1" customHeight="1">
      <c r="A129" s="1" t="str">
        <f>MID($C$107,Constanst!X20,1)</f>
        <v>1</v>
      </c>
      <c r="B129" s="1" t="str">
        <f t="shared" si="28"/>
        <v>011001011111110001</v>
      </c>
    </row>
    <row r="130" ht="14.25" hidden="1" customHeight="1">
      <c r="A130" s="1" t="str">
        <f>MID($C$107,Constanst!X21,1)</f>
        <v>1</v>
      </c>
      <c r="B130" s="1" t="str">
        <f t="shared" si="28"/>
        <v>0110010111111100011</v>
      </c>
    </row>
    <row r="131" ht="14.25" hidden="1" customHeight="1">
      <c r="A131" s="1" t="str">
        <f>MID($C$107,Constanst!X22,1)</f>
        <v>1</v>
      </c>
      <c r="B131" s="1" t="str">
        <f t="shared" si="28"/>
        <v>01100101111111000111</v>
      </c>
    </row>
    <row r="132" ht="14.25" hidden="1" customHeight="1">
      <c r="A132" s="1" t="str">
        <f>MID($C$107,Constanst!X23,1)</f>
        <v>1</v>
      </c>
      <c r="B132" s="1" t="str">
        <f t="shared" si="28"/>
        <v>011001011111110001111</v>
      </c>
    </row>
    <row r="133" ht="14.25" hidden="1" customHeight="1">
      <c r="A133" s="1" t="str">
        <f>MID($C$107,Constanst!X24,1)</f>
        <v>0</v>
      </c>
      <c r="B133" s="1" t="str">
        <f t="shared" si="28"/>
        <v>0110010111111100011110</v>
      </c>
    </row>
    <row r="134" ht="14.25" hidden="1" customHeight="1">
      <c r="A134" s="1" t="str">
        <f>MID($C$107,Constanst!X25,1)</f>
        <v>1</v>
      </c>
      <c r="B134" s="1" t="str">
        <f t="shared" si="28"/>
        <v>01100101111111000111101</v>
      </c>
    </row>
    <row r="135" ht="14.25" hidden="1" customHeight="1">
      <c r="A135" s="1" t="str">
        <f>MID($C$107,Constanst!X26,1)</f>
        <v>0</v>
      </c>
      <c r="B135" s="1" t="str">
        <f t="shared" si="28"/>
        <v>011001011111110001111010</v>
      </c>
    </row>
    <row r="136" ht="14.25" hidden="1" customHeight="1">
      <c r="A136" s="1" t="str">
        <f>MID($C$107,Constanst!X27,1)</f>
        <v>0</v>
      </c>
      <c r="B136" s="1" t="str">
        <f t="shared" si="28"/>
        <v>0110010111111100011110100</v>
      </c>
    </row>
    <row r="137" ht="14.25" hidden="1" customHeight="1">
      <c r="A137" s="1" t="str">
        <f>MID($C$107,Constanst!X28,1)</f>
        <v>1</v>
      </c>
      <c r="B137" s="1" t="str">
        <f t="shared" si="28"/>
        <v>01100101111111000111101001</v>
      </c>
    </row>
    <row r="138" ht="14.25" hidden="1" customHeight="1">
      <c r="A138" s="1" t="str">
        <f>MID($C$107,Constanst!X29,1)</f>
        <v>0</v>
      </c>
      <c r="B138" s="1" t="str">
        <f t="shared" si="28"/>
        <v>011001011111110001111010010</v>
      </c>
    </row>
    <row r="139" ht="14.25" hidden="1" customHeight="1">
      <c r="A139" s="1" t="str">
        <f>MID($C$107,Constanst!X30,1)</f>
        <v>0</v>
      </c>
      <c r="B139" s="1" t="str">
        <f t="shared" si="28"/>
        <v>0110010111111100011110100100</v>
      </c>
    </row>
    <row r="140" ht="14.25" hidden="1" customHeight="1">
      <c r="A140" s="1" t="str">
        <f>MID($C$107,Constanst!X31,1)</f>
        <v>1</v>
      </c>
      <c r="B140" s="1" t="str">
        <f t="shared" si="28"/>
        <v>01100101111111000111101001001</v>
      </c>
    </row>
    <row r="141" ht="14.25" hidden="1" customHeight="1">
      <c r="A141" s="1" t="str">
        <f>MID($C$107,Constanst!X32,1)</f>
        <v>0</v>
      </c>
      <c r="B141" s="1" t="str">
        <f t="shared" si="28"/>
        <v>011001011111110001111010010010</v>
      </c>
    </row>
    <row r="142" ht="14.25" hidden="1" customHeight="1">
      <c r="A142" s="1" t="str">
        <f>MID($C$107,Constanst!X33,1)</f>
        <v>0</v>
      </c>
      <c r="B142" s="1" t="str">
        <f t="shared" si="28"/>
        <v>0110010111111100011110100100100</v>
      </c>
    </row>
    <row r="143" ht="14.25" customHeight="1">
      <c r="A143" s="1" t="str">
        <f>MID($C$107,Constanst!X34,1)</f>
        <v>0</v>
      </c>
      <c r="B143" s="22" t="str">
        <f t="shared" si="28"/>
        <v>01100101111111000111101001001000</v>
      </c>
    </row>
    <row r="144" ht="14.25" customHeight="1"/>
    <row r="145" ht="14.25" customHeight="1">
      <c r="A145" s="1" t="s">
        <v>92</v>
      </c>
      <c r="B145" s="1" t="str">
        <f>B143</f>
        <v>01100101111111000111101001001000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01100101</v>
      </c>
      <c r="C148" s="20" t="str">
        <f t="shared" ref="C148:C151" si="30">BIN2HEX(B148,2)</f>
        <v>65</v>
      </c>
      <c r="D148" s="20">
        <f t="shared" ref="D148:D151" si="31">HEX2DEC(C148)</f>
        <v>101</v>
      </c>
    </row>
    <row r="149" ht="14.25" customHeight="1">
      <c r="A149" s="20">
        <v>2.0</v>
      </c>
      <c r="B149" s="20" t="str">
        <f t="shared" si="29"/>
        <v>11111100</v>
      </c>
      <c r="C149" s="20" t="str">
        <f t="shared" si="30"/>
        <v>FC</v>
      </c>
      <c r="D149" s="20">
        <f t="shared" si="31"/>
        <v>252</v>
      </c>
    </row>
    <row r="150" ht="14.25" customHeight="1">
      <c r="A150" s="20">
        <v>3.0</v>
      </c>
      <c r="B150" s="20" t="str">
        <f t="shared" si="29"/>
        <v>01111010</v>
      </c>
      <c r="C150" s="20" t="str">
        <f t="shared" si="30"/>
        <v>7A</v>
      </c>
      <c r="D150" s="20">
        <f t="shared" si="31"/>
        <v>122</v>
      </c>
    </row>
    <row r="151" ht="14.25" customHeight="1">
      <c r="A151" s="20">
        <v>4.0</v>
      </c>
      <c r="B151" s="20" t="str">
        <f t="shared" si="29"/>
        <v>01001000</v>
      </c>
      <c r="C151" s="20" t="str">
        <f t="shared" si="30"/>
        <v>48</v>
      </c>
      <c r="D151" s="20">
        <f t="shared" si="31"/>
        <v>72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K15</v>
      </c>
      <c r="D2" s="1" t="str">
        <f>Input!I15</f>
        <v>101111111001000110000101000010100001011110110101</v>
      </c>
    </row>
    <row r="3" ht="14.25" customHeight="1">
      <c r="A3" s="1" t="s">
        <v>92</v>
      </c>
      <c r="B3" s="1" t="str">
        <f t="array" ref="B3">INDIRECT("'f(" &amp; L5 &amp; "," &amp; L7 &amp; ")'!B145")</f>
        <v>01100101111111000111101001001000</v>
      </c>
    </row>
    <row r="4" ht="14.25" customHeight="1">
      <c r="A4" s="1" t="str">
        <f t="shared" ref="A4:A5" si="1">L4</f>
        <v>L13</v>
      </c>
      <c r="B4" s="1" t="str">
        <f t="array" ref="B4">INDIRECT("'f(" &amp; L5 &amp; "," &amp; L7 &amp; ")'!C22")</f>
        <v>11111010001101100101000111001111</v>
      </c>
      <c r="L4" s="1" t="s">
        <v>124</v>
      </c>
      <c r="M4" s="1" t="s">
        <v>126</v>
      </c>
    </row>
    <row r="5" ht="14.25" customHeight="1">
      <c r="A5" s="1" t="str">
        <f t="shared" si="1"/>
        <v>R13</v>
      </c>
      <c r="B5" s="1" t="str">
        <f t="array" ref="B5">INDIRECT("'f(" &amp; L5 &amp; "," &amp; L7 &amp; ")'!C14")</f>
        <v>00111111011110011100011010100110</v>
      </c>
      <c r="L5" s="1" t="s">
        <v>125</v>
      </c>
      <c r="M5" s="1" t="s">
        <v>127</v>
      </c>
    </row>
    <row r="6" ht="14.25" customHeight="1">
      <c r="L6" s="1" t="s">
        <v>20</v>
      </c>
    </row>
    <row r="7" ht="14.25" customHeight="1">
      <c r="A7" s="11" t="s">
        <v>98</v>
      </c>
      <c r="B7" s="5"/>
      <c r="C7" s="5"/>
      <c r="D7" s="6"/>
      <c r="G7" s="11" t="str">
        <f>L4</f>
        <v>L13</v>
      </c>
      <c r="H7" s="5"/>
      <c r="I7" s="5"/>
      <c r="J7" s="6"/>
      <c r="L7" s="1" t="s">
        <v>19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01100101</v>
      </c>
      <c r="C9" s="20" t="str">
        <f t="shared" ref="C9:C12" si="3">BIN2HEX(B9,2)</f>
        <v>65</v>
      </c>
      <c r="D9" s="20">
        <f t="shared" ref="D9:D12" si="4">HEX2DEC(C9)</f>
        <v>101</v>
      </c>
      <c r="G9" s="20">
        <v>1.0</v>
      </c>
      <c r="H9" s="20" t="str">
        <f t="shared" ref="H9:H12" si="5">MID($B$4,(G9-1)*8+1, 8)</f>
        <v>11111010</v>
      </c>
      <c r="I9" s="20" t="str">
        <f t="shared" ref="I9:I12" si="6">BIN2HEX(H9,2)</f>
        <v>FA</v>
      </c>
      <c r="J9" s="20">
        <f t="shared" ref="J9:J12" si="7">HEX2DEC(I9)</f>
        <v>250</v>
      </c>
    </row>
    <row r="10" ht="14.25" customHeight="1">
      <c r="A10" s="20">
        <v>2.0</v>
      </c>
      <c r="B10" s="20" t="str">
        <f t="shared" si="2"/>
        <v>11111100</v>
      </c>
      <c r="C10" s="20" t="str">
        <f t="shared" si="3"/>
        <v>FC</v>
      </c>
      <c r="D10" s="20">
        <f t="shared" si="4"/>
        <v>252</v>
      </c>
      <c r="G10" s="20">
        <v>2.0</v>
      </c>
      <c r="H10" s="20" t="str">
        <f t="shared" si="5"/>
        <v>00110110</v>
      </c>
      <c r="I10" s="20" t="str">
        <f t="shared" si="6"/>
        <v>36</v>
      </c>
      <c r="J10" s="20">
        <f t="shared" si="7"/>
        <v>54</v>
      </c>
    </row>
    <row r="11" ht="14.25" customHeight="1">
      <c r="A11" s="20">
        <v>3.0</v>
      </c>
      <c r="B11" s="20" t="str">
        <f t="shared" si="2"/>
        <v>01111010</v>
      </c>
      <c r="C11" s="20" t="str">
        <f t="shared" si="3"/>
        <v>7A</v>
      </c>
      <c r="D11" s="20">
        <f t="shared" si="4"/>
        <v>122</v>
      </c>
      <c r="G11" s="20">
        <v>3.0</v>
      </c>
      <c r="H11" s="20" t="str">
        <f t="shared" si="5"/>
        <v>01010001</v>
      </c>
      <c r="I11" s="20" t="str">
        <f t="shared" si="6"/>
        <v>51</v>
      </c>
      <c r="J11" s="20">
        <f t="shared" si="7"/>
        <v>81</v>
      </c>
    </row>
    <row r="12" ht="14.25" customHeight="1">
      <c r="A12" s="20">
        <v>4.0</v>
      </c>
      <c r="B12" s="20" t="str">
        <f t="shared" si="2"/>
        <v>01001000</v>
      </c>
      <c r="C12" s="20" t="str">
        <f t="shared" si="3"/>
        <v>48</v>
      </c>
      <c r="D12" s="20">
        <f t="shared" si="4"/>
        <v>72</v>
      </c>
      <c r="G12" s="20">
        <v>4.0</v>
      </c>
      <c r="H12" s="20" t="str">
        <f t="shared" si="5"/>
        <v>11001111</v>
      </c>
      <c r="I12" s="20" t="str">
        <f t="shared" si="6"/>
        <v>CF</v>
      </c>
      <c r="J12" s="20">
        <f t="shared" si="7"/>
        <v>207</v>
      </c>
    </row>
    <row r="13" ht="14.25" customHeight="1"/>
    <row r="14" ht="14.25" customHeight="1">
      <c r="A14" s="1" t="str">
        <f>M5&amp;" = F XOR "&amp;L4&amp;" ="</f>
        <v>R14 = F XOR L13 =</v>
      </c>
      <c r="C14" s="23" t="str">
        <f>F17&amp;F18&amp;F19&amp;F20</f>
        <v>10011111110010100010101110000111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159</v>
      </c>
      <c r="E17" s="20" t="str">
        <f t="shared" ref="E17:E20" si="9">DEC2HEX(D17,2)</f>
        <v>9F</v>
      </c>
      <c r="F17" s="20" t="str">
        <f t="shared" ref="F17:F20" si="10">HEX2BIN(E17,8)</f>
        <v>10011111</v>
      </c>
    </row>
    <row r="18" ht="14.25" customHeight="1">
      <c r="C18" s="20">
        <v>2.0</v>
      </c>
      <c r="D18" s="20">
        <f t="shared" si="8"/>
        <v>202</v>
      </c>
      <c r="E18" s="20" t="str">
        <f t="shared" si="9"/>
        <v>CA</v>
      </c>
      <c r="F18" s="20" t="str">
        <f t="shared" si="10"/>
        <v>11001010</v>
      </c>
    </row>
    <row r="19" ht="14.25" customHeight="1">
      <c r="C19" s="20">
        <v>3.0</v>
      </c>
      <c r="D19" s="20">
        <f t="shared" si="8"/>
        <v>43</v>
      </c>
      <c r="E19" s="20" t="str">
        <f t="shared" si="9"/>
        <v>2B</v>
      </c>
      <c r="F19" s="20" t="str">
        <f t="shared" si="10"/>
        <v>00101011</v>
      </c>
    </row>
    <row r="20" ht="14.25" customHeight="1">
      <c r="C20" s="20">
        <v>4.0</v>
      </c>
      <c r="D20" s="20">
        <f t="shared" si="8"/>
        <v>135</v>
      </c>
      <c r="E20" s="20" t="str">
        <f t="shared" si="9"/>
        <v>87</v>
      </c>
      <c r="F20" s="20" t="str">
        <f t="shared" si="10"/>
        <v>10000111</v>
      </c>
    </row>
    <row r="21" ht="14.25" customHeight="1"/>
    <row r="22" ht="14.25" customHeight="1">
      <c r="A22" s="1" t="str">
        <f>M4&amp;" = "&amp;L5&amp;" ="</f>
        <v>L14 = R13 =</v>
      </c>
      <c r="C22" s="23" t="str">
        <f>B5</f>
        <v>00111111011110011100011010100110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R14 =&gt; E(R14)</v>
      </c>
      <c r="D24" s="1" t="str">
        <f>B26</f>
        <v>110011111111111001010100000101010111110000001111</v>
      </c>
    </row>
    <row r="25" ht="14.25" customHeight="1">
      <c r="A25" s="1" t="s">
        <v>66</v>
      </c>
    </row>
    <row r="26" ht="14.25" customHeight="1">
      <c r="A26" s="1" t="str">
        <f>MID($C$14,Constanst!K3,1)</f>
        <v>1</v>
      </c>
      <c r="B26" s="1" t="str">
        <f t="shared" ref="B26:B71" si="11">A26&amp;B27</f>
        <v>110011111111111001010100000101010111110000001111</v>
      </c>
    </row>
    <row r="27" ht="14.25" customHeight="1">
      <c r="A27" s="1" t="str">
        <f>MID($C$14,Constanst!K4,1)</f>
        <v>1</v>
      </c>
      <c r="B27" s="1" t="str">
        <f t="shared" si="11"/>
        <v>10011111111111001010100000101010111110000001111</v>
      </c>
    </row>
    <row r="28" ht="14.25" customHeight="1">
      <c r="A28" s="1" t="str">
        <f>MID($C$14,Constanst!K5,1)</f>
        <v>0</v>
      </c>
      <c r="B28" s="1" t="str">
        <f t="shared" si="11"/>
        <v>0011111111111001010100000101010111110000001111</v>
      </c>
    </row>
    <row r="29" ht="14.25" customHeight="1">
      <c r="A29" s="1" t="str">
        <f>MID($C$14,Constanst!K6,1)</f>
        <v>0</v>
      </c>
      <c r="B29" s="1" t="str">
        <f t="shared" si="11"/>
        <v>011111111111001010100000101010111110000001111</v>
      </c>
    </row>
    <row r="30" ht="14.25" customHeight="1">
      <c r="A30" s="1" t="str">
        <f>MID($C$14,Constanst!K7,1)</f>
        <v>1</v>
      </c>
      <c r="B30" s="1" t="str">
        <f t="shared" si="11"/>
        <v>11111111111001010100000101010111110000001111</v>
      </c>
    </row>
    <row r="31" ht="14.25" customHeight="1">
      <c r="A31" s="1" t="str">
        <f>MID($C$14,Constanst!K8,1)</f>
        <v>1</v>
      </c>
      <c r="B31" s="1" t="str">
        <f t="shared" si="11"/>
        <v>1111111111001010100000101010111110000001111</v>
      </c>
    </row>
    <row r="32" ht="14.25" customHeight="1">
      <c r="A32" s="1" t="str">
        <f>MID($C$14,Constanst!K9,1)</f>
        <v>1</v>
      </c>
      <c r="B32" s="1" t="str">
        <f t="shared" si="11"/>
        <v>111111111001010100000101010111110000001111</v>
      </c>
    </row>
    <row r="33" ht="14.25" customHeight="1">
      <c r="A33" s="1" t="str">
        <f>MID($C$14,Constanst!K10,1)</f>
        <v>1</v>
      </c>
      <c r="B33" s="1" t="str">
        <f t="shared" si="11"/>
        <v>11111111001010100000101010111110000001111</v>
      </c>
    </row>
    <row r="34" ht="14.25" customHeight="1">
      <c r="A34" s="1" t="str">
        <f>MID($C$14,Constanst!K11,1)</f>
        <v>1</v>
      </c>
      <c r="B34" s="1" t="str">
        <f t="shared" si="11"/>
        <v>1111111001010100000101010111110000001111</v>
      </c>
    </row>
    <row r="35" ht="14.25" customHeight="1">
      <c r="A35" s="1" t="str">
        <f>MID($C$14,Constanst!K12,1)</f>
        <v>1</v>
      </c>
      <c r="B35" s="1" t="str">
        <f t="shared" si="11"/>
        <v>111111001010100000101010111110000001111</v>
      </c>
    </row>
    <row r="36" ht="14.25" customHeight="1">
      <c r="A36" s="1" t="str">
        <f>MID($C$14,Constanst!K13,1)</f>
        <v>1</v>
      </c>
      <c r="B36" s="1" t="str">
        <f t="shared" si="11"/>
        <v>11111001010100000101010111110000001111</v>
      </c>
    </row>
    <row r="37" ht="14.25" customHeight="1">
      <c r="A37" s="1" t="str">
        <f>MID($C$14,Constanst!K14,1)</f>
        <v>1</v>
      </c>
      <c r="B37" s="1" t="str">
        <f t="shared" si="11"/>
        <v>1111001010100000101010111110000001111</v>
      </c>
    </row>
    <row r="38" ht="14.25" customHeight="1">
      <c r="A38" s="1" t="str">
        <f>MID($C$14,Constanst!K15,1)</f>
        <v>1</v>
      </c>
      <c r="B38" s="1" t="str">
        <f t="shared" si="11"/>
        <v>111001010100000101010111110000001111</v>
      </c>
    </row>
    <row r="39" ht="14.25" customHeight="1">
      <c r="A39" s="1" t="str">
        <f>MID($C$14,Constanst!K16,1)</f>
        <v>1</v>
      </c>
      <c r="B39" s="1" t="str">
        <f t="shared" si="11"/>
        <v>11001010100000101010111110000001111</v>
      </c>
    </row>
    <row r="40" ht="14.25" customHeight="1">
      <c r="A40" s="1" t="str">
        <f>MID($C$14,Constanst!K17,1)</f>
        <v>1</v>
      </c>
      <c r="B40" s="1" t="str">
        <f t="shared" si="11"/>
        <v>1001010100000101010111110000001111</v>
      </c>
    </row>
    <row r="41" ht="14.25" customHeight="1">
      <c r="A41" s="1" t="str">
        <f>MID($C$14,Constanst!K18,1)</f>
        <v>0</v>
      </c>
      <c r="B41" s="1" t="str">
        <f t="shared" si="11"/>
        <v>001010100000101010111110000001111</v>
      </c>
    </row>
    <row r="42" ht="14.25" customHeight="1">
      <c r="A42" s="1" t="str">
        <f>MID($C$14,Constanst!K19,1)</f>
        <v>0</v>
      </c>
      <c r="B42" s="1" t="str">
        <f t="shared" si="11"/>
        <v>01010100000101010111110000001111</v>
      </c>
    </row>
    <row r="43" ht="14.25" customHeight="1">
      <c r="A43" s="1" t="str">
        <f>MID($C$14,Constanst!K20,1)</f>
        <v>1</v>
      </c>
      <c r="B43" s="1" t="str">
        <f t="shared" si="11"/>
        <v>1010100000101010111110000001111</v>
      </c>
    </row>
    <row r="44" ht="14.25" customHeight="1">
      <c r="A44" s="1" t="str">
        <f>MID($C$14,Constanst!K21,1)</f>
        <v>0</v>
      </c>
      <c r="B44" s="1" t="str">
        <f t="shared" si="11"/>
        <v>010100000101010111110000001111</v>
      </c>
    </row>
    <row r="45" ht="14.25" customHeight="1">
      <c r="A45" s="1" t="str">
        <f>MID($C$14,Constanst!K22,1)</f>
        <v>1</v>
      </c>
      <c r="B45" s="1" t="str">
        <f t="shared" si="11"/>
        <v>10100000101010111110000001111</v>
      </c>
    </row>
    <row r="46" ht="14.25" customHeight="1">
      <c r="A46" s="1" t="str">
        <f>MID($C$14,Constanst!K23,1)</f>
        <v>0</v>
      </c>
      <c r="B46" s="1" t="str">
        <f t="shared" si="11"/>
        <v>0100000101010111110000001111</v>
      </c>
    </row>
    <row r="47" ht="14.25" customHeight="1">
      <c r="A47" s="1" t="str">
        <f>MID($C$14,Constanst!K24,1)</f>
        <v>1</v>
      </c>
      <c r="B47" s="1" t="str">
        <f t="shared" si="11"/>
        <v>100000101010111110000001111</v>
      </c>
    </row>
    <row r="48" ht="14.25" customHeight="1">
      <c r="A48" s="1" t="str">
        <f>MID($C$14,Constanst!K25,1)</f>
        <v>0</v>
      </c>
      <c r="B48" s="1" t="str">
        <f t="shared" si="11"/>
        <v>00000101010111110000001111</v>
      </c>
    </row>
    <row r="49" ht="14.25" customHeight="1">
      <c r="A49" s="1" t="str">
        <f>MID($C$14,Constanst!K26,1)</f>
        <v>0</v>
      </c>
      <c r="B49" s="1" t="str">
        <f t="shared" si="11"/>
        <v>0000101010111110000001111</v>
      </c>
    </row>
    <row r="50" ht="14.25" customHeight="1">
      <c r="A50" s="1" t="str">
        <f>MID($C$14,Constanst!K27,1)</f>
        <v>0</v>
      </c>
      <c r="B50" s="1" t="str">
        <f t="shared" si="11"/>
        <v>000101010111110000001111</v>
      </c>
    </row>
    <row r="51" ht="14.25" customHeight="1">
      <c r="A51" s="1" t="str">
        <f>MID($C$14,Constanst!K28,1)</f>
        <v>0</v>
      </c>
      <c r="B51" s="1" t="str">
        <f t="shared" si="11"/>
        <v>00101010111110000001111</v>
      </c>
    </row>
    <row r="52" ht="14.25" customHeight="1">
      <c r="A52" s="1" t="str">
        <f>MID($C$14,Constanst!K29,1)</f>
        <v>0</v>
      </c>
      <c r="B52" s="1" t="str">
        <f t="shared" si="11"/>
        <v>0101010111110000001111</v>
      </c>
    </row>
    <row r="53" ht="14.25" customHeight="1">
      <c r="A53" s="1" t="str">
        <f>MID($C$14,Constanst!K30,1)</f>
        <v>1</v>
      </c>
      <c r="B53" s="1" t="str">
        <f t="shared" si="11"/>
        <v>101010111110000001111</v>
      </c>
    </row>
    <row r="54" ht="14.25" customHeight="1">
      <c r="A54" s="1" t="str">
        <f>MID($C$14,Constanst!K31,1)</f>
        <v>0</v>
      </c>
      <c r="B54" s="1" t="str">
        <f t="shared" si="11"/>
        <v>01010111110000001111</v>
      </c>
    </row>
    <row r="55" ht="14.25" customHeight="1">
      <c r="A55" s="1" t="str">
        <f>MID($C$14,Constanst!K32,1)</f>
        <v>1</v>
      </c>
      <c r="B55" s="1" t="str">
        <f t="shared" si="11"/>
        <v>1010111110000001111</v>
      </c>
    </row>
    <row r="56" ht="14.25" customHeight="1">
      <c r="A56" s="1" t="str">
        <f>MID($C$14,Constanst!K33,1)</f>
        <v>0</v>
      </c>
      <c r="B56" s="1" t="str">
        <f t="shared" si="11"/>
        <v>010111110000001111</v>
      </c>
    </row>
    <row r="57" ht="14.25" customHeight="1">
      <c r="A57" s="1" t="str">
        <f>MID($C$14,Constanst!K34,1)</f>
        <v>1</v>
      </c>
      <c r="B57" s="1" t="str">
        <f t="shared" si="11"/>
        <v>10111110000001111</v>
      </c>
    </row>
    <row r="58" ht="14.25" customHeight="1">
      <c r="A58" s="1" t="str">
        <f>MID($C$14,Constanst!K35,1)</f>
        <v>0</v>
      </c>
      <c r="B58" s="1" t="str">
        <f t="shared" si="11"/>
        <v>0111110000001111</v>
      </c>
    </row>
    <row r="59" ht="14.25" customHeight="1">
      <c r="A59" s="1" t="str">
        <f>MID($C$14,Constanst!K36,1)</f>
        <v>1</v>
      </c>
      <c r="B59" s="1" t="str">
        <f t="shared" si="11"/>
        <v>111110000001111</v>
      </c>
    </row>
    <row r="60" ht="14.25" customHeight="1">
      <c r="A60" s="1" t="str">
        <f>MID($C$14,Constanst!K37,1)</f>
        <v>1</v>
      </c>
      <c r="B60" s="1" t="str">
        <f t="shared" si="11"/>
        <v>11110000001111</v>
      </c>
    </row>
    <row r="61" ht="14.25" customHeight="1">
      <c r="A61" s="1" t="str">
        <f>MID($C$14,Constanst!K38,1)</f>
        <v>1</v>
      </c>
      <c r="B61" s="1" t="str">
        <f t="shared" si="11"/>
        <v>1110000001111</v>
      </c>
    </row>
    <row r="62" ht="14.25" customHeight="1">
      <c r="A62" s="1" t="str">
        <f>MID($C$14,Constanst!K39,1)</f>
        <v>1</v>
      </c>
      <c r="B62" s="1" t="str">
        <f t="shared" si="11"/>
        <v>110000001111</v>
      </c>
    </row>
    <row r="63" ht="14.25" customHeight="1">
      <c r="A63" s="1" t="str">
        <f>MID($C$14,Constanst!K40,1)</f>
        <v>1</v>
      </c>
      <c r="B63" s="1" t="str">
        <f t="shared" si="11"/>
        <v>10000001111</v>
      </c>
    </row>
    <row r="64" ht="14.25" customHeight="1">
      <c r="A64" s="1" t="str">
        <f>MID($C$14,Constanst!K41,1)</f>
        <v>0</v>
      </c>
      <c r="B64" s="1" t="str">
        <f t="shared" si="11"/>
        <v>0000001111</v>
      </c>
    </row>
    <row r="65" ht="14.25" customHeight="1">
      <c r="A65" s="1" t="str">
        <f>MID($C$14,Constanst!K42,1)</f>
        <v>0</v>
      </c>
      <c r="B65" s="1" t="str">
        <f t="shared" si="11"/>
        <v>000001111</v>
      </c>
    </row>
    <row r="66" ht="14.25" customHeight="1">
      <c r="A66" s="1" t="str">
        <f>MID($C$14,Constanst!K43,1)</f>
        <v>0</v>
      </c>
      <c r="B66" s="1" t="str">
        <f t="shared" si="11"/>
        <v>00001111</v>
      </c>
    </row>
    <row r="67" ht="14.25" customHeight="1">
      <c r="A67" s="1" t="str">
        <f>MID($C$14,Constanst!K44,1)</f>
        <v>0</v>
      </c>
      <c r="B67" s="1" t="str">
        <f t="shared" si="11"/>
        <v>0001111</v>
      </c>
    </row>
    <row r="68" ht="14.25" customHeight="1">
      <c r="A68" s="1" t="str">
        <f>MID($C$14,Constanst!K45,1)</f>
        <v>0</v>
      </c>
      <c r="B68" s="1" t="str">
        <f t="shared" si="11"/>
        <v>001111</v>
      </c>
    </row>
    <row r="69" ht="14.25" customHeight="1">
      <c r="A69" s="1" t="str">
        <f>MID($C$14,Constanst!K46,1)</f>
        <v>0</v>
      </c>
      <c r="B69" s="1" t="str">
        <f t="shared" si="11"/>
        <v>01111</v>
      </c>
    </row>
    <row r="70" ht="14.25" customHeight="1">
      <c r="A70" s="1" t="str">
        <f>MID($C$14,Constanst!K47,1)</f>
        <v>1</v>
      </c>
      <c r="B70" s="1" t="str">
        <f t="shared" si="11"/>
        <v>1111</v>
      </c>
    </row>
    <row r="71" ht="14.25" customHeight="1">
      <c r="A71" s="1" t="str">
        <f>MID($C$14,Constanst!K48,1)</f>
        <v>1</v>
      </c>
      <c r="B71" s="1" t="str">
        <f t="shared" si="11"/>
        <v>111</v>
      </c>
    </row>
    <row r="72" ht="14.25" customHeight="1">
      <c r="A72" s="1" t="str">
        <f>MID($C$14,Constanst!K49,1)</f>
        <v>1</v>
      </c>
      <c r="B72" s="1" t="str">
        <f>A72&amp;A73</f>
        <v>11</v>
      </c>
    </row>
    <row r="73" ht="14.25" customHeight="1">
      <c r="A73" s="1" t="str">
        <f>MID($C$14,Constanst!K50,1)</f>
        <v>1</v>
      </c>
    </row>
    <row r="74" ht="14.25" customHeight="1"/>
    <row r="75" ht="14.25" customHeight="1">
      <c r="A75" s="1" t="str">
        <f>"Thực hiện phép XOR A = E("&amp;M5&amp;") XOR "&amp;L6</f>
        <v>Thực hiện phép XOR A = E(R14) XOR K15</v>
      </c>
    </row>
    <row r="76" ht="14.25" customHeight="1">
      <c r="A76" s="11" t="str">
        <f>"Khóa " &amp; L6</f>
        <v>Khóa K15</v>
      </c>
      <c r="B76" s="5"/>
      <c r="C76" s="5"/>
      <c r="D76" s="6"/>
      <c r="G76" s="11" t="str">
        <f>"E("&amp;M5&amp;")"</f>
        <v>E(R14)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10111111</v>
      </c>
      <c r="C78" s="20" t="str">
        <f t="shared" ref="C78:C83" si="13">BIN2HEX(B78,2)</f>
        <v>BF</v>
      </c>
      <c r="D78" s="20">
        <f t="shared" ref="D78:D83" si="14">BIN2DEC(B78)</f>
        <v>191</v>
      </c>
      <c r="G78" s="20">
        <v>1.0</v>
      </c>
      <c r="H78" s="20" t="str">
        <f t="shared" ref="H78:H83" si="15">MID($D$24,(G78-1)*8+1, 8)</f>
        <v>11001111</v>
      </c>
      <c r="I78" s="20" t="str">
        <f t="shared" ref="I78:I83" si="16">BIN2HEX(H78,2)</f>
        <v>CF</v>
      </c>
      <c r="J78" s="20">
        <f t="shared" ref="J78:J83" si="17">BIN2DEC(H78)</f>
        <v>207</v>
      </c>
    </row>
    <row r="79" ht="14.25" customHeight="1">
      <c r="A79" s="20">
        <v>2.0</v>
      </c>
      <c r="B79" s="20" t="str">
        <f t="shared" si="12"/>
        <v>10010001</v>
      </c>
      <c r="C79" s="20" t="str">
        <f t="shared" si="13"/>
        <v>91</v>
      </c>
      <c r="D79" s="20">
        <f t="shared" si="14"/>
        <v>145</v>
      </c>
      <c r="G79" s="20">
        <v>2.0</v>
      </c>
      <c r="H79" s="20" t="str">
        <f t="shared" si="15"/>
        <v>11111110</v>
      </c>
      <c r="I79" s="20" t="str">
        <f t="shared" si="16"/>
        <v>FE</v>
      </c>
      <c r="J79" s="20">
        <f t="shared" si="17"/>
        <v>254</v>
      </c>
    </row>
    <row r="80" ht="14.25" customHeight="1">
      <c r="A80" s="20">
        <v>3.0</v>
      </c>
      <c r="B80" s="20" t="str">
        <f t="shared" si="12"/>
        <v>10000101</v>
      </c>
      <c r="C80" s="20" t="str">
        <f t="shared" si="13"/>
        <v>85</v>
      </c>
      <c r="D80" s="20">
        <f t="shared" si="14"/>
        <v>133</v>
      </c>
      <c r="G80" s="20">
        <v>3.0</v>
      </c>
      <c r="H80" s="20" t="str">
        <f t="shared" si="15"/>
        <v>01010100</v>
      </c>
      <c r="I80" s="20" t="str">
        <f t="shared" si="16"/>
        <v>54</v>
      </c>
      <c r="J80" s="20">
        <f t="shared" si="17"/>
        <v>84</v>
      </c>
    </row>
    <row r="81" ht="14.25" customHeight="1">
      <c r="A81" s="20">
        <v>4.0</v>
      </c>
      <c r="B81" s="20" t="str">
        <f t="shared" si="12"/>
        <v>00001010</v>
      </c>
      <c r="C81" s="20" t="str">
        <f t="shared" si="13"/>
        <v>0A</v>
      </c>
      <c r="D81" s="20">
        <f t="shared" si="14"/>
        <v>10</v>
      </c>
      <c r="G81" s="20">
        <v>4.0</v>
      </c>
      <c r="H81" s="20" t="str">
        <f t="shared" si="15"/>
        <v>00010101</v>
      </c>
      <c r="I81" s="20" t="str">
        <f t="shared" si="16"/>
        <v>15</v>
      </c>
      <c r="J81" s="20">
        <f t="shared" si="17"/>
        <v>21</v>
      </c>
    </row>
    <row r="82" ht="14.25" customHeight="1">
      <c r="A82" s="20">
        <v>5.0</v>
      </c>
      <c r="B82" s="20" t="str">
        <f t="shared" si="12"/>
        <v>00010111</v>
      </c>
      <c r="C82" s="20" t="str">
        <f t="shared" si="13"/>
        <v>17</v>
      </c>
      <c r="D82" s="20">
        <f t="shared" si="14"/>
        <v>23</v>
      </c>
      <c r="G82" s="20">
        <v>5.0</v>
      </c>
      <c r="H82" s="20" t="str">
        <f t="shared" si="15"/>
        <v>01111100</v>
      </c>
      <c r="I82" s="20" t="str">
        <f t="shared" si="16"/>
        <v>7C</v>
      </c>
      <c r="J82" s="20">
        <f t="shared" si="17"/>
        <v>124</v>
      </c>
    </row>
    <row r="83" ht="14.25" customHeight="1">
      <c r="A83" s="20">
        <v>6.0</v>
      </c>
      <c r="B83" s="20" t="str">
        <f t="shared" si="12"/>
        <v>10110101</v>
      </c>
      <c r="C83" s="20" t="str">
        <f t="shared" si="13"/>
        <v>B5</v>
      </c>
      <c r="D83" s="20">
        <f t="shared" si="14"/>
        <v>181</v>
      </c>
      <c r="G83" s="20">
        <v>6.0</v>
      </c>
      <c r="H83" s="20" t="str">
        <f t="shared" si="15"/>
        <v>00001111</v>
      </c>
      <c r="I83" s="20" t="str">
        <f t="shared" si="16"/>
        <v>0F</v>
      </c>
      <c r="J83" s="20">
        <f t="shared" si="17"/>
        <v>15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XOR(ER14, K15)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112</v>
      </c>
      <c r="C86" s="26" t="str">
        <f t="shared" ref="C86:C91" si="19">DEC2BIN(B86,8)</f>
        <v>01110000</v>
      </c>
      <c r="D86" s="26" t="str">
        <f t="shared" ref="D86:D91" si="20">BIN2HEX(C86,2)</f>
        <v>70</v>
      </c>
    </row>
    <row r="87" ht="14.25" customHeight="1">
      <c r="A87" s="26">
        <v>2.0</v>
      </c>
      <c r="B87" s="26">
        <f t="shared" si="18"/>
        <v>111</v>
      </c>
      <c r="C87" s="26" t="str">
        <f t="shared" si="19"/>
        <v>01101111</v>
      </c>
      <c r="D87" s="26" t="str">
        <f t="shared" si="20"/>
        <v>6F</v>
      </c>
    </row>
    <row r="88" ht="14.25" customHeight="1">
      <c r="A88" s="26">
        <v>3.0</v>
      </c>
      <c r="B88" s="26">
        <f t="shared" si="18"/>
        <v>209</v>
      </c>
      <c r="C88" s="26" t="str">
        <f t="shared" si="19"/>
        <v>11010001</v>
      </c>
      <c r="D88" s="26" t="str">
        <f t="shared" si="20"/>
        <v>D1</v>
      </c>
    </row>
    <row r="89" ht="14.25" customHeight="1">
      <c r="A89" s="26">
        <v>4.0</v>
      </c>
      <c r="B89" s="26">
        <f t="shared" si="18"/>
        <v>31</v>
      </c>
      <c r="C89" s="26" t="str">
        <f t="shared" si="19"/>
        <v>00011111</v>
      </c>
      <c r="D89" s="26" t="str">
        <f t="shared" si="20"/>
        <v>1F</v>
      </c>
    </row>
    <row r="90" ht="14.25" customHeight="1">
      <c r="A90" s="26">
        <v>5.0</v>
      </c>
      <c r="B90" s="26">
        <f t="shared" si="18"/>
        <v>107</v>
      </c>
      <c r="C90" s="26" t="str">
        <f t="shared" si="19"/>
        <v>01101011</v>
      </c>
      <c r="D90" s="26" t="str">
        <f t="shared" si="20"/>
        <v>6B</v>
      </c>
    </row>
    <row r="91" ht="14.25" customHeight="1">
      <c r="A91" s="26">
        <v>6.0</v>
      </c>
      <c r="B91" s="26">
        <f t="shared" si="18"/>
        <v>186</v>
      </c>
      <c r="C91" s="26" t="str">
        <f t="shared" si="19"/>
        <v>10111010</v>
      </c>
      <c r="D91" s="26" t="str">
        <f t="shared" si="20"/>
        <v>BA</v>
      </c>
    </row>
    <row r="92" ht="14.25" customHeight="1"/>
    <row r="93" ht="14.25" customHeight="1">
      <c r="B93" s="1" t="str">
        <f>"A = E"&amp;M5&amp;" XOR "&amp;L6&amp;" ="</f>
        <v>A = ER14 XOR K15 =</v>
      </c>
      <c r="D93" s="22" t="str">
        <f>C86&amp;C87&amp;C88&amp;C89&amp;C90&amp;C91</f>
        <v>011100000110111111010001000111110110101110111010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011100</v>
      </c>
      <c r="C98" s="3" t="str">
        <f t="shared" ref="C98:C105" si="22">LEFT(B98,1)&amp;(RIGHT(B98,1))</f>
        <v>00</v>
      </c>
      <c r="D98" s="3" t="str">
        <f t="shared" ref="D98:D105" si="23">MID(B98,2,4)</f>
        <v>1110</v>
      </c>
      <c r="E98" s="3" t="str">
        <f t="shared" ref="E98:E105" si="24">C98&amp;D98</f>
        <v>001110</v>
      </c>
      <c r="F98" s="18">
        <f t="shared" ref="F98:F105" si="25">BIN2DEC(E98)</f>
        <v>14</v>
      </c>
      <c r="G98" s="3">
        <f>VLOOKUP(F98,Constanst!$M$3:$U$66,2,TRUE)</f>
        <v>0</v>
      </c>
      <c r="H98" s="3" t="str">
        <f t="shared" ref="H98:H105" si="26">DEC2BIN(G98,4)</f>
        <v>0000</v>
      </c>
      <c r="I98" s="3" t="str">
        <f>H98</f>
        <v>0000</v>
      </c>
    </row>
    <row r="99" ht="14.25" customHeight="1">
      <c r="A99" s="3">
        <v>2.0</v>
      </c>
      <c r="B99" s="3" t="str">
        <f t="shared" si="21"/>
        <v>000110</v>
      </c>
      <c r="C99" s="3" t="str">
        <f t="shared" si="22"/>
        <v>00</v>
      </c>
      <c r="D99" s="3" t="str">
        <f t="shared" si="23"/>
        <v>0011</v>
      </c>
      <c r="E99" s="3" t="str">
        <f t="shared" si="24"/>
        <v>000011</v>
      </c>
      <c r="F99" s="18">
        <f t="shared" si="25"/>
        <v>3</v>
      </c>
      <c r="G99" s="3">
        <f>VLOOKUP(F99,Constanst!$M$3:$U$66,3,TRUE)</f>
        <v>14</v>
      </c>
      <c r="H99" s="3" t="str">
        <f t="shared" si="26"/>
        <v>1110</v>
      </c>
      <c r="I99" s="3" t="str">
        <f t="shared" ref="I99:I105" si="27">I98&amp;H99</f>
        <v>00001110</v>
      </c>
    </row>
    <row r="100" ht="14.25" customHeight="1">
      <c r="A100" s="3">
        <v>3.0</v>
      </c>
      <c r="B100" s="3" t="str">
        <f t="shared" si="21"/>
        <v>111111</v>
      </c>
      <c r="C100" s="3" t="str">
        <f t="shared" si="22"/>
        <v>11</v>
      </c>
      <c r="D100" s="3" t="str">
        <f t="shared" si="23"/>
        <v>1111</v>
      </c>
      <c r="E100" s="3" t="str">
        <f t="shared" si="24"/>
        <v>111111</v>
      </c>
      <c r="F100" s="18">
        <f t="shared" si="25"/>
        <v>63</v>
      </c>
      <c r="G100" s="3">
        <f>VLOOKUP(F100,Constanst!$M$3:$U$66,4,TRUE)</f>
        <v>12</v>
      </c>
      <c r="H100" s="3" t="str">
        <f t="shared" si="26"/>
        <v>1100</v>
      </c>
      <c r="I100" s="3" t="str">
        <f t="shared" si="27"/>
        <v>000011101100</v>
      </c>
    </row>
    <row r="101" ht="14.25" customHeight="1">
      <c r="A101" s="3">
        <v>4.0</v>
      </c>
      <c r="B101" s="3" t="str">
        <f t="shared" si="21"/>
        <v>010001</v>
      </c>
      <c r="C101" s="3" t="str">
        <f t="shared" si="22"/>
        <v>01</v>
      </c>
      <c r="D101" s="3" t="str">
        <f t="shared" si="23"/>
        <v>1000</v>
      </c>
      <c r="E101" s="3" t="str">
        <f t="shared" si="24"/>
        <v>011000</v>
      </c>
      <c r="F101" s="18">
        <f t="shared" si="25"/>
        <v>24</v>
      </c>
      <c r="G101" s="3">
        <f>VLOOKUP(F101,Constanst!$M$3:$U$66,5,TRUE)</f>
        <v>4</v>
      </c>
      <c r="H101" s="3" t="str">
        <f t="shared" si="26"/>
        <v>0100</v>
      </c>
      <c r="I101" s="3" t="str">
        <f t="shared" si="27"/>
        <v>0000111011000100</v>
      </c>
    </row>
    <row r="102" ht="14.25" customHeight="1">
      <c r="A102" s="3">
        <v>5.0</v>
      </c>
      <c r="B102" s="3" t="str">
        <f t="shared" si="21"/>
        <v>000111</v>
      </c>
      <c r="C102" s="3" t="str">
        <f t="shared" si="22"/>
        <v>01</v>
      </c>
      <c r="D102" s="3" t="str">
        <f t="shared" si="23"/>
        <v>0011</v>
      </c>
      <c r="E102" s="3" t="str">
        <f t="shared" si="24"/>
        <v>010011</v>
      </c>
      <c r="F102" s="18">
        <f t="shared" si="25"/>
        <v>19</v>
      </c>
      <c r="G102" s="3">
        <f>VLOOKUP(F102,Constanst!$M$3:$U$66,6,TRUE)</f>
        <v>12</v>
      </c>
      <c r="H102" s="3" t="str">
        <f t="shared" si="26"/>
        <v>1100</v>
      </c>
      <c r="I102" s="3" t="str">
        <f t="shared" si="27"/>
        <v>00001110110001001100</v>
      </c>
    </row>
    <row r="103" ht="14.25" customHeight="1">
      <c r="A103" s="3">
        <v>6.0</v>
      </c>
      <c r="B103" s="3" t="str">
        <f t="shared" si="21"/>
        <v>110110</v>
      </c>
      <c r="C103" s="3" t="str">
        <f t="shared" si="22"/>
        <v>10</v>
      </c>
      <c r="D103" s="3" t="str">
        <f t="shared" si="23"/>
        <v>1011</v>
      </c>
      <c r="E103" s="3" t="str">
        <f t="shared" si="24"/>
        <v>101011</v>
      </c>
      <c r="F103" s="18">
        <f t="shared" si="25"/>
        <v>43</v>
      </c>
      <c r="G103" s="3">
        <f>VLOOKUP(F103,Constanst!$M$3:$U$66,7,TRUE)</f>
        <v>10</v>
      </c>
      <c r="H103" s="3" t="str">
        <f t="shared" si="26"/>
        <v>1010</v>
      </c>
      <c r="I103" s="3" t="str">
        <f t="shared" si="27"/>
        <v>000011101100010011001010</v>
      </c>
    </row>
    <row r="104" ht="14.25" customHeight="1">
      <c r="A104" s="3">
        <v>7.0</v>
      </c>
      <c r="B104" s="3" t="str">
        <f t="shared" si="21"/>
        <v>101110</v>
      </c>
      <c r="C104" s="3" t="str">
        <f t="shared" si="22"/>
        <v>10</v>
      </c>
      <c r="D104" s="3" t="str">
        <f t="shared" si="23"/>
        <v>0111</v>
      </c>
      <c r="E104" s="3" t="str">
        <f t="shared" si="24"/>
        <v>100111</v>
      </c>
      <c r="F104" s="18">
        <f t="shared" si="25"/>
        <v>39</v>
      </c>
      <c r="G104" s="3">
        <f>VLOOKUP(F104,Constanst!$M$3:$U$66,8,TRUE)</f>
        <v>14</v>
      </c>
      <c r="H104" s="3" t="str">
        <f t="shared" si="26"/>
        <v>1110</v>
      </c>
      <c r="I104" s="3" t="str">
        <f t="shared" si="27"/>
        <v>0000111011000100110010101110</v>
      </c>
    </row>
    <row r="105" ht="14.25" customHeight="1">
      <c r="A105" s="3">
        <v>8.0</v>
      </c>
      <c r="B105" s="3" t="str">
        <f t="shared" si="21"/>
        <v>111010</v>
      </c>
      <c r="C105" s="3" t="str">
        <f t="shared" si="22"/>
        <v>10</v>
      </c>
      <c r="D105" s="3" t="str">
        <f t="shared" si="23"/>
        <v>1101</v>
      </c>
      <c r="E105" s="3" t="str">
        <f t="shared" si="24"/>
        <v>101101</v>
      </c>
      <c r="F105" s="18">
        <f t="shared" si="25"/>
        <v>45</v>
      </c>
      <c r="G105" s="3">
        <f>VLOOKUP(F105,Constanst!$M$3:$U$66,9,TRUE)</f>
        <v>3</v>
      </c>
      <c r="H105" s="3" t="str">
        <f t="shared" si="26"/>
        <v>0011</v>
      </c>
      <c r="I105" s="3" t="str">
        <f t="shared" si="27"/>
        <v>00001110110001001100101011100011</v>
      </c>
    </row>
    <row r="106" ht="14.25" customHeight="1"/>
    <row r="107" ht="14.25" customHeight="1">
      <c r="B107" s="1" t="s">
        <v>90</v>
      </c>
      <c r="C107" s="1" t="str">
        <f>I105</f>
        <v>00001110110001001100101011100011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0</v>
      </c>
    </row>
    <row r="113" ht="14.25" hidden="1" customHeight="1">
      <c r="A113" s="1" t="str">
        <f>MID($C$107,Constanst!X4,1)</f>
        <v>1</v>
      </c>
      <c r="B113" s="1" t="str">
        <f>A112&amp;A113</f>
        <v>01</v>
      </c>
    </row>
    <row r="114" ht="14.25" hidden="1" customHeight="1">
      <c r="A114" s="1" t="str">
        <f>MID($C$107,Constanst!X5,1)</f>
        <v>0</v>
      </c>
      <c r="B114" s="1" t="str">
        <f t="shared" ref="B114:B143" si="28">B113&amp;A114</f>
        <v>010</v>
      </c>
    </row>
    <row r="115" ht="14.25" hidden="1" customHeight="1">
      <c r="A115" s="1" t="str">
        <f>MID($C$107,Constanst!X6,1)</f>
        <v>1</v>
      </c>
      <c r="B115" s="1" t="str">
        <f t="shared" si="28"/>
        <v>0101</v>
      </c>
    </row>
    <row r="116" ht="14.25" hidden="1" customHeight="1">
      <c r="A116" s="1" t="str">
        <f>MID($C$107,Constanst!X7,1)</f>
        <v>0</v>
      </c>
      <c r="B116" s="1" t="str">
        <f t="shared" si="28"/>
        <v>01010</v>
      </c>
    </row>
    <row r="117" ht="14.25" hidden="1" customHeight="1">
      <c r="A117" s="1" t="str">
        <f>MID($C$107,Constanst!X8,1)</f>
        <v>0</v>
      </c>
      <c r="B117" s="1" t="str">
        <f t="shared" si="28"/>
        <v>010100</v>
      </c>
    </row>
    <row r="118" ht="14.25" hidden="1" customHeight="1">
      <c r="A118" s="1" t="str">
        <f>MID($C$107,Constanst!X9,1)</f>
        <v>0</v>
      </c>
      <c r="B118" s="1" t="str">
        <f t="shared" si="28"/>
        <v>0101000</v>
      </c>
    </row>
    <row r="119" ht="14.25" hidden="1" customHeight="1">
      <c r="A119" s="1" t="str">
        <f>MID($C$107,Constanst!X10,1)</f>
        <v>1</v>
      </c>
      <c r="B119" s="1" t="str">
        <f t="shared" si="28"/>
        <v>01010001</v>
      </c>
    </row>
    <row r="120" ht="14.25" hidden="1" customHeight="1">
      <c r="A120" s="1" t="str">
        <f>MID($C$107,Constanst!X11,1)</f>
        <v>0</v>
      </c>
      <c r="B120" s="1" t="str">
        <f t="shared" si="28"/>
        <v>010100010</v>
      </c>
    </row>
    <row r="121" ht="14.25" hidden="1" customHeight="1">
      <c r="A121" s="1" t="str">
        <f>MID($C$107,Constanst!X12,1)</f>
        <v>0</v>
      </c>
      <c r="B121" s="1" t="str">
        <f t="shared" si="28"/>
        <v>0101000100</v>
      </c>
    </row>
    <row r="122" ht="14.25" hidden="1" customHeight="1">
      <c r="A122" s="1" t="str">
        <f>MID($C$107,Constanst!X13,1)</f>
        <v>1</v>
      </c>
      <c r="B122" s="1" t="str">
        <f t="shared" si="28"/>
        <v>01010001001</v>
      </c>
    </row>
    <row r="123" ht="14.25" hidden="1" customHeight="1">
      <c r="A123" s="1" t="str">
        <f>MID($C$107,Constanst!X14,1)</f>
        <v>1</v>
      </c>
      <c r="B123" s="1" t="str">
        <f t="shared" si="28"/>
        <v>010100010011</v>
      </c>
    </row>
    <row r="124" ht="14.25" hidden="1" customHeight="1">
      <c r="A124" s="1" t="str">
        <f>MID($C$107,Constanst!X15,1)</f>
        <v>1</v>
      </c>
      <c r="B124" s="1" t="str">
        <f t="shared" si="28"/>
        <v>0101000100111</v>
      </c>
    </row>
    <row r="125" ht="14.25" hidden="1" customHeight="1">
      <c r="A125" s="1" t="str">
        <f>MID($C$107,Constanst!X16,1)</f>
        <v>1</v>
      </c>
      <c r="B125" s="1" t="str">
        <f t="shared" si="28"/>
        <v>01010001001111</v>
      </c>
    </row>
    <row r="126" ht="14.25" hidden="1" customHeight="1">
      <c r="A126" s="1" t="str">
        <f>MID($C$107,Constanst!X17,1)</f>
        <v>1</v>
      </c>
      <c r="B126" s="1" t="str">
        <f t="shared" si="28"/>
        <v>010100010011111</v>
      </c>
    </row>
    <row r="127" ht="14.25" hidden="1" customHeight="1">
      <c r="A127" s="1" t="str">
        <f>MID($C$107,Constanst!X18,1)</f>
        <v>1</v>
      </c>
      <c r="B127" s="1" t="str">
        <f t="shared" si="28"/>
        <v>0101000100111111</v>
      </c>
    </row>
    <row r="128" ht="14.25" hidden="1" customHeight="1">
      <c r="A128" s="1" t="str">
        <f>MID($C$107,Constanst!X19,1)</f>
        <v>0</v>
      </c>
      <c r="B128" s="1" t="str">
        <f t="shared" si="28"/>
        <v>01010001001111110</v>
      </c>
    </row>
    <row r="129" ht="14.25" hidden="1" customHeight="1">
      <c r="A129" s="1" t="str">
        <f>MID($C$107,Constanst!X20,1)</f>
        <v>0</v>
      </c>
      <c r="B129" s="1" t="str">
        <f t="shared" si="28"/>
        <v>010100010011111100</v>
      </c>
    </row>
    <row r="130" ht="14.25" hidden="1" customHeight="1">
      <c r="A130" s="1" t="str">
        <f>MID($C$107,Constanst!X21,1)</f>
        <v>0</v>
      </c>
      <c r="B130" s="1" t="str">
        <f t="shared" si="28"/>
        <v>0101000100111111000</v>
      </c>
    </row>
    <row r="131" ht="14.25" hidden="1" customHeight="1">
      <c r="A131" s="1" t="str">
        <f>MID($C$107,Constanst!X22,1)</f>
        <v>1</v>
      </c>
      <c r="B131" s="1" t="str">
        <f t="shared" si="28"/>
        <v>01010001001111110001</v>
      </c>
    </row>
    <row r="132" ht="14.25" hidden="1" customHeight="1">
      <c r="A132" s="1" t="str">
        <f>MID($C$107,Constanst!X23,1)</f>
        <v>1</v>
      </c>
      <c r="B132" s="1" t="str">
        <f t="shared" si="28"/>
        <v>010100010011111100011</v>
      </c>
    </row>
    <row r="133" ht="14.25" hidden="1" customHeight="1">
      <c r="A133" s="1" t="str">
        <f>MID($C$107,Constanst!X24,1)</f>
        <v>1</v>
      </c>
      <c r="B133" s="1" t="str">
        <f t="shared" si="28"/>
        <v>0101000100111111000111</v>
      </c>
    </row>
    <row r="134" ht="14.25" hidden="1" customHeight="1">
      <c r="A134" s="1" t="str">
        <f>MID($C$107,Constanst!X25,1)</f>
        <v>0</v>
      </c>
      <c r="B134" s="1" t="str">
        <f t="shared" si="28"/>
        <v>01010001001111110001110</v>
      </c>
    </row>
    <row r="135" ht="14.25" hidden="1" customHeight="1">
      <c r="A135" s="1" t="str">
        <f>MID($C$107,Constanst!X26,1)</f>
        <v>1</v>
      </c>
      <c r="B135" s="1" t="str">
        <f t="shared" si="28"/>
        <v>010100010011111100011101</v>
      </c>
    </row>
    <row r="136" ht="14.25" hidden="1" customHeight="1">
      <c r="A136" s="1" t="str">
        <f>MID($C$107,Constanst!X27,1)</f>
        <v>0</v>
      </c>
      <c r="B136" s="1" t="str">
        <f t="shared" si="28"/>
        <v>0101000100111111000111010</v>
      </c>
    </row>
    <row r="137" ht="14.25" hidden="1" customHeight="1">
      <c r="A137" s="1" t="str">
        <f>MID($C$107,Constanst!X28,1)</f>
        <v>0</v>
      </c>
      <c r="B137" s="1" t="str">
        <f t="shared" si="28"/>
        <v>01010001001111110001110100</v>
      </c>
    </row>
    <row r="138" ht="14.25" hidden="1" customHeight="1">
      <c r="A138" s="1" t="str">
        <f>MID($C$107,Constanst!X29,1)</f>
        <v>0</v>
      </c>
      <c r="B138" s="1" t="str">
        <f t="shared" si="28"/>
        <v>010100010011111100011101000</v>
      </c>
    </row>
    <row r="139" ht="14.25" hidden="1" customHeight="1">
      <c r="A139" s="1" t="str">
        <f>MID($C$107,Constanst!X30,1)</f>
        <v>1</v>
      </c>
      <c r="B139" s="1" t="str">
        <f t="shared" si="28"/>
        <v>0101000100111111000111010001</v>
      </c>
    </row>
    <row r="140" ht="14.25" hidden="1" customHeight="1">
      <c r="A140" s="1" t="str">
        <f>MID($C$107,Constanst!X31,1)</f>
        <v>0</v>
      </c>
      <c r="B140" s="1" t="str">
        <f t="shared" si="28"/>
        <v>01010001001111110001110100010</v>
      </c>
    </row>
    <row r="141" ht="14.25" hidden="1" customHeight="1">
      <c r="A141" s="1" t="str">
        <f>MID($C$107,Constanst!X32,1)</f>
        <v>0</v>
      </c>
      <c r="B141" s="1" t="str">
        <f t="shared" si="28"/>
        <v>010100010011111100011101000100</v>
      </c>
    </row>
    <row r="142" ht="14.25" hidden="1" customHeight="1">
      <c r="A142" s="1" t="str">
        <f>MID($C$107,Constanst!X33,1)</f>
        <v>0</v>
      </c>
      <c r="B142" s="1" t="str">
        <f t="shared" si="28"/>
        <v>0101000100111111000111010001000</v>
      </c>
    </row>
    <row r="143" ht="14.25" customHeight="1">
      <c r="A143" s="1" t="str">
        <f>MID($C$107,Constanst!X34,1)</f>
        <v>1</v>
      </c>
      <c r="B143" s="22" t="str">
        <f t="shared" si="28"/>
        <v>01010001001111110001110100010001</v>
      </c>
    </row>
    <row r="144" ht="14.25" customHeight="1"/>
    <row r="145" ht="14.25" customHeight="1">
      <c r="A145" s="1" t="s">
        <v>92</v>
      </c>
      <c r="B145" s="1" t="str">
        <f>B143</f>
        <v>01010001001111110001110100010001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01010001</v>
      </c>
      <c r="C148" s="20" t="str">
        <f t="shared" ref="C148:C151" si="30">BIN2HEX(B148,2)</f>
        <v>51</v>
      </c>
      <c r="D148" s="20">
        <f t="shared" ref="D148:D151" si="31">HEX2DEC(C148)</f>
        <v>81</v>
      </c>
    </row>
    <row r="149" ht="14.25" customHeight="1">
      <c r="A149" s="20">
        <v>2.0</v>
      </c>
      <c r="B149" s="20" t="str">
        <f t="shared" si="29"/>
        <v>00111111</v>
      </c>
      <c r="C149" s="20" t="str">
        <f t="shared" si="30"/>
        <v>3F</v>
      </c>
      <c r="D149" s="20">
        <f t="shared" si="31"/>
        <v>63</v>
      </c>
    </row>
    <row r="150" ht="14.25" customHeight="1">
      <c r="A150" s="20">
        <v>3.0</v>
      </c>
      <c r="B150" s="20" t="str">
        <f t="shared" si="29"/>
        <v>00011101</v>
      </c>
      <c r="C150" s="20" t="str">
        <f t="shared" si="30"/>
        <v>1D</v>
      </c>
      <c r="D150" s="20">
        <f t="shared" si="31"/>
        <v>29</v>
      </c>
    </row>
    <row r="151" ht="14.25" customHeight="1">
      <c r="A151" s="20">
        <v>4.0</v>
      </c>
      <c r="B151" s="20" t="str">
        <f t="shared" si="29"/>
        <v>00010001</v>
      </c>
      <c r="C151" s="20" t="str">
        <f t="shared" si="30"/>
        <v>11</v>
      </c>
      <c r="D151" s="20">
        <f t="shared" si="31"/>
        <v>17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>
      <c r="A2" s="1" t="str">
        <f>L6</f>
        <v>K16</v>
      </c>
      <c r="D2" s="1" t="str">
        <f>Input!I16</f>
        <v>110010110011110100001011101111000111000001110010</v>
      </c>
    </row>
    <row r="3" ht="14.25" customHeight="1">
      <c r="A3" s="1" t="s">
        <v>92</v>
      </c>
      <c r="B3" s="1" t="str">
        <f t="array" ref="B3">INDIRECT("'f(" &amp; L5 &amp; "," &amp; L7 &amp; ")'!B145")</f>
        <v>01010001001111110001110100010001</v>
      </c>
    </row>
    <row r="4" ht="14.25" customHeight="1">
      <c r="A4" s="1" t="str">
        <f t="shared" ref="A4:A5" si="1">L4</f>
        <v>L14</v>
      </c>
      <c r="B4" s="1" t="str">
        <f t="array" ref="B4">INDIRECT("'f(" &amp; L5 &amp; "," &amp; L7 &amp; ")'!C22")</f>
        <v>00111111011110011100011010100110</v>
      </c>
      <c r="L4" s="1" t="s">
        <v>126</v>
      </c>
      <c r="M4" s="1" t="s">
        <v>128</v>
      </c>
    </row>
    <row r="5" ht="14.25" customHeight="1">
      <c r="A5" s="1" t="str">
        <f t="shared" si="1"/>
        <v>R14</v>
      </c>
      <c r="B5" s="1" t="str">
        <f t="array" ref="B5">INDIRECT("'f(" &amp; L5 &amp; "," &amp; L7 &amp; ")'!C14")</f>
        <v>10011111110010100010101110000111</v>
      </c>
      <c r="L5" s="1" t="s">
        <v>127</v>
      </c>
      <c r="M5" s="1" t="s">
        <v>129</v>
      </c>
    </row>
    <row r="6" ht="14.25" customHeight="1">
      <c r="L6" s="1" t="s">
        <v>21</v>
      </c>
    </row>
    <row r="7" ht="14.25" customHeight="1">
      <c r="A7" s="11" t="s">
        <v>98</v>
      </c>
      <c r="B7" s="5"/>
      <c r="C7" s="5"/>
      <c r="D7" s="6"/>
      <c r="G7" s="11" t="str">
        <f>L4</f>
        <v>L14</v>
      </c>
      <c r="H7" s="5"/>
      <c r="I7" s="5"/>
      <c r="J7" s="6"/>
      <c r="L7" s="1" t="s">
        <v>20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2">MID($B$3,(A9-1)*8+1, 8)</f>
        <v>01010001</v>
      </c>
      <c r="C9" s="20" t="str">
        <f t="shared" ref="C9:C12" si="3">BIN2HEX(B9,2)</f>
        <v>51</v>
      </c>
      <c r="D9" s="20">
        <f t="shared" ref="D9:D12" si="4">HEX2DEC(C9)</f>
        <v>81</v>
      </c>
      <c r="G9" s="20">
        <v>1.0</v>
      </c>
      <c r="H9" s="20" t="str">
        <f t="shared" ref="H9:H12" si="5">MID($B$4,(G9-1)*8+1, 8)</f>
        <v>00111111</v>
      </c>
      <c r="I9" s="20" t="str">
        <f t="shared" ref="I9:I12" si="6">BIN2HEX(H9,2)</f>
        <v>3F</v>
      </c>
      <c r="J9" s="20">
        <f t="shared" ref="J9:J12" si="7">HEX2DEC(I9)</f>
        <v>63</v>
      </c>
    </row>
    <row r="10" ht="14.25" customHeight="1">
      <c r="A10" s="20">
        <v>2.0</v>
      </c>
      <c r="B10" s="20" t="str">
        <f t="shared" si="2"/>
        <v>00111111</v>
      </c>
      <c r="C10" s="20" t="str">
        <f t="shared" si="3"/>
        <v>3F</v>
      </c>
      <c r="D10" s="20">
        <f t="shared" si="4"/>
        <v>63</v>
      </c>
      <c r="G10" s="20">
        <v>2.0</v>
      </c>
      <c r="H10" s="20" t="str">
        <f t="shared" si="5"/>
        <v>01111001</v>
      </c>
      <c r="I10" s="20" t="str">
        <f t="shared" si="6"/>
        <v>79</v>
      </c>
      <c r="J10" s="20">
        <f t="shared" si="7"/>
        <v>121</v>
      </c>
    </row>
    <row r="11" ht="14.25" customHeight="1">
      <c r="A11" s="20">
        <v>3.0</v>
      </c>
      <c r="B11" s="20" t="str">
        <f t="shared" si="2"/>
        <v>00011101</v>
      </c>
      <c r="C11" s="20" t="str">
        <f t="shared" si="3"/>
        <v>1D</v>
      </c>
      <c r="D11" s="20">
        <f t="shared" si="4"/>
        <v>29</v>
      </c>
      <c r="G11" s="20">
        <v>3.0</v>
      </c>
      <c r="H11" s="20" t="str">
        <f t="shared" si="5"/>
        <v>11000110</v>
      </c>
      <c r="I11" s="20" t="str">
        <f t="shared" si="6"/>
        <v>C6</v>
      </c>
      <c r="J11" s="20">
        <f t="shared" si="7"/>
        <v>198</v>
      </c>
    </row>
    <row r="12" ht="14.25" customHeight="1">
      <c r="A12" s="20">
        <v>4.0</v>
      </c>
      <c r="B12" s="20" t="str">
        <f t="shared" si="2"/>
        <v>00010001</v>
      </c>
      <c r="C12" s="20" t="str">
        <f t="shared" si="3"/>
        <v>11</v>
      </c>
      <c r="D12" s="20">
        <f t="shared" si="4"/>
        <v>17</v>
      </c>
      <c r="G12" s="20">
        <v>4.0</v>
      </c>
      <c r="H12" s="20" t="str">
        <f t="shared" si="5"/>
        <v>10100110</v>
      </c>
      <c r="I12" s="20" t="str">
        <f t="shared" si="6"/>
        <v>A6</v>
      </c>
      <c r="J12" s="20">
        <f t="shared" si="7"/>
        <v>166</v>
      </c>
    </row>
    <row r="13" ht="14.25" customHeight="1"/>
    <row r="14" ht="14.25" customHeight="1">
      <c r="A14" s="1" t="str">
        <f>M5&amp;" = F XOR "&amp;L4&amp;" ="</f>
        <v>R15 = F XOR L14 =</v>
      </c>
      <c r="C14" s="23" t="str">
        <f>F17&amp;F18&amp;F19&amp;F20</f>
        <v>01101110010001101101101110110111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8">BITXOR(J9,D9)</f>
        <v>110</v>
      </c>
      <c r="E17" s="20" t="str">
        <f t="shared" ref="E17:E20" si="9">DEC2HEX(D17,2)</f>
        <v>6E</v>
      </c>
      <c r="F17" s="20" t="str">
        <f t="shared" ref="F17:F20" si="10">HEX2BIN(E17,8)</f>
        <v>01101110</v>
      </c>
    </row>
    <row r="18" ht="14.25" customHeight="1">
      <c r="C18" s="20">
        <v>2.0</v>
      </c>
      <c r="D18" s="20">
        <f t="shared" si="8"/>
        <v>70</v>
      </c>
      <c r="E18" s="20" t="str">
        <f t="shared" si="9"/>
        <v>46</v>
      </c>
      <c r="F18" s="20" t="str">
        <f t="shared" si="10"/>
        <v>01000110</v>
      </c>
    </row>
    <row r="19" ht="14.25" customHeight="1">
      <c r="C19" s="20">
        <v>3.0</v>
      </c>
      <c r="D19" s="20">
        <f t="shared" si="8"/>
        <v>219</v>
      </c>
      <c r="E19" s="20" t="str">
        <f t="shared" si="9"/>
        <v>DB</v>
      </c>
      <c r="F19" s="20" t="str">
        <f t="shared" si="10"/>
        <v>11011011</v>
      </c>
    </row>
    <row r="20" ht="14.25" customHeight="1">
      <c r="C20" s="20">
        <v>4.0</v>
      </c>
      <c r="D20" s="20">
        <f t="shared" si="8"/>
        <v>183</v>
      </c>
      <c r="E20" s="20" t="str">
        <f t="shared" si="9"/>
        <v>B7</v>
      </c>
      <c r="F20" s="20" t="str">
        <f t="shared" si="10"/>
        <v>10110111</v>
      </c>
    </row>
    <row r="21" ht="14.25" customHeight="1"/>
    <row r="22" ht="14.25" customHeight="1">
      <c r="A22" s="1" t="str">
        <f>M4&amp;" = "&amp;L5&amp;" ="</f>
        <v>L15 = R14 =</v>
      </c>
      <c r="C22" s="23" t="str">
        <f>B5</f>
        <v>10011111110010100010101110000111</v>
      </c>
      <c r="D22" s="24"/>
      <c r="E22" s="24"/>
      <c r="F22" s="25"/>
    </row>
    <row r="23" ht="14.25" customHeight="1"/>
    <row r="24" ht="14.25" customHeight="1">
      <c r="A24" s="1" t="str">
        <f>"Mở rộng "&amp;M5&amp;" =&gt; E("&amp;M5&amp;")"</f>
        <v>Mở rộng R15 =&gt; E(R15)</v>
      </c>
      <c r="D24" s="1" t="str">
        <f>B26</f>
        <v>101101011100001000001101011011110111110110101110</v>
      </c>
    </row>
    <row r="25" ht="14.25" customHeight="1">
      <c r="A25" s="1" t="s">
        <v>66</v>
      </c>
    </row>
    <row r="26" ht="14.25" customHeight="1">
      <c r="A26" s="1" t="str">
        <f>MID($C$14,Constanst!K3,1)</f>
        <v>1</v>
      </c>
      <c r="B26" s="1" t="str">
        <f t="shared" ref="B26:B71" si="11">A26&amp;B27</f>
        <v>101101011100001000001101011011110111110110101110</v>
      </c>
    </row>
    <row r="27" ht="14.25" customHeight="1">
      <c r="A27" s="1" t="str">
        <f>MID($C$14,Constanst!K4,1)</f>
        <v>0</v>
      </c>
      <c r="B27" s="1" t="str">
        <f t="shared" si="11"/>
        <v>01101011100001000001101011011110111110110101110</v>
      </c>
    </row>
    <row r="28" ht="14.25" customHeight="1">
      <c r="A28" s="1" t="str">
        <f>MID($C$14,Constanst!K5,1)</f>
        <v>1</v>
      </c>
      <c r="B28" s="1" t="str">
        <f t="shared" si="11"/>
        <v>1101011100001000001101011011110111110110101110</v>
      </c>
    </row>
    <row r="29" ht="14.25" customHeight="1">
      <c r="A29" s="1" t="str">
        <f>MID($C$14,Constanst!K6,1)</f>
        <v>1</v>
      </c>
      <c r="B29" s="1" t="str">
        <f t="shared" si="11"/>
        <v>101011100001000001101011011110111110110101110</v>
      </c>
    </row>
    <row r="30" ht="14.25" customHeight="1">
      <c r="A30" s="1" t="str">
        <f>MID($C$14,Constanst!K7,1)</f>
        <v>0</v>
      </c>
      <c r="B30" s="1" t="str">
        <f t="shared" si="11"/>
        <v>01011100001000001101011011110111110110101110</v>
      </c>
    </row>
    <row r="31" ht="14.25" customHeight="1">
      <c r="A31" s="1" t="str">
        <f>MID($C$14,Constanst!K8,1)</f>
        <v>1</v>
      </c>
      <c r="B31" s="1" t="str">
        <f t="shared" si="11"/>
        <v>1011100001000001101011011110111110110101110</v>
      </c>
    </row>
    <row r="32" ht="14.25" customHeight="1">
      <c r="A32" s="1" t="str">
        <f>MID($C$14,Constanst!K9,1)</f>
        <v>0</v>
      </c>
      <c r="B32" s="1" t="str">
        <f t="shared" si="11"/>
        <v>011100001000001101011011110111110110101110</v>
      </c>
    </row>
    <row r="33" ht="14.25" customHeight="1">
      <c r="A33" s="1" t="str">
        <f>MID($C$14,Constanst!K10,1)</f>
        <v>1</v>
      </c>
      <c r="B33" s="1" t="str">
        <f t="shared" si="11"/>
        <v>11100001000001101011011110111110110101110</v>
      </c>
    </row>
    <row r="34" ht="14.25" customHeight="1">
      <c r="A34" s="1" t="str">
        <f>MID($C$14,Constanst!K11,1)</f>
        <v>1</v>
      </c>
      <c r="B34" s="1" t="str">
        <f t="shared" si="11"/>
        <v>1100001000001101011011110111110110101110</v>
      </c>
    </row>
    <row r="35" ht="14.25" customHeight="1">
      <c r="A35" s="1" t="str">
        <f>MID($C$14,Constanst!K12,1)</f>
        <v>1</v>
      </c>
      <c r="B35" s="1" t="str">
        <f t="shared" si="11"/>
        <v>100001000001101011011110111110110101110</v>
      </c>
    </row>
    <row r="36" ht="14.25" customHeight="1">
      <c r="A36" s="1" t="str">
        <f>MID($C$14,Constanst!K13,1)</f>
        <v>0</v>
      </c>
      <c r="B36" s="1" t="str">
        <f t="shared" si="11"/>
        <v>00001000001101011011110111110110101110</v>
      </c>
    </row>
    <row r="37" ht="14.25" customHeight="1">
      <c r="A37" s="1" t="str">
        <f>MID($C$14,Constanst!K14,1)</f>
        <v>0</v>
      </c>
      <c r="B37" s="1" t="str">
        <f t="shared" si="11"/>
        <v>0001000001101011011110111110110101110</v>
      </c>
    </row>
    <row r="38" ht="14.25" customHeight="1">
      <c r="A38" s="1" t="str">
        <f>MID($C$14,Constanst!K15,1)</f>
        <v>0</v>
      </c>
      <c r="B38" s="1" t="str">
        <f t="shared" si="11"/>
        <v>001000001101011011110111110110101110</v>
      </c>
    </row>
    <row r="39" ht="14.25" customHeight="1">
      <c r="A39" s="1" t="str">
        <f>MID($C$14,Constanst!K16,1)</f>
        <v>0</v>
      </c>
      <c r="B39" s="1" t="str">
        <f t="shared" si="11"/>
        <v>01000001101011011110111110110101110</v>
      </c>
    </row>
    <row r="40" ht="14.25" customHeight="1">
      <c r="A40" s="1" t="str">
        <f>MID($C$14,Constanst!K17,1)</f>
        <v>1</v>
      </c>
      <c r="B40" s="1" t="str">
        <f t="shared" si="11"/>
        <v>1000001101011011110111110110101110</v>
      </c>
    </row>
    <row r="41" ht="14.25" customHeight="1">
      <c r="A41" s="1" t="str">
        <f>MID($C$14,Constanst!K18,1)</f>
        <v>0</v>
      </c>
      <c r="B41" s="1" t="str">
        <f t="shared" si="11"/>
        <v>000001101011011110111110110101110</v>
      </c>
    </row>
    <row r="42" ht="14.25" customHeight="1">
      <c r="A42" s="1" t="str">
        <f>MID($C$14,Constanst!K19,1)</f>
        <v>0</v>
      </c>
      <c r="B42" s="1" t="str">
        <f t="shared" si="11"/>
        <v>00001101011011110111110110101110</v>
      </c>
    </row>
    <row r="43" ht="14.25" customHeight="1">
      <c r="A43" s="1" t="str">
        <f>MID($C$14,Constanst!K20,1)</f>
        <v>0</v>
      </c>
      <c r="B43" s="1" t="str">
        <f t="shared" si="11"/>
        <v>0001101011011110111110110101110</v>
      </c>
    </row>
    <row r="44" ht="14.25" customHeight="1">
      <c r="A44" s="1" t="str">
        <f>MID($C$14,Constanst!K21,1)</f>
        <v>0</v>
      </c>
      <c r="B44" s="1" t="str">
        <f t="shared" si="11"/>
        <v>001101011011110111110110101110</v>
      </c>
    </row>
    <row r="45" ht="14.25" customHeight="1">
      <c r="A45" s="1" t="str">
        <f>MID($C$14,Constanst!K22,1)</f>
        <v>0</v>
      </c>
      <c r="B45" s="1" t="str">
        <f t="shared" si="11"/>
        <v>01101011011110111110110101110</v>
      </c>
    </row>
    <row r="46" ht="14.25" customHeight="1">
      <c r="A46" s="1" t="str">
        <f>MID($C$14,Constanst!K23,1)</f>
        <v>1</v>
      </c>
      <c r="B46" s="1" t="str">
        <f t="shared" si="11"/>
        <v>1101011011110111110110101110</v>
      </c>
    </row>
    <row r="47" ht="14.25" customHeight="1">
      <c r="A47" s="1" t="str">
        <f>MID($C$14,Constanst!K24,1)</f>
        <v>1</v>
      </c>
      <c r="B47" s="1" t="str">
        <f t="shared" si="11"/>
        <v>101011011110111110110101110</v>
      </c>
    </row>
    <row r="48" ht="14.25" customHeight="1">
      <c r="A48" s="1" t="str">
        <f>MID($C$14,Constanst!K25,1)</f>
        <v>0</v>
      </c>
      <c r="B48" s="1" t="str">
        <f t="shared" si="11"/>
        <v>01011011110111110110101110</v>
      </c>
    </row>
    <row r="49" ht="14.25" customHeight="1">
      <c r="A49" s="1" t="str">
        <f>MID($C$14,Constanst!K26,1)</f>
        <v>1</v>
      </c>
      <c r="B49" s="1" t="str">
        <f t="shared" si="11"/>
        <v>1011011110111110110101110</v>
      </c>
    </row>
    <row r="50" ht="14.25" customHeight="1">
      <c r="A50" s="1" t="str">
        <f>MID($C$14,Constanst!K27,1)</f>
        <v>0</v>
      </c>
      <c r="B50" s="1" t="str">
        <f t="shared" si="11"/>
        <v>011011110111110110101110</v>
      </c>
    </row>
    <row r="51" ht="14.25" customHeight="1">
      <c r="A51" s="1" t="str">
        <f>MID($C$14,Constanst!K28,1)</f>
        <v>1</v>
      </c>
      <c r="B51" s="1" t="str">
        <f t="shared" si="11"/>
        <v>11011110111110110101110</v>
      </c>
    </row>
    <row r="52" ht="14.25" customHeight="1">
      <c r="A52" s="1" t="str">
        <f>MID($C$14,Constanst!K29,1)</f>
        <v>1</v>
      </c>
      <c r="B52" s="1" t="str">
        <f t="shared" si="11"/>
        <v>1011110111110110101110</v>
      </c>
    </row>
    <row r="53" ht="14.25" customHeight="1">
      <c r="A53" s="1" t="str">
        <f>MID($C$14,Constanst!K30,1)</f>
        <v>0</v>
      </c>
      <c r="B53" s="1" t="str">
        <f t="shared" si="11"/>
        <v>011110111110110101110</v>
      </c>
    </row>
    <row r="54" ht="14.25" customHeight="1">
      <c r="A54" s="1" t="str">
        <f>MID($C$14,Constanst!K31,1)</f>
        <v>1</v>
      </c>
      <c r="B54" s="1" t="str">
        <f t="shared" si="11"/>
        <v>11110111110110101110</v>
      </c>
    </row>
    <row r="55" ht="14.25" customHeight="1">
      <c r="A55" s="1" t="str">
        <f>MID($C$14,Constanst!K32,1)</f>
        <v>1</v>
      </c>
      <c r="B55" s="1" t="str">
        <f t="shared" si="11"/>
        <v>1110111110110101110</v>
      </c>
    </row>
    <row r="56" ht="14.25" customHeight="1">
      <c r="A56" s="1" t="str">
        <f>MID($C$14,Constanst!K33,1)</f>
        <v>1</v>
      </c>
      <c r="B56" s="1" t="str">
        <f t="shared" si="11"/>
        <v>110111110110101110</v>
      </c>
    </row>
    <row r="57" ht="14.25" customHeight="1">
      <c r="A57" s="1" t="str">
        <f>MID($C$14,Constanst!K34,1)</f>
        <v>1</v>
      </c>
      <c r="B57" s="1" t="str">
        <f t="shared" si="11"/>
        <v>10111110110101110</v>
      </c>
    </row>
    <row r="58" ht="14.25" customHeight="1">
      <c r="A58" s="1" t="str">
        <f>MID($C$14,Constanst!K35,1)</f>
        <v>0</v>
      </c>
      <c r="B58" s="1" t="str">
        <f t="shared" si="11"/>
        <v>0111110110101110</v>
      </c>
    </row>
    <row r="59" ht="14.25" customHeight="1">
      <c r="A59" s="1" t="str">
        <f>MID($C$14,Constanst!K36,1)</f>
        <v>1</v>
      </c>
      <c r="B59" s="1" t="str">
        <f t="shared" si="11"/>
        <v>111110110101110</v>
      </c>
    </row>
    <row r="60" ht="14.25" customHeight="1">
      <c r="A60" s="1" t="str">
        <f>MID($C$14,Constanst!K37,1)</f>
        <v>1</v>
      </c>
      <c r="B60" s="1" t="str">
        <f t="shared" si="11"/>
        <v>11110110101110</v>
      </c>
    </row>
    <row r="61" ht="14.25" customHeight="1">
      <c r="A61" s="1" t="str">
        <f>MID($C$14,Constanst!K38,1)</f>
        <v>1</v>
      </c>
      <c r="B61" s="1" t="str">
        <f t="shared" si="11"/>
        <v>1110110101110</v>
      </c>
    </row>
    <row r="62" ht="14.25" customHeight="1">
      <c r="A62" s="1" t="str">
        <f>MID($C$14,Constanst!K39,1)</f>
        <v>1</v>
      </c>
      <c r="B62" s="1" t="str">
        <f t="shared" si="11"/>
        <v>110110101110</v>
      </c>
    </row>
    <row r="63" ht="14.25" customHeight="1">
      <c r="A63" s="1" t="str">
        <f>MID($C$14,Constanst!K40,1)</f>
        <v>1</v>
      </c>
      <c r="B63" s="1" t="str">
        <f t="shared" si="11"/>
        <v>10110101110</v>
      </c>
    </row>
    <row r="64" ht="14.25" customHeight="1">
      <c r="A64" s="1" t="str">
        <f>MID($C$14,Constanst!K41,1)</f>
        <v>0</v>
      </c>
      <c r="B64" s="1" t="str">
        <f t="shared" si="11"/>
        <v>0110101110</v>
      </c>
    </row>
    <row r="65" ht="14.25" customHeight="1">
      <c r="A65" s="1" t="str">
        <f>MID($C$14,Constanst!K42,1)</f>
        <v>1</v>
      </c>
      <c r="B65" s="1" t="str">
        <f t="shared" si="11"/>
        <v>110101110</v>
      </c>
    </row>
    <row r="66" ht="14.25" customHeight="1">
      <c r="A66" s="1" t="str">
        <f>MID($C$14,Constanst!K43,1)</f>
        <v>1</v>
      </c>
      <c r="B66" s="1" t="str">
        <f t="shared" si="11"/>
        <v>10101110</v>
      </c>
    </row>
    <row r="67" ht="14.25" customHeight="1">
      <c r="A67" s="1" t="str">
        <f>MID($C$14,Constanst!K44,1)</f>
        <v>0</v>
      </c>
      <c r="B67" s="1" t="str">
        <f t="shared" si="11"/>
        <v>0101110</v>
      </c>
    </row>
    <row r="68" ht="14.25" customHeight="1">
      <c r="A68" s="1" t="str">
        <f>MID($C$14,Constanst!K45,1)</f>
        <v>1</v>
      </c>
      <c r="B68" s="1" t="str">
        <f t="shared" si="11"/>
        <v>101110</v>
      </c>
    </row>
    <row r="69" ht="14.25" customHeight="1">
      <c r="A69" s="1" t="str">
        <f>MID($C$14,Constanst!K46,1)</f>
        <v>0</v>
      </c>
      <c r="B69" s="1" t="str">
        <f t="shared" si="11"/>
        <v>01110</v>
      </c>
    </row>
    <row r="70" ht="14.25" customHeight="1">
      <c r="A70" s="1" t="str">
        <f>MID($C$14,Constanst!K47,1)</f>
        <v>1</v>
      </c>
      <c r="B70" s="1" t="str">
        <f t="shared" si="11"/>
        <v>1110</v>
      </c>
    </row>
    <row r="71" ht="14.25" customHeight="1">
      <c r="A71" s="1" t="str">
        <f>MID($C$14,Constanst!K48,1)</f>
        <v>1</v>
      </c>
      <c r="B71" s="1" t="str">
        <f t="shared" si="11"/>
        <v>110</v>
      </c>
    </row>
    <row r="72" ht="14.25" customHeight="1">
      <c r="A72" s="1" t="str">
        <f>MID($C$14,Constanst!K49,1)</f>
        <v>1</v>
      </c>
      <c r="B72" s="1" t="str">
        <f>A72&amp;A73</f>
        <v>10</v>
      </c>
    </row>
    <row r="73" ht="14.25" customHeight="1">
      <c r="A73" s="1" t="str">
        <f>MID($C$14,Constanst!K50,1)</f>
        <v>0</v>
      </c>
    </row>
    <row r="74" ht="14.25" customHeight="1"/>
    <row r="75" ht="14.25" customHeight="1">
      <c r="A75" s="1" t="str">
        <f>"Thực hiện phép XOR A = E("&amp;M5&amp;") XOR "&amp;L6</f>
        <v>Thực hiện phép XOR A = E(R15) XOR K16</v>
      </c>
    </row>
    <row r="76" ht="14.25" customHeight="1">
      <c r="A76" s="11" t="str">
        <f>"Khóa " &amp; L6</f>
        <v>Khóa K16</v>
      </c>
      <c r="B76" s="5"/>
      <c r="C76" s="5"/>
      <c r="D76" s="6"/>
      <c r="G76" s="11" t="str">
        <f>"E("&amp;M5&amp;")"</f>
        <v>E(R15)</v>
      </c>
      <c r="H76" s="5"/>
      <c r="I76" s="5"/>
      <c r="J76" s="6"/>
    </row>
    <row r="77" ht="14.25" customHeight="1">
      <c r="A77" s="20" t="s">
        <v>61</v>
      </c>
      <c r="B77" s="20" t="s">
        <v>61</v>
      </c>
      <c r="C77" s="20" t="s">
        <v>62</v>
      </c>
      <c r="D77" s="20" t="s">
        <v>75</v>
      </c>
      <c r="G77" s="20" t="s">
        <v>61</v>
      </c>
      <c r="H77" s="20" t="s">
        <v>61</v>
      </c>
      <c r="I77" s="20" t="s">
        <v>62</v>
      </c>
      <c r="J77" s="20" t="s">
        <v>75</v>
      </c>
    </row>
    <row r="78" ht="14.25" customHeight="1">
      <c r="A78" s="20">
        <v>1.0</v>
      </c>
      <c r="B78" s="20" t="str">
        <f t="shared" ref="B78:B83" si="12">MID($D$2,(A78-1)*8+1, 8)</f>
        <v>11001011</v>
      </c>
      <c r="C78" s="20" t="str">
        <f t="shared" ref="C78:C83" si="13">BIN2HEX(B78,2)</f>
        <v>CB</v>
      </c>
      <c r="D78" s="20">
        <f t="shared" ref="D78:D83" si="14">BIN2DEC(B78)</f>
        <v>203</v>
      </c>
      <c r="G78" s="20">
        <v>1.0</v>
      </c>
      <c r="H78" s="20" t="str">
        <f t="shared" ref="H78:H83" si="15">MID($D$24,(G78-1)*8+1, 8)</f>
        <v>10110101</v>
      </c>
      <c r="I78" s="20" t="str">
        <f t="shared" ref="I78:I83" si="16">BIN2HEX(H78,2)</f>
        <v>B5</v>
      </c>
      <c r="J78" s="20">
        <f t="shared" ref="J78:J83" si="17">BIN2DEC(H78)</f>
        <v>181</v>
      </c>
    </row>
    <row r="79" ht="14.25" customHeight="1">
      <c r="A79" s="20">
        <v>2.0</v>
      </c>
      <c r="B79" s="20" t="str">
        <f t="shared" si="12"/>
        <v>00111101</v>
      </c>
      <c r="C79" s="20" t="str">
        <f t="shared" si="13"/>
        <v>3D</v>
      </c>
      <c r="D79" s="20">
        <f t="shared" si="14"/>
        <v>61</v>
      </c>
      <c r="G79" s="20">
        <v>2.0</v>
      </c>
      <c r="H79" s="20" t="str">
        <f t="shared" si="15"/>
        <v>11000010</v>
      </c>
      <c r="I79" s="20" t="str">
        <f t="shared" si="16"/>
        <v>C2</v>
      </c>
      <c r="J79" s="20">
        <f t="shared" si="17"/>
        <v>194</v>
      </c>
    </row>
    <row r="80" ht="14.25" customHeight="1">
      <c r="A80" s="20">
        <v>3.0</v>
      </c>
      <c r="B80" s="20" t="str">
        <f t="shared" si="12"/>
        <v>00001011</v>
      </c>
      <c r="C80" s="20" t="str">
        <f t="shared" si="13"/>
        <v>0B</v>
      </c>
      <c r="D80" s="20">
        <f t="shared" si="14"/>
        <v>11</v>
      </c>
      <c r="G80" s="20">
        <v>3.0</v>
      </c>
      <c r="H80" s="20" t="str">
        <f t="shared" si="15"/>
        <v>00001101</v>
      </c>
      <c r="I80" s="20" t="str">
        <f t="shared" si="16"/>
        <v>0D</v>
      </c>
      <c r="J80" s="20">
        <f t="shared" si="17"/>
        <v>13</v>
      </c>
    </row>
    <row r="81" ht="14.25" customHeight="1">
      <c r="A81" s="20">
        <v>4.0</v>
      </c>
      <c r="B81" s="20" t="str">
        <f t="shared" si="12"/>
        <v>10111100</v>
      </c>
      <c r="C81" s="20" t="str">
        <f t="shared" si="13"/>
        <v>BC</v>
      </c>
      <c r="D81" s="20">
        <f t="shared" si="14"/>
        <v>188</v>
      </c>
      <c r="G81" s="20">
        <v>4.0</v>
      </c>
      <c r="H81" s="20" t="str">
        <f t="shared" si="15"/>
        <v>01101111</v>
      </c>
      <c r="I81" s="20" t="str">
        <f t="shared" si="16"/>
        <v>6F</v>
      </c>
      <c r="J81" s="20">
        <f t="shared" si="17"/>
        <v>111</v>
      </c>
    </row>
    <row r="82" ht="14.25" customHeight="1">
      <c r="A82" s="20">
        <v>5.0</v>
      </c>
      <c r="B82" s="20" t="str">
        <f t="shared" si="12"/>
        <v>01110000</v>
      </c>
      <c r="C82" s="20" t="str">
        <f t="shared" si="13"/>
        <v>70</v>
      </c>
      <c r="D82" s="20">
        <f t="shared" si="14"/>
        <v>112</v>
      </c>
      <c r="G82" s="20">
        <v>5.0</v>
      </c>
      <c r="H82" s="20" t="str">
        <f t="shared" si="15"/>
        <v>01111101</v>
      </c>
      <c r="I82" s="20" t="str">
        <f t="shared" si="16"/>
        <v>7D</v>
      </c>
      <c r="J82" s="20">
        <f t="shared" si="17"/>
        <v>125</v>
      </c>
    </row>
    <row r="83" ht="14.25" customHeight="1">
      <c r="A83" s="20">
        <v>6.0</v>
      </c>
      <c r="B83" s="20" t="str">
        <f t="shared" si="12"/>
        <v>01110010</v>
      </c>
      <c r="C83" s="20" t="str">
        <f t="shared" si="13"/>
        <v>72</v>
      </c>
      <c r="D83" s="20">
        <f t="shared" si="14"/>
        <v>114</v>
      </c>
      <c r="G83" s="20">
        <v>6.0</v>
      </c>
      <c r="H83" s="20" t="str">
        <f t="shared" si="15"/>
        <v>10101110</v>
      </c>
      <c r="I83" s="20" t="str">
        <f t="shared" si="16"/>
        <v>AE</v>
      </c>
      <c r="J83" s="20">
        <f t="shared" si="17"/>
        <v>174</v>
      </c>
    </row>
    <row r="84" ht="14.25" customHeight="1"/>
    <row r="85" ht="14.25" customHeight="1">
      <c r="A85" s="26" t="s">
        <v>78</v>
      </c>
      <c r="B85" s="26" t="str">
        <f>"XOR(E"&amp;M5&amp;", "&amp;L6&amp;")"</f>
        <v>XOR(ER15, K16)</v>
      </c>
      <c r="C85" s="26" t="s">
        <v>80</v>
      </c>
      <c r="D85" s="26" t="s">
        <v>62</v>
      </c>
    </row>
    <row r="86" ht="14.25" customHeight="1">
      <c r="A86" s="26">
        <v>1.0</v>
      </c>
      <c r="B86" s="26">
        <f t="shared" ref="B86:B91" si="18">BITXOR(D78,J78)</f>
        <v>126</v>
      </c>
      <c r="C86" s="26" t="str">
        <f t="shared" ref="C86:C91" si="19">DEC2BIN(B86,8)</f>
        <v>01111110</v>
      </c>
      <c r="D86" s="26" t="str">
        <f t="shared" ref="D86:D91" si="20">BIN2HEX(C86,2)</f>
        <v>7E</v>
      </c>
    </row>
    <row r="87" ht="14.25" customHeight="1">
      <c r="A87" s="26">
        <v>2.0</v>
      </c>
      <c r="B87" s="26">
        <f t="shared" si="18"/>
        <v>255</v>
      </c>
      <c r="C87" s="26" t="str">
        <f t="shared" si="19"/>
        <v>11111111</v>
      </c>
      <c r="D87" s="26" t="str">
        <f t="shared" si="20"/>
        <v>FF</v>
      </c>
    </row>
    <row r="88" ht="14.25" customHeight="1">
      <c r="A88" s="26">
        <v>3.0</v>
      </c>
      <c r="B88" s="26">
        <f t="shared" si="18"/>
        <v>6</v>
      </c>
      <c r="C88" s="26" t="str">
        <f t="shared" si="19"/>
        <v>00000110</v>
      </c>
      <c r="D88" s="26" t="str">
        <f t="shared" si="20"/>
        <v>06</v>
      </c>
    </row>
    <row r="89" ht="14.25" customHeight="1">
      <c r="A89" s="26">
        <v>4.0</v>
      </c>
      <c r="B89" s="26">
        <f t="shared" si="18"/>
        <v>211</v>
      </c>
      <c r="C89" s="26" t="str">
        <f t="shared" si="19"/>
        <v>11010011</v>
      </c>
      <c r="D89" s="26" t="str">
        <f t="shared" si="20"/>
        <v>D3</v>
      </c>
    </row>
    <row r="90" ht="14.25" customHeight="1">
      <c r="A90" s="26">
        <v>5.0</v>
      </c>
      <c r="B90" s="26">
        <f t="shared" si="18"/>
        <v>13</v>
      </c>
      <c r="C90" s="26" t="str">
        <f t="shared" si="19"/>
        <v>00001101</v>
      </c>
      <c r="D90" s="26" t="str">
        <f t="shared" si="20"/>
        <v>0D</v>
      </c>
    </row>
    <row r="91" ht="14.25" customHeight="1">
      <c r="A91" s="26">
        <v>6.0</v>
      </c>
      <c r="B91" s="26">
        <f t="shared" si="18"/>
        <v>220</v>
      </c>
      <c r="C91" s="26" t="str">
        <f t="shared" si="19"/>
        <v>11011100</v>
      </c>
      <c r="D91" s="26" t="str">
        <f t="shared" si="20"/>
        <v>DC</v>
      </c>
    </row>
    <row r="92" ht="14.25" customHeight="1"/>
    <row r="93" ht="14.25" customHeight="1">
      <c r="B93" s="1" t="str">
        <f>"A = E"&amp;M5&amp;" XOR "&amp;L6&amp;" ="</f>
        <v>A = ER15 XOR K16 =</v>
      </c>
      <c r="D93" s="22" t="str">
        <f>C86&amp;C87&amp;C88&amp;C89&amp;C90&amp;C91</f>
        <v>011111101111111100000110110100110000110111011100</v>
      </c>
    </row>
    <row r="94" ht="14.25" customHeight="1"/>
    <row r="95" ht="14.25" customHeight="1">
      <c r="A95" s="1" t="s">
        <v>82</v>
      </c>
      <c r="E95" s="1" t="s">
        <v>83</v>
      </c>
    </row>
    <row r="96" ht="14.25" customHeight="1">
      <c r="E96" s="1" t="s">
        <v>84</v>
      </c>
    </row>
    <row r="97" ht="14.25" customHeight="1">
      <c r="A97" s="3" t="s">
        <v>85</v>
      </c>
      <c r="B97" s="3"/>
      <c r="C97" s="3" t="s">
        <v>86</v>
      </c>
      <c r="D97" s="3" t="s">
        <v>87</v>
      </c>
      <c r="E97" s="3"/>
      <c r="F97" s="3" t="s">
        <v>88</v>
      </c>
      <c r="G97" s="3" t="s">
        <v>89</v>
      </c>
      <c r="H97" s="3"/>
      <c r="I97" s="3"/>
    </row>
    <row r="98" ht="14.25" customHeight="1">
      <c r="A98" s="3">
        <v>1.0</v>
      </c>
      <c r="B98" s="3" t="str">
        <f t="shared" ref="B98:B105" si="21">MID($D$93, (A98-1)*6+1,6)</f>
        <v>011111</v>
      </c>
      <c r="C98" s="3" t="str">
        <f t="shared" ref="C98:C105" si="22">LEFT(B98,1)&amp;(RIGHT(B98,1))</f>
        <v>01</v>
      </c>
      <c r="D98" s="3" t="str">
        <f t="shared" ref="D98:D105" si="23">MID(B98,2,4)</f>
        <v>1111</v>
      </c>
      <c r="E98" s="3" t="str">
        <f t="shared" ref="E98:E105" si="24">C98&amp;D98</f>
        <v>011111</v>
      </c>
      <c r="F98" s="18">
        <f t="shared" ref="F98:F105" si="25">BIN2DEC(E98)</f>
        <v>31</v>
      </c>
      <c r="G98" s="3">
        <f>VLOOKUP(F98,Constanst!$M$3:$U$66,2,TRUE)</f>
        <v>8</v>
      </c>
      <c r="H98" s="3" t="str">
        <f t="shared" ref="H98:H105" si="26">DEC2BIN(G98,4)</f>
        <v>1000</v>
      </c>
      <c r="I98" s="3" t="str">
        <f>H98</f>
        <v>1000</v>
      </c>
    </row>
    <row r="99" ht="14.25" customHeight="1">
      <c r="A99" s="3">
        <v>2.0</v>
      </c>
      <c r="B99" s="3" t="str">
        <f t="shared" si="21"/>
        <v>101111</v>
      </c>
      <c r="C99" s="3" t="str">
        <f t="shared" si="22"/>
        <v>11</v>
      </c>
      <c r="D99" s="3" t="str">
        <f t="shared" si="23"/>
        <v>0111</v>
      </c>
      <c r="E99" s="3" t="str">
        <f t="shared" si="24"/>
        <v>110111</v>
      </c>
      <c r="F99" s="18">
        <f t="shared" si="25"/>
        <v>55</v>
      </c>
      <c r="G99" s="3">
        <f>VLOOKUP(F99,Constanst!$M$3:$U$66,3,TRUE)</f>
        <v>2</v>
      </c>
      <c r="H99" s="3" t="str">
        <f t="shared" si="26"/>
        <v>0010</v>
      </c>
      <c r="I99" s="3" t="str">
        <f t="shared" ref="I99:I105" si="27">I98&amp;H99</f>
        <v>10000010</v>
      </c>
    </row>
    <row r="100" ht="14.25" customHeight="1">
      <c r="A100" s="3">
        <v>3.0</v>
      </c>
      <c r="B100" s="3" t="str">
        <f t="shared" si="21"/>
        <v>111100</v>
      </c>
      <c r="C100" s="3" t="str">
        <f t="shared" si="22"/>
        <v>10</v>
      </c>
      <c r="D100" s="3" t="str">
        <f t="shared" si="23"/>
        <v>1110</v>
      </c>
      <c r="E100" s="3" t="str">
        <f t="shared" si="24"/>
        <v>101110</v>
      </c>
      <c r="F100" s="18">
        <f t="shared" si="25"/>
        <v>46</v>
      </c>
      <c r="G100" s="3">
        <f>VLOOKUP(F100,Constanst!$M$3:$U$66,4,TRUE)</f>
        <v>14</v>
      </c>
      <c r="H100" s="3" t="str">
        <f t="shared" si="26"/>
        <v>1110</v>
      </c>
      <c r="I100" s="3" t="str">
        <f t="shared" si="27"/>
        <v>100000101110</v>
      </c>
    </row>
    <row r="101" ht="14.25" customHeight="1">
      <c r="A101" s="3">
        <v>4.0</v>
      </c>
      <c r="B101" s="3" t="str">
        <f t="shared" si="21"/>
        <v>000110</v>
      </c>
      <c r="C101" s="3" t="str">
        <f t="shared" si="22"/>
        <v>00</v>
      </c>
      <c r="D101" s="3" t="str">
        <f t="shared" si="23"/>
        <v>0011</v>
      </c>
      <c r="E101" s="3" t="str">
        <f t="shared" si="24"/>
        <v>000011</v>
      </c>
      <c r="F101" s="18">
        <f t="shared" si="25"/>
        <v>3</v>
      </c>
      <c r="G101" s="3">
        <f>VLOOKUP(F101,Constanst!$M$3:$U$66,5,TRUE)</f>
        <v>3</v>
      </c>
      <c r="H101" s="3" t="str">
        <f t="shared" si="26"/>
        <v>0011</v>
      </c>
      <c r="I101" s="3" t="str">
        <f t="shared" si="27"/>
        <v>1000001011100011</v>
      </c>
    </row>
    <row r="102" ht="14.25" customHeight="1">
      <c r="A102" s="3">
        <v>5.0</v>
      </c>
      <c r="B102" s="3" t="str">
        <f t="shared" si="21"/>
        <v>110100</v>
      </c>
      <c r="C102" s="3" t="str">
        <f t="shared" si="22"/>
        <v>10</v>
      </c>
      <c r="D102" s="3" t="str">
        <f t="shared" si="23"/>
        <v>1010</v>
      </c>
      <c r="E102" s="3" t="str">
        <f t="shared" si="24"/>
        <v>101010</v>
      </c>
      <c r="F102" s="18">
        <f t="shared" si="25"/>
        <v>42</v>
      </c>
      <c r="G102" s="3">
        <f>VLOOKUP(F102,Constanst!$M$3:$U$66,6,TRUE)</f>
        <v>12</v>
      </c>
      <c r="H102" s="3" t="str">
        <f t="shared" si="26"/>
        <v>1100</v>
      </c>
      <c r="I102" s="3" t="str">
        <f t="shared" si="27"/>
        <v>10000010111000111100</v>
      </c>
    </row>
    <row r="103" ht="14.25" customHeight="1">
      <c r="A103" s="3">
        <v>6.0</v>
      </c>
      <c r="B103" s="3" t="str">
        <f t="shared" si="21"/>
        <v>110000</v>
      </c>
      <c r="C103" s="3" t="str">
        <f t="shared" si="22"/>
        <v>10</v>
      </c>
      <c r="D103" s="3" t="str">
        <f t="shared" si="23"/>
        <v>1000</v>
      </c>
      <c r="E103" s="3" t="str">
        <f t="shared" si="24"/>
        <v>101000</v>
      </c>
      <c r="F103" s="18">
        <f t="shared" si="25"/>
        <v>40</v>
      </c>
      <c r="G103" s="3">
        <f>VLOOKUP(F103,Constanst!$M$3:$U$66,7,TRUE)</f>
        <v>7</v>
      </c>
      <c r="H103" s="3" t="str">
        <f t="shared" si="26"/>
        <v>0111</v>
      </c>
      <c r="I103" s="3" t="str">
        <f t="shared" si="27"/>
        <v>100000101110001111000111</v>
      </c>
    </row>
    <row r="104" ht="14.25" customHeight="1">
      <c r="A104" s="3">
        <v>7.0</v>
      </c>
      <c r="B104" s="3" t="str">
        <f t="shared" si="21"/>
        <v>110111</v>
      </c>
      <c r="C104" s="3" t="str">
        <f t="shared" si="22"/>
        <v>11</v>
      </c>
      <c r="D104" s="3" t="str">
        <f t="shared" si="23"/>
        <v>1011</v>
      </c>
      <c r="E104" s="3" t="str">
        <f t="shared" si="24"/>
        <v>111011</v>
      </c>
      <c r="F104" s="18">
        <f t="shared" si="25"/>
        <v>59</v>
      </c>
      <c r="G104" s="3">
        <f>VLOOKUP(F104,Constanst!$M$3:$U$66,8,TRUE)</f>
        <v>15</v>
      </c>
      <c r="H104" s="3" t="str">
        <f t="shared" si="26"/>
        <v>1111</v>
      </c>
      <c r="I104" s="3" t="str">
        <f t="shared" si="27"/>
        <v>1000001011100011110001111111</v>
      </c>
    </row>
    <row r="105" ht="14.25" customHeight="1">
      <c r="A105" s="3">
        <v>8.0</v>
      </c>
      <c r="B105" s="3" t="str">
        <f t="shared" si="21"/>
        <v>011100</v>
      </c>
      <c r="C105" s="3" t="str">
        <f t="shared" si="22"/>
        <v>00</v>
      </c>
      <c r="D105" s="3" t="str">
        <f t="shared" si="23"/>
        <v>1110</v>
      </c>
      <c r="E105" s="3" t="str">
        <f t="shared" si="24"/>
        <v>001110</v>
      </c>
      <c r="F105" s="18">
        <f t="shared" si="25"/>
        <v>14</v>
      </c>
      <c r="G105" s="3">
        <f>VLOOKUP(F105,Constanst!$M$3:$U$66,9,TRUE)</f>
        <v>12</v>
      </c>
      <c r="H105" s="3" t="str">
        <f t="shared" si="26"/>
        <v>1100</v>
      </c>
      <c r="I105" s="3" t="str">
        <f t="shared" si="27"/>
        <v>10000010111000111100011111111100</v>
      </c>
    </row>
    <row r="106" ht="14.25" customHeight="1"/>
    <row r="107" ht="14.25" customHeight="1">
      <c r="B107" s="1" t="s">
        <v>90</v>
      </c>
      <c r="C107" s="1" t="str">
        <f>I105</f>
        <v>10000010111000111100011111111100</v>
      </c>
    </row>
    <row r="108" ht="14.25" customHeight="1"/>
    <row r="109" ht="14.25" customHeight="1">
      <c r="A109" s="1" t="s">
        <v>91</v>
      </c>
    </row>
    <row r="110" ht="14.25" customHeight="1"/>
    <row r="111" ht="14.25" hidden="1" customHeight="1">
      <c r="A111" s="1" t="s">
        <v>66</v>
      </c>
    </row>
    <row r="112" ht="14.25" hidden="1" customHeight="1">
      <c r="A112" s="1" t="str">
        <f>MID($C$107,Constanst!X3,1)</f>
        <v>1</v>
      </c>
    </row>
    <row r="113" ht="14.25" hidden="1" customHeight="1">
      <c r="A113" s="1" t="str">
        <f>MID($C$107,Constanst!X4,1)</f>
        <v>1</v>
      </c>
      <c r="B113" s="1" t="str">
        <f>A112&amp;A113</f>
        <v>11</v>
      </c>
    </row>
    <row r="114" ht="14.25" hidden="1" customHeight="1">
      <c r="A114" s="1" t="str">
        <f>MID($C$107,Constanst!X5,1)</f>
        <v>0</v>
      </c>
      <c r="B114" s="1" t="str">
        <f t="shared" ref="B114:B143" si="28">B113&amp;A114</f>
        <v>110</v>
      </c>
    </row>
    <row r="115" ht="14.25" hidden="1" customHeight="1">
      <c r="A115" s="1" t="str">
        <f>MID($C$107,Constanst!X6,1)</f>
        <v>0</v>
      </c>
      <c r="B115" s="1" t="str">
        <f t="shared" si="28"/>
        <v>1100</v>
      </c>
    </row>
    <row r="116" ht="14.25" hidden="1" customHeight="1">
      <c r="A116" s="1" t="str">
        <f>MID($C$107,Constanst!X7,1)</f>
        <v>1</v>
      </c>
      <c r="B116" s="1" t="str">
        <f t="shared" si="28"/>
        <v>11001</v>
      </c>
    </row>
    <row r="117" ht="14.25" hidden="1" customHeight="1">
      <c r="A117" s="1" t="str">
        <f>MID($C$107,Constanst!X8,1)</f>
        <v>0</v>
      </c>
      <c r="B117" s="1" t="str">
        <f t="shared" si="28"/>
        <v>110010</v>
      </c>
    </row>
    <row r="118" ht="14.25" hidden="1" customHeight="1">
      <c r="A118" s="1" t="str">
        <f>MID($C$107,Constanst!X9,1)</f>
        <v>1</v>
      </c>
      <c r="B118" s="1" t="str">
        <f t="shared" si="28"/>
        <v>1100101</v>
      </c>
    </row>
    <row r="119" ht="14.25" hidden="1" customHeight="1">
      <c r="A119" s="1" t="str">
        <f>MID($C$107,Constanst!X10,1)</f>
        <v>1</v>
      </c>
      <c r="B119" s="1" t="str">
        <f t="shared" si="28"/>
        <v>11001011</v>
      </c>
    </row>
    <row r="120" ht="14.25" hidden="1" customHeight="1">
      <c r="A120" s="1" t="str">
        <f>MID($C$107,Constanst!X11,1)</f>
        <v>1</v>
      </c>
      <c r="B120" s="1" t="str">
        <f t="shared" si="28"/>
        <v>110010111</v>
      </c>
    </row>
    <row r="121" ht="14.25" hidden="1" customHeight="1">
      <c r="A121" s="1" t="str">
        <f>MID($C$107,Constanst!X12,1)</f>
        <v>1</v>
      </c>
      <c r="B121" s="1" t="str">
        <f t="shared" si="28"/>
        <v>1100101111</v>
      </c>
    </row>
    <row r="122" ht="14.25" hidden="1" customHeight="1">
      <c r="A122" s="1" t="str">
        <f>MID($C$107,Constanst!X13,1)</f>
        <v>1</v>
      </c>
      <c r="B122" s="1" t="str">
        <f t="shared" si="28"/>
        <v>11001011111</v>
      </c>
    </row>
    <row r="123" ht="14.25" hidden="1" customHeight="1">
      <c r="A123" s="1" t="str">
        <f>MID($C$107,Constanst!X14,1)</f>
        <v>1</v>
      </c>
      <c r="B123" s="1" t="str">
        <f t="shared" si="28"/>
        <v>110010111111</v>
      </c>
    </row>
    <row r="124" ht="14.25" hidden="1" customHeight="1">
      <c r="A124" s="1" t="str">
        <f>MID($C$107,Constanst!X15,1)</f>
        <v>0</v>
      </c>
      <c r="B124" s="1" t="str">
        <f t="shared" si="28"/>
        <v>1100101111110</v>
      </c>
    </row>
    <row r="125" ht="14.25" hidden="1" customHeight="1">
      <c r="A125" s="1" t="str">
        <f>MID($C$107,Constanst!X16,1)</f>
        <v>1</v>
      </c>
      <c r="B125" s="1" t="str">
        <f t="shared" si="28"/>
        <v>11001011111101</v>
      </c>
    </row>
    <row r="126" ht="14.25" hidden="1" customHeight="1">
      <c r="A126" s="1" t="str">
        <f>MID($C$107,Constanst!X17,1)</f>
        <v>0</v>
      </c>
      <c r="B126" s="1" t="str">
        <f t="shared" si="28"/>
        <v>110010111111010</v>
      </c>
    </row>
    <row r="127" ht="14.25" hidden="1" customHeight="1">
      <c r="A127" s="1" t="str">
        <f>MID($C$107,Constanst!X18,1)</f>
        <v>1</v>
      </c>
      <c r="B127" s="1" t="str">
        <f t="shared" si="28"/>
        <v>1100101111110101</v>
      </c>
    </row>
    <row r="128" ht="14.25" hidden="1" customHeight="1">
      <c r="A128" s="1" t="str">
        <f>MID($C$107,Constanst!X19,1)</f>
        <v>0</v>
      </c>
      <c r="B128" s="1" t="str">
        <f t="shared" si="28"/>
        <v>11001011111101010</v>
      </c>
    </row>
    <row r="129" ht="14.25" hidden="1" customHeight="1">
      <c r="A129" s="1" t="str">
        <f>MID($C$107,Constanst!X20,1)</f>
        <v>0</v>
      </c>
      <c r="B129" s="1" t="str">
        <f t="shared" si="28"/>
        <v>110010111111010100</v>
      </c>
    </row>
    <row r="130" ht="14.25" hidden="1" customHeight="1">
      <c r="A130" s="1" t="str">
        <f>MID($C$107,Constanst!X21,1)</f>
        <v>1</v>
      </c>
      <c r="B130" s="1" t="str">
        <f t="shared" si="28"/>
        <v>1100101111110101001</v>
      </c>
    </row>
    <row r="131" ht="14.25" hidden="1" customHeight="1">
      <c r="A131" s="1" t="str">
        <f>MID($C$107,Constanst!X22,1)</f>
        <v>0</v>
      </c>
      <c r="B131" s="1" t="str">
        <f t="shared" si="28"/>
        <v>11001011111101010010</v>
      </c>
    </row>
    <row r="132" ht="14.25" hidden="1" customHeight="1">
      <c r="A132" s="1" t="str">
        <f>MID($C$107,Constanst!X23,1)</f>
        <v>0</v>
      </c>
      <c r="B132" s="1" t="str">
        <f t="shared" si="28"/>
        <v>110010111111010100100</v>
      </c>
    </row>
    <row r="133" ht="14.25" hidden="1" customHeight="1">
      <c r="A133" s="1" t="str">
        <f>MID($C$107,Constanst!X24,1)</f>
        <v>1</v>
      </c>
      <c r="B133" s="1" t="str">
        <f t="shared" si="28"/>
        <v>1100101111110101001001</v>
      </c>
    </row>
    <row r="134" ht="14.25" hidden="1" customHeight="1">
      <c r="A134" s="1" t="str">
        <f>MID($C$107,Constanst!X25,1)</f>
        <v>0</v>
      </c>
      <c r="B134" s="1" t="str">
        <f t="shared" si="28"/>
        <v>11001011111101010010010</v>
      </c>
    </row>
    <row r="135" ht="14.25" hidden="1" customHeight="1">
      <c r="A135" s="1" t="str">
        <f>MID($C$107,Constanst!X26,1)</f>
        <v>1</v>
      </c>
      <c r="B135" s="1" t="str">
        <f t="shared" si="28"/>
        <v>110010111111010100100101</v>
      </c>
    </row>
    <row r="136" ht="14.25" hidden="1" customHeight="1">
      <c r="A136" s="1" t="str">
        <f>MID($C$107,Constanst!X27,1)</f>
        <v>0</v>
      </c>
      <c r="B136" s="1" t="str">
        <f t="shared" si="28"/>
        <v>1100101111110101001001010</v>
      </c>
    </row>
    <row r="137" ht="14.25" hidden="1" customHeight="1">
      <c r="A137" s="1" t="str">
        <f>MID($C$107,Constanst!X28,1)</f>
        <v>0</v>
      </c>
      <c r="B137" s="1" t="str">
        <f t="shared" si="28"/>
        <v>11001011111101010010010100</v>
      </c>
    </row>
    <row r="138" ht="14.25" hidden="1" customHeight="1">
      <c r="A138" s="1" t="str">
        <f>MID($C$107,Constanst!X29,1)</f>
        <v>1</v>
      </c>
      <c r="B138" s="1" t="str">
        <f t="shared" si="28"/>
        <v>110010111111010100100101001</v>
      </c>
    </row>
    <row r="139" ht="14.25" hidden="1" customHeight="1">
      <c r="A139" s="1" t="str">
        <f>MID($C$107,Constanst!X30,1)</f>
        <v>0</v>
      </c>
      <c r="B139" s="1" t="str">
        <f t="shared" si="28"/>
        <v>1100101111110101001001010010</v>
      </c>
    </row>
    <row r="140" ht="14.25" hidden="1" customHeight="1">
      <c r="A140" s="1" t="str">
        <f>MID($C$107,Constanst!X31,1)</f>
        <v>1</v>
      </c>
      <c r="B140" s="1" t="str">
        <f t="shared" si="28"/>
        <v>11001011111101010010010100101</v>
      </c>
    </row>
    <row r="141" ht="14.25" hidden="1" customHeight="1">
      <c r="A141" s="1" t="str">
        <f>MID($C$107,Constanst!X32,1)</f>
        <v>1</v>
      </c>
      <c r="B141" s="1" t="str">
        <f t="shared" si="28"/>
        <v>110010111111010100100101001011</v>
      </c>
    </row>
    <row r="142" ht="14.25" hidden="1" customHeight="1">
      <c r="A142" s="1" t="str">
        <f>MID($C$107,Constanst!X33,1)</f>
        <v>0</v>
      </c>
      <c r="B142" s="1" t="str">
        <f t="shared" si="28"/>
        <v>1100101111110101001001010010110</v>
      </c>
    </row>
    <row r="143" ht="14.25" customHeight="1">
      <c r="A143" s="1" t="str">
        <f>MID($C$107,Constanst!X34,1)</f>
        <v>1</v>
      </c>
      <c r="B143" s="22" t="str">
        <f t="shared" si="28"/>
        <v>11001011111101010010010100101101</v>
      </c>
    </row>
    <row r="144" ht="14.25" customHeight="1"/>
    <row r="145" ht="14.25" customHeight="1">
      <c r="A145" s="1" t="s">
        <v>92</v>
      </c>
      <c r="B145" s="1" t="str">
        <f>B143</f>
        <v>11001011111101010010010100101101</v>
      </c>
    </row>
    <row r="146" ht="14.25" customHeight="1"/>
    <row r="147" ht="14.25" customHeight="1">
      <c r="A147" s="20" t="s">
        <v>61</v>
      </c>
      <c r="B147" s="20" t="s">
        <v>61</v>
      </c>
      <c r="C147" s="20" t="s">
        <v>62</v>
      </c>
      <c r="D147" s="20" t="s">
        <v>93</v>
      </c>
    </row>
    <row r="148" ht="14.25" customHeight="1">
      <c r="A148" s="20">
        <v>1.0</v>
      </c>
      <c r="B148" s="20" t="str">
        <f t="shared" ref="B148:B151" si="29">MID($B$145,(A148-1)*8+1, 8)</f>
        <v>11001011</v>
      </c>
      <c r="C148" s="20" t="str">
        <f t="shared" ref="C148:C151" si="30">BIN2HEX(B148,2)</f>
        <v>CB</v>
      </c>
      <c r="D148" s="20">
        <f t="shared" ref="D148:D151" si="31">HEX2DEC(C148)</f>
        <v>203</v>
      </c>
    </row>
    <row r="149" ht="14.25" customHeight="1">
      <c r="A149" s="20">
        <v>2.0</v>
      </c>
      <c r="B149" s="20" t="str">
        <f t="shared" si="29"/>
        <v>11110101</v>
      </c>
      <c r="C149" s="20" t="str">
        <f t="shared" si="30"/>
        <v>F5</v>
      </c>
      <c r="D149" s="20">
        <f t="shared" si="31"/>
        <v>245</v>
      </c>
    </row>
    <row r="150" ht="14.25" customHeight="1">
      <c r="A150" s="20">
        <v>3.0</v>
      </c>
      <c r="B150" s="20" t="str">
        <f t="shared" si="29"/>
        <v>00100101</v>
      </c>
      <c r="C150" s="20" t="str">
        <f t="shared" si="30"/>
        <v>25</v>
      </c>
      <c r="D150" s="20">
        <f t="shared" si="31"/>
        <v>37</v>
      </c>
    </row>
    <row r="151" ht="14.25" customHeight="1">
      <c r="A151" s="20">
        <v>4.0</v>
      </c>
      <c r="B151" s="20" t="str">
        <f t="shared" si="29"/>
        <v>00101101</v>
      </c>
      <c r="C151" s="20" t="str">
        <f t="shared" si="30"/>
        <v>2D</v>
      </c>
      <c r="D151" s="20">
        <f t="shared" si="31"/>
        <v>45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D7"/>
    <mergeCell ref="G7:J7"/>
    <mergeCell ref="C14:F14"/>
    <mergeCell ref="C22:F22"/>
    <mergeCell ref="A76:D76"/>
    <mergeCell ref="G76:J76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5" width="8.63"/>
    <col customWidth="1" min="6" max="6" width="11.5"/>
    <col customWidth="1" min="7" max="26" width="8.63"/>
  </cols>
  <sheetData>
    <row r="1" ht="14.25" customHeight="1"/>
    <row r="2" ht="14.25" customHeight="1"/>
    <row r="3" ht="14.25" customHeight="1">
      <c r="A3" s="1" t="s">
        <v>92</v>
      </c>
      <c r="B3" s="1" t="str">
        <f t="array" ref="B3">INDIRECT("'f(" &amp; L5 &amp; "," &amp; L7 &amp; ")'!B145")</f>
        <v>11001011111101010010010100101101</v>
      </c>
    </row>
    <row r="4" ht="14.25" customHeight="1">
      <c r="A4" s="1" t="s">
        <v>128</v>
      </c>
      <c r="B4" s="1" t="str">
        <f t="array" ref="B4">INDIRECT("'f(" &amp; L5 &amp; "," &amp; L7 &amp; ")'!C22")</f>
        <v>10011111110010100010101110000111</v>
      </c>
      <c r="L4" s="1" t="s">
        <v>128</v>
      </c>
      <c r="M4" s="1" t="s">
        <v>130</v>
      </c>
    </row>
    <row r="5" ht="14.25" customHeight="1">
      <c r="A5" s="1" t="s">
        <v>129</v>
      </c>
      <c r="B5" s="1" t="str">
        <f t="array" ref="B5">INDIRECT("'f(" &amp; L5 &amp; "," &amp; L7 &amp; ")'!C14")</f>
        <v>01101110010001101101101110110111</v>
      </c>
      <c r="L5" s="1" t="s">
        <v>129</v>
      </c>
      <c r="M5" s="1" t="s">
        <v>131</v>
      </c>
    </row>
    <row r="6" ht="14.25" customHeight="1"/>
    <row r="7" ht="14.25" customHeight="1">
      <c r="A7" s="11" t="s">
        <v>98</v>
      </c>
      <c r="B7" s="5"/>
      <c r="C7" s="5"/>
      <c r="D7" s="6"/>
      <c r="G7" s="11" t="str">
        <f>L4</f>
        <v>L15</v>
      </c>
      <c r="H7" s="5"/>
      <c r="I7" s="5"/>
      <c r="J7" s="6"/>
      <c r="L7" s="1" t="s">
        <v>21</v>
      </c>
    </row>
    <row r="8" ht="14.25" customHeight="1">
      <c r="A8" s="20" t="s">
        <v>61</v>
      </c>
      <c r="B8" s="20" t="s">
        <v>61</v>
      </c>
      <c r="C8" s="20" t="s">
        <v>62</v>
      </c>
      <c r="D8" s="20" t="s">
        <v>93</v>
      </c>
      <c r="G8" s="20" t="s">
        <v>61</v>
      </c>
      <c r="H8" s="20" t="s">
        <v>61</v>
      </c>
      <c r="I8" s="20" t="s">
        <v>62</v>
      </c>
      <c r="J8" s="20" t="s">
        <v>93</v>
      </c>
    </row>
    <row r="9" ht="14.25" customHeight="1">
      <c r="A9" s="20">
        <v>1.0</v>
      </c>
      <c r="B9" s="20" t="str">
        <f t="shared" ref="B9:B12" si="1">MID($B$3,(A9-1)*8+1, 8)</f>
        <v>11001011</v>
      </c>
      <c r="C9" s="20" t="str">
        <f t="shared" ref="C9:C12" si="2">BIN2HEX(B9,2)</f>
        <v>CB</v>
      </c>
      <c r="D9" s="20">
        <f t="shared" ref="D9:D12" si="3">HEX2DEC(C9)</f>
        <v>203</v>
      </c>
      <c r="G9" s="20">
        <v>1.0</v>
      </c>
      <c r="H9" s="20" t="str">
        <f t="shared" ref="H9:H12" si="4">MID($B$4,(G9-1)*8+1, 8)</f>
        <v>10011111</v>
      </c>
      <c r="I9" s="20" t="str">
        <f t="shared" ref="I9:I12" si="5">BIN2HEX(H9,2)</f>
        <v>9F</v>
      </c>
      <c r="J9" s="20">
        <f t="shared" ref="J9:J12" si="6">HEX2DEC(I9)</f>
        <v>159</v>
      </c>
    </row>
    <row r="10" ht="14.25" customHeight="1">
      <c r="A10" s="20">
        <v>2.0</v>
      </c>
      <c r="B10" s="20" t="str">
        <f t="shared" si="1"/>
        <v>11110101</v>
      </c>
      <c r="C10" s="20" t="str">
        <f t="shared" si="2"/>
        <v>F5</v>
      </c>
      <c r="D10" s="20">
        <f t="shared" si="3"/>
        <v>245</v>
      </c>
      <c r="G10" s="20">
        <v>2.0</v>
      </c>
      <c r="H10" s="20" t="str">
        <f t="shared" si="4"/>
        <v>11001010</v>
      </c>
      <c r="I10" s="20" t="str">
        <f t="shared" si="5"/>
        <v>CA</v>
      </c>
      <c r="J10" s="20">
        <f t="shared" si="6"/>
        <v>202</v>
      </c>
    </row>
    <row r="11" ht="14.25" customHeight="1">
      <c r="A11" s="20">
        <v>3.0</v>
      </c>
      <c r="B11" s="20" t="str">
        <f t="shared" si="1"/>
        <v>00100101</v>
      </c>
      <c r="C11" s="20" t="str">
        <f t="shared" si="2"/>
        <v>25</v>
      </c>
      <c r="D11" s="20">
        <f t="shared" si="3"/>
        <v>37</v>
      </c>
      <c r="G11" s="20">
        <v>3.0</v>
      </c>
      <c r="H11" s="20" t="str">
        <f t="shared" si="4"/>
        <v>00101011</v>
      </c>
      <c r="I11" s="20" t="str">
        <f t="shared" si="5"/>
        <v>2B</v>
      </c>
      <c r="J11" s="20">
        <f t="shared" si="6"/>
        <v>43</v>
      </c>
    </row>
    <row r="12" ht="14.25" customHeight="1">
      <c r="A12" s="20">
        <v>4.0</v>
      </c>
      <c r="B12" s="20" t="str">
        <f t="shared" si="1"/>
        <v>00101101</v>
      </c>
      <c r="C12" s="20" t="str">
        <f t="shared" si="2"/>
        <v>2D</v>
      </c>
      <c r="D12" s="20">
        <f t="shared" si="3"/>
        <v>45</v>
      </c>
      <c r="G12" s="20">
        <v>4.0</v>
      </c>
      <c r="H12" s="20" t="str">
        <f t="shared" si="4"/>
        <v>10000111</v>
      </c>
      <c r="I12" s="20" t="str">
        <f t="shared" si="5"/>
        <v>87</v>
      </c>
      <c r="J12" s="20">
        <f t="shared" si="6"/>
        <v>135</v>
      </c>
    </row>
    <row r="13" ht="14.25" customHeight="1"/>
    <row r="14" ht="14.25" customHeight="1">
      <c r="A14" s="1" t="str">
        <f>M5&amp;" = F XOR "&amp;L4&amp;" ="</f>
        <v>R16 = F XOR L15 =</v>
      </c>
      <c r="C14" s="23" t="str">
        <f>F17&amp;F18&amp;F19&amp;F20</f>
        <v>01010100001111110000111010101010</v>
      </c>
      <c r="D14" s="24"/>
      <c r="E14" s="24"/>
      <c r="F14" s="25"/>
    </row>
    <row r="15" ht="14.25" customHeight="1"/>
    <row r="16" ht="14.25" customHeight="1">
      <c r="C16" s="20" t="s">
        <v>61</v>
      </c>
      <c r="D16" s="20" t="s">
        <v>99</v>
      </c>
      <c r="E16" s="20" t="s">
        <v>100</v>
      </c>
      <c r="F16" s="20" t="s">
        <v>101</v>
      </c>
    </row>
    <row r="17" ht="14.25" customHeight="1">
      <c r="C17" s="20">
        <v>1.0</v>
      </c>
      <c r="D17" s="20">
        <f t="shared" ref="D17:D20" si="7">BITXOR(J9,D9)</f>
        <v>84</v>
      </c>
      <c r="E17" s="20" t="str">
        <f t="shared" ref="E17:E20" si="8">DEC2HEX(D17,2)</f>
        <v>54</v>
      </c>
      <c r="F17" s="20" t="str">
        <f t="shared" ref="F17:F20" si="9">HEX2BIN(E17,8)</f>
        <v>01010100</v>
      </c>
    </row>
    <row r="18" ht="14.25" customHeight="1">
      <c r="C18" s="20">
        <v>2.0</v>
      </c>
      <c r="D18" s="20">
        <f t="shared" si="7"/>
        <v>63</v>
      </c>
      <c r="E18" s="20" t="str">
        <f t="shared" si="8"/>
        <v>3F</v>
      </c>
      <c r="F18" s="20" t="str">
        <f t="shared" si="9"/>
        <v>00111111</v>
      </c>
    </row>
    <row r="19" ht="14.25" customHeight="1">
      <c r="C19" s="20">
        <v>3.0</v>
      </c>
      <c r="D19" s="20">
        <f t="shared" si="7"/>
        <v>14</v>
      </c>
      <c r="E19" s="20" t="str">
        <f t="shared" si="8"/>
        <v>0E</v>
      </c>
      <c r="F19" s="20" t="str">
        <f t="shared" si="9"/>
        <v>00001110</v>
      </c>
    </row>
    <row r="20" ht="14.25" customHeight="1">
      <c r="C20" s="20">
        <v>4.0</v>
      </c>
      <c r="D20" s="20">
        <f t="shared" si="7"/>
        <v>170</v>
      </c>
      <c r="E20" s="20" t="str">
        <f t="shared" si="8"/>
        <v>AA</v>
      </c>
      <c r="F20" s="20" t="str">
        <f t="shared" si="9"/>
        <v>10101010</v>
      </c>
    </row>
    <row r="21" ht="14.25" customHeight="1"/>
    <row r="22" ht="14.25" customHeight="1">
      <c r="A22" s="1" t="str">
        <f>M4&amp;" = "&amp;L5&amp;" ="</f>
        <v>L16 = R15 =</v>
      </c>
      <c r="C22" s="23" t="str">
        <f>B5</f>
        <v>01101110010001101101101110110111</v>
      </c>
      <c r="D22" s="24"/>
      <c r="E22" s="24"/>
      <c r="F22" s="25"/>
    </row>
    <row r="23" ht="14.25" customHeight="1"/>
    <row r="24" ht="14.25" customHeight="1">
      <c r="A24" s="1" t="s">
        <v>132</v>
      </c>
      <c r="B24" s="1" t="str">
        <f>C14&amp;C22</f>
        <v>0101010000111111000011101010101001101110010001101101101110110111</v>
      </c>
    </row>
    <row r="25" ht="14.25" customHeight="1"/>
    <row r="26" ht="14.25" customHeight="1">
      <c r="A26" s="1" t="s">
        <v>44</v>
      </c>
      <c r="B26" s="1" t="s">
        <v>66</v>
      </c>
    </row>
    <row r="27" ht="14.25" customHeight="1">
      <c r="A27" s="1">
        <v>1.0</v>
      </c>
      <c r="B27" s="1" t="str">
        <f>MID($B$24,Constanst!AA3,1)</f>
        <v>0</v>
      </c>
    </row>
    <row r="28" ht="14.25" customHeight="1">
      <c r="A28" s="1">
        <v>2.0</v>
      </c>
      <c r="B28" s="1" t="str">
        <f>MID($B$24,Constanst!AA4,1)</f>
        <v>0</v>
      </c>
      <c r="C28" s="1" t="str">
        <f>B27&amp;B28</f>
        <v>00</v>
      </c>
    </row>
    <row r="29" ht="14.25" customHeight="1">
      <c r="A29" s="1">
        <v>3.0</v>
      </c>
      <c r="B29" s="1" t="str">
        <f>MID($B$24,Constanst!AA5,1)</f>
        <v>0</v>
      </c>
      <c r="C29" s="1" t="str">
        <f t="shared" ref="C29:C90" si="10">C28&amp;B29</f>
        <v>000</v>
      </c>
    </row>
    <row r="30" ht="14.25" customHeight="1">
      <c r="A30" s="1">
        <v>4.0</v>
      </c>
      <c r="B30" s="1" t="str">
        <f>MID($B$24,Constanst!AA6,1)</f>
        <v>1</v>
      </c>
      <c r="C30" s="1" t="str">
        <f t="shared" si="10"/>
        <v>0001</v>
      </c>
    </row>
    <row r="31" ht="14.25" customHeight="1">
      <c r="A31" s="1">
        <v>5.0</v>
      </c>
      <c r="B31" s="1" t="str">
        <f>MID($B$24,Constanst!AA7,1)</f>
        <v>1</v>
      </c>
      <c r="C31" s="1" t="str">
        <f t="shared" si="10"/>
        <v>00011</v>
      </c>
    </row>
    <row r="32" ht="14.25" customHeight="1">
      <c r="A32" s="1">
        <v>6.0</v>
      </c>
      <c r="B32" s="1" t="str">
        <f>MID($B$24,Constanst!AA8,1)</f>
        <v>0</v>
      </c>
      <c r="C32" s="1" t="str">
        <f t="shared" si="10"/>
        <v>000110</v>
      </c>
    </row>
    <row r="33" ht="14.25" customHeight="1">
      <c r="A33" s="1">
        <v>7.0</v>
      </c>
      <c r="B33" s="1" t="str">
        <f>MID($B$24,Constanst!AA9,1)</f>
        <v>1</v>
      </c>
      <c r="C33" s="1" t="str">
        <f t="shared" si="10"/>
        <v>0001101</v>
      </c>
    </row>
    <row r="34" ht="14.25" customHeight="1">
      <c r="A34" s="1">
        <v>8.0</v>
      </c>
      <c r="B34" s="1" t="str">
        <f>MID($B$24,Constanst!AA10,1)</f>
        <v>0</v>
      </c>
      <c r="C34" s="1" t="str">
        <f t="shared" si="10"/>
        <v>00011010</v>
      </c>
    </row>
    <row r="35" ht="14.25" customHeight="1">
      <c r="A35" s="1">
        <v>9.0</v>
      </c>
      <c r="B35" s="1" t="str">
        <f>MID($B$24,Constanst!AA11,1)</f>
        <v>1</v>
      </c>
      <c r="C35" s="1" t="str">
        <f t="shared" si="10"/>
        <v>000110101</v>
      </c>
    </row>
    <row r="36" ht="14.25" customHeight="1">
      <c r="A36" s="1">
        <v>10.0</v>
      </c>
      <c r="B36" s="1" t="str">
        <f>MID($B$24,Constanst!AA12,1)</f>
        <v>0</v>
      </c>
      <c r="C36" s="1" t="str">
        <f t="shared" si="10"/>
        <v>0001101010</v>
      </c>
    </row>
    <row r="37" ht="14.25" customHeight="1">
      <c r="A37" s="1">
        <v>11.0</v>
      </c>
      <c r="B37" s="1" t="str">
        <f>MID($B$24,Constanst!AA13,1)</f>
        <v>1</v>
      </c>
      <c r="C37" s="1" t="str">
        <f t="shared" si="10"/>
        <v>00011010101</v>
      </c>
    </row>
    <row r="38" ht="14.25" customHeight="1">
      <c r="A38" s="1">
        <v>12.0</v>
      </c>
      <c r="B38" s="1" t="str">
        <f>MID($B$24,Constanst!AA14,1)</f>
        <v>1</v>
      </c>
      <c r="C38" s="1" t="str">
        <f t="shared" si="10"/>
        <v>000110101011</v>
      </c>
    </row>
    <row r="39" ht="14.25" customHeight="1">
      <c r="A39" s="1">
        <v>13.0</v>
      </c>
      <c r="B39" s="1" t="str">
        <f>MID($B$24,Constanst!AA15,1)</f>
        <v>1</v>
      </c>
      <c r="C39" s="1" t="str">
        <f t="shared" si="10"/>
        <v>0001101010111</v>
      </c>
    </row>
    <row r="40" ht="14.25" customHeight="1">
      <c r="A40" s="1">
        <v>14.0</v>
      </c>
      <c r="B40" s="1" t="str">
        <f>MID($B$24,Constanst!AA16,1)</f>
        <v>1</v>
      </c>
      <c r="C40" s="1" t="str">
        <f t="shared" si="10"/>
        <v>00011010101111</v>
      </c>
    </row>
    <row r="41" ht="14.25" customHeight="1">
      <c r="A41" s="1">
        <v>15.0</v>
      </c>
      <c r="B41" s="1" t="str">
        <f>MID($B$24,Constanst!AA17,1)</f>
        <v>1</v>
      </c>
      <c r="C41" s="1" t="str">
        <f t="shared" si="10"/>
        <v>000110101011111</v>
      </c>
    </row>
    <row r="42" ht="14.25" customHeight="1">
      <c r="A42" s="1">
        <v>16.0</v>
      </c>
      <c r="B42" s="1" t="str">
        <f>MID($B$24,Constanst!AA18,1)</f>
        <v>1</v>
      </c>
      <c r="C42" s="1" t="str">
        <f t="shared" si="10"/>
        <v>0001101010111111</v>
      </c>
    </row>
    <row r="43" ht="14.25" customHeight="1">
      <c r="A43" s="1">
        <v>17.0</v>
      </c>
      <c r="B43" s="1" t="str">
        <f>MID($B$24,Constanst!AA19,1)</f>
        <v>1</v>
      </c>
      <c r="C43" s="1" t="str">
        <f t="shared" si="10"/>
        <v>00011010101111111</v>
      </c>
    </row>
    <row r="44" ht="14.25" customHeight="1">
      <c r="A44" s="1">
        <v>18.0</v>
      </c>
      <c r="B44" s="1" t="str">
        <f>MID($B$24,Constanst!AA20,1)</f>
        <v>1</v>
      </c>
      <c r="C44" s="1" t="str">
        <f t="shared" si="10"/>
        <v>000110101011111111</v>
      </c>
    </row>
    <row r="45" ht="14.25" customHeight="1">
      <c r="A45" s="1">
        <v>19.0</v>
      </c>
      <c r="B45" s="1" t="str">
        <f>MID($B$24,Constanst!AA21,1)</f>
        <v>1</v>
      </c>
      <c r="C45" s="1" t="str">
        <f t="shared" si="10"/>
        <v>0001101010111111111</v>
      </c>
    </row>
    <row r="46" ht="14.25" customHeight="1">
      <c r="A46" s="1">
        <v>20.0</v>
      </c>
      <c r="B46" s="1" t="str">
        <f>MID($B$24,Constanst!AA22,1)</f>
        <v>1</v>
      </c>
      <c r="C46" s="1" t="str">
        <f t="shared" si="10"/>
        <v>00011010101111111111</v>
      </c>
    </row>
    <row r="47" ht="14.25" customHeight="1">
      <c r="A47" s="1">
        <v>21.0</v>
      </c>
      <c r="B47" s="1" t="str">
        <f>MID($B$24,Constanst!AA23,1)</f>
        <v>0</v>
      </c>
      <c r="C47" s="1" t="str">
        <f t="shared" si="10"/>
        <v>000110101011111111110</v>
      </c>
    </row>
    <row r="48" ht="14.25" customHeight="1">
      <c r="A48" s="1">
        <v>22.0</v>
      </c>
      <c r="B48" s="1" t="str">
        <f>MID($B$24,Constanst!AA24,1)</f>
        <v>1</v>
      </c>
      <c r="C48" s="1" t="str">
        <f t="shared" si="10"/>
        <v>0001101010111111111101</v>
      </c>
    </row>
    <row r="49" ht="14.25" customHeight="1">
      <c r="A49" s="1">
        <v>23.0</v>
      </c>
      <c r="B49" s="1" t="str">
        <f>MID($B$24,Constanst!AA25,1)</f>
        <v>1</v>
      </c>
      <c r="C49" s="1" t="str">
        <f t="shared" si="10"/>
        <v>00011010101111111111011</v>
      </c>
    </row>
    <row r="50" ht="14.25" customHeight="1">
      <c r="A50" s="1">
        <v>24.0</v>
      </c>
      <c r="B50" s="1" t="str">
        <f>MID($B$24,Constanst!AA26,1)</f>
        <v>0</v>
      </c>
      <c r="C50" s="1" t="str">
        <f t="shared" si="10"/>
        <v>000110101011111111110110</v>
      </c>
    </row>
    <row r="51" ht="14.25" customHeight="1">
      <c r="A51" s="1">
        <v>25.0</v>
      </c>
      <c r="B51" s="1" t="str">
        <f>MID($B$24,Constanst!AA27,1)</f>
        <v>1</v>
      </c>
      <c r="C51" s="1" t="str">
        <f t="shared" si="10"/>
        <v>0001101010111111111101101</v>
      </c>
    </row>
    <row r="52" ht="14.25" customHeight="1">
      <c r="A52" s="1">
        <v>26.0</v>
      </c>
      <c r="B52" s="1" t="str">
        <f>MID($B$24,Constanst!AA28,1)</f>
        <v>0</v>
      </c>
      <c r="C52" s="1" t="str">
        <f t="shared" si="10"/>
        <v>00011010101111111111011010</v>
      </c>
    </row>
    <row r="53" ht="14.25" customHeight="1">
      <c r="A53" s="1">
        <v>27.0</v>
      </c>
      <c r="B53" s="1" t="str">
        <f>MID($B$24,Constanst!AA29,1)</f>
        <v>0</v>
      </c>
      <c r="C53" s="1" t="str">
        <f t="shared" si="10"/>
        <v>000110101011111111110110100</v>
      </c>
    </row>
    <row r="54" ht="14.25" customHeight="1">
      <c r="A54" s="1">
        <v>28.0</v>
      </c>
      <c r="B54" s="1" t="str">
        <f>MID($B$24,Constanst!AA30,1)</f>
        <v>1</v>
      </c>
      <c r="C54" s="1" t="str">
        <f t="shared" si="10"/>
        <v>0001101010111111111101101001</v>
      </c>
    </row>
    <row r="55" ht="14.25" customHeight="1">
      <c r="A55" s="1">
        <v>29.0</v>
      </c>
      <c r="B55" s="1" t="str">
        <f>MID($B$24,Constanst!AA31,1)</f>
        <v>1</v>
      </c>
      <c r="C55" s="1" t="str">
        <f t="shared" si="10"/>
        <v>00011010101111111111011010011</v>
      </c>
    </row>
    <row r="56" ht="14.25" customHeight="1">
      <c r="A56" s="1">
        <v>30.0</v>
      </c>
      <c r="B56" s="1" t="str">
        <f>MID($B$24,Constanst!AA32,1)</f>
        <v>1</v>
      </c>
      <c r="C56" s="1" t="str">
        <f t="shared" si="10"/>
        <v>000110101011111111110110100111</v>
      </c>
    </row>
    <row r="57" ht="14.25" customHeight="1">
      <c r="A57" s="1">
        <v>31.0</v>
      </c>
      <c r="B57" s="1" t="str">
        <f>MID($B$24,Constanst!AA33,1)</f>
        <v>0</v>
      </c>
      <c r="C57" s="1" t="str">
        <f t="shared" si="10"/>
        <v>0001101010111111111101101001110</v>
      </c>
    </row>
    <row r="58" ht="14.25" customHeight="1">
      <c r="A58" s="1">
        <v>32.0</v>
      </c>
      <c r="B58" s="1" t="str">
        <f>MID($B$24,Constanst!AA34,1)</f>
        <v>1</v>
      </c>
      <c r="C58" s="1" t="str">
        <f t="shared" si="10"/>
        <v>00011010101111111111011010011101</v>
      </c>
    </row>
    <row r="59" ht="14.25" customHeight="1">
      <c r="A59" s="1">
        <v>33.0</v>
      </c>
      <c r="B59" s="1" t="str">
        <f>MID($B$24,Constanst!AA35,1)</f>
        <v>0</v>
      </c>
      <c r="C59" s="1" t="str">
        <f t="shared" si="10"/>
        <v>000110101011111111110110100111010</v>
      </c>
    </row>
    <row r="60" ht="14.25" customHeight="1">
      <c r="A60" s="1">
        <v>34.0</v>
      </c>
      <c r="B60" s="1" t="str">
        <f>MID($B$24,Constanst!AA36,1)</f>
        <v>1</v>
      </c>
      <c r="C60" s="1" t="str">
        <f t="shared" si="10"/>
        <v>0001101010111111111101101001110101</v>
      </c>
    </row>
    <row r="61" ht="14.25" customHeight="1">
      <c r="A61" s="1">
        <v>35.0</v>
      </c>
      <c r="B61" s="1" t="str">
        <f>MID($B$24,Constanst!AA37,1)</f>
        <v>0</v>
      </c>
      <c r="C61" s="1" t="str">
        <f t="shared" si="10"/>
        <v>00011010101111111111011010011101010</v>
      </c>
    </row>
    <row r="62" ht="14.25" customHeight="1">
      <c r="A62" s="1">
        <v>36.0</v>
      </c>
      <c r="B62" s="1" t="str">
        <f>MID($B$24,Constanst!AA38,1)</f>
        <v>1</v>
      </c>
      <c r="C62" s="1" t="str">
        <f t="shared" si="10"/>
        <v>000110101011111111110110100111010101</v>
      </c>
    </row>
    <row r="63" ht="14.25" customHeight="1">
      <c r="A63" s="1">
        <v>37.0</v>
      </c>
      <c r="B63" s="1" t="str">
        <f>MID($B$24,Constanst!AA39,1)</f>
        <v>1</v>
      </c>
      <c r="C63" s="1" t="str">
        <f t="shared" si="10"/>
        <v>0001101010111111111101101001110101011</v>
      </c>
    </row>
    <row r="64" ht="14.25" customHeight="1">
      <c r="A64" s="1">
        <v>38.0</v>
      </c>
      <c r="B64" s="1" t="str">
        <f>MID($B$24,Constanst!AA40,1)</f>
        <v>0</v>
      </c>
      <c r="C64" s="1" t="str">
        <f t="shared" si="10"/>
        <v>00011010101111111111011010011101010110</v>
      </c>
    </row>
    <row r="65" ht="14.25" customHeight="1">
      <c r="A65" s="1">
        <v>39.0</v>
      </c>
      <c r="B65" s="1" t="str">
        <f>MID($B$24,Constanst!AA41,1)</f>
        <v>1</v>
      </c>
      <c r="C65" s="1" t="str">
        <f t="shared" si="10"/>
        <v>000110101011111111110110100111010101101</v>
      </c>
    </row>
    <row r="66" ht="14.25" customHeight="1">
      <c r="A66" s="1">
        <v>40.0</v>
      </c>
      <c r="B66" s="1" t="str">
        <f>MID($B$24,Constanst!AA42,1)</f>
        <v>0</v>
      </c>
      <c r="C66" s="1" t="str">
        <f t="shared" si="10"/>
        <v>0001101010111111111101101001110101011010</v>
      </c>
    </row>
    <row r="67" ht="14.25" customHeight="1">
      <c r="A67" s="1">
        <v>41.0</v>
      </c>
      <c r="B67" s="1" t="str">
        <f>MID($B$24,Constanst!AA43,1)</f>
        <v>1</v>
      </c>
      <c r="C67" s="1" t="str">
        <f t="shared" si="10"/>
        <v>00011010101111111111011010011101010110101</v>
      </c>
    </row>
    <row r="68" ht="14.25" customHeight="1">
      <c r="A68" s="1">
        <v>42.0</v>
      </c>
      <c r="B68" s="1" t="str">
        <f>MID($B$24,Constanst!AA44,1)</f>
        <v>0</v>
      </c>
      <c r="C68" s="1" t="str">
        <f t="shared" si="10"/>
        <v>000110101011111111110110100111010101101010</v>
      </c>
    </row>
    <row r="69" ht="14.25" customHeight="1">
      <c r="A69" s="1">
        <v>43.0</v>
      </c>
      <c r="B69" s="1" t="str">
        <f>MID($B$24,Constanst!AA45,1)</f>
        <v>0</v>
      </c>
      <c r="C69" s="1" t="str">
        <f t="shared" si="10"/>
        <v>0001101010111111111101101001110101011010100</v>
      </c>
    </row>
    <row r="70" ht="14.25" customHeight="1">
      <c r="A70" s="1">
        <v>44.0</v>
      </c>
      <c r="B70" s="1" t="str">
        <f>MID($B$24,Constanst!AA46,1)</f>
        <v>1</v>
      </c>
      <c r="C70" s="1" t="str">
        <f t="shared" si="10"/>
        <v>00011010101111111111011010011101010110101001</v>
      </c>
    </row>
    <row r="71" ht="14.25" customHeight="1">
      <c r="A71" s="1">
        <v>45.0</v>
      </c>
      <c r="B71" s="1" t="str">
        <f>MID($B$24,Constanst!AA47,1)</f>
        <v>0</v>
      </c>
      <c r="C71" s="1" t="str">
        <f t="shared" si="10"/>
        <v>000110101011111111110110100111010101101010010</v>
      </c>
    </row>
    <row r="72" ht="14.25" customHeight="1">
      <c r="A72" s="1">
        <v>46.0</v>
      </c>
      <c r="B72" s="1" t="str">
        <f>MID($B$24,Constanst!AA48,1)</f>
        <v>0</v>
      </c>
      <c r="C72" s="1" t="str">
        <f t="shared" si="10"/>
        <v>0001101010111111111101101001110101011010100100</v>
      </c>
    </row>
    <row r="73" ht="14.25" customHeight="1">
      <c r="A73" s="1">
        <v>47.0</v>
      </c>
      <c r="B73" s="1" t="str">
        <f>MID($B$24,Constanst!AA49,1)</f>
        <v>1</v>
      </c>
      <c r="C73" s="1" t="str">
        <f t="shared" si="10"/>
        <v>00011010101111111111011010011101010110101001001</v>
      </c>
    </row>
    <row r="74" ht="14.25" customHeight="1">
      <c r="A74" s="1">
        <v>48.0</v>
      </c>
      <c r="B74" s="1" t="str">
        <f>MID($B$24,Constanst!AA50,1)</f>
        <v>1</v>
      </c>
      <c r="C74" s="1" t="str">
        <f t="shared" si="10"/>
        <v>000110101011111111110110100111010101101010010011</v>
      </c>
    </row>
    <row r="75" ht="14.25" customHeight="1">
      <c r="A75" s="1">
        <v>49.0</v>
      </c>
      <c r="B75" s="1" t="str">
        <f>MID($B$24,Constanst!AA51,1)</f>
        <v>1</v>
      </c>
      <c r="C75" s="1" t="str">
        <f t="shared" si="10"/>
        <v>0001101010111111111101101001110101011010100100111</v>
      </c>
    </row>
    <row r="76" ht="14.25" customHeight="1">
      <c r="A76" s="1">
        <v>50.0</v>
      </c>
      <c r="B76" s="1" t="str">
        <f>MID($B$24,Constanst!AA52,1)</f>
        <v>1</v>
      </c>
      <c r="C76" s="1" t="str">
        <f t="shared" si="10"/>
        <v>00011010101111111111011010011101010110101001001111</v>
      </c>
    </row>
    <row r="77" ht="14.25" customHeight="1">
      <c r="A77" s="1">
        <v>51.0</v>
      </c>
      <c r="B77" s="1" t="str">
        <f>MID($B$24,Constanst!AA53,1)</f>
        <v>1</v>
      </c>
      <c r="C77" s="1" t="str">
        <f t="shared" si="10"/>
        <v>000110101011111111110110100111010101101010010011111</v>
      </c>
    </row>
    <row r="78" ht="14.25" customHeight="1">
      <c r="A78" s="1">
        <v>52.0</v>
      </c>
      <c r="B78" s="1" t="str">
        <f>MID($B$24,Constanst!AA54,1)</f>
        <v>0</v>
      </c>
      <c r="C78" s="1" t="str">
        <f t="shared" si="10"/>
        <v>0001101010111111111101101001110101011010100100111110</v>
      </c>
    </row>
    <row r="79" ht="14.25" customHeight="1">
      <c r="A79" s="1">
        <v>53.0</v>
      </c>
      <c r="B79" s="1" t="str">
        <f>MID($B$24,Constanst!AA55,1)</f>
        <v>1</v>
      </c>
      <c r="C79" s="1" t="str">
        <f t="shared" si="10"/>
        <v>00011010101111111111011010011101010110101001001111101</v>
      </c>
    </row>
    <row r="80" ht="14.25" customHeight="1">
      <c r="A80" s="1">
        <v>54.0</v>
      </c>
      <c r="B80" s="1" t="str">
        <f>MID($B$24,Constanst!AA56,1)</f>
        <v>0</v>
      </c>
      <c r="C80" s="1" t="str">
        <f t="shared" si="10"/>
        <v>000110101011111111110110100111010101101010010011111010</v>
      </c>
    </row>
    <row r="81" ht="14.25" customHeight="1">
      <c r="A81" s="1">
        <v>55.0</v>
      </c>
      <c r="B81" s="1" t="str">
        <f>MID($B$24,Constanst!AA57,1)</f>
        <v>0</v>
      </c>
      <c r="C81" s="1" t="str">
        <f t="shared" si="10"/>
        <v>0001101010111111111101101001110101011010100100111110100</v>
      </c>
    </row>
    <row r="82" ht="14.25" customHeight="1">
      <c r="A82" s="1">
        <v>56.0</v>
      </c>
      <c r="B82" s="1" t="str">
        <f>MID($B$24,Constanst!AA58,1)</f>
        <v>0</v>
      </c>
      <c r="C82" s="1" t="str">
        <f t="shared" si="10"/>
        <v>00011010101111111111011010011101010110101001001111101000</v>
      </c>
    </row>
    <row r="83" ht="14.25" customHeight="1">
      <c r="A83" s="1">
        <v>57.0</v>
      </c>
      <c r="B83" s="1" t="str">
        <f>MID($B$24,Constanst!AA59,1)</f>
        <v>0</v>
      </c>
      <c r="C83" s="1" t="str">
        <f t="shared" si="10"/>
        <v>000110101011111111110110100111010101101010010011111010000</v>
      </c>
    </row>
    <row r="84" ht="14.25" customHeight="1">
      <c r="A84" s="1">
        <v>58.0</v>
      </c>
      <c r="B84" s="1" t="str">
        <f>MID($B$24,Constanst!AA60,1)</f>
        <v>0</v>
      </c>
      <c r="C84" s="1" t="str">
        <f t="shared" si="10"/>
        <v>0001101010111111111101101001110101011010100100111110100000</v>
      </c>
    </row>
    <row r="85" ht="14.25" customHeight="1">
      <c r="A85" s="1">
        <v>59.0</v>
      </c>
      <c r="B85" s="1" t="str">
        <f>MID($B$24,Constanst!AA61,1)</f>
        <v>0</v>
      </c>
      <c r="C85" s="1" t="str">
        <f t="shared" si="10"/>
        <v>00011010101111111111011010011101010110101001001111101000000</v>
      </c>
    </row>
    <row r="86" ht="14.25" customHeight="1">
      <c r="A86" s="1">
        <v>60.0</v>
      </c>
      <c r="B86" s="1" t="str">
        <f>MID($B$24,Constanst!AA62,1)</f>
        <v>0</v>
      </c>
      <c r="C86" s="1" t="str">
        <f t="shared" si="10"/>
        <v>000110101011111111110110100111010101101010010011111010000000</v>
      </c>
    </row>
    <row r="87" ht="14.25" customHeight="1">
      <c r="A87" s="1">
        <v>61.0</v>
      </c>
      <c r="B87" s="1" t="str">
        <f>MID($B$24,Constanst!AA63,1)</f>
        <v>1</v>
      </c>
      <c r="C87" s="1" t="str">
        <f t="shared" si="10"/>
        <v>0001101010111111111101101001110101011010100100111110100000001</v>
      </c>
    </row>
    <row r="88" ht="14.25" customHeight="1">
      <c r="A88" s="1">
        <v>62.0</v>
      </c>
      <c r="B88" s="1" t="str">
        <f>MID($B$24,Constanst!AA64,1)</f>
        <v>0</v>
      </c>
      <c r="C88" s="1" t="str">
        <f t="shared" si="10"/>
        <v>00011010101111111111011010011101010110101001001111101000000010</v>
      </c>
    </row>
    <row r="89" ht="14.25" customHeight="1">
      <c r="A89" s="1">
        <v>63.0</v>
      </c>
      <c r="B89" s="1" t="str">
        <f>MID($B$24,Constanst!AA65,1)</f>
        <v>1</v>
      </c>
      <c r="C89" s="1" t="str">
        <f t="shared" si="10"/>
        <v>000110101011111111110110100111010101101010010011111010000000101</v>
      </c>
    </row>
    <row r="90" ht="14.25" customHeight="1">
      <c r="A90" s="1">
        <v>64.0</v>
      </c>
      <c r="B90" s="1" t="str">
        <f>MID($B$24,Constanst!AA66,1)</f>
        <v>1</v>
      </c>
      <c r="C90" s="1" t="str">
        <f t="shared" si="10"/>
        <v>0001101010111111111101101001110101011010100100111110100000001011</v>
      </c>
    </row>
    <row r="91" ht="14.25" customHeight="1"/>
    <row r="92" ht="14.25" customHeight="1">
      <c r="A92" s="1" t="s">
        <v>133</v>
      </c>
      <c r="B92" s="1" t="str">
        <f>C90</f>
        <v>0001101010111111111101101001110101011010100100111110100000001011</v>
      </c>
    </row>
    <row r="93" ht="14.25" customHeight="1"/>
    <row r="94" ht="14.25" customHeight="1">
      <c r="A94" s="20" t="s">
        <v>61</v>
      </c>
      <c r="B94" s="20" t="s">
        <v>61</v>
      </c>
      <c r="C94" s="20" t="s">
        <v>62</v>
      </c>
    </row>
    <row r="95" ht="14.25" customHeight="1">
      <c r="A95" s="20">
        <v>1.0</v>
      </c>
      <c r="B95" s="20" t="str">
        <f t="shared" ref="B95:B102" si="11">MID($B$92,(A95-1)*8+1, 8)</f>
        <v>00011010</v>
      </c>
      <c r="C95" s="20" t="str">
        <f t="shared" ref="C95:C102" si="12">BIN2HEX(B95,2)</f>
        <v>1A</v>
      </c>
    </row>
    <row r="96" ht="14.25" customHeight="1">
      <c r="A96" s="20">
        <v>2.0</v>
      </c>
      <c r="B96" s="20" t="str">
        <f t="shared" si="11"/>
        <v>10111111</v>
      </c>
      <c r="C96" s="20" t="str">
        <f t="shared" si="12"/>
        <v>BF</v>
      </c>
    </row>
    <row r="97" ht="14.25" customHeight="1">
      <c r="A97" s="20">
        <v>3.0</v>
      </c>
      <c r="B97" s="20" t="str">
        <f t="shared" si="11"/>
        <v>11110110</v>
      </c>
      <c r="C97" s="20" t="str">
        <f t="shared" si="12"/>
        <v>F6</v>
      </c>
    </row>
    <row r="98" ht="14.25" customHeight="1">
      <c r="A98" s="20">
        <v>4.0</v>
      </c>
      <c r="B98" s="20" t="str">
        <f t="shared" si="11"/>
        <v>10011101</v>
      </c>
      <c r="C98" s="20" t="str">
        <f t="shared" si="12"/>
        <v>9D</v>
      </c>
    </row>
    <row r="99" ht="14.25" customHeight="1">
      <c r="A99" s="20">
        <v>5.0</v>
      </c>
      <c r="B99" s="20" t="str">
        <f t="shared" si="11"/>
        <v>01011010</v>
      </c>
      <c r="C99" s="20" t="str">
        <f t="shared" si="12"/>
        <v>5A</v>
      </c>
    </row>
    <row r="100" ht="14.25" customHeight="1">
      <c r="A100" s="20">
        <v>6.0</v>
      </c>
      <c r="B100" s="20" t="str">
        <f t="shared" si="11"/>
        <v>10010011</v>
      </c>
      <c r="C100" s="20" t="str">
        <f t="shared" si="12"/>
        <v>93</v>
      </c>
    </row>
    <row r="101" ht="14.25" customHeight="1">
      <c r="A101" s="20">
        <v>7.0</v>
      </c>
      <c r="B101" s="20" t="str">
        <f t="shared" si="11"/>
        <v>11101000</v>
      </c>
      <c r="C101" s="20" t="str">
        <f t="shared" si="12"/>
        <v>E8</v>
      </c>
    </row>
    <row r="102" ht="14.25" customHeight="1">
      <c r="A102" s="20">
        <v>8.0</v>
      </c>
      <c r="B102" s="20" t="str">
        <f t="shared" si="11"/>
        <v>00001011</v>
      </c>
      <c r="C102" s="20" t="str">
        <f t="shared" si="12"/>
        <v>0B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7:D7"/>
    <mergeCell ref="G7:J7"/>
    <mergeCell ref="C14:F14"/>
    <mergeCell ref="C22:F2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25"/>
    <col customWidth="1" min="3" max="5" width="8.63"/>
    <col customWidth="1" min="6" max="6" width="9.25"/>
    <col customWidth="1" min="7" max="26" width="8.63"/>
  </cols>
  <sheetData>
    <row r="1" ht="14.25" customHeight="1">
      <c r="A1" s="1" t="s">
        <v>60</v>
      </c>
      <c r="B1" s="1" t="str">
        <f>'PC1'!B20</f>
        <v>11110000110011001010101010111010101011001100111100001010</v>
      </c>
    </row>
    <row r="2" ht="14.25" customHeight="1"/>
    <row r="3" ht="14.25" customHeight="1">
      <c r="A3" s="26" t="s">
        <v>61</v>
      </c>
      <c r="B3" s="26" t="s">
        <v>61</v>
      </c>
      <c r="C3" s="26" t="s">
        <v>62</v>
      </c>
      <c r="E3" s="1" t="s">
        <v>134</v>
      </c>
      <c r="F3" s="1" t="str">
        <f>LEFT(B1,28)</f>
        <v>1111000011001100101010101011</v>
      </c>
      <c r="J3" s="1" t="s">
        <v>135</v>
      </c>
    </row>
    <row r="4" ht="14.25" customHeight="1">
      <c r="A4" s="26">
        <v>1.0</v>
      </c>
      <c r="B4" s="26" t="str">
        <f t="shared" ref="B4:B10" si="1">MID($B$1,(A4-1)*8+1, 8)</f>
        <v>11110000</v>
      </c>
      <c r="C4" s="26" t="str">
        <f t="shared" ref="C4:C10" si="2">BIN2HEX(B4,2)</f>
        <v>F0</v>
      </c>
      <c r="E4" s="1" t="s">
        <v>136</v>
      </c>
      <c r="F4" s="1" t="str">
        <f>RIGHT(B1,28)</f>
        <v>1010101011001100111100001010</v>
      </c>
      <c r="J4" s="1" t="s">
        <v>137</v>
      </c>
    </row>
    <row r="5" ht="14.25" customHeight="1">
      <c r="A5" s="26">
        <v>2.0</v>
      </c>
      <c r="B5" s="26" t="str">
        <f t="shared" si="1"/>
        <v>11001100</v>
      </c>
      <c r="C5" s="26" t="str">
        <f t="shared" si="2"/>
        <v>CC</v>
      </c>
    </row>
    <row r="6" ht="14.25" customHeight="1">
      <c r="A6" s="26">
        <v>3.0</v>
      </c>
      <c r="B6" s="26" t="str">
        <f t="shared" si="1"/>
        <v>10101010</v>
      </c>
      <c r="C6" s="26" t="str">
        <f t="shared" si="2"/>
        <v>AA</v>
      </c>
      <c r="E6" s="1" t="s">
        <v>138</v>
      </c>
      <c r="F6" s="1" t="str">
        <f>RIGHT(F3, LEN(F3)-1) &amp; LEFT(F3,1)</f>
        <v>1110000110011001010101010111</v>
      </c>
      <c r="J6" s="1" t="s">
        <v>139</v>
      </c>
      <c r="K6" s="1" t="str">
        <f>RIGHT(F4, LEN(F4)-1) &amp; LEFT(F4,1)</f>
        <v>0101010110011001111000010101</v>
      </c>
    </row>
    <row r="7" ht="14.25" customHeight="1">
      <c r="A7" s="26">
        <v>4.0</v>
      </c>
      <c r="B7" s="26" t="str">
        <f t="shared" si="1"/>
        <v>10111010</v>
      </c>
      <c r="C7" s="26" t="str">
        <f t="shared" si="2"/>
        <v>BA</v>
      </c>
    </row>
    <row r="8" ht="14.25" customHeight="1">
      <c r="A8" s="26">
        <v>5.0</v>
      </c>
      <c r="B8" s="26" t="str">
        <f t="shared" si="1"/>
        <v>10101100</v>
      </c>
      <c r="C8" s="26" t="str">
        <f t="shared" si="2"/>
        <v>AC</v>
      </c>
      <c r="E8" s="26" t="s">
        <v>61</v>
      </c>
      <c r="F8" s="26" t="s">
        <v>61</v>
      </c>
      <c r="G8" s="26" t="s">
        <v>62</v>
      </c>
      <c r="J8" s="27" t="s">
        <v>61</v>
      </c>
      <c r="K8" s="27" t="s">
        <v>61</v>
      </c>
      <c r="L8" s="27" t="s">
        <v>62</v>
      </c>
    </row>
    <row r="9" ht="14.25" customHeight="1">
      <c r="A9" s="26">
        <v>6.0</v>
      </c>
      <c r="B9" s="26" t="str">
        <f t="shared" si="1"/>
        <v>11001111</v>
      </c>
      <c r="C9" s="26" t="str">
        <f t="shared" si="2"/>
        <v>CF</v>
      </c>
      <c r="E9" s="26">
        <v>1.0</v>
      </c>
      <c r="F9" s="26" t="str">
        <f t="shared" ref="F9:F12" si="3">MID($F$6,(E9-1)*8+1, 8)</f>
        <v>11100001</v>
      </c>
      <c r="G9" s="26" t="str">
        <f t="shared" ref="G9:G11" si="4">BIN2HEX(F9,2)</f>
        <v>E1</v>
      </c>
      <c r="J9" s="27">
        <v>1.0</v>
      </c>
      <c r="K9" s="27" t="str">
        <f t="shared" ref="K9:K12" si="5">MID($K$6,(J9-1)*8+1, 8)</f>
        <v>01010101</v>
      </c>
      <c r="L9" s="27" t="str">
        <f t="shared" ref="L9:L11" si="6">BIN2HEX(K9,2)</f>
        <v>55</v>
      </c>
    </row>
    <row r="10" ht="14.25" customHeight="1">
      <c r="A10" s="26">
        <v>7.0</v>
      </c>
      <c r="B10" s="26" t="str">
        <f t="shared" si="1"/>
        <v>00001010</v>
      </c>
      <c r="C10" s="26" t="str">
        <f t="shared" si="2"/>
        <v>0A</v>
      </c>
      <c r="E10" s="26">
        <v>2.0</v>
      </c>
      <c r="F10" s="26" t="str">
        <f t="shared" si="3"/>
        <v>10011001</v>
      </c>
      <c r="G10" s="26" t="str">
        <f t="shared" si="4"/>
        <v>99</v>
      </c>
      <c r="J10" s="27">
        <v>2.0</v>
      </c>
      <c r="K10" s="27" t="str">
        <f t="shared" si="5"/>
        <v>10011001</v>
      </c>
      <c r="L10" s="27" t="str">
        <f t="shared" si="6"/>
        <v>99</v>
      </c>
    </row>
    <row r="11" ht="14.25" customHeight="1">
      <c r="E11" s="26">
        <v>3.0</v>
      </c>
      <c r="F11" s="26" t="str">
        <f t="shared" si="3"/>
        <v>01010101</v>
      </c>
      <c r="G11" s="26" t="str">
        <f t="shared" si="4"/>
        <v>55</v>
      </c>
      <c r="J11" s="27">
        <v>3.0</v>
      </c>
      <c r="K11" s="27" t="str">
        <f t="shared" si="5"/>
        <v>11100001</v>
      </c>
      <c r="L11" s="27" t="str">
        <f t="shared" si="6"/>
        <v>E1</v>
      </c>
      <c r="N11" s="26" t="s">
        <v>61</v>
      </c>
      <c r="O11" s="26" t="s">
        <v>61</v>
      </c>
      <c r="P11" s="26" t="s">
        <v>62</v>
      </c>
    </row>
    <row r="12" ht="14.25" customHeight="1">
      <c r="E12" s="26">
        <v>4.0</v>
      </c>
      <c r="F12" s="26" t="str">
        <f t="shared" si="3"/>
        <v>0111</v>
      </c>
      <c r="G12" s="26" t="str">
        <f>BIN2HEX(F12,1)</f>
        <v>7</v>
      </c>
      <c r="J12" s="27">
        <v>4.0</v>
      </c>
      <c r="K12" s="27" t="str">
        <f t="shared" si="5"/>
        <v>0101</v>
      </c>
      <c r="L12" s="27" t="str">
        <f>BIN2HEX(K12,1)</f>
        <v>5</v>
      </c>
      <c r="N12" s="26">
        <v>1.0</v>
      </c>
      <c r="O12" s="26" t="str">
        <f t="shared" ref="O12:O17" si="7">MID($D$15,(N12-1)*8+1, 8)</f>
        <v>00011011</v>
      </c>
      <c r="P12" s="26" t="str">
        <f t="shared" ref="P12:P17" si="8">BIN2HEX(O12,2)</f>
        <v>1B</v>
      </c>
    </row>
    <row r="13" ht="14.25" customHeight="1">
      <c r="N13" s="26">
        <v>2.0</v>
      </c>
      <c r="O13" s="26" t="str">
        <f t="shared" si="7"/>
        <v>00000010</v>
      </c>
      <c r="P13" s="26" t="str">
        <f t="shared" si="8"/>
        <v>02</v>
      </c>
    </row>
    <row r="14" ht="14.25" customHeight="1">
      <c r="N14" s="26">
        <v>3.0</v>
      </c>
      <c r="O14" s="26" t="str">
        <f t="shared" si="7"/>
        <v>11101111</v>
      </c>
      <c r="P14" s="26" t="str">
        <f t="shared" si="8"/>
        <v>EF</v>
      </c>
    </row>
    <row r="15" ht="14.25" customHeight="1">
      <c r="A15" s="28" t="s">
        <v>140</v>
      </c>
      <c r="B15" s="28"/>
      <c r="C15" s="28"/>
      <c r="D15" s="29" t="str">
        <f>B20</f>
        <v>000110110000001011101111110110110100100110100101</v>
      </c>
      <c r="N15" s="26">
        <v>4.0</v>
      </c>
      <c r="O15" s="26" t="str">
        <f t="shared" si="7"/>
        <v>11011011</v>
      </c>
      <c r="P15" s="26" t="str">
        <f t="shared" si="8"/>
        <v>DB</v>
      </c>
    </row>
    <row r="16" ht="14.25" customHeight="1">
      <c r="B16" s="30"/>
      <c r="N16" s="26">
        <v>5.0</v>
      </c>
      <c r="O16" s="26" t="str">
        <f t="shared" si="7"/>
        <v>01001001</v>
      </c>
      <c r="P16" s="26" t="str">
        <f t="shared" si="8"/>
        <v>49</v>
      </c>
    </row>
    <row r="17" ht="14.25" customHeight="1">
      <c r="A17" s="1" t="s">
        <v>141</v>
      </c>
      <c r="B17" s="30" t="str">
        <f>F6&amp;K6</f>
        <v>11100001100110010101010101110101010110011001111000010101</v>
      </c>
      <c r="N17" s="26">
        <v>6.0</v>
      </c>
      <c r="O17" s="26" t="str">
        <f t="shared" si="7"/>
        <v>10100101</v>
      </c>
      <c r="P17" s="26" t="str">
        <f t="shared" si="8"/>
        <v>A5</v>
      </c>
    </row>
    <row r="18" ht="14.25" customHeight="1">
      <c r="B18" s="30"/>
    </row>
    <row r="19" ht="14.25" customHeight="1">
      <c r="A19" s="1" t="s">
        <v>142</v>
      </c>
    </row>
    <row r="20" ht="14.25" customHeight="1">
      <c r="A20" s="1" t="str">
        <f>MID(B17, Constanst!$E$3, 1)</f>
        <v>0</v>
      </c>
      <c r="B20" s="1" t="str">
        <f t="shared" ref="B20:B65" si="9">A20&amp;B21</f>
        <v>000110110000001011101111110110110100100110100101</v>
      </c>
    </row>
    <row r="21" ht="14.25" hidden="1" customHeight="1">
      <c r="A21" s="1" t="str">
        <f>MID(B17, Constanst!$E$4, 1)</f>
        <v>0</v>
      </c>
      <c r="B21" s="1" t="str">
        <f t="shared" si="9"/>
        <v>00110110000001011101111110110110100100110100101</v>
      </c>
    </row>
    <row r="22" ht="14.25" hidden="1" customHeight="1">
      <c r="A22" s="1" t="str">
        <f>MID(B17, Constanst!$E$5, 1)</f>
        <v>0</v>
      </c>
      <c r="B22" s="1" t="str">
        <f t="shared" si="9"/>
        <v>0110110000001011101111110110110100100110100101</v>
      </c>
    </row>
    <row r="23" ht="14.25" hidden="1" customHeight="1">
      <c r="A23" s="1" t="str">
        <f>MID(B17, Constanst!$E$6, 1)</f>
        <v>1</v>
      </c>
      <c r="B23" s="1" t="str">
        <f t="shared" si="9"/>
        <v>110110000001011101111110110110100100110100101</v>
      </c>
    </row>
    <row r="24" ht="14.25" hidden="1" customHeight="1">
      <c r="A24" s="1" t="str">
        <f>MID(B17, Constanst!$E$7, 1)</f>
        <v>1</v>
      </c>
      <c r="B24" s="1" t="str">
        <f t="shared" si="9"/>
        <v>10110000001011101111110110110100100110100101</v>
      </c>
    </row>
    <row r="25" ht="14.25" hidden="1" customHeight="1">
      <c r="A25" s="1" t="str">
        <f>MID(B17, Constanst!$E$8, 1)</f>
        <v>0</v>
      </c>
      <c r="B25" s="1" t="str">
        <f t="shared" si="9"/>
        <v>0110000001011101111110110110100100110100101</v>
      </c>
    </row>
    <row r="26" ht="14.25" hidden="1" customHeight="1">
      <c r="A26" s="1" t="str">
        <f>MID(B17, Constanst!$E$9, 1)</f>
        <v>1</v>
      </c>
      <c r="B26" s="1" t="str">
        <f t="shared" si="9"/>
        <v>110000001011101111110110110100100110100101</v>
      </c>
    </row>
    <row r="27" ht="14.25" hidden="1" customHeight="1">
      <c r="A27" s="1" t="str">
        <f>MID(B17, Constanst!$E$10, 1)</f>
        <v>1</v>
      </c>
      <c r="B27" s="1" t="str">
        <f t="shared" si="9"/>
        <v>10000001011101111110110110100100110100101</v>
      </c>
    </row>
    <row r="28" ht="14.25" hidden="1" customHeight="1">
      <c r="A28" s="1" t="str">
        <f>MID(B17, Constanst!$E$11, 1)</f>
        <v>0</v>
      </c>
      <c r="B28" s="1" t="str">
        <f t="shared" si="9"/>
        <v>0000001011101111110110110100100110100101</v>
      </c>
    </row>
    <row r="29" ht="14.25" hidden="1" customHeight="1">
      <c r="A29" s="1" t="str">
        <f>MID(B17, Constanst!$E$12, 1)</f>
        <v>0</v>
      </c>
      <c r="B29" s="1" t="str">
        <f t="shared" si="9"/>
        <v>000001011101111110110110100100110100101</v>
      </c>
    </row>
    <row r="30" ht="14.25" hidden="1" customHeight="1">
      <c r="A30" s="1" t="str">
        <f>MID(B17, Constanst!$E$13, 1)</f>
        <v>0</v>
      </c>
      <c r="B30" s="1" t="str">
        <f t="shared" si="9"/>
        <v>00001011101111110110110100100110100101</v>
      </c>
    </row>
    <row r="31" ht="14.25" hidden="1" customHeight="1">
      <c r="A31" s="1" t="str">
        <f>MID(B17, Constanst!$E$14, 1)</f>
        <v>0</v>
      </c>
      <c r="B31" s="1" t="str">
        <f t="shared" si="9"/>
        <v>0001011101111110110110100100110100101</v>
      </c>
    </row>
    <row r="32" ht="14.25" hidden="1" customHeight="1">
      <c r="A32" s="1" t="str">
        <f>MID(B17, Constanst!$E$15, 1)</f>
        <v>0</v>
      </c>
      <c r="B32" s="1" t="str">
        <f t="shared" si="9"/>
        <v>001011101111110110110100100110100101</v>
      </c>
    </row>
    <row r="33" ht="14.25" hidden="1" customHeight="1">
      <c r="A33" s="1" t="str">
        <f>MID(B17, Constanst!$E$16, 1)</f>
        <v>0</v>
      </c>
      <c r="B33" s="1" t="str">
        <f t="shared" si="9"/>
        <v>01011101111110110110100100110100101</v>
      </c>
    </row>
    <row r="34" ht="14.25" hidden="1" customHeight="1">
      <c r="A34" s="1" t="str">
        <f>MID(B17, Constanst!$E$17, 1)</f>
        <v>1</v>
      </c>
      <c r="B34" s="1" t="str">
        <f t="shared" si="9"/>
        <v>1011101111110110110100100110100101</v>
      </c>
    </row>
    <row r="35" ht="14.25" hidden="1" customHeight="1">
      <c r="A35" s="1" t="str">
        <f>MID(B17, Constanst!$E$18, 1)</f>
        <v>0</v>
      </c>
      <c r="B35" s="1" t="str">
        <f t="shared" si="9"/>
        <v>011101111110110110100100110100101</v>
      </c>
    </row>
    <row r="36" ht="14.25" hidden="1" customHeight="1">
      <c r="A36" s="1" t="str">
        <f>MID(B17, Constanst!$E$19, 1)</f>
        <v>1</v>
      </c>
      <c r="B36" s="1" t="str">
        <f t="shared" si="9"/>
        <v>11101111110110110100100110100101</v>
      </c>
    </row>
    <row r="37" ht="14.25" hidden="1" customHeight="1">
      <c r="A37" s="1" t="str">
        <f>MID(B17, Constanst!$E$20, 1)</f>
        <v>1</v>
      </c>
      <c r="B37" s="1" t="str">
        <f t="shared" si="9"/>
        <v>1101111110110110100100110100101</v>
      </c>
    </row>
    <row r="38" ht="14.25" hidden="1" customHeight="1">
      <c r="A38" s="1" t="str">
        <f>MID(B17, Constanst!$E$21, 1)</f>
        <v>1</v>
      </c>
      <c r="B38" s="1" t="str">
        <f t="shared" si="9"/>
        <v>101111110110110100100110100101</v>
      </c>
    </row>
    <row r="39" ht="14.25" hidden="1" customHeight="1">
      <c r="A39" s="1" t="str">
        <f>MID(B17, Constanst!$E$22, 1)</f>
        <v>0</v>
      </c>
      <c r="B39" s="1" t="str">
        <f t="shared" si="9"/>
        <v>01111110110110100100110100101</v>
      </c>
    </row>
    <row r="40" ht="14.25" hidden="1" customHeight="1">
      <c r="A40" s="1" t="str">
        <f>MID(B17, Constanst!$E$23, 1)</f>
        <v>1</v>
      </c>
      <c r="B40" s="1" t="str">
        <f t="shared" si="9"/>
        <v>1111110110110100100110100101</v>
      </c>
    </row>
    <row r="41" ht="14.25" hidden="1" customHeight="1">
      <c r="A41" s="1" t="str">
        <f>MID(B17, Constanst!$E$24, 1)</f>
        <v>1</v>
      </c>
      <c r="B41" s="1" t="str">
        <f t="shared" si="9"/>
        <v>111110110110100100110100101</v>
      </c>
    </row>
    <row r="42" ht="14.25" hidden="1" customHeight="1">
      <c r="A42" s="1" t="str">
        <f>MID(B17, Constanst!$E$25, 1)</f>
        <v>1</v>
      </c>
      <c r="B42" s="1" t="str">
        <f t="shared" si="9"/>
        <v>11110110110100100110100101</v>
      </c>
    </row>
    <row r="43" ht="14.25" hidden="1" customHeight="1">
      <c r="A43" s="1" t="str">
        <f>MID(B17, Constanst!$E$26, 1)</f>
        <v>1</v>
      </c>
      <c r="B43" s="1" t="str">
        <f t="shared" si="9"/>
        <v>1110110110100100110100101</v>
      </c>
    </row>
    <row r="44" ht="14.25" hidden="1" customHeight="1">
      <c r="A44" s="1" t="str">
        <f>MID(B17, Constanst!$E$27, 1)</f>
        <v>1</v>
      </c>
      <c r="B44" s="1" t="str">
        <f t="shared" si="9"/>
        <v>110110110100100110100101</v>
      </c>
    </row>
    <row r="45" ht="14.25" hidden="1" customHeight="1">
      <c r="A45" s="1" t="str">
        <f>MID(B17, Constanst!$E$28, 1)</f>
        <v>1</v>
      </c>
      <c r="B45" s="1" t="str">
        <f t="shared" si="9"/>
        <v>10110110100100110100101</v>
      </c>
    </row>
    <row r="46" ht="14.25" hidden="1" customHeight="1">
      <c r="A46" s="1" t="str">
        <f>MID(B17, Constanst!$E$29, 1)</f>
        <v>0</v>
      </c>
      <c r="B46" s="1" t="str">
        <f t="shared" si="9"/>
        <v>0110110100100110100101</v>
      </c>
    </row>
    <row r="47" ht="14.25" hidden="1" customHeight="1">
      <c r="A47" s="1" t="str">
        <f>MID(B17, Constanst!$E$30, 1)</f>
        <v>1</v>
      </c>
      <c r="B47" s="1" t="str">
        <f t="shared" si="9"/>
        <v>110110100100110100101</v>
      </c>
    </row>
    <row r="48" ht="14.25" hidden="1" customHeight="1">
      <c r="A48" s="1" t="str">
        <f>MID(B17, Constanst!$E$31, 1)</f>
        <v>1</v>
      </c>
      <c r="B48" s="1" t="str">
        <f t="shared" si="9"/>
        <v>10110100100110100101</v>
      </c>
    </row>
    <row r="49" ht="14.25" hidden="1" customHeight="1">
      <c r="A49" s="1" t="str">
        <f>MID(B17, Constanst!$E$32, 1)</f>
        <v>0</v>
      </c>
      <c r="B49" s="1" t="str">
        <f t="shared" si="9"/>
        <v>0110100100110100101</v>
      </c>
    </row>
    <row r="50" ht="14.25" hidden="1" customHeight="1">
      <c r="A50" s="1" t="str">
        <f>MID(B17, Constanst!$E$33, 1)</f>
        <v>1</v>
      </c>
      <c r="B50" s="1" t="str">
        <f t="shared" si="9"/>
        <v>110100100110100101</v>
      </c>
    </row>
    <row r="51" ht="14.25" hidden="1" customHeight="1">
      <c r="A51" s="1" t="str">
        <f>MID(B17, Constanst!$E$34, 1)</f>
        <v>1</v>
      </c>
      <c r="B51" s="1" t="str">
        <f t="shared" si="9"/>
        <v>10100100110100101</v>
      </c>
    </row>
    <row r="52" ht="14.25" hidden="1" customHeight="1">
      <c r="A52" s="1" t="str">
        <f>MID(B17, Constanst!$E$35, 1)</f>
        <v>0</v>
      </c>
      <c r="B52" s="1" t="str">
        <f t="shared" si="9"/>
        <v>0100100110100101</v>
      </c>
    </row>
    <row r="53" ht="14.25" hidden="1" customHeight="1">
      <c r="A53" s="1" t="str">
        <f>MID(B17, Constanst!$E$36, 1)</f>
        <v>1</v>
      </c>
      <c r="B53" s="1" t="str">
        <f t="shared" si="9"/>
        <v>100100110100101</v>
      </c>
    </row>
    <row r="54" ht="14.25" hidden="1" customHeight="1">
      <c r="A54" s="1" t="str">
        <f>MID(B17, Constanst!$E$37, 1)</f>
        <v>0</v>
      </c>
      <c r="B54" s="1" t="str">
        <f t="shared" si="9"/>
        <v>00100110100101</v>
      </c>
    </row>
    <row r="55" ht="14.25" hidden="1" customHeight="1">
      <c r="A55" s="1" t="str">
        <f>MID(B17, Constanst!$E$38, 1)</f>
        <v>0</v>
      </c>
      <c r="B55" s="1" t="str">
        <f t="shared" si="9"/>
        <v>0100110100101</v>
      </c>
    </row>
    <row r="56" ht="14.25" hidden="1" customHeight="1">
      <c r="A56" s="1" t="str">
        <f>MID(B17, Constanst!$E$39, 1)</f>
        <v>1</v>
      </c>
      <c r="B56" s="1" t="str">
        <f t="shared" si="9"/>
        <v>100110100101</v>
      </c>
    </row>
    <row r="57" ht="14.25" hidden="1" customHeight="1">
      <c r="A57" s="1" t="str">
        <f>MID(B17, Constanst!$E$40, 1)</f>
        <v>0</v>
      </c>
      <c r="B57" s="1" t="str">
        <f t="shared" si="9"/>
        <v>00110100101</v>
      </c>
    </row>
    <row r="58" ht="14.25" hidden="1" customHeight="1">
      <c r="A58" s="1" t="str">
        <f>MID(B17, Constanst!$E$41, 1)</f>
        <v>0</v>
      </c>
      <c r="B58" s="1" t="str">
        <f t="shared" si="9"/>
        <v>0110100101</v>
      </c>
    </row>
    <row r="59" ht="14.25" hidden="1" customHeight="1">
      <c r="A59" s="1" t="str">
        <f>MID(B17, Constanst!$E$42, 1)</f>
        <v>1</v>
      </c>
      <c r="B59" s="1" t="str">
        <f t="shared" si="9"/>
        <v>110100101</v>
      </c>
    </row>
    <row r="60" ht="14.25" hidden="1" customHeight="1">
      <c r="A60" s="1" t="str">
        <f>MID(B17, Constanst!$E$43, 1)</f>
        <v>1</v>
      </c>
      <c r="B60" s="1" t="str">
        <f t="shared" si="9"/>
        <v>10100101</v>
      </c>
    </row>
    <row r="61" ht="14.25" hidden="1" customHeight="1">
      <c r="A61" s="1" t="str">
        <f>MID(B17, Constanst!$E$44, 1)</f>
        <v>0</v>
      </c>
      <c r="B61" s="1" t="str">
        <f t="shared" si="9"/>
        <v>0100101</v>
      </c>
    </row>
    <row r="62" ht="14.25" hidden="1" customHeight="1">
      <c r="A62" s="1" t="str">
        <f>MID(B17, Constanst!$E$45, 1)</f>
        <v>1</v>
      </c>
      <c r="B62" s="1" t="str">
        <f t="shared" si="9"/>
        <v>100101</v>
      </c>
    </row>
    <row r="63" ht="14.25" hidden="1" customHeight="1">
      <c r="A63" s="1" t="str">
        <f>MID(B17, Constanst!$E$46, 1)</f>
        <v>0</v>
      </c>
      <c r="B63" s="1" t="str">
        <f t="shared" si="9"/>
        <v>00101</v>
      </c>
    </row>
    <row r="64" ht="14.25" hidden="1" customHeight="1">
      <c r="A64" s="1" t="str">
        <f>MID(B17, Constanst!$E$47, 1)</f>
        <v>0</v>
      </c>
      <c r="B64" s="1" t="str">
        <f t="shared" si="9"/>
        <v>0101</v>
      </c>
    </row>
    <row r="65" ht="14.25" hidden="1" customHeight="1">
      <c r="A65" s="1" t="str">
        <f>MID(B17, Constanst!$E$48, 1)</f>
        <v>1</v>
      </c>
      <c r="B65" s="1" t="str">
        <f t="shared" si="9"/>
        <v>101</v>
      </c>
    </row>
    <row r="66" ht="14.25" hidden="1" customHeight="1">
      <c r="A66" s="1" t="str">
        <f>MID(B17, Constanst!$E$49, 1)</f>
        <v>0</v>
      </c>
      <c r="B66" s="1" t="str">
        <f>A66&amp;A67</f>
        <v>01</v>
      </c>
    </row>
    <row r="67" ht="14.25" hidden="1" customHeight="1">
      <c r="A67" s="1" t="str">
        <f>MID(B17, Constanst!$E$50, 1)</f>
        <v>1</v>
      </c>
    </row>
    <row r="68" ht="14.25" customHeight="1">
      <c r="B68" s="30"/>
    </row>
    <row r="69" ht="14.25" customHeight="1">
      <c r="B69" s="30"/>
    </row>
    <row r="70" ht="14.25" customHeight="1">
      <c r="B70" s="30"/>
    </row>
    <row r="71" ht="14.25" customHeight="1">
      <c r="B71" s="30"/>
    </row>
    <row r="72" ht="14.25" customHeight="1">
      <c r="B72" s="30"/>
    </row>
    <row r="73" ht="14.25" customHeight="1">
      <c r="B73" s="30"/>
      <c r="E73" s="1" t="s">
        <v>143</v>
      </c>
      <c r="F73" s="1" t="str">
        <f>RIGHT(F6, LEN(F6)-1) &amp; LEFT(F6,1)</f>
        <v>1100001100110010101010101111</v>
      </c>
      <c r="J73" s="1" t="s">
        <v>144</v>
      </c>
      <c r="K73" s="1" t="str">
        <f>RIGHT(K6, LEN(K6)-1) &amp; LEFT(K6,1)</f>
        <v>1010101100110011110000101010</v>
      </c>
    </row>
    <row r="74" ht="14.25" customHeight="1">
      <c r="B74" s="30"/>
    </row>
    <row r="75" ht="14.25" customHeight="1">
      <c r="B75" s="30"/>
      <c r="E75" s="26" t="s">
        <v>61</v>
      </c>
      <c r="F75" s="26" t="s">
        <v>61</v>
      </c>
      <c r="G75" s="26" t="s">
        <v>62</v>
      </c>
      <c r="J75" s="27" t="s">
        <v>61</v>
      </c>
      <c r="K75" s="27" t="s">
        <v>61</v>
      </c>
      <c r="L75" s="27" t="s">
        <v>62</v>
      </c>
    </row>
    <row r="76" ht="14.25" customHeight="1">
      <c r="B76" s="30"/>
      <c r="E76" s="26">
        <v>1.0</v>
      </c>
      <c r="F76" s="26" t="str">
        <f t="shared" ref="F76:F79" si="10">MID($F$73,(E76-1)*8+1, 8)</f>
        <v>11000011</v>
      </c>
      <c r="G76" s="26" t="str">
        <f t="shared" ref="G76:G78" si="11">BIN2HEX(F76,2)</f>
        <v>C3</v>
      </c>
      <c r="J76" s="27">
        <v>1.0</v>
      </c>
      <c r="K76" s="27" t="str">
        <f t="shared" ref="K76:K79" si="12">MID($K$73,(J76-1)*8+1, 8)</f>
        <v>10101011</v>
      </c>
      <c r="L76" s="27" t="str">
        <f t="shared" ref="L76:L78" si="13">BIN2HEX(K76,2)</f>
        <v>AB</v>
      </c>
    </row>
    <row r="77" ht="14.25" customHeight="1">
      <c r="B77" s="30"/>
      <c r="E77" s="26">
        <v>2.0</v>
      </c>
      <c r="F77" s="26" t="str">
        <f t="shared" si="10"/>
        <v>00110010</v>
      </c>
      <c r="G77" s="26" t="str">
        <f t="shared" si="11"/>
        <v>32</v>
      </c>
      <c r="J77" s="27">
        <v>2.0</v>
      </c>
      <c r="K77" s="27" t="str">
        <f t="shared" si="12"/>
        <v>00110011</v>
      </c>
      <c r="L77" s="27" t="str">
        <f t="shared" si="13"/>
        <v>33</v>
      </c>
    </row>
    <row r="78" ht="14.25" customHeight="1">
      <c r="B78" s="30"/>
      <c r="E78" s="26">
        <v>3.0</v>
      </c>
      <c r="F78" s="26" t="str">
        <f t="shared" si="10"/>
        <v>10101010</v>
      </c>
      <c r="G78" s="26" t="str">
        <f t="shared" si="11"/>
        <v>AA</v>
      </c>
      <c r="J78" s="27">
        <v>3.0</v>
      </c>
      <c r="K78" s="27" t="str">
        <f t="shared" si="12"/>
        <v>11000010</v>
      </c>
      <c r="L78" s="27" t="str">
        <f t="shared" si="13"/>
        <v>C2</v>
      </c>
    </row>
    <row r="79" ht="14.25" customHeight="1">
      <c r="B79" s="30"/>
      <c r="E79" s="26">
        <v>4.0</v>
      </c>
      <c r="F79" s="26" t="str">
        <f t="shared" si="10"/>
        <v>1111</v>
      </c>
      <c r="G79" s="26" t="str">
        <f>BIN2HEX(F79,1)</f>
        <v>F</v>
      </c>
      <c r="J79" s="27">
        <v>4.0</v>
      </c>
      <c r="K79" s="27" t="str">
        <f t="shared" si="12"/>
        <v>1010</v>
      </c>
      <c r="L79" s="27" t="str">
        <f>BIN2HEX(K79,1)</f>
        <v>A</v>
      </c>
    </row>
    <row r="80" ht="14.25" customHeight="1">
      <c r="B80" s="30"/>
    </row>
    <row r="81" ht="14.25" customHeight="1">
      <c r="A81" s="1" t="s">
        <v>145</v>
      </c>
      <c r="B81" s="1" t="str">
        <f>F73 &amp; K73</f>
        <v>11000011001100101010101011111010101100110011110000101010</v>
      </c>
    </row>
    <row r="82" ht="14.25" customHeight="1">
      <c r="B82" s="30"/>
    </row>
    <row r="83" ht="14.25" customHeight="1">
      <c r="A83" s="1" t="s">
        <v>146</v>
      </c>
    </row>
    <row r="84" ht="14.25" customHeight="1">
      <c r="A84" s="1" t="str">
        <f>MID(B81, Constanst!$E$3, 1)</f>
        <v>0</v>
      </c>
      <c r="B84" s="1" t="str">
        <f t="shared" ref="B84:B129" si="14">A84&amp;B85</f>
        <v>011010011010111011011001001001011110101001100110</v>
      </c>
    </row>
    <row r="85" ht="14.25" hidden="1" customHeight="1">
      <c r="A85" s="1" t="str">
        <f>MID(B81, Constanst!$E$4, 1)</f>
        <v>1</v>
      </c>
      <c r="B85" s="1" t="str">
        <f t="shared" si="14"/>
        <v>11010011010111011011001001001011110101001100110</v>
      </c>
    </row>
    <row r="86" ht="14.25" hidden="1" customHeight="1">
      <c r="A86" s="1" t="str">
        <f>MID(B81, Constanst!$E$5, 1)</f>
        <v>1</v>
      </c>
      <c r="B86" s="1" t="str">
        <f t="shared" si="14"/>
        <v>1010011010111011011001001001011110101001100110</v>
      </c>
    </row>
    <row r="87" ht="14.25" hidden="1" customHeight="1">
      <c r="A87" s="1" t="str">
        <f>MID(B81, Constanst!$E$6, 1)</f>
        <v>0</v>
      </c>
      <c r="B87" s="1" t="str">
        <f t="shared" si="14"/>
        <v>010011010111011011001001001011110101001100110</v>
      </c>
    </row>
    <row r="88" ht="14.25" hidden="1" customHeight="1">
      <c r="A88" s="1" t="str">
        <f>MID(B81, Constanst!$E$7, 1)</f>
        <v>1</v>
      </c>
      <c r="B88" s="1" t="str">
        <f t="shared" si="14"/>
        <v>10011010111011011001001001011110101001100110</v>
      </c>
    </row>
    <row r="89" ht="14.25" hidden="1" customHeight="1">
      <c r="A89" s="1" t="str">
        <f>MID(B81, Constanst!$E$8, 1)</f>
        <v>0</v>
      </c>
      <c r="B89" s="1" t="str">
        <f t="shared" si="14"/>
        <v>0011010111011011001001001011110101001100110</v>
      </c>
    </row>
    <row r="90" ht="14.25" hidden="1" customHeight="1">
      <c r="A90" s="1" t="str">
        <f>MID(B81, Constanst!$E$9, 1)</f>
        <v>0</v>
      </c>
      <c r="B90" s="1" t="str">
        <f t="shared" si="14"/>
        <v>011010111011011001001001011110101001100110</v>
      </c>
    </row>
    <row r="91" ht="14.25" hidden="1" customHeight="1">
      <c r="A91" s="1" t="str">
        <f>MID(B81, Constanst!$E$10, 1)</f>
        <v>1</v>
      </c>
      <c r="B91" s="1" t="str">
        <f t="shared" si="14"/>
        <v>11010111011011001001001011110101001100110</v>
      </c>
    </row>
    <row r="92" ht="14.25" hidden="1" customHeight="1">
      <c r="A92" s="1" t="str">
        <f>MID(B81, Constanst!$E$11, 1)</f>
        <v>1</v>
      </c>
      <c r="B92" s="1" t="str">
        <f t="shared" si="14"/>
        <v>1010111011011001001001011110101001100110</v>
      </c>
    </row>
    <row r="93" ht="14.25" hidden="1" customHeight="1">
      <c r="A93" s="1" t="str">
        <f>MID(B81, Constanst!$E$12, 1)</f>
        <v>0</v>
      </c>
      <c r="B93" s="1" t="str">
        <f t="shared" si="14"/>
        <v>010111011011001001001011110101001100110</v>
      </c>
    </row>
    <row r="94" ht="14.25" hidden="1" customHeight="1">
      <c r="A94" s="1" t="str">
        <f>MID(B81, Constanst!$E$13, 1)</f>
        <v>1</v>
      </c>
      <c r="B94" s="1" t="str">
        <f t="shared" si="14"/>
        <v>10111011011001001001011110101001100110</v>
      </c>
    </row>
    <row r="95" ht="14.25" hidden="1" customHeight="1">
      <c r="A95" s="1" t="str">
        <f>MID(B81, Constanst!$E$14, 1)</f>
        <v>0</v>
      </c>
      <c r="B95" s="1" t="str">
        <f t="shared" si="14"/>
        <v>0111011011001001001011110101001100110</v>
      </c>
    </row>
    <row r="96" ht="14.25" hidden="1" customHeight="1">
      <c r="A96" s="1" t="str">
        <f>MID(B81, Constanst!$E$15, 1)</f>
        <v>1</v>
      </c>
      <c r="B96" s="1" t="str">
        <f t="shared" si="14"/>
        <v>111011011001001001011110101001100110</v>
      </c>
    </row>
    <row r="97" ht="14.25" hidden="1" customHeight="1">
      <c r="A97" s="1" t="str">
        <f>MID(B81, Constanst!$E$16, 1)</f>
        <v>1</v>
      </c>
      <c r="B97" s="1" t="str">
        <f t="shared" si="14"/>
        <v>11011011001001001011110101001100110</v>
      </c>
    </row>
    <row r="98" ht="14.25" hidden="1" customHeight="1">
      <c r="A98" s="1" t="str">
        <f>MID(B81, Constanst!$E$17, 1)</f>
        <v>1</v>
      </c>
      <c r="B98" s="1" t="str">
        <f t="shared" si="14"/>
        <v>1011011001001001011110101001100110</v>
      </c>
    </row>
    <row r="99" ht="14.25" hidden="1" customHeight="1">
      <c r="A99" s="1" t="str">
        <f>MID(B81, Constanst!$E$18, 1)</f>
        <v>0</v>
      </c>
      <c r="B99" s="1" t="str">
        <f t="shared" si="14"/>
        <v>011011001001001011110101001100110</v>
      </c>
    </row>
    <row r="100" ht="14.25" hidden="1" customHeight="1">
      <c r="A100" s="1" t="str">
        <f>MID(B81, Constanst!$E$19, 1)</f>
        <v>1</v>
      </c>
      <c r="B100" s="1" t="str">
        <f t="shared" si="14"/>
        <v>11011001001001011110101001100110</v>
      </c>
    </row>
    <row r="101" ht="14.25" hidden="1" customHeight="1">
      <c r="A101" s="1" t="str">
        <f>MID(B81, Constanst!$E$20, 1)</f>
        <v>1</v>
      </c>
      <c r="B101" s="1" t="str">
        <f t="shared" si="14"/>
        <v>1011001001001011110101001100110</v>
      </c>
    </row>
    <row r="102" ht="14.25" hidden="1" customHeight="1">
      <c r="A102" s="1" t="str">
        <f>MID(B81, Constanst!$E$21, 1)</f>
        <v>0</v>
      </c>
      <c r="B102" s="1" t="str">
        <f t="shared" si="14"/>
        <v>011001001001011110101001100110</v>
      </c>
    </row>
    <row r="103" ht="14.25" hidden="1" customHeight="1">
      <c r="A103" s="1" t="str">
        <f>MID(B81, Constanst!$E$22, 1)</f>
        <v>1</v>
      </c>
      <c r="B103" s="1" t="str">
        <f t="shared" si="14"/>
        <v>11001001001011110101001100110</v>
      </c>
    </row>
    <row r="104" ht="14.25" hidden="1" customHeight="1">
      <c r="A104" s="1" t="str">
        <f>MID(B81, Constanst!$E$23, 1)</f>
        <v>1</v>
      </c>
      <c r="B104" s="1" t="str">
        <f t="shared" si="14"/>
        <v>1001001001011110101001100110</v>
      </c>
    </row>
    <row r="105" ht="14.25" hidden="1" customHeight="1">
      <c r="A105" s="1" t="str">
        <f>MID(B81, Constanst!$E$24, 1)</f>
        <v>0</v>
      </c>
      <c r="B105" s="1" t="str">
        <f t="shared" si="14"/>
        <v>001001001011110101001100110</v>
      </c>
    </row>
    <row r="106" ht="14.25" hidden="1" customHeight="1">
      <c r="A106" s="1" t="str">
        <f>MID(B81, Constanst!$E$25, 1)</f>
        <v>0</v>
      </c>
      <c r="B106" s="1" t="str">
        <f t="shared" si="14"/>
        <v>01001001011110101001100110</v>
      </c>
    </row>
    <row r="107" ht="14.25" hidden="1" customHeight="1">
      <c r="A107" s="1" t="str">
        <f>MID(B81, Constanst!$E$26, 1)</f>
        <v>1</v>
      </c>
      <c r="B107" s="1" t="str">
        <f t="shared" si="14"/>
        <v>1001001011110101001100110</v>
      </c>
    </row>
    <row r="108" ht="14.25" hidden="1" customHeight="1">
      <c r="A108" s="1" t="str">
        <f>MID(B81, Constanst!$E$27, 1)</f>
        <v>0</v>
      </c>
      <c r="B108" s="1" t="str">
        <f t="shared" si="14"/>
        <v>001001011110101001100110</v>
      </c>
    </row>
    <row r="109" ht="14.25" hidden="1" customHeight="1">
      <c r="A109" s="1" t="str">
        <f>MID(B81, Constanst!$E$28, 1)</f>
        <v>0</v>
      </c>
      <c r="B109" s="1" t="str">
        <f t="shared" si="14"/>
        <v>01001011110101001100110</v>
      </c>
    </row>
    <row r="110" ht="14.25" hidden="1" customHeight="1">
      <c r="A110" s="1" t="str">
        <f>MID(B81, Constanst!$E$29, 1)</f>
        <v>1</v>
      </c>
      <c r="B110" s="1" t="str">
        <f t="shared" si="14"/>
        <v>1001011110101001100110</v>
      </c>
    </row>
    <row r="111" ht="14.25" hidden="1" customHeight="1">
      <c r="A111" s="1" t="str">
        <f>MID(B81, Constanst!$E$30, 1)</f>
        <v>0</v>
      </c>
      <c r="B111" s="1" t="str">
        <f t="shared" si="14"/>
        <v>001011110101001100110</v>
      </c>
    </row>
    <row r="112" ht="14.25" hidden="1" customHeight="1">
      <c r="A112" s="1" t="str">
        <f>MID(B81, Constanst!$E$31, 1)</f>
        <v>0</v>
      </c>
      <c r="B112" s="1" t="str">
        <f t="shared" si="14"/>
        <v>01011110101001100110</v>
      </c>
    </row>
    <row r="113" ht="14.25" hidden="1" customHeight="1">
      <c r="A113" s="1" t="str">
        <f>MID(B81, Constanst!$E$32, 1)</f>
        <v>1</v>
      </c>
      <c r="B113" s="1" t="str">
        <f t="shared" si="14"/>
        <v>1011110101001100110</v>
      </c>
    </row>
    <row r="114" ht="14.25" hidden="1" customHeight="1">
      <c r="A114" s="1" t="str">
        <f>MID(B81, Constanst!$E$33, 1)</f>
        <v>0</v>
      </c>
      <c r="B114" s="1" t="str">
        <f t="shared" si="14"/>
        <v>011110101001100110</v>
      </c>
    </row>
    <row r="115" ht="14.25" hidden="1" customHeight="1">
      <c r="A115" s="1" t="str">
        <f>MID(B81, Constanst!$E$34, 1)</f>
        <v>1</v>
      </c>
      <c r="B115" s="1" t="str">
        <f t="shared" si="14"/>
        <v>11110101001100110</v>
      </c>
    </row>
    <row r="116" ht="14.25" hidden="1" customHeight="1">
      <c r="A116" s="1" t="str">
        <f>MID(B81, Constanst!$E$35, 1)</f>
        <v>1</v>
      </c>
      <c r="B116" s="1" t="str">
        <f t="shared" si="14"/>
        <v>1110101001100110</v>
      </c>
    </row>
    <row r="117" ht="14.25" hidden="1" customHeight="1">
      <c r="A117" s="1" t="str">
        <f>MID(B81, Constanst!$E$36, 1)</f>
        <v>1</v>
      </c>
      <c r="B117" s="1" t="str">
        <f t="shared" si="14"/>
        <v>110101001100110</v>
      </c>
    </row>
    <row r="118" ht="14.25" hidden="1" customHeight="1">
      <c r="A118" s="1" t="str">
        <f>MID(B81, Constanst!$E$37, 1)</f>
        <v>1</v>
      </c>
      <c r="B118" s="1" t="str">
        <f t="shared" si="14"/>
        <v>10101001100110</v>
      </c>
    </row>
    <row r="119" ht="14.25" hidden="1" customHeight="1">
      <c r="A119" s="1" t="str">
        <f>MID(B81, Constanst!$E$38, 1)</f>
        <v>0</v>
      </c>
      <c r="B119" s="1" t="str">
        <f t="shared" si="14"/>
        <v>0101001100110</v>
      </c>
    </row>
    <row r="120" ht="14.25" hidden="1" customHeight="1">
      <c r="A120" s="1" t="str">
        <f>MID(B81, Constanst!$E$39, 1)</f>
        <v>1</v>
      </c>
      <c r="B120" s="1" t="str">
        <f t="shared" si="14"/>
        <v>101001100110</v>
      </c>
    </row>
    <row r="121" ht="14.25" hidden="1" customHeight="1">
      <c r="A121" s="1" t="str">
        <f>MID(B81, Constanst!$E$40, 1)</f>
        <v>0</v>
      </c>
      <c r="B121" s="1" t="str">
        <f t="shared" si="14"/>
        <v>01001100110</v>
      </c>
    </row>
    <row r="122" ht="14.25" hidden="1" customHeight="1">
      <c r="A122" s="1" t="str">
        <f>MID(B81, Constanst!$E$41, 1)</f>
        <v>1</v>
      </c>
      <c r="B122" s="1" t="str">
        <f t="shared" si="14"/>
        <v>1001100110</v>
      </c>
    </row>
    <row r="123" ht="14.25" hidden="1" customHeight="1">
      <c r="A123" s="1" t="str">
        <f>MID(B81, Constanst!$E$42, 1)</f>
        <v>0</v>
      </c>
      <c r="B123" s="1" t="str">
        <f t="shared" si="14"/>
        <v>001100110</v>
      </c>
    </row>
    <row r="124" ht="14.25" hidden="1" customHeight="1">
      <c r="A124" s="1" t="str">
        <f>MID(B81, Constanst!$E$43, 1)</f>
        <v>0</v>
      </c>
      <c r="B124" s="1" t="str">
        <f t="shared" si="14"/>
        <v>01100110</v>
      </c>
    </row>
    <row r="125" ht="14.25" hidden="1" customHeight="1">
      <c r="A125" s="1" t="str">
        <f>MID(B81, Constanst!$E$44, 1)</f>
        <v>1</v>
      </c>
      <c r="B125" s="1" t="str">
        <f t="shared" si="14"/>
        <v>1100110</v>
      </c>
    </row>
    <row r="126" ht="14.25" hidden="1" customHeight="1">
      <c r="A126" s="1" t="str">
        <f>MID(B81, Constanst!$E$45, 1)</f>
        <v>1</v>
      </c>
      <c r="B126" s="1" t="str">
        <f t="shared" si="14"/>
        <v>100110</v>
      </c>
    </row>
    <row r="127" ht="14.25" hidden="1" customHeight="1">
      <c r="A127" s="1" t="str">
        <f>MID(B81, Constanst!$E$46, 1)</f>
        <v>0</v>
      </c>
      <c r="B127" s="1" t="str">
        <f t="shared" si="14"/>
        <v>00110</v>
      </c>
    </row>
    <row r="128" ht="14.25" hidden="1" customHeight="1">
      <c r="A128" s="1" t="str">
        <f>MID(B81, Constanst!$E$47, 1)</f>
        <v>0</v>
      </c>
      <c r="B128" s="1" t="str">
        <f t="shared" si="14"/>
        <v>0110</v>
      </c>
    </row>
    <row r="129" ht="14.25" hidden="1" customHeight="1">
      <c r="A129" s="1" t="str">
        <f>MID(B81, Constanst!$E$48, 1)</f>
        <v>1</v>
      </c>
      <c r="B129" s="1" t="str">
        <f t="shared" si="14"/>
        <v>110</v>
      </c>
    </row>
    <row r="130" ht="14.25" hidden="1" customHeight="1">
      <c r="A130" s="1" t="str">
        <f>MID(B81, Constanst!$E$49, 1)</f>
        <v>1</v>
      </c>
      <c r="B130" s="1" t="str">
        <f>A130&amp;A131</f>
        <v>10</v>
      </c>
    </row>
    <row r="131" ht="14.25" hidden="1" customHeight="1">
      <c r="A131" s="1" t="str">
        <f>MID(B81, Constanst!$E$50, 1)</f>
        <v>0</v>
      </c>
    </row>
    <row r="132" ht="14.25" customHeight="1">
      <c r="B132" s="30"/>
    </row>
    <row r="133" ht="14.25" customHeight="1">
      <c r="A133" s="28" t="s">
        <v>147</v>
      </c>
      <c r="B133" s="28"/>
      <c r="C133" s="28"/>
      <c r="D133" s="29" t="str">
        <f>B84</f>
        <v>011010011010111011011001001001011110101001100110</v>
      </c>
    </row>
    <row r="134" ht="14.25" customHeight="1">
      <c r="B134" s="30"/>
    </row>
    <row r="135" ht="14.25" customHeight="1">
      <c r="A135" s="26" t="s">
        <v>61</v>
      </c>
      <c r="B135" s="26" t="s">
        <v>61</v>
      </c>
      <c r="C135" s="26" t="s">
        <v>62</v>
      </c>
    </row>
    <row r="136" ht="14.25" customHeight="1">
      <c r="A136" s="26">
        <v>1.0</v>
      </c>
      <c r="B136" s="26" t="str">
        <f t="shared" ref="B136:B141" si="15">MID($D$133,(A136-1)*8+1, 8)</f>
        <v>01101001</v>
      </c>
      <c r="C136" s="26" t="str">
        <f t="shared" ref="C136:C141" si="16">BIN2HEX(B136,2)</f>
        <v>69</v>
      </c>
    </row>
    <row r="137" ht="14.25" customHeight="1">
      <c r="A137" s="26">
        <v>2.0</v>
      </c>
      <c r="B137" s="26" t="str">
        <f t="shared" si="15"/>
        <v>10101110</v>
      </c>
      <c r="C137" s="26" t="str">
        <f t="shared" si="16"/>
        <v>AE</v>
      </c>
    </row>
    <row r="138" ht="14.25" customHeight="1">
      <c r="A138" s="26">
        <v>3.0</v>
      </c>
      <c r="B138" s="26" t="str">
        <f t="shared" si="15"/>
        <v>11011001</v>
      </c>
      <c r="C138" s="26" t="str">
        <f t="shared" si="16"/>
        <v>D9</v>
      </c>
    </row>
    <row r="139" ht="14.25" customHeight="1">
      <c r="A139" s="26">
        <v>4.0</v>
      </c>
      <c r="B139" s="26" t="str">
        <f t="shared" si="15"/>
        <v>00100101</v>
      </c>
      <c r="C139" s="26" t="str">
        <f t="shared" si="16"/>
        <v>25</v>
      </c>
    </row>
    <row r="140" ht="14.25" customHeight="1">
      <c r="A140" s="26">
        <v>5.0</v>
      </c>
      <c r="B140" s="26" t="str">
        <f t="shared" si="15"/>
        <v>11101010</v>
      </c>
      <c r="C140" s="26" t="str">
        <f t="shared" si="16"/>
        <v>EA</v>
      </c>
    </row>
    <row r="141" ht="14.25" customHeight="1">
      <c r="A141" s="26">
        <v>6.0</v>
      </c>
      <c r="B141" s="26" t="str">
        <f t="shared" si="15"/>
        <v>01100110</v>
      </c>
      <c r="C141" s="26" t="str">
        <f t="shared" si="16"/>
        <v>66</v>
      </c>
    </row>
    <row r="142" ht="14.25" customHeight="1">
      <c r="B142" s="30"/>
    </row>
    <row r="143" ht="14.25" customHeight="1">
      <c r="B143" s="30"/>
    </row>
    <row r="144" ht="14.25" customHeight="1">
      <c r="B144" s="30"/>
    </row>
    <row r="145" ht="14.25" customHeight="1">
      <c r="B145" s="30"/>
    </row>
    <row r="146" ht="14.25" customHeight="1">
      <c r="B146" s="30"/>
    </row>
    <row r="147" ht="14.25" customHeight="1">
      <c r="B147" s="30"/>
    </row>
    <row r="148" ht="14.25" customHeight="1">
      <c r="B148" s="30"/>
    </row>
    <row r="149" ht="14.25" customHeight="1">
      <c r="B149" s="30"/>
    </row>
    <row r="150" ht="14.25" customHeight="1">
      <c r="B150" s="30"/>
    </row>
    <row r="151" ht="14.25" customHeight="1">
      <c r="B151" s="30"/>
    </row>
    <row r="152" ht="14.25" customHeight="1">
      <c r="B152" s="30"/>
    </row>
    <row r="153" ht="14.25" customHeight="1">
      <c r="B153" s="30"/>
    </row>
    <row r="154" ht="14.25" customHeight="1">
      <c r="B154" s="30"/>
    </row>
    <row r="155" ht="14.25" customHeight="1">
      <c r="B155" s="30"/>
    </row>
    <row r="156" ht="14.25" customHeight="1">
      <c r="B156" s="30"/>
    </row>
    <row r="157" ht="14.25" customHeight="1">
      <c r="B157" s="30"/>
    </row>
    <row r="158" ht="14.25" customHeight="1">
      <c r="B158" s="30"/>
    </row>
    <row r="159" ht="14.25" customHeight="1">
      <c r="B159" s="30"/>
    </row>
    <row r="160" ht="14.25" customHeight="1">
      <c r="B160" s="30"/>
    </row>
    <row r="161" ht="14.25" customHeight="1">
      <c r="B161" s="30"/>
    </row>
    <row r="162" ht="14.25" customHeight="1">
      <c r="B162" s="30"/>
    </row>
    <row r="163" ht="14.25" customHeight="1">
      <c r="B163" s="30"/>
    </row>
    <row r="164" ht="14.25" customHeight="1">
      <c r="B164" s="30"/>
    </row>
    <row r="165" ht="14.25" customHeight="1">
      <c r="B165" s="30"/>
    </row>
    <row r="166" ht="14.25" customHeight="1">
      <c r="B166" s="30"/>
    </row>
    <row r="167" ht="14.25" customHeight="1">
      <c r="B167" s="30"/>
    </row>
    <row r="168" ht="14.25" customHeight="1">
      <c r="B168" s="30"/>
    </row>
    <row r="169" ht="14.25" customHeight="1">
      <c r="B169" s="30"/>
    </row>
    <row r="170" ht="14.25" customHeight="1">
      <c r="B170" s="30"/>
    </row>
    <row r="171" ht="14.25" customHeight="1">
      <c r="B171" s="30"/>
    </row>
    <row r="172" ht="14.25" customHeight="1">
      <c r="B172" s="30"/>
    </row>
    <row r="173" ht="14.25" customHeight="1">
      <c r="B173" s="30"/>
    </row>
    <row r="174" ht="14.25" customHeight="1">
      <c r="B174" s="30"/>
    </row>
    <row r="175" ht="14.25" customHeight="1">
      <c r="B175" s="30"/>
    </row>
    <row r="176" ht="14.25" customHeight="1">
      <c r="B176" s="30"/>
    </row>
    <row r="177" ht="14.25" customHeight="1">
      <c r="B177" s="30"/>
    </row>
    <row r="178" ht="14.25" customHeight="1">
      <c r="B178" s="30"/>
    </row>
    <row r="179" ht="14.25" customHeight="1">
      <c r="B179" s="30"/>
    </row>
    <row r="180" ht="14.25" customHeight="1">
      <c r="B180" s="30"/>
    </row>
    <row r="181" ht="14.25" customHeight="1">
      <c r="B181" s="30"/>
    </row>
    <row r="182" ht="14.25" customHeight="1">
      <c r="B182" s="30"/>
    </row>
    <row r="183" ht="14.25" customHeight="1">
      <c r="B183" s="30"/>
    </row>
    <row r="184" ht="14.25" customHeight="1">
      <c r="B184" s="30"/>
    </row>
    <row r="185" ht="14.25" customHeight="1">
      <c r="B185" s="30"/>
    </row>
    <row r="186" ht="14.25" customHeight="1">
      <c r="B186" s="30"/>
    </row>
    <row r="187" ht="14.25" customHeight="1">
      <c r="B187" s="30"/>
    </row>
    <row r="188" ht="14.25" customHeight="1">
      <c r="B188" s="30"/>
    </row>
    <row r="189" ht="14.25" customHeight="1">
      <c r="B189" s="30"/>
    </row>
    <row r="190" ht="14.25" customHeight="1">
      <c r="B190" s="30"/>
    </row>
    <row r="191" ht="14.25" customHeight="1">
      <c r="B191" s="30"/>
    </row>
    <row r="192" ht="14.25" customHeight="1">
      <c r="B192" s="30"/>
    </row>
    <row r="193" ht="14.25" customHeight="1">
      <c r="B193" s="30"/>
    </row>
    <row r="194" ht="14.25" customHeight="1">
      <c r="B194" s="30"/>
    </row>
    <row r="195" ht="14.25" customHeight="1">
      <c r="B195" s="30"/>
    </row>
    <row r="196" ht="14.25" customHeight="1">
      <c r="B196" s="30"/>
    </row>
    <row r="197" ht="14.25" customHeight="1">
      <c r="B197" s="30"/>
    </row>
    <row r="198" ht="14.25" customHeight="1">
      <c r="B198" s="30"/>
    </row>
    <row r="199" ht="14.25" customHeight="1">
      <c r="B199" s="30"/>
    </row>
    <row r="200" ht="14.25" customHeight="1">
      <c r="B200" s="30"/>
    </row>
    <row r="201" ht="14.25" customHeight="1">
      <c r="B201" s="30"/>
    </row>
    <row r="202" ht="14.25" customHeight="1">
      <c r="B202" s="30"/>
    </row>
    <row r="203" ht="14.25" customHeight="1">
      <c r="B203" s="30"/>
    </row>
    <row r="204" ht="14.25" customHeight="1">
      <c r="B204" s="30"/>
    </row>
    <row r="205" ht="14.25" customHeight="1">
      <c r="B205" s="30"/>
    </row>
    <row r="206" ht="14.25" customHeight="1">
      <c r="B206" s="30"/>
    </row>
    <row r="207" ht="14.25" customHeight="1">
      <c r="B207" s="30"/>
    </row>
    <row r="208" ht="14.25" customHeight="1">
      <c r="B208" s="30"/>
    </row>
    <row r="209" ht="14.25" customHeight="1">
      <c r="B209" s="30"/>
    </row>
    <row r="210" ht="14.25" customHeight="1">
      <c r="B210" s="30"/>
    </row>
    <row r="211" ht="14.25" customHeight="1">
      <c r="B211" s="30"/>
    </row>
    <row r="212" ht="14.25" customHeight="1">
      <c r="B212" s="30"/>
    </row>
    <row r="213" ht="14.25" customHeight="1">
      <c r="B213" s="30"/>
    </row>
    <row r="214" ht="14.25" customHeight="1">
      <c r="B214" s="30"/>
    </row>
    <row r="215" ht="14.25" customHeight="1">
      <c r="B215" s="30"/>
    </row>
    <row r="216" ht="14.25" customHeight="1">
      <c r="B216" s="30"/>
    </row>
    <row r="217" ht="14.25" customHeight="1">
      <c r="B217" s="30"/>
    </row>
    <row r="218" ht="14.25" customHeight="1">
      <c r="B218" s="30"/>
    </row>
    <row r="219" ht="14.25" customHeight="1">
      <c r="B219" s="30"/>
    </row>
    <row r="220" ht="14.25" customHeight="1">
      <c r="B220" s="30"/>
    </row>
    <row r="221" ht="14.25" customHeight="1">
      <c r="B221" s="30"/>
    </row>
    <row r="222" ht="14.25" customHeight="1">
      <c r="B222" s="30"/>
    </row>
    <row r="223" ht="14.25" customHeight="1">
      <c r="B223" s="30"/>
    </row>
    <row r="224" ht="14.25" customHeight="1">
      <c r="B224" s="30"/>
    </row>
    <row r="225" ht="14.25" customHeight="1">
      <c r="B225" s="30"/>
    </row>
    <row r="226" ht="14.25" customHeight="1">
      <c r="B226" s="30"/>
    </row>
    <row r="227" ht="14.25" customHeight="1">
      <c r="B227" s="30"/>
    </row>
    <row r="228" ht="14.25" customHeight="1">
      <c r="B228" s="30"/>
    </row>
    <row r="229" ht="14.25" customHeight="1">
      <c r="B229" s="30"/>
    </row>
    <row r="230" ht="14.25" customHeight="1">
      <c r="B230" s="30"/>
    </row>
    <row r="231" ht="14.25" customHeight="1">
      <c r="B231" s="30"/>
    </row>
    <row r="232" ht="14.25" customHeight="1">
      <c r="B232" s="30"/>
    </row>
    <row r="233" ht="14.25" customHeight="1">
      <c r="B233" s="30"/>
    </row>
    <row r="234" ht="14.25" customHeight="1">
      <c r="B234" s="30"/>
    </row>
    <row r="235" ht="14.25" customHeight="1">
      <c r="B235" s="30"/>
    </row>
    <row r="236" ht="14.25" customHeight="1">
      <c r="B236" s="30"/>
    </row>
    <row r="237" ht="14.25" customHeight="1">
      <c r="B237" s="30"/>
    </row>
    <row r="238" ht="14.25" customHeight="1">
      <c r="B238" s="30"/>
    </row>
    <row r="239" ht="14.25" customHeight="1">
      <c r="B239" s="30"/>
    </row>
    <row r="240" ht="14.25" customHeight="1">
      <c r="B240" s="30"/>
    </row>
    <row r="241" ht="14.25" customHeight="1">
      <c r="B241" s="30"/>
    </row>
    <row r="242" ht="14.25" customHeight="1">
      <c r="B242" s="30"/>
    </row>
    <row r="243" ht="14.25" customHeight="1">
      <c r="B243" s="30"/>
    </row>
    <row r="244" ht="14.25" customHeight="1">
      <c r="B244" s="30"/>
    </row>
    <row r="245" ht="14.25" customHeight="1">
      <c r="B245" s="30"/>
    </row>
    <row r="246" ht="14.25" customHeight="1">
      <c r="B246" s="30"/>
    </row>
    <row r="247" ht="14.25" customHeight="1">
      <c r="B247" s="30"/>
    </row>
    <row r="248" ht="14.25" customHeight="1">
      <c r="B248" s="30"/>
    </row>
    <row r="249" ht="14.25" customHeight="1">
      <c r="B249" s="30"/>
    </row>
    <row r="250" ht="14.25" customHeight="1">
      <c r="B250" s="30"/>
    </row>
    <row r="251" ht="14.25" customHeight="1">
      <c r="B251" s="30"/>
    </row>
    <row r="252" ht="14.25" customHeight="1">
      <c r="B252" s="30"/>
    </row>
    <row r="253" ht="14.25" customHeight="1">
      <c r="B253" s="30"/>
    </row>
    <row r="254" ht="14.25" customHeight="1">
      <c r="B254" s="30"/>
    </row>
    <row r="255" ht="14.25" customHeight="1">
      <c r="B255" s="30"/>
    </row>
    <row r="256" ht="14.25" customHeight="1">
      <c r="B256" s="30"/>
    </row>
    <row r="257" ht="14.25" customHeight="1">
      <c r="B257" s="30"/>
    </row>
    <row r="258" ht="14.25" customHeight="1">
      <c r="B258" s="30"/>
    </row>
    <row r="259" ht="14.25" customHeight="1">
      <c r="B259" s="30"/>
    </row>
    <row r="260" ht="14.25" customHeight="1">
      <c r="B260" s="30"/>
    </row>
    <row r="261" ht="14.25" customHeight="1">
      <c r="B261" s="30"/>
    </row>
    <row r="262" ht="14.25" customHeight="1">
      <c r="B262" s="30"/>
    </row>
    <row r="263" ht="14.25" customHeight="1">
      <c r="B263" s="30"/>
    </row>
    <row r="264" ht="14.25" customHeight="1">
      <c r="B264" s="30"/>
    </row>
    <row r="265" ht="14.25" customHeight="1">
      <c r="B265" s="30"/>
    </row>
    <row r="266" ht="14.25" customHeight="1">
      <c r="B266" s="30"/>
    </row>
    <row r="267" ht="14.25" customHeight="1">
      <c r="B267" s="30"/>
    </row>
    <row r="268" ht="14.25" customHeight="1">
      <c r="B268" s="30"/>
    </row>
    <row r="269" ht="14.25" customHeight="1">
      <c r="B269" s="30"/>
    </row>
    <row r="270" ht="14.25" customHeight="1">
      <c r="B270" s="30"/>
    </row>
    <row r="271" ht="14.25" customHeight="1">
      <c r="B271" s="30"/>
    </row>
    <row r="272" ht="14.25" customHeight="1">
      <c r="B272" s="30"/>
    </row>
    <row r="273" ht="14.25" customHeight="1">
      <c r="B273" s="30"/>
    </row>
    <row r="274" ht="14.25" customHeight="1">
      <c r="B274" s="30"/>
    </row>
    <row r="275" ht="14.25" customHeight="1">
      <c r="B275" s="30"/>
    </row>
    <row r="276" ht="14.25" customHeight="1">
      <c r="B276" s="30"/>
    </row>
    <row r="277" ht="14.25" customHeight="1">
      <c r="B277" s="30"/>
    </row>
    <row r="278" ht="14.25" customHeight="1">
      <c r="B278" s="30"/>
    </row>
    <row r="279" ht="14.25" customHeight="1">
      <c r="B279" s="30"/>
    </row>
    <row r="280" ht="14.25" customHeight="1">
      <c r="B280" s="30"/>
    </row>
    <row r="281" ht="14.25" customHeight="1">
      <c r="B281" s="30"/>
    </row>
    <row r="282" ht="14.25" customHeight="1">
      <c r="B282" s="30"/>
    </row>
    <row r="283" ht="14.25" customHeight="1">
      <c r="B283" s="30"/>
    </row>
    <row r="284" ht="14.25" customHeight="1">
      <c r="B284" s="30"/>
    </row>
    <row r="285" ht="14.25" customHeight="1">
      <c r="B285" s="30"/>
    </row>
    <row r="286" ht="14.25" customHeight="1">
      <c r="B286" s="30"/>
    </row>
    <row r="287" ht="14.25" customHeight="1">
      <c r="B287" s="30"/>
    </row>
    <row r="288" ht="14.25" customHeight="1">
      <c r="B288" s="30"/>
    </row>
    <row r="289" ht="14.25" customHeight="1">
      <c r="B289" s="30"/>
    </row>
    <row r="290" ht="14.25" customHeight="1">
      <c r="B290" s="30"/>
    </row>
    <row r="291" ht="14.25" customHeight="1">
      <c r="B291" s="30"/>
    </row>
    <row r="292" ht="14.25" customHeight="1">
      <c r="B292" s="30"/>
    </row>
    <row r="293" ht="14.25" customHeight="1">
      <c r="B293" s="30"/>
    </row>
    <row r="294" ht="14.25" customHeight="1">
      <c r="B294" s="30"/>
    </row>
    <row r="295" ht="14.25" customHeight="1">
      <c r="B295" s="30"/>
    </row>
    <row r="296" ht="14.25" customHeight="1">
      <c r="B296" s="30"/>
    </row>
    <row r="297" ht="14.25" customHeight="1">
      <c r="B297" s="30"/>
    </row>
    <row r="298" ht="14.25" customHeight="1">
      <c r="B298" s="30"/>
    </row>
    <row r="299" ht="14.25" customHeight="1">
      <c r="B299" s="30"/>
    </row>
    <row r="300" ht="14.25" customHeight="1">
      <c r="B300" s="30"/>
    </row>
    <row r="301" ht="14.25" customHeight="1">
      <c r="B301" s="30"/>
    </row>
    <row r="302" ht="14.25" customHeight="1">
      <c r="B302" s="30"/>
    </row>
    <row r="303" ht="14.25" customHeight="1">
      <c r="B303" s="30"/>
    </row>
    <row r="304" ht="14.25" customHeight="1">
      <c r="B304" s="30"/>
    </row>
    <row r="305" ht="14.25" customHeight="1">
      <c r="B305" s="30"/>
    </row>
    <row r="306" ht="14.25" customHeight="1">
      <c r="B306" s="30"/>
    </row>
    <row r="307" ht="14.25" customHeight="1">
      <c r="B307" s="30"/>
    </row>
    <row r="308" ht="14.25" customHeight="1">
      <c r="B308" s="30"/>
    </row>
    <row r="309" ht="14.25" customHeight="1">
      <c r="B309" s="30"/>
    </row>
    <row r="310" ht="14.25" customHeight="1">
      <c r="B310" s="30"/>
    </row>
    <row r="311" ht="14.25" customHeight="1">
      <c r="B311" s="30"/>
    </row>
    <row r="312" ht="14.25" customHeight="1">
      <c r="B312" s="30"/>
    </row>
    <row r="313" ht="14.25" customHeight="1">
      <c r="B313" s="30"/>
    </row>
    <row r="314" ht="14.25" customHeight="1">
      <c r="B314" s="30"/>
    </row>
    <row r="315" ht="14.25" customHeight="1">
      <c r="B315" s="30"/>
    </row>
    <row r="316" ht="14.25" customHeight="1">
      <c r="B316" s="30"/>
    </row>
    <row r="317" ht="14.25" customHeight="1">
      <c r="B317" s="30"/>
    </row>
    <row r="318" ht="14.25" customHeight="1">
      <c r="B318" s="30"/>
    </row>
    <row r="319" ht="14.25" customHeight="1">
      <c r="B319" s="30"/>
    </row>
    <row r="320" ht="14.25" customHeight="1">
      <c r="B320" s="30"/>
    </row>
    <row r="321" ht="14.25" customHeight="1">
      <c r="B321" s="30"/>
    </row>
    <row r="322" ht="14.25" customHeight="1">
      <c r="B322" s="30"/>
    </row>
    <row r="323" ht="14.25" customHeight="1">
      <c r="B323" s="30"/>
    </row>
    <row r="324" ht="14.25" customHeight="1">
      <c r="B324" s="30"/>
    </row>
    <row r="325" ht="14.25" customHeight="1">
      <c r="B325" s="30"/>
    </row>
    <row r="326" ht="14.25" customHeight="1">
      <c r="B326" s="30"/>
    </row>
    <row r="327" ht="14.25" customHeight="1">
      <c r="B327" s="30"/>
    </row>
    <row r="328" ht="14.25" customHeight="1">
      <c r="B328" s="30"/>
    </row>
    <row r="329" ht="14.25" customHeight="1">
      <c r="B329" s="30"/>
    </row>
    <row r="330" ht="14.25" customHeight="1">
      <c r="B330" s="30"/>
    </row>
    <row r="331" ht="14.25" customHeight="1">
      <c r="B331" s="30"/>
    </row>
    <row r="332" ht="14.25" customHeight="1">
      <c r="B332" s="30"/>
    </row>
    <row r="333" ht="14.25" customHeight="1">
      <c r="B333" s="30"/>
    </row>
    <row r="334" ht="14.25" customHeight="1">
      <c r="B334" s="30"/>
    </row>
    <row r="335" ht="14.25" customHeight="1">
      <c r="B335" s="30"/>
    </row>
    <row r="336" ht="14.25" customHeight="1">
      <c r="B336" s="30"/>
    </row>
    <row r="337" ht="14.25" customHeight="1">
      <c r="B337" s="30"/>
    </row>
    <row r="338" ht="14.25" customHeight="1">
      <c r="B338" s="30"/>
    </row>
    <row r="339" ht="14.25" customHeight="1">
      <c r="B339" s="30"/>
    </row>
    <row r="340" ht="14.25" customHeight="1">
      <c r="B340" s="30"/>
    </row>
    <row r="341" ht="14.25" customHeight="1">
      <c r="B341" s="30"/>
    </row>
    <row r="342" ht="14.25" customHeight="1">
      <c r="B342" s="30"/>
    </row>
    <row r="343" ht="14.25" customHeight="1">
      <c r="B343" s="30"/>
    </row>
    <row r="344" ht="14.25" customHeight="1">
      <c r="B344" s="30"/>
    </row>
    <row r="345" ht="14.25" customHeight="1">
      <c r="B345" s="30"/>
    </row>
    <row r="346" ht="14.25" customHeight="1">
      <c r="B346" s="30"/>
    </row>
    <row r="347" ht="14.25" customHeight="1">
      <c r="B347" s="30"/>
    </row>
    <row r="348" ht="14.25" customHeight="1">
      <c r="B348" s="30"/>
    </row>
    <row r="349" ht="14.25" customHeight="1">
      <c r="B349" s="30"/>
    </row>
    <row r="350" ht="14.25" customHeight="1">
      <c r="B350" s="30"/>
    </row>
    <row r="351" ht="14.25" customHeight="1">
      <c r="B351" s="30"/>
    </row>
    <row r="352" ht="14.25" customHeight="1">
      <c r="B352" s="30"/>
    </row>
    <row r="353" ht="14.25" customHeight="1">
      <c r="B353" s="30"/>
    </row>
    <row r="354" ht="14.25" customHeight="1">
      <c r="B354" s="30"/>
    </row>
    <row r="355" ht="14.25" customHeight="1">
      <c r="B355" s="30"/>
    </row>
    <row r="356" ht="14.25" customHeight="1">
      <c r="B356" s="30"/>
    </row>
    <row r="357" ht="14.25" customHeight="1">
      <c r="B357" s="30"/>
    </row>
    <row r="358" ht="14.25" customHeight="1">
      <c r="B358" s="30"/>
    </row>
    <row r="359" ht="14.25" customHeight="1">
      <c r="B359" s="30"/>
    </row>
    <row r="360" ht="14.25" customHeight="1">
      <c r="B360" s="30"/>
    </row>
    <row r="361" ht="14.25" customHeight="1">
      <c r="B361" s="30"/>
    </row>
    <row r="362" ht="14.25" customHeight="1">
      <c r="B362" s="30"/>
    </row>
    <row r="363" ht="14.25" customHeight="1">
      <c r="B363" s="30"/>
    </row>
    <row r="364" ht="14.25" customHeight="1">
      <c r="B364" s="30"/>
    </row>
    <row r="365" ht="14.25" customHeight="1">
      <c r="B365" s="30"/>
    </row>
    <row r="366" ht="14.25" customHeight="1">
      <c r="B366" s="30"/>
    </row>
    <row r="367" ht="14.25" customHeight="1">
      <c r="B367" s="30"/>
    </row>
    <row r="368" ht="14.25" customHeight="1">
      <c r="B368" s="30"/>
    </row>
    <row r="369" ht="14.25" customHeight="1">
      <c r="B369" s="30"/>
    </row>
    <row r="370" ht="14.25" customHeight="1">
      <c r="B370" s="30"/>
    </row>
    <row r="371" ht="14.25" customHeight="1">
      <c r="B371" s="30"/>
    </row>
    <row r="372" ht="14.25" customHeight="1">
      <c r="B372" s="30"/>
    </row>
    <row r="373" ht="14.25" customHeight="1">
      <c r="B373" s="30"/>
    </row>
    <row r="374" ht="14.25" customHeight="1">
      <c r="B374" s="30"/>
    </row>
    <row r="375" ht="14.25" customHeight="1">
      <c r="B375" s="30"/>
    </row>
    <row r="376" ht="14.25" customHeight="1">
      <c r="B376" s="30"/>
    </row>
    <row r="377" ht="14.25" customHeight="1">
      <c r="B377" s="30"/>
    </row>
    <row r="378" ht="14.25" customHeight="1">
      <c r="B378" s="30"/>
    </row>
    <row r="379" ht="14.25" customHeight="1">
      <c r="B379" s="30"/>
    </row>
    <row r="380" ht="14.25" customHeight="1">
      <c r="B380" s="30"/>
    </row>
    <row r="381" ht="14.25" customHeight="1">
      <c r="B381" s="30"/>
    </row>
    <row r="382" ht="14.25" customHeight="1">
      <c r="B382" s="30"/>
    </row>
    <row r="383" ht="14.25" customHeight="1">
      <c r="B383" s="30"/>
    </row>
    <row r="384" ht="14.25" customHeight="1">
      <c r="B384" s="30"/>
    </row>
    <row r="385" ht="14.25" customHeight="1">
      <c r="B385" s="30"/>
    </row>
    <row r="386" ht="14.25" customHeight="1">
      <c r="B386" s="30"/>
    </row>
    <row r="387" ht="14.25" customHeight="1">
      <c r="B387" s="30"/>
    </row>
    <row r="388" ht="14.25" customHeight="1">
      <c r="B388" s="30"/>
    </row>
    <row r="389" ht="14.25" customHeight="1">
      <c r="B389" s="30"/>
    </row>
    <row r="390" ht="14.25" customHeight="1">
      <c r="B390" s="30"/>
    </row>
    <row r="391" ht="14.25" customHeight="1">
      <c r="B391" s="30"/>
    </row>
    <row r="392" ht="14.25" customHeight="1">
      <c r="B392" s="30"/>
    </row>
    <row r="393" ht="14.25" customHeight="1">
      <c r="B393" s="30"/>
    </row>
    <row r="394" ht="14.25" customHeight="1">
      <c r="B394" s="30"/>
    </row>
    <row r="395" ht="14.25" customHeight="1">
      <c r="B395" s="30"/>
    </row>
    <row r="396" ht="14.25" customHeight="1">
      <c r="B396" s="30"/>
    </row>
    <row r="397" ht="14.25" customHeight="1">
      <c r="B397" s="30"/>
    </row>
    <row r="398" ht="14.25" customHeight="1">
      <c r="B398" s="30"/>
    </row>
    <row r="399" ht="14.25" customHeight="1">
      <c r="B399" s="30"/>
    </row>
    <row r="400" ht="14.25" customHeight="1">
      <c r="B400" s="30"/>
    </row>
    <row r="401" ht="14.25" customHeight="1">
      <c r="B401" s="30"/>
    </row>
    <row r="402" ht="14.25" customHeight="1">
      <c r="B402" s="30"/>
    </row>
    <row r="403" ht="14.25" customHeight="1">
      <c r="B403" s="30"/>
    </row>
    <row r="404" ht="14.25" customHeight="1">
      <c r="B404" s="30"/>
    </row>
    <row r="405" ht="14.25" customHeight="1">
      <c r="B405" s="30"/>
    </row>
    <row r="406" ht="14.25" customHeight="1">
      <c r="B406" s="30"/>
    </row>
    <row r="407" ht="14.25" customHeight="1">
      <c r="B407" s="30"/>
    </row>
    <row r="408" ht="14.25" customHeight="1">
      <c r="B408" s="30"/>
    </row>
    <row r="409" ht="14.25" customHeight="1">
      <c r="B409" s="30"/>
    </row>
    <row r="410" ht="14.25" customHeight="1">
      <c r="B410" s="30"/>
    </row>
    <row r="411" ht="14.25" customHeight="1">
      <c r="B411" s="30"/>
    </row>
    <row r="412" ht="14.25" customHeight="1">
      <c r="B412" s="30"/>
    </row>
    <row r="413" ht="14.25" customHeight="1">
      <c r="B413" s="30"/>
    </row>
    <row r="414" ht="14.25" customHeight="1">
      <c r="B414" s="30"/>
    </row>
    <row r="415" ht="14.25" customHeight="1">
      <c r="B415" s="30"/>
    </row>
    <row r="416" ht="14.25" customHeight="1">
      <c r="B416" s="30"/>
    </row>
    <row r="417" ht="14.25" customHeight="1">
      <c r="B417" s="30"/>
    </row>
    <row r="418" ht="14.25" customHeight="1">
      <c r="B418" s="30"/>
    </row>
    <row r="419" ht="14.25" customHeight="1">
      <c r="B419" s="30"/>
    </row>
    <row r="420" ht="14.25" customHeight="1">
      <c r="B420" s="30"/>
    </row>
    <row r="421" ht="14.25" customHeight="1">
      <c r="B421" s="30"/>
    </row>
    <row r="422" ht="14.25" customHeight="1">
      <c r="B422" s="30"/>
    </row>
    <row r="423" ht="14.25" customHeight="1">
      <c r="B423" s="30"/>
    </row>
    <row r="424" ht="14.25" customHeight="1">
      <c r="B424" s="30"/>
    </row>
    <row r="425" ht="14.25" customHeight="1">
      <c r="B425" s="30"/>
    </row>
    <row r="426" ht="14.25" customHeight="1">
      <c r="B426" s="30"/>
    </row>
    <row r="427" ht="14.25" customHeight="1">
      <c r="B427" s="30"/>
    </row>
    <row r="428" ht="14.25" customHeight="1">
      <c r="B428" s="30"/>
    </row>
    <row r="429" ht="14.25" customHeight="1">
      <c r="B429" s="30"/>
    </row>
    <row r="430" ht="14.25" customHeight="1">
      <c r="B430" s="30"/>
    </row>
    <row r="431" ht="14.25" customHeight="1">
      <c r="B431" s="30"/>
    </row>
    <row r="432" ht="14.25" customHeight="1">
      <c r="B432" s="30"/>
    </row>
    <row r="433" ht="14.25" customHeight="1">
      <c r="B433" s="30"/>
    </row>
    <row r="434" ht="14.25" customHeight="1">
      <c r="B434" s="30"/>
    </row>
    <row r="435" ht="14.25" customHeight="1">
      <c r="B435" s="30"/>
    </row>
    <row r="436" ht="14.25" customHeight="1">
      <c r="B436" s="30"/>
    </row>
    <row r="437" ht="14.25" customHeight="1">
      <c r="B437" s="30"/>
    </row>
    <row r="438" ht="14.25" customHeight="1">
      <c r="B438" s="30"/>
    </row>
    <row r="439" ht="14.25" customHeight="1">
      <c r="B439" s="30"/>
    </row>
    <row r="440" ht="14.25" customHeight="1">
      <c r="B440" s="30"/>
    </row>
    <row r="441" ht="14.25" customHeight="1">
      <c r="B441" s="30"/>
    </row>
    <row r="442" ht="14.25" customHeight="1">
      <c r="B442" s="30"/>
    </row>
    <row r="443" ht="14.25" customHeight="1">
      <c r="B443" s="30"/>
    </row>
    <row r="444" ht="14.25" customHeight="1">
      <c r="B444" s="30"/>
    </row>
    <row r="445" ht="14.25" customHeight="1">
      <c r="B445" s="30"/>
    </row>
    <row r="446" ht="14.25" customHeight="1">
      <c r="B446" s="30"/>
    </row>
    <row r="447" ht="14.25" customHeight="1">
      <c r="B447" s="30"/>
    </row>
    <row r="448" ht="14.25" customHeight="1">
      <c r="B448" s="30"/>
    </row>
    <row r="449" ht="14.25" customHeight="1">
      <c r="B449" s="30"/>
    </row>
    <row r="450" ht="14.25" customHeight="1">
      <c r="B450" s="30"/>
    </row>
    <row r="451" ht="14.25" customHeight="1">
      <c r="B451" s="30"/>
    </row>
    <row r="452" ht="14.25" customHeight="1">
      <c r="B452" s="30"/>
    </row>
    <row r="453" ht="14.25" customHeight="1">
      <c r="B453" s="30"/>
    </row>
    <row r="454" ht="14.25" customHeight="1">
      <c r="B454" s="30"/>
    </row>
    <row r="455" ht="14.25" customHeight="1">
      <c r="B455" s="30"/>
    </row>
    <row r="456" ht="14.25" customHeight="1">
      <c r="B456" s="30"/>
    </row>
    <row r="457" ht="14.25" customHeight="1">
      <c r="B457" s="30"/>
    </row>
    <row r="458" ht="14.25" customHeight="1">
      <c r="B458" s="30"/>
    </row>
    <row r="459" ht="14.25" customHeight="1">
      <c r="B459" s="30"/>
    </row>
    <row r="460" ht="14.25" customHeight="1">
      <c r="B460" s="30"/>
    </row>
    <row r="461" ht="14.25" customHeight="1">
      <c r="B461" s="30"/>
    </row>
    <row r="462" ht="14.25" customHeight="1">
      <c r="B462" s="30"/>
    </row>
    <row r="463" ht="14.25" customHeight="1">
      <c r="B463" s="30"/>
    </row>
    <row r="464" ht="14.25" customHeight="1">
      <c r="B464" s="30"/>
    </row>
    <row r="465" ht="14.25" customHeight="1">
      <c r="B465" s="30"/>
    </row>
    <row r="466" ht="14.25" customHeight="1">
      <c r="B466" s="30"/>
    </row>
    <row r="467" ht="14.25" customHeight="1">
      <c r="B467" s="30"/>
    </row>
    <row r="468" ht="14.25" customHeight="1">
      <c r="B468" s="30"/>
    </row>
    <row r="469" ht="14.25" customHeight="1">
      <c r="B469" s="30"/>
    </row>
    <row r="470" ht="14.25" customHeight="1">
      <c r="B470" s="30"/>
    </row>
    <row r="471" ht="14.25" customHeight="1">
      <c r="B471" s="30"/>
    </row>
    <row r="472" ht="14.25" customHeight="1">
      <c r="B472" s="30"/>
    </row>
    <row r="473" ht="14.25" customHeight="1">
      <c r="B473" s="30"/>
    </row>
    <row r="474" ht="14.25" customHeight="1">
      <c r="B474" s="30"/>
    </row>
    <row r="475" ht="14.25" customHeight="1">
      <c r="B475" s="30"/>
    </row>
    <row r="476" ht="14.25" customHeight="1">
      <c r="B476" s="30"/>
    </row>
    <row r="477" ht="14.25" customHeight="1">
      <c r="B477" s="30"/>
    </row>
    <row r="478" ht="14.25" customHeight="1">
      <c r="B478" s="30"/>
    </row>
    <row r="479" ht="14.25" customHeight="1">
      <c r="B479" s="30"/>
    </row>
    <row r="480" ht="14.25" customHeight="1">
      <c r="B480" s="30"/>
    </row>
    <row r="481" ht="14.25" customHeight="1">
      <c r="B481" s="30"/>
    </row>
    <row r="482" ht="14.25" customHeight="1">
      <c r="B482" s="30"/>
    </row>
    <row r="483" ht="14.25" customHeight="1">
      <c r="B483" s="30"/>
    </row>
    <row r="484" ht="14.25" customHeight="1">
      <c r="B484" s="30"/>
    </row>
    <row r="485" ht="14.25" customHeight="1">
      <c r="B485" s="30"/>
    </row>
    <row r="486" ht="14.25" customHeight="1">
      <c r="B486" s="30"/>
    </row>
    <row r="487" ht="14.25" customHeight="1">
      <c r="B487" s="30"/>
    </row>
    <row r="488" ht="14.25" customHeight="1">
      <c r="B488" s="30"/>
    </row>
    <row r="489" ht="14.25" customHeight="1">
      <c r="B489" s="30"/>
    </row>
    <row r="490" ht="14.25" customHeight="1">
      <c r="B490" s="30"/>
    </row>
    <row r="491" ht="14.25" customHeight="1">
      <c r="B491" s="30"/>
    </row>
    <row r="492" ht="14.25" customHeight="1">
      <c r="B492" s="30"/>
    </row>
    <row r="493" ht="14.25" customHeight="1">
      <c r="B493" s="30"/>
    </row>
    <row r="494" ht="14.25" customHeight="1">
      <c r="B494" s="30"/>
    </row>
    <row r="495" ht="14.25" customHeight="1">
      <c r="B495" s="30"/>
    </row>
    <row r="496" ht="14.25" customHeight="1">
      <c r="B496" s="30"/>
    </row>
    <row r="497" ht="14.25" customHeight="1">
      <c r="B497" s="30"/>
    </row>
    <row r="498" ht="14.25" customHeight="1">
      <c r="B498" s="30"/>
    </row>
    <row r="499" ht="14.25" customHeight="1">
      <c r="B499" s="30"/>
    </row>
    <row r="500" ht="14.25" customHeight="1">
      <c r="B500" s="30"/>
    </row>
    <row r="501" ht="14.25" customHeight="1">
      <c r="B501" s="30"/>
    </row>
    <row r="502" ht="14.25" customHeight="1">
      <c r="B502" s="30"/>
    </row>
    <row r="503" ht="14.25" customHeight="1">
      <c r="B503" s="30"/>
    </row>
    <row r="504" ht="14.25" customHeight="1">
      <c r="B504" s="30"/>
    </row>
    <row r="505" ht="14.25" customHeight="1">
      <c r="B505" s="30"/>
    </row>
    <row r="506" ht="14.25" customHeight="1">
      <c r="B506" s="30"/>
    </row>
    <row r="507" ht="14.25" customHeight="1">
      <c r="B507" s="30"/>
    </row>
    <row r="508" ht="14.25" customHeight="1">
      <c r="B508" s="30"/>
    </row>
    <row r="509" ht="14.25" customHeight="1">
      <c r="B509" s="30"/>
    </row>
    <row r="510" ht="14.25" customHeight="1">
      <c r="B510" s="30"/>
    </row>
    <row r="511" ht="14.25" customHeight="1">
      <c r="B511" s="30"/>
    </row>
    <row r="512" ht="14.25" customHeight="1">
      <c r="B512" s="30"/>
    </row>
    <row r="513" ht="14.25" customHeight="1">
      <c r="B513" s="30"/>
    </row>
    <row r="514" ht="14.25" customHeight="1">
      <c r="B514" s="30"/>
    </row>
    <row r="515" ht="14.25" customHeight="1">
      <c r="B515" s="30"/>
    </row>
    <row r="516" ht="14.25" customHeight="1">
      <c r="B516" s="30"/>
    </row>
    <row r="517" ht="14.25" customHeight="1">
      <c r="B517" s="30"/>
    </row>
    <row r="518" ht="14.25" customHeight="1">
      <c r="B518" s="30"/>
    </row>
    <row r="519" ht="14.25" customHeight="1">
      <c r="B519" s="30"/>
    </row>
    <row r="520" ht="14.25" customHeight="1">
      <c r="B520" s="30"/>
    </row>
    <row r="521" ht="14.25" customHeight="1">
      <c r="B521" s="30"/>
    </row>
    <row r="522" ht="14.25" customHeight="1">
      <c r="B522" s="30"/>
    </row>
    <row r="523" ht="14.25" customHeight="1">
      <c r="B523" s="30"/>
    </row>
    <row r="524" ht="14.25" customHeight="1">
      <c r="B524" s="30"/>
    </row>
    <row r="525" ht="14.25" customHeight="1">
      <c r="B525" s="30"/>
    </row>
    <row r="526" ht="14.25" customHeight="1">
      <c r="B526" s="30"/>
    </row>
    <row r="527" ht="14.25" customHeight="1">
      <c r="B527" s="30"/>
    </row>
    <row r="528" ht="14.25" customHeight="1">
      <c r="B528" s="30"/>
    </row>
    <row r="529" ht="14.25" customHeight="1">
      <c r="B529" s="30"/>
    </row>
    <row r="530" ht="14.25" customHeight="1">
      <c r="B530" s="30"/>
    </row>
    <row r="531" ht="14.25" customHeight="1">
      <c r="B531" s="30"/>
    </row>
    <row r="532" ht="14.25" customHeight="1">
      <c r="B532" s="30"/>
    </row>
    <row r="533" ht="14.25" customHeight="1">
      <c r="B533" s="30"/>
    </row>
    <row r="534" ht="14.25" customHeight="1">
      <c r="B534" s="30"/>
    </row>
    <row r="535" ht="14.25" customHeight="1">
      <c r="B535" s="30"/>
    </row>
    <row r="536" ht="14.25" customHeight="1">
      <c r="B536" s="30"/>
    </row>
    <row r="537" ht="14.25" customHeight="1">
      <c r="B537" s="30"/>
    </row>
    <row r="538" ht="14.25" customHeight="1">
      <c r="B538" s="30"/>
    </row>
    <row r="539" ht="14.25" customHeight="1">
      <c r="B539" s="30"/>
    </row>
    <row r="540" ht="14.25" customHeight="1">
      <c r="B540" s="30"/>
    </row>
    <row r="541" ht="14.25" customHeight="1">
      <c r="B541" s="30"/>
    </row>
    <row r="542" ht="14.25" customHeight="1">
      <c r="B542" s="30"/>
    </row>
    <row r="543" ht="14.25" customHeight="1">
      <c r="B543" s="30"/>
    </row>
    <row r="544" ht="14.25" customHeight="1">
      <c r="B544" s="30"/>
    </row>
    <row r="545" ht="14.25" customHeight="1">
      <c r="B545" s="30"/>
    </row>
    <row r="546" ht="14.25" customHeight="1">
      <c r="B546" s="30"/>
    </row>
    <row r="547" ht="14.25" customHeight="1">
      <c r="B547" s="30"/>
    </row>
    <row r="548" ht="14.25" customHeight="1">
      <c r="B548" s="30"/>
    </row>
    <row r="549" ht="14.25" customHeight="1">
      <c r="B549" s="30"/>
    </row>
    <row r="550" ht="14.25" customHeight="1">
      <c r="B550" s="30"/>
    </row>
    <row r="551" ht="14.25" customHeight="1">
      <c r="B551" s="30"/>
    </row>
    <row r="552" ht="14.25" customHeight="1">
      <c r="B552" s="30"/>
    </row>
    <row r="553" ht="14.25" customHeight="1">
      <c r="B553" s="30"/>
    </row>
    <row r="554" ht="14.25" customHeight="1">
      <c r="B554" s="30"/>
    </row>
    <row r="555" ht="14.25" customHeight="1">
      <c r="B555" s="30"/>
    </row>
    <row r="556" ht="14.25" customHeight="1">
      <c r="B556" s="30"/>
    </row>
    <row r="557" ht="14.25" customHeight="1">
      <c r="B557" s="30"/>
    </row>
    <row r="558" ht="14.25" customHeight="1">
      <c r="B558" s="30"/>
    </row>
    <row r="559" ht="14.25" customHeight="1">
      <c r="B559" s="30"/>
    </row>
    <row r="560" ht="14.25" customHeight="1">
      <c r="B560" s="30"/>
    </row>
    <row r="561" ht="14.25" customHeight="1">
      <c r="B561" s="30"/>
    </row>
    <row r="562" ht="14.25" customHeight="1">
      <c r="B562" s="30"/>
    </row>
    <row r="563" ht="14.25" customHeight="1">
      <c r="B563" s="30"/>
    </row>
    <row r="564" ht="14.25" customHeight="1">
      <c r="B564" s="30"/>
    </row>
    <row r="565" ht="14.25" customHeight="1">
      <c r="B565" s="30"/>
    </row>
    <row r="566" ht="14.25" customHeight="1">
      <c r="B566" s="30"/>
    </row>
    <row r="567" ht="14.25" customHeight="1">
      <c r="B567" s="30"/>
    </row>
    <row r="568" ht="14.25" customHeight="1">
      <c r="B568" s="30"/>
    </row>
    <row r="569" ht="14.25" customHeight="1">
      <c r="B569" s="30"/>
    </row>
    <row r="570" ht="14.25" customHeight="1">
      <c r="B570" s="30"/>
    </row>
    <row r="571" ht="14.25" customHeight="1">
      <c r="B571" s="30"/>
    </row>
    <row r="572" ht="14.25" customHeight="1">
      <c r="B572" s="30"/>
    </row>
    <row r="573" ht="14.25" customHeight="1">
      <c r="B573" s="30"/>
    </row>
    <row r="574" ht="14.25" customHeight="1">
      <c r="B574" s="30"/>
    </row>
    <row r="575" ht="14.25" customHeight="1">
      <c r="B575" s="30"/>
    </row>
    <row r="576" ht="14.25" customHeight="1">
      <c r="B576" s="30"/>
    </row>
    <row r="577" ht="14.25" customHeight="1">
      <c r="B577" s="30"/>
    </row>
    <row r="578" ht="14.25" customHeight="1">
      <c r="B578" s="30"/>
    </row>
    <row r="579" ht="14.25" customHeight="1">
      <c r="B579" s="30"/>
    </row>
    <row r="580" ht="14.25" customHeight="1">
      <c r="B580" s="30"/>
    </row>
    <row r="581" ht="14.25" customHeight="1">
      <c r="B581" s="30"/>
    </row>
    <row r="582" ht="14.25" customHeight="1">
      <c r="B582" s="30"/>
    </row>
    <row r="583" ht="14.25" customHeight="1">
      <c r="B583" s="30"/>
    </row>
    <row r="584" ht="14.25" customHeight="1">
      <c r="B584" s="30"/>
    </row>
    <row r="585" ht="14.25" customHeight="1">
      <c r="B585" s="30"/>
    </row>
    <row r="586" ht="14.25" customHeight="1">
      <c r="B586" s="30"/>
    </row>
    <row r="587" ht="14.25" customHeight="1">
      <c r="B587" s="30"/>
    </row>
    <row r="588" ht="14.25" customHeight="1">
      <c r="B588" s="30"/>
    </row>
    <row r="589" ht="14.25" customHeight="1">
      <c r="B589" s="30"/>
    </row>
    <row r="590" ht="14.25" customHeight="1">
      <c r="B590" s="30"/>
    </row>
    <row r="591" ht="14.25" customHeight="1">
      <c r="B591" s="30"/>
    </row>
    <row r="592" ht="14.25" customHeight="1">
      <c r="B592" s="30"/>
    </row>
    <row r="593" ht="14.25" customHeight="1">
      <c r="B593" s="30"/>
    </row>
    <row r="594" ht="14.25" customHeight="1">
      <c r="B594" s="30"/>
    </row>
    <row r="595" ht="14.25" customHeight="1">
      <c r="B595" s="30"/>
    </row>
    <row r="596" ht="14.25" customHeight="1">
      <c r="B596" s="30"/>
    </row>
    <row r="597" ht="14.25" customHeight="1">
      <c r="B597" s="30"/>
    </row>
    <row r="598" ht="14.25" customHeight="1">
      <c r="B598" s="30"/>
    </row>
    <row r="599" ht="14.25" customHeight="1">
      <c r="B599" s="30"/>
    </row>
    <row r="600" ht="14.25" customHeight="1">
      <c r="B600" s="30"/>
    </row>
    <row r="601" ht="14.25" customHeight="1">
      <c r="B601" s="30"/>
    </row>
    <row r="602" ht="14.25" customHeight="1">
      <c r="B602" s="30"/>
    </row>
    <row r="603" ht="14.25" customHeight="1">
      <c r="B603" s="30"/>
    </row>
    <row r="604" ht="14.25" customHeight="1">
      <c r="B604" s="30"/>
    </row>
    <row r="605" ht="14.25" customHeight="1">
      <c r="B605" s="30"/>
    </row>
    <row r="606" ht="14.25" customHeight="1">
      <c r="B606" s="30"/>
    </row>
    <row r="607" ht="14.25" customHeight="1">
      <c r="B607" s="30"/>
    </row>
    <row r="608" ht="14.25" customHeight="1">
      <c r="B608" s="30"/>
    </row>
    <row r="609" ht="14.25" customHeight="1">
      <c r="B609" s="30"/>
    </row>
    <row r="610" ht="14.25" customHeight="1">
      <c r="B610" s="30"/>
    </row>
    <row r="611" ht="14.25" customHeight="1">
      <c r="B611" s="30"/>
    </row>
    <row r="612" ht="14.25" customHeight="1">
      <c r="B612" s="30"/>
    </row>
    <row r="613" ht="14.25" customHeight="1">
      <c r="B613" s="30"/>
    </row>
    <row r="614" ht="14.25" customHeight="1">
      <c r="B614" s="30"/>
    </row>
    <row r="615" ht="14.25" customHeight="1">
      <c r="B615" s="30"/>
    </row>
    <row r="616" ht="14.25" customHeight="1">
      <c r="B616" s="30"/>
    </row>
    <row r="617" ht="14.25" customHeight="1">
      <c r="B617" s="30"/>
    </row>
    <row r="618" ht="14.25" customHeight="1">
      <c r="B618" s="30"/>
    </row>
    <row r="619" ht="14.25" customHeight="1">
      <c r="B619" s="30"/>
    </row>
    <row r="620" ht="14.25" customHeight="1">
      <c r="B620" s="30"/>
    </row>
    <row r="621" ht="14.25" customHeight="1">
      <c r="B621" s="30"/>
    </row>
    <row r="622" ht="14.25" customHeight="1">
      <c r="B622" s="30"/>
    </row>
    <row r="623" ht="14.25" customHeight="1">
      <c r="B623" s="30"/>
    </row>
    <row r="624" ht="14.25" customHeight="1">
      <c r="B624" s="30"/>
    </row>
    <row r="625" ht="14.25" customHeight="1">
      <c r="B625" s="30"/>
    </row>
    <row r="626" ht="14.25" customHeight="1">
      <c r="B626" s="30"/>
    </row>
    <row r="627" ht="14.25" customHeight="1">
      <c r="B627" s="30"/>
    </row>
    <row r="628" ht="14.25" customHeight="1">
      <c r="B628" s="30"/>
    </row>
    <row r="629" ht="14.25" customHeight="1">
      <c r="B629" s="30"/>
    </row>
    <row r="630" ht="14.25" customHeight="1">
      <c r="B630" s="30"/>
    </row>
    <row r="631" ht="14.25" customHeight="1">
      <c r="B631" s="30"/>
    </row>
    <row r="632" ht="14.25" customHeight="1">
      <c r="B632" s="30"/>
    </row>
    <row r="633" ht="14.25" customHeight="1">
      <c r="B633" s="30"/>
    </row>
    <row r="634" ht="14.25" customHeight="1">
      <c r="B634" s="30"/>
    </row>
    <row r="635" ht="14.25" customHeight="1">
      <c r="B635" s="30"/>
    </row>
    <row r="636" ht="14.25" customHeight="1">
      <c r="B636" s="30"/>
    </row>
    <row r="637" ht="14.25" customHeight="1">
      <c r="B637" s="30"/>
    </row>
    <row r="638" ht="14.25" customHeight="1">
      <c r="B638" s="30"/>
    </row>
    <row r="639" ht="14.25" customHeight="1">
      <c r="B639" s="30"/>
    </row>
    <row r="640" ht="14.25" customHeight="1">
      <c r="B640" s="30"/>
    </row>
    <row r="641" ht="14.25" customHeight="1">
      <c r="B641" s="30"/>
    </row>
    <row r="642" ht="14.25" customHeight="1">
      <c r="B642" s="30"/>
    </row>
    <row r="643" ht="14.25" customHeight="1">
      <c r="B643" s="30"/>
    </row>
    <row r="644" ht="14.25" customHeight="1">
      <c r="B644" s="30"/>
    </row>
    <row r="645" ht="14.25" customHeight="1">
      <c r="B645" s="30"/>
    </row>
    <row r="646" ht="14.25" customHeight="1">
      <c r="B646" s="30"/>
    </row>
    <row r="647" ht="14.25" customHeight="1">
      <c r="B647" s="30"/>
    </row>
    <row r="648" ht="14.25" customHeight="1">
      <c r="B648" s="30"/>
    </row>
    <row r="649" ht="14.25" customHeight="1">
      <c r="B649" s="30"/>
    </row>
    <row r="650" ht="14.25" customHeight="1">
      <c r="B650" s="30"/>
    </row>
    <row r="651" ht="14.25" customHeight="1">
      <c r="B651" s="30"/>
    </row>
    <row r="652" ht="14.25" customHeight="1">
      <c r="B652" s="30"/>
    </row>
    <row r="653" ht="14.25" customHeight="1">
      <c r="B653" s="30"/>
    </row>
    <row r="654" ht="14.25" customHeight="1">
      <c r="B654" s="30"/>
    </row>
    <row r="655" ht="14.25" customHeight="1">
      <c r="B655" s="30"/>
    </row>
    <row r="656" ht="14.25" customHeight="1">
      <c r="B656" s="30"/>
    </row>
    <row r="657" ht="14.25" customHeight="1">
      <c r="B657" s="30"/>
    </row>
    <row r="658" ht="14.25" customHeight="1">
      <c r="B658" s="30"/>
    </row>
    <row r="659" ht="14.25" customHeight="1">
      <c r="B659" s="30"/>
    </row>
    <row r="660" ht="14.25" customHeight="1">
      <c r="B660" s="30"/>
    </row>
    <row r="661" ht="14.25" customHeight="1">
      <c r="B661" s="30"/>
    </row>
    <row r="662" ht="14.25" customHeight="1">
      <c r="B662" s="30"/>
    </row>
    <row r="663" ht="14.25" customHeight="1">
      <c r="B663" s="30"/>
    </row>
    <row r="664" ht="14.25" customHeight="1">
      <c r="B664" s="30"/>
    </row>
    <row r="665" ht="14.25" customHeight="1">
      <c r="B665" s="30"/>
    </row>
    <row r="666" ht="14.25" customHeight="1">
      <c r="B666" s="30"/>
    </row>
    <row r="667" ht="14.25" customHeight="1">
      <c r="B667" s="30"/>
    </row>
    <row r="668" ht="14.25" customHeight="1">
      <c r="B668" s="30"/>
    </row>
    <row r="669" ht="14.25" customHeight="1">
      <c r="B669" s="30"/>
    </row>
    <row r="670" ht="14.25" customHeight="1">
      <c r="B670" s="30"/>
    </row>
    <row r="671" ht="14.25" customHeight="1">
      <c r="B671" s="30"/>
    </row>
    <row r="672" ht="14.25" customHeight="1">
      <c r="B672" s="30"/>
    </row>
    <row r="673" ht="14.25" customHeight="1">
      <c r="B673" s="30"/>
    </row>
    <row r="674" ht="14.25" customHeight="1">
      <c r="B674" s="30"/>
    </row>
    <row r="675" ht="14.25" customHeight="1">
      <c r="B675" s="30"/>
    </row>
    <row r="676" ht="14.25" customHeight="1">
      <c r="B676" s="30"/>
    </row>
    <row r="677" ht="14.25" customHeight="1">
      <c r="B677" s="30"/>
    </row>
    <row r="678" ht="14.25" customHeight="1">
      <c r="B678" s="30"/>
    </row>
    <row r="679" ht="14.25" customHeight="1">
      <c r="B679" s="30"/>
    </row>
    <row r="680" ht="14.25" customHeight="1">
      <c r="B680" s="30"/>
    </row>
    <row r="681" ht="14.25" customHeight="1">
      <c r="B681" s="30"/>
    </row>
    <row r="682" ht="14.25" customHeight="1">
      <c r="B682" s="30"/>
    </row>
    <row r="683" ht="14.25" customHeight="1">
      <c r="B683" s="30"/>
    </row>
    <row r="684" ht="14.25" customHeight="1">
      <c r="B684" s="30"/>
    </row>
    <row r="685" ht="14.25" customHeight="1">
      <c r="B685" s="30"/>
    </row>
    <row r="686" ht="14.25" customHeight="1">
      <c r="B686" s="30"/>
    </row>
    <row r="687" ht="14.25" customHeight="1">
      <c r="B687" s="30"/>
    </row>
    <row r="688" ht="14.25" customHeight="1">
      <c r="B688" s="30"/>
    </row>
    <row r="689" ht="14.25" customHeight="1">
      <c r="B689" s="30"/>
    </row>
    <row r="690" ht="14.25" customHeight="1">
      <c r="B690" s="30"/>
    </row>
    <row r="691" ht="14.25" customHeight="1">
      <c r="B691" s="30"/>
    </row>
    <row r="692" ht="14.25" customHeight="1">
      <c r="B692" s="30"/>
    </row>
    <row r="693" ht="14.25" customHeight="1">
      <c r="B693" s="30"/>
    </row>
    <row r="694" ht="14.25" customHeight="1">
      <c r="B694" s="30"/>
    </row>
    <row r="695" ht="14.25" customHeight="1">
      <c r="B695" s="30"/>
    </row>
    <row r="696" ht="14.25" customHeight="1">
      <c r="B696" s="30"/>
    </row>
    <row r="697" ht="14.25" customHeight="1">
      <c r="B697" s="30"/>
    </row>
    <row r="698" ht="14.25" customHeight="1">
      <c r="B698" s="30"/>
    </row>
    <row r="699" ht="14.25" customHeight="1">
      <c r="B699" s="30"/>
    </row>
    <row r="700" ht="14.25" customHeight="1">
      <c r="B700" s="30"/>
    </row>
    <row r="701" ht="14.25" customHeight="1">
      <c r="B701" s="30"/>
    </row>
    <row r="702" ht="14.25" customHeight="1">
      <c r="B702" s="30"/>
    </row>
    <row r="703" ht="14.25" customHeight="1">
      <c r="B703" s="30"/>
    </row>
    <row r="704" ht="14.25" customHeight="1">
      <c r="B704" s="30"/>
    </row>
    <row r="705" ht="14.25" customHeight="1">
      <c r="B705" s="30"/>
    </row>
    <row r="706" ht="14.25" customHeight="1">
      <c r="B706" s="30"/>
    </row>
    <row r="707" ht="14.25" customHeight="1">
      <c r="B707" s="30"/>
    </row>
    <row r="708" ht="14.25" customHeight="1">
      <c r="B708" s="30"/>
    </row>
    <row r="709" ht="14.25" customHeight="1">
      <c r="B709" s="30"/>
    </row>
    <row r="710" ht="14.25" customHeight="1">
      <c r="B710" s="30"/>
    </row>
    <row r="711" ht="14.25" customHeight="1">
      <c r="B711" s="30"/>
    </row>
    <row r="712" ht="14.25" customHeight="1">
      <c r="B712" s="30"/>
    </row>
    <row r="713" ht="14.25" customHeight="1">
      <c r="B713" s="30"/>
    </row>
    <row r="714" ht="14.25" customHeight="1">
      <c r="B714" s="30"/>
    </row>
    <row r="715" ht="14.25" customHeight="1">
      <c r="B715" s="30"/>
    </row>
    <row r="716" ht="14.25" customHeight="1">
      <c r="B716" s="30"/>
    </row>
    <row r="717" ht="14.25" customHeight="1">
      <c r="B717" s="30"/>
    </row>
    <row r="718" ht="14.25" customHeight="1">
      <c r="B718" s="30"/>
    </row>
    <row r="719" ht="14.25" customHeight="1">
      <c r="B719" s="30"/>
    </row>
    <row r="720" ht="14.25" customHeight="1">
      <c r="B720" s="30"/>
    </row>
    <row r="721" ht="14.25" customHeight="1">
      <c r="B721" s="30"/>
    </row>
    <row r="722" ht="14.25" customHeight="1">
      <c r="B722" s="30"/>
    </row>
    <row r="723" ht="14.25" customHeight="1">
      <c r="B723" s="30"/>
    </row>
    <row r="724" ht="14.25" customHeight="1">
      <c r="B724" s="30"/>
    </row>
    <row r="725" ht="14.25" customHeight="1">
      <c r="B725" s="30"/>
    </row>
    <row r="726" ht="14.25" customHeight="1">
      <c r="B726" s="30"/>
    </row>
    <row r="727" ht="14.25" customHeight="1">
      <c r="B727" s="30"/>
    </row>
    <row r="728" ht="14.25" customHeight="1">
      <c r="B728" s="30"/>
    </row>
    <row r="729" ht="14.25" customHeight="1">
      <c r="B729" s="30"/>
    </row>
    <row r="730" ht="14.25" customHeight="1">
      <c r="B730" s="30"/>
    </row>
    <row r="731" ht="14.25" customHeight="1">
      <c r="B731" s="30"/>
    </row>
    <row r="732" ht="14.25" customHeight="1">
      <c r="B732" s="30"/>
    </row>
    <row r="733" ht="14.25" customHeight="1">
      <c r="B733" s="30"/>
    </row>
    <row r="734" ht="14.25" customHeight="1">
      <c r="B734" s="30"/>
    </row>
    <row r="735" ht="14.25" customHeight="1">
      <c r="B735" s="30"/>
    </row>
    <row r="736" ht="14.25" customHeight="1">
      <c r="B736" s="30"/>
    </row>
    <row r="737" ht="14.25" customHeight="1">
      <c r="B737" s="30"/>
    </row>
    <row r="738" ht="14.25" customHeight="1">
      <c r="B738" s="30"/>
    </row>
    <row r="739" ht="14.25" customHeight="1">
      <c r="B739" s="30"/>
    </row>
    <row r="740" ht="14.25" customHeight="1">
      <c r="B740" s="30"/>
    </row>
    <row r="741" ht="14.25" customHeight="1">
      <c r="B741" s="30"/>
    </row>
    <row r="742" ht="14.25" customHeight="1">
      <c r="B742" s="30"/>
    </row>
    <row r="743" ht="14.25" customHeight="1">
      <c r="B743" s="30"/>
    </row>
    <row r="744" ht="14.25" customHeight="1">
      <c r="B744" s="30"/>
    </row>
    <row r="745" ht="14.25" customHeight="1">
      <c r="B745" s="30"/>
    </row>
    <row r="746" ht="14.25" customHeight="1">
      <c r="B746" s="30"/>
    </row>
    <row r="747" ht="14.25" customHeight="1">
      <c r="B747" s="30"/>
    </row>
    <row r="748" ht="14.25" customHeight="1">
      <c r="B748" s="30"/>
    </row>
    <row r="749" ht="14.25" customHeight="1">
      <c r="B749" s="30"/>
    </row>
    <row r="750" ht="14.25" customHeight="1">
      <c r="B750" s="30"/>
    </row>
    <row r="751" ht="14.25" customHeight="1">
      <c r="B751" s="30"/>
    </row>
    <row r="752" ht="14.25" customHeight="1">
      <c r="B752" s="30"/>
    </row>
    <row r="753" ht="14.25" customHeight="1">
      <c r="B753" s="30"/>
    </row>
    <row r="754" ht="14.25" customHeight="1">
      <c r="B754" s="30"/>
    </row>
    <row r="755" ht="14.25" customHeight="1">
      <c r="B755" s="30"/>
    </row>
    <row r="756" ht="14.25" customHeight="1">
      <c r="B756" s="30"/>
    </row>
    <row r="757" ht="14.25" customHeight="1">
      <c r="B757" s="30"/>
    </row>
    <row r="758" ht="14.25" customHeight="1">
      <c r="B758" s="30"/>
    </row>
    <row r="759" ht="14.25" customHeight="1">
      <c r="B759" s="30"/>
    </row>
    <row r="760" ht="14.25" customHeight="1">
      <c r="B760" s="30"/>
    </row>
    <row r="761" ht="14.25" customHeight="1">
      <c r="B761" s="30"/>
    </row>
    <row r="762" ht="14.25" customHeight="1">
      <c r="B762" s="30"/>
    </row>
    <row r="763" ht="14.25" customHeight="1">
      <c r="B763" s="30"/>
    </row>
    <row r="764" ht="14.25" customHeight="1">
      <c r="B764" s="30"/>
    </row>
    <row r="765" ht="14.25" customHeight="1">
      <c r="B765" s="30"/>
    </row>
    <row r="766" ht="14.25" customHeight="1">
      <c r="B766" s="30"/>
    </row>
    <row r="767" ht="14.25" customHeight="1">
      <c r="B767" s="30"/>
    </row>
    <row r="768" ht="14.25" customHeight="1">
      <c r="B768" s="30"/>
    </row>
    <row r="769" ht="14.25" customHeight="1">
      <c r="B769" s="30"/>
    </row>
    <row r="770" ht="14.25" customHeight="1">
      <c r="B770" s="30"/>
    </row>
    <row r="771" ht="14.25" customHeight="1">
      <c r="B771" s="30"/>
    </row>
    <row r="772" ht="14.25" customHeight="1">
      <c r="B772" s="30"/>
    </row>
    <row r="773" ht="14.25" customHeight="1">
      <c r="B773" s="30"/>
    </row>
    <row r="774" ht="14.25" customHeight="1">
      <c r="B774" s="30"/>
    </row>
    <row r="775" ht="14.25" customHeight="1">
      <c r="B775" s="30"/>
    </row>
    <row r="776" ht="14.25" customHeight="1">
      <c r="B776" s="30"/>
    </row>
    <row r="777" ht="14.25" customHeight="1">
      <c r="B777" s="30"/>
    </row>
    <row r="778" ht="14.25" customHeight="1">
      <c r="B778" s="30"/>
    </row>
    <row r="779" ht="14.25" customHeight="1">
      <c r="B779" s="30"/>
    </row>
    <row r="780" ht="14.25" customHeight="1">
      <c r="B780" s="30"/>
    </row>
    <row r="781" ht="14.25" customHeight="1">
      <c r="B781" s="30"/>
    </row>
    <row r="782" ht="14.25" customHeight="1">
      <c r="B782" s="30"/>
    </row>
    <row r="783" ht="14.25" customHeight="1">
      <c r="B783" s="30"/>
    </row>
    <row r="784" ht="14.25" customHeight="1">
      <c r="B784" s="30"/>
    </row>
    <row r="785" ht="14.25" customHeight="1">
      <c r="B785" s="30"/>
    </row>
    <row r="786" ht="14.25" customHeight="1">
      <c r="B786" s="30"/>
    </row>
    <row r="787" ht="14.25" customHeight="1">
      <c r="B787" s="30"/>
    </row>
    <row r="788" ht="14.25" customHeight="1">
      <c r="B788" s="30"/>
    </row>
    <row r="789" ht="14.25" customHeight="1">
      <c r="B789" s="30"/>
    </row>
    <row r="790" ht="14.25" customHeight="1">
      <c r="B790" s="30"/>
    </row>
    <row r="791" ht="14.25" customHeight="1">
      <c r="B791" s="30"/>
    </row>
    <row r="792" ht="14.25" customHeight="1">
      <c r="B792" s="30"/>
    </row>
    <row r="793" ht="14.25" customHeight="1">
      <c r="B793" s="30"/>
    </row>
    <row r="794" ht="14.25" customHeight="1">
      <c r="B794" s="30"/>
    </row>
    <row r="795" ht="14.25" customHeight="1">
      <c r="B795" s="30"/>
    </row>
    <row r="796" ht="14.25" customHeight="1">
      <c r="B796" s="30"/>
    </row>
    <row r="797" ht="14.25" customHeight="1">
      <c r="B797" s="30"/>
    </row>
    <row r="798" ht="14.25" customHeight="1">
      <c r="B798" s="30"/>
    </row>
    <row r="799" ht="14.25" customHeight="1">
      <c r="B799" s="30"/>
    </row>
    <row r="800" ht="14.25" customHeight="1">
      <c r="B800" s="30"/>
    </row>
    <row r="801" ht="14.25" customHeight="1">
      <c r="B801" s="30"/>
    </row>
    <row r="802" ht="14.25" customHeight="1">
      <c r="B802" s="30"/>
    </row>
    <row r="803" ht="14.25" customHeight="1">
      <c r="B803" s="30"/>
    </row>
    <row r="804" ht="14.25" customHeight="1">
      <c r="B804" s="30"/>
    </row>
    <row r="805" ht="14.25" customHeight="1">
      <c r="B805" s="30"/>
    </row>
    <row r="806" ht="14.25" customHeight="1">
      <c r="B806" s="30"/>
    </row>
    <row r="807" ht="14.25" customHeight="1">
      <c r="B807" s="30"/>
    </row>
    <row r="808" ht="14.25" customHeight="1">
      <c r="B808" s="30"/>
    </row>
    <row r="809" ht="14.25" customHeight="1">
      <c r="B809" s="30"/>
    </row>
    <row r="810" ht="14.25" customHeight="1">
      <c r="B810" s="30"/>
    </row>
    <row r="811" ht="14.25" customHeight="1">
      <c r="B811" s="30"/>
    </row>
    <row r="812" ht="14.25" customHeight="1">
      <c r="B812" s="30"/>
    </row>
    <row r="813" ht="14.25" customHeight="1">
      <c r="B813" s="30"/>
    </row>
    <row r="814" ht="14.25" customHeight="1">
      <c r="B814" s="30"/>
    </row>
    <row r="815" ht="14.25" customHeight="1">
      <c r="B815" s="30"/>
    </row>
    <row r="816" ht="14.25" customHeight="1">
      <c r="B816" s="30"/>
    </row>
    <row r="817" ht="14.25" customHeight="1">
      <c r="B817" s="30"/>
    </row>
    <row r="818" ht="14.25" customHeight="1">
      <c r="B818" s="30"/>
    </row>
    <row r="819" ht="14.25" customHeight="1">
      <c r="B819" s="30"/>
    </row>
    <row r="820" ht="14.25" customHeight="1">
      <c r="B820" s="30"/>
    </row>
    <row r="821" ht="14.25" customHeight="1">
      <c r="B821" s="30"/>
    </row>
    <row r="822" ht="14.25" customHeight="1">
      <c r="B822" s="30"/>
    </row>
    <row r="823" ht="14.25" customHeight="1">
      <c r="B823" s="30"/>
    </row>
    <row r="824" ht="14.25" customHeight="1">
      <c r="B824" s="30"/>
    </row>
    <row r="825" ht="14.25" customHeight="1">
      <c r="B825" s="30"/>
    </row>
    <row r="826" ht="14.25" customHeight="1">
      <c r="B826" s="30"/>
    </row>
    <row r="827" ht="14.25" customHeight="1">
      <c r="B827" s="30"/>
    </row>
    <row r="828" ht="14.25" customHeight="1">
      <c r="B828" s="30"/>
    </row>
    <row r="829" ht="14.25" customHeight="1">
      <c r="B829" s="30"/>
    </row>
    <row r="830" ht="14.25" customHeight="1">
      <c r="B830" s="30"/>
    </row>
    <row r="831" ht="14.25" customHeight="1">
      <c r="B831" s="30"/>
    </row>
    <row r="832" ht="14.25" customHeight="1">
      <c r="B832" s="30"/>
    </row>
    <row r="833" ht="14.25" customHeight="1">
      <c r="B833" s="30"/>
    </row>
    <row r="834" ht="14.25" customHeight="1">
      <c r="B834" s="30"/>
    </row>
    <row r="835" ht="14.25" customHeight="1">
      <c r="B835" s="30"/>
    </row>
    <row r="836" ht="14.25" customHeight="1">
      <c r="B836" s="30"/>
    </row>
    <row r="837" ht="14.25" customHeight="1">
      <c r="B837" s="30"/>
    </row>
    <row r="838" ht="14.25" customHeight="1">
      <c r="B838" s="30"/>
    </row>
    <row r="839" ht="14.25" customHeight="1">
      <c r="B839" s="30"/>
    </row>
    <row r="840" ht="14.25" customHeight="1">
      <c r="B840" s="30"/>
    </row>
    <row r="841" ht="14.25" customHeight="1">
      <c r="B841" s="30"/>
    </row>
    <row r="842" ht="14.25" customHeight="1">
      <c r="B842" s="30"/>
    </row>
    <row r="843" ht="14.25" customHeight="1">
      <c r="B843" s="30"/>
    </row>
    <row r="844" ht="14.25" customHeight="1">
      <c r="B844" s="30"/>
    </row>
    <row r="845" ht="14.25" customHeight="1">
      <c r="B845" s="30"/>
    </row>
    <row r="846" ht="14.25" customHeight="1">
      <c r="B846" s="30"/>
    </row>
    <row r="847" ht="14.25" customHeight="1">
      <c r="B847" s="30"/>
    </row>
    <row r="848" ht="14.25" customHeight="1">
      <c r="B848" s="30"/>
    </row>
    <row r="849" ht="14.25" customHeight="1">
      <c r="B849" s="30"/>
    </row>
    <row r="850" ht="14.25" customHeight="1">
      <c r="B850" s="30"/>
    </row>
    <row r="851" ht="14.25" customHeight="1">
      <c r="B851" s="30"/>
    </row>
    <row r="852" ht="14.25" customHeight="1">
      <c r="B852" s="30"/>
    </row>
    <row r="853" ht="14.25" customHeight="1">
      <c r="B853" s="30"/>
    </row>
    <row r="854" ht="14.25" customHeight="1">
      <c r="B854" s="30"/>
    </row>
    <row r="855" ht="14.25" customHeight="1">
      <c r="B855" s="30"/>
    </row>
    <row r="856" ht="14.25" customHeight="1">
      <c r="B856" s="30"/>
    </row>
    <row r="857" ht="14.25" customHeight="1">
      <c r="B857" s="30"/>
    </row>
    <row r="858" ht="14.25" customHeight="1">
      <c r="B858" s="30"/>
    </row>
    <row r="859" ht="14.25" customHeight="1">
      <c r="B859" s="30"/>
    </row>
    <row r="860" ht="14.25" customHeight="1">
      <c r="B860" s="30"/>
    </row>
    <row r="861" ht="14.25" customHeight="1">
      <c r="B861" s="30"/>
    </row>
    <row r="862" ht="14.25" customHeight="1">
      <c r="B862" s="30"/>
    </row>
    <row r="863" ht="14.25" customHeight="1">
      <c r="B863" s="30"/>
    </row>
    <row r="864" ht="14.25" customHeight="1">
      <c r="B864" s="30"/>
    </row>
    <row r="865" ht="14.25" customHeight="1">
      <c r="B865" s="30"/>
    </row>
    <row r="866" ht="14.25" customHeight="1">
      <c r="B866" s="30"/>
    </row>
    <row r="867" ht="14.25" customHeight="1">
      <c r="B867" s="30"/>
    </row>
    <row r="868" ht="14.25" customHeight="1">
      <c r="B868" s="30"/>
    </row>
    <row r="869" ht="14.25" customHeight="1">
      <c r="B869" s="30"/>
    </row>
    <row r="870" ht="14.25" customHeight="1">
      <c r="B870" s="30"/>
    </row>
    <row r="871" ht="14.25" customHeight="1">
      <c r="B871" s="30"/>
    </row>
    <row r="872" ht="14.25" customHeight="1">
      <c r="B872" s="30"/>
    </row>
    <row r="873" ht="14.25" customHeight="1">
      <c r="B873" s="30"/>
    </row>
    <row r="874" ht="14.25" customHeight="1">
      <c r="B874" s="30"/>
    </row>
    <row r="875" ht="14.25" customHeight="1">
      <c r="B875" s="30"/>
    </row>
    <row r="876" ht="14.25" customHeight="1">
      <c r="B876" s="30"/>
    </row>
    <row r="877" ht="14.25" customHeight="1">
      <c r="B877" s="30"/>
    </row>
    <row r="878" ht="14.25" customHeight="1">
      <c r="B878" s="30"/>
    </row>
    <row r="879" ht="14.25" customHeight="1">
      <c r="B879" s="30"/>
    </row>
    <row r="880" ht="14.25" customHeight="1">
      <c r="B880" s="30"/>
    </row>
    <row r="881" ht="14.25" customHeight="1">
      <c r="B881" s="30"/>
    </row>
    <row r="882" ht="14.25" customHeight="1">
      <c r="B882" s="30"/>
    </row>
    <row r="883" ht="14.25" customHeight="1">
      <c r="B883" s="30"/>
    </row>
    <row r="884" ht="14.25" customHeight="1">
      <c r="B884" s="30"/>
    </row>
    <row r="885" ht="14.25" customHeight="1">
      <c r="B885" s="30"/>
    </row>
    <row r="886" ht="14.25" customHeight="1">
      <c r="B886" s="30"/>
    </row>
    <row r="887" ht="14.25" customHeight="1">
      <c r="B887" s="30"/>
    </row>
    <row r="888" ht="14.25" customHeight="1">
      <c r="B888" s="30"/>
    </row>
    <row r="889" ht="14.25" customHeight="1">
      <c r="B889" s="30"/>
    </row>
    <row r="890" ht="14.25" customHeight="1">
      <c r="B890" s="30"/>
    </row>
    <row r="891" ht="14.25" customHeight="1">
      <c r="B891" s="30"/>
    </row>
    <row r="892" ht="14.25" customHeight="1">
      <c r="B892" s="30"/>
    </row>
    <row r="893" ht="14.25" customHeight="1">
      <c r="B893" s="30"/>
    </row>
    <row r="894" ht="14.25" customHeight="1">
      <c r="B894" s="30"/>
    </row>
    <row r="895" ht="14.25" customHeight="1">
      <c r="B895" s="30"/>
    </row>
    <row r="896" ht="14.25" customHeight="1">
      <c r="B896" s="30"/>
    </row>
    <row r="897" ht="14.25" customHeight="1">
      <c r="B897" s="30"/>
    </row>
    <row r="898" ht="14.25" customHeight="1">
      <c r="B898" s="30"/>
    </row>
    <row r="899" ht="14.25" customHeight="1">
      <c r="B899" s="30"/>
    </row>
    <row r="900" ht="14.25" customHeight="1">
      <c r="B900" s="30"/>
    </row>
    <row r="901" ht="14.25" customHeight="1">
      <c r="B901" s="30"/>
    </row>
    <row r="902" ht="14.25" customHeight="1">
      <c r="B902" s="30"/>
    </row>
    <row r="903" ht="14.25" customHeight="1">
      <c r="B903" s="30"/>
    </row>
    <row r="904" ht="14.25" customHeight="1">
      <c r="B904" s="30"/>
    </row>
    <row r="905" ht="14.25" customHeight="1">
      <c r="B905" s="30"/>
    </row>
    <row r="906" ht="14.25" customHeight="1">
      <c r="B906" s="30"/>
    </row>
    <row r="907" ht="14.25" customHeight="1">
      <c r="B907" s="30"/>
    </row>
    <row r="908" ht="14.25" customHeight="1">
      <c r="B908" s="30"/>
    </row>
    <row r="909" ht="14.25" customHeight="1">
      <c r="B909" s="30"/>
    </row>
    <row r="910" ht="14.25" customHeight="1">
      <c r="B910" s="30"/>
    </row>
    <row r="911" ht="14.25" customHeight="1">
      <c r="B911" s="30"/>
    </row>
    <row r="912" ht="14.25" customHeight="1">
      <c r="B912" s="30"/>
    </row>
    <row r="913" ht="14.25" customHeight="1">
      <c r="B913" s="30"/>
    </row>
    <row r="914" ht="14.25" customHeight="1">
      <c r="B914" s="30"/>
    </row>
    <row r="915" ht="14.25" customHeight="1">
      <c r="B915" s="30"/>
    </row>
    <row r="916" ht="14.25" customHeight="1">
      <c r="B916" s="30"/>
    </row>
    <row r="917" ht="14.25" customHeight="1">
      <c r="B917" s="30"/>
    </row>
    <row r="918" ht="14.25" customHeight="1">
      <c r="B918" s="30"/>
    </row>
    <row r="919" ht="14.25" customHeight="1">
      <c r="B919" s="30"/>
    </row>
    <row r="920" ht="14.25" customHeight="1">
      <c r="B920" s="30"/>
    </row>
    <row r="921" ht="14.25" customHeight="1">
      <c r="B921" s="30"/>
    </row>
    <row r="922" ht="14.25" customHeight="1">
      <c r="B922" s="30"/>
    </row>
    <row r="923" ht="14.25" customHeight="1">
      <c r="B923" s="30"/>
    </row>
    <row r="924" ht="14.25" customHeight="1">
      <c r="B924" s="30"/>
    </row>
    <row r="925" ht="14.25" customHeight="1">
      <c r="B925" s="30"/>
    </row>
    <row r="926" ht="14.25" customHeight="1">
      <c r="B926" s="30"/>
    </row>
    <row r="927" ht="14.25" customHeight="1">
      <c r="B927" s="30"/>
    </row>
    <row r="928" ht="14.25" customHeight="1">
      <c r="B928" s="30"/>
    </row>
    <row r="929" ht="14.25" customHeight="1">
      <c r="B929" s="30"/>
    </row>
    <row r="930" ht="14.25" customHeight="1">
      <c r="B930" s="30"/>
    </row>
    <row r="931" ht="14.25" customHeight="1">
      <c r="B931" s="30"/>
    </row>
    <row r="932" ht="14.25" customHeight="1">
      <c r="B932" s="30"/>
    </row>
    <row r="933" ht="14.25" customHeight="1">
      <c r="B933" s="30"/>
    </row>
    <row r="934" ht="14.25" customHeight="1">
      <c r="B934" s="30"/>
    </row>
    <row r="935" ht="14.25" customHeight="1">
      <c r="B935" s="30"/>
    </row>
    <row r="936" ht="14.25" customHeight="1">
      <c r="B936" s="30"/>
    </row>
    <row r="937" ht="14.25" customHeight="1">
      <c r="B937" s="30"/>
    </row>
    <row r="938" ht="14.25" customHeight="1">
      <c r="B938" s="30"/>
    </row>
    <row r="939" ht="14.25" customHeight="1">
      <c r="B939" s="30"/>
    </row>
    <row r="940" ht="14.25" customHeight="1">
      <c r="B940" s="30"/>
    </row>
    <row r="941" ht="14.25" customHeight="1">
      <c r="B941" s="30"/>
    </row>
    <row r="942" ht="14.25" customHeight="1">
      <c r="B942" s="30"/>
    </row>
    <row r="943" ht="14.25" customHeight="1">
      <c r="B943" s="30"/>
    </row>
    <row r="944" ht="14.25" customHeight="1">
      <c r="B944" s="30"/>
    </row>
    <row r="945" ht="14.25" customHeight="1">
      <c r="B945" s="30"/>
    </row>
    <row r="946" ht="14.25" customHeight="1">
      <c r="B946" s="30"/>
    </row>
    <row r="947" ht="14.25" customHeight="1">
      <c r="B947" s="30"/>
    </row>
    <row r="948" ht="14.25" customHeight="1">
      <c r="B948" s="30"/>
    </row>
    <row r="949" ht="14.25" customHeight="1">
      <c r="B949" s="30"/>
    </row>
    <row r="950" ht="14.25" customHeight="1">
      <c r="B950" s="30"/>
    </row>
    <row r="951" ht="14.25" customHeight="1">
      <c r="B951" s="30"/>
    </row>
    <row r="952" ht="14.25" customHeight="1">
      <c r="B952" s="30"/>
    </row>
    <row r="953" ht="14.25" customHeight="1">
      <c r="B953" s="30"/>
    </row>
    <row r="954" ht="14.25" customHeight="1">
      <c r="B954" s="30"/>
    </row>
    <row r="955" ht="14.25" customHeight="1">
      <c r="B955" s="30"/>
    </row>
    <row r="956" ht="14.25" customHeight="1">
      <c r="B956" s="30"/>
    </row>
    <row r="957" ht="14.25" customHeight="1">
      <c r="B957" s="30"/>
    </row>
    <row r="958" ht="14.25" customHeight="1">
      <c r="B958" s="30"/>
    </row>
    <row r="959" ht="14.25" customHeight="1">
      <c r="B959" s="30"/>
    </row>
    <row r="960" ht="14.25" customHeight="1">
      <c r="B960" s="30"/>
    </row>
    <row r="961" ht="14.25" customHeight="1">
      <c r="B961" s="30"/>
    </row>
    <row r="962" ht="14.25" customHeight="1">
      <c r="B962" s="30"/>
    </row>
    <row r="963" ht="14.25" customHeight="1">
      <c r="B963" s="30"/>
    </row>
    <row r="964" ht="14.25" customHeight="1">
      <c r="B964" s="30"/>
    </row>
    <row r="965" ht="14.25" customHeight="1">
      <c r="B965" s="30"/>
    </row>
    <row r="966" ht="14.25" customHeight="1">
      <c r="B966" s="30"/>
    </row>
    <row r="967" ht="14.25" customHeight="1">
      <c r="B967" s="30"/>
    </row>
    <row r="968" ht="14.25" customHeight="1">
      <c r="B968" s="30"/>
    </row>
    <row r="969" ht="14.25" customHeight="1">
      <c r="B969" s="30"/>
    </row>
    <row r="970" ht="14.25" customHeight="1">
      <c r="B970" s="30"/>
    </row>
    <row r="971" ht="14.25" customHeight="1">
      <c r="B971" s="30"/>
    </row>
    <row r="972" ht="14.25" customHeight="1">
      <c r="B972" s="30"/>
    </row>
    <row r="973" ht="14.25" customHeight="1">
      <c r="B973" s="30"/>
    </row>
    <row r="974" ht="14.25" customHeight="1">
      <c r="B974" s="30"/>
    </row>
    <row r="975" ht="14.25" customHeight="1">
      <c r="B975" s="30"/>
    </row>
    <row r="976" ht="14.25" customHeight="1">
      <c r="B976" s="30"/>
    </row>
    <row r="977" ht="14.25" customHeight="1">
      <c r="B977" s="30"/>
    </row>
    <row r="978" ht="14.25" customHeight="1">
      <c r="B978" s="30"/>
    </row>
    <row r="979" ht="14.25" customHeight="1">
      <c r="B979" s="30"/>
    </row>
    <row r="980" ht="14.25" customHeight="1">
      <c r="B980" s="30"/>
    </row>
    <row r="981" ht="14.25" customHeight="1">
      <c r="B981" s="30"/>
    </row>
    <row r="982" ht="14.25" customHeight="1">
      <c r="B982" s="30"/>
    </row>
    <row r="983" ht="14.25" customHeight="1">
      <c r="B983" s="30"/>
    </row>
    <row r="984" ht="14.25" customHeight="1">
      <c r="B984" s="30"/>
    </row>
    <row r="985" ht="14.25" customHeight="1">
      <c r="B985" s="30"/>
    </row>
    <row r="986" ht="14.25" customHeight="1">
      <c r="B986" s="30"/>
    </row>
    <row r="987" ht="14.25" customHeight="1">
      <c r="B987" s="30"/>
    </row>
    <row r="988" ht="14.25" customHeight="1">
      <c r="B988" s="30"/>
    </row>
    <row r="989" ht="14.25" customHeight="1">
      <c r="B989" s="30"/>
    </row>
    <row r="990" ht="14.25" customHeight="1">
      <c r="B990" s="30"/>
    </row>
    <row r="991" ht="14.25" customHeight="1">
      <c r="B991" s="30"/>
    </row>
    <row r="992" ht="14.25" customHeight="1">
      <c r="B992" s="30"/>
    </row>
    <row r="993" ht="14.25" customHeight="1">
      <c r="B993" s="30"/>
    </row>
    <row r="994" ht="14.25" customHeight="1">
      <c r="B994" s="30"/>
    </row>
    <row r="995" ht="14.25" customHeight="1">
      <c r="B995" s="30"/>
    </row>
    <row r="996" ht="14.25" customHeight="1">
      <c r="B996" s="30"/>
    </row>
    <row r="997" ht="14.25" customHeight="1">
      <c r="B997" s="30"/>
    </row>
    <row r="998" ht="14.25" customHeight="1">
      <c r="B998" s="30"/>
    </row>
    <row r="999" ht="14.25" customHeight="1">
      <c r="B999" s="30"/>
    </row>
    <row r="1000" ht="14.25" customHeight="1">
      <c r="B1000" s="30"/>
    </row>
  </sheetData>
  <mergeCells count="2">
    <mergeCell ref="D15:L15"/>
    <mergeCell ref="D133:L133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">
        <v>148</v>
      </c>
      <c r="F1" s="1" t="str">
        <f>RIGHT('K1 &amp; K2'!F73, LEN('K1 &amp; K2'!F73)-2) &amp; LEFT('K1 &amp; K2'!F73,2)</f>
        <v>0000110011001010101010111111</v>
      </c>
      <c r="J1" s="1" t="s">
        <v>149</v>
      </c>
      <c r="K1" s="1" t="str">
        <f>RIGHT('K1 &amp; K2'!K73, LEN('K1 &amp; K2'!K73)-2) &amp; LEFT('K1 &amp; K2'!K73,2)</f>
        <v>1010110011001111000010101010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00001100</v>
      </c>
      <c r="G4" s="27" t="str">
        <f t="shared" ref="G4:G6" si="1">BIN2HEX(F4,2)</f>
        <v>0C</v>
      </c>
      <c r="J4" s="27">
        <v>1.0</v>
      </c>
      <c r="K4" s="27" t="str">
        <f>MID(K1,(J4-1)*8+1, 8)</f>
        <v>10101100</v>
      </c>
      <c r="L4" s="27" t="str">
        <f t="shared" ref="L4:L6" si="2">BIN2HEX(K4,2)</f>
        <v>AC</v>
      </c>
    </row>
    <row r="5" ht="14.25" customHeight="1">
      <c r="B5" s="30"/>
      <c r="E5" s="27">
        <v>2.0</v>
      </c>
      <c r="F5" s="27" t="str">
        <f>MID(F1,(E5-1)*8+1, 8)</f>
        <v>11001010</v>
      </c>
      <c r="G5" s="27" t="str">
        <f t="shared" si="1"/>
        <v>CA</v>
      </c>
      <c r="J5" s="27">
        <v>2.0</v>
      </c>
      <c r="K5" s="27" t="str">
        <f>MID(K1,(J5-1)*8+1, 8)</f>
        <v>11001111</v>
      </c>
      <c r="L5" s="27" t="str">
        <f t="shared" si="2"/>
        <v>CF</v>
      </c>
    </row>
    <row r="6" ht="14.25" customHeight="1">
      <c r="B6" s="30"/>
      <c r="E6" s="27">
        <v>3.0</v>
      </c>
      <c r="F6" s="27" t="str">
        <f>MID(F1,(E6-1)*8+1, 8)</f>
        <v>10101011</v>
      </c>
      <c r="G6" s="27" t="str">
        <f t="shared" si="1"/>
        <v>AB</v>
      </c>
      <c r="J6" s="27">
        <v>3.0</v>
      </c>
      <c r="K6" s="27" t="str">
        <f>MID(K1,(J6-1)*8+1, 8)</f>
        <v>00001010</v>
      </c>
      <c r="L6" s="27" t="str">
        <f t="shared" si="2"/>
        <v>0A</v>
      </c>
    </row>
    <row r="7" ht="14.25" customHeight="1">
      <c r="B7" s="30"/>
      <c r="E7" s="27">
        <v>4.0</v>
      </c>
      <c r="F7" s="27" t="str">
        <f>MID(F1,(E7-1)*8+1, 8)</f>
        <v>1111</v>
      </c>
      <c r="G7" s="27" t="str">
        <f>BIN2HEX(F7,1)</f>
        <v>F</v>
      </c>
      <c r="J7" s="27">
        <v>4.0</v>
      </c>
      <c r="K7" s="27" t="str">
        <f>MID(K1,(J7-1)*8+1, 8)</f>
        <v>1010</v>
      </c>
      <c r="L7" s="27" t="str">
        <f>BIN2HEX(K7,1)</f>
        <v>A</v>
      </c>
    </row>
    <row r="8" ht="14.25" customHeight="1">
      <c r="B8" s="30"/>
    </row>
    <row r="9" ht="14.25" customHeight="1">
      <c r="A9" s="1" t="s">
        <v>152</v>
      </c>
      <c r="B9" s="1" t="str">
        <f>F1 &amp; K1</f>
        <v>00001100110010101010101111111010110011001111000010101010</v>
      </c>
    </row>
    <row r="10" ht="14.25" customHeight="1">
      <c r="B10" s="30"/>
    </row>
    <row r="11" ht="14.25" customHeight="1">
      <c r="A11" s="1" t="s">
        <v>153</v>
      </c>
    </row>
    <row r="12" ht="14.25" customHeight="1">
      <c r="A12" s="1" t="str">
        <f>MID(B9,Constanst!$E$3, 1)</f>
        <v>0</v>
      </c>
      <c r="B12" s="1" t="str">
        <f t="shared" ref="B12:B57" si="3">A12&amp;B13</f>
        <v>010101011111110010001010101101001010110011010010</v>
      </c>
    </row>
    <row r="13" ht="14.25" customHeight="1">
      <c r="A13" s="1" t="str">
        <f>MID(B9, Constanst!$E$4, 1)</f>
        <v>1</v>
      </c>
      <c r="B13" s="1" t="str">
        <f t="shared" si="3"/>
        <v>10101011111110010001010101101001010110011010010</v>
      </c>
    </row>
    <row r="14" ht="14.25" customHeight="1">
      <c r="A14" s="1" t="str">
        <f>MID(B9, Constanst!$E$5, 1)</f>
        <v>0</v>
      </c>
      <c r="B14" s="1" t="str">
        <f t="shared" si="3"/>
        <v>0101011111110010001010101101001010110011010010</v>
      </c>
    </row>
    <row r="15" ht="14.25" customHeight="1">
      <c r="A15" s="1" t="str">
        <f>MID(B9, Constanst!$E$6, 1)</f>
        <v>1</v>
      </c>
      <c r="B15" s="1" t="str">
        <f t="shared" si="3"/>
        <v>101011111110010001010101101001010110011010010</v>
      </c>
    </row>
    <row r="16" ht="14.25" customHeight="1">
      <c r="A16" s="1" t="str">
        <f>MID(B9, Constanst!$E$7, 1)</f>
        <v>0</v>
      </c>
      <c r="B16" s="1" t="str">
        <f t="shared" si="3"/>
        <v>01011111110010001010101101001010110011010010</v>
      </c>
    </row>
    <row r="17" ht="14.25" customHeight="1">
      <c r="A17" s="1" t="str">
        <f>MID(B9, Constanst!$E$8, 1)</f>
        <v>1</v>
      </c>
      <c r="B17" s="1" t="str">
        <f t="shared" si="3"/>
        <v>1011111110010001010101101001010110011010010</v>
      </c>
    </row>
    <row r="18" ht="14.25" customHeight="1">
      <c r="A18" s="1" t="str">
        <f>MID(B9, Constanst!$E$9, 1)</f>
        <v>0</v>
      </c>
      <c r="B18" s="1" t="str">
        <f t="shared" si="3"/>
        <v>011111110010001010101101001010110011010010</v>
      </c>
    </row>
    <row r="19" ht="14.25" customHeight="1">
      <c r="A19" s="1" t="str">
        <f>MID(B9, Constanst!$E$10, 1)</f>
        <v>1</v>
      </c>
      <c r="B19" s="1" t="str">
        <f t="shared" si="3"/>
        <v>11111110010001010101101001010110011010010</v>
      </c>
    </row>
    <row r="20" ht="14.25" customHeight="1">
      <c r="A20" s="1" t="str">
        <f>MID(B9, Constanst!$E$11, 1)</f>
        <v>1</v>
      </c>
      <c r="B20" s="1" t="str">
        <f t="shared" si="3"/>
        <v>1111110010001010101101001010110011010010</v>
      </c>
    </row>
    <row r="21" ht="14.25" customHeight="1">
      <c r="A21" s="1" t="str">
        <f>MID(B9, Constanst!$E$12, 1)</f>
        <v>1</v>
      </c>
      <c r="B21" s="1" t="str">
        <f t="shared" si="3"/>
        <v>111110010001010101101001010110011010010</v>
      </c>
    </row>
    <row r="22" ht="14.25" customHeight="1">
      <c r="A22" s="1" t="str">
        <f>MID(B9, Constanst!$E$13, 1)</f>
        <v>1</v>
      </c>
      <c r="B22" s="1" t="str">
        <f t="shared" si="3"/>
        <v>11110010001010101101001010110011010010</v>
      </c>
    </row>
    <row r="23" ht="14.25" customHeight="1">
      <c r="A23" s="1" t="str">
        <f>MID(B9, Constanst!$E$14, 1)</f>
        <v>1</v>
      </c>
      <c r="B23" s="1" t="str">
        <f t="shared" si="3"/>
        <v>1110010001010101101001010110011010010</v>
      </c>
    </row>
    <row r="24" ht="14.25" customHeight="1">
      <c r="A24" s="1" t="str">
        <f>MID(B9, Constanst!$E$15, 1)</f>
        <v>1</v>
      </c>
      <c r="B24" s="1" t="str">
        <f t="shared" si="3"/>
        <v>110010001010101101001010110011010010</v>
      </c>
    </row>
    <row r="25" ht="14.25" customHeight="1">
      <c r="A25" s="1" t="str">
        <f>MID(B9, Constanst!$E$16, 1)</f>
        <v>1</v>
      </c>
      <c r="B25" s="1" t="str">
        <f t="shared" si="3"/>
        <v>10010001010101101001010110011010010</v>
      </c>
    </row>
    <row r="26" ht="14.25" customHeight="1">
      <c r="A26" s="1" t="str">
        <f>MID(B9, Constanst!$E$17, 1)</f>
        <v>0</v>
      </c>
      <c r="B26" s="1" t="str">
        <f t="shared" si="3"/>
        <v>0010001010101101001010110011010010</v>
      </c>
    </row>
    <row r="27" ht="14.25" customHeight="1">
      <c r="A27" s="1" t="str">
        <f>MID(B9, Constanst!$E$18, 1)</f>
        <v>0</v>
      </c>
      <c r="B27" s="1" t="str">
        <f t="shared" si="3"/>
        <v>010001010101101001010110011010010</v>
      </c>
    </row>
    <row r="28" ht="14.25" customHeight="1">
      <c r="A28" s="1" t="str">
        <f>MID(B9, Constanst!$E$19, 1)</f>
        <v>1</v>
      </c>
      <c r="B28" s="1" t="str">
        <f t="shared" si="3"/>
        <v>10001010101101001010110011010010</v>
      </c>
    </row>
    <row r="29" ht="14.25" customHeight="1">
      <c r="A29" s="1" t="str">
        <f>MID(B9, Constanst!$E$20, 1)</f>
        <v>0</v>
      </c>
      <c r="B29" s="1" t="str">
        <f t="shared" si="3"/>
        <v>0001010101101001010110011010010</v>
      </c>
    </row>
    <row r="30" ht="14.25" customHeight="1">
      <c r="A30" s="1" t="str">
        <f>MID(B9, Constanst!$E$21, 1)</f>
        <v>0</v>
      </c>
      <c r="B30" s="1" t="str">
        <f t="shared" si="3"/>
        <v>001010101101001010110011010010</v>
      </c>
    </row>
    <row r="31" ht="14.25" customHeight="1">
      <c r="A31" s="1" t="str">
        <f>MID(B9, Constanst!$E$22, 1)</f>
        <v>0</v>
      </c>
      <c r="B31" s="1" t="str">
        <f t="shared" si="3"/>
        <v>01010101101001010110011010010</v>
      </c>
    </row>
    <row r="32" ht="14.25" customHeight="1">
      <c r="A32" s="1" t="str">
        <f>MID(B9, Constanst!$E$23, 1)</f>
        <v>1</v>
      </c>
      <c r="B32" s="1" t="str">
        <f t="shared" si="3"/>
        <v>1010101101001010110011010010</v>
      </c>
    </row>
    <row r="33" ht="14.25" customHeight="1">
      <c r="A33" s="1" t="str">
        <f>MID(B9, Constanst!$E$24, 1)</f>
        <v>0</v>
      </c>
      <c r="B33" s="1" t="str">
        <f t="shared" si="3"/>
        <v>010101101001010110011010010</v>
      </c>
    </row>
    <row r="34" ht="14.25" customHeight="1">
      <c r="A34" s="1" t="str">
        <f>MID(B9, Constanst!$E$25, 1)</f>
        <v>1</v>
      </c>
      <c r="B34" s="1" t="str">
        <f t="shared" si="3"/>
        <v>10101101001010110011010010</v>
      </c>
    </row>
    <row r="35" ht="14.25" customHeight="1">
      <c r="A35" s="1" t="str">
        <f>MID(B9, Constanst!$E$26, 1)</f>
        <v>0</v>
      </c>
      <c r="B35" s="1" t="str">
        <f t="shared" si="3"/>
        <v>0101101001010110011010010</v>
      </c>
    </row>
    <row r="36" ht="14.25" customHeight="1">
      <c r="A36" s="1" t="str">
        <f>MID(B9, Constanst!$E$27, 1)</f>
        <v>1</v>
      </c>
      <c r="B36" s="1" t="str">
        <f t="shared" si="3"/>
        <v>101101001010110011010010</v>
      </c>
    </row>
    <row r="37" ht="14.25" customHeight="1">
      <c r="A37" s="1" t="str">
        <f>MID(B9, Constanst!$E$28, 1)</f>
        <v>0</v>
      </c>
      <c r="B37" s="1" t="str">
        <f t="shared" si="3"/>
        <v>01101001010110011010010</v>
      </c>
    </row>
    <row r="38" ht="14.25" customHeight="1">
      <c r="A38" s="1" t="str">
        <f>MID(B9, Constanst!$E$29, 1)</f>
        <v>1</v>
      </c>
      <c r="B38" s="1" t="str">
        <f t="shared" si="3"/>
        <v>1101001010110011010010</v>
      </c>
    </row>
    <row r="39" ht="14.25" customHeight="1">
      <c r="A39" s="1" t="str">
        <f>MID(B9, Constanst!$E$30, 1)</f>
        <v>1</v>
      </c>
      <c r="B39" s="1" t="str">
        <f t="shared" si="3"/>
        <v>101001010110011010010</v>
      </c>
    </row>
    <row r="40" ht="14.25" customHeight="1">
      <c r="A40" s="1" t="str">
        <f>MID(B9, Constanst!$E$31, 1)</f>
        <v>0</v>
      </c>
      <c r="B40" s="1" t="str">
        <f t="shared" si="3"/>
        <v>01001010110011010010</v>
      </c>
    </row>
    <row r="41" ht="14.25" customHeight="1">
      <c r="A41" s="1" t="str">
        <f>MID(B9, Constanst!$E$32, 1)</f>
        <v>1</v>
      </c>
      <c r="B41" s="1" t="str">
        <f t="shared" si="3"/>
        <v>1001010110011010010</v>
      </c>
    </row>
    <row r="42" ht="14.25" customHeight="1">
      <c r="A42" s="1" t="str">
        <f>MID(B9, Constanst!$E$33, 1)</f>
        <v>0</v>
      </c>
      <c r="B42" s="1" t="str">
        <f t="shared" si="3"/>
        <v>001010110011010010</v>
      </c>
    </row>
    <row r="43" ht="14.25" customHeight="1">
      <c r="A43" s="1" t="str">
        <f>MID(B9, Constanst!$E$34, 1)</f>
        <v>0</v>
      </c>
      <c r="B43" s="1" t="str">
        <f t="shared" si="3"/>
        <v>01010110011010010</v>
      </c>
    </row>
    <row r="44" ht="14.25" customHeight="1">
      <c r="A44" s="1" t="str">
        <f>MID(B9, Constanst!$E$35, 1)</f>
        <v>1</v>
      </c>
      <c r="B44" s="1" t="str">
        <f t="shared" si="3"/>
        <v>1010110011010010</v>
      </c>
    </row>
    <row r="45" ht="14.25" customHeight="1">
      <c r="A45" s="1" t="str">
        <f>MID(B9, Constanst!$E$36, 1)</f>
        <v>0</v>
      </c>
      <c r="B45" s="1" t="str">
        <f t="shared" si="3"/>
        <v>010110011010010</v>
      </c>
    </row>
    <row r="46" ht="14.25" customHeight="1">
      <c r="A46" s="1" t="str">
        <f>MID(B9, Constanst!$E$37, 1)</f>
        <v>1</v>
      </c>
      <c r="B46" s="1" t="str">
        <f t="shared" si="3"/>
        <v>10110011010010</v>
      </c>
    </row>
    <row r="47" ht="14.25" customHeight="1">
      <c r="A47" s="1" t="str">
        <f>MID(B9, Constanst!$E$38, 1)</f>
        <v>0</v>
      </c>
      <c r="B47" s="1" t="str">
        <f t="shared" si="3"/>
        <v>0110011010010</v>
      </c>
    </row>
    <row r="48" ht="14.25" customHeight="1">
      <c r="A48" s="1" t="str">
        <f>MID(B9, Constanst!$E$39, 1)</f>
        <v>1</v>
      </c>
      <c r="B48" s="1" t="str">
        <f t="shared" si="3"/>
        <v>110011010010</v>
      </c>
    </row>
    <row r="49" ht="14.25" customHeight="1">
      <c r="A49" s="1" t="str">
        <f>MID(B9, Constanst!$E$40, 1)</f>
        <v>1</v>
      </c>
      <c r="B49" s="1" t="str">
        <f t="shared" si="3"/>
        <v>10011010010</v>
      </c>
    </row>
    <row r="50" ht="14.25" customHeight="1">
      <c r="A50" s="1" t="str">
        <f>MID(B9, Constanst!$E$41, 1)</f>
        <v>0</v>
      </c>
      <c r="B50" s="1" t="str">
        <f t="shared" si="3"/>
        <v>0011010010</v>
      </c>
    </row>
    <row r="51" ht="14.25" customHeight="1">
      <c r="A51" s="1" t="str">
        <f>MID(B9, Constanst!$E$42, 1)</f>
        <v>0</v>
      </c>
      <c r="B51" s="1" t="str">
        <f t="shared" si="3"/>
        <v>011010010</v>
      </c>
    </row>
    <row r="52" ht="14.25" customHeight="1">
      <c r="A52" s="1" t="str">
        <f>MID(B9, Constanst!$E$43, 1)</f>
        <v>1</v>
      </c>
      <c r="B52" s="1" t="str">
        <f t="shared" si="3"/>
        <v>11010010</v>
      </c>
    </row>
    <row r="53" ht="14.25" customHeight="1">
      <c r="A53" s="1" t="str">
        <f>MID(B9, Constanst!$E$44, 1)</f>
        <v>1</v>
      </c>
      <c r="B53" s="1" t="str">
        <f t="shared" si="3"/>
        <v>1010010</v>
      </c>
    </row>
    <row r="54" ht="14.25" customHeight="1">
      <c r="A54" s="1" t="str">
        <f>MID(B9, Constanst!$E$45, 1)</f>
        <v>0</v>
      </c>
      <c r="B54" s="1" t="str">
        <f t="shared" si="3"/>
        <v>010010</v>
      </c>
    </row>
    <row r="55" ht="14.25" customHeight="1">
      <c r="A55" s="1" t="str">
        <f>MID(B9, Constanst!$E$46, 1)</f>
        <v>1</v>
      </c>
      <c r="B55" s="1" t="str">
        <f t="shared" si="3"/>
        <v>10010</v>
      </c>
    </row>
    <row r="56" ht="14.25" customHeight="1">
      <c r="A56" s="1" t="str">
        <f>MID(B9, Constanst!$E$47, 1)</f>
        <v>0</v>
      </c>
      <c r="B56" s="1" t="str">
        <f t="shared" si="3"/>
        <v>0010</v>
      </c>
    </row>
    <row r="57" ht="14.25" customHeight="1">
      <c r="A57" s="1" t="str">
        <f>MID(B9, Constanst!$E$48, 1)</f>
        <v>0</v>
      </c>
      <c r="B57" s="1" t="str">
        <f t="shared" si="3"/>
        <v>010</v>
      </c>
    </row>
    <row r="58" ht="14.25" customHeight="1">
      <c r="A58" s="1" t="str">
        <f>MID(B9, Constanst!$E$49, 1)</f>
        <v>1</v>
      </c>
      <c r="B58" s="1" t="str">
        <f>A58&amp;A59</f>
        <v>10</v>
      </c>
    </row>
    <row r="59" ht="14.25" customHeight="1">
      <c r="A59" s="1" t="str">
        <f>MID(B9, Constanst!$E$50, 1)</f>
        <v>0</v>
      </c>
    </row>
    <row r="60" ht="14.25" customHeight="1">
      <c r="B60" s="30"/>
    </row>
    <row r="61" ht="14.25" customHeight="1">
      <c r="A61" s="28" t="s">
        <v>154</v>
      </c>
      <c r="B61" s="28"/>
      <c r="C61" s="28"/>
      <c r="D61" s="29" t="str">
        <f>B12</f>
        <v>010101011111110010001010101101001010110011010010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01010101</v>
      </c>
      <c r="C64" s="26" t="str">
        <f t="shared" ref="C64:C69" si="5">BIN2HEX(B64,2)</f>
        <v>55</v>
      </c>
    </row>
    <row r="65" ht="14.25" customHeight="1">
      <c r="A65" s="26">
        <v>2.0</v>
      </c>
      <c r="B65" s="26" t="str">
        <f t="shared" si="4"/>
        <v>11111100</v>
      </c>
      <c r="C65" s="26" t="str">
        <f t="shared" si="5"/>
        <v>FC</v>
      </c>
    </row>
    <row r="66" ht="14.25" customHeight="1">
      <c r="A66" s="26">
        <v>3.0</v>
      </c>
      <c r="B66" s="26" t="str">
        <f t="shared" si="4"/>
        <v>10001010</v>
      </c>
      <c r="C66" s="26" t="str">
        <f t="shared" si="5"/>
        <v>8A</v>
      </c>
    </row>
    <row r="67" ht="14.25" customHeight="1">
      <c r="A67" s="26">
        <v>4.0</v>
      </c>
      <c r="B67" s="26" t="str">
        <f t="shared" si="4"/>
        <v>10110100</v>
      </c>
      <c r="C67" s="26" t="str">
        <f t="shared" si="5"/>
        <v>B4</v>
      </c>
    </row>
    <row r="68" ht="14.25" customHeight="1">
      <c r="A68" s="26">
        <v>5.0</v>
      </c>
      <c r="B68" s="26" t="str">
        <f t="shared" si="4"/>
        <v>10101100</v>
      </c>
      <c r="C68" s="26" t="str">
        <f t="shared" si="5"/>
        <v>AC</v>
      </c>
    </row>
    <row r="69" ht="14.25" customHeight="1">
      <c r="A69" s="26">
        <v>6.0</v>
      </c>
      <c r="B69" s="26" t="str">
        <f t="shared" si="4"/>
        <v>11010010</v>
      </c>
      <c r="C69" s="26" t="str">
        <f t="shared" si="5"/>
        <v>D2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>M15&amp;"="</f>
        <v>C4=</v>
      </c>
      <c r="F1" s="1" t="str">
        <f>RIGHT('K3'!F1, LEN('K3'!F1)-2) &amp; LEFT('K3'!F1,2)</f>
        <v>0011001100101010101011111100</v>
      </c>
      <c r="J1" s="1" t="str">
        <f>N15&amp;"="</f>
        <v>D4=</v>
      </c>
      <c r="K1" s="1" t="str">
        <f>RIGHT('K3'!K1, LEN('K3'!K1)-2) &amp; LEFT('K3'!K1,2)</f>
        <v>1011001100111100001010101010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00110011</v>
      </c>
      <c r="G4" s="27" t="str">
        <f t="shared" ref="G4:G6" si="1">BIN2HEX(F4,2)</f>
        <v>33</v>
      </c>
      <c r="J4" s="27">
        <v>1.0</v>
      </c>
      <c r="K4" s="27" t="str">
        <f>MID(K1,(J4-1)*8+1, 8)</f>
        <v>10110011</v>
      </c>
      <c r="L4" s="27" t="str">
        <f t="shared" ref="L4:L6" si="2">BIN2HEX(K4,2)</f>
        <v>B3</v>
      </c>
    </row>
    <row r="5" ht="14.25" customHeight="1">
      <c r="B5" s="30"/>
      <c r="E5" s="27">
        <v>2.0</v>
      </c>
      <c r="F5" s="27" t="str">
        <f>MID(F1,(E5-1)*8+1, 8)</f>
        <v>00101010</v>
      </c>
      <c r="G5" s="27" t="str">
        <f t="shared" si="1"/>
        <v>2A</v>
      </c>
      <c r="J5" s="27">
        <v>2.0</v>
      </c>
      <c r="K5" s="27" t="str">
        <f>MID(K1,(J5-1)*8+1, 8)</f>
        <v>00111100</v>
      </c>
      <c r="L5" s="27" t="str">
        <f t="shared" si="2"/>
        <v>3C</v>
      </c>
    </row>
    <row r="6" ht="14.25" customHeight="1">
      <c r="B6" s="30"/>
      <c r="E6" s="27">
        <v>3.0</v>
      </c>
      <c r="F6" s="27" t="str">
        <f>MID(F1,(E6-1)*8+1, 8)</f>
        <v>10101111</v>
      </c>
      <c r="G6" s="27" t="str">
        <f t="shared" si="1"/>
        <v>AF</v>
      </c>
      <c r="J6" s="27">
        <v>3.0</v>
      </c>
      <c r="K6" s="27" t="str">
        <f>MID(K1,(J6-1)*8+1, 8)</f>
        <v>00101010</v>
      </c>
      <c r="L6" s="27" t="str">
        <f t="shared" si="2"/>
        <v>2A</v>
      </c>
    </row>
    <row r="7" ht="14.25" customHeight="1">
      <c r="B7" s="30"/>
      <c r="E7" s="27">
        <v>4.0</v>
      </c>
      <c r="F7" s="27" t="str">
        <f>MID(F1,(E7-1)*8+1, 8)</f>
        <v>1100</v>
      </c>
      <c r="G7" s="27" t="str">
        <f>BIN2HEX(F7,1)</f>
        <v>C</v>
      </c>
      <c r="J7" s="27">
        <v>4.0</v>
      </c>
      <c r="K7" s="27" t="str">
        <f>MID(K1,(J7-1)*8+1, 8)</f>
        <v>1010</v>
      </c>
      <c r="L7" s="27" t="str">
        <f>BIN2HEX(K7,1)</f>
        <v>A</v>
      </c>
    </row>
    <row r="8" ht="14.25" customHeight="1">
      <c r="B8" s="30"/>
    </row>
    <row r="9" ht="14.25" customHeight="1">
      <c r="A9" s="1" t="str">
        <f>M15&amp;N15&amp;"="</f>
        <v>C4D4=</v>
      </c>
      <c r="B9" s="1" t="str">
        <f>F1 &amp; K1</f>
        <v>00110011001010101010111111001011001100111100001010101010</v>
      </c>
    </row>
    <row r="10" ht="14.25" customHeight="1">
      <c r="B10" s="30"/>
    </row>
    <row r="11" ht="14.25" customHeight="1">
      <c r="A11" s="1" t="str">
        <f>L15&amp;"=PC2("&amp;M15&amp;N15&amp;")"</f>
        <v>K4=PC2(C4D4)</v>
      </c>
    </row>
    <row r="12" ht="14.25" customHeight="1">
      <c r="A12" s="1" t="str">
        <f>MID(B9,Constanst!$E$3, 1)</f>
        <v>0</v>
      </c>
      <c r="B12" s="1" t="str">
        <f t="shared" ref="B12:B57" si="3">A12&amp;B13</f>
        <v>011100101010110111010010101011011000011001010111</v>
      </c>
    </row>
    <row r="13" ht="14.25" customHeight="1">
      <c r="A13" s="1" t="str">
        <f>MID(B9, Constanst!$E$4, 1)</f>
        <v>1</v>
      </c>
      <c r="B13" s="1" t="str">
        <f t="shared" si="3"/>
        <v>11100101010110111010010101011011000011001010111</v>
      </c>
    </row>
    <row r="14" ht="14.25" customHeight="1">
      <c r="A14" s="1" t="str">
        <f>MID(B9, Constanst!$E$5, 1)</f>
        <v>1</v>
      </c>
      <c r="B14" s="1" t="str">
        <f t="shared" si="3"/>
        <v>1100101010110111010010101011011000011001010111</v>
      </c>
    </row>
    <row r="15" ht="14.25" customHeight="1">
      <c r="A15" s="1" t="str">
        <f>MID(B9, Constanst!$E$6, 1)</f>
        <v>1</v>
      </c>
      <c r="B15" s="1" t="str">
        <f t="shared" si="3"/>
        <v>100101010110111010010101011011000011001010111</v>
      </c>
      <c r="L15" s="1" t="s">
        <v>9</v>
      </c>
      <c r="M15" s="1" t="s">
        <v>155</v>
      </c>
      <c r="N15" s="1" t="s">
        <v>156</v>
      </c>
    </row>
    <row r="16" ht="14.25" customHeight="1">
      <c r="A16" s="1" t="str">
        <f>MID(B9, Constanst!$E$7, 1)</f>
        <v>0</v>
      </c>
      <c r="B16" s="1" t="str">
        <f t="shared" si="3"/>
        <v>00101010110111010010101011011000011001010111</v>
      </c>
    </row>
    <row r="17" ht="14.25" customHeight="1">
      <c r="A17" s="1" t="str">
        <f>MID(B9, Constanst!$E$8, 1)</f>
        <v>0</v>
      </c>
      <c r="B17" s="1" t="str">
        <f t="shared" si="3"/>
        <v>0101010110111010010101011011000011001010111</v>
      </c>
    </row>
    <row r="18" ht="14.25" customHeight="1">
      <c r="A18" s="1" t="str">
        <f>MID(B9, Constanst!$E$9, 1)</f>
        <v>1</v>
      </c>
      <c r="B18" s="1" t="str">
        <f t="shared" si="3"/>
        <v>101010110111010010101011011000011001010111</v>
      </c>
    </row>
    <row r="19" ht="14.25" customHeight="1">
      <c r="A19" s="1" t="str">
        <f>MID(B9, Constanst!$E$10, 1)</f>
        <v>0</v>
      </c>
      <c r="B19" s="1" t="str">
        <f t="shared" si="3"/>
        <v>01010110111010010101011011000011001010111</v>
      </c>
    </row>
    <row r="20" ht="14.25" customHeight="1">
      <c r="A20" s="1" t="str">
        <f>MID(B9, Constanst!$E$11, 1)</f>
        <v>1</v>
      </c>
      <c r="B20" s="1" t="str">
        <f t="shared" si="3"/>
        <v>1010110111010010101011011000011001010111</v>
      </c>
    </row>
    <row r="21" ht="14.25" customHeight="1">
      <c r="A21" s="1" t="str">
        <f>MID(B9, Constanst!$E$12, 1)</f>
        <v>0</v>
      </c>
      <c r="B21" s="1" t="str">
        <f t="shared" si="3"/>
        <v>010110111010010101011011000011001010111</v>
      </c>
    </row>
    <row r="22" ht="14.25" customHeight="1">
      <c r="A22" s="1" t="str">
        <f>MID(B9, Constanst!$E$13, 1)</f>
        <v>1</v>
      </c>
      <c r="B22" s="1" t="str">
        <f t="shared" si="3"/>
        <v>10110111010010101011011000011001010111</v>
      </c>
    </row>
    <row r="23" ht="14.25" customHeight="1">
      <c r="A23" s="1" t="str">
        <f>MID(B9, Constanst!$E$14, 1)</f>
        <v>0</v>
      </c>
      <c r="B23" s="1" t="str">
        <f t="shared" si="3"/>
        <v>0110111010010101011011000011001010111</v>
      </c>
    </row>
    <row r="24" ht="14.25" customHeight="1">
      <c r="A24" s="1" t="str">
        <f>MID(B9, Constanst!$E$15, 1)</f>
        <v>1</v>
      </c>
      <c r="B24" s="1" t="str">
        <f t="shared" si="3"/>
        <v>110111010010101011011000011001010111</v>
      </c>
    </row>
    <row r="25" ht="14.25" customHeight="1">
      <c r="A25" s="1" t="str">
        <f>MID(B9, Constanst!$E$16, 1)</f>
        <v>1</v>
      </c>
      <c r="B25" s="1" t="str">
        <f t="shared" si="3"/>
        <v>10111010010101011011000011001010111</v>
      </c>
    </row>
    <row r="26" ht="14.25" customHeight="1">
      <c r="A26" s="1" t="str">
        <f>MID(B9, Constanst!$E$17, 1)</f>
        <v>0</v>
      </c>
      <c r="B26" s="1" t="str">
        <f t="shared" si="3"/>
        <v>0111010010101011011000011001010111</v>
      </c>
    </row>
    <row r="27" ht="14.25" customHeight="1">
      <c r="A27" s="1" t="str">
        <f>MID(B9, Constanst!$E$18, 1)</f>
        <v>1</v>
      </c>
      <c r="B27" s="1" t="str">
        <f t="shared" si="3"/>
        <v>111010010101011011000011001010111</v>
      </c>
    </row>
    <row r="28" ht="14.25" customHeight="1">
      <c r="A28" s="1" t="str">
        <f>MID(B9, Constanst!$E$19, 1)</f>
        <v>1</v>
      </c>
      <c r="B28" s="1" t="str">
        <f t="shared" si="3"/>
        <v>11010010101011011000011001010111</v>
      </c>
    </row>
    <row r="29" ht="14.25" customHeight="1">
      <c r="A29" s="1" t="str">
        <f>MID(B9, Constanst!$E$20, 1)</f>
        <v>1</v>
      </c>
      <c r="B29" s="1" t="str">
        <f t="shared" si="3"/>
        <v>1010010101011011000011001010111</v>
      </c>
    </row>
    <row r="30" ht="14.25" customHeight="1">
      <c r="A30" s="1" t="str">
        <f>MID(B9, Constanst!$E$21, 1)</f>
        <v>0</v>
      </c>
      <c r="B30" s="1" t="str">
        <f t="shared" si="3"/>
        <v>010010101011011000011001010111</v>
      </c>
    </row>
    <row r="31" ht="14.25" customHeight="1">
      <c r="A31" s="1" t="str">
        <f>MID(B9, Constanst!$E$22, 1)</f>
        <v>1</v>
      </c>
      <c r="B31" s="1" t="str">
        <f t="shared" si="3"/>
        <v>10010101011011000011001010111</v>
      </c>
    </row>
    <row r="32" ht="14.25" customHeight="1">
      <c r="A32" s="1" t="str">
        <f>MID(B9, Constanst!$E$23, 1)</f>
        <v>0</v>
      </c>
      <c r="B32" s="1" t="str">
        <f t="shared" si="3"/>
        <v>0010101011011000011001010111</v>
      </c>
    </row>
    <row r="33" ht="14.25" customHeight="1">
      <c r="A33" s="1" t="str">
        <f>MID(B9, Constanst!$E$24, 1)</f>
        <v>0</v>
      </c>
      <c r="B33" s="1" t="str">
        <f t="shared" si="3"/>
        <v>010101011011000011001010111</v>
      </c>
    </row>
    <row r="34" ht="14.25" customHeight="1">
      <c r="A34" s="1" t="str">
        <f>MID(B9, Constanst!$E$25, 1)</f>
        <v>1</v>
      </c>
      <c r="B34" s="1" t="str">
        <f t="shared" si="3"/>
        <v>10101011011000011001010111</v>
      </c>
    </row>
    <row r="35" ht="14.25" customHeight="1">
      <c r="A35" s="1" t="str">
        <f>MID(B9, Constanst!$E$26, 1)</f>
        <v>0</v>
      </c>
      <c r="B35" s="1" t="str">
        <f t="shared" si="3"/>
        <v>0101011011000011001010111</v>
      </c>
    </row>
    <row r="36" ht="14.25" customHeight="1">
      <c r="A36" s="1" t="str">
        <f>MID(B9, Constanst!$E$27, 1)</f>
        <v>1</v>
      </c>
      <c r="B36" s="1" t="str">
        <f t="shared" si="3"/>
        <v>101011011000011001010111</v>
      </c>
    </row>
    <row r="37" ht="14.25" customHeight="1">
      <c r="A37" s="1" t="str">
        <f>MID(B9, Constanst!$E$28, 1)</f>
        <v>0</v>
      </c>
      <c r="B37" s="1" t="str">
        <f t="shared" si="3"/>
        <v>01011011000011001010111</v>
      </c>
    </row>
    <row r="38" ht="14.25" customHeight="1">
      <c r="A38" s="1" t="str">
        <f>MID(B9, Constanst!$E$29, 1)</f>
        <v>1</v>
      </c>
      <c r="B38" s="1" t="str">
        <f t="shared" si="3"/>
        <v>1011011000011001010111</v>
      </c>
    </row>
    <row r="39" ht="14.25" customHeight="1">
      <c r="A39" s="1" t="str">
        <f>MID(B9, Constanst!$E$30, 1)</f>
        <v>0</v>
      </c>
      <c r="B39" s="1" t="str">
        <f t="shared" si="3"/>
        <v>011011000011001010111</v>
      </c>
    </row>
    <row r="40" ht="14.25" customHeight="1">
      <c r="A40" s="1" t="str">
        <f>MID(B9, Constanst!$E$31, 1)</f>
        <v>1</v>
      </c>
      <c r="B40" s="1" t="str">
        <f t="shared" si="3"/>
        <v>11011000011001010111</v>
      </c>
    </row>
    <row r="41" ht="14.25" customHeight="1">
      <c r="A41" s="1" t="str">
        <f>MID(B9, Constanst!$E$32, 1)</f>
        <v>1</v>
      </c>
      <c r="B41" s="1" t="str">
        <f t="shared" si="3"/>
        <v>1011000011001010111</v>
      </c>
    </row>
    <row r="42" ht="14.25" customHeight="1">
      <c r="A42" s="1" t="str">
        <f>MID(B9, Constanst!$E$33, 1)</f>
        <v>0</v>
      </c>
      <c r="B42" s="1" t="str">
        <f t="shared" si="3"/>
        <v>011000011001010111</v>
      </c>
    </row>
    <row r="43" ht="14.25" customHeight="1">
      <c r="A43" s="1" t="str">
        <f>MID(B9, Constanst!$E$34, 1)</f>
        <v>1</v>
      </c>
      <c r="B43" s="1" t="str">
        <f t="shared" si="3"/>
        <v>11000011001010111</v>
      </c>
    </row>
    <row r="44" ht="14.25" customHeight="1">
      <c r="A44" s="1" t="str">
        <f>MID(B9, Constanst!$E$35, 1)</f>
        <v>1</v>
      </c>
      <c r="B44" s="1" t="str">
        <f t="shared" si="3"/>
        <v>1000011001010111</v>
      </c>
    </row>
    <row r="45" ht="14.25" customHeight="1">
      <c r="A45" s="1" t="str">
        <f>MID(B9, Constanst!$E$36, 1)</f>
        <v>0</v>
      </c>
      <c r="B45" s="1" t="str">
        <f t="shared" si="3"/>
        <v>000011001010111</v>
      </c>
    </row>
    <row r="46" ht="14.25" customHeight="1">
      <c r="A46" s="1" t="str">
        <f>MID(B9, Constanst!$E$37, 1)</f>
        <v>0</v>
      </c>
      <c r="B46" s="1" t="str">
        <f t="shared" si="3"/>
        <v>00011001010111</v>
      </c>
    </row>
    <row r="47" ht="14.25" customHeight="1">
      <c r="A47" s="1" t="str">
        <f>MID(B9, Constanst!$E$38, 1)</f>
        <v>0</v>
      </c>
      <c r="B47" s="1" t="str">
        <f t="shared" si="3"/>
        <v>0011001010111</v>
      </c>
    </row>
    <row r="48" ht="14.25" customHeight="1">
      <c r="A48" s="1" t="str">
        <f>MID(B9, Constanst!$E$39, 1)</f>
        <v>0</v>
      </c>
      <c r="B48" s="1" t="str">
        <f t="shared" si="3"/>
        <v>011001010111</v>
      </c>
    </row>
    <row r="49" ht="14.25" customHeight="1">
      <c r="A49" s="1" t="str">
        <f>MID(B9, Constanst!$E$40, 1)</f>
        <v>1</v>
      </c>
      <c r="B49" s="1" t="str">
        <f t="shared" si="3"/>
        <v>11001010111</v>
      </c>
    </row>
    <row r="50" ht="14.25" customHeight="1">
      <c r="A50" s="1" t="str">
        <f>MID(B9, Constanst!$E$41, 1)</f>
        <v>1</v>
      </c>
      <c r="B50" s="1" t="str">
        <f t="shared" si="3"/>
        <v>1001010111</v>
      </c>
    </row>
    <row r="51" ht="14.25" customHeight="1">
      <c r="A51" s="1" t="str">
        <f>MID(B9, Constanst!$E$42, 1)</f>
        <v>0</v>
      </c>
      <c r="B51" s="1" t="str">
        <f t="shared" si="3"/>
        <v>001010111</v>
      </c>
    </row>
    <row r="52" ht="14.25" customHeight="1">
      <c r="A52" s="1" t="str">
        <f>MID(B9, Constanst!$E$43, 1)</f>
        <v>0</v>
      </c>
      <c r="B52" s="1" t="str">
        <f t="shared" si="3"/>
        <v>01010111</v>
      </c>
    </row>
    <row r="53" ht="14.25" customHeight="1">
      <c r="A53" s="1" t="str">
        <f>MID(B9, Constanst!$E$44, 1)</f>
        <v>1</v>
      </c>
      <c r="B53" s="1" t="str">
        <f t="shared" si="3"/>
        <v>1010111</v>
      </c>
    </row>
    <row r="54" ht="14.25" customHeight="1">
      <c r="A54" s="1" t="str">
        <f>MID(B9, Constanst!$E$45, 1)</f>
        <v>0</v>
      </c>
      <c r="B54" s="1" t="str">
        <f t="shared" si="3"/>
        <v>010111</v>
      </c>
    </row>
    <row r="55" ht="14.25" customHeight="1">
      <c r="A55" s="1" t="str">
        <f>MID(B9, Constanst!$E$46, 1)</f>
        <v>1</v>
      </c>
      <c r="B55" s="1" t="str">
        <f t="shared" si="3"/>
        <v>10111</v>
      </c>
    </row>
    <row r="56" ht="14.25" customHeight="1">
      <c r="A56" s="1" t="str">
        <f>MID(B9, Constanst!$E$47, 1)</f>
        <v>0</v>
      </c>
      <c r="B56" s="1" t="str">
        <f t="shared" si="3"/>
        <v>0111</v>
      </c>
    </row>
    <row r="57" ht="14.25" customHeight="1">
      <c r="A57" s="1" t="str">
        <f>MID(B9, Constanst!$E$48, 1)</f>
        <v>1</v>
      </c>
      <c r="B57" s="1" t="str">
        <f t="shared" si="3"/>
        <v>111</v>
      </c>
    </row>
    <row r="58" ht="14.25" customHeight="1">
      <c r="A58" s="1" t="str">
        <f>MID(B9, Constanst!$E$49, 1)</f>
        <v>1</v>
      </c>
      <c r="B58" s="1" t="str">
        <f>A58&amp;A59</f>
        <v>11</v>
      </c>
    </row>
    <row r="59" ht="14.25" customHeight="1">
      <c r="A59" s="1" t="str">
        <f>MID(B9, Constanst!$E$50, 1)</f>
        <v>1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K4=PC2(C4D4)</v>
      </c>
      <c r="B61" s="28"/>
      <c r="C61" s="28"/>
      <c r="D61" s="29" t="str">
        <f>B12</f>
        <v>011100101010110111010010101011011000011001010111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01110010</v>
      </c>
      <c r="C64" s="26" t="str">
        <f t="shared" ref="C64:C69" si="5">BIN2HEX(B64,2)</f>
        <v>72</v>
      </c>
    </row>
    <row r="65" ht="14.25" customHeight="1">
      <c r="A65" s="26">
        <v>2.0</v>
      </c>
      <c r="B65" s="26" t="str">
        <f t="shared" si="4"/>
        <v>10101101</v>
      </c>
      <c r="C65" s="26" t="str">
        <f t="shared" si="5"/>
        <v>AD</v>
      </c>
    </row>
    <row r="66" ht="14.25" customHeight="1">
      <c r="A66" s="26">
        <v>3.0</v>
      </c>
      <c r="B66" s="26" t="str">
        <f t="shared" si="4"/>
        <v>11010010</v>
      </c>
      <c r="C66" s="26" t="str">
        <f t="shared" si="5"/>
        <v>D2</v>
      </c>
    </row>
    <row r="67" ht="14.25" customHeight="1">
      <c r="A67" s="26">
        <v>4.0</v>
      </c>
      <c r="B67" s="26" t="str">
        <f t="shared" si="4"/>
        <v>10101101</v>
      </c>
      <c r="C67" s="26" t="str">
        <f t="shared" si="5"/>
        <v>AD</v>
      </c>
    </row>
    <row r="68" ht="14.25" customHeight="1">
      <c r="A68" s="26">
        <v>5.0</v>
      </c>
      <c r="B68" s="26" t="str">
        <f t="shared" si="4"/>
        <v>10000110</v>
      </c>
      <c r="C68" s="26" t="str">
        <f t="shared" si="5"/>
        <v>86</v>
      </c>
    </row>
    <row r="69" ht="14.25" customHeight="1">
      <c r="A69" s="26">
        <v>6.0</v>
      </c>
      <c r="B69" s="26" t="str">
        <f t="shared" si="4"/>
        <v>01010111</v>
      </c>
      <c r="C69" s="26" t="str">
        <f t="shared" si="5"/>
        <v>57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1100110010101010101111110000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1100110011110000101010101010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11001100</v>
      </c>
      <c r="G4" s="27" t="str">
        <f t="shared" ref="G4:G6" si="1">BIN2HEX(F4,2)</f>
        <v>CC</v>
      </c>
      <c r="J4" s="27">
        <v>1.0</v>
      </c>
      <c r="K4" s="27" t="str">
        <f>MID(K1,(J4-1)*8+1, 8)</f>
        <v>11001100</v>
      </c>
      <c r="L4" s="27" t="str">
        <f t="shared" ref="L4:L6" si="2">BIN2HEX(K4,2)</f>
        <v>CC</v>
      </c>
    </row>
    <row r="5" ht="14.25" customHeight="1">
      <c r="B5" s="30"/>
      <c r="E5" s="27">
        <v>2.0</v>
      </c>
      <c r="F5" s="27" t="str">
        <f>MID(F1,(E5-1)*8+1, 8)</f>
        <v>10101010</v>
      </c>
      <c r="G5" s="27" t="str">
        <f t="shared" si="1"/>
        <v>AA</v>
      </c>
      <c r="J5" s="27">
        <v>2.0</v>
      </c>
      <c r="K5" s="27" t="str">
        <f>MID(K1,(J5-1)*8+1, 8)</f>
        <v>11110000</v>
      </c>
      <c r="L5" s="27" t="str">
        <f t="shared" si="2"/>
        <v>F0</v>
      </c>
    </row>
    <row r="6" ht="14.25" customHeight="1">
      <c r="B6" s="30"/>
      <c r="E6" s="27">
        <v>3.0</v>
      </c>
      <c r="F6" s="27" t="str">
        <f>MID(F1,(E6-1)*8+1, 8)</f>
        <v>10111111</v>
      </c>
      <c r="G6" s="27" t="str">
        <f t="shared" si="1"/>
        <v>BF</v>
      </c>
      <c r="J6" s="27">
        <v>3.0</v>
      </c>
      <c r="K6" s="27" t="str">
        <f>MID(K1,(J6-1)*8+1, 8)</f>
        <v>10101010</v>
      </c>
      <c r="L6" s="27" t="str">
        <f t="shared" si="2"/>
        <v>AA</v>
      </c>
    </row>
    <row r="7" ht="14.25" customHeight="1">
      <c r="B7" s="30"/>
      <c r="E7" s="27">
        <v>4.0</v>
      </c>
      <c r="F7" s="27" t="str">
        <f>MID(F1,(E7-1)*8+1, 8)</f>
        <v>0000</v>
      </c>
      <c r="G7" s="27" t="str">
        <f>BIN2HEX(F7,1)</f>
        <v>0</v>
      </c>
      <c r="J7" s="27">
        <v>4.0</v>
      </c>
      <c r="K7" s="27" t="str">
        <f>MID(K1,(J7-1)*8+1, 8)</f>
        <v>1010</v>
      </c>
      <c r="L7" s="27" t="str">
        <f>BIN2HEX(K7,1)</f>
        <v>A</v>
      </c>
    </row>
    <row r="8" ht="14.25" customHeight="1">
      <c r="B8" s="30"/>
    </row>
    <row r="9" ht="14.25" customHeight="1">
      <c r="A9" s="1" t="str">
        <f>M15&amp;N15&amp;"="</f>
        <v>C5D5=</v>
      </c>
      <c r="B9" s="1" t="str">
        <f>F1 &amp; K1</f>
        <v>11001100101010101011111100001100110011110000101010101010</v>
      </c>
    </row>
    <row r="10" ht="14.25" customHeight="1">
      <c r="B10" s="30"/>
      <c r="J10" s="1" t="s">
        <v>9</v>
      </c>
    </row>
    <row r="11" ht="14.25" customHeight="1">
      <c r="A11" s="1" t="str">
        <f>L15&amp;"=PC2("&amp;M15&amp;N15&amp;")"</f>
        <v>K5=PC2(C5D5)</v>
      </c>
    </row>
    <row r="12" ht="14.25" customHeight="1">
      <c r="A12" s="1" t="str">
        <f>MID(B9,Constanst!$E$3, 1)</f>
        <v>0</v>
      </c>
      <c r="B12" s="1" t="str">
        <f t="shared" ref="B12:B57" si="3">A12&amp;B13</f>
        <v>011111001110110000000111000111111110011011000010</v>
      </c>
    </row>
    <row r="13" ht="14.25" customHeight="1">
      <c r="A13" s="1" t="str">
        <f>MID(B9, Constanst!$E$4, 1)</f>
        <v>1</v>
      </c>
      <c r="B13" s="1" t="str">
        <f t="shared" si="3"/>
        <v>11111001110110000000111000111111110011011000010</v>
      </c>
    </row>
    <row r="14" ht="14.25" customHeight="1">
      <c r="A14" s="1" t="str">
        <f>MID(B9, Constanst!$E$5, 1)</f>
        <v>1</v>
      </c>
      <c r="B14" s="1" t="str">
        <f t="shared" si="3"/>
        <v>1111001110110000000111000111111110011011000010</v>
      </c>
    </row>
    <row r="15" ht="14.25" customHeight="1">
      <c r="A15" s="1" t="str">
        <f>MID(B9, Constanst!$E$6, 1)</f>
        <v>1</v>
      </c>
      <c r="B15" s="1" t="str">
        <f t="shared" si="3"/>
        <v>111001110110000000111000111111110011011000010</v>
      </c>
      <c r="L15" s="1" t="s">
        <v>10</v>
      </c>
      <c r="M15" s="1" t="s">
        <v>157</v>
      </c>
      <c r="N15" s="1" t="s">
        <v>158</v>
      </c>
    </row>
    <row r="16" ht="14.25" customHeight="1">
      <c r="A16" s="1" t="str">
        <f>MID(B9, Constanst!$E$7, 1)</f>
        <v>1</v>
      </c>
      <c r="B16" s="1" t="str">
        <f t="shared" si="3"/>
        <v>11001110110000000111000111111110011011000010</v>
      </c>
    </row>
    <row r="17" ht="14.25" customHeight="1">
      <c r="A17" s="1" t="str">
        <f>MID(B9, Constanst!$E$8, 1)</f>
        <v>1</v>
      </c>
      <c r="B17" s="1" t="str">
        <f t="shared" si="3"/>
        <v>1001110110000000111000111111110011011000010</v>
      </c>
    </row>
    <row r="18" ht="14.25" customHeight="1">
      <c r="A18" s="1" t="str">
        <f>MID(B9, Constanst!$E$9, 1)</f>
        <v>0</v>
      </c>
      <c r="B18" s="1" t="str">
        <f t="shared" si="3"/>
        <v>001110110000000111000111111110011011000010</v>
      </c>
    </row>
    <row r="19" ht="14.25" customHeight="1">
      <c r="A19" s="1" t="str">
        <f>MID(B9, Constanst!$E$10, 1)</f>
        <v>0</v>
      </c>
      <c r="B19" s="1" t="str">
        <f t="shared" si="3"/>
        <v>01110110000000111000111111110011011000010</v>
      </c>
    </row>
    <row r="20" ht="14.25" customHeight="1">
      <c r="A20" s="1" t="str">
        <f>MID(B9, Constanst!$E$11, 1)</f>
        <v>1</v>
      </c>
      <c r="B20" s="1" t="str">
        <f t="shared" si="3"/>
        <v>1110110000000111000111111110011011000010</v>
      </c>
    </row>
    <row r="21" ht="14.25" customHeight="1">
      <c r="A21" s="1" t="str">
        <f>MID(B9, Constanst!$E$12, 1)</f>
        <v>1</v>
      </c>
      <c r="B21" s="1" t="str">
        <f t="shared" si="3"/>
        <v>110110000000111000111111110011011000010</v>
      </c>
    </row>
    <row r="22" ht="14.25" customHeight="1">
      <c r="A22" s="1" t="str">
        <f>MID(B9, Constanst!$E$13, 1)</f>
        <v>1</v>
      </c>
      <c r="B22" s="1" t="str">
        <f t="shared" si="3"/>
        <v>10110000000111000111111110011011000010</v>
      </c>
    </row>
    <row r="23" ht="14.25" customHeight="1">
      <c r="A23" s="1" t="str">
        <f>MID(B9, Constanst!$E$14, 1)</f>
        <v>0</v>
      </c>
      <c r="B23" s="1" t="str">
        <f t="shared" si="3"/>
        <v>0110000000111000111111110011011000010</v>
      </c>
    </row>
    <row r="24" ht="14.25" customHeight="1">
      <c r="A24" s="1" t="str">
        <f>MID(B9, Constanst!$E$15, 1)</f>
        <v>1</v>
      </c>
      <c r="B24" s="1" t="str">
        <f t="shared" si="3"/>
        <v>110000000111000111111110011011000010</v>
      </c>
    </row>
    <row r="25" ht="14.25" customHeight="1">
      <c r="A25" s="1" t="str">
        <f>MID(B9, Constanst!$E$16, 1)</f>
        <v>1</v>
      </c>
      <c r="B25" s="1" t="str">
        <f t="shared" si="3"/>
        <v>10000000111000111111110011011000010</v>
      </c>
    </row>
    <row r="26" ht="14.25" customHeight="1">
      <c r="A26" s="1" t="str">
        <f>MID(B9, Constanst!$E$17, 1)</f>
        <v>0</v>
      </c>
      <c r="B26" s="1" t="str">
        <f t="shared" si="3"/>
        <v>0000000111000111111110011011000010</v>
      </c>
    </row>
    <row r="27" ht="14.25" customHeight="1">
      <c r="A27" s="1" t="str">
        <f>MID(B9, Constanst!$E$18, 1)</f>
        <v>0</v>
      </c>
      <c r="B27" s="1" t="str">
        <f t="shared" si="3"/>
        <v>000000111000111111110011011000010</v>
      </c>
    </row>
    <row r="28" ht="14.25" customHeight="1">
      <c r="A28" s="1" t="str">
        <f>MID(B9, Constanst!$E$19, 1)</f>
        <v>0</v>
      </c>
      <c r="B28" s="1" t="str">
        <f t="shared" si="3"/>
        <v>00000111000111111110011011000010</v>
      </c>
    </row>
    <row r="29" ht="14.25" customHeight="1">
      <c r="A29" s="1" t="str">
        <f>MID(B9, Constanst!$E$20, 1)</f>
        <v>0</v>
      </c>
      <c r="B29" s="1" t="str">
        <f t="shared" si="3"/>
        <v>0000111000111111110011011000010</v>
      </c>
    </row>
    <row r="30" ht="14.25" customHeight="1">
      <c r="A30" s="1" t="str">
        <f>MID(B9, Constanst!$E$21, 1)</f>
        <v>0</v>
      </c>
      <c r="B30" s="1" t="str">
        <f t="shared" si="3"/>
        <v>000111000111111110011011000010</v>
      </c>
    </row>
    <row r="31" ht="14.25" customHeight="1">
      <c r="A31" s="1" t="str">
        <f>MID(B9, Constanst!$E$22, 1)</f>
        <v>0</v>
      </c>
      <c r="B31" s="1" t="str">
        <f t="shared" si="3"/>
        <v>00111000111111110011011000010</v>
      </c>
    </row>
    <row r="32" ht="14.25" customHeight="1">
      <c r="A32" s="1" t="str">
        <f>MID(B9, Constanst!$E$23, 1)</f>
        <v>0</v>
      </c>
      <c r="B32" s="1" t="str">
        <f t="shared" si="3"/>
        <v>0111000111111110011011000010</v>
      </c>
    </row>
    <row r="33" ht="14.25" customHeight="1">
      <c r="A33" s="1" t="str">
        <f>MID(B9, Constanst!$E$24, 1)</f>
        <v>1</v>
      </c>
      <c r="B33" s="1" t="str">
        <f t="shared" si="3"/>
        <v>111000111111110011011000010</v>
      </c>
    </row>
    <row r="34" ht="14.25" customHeight="1">
      <c r="A34" s="1" t="str">
        <f>MID(B9, Constanst!$E$25, 1)</f>
        <v>1</v>
      </c>
      <c r="B34" s="1" t="str">
        <f t="shared" si="3"/>
        <v>11000111111110011011000010</v>
      </c>
    </row>
    <row r="35" ht="14.25" customHeight="1">
      <c r="A35" s="1" t="str">
        <f>MID(B9, Constanst!$E$26, 1)</f>
        <v>1</v>
      </c>
      <c r="B35" s="1" t="str">
        <f t="shared" si="3"/>
        <v>1000111111110011011000010</v>
      </c>
    </row>
    <row r="36" ht="14.25" customHeight="1">
      <c r="A36" s="1" t="str">
        <f>MID(B9, Constanst!$E$27, 1)</f>
        <v>0</v>
      </c>
      <c r="B36" s="1" t="str">
        <f t="shared" si="3"/>
        <v>000111111110011011000010</v>
      </c>
    </row>
    <row r="37" ht="14.25" customHeight="1">
      <c r="A37" s="1" t="str">
        <f>MID(B9, Constanst!$E$28, 1)</f>
        <v>0</v>
      </c>
      <c r="B37" s="1" t="str">
        <f t="shared" si="3"/>
        <v>00111111110011011000010</v>
      </c>
    </row>
    <row r="38" ht="14.25" customHeight="1">
      <c r="A38" s="1" t="str">
        <f>MID(B9, Constanst!$E$29, 1)</f>
        <v>0</v>
      </c>
      <c r="B38" s="1" t="str">
        <f t="shared" si="3"/>
        <v>0111111110011011000010</v>
      </c>
    </row>
    <row r="39" ht="14.25" customHeight="1">
      <c r="A39" s="1" t="str">
        <f>MID(B9, Constanst!$E$30, 1)</f>
        <v>1</v>
      </c>
      <c r="B39" s="1" t="str">
        <f t="shared" si="3"/>
        <v>111111110011011000010</v>
      </c>
    </row>
    <row r="40" ht="14.25" customHeight="1">
      <c r="A40" s="1" t="str">
        <f>MID(B9, Constanst!$E$31, 1)</f>
        <v>1</v>
      </c>
      <c r="B40" s="1" t="str">
        <f t="shared" si="3"/>
        <v>11111110011011000010</v>
      </c>
    </row>
    <row r="41" ht="14.25" customHeight="1">
      <c r="A41" s="1" t="str">
        <f>MID(B9, Constanst!$E$32, 1)</f>
        <v>1</v>
      </c>
      <c r="B41" s="1" t="str">
        <f t="shared" si="3"/>
        <v>1111110011011000010</v>
      </c>
    </row>
    <row r="42" ht="14.25" customHeight="1">
      <c r="A42" s="1" t="str">
        <f>MID(B9, Constanst!$E$33, 1)</f>
        <v>1</v>
      </c>
      <c r="B42" s="1" t="str">
        <f t="shared" si="3"/>
        <v>111110011011000010</v>
      </c>
    </row>
    <row r="43" ht="14.25" customHeight="1">
      <c r="A43" s="1" t="str">
        <f>MID(B9, Constanst!$E$34, 1)</f>
        <v>1</v>
      </c>
      <c r="B43" s="1" t="str">
        <f t="shared" si="3"/>
        <v>11110011011000010</v>
      </c>
    </row>
    <row r="44" ht="14.25" customHeight="1">
      <c r="A44" s="1" t="str">
        <f>MID(B9, Constanst!$E$35, 1)</f>
        <v>1</v>
      </c>
      <c r="B44" s="1" t="str">
        <f t="shared" si="3"/>
        <v>1110011011000010</v>
      </c>
    </row>
    <row r="45" ht="14.25" customHeight="1">
      <c r="A45" s="1" t="str">
        <f>MID(B9, Constanst!$E$36, 1)</f>
        <v>1</v>
      </c>
      <c r="B45" s="1" t="str">
        <f t="shared" si="3"/>
        <v>110011011000010</v>
      </c>
    </row>
    <row r="46" ht="14.25" customHeight="1">
      <c r="A46" s="1" t="str">
        <f>MID(B9, Constanst!$E$37, 1)</f>
        <v>1</v>
      </c>
      <c r="B46" s="1" t="str">
        <f t="shared" si="3"/>
        <v>10011011000010</v>
      </c>
    </row>
    <row r="47" ht="14.25" customHeight="1">
      <c r="A47" s="1" t="str">
        <f>MID(B9, Constanst!$E$38, 1)</f>
        <v>0</v>
      </c>
      <c r="B47" s="1" t="str">
        <f t="shared" si="3"/>
        <v>0011011000010</v>
      </c>
    </row>
    <row r="48" ht="14.25" customHeight="1">
      <c r="A48" s="1" t="str">
        <f>MID(B9, Constanst!$E$39, 1)</f>
        <v>0</v>
      </c>
      <c r="B48" s="1" t="str">
        <f t="shared" si="3"/>
        <v>011011000010</v>
      </c>
    </row>
    <row r="49" ht="14.25" customHeight="1">
      <c r="A49" s="1" t="str">
        <f>MID(B9, Constanst!$E$40, 1)</f>
        <v>1</v>
      </c>
      <c r="B49" s="1" t="str">
        <f t="shared" si="3"/>
        <v>11011000010</v>
      </c>
    </row>
    <row r="50" ht="14.25" customHeight="1">
      <c r="A50" s="1" t="str">
        <f>MID(B9, Constanst!$E$41, 1)</f>
        <v>1</v>
      </c>
      <c r="B50" s="1" t="str">
        <f t="shared" si="3"/>
        <v>1011000010</v>
      </c>
    </row>
    <row r="51" ht="14.25" customHeight="1">
      <c r="A51" s="1" t="str">
        <f>MID(B9, Constanst!$E$42, 1)</f>
        <v>0</v>
      </c>
      <c r="B51" s="1" t="str">
        <f t="shared" si="3"/>
        <v>011000010</v>
      </c>
    </row>
    <row r="52" ht="14.25" customHeight="1">
      <c r="A52" s="1" t="str">
        <f>MID(B9, Constanst!$E$43, 1)</f>
        <v>1</v>
      </c>
      <c r="B52" s="1" t="str">
        <f t="shared" si="3"/>
        <v>11000010</v>
      </c>
    </row>
    <row r="53" ht="14.25" customHeight="1">
      <c r="A53" s="1" t="str">
        <f>MID(B9, Constanst!$E$44, 1)</f>
        <v>1</v>
      </c>
      <c r="B53" s="1" t="str">
        <f t="shared" si="3"/>
        <v>1000010</v>
      </c>
    </row>
    <row r="54" ht="14.25" customHeight="1">
      <c r="A54" s="1" t="str">
        <f>MID(B9, Constanst!$E$45, 1)</f>
        <v>0</v>
      </c>
      <c r="B54" s="1" t="str">
        <f t="shared" si="3"/>
        <v>000010</v>
      </c>
    </row>
    <row r="55" ht="14.25" customHeight="1">
      <c r="A55" s="1" t="str">
        <f>MID(B9, Constanst!$E$46, 1)</f>
        <v>0</v>
      </c>
      <c r="B55" s="1" t="str">
        <f t="shared" si="3"/>
        <v>00010</v>
      </c>
    </row>
    <row r="56" ht="14.25" customHeight="1">
      <c r="A56" s="1" t="str">
        <f>MID(B9, Constanst!$E$47, 1)</f>
        <v>0</v>
      </c>
      <c r="B56" s="1" t="str">
        <f t="shared" si="3"/>
        <v>0010</v>
      </c>
    </row>
    <row r="57" ht="14.25" customHeight="1">
      <c r="A57" s="1" t="str">
        <f>MID(B9, Constanst!$E$48, 1)</f>
        <v>0</v>
      </c>
      <c r="B57" s="1" t="str">
        <f t="shared" si="3"/>
        <v>010</v>
      </c>
    </row>
    <row r="58" ht="14.25" customHeight="1">
      <c r="A58" s="1" t="str">
        <f>MID(B9, Constanst!$E$49, 1)</f>
        <v>1</v>
      </c>
      <c r="B58" s="1" t="str">
        <f>A58&amp;A59</f>
        <v>10</v>
      </c>
    </row>
    <row r="59" ht="14.25" customHeight="1">
      <c r="A59" s="1" t="str">
        <f>MID(B9, Constanst!$E$50, 1)</f>
        <v>0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K5=PC2(C5D5)</v>
      </c>
      <c r="B61" s="28"/>
      <c r="C61" s="28"/>
      <c r="D61" s="29" t="str">
        <f>B12</f>
        <v>011111001110110000000111000111111110011011000010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01111100</v>
      </c>
      <c r="C64" s="26" t="str">
        <f t="shared" ref="C64:C69" si="5">BIN2HEX(B64,2)</f>
        <v>7C</v>
      </c>
    </row>
    <row r="65" ht="14.25" customHeight="1">
      <c r="A65" s="26">
        <v>2.0</v>
      </c>
      <c r="B65" s="26" t="str">
        <f t="shared" si="4"/>
        <v>11101100</v>
      </c>
      <c r="C65" s="26" t="str">
        <f t="shared" si="5"/>
        <v>EC</v>
      </c>
    </row>
    <row r="66" ht="14.25" customHeight="1">
      <c r="A66" s="26">
        <v>3.0</v>
      </c>
      <c r="B66" s="26" t="str">
        <f t="shared" si="4"/>
        <v>00000111</v>
      </c>
      <c r="C66" s="26" t="str">
        <f t="shared" si="5"/>
        <v>07</v>
      </c>
    </row>
    <row r="67" ht="14.25" customHeight="1">
      <c r="A67" s="26">
        <v>4.0</v>
      </c>
      <c r="B67" s="26" t="str">
        <f t="shared" si="4"/>
        <v>00011111</v>
      </c>
      <c r="C67" s="26" t="str">
        <f t="shared" si="5"/>
        <v>1F</v>
      </c>
    </row>
    <row r="68" ht="14.25" customHeight="1">
      <c r="A68" s="26">
        <v>5.0</v>
      </c>
      <c r="B68" s="26" t="str">
        <f t="shared" si="4"/>
        <v>11100110</v>
      </c>
      <c r="C68" s="26" t="str">
        <f t="shared" si="5"/>
        <v>E6</v>
      </c>
    </row>
    <row r="69" ht="14.25" customHeight="1">
      <c r="A69" s="26">
        <v>6.0</v>
      </c>
      <c r="B69" s="26" t="str">
        <f t="shared" si="4"/>
        <v>11000010</v>
      </c>
      <c r="C69" s="26" t="str">
        <f t="shared" si="5"/>
        <v>C2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0011001010101010111111000011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0011001111000010101010101011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00110010</v>
      </c>
      <c r="G4" s="27" t="str">
        <f t="shared" ref="G4:G6" si="1">BIN2HEX(F4,2)</f>
        <v>32</v>
      </c>
      <c r="J4" s="27">
        <v>1.0</v>
      </c>
      <c r="K4" s="27" t="str">
        <f>MID(K1,(J4-1)*8+1, 8)</f>
        <v>00110011</v>
      </c>
      <c r="L4" s="27" t="str">
        <f t="shared" ref="L4:L6" si="2">BIN2HEX(K4,2)</f>
        <v>33</v>
      </c>
    </row>
    <row r="5" ht="14.25" customHeight="1">
      <c r="B5" s="30"/>
      <c r="E5" s="27">
        <v>2.0</v>
      </c>
      <c r="F5" s="27" t="str">
        <f>MID(F1,(E5-1)*8+1, 8)</f>
        <v>10101010</v>
      </c>
      <c r="G5" s="27" t="str">
        <f t="shared" si="1"/>
        <v>AA</v>
      </c>
      <c r="J5" s="27">
        <v>2.0</v>
      </c>
      <c r="K5" s="27" t="str">
        <f>MID(K1,(J5-1)*8+1, 8)</f>
        <v>11000010</v>
      </c>
      <c r="L5" s="27" t="str">
        <f t="shared" si="2"/>
        <v>C2</v>
      </c>
    </row>
    <row r="6" ht="14.25" customHeight="1">
      <c r="B6" s="30"/>
      <c r="E6" s="27">
        <v>3.0</v>
      </c>
      <c r="F6" s="27" t="str">
        <f>MID(F1,(E6-1)*8+1, 8)</f>
        <v>11111100</v>
      </c>
      <c r="G6" s="27" t="str">
        <f t="shared" si="1"/>
        <v>FC</v>
      </c>
      <c r="J6" s="27">
        <v>3.0</v>
      </c>
      <c r="K6" s="27" t="str">
        <f>MID(K1,(J6-1)*8+1, 8)</f>
        <v>10101010</v>
      </c>
      <c r="L6" s="27" t="str">
        <f t="shared" si="2"/>
        <v>AA</v>
      </c>
    </row>
    <row r="7" ht="14.25" customHeight="1">
      <c r="B7" s="30"/>
      <c r="E7" s="27">
        <v>4.0</v>
      </c>
      <c r="F7" s="27" t="str">
        <f>MID(F1,(E7-1)*8+1, 8)</f>
        <v>0011</v>
      </c>
      <c r="G7" s="27" t="str">
        <f>BIN2HEX(F7,1)</f>
        <v>3</v>
      </c>
      <c r="J7" s="27">
        <v>4.0</v>
      </c>
      <c r="K7" s="27" t="str">
        <f>MID(K1,(J7-1)*8+1, 8)</f>
        <v>1011</v>
      </c>
      <c r="L7" s="27" t="str">
        <f>BIN2HEX(K7,1)</f>
        <v>B</v>
      </c>
    </row>
    <row r="8" ht="14.25" customHeight="1">
      <c r="B8" s="30"/>
    </row>
    <row r="9" ht="14.25" customHeight="1">
      <c r="A9" s="1" t="str">
        <f>M15&amp;N15&amp;"="</f>
        <v>C6D6=</v>
      </c>
      <c r="B9" s="1" t="str">
        <f>F1 &amp; K1</f>
        <v>00110010101010101111110000110011001111000010101010101011</v>
      </c>
    </row>
    <row r="10" ht="14.25" customHeight="1">
      <c r="B10" s="30"/>
      <c r="J10" s="1" t="s">
        <v>10</v>
      </c>
    </row>
    <row r="11" ht="14.25" customHeight="1">
      <c r="A11" s="1" t="str">
        <f>L15&amp;"=PC2("&amp;M15&amp;N15&amp;")"</f>
        <v>K6=PC2(C6D6)</v>
      </c>
    </row>
    <row r="12" ht="14.25" customHeight="1">
      <c r="A12" s="1" t="str">
        <f>MID(B9,Constanst!$E$3, 1)</f>
        <v>0</v>
      </c>
      <c r="B12" s="1" t="str">
        <f t="shared" ref="B12:B57" si="3">A12&amp;B13</f>
        <v>011000111010010100011110001111001100010101000101</v>
      </c>
    </row>
    <row r="13" ht="14.25" customHeight="1">
      <c r="A13" s="1" t="str">
        <f>MID(B9, Constanst!$E$4, 1)</f>
        <v>1</v>
      </c>
      <c r="B13" s="1" t="str">
        <f t="shared" si="3"/>
        <v>11000111010010100011110001111001100010101000101</v>
      </c>
    </row>
    <row r="14" ht="14.25" customHeight="1">
      <c r="A14" s="1" t="str">
        <f>MID(B9, Constanst!$E$5, 1)</f>
        <v>1</v>
      </c>
      <c r="B14" s="1" t="str">
        <f t="shared" si="3"/>
        <v>1000111010010100011110001111001100010101000101</v>
      </c>
    </row>
    <row r="15" ht="14.25" customHeight="1">
      <c r="A15" s="1" t="str">
        <f>MID(B9, Constanst!$E$6, 1)</f>
        <v>0</v>
      </c>
      <c r="B15" s="1" t="str">
        <f t="shared" si="3"/>
        <v>000111010010100011110001111001100010101000101</v>
      </c>
      <c r="L15" s="1" t="s">
        <v>11</v>
      </c>
      <c r="M15" s="1" t="s">
        <v>159</v>
      </c>
      <c r="N15" s="1" t="s">
        <v>160</v>
      </c>
    </row>
    <row r="16" ht="14.25" customHeight="1">
      <c r="A16" s="1" t="str">
        <f>MID(B9, Constanst!$E$7, 1)</f>
        <v>0</v>
      </c>
      <c r="B16" s="1" t="str">
        <f t="shared" si="3"/>
        <v>00111010010100011110001111001100010101000101</v>
      </c>
    </row>
    <row r="17" ht="14.25" customHeight="1">
      <c r="A17" s="1" t="str">
        <f>MID(B9, Constanst!$E$8, 1)</f>
        <v>0</v>
      </c>
      <c r="B17" s="1" t="str">
        <f t="shared" si="3"/>
        <v>0111010010100011110001111001100010101000101</v>
      </c>
    </row>
    <row r="18" ht="14.25" customHeight="1">
      <c r="A18" s="1" t="str">
        <f>MID(B9, Constanst!$E$9, 1)</f>
        <v>1</v>
      </c>
      <c r="B18" s="1" t="str">
        <f t="shared" si="3"/>
        <v>111010010100011110001111001100010101000101</v>
      </c>
    </row>
    <row r="19" ht="14.25" customHeight="1">
      <c r="A19" s="1" t="str">
        <f>MID(B9, Constanst!$E$10, 1)</f>
        <v>1</v>
      </c>
      <c r="B19" s="1" t="str">
        <f t="shared" si="3"/>
        <v>11010010100011110001111001100010101000101</v>
      </c>
    </row>
    <row r="20" ht="14.25" customHeight="1">
      <c r="A20" s="1" t="str">
        <f>MID(B9, Constanst!$E$11, 1)</f>
        <v>1</v>
      </c>
      <c r="B20" s="1" t="str">
        <f t="shared" si="3"/>
        <v>1010010100011110001111001100010101000101</v>
      </c>
    </row>
    <row r="21" ht="14.25" customHeight="1">
      <c r="A21" s="1" t="str">
        <f>MID(B9, Constanst!$E$12, 1)</f>
        <v>0</v>
      </c>
      <c r="B21" s="1" t="str">
        <f t="shared" si="3"/>
        <v>010010100011110001111001100010101000101</v>
      </c>
    </row>
    <row r="22" ht="14.25" customHeight="1">
      <c r="A22" s="1" t="str">
        <f>MID(B9, Constanst!$E$13, 1)</f>
        <v>1</v>
      </c>
      <c r="B22" s="1" t="str">
        <f t="shared" si="3"/>
        <v>10010100011110001111001100010101000101</v>
      </c>
    </row>
    <row r="23" ht="14.25" customHeight="1">
      <c r="A23" s="1" t="str">
        <f>MID(B9, Constanst!$E$14, 1)</f>
        <v>0</v>
      </c>
      <c r="B23" s="1" t="str">
        <f t="shared" si="3"/>
        <v>0010100011110001111001100010101000101</v>
      </c>
    </row>
    <row r="24" ht="14.25" customHeight="1">
      <c r="A24" s="1" t="str">
        <f>MID(B9, Constanst!$E$15, 1)</f>
        <v>0</v>
      </c>
      <c r="B24" s="1" t="str">
        <f t="shared" si="3"/>
        <v>010100011110001111001100010101000101</v>
      </c>
    </row>
    <row r="25" ht="14.25" customHeight="1">
      <c r="A25" s="1" t="str">
        <f>MID(B9, Constanst!$E$16, 1)</f>
        <v>1</v>
      </c>
      <c r="B25" s="1" t="str">
        <f t="shared" si="3"/>
        <v>10100011110001111001100010101000101</v>
      </c>
    </row>
    <row r="26" ht="14.25" customHeight="1">
      <c r="A26" s="1" t="str">
        <f>MID(B9, Constanst!$E$17, 1)</f>
        <v>0</v>
      </c>
      <c r="B26" s="1" t="str">
        <f t="shared" si="3"/>
        <v>0100011110001111001100010101000101</v>
      </c>
    </row>
    <row r="27" ht="14.25" customHeight="1">
      <c r="A27" s="1" t="str">
        <f>MID(B9, Constanst!$E$18, 1)</f>
        <v>1</v>
      </c>
      <c r="B27" s="1" t="str">
        <f t="shared" si="3"/>
        <v>100011110001111001100010101000101</v>
      </c>
    </row>
    <row r="28" ht="14.25" customHeight="1">
      <c r="A28" s="1" t="str">
        <f>MID(B9, Constanst!$E$19, 1)</f>
        <v>0</v>
      </c>
      <c r="B28" s="1" t="str">
        <f t="shared" si="3"/>
        <v>00011110001111001100010101000101</v>
      </c>
    </row>
    <row r="29" ht="14.25" customHeight="1">
      <c r="A29" s="1" t="str">
        <f>MID(B9, Constanst!$E$20, 1)</f>
        <v>0</v>
      </c>
      <c r="B29" s="1" t="str">
        <f t="shared" si="3"/>
        <v>0011110001111001100010101000101</v>
      </c>
    </row>
    <row r="30" ht="14.25" customHeight="1">
      <c r="A30" s="1" t="str">
        <f>MID(B9, Constanst!$E$21, 1)</f>
        <v>0</v>
      </c>
      <c r="B30" s="1" t="str">
        <f t="shared" si="3"/>
        <v>011110001111001100010101000101</v>
      </c>
    </row>
    <row r="31" ht="14.25" customHeight="1">
      <c r="A31" s="1" t="str">
        <f>MID(B9, Constanst!$E$22, 1)</f>
        <v>1</v>
      </c>
      <c r="B31" s="1" t="str">
        <f t="shared" si="3"/>
        <v>11110001111001100010101000101</v>
      </c>
    </row>
    <row r="32" ht="14.25" customHeight="1">
      <c r="A32" s="1" t="str">
        <f>MID(B9, Constanst!$E$23, 1)</f>
        <v>1</v>
      </c>
      <c r="B32" s="1" t="str">
        <f t="shared" si="3"/>
        <v>1110001111001100010101000101</v>
      </c>
    </row>
    <row r="33" ht="14.25" customHeight="1">
      <c r="A33" s="1" t="str">
        <f>MID(B9, Constanst!$E$24, 1)</f>
        <v>1</v>
      </c>
      <c r="B33" s="1" t="str">
        <f t="shared" si="3"/>
        <v>110001111001100010101000101</v>
      </c>
    </row>
    <row r="34" ht="14.25" customHeight="1">
      <c r="A34" s="1" t="str">
        <f>MID(B9, Constanst!$E$25, 1)</f>
        <v>1</v>
      </c>
      <c r="B34" s="1" t="str">
        <f t="shared" si="3"/>
        <v>10001111001100010101000101</v>
      </c>
    </row>
    <row r="35" ht="14.25" customHeight="1">
      <c r="A35" s="1" t="str">
        <f>MID(B9, Constanst!$E$26, 1)</f>
        <v>0</v>
      </c>
      <c r="B35" s="1" t="str">
        <f t="shared" si="3"/>
        <v>0001111001100010101000101</v>
      </c>
    </row>
    <row r="36" ht="14.25" customHeight="1">
      <c r="A36" s="1" t="str">
        <f>MID(B9, Constanst!$E$27, 1)</f>
        <v>0</v>
      </c>
      <c r="B36" s="1" t="str">
        <f t="shared" si="3"/>
        <v>001111001100010101000101</v>
      </c>
    </row>
    <row r="37" ht="14.25" customHeight="1">
      <c r="A37" s="1" t="str">
        <f>MID(B9, Constanst!$E$28, 1)</f>
        <v>0</v>
      </c>
      <c r="B37" s="1" t="str">
        <f t="shared" si="3"/>
        <v>01111001100010101000101</v>
      </c>
    </row>
    <row r="38" ht="14.25" customHeight="1">
      <c r="A38" s="1" t="str">
        <f>MID(B9, Constanst!$E$29, 1)</f>
        <v>1</v>
      </c>
      <c r="B38" s="1" t="str">
        <f t="shared" si="3"/>
        <v>1111001100010101000101</v>
      </c>
    </row>
    <row r="39" ht="14.25" customHeight="1">
      <c r="A39" s="1" t="str">
        <f>MID(B9, Constanst!$E$30, 1)</f>
        <v>1</v>
      </c>
      <c r="B39" s="1" t="str">
        <f t="shared" si="3"/>
        <v>111001100010101000101</v>
      </c>
    </row>
    <row r="40" ht="14.25" customHeight="1">
      <c r="A40" s="1" t="str">
        <f>MID(B9, Constanst!$E$31, 1)</f>
        <v>1</v>
      </c>
      <c r="B40" s="1" t="str">
        <f t="shared" si="3"/>
        <v>11001100010101000101</v>
      </c>
    </row>
    <row r="41" ht="14.25" customHeight="1">
      <c r="A41" s="1" t="str">
        <f>MID(B9, Constanst!$E$32, 1)</f>
        <v>1</v>
      </c>
      <c r="B41" s="1" t="str">
        <f t="shared" si="3"/>
        <v>1001100010101000101</v>
      </c>
    </row>
    <row r="42" ht="14.25" customHeight="1">
      <c r="A42" s="1" t="str">
        <f>MID(B9, Constanst!$E$33, 1)</f>
        <v>0</v>
      </c>
      <c r="B42" s="1" t="str">
        <f t="shared" si="3"/>
        <v>001100010101000101</v>
      </c>
    </row>
    <row r="43" ht="14.25" customHeight="1">
      <c r="A43" s="1" t="str">
        <f>MID(B9, Constanst!$E$34, 1)</f>
        <v>0</v>
      </c>
      <c r="B43" s="1" t="str">
        <f t="shared" si="3"/>
        <v>01100010101000101</v>
      </c>
    </row>
    <row r="44" ht="14.25" customHeight="1">
      <c r="A44" s="1" t="str">
        <f>MID(B9, Constanst!$E$35, 1)</f>
        <v>1</v>
      </c>
      <c r="B44" s="1" t="str">
        <f t="shared" si="3"/>
        <v>1100010101000101</v>
      </c>
    </row>
    <row r="45" ht="14.25" customHeight="1">
      <c r="A45" s="1" t="str">
        <f>MID(B9, Constanst!$E$36, 1)</f>
        <v>1</v>
      </c>
      <c r="B45" s="1" t="str">
        <f t="shared" si="3"/>
        <v>100010101000101</v>
      </c>
    </row>
    <row r="46" ht="14.25" customHeight="1">
      <c r="A46" s="1" t="str">
        <f>MID(B9, Constanst!$E$37, 1)</f>
        <v>0</v>
      </c>
      <c r="B46" s="1" t="str">
        <f t="shared" si="3"/>
        <v>00010101000101</v>
      </c>
    </row>
    <row r="47" ht="14.25" customHeight="1">
      <c r="A47" s="1" t="str">
        <f>MID(B9, Constanst!$E$38, 1)</f>
        <v>0</v>
      </c>
      <c r="B47" s="1" t="str">
        <f t="shared" si="3"/>
        <v>0010101000101</v>
      </c>
    </row>
    <row r="48" ht="14.25" customHeight="1">
      <c r="A48" s="1" t="str">
        <f>MID(B9, Constanst!$E$39, 1)</f>
        <v>0</v>
      </c>
      <c r="B48" s="1" t="str">
        <f t="shared" si="3"/>
        <v>010101000101</v>
      </c>
    </row>
    <row r="49" ht="14.25" customHeight="1">
      <c r="A49" s="1" t="str">
        <f>MID(B9, Constanst!$E$40, 1)</f>
        <v>1</v>
      </c>
      <c r="B49" s="1" t="str">
        <f t="shared" si="3"/>
        <v>10101000101</v>
      </c>
    </row>
    <row r="50" ht="14.25" customHeight="1">
      <c r="A50" s="1" t="str">
        <f>MID(B9, Constanst!$E$41, 1)</f>
        <v>0</v>
      </c>
      <c r="B50" s="1" t="str">
        <f t="shared" si="3"/>
        <v>0101000101</v>
      </c>
    </row>
    <row r="51" ht="14.25" customHeight="1">
      <c r="A51" s="1" t="str">
        <f>MID(B9, Constanst!$E$42, 1)</f>
        <v>1</v>
      </c>
      <c r="B51" s="1" t="str">
        <f t="shared" si="3"/>
        <v>101000101</v>
      </c>
    </row>
    <row r="52" ht="14.25" customHeight="1">
      <c r="A52" s="1" t="str">
        <f>MID(B9, Constanst!$E$43, 1)</f>
        <v>0</v>
      </c>
      <c r="B52" s="1" t="str">
        <f t="shared" si="3"/>
        <v>01000101</v>
      </c>
    </row>
    <row r="53" ht="14.25" customHeight="1">
      <c r="A53" s="1" t="str">
        <f>MID(B9, Constanst!$E$44, 1)</f>
        <v>1</v>
      </c>
      <c r="B53" s="1" t="str">
        <f t="shared" si="3"/>
        <v>1000101</v>
      </c>
    </row>
    <row r="54" ht="14.25" customHeight="1">
      <c r="A54" s="1" t="str">
        <f>MID(B9, Constanst!$E$45, 1)</f>
        <v>0</v>
      </c>
      <c r="B54" s="1" t="str">
        <f t="shared" si="3"/>
        <v>000101</v>
      </c>
    </row>
    <row r="55" ht="14.25" customHeight="1">
      <c r="A55" s="1" t="str">
        <f>MID(B9, Constanst!$E$46, 1)</f>
        <v>0</v>
      </c>
      <c r="B55" s="1" t="str">
        <f t="shared" si="3"/>
        <v>00101</v>
      </c>
    </row>
    <row r="56" ht="14.25" customHeight="1">
      <c r="A56" s="1" t="str">
        <f>MID(B9, Constanst!$E$47, 1)</f>
        <v>0</v>
      </c>
      <c r="B56" s="1" t="str">
        <f t="shared" si="3"/>
        <v>0101</v>
      </c>
    </row>
    <row r="57" ht="14.25" customHeight="1">
      <c r="A57" s="1" t="str">
        <f>MID(B9, Constanst!$E$48, 1)</f>
        <v>1</v>
      </c>
      <c r="B57" s="1" t="str">
        <f t="shared" si="3"/>
        <v>101</v>
      </c>
    </row>
    <row r="58" ht="14.25" customHeight="1">
      <c r="A58" s="1" t="str">
        <f>MID(B9, Constanst!$E$49, 1)</f>
        <v>0</v>
      </c>
      <c r="B58" s="1" t="str">
        <f>A58&amp;A59</f>
        <v>01</v>
      </c>
    </row>
    <row r="59" ht="14.25" customHeight="1">
      <c r="A59" s="1" t="str">
        <f>MID(B9, Constanst!$E$50, 1)</f>
        <v>1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K6=PC2(C6D6)</v>
      </c>
      <c r="B61" s="28"/>
      <c r="C61" s="28"/>
      <c r="D61" s="29" t="str">
        <f>B12</f>
        <v>011000111010010100011110001111001100010101000101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01100011</v>
      </c>
      <c r="C64" s="26" t="str">
        <f t="shared" ref="C64:C69" si="5">BIN2HEX(B64,2)</f>
        <v>63</v>
      </c>
    </row>
    <row r="65" ht="14.25" customHeight="1">
      <c r="A65" s="26">
        <v>2.0</v>
      </c>
      <c r="B65" s="26" t="str">
        <f t="shared" si="4"/>
        <v>10100101</v>
      </c>
      <c r="C65" s="26" t="str">
        <f t="shared" si="5"/>
        <v>A5</v>
      </c>
    </row>
    <row r="66" ht="14.25" customHeight="1">
      <c r="A66" s="26">
        <v>3.0</v>
      </c>
      <c r="B66" s="26" t="str">
        <f t="shared" si="4"/>
        <v>00011110</v>
      </c>
      <c r="C66" s="26" t="str">
        <f t="shared" si="5"/>
        <v>1E</v>
      </c>
    </row>
    <row r="67" ht="14.25" customHeight="1">
      <c r="A67" s="26">
        <v>4.0</v>
      </c>
      <c r="B67" s="26" t="str">
        <f t="shared" si="4"/>
        <v>00111100</v>
      </c>
      <c r="C67" s="26" t="str">
        <f t="shared" si="5"/>
        <v>3C</v>
      </c>
    </row>
    <row r="68" ht="14.25" customHeight="1">
      <c r="A68" s="26">
        <v>5.0</v>
      </c>
      <c r="B68" s="26" t="str">
        <f t="shared" si="4"/>
        <v>11000101</v>
      </c>
      <c r="C68" s="26" t="str">
        <f t="shared" si="5"/>
        <v>C5</v>
      </c>
    </row>
    <row r="69" ht="14.25" customHeight="1">
      <c r="A69" s="26">
        <v>6.0</v>
      </c>
      <c r="B69" s="26" t="str">
        <f t="shared" si="4"/>
        <v>01000101</v>
      </c>
      <c r="C69" s="26" t="str">
        <f t="shared" si="5"/>
        <v>45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1100101010101011111100001100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1100111100001010101010101100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11001010</v>
      </c>
      <c r="G4" s="27" t="str">
        <f t="shared" ref="G4:G6" si="1">BIN2HEX(F4,2)</f>
        <v>CA</v>
      </c>
      <c r="J4" s="27">
        <v>1.0</v>
      </c>
      <c r="K4" s="27" t="str">
        <f>MID(K1,(J4-1)*8+1, 8)</f>
        <v>11001111</v>
      </c>
      <c r="L4" s="27" t="str">
        <f t="shared" ref="L4:L6" si="2">BIN2HEX(K4,2)</f>
        <v>CF</v>
      </c>
    </row>
    <row r="5" ht="14.25" customHeight="1">
      <c r="B5" s="30"/>
      <c r="E5" s="27">
        <v>2.0</v>
      </c>
      <c r="F5" s="27" t="str">
        <f>MID(F1,(E5-1)*8+1, 8)</f>
        <v>10101011</v>
      </c>
      <c r="G5" s="27" t="str">
        <f t="shared" si="1"/>
        <v>AB</v>
      </c>
      <c r="J5" s="27">
        <v>2.0</v>
      </c>
      <c r="K5" s="27" t="str">
        <f>MID(K1,(J5-1)*8+1, 8)</f>
        <v>00001010</v>
      </c>
      <c r="L5" s="27" t="str">
        <f t="shared" si="2"/>
        <v>0A</v>
      </c>
    </row>
    <row r="6" ht="14.25" customHeight="1">
      <c r="B6" s="30"/>
      <c r="E6" s="27">
        <v>3.0</v>
      </c>
      <c r="F6" s="27" t="str">
        <f>MID(F1,(E6-1)*8+1, 8)</f>
        <v>11110000</v>
      </c>
      <c r="G6" s="27" t="str">
        <f t="shared" si="1"/>
        <v>F0</v>
      </c>
      <c r="J6" s="27">
        <v>3.0</v>
      </c>
      <c r="K6" s="27" t="str">
        <f>MID(K1,(J6-1)*8+1, 8)</f>
        <v>10101010</v>
      </c>
      <c r="L6" s="27" t="str">
        <f t="shared" si="2"/>
        <v>AA</v>
      </c>
    </row>
    <row r="7" ht="14.25" customHeight="1">
      <c r="B7" s="30"/>
      <c r="E7" s="27">
        <v>4.0</v>
      </c>
      <c r="F7" s="27" t="str">
        <f>MID(F1,(E7-1)*8+1, 8)</f>
        <v>1100</v>
      </c>
      <c r="G7" s="27" t="str">
        <f>BIN2HEX(F7,1)</f>
        <v>C</v>
      </c>
      <c r="J7" s="27">
        <v>4.0</v>
      </c>
      <c r="K7" s="27" t="str">
        <f>MID(K1,(J7-1)*8+1, 8)</f>
        <v>1100</v>
      </c>
      <c r="L7" s="27" t="str">
        <f>BIN2HEX(K7,1)</f>
        <v>C</v>
      </c>
    </row>
    <row r="8" ht="14.25" customHeight="1">
      <c r="B8" s="30"/>
    </row>
    <row r="9" ht="14.25" customHeight="1">
      <c r="A9" s="1" t="str">
        <f>M15&amp;N15&amp;"="</f>
        <v>C7D7=</v>
      </c>
      <c r="B9" s="1" t="str">
        <f>F1 &amp; K1</f>
        <v>11001010101010111111000011001100111100001010101010101100</v>
      </c>
    </row>
    <row r="10" ht="14.25" customHeight="1">
      <c r="B10" s="30"/>
      <c r="J10" s="1" t="s">
        <v>11</v>
      </c>
    </row>
    <row r="11" ht="14.25" customHeight="1">
      <c r="A11" s="1" t="str">
        <f>L15&amp;"=PC2("&amp;M15&amp;N15&amp;")"</f>
        <v>K7=PC2(C7D7)</v>
      </c>
    </row>
    <row r="12" ht="14.25" customHeight="1">
      <c r="A12" s="1" t="str">
        <f>MID(B9,Constanst!$E$3, 1)</f>
        <v>0</v>
      </c>
      <c r="B12" s="1" t="str">
        <f t="shared" ref="B12:B57" si="3">A12&amp;B13</f>
        <v>011011001000010010110111100010101110010011000110</v>
      </c>
    </row>
    <row r="13" ht="14.25" customHeight="1">
      <c r="A13" s="1" t="str">
        <f>MID(B9, Constanst!$E$4, 1)</f>
        <v>1</v>
      </c>
      <c r="B13" s="1" t="str">
        <f t="shared" si="3"/>
        <v>11011001000010010110111100010101110010011000110</v>
      </c>
    </row>
    <row r="14" ht="14.25" customHeight="1">
      <c r="A14" s="1" t="str">
        <f>MID(B9, Constanst!$E$5, 1)</f>
        <v>1</v>
      </c>
      <c r="B14" s="1" t="str">
        <f t="shared" si="3"/>
        <v>1011001000010010110111100010101110010011000110</v>
      </c>
    </row>
    <row r="15" ht="14.25" customHeight="1">
      <c r="A15" s="1" t="str">
        <f>MID(B9, Constanst!$E$6, 1)</f>
        <v>0</v>
      </c>
      <c r="B15" s="1" t="str">
        <f t="shared" si="3"/>
        <v>011001000010010110111100010101110010011000110</v>
      </c>
      <c r="L15" s="1" t="s">
        <v>12</v>
      </c>
      <c r="M15" s="1" t="s">
        <v>161</v>
      </c>
      <c r="N15" s="1" t="s">
        <v>162</v>
      </c>
    </row>
    <row r="16" ht="14.25" customHeight="1">
      <c r="A16" s="1" t="str">
        <f>MID(B9, Constanst!$E$7, 1)</f>
        <v>1</v>
      </c>
      <c r="B16" s="1" t="str">
        <f t="shared" si="3"/>
        <v>11001000010010110111100010101110010011000110</v>
      </c>
    </row>
    <row r="17" ht="14.25" customHeight="1">
      <c r="A17" s="1" t="str">
        <f>MID(B9, Constanst!$E$8, 1)</f>
        <v>1</v>
      </c>
      <c r="B17" s="1" t="str">
        <f t="shared" si="3"/>
        <v>1001000010010110111100010101110010011000110</v>
      </c>
    </row>
    <row r="18" ht="14.25" customHeight="1">
      <c r="A18" s="1" t="str">
        <f>MID(B9, Constanst!$E$9, 1)</f>
        <v>0</v>
      </c>
      <c r="B18" s="1" t="str">
        <f t="shared" si="3"/>
        <v>001000010010110111100010101110010011000110</v>
      </c>
    </row>
    <row r="19" ht="14.25" customHeight="1">
      <c r="A19" s="1" t="str">
        <f>MID(B9, Constanst!$E$10, 1)</f>
        <v>0</v>
      </c>
      <c r="B19" s="1" t="str">
        <f t="shared" si="3"/>
        <v>01000010010110111100010101110010011000110</v>
      </c>
    </row>
    <row r="20" ht="14.25" customHeight="1">
      <c r="A20" s="1" t="str">
        <f>MID(B9, Constanst!$E$11, 1)</f>
        <v>1</v>
      </c>
      <c r="B20" s="1" t="str">
        <f t="shared" si="3"/>
        <v>1000010010110111100010101110010011000110</v>
      </c>
    </row>
    <row r="21" ht="14.25" customHeight="1">
      <c r="A21" s="1" t="str">
        <f>MID(B9, Constanst!$E$12, 1)</f>
        <v>0</v>
      </c>
      <c r="B21" s="1" t="str">
        <f t="shared" si="3"/>
        <v>000010010110111100010101110010011000110</v>
      </c>
    </row>
    <row r="22" ht="14.25" customHeight="1">
      <c r="A22" s="1" t="str">
        <f>MID(B9, Constanst!$E$13, 1)</f>
        <v>0</v>
      </c>
      <c r="B22" s="1" t="str">
        <f t="shared" si="3"/>
        <v>00010010110111100010101110010011000110</v>
      </c>
    </row>
    <row r="23" ht="14.25" customHeight="1">
      <c r="A23" s="1" t="str">
        <f>MID(B9, Constanst!$E$14, 1)</f>
        <v>0</v>
      </c>
      <c r="B23" s="1" t="str">
        <f t="shared" si="3"/>
        <v>0010010110111100010101110010011000110</v>
      </c>
    </row>
    <row r="24" ht="14.25" customHeight="1">
      <c r="A24" s="1" t="str">
        <f>MID(B9, Constanst!$E$15, 1)</f>
        <v>0</v>
      </c>
      <c r="B24" s="1" t="str">
        <f t="shared" si="3"/>
        <v>010010110111100010101110010011000110</v>
      </c>
    </row>
    <row r="25" ht="14.25" customHeight="1">
      <c r="A25" s="1" t="str">
        <f>MID(B9, Constanst!$E$16, 1)</f>
        <v>1</v>
      </c>
      <c r="B25" s="1" t="str">
        <f t="shared" si="3"/>
        <v>10010110111100010101110010011000110</v>
      </c>
    </row>
    <row r="26" ht="14.25" customHeight="1">
      <c r="A26" s="1" t="str">
        <f>MID(B9, Constanst!$E$17, 1)</f>
        <v>0</v>
      </c>
      <c r="B26" s="1" t="str">
        <f t="shared" si="3"/>
        <v>0010110111100010101110010011000110</v>
      </c>
    </row>
    <row r="27" ht="14.25" customHeight="1">
      <c r="A27" s="1" t="str">
        <f>MID(B9, Constanst!$E$18, 1)</f>
        <v>0</v>
      </c>
      <c r="B27" s="1" t="str">
        <f t="shared" si="3"/>
        <v>010110111100010101110010011000110</v>
      </c>
    </row>
    <row r="28" ht="14.25" customHeight="1">
      <c r="A28" s="1" t="str">
        <f>MID(B9, Constanst!$E$19, 1)</f>
        <v>1</v>
      </c>
      <c r="B28" s="1" t="str">
        <f t="shared" si="3"/>
        <v>10110111100010101110010011000110</v>
      </c>
    </row>
    <row r="29" ht="14.25" customHeight="1">
      <c r="A29" s="1" t="str">
        <f>MID(B9, Constanst!$E$20, 1)</f>
        <v>0</v>
      </c>
      <c r="B29" s="1" t="str">
        <f t="shared" si="3"/>
        <v>0110111100010101110010011000110</v>
      </c>
    </row>
    <row r="30" ht="14.25" customHeight="1">
      <c r="A30" s="1" t="str">
        <f>MID(B9, Constanst!$E$21, 1)</f>
        <v>1</v>
      </c>
      <c r="B30" s="1" t="str">
        <f t="shared" si="3"/>
        <v>110111100010101110010011000110</v>
      </c>
    </row>
    <row r="31" ht="14.25" customHeight="1">
      <c r="A31" s="1" t="str">
        <f>MID(B9, Constanst!$E$22, 1)</f>
        <v>1</v>
      </c>
      <c r="B31" s="1" t="str">
        <f t="shared" si="3"/>
        <v>10111100010101110010011000110</v>
      </c>
    </row>
    <row r="32" ht="14.25" customHeight="1">
      <c r="A32" s="1" t="str">
        <f>MID(B9, Constanst!$E$23, 1)</f>
        <v>0</v>
      </c>
      <c r="B32" s="1" t="str">
        <f t="shared" si="3"/>
        <v>0111100010101110010011000110</v>
      </c>
    </row>
    <row r="33" ht="14.25" customHeight="1">
      <c r="A33" s="1" t="str">
        <f>MID(B9, Constanst!$E$24, 1)</f>
        <v>1</v>
      </c>
      <c r="B33" s="1" t="str">
        <f t="shared" si="3"/>
        <v>111100010101110010011000110</v>
      </c>
    </row>
    <row r="34" ht="14.25" customHeight="1">
      <c r="A34" s="1" t="str">
        <f>MID(B9, Constanst!$E$25, 1)</f>
        <v>1</v>
      </c>
      <c r="B34" s="1" t="str">
        <f t="shared" si="3"/>
        <v>11100010101110010011000110</v>
      </c>
    </row>
    <row r="35" ht="14.25" customHeight="1">
      <c r="A35" s="1" t="str">
        <f>MID(B9, Constanst!$E$26, 1)</f>
        <v>1</v>
      </c>
      <c r="B35" s="1" t="str">
        <f t="shared" si="3"/>
        <v>1100010101110010011000110</v>
      </c>
    </row>
    <row r="36" ht="14.25" customHeight="1">
      <c r="A36" s="1" t="str">
        <f>MID(B9, Constanst!$E$27, 1)</f>
        <v>1</v>
      </c>
      <c r="B36" s="1" t="str">
        <f t="shared" si="3"/>
        <v>100010101110010011000110</v>
      </c>
    </row>
    <row r="37" ht="14.25" customHeight="1">
      <c r="A37" s="1" t="str">
        <f>MID(B9, Constanst!$E$28, 1)</f>
        <v>0</v>
      </c>
      <c r="B37" s="1" t="str">
        <f t="shared" si="3"/>
        <v>00010101110010011000110</v>
      </c>
    </row>
    <row r="38" ht="14.25" customHeight="1">
      <c r="A38" s="1" t="str">
        <f>MID(B9, Constanst!$E$29, 1)</f>
        <v>0</v>
      </c>
      <c r="B38" s="1" t="str">
        <f t="shared" si="3"/>
        <v>0010101110010011000110</v>
      </c>
    </row>
    <row r="39" ht="14.25" customHeight="1">
      <c r="A39" s="1" t="str">
        <f>MID(B9, Constanst!$E$30, 1)</f>
        <v>0</v>
      </c>
      <c r="B39" s="1" t="str">
        <f t="shared" si="3"/>
        <v>010101110010011000110</v>
      </c>
    </row>
    <row r="40" ht="14.25" customHeight="1">
      <c r="A40" s="1" t="str">
        <f>MID(B9, Constanst!$E$31, 1)</f>
        <v>1</v>
      </c>
      <c r="B40" s="1" t="str">
        <f t="shared" si="3"/>
        <v>10101110010011000110</v>
      </c>
    </row>
    <row r="41" ht="14.25" customHeight="1">
      <c r="A41" s="1" t="str">
        <f>MID(B9, Constanst!$E$32, 1)</f>
        <v>0</v>
      </c>
      <c r="B41" s="1" t="str">
        <f t="shared" si="3"/>
        <v>0101110010011000110</v>
      </c>
    </row>
    <row r="42" ht="14.25" customHeight="1">
      <c r="A42" s="1" t="str">
        <f>MID(B9, Constanst!$E$33, 1)</f>
        <v>1</v>
      </c>
      <c r="B42" s="1" t="str">
        <f t="shared" si="3"/>
        <v>101110010011000110</v>
      </c>
    </row>
    <row r="43" ht="14.25" customHeight="1">
      <c r="A43" s="1" t="str">
        <f>MID(B9, Constanst!$E$34, 1)</f>
        <v>0</v>
      </c>
      <c r="B43" s="1" t="str">
        <f t="shared" si="3"/>
        <v>01110010011000110</v>
      </c>
    </row>
    <row r="44" ht="14.25" customHeight="1">
      <c r="A44" s="1" t="str">
        <f>MID(B9, Constanst!$E$35, 1)</f>
        <v>1</v>
      </c>
      <c r="B44" s="1" t="str">
        <f t="shared" si="3"/>
        <v>1110010011000110</v>
      </c>
    </row>
    <row r="45" ht="14.25" customHeight="1">
      <c r="A45" s="1" t="str">
        <f>MID(B9, Constanst!$E$36, 1)</f>
        <v>1</v>
      </c>
      <c r="B45" s="1" t="str">
        <f t="shared" si="3"/>
        <v>110010011000110</v>
      </c>
    </row>
    <row r="46" ht="14.25" customHeight="1">
      <c r="A46" s="1" t="str">
        <f>MID(B9, Constanst!$E$37, 1)</f>
        <v>1</v>
      </c>
      <c r="B46" s="1" t="str">
        <f t="shared" si="3"/>
        <v>10010011000110</v>
      </c>
    </row>
    <row r="47" ht="14.25" customHeight="1">
      <c r="A47" s="1" t="str">
        <f>MID(B9, Constanst!$E$38, 1)</f>
        <v>0</v>
      </c>
      <c r="B47" s="1" t="str">
        <f t="shared" si="3"/>
        <v>0010011000110</v>
      </c>
    </row>
    <row r="48" ht="14.25" customHeight="1">
      <c r="A48" s="1" t="str">
        <f>MID(B9, Constanst!$E$39, 1)</f>
        <v>0</v>
      </c>
      <c r="B48" s="1" t="str">
        <f t="shared" si="3"/>
        <v>010011000110</v>
      </c>
    </row>
    <row r="49" ht="14.25" customHeight="1">
      <c r="A49" s="1" t="str">
        <f>MID(B9, Constanst!$E$40, 1)</f>
        <v>1</v>
      </c>
      <c r="B49" s="1" t="str">
        <f t="shared" si="3"/>
        <v>10011000110</v>
      </c>
    </row>
    <row r="50" ht="14.25" customHeight="1">
      <c r="A50" s="1" t="str">
        <f>MID(B9, Constanst!$E$41, 1)</f>
        <v>0</v>
      </c>
      <c r="B50" s="1" t="str">
        <f t="shared" si="3"/>
        <v>0011000110</v>
      </c>
    </row>
    <row r="51" ht="14.25" customHeight="1">
      <c r="A51" s="1" t="str">
        <f>MID(B9, Constanst!$E$42, 1)</f>
        <v>0</v>
      </c>
      <c r="B51" s="1" t="str">
        <f t="shared" si="3"/>
        <v>011000110</v>
      </c>
    </row>
    <row r="52" ht="14.25" customHeight="1">
      <c r="A52" s="1" t="str">
        <f>MID(B9, Constanst!$E$43, 1)</f>
        <v>1</v>
      </c>
      <c r="B52" s="1" t="str">
        <f t="shared" si="3"/>
        <v>11000110</v>
      </c>
    </row>
    <row r="53" ht="14.25" customHeight="1">
      <c r="A53" s="1" t="str">
        <f>MID(B9, Constanst!$E$44, 1)</f>
        <v>1</v>
      </c>
      <c r="B53" s="1" t="str">
        <f t="shared" si="3"/>
        <v>1000110</v>
      </c>
    </row>
    <row r="54" ht="14.25" customHeight="1">
      <c r="A54" s="1" t="str">
        <f>MID(B9, Constanst!$E$45, 1)</f>
        <v>0</v>
      </c>
      <c r="B54" s="1" t="str">
        <f t="shared" si="3"/>
        <v>000110</v>
      </c>
    </row>
    <row r="55" ht="14.25" customHeight="1">
      <c r="A55" s="1" t="str">
        <f>MID(B9, Constanst!$E$46, 1)</f>
        <v>0</v>
      </c>
      <c r="B55" s="1" t="str">
        <f t="shared" si="3"/>
        <v>00110</v>
      </c>
    </row>
    <row r="56" ht="14.25" customHeight="1">
      <c r="A56" s="1" t="str">
        <f>MID(B9, Constanst!$E$47, 1)</f>
        <v>0</v>
      </c>
      <c r="B56" s="1" t="str">
        <f t="shared" si="3"/>
        <v>0110</v>
      </c>
    </row>
    <row r="57" ht="14.25" customHeight="1">
      <c r="A57" s="1" t="str">
        <f>MID(B9, Constanst!$E$48, 1)</f>
        <v>1</v>
      </c>
      <c r="B57" s="1" t="str">
        <f t="shared" si="3"/>
        <v>110</v>
      </c>
    </row>
    <row r="58" ht="14.25" customHeight="1">
      <c r="A58" s="1" t="str">
        <f>MID(B9, Constanst!$E$49, 1)</f>
        <v>1</v>
      </c>
      <c r="B58" s="1" t="str">
        <f>A58&amp;A59</f>
        <v>10</v>
      </c>
    </row>
    <row r="59" ht="14.25" customHeight="1">
      <c r="A59" s="1" t="str">
        <f>MID(B9, Constanst!$E$50, 1)</f>
        <v>0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K7=PC2(C7D7)</v>
      </c>
      <c r="B61" s="28"/>
      <c r="C61" s="28"/>
      <c r="D61" s="29" t="str">
        <f>B12</f>
        <v>011011001000010010110111100010101110010011000110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01101100</v>
      </c>
      <c r="C64" s="26" t="str">
        <f t="shared" ref="C64:C69" si="5">BIN2HEX(B64,2)</f>
        <v>6C</v>
      </c>
    </row>
    <row r="65" ht="14.25" customHeight="1">
      <c r="A65" s="26">
        <v>2.0</v>
      </c>
      <c r="B65" s="26" t="str">
        <f t="shared" si="4"/>
        <v>10000100</v>
      </c>
      <c r="C65" s="26" t="str">
        <f t="shared" si="5"/>
        <v>84</v>
      </c>
    </row>
    <row r="66" ht="14.25" customHeight="1">
      <c r="A66" s="26">
        <v>3.0</v>
      </c>
      <c r="B66" s="26" t="str">
        <f t="shared" si="4"/>
        <v>10110111</v>
      </c>
      <c r="C66" s="26" t="str">
        <f t="shared" si="5"/>
        <v>B7</v>
      </c>
    </row>
    <row r="67" ht="14.25" customHeight="1">
      <c r="A67" s="26">
        <v>4.0</v>
      </c>
      <c r="B67" s="26" t="str">
        <f t="shared" si="4"/>
        <v>10001010</v>
      </c>
      <c r="C67" s="26" t="str">
        <f t="shared" si="5"/>
        <v>8A</v>
      </c>
    </row>
    <row r="68" ht="14.25" customHeight="1">
      <c r="A68" s="26">
        <v>5.0</v>
      </c>
      <c r="B68" s="26" t="str">
        <f t="shared" si="4"/>
        <v>11100100</v>
      </c>
      <c r="C68" s="26" t="str">
        <f t="shared" si="5"/>
        <v>E4</v>
      </c>
    </row>
    <row r="69" ht="14.25" customHeight="1">
      <c r="A69" s="26">
        <v>6.0</v>
      </c>
      <c r="B69" s="26" t="str">
        <f t="shared" si="4"/>
        <v>11000110</v>
      </c>
      <c r="C69" s="26" t="str">
        <f t="shared" si="5"/>
        <v>C6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0010101010101111110000110011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0011110000101010101010110011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00101010</v>
      </c>
      <c r="G4" s="27" t="str">
        <f t="shared" ref="G4:G6" si="1">BIN2HEX(F4,2)</f>
        <v>2A</v>
      </c>
      <c r="J4" s="27">
        <v>1.0</v>
      </c>
      <c r="K4" s="27" t="str">
        <f>MID(K1,(J4-1)*8+1, 8)</f>
        <v>00111100</v>
      </c>
      <c r="L4" s="27" t="str">
        <f t="shared" ref="L4:L6" si="2">BIN2HEX(K4,2)</f>
        <v>3C</v>
      </c>
    </row>
    <row r="5" ht="14.25" customHeight="1">
      <c r="B5" s="30"/>
      <c r="E5" s="27">
        <v>2.0</v>
      </c>
      <c r="F5" s="27" t="str">
        <f>MID(F1,(E5-1)*8+1, 8)</f>
        <v>10101111</v>
      </c>
      <c r="G5" s="27" t="str">
        <f t="shared" si="1"/>
        <v>AF</v>
      </c>
      <c r="J5" s="27">
        <v>2.0</v>
      </c>
      <c r="K5" s="27" t="str">
        <f>MID(K1,(J5-1)*8+1, 8)</f>
        <v>00101010</v>
      </c>
      <c r="L5" s="27" t="str">
        <f t="shared" si="2"/>
        <v>2A</v>
      </c>
    </row>
    <row r="6" ht="14.25" customHeight="1">
      <c r="B6" s="30"/>
      <c r="E6" s="27">
        <v>3.0</v>
      </c>
      <c r="F6" s="27" t="str">
        <f>MID(F1,(E6-1)*8+1, 8)</f>
        <v>11000011</v>
      </c>
      <c r="G6" s="27" t="str">
        <f t="shared" si="1"/>
        <v>C3</v>
      </c>
      <c r="J6" s="27">
        <v>3.0</v>
      </c>
      <c r="K6" s="27" t="str">
        <f>MID(K1,(J6-1)*8+1, 8)</f>
        <v>10101011</v>
      </c>
      <c r="L6" s="27" t="str">
        <f t="shared" si="2"/>
        <v>AB</v>
      </c>
    </row>
    <row r="7" ht="14.25" customHeight="1">
      <c r="B7" s="30"/>
      <c r="E7" s="27">
        <v>4.0</v>
      </c>
      <c r="F7" s="27" t="str">
        <f>MID(F1,(E7-1)*8+1, 8)</f>
        <v>0011</v>
      </c>
      <c r="G7" s="27" t="str">
        <f>BIN2HEX(F7,1)</f>
        <v>3</v>
      </c>
      <c r="J7" s="27">
        <v>4.0</v>
      </c>
      <c r="K7" s="27" t="str">
        <f>MID(K1,(J7-1)*8+1, 8)</f>
        <v>0011</v>
      </c>
      <c r="L7" s="27" t="str">
        <f>BIN2HEX(K7,1)</f>
        <v>3</v>
      </c>
    </row>
    <row r="8" ht="14.25" customHeight="1">
      <c r="B8" s="30"/>
    </row>
    <row r="9" ht="14.25" customHeight="1">
      <c r="A9" s="1" t="str">
        <f>M15&amp;N15&amp;"="</f>
        <v>C8D8=</v>
      </c>
      <c r="B9" s="1" t="str">
        <f>F1 &amp; K1</f>
        <v>00101010101011111100001100110011110000101010101010110011</v>
      </c>
    </row>
    <row r="10" ht="14.25" customHeight="1">
      <c r="B10" s="30"/>
      <c r="J10" s="1" t="s">
        <v>12</v>
      </c>
    </row>
    <row r="11" ht="14.25" customHeight="1">
      <c r="A11" s="1" t="str">
        <f>L15&amp;"=PC2("&amp;M15&amp;N15&amp;")"</f>
        <v>K8=PC2(C8D8)</v>
      </c>
    </row>
    <row r="12" ht="14.25" customHeight="1">
      <c r="A12" s="1" t="str">
        <f>MID(B9,Constanst!$E$3, 1)</f>
        <v>1</v>
      </c>
      <c r="B12" s="1" t="str">
        <f t="shared" ref="B12:B57" si="3">A12&amp;B13</f>
        <v>111101111000100000111010111011001110011110000001</v>
      </c>
    </row>
    <row r="13" ht="14.25" customHeight="1">
      <c r="A13" s="1" t="str">
        <f>MID(B9, Constanst!$E$4, 1)</f>
        <v>1</v>
      </c>
      <c r="B13" s="1" t="str">
        <f t="shared" si="3"/>
        <v>11101111000100000111010111011001110011110000001</v>
      </c>
    </row>
    <row r="14" ht="14.25" customHeight="1">
      <c r="A14" s="1" t="str">
        <f>MID(B9, Constanst!$E$5, 1)</f>
        <v>1</v>
      </c>
      <c r="B14" s="1" t="str">
        <f t="shared" si="3"/>
        <v>1101111000100000111010111011001110011110000001</v>
      </c>
    </row>
    <row r="15" ht="14.25" customHeight="1">
      <c r="A15" s="1" t="str">
        <f>MID(B9, Constanst!$E$6, 1)</f>
        <v>1</v>
      </c>
      <c r="B15" s="1" t="str">
        <f t="shared" si="3"/>
        <v>101111000100000111010111011001110011110000001</v>
      </c>
      <c r="L15" s="1" t="s">
        <v>13</v>
      </c>
      <c r="M15" s="1" t="s">
        <v>163</v>
      </c>
      <c r="N15" s="1" t="s">
        <v>164</v>
      </c>
    </row>
    <row r="16" ht="14.25" customHeight="1">
      <c r="A16" s="1" t="str">
        <f>MID(B9, Constanst!$E$7, 1)</f>
        <v>0</v>
      </c>
      <c r="B16" s="1" t="str">
        <f t="shared" si="3"/>
        <v>01111000100000111010111011001110011110000001</v>
      </c>
    </row>
    <row r="17" ht="14.25" customHeight="1">
      <c r="A17" s="1" t="str">
        <f>MID(B9, Constanst!$E$8, 1)</f>
        <v>1</v>
      </c>
      <c r="B17" s="1" t="str">
        <f t="shared" si="3"/>
        <v>1111000100000111010111011001110011110000001</v>
      </c>
    </row>
    <row r="18" ht="14.25" customHeight="1">
      <c r="A18" s="1" t="str">
        <f>MID(B9, Constanst!$E$9, 1)</f>
        <v>1</v>
      </c>
      <c r="B18" s="1" t="str">
        <f t="shared" si="3"/>
        <v>111000100000111010111011001110011110000001</v>
      </c>
    </row>
    <row r="19" ht="14.25" customHeight="1">
      <c r="A19" s="1" t="str">
        <f>MID(B9, Constanst!$E$10, 1)</f>
        <v>1</v>
      </c>
      <c r="B19" s="1" t="str">
        <f t="shared" si="3"/>
        <v>11000100000111010111011001110011110000001</v>
      </c>
    </row>
    <row r="20" ht="14.25" customHeight="1">
      <c r="A20" s="1" t="str">
        <f>MID(B9, Constanst!$E$11, 1)</f>
        <v>1</v>
      </c>
      <c r="B20" s="1" t="str">
        <f t="shared" si="3"/>
        <v>1000100000111010111011001110011110000001</v>
      </c>
    </row>
    <row r="21" ht="14.25" customHeight="1">
      <c r="A21" s="1" t="str">
        <f>MID(B9, Constanst!$E$12, 1)</f>
        <v>0</v>
      </c>
      <c r="B21" s="1" t="str">
        <f t="shared" si="3"/>
        <v>000100000111010111011001110011110000001</v>
      </c>
    </row>
    <row r="22" ht="14.25" customHeight="1">
      <c r="A22" s="1" t="str">
        <f>MID(B9, Constanst!$E$13, 1)</f>
        <v>0</v>
      </c>
      <c r="B22" s="1" t="str">
        <f t="shared" si="3"/>
        <v>00100000111010111011001110011110000001</v>
      </c>
    </row>
    <row r="23" ht="14.25" customHeight="1">
      <c r="A23" s="1" t="str">
        <f>MID(B9, Constanst!$E$14, 1)</f>
        <v>0</v>
      </c>
      <c r="B23" s="1" t="str">
        <f t="shared" si="3"/>
        <v>0100000111010111011001110011110000001</v>
      </c>
    </row>
    <row r="24" ht="14.25" customHeight="1">
      <c r="A24" s="1" t="str">
        <f>MID(B9, Constanst!$E$15, 1)</f>
        <v>1</v>
      </c>
      <c r="B24" s="1" t="str">
        <f t="shared" si="3"/>
        <v>100000111010111011001110011110000001</v>
      </c>
    </row>
    <row r="25" ht="14.25" customHeight="1">
      <c r="A25" s="1" t="str">
        <f>MID(B9, Constanst!$E$16, 1)</f>
        <v>0</v>
      </c>
      <c r="B25" s="1" t="str">
        <f t="shared" si="3"/>
        <v>00000111010111011001110011110000001</v>
      </c>
    </row>
    <row r="26" ht="14.25" customHeight="1">
      <c r="A26" s="1" t="str">
        <f>MID(B9, Constanst!$E$17, 1)</f>
        <v>0</v>
      </c>
      <c r="B26" s="1" t="str">
        <f t="shared" si="3"/>
        <v>0000111010111011001110011110000001</v>
      </c>
    </row>
    <row r="27" ht="14.25" customHeight="1">
      <c r="A27" s="1" t="str">
        <f>MID(B9, Constanst!$E$18, 1)</f>
        <v>0</v>
      </c>
      <c r="B27" s="1" t="str">
        <f t="shared" si="3"/>
        <v>000111010111011001110011110000001</v>
      </c>
    </row>
    <row r="28" ht="14.25" customHeight="1">
      <c r="A28" s="1" t="str">
        <f>MID(B9, Constanst!$E$19, 1)</f>
        <v>0</v>
      </c>
      <c r="B28" s="1" t="str">
        <f t="shared" si="3"/>
        <v>00111010111011001110011110000001</v>
      </c>
    </row>
    <row r="29" ht="14.25" customHeight="1">
      <c r="A29" s="1" t="str">
        <f>MID(B9, Constanst!$E$20, 1)</f>
        <v>0</v>
      </c>
      <c r="B29" s="1" t="str">
        <f t="shared" si="3"/>
        <v>0111010111011001110011110000001</v>
      </c>
    </row>
    <row r="30" ht="14.25" customHeight="1">
      <c r="A30" s="1" t="str">
        <f>MID(B9, Constanst!$E$21, 1)</f>
        <v>1</v>
      </c>
      <c r="B30" s="1" t="str">
        <f t="shared" si="3"/>
        <v>111010111011001110011110000001</v>
      </c>
    </row>
    <row r="31" ht="14.25" customHeight="1">
      <c r="A31" s="1" t="str">
        <f>MID(B9, Constanst!$E$22, 1)</f>
        <v>1</v>
      </c>
      <c r="B31" s="1" t="str">
        <f t="shared" si="3"/>
        <v>11010111011001110011110000001</v>
      </c>
    </row>
    <row r="32" ht="14.25" customHeight="1">
      <c r="A32" s="1" t="str">
        <f>MID(B9, Constanst!$E$23, 1)</f>
        <v>1</v>
      </c>
      <c r="B32" s="1" t="str">
        <f t="shared" si="3"/>
        <v>1010111011001110011110000001</v>
      </c>
    </row>
    <row r="33" ht="14.25" customHeight="1">
      <c r="A33" s="1" t="str">
        <f>MID(B9, Constanst!$E$24, 1)</f>
        <v>0</v>
      </c>
      <c r="B33" s="1" t="str">
        <f t="shared" si="3"/>
        <v>010111011001110011110000001</v>
      </c>
    </row>
    <row r="34" ht="14.25" customHeight="1">
      <c r="A34" s="1" t="str">
        <f>MID(B9, Constanst!$E$25, 1)</f>
        <v>1</v>
      </c>
      <c r="B34" s="1" t="str">
        <f t="shared" si="3"/>
        <v>10111011001110011110000001</v>
      </c>
    </row>
    <row r="35" ht="14.25" customHeight="1">
      <c r="A35" s="1" t="str">
        <f>MID(B9, Constanst!$E$26, 1)</f>
        <v>0</v>
      </c>
      <c r="B35" s="1" t="str">
        <f t="shared" si="3"/>
        <v>0111011001110011110000001</v>
      </c>
    </row>
    <row r="36" ht="14.25" customHeight="1">
      <c r="A36" s="1" t="str">
        <f>MID(B9, Constanst!$E$27, 1)</f>
        <v>1</v>
      </c>
      <c r="B36" s="1" t="str">
        <f t="shared" si="3"/>
        <v>111011001110011110000001</v>
      </c>
    </row>
    <row r="37" ht="14.25" customHeight="1">
      <c r="A37" s="1" t="str">
        <f>MID(B9, Constanst!$E$28, 1)</f>
        <v>1</v>
      </c>
      <c r="B37" s="1" t="str">
        <f t="shared" si="3"/>
        <v>11011001110011110000001</v>
      </c>
    </row>
    <row r="38" ht="14.25" customHeight="1">
      <c r="A38" s="1" t="str">
        <f>MID(B9, Constanst!$E$29, 1)</f>
        <v>1</v>
      </c>
      <c r="B38" s="1" t="str">
        <f t="shared" si="3"/>
        <v>1011001110011110000001</v>
      </c>
    </row>
    <row r="39" ht="14.25" customHeight="1">
      <c r="A39" s="1" t="str">
        <f>MID(B9, Constanst!$E$30, 1)</f>
        <v>0</v>
      </c>
      <c r="B39" s="1" t="str">
        <f t="shared" si="3"/>
        <v>011001110011110000001</v>
      </c>
    </row>
    <row r="40" ht="14.25" customHeight="1">
      <c r="A40" s="1" t="str">
        <f>MID(B9, Constanst!$E$31, 1)</f>
        <v>1</v>
      </c>
      <c r="B40" s="1" t="str">
        <f t="shared" si="3"/>
        <v>11001110011110000001</v>
      </c>
    </row>
    <row r="41" ht="14.25" customHeight="1">
      <c r="A41" s="1" t="str">
        <f>MID(B9, Constanst!$E$32, 1)</f>
        <v>1</v>
      </c>
      <c r="B41" s="1" t="str">
        <f t="shared" si="3"/>
        <v>1001110011110000001</v>
      </c>
    </row>
    <row r="42" ht="14.25" customHeight="1">
      <c r="A42" s="1" t="str">
        <f>MID(B9, Constanst!$E$33, 1)</f>
        <v>0</v>
      </c>
      <c r="B42" s="1" t="str">
        <f t="shared" si="3"/>
        <v>001110011110000001</v>
      </c>
    </row>
    <row r="43" ht="14.25" customHeight="1">
      <c r="A43" s="1" t="str">
        <f>MID(B9, Constanst!$E$34, 1)</f>
        <v>0</v>
      </c>
      <c r="B43" s="1" t="str">
        <f t="shared" si="3"/>
        <v>01110011110000001</v>
      </c>
    </row>
    <row r="44" ht="14.25" customHeight="1">
      <c r="A44" s="1" t="str">
        <f>MID(B9, Constanst!$E$35, 1)</f>
        <v>1</v>
      </c>
      <c r="B44" s="1" t="str">
        <f t="shared" si="3"/>
        <v>1110011110000001</v>
      </c>
    </row>
    <row r="45" ht="14.25" customHeight="1">
      <c r="A45" s="1" t="str">
        <f>MID(B9, Constanst!$E$36, 1)</f>
        <v>1</v>
      </c>
      <c r="B45" s="1" t="str">
        <f t="shared" si="3"/>
        <v>110011110000001</v>
      </c>
    </row>
    <row r="46" ht="14.25" customHeight="1">
      <c r="A46" s="1" t="str">
        <f>MID(B9, Constanst!$E$37, 1)</f>
        <v>1</v>
      </c>
      <c r="B46" s="1" t="str">
        <f t="shared" si="3"/>
        <v>10011110000001</v>
      </c>
    </row>
    <row r="47" ht="14.25" customHeight="1">
      <c r="A47" s="1" t="str">
        <f>MID(B9, Constanst!$E$38, 1)</f>
        <v>0</v>
      </c>
      <c r="B47" s="1" t="str">
        <f t="shared" si="3"/>
        <v>0011110000001</v>
      </c>
    </row>
    <row r="48" ht="14.25" customHeight="1">
      <c r="A48" s="1" t="str">
        <f>MID(B9, Constanst!$E$39, 1)</f>
        <v>0</v>
      </c>
      <c r="B48" s="1" t="str">
        <f t="shared" si="3"/>
        <v>011110000001</v>
      </c>
    </row>
    <row r="49" ht="14.25" customHeight="1">
      <c r="A49" s="1" t="str">
        <f>MID(B9, Constanst!$E$40, 1)</f>
        <v>1</v>
      </c>
      <c r="B49" s="1" t="str">
        <f t="shared" si="3"/>
        <v>11110000001</v>
      </c>
    </row>
    <row r="50" ht="14.25" customHeight="1">
      <c r="A50" s="1" t="str">
        <f>MID(B9, Constanst!$E$41, 1)</f>
        <v>1</v>
      </c>
      <c r="B50" s="1" t="str">
        <f t="shared" si="3"/>
        <v>1110000001</v>
      </c>
    </row>
    <row r="51" ht="14.25" customHeight="1">
      <c r="A51" s="1" t="str">
        <f>MID(B9, Constanst!$E$42, 1)</f>
        <v>1</v>
      </c>
      <c r="B51" s="1" t="str">
        <f t="shared" si="3"/>
        <v>110000001</v>
      </c>
    </row>
    <row r="52" ht="14.25" customHeight="1">
      <c r="A52" s="1" t="str">
        <f>MID(B9, Constanst!$E$43, 1)</f>
        <v>1</v>
      </c>
      <c r="B52" s="1" t="str">
        <f t="shared" si="3"/>
        <v>10000001</v>
      </c>
    </row>
    <row r="53" ht="14.25" customHeight="1">
      <c r="A53" s="1" t="str">
        <f>MID(B9, Constanst!$E$44, 1)</f>
        <v>0</v>
      </c>
      <c r="B53" s="1" t="str">
        <f t="shared" si="3"/>
        <v>0000001</v>
      </c>
    </row>
    <row r="54" ht="14.25" customHeight="1">
      <c r="A54" s="1" t="str">
        <f>MID(B9, Constanst!$E$45, 1)</f>
        <v>0</v>
      </c>
      <c r="B54" s="1" t="str">
        <f t="shared" si="3"/>
        <v>000001</v>
      </c>
    </row>
    <row r="55" ht="14.25" customHeight="1">
      <c r="A55" s="1" t="str">
        <f>MID(B9, Constanst!$E$46, 1)</f>
        <v>0</v>
      </c>
      <c r="B55" s="1" t="str">
        <f t="shared" si="3"/>
        <v>00001</v>
      </c>
    </row>
    <row r="56" ht="14.25" customHeight="1">
      <c r="A56" s="1" t="str">
        <f>MID(B9, Constanst!$E$47, 1)</f>
        <v>0</v>
      </c>
      <c r="B56" s="1" t="str">
        <f t="shared" si="3"/>
        <v>0001</v>
      </c>
    </row>
    <row r="57" ht="14.25" customHeight="1">
      <c r="A57" s="1" t="str">
        <f>MID(B9, Constanst!$E$48, 1)</f>
        <v>0</v>
      </c>
      <c r="B57" s="1" t="str">
        <f t="shared" si="3"/>
        <v>001</v>
      </c>
    </row>
    <row r="58" ht="14.25" customHeight="1">
      <c r="A58" s="1" t="str">
        <f>MID(B9, Constanst!$E$49, 1)</f>
        <v>0</v>
      </c>
      <c r="B58" s="1" t="str">
        <f>A58&amp;A59</f>
        <v>01</v>
      </c>
    </row>
    <row r="59" ht="14.25" customHeight="1">
      <c r="A59" s="1" t="str">
        <f>MID(B9, Constanst!$E$50, 1)</f>
        <v>1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K8=PC2(C8D8)</v>
      </c>
      <c r="B61" s="28"/>
      <c r="C61" s="28"/>
      <c r="D61" s="29" t="str">
        <f>B12</f>
        <v>111101111000100000111010111011001110011110000001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11110111</v>
      </c>
      <c r="C64" s="26" t="str">
        <f t="shared" ref="C64:C69" si="5">BIN2HEX(B64,2)</f>
        <v>F7</v>
      </c>
    </row>
    <row r="65" ht="14.25" customHeight="1">
      <c r="A65" s="26">
        <v>2.0</v>
      </c>
      <c r="B65" s="26" t="str">
        <f t="shared" si="4"/>
        <v>10001000</v>
      </c>
      <c r="C65" s="26" t="str">
        <f t="shared" si="5"/>
        <v>88</v>
      </c>
    </row>
    <row r="66" ht="14.25" customHeight="1">
      <c r="A66" s="26">
        <v>3.0</v>
      </c>
      <c r="B66" s="26" t="str">
        <f t="shared" si="4"/>
        <v>00111010</v>
      </c>
      <c r="C66" s="26" t="str">
        <f t="shared" si="5"/>
        <v>3A</v>
      </c>
    </row>
    <row r="67" ht="14.25" customHeight="1">
      <c r="A67" s="26">
        <v>4.0</v>
      </c>
      <c r="B67" s="26" t="str">
        <f t="shared" si="4"/>
        <v>11101100</v>
      </c>
      <c r="C67" s="26" t="str">
        <f t="shared" si="5"/>
        <v>EC</v>
      </c>
    </row>
    <row r="68" ht="14.25" customHeight="1">
      <c r="A68" s="26">
        <v>5.0</v>
      </c>
      <c r="B68" s="26" t="str">
        <f t="shared" si="4"/>
        <v>11100111</v>
      </c>
      <c r="C68" s="26" t="str">
        <f t="shared" si="5"/>
        <v>E7</v>
      </c>
    </row>
    <row r="69" ht="14.25" customHeight="1">
      <c r="A69" s="26">
        <v>6.0</v>
      </c>
      <c r="B69" s="26" t="str">
        <f t="shared" si="4"/>
        <v>10000001</v>
      </c>
      <c r="C69" s="26" t="str">
        <f t="shared" si="5"/>
        <v>81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LEN(INDIRECT("'"&amp;$J$10&amp;"'!F1"))-1) &amp; LEFT(INDIRECT("'"&amp;$J$10&amp;"'!F1"),1)</f>
        <v>0101010101011111100001100110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LEN(INDIRECT("'"&amp;$J$10&amp;"'!K1"))-1) &amp; LEFT(INDIRECT("'"&amp;$J$10&amp;"'!K1"),1)</f>
        <v>0111100001010101010101100110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01010101</v>
      </c>
      <c r="G4" s="27" t="str">
        <f t="shared" ref="G4:G6" si="1">BIN2HEX(F4,2)</f>
        <v>55</v>
      </c>
      <c r="J4" s="27">
        <v>1.0</v>
      </c>
      <c r="K4" s="27" t="str">
        <f>MID(K1,(J4-1)*8+1, 8)</f>
        <v>01111000</v>
      </c>
      <c r="L4" s="27" t="str">
        <f t="shared" ref="L4:L6" si="2">BIN2HEX(K4,2)</f>
        <v>78</v>
      </c>
    </row>
    <row r="5" ht="14.25" customHeight="1">
      <c r="B5" s="30"/>
      <c r="E5" s="27">
        <v>2.0</v>
      </c>
      <c r="F5" s="27" t="str">
        <f>MID(F1,(E5-1)*8+1, 8)</f>
        <v>01011111</v>
      </c>
      <c r="G5" s="27" t="str">
        <f t="shared" si="1"/>
        <v>5F</v>
      </c>
      <c r="J5" s="27">
        <v>2.0</v>
      </c>
      <c r="K5" s="27" t="str">
        <f>MID(K1,(J5-1)*8+1, 8)</f>
        <v>01010101</v>
      </c>
      <c r="L5" s="27" t="str">
        <f t="shared" si="2"/>
        <v>55</v>
      </c>
    </row>
    <row r="6" ht="14.25" customHeight="1">
      <c r="B6" s="30"/>
      <c r="E6" s="27">
        <v>3.0</v>
      </c>
      <c r="F6" s="27" t="str">
        <f>MID(F1,(E6-1)*8+1, 8)</f>
        <v>10000110</v>
      </c>
      <c r="G6" s="27" t="str">
        <f t="shared" si="1"/>
        <v>86</v>
      </c>
      <c r="J6" s="27">
        <v>3.0</v>
      </c>
      <c r="K6" s="27" t="str">
        <f>MID(K1,(J6-1)*8+1, 8)</f>
        <v>01010110</v>
      </c>
      <c r="L6" s="27" t="str">
        <f t="shared" si="2"/>
        <v>56</v>
      </c>
    </row>
    <row r="7" ht="14.25" customHeight="1">
      <c r="B7" s="30"/>
      <c r="E7" s="27">
        <v>4.0</v>
      </c>
      <c r="F7" s="27" t="str">
        <f>MID(F1,(E7-1)*8+1, 8)</f>
        <v>0110</v>
      </c>
      <c r="G7" s="27" t="str">
        <f>BIN2HEX(F7,1)</f>
        <v>6</v>
      </c>
      <c r="J7" s="27">
        <v>4.0</v>
      </c>
      <c r="K7" s="27" t="str">
        <f>MID(K1,(J7-1)*8+1, 8)</f>
        <v>0110</v>
      </c>
      <c r="L7" s="27" t="str">
        <f>BIN2HEX(K7,1)</f>
        <v>6</v>
      </c>
    </row>
    <row r="8" ht="14.25" customHeight="1">
      <c r="B8" s="30"/>
    </row>
    <row r="9" ht="14.25" customHeight="1">
      <c r="A9" s="1" t="str">
        <f>M15&amp;N15&amp;"="</f>
        <v>C9D9=</v>
      </c>
      <c r="B9" s="1" t="str">
        <f>F1 &amp; K1</f>
        <v>01010101010111111000011001100111100001010101010101100110</v>
      </c>
    </row>
    <row r="10" ht="14.25" customHeight="1">
      <c r="B10" s="30"/>
      <c r="J10" s="1" t="s">
        <v>13</v>
      </c>
    </row>
    <row r="11" ht="14.25" customHeight="1">
      <c r="A11" s="1" t="str">
        <f>L15&amp;"=PC2("&amp;M15&amp;N15&amp;")"</f>
        <v>K9=PC2(C9D9)</v>
      </c>
    </row>
    <row r="12" ht="14.25" customHeight="1">
      <c r="A12" s="1" t="str">
        <f>MID(B9,Constanst!$E$3, 1)</f>
        <v>1</v>
      </c>
      <c r="B12" s="1" t="str">
        <f t="shared" ref="B12:B57" si="3">A12&amp;B13</f>
        <v>110000001101101111101011001001111011100000111001</v>
      </c>
    </row>
    <row r="13" ht="14.25" customHeight="1">
      <c r="A13" s="1" t="str">
        <f>MID(B9, Constanst!$E$4, 1)</f>
        <v>1</v>
      </c>
      <c r="B13" s="1" t="str">
        <f t="shared" si="3"/>
        <v>10000001101101111101011001001111011100000111001</v>
      </c>
    </row>
    <row r="14" ht="14.25" customHeight="1">
      <c r="A14" s="1" t="str">
        <f>MID(B9, Constanst!$E$5, 1)</f>
        <v>0</v>
      </c>
      <c r="B14" s="1" t="str">
        <f t="shared" si="3"/>
        <v>0000001101101111101011001001111011100000111001</v>
      </c>
    </row>
    <row r="15" ht="14.25" customHeight="1">
      <c r="A15" s="1" t="str">
        <f>MID(B9, Constanst!$E$6, 1)</f>
        <v>0</v>
      </c>
      <c r="B15" s="1" t="str">
        <f t="shared" si="3"/>
        <v>000001101101111101011001001111011100000111001</v>
      </c>
      <c r="L15" s="1" t="s">
        <v>14</v>
      </c>
      <c r="M15" s="1" t="s">
        <v>165</v>
      </c>
      <c r="N15" s="1" t="s">
        <v>166</v>
      </c>
    </row>
    <row r="16" ht="14.25" customHeight="1">
      <c r="A16" s="1" t="str">
        <f>MID(B9, Constanst!$E$7, 1)</f>
        <v>0</v>
      </c>
      <c r="B16" s="1" t="str">
        <f t="shared" si="3"/>
        <v>00001101101111101011001001111011100000111001</v>
      </c>
    </row>
    <row r="17" ht="14.25" customHeight="1">
      <c r="A17" s="1" t="str">
        <f>MID(B9, Constanst!$E$8, 1)</f>
        <v>0</v>
      </c>
      <c r="B17" s="1" t="str">
        <f t="shared" si="3"/>
        <v>0001101101111101011001001111011100000111001</v>
      </c>
    </row>
    <row r="18" ht="14.25" customHeight="1">
      <c r="A18" s="1" t="str">
        <f>MID(B9, Constanst!$E$9, 1)</f>
        <v>0</v>
      </c>
      <c r="B18" s="1" t="str">
        <f t="shared" si="3"/>
        <v>001101101111101011001001111011100000111001</v>
      </c>
    </row>
    <row r="19" ht="14.25" customHeight="1">
      <c r="A19" s="1" t="str">
        <f>MID(B9, Constanst!$E$10, 1)</f>
        <v>0</v>
      </c>
      <c r="B19" s="1" t="str">
        <f t="shared" si="3"/>
        <v>01101101111101011001001111011100000111001</v>
      </c>
    </row>
    <row r="20" ht="14.25" customHeight="1">
      <c r="A20" s="1" t="str">
        <f>MID(B9, Constanst!$E$11, 1)</f>
        <v>1</v>
      </c>
      <c r="B20" s="1" t="str">
        <f t="shared" si="3"/>
        <v>1101101111101011001001111011100000111001</v>
      </c>
    </row>
    <row r="21" ht="14.25" customHeight="1">
      <c r="A21" s="1" t="str">
        <f>MID(B9, Constanst!$E$12, 1)</f>
        <v>1</v>
      </c>
      <c r="B21" s="1" t="str">
        <f t="shared" si="3"/>
        <v>101101111101011001001111011100000111001</v>
      </c>
    </row>
    <row r="22" ht="14.25" customHeight="1">
      <c r="A22" s="1" t="str">
        <f>MID(B9, Constanst!$E$13, 1)</f>
        <v>0</v>
      </c>
      <c r="B22" s="1" t="str">
        <f t="shared" si="3"/>
        <v>01101111101011001001111011100000111001</v>
      </c>
    </row>
    <row r="23" ht="14.25" customHeight="1">
      <c r="A23" s="1" t="str">
        <f>MID(B9, Constanst!$E$14, 1)</f>
        <v>1</v>
      </c>
      <c r="B23" s="1" t="str">
        <f t="shared" si="3"/>
        <v>1101111101011001001111011100000111001</v>
      </c>
    </row>
    <row r="24" ht="14.25" customHeight="1">
      <c r="A24" s="1" t="str">
        <f>MID(B9, Constanst!$E$15, 1)</f>
        <v>1</v>
      </c>
      <c r="B24" s="1" t="str">
        <f t="shared" si="3"/>
        <v>101111101011001001111011100000111001</v>
      </c>
    </row>
    <row r="25" ht="14.25" customHeight="1">
      <c r="A25" s="1" t="str">
        <f>MID(B9, Constanst!$E$16, 1)</f>
        <v>0</v>
      </c>
      <c r="B25" s="1" t="str">
        <f t="shared" si="3"/>
        <v>01111101011001001111011100000111001</v>
      </c>
    </row>
    <row r="26" ht="14.25" customHeight="1">
      <c r="A26" s="1" t="str">
        <f>MID(B9, Constanst!$E$17, 1)</f>
        <v>1</v>
      </c>
      <c r="B26" s="1" t="str">
        <f t="shared" si="3"/>
        <v>1111101011001001111011100000111001</v>
      </c>
    </row>
    <row r="27" ht="14.25" customHeight="1">
      <c r="A27" s="1" t="str">
        <f>MID(B9, Constanst!$E$18, 1)</f>
        <v>1</v>
      </c>
      <c r="B27" s="1" t="str">
        <f t="shared" si="3"/>
        <v>111101011001001111011100000111001</v>
      </c>
    </row>
    <row r="28" ht="14.25" customHeight="1">
      <c r="A28" s="1" t="str">
        <f>MID(B9, Constanst!$E$19, 1)</f>
        <v>1</v>
      </c>
      <c r="B28" s="1" t="str">
        <f t="shared" si="3"/>
        <v>11101011001001111011100000111001</v>
      </c>
    </row>
    <row r="29" ht="14.25" customHeight="1">
      <c r="A29" s="1" t="str">
        <f>MID(B9, Constanst!$E$20, 1)</f>
        <v>1</v>
      </c>
      <c r="B29" s="1" t="str">
        <f t="shared" si="3"/>
        <v>1101011001001111011100000111001</v>
      </c>
    </row>
    <row r="30" ht="14.25" customHeight="1">
      <c r="A30" s="1" t="str">
        <f>MID(B9, Constanst!$E$21, 1)</f>
        <v>1</v>
      </c>
      <c r="B30" s="1" t="str">
        <f t="shared" si="3"/>
        <v>101011001001111011100000111001</v>
      </c>
    </row>
    <row r="31" ht="14.25" customHeight="1">
      <c r="A31" s="1" t="str">
        <f>MID(B9, Constanst!$E$22, 1)</f>
        <v>0</v>
      </c>
      <c r="B31" s="1" t="str">
        <f t="shared" si="3"/>
        <v>01011001001111011100000111001</v>
      </c>
    </row>
    <row r="32" ht="14.25" customHeight="1">
      <c r="A32" s="1" t="str">
        <f>MID(B9, Constanst!$E$23, 1)</f>
        <v>1</v>
      </c>
      <c r="B32" s="1" t="str">
        <f t="shared" si="3"/>
        <v>1011001001111011100000111001</v>
      </c>
    </row>
    <row r="33" ht="14.25" customHeight="1">
      <c r="A33" s="1" t="str">
        <f>MID(B9, Constanst!$E$24, 1)</f>
        <v>0</v>
      </c>
      <c r="B33" s="1" t="str">
        <f t="shared" si="3"/>
        <v>011001001111011100000111001</v>
      </c>
    </row>
    <row r="34" ht="14.25" customHeight="1">
      <c r="A34" s="1" t="str">
        <f>MID(B9, Constanst!$E$25, 1)</f>
        <v>1</v>
      </c>
      <c r="B34" s="1" t="str">
        <f t="shared" si="3"/>
        <v>11001001111011100000111001</v>
      </c>
    </row>
    <row r="35" ht="14.25" customHeight="1">
      <c r="A35" s="1" t="str">
        <f>MID(B9, Constanst!$E$26, 1)</f>
        <v>1</v>
      </c>
      <c r="B35" s="1" t="str">
        <f t="shared" si="3"/>
        <v>1001001111011100000111001</v>
      </c>
    </row>
    <row r="36" ht="14.25" customHeight="1">
      <c r="A36" s="1" t="str">
        <f>MID(B9, Constanst!$E$27, 1)</f>
        <v>0</v>
      </c>
      <c r="B36" s="1" t="str">
        <f t="shared" si="3"/>
        <v>001001111011100000111001</v>
      </c>
    </row>
    <row r="37" ht="14.25" customHeight="1">
      <c r="A37" s="1" t="str">
        <f>MID(B9, Constanst!$E$28, 1)</f>
        <v>0</v>
      </c>
      <c r="B37" s="1" t="str">
        <f t="shared" si="3"/>
        <v>01001111011100000111001</v>
      </c>
    </row>
    <row r="38" ht="14.25" customHeight="1">
      <c r="A38" s="1" t="str">
        <f>MID(B9, Constanst!$E$29, 1)</f>
        <v>1</v>
      </c>
      <c r="B38" s="1" t="str">
        <f t="shared" si="3"/>
        <v>1001111011100000111001</v>
      </c>
    </row>
    <row r="39" ht="14.25" customHeight="1">
      <c r="A39" s="1" t="str">
        <f>MID(B9, Constanst!$E$30, 1)</f>
        <v>0</v>
      </c>
      <c r="B39" s="1" t="str">
        <f t="shared" si="3"/>
        <v>001111011100000111001</v>
      </c>
    </row>
    <row r="40" ht="14.25" customHeight="1">
      <c r="A40" s="1" t="str">
        <f>MID(B9, Constanst!$E$31, 1)</f>
        <v>0</v>
      </c>
      <c r="B40" s="1" t="str">
        <f t="shared" si="3"/>
        <v>01111011100000111001</v>
      </c>
    </row>
    <row r="41" ht="14.25" customHeight="1">
      <c r="A41" s="1" t="str">
        <f>MID(B9, Constanst!$E$32, 1)</f>
        <v>1</v>
      </c>
      <c r="B41" s="1" t="str">
        <f t="shared" si="3"/>
        <v>1111011100000111001</v>
      </c>
    </row>
    <row r="42" ht="14.25" customHeight="1">
      <c r="A42" s="1" t="str">
        <f>MID(B9, Constanst!$E$33, 1)</f>
        <v>1</v>
      </c>
      <c r="B42" s="1" t="str">
        <f t="shared" si="3"/>
        <v>111011100000111001</v>
      </c>
    </row>
    <row r="43" ht="14.25" customHeight="1">
      <c r="A43" s="1" t="str">
        <f>MID(B9, Constanst!$E$34, 1)</f>
        <v>1</v>
      </c>
      <c r="B43" s="1" t="str">
        <f t="shared" si="3"/>
        <v>11011100000111001</v>
      </c>
    </row>
    <row r="44" ht="14.25" customHeight="1">
      <c r="A44" s="1" t="str">
        <f>MID(B9, Constanst!$E$35, 1)</f>
        <v>1</v>
      </c>
      <c r="B44" s="1" t="str">
        <f t="shared" si="3"/>
        <v>1011100000111001</v>
      </c>
    </row>
    <row r="45" ht="14.25" customHeight="1">
      <c r="A45" s="1" t="str">
        <f>MID(B9, Constanst!$E$36, 1)</f>
        <v>0</v>
      </c>
      <c r="B45" s="1" t="str">
        <f t="shared" si="3"/>
        <v>011100000111001</v>
      </c>
    </row>
    <row r="46" ht="14.25" customHeight="1">
      <c r="A46" s="1" t="str">
        <f>MID(B9, Constanst!$E$37, 1)</f>
        <v>1</v>
      </c>
      <c r="B46" s="1" t="str">
        <f t="shared" si="3"/>
        <v>11100000111001</v>
      </c>
    </row>
    <row r="47" ht="14.25" customHeight="1">
      <c r="A47" s="1" t="str">
        <f>MID(B9, Constanst!$E$38, 1)</f>
        <v>1</v>
      </c>
      <c r="B47" s="1" t="str">
        <f t="shared" si="3"/>
        <v>1100000111001</v>
      </c>
    </row>
    <row r="48" ht="14.25" customHeight="1">
      <c r="A48" s="1" t="str">
        <f>MID(B9, Constanst!$E$39, 1)</f>
        <v>1</v>
      </c>
      <c r="B48" s="1" t="str">
        <f t="shared" si="3"/>
        <v>100000111001</v>
      </c>
    </row>
    <row r="49" ht="14.25" customHeight="1">
      <c r="A49" s="1" t="str">
        <f>MID(B9, Constanst!$E$40, 1)</f>
        <v>0</v>
      </c>
      <c r="B49" s="1" t="str">
        <f t="shared" si="3"/>
        <v>00000111001</v>
      </c>
    </row>
    <row r="50" ht="14.25" customHeight="1">
      <c r="A50" s="1" t="str">
        <f>MID(B9, Constanst!$E$41, 1)</f>
        <v>0</v>
      </c>
      <c r="B50" s="1" t="str">
        <f t="shared" si="3"/>
        <v>0000111001</v>
      </c>
    </row>
    <row r="51" ht="14.25" customHeight="1">
      <c r="A51" s="1" t="str">
        <f>MID(B9, Constanst!$E$42, 1)</f>
        <v>0</v>
      </c>
      <c r="B51" s="1" t="str">
        <f t="shared" si="3"/>
        <v>000111001</v>
      </c>
    </row>
    <row r="52" ht="14.25" customHeight="1">
      <c r="A52" s="1" t="str">
        <f>MID(B9, Constanst!$E$43, 1)</f>
        <v>0</v>
      </c>
      <c r="B52" s="1" t="str">
        <f t="shared" si="3"/>
        <v>00111001</v>
      </c>
    </row>
    <row r="53" ht="14.25" customHeight="1">
      <c r="A53" s="1" t="str">
        <f>MID(B9, Constanst!$E$44, 1)</f>
        <v>0</v>
      </c>
      <c r="B53" s="1" t="str">
        <f t="shared" si="3"/>
        <v>0111001</v>
      </c>
    </row>
    <row r="54" ht="14.25" customHeight="1">
      <c r="A54" s="1" t="str">
        <f>MID(B9, Constanst!$E$45, 1)</f>
        <v>1</v>
      </c>
      <c r="B54" s="1" t="str">
        <f t="shared" si="3"/>
        <v>111001</v>
      </c>
    </row>
    <row r="55" ht="14.25" customHeight="1">
      <c r="A55" s="1" t="str">
        <f>MID(B9, Constanst!$E$46, 1)</f>
        <v>1</v>
      </c>
      <c r="B55" s="1" t="str">
        <f t="shared" si="3"/>
        <v>11001</v>
      </c>
    </row>
    <row r="56" ht="14.25" customHeight="1">
      <c r="A56" s="1" t="str">
        <f>MID(B9, Constanst!$E$47, 1)</f>
        <v>1</v>
      </c>
      <c r="B56" s="1" t="str">
        <f t="shared" si="3"/>
        <v>1001</v>
      </c>
    </row>
    <row r="57" ht="14.25" customHeight="1">
      <c r="A57" s="1" t="str">
        <f>MID(B9, Constanst!$E$48, 1)</f>
        <v>0</v>
      </c>
      <c r="B57" s="1" t="str">
        <f t="shared" si="3"/>
        <v>001</v>
      </c>
    </row>
    <row r="58" ht="14.25" customHeight="1">
      <c r="A58" s="1" t="str">
        <f>MID(B9, Constanst!$E$49, 1)</f>
        <v>0</v>
      </c>
      <c r="B58" s="1" t="str">
        <f>A58&amp;A59</f>
        <v>01</v>
      </c>
    </row>
    <row r="59" ht="14.25" customHeight="1">
      <c r="A59" s="1" t="str">
        <f>MID(B9, Constanst!$E$50, 1)</f>
        <v>1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K9=PC2(C9D9)</v>
      </c>
      <c r="B61" s="28"/>
      <c r="C61" s="28"/>
      <c r="D61" s="29" t="str">
        <f>B12</f>
        <v>110000001101101111101011001001111011100000111001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11000000</v>
      </c>
      <c r="C64" s="26" t="str">
        <f t="shared" ref="C64:C69" si="5">BIN2HEX(B64,2)</f>
        <v>C0</v>
      </c>
    </row>
    <row r="65" ht="14.25" customHeight="1">
      <c r="A65" s="26">
        <v>2.0</v>
      </c>
      <c r="B65" s="26" t="str">
        <f t="shared" si="4"/>
        <v>11011011</v>
      </c>
      <c r="C65" s="26" t="str">
        <f t="shared" si="5"/>
        <v>DB</v>
      </c>
    </row>
    <row r="66" ht="14.25" customHeight="1">
      <c r="A66" s="26">
        <v>3.0</v>
      </c>
      <c r="B66" s="26" t="str">
        <f t="shared" si="4"/>
        <v>11101011</v>
      </c>
      <c r="C66" s="26" t="str">
        <f t="shared" si="5"/>
        <v>EB</v>
      </c>
    </row>
    <row r="67" ht="14.25" customHeight="1">
      <c r="A67" s="26">
        <v>4.0</v>
      </c>
      <c r="B67" s="26" t="str">
        <f t="shared" si="4"/>
        <v>00100111</v>
      </c>
      <c r="C67" s="26" t="str">
        <f t="shared" si="5"/>
        <v>27</v>
      </c>
    </row>
    <row r="68" ht="14.25" customHeight="1">
      <c r="A68" s="26">
        <v>5.0</v>
      </c>
      <c r="B68" s="26" t="str">
        <f t="shared" si="4"/>
        <v>10111000</v>
      </c>
      <c r="C68" s="26" t="str">
        <f t="shared" si="5"/>
        <v>B8</v>
      </c>
    </row>
    <row r="69" ht="14.25" customHeight="1">
      <c r="A69" s="26">
        <v>6.0</v>
      </c>
      <c r="B69" s="26" t="str">
        <f t="shared" si="4"/>
        <v>00111001</v>
      </c>
      <c r="C69" s="26" t="str">
        <f t="shared" si="5"/>
        <v>39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0101010101111110000110011001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1110000101010101010110011001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01010101</v>
      </c>
      <c r="G4" s="27" t="str">
        <f t="shared" ref="G4:G6" si="1">BIN2HEX(F4,2)</f>
        <v>55</v>
      </c>
      <c r="J4" s="27">
        <v>1.0</v>
      </c>
      <c r="K4" s="27" t="str">
        <f>MID(K1,(J4-1)*8+1, 8)</f>
        <v>11100001</v>
      </c>
      <c r="L4" s="27" t="str">
        <f t="shared" ref="L4:L6" si="2">BIN2HEX(K4,2)</f>
        <v>E1</v>
      </c>
    </row>
    <row r="5" ht="14.25" customHeight="1">
      <c r="B5" s="30"/>
      <c r="E5" s="27">
        <v>2.0</v>
      </c>
      <c r="F5" s="27" t="str">
        <f>MID(F1,(E5-1)*8+1, 8)</f>
        <v>01111110</v>
      </c>
      <c r="G5" s="27" t="str">
        <f t="shared" si="1"/>
        <v>7E</v>
      </c>
      <c r="J5" s="27">
        <v>2.0</v>
      </c>
      <c r="K5" s="27" t="str">
        <f>MID(K1,(J5-1)*8+1, 8)</f>
        <v>01010101</v>
      </c>
      <c r="L5" s="27" t="str">
        <f t="shared" si="2"/>
        <v>55</v>
      </c>
    </row>
    <row r="6" ht="14.25" customHeight="1">
      <c r="B6" s="30"/>
      <c r="E6" s="27">
        <v>3.0</v>
      </c>
      <c r="F6" s="27" t="str">
        <f>MID(F1,(E6-1)*8+1, 8)</f>
        <v>00011001</v>
      </c>
      <c r="G6" s="27" t="str">
        <f t="shared" si="1"/>
        <v>19</v>
      </c>
      <c r="J6" s="27">
        <v>3.0</v>
      </c>
      <c r="K6" s="27" t="str">
        <f>MID(K1,(J6-1)*8+1, 8)</f>
        <v>01011001</v>
      </c>
      <c r="L6" s="27" t="str">
        <f t="shared" si="2"/>
        <v>59</v>
      </c>
    </row>
    <row r="7" ht="14.25" customHeight="1">
      <c r="B7" s="30"/>
      <c r="E7" s="27">
        <v>4.0</v>
      </c>
      <c r="F7" s="27" t="str">
        <f>MID(F1,(E7-1)*8+1, 8)</f>
        <v>1001</v>
      </c>
      <c r="G7" s="27" t="str">
        <f>BIN2HEX(F7,1)</f>
        <v>9</v>
      </c>
      <c r="J7" s="27">
        <v>4.0</v>
      </c>
      <c r="K7" s="27" t="str">
        <f>MID(K1,(J7-1)*8+1, 8)</f>
        <v>1001</v>
      </c>
      <c r="L7" s="27" t="str">
        <f>BIN2HEX(K7,1)</f>
        <v>9</v>
      </c>
    </row>
    <row r="8" ht="14.25" customHeight="1">
      <c r="B8" s="30"/>
    </row>
    <row r="9" ht="14.25" customHeight="1">
      <c r="A9" s="1" t="str">
        <f>M15&amp;N15&amp;"="</f>
        <v>C10D10=</v>
      </c>
      <c r="B9" s="1" t="str">
        <f>F1 &amp; K1</f>
        <v>01010101011111100001100110011110000101010101010110011001</v>
      </c>
    </row>
    <row r="10" ht="14.25" customHeight="1">
      <c r="B10" s="30"/>
      <c r="J10" s="1" t="s">
        <v>14</v>
      </c>
    </row>
    <row r="11" ht="14.25" customHeight="1">
      <c r="A11" s="1" t="str">
        <f>L15&amp;"=PC2("&amp;M15&amp;N15&amp;")"</f>
        <v>K10=PC2(C10D10)</v>
      </c>
    </row>
    <row r="12" ht="14.25" customHeight="1">
      <c r="A12" s="1" t="str">
        <f>MID(B9,Constanst!$E$3, 1)</f>
        <v>1</v>
      </c>
      <c r="B12" s="1" t="str">
        <f t="shared" ref="B12:B57" si="3">A12&amp;B13</f>
        <v>101100011111001101000111011000110001110101110110</v>
      </c>
    </row>
    <row r="13" ht="14.25" customHeight="1">
      <c r="A13" s="1" t="str">
        <f>MID(B9, Constanst!$E$4, 1)</f>
        <v>0</v>
      </c>
      <c r="B13" s="1" t="str">
        <f t="shared" si="3"/>
        <v>01100011111001101000111011000110001110101110110</v>
      </c>
    </row>
    <row r="14" ht="14.25" customHeight="1">
      <c r="A14" s="1" t="str">
        <f>MID(B9, Constanst!$E$5, 1)</f>
        <v>1</v>
      </c>
      <c r="B14" s="1" t="str">
        <f t="shared" si="3"/>
        <v>1100011111001101000111011000110001110101110110</v>
      </c>
    </row>
    <row r="15" ht="14.25" customHeight="1">
      <c r="A15" s="1" t="str">
        <f>MID(B9, Constanst!$E$6, 1)</f>
        <v>1</v>
      </c>
      <c r="B15" s="1" t="str">
        <f t="shared" si="3"/>
        <v>100011111001101000111011000110001110101110110</v>
      </c>
      <c r="L15" s="1" t="s">
        <v>15</v>
      </c>
      <c r="M15" s="1" t="s">
        <v>167</v>
      </c>
      <c r="N15" s="1" t="s">
        <v>168</v>
      </c>
    </row>
    <row r="16" ht="14.25" customHeight="1">
      <c r="A16" s="1" t="str">
        <f>MID(B9, Constanst!$E$7, 1)</f>
        <v>0</v>
      </c>
      <c r="B16" s="1" t="str">
        <f t="shared" si="3"/>
        <v>00011111001101000111011000110001110101110110</v>
      </c>
    </row>
    <row r="17" ht="14.25" customHeight="1">
      <c r="A17" s="1" t="str">
        <f>MID(B9, Constanst!$E$8, 1)</f>
        <v>0</v>
      </c>
      <c r="B17" s="1" t="str">
        <f t="shared" si="3"/>
        <v>0011111001101000111011000110001110101110110</v>
      </c>
    </row>
    <row r="18" ht="14.25" customHeight="1">
      <c r="A18" s="1" t="str">
        <f>MID(B9, Constanst!$E$9, 1)</f>
        <v>0</v>
      </c>
      <c r="B18" s="1" t="str">
        <f t="shared" si="3"/>
        <v>011111001101000111011000110001110101110110</v>
      </c>
    </row>
    <row r="19" ht="14.25" customHeight="1">
      <c r="A19" s="1" t="str">
        <f>MID(B9, Constanst!$E$10, 1)</f>
        <v>1</v>
      </c>
      <c r="B19" s="1" t="str">
        <f t="shared" si="3"/>
        <v>11111001101000111011000110001110101110110</v>
      </c>
    </row>
    <row r="20" ht="14.25" customHeight="1">
      <c r="A20" s="1" t="str">
        <f>MID(B9, Constanst!$E$11, 1)</f>
        <v>1</v>
      </c>
      <c r="B20" s="1" t="str">
        <f t="shared" si="3"/>
        <v>1111001101000111011000110001110101110110</v>
      </c>
    </row>
    <row r="21" ht="14.25" customHeight="1">
      <c r="A21" s="1" t="str">
        <f>MID(B9, Constanst!$E$12, 1)</f>
        <v>1</v>
      </c>
      <c r="B21" s="1" t="str">
        <f t="shared" si="3"/>
        <v>111001101000111011000110001110101110110</v>
      </c>
    </row>
    <row r="22" ht="14.25" customHeight="1">
      <c r="A22" s="1" t="str">
        <f>MID(B9, Constanst!$E$13, 1)</f>
        <v>1</v>
      </c>
      <c r="B22" s="1" t="str">
        <f t="shared" si="3"/>
        <v>11001101000111011000110001110101110110</v>
      </c>
    </row>
    <row r="23" ht="14.25" customHeight="1">
      <c r="A23" s="1" t="str">
        <f>MID(B9, Constanst!$E$14, 1)</f>
        <v>1</v>
      </c>
      <c r="B23" s="1" t="str">
        <f t="shared" si="3"/>
        <v>1001101000111011000110001110101110110</v>
      </c>
    </row>
    <row r="24" ht="14.25" customHeight="1">
      <c r="A24" s="1" t="str">
        <f>MID(B9, Constanst!$E$15, 1)</f>
        <v>0</v>
      </c>
      <c r="B24" s="1" t="str">
        <f t="shared" si="3"/>
        <v>001101000111011000110001110101110110</v>
      </c>
    </row>
    <row r="25" ht="14.25" customHeight="1">
      <c r="A25" s="1" t="str">
        <f>MID(B9, Constanst!$E$16, 1)</f>
        <v>0</v>
      </c>
      <c r="B25" s="1" t="str">
        <f t="shared" si="3"/>
        <v>01101000111011000110001110101110110</v>
      </c>
    </row>
    <row r="26" ht="14.25" customHeight="1">
      <c r="A26" s="1" t="str">
        <f>MID(B9, Constanst!$E$17, 1)</f>
        <v>1</v>
      </c>
      <c r="B26" s="1" t="str">
        <f t="shared" si="3"/>
        <v>1101000111011000110001110101110110</v>
      </c>
    </row>
    <row r="27" ht="14.25" customHeight="1">
      <c r="A27" s="1" t="str">
        <f>MID(B9, Constanst!$E$18, 1)</f>
        <v>1</v>
      </c>
      <c r="B27" s="1" t="str">
        <f t="shared" si="3"/>
        <v>101000111011000110001110101110110</v>
      </c>
    </row>
    <row r="28" ht="14.25" customHeight="1">
      <c r="A28" s="1" t="str">
        <f>MID(B9, Constanst!$E$19, 1)</f>
        <v>0</v>
      </c>
      <c r="B28" s="1" t="str">
        <f t="shared" si="3"/>
        <v>01000111011000110001110101110110</v>
      </c>
    </row>
    <row r="29" ht="14.25" customHeight="1">
      <c r="A29" s="1" t="str">
        <f>MID(B9, Constanst!$E$20, 1)</f>
        <v>1</v>
      </c>
      <c r="B29" s="1" t="str">
        <f t="shared" si="3"/>
        <v>1000111011000110001110101110110</v>
      </c>
    </row>
    <row r="30" ht="14.25" customHeight="1">
      <c r="A30" s="1" t="str">
        <f>MID(B9, Constanst!$E$21, 1)</f>
        <v>0</v>
      </c>
      <c r="B30" s="1" t="str">
        <f t="shared" si="3"/>
        <v>000111011000110001110101110110</v>
      </c>
    </row>
    <row r="31" ht="14.25" customHeight="1">
      <c r="A31" s="1" t="str">
        <f>MID(B9, Constanst!$E$22, 1)</f>
        <v>0</v>
      </c>
      <c r="B31" s="1" t="str">
        <f t="shared" si="3"/>
        <v>00111011000110001110101110110</v>
      </c>
    </row>
    <row r="32" ht="14.25" customHeight="1">
      <c r="A32" s="1" t="str">
        <f>MID(B9, Constanst!$E$23, 1)</f>
        <v>0</v>
      </c>
      <c r="B32" s="1" t="str">
        <f t="shared" si="3"/>
        <v>0111011000110001110101110110</v>
      </c>
    </row>
    <row r="33" ht="14.25" customHeight="1">
      <c r="A33" s="1" t="str">
        <f>MID(B9, Constanst!$E$24, 1)</f>
        <v>1</v>
      </c>
      <c r="B33" s="1" t="str">
        <f t="shared" si="3"/>
        <v>111011000110001110101110110</v>
      </c>
    </row>
    <row r="34" ht="14.25" customHeight="1">
      <c r="A34" s="1" t="str">
        <f>MID(B9, Constanst!$E$25, 1)</f>
        <v>1</v>
      </c>
      <c r="B34" s="1" t="str">
        <f t="shared" si="3"/>
        <v>11011000110001110101110110</v>
      </c>
    </row>
    <row r="35" ht="14.25" customHeight="1">
      <c r="A35" s="1" t="str">
        <f>MID(B9, Constanst!$E$26, 1)</f>
        <v>1</v>
      </c>
      <c r="B35" s="1" t="str">
        <f t="shared" si="3"/>
        <v>1011000110001110101110110</v>
      </c>
    </row>
    <row r="36" ht="14.25" customHeight="1">
      <c r="A36" s="1" t="str">
        <f>MID(B9, Constanst!$E$27, 1)</f>
        <v>0</v>
      </c>
      <c r="B36" s="1" t="str">
        <f t="shared" si="3"/>
        <v>011000110001110101110110</v>
      </c>
    </row>
    <row r="37" ht="14.25" customHeight="1">
      <c r="A37" s="1" t="str">
        <f>MID(B9, Constanst!$E$28, 1)</f>
        <v>1</v>
      </c>
      <c r="B37" s="1" t="str">
        <f t="shared" si="3"/>
        <v>11000110001110101110110</v>
      </c>
    </row>
    <row r="38" ht="14.25" customHeight="1">
      <c r="A38" s="1" t="str">
        <f>MID(B9, Constanst!$E$29, 1)</f>
        <v>1</v>
      </c>
      <c r="B38" s="1" t="str">
        <f t="shared" si="3"/>
        <v>1000110001110101110110</v>
      </c>
    </row>
    <row r="39" ht="14.25" customHeight="1">
      <c r="A39" s="1" t="str">
        <f>MID(B9, Constanst!$E$30, 1)</f>
        <v>0</v>
      </c>
      <c r="B39" s="1" t="str">
        <f t="shared" si="3"/>
        <v>000110001110101110110</v>
      </c>
    </row>
    <row r="40" ht="14.25" customHeight="1">
      <c r="A40" s="1" t="str">
        <f>MID(B9, Constanst!$E$31, 1)</f>
        <v>0</v>
      </c>
      <c r="B40" s="1" t="str">
        <f t="shared" si="3"/>
        <v>00110001110101110110</v>
      </c>
    </row>
    <row r="41" ht="14.25" customHeight="1">
      <c r="A41" s="1" t="str">
        <f>MID(B9, Constanst!$E$32, 1)</f>
        <v>0</v>
      </c>
      <c r="B41" s="1" t="str">
        <f t="shared" si="3"/>
        <v>0110001110101110110</v>
      </c>
    </row>
    <row r="42" ht="14.25" customHeight="1">
      <c r="A42" s="1" t="str">
        <f>MID(B9, Constanst!$E$33, 1)</f>
        <v>1</v>
      </c>
      <c r="B42" s="1" t="str">
        <f t="shared" si="3"/>
        <v>110001110101110110</v>
      </c>
    </row>
    <row r="43" ht="14.25" customHeight="1">
      <c r="A43" s="1" t="str">
        <f>MID(B9, Constanst!$E$34, 1)</f>
        <v>1</v>
      </c>
      <c r="B43" s="1" t="str">
        <f t="shared" si="3"/>
        <v>10001110101110110</v>
      </c>
    </row>
    <row r="44" ht="14.25" customHeight="1">
      <c r="A44" s="1" t="str">
        <f>MID(B9, Constanst!$E$35, 1)</f>
        <v>0</v>
      </c>
      <c r="B44" s="1" t="str">
        <f t="shared" si="3"/>
        <v>0001110101110110</v>
      </c>
    </row>
    <row r="45" ht="14.25" customHeight="1">
      <c r="A45" s="1" t="str">
        <f>MID(B9, Constanst!$E$36, 1)</f>
        <v>0</v>
      </c>
      <c r="B45" s="1" t="str">
        <f t="shared" si="3"/>
        <v>001110101110110</v>
      </c>
    </row>
    <row r="46" ht="14.25" customHeight="1">
      <c r="A46" s="1" t="str">
        <f>MID(B9, Constanst!$E$37, 1)</f>
        <v>0</v>
      </c>
      <c r="B46" s="1" t="str">
        <f t="shared" si="3"/>
        <v>01110101110110</v>
      </c>
    </row>
    <row r="47" ht="14.25" customHeight="1">
      <c r="A47" s="1" t="str">
        <f>MID(B9, Constanst!$E$38, 1)</f>
        <v>1</v>
      </c>
      <c r="B47" s="1" t="str">
        <f t="shared" si="3"/>
        <v>1110101110110</v>
      </c>
    </row>
    <row r="48" ht="14.25" customHeight="1">
      <c r="A48" s="1" t="str">
        <f>MID(B9, Constanst!$E$39, 1)</f>
        <v>1</v>
      </c>
      <c r="B48" s="1" t="str">
        <f t="shared" si="3"/>
        <v>110101110110</v>
      </c>
    </row>
    <row r="49" ht="14.25" customHeight="1">
      <c r="A49" s="1" t="str">
        <f>MID(B9, Constanst!$E$40, 1)</f>
        <v>1</v>
      </c>
      <c r="B49" s="1" t="str">
        <f t="shared" si="3"/>
        <v>10101110110</v>
      </c>
    </row>
    <row r="50" ht="14.25" customHeight="1">
      <c r="A50" s="1" t="str">
        <f>MID(B9, Constanst!$E$41, 1)</f>
        <v>0</v>
      </c>
      <c r="B50" s="1" t="str">
        <f t="shared" si="3"/>
        <v>0101110110</v>
      </c>
    </row>
    <row r="51" ht="14.25" customHeight="1">
      <c r="A51" s="1" t="str">
        <f>MID(B9, Constanst!$E$42, 1)</f>
        <v>1</v>
      </c>
      <c r="B51" s="1" t="str">
        <f t="shared" si="3"/>
        <v>101110110</v>
      </c>
    </row>
    <row r="52" ht="14.25" customHeight="1">
      <c r="A52" s="1" t="str">
        <f>MID(B9, Constanst!$E$43, 1)</f>
        <v>0</v>
      </c>
      <c r="B52" s="1" t="str">
        <f t="shared" si="3"/>
        <v>01110110</v>
      </c>
    </row>
    <row r="53" ht="14.25" customHeight="1">
      <c r="A53" s="1" t="str">
        <f>MID(B9, Constanst!$E$44, 1)</f>
        <v>1</v>
      </c>
      <c r="B53" s="1" t="str">
        <f t="shared" si="3"/>
        <v>1110110</v>
      </c>
    </row>
    <row r="54" ht="14.25" customHeight="1">
      <c r="A54" s="1" t="str">
        <f>MID(B9, Constanst!$E$45, 1)</f>
        <v>1</v>
      </c>
      <c r="B54" s="1" t="str">
        <f t="shared" si="3"/>
        <v>110110</v>
      </c>
    </row>
    <row r="55" ht="14.25" customHeight="1">
      <c r="A55" s="1" t="str">
        <f>MID(B9, Constanst!$E$46, 1)</f>
        <v>1</v>
      </c>
      <c r="B55" s="1" t="str">
        <f t="shared" si="3"/>
        <v>10110</v>
      </c>
    </row>
    <row r="56" ht="14.25" customHeight="1">
      <c r="A56" s="1" t="str">
        <f>MID(B9, Constanst!$E$47, 1)</f>
        <v>0</v>
      </c>
      <c r="B56" s="1" t="str">
        <f t="shared" si="3"/>
        <v>0110</v>
      </c>
    </row>
    <row r="57" ht="14.25" customHeight="1">
      <c r="A57" s="1" t="str">
        <f>MID(B9, Constanst!$E$48, 1)</f>
        <v>1</v>
      </c>
      <c r="B57" s="1" t="str">
        <f t="shared" si="3"/>
        <v>110</v>
      </c>
    </row>
    <row r="58" ht="14.25" customHeight="1">
      <c r="A58" s="1" t="str">
        <f>MID(B9, Constanst!$E$49, 1)</f>
        <v>1</v>
      </c>
      <c r="B58" s="1" t="str">
        <f>A58&amp;A59</f>
        <v>10</v>
      </c>
    </row>
    <row r="59" ht="14.25" customHeight="1">
      <c r="A59" s="1" t="str">
        <f>MID(B9, Constanst!$E$50, 1)</f>
        <v>0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K10=PC2(C10D10)</v>
      </c>
      <c r="B61" s="28"/>
      <c r="C61" s="28"/>
      <c r="D61" s="29" t="str">
        <f>B12</f>
        <v>101100011111001101000111011000110001110101110110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10110001</v>
      </c>
      <c r="C64" s="26" t="str">
        <f t="shared" ref="C64:C69" si="5">BIN2HEX(B64,2)</f>
        <v>B1</v>
      </c>
    </row>
    <row r="65" ht="14.25" customHeight="1">
      <c r="A65" s="26">
        <v>2.0</v>
      </c>
      <c r="B65" s="26" t="str">
        <f t="shared" si="4"/>
        <v>11110011</v>
      </c>
      <c r="C65" s="26" t="str">
        <f t="shared" si="5"/>
        <v>F3</v>
      </c>
    </row>
    <row r="66" ht="14.25" customHeight="1">
      <c r="A66" s="26">
        <v>3.0</v>
      </c>
      <c r="B66" s="26" t="str">
        <f t="shared" si="4"/>
        <v>01000111</v>
      </c>
      <c r="C66" s="26" t="str">
        <f t="shared" si="5"/>
        <v>47</v>
      </c>
    </row>
    <row r="67" ht="14.25" customHeight="1">
      <c r="A67" s="26">
        <v>4.0</v>
      </c>
      <c r="B67" s="26" t="str">
        <f t="shared" si="4"/>
        <v>01100011</v>
      </c>
      <c r="C67" s="26" t="str">
        <f t="shared" si="5"/>
        <v>63</v>
      </c>
    </row>
    <row r="68" ht="14.25" customHeight="1">
      <c r="A68" s="26">
        <v>5.0</v>
      </c>
      <c r="B68" s="26" t="str">
        <f t="shared" si="4"/>
        <v>00011101</v>
      </c>
      <c r="C68" s="26" t="str">
        <f t="shared" si="5"/>
        <v>1D</v>
      </c>
    </row>
    <row r="69" ht="14.25" customHeight="1">
      <c r="A69" s="26">
        <v>6.0</v>
      </c>
      <c r="B69" s="26" t="str">
        <f t="shared" si="4"/>
        <v>01110110</v>
      </c>
      <c r="C69" s="26" t="str">
        <f t="shared" si="5"/>
        <v>76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0101010111111000011001100101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1000010101010101011001100111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01010101</v>
      </c>
      <c r="G4" s="27" t="str">
        <f t="shared" ref="G4:G6" si="1">BIN2HEX(F4,2)</f>
        <v>55</v>
      </c>
      <c r="J4" s="27">
        <v>1.0</v>
      </c>
      <c r="K4" s="27" t="str">
        <f>MID(K1,(J4-1)*8+1, 8)</f>
        <v>10000101</v>
      </c>
      <c r="L4" s="27" t="str">
        <f t="shared" ref="L4:L6" si="2">BIN2HEX(K4,2)</f>
        <v>85</v>
      </c>
    </row>
    <row r="5" ht="14.25" customHeight="1">
      <c r="B5" s="30"/>
      <c r="E5" s="27">
        <v>2.0</v>
      </c>
      <c r="F5" s="27" t="str">
        <f>MID(F1,(E5-1)*8+1, 8)</f>
        <v>11111000</v>
      </c>
      <c r="G5" s="27" t="str">
        <f t="shared" si="1"/>
        <v>F8</v>
      </c>
      <c r="J5" s="27">
        <v>2.0</v>
      </c>
      <c r="K5" s="27" t="str">
        <f>MID(K1,(J5-1)*8+1, 8)</f>
        <v>01010101</v>
      </c>
      <c r="L5" s="27" t="str">
        <f t="shared" si="2"/>
        <v>55</v>
      </c>
    </row>
    <row r="6" ht="14.25" customHeight="1">
      <c r="B6" s="30"/>
      <c r="E6" s="27">
        <v>3.0</v>
      </c>
      <c r="F6" s="27" t="str">
        <f>MID(F1,(E6-1)*8+1, 8)</f>
        <v>01100110</v>
      </c>
      <c r="G6" s="27" t="str">
        <f t="shared" si="1"/>
        <v>66</v>
      </c>
      <c r="J6" s="27">
        <v>3.0</v>
      </c>
      <c r="K6" s="27" t="str">
        <f>MID(K1,(J6-1)*8+1, 8)</f>
        <v>01100110</v>
      </c>
      <c r="L6" s="27" t="str">
        <f t="shared" si="2"/>
        <v>66</v>
      </c>
    </row>
    <row r="7" ht="14.25" customHeight="1">
      <c r="B7" s="30"/>
      <c r="E7" s="27">
        <v>4.0</v>
      </c>
      <c r="F7" s="27" t="str">
        <f>MID(F1,(E7-1)*8+1, 8)</f>
        <v>0101</v>
      </c>
      <c r="G7" s="27" t="str">
        <f>BIN2HEX(F7,1)</f>
        <v>5</v>
      </c>
      <c r="J7" s="27">
        <v>4.0</v>
      </c>
      <c r="K7" s="27" t="str">
        <f>MID(K1,(J7-1)*8+1, 8)</f>
        <v>0111</v>
      </c>
      <c r="L7" s="27" t="str">
        <f>BIN2HEX(K7,1)</f>
        <v>7</v>
      </c>
    </row>
    <row r="8" ht="14.25" customHeight="1">
      <c r="B8" s="30"/>
    </row>
    <row r="9" ht="14.25" customHeight="1">
      <c r="A9" s="1" t="str">
        <f>M15&amp;N15&amp;"="</f>
        <v>C11D11=</v>
      </c>
      <c r="B9" s="1" t="str">
        <f>F1 &amp; K1</f>
        <v>01010101111110000110011001011000010101010101011001100111</v>
      </c>
    </row>
    <row r="10" ht="14.25" customHeight="1">
      <c r="B10" s="30"/>
      <c r="J10" s="1" t="s">
        <v>15</v>
      </c>
    </row>
    <row r="11" ht="14.25" customHeight="1">
      <c r="A11" s="1" t="str">
        <f>L15&amp;"=PC2("&amp;M15&amp;N15&amp;")"</f>
        <v>K11=PC2(C11D11)</v>
      </c>
    </row>
    <row r="12" ht="14.25" customHeight="1">
      <c r="A12" s="1" t="str">
        <f>MID(B9,Constanst!$E$3, 1)</f>
        <v>0</v>
      </c>
      <c r="B12" s="1" t="str">
        <f t="shared" ref="B12:B57" si="3">A12&amp;B13</f>
        <v>001000010101111111000011000011011000100110111110</v>
      </c>
    </row>
    <row r="13" ht="14.25" customHeight="1">
      <c r="A13" s="1" t="str">
        <f>MID(B9, Constanst!$E$4, 1)</f>
        <v>0</v>
      </c>
      <c r="B13" s="1" t="str">
        <f t="shared" si="3"/>
        <v>01000010101111111000011000011011000100110111110</v>
      </c>
    </row>
    <row r="14" ht="14.25" customHeight="1">
      <c r="A14" s="1" t="str">
        <f>MID(B9, Constanst!$E$5, 1)</f>
        <v>1</v>
      </c>
      <c r="B14" s="1" t="str">
        <f t="shared" si="3"/>
        <v>1000010101111111000011000011011000100110111110</v>
      </c>
    </row>
    <row r="15" ht="14.25" customHeight="1">
      <c r="A15" s="1" t="str">
        <f>MID(B9, Constanst!$E$6, 1)</f>
        <v>0</v>
      </c>
      <c r="B15" s="1" t="str">
        <f t="shared" si="3"/>
        <v>000010101111111000011000011011000100110111110</v>
      </c>
      <c r="L15" s="1" t="s">
        <v>16</v>
      </c>
      <c r="M15" s="1" t="s">
        <v>169</v>
      </c>
      <c r="N15" s="1" t="s">
        <v>170</v>
      </c>
    </row>
    <row r="16" ht="14.25" customHeight="1">
      <c r="A16" s="1" t="str">
        <f>MID(B9, Constanst!$E$7, 1)</f>
        <v>0</v>
      </c>
      <c r="B16" s="1" t="str">
        <f t="shared" si="3"/>
        <v>00010101111111000011000011011000100110111110</v>
      </c>
    </row>
    <row r="17" ht="14.25" customHeight="1">
      <c r="A17" s="1" t="str">
        <f>MID(B9, Constanst!$E$8, 1)</f>
        <v>0</v>
      </c>
      <c r="B17" s="1" t="str">
        <f t="shared" si="3"/>
        <v>0010101111111000011000011011000100110111110</v>
      </c>
    </row>
    <row r="18" ht="14.25" customHeight="1">
      <c r="A18" s="1" t="str">
        <f>MID(B9, Constanst!$E$9, 1)</f>
        <v>0</v>
      </c>
      <c r="B18" s="1" t="str">
        <f t="shared" si="3"/>
        <v>010101111111000011000011011000100110111110</v>
      </c>
    </row>
    <row r="19" ht="14.25" customHeight="1">
      <c r="A19" s="1" t="str">
        <f>MID(B9, Constanst!$E$10, 1)</f>
        <v>1</v>
      </c>
      <c r="B19" s="1" t="str">
        <f t="shared" si="3"/>
        <v>10101111111000011000011011000100110111110</v>
      </c>
    </row>
    <row r="20" ht="14.25" customHeight="1">
      <c r="A20" s="1" t="str">
        <f>MID(B9, Constanst!$E$11, 1)</f>
        <v>0</v>
      </c>
      <c r="B20" s="1" t="str">
        <f t="shared" si="3"/>
        <v>0101111111000011000011011000100110111110</v>
      </c>
    </row>
    <row r="21" ht="14.25" customHeight="1">
      <c r="A21" s="1" t="str">
        <f>MID(B9, Constanst!$E$12, 1)</f>
        <v>1</v>
      </c>
      <c r="B21" s="1" t="str">
        <f t="shared" si="3"/>
        <v>101111111000011000011011000100110111110</v>
      </c>
    </row>
    <row r="22" ht="14.25" customHeight="1">
      <c r="A22" s="1" t="str">
        <f>MID(B9, Constanst!$E$13, 1)</f>
        <v>0</v>
      </c>
      <c r="B22" s="1" t="str">
        <f t="shared" si="3"/>
        <v>01111111000011000011011000100110111110</v>
      </c>
    </row>
    <row r="23" ht="14.25" customHeight="1">
      <c r="A23" s="1" t="str">
        <f>MID(B9, Constanst!$E$14, 1)</f>
        <v>1</v>
      </c>
      <c r="B23" s="1" t="str">
        <f t="shared" si="3"/>
        <v>1111111000011000011011000100110111110</v>
      </c>
    </row>
    <row r="24" ht="14.25" customHeight="1">
      <c r="A24" s="1" t="str">
        <f>MID(B9, Constanst!$E$15, 1)</f>
        <v>1</v>
      </c>
      <c r="B24" s="1" t="str">
        <f t="shared" si="3"/>
        <v>111111000011000011011000100110111110</v>
      </c>
    </row>
    <row r="25" ht="14.25" customHeight="1">
      <c r="A25" s="1" t="str">
        <f>MID(B9, Constanst!$E$16, 1)</f>
        <v>1</v>
      </c>
      <c r="B25" s="1" t="str">
        <f t="shared" si="3"/>
        <v>11111000011000011011000100110111110</v>
      </c>
    </row>
    <row r="26" ht="14.25" customHeight="1">
      <c r="A26" s="1" t="str">
        <f>MID(B9, Constanst!$E$17, 1)</f>
        <v>1</v>
      </c>
      <c r="B26" s="1" t="str">
        <f t="shared" si="3"/>
        <v>1111000011000011011000100110111110</v>
      </c>
    </row>
    <row r="27" ht="14.25" customHeight="1">
      <c r="A27" s="1" t="str">
        <f>MID(B9, Constanst!$E$18, 1)</f>
        <v>1</v>
      </c>
      <c r="B27" s="1" t="str">
        <f t="shared" si="3"/>
        <v>111000011000011011000100110111110</v>
      </c>
    </row>
    <row r="28" ht="14.25" customHeight="1">
      <c r="A28" s="1" t="str">
        <f>MID(B9, Constanst!$E$19, 1)</f>
        <v>1</v>
      </c>
      <c r="B28" s="1" t="str">
        <f t="shared" si="3"/>
        <v>11000011000011011000100110111110</v>
      </c>
    </row>
    <row r="29" ht="14.25" customHeight="1">
      <c r="A29" s="1" t="str">
        <f>MID(B9, Constanst!$E$20, 1)</f>
        <v>1</v>
      </c>
      <c r="B29" s="1" t="str">
        <f t="shared" si="3"/>
        <v>1000011000011011000100110111110</v>
      </c>
    </row>
    <row r="30" ht="14.25" customHeight="1">
      <c r="A30" s="1" t="str">
        <f>MID(B9, Constanst!$E$21, 1)</f>
        <v>0</v>
      </c>
      <c r="B30" s="1" t="str">
        <f t="shared" si="3"/>
        <v>000011000011011000100110111110</v>
      </c>
    </row>
    <row r="31" ht="14.25" customHeight="1">
      <c r="A31" s="1" t="str">
        <f>MID(B9, Constanst!$E$22, 1)</f>
        <v>0</v>
      </c>
      <c r="B31" s="1" t="str">
        <f t="shared" si="3"/>
        <v>00011000011011000100110111110</v>
      </c>
    </row>
    <row r="32" ht="14.25" customHeight="1">
      <c r="A32" s="1" t="str">
        <f>MID(B9, Constanst!$E$23, 1)</f>
        <v>0</v>
      </c>
      <c r="B32" s="1" t="str">
        <f t="shared" si="3"/>
        <v>0011000011011000100110111110</v>
      </c>
    </row>
    <row r="33" ht="14.25" customHeight="1">
      <c r="A33" s="1" t="str">
        <f>MID(B9, Constanst!$E$24, 1)</f>
        <v>0</v>
      </c>
      <c r="B33" s="1" t="str">
        <f t="shared" si="3"/>
        <v>011000011011000100110111110</v>
      </c>
    </row>
    <row r="34" ht="14.25" customHeight="1">
      <c r="A34" s="1" t="str">
        <f>MID(B9, Constanst!$E$25, 1)</f>
        <v>1</v>
      </c>
      <c r="B34" s="1" t="str">
        <f t="shared" si="3"/>
        <v>11000011011000100110111110</v>
      </c>
    </row>
    <row r="35" ht="14.25" customHeight="1">
      <c r="A35" s="1" t="str">
        <f>MID(B9, Constanst!$E$26, 1)</f>
        <v>1</v>
      </c>
      <c r="B35" s="1" t="str">
        <f t="shared" si="3"/>
        <v>1000011011000100110111110</v>
      </c>
    </row>
    <row r="36" ht="14.25" customHeight="1">
      <c r="A36" s="1" t="str">
        <f>MID(B9, Constanst!$E$27, 1)</f>
        <v>0</v>
      </c>
      <c r="B36" s="1" t="str">
        <f t="shared" si="3"/>
        <v>000011011000100110111110</v>
      </c>
    </row>
    <row r="37" ht="14.25" customHeight="1">
      <c r="A37" s="1" t="str">
        <f>MID(B9, Constanst!$E$28, 1)</f>
        <v>0</v>
      </c>
      <c r="B37" s="1" t="str">
        <f t="shared" si="3"/>
        <v>00011011000100110111110</v>
      </c>
    </row>
    <row r="38" ht="14.25" customHeight="1">
      <c r="A38" s="1" t="str">
        <f>MID(B9, Constanst!$E$29, 1)</f>
        <v>0</v>
      </c>
      <c r="B38" s="1" t="str">
        <f t="shared" si="3"/>
        <v>0011011000100110111110</v>
      </c>
    </row>
    <row r="39" ht="14.25" customHeight="1">
      <c r="A39" s="1" t="str">
        <f>MID(B9, Constanst!$E$30, 1)</f>
        <v>0</v>
      </c>
      <c r="B39" s="1" t="str">
        <f t="shared" si="3"/>
        <v>011011000100110111110</v>
      </c>
    </row>
    <row r="40" ht="14.25" customHeight="1">
      <c r="A40" s="1" t="str">
        <f>MID(B9, Constanst!$E$31, 1)</f>
        <v>1</v>
      </c>
      <c r="B40" s="1" t="str">
        <f t="shared" si="3"/>
        <v>11011000100110111110</v>
      </c>
    </row>
    <row r="41" ht="14.25" customHeight="1">
      <c r="A41" s="1" t="str">
        <f>MID(B9, Constanst!$E$32, 1)</f>
        <v>1</v>
      </c>
      <c r="B41" s="1" t="str">
        <f t="shared" si="3"/>
        <v>1011000100110111110</v>
      </c>
    </row>
    <row r="42" ht="14.25" customHeight="1">
      <c r="A42" s="1" t="str">
        <f>MID(B9, Constanst!$E$33, 1)</f>
        <v>0</v>
      </c>
      <c r="B42" s="1" t="str">
        <f t="shared" si="3"/>
        <v>011000100110111110</v>
      </c>
    </row>
    <row r="43" ht="14.25" customHeight="1">
      <c r="A43" s="1" t="str">
        <f>MID(B9, Constanst!$E$34, 1)</f>
        <v>1</v>
      </c>
      <c r="B43" s="1" t="str">
        <f t="shared" si="3"/>
        <v>11000100110111110</v>
      </c>
    </row>
    <row r="44" ht="14.25" customHeight="1">
      <c r="A44" s="1" t="str">
        <f>MID(B9, Constanst!$E$35, 1)</f>
        <v>1</v>
      </c>
      <c r="B44" s="1" t="str">
        <f t="shared" si="3"/>
        <v>1000100110111110</v>
      </c>
    </row>
    <row r="45" ht="14.25" customHeight="1">
      <c r="A45" s="1" t="str">
        <f>MID(B9, Constanst!$E$36, 1)</f>
        <v>0</v>
      </c>
      <c r="B45" s="1" t="str">
        <f t="shared" si="3"/>
        <v>000100110111110</v>
      </c>
    </row>
    <row r="46" ht="14.25" customHeight="1">
      <c r="A46" s="1" t="str">
        <f>MID(B9, Constanst!$E$37, 1)</f>
        <v>0</v>
      </c>
      <c r="B46" s="1" t="str">
        <f t="shared" si="3"/>
        <v>00100110111110</v>
      </c>
    </row>
    <row r="47" ht="14.25" customHeight="1">
      <c r="A47" s="1" t="str">
        <f>MID(B9, Constanst!$E$38, 1)</f>
        <v>0</v>
      </c>
      <c r="B47" s="1" t="str">
        <f t="shared" si="3"/>
        <v>0100110111110</v>
      </c>
    </row>
    <row r="48" ht="14.25" customHeight="1">
      <c r="A48" s="1" t="str">
        <f>MID(B9, Constanst!$E$39, 1)</f>
        <v>1</v>
      </c>
      <c r="B48" s="1" t="str">
        <f t="shared" si="3"/>
        <v>100110111110</v>
      </c>
    </row>
    <row r="49" ht="14.25" customHeight="1">
      <c r="A49" s="1" t="str">
        <f>MID(B9, Constanst!$E$40, 1)</f>
        <v>0</v>
      </c>
      <c r="B49" s="1" t="str">
        <f t="shared" si="3"/>
        <v>00110111110</v>
      </c>
    </row>
    <row r="50" ht="14.25" customHeight="1">
      <c r="A50" s="1" t="str">
        <f>MID(B9, Constanst!$E$41, 1)</f>
        <v>0</v>
      </c>
      <c r="B50" s="1" t="str">
        <f t="shared" si="3"/>
        <v>0110111110</v>
      </c>
    </row>
    <row r="51" ht="14.25" customHeight="1">
      <c r="A51" s="1" t="str">
        <f>MID(B9, Constanst!$E$42, 1)</f>
        <v>1</v>
      </c>
      <c r="B51" s="1" t="str">
        <f t="shared" si="3"/>
        <v>110111110</v>
      </c>
    </row>
    <row r="52" ht="14.25" customHeight="1">
      <c r="A52" s="1" t="str">
        <f>MID(B9, Constanst!$E$43, 1)</f>
        <v>1</v>
      </c>
      <c r="B52" s="1" t="str">
        <f t="shared" si="3"/>
        <v>10111110</v>
      </c>
    </row>
    <row r="53" ht="14.25" customHeight="1">
      <c r="A53" s="1" t="str">
        <f>MID(B9, Constanst!$E$44, 1)</f>
        <v>0</v>
      </c>
      <c r="B53" s="1" t="str">
        <f t="shared" si="3"/>
        <v>0111110</v>
      </c>
    </row>
    <row r="54" ht="14.25" customHeight="1">
      <c r="A54" s="1" t="str">
        <f>MID(B9, Constanst!$E$45, 1)</f>
        <v>1</v>
      </c>
      <c r="B54" s="1" t="str">
        <f t="shared" si="3"/>
        <v>111110</v>
      </c>
    </row>
    <row r="55" ht="14.25" customHeight="1">
      <c r="A55" s="1" t="str">
        <f>MID(B9, Constanst!$E$46, 1)</f>
        <v>1</v>
      </c>
      <c r="B55" s="1" t="str">
        <f t="shared" si="3"/>
        <v>11110</v>
      </c>
    </row>
    <row r="56" ht="14.25" customHeight="1">
      <c r="A56" s="1" t="str">
        <f>MID(B9, Constanst!$E$47, 1)</f>
        <v>1</v>
      </c>
      <c r="B56" s="1" t="str">
        <f t="shared" si="3"/>
        <v>1110</v>
      </c>
    </row>
    <row r="57" ht="14.25" customHeight="1">
      <c r="A57" s="1" t="str">
        <f>MID(B9, Constanst!$E$48, 1)</f>
        <v>1</v>
      </c>
      <c r="B57" s="1" t="str">
        <f t="shared" si="3"/>
        <v>110</v>
      </c>
    </row>
    <row r="58" ht="14.25" customHeight="1">
      <c r="A58" s="1" t="str">
        <f>MID(B9, Constanst!$E$49, 1)</f>
        <v>1</v>
      </c>
      <c r="B58" s="1" t="str">
        <f>A58&amp;A59</f>
        <v>10</v>
      </c>
    </row>
    <row r="59" ht="14.25" customHeight="1">
      <c r="A59" s="1" t="str">
        <f>MID(B9, Constanst!$E$50, 1)</f>
        <v>0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K11=PC2(C11D11)</v>
      </c>
      <c r="B61" s="28"/>
      <c r="C61" s="28"/>
      <c r="D61" s="29" t="str">
        <f>B12</f>
        <v>001000010101111111000011000011011000100110111110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00100001</v>
      </c>
      <c r="C64" s="26" t="str">
        <f t="shared" ref="C64:C69" si="5">BIN2HEX(B64,2)</f>
        <v>21</v>
      </c>
    </row>
    <row r="65" ht="14.25" customHeight="1">
      <c r="A65" s="26">
        <v>2.0</v>
      </c>
      <c r="B65" s="26" t="str">
        <f t="shared" si="4"/>
        <v>01011111</v>
      </c>
      <c r="C65" s="26" t="str">
        <f t="shared" si="5"/>
        <v>5F</v>
      </c>
    </row>
    <row r="66" ht="14.25" customHeight="1">
      <c r="A66" s="26">
        <v>3.0</v>
      </c>
      <c r="B66" s="26" t="str">
        <f t="shared" si="4"/>
        <v>11000011</v>
      </c>
      <c r="C66" s="26" t="str">
        <f t="shared" si="5"/>
        <v>C3</v>
      </c>
    </row>
    <row r="67" ht="14.25" customHeight="1">
      <c r="A67" s="26">
        <v>4.0</v>
      </c>
      <c r="B67" s="26" t="str">
        <f t="shared" si="4"/>
        <v>00001101</v>
      </c>
      <c r="C67" s="26" t="str">
        <f t="shared" si="5"/>
        <v>0D</v>
      </c>
    </row>
    <row r="68" ht="14.25" customHeight="1">
      <c r="A68" s="26">
        <v>5.0</v>
      </c>
      <c r="B68" s="26" t="str">
        <f t="shared" si="4"/>
        <v>10001001</v>
      </c>
      <c r="C68" s="26" t="str">
        <f t="shared" si="5"/>
        <v>89</v>
      </c>
    </row>
    <row r="69" ht="14.25" customHeight="1">
      <c r="A69" s="26">
        <v>6.0</v>
      </c>
      <c r="B69" s="26" t="str">
        <f t="shared" si="4"/>
        <v>10111110</v>
      </c>
      <c r="C69" s="26" t="str">
        <f t="shared" si="5"/>
        <v>BE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0101011111100001100110010101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0001010101010101100110011110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01010111</v>
      </c>
      <c r="G4" s="27" t="str">
        <f t="shared" ref="G4:G6" si="1">BIN2HEX(F4,2)</f>
        <v>57</v>
      </c>
      <c r="J4" s="27">
        <v>1.0</v>
      </c>
      <c r="K4" s="27" t="str">
        <f>MID(K1,(J4-1)*8+1, 8)</f>
        <v>00010101</v>
      </c>
      <c r="L4" s="27" t="str">
        <f t="shared" ref="L4:L6" si="2">BIN2HEX(K4,2)</f>
        <v>15</v>
      </c>
    </row>
    <row r="5" ht="14.25" customHeight="1">
      <c r="B5" s="30"/>
      <c r="E5" s="27">
        <v>2.0</v>
      </c>
      <c r="F5" s="27" t="str">
        <f>MID(F1,(E5-1)*8+1, 8)</f>
        <v>11100001</v>
      </c>
      <c r="G5" s="27" t="str">
        <f t="shared" si="1"/>
        <v>E1</v>
      </c>
      <c r="J5" s="27">
        <v>2.0</v>
      </c>
      <c r="K5" s="27" t="str">
        <f>MID(K1,(J5-1)*8+1, 8)</f>
        <v>01010101</v>
      </c>
      <c r="L5" s="27" t="str">
        <f t="shared" si="2"/>
        <v>55</v>
      </c>
    </row>
    <row r="6" ht="14.25" customHeight="1">
      <c r="B6" s="30"/>
      <c r="E6" s="27">
        <v>3.0</v>
      </c>
      <c r="F6" s="27" t="str">
        <f>MID(F1,(E6-1)*8+1, 8)</f>
        <v>10011001</v>
      </c>
      <c r="G6" s="27" t="str">
        <f t="shared" si="1"/>
        <v>99</v>
      </c>
      <c r="J6" s="27">
        <v>3.0</v>
      </c>
      <c r="K6" s="27" t="str">
        <f>MID(K1,(J6-1)*8+1, 8)</f>
        <v>10011001</v>
      </c>
      <c r="L6" s="27" t="str">
        <f t="shared" si="2"/>
        <v>99</v>
      </c>
    </row>
    <row r="7" ht="14.25" customHeight="1">
      <c r="B7" s="30"/>
      <c r="E7" s="27">
        <v>4.0</v>
      </c>
      <c r="F7" s="27" t="str">
        <f>MID(F1,(E7-1)*8+1, 8)</f>
        <v>0101</v>
      </c>
      <c r="G7" s="27" t="str">
        <f>BIN2HEX(F7,1)</f>
        <v>5</v>
      </c>
      <c r="J7" s="27">
        <v>4.0</v>
      </c>
      <c r="K7" s="27" t="str">
        <f>MID(K1,(J7-1)*8+1, 8)</f>
        <v>1110</v>
      </c>
      <c r="L7" s="27" t="str">
        <f>BIN2HEX(K7,1)</f>
        <v>E</v>
      </c>
    </row>
    <row r="8" ht="14.25" customHeight="1">
      <c r="B8" s="30"/>
    </row>
    <row r="9" ht="14.25" customHeight="1">
      <c r="A9" s="1" t="str">
        <f>M15&amp;N15&amp;"="</f>
        <v>C12D12=</v>
      </c>
      <c r="B9" s="1" t="str">
        <f>F1 &amp; K1</f>
        <v>01010111111000011001100101010001010101010101100110011110</v>
      </c>
    </row>
    <row r="10" ht="14.25" customHeight="1">
      <c r="B10" s="30"/>
      <c r="J10" s="1" t="s">
        <v>16</v>
      </c>
    </row>
    <row r="11" ht="14.25" customHeight="1">
      <c r="A11" s="1" t="str">
        <f>L15&amp;"=PC2("&amp;M15&amp;N15&amp;")"</f>
        <v>K12=PC2(C12D12)</v>
      </c>
    </row>
    <row r="12" ht="14.25" customHeight="1">
      <c r="A12" s="1" t="str">
        <f>MID(B9,Constanst!$E$3, 1)</f>
        <v>0</v>
      </c>
      <c r="B12" s="1" t="str">
        <f t="shared" ref="B12:B57" si="3">A12&amp;B13</f>
        <v>011100010111000111110101010001010101110011010101</v>
      </c>
    </row>
    <row r="13" ht="14.25" customHeight="1">
      <c r="A13" s="1" t="str">
        <f>MID(B9, Constanst!$E$4, 1)</f>
        <v>1</v>
      </c>
      <c r="B13" s="1" t="str">
        <f t="shared" si="3"/>
        <v>11100010111000111110101010001010101110011010101</v>
      </c>
    </row>
    <row r="14" ht="14.25" customHeight="1">
      <c r="A14" s="1" t="str">
        <f>MID(B9, Constanst!$E$5, 1)</f>
        <v>1</v>
      </c>
      <c r="B14" s="1" t="str">
        <f t="shared" si="3"/>
        <v>1100010111000111110101010001010101110011010101</v>
      </c>
    </row>
    <row r="15" ht="14.25" customHeight="1">
      <c r="A15" s="1" t="str">
        <f>MID(B9, Constanst!$E$6, 1)</f>
        <v>1</v>
      </c>
      <c r="B15" s="1" t="str">
        <f t="shared" si="3"/>
        <v>100010111000111110101010001010101110011010101</v>
      </c>
      <c r="L15" s="1" t="s">
        <v>17</v>
      </c>
      <c r="M15" s="1" t="s">
        <v>171</v>
      </c>
      <c r="N15" s="1" t="s">
        <v>172</v>
      </c>
    </row>
    <row r="16" ht="14.25" customHeight="1">
      <c r="A16" s="1" t="str">
        <f>MID(B9, Constanst!$E$7, 1)</f>
        <v>0</v>
      </c>
      <c r="B16" s="1" t="str">
        <f t="shared" si="3"/>
        <v>00010111000111110101010001010101110011010101</v>
      </c>
    </row>
    <row r="17" ht="14.25" customHeight="1">
      <c r="A17" s="1" t="str">
        <f>MID(B9, Constanst!$E$8, 1)</f>
        <v>0</v>
      </c>
      <c r="B17" s="1" t="str">
        <f t="shared" si="3"/>
        <v>0010111000111110101010001010101110011010101</v>
      </c>
    </row>
    <row r="18" ht="14.25" customHeight="1">
      <c r="A18" s="1" t="str">
        <f>MID(B9, Constanst!$E$9, 1)</f>
        <v>0</v>
      </c>
      <c r="B18" s="1" t="str">
        <f t="shared" si="3"/>
        <v>010111000111110101010001010101110011010101</v>
      </c>
    </row>
    <row r="19" ht="14.25" customHeight="1">
      <c r="A19" s="1" t="str">
        <f>MID(B9, Constanst!$E$10, 1)</f>
        <v>1</v>
      </c>
      <c r="B19" s="1" t="str">
        <f t="shared" si="3"/>
        <v>10111000111110101010001010101110011010101</v>
      </c>
    </row>
    <row r="20" ht="14.25" customHeight="1">
      <c r="A20" s="1" t="str">
        <f>MID(B9, Constanst!$E$11, 1)</f>
        <v>0</v>
      </c>
      <c r="B20" s="1" t="str">
        <f t="shared" si="3"/>
        <v>0111000111110101010001010101110011010101</v>
      </c>
    </row>
    <row r="21" ht="14.25" customHeight="1">
      <c r="A21" s="1" t="str">
        <f>MID(B9, Constanst!$E$12, 1)</f>
        <v>1</v>
      </c>
      <c r="B21" s="1" t="str">
        <f t="shared" si="3"/>
        <v>111000111110101010001010101110011010101</v>
      </c>
    </row>
    <row r="22" ht="14.25" customHeight="1">
      <c r="A22" s="1" t="str">
        <f>MID(B9, Constanst!$E$13, 1)</f>
        <v>1</v>
      </c>
      <c r="B22" s="1" t="str">
        <f t="shared" si="3"/>
        <v>11000111110101010001010101110011010101</v>
      </c>
    </row>
    <row r="23" ht="14.25" customHeight="1">
      <c r="A23" s="1" t="str">
        <f>MID(B9, Constanst!$E$14, 1)</f>
        <v>1</v>
      </c>
      <c r="B23" s="1" t="str">
        <f t="shared" si="3"/>
        <v>1000111110101010001010101110011010101</v>
      </c>
    </row>
    <row r="24" ht="14.25" customHeight="1">
      <c r="A24" s="1" t="str">
        <f>MID(B9, Constanst!$E$15, 1)</f>
        <v>0</v>
      </c>
      <c r="B24" s="1" t="str">
        <f t="shared" si="3"/>
        <v>000111110101010001010101110011010101</v>
      </c>
    </row>
    <row r="25" ht="14.25" customHeight="1">
      <c r="A25" s="1" t="str">
        <f>MID(B9, Constanst!$E$16, 1)</f>
        <v>0</v>
      </c>
      <c r="B25" s="1" t="str">
        <f t="shared" si="3"/>
        <v>00111110101010001010101110011010101</v>
      </c>
    </row>
    <row r="26" ht="14.25" customHeight="1">
      <c r="A26" s="1" t="str">
        <f>MID(B9, Constanst!$E$17, 1)</f>
        <v>0</v>
      </c>
      <c r="B26" s="1" t="str">
        <f t="shared" si="3"/>
        <v>0111110101010001010101110011010101</v>
      </c>
    </row>
    <row r="27" ht="14.25" customHeight="1">
      <c r="A27" s="1" t="str">
        <f>MID(B9, Constanst!$E$18, 1)</f>
        <v>1</v>
      </c>
      <c r="B27" s="1" t="str">
        <f t="shared" si="3"/>
        <v>111110101010001010101110011010101</v>
      </c>
    </row>
    <row r="28" ht="14.25" customHeight="1">
      <c r="A28" s="1" t="str">
        <f>MID(B9, Constanst!$E$19, 1)</f>
        <v>1</v>
      </c>
      <c r="B28" s="1" t="str">
        <f t="shared" si="3"/>
        <v>11110101010001010101110011010101</v>
      </c>
    </row>
    <row r="29" ht="14.25" customHeight="1">
      <c r="A29" s="1" t="str">
        <f>MID(B9, Constanst!$E$20, 1)</f>
        <v>1</v>
      </c>
      <c r="B29" s="1" t="str">
        <f t="shared" si="3"/>
        <v>1110101010001010101110011010101</v>
      </c>
    </row>
    <row r="30" ht="14.25" customHeight="1">
      <c r="A30" s="1" t="str">
        <f>MID(B9, Constanst!$E$21, 1)</f>
        <v>1</v>
      </c>
      <c r="B30" s="1" t="str">
        <f t="shared" si="3"/>
        <v>110101010001010101110011010101</v>
      </c>
    </row>
    <row r="31" ht="14.25" customHeight="1">
      <c r="A31" s="1" t="str">
        <f>MID(B9, Constanst!$E$22, 1)</f>
        <v>1</v>
      </c>
      <c r="B31" s="1" t="str">
        <f t="shared" si="3"/>
        <v>10101010001010101110011010101</v>
      </c>
    </row>
    <row r="32" ht="14.25" customHeight="1">
      <c r="A32" s="1" t="str">
        <f>MID(B9, Constanst!$E$23, 1)</f>
        <v>0</v>
      </c>
      <c r="B32" s="1" t="str">
        <f t="shared" si="3"/>
        <v>0101010001010101110011010101</v>
      </c>
    </row>
    <row r="33" ht="14.25" customHeight="1">
      <c r="A33" s="1" t="str">
        <f>MID(B9, Constanst!$E$24, 1)</f>
        <v>1</v>
      </c>
      <c r="B33" s="1" t="str">
        <f t="shared" si="3"/>
        <v>101010001010101110011010101</v>
      </c>
    </row>
    <row r="34" ht="14.25" customHeight="1">
      <c r="A34" s="1" t="str">
        <f>MID(B9, Constanst!$E$25, 1)</f>
        <v>0</v>
      </c>
      <c r="B34" s="1" t="str">
        <f t="shared" si="3"/>
        <v>01010001010101110011010101</v>
      </c>
    </row>
    <row r="35" ht="14.25" customHeight="1">
      <c r="A35" s="1" t="str">
        <f>MID(B9, Constanst!$E$26, 1)</f>
        <v>1</v>
      </c>
      <c r="B35" s="1" t="str">
        <f t="shared" si="3"/>
        <v>1010001010101110011010101</v>
      </c>
    </row>
    <row r="36" ht="14.25" customHeight="1">
      <c r="A36" s="1" t="str">
        <f>MID(B9, Constanst!$E$27, 1)</f>
        <v>0</v>
      </c>
      <c r="B36" s="1" t="str">
        <f t="shared" si="3"/>
        <v>010001010101110011010101</v>
      </c>
    </row>
    <row r="37" ht="14.25" customHeight="1">
      <c r="A37" s="1" t="str">
        <f>MID(B9, Constanst!$E$28, 1)</f>
        <v>1</v>
      </c>
      <c r="B37" s="1" t="str">
        <f t="shared" si="3"/>
        <v>10001010101110011010101</v>
      </c>
    </row>
    <row r="38" ht="14.25" customHeight="1">
      <c r="A38" s="1" t="str">
        <f>MID(B9, Constanst!$E$29, 1)</f>
        <v>0</v>
      </c>
      <c r="B38" s="1" t="str">
        <f t="shared" si="3"/>
        <v>0001010101110011010101</v>
      </c>
    </row>
    <row r="39" ht="14.25" customHeight="1">
      <c r="A39" s="1" t="str">
        <f>MID(B9, Constanst!$E$30, 1)</f>
        <v>0</v>
      </c>
      <c r="B39" s="1" t="str">
        <f t="shared" si="3"/>
        <v>001010101110011010101</v>
      </c>
    </row>
    <row r="40" ht="14.25" customHeight="1">
      <c r="A40" s="1" t="str">
        <f>MID(B9, Constanst!$E$31, 1)</f>
        <v>0</v>
      </c>
      <c r="B40" s="1" t="str">
        <f t="shared" si="3"/>
        <v>01010101110011010101</v>
      </c>
    </row>
    <row r="41" ht="14.25" customHeight="1">
      <c r="A41" s="1" t="str">
        <f>MID(B9, Constanst!$E$32, 1)</f>
        <v>1</v>
      </c>
      <c r="B41" s="1" t="str">
        <f t="shared" si="3"/>
        <v>1010101110011010101</v>
      </c>
    </row>
    <row r="42" ht="14.25" customHeight="1">
      <c r="A42" s="1" t="str">
        <f>MID(B9, Constanst!$E$33, 1)</f>
        <v>0</v>
      </c>
      <c r="B42" s="1" t="str">
        <f t="shared" si="3"/>
        <v>010101110011010101</v>
      </c>
    </row>
    <row r="43" ht="14.25" customHeight="1">
      <c r="A43" s="1" t="str">
        <f>MID(B9, Constanst!$E$34, 1)</f>
        <v>1</v>
      </c>
      <c r="B43" s="1" t="str">
        <f t="shared" si="3"/>
        <v>10101110011010101</v>
      </c>
    </row>
    <row r="44" ht="14.25" customHeight="1">
      <c r="A44" s="1" t="str">
        <f>MID(B9, Constanst!$E$35, 1)</f>
        <v>0</v>
      </c>
      <c r="B44" s="1" t="str">
        <f t="shared" si="3"/>
        <v>0101110011010101</v>
      </c>
    </row>
    <row r="45" ht="14.25" customHeight="1">
      <c r="A45" s="1" t="str">
        <f>MID(B9, Constanst!$E$36, 1)</f>
        <v>1</v>
      </c>
      <c r="B45" s="1" t="str">
        <f t="shared" si="3"/>
        <v>101110011010101</v>
      </c>
    </row>
    <row r="46" ht="14.25" customHeight="1">
      <c r="A46" s="1" t="str">
        <f>MID(B9, Constanst!$E$37, 1)</f>
        <v>0</v>
      </c>
      <c r="B46" s="1" t="str">
        <f t="shared" si="3"/>
        <v>01110011010101</v>
      </c>
    </row>
    <row r="47" ht="14.25" customHeight="1">
      <c r="A47" s="1" t="str">
        <f>MID(B9, Constanst!$E$38, 1)</f>
        <v>1</v>
      </c>
      <c r="B47" s="1" t="str">
        <f t="shared" si="3"/>
        <v>1110011010101</v>
      </c>
    </row>
    <row r="48" ht="14.25" customHeight="1">
      <c r="A48" s="1" t="str">
        <f>MID(B9, Constanst!$E$39, 1)</f>
        <v>1</v>
      </c>
      <c r="B48" s="1" t="str">
        <f t="shared" si="3"/>
        <v>110011010101</v>
      </c>
    </row>
    <row r="49" ht="14.25" customHeight="1">
      <c r="A49" s="1" t="str">
        <f>MID(B9, Constanst!$E$40, 1)</f>
        <v>1</v>
      </c>
      <c r="B49" s="1" t="str">
        <f t="shared" si="3"/>
        <v>10011010101</v>
      </c>
    </row>
    <row r="50" ht="14.25" customHeight="1">
      <c r="A50" s="1" t="str">
        <f>MID(B9, Constanst!$E$41, 1)</f>
        <v>0</v>
      </c>
      <c r="B50" s="1" t="str">
        <f t="shared" si="3"/>
        <v>0011010101</v>
      </c>
    </row>
    <row r="51" ht="14.25" customHeight="1">
      <c r="A51" s="1" t="str">
        <f>MID(B9, Constanst!$E$42, 1)</f>
        <v>0</v>
      </c>
      <c r="B51" s="1" t="str">
        <f t="shared" si="3"/>
        <v>011010101</v>
      </c>
    </row>
    <row r="52" ht="14.25" customHeight="1">
      <c r="A52" s="1" t="str">
        <f>MID(B9, Constanst!$E$43, 1)</f>
        <v>1</v>
      </c>
      <c r="B52" s="1" t="str">
        <f t="shared" si="3"/>
        <v>11010101</v>
      </c>
    </row>
    <row r="53" ht="14.25" customHeight="1">
      <c r="A53" s="1" t="str">
        <f>MID(B9, Constanst!$E$44, 1)</f>
        <v>1</v>
      </c>
      <c r="B53" s="1" t="str">
        <f t="shared" si="3"/>
        <v>1010101</v>
      </c>
    </row>
    <row r="54" ht="14.25" customHeight="1">
      <c r="A54" s="1" t="str">
        <f>MID(B9, Constanst!$E$45, 1)</f>
        <v>0</v>
      </c>
      <c r="B54" s="1" t="str">
        <f t="shared" si="3"/>
        <v>010101</v>
      </c>
    </row>
    <row r="55" ht="14.25" customHeight="1">
      <c r="A55" s="1" t="str">
        <f>MID(B9, Constanst!$E$46, 1)</f>
        <v>1</v>
      </c>
      <c r="B55" s="1" t="str">
        <f t="shared" si="3"/>
        <v>10101</v>
      </c>
    </row>
    <row r="56" ht="14.25" customHeight="1">
      <c r="A56" s="1" t="str">
        <f>MID(B9, Constanst!$E$47, 1)</f>
        <v>0</v>
      </c>
      <c r="B56" s="1" t="str">
        <f t="shared" si="3"/>
        <v>0101</v>
      </c>
    </row>
    <row r="57" ht="14.25" customHeight="1">
      <c r="A57" s="1" t="str">
        <f>MID(B9, Constanst!$E$48, 1)</f>
        <v>1</v>
      </c>
      <c r="B57" s="1" t="str">
        <f t="shared" si="3"/>
        <v>101</v>
      </c>
    </row>
    <row r="58" ht="14.25" customHeight="1">
      <c r="A58" s="1" t="str">
        <f>MID(B9, Constanst!$E$49, 1)</f>
        <v>0</v>
      </c>
      <c r="B58" s="1" t="str">
        <f>A58&amp;A59</f>
        <v>01</v>
      </c>
    </row>
    <row r="59" ht="14.25" customHeight="1">
      <c r="A59" s="1" t="str">
        <f>MID(B9, Constanst!$E$50, 1)</f>
        <v>1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K12=PC2(C12D12)</v>
      </c>
      <c r="B61" s="28"/>
      <c r="C61" s="28"/>
      <c r="D61" s="29" t="str">
        <f>B12</f>
        <v>011100010111000111110101010001010101110011010101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01110001</v>
      </c>
      <c r="C64" s="26" t="str">
        <f t="shared" ref="C64:C69" si="5">BIN2HEX(B64,2)</f>
        <v>71</v>
      </c>
    </row>
    <row r="65" ht="14.25" customHeight="1">
      <c r="A65" s="26">
        <v>2.0</v>
      </c>
      <c r="B65" s="26" t="str">
        <f t="shared" si="4"/>
        <v>01110001</v>
      </c>
      <c r="C65" s="26" t="str">
        <f t="shared" si="5"/>
        <v>71</v>
      </c>
    </row>
    <row r="66" ht="14.25" customHeight="1">
      <c r="A66" s="26">
        <v>3.0</v>
      </c>
      <c r="B66" s="26" t="str">
        <f t="shared" si="4"/>
        <v>11110101</v>
      </c>
      <c r="C66" s="26" t="str">
        <f t="shared" si="5"/>
        <v>F5</v>
      </c>
    </row>
    <row r="67" ht="14.25" customHeight="1">
      <c r="A67" s="26">
        <v>4.0</v>
      </c>
      <c r="B67" s="26" t="str">
        <f t="shared" si="4"/>
        <v>01000101</v>
      </c>
      <c r="C67" s="26" t="str">
        <f t="shared" si="5"/>
        <v>45</v>
      </c>
    </row>
    <row r="68" ht="14.25" customHeight="1">
      <c r="A68" s="26">
        <v>5.0</v>
      </c>
      <c r="B68" s="26" t="str">
        <f t="shared" si="4"/>
        <v>01011100</v>
      </c>
      <c r="C68" s="26" t="str">
        <f t="shared" si="5"/>
        <v>5C</v>
      </c>
    </row>
    <row r="69" ht="14.25" customHeight="1">
      <c r="A69" s="26">
        <v>6.0</v>
      </c>
      <c r="B69" s="26" t="str">
        <f t="shared" si="4"/>
        <v>11010101</v>
      </c>
      <c r="C69" s="26" t="str">
        <f t="shared" si="5"/>
        <v>D5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0101111110000110011001010101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0101010101010110011001111000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01011111</v>
      </c>
      <c r="G4" s="27" t="str">
        <f t="shared" ref="G4:G6" si="1">BIN2HEX(F4,2)</f>
        <v>5F</v>
      </c>
      <c r="J4" s="27">
        <v>1.0</v>
      </c>
      <c r="K4" s="27" t="str">
        <f>MID(K1,(J4-1)*8+1, 8)</f>
        <v>01010101</v>
      </c>
      <c r="L4" s="27" t="str">
        <f t="shared" ref="L4:L6" si="2">BIN2HEX(K4,2)</f>
        <v>55</v>
      </c>
    </row>
    <row r="5" ht="14.25" customHeight="1">
      <c r="B5" s="30"/>
      <c r="E5" s="27">
        <v>2.0</v>
      </c>
      <c r="F5" s="27" t="str">
        <f>MID(F1,(E5-1)*8+1, 8)</f>
        <v>10000110</v>
      </c>
      <c r="G5" s="27" t="str">
        <f t="shared" si="1"/>
        <v>86</v>
      </c>
      <c r="J5" s="27">
        <v>2.0</v>
      </c>
      <c r="K5" s="27" t="str">
        <f>MID(K1,(J5-1)*8+1, 8)</f>
        <v>01010110</v>
      </c>
      <c r="L5" s="27" t="str">
        <f t="shared" si="2"/>
        <v>56</v>
      </c>
    </row>
    <row r="6" ht="14.25" customHeight="1">
      <c r="B6" s="30"/>
      <c r="E6" s="27">
        <v>3.0</v>
      </c>
      <c r="F6" s="27" t="str">
        <f>MID(F1,(E6-1)*8+1, 8)</f>
        <v>01100101</v>
      </c>
      <c r="G6" s="27" t="str">
        <f t="shared" si="1"/>
        <v>65</v>
      </c>
      <c r="J6" s="27">
        <v>3.0</v>
      </c>
      <c r="K6" s="27" t="str">
        <f>MID(K1,(J6-1)*8+1, 8)</f>
        <v>01100111</v>
      </c>
      <c r="L6" s="27" t="str">
        <f t="shared" si="2"/>
        <v>67</v>
      </c>
    </row>
    <row r="7" ht="14.25" customHeight="1">
      <c r="B7" s="30"/>
      <c r="E7" s="27">
        <v>4.0</v>
      </c>
      <c r="F7" s="27" t="str">
        <f>MID(F1,(E7-1)*8+1, 8)</f>
        <v>0101</v>
      </c>
      <c r="G7" s="27" t="str">
        <f>BIN2HEX(F7,1)</f>
        <v>5</v>
      </c>
      <c r="J7" s="27">
        <v>4.0</v>
      </c>
      <c r="K7" s="27" t="str">
        <f>MID(K1,(J7-1)*8+1, 8)</f>
        <v>1000</v>
      </c>
      <c r="L7" s="27" t="str">
        <f>BIN2HEX(K7,1)</f>
        <v>8</v>
      </c>
    </row>
    <row r="8" ht="14.25" customHeight="1">
      <c r="B8" s="30"/>
    </row>
    <row r="9" ht="14.25" customHeight="1">
      <c r="A9" s="1" t="str">
        <f>M15&amp;N15&amp;"="</f>
        <v>C13D13=</v>
      </c>
      <c r="B9" s="1" t="str">
        <f>F1 &amp; K1</f>
        <v>01011111100001100110010101010101010101010110011001111000</v>
      </c>
    </row>
    <row r="10" ht="14.25" customHeight="1">
      <c r="B10" s="30"/>
      <c r="J10" s="1" t="s">
        <v>17</v>
      </c>
    </row>
    <row r="11" ht="14.25" customHeight="1">
      <c r="A11" s="1" t="str">
        <f>L15&amp;"=PC2("&amp;M15&amp;N15&amp;")"</f>
        <v>K13=PC2(C13D13)</v>
      </c>
    </row>
    <row r="12" ht="14.25" customHeight="1">
      <c r="A12" s="1" t="str">
        <f>MID(B9,Constanst!$E$3, 1)</f>
        <v>1</v>
      </c>
      <c r="B12" s="1" t="str">
        <f t="shared" ref="B12:B57" si="3">A12&amp;B13</f>
        <v>100101011100010111010001010010111000000011111101</v>
      </c>
    </row>
    <row r="13" ht="14.25" customHeight="1">
      <c r="A13" s="1" t="str">
        <f>MID(B9, Constanst!$E$4, 1)</f>
        <v>0</v>
      </c>
      <c r="B13" s="1" t="str">
        <f t="shared" si="3"/>
        <v>00101011100010111010001010010111000000011111101</v>
      </c>
    </row>
    <row r="14" ht="14.25" customHeight="1">
      <c r="A14" s="1" t="str">
        <f>MID(B9, Constanst!$E$5, 1)</f>
        <v>0</v>
      </c>
      <c r="B14" s="1" t="str">
        <f t="shared" si="3"/>
        <v>0101011100010111010001010010111000000011111101</v>
      </c>
    </row>
    <row r="15" ht="14.25" customHeight="1">
      <c r="A15" s="1" t="str">
        <f>MID(B9, Constanst!$E$6, 1)</f>
        <v>1</v>
      </c>
      <c r="B15" s="1" t="str">
        <f t="shared" si="3"/>
        <v>101011100010111010001010010111000000011111101</v>
      </c>
      <c r="L15" s="1" t="s">
        <v>18</v>
      </c>
      <c r="M15" s="1" t="s">
        <v>173</v>
      </c>
      <c r="N15" s="1" t="s">
        <v>174</v>
      </c>
    </row>
    <row r="16" ht="14.25" customHeight="1">
      <c r="A16" s="1" t="str">
        <f>MID(B9, Constanst!$E$7, 1)</f>
        <v>0</v>
      </c>
      <c r="B16" s="1" t="str">
        <f t="shared" si="3"/>
        <v>01011100010111010001010010111000000011111101</v>
      </c>
    </row>
    <row r="17" ht="14.25" customHeight="1">
      <c r="A17" s="1" t="str">
        <f>MID(B9, Constanst!$E$8, 1)</f>
        <v>1</v>
      </c>
      <c r="B17" s="1" t="str">
        <f t="shared" si="3"/>
        <v>1011100010111010001010010111000000011111101</v>
      </c>
    </row>
    <row r="18" ht="14.25" customHeight="1">
      <c r="A18" s="1" t="str">
        <f>MID(B9, Constanst!$E$9, 1)</f>
        <v>0</v>
      </c>
      <c r="B18" s="1" t="str">
        <f t="shared" si="3"/>
        <v>011100010111010001010010111000000011111101</v>
      </c>
    </row>
    <row r="19" ht="14.25" customHeight="1">
      <c r="A19" s="1" t="str">
        <f>MID(B9, Constanst!$E$10, 1)</f>
        <v>1</v>
      </c>
      <c r="B19" s="1" t="str">
        <f t="shared" si="3"/>
        <v>11100010111010001010010111000000011111101</v>
      </c>
    </row>
    <row r="20" ht="14.25" customHeight="1">
      <c r="A20" s="1" t="str">
        <f>MID(B9, Constanst!$E$11, 1)</f>
        <v>1</v>
      </c>
      <c r="B20" s="1" t="str">
        <f t="shared" si="3"/>
        <v>1100010111010001010010111000000011111101</v>
      </c>
    </row>
    <row r="21" ht="14.25" customHeight="1">
      <c r="A21" s="1" t="str">
        <f>MID(B9, Constanst!$E$12, 1)</f>
        <v>1</v>
      </c>
      <c r="B21" s="1" t="str">
        <f t="shared" si="3"/>
        <v>100010111010001010010111000000011111101</v>
      </c>
    </row>
    <row r="22" ht="14.25" customHeight="1">
      <c r="A22" s="1" t="str">
        <f>MID(B9, Constanst!$E$13, 1)</f>
        <v>0</v>
      </c>
      <c r="B22" s="1" t="str">
        <f t="shared" si="3"/>
        <v>00010111010001010010111000000011111101</v>
      </c>
    </row>
    <row r="23" ht="14.25" customHeight="1">
      <c r="A23" s="1" t="str">
        <f>MID(B9, Constanst!$E$14, 1)</f>
        <v>0</v>
      </c>
      <c r="B23" s="1" t="str">
        <f t="shared" si="3"/>
        <v>0010111010001010010111000000011111101</v>
      </c>
    </row>
    <row r="24" ht="14.25" customHeight="1">
      <c r="A24" s="1" t="str">
        <f>MID(B9, Constanst!$E$15, 1)</f>
        <v>0</v>
      </c>
      <c r="B24" s="1" t="str">
        <f t="shared" si="3"/>
        <v>010111010001010010111000000011111101</v>
      </c>
    </row>
    <row r="25" ht="14.25" customHeight="1">
      <c r="A25" s="1" t="str">
        <f>MID(B9, Constanst!$E$16, 1)</f>
        <v>1</v>
      </c>
      <c r="B25" s="1" t="str">
        <f t="shared" si="3"/>
        <v>10111010001010010111000000011111101</v>
      </c>
    </row>
    <row r="26" ht="14.25" customHeight="1">
      <c r="A26" s="1" t="str">
        <f>MID(B9, Constanst!$E$17, 1)</f>
        <v>0</v>
      </c>
      <c r="B26" s="1" t="str">
        <f t="shared" si="3"/>
        <v>0111010001010010111000000011111101</v>
      </c>
    </row>
    <row r="27" ht="14.25" customHeight="1">
      <c r="A27" s="1" t="str">
        <f>MID(B9, Constanst!$E$18, 1)</f>
        <v>1</v>
      </c>
      <c r="B27" s="1" t="str">
        <f t="shared" si="3"/>
        <v>111010001010010111000000011111101</v>
      </c>
    </row>
    <row r="28" ht="14.25" customHeight="1">
      <c r="A28" s="1" t="str">
        <f>MID(B9, Constanst!$E$19, 1)</f>
        <v>1</v>
      </c>
      <c r="B28" s="1" t="str">
        <f t="shared" si="3"/>
        <v>11010001010010111000000011111101</v>
      </c>
    </row>
    <row r="29" ht="14.25" customHeight="1">
      <c r="A29" s="1" t="str">
        <f>MID(B9, Constanst!$E$20, 1)</f>
        <v>1</v>
      </c>
      <c r="B29" s="1" t="str">
        <f t="shared" si="3"/>
        <v>1010001010010111000000011111101</v>
      </c>
    </row>
    <row r="30" ht="14.25" customHeight="1">
      <c r="A30" s="1" t="str">
        <f>MID(B9, Constanst!$E$21, 1)</f>
        <v>0</v>
      </c>
      <c r="B30" s="1" t="str">
        <f t="shared" si="3"/>
        <v>010001010010111000000011111101</v>
      </c>
    </row>
    <row r="31" ht="14.25" customHeight="1">
      <c r="A31" s="1" t="str">
        <f>MID(B9, Constanst!$E$22, 1)</f>
        <v>1</v>
      </c>
      <c r="B31" s="1" t="str">
        <f t="shared" si="3"/>
        <v>10001010010111000000011111101</v>
      </c>
    </row>
    <row r="32" ht="14.25" customHeight="1">
      <c r="A32" s="1" t="str">
        <f>MID(B9, Constanst!$E$23, 1)</f>
        <v>0</v>
      </c>
      <c r="B32" s="1" t="str">
        <f t="shared" si="3"/>
        <v>0001010010111000000011111101</v>
      </c>
    </row>
    <row r="33" ht="14.25" customHeight="1">
      <c r="A33" s="1" t="str">
        <f>MID(B9, Constanst!$E$24, 1)</f>
        <v>0</v>
      </c>
      <c r="B33" s="1" t="str">
        <f t="shared" si="3"/>
        <v>001010010111000000011111101</v>
      </c>
    </row>
    <row r="34" ht="14.25" customHeight="1">
      <c r="A34" s="1" t="str">
        <f>MID(B9, Constanst!$E$25, 1)</f>
        <v>0</v>
      </c>
      <c r="B34" s="1" t="str">
        <f t="shared" si="3"/>
        <v>01010010111000000011111101</v>
      </c>
    </row>
    <row r="35" ht="14.25" customHeight="1">
      <c r="A35" s="1" t="str">
        <f>MID(B9, Constanst!$E$26, 1)</f>
        <v>1</v>
      </c>
      <c r="B35" s="1" t="str">
        <f t="shared" si="3"/>
        <v>1010010111000000011111101</v>
      </c>
    </row>
    <row r="36" ht="14.25" customHeight="1">
      <c r="A36" s="1" t="str">
        <f>MID(B9, Constanst!$E$27, 1)</f>
        <v>0</v>
      </c>
      <c r="B36" s="1" t="str">
        <f t="shared" si="3"/>
        <v>010010111000000011111101</v>
      </c>
    </row>
    <row r="37" ht="14.25" customHeight="1">
      <c r="A37" s="1" t="str">
        <f>MID(B9, Constanst!$E$28, 1)</f>
        <v>1</v>
      </c>
      <c r="B37" s="1" t="str">
        <f t="shared" si="3"/>
        <v>10010111000000011111101</v>
      </c>
    </row>
    <row r="38" ht="14.25" customHeight="1">
      <c r="A38" s="1" t="str">
        <f>MID(B9, Constanst!$E$29, 1)</f>
        <v>0</v>
      </c>
      <c r="B38" s="1" t="str">
        <f t="shared" si="3"/>
        <v>0010111000000011111101</v>
      </c>
    </row>
    <row r="39" ht="14.25" customHeight="1">
      <c r="A39" s="1" t="str">
        <f>MID(B9, Constanst!$E$30, 1)</f>
        <v>0</v>
      </c>
      <c r="B39" s="1" t="str">
        <f t="shared" si="3"/>
        <v>010111000000011111101</v>
      </c>
    </row>
    <row r="40" ht="14.25" customHeight="1">
      <c r="A40" s="1" t="str">
        <f>MID(B9, Constanst!$E$31, 1)</f>
        <v>1</v>
      </c>
      <c r="B40" s="1" t="str">
        <f t="shared" si="3"/>
        <v>10111000000011111101</v>
      </c>
    </row>
    <row r="41" ht="14.25" customHeight="1">
      <c r="A41" s="1" t="str">
        <f>MID(B9, Constanst!$E$32, 1)</f>
        <v>0</v>
      </c>
      <c r="B41" s="1" t="str">
        <f t="shared" si="3"/>
        <v>0111000000011111101</v>
      </c>
    </row>
    <row r="42" ht="14.25" customHeight="1">
      <c r="A42" s="1" t="str">
        <f>MID(B9, Constanst!$E$33, 1)</f>
        <v>1</v>
      </c>
      <c r="B42" s="1" t="str">
        <f t="shared" si="3"/>
        <v>111000000011111101</v>
      </c>
    </row>
    <row r="43" ht="14.25" customHeight="1">
      <c r="A43" s="1" t="str">
        <f>MID(B9, Constanst!$E$34, 1)</f>
        <v>1</v>
      </c>
      <c r="B43" s="1" t="str">
        <f t="shared" si="3"/>
        <v>11000000011111101</v>
      </c>
    </row>
    <row r="44" ht="14.25" customHeight="1">
      <c r="A44" s="1" t="str">
        <f>MID(B9, Constanst!$E$35, 1)</f>
        <v>1</v>
      </c>
      <c r="B44" s="1" t="str">
        <f t="shared" si="3"/>
        <v>1000000011111101</v>
      </c>
    </row>
    <row r="45" ht="14.25" customHeight="1">
      <c r="A45" s="1" t="str">
        <f>MID(B9, Constanst!$E$36, 1)</f>
        <v>0</v>
      </c>
      <c r="B45" s="1" t="str">
        <f t="shared" si="3"/>
        <v>000000011111101</v>
      </c>
    </row>
    <row r="46" ht="14.25" customHeight="1">
      <c r="A46" s="1" t="str">
        <f>MID(B9, Constanst!$E$37, 1)</f>
        <v>0</v>
      </c>
      <c r="B46" s="1" t="str">
        <f t="shared" si="3"/>
        <v>00000011111101</v>
      </c>
    </row>
    <row r="47" ht="14.25" customHeight="1">
      <c r="A47" s="1" t="str">
        <f>MID(B9, Constanst!$E$38, 1)</f>
        <v>0</v>
      </c>
      <c r="B47" s="1" t="str">
        <f t="shared" si="3"/>
        <v>0000011111101</v>
      </c>
    </row>
    <row r="48" ht="14.25" customHeight="1">
      <c r="A48" s="1" t="str">
        <f>MID(B9, Constanst!$E$39, 1)</f>
        <v>0</v>
      </c>
      <c r="B48" s="1" t="str">
        <f t="shared" si="3"/>
        <v>000011111101</v>
      </c>
    </row>
    <row r="49" ht="14.25" customHeight="1">
      <c r="A49" s="1" t="str">
        <f>MID(B9, Constanst!$E$40, 1)</f>
        <v>0</v>
      </c>
      <c r="B49" s="1" t="str">
        <f t="shared" si="3"/>
        <v>00011111101</v>
      </c>
    </row>
    <row r="50" ht="14.25" customHeight="1">
      <c r="A50" s="1" t="str">
        <f>MID(B9, Constanst!$E$41, 1)</f>
        <v>0</v>
      </c>
      <c r="B50" s="1" t="str">
        <f t="shared" si="3"/>
        <v>0011111101</v>
      </c>
    </row>
    <row r="51" ht="14.25" customHeight="1">
      <c r="A51" s="1" t="str">
        <f>MID(B9, Constanst!$E$42, 1)</f>
        <v>0</v>
      </c>
      <c r="B51" s="1" t="str">
        <f t="shared" si="3"/>
        <v>011111101</v>
      </c>
    </row>
    <row r="52" ht="14.25" customHeight="1">
      <c r="A52" s="1" t="str">
        <f>MID(B9, Constanst!$E$43, 1)</f>
        <v>1</v>
      </c>
      <c r="B52" s="1" t="str">
        <f t="shared" si="3"/>
        <v>11111101</v>
      </c>
    </row>
    <row r="53" ht="14.25" customHeight="1">
      <c r="A53" s="1" t="str">
        <f>MID(B9, Constanst!$E$44, 1)</f>
        <v>1</v>
      </c>
      <c r="B53" s="1" t="str">
        <f t="shared" si="3"/>
        <v>1111101</v>
      </c>
    </row>
    <row r="54" ht="14.25" customHeight="1">
      <c r="A54" s="1" t="str">
        <f>MID(B9, Constanst!$E$45, 1)</f>
        <v>1</v>
      </c>
      <c r="B54" s="1" t="str">
        <f t="shared" si="3"/>
        <v>111101</v>
      </c>
    </row>
    <row r="55" ht="14.25" customHeight="1">
      <c r="A55" s="1" t="str">
        <f>MID(B9, Constanst!$E$46, 1)</f>
        <v>1</v>
      </c>
      <c r="B55" s="1" t="str">
        <f t="shared" si="3"/>
        <v>11101</v>
      </c>
    </row>
    <row r="56" ht="14.25" customHeight="1">
      <c r="A56" s="1" t="str">
        <f>MID(B9, Constanst!$E$47, 1)</f>
        <v>1</v>
      </c>
      <c r="B56" s="1" t="str">
        <f t="shared" si="3"/>
        <v>1101</v>
      </c>
    </row>
    <row r="57" ht="14.25" customHeight="1">
      <c r="A57" s="1" t="str">
        <f>MID(B9, Constanst!$E$48, 1)</f>
        <v>1</v>
      </c>
      <c r="B57" s="1" t="str">
        <f t="shared" si="3"/>
        <v>101</v>
      </c>
    </row>
    <row r="58" ht="14.25" customHeight="1">
      <c r="A58" s="1" t="str">
        <f>MID(B9, Constanst!$E$49, 1)</f>
        <v>0</v>
      </c>
      <c r="B58" s="1" t="str">
        <f>A58&amp;A59</f>
        <v>01</v>
      </c>
    </row>
    <row r="59" ht="14.25" customHeight="1">
      <c r="A59" s="1" t="str">
        <f>MID(B9, Constanst!$E$50, 1)</f>
        <v>1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K13=PC2(C13D13)</v>
      </c>
      <c r="B61" s="28"/>
      <c r="C61" s="28"/>
      <c r="D61" s="29" t="str">
        <f>B12</f>
        <v>100101011100010111010001010010111000000011111101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10010101</v>
      </c>
      <c r="C64" s="26" t="str">
        <f t="shared" ref="C64:C69" si="5">BIN2HEX(B64,2)</f>
        <v>95</v>
      </c>
    </row>
    <row r="65" ht="14.25" customHeight="1">
      <c r="A65" s="26">
        <v>2.0</v>
      </c>
      <c r="B65" s="26" t="str">
        <f t="shared" si="4"/>
        <v>11000101</v>
      </c>
      <c r="C65" s="26" t="str">
        <f t="shared" si="5"/>
        <v>C5</v>
      </c>
    </row>
    <row r="66" ht="14.25" customHeight="1">
      <c r="A66" s="26">
        <v>3.0</v>
      </c>
      <c r="B66" s="26" t="str">
        <f t="shared" si="4"/>
        <v>11010001</v>
      </c>
      <c r="C66" s="26" t="str">
        <f t="shared" si="5"/>
        <v>D1</v>
      </c>
    </row>
    <row r="67" ht="14.25" customHeight="1">
      <c r="A67" s="26">
        <v>4.0</v>
      </c>
      <c r="B67" s="26" t="str">
        <f t="shared" si="4"/>
        <v>01001011</v>
      </c>
      <c r="C67" s="26" t="str">
        <f t="shared" si="5"/>
        <v>4B</v>
      </c>
    </row>
    <row r="68" ht="14.25" customHeight="1">
      <c r="A68" s="26">
        <v>5.0</v>
      </c>
      <c r="B68" s="26" t="str">
        <f t="shared" si="4"/>
        <v>10000000</v>
      </c>
      <c r="C68" s="26" t="str">
        <f t="shared" si="5"/>
        <v>80</v>
      </c>
    </row>
    <row r="69" ht="14.25" customHeight="1">
      <c r="A69" s="26">
        <v>6.0</v>
      </c>
      <c r="B69" s="26" t="str">
        <f t="shared" si="4"/>
        <v>11111101</v>
      </c>
      <c r="C69" s="26" t="str">
        <f t="shared" si="5"/>
        <v>FD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0111111000011001100101010101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0101010101011001100111100001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01111110</v>
      </c>
      <c r="G4" s="27" t="str">
        <f t="shared" ref="G4:G6" si="1">BIN2HEX(F4,2)</f>
        <v>7E</v>
      </c>
      <c r="J4" s="27">
        <v>1.0</v>
      </c>
      <c r="K4" s="27" t="str">
        <f>MID(K1,(J4-1)*8+1, 8)</f>
        <v>01010101</v>
      </c>
      <c r="L4" s="27" t="str">
        <f t="shared" ref="L4:L6" si="2">BIN2HEX(K4,2)</f>
        <v>55</v>
      </c>
    </row>
    <row r="5" ht="14.25" customHeight="1">
      <c r="B5" s="30"/>
      <c r="E5" s="27">
        <v>2.0</v>
      </c>
      <c r="F5" s="27" t="str">
        <f>MID(F1,(E5-1)*8+1, 8)</f>
        <v>00011001</v>
      </c>
      <c r="G5" s="27" t="str">
        <f t="shared" si="1"/>
        <v>19</v>
      </c>
      <c r="J5" s="27">
        <v>2.0</v>
      </c>
      <c r="K5" s="27" t="str">
        <f>MID(K1,(J5-1)*8+1, 8)</f>
        <v>01011001</v>
      </c>
      <c r="L5" s="27" t="str">
        <f t="shared" si="2"/>
        <v>59</v>
      </c>
    </row>
    <row r="6" ht="14.25" customHeight="1">
      <c r="B6" s="30"/>
      <c r="E6" s="27">
        <v>3.0</v>
      </c>
      <c r="F6" s="27" t="str">
        <f>MID(F1,(E6-1)*8+1, 8)</f>
        <v>10010101</v>
      </c>
      <c r="G6" s="27" t="str">
        <f t="shared" si="1"/>
        <v>95</v>
      </c>
      <c r="J6" s="27">
        <v>3.0</v>
      </c>
      <c r="K6" s="27" t="str">
        <f>MID(K1,(J6-1)*8+1, 8)</f>
        <v>10011110</v>
      </c>
      <c r="L6" s="27" t="str">
        <f t="shared" si="2"/>
        <v>9E</v>
      </c>
    </row>
    <row r="7" ht="14.25" customHeight="1">
      <c r="B7" s="30"/>
      <c r="E7" s="27">
        <v>4.0</v>
      </c>
      <c r="F7" s="27" t="str">
        <f>MID(F1,(E7-1)*8+1, 8)</f>
        <v>0101</v>
      </c>
      <c r="G7" s="27" t="str">
        <f>BIN2HEX(F7,1)</f>
        <v>5</v>
      </c>
      <c r="J7" s="27">
        <v>4.0</v>
      </c>
      <c r="K7" s="27" t="str">
        <f>MID(K1,(J7-1)*8+1, 8)</f>
        <v>0001</v>
      </c>
      <c r="L7" s="27" t="str">
        <f>BIN2HEX(K7,1)</f>
        <v>1</v>
      </c>
    </row>
    <row r="8" ht="14.25" customHeight="1">
      <c r="B8" s="30"/>
    </row>
    <row r="9" ht="14.25" customHeight="1">
      <c r="A9" s="1" t="str">
        <f>M15&amp;N15&amp;"="</f>
        <v>C14D14=</v>
      </c>
      <c r="B9" s="1" t="str">
        <f>F1 &amp; K1</f>
        <v>01111110000110011001010101010101010101011001100111100001</v>
      </c>
    </row>
    <row r="10" ht="14.25" customHeight="1">
      <c r="B10" s="30"/>
      <c r="J10" s="1" t="s">
        <v>18</v>
      </c>
    </row>
    <row r="11" ht="14.25" customHeight="1">
      <c r="A11" s="1" t="str">
        <f>L15&amp;"=PC2("&amp;M15&amp;N15&amp;")"</f>
        <v>K14=PC2(C14D14)</v>
      </c>
    </row>
    <row r="12" ht="14.25" customHeight="1">
      <c r="A12" s="1" t="str">
        <f>MID(B9,Constanst!$E$3, 1)</f>
        <v>0</v>
      </c>
      <c r="B12" s="1" t="str">
        <f t="shared" ref="B12:B57" si="3">A12&amp;B13</f>
        <v>010101110100001110110111100000111101110110001101</v>
      </c>
    </row>
    <row r="13" ht="14.25" customHeight="1">
      <c r="A13" s="1" t="str">
        <f>MID(B9, Constanst!$E$4, 1)</f>
        <v>1</v>
      </c>
      <c r="B13" s="1" t="str">
        <f t="shared" si="3"/>
        <v>10101110100001110110111100000111101110110001101</v>
      </c>
    </row>
    <row r="14" ht="14.25" customHeight="1">
      <c r="A14" s="1" t="str">
        <f>MID(B9, Constanst!$E$5, 1)</f>
        <v>0</v>
      </c>
      <c r="B14" s="1" t="str">
        <f t="shared" si="3"/>
        <v>0101110100001110110111100000111101110110001101</v>
      </c>
    </row>
    <row r="15" ht="14.25" customHeight="1">
      <c r="A15" s="1" t="str">
        <f>MID(B9, Constanst!$E$6, 1)</f>
        <v>1</v>
      </c>
      <c r="B15" s="1" t="str">
        <f t="shared" si="3"/>
        <v>101110100001110110111100000111101110110001101</v>
      </c>
      <c r="L15" s="1" t="s">
        <v>19</v>
      </c>
      <c r="M15" s="1" t="s">
        <v>175</v>
      </c>
      <c r="N15" s="1" t="s">
        <v>176</v>
      </c>
    </row>
    <row r="16" ht="14.25" customHeight="1">
      <c r="A16" s="1" t="str">
        <f>MID(B9, Constanst!$E$7, 1)</f>
        <v>0</v>
      </c>
      <c r="B16" s="1" t="str">
        <f t="shared" si="3"/>
        <v>01110100001110110111100000111101110110001101</v>
      </c>
    </row>
    <row r="17" ht="14.25" customHeight="1">
      <c r="A17" s="1" t="str">
        <f>MID(B9, Constanst!$E$8, 1)</f>
        <v>1</v>
      </c>
      <c r="B17" s="1" t="str">
        <f t="shared" si="3"/>
        <v>1110100001110110111100000111101110110001101</v>
      </c>
    </row>
    <row r="18" ht="14.25" customHeight="1">
      <c r="A18" s="1" t="str">
        <f>MID(B9, Constanst!$E$9, 1)</f>
        <v>1</v>
      </c>
      <c r="B18" s="1" t="str">
        <f t="shared" si="3"/>
        <v>110100001110110111100000111101110110001101</v>
      </c>
    </row>
    <row r="19" ht="14.25" customHeight="1">
      <c r="A19" s="1" t="str">
        <f>MID(B9, Constanst!$E$10, 1)</f>
        <v>1</v>
      </c>
      <c r="B19" s="1" t="str">
        <f t="shared" si="3"/>
        <v>10100001110110111100000111101110110001101</v>
      </c>
    </row>
    <row r="20" ht="14.25" customHeight="1">
      <c r="A20" s="1" t="str">
        <f>MID(B9, Constanst!$E$11, 1)</f>
        <v>0</v>
      </c>
      <c r="B20" s="1" t="str">
        <f t="shared" si="3"/>
        <v>0100001110110111100000111101110110001101</v>
      </c>
    </row>
    <row r="21" ht="14.25" customHeight="1">
      <c r="A21" s="1" t="str">
        <f>MID(B9, Constanst!$E$12, 1)</f>
        <v>1</v>
      </c>
      <c r="B21" s="1" t="str">
        <f t="shared" si="3"/>
        <v>100001110110111100000111101110110001101</v>
      </c>
    </row>
    <row r="22" ht="14.25" customHeight="1">
      <c r="A22" s="1" t="str">
        <f>MID(B9, Constanst!$E$13, 1)</f>
        <v>0</v>
      </c>
      <c r="B22" s="1" t="str">
        <f t="shared" si="3"/>
        <v>00001110110111100000111101110110001101</v>
      </c>
    </row>
    <row r="23" ht="14.25" customHeight="1">
      <c r="A23" s="1" t="str">
        <f>MID(B9, Constanst!$E$14, 1)</f>
        <v>0</v>
      </c>
      <c r="B23" s="1" t="str">
        <f t="shared" si="3"/>
        <v>0001110110111100000111101110110001101</v>
      </c>
    </row>
    <row r="24" ht="14.25" customHeight="1">
      <c r="A24" s="1" t="str">
        <f>MID(B9, Constanst!$E$15, 1)</f>
        <v>0</v>
      </c>
      <c r="B24" s="1" t="str">
        <f t="shared" si="3"/>
        <v>001110110111100000111101110110001101</v>
      </c>
    </row>
    <row r="25" ht="14.25" customHeight="1">
      <c r="A25" s="1" t="str">
        <f>MID(B9, Constanst!$E$16, 1)</f>
        <v>0</v>
      </c>
      <c r="B25" s="1" t="str">
        <f t="shared" si="3"/>
        <v>01110110111100000111101110110001101</v>
      </c>
    </row>
    <row r="26" ht="14.25" customHeight="1">
      <c r="A26" s="1" t="str">
        <f>MID(B9, Constanst!$E$17, 1)</f>
        <v>1</v>
      </c>
      <c r="B26" s="1" t="str">
        <f t="shared" si="3"/>
        <v>1110110111100000111101110110001101</v>
      </c>
    </row>
    <row r="27" ht="14.25" customHeight="1">
      <c r="A27" s="1" t="str">
        <f>MID(B9, Constanst!$E$18, 1)</f>
        <v>1</v>
      </c>
      <c r="B27" s="1" t="str">
        <f t="shared" si="3"/>
        <v>110110111100000111101110110001101</v>
      </c>
    </row>
    <row r="28" ht="14.25" customHeight="1">
      <c r="A28" s="1" t="str">
        <f>MID(B9, Constanst!$E$19, 1)</f>
        <v>1</v>
      </c>
      <c r="B28" s="1" t="str">
        <f t="shared" si="3"/>
        <v>10110111100000111101110110001101</v>
      </c>
    </row>
    <row r="29" ht="14.25" customHeight="1">
      <c r="A29" s="1" t="str">
        <f>MID(B9, Constanst!$E$20, 1)</f>
        <v>0</v>
      </c>
      <c r="B29" s="1" t="str">
        <f t="shared" si="3"/>
        <v>0110111100000111101110110001101</v>
      </c>
    </row>
    <row r="30" ht="14.25" customHeight="1">
      <c r="A30" s="1" t="str">
        <f>MID(B9, Constanst!$E$21, 1)</f>
        <v>1</v>
      </c>
      <c r="B30" s="1" t="str">
        <f t="shared" si="3"/>
        <v>110111100000111101110110001101</v>
      </c>
    </row>
    <row r="31" ht="14.25" customHeight="1">
      <c r="A31" s="1" t="str">
        <f>MID(B9, Constanst!$E$22, 1)</f>
        <v>1</v>
      </c>
      <c r="B31" s="1" t="str">
        <f t="shared" si="3"/>
        <v>10111100000111101110110001101</v>
      </c>
    </row>
    <row r="32" ht="14.25" customHeight="1">
      <c r="A32" s="1" t="str">
        <f>MID(B9, Constanst!$E$23, 1)</f>
        <v>0</v>
      </c>
      <c r="B32" s="1" t="str">
        <f t="shared" si="3"/>
        <v>0111100000111101110110001101</v>
      </c>
    </row>
    <row r="33" ht="14.25" customHeight="1">
      <c r="A33" s="1" t="str">
        <f>MID(B9, Constanst!$E$24, 1)</f>
        <v>1</v>
      </c>
      <c r="B33" s="1" t="str">
        <f t="shared" si="3"/>
        <v>111100000111101110110001101</v>
      </c>
    </row>
    <row r="34" ht="14.25" customHeight="1">
      <c r="A34" s="1" t="str">
        <f>MID(B9, Constanst!$E$25, 1)</f>
        <v>1</v>
      </c>
      <c r="B34" s="1" t="str">
        <f t="shared" si="3"/>
        <v>11100000111101110110001101</v>
      </c>
    </row>
    <row r="35" ht="14.25" customHeight="1">
      <c r="A35" s="1" t="str">
        <f>MID(B9, Constanst!$E$26, 1)</f>
        <v>1</v>
      </c>
      <c r="B35" s="1" t="str">
        <f t="shared" si="3"/>
        <v>1100000111101110110001101</v>
      </c>
    </row>
    <row r="36" ht="14.25" customHeight="1">
      <c r="A36" s="1" t="str">
        <f>MID(B9, Constanst!$E$27, 1)</f>
        <v>1</v>
      </c>
      <c r="B36" s="1" t="str">
        <f t="shared" si="3"/>
        <v>100000111101110110001101</v>
      </c>
    </row>
    <row r="37" ht="14.25" customHeight="1">
      <c r="A37" s="1" t="str">
        <f>MID(B9, Constanst!$E$28, 1)</f>
        <v>0</v>
      </c>
      <c r="B37" s="1" t="str">
        <f t="shared" si="3"/>
        <v>00000111101110110001101</v>
      </c>
    </row>
    <row r="38" ht="14.25" customHeight="1">
      <c r="A38" s="1" t="str">
        <f>MID(B9, Constanst!$E$29, 1)</f>
        <v>0</v>
      </c>
      <c r="B38" s="1" t="str">
        <f t="shared" si="3"/>
        <v>0000111101110110001101</v>
      </c>
    </row>
    <row r="39" ht="14.25" customHeight="1">
      <c r="A39" s="1" t="str">
        <f>MID(B9, Constanst!$E$30, 1)</f>
        <v>0</v>
      </c>
      <c r="B39" s="1" t="str">
        <f t="shared" si="3"/>
        <v>000111101110110001101</v>
      </c>
    </row>
    <row r="40" ht="14.25" customHeight="1">
      <c r="A40" s="1" t="str">
        <f>MID(B9, Constanst!$E$31, 1)</f>
        <v>0</v>
      </c>
      <c r="B40" s="1" t="str">
        <f t="shared" si="3"/>
        <v>00111101110110001101</v>
      </c>
    </row>
    <row r="41" ht="14.25" customHeight="1">
      <c r="A41" s="1" t="str">
        <f>MID(B9, Constanst!$E$32, 1)</f>
        <v>0</v>
      </c>
      <c r="B41" s="1" t="str">
        <f t="shared" si="3"/>
        <v>0111101110110001101</v>
      </c>
    </row>
    <row r="42" ht="14.25" customHeight="1">
      <c r="A42" s="1" t="str">
        <f>MID(B9, Constanst!$E$33, 1)</f>
        <v>1</v>
      </c>
      <c r="B42" s="1" t="str">
        <f t="shared" si="3"/>
        <v>111101110110001101</v>
      </c>
    </row>
    <row r="43" ht="14.25" customHeight="1">
      <c r="A43" s="1" t="str">
        <f>MID(B9, Constanst!$E$34, 1)</f>
        <v>1</v>
      </c>
      <c r="B43" s="1" t="str">
        <f t="shared" si="3"/>
        <v>11101110110001101</v>
      </c>
    </row>
    <row r="44" ht="14.25" customHeight="1">
      <c r="A44" s="1" t="str">
        <f>MID(B9, Constanst!$E$35, 1)</f>
        <v>1</v>
      </c>
      <c r="B44" s="1" t="str">
        <f t="shared" si="3"/>
        <v>1101110110001101</v>
      </c>
    </row>
    <row r="45" ht="14.25" customHeight="1">
      <c r="A45" s="1" t="str">
        <f>MID(B9, Constanst!$E$36, 1)</f>
        <v>1</v>
      </c>
      <c r="B45" s="1" t="str">
        <f t="shared" si="3"/>
        <v>101110110001101</v>
      </c>
    </row>
    <row r="46" ht="14.25" customHeight="1">
      <c r="A46" s="1" t="str">
        <f>MID(B9, Constanst!$E$37, 1)</f>
        <v>0</v>
      </c>
      <c r="B46" s="1" t="str">
        <f t="shared" si="3"/>
        <v>01110110001101</v>
      </c>
    </row>
    <row r="47" ht="14.25" customHeight="1">
      <c r="A47" s="1" t="str">
        <f>MID(B9, Constanst!$E$38, 1)</f>
        <v>1</v>
      </c>
      <c r="B47" s="1" t="str">
        <f t="shared" si="3"/>
        <v>1110110001101</v>
      </c>
    </row>
    <row r="48" ht="14.25" customHeight="1">
      <c r="A48" s="1" t="str">
        <f>MID(B9, Constanst!$E$39, 1)</f>
        <v>1</v>
      </c>
      <c r="B48" s="1" t="str">
        <f t="shared" si="3"/>
        <v>110110001101</v>
      </c>
    </row>
    <row r="49" ht="14.25" customHeight="1">
      <c r="A49" s="1" t="str">
        <f>MID(B9, Constanst!$E$40, 1)</f>
        <v>1</v>
      </c>
      <c r="B49" s="1" t="str">
        <f t="shared" si="3"/>
        <v>10110001101</v>
      </c>
    </row>
    <row r="50" ht="14.25" customHeight="1">
      <c r="A50" s="1" t="str">
        <f>MID(B9, Constanst!$E$41, 1)</f>
        <v>0</v>
      </c>
      <c r="B50" s="1" t="str">
        <f t="shared" si="3"/>
        <v>0110001101</v>
      </c>
    </row>
    <row r="51" ht="14.25" customHeight="1">
      <c r="A51" s="1" t="str">
        <f>MID(B9, Constanst!$E$42, 1)</f>
        <v>1</v>
      </c>
      <c r="B51" s="1" t="str">
        <f t="shared" si="3"/>
        <v>110001101</v>
      </c>
    </row>
    <row r="52" ht="14.25" customHeight="1">
      <c r="A52" s="1" t="str">
        <f>MID(B9, Constanst!$E$43, 1)</f>
        <v>1</v>
      </c>
      <c r="B52" s="1" t="str">
        <f t="shared" si="3"/>
        <v>10001101</v>
      </c>
    </row>
    <row r="53" ht="14.25" customHeight="1">
      <c r="A53" s="1" t="str">
        <f>MID(B9, Constanst!$E$44, 1)</f>
        <v>0</v>
      </c>
      <c r="B53" s="1" t="str">
        <f t="shared" si="3"/>
        <v>0001101</v>
      </c>
    </row>
    <row r="54" ht="14.25" customHeight="1">
      <c r="A54" s="1" t="str">
        <f>MID(B9, Constanst!$E$45, 1)</f>
        <v>0</v>
      </c>
      <c r="B54" s="1" t="str">
        <f t="shared" si="3"/>
        <v>001101</v>
      </c>
    </row>
    <row r="55" ht="14.25" customHeight="1">
      <c r="A55" s="1" t="str">
        <f>MID(B9, Constanst!$E$46, 1)</f>
        <v>0</v>
      </c>
      <c r="B55" s="1" t="str">
        <f t="shared" si="3"/>
        <v>01101</v>
      </c>
    </row>
    <row r="56" ht="14.25" customHeight="1">
      <c r="A56" s="1" t="str">
        <f>MID(B9, Constanst!$E$47, 1)</f>
        <v>1</v>
      </c>
      <c r="B56" s="1" t="str">
        <f t="shared" si="3"/>
        <v>1101</v>
      </c>
    </row>
    <row r="57" ht="14.25" customHeight="1">
      <c r="A57" s="1" t="str">
        <f>MID(B9, Constanst!$E$48, 1)</f>
        <v>1</v>
      </c>
      <c r="B57" s="1" t="str">
        <f t="shared" si="3"/>
        <v>101</v>
      </c>
    </row>
    <row r="58" ht="14.25" customHeight="1">
      <c r="A58" s="1" t="str">
        <f>MID(B9, Constanst!$E$49, 1)</f>
        <v>0</v>
      </c>
      <c r="B58" s="1" t="str">
        <f>A58&amp;A59</f>
        <v>01</v>
      </c>
    </row>
    <row r="59" ht="14.25" customHeight="1">
      <c r="A59" s="1" t="str">
        <f>MID(B9, Constanst!$E$50, 1)</f>
        <v>1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K14=PC2(C14D14)</v>
      </c>
      <c r="B61" s="28"/>
      <c r="C61" s="28"/>
      <c r="D61" s="29" t="str">
        <f>B12</f>
        <v>010101110100001110110111100000111101110110001101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01010111</v>
      </c>
      <c r="C64" s="26" t="str">
        <f t="shared" ref="C64:C69" si="5">BIN2HEX(B64,2)</f>
        <v>57</v>
      </c>
    </row>
    <row r="65" ht="14.25" customHeight="1">
      <c r="A65" s="26">
        <v>2.0</v>
      </c>
      <c r="B65" s="26" t="str">
        <f t="shared" si="4"/>
        <v>01000011</v>
      </c>
      <c r="C65" s="26" t="str">
        <f t="shared" si="5"/>
        <v>43</v>
      </c>
    </row>
    <row r="66" ht="14.25" customHeight="1">
      <c r="A66" s="26">
        <v>3.0</v>
      </c>
      <c r="B66" s="26" t="str">
        <f t="shared" si="4"/>
        <v>10110111</v>
      </c>
      <c r="C66" s="26" t="str">
        <f t="shared" si="5"/>
        <v>B7</v>
      </c>
    </row>
    <row r="67" ht="14.25" customHeight="1">
      <c r="A67" s="26">
        <v>4.0</v>
      </c>
      <c r="B67" s="26" t="str">
        <f t="shared" si="4"/>
        <v>10000011</v>
      </c>
      <c r="C67" s="26" t="str">
        <f t="shared" si="5"/>
        <v>83</v>
      </c>
    </row>
    <row r="68" ht="14.25" customHeight="1">
      <c r="A68" s="26">
        <v>5.0</v>
      </c>
      <c r="B68" s="26" t="str">
        <f t="shared" si="4"/>
        <v>11011101</v>
      </c>
      <c r="C68" s="26" t="str">
        <f t="shared" si="5"/>
        <v>DD</v>
      </c>
    </row>
    <row r="69" ht="14.25" customHeight="1">
      <c r="A69" s="26">
        <v>6.0</v>
      </c>
      <c r="B69" s="26" t="str">
        <f t="shared" si="4"/>
        <v>10001101</v>
      </c>
      <c r="C69" s="26" t="str">
        <f t="shared" si="5"/>
        <v>8D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LEN(INDIRECT("'"&amp;$J$10&amp;"'!F1"))-2) &amp; LEFT(INDIRECT("'"&amp;$J$10&amp;"'!F1"),2)</f>
        <v>1111100001100110010101010101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LEN(INDIRECT("'"&amp;$J$10&amp;"'!K1"))-2) &amp; LEFT(INDIRECT("'"&amp;$J$10&amp;"'!K1"),2)</f>
        <v>0101010101100110011110000101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11111000</v>
      </c>
      <c r="G4" s="27" t="str">
        <f t="shared" ref="G4:G6" si="1">BIN2HEX(F4,2)</f>
        <v>F8</v>
      </c>
      <c r="J4" s="27">
        <v>1.0</v>
      </c>
      <c r="K4" s="27" t="str">
        <f>MID(K1,(J4-1)*8+1, 8)</f>
        <v>01010101</v>
      </c>
      <c r="L4" s="27" t="str">
        <f t="shared" ref="L4:L6" si="2">BIN2HEX(K4,2)</f>
        <v>55</v>
      </c>
    </row>
    <row r="5" ht="14.25" customHeight="1">
      <c r="B5" s="30"/>
      <c r="E5" s="27">
        <v>2.0</v>
      </c>
      <c r="F5" s="27" t="str">
        <f>MID(F1,(E5-1)*8+1, 8)</f>
        <v>01100110</v>
      </c>
      <c r="G5" s="27" t="str">
        <f t="shared" si="1"/>
        <v>66</v>
      </c>
      <c r="J5" s="27">
        <v>2.0</v>
      </c>
      <c r="K5" s="27" t="str">
        <f>MID(K1,(J5-1)*8+1, 8)</f>
        <v>01100110</v>
      </c>
      <c r="L5" s="27" t="str">
        <f t="shared" si="2"/>
        <v>66</v>
      </c>
    </row>
    <row r="6" ht="14.25" customHeight="1">
      <c r="B6" s="30"/>
      <c r="E6" s="27">
        <v>3.0</v>
      </c>
      <c r="F6" s="27" t="str">
        <f>MID(F1,(E6-1)*8+1, 8)</f>
        <v>01010101</v>
      </c>
      <c r="G6" s="27" t="str">
        <f t="shared" si="1"/>
        <v>55</v>
      </c>
      <c r="J6" s="27">
        <v>3.0</v>
      </c>
      <c r="K6" s="27" t="str">
        <f>MID(K1,(J6-1)*8+1, 8)</f>
        <v>01111000</v>
      </c>
      <c r="L6" s="27" t="str">
        <f t="shared" si="2"/>
        <v>78</v>
      </c>
    </row>
    <row r="7" ht="14.25" customHeight="1">
      <c r="B7" s="30"/>
      <c r="E7" s="27">
        <v>4.0</v>
      </c>
      <c r="F7" s="27" t="str">
        <f>MID(F1,(E7-1)*8+1, 8)</f>
        <v>0101</v>
      </c>
      <c r="G7" s="27" t="str">
        <f>BIN2HEX(F7,1)</f>
        <v>5</v>
      </c>
      <c r="J7" s="27">
        <v>4.0</v>
      </c>
      <c r="K7" s="27" t="str">
        <f>MID(K1,(J7-1)*8+1, 8)</f>
        <v>0101</v>
      </c>
      <c r="L7" s="27" t="str">
        <f>BIN2HEX(K7,1)</f>
        <v>5</v>
      </c>
    </row>
    <row r="8" ht="14.25" customHeight="1">
      <c r="B8" s="30"/>
    </row>
    <row r="9" ht="14.25" customHeight="1">
      <c r="A9" s="1" t="str">
        <f>M15&amp;N15&amp;"="</f>
        <v>C15D15=</v>
      </c>
      <c r="B9" s="1" t="str">
        <f>F1 &amp; K1</f>
        <v>11111000011001100101010101010101010101100110011110000101</v>
      </c>
    </row>
    <row r="10" ht="14.25" customHeight="1">
      <c r="B10" s="30"/>
      <c r="J10" s="1" t="s">
        <v>19</v>
      </c>
    </row>
    <row r="11" ht="14.25" customHeight="1">
      <c r="A11" s="1" t="str">
        <f>L15&amp;"=PC2("&amp;M15&amp;N15&amp;")"</f>
        <v>K15=PC2(C15D15)</v>
      </c>
    </row>
    <row r="12" ht="14.25" customHeight="1">
      <c r="A12" s="1" t="str">
        <f>MID(B9,Constanst!$E$3, 1)</f>
        <v>1</v>
      </c>
      <c r="B12" s="1" t="str">
        <f t="shared" ref="B12:B57" si="3">A12&amp;B13</f>
        <v>101111111001000110000101000010100001011110110101</v>
      </c>
    </row>
    <row r="13" ht="14.25" customHeight="1">
      <c r="A13" s="1" t="str">
        <f>MID(B9, Constanst!$E$4, 1)</f>
        <v>0</v>
      </c>
      <c r="B13" s="1" t="str">
        <f t="shared" si="3"/>
        <v>01111111001000110000101000010100001011110110101</v>
      </c>
    </row>
    <row r="14" ht="14.25" customHeight="1">
      <c r="A14" s="1" t="str">
        <f>MID(B9, Constanst!$E$5, 1)</f>
        <v>1</v>
      </c>
      <c r="B14" s="1" t="str">
        <f t="shared" si="3"/>
        <v>1111111001000110000101000010100001011110110101</v>
      </c>
    </row>
    <row r="15" ht="14.25" customHeight="1">
      <c r="A15" s="1" t="str">
        <f>MID(B9, Constanst!$E$6, 1)</f>
        <v>1</v>
      </c>
      <c r="B15" s="1" t="str">
        <f t="shared" si="3"/>
        <v>111111001000110000101000010100001011110110101</v>
      </c>
      <c r="L15" s="1" t="s">
        <v>20</v>
      </c>
      <c r="M15" s="1" t="s">
        <v>177</v>
      </c>
      <c r="N15" s="1" t="s">
        <v>178</v>
      </c>
    </row>
    <row r="16" ht="14.25" customHeight="1">
      <c r="A16" s="1" t="str">
        <f>MID(B9, Constanst!$E$7, 1)</f>
        <v>1</v>
      </c>
      <c r="B16" s="1" t="str">
        <f t="shared" si="3"/>
        <v>11111001000110000101000010100001011110110101</v>
      </c>
    </row>
    <row r="17" ht="14.25" customHeight="1">
      <c r="A17" s="1" t="str">
        <f>MID(B9, Constanst!$E$8, 1)</f>
        <v>1</v>
      </c>
      <c r="B17" s="1" t="str">
        <f t="shared" si="3"/>
        <v>1111001000110000101000010100001011110110101</v>
      </c>
    </row>
    <row r="18" ht="14.25" customHeight="1">
      <c r="A18" s="1" t="str">
        <f>MID(B9, Constanst!$E$9, 1)</f>
        <v>1</v>
      </c>
      <c r="B18" s="1" t="str">
        <f t="shared" si="3"/>
        <v>111001000110000101000010100001011110110101</v>
      </c>
    </row>
    <row r="19" ht="14.25" customHeight="1">
      <c r="A19" s="1" t="str">
        <f>MID(B9, Constanst!$E$10, 1)</f>
        <v>1</v>
      </c>
      <c r="B19" s="1" t="str">
        <f t="shared" si="3"/>
        <v>11001000110000101000010100001011110110101</v>
      </c>
    </row>
    <row r="20" ht="14.25" customHeight="1">
      <c r="A20" s="1" t="str">
        <f>MID(B9, Constanst!$E$11, 1)</f>
        <v>1</v>
      </c>
      <c r="B20" s="1" t="str">
        <f t="shared" si="3"/>
        <v>1001000110000101000010100001011110110101</v>
      </c>
    </row>
    <row r="21" ht="14.25" customHeight="1">
      <c r="A21" s="1" t="str">
        <f>MID(B9, Constanst!$E$12, 1)</f>
        <v>0</v>
      </c>
      <c r="B21" s="1" t="str">
        <f t="shared" si="3"/>
        <v>001000110000101000010100001011110110101</v>
      </c>
    </row>
    <row r="22" ht="14.25" customHeight="1">
      <c r="A22" s="1" t="str">
        <f>MID(B9, Constanst!$E$13, 1)</f>
        <v>0</v>
      </c>
      <c r="B22" s="1" t="str">
        <f t="shared" si="3"/>
        <v>01000110000101000010100001011110110101</v>
      </c>
    </row>
    <row r="23" ht="14.25" customHeight="1">
      <c r="A23" s="1" t="str">
        <f>MID(B9, Constanst!$E$14, 1)</f>
        <v>1</v>
      </c>
      <c r="B23" s="1" t="str">
        <f t="shared" si="3"/>
        <v>1000110000101000010100001011110110101</v>
      </c>
    </row>
    <row r="24" ht="14.25" customHeight="1">
      <c r="A24" s="1" t="str">
        <f>MID(B9, Constanst!$E$15, 1)</f>
        <v>0</v>
      </c>
      <c r="B24" s="1" t="str">
        <f t="shared" si="3"/>
        <v>000110000101000010100001011110110101</v>
      </c>
    </row>
    <row r="25" ht="14.25" customHeight="1">
      <c r="A25" s="1" t="str">
        <f>MID(B9, Constanst!$E$16, 1)</f>
        <v>0</v>
      </c>
      <c r="B25" s="1" t="str">
        <f t="shared" si="3"/>
        <v>00110000101000010100001011110110101</v>
      </c>
    </row>
    <row r="26" ht="14.25" customHeight="1">
      <c r="A26" s="1" t="str">
        <f>MID(B9, Constanst!$E$17, 1)</f>
        <v>0</v>
      </c>
      <c r="B26" s="1" t="str">
        <f t="shared" si="3"/>
        <v>0110000101000010100001011110110101</v>
      </c>
    </row>
    <row r="27" ht="14.25" customHeight="1">
      <c r="A27" s="1" t="str">
        <f>MID(B9, Constanst!$E$18, 1)</f>
        <v>1</v>
      </c>
      <c r="B27" s="1" t="str">
        <f t="shared" si="3"/>
        <v>110000101000010100001011110110101</v>
      </c>
    </row>
    <row r="28" ht="14.25" customHeight="1">
      <c r="A28" s="1" t="str">
        <f>MID(B9, Constanst!$E$19, 1)</f>
        <v>1</v>
      </c>
      <c r="B28" s="1" t="str">
        <f t="shared" si="3"/>
        <v>10000101000010100001011110110101</v>
      </c>
    </row>
    <row r="29" ht="14.25" customHeight="1">
      <c r="A29" s="1" t="str">
        <f>MID(B9, Constanst!$E$20, 1)</f>
        <v>0</v>
      </c>
      <c r="B29" s="1" t="str">
        <f t="shared" si="3"/>
        <v>0000101000010100001011110110101</v>
      </c>
    </row>
    <row r="30" ht="14.25" customHeight="1">
      <c r="A30" s="1" t="str">
        <f>MID(B9, Constanst!$E$21, 1)</f>
        <v>0</v>
      </c>
      <c r="B30" s="1" t="str">
        <f t="shared" si="3"/>
        <v>000101000010100001011110110101</v>
      </c>
    </row>
    <row r="31" ht="14.25" customHeight="1">
      <c r="A31" s="1" t="str">
        <f>MID(B9, Constanst!$E$22, 1)</f>
        <v>0</v>
      </c>
      <c r="B31" s="1" t="str">
        <f t="shared" si="3"/>
        <v>00101000010100001011110110101</v>
      </c>
    </row>
    <row r="32" ht="14.25" customHeight="1">
      <c r="A32" s="1" t="str">
        <f>MID(B9, Constanst!$E$23, 1)</f>
        <v>0</v>
      </c>
      <c r="B32" s="1" t="str">
        <f t="shared" si="3"/>
        <v>0101000010100001011110110101</v>
      </c>
    </row>
    <row r="33" ht="14.25" customHeight="1">
      <c r="A33" s="1" t="str">
        <f>MID(B9, Constanst!$E$24, 1)</f>
        <v>1</v>
      </c>
      <c r="B33" s="1" t="str">
        <f t="shared" si="3"/>
        <v>101000010100001011110110101</v>
      </c>
    </row>
    <row r="34" ht="14.25" customHeight="1">
      <c r="A34" s="1" t="str">
        <f>MID(B9, Constanst!$E$25, 1)</f>
        <v>0</v>
      </c>
      <c r="B34" s="1" t="str">
        <f t="shared" si="3"/>
        <v>01000010100001011110110101</v>
      </c>
    </row>
    <row r="35" ht="14.25" customHeight="1">
      <c r="A35" s="1" t="str">
        <f>MID(B9, Constanst!$E$26, 1)</f>
        <v>1</v>
      </c>
      <c r="B35" s="1" t="str">
        <f t="shared" si="3"/>
        <v>1000010100001011110110101</v>
      </c>
    </row>
    <row r="36" ht="14.25" customHeight="1">
      <c r="A36" s="1" t="str">
        <f>MID(B9, Constanst!$E$27, 1)</f>
        <v>0</v>
      </c>
      <c r="B36" s="1" t="str">
        <f t="shared" si="3"/>
        <v>000010100001011110110101</v>
      </c>
    </row>
    <row r="37" ht="14.25" customHeight="1">
      <c r="A37" s="1" t="str">
        <f>MID(B9, Constanst!$E$28, 1)</f>
        <v>0</v>
      </c>
      <c r="B37" s="1" t="str">
        <f t="shared" si="3"/>
        <v>00010100001011110110101</v>
      </c>
    </row>
    <row r="38" ht="14.25" customHeight="1">
      <c r="A38" s="1" t="str">
        <f>MID(B9, Constanst!$E$29, 1)</f>
        <v>0</v>
      </c>
      <c r="B38" s="1" t="str">
        <f t="shared" si="3"/>
        <v>0010100001011110110101</v>
      </c>
    </row>
    <row r="39" ht="14.25" customHeight="1">
      <c r="A39" s="1" t="str">
        <f>MID(B9, Constanst!$E$30, 1)</f>
        <v>0</v>
      </c>
      <c r="B39" s="1" t="str">
        <f t="shared" si="3"/>
        <v>010100001011110110101</v>
      </c>
    </row>
    <row r="40" ht="14.25" customHeight="1">
      <c r="A40" s="1" t="str">
        <f>MID(B9, Constanst!$E$31, 1)</f>
        <v>1</v>
      </c>
      <c r="B40" s="1" t="str">
        <f t="shared" si="3"/>
        <v>10100001011110110101</v>
      </c>
    </row>
    <row r="41" ht="14.25" customHeight="1">
      <c r="A41" s="1" t="str">
        <f>MID(B9, Constanst!$E$32, 1)</f>
        <v>0</v>
      </c>
      <c r="B41" s="1" t="str">
        <f t="shared" si="3"/>
        <v>0100001011110110101</v>
      </c>
    </row>
    <row r="42" ht="14.25" customHeight="1">
      <c r="A42" s="1" t="str">
        <f>MID(B9, Constanst!$E$33, 1)</f>
        <v>1</v>
      </c>
      <c r="B42" s="1" t="str">
        <f t="shared" si="3"/>
        <v>100001011110110101</v>
      </c>
    </row>
    <row r="43" ht="14.25" customHeight="1">
      <c r="A43" s="1" t="str">
        <f>MID(B9, Constanst!$E$34, 1)</f>
        <v>0</v>
      </c>
      <c r="B43" s="1" t="str">
        <f t="shared" si="3"/>
        <v>00001011110110101</v>
      </c>
    </row>
    <row r="44" ht="14.25" customHeight="1">
      <c r="A44" s="1" t="str">
        <f>MID(B9, Constanst!$E$35, 1)</f>
        <v>0</v>
      </c>
      <c r="B44" s="1" t="str">
        <f t="shared" si="3"/>
        <v>0001011110110101</v>
      </c>
    </row>
    <row r="45" ht="14.25" customHeight="1">
      <c r="A45" s="1" t="str">
        <f>MID(B9, Constanst!$E$36, 1)</f>
        <v>0</v>
      </c>
      <c r="B45" s="1" t="str">
        <f t="shared" si="3"/>
        <v>001011110110101</v>
      </c>
    </row>
    <row r="46" ht="14.25" customHeight="1">
      <c r="A46" s="1" t="str">
        <f>MID(B9, Constanst!$E$37, 1)</f>
        <v>0</v>
      </c>
      <c r="B46" s="1" t="str">
        <f t="shared" si="3"/>
        <v>01011110110101</v>
      </c>
    </row>
    <row r="47" ht="14.25" customHeight="1">
      <c r="A47" s="1" t="str">
        <f>MID(B9, Constanst!$E$38, 1)</f>
        <v>1</v>
      </c>
      <c r="B47" s="1" t="str">
        <f t="shared" si="3"/>
        <v>1011110110101</v>
      </c>
    </row>
    <row r="48" ht="14.25" customHeight="1">
      <c r="A48" s="1" t="str">
        <f>MID(B9, Constanst!$E$39, 1)</f>
        <v>0</v>
      </c>
      <c r="B48" s="1" t="str">
        <f t="shared" si="3"/>
        <v>011110110101</v>
      </c>
    </row>
    <row r="49" ht="14.25" customHeight="1">
      <c r="A49" s="1" t="str">
        <f>MID(B9, Constanst!$E$40, 1)</f>
        <v>1</v>
      </c>
      <c r="B49" s="1" t="str">
        <f t="shared" si="3"/>
        <v>11110110101</v>
      </c>
    </row>
    <row r="50" ht="14.25" customHeight="1">
      <c r="A50" s="1" t="str">
        <f>MID(B9, Constanst!$E$41, 1)</f>
        <v>1</v>
      </c>
      <c r="B50" s="1" t="str">
        <f t="shared" si="3"/>
        <v>1110110101</v>
      </c>
    </row>
    <row r="51" ht="14.25" customHeight="1">
      <c r="A51" s="1" t="str">
        <f>MID(B9, Constanst!$E$42, 1)</f>
        <v>1</v>
      </c>
      <c r="B51" s="1" t="str">
        <f t="shared" si="3"/>
        <v>110110101</v>
      </c>
    </row>
    <row r="52" ht="14.25" customHeight="1">
      <c r="A52" s="1" t="str">
        <f>MID(B9, Constanst!$E$43, 1)</f>
        <v>1</v>
      </c>
      <c r="B52" s="1" t="str">
        <f t="shared" si="3"/>
        <v>10110101</v>
      </c>
    </row>
    <row r="53" ht="14.25" customHeight="1">
      <c r="A53" s="1" t="str">
        <f>MID(B9, Constanst!$E$44, 1)</f>
        <v>0</v>
      </c>
      <c r="B53" s="1" t="str">
        <f t="shared" si="3"/>
        <v>0110101</v>
      </c>
    </row>
    <row r="54" ht="14.25" customHeight="1">
      <c r="A54" s="1" t="str">
        <f>MID(B9, Constanst!$E$45, 1)</f>
        <v>1</v>
      </c>
      <c r="B54" s="1" t="str">
        <f t="shared" si="3"/>
        <v>110101</v>
      </c>
    </row>
    <row r="55" ht="14.25" customHeight="1">
      <c r="A55" s="1" t="str">
        <f>MID(B9, Constanst!$E$46, 1)</f>
        <v>1</v>
      </c>
      <c r="B55" s="1" t="str">
        <f t="shared" si="3"/>
        <v>10101</v>
      </c>
    </row>
    <row r="56" ht="14.25" customHeight="1">
      <c r="A56" s="1" t="str">
        <f>MID(B9, Constanst!$E$47, 1)</f>
        <v>0</v>
      </c>
      <c r="B56" s="1" t="str">
        <f t="shared" si="3"/>
        <v>0101</v>
      </c>
    </row>
    <row r="57" ht="14.25" customHeight="1">
      <c r="A57" s="1" t="str">
        <f>MID(B9, Constanst!$E$48, 1)</f>
        <v>1</v>
      </c>
      <c r="B57" s="1" t="str">
        <f t="shared" si="3"/>
        <v>101</v>
      </c>
    </row>
    <row r="58" ht="14.25" customHeight="1">
      <c r="A58" s="1" t="str">
        <f>MID(B9, Constanst!$E$49, 1)</f>
        <v>0</v>
      </c>
      <c r="B58" s="1" t="str">
        <f>A58&amp;A59</f>
        <v>01</v>
      </c>
    </row>
    <row r="59" ht="14.25" customHeight="1">
      <c r="A59" s="1" t="str">
        <f>MID(B9, Constanst!$E$50, 1)</f>
        <v>1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K15=PC2(C15D15)</v>
      </c>
      <c r="B61" s="28"/>
      <c r="C61" s="28"/>
      <c r="D61" s="29" t="str">
        <f>B12</f>
        <v>101111111001000110000101000010100001011110110101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10111111</v>
      </c>
      <c r="C64" s="26" t="str">
        <f t="shared" ref="C64:C69" si="5">BIN2HEX(B64,2)</f>
        <v>BF</v>
      </c>
    </row>
    <row r="65" ht="14.25" customHeight="1">
      <c r="A65" s="26">
        <v>2.0</v>
      </c>
      <c r="B65" s="26" t="str">
        <f t="shared" si="4"/>
        <v>10010001</v>
      </c>
      <c r="C65" s="26" t="str">
        <f t="shared" si="5"/>
        <v>91</v>
      </c>
    </row>
    <row r="66" ht="14.25" customHeight="1">
      <c r="A66" s="26">
        <v>3.0</v>
      </c>
      <c r="B66" s="26" t="str">
        <f t="shared" si="4"/>
        <v>10000101</v>
      </c>
      <c r="C66" s="26" t="str">
        <f t="shared" si="5"/>
        <v>85</v>
      </c>
    </row>
    <row r="67" ht="14.25" customHeight="1">
      <c r="A67" s="26">
        <v>4.0</v>
      </c>
      <c r="B67" s="26" t="str">
        <f t="shared" si="4"/>
        <v>00001010</v>
      </c>
      <c r="C67" s="26" t="str">
        <f t="shared" si="5"/>
        <v>0A</v>
      </c>
    </row>
    <row r="68" ht="14.25" customHeight="1">
      <c r="A68" s="26">
        <v>5.0</v>
      </c>
      <c r="B68" s="26" t="str">
        <f t="shared" si="4"/>
        <v>00010111</v>
      </c>
      <c r="C68" s="26" t="str">
        <f t="shared" si="5"/>
        <v>17</v>
      </c>
    </row>
    <row r="69" ht="14.25" customHeight="1">
      <c r="A69" s="26">
        <v>6.0</v>
      </c>
      <c r="B69" s="26" t="str">
        <f t="shared" si="4"/>
        <v>10110101</v>
      </c>
      <c r="C69" s="26" t="str">
        <f t="shared" si="5"/>
        <v>B5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30"/>
      <c r="E1" s="1" t="str">
        <f t="array" ref="E1">"C"&amp;RIGHT(CELL("filename",A1),LEN(CELL("filename",A1))-FIND("K",CELL("filename",A1)))&amp;"="</f>
        <v>#VALUE!</v>
      </c>
      <c r="F1" s="1" t="str">
        <f t="array" ref="F1">RIGHT(INDIRECT("'"&amp;$J$10&amp;"'!F1"), LEN(INDIRECT("'"&amp;$J$10&amp;"'!F1"))-1) &amp; LEFT(INDIRECT("'"&amp;$J$10&amp;"'!F1"),1)</f>
        <v>1111000011001100101010101011</v>
      </c>
      <c r="J1" s="1" t="str">
        <f t="array" ref="J1">"D"&amp;RIGHT(CELL("filename",A1),LEN(CELL("filename",A1))-FIND("K",CELL("filename",A1)))&amp;"="</f>
        <v>#VALUE!</v>
      </c>
      <c r="K1" s="1" t="str">
        <f t="array" ref="K1">RIGHT(INDIRECT("'"&amp;$J$10&amp;"'!K1"), LEN(INDIRECT("'"&amp;$J$10&amp;"'!K1"))-1) &amp; LEFT(INDIRECT("'"&amp;$J$10&amp;"'!K1"),1)</f>
        <v>1010101011001100111100001010</v>
      </c>
      <c r="O1" s="30" t="s">
        <v>150</v>
      </c>
    </row>
    <row r="2" ht="14.25" customHeight="1">
      <c r="B2" s="30"/>
      <c r="O2" s="30" t="s">
        <v>151</v>
      </c>
    </row>
    <row r="3" ht="14.25" customHeight="1">
      <c r="B3" s="30"/>
      <c r="E3" s="27" t="s">
        <v>61</v>
      </c>
      <c r="F3" s="27" t="s">
        <v>61</v>
      </c>
      <c r="G3" s="27" t="s">
        <v>62</v>
      </c>
      <c r="J3" s="27" t="s">
        <v>61</v>
      </c>
      <c r="K3" s="27" t="s">
        <v>61</v>
      </c>
      <c r="L3" s="27" t="s">
        <v>62</v>
      </c>
    </row>
    <row r="4" ht="14.25" customHeight="1">
      <c r="B4" s="30"/>
      <c r="E4" s="27">
        <v>1.0</v>
      </c>
      <c r="F4" s="27" t="str">
        <f>MID(F1,(E4-1)*8+1, 8)</f>
        <v>11110000</v>
      </c>
      <c r="G4" s="27" t="str">
        <f t="shared" ref="G4:G6" si="1">BIN2HEX(F4,2)</f>
        <v>F0</v>
      </c>
      <c r="J4" s="27">
        <v>1.0</v>
      </c>
      <c r="K4" s="27" t="str">
        <f>MID(K1,(J4-1)*8+1, 8)</f>
        <v>10101010</v>
      </c>
      <c r="L4" s="27" t="str">
        <f t="shared" ref="L4:L6" si="2">BIN2HEX(K4,2)</f>
        <v>AA</v>
      </c>
    </row>
    <row r="5" ht="14.25" customHeight="1">
      <c r="B5" s="30"/>
      <c r="E5" s="27">
        <v>2.0</v>
      </c>
      <c r="F5" s="27" t="str">
        <f>MID(F1,(E5-1)*8+1, 8)</f>
        <v>11001100</v>
      </c>
      <c r="G5" s="27" t="str">
        <f t="shared" si="1"/>
        <v>CC</v>
      </c>
      <c r="J5" s="27">
        <v>2.0</v>
      </c>
      <c r="K5" s="27" t="str">
        <f>MID(K1,(J5-1)*8+1, 8)</f>
        <v>11001100</v>
      </c>
      <c r="L5" s="27" t="str">
        <f t="shared" si="2"/>
        <v>CC</v>
      </c>
    </row>
    <row r="6" ht="14.25" customHeight="1">
      <c r="B6" s="30"/>
      <c r="E6" s="27">
        <v>3.0</v>
      </c>
      <c r="F6" s="27" t="str">
        <f>MID(F1,(E6-1)*8+1, 8)</f>
        <v>10101010</v>
      </c>
      <c r="G6" s="27" t="str">
        <f t="shared" si="1"/>
        <v>AA</v>
      </c>
      <c r="J6" s="27">
        <v>3.0</v>
      </c>
      <c r="K6" s="27" t="str">
        <f>MID(K1,(J6-1)*8+1, 8)</f>
        <v>11110000</v>
      </c>
      <c r="L6" s="27" t="str">
        <f t="shared" si="2"/>
        <v>F0</v>
      </c>
    </row>
    <row r="7" ht="14.25" customHeight="1">
      <c r="B7" s="30"/>
      <c r="E7" s="27">
        <v>4.0</v>
      </c>
      <c r="F7" s="27" t="str">
        <f>MID(F1,(E7-1)*8+1, 8)</f>
        <v>1011</v>
      </c>
      <c r="G7" s="27" t="str">
        <f>BIN2HEX(F7,1)</f>
        <v>B</v>
      </c>
      <c r="J7" s="27">
        <v>4.0</v>
      </c>
      <c r="K7" s="27" t="str">
        <f>MID(K1,(J7-1)*8+1, 8)</f>
        <v>1010</v>
      </c>
      <c r="L7" s="27" t="str">
        <f>BIN2HEX(K7,1)</f>
        <v>A</v>
      </c>
    </row>
    <row r="8" ht="14.25" customHeight="1">
      <c r="B8" s="30"/>
    </row>
    <row r="9" ht="14.25" customHeight="1">
      <c r="A9" s="1" t="str">
        <f>M15&amp;N15&amp;"="</f>
        <v>C16D16=</v>
      </c>
      <c r="B9" s="1" t="str">
        <f>F1 &amp; K1</f>
        <v>11110000110011001010101010111010101011001100111100001010</v>
      </c>
    </row>
    <row r="10" ht="14.25" customHeight="1">
      <c r="B10" s="30"/>
      <c r="J10" s="1" t="s">
        <v>20</v>
      </c>
    </row>
    <row r="11" ht="14.25" customHeight="1">
      <c r="A11" s="1" t="str">
        <f>L15&amp;"=PC2("&amp;M15&amp;N15&amp;")"</f>
        <v>K16=PC2(C16D16)</v>
      </c>
    </row>
    <row r="12" ht="14.25" customHeight="1">
      <c r="A12" s="1" t="str">
        <f>MID(B9,Constanst!$E$3, 1)</f>
        <v>1</v>
      </c>
      <c r="B12" s="1" t="str">
        <f t="shared" ref="B12:B57" si="3">A12&amp;B13</f>
        <v>110010110011110100001011101111000111000001110010</v>
      </c>
    </row>
    <row r="13" ht="14.25" customHeight="1">
      <c r="A13" s="1" t="str">
        <f>MID(B9, Constanst!$E$4, 1)</f>
        <v>1</v>
      </c>
      <c r="B13" s="1" t="str">
        <f t="shared" si="3"/>
        <v>10010110011110100001011101111000111000001110010</v>
      </c>
    </row>
    <row r="14" ht="14.25" customHeight="1">
      <c r="A14" s="1" t="str">
        <f>MID(B9, Constanst!$E$5, 1)</f>
        <v>0</v>
      </c>
      <c r="B14" s="1" t="str">
        <f t="shared" si="3"/>
        <v>0010110011110100001011101111000111000001110010</v>
      </c>
    </row>
    <row r="15" ht="14.25" customHeight="1">
      <c r="A15" s="1" t="str">
        <f>MID(B9, Constanst!$E$6, 1)</f>
        <v>0</v>
      </c>
      <c r="B15" s="1" t="str">
        <f t="shared" si="3"/>
        <v>010110011110100001011101111000111000001110010</v>
      </c>
      <c r="L15" s="1" t="s">
        <v>21</v>
      </c>
      <c r="M15" s="1" t="s">
        <v>179</v>
      </c>
      <c r="N15" s="1" t="s">
        <v>180</v>
      </c>
    </row>
    <row r="16" ht="14.25" customHeight="1">
      <c r="A16" s="1" t="str">
        <f>MID(B9, Constanst!$E$7, 1)</f>
        <v>1</v>
      </c>
      <c r="B16" s="1" t="str">
        <f t="shared" si="3"/>
        <v>10110011110100001011101111000111000001110010</v>
      </c>
    </row>
    <row r="17" ht="14.25" customHeight="1">
      <c r="A17" s="1" t="str">
        <f>MID(B9, Constanst!$E$8, 1)</f>
        <v>0</v>
      </c>
      <c r="B17" s="1" t="str">
        <f t="shared" si="3"/>
        <v>0110011110100001011101111000111000001110010</v>
      </c>
    </row>
    <row r="18" ht="14.25" customHeight="1">
      <c r="A18" s="1" t="str">
        <f>MID(B9, Constanst!$E$9, 1)</f>
        <v>1</v>
      </c>
      <c r="B18" s="1" t="str">
        <f t="shared" si="3"/>
        <v>110011110100001011101111000111000001110010</v>
      </c>
    </row>
    <row r="19" ht="14.25" customHeight="1">
      <c r="A19" s="1" t="str">
        <f>MID(B9, Constanst!$E$10, 1)</f>
        <v>1</v>
      </c>
      <c r="B19" s="1" t="str">
        <f t="shared" si="3"/>
        <v>10011110100001011101111000111000001110010</v>
      </c>
    </row>
    <row r="20" ht="14.25" customHeight="1">
      <c r="A20" s="1" t="str">
        <f>MID(B9, Constanst!$E$11, 1)</f>
        <v>0</v>
      </c>
      <c r="B20" s="1" t="str">
        <f t="shared" si="3"/>
        <v>0011110100001011101111000111000001110010</v>
      </c>
    </row>
    <row r="21" ht="14.25" customHeight="1">
      <c r="A21" s="1" t="str">
        <f>MID(B9, Constanst!$E$12, 1)</f>
        <v>0</v>
      </c>
      <c r="B21" s="1" t="str">
        <f t="shared" si="3"/>
        <v>011110100001011101111000111000001110010</v>
      </c>
    </row>
    <row r="22" ht="14.25" customHeight="1">
      <c r="A22" s="1" t="str">
        <f>MID(B9, Constanst!$E$13, 1)</f>
        <v>1</v>
      </c>
      <c r="B22" s="1" t="str">
        <f t="shared" si="3"/>
        <v>11110100001011101111000111000001110010</v>
      </c>
    </row>
    <row r="23" ht="14.25" customHeight="1">
      <c r="A23" s="1" t="str">
        <f>MID(B9, Constanst!$E$14, 1)</f>
        <v>1</v>
      </c>
      <c r="B23" s="1" t="str">
        <f t="shared" si="3"/>
        <v>1110100001011101111000111000001110010</v>
      </c>
    </row>
    <row r="24" ht="14.25" customHeight="1">
      <c r="A24" s="1" t="str">
        <f>MID(B9, Constanst!$E$15, 1)</f>
        <v>1</v>
      </c>
      <c r="B24" s="1" t="str">
        <f t="shared" si="3"/>
        <v>110100001011101111000111000001110010</v>
      </c>
    </row>
    <row r="25" ht="14.25" customHeight="1">
      <c r="A25" s="1" t="str">
        <f>MID(B9, Constanst!$E$16, 1)</f>
        <v>1</v>
      </c>
      <c r="B25" s="1" t="str">
        <f t="shared" si="3"/>
        <v>10100001011101111000111000001110010</v>
      </c>
    </row>
    <row r="26" ht="14.25" customHeight="1">
      <c r="A26" s="1" t="str">
        <f>MID(B9, Constanst!$E$17, 1)</f>
        <v>0</v>
      </c>
      <c r="B26" s="1" t="str">
        <f t="shared" si="3"/>
        <v>0100001011101111000111000001110010</v>
      </c>
    </row>
    <row r="27" ht="14.25" customHeight="1">
      <c r="A27" s="1" t="str">
        <f>MID(B9, Constanst!$E$18, 1)</f>
        <v>1</v>
      </c>
      <c r="B27" s="1" t="str">
        <f t="shared" si="3"/>
        <v>100001011101111000111000001110010</v>
      </c>
    </row>
    <row r="28" ht="14.25" customHeight="1">
      <c r="A28" s="1" t="str">
        <f>MID(B9, Constanst!$E$19, 1)</f>
        <v>0</v>
      </c>
      <c r="B28" s="1" t="str">
        <f t="shared" si="3"/>
        <v>00001011101111000111000001110010</v>
      </c>
    </row>
    <row r="29" ht="14.25" customHeight="1">
      <c r="A29" s="1" t="str">
        <f>MID(B9, Constanst!$E$20, 1)</f>
        <v>0</v>
      </c>
      <c r="B29" s="1" t="str">
        <f t="shared" si="3"/>
        <v>0001011101111000111000001110010</v>
      </c>
    </row>
    <row r="30" ht="14.25" customHeight="1">
      <c r="A30" s="1" t="str">
        <f>MID(B9, Constanst!$E$21, 1)</f>
        <v>0</v>
      </c>
      <c r="B30" s="1" t="str">
        <f t="shared" si="3"/>
        <v>001011101111000111000001110010</v>
      </c>
    </row>
    <row r="31" ht="14.25" customHeight="1">
      <c r="A31" s="1" t="str">
        <f>MID(B9, Constanst!$E$22, 1)</f>
        <v>0</v>
      </c>
      <c r="B31" s="1" t="str">
        <f t="shared" si="3"/>
        <v>01011101111000111000001110010</v>
      </c>
    </row>
    <row r="32" ht="14.25" customHeight="1">
      <c r="A32" s="1" t="str">
        <f>MID(B9, Constanst!$E$23, 1)</f>
        <v>1</v>
      </c>
      <c r="B32" s="1" t="str">
        <f t="shared" si="3"/>
        <v>1011101111000111000001110010</v>
      </c>
    </row>
    <row r="33" ht="14.25" customHeight="1">
      <c r="A33" s="1" t="str">
        <f>MID(B9, Constanst!$E$24, 1)</f>
        <v>0</v>
      </c>
      <c r="B33" s="1" t="str">
        <f t="shared" si="3"/>
        <v>011101111000111000001110010</v>
      </c>
    </row>
    <row r="34" ht="14.25" customHeight="1">
      <c r="A34" s="1" t="str">
        <f>MID(B9, Constanst!$E$25, 1)</f>
        <v>1</v>
      </c>
      <c r="B34" s="1" t="str">
        <f t="shared" si="3"/>
        <v>11101111000111000001110010</v>
      </c>
    </row>
    <row r="35" ht="14.25" customHeight="1">
      <c r="A35" s="1" t="str">
        <f>MID(B9, Constanst!$E$26, 1)</f>
        <v>1</v>
      </c>
      <c r="B35" s="1" t="str">
        <f t="shared" si="3"/>
        <v>1101111000111000001110010</v>
      </c>
    </row>
    <row r="36" ht="14.25" customHeight="1">
      <c r="A36" s="1" t="str">
        <f>MID(B9, Constanst!$E$27, 1)</f>
        <v>1</v>
      </c>
      <c r="B36" s="1" t="str">
        <f t="shared" si="3"/>
        <v>101111000111000001110010</v>
      </c>
    </row>
    <row r="37" ht="14.25" customHeight="1">
      <c r="A37" s="1" t="str">
        <f>MID(B9, Constanst!$E$28, 1)</f>
        <v>0</v>
      </c>
      <c r="B37" s="1" t="str">
        <f t="shared" si="3"/>
        <v>01111000111000001110010</v>
      </c>
    </row>
    <row r="38" ht="14.25" customHeight="1">
      <c r="A38" s="1" t="str">
        <f>MID(B9, Constanst!$E$29, 1)</f>
        <v>1</v>
      </c>
      <c r="B38" s="1" t="str">
        <f t="shared" si="3"/>
        <v>1111000111000001110010</v>
      </c>
    </row>
    <row r="39" ht="14.25" customHeight="1">
      <c r="A39" s="1" t="str">
        <f>MID(B9, Constanst!$E$30, 1)</f>
        <v>1</v>
      </c>
      <c r="B39" s="1" t="str">
        <f t="shared" si="3"/>
        <v>111000111000001110010</v>
      </c>
    </row>
    <row r="40" ht="14.25" customHeight="1">
      <c r="A40" s="1" t="str">
        <f>MID(B9, Constanst!$E$31, 1)</f>
        <v>1</v>
      </c>
      <c r="B40" s="1" t="str">
        <f t="shared" si="3"/>
        <v>11000111000001110010</v>
      </c>
    </row>
    <row r="41" ht="14.25" customHeight="1">
      <c r="A41" s="1" t="str">
        <f>MID(B9, Constanst!$E$32, 1)</f>
        <v>1</v>
      </c>
      <c r="B41" s="1" t="str">
        <f t="shared" si="3"/>
        <v>1000111000001110010</v>
      </c>
    </row>
    <row r="42" ht="14.25" customHeight="1">
      <c r="A42" s="1" t="str">
        <f>MID(B9, Constanst!$E$33, 1)</f>
        <v>0</v>
      </c>
      <c r="B42" s="1" t="str">
        <f t="shared" si="3"/>
        <v>000111000001110010</v>
      </c>
    </row>
    <row r="43" ht="14.25" customHeight="1">
      <c r="A43" s="1" t="str">
        <f>MID(B9, Constanst!$E$34, 1)</f>
        <v>0</v>
      </c>
      <c r="B43" s="1" t="str">
        <f t="shared" si="3"/>
        <v>00111000001110010</v>
      </c>
    </row>
    <row r="44" ht="14.25" customHeight="1">
      <c r="A44" s="1" t="str">
        <f>MID(B9, Constanst!$E$35, 1)</f>
        <v>0</v>
      </c>
      <c r="B44" s="1" t="str">
        <f t="shared" si="3"/>
        <v>0111000001110010</v>
      </c>
    </row>
    <row r="45" ht="14.25" customHeight="1">
      <c r="A45" s="1" t="str">
        <f>MID(B9, Constanst!$E$36, 1)</f>
        <v>1</v>
      </c>
      <c r="B45" s="1" t="str">
        <f t="shared" si="3"/>
        <v>111000001110010</v>
      </c>
    </row>
    <row r="46" ht="14.25" customHeight="1">
      <c r="A46" s="1" t="str">
        <f>MID(B9, Constanst!$E$37, 1)</f>
        <v>1</v>
      </c>
      <c r="B46" s="1" t="str">
        <f t="shared" si="3"/>
        <v>11000001110010</v>
      </c>
    </row>
    <row r="47" ht="14.25" customHeight="1">
      <c r="A47" s="1" t="str">
        <f>MID(B9, Constanst!$E$38, 1)</f>
        <v>1</v>
      </c>
      <c r="B47" s="1" t="str">
        <f t="shared" si="3"/>
        <v>1000001110010</v>
      </c>
    </row>
    <row r="48" ht="14.25" customHeight="1">
      <c r="A48" s="1" t="str">
        <f>MID(B9, Constanst!$E$39, 1)</f>
        <v>0</v>
      </c>
      <c r="B48" s="1" t="str">
        <f t="shared" si="3"/>
        <v>000001110010</v>
      </c>
    </row>
    <row r="49" ht="14.25" customHeight="1">
      <c r="A49" s="1" t="str">
        <f>MID(B9, Constanst!$E$40, 1)</f>
        <v>0</v>
      </c>
      <c r="B49" s="1" t="str">
        <f t="shared" si="3"/>
        <v>00001110010</v>
      </c>
    </row>
    <row r="50" ht="14.25" customHeight="1">
      <c r="A50" s="1" t="str">
        <f>MID(B9, Constanst!$E$41, 1)</f>
        <v>0</v>
      </c>
      <c r="B50" s="1" t="str">
        <f t="shared" si="3"/>
        <v>0001110010</v>
      </c>
    </row>
    <row r="51" ht="14.25" customHeight="1">
      <c r="A51" s="1" t="str">
        <f>MID(B9, Constanst!$E$42, 1)</f>
        <v>0</v>
      </c>
      <c r="B51" s="1" t="str">
        <f t="shared" si="3"/>
        <v>001110010</v>
      </c>
    </row>
    <row r="52" ht="14.25" customHeight="1">
      <c r="A52" s="1" t="str">
        <f>MID(B9, Constanst!$E$43, 1)</f>
        <v>0</v>
      </c>
      <c r="B52" s="1" t="str">
        <f t="shared" si="3"/>
        <v>01110010</v>
      </c>
    </row>
    <row r="53" ht="14.25" customHeight="1">
      <c r="A53" s="1" t="str">
        <f>MID(B9, Constanst!$E$44, 1)</f>
        <v>1</v>
      </c>
      <c r="B53" s="1" t="str">
        <f t="shared" si="3"/>
        <v>1110010</v>
      </c>
    </row>
    <row r="54" ht="14.25" customHeight="1">
      <c r="A54" s="1" t="str">
        <f>MID(B9, Constanst!$E$45, 1)</f>
        <v>1</v>
      </c>
      <c r="B54" s="1" t="str">
        <f t="shared" si="3"/>
        <v>110010</v>
      </c>
    </row>
    <row r="55" ht="14.25" customHeight="1">
      <c r="A55" s="1" t="str">
        <f>MID(B9, Constanst!$E$46, 1)</f>
        <v>1</v>
      </c>
      <c r="B55" s="1" t="str">
        <f t="shared" si="3"/>
        <v>10010</v>
      </c>
    </row>
    <row r="56" ht="14.25" customHeight="1">
      <c r="A56" s="1" t="str">
        <f>MID(B9, Constanst!$E$47, 1)</f>
        <v>0</v>
      </c>
      <c r="B56" s="1" t="str">
        <f t="shared" si="3"/>
        <v>0010</v>
      </c>
    </row>
    <row r="57" ht="14.25" customHeight="1">
      <c r="A57" s="1" t="str">
        <f>MID(B9, Constanst!$E$48, 1)</f>
        <v>0</v>
      </c>
      <c r="B57" s="1" t="str">
        <f t="shared" si="3"/>
        <v>010</v>
      </c>
    </row>
    <row r="58" ht="14.25" customHeight="1">
      <c r="A58" s="1" t="str">
        <f>MID(B9, Constanst!$E$49, 1)</f>
        <v>1</v>
      </c>
      <c r="B58" s="1" t="str">
        <f>A58&amp;A59</f>
        <v>10</v>
      </c>
    </row>
    <row r="59" ht="14.25" customHeight="1">
      <c r="A59" s="1" t="str">
        <f>MID(B9, Constanst!$E$50, 1)</f>
        <v>0</v>
      </c>
    </row>
    <row r="60" ht="14.25" customHeight="1">
      <c r="B60" s="30"/>
    </row>
    <row r="61" ht="14.25" customHeight="1">
      <c r="A61" s="28" t="str">
        <f>"Tính khóa "&amp;L15&amp;"=PC2("&amp;M15&amp;N15&amp;")"</f>
        <v>Tính khóa K16=PC2(C16D16)</v>
      </c>
      <c r="B61" s="28"/>
      <c r="C61" s="28"/>
      <c r="D61" s="29" t="str">
        <f>B12</f>
        <v>110010110011110100001011101111000111000001110010</v>
      </c>
    </row>
    <row r="62" ht="14.25" customHeight="1">
      <c r="B62" s="30"/>
    </row>
    <row r="63" ht="14.25" customHeight="1">
      <c r="A63" s="26" t="s">
        <v>61</v>
      </c>
      <c r="B63" s="26" t="s">
        <v>61</v>
      </c>
      <c r="C63" s="26" t="s">
        <v>62</v>
      </c>
    </row>
    <row r="64" ht="14.25" customHeight="1">
      <c r="A64" s="26">
        <v>1.0</v>
      </c>
      <c r="B64" s="26" t="str">
        <f t="shared" ref="B64:B69" si="4">MID($D$61,(A64-1)*8+1, 8)</f>
        <v>11001011</v>
      </c>
      <c r="C64" s="26" t="str">
        <f t="shared" ref="C64:C69" si="5">BIN2HEX(B64,2)</f>
        <v>CB</v>
      </c>
    </row>
    <row r="65" ht="14.25" customHeight="1">
      <c r="A65" s="26">
        <v>2.0</v>
      </c>
      <c r="B65" s="26" t="str">
        <f t="shared" si="4"/>
        <v>00111101</v>
      </c>
      <c r="C65" s="26" t="str">
        <f t="shared" si="5"/>
        <v>3D</v>
      </c>
    </row>
    <row r="66" ht="14.25" customHeight="1">
      <c r="A66" s="26">
        <v>3.0</v>
      </c>
      <c r="B66" s="26" t="str">
        <f t="shared" si="4"/>
        <v>00001011</v>
      </c>
      <c r="C66" s="26" t="str">
        <f t="shared" si="5"/>
        <v>0B</v>
      </c>
    </row>
    <row r="67" ht="14.25" customHeight="1">
      <c r="A67" s="26">
        <v>4.0</v>
      </c>
      <c r="B67" s="26" t="str">
        <f t="shared" si="4"/>
        <v>10111100</v>
      </c>
      <c r="C67" s="26" t="str">
        <f t="shared" si="5"/>
        <v>BC</v>
      </c>
    </row>
    <row r="68" ht="14.25" customHeight="1">
      <c r="A68" s="26">
        <v>5.0</v>
      </c>
      <c r="B68" s="26" t="str">
        <f t="shared" si="4"/>
        <v>01110000</v>
      </c>
      <c r="C68" s="26" t="str">
        <f t="shared" si="5"/>
        <v>70</v>
      </c>
    </row>
    <row r="69" ht="14.25" customHeight="1">
      <c r="A69" s="26">
        <v>6.0</v>
      </c>
      <c r="B69" s="26" t="str">
        <f t="shared" si="4"/>
        <v>01110010</v>
      </c>
      <c r="C69" s="26" t="str">
        <f t="shared" si="5"/>
        <v>72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61:L6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2025-08-19T14:59:22Z</dcterms:created>
  <dc:creator>Duong|BTC|PQLNVL</dc:creator>
</cp:coreProperties>
</file>