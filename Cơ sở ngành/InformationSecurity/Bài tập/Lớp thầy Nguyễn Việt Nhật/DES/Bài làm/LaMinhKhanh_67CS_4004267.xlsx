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k\Downloads\"/>
    </mc:Choice>
  </mc:AlternateContent>
  <xr:revisionPtr revIDLastSave="0" documentId="13_ncr:1_{A5EBE36A-9695-4DFC-9B73-FFC2B00F8DBA}" xr6:coauthVersionLast="47" xr6:coauthVersionMax="47" xr10:uidLastSave="{00000000-0000-0000-0000-000000000000}"/>
  <bookViews>
    <workbookView xWindow="-108" yWindow="-108" windowWidth="23256" windowHeight="12456" activeTab="3" xr2:uid="{EBD7B1C4-1D6E-4D0B-BDF4-EF09BE9FF8FB}"/>
  </bookViews>
  <sheets>
    <sheet name="Đề bài" sheetId="1" r:id="rId1"/>
    <sheet name="Permutations" sheetId="3" r:id="rId2"/>
    <sheet name="S-boxes" sheetId="2" r:id="rId3"/>
    <sheet name="Giải nén khóa K" sheetId="4" r:id="rId4"/>
    <sheet name="Mã hóa M sang C" sheetId="5" r:id="rId5"/>
    <sheet name="Giải mã C về 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 a="1"/>
  <c r="L5" i="4" s="1"/>
  <c r="C2" i="5"/>
  <c r="C6" i="5" s="1" a="1"/>
  <c r="C6" i="5" s="1"/>
  <c r="C2" i="4"/>
  <c r="D4" i="4" s="1" a="1"/>
  <c r="D4" i="4" s="1"/>
  <c r="B11" i="5" l="1"/>
  <c r="B17" i="5"/>
  <c r="B9" i="4"/>
  <c r="B7" i="4"/>
  <c r="K5" i="5" l="1" a="1"/>
  <c r="K5" i="5" s="1"/>
  <c r="AG5" i="5"/>
  <c r="J17" i="4"/>
  <c r="J7" i="4"/>
  <c r="J19" i="4"/>
  <c r="J6" i="4"/>
  <c r="J18" i="4"/>
  <c r="J8" i="4"/>
  <c r="L8" i="4" s="1" a="1"/>
  <c r="L8" i="4" s="1"/>
  <c r="L8" i="5" s="1"/>
  <c r="J20" i="4"/>
  <c r="J9" i="4"/>
  <c r="J5" i="4"/>
  <c r="J11" i="4"/>
  <c r="J12" i="4"/>
  <c r="J14" i="4"/>
  <c r="J10" i="4"/>
  <c r="J13" i="4"/>
  <c r="J15" i="4"/>
  <c r="J16" i="4"/>
  <c r="K9" i="4"/>
  <c r="K5" i="4"/>
  <c r="K11" i="4"/>
  <c r="K20" i="4"/>
  <c r="K10" i="4"/>
  <c r="K12" i="4"/>
  <c r="K19" i="4"/>
  <c r="K13" i="4"/>
  <c r="K14" i="4"/>
  <c r="K15" i="4"/>
  <c r="K16" i="4"/>
  <c r="K17" i="4"/>
  <c r="K6" i="4"/>
  <c r="K18" i="4"/>
  <c r="K7" i="4"/>
  <c r="K8" i="4"/>
  <c r="L14" i="4" l="1" a="1"/>
  <c r="L14" i="4" s="1"/>
  <c r="L14" i="5" s="1"/>
  <c r="L11" i="4" a="1"/>
  <c r="L11" i="4" s="1"/>
  <c r="L11" i="5" s="1"/>
  <c r="L12" i="4" a="1"/>
  <c r="L12" i="4" s="1"/>
  <c r="L12" i="5" s="1"/>
  <c r="L18" i="4" a="1"/>
  <c r="L18" i="4" s="1"/>
  <c r="L18" i="5" s="1"/>
  <c r="L9" i="4" a="1"/>
  <c r="L9" i="4" s="1"/>
  <c r="L9" i="5" s="1"/>
  <c r="L16" i="4" a="1"/>
  <c r="L16" i="4" s="1"/>
  <c r="L16" i="5" s="1"/>
  <c r="L6" i="4" a="1"/>
  <c r="L6" i="4" s="1"/>
  <c r="L6" i="5" s="1"/>
  <c r="L19" i="4" a="1"/>
  <c r="L19" i="4" s="1"/>
  <c r="L19" i="5" s="1"/>
  <c r="L15" i="4" a="1"/>
  <c r="L15" i="4" s="1"/>
  <c r="L15" i="5" s="1"/>
  <c r="L13" i="4" a="1"/>
  <c r="L13" i="4" s="1"/>
  <c r="L13" i="5" s="1"/>
  <c r="L7" i="4" a="1"/>
  <c r="L7" i="4" s="1"/>
  <c r="L7" i="5" s="1"/>
  <c r="L5" i="5"/>
  <c r="M5" i="5" s="1" a="1"/>
  <c r="M5" i="5" s="1"/>
  <c r="L20" i="4" a="1"/>
  <c r="L20" i="4" s="1"/>
  <c r="L20" i="5" s="1"/>
  <c r="L10" i="4" a="1"/>
  <c r="L10" i="4" s="1"/>
  <c r="L10" i="5" s="1"/>
  <c r="L17" i="4" a="1"/>
  <c r="L17" i="4" s="1"/>
  <c r="L17" i="5" s="1"/>
  <c r="N5" i="5" l="1"/>
  <c r="V5" i="5" s="1"/>
  <c r="Q5" i="5"/>
  <c r="Y5" i="5" s="1"/>
  <c r="R5" i="5"/>
  <c r="Z5" i="5" s="1"/>
  <c r="U5" i="5"/>
  <c r="AC5" i="5" s="1"/>
  <c r="P5" i="5"/>
  <c r="X5" i="5" s="1"/>
  <c r="T5" i="5"/>
  <c r="AB5" i="5" s="1"/>
  <c r="S5" i="5"/>
  <c r="AA5" i="5" s="1"/>
  <c r="O5" i="5"/>
  <c r="W5" i="5" s="1"/>
  <c r="AD5" i="5" l="1"/>
  <c r="AE5" i="5" s="1" a="1"/>
  <c r="AE5" i="5" s="1"/>
  <c r="AF5" i="5" s="1" a="1"/>
  <c r="AF5" i="5" s="1"/>
  <c r="K6" i="5" l="1" a="1"/>
  <c r="K6" i="5" s="1"/>
  <c r="M6" i="5" s="1" a="1"/>
  <c r="M6" i="5" s="1"/>
  <c r="AG6" i="5"/>
  <c r="T6" i="5" l="1"/>
  <c r="AB6" i="5" s="1"/>
  <c r="O6" i="5"/>
  <c r="W6" i="5" s="1"/>
  <c r="N6" i="5"/>
  <c r="V6" i="5" s="1"/>
  <c r="R6" i="5"/>
  <c r="Z6" i="5" s="1"/>
  <c r="S6" i="5"/>
  <c r="AA6" i="5" s="1"/>
  <c r="P6" i="5"/>
  <c r="X6" i="5" s="1"/>
  <c r="Q6" i="5"/>
  <c r="Y6" i="5" s="1"/>
  <c r="U6" i="5"/>
  <c r="AC6" i="5" s="1"/>
  <c r="AD6" i="5" l="1"/>
  <c r="AE6" i="5" s="1" a="1"/>
  <c r="AE6" i="5" s="1"/>
  <c r="AF6" i="5" s="1" a="1"/>
  <c r="AF6" i="5" s="1"/>
  <c r="K7" i="5" l="1" a="1"/>
  <c r="K7" i="5" s="1"/>
  <c r="M7" i="5" s="1" a="1"/>
  <c r="M7" i="5" s="1"/>
  <c r="AG7" i="5"/>
  <c r="Q7" i="5" l="1"/>
  <c r="Y7" i="5" s="1"/>
  <c r="S7" i="5"/>
  <c r="AA7" i="5" s="1"/>
  <c r="T7" i="5"/>
  <c r="AB7" i="5" s="1"/>
  <c r="U7" i="5"/>
  <c r="AC7" i="5" s="1"/>
  <c r="N7" i="5"/>
  <c r="V7" i="5" s="1"/>
  <c r="R7" i="5"/>
  <c r="Z7" i="5" s="1"/>
  <c r="O7" i="5"/>
  <c r="W7" i="5" s="1"/>
  <c r="P7" i="5"/>
  <c r="X7" i="5" s="1"/>
  <c r="AD7" i="5" l="1"/>
  <c r="AE7" i="5" s="1" a="1"/>
  <c r="AE7" i="5" s="1"/>
  <c r="AF7" i="5" s="1" a="1"/>
  <c r="AF7" i="5" s="1"/>
  <c r="AG8" i="5" l="1"/>
  <c r="K8" i="5" a="1"/>
  <c r="K8" i="5" s="1"/>
  <c r="M8" i="5" s="1" a="1"/>
  <c r="M8" i="5" s="1"/>
  <c r="S8" i="5" l="1"/>
  <c r="AA8" i="5" s="1"/>
  <c r="T8" i="5"/>
  <c r="AB8" i="5" s="1"/>
  <c r="U8" i="5"/>
  <c r="AC8" i="5" s="1"/>
  <c r="R8" i="5"/>
  <c r="Z8" i="5" s="1"/>
  <c r="N8" i="5"/>
  <c r="V8" i="5" s="1"/>
  <c r="O8" i="5"/>
  <c r="W8" i="5" s="1"/>
  <c r="Q8" i="5"/>
  <c r="Y8" i="5" s="1"/>
  <c r="P8" i="5"/>
  <c r="X8" i="5" s="1"/>
  <c r="AD8" i="5" l="1"/>
  <c r="AE8" i="5" s="1" a="1"/>
  <c r="AE8" i="5" s="1"/>
  <c r="AF8" i="5" s="1" a="1"/>
  <c r="AF8" i="5" s="1"/>
  <c r="AG9" i="5" l="1"/>
  <c r="K9" i="5" a="1"/>
  <c r="K9" i="5" s="1"/>
  <c r="M9" i="5" s="1" a="1"/>
  <c r="M9" i="5" s="1"/>
  <c r="N9" i="5" l="1"/>
  <c r="V9" i="5" s="1"/>
  <c r="P9" i="5"/>
  <c r="X9" i="5" s="1"/>
  <c r="U9" i="5"/>
  <c r="AC9" i="5" s="1"/>
  <c r="S9" i="5"/>
  <c r="AA9" i="5" s="1"/>
  <c r="R9" i="5"/>
  <c r="Z9" i="5" s="1"/>
  <c r="T9" i="5"/>
  <c r="AB9" i="5" s="1"/>
  <c r="Q9" i="5"/>
  <c r="Y9" i="5" s="1"/>
  <c r="O9" i="5"/>
  <c r="W9" i="5" s="1"/>
  <c r="AD9" i="5" l="1"/>
  <c r="AE9" i="5" s="1" a="1"/>
  <c r="AE9" i="5" s="1"/>
  <c r="AF9" i="5" s="1" a="1"/>
  <c r="AF9" i="5" s="1"/>
  <c r="AG10" i="5" l="1"/>
  <c r="K10" i="5" a="1"/>
  <c r="K10" i="5" s="1"/>
  <c r="M10" i="5" s="1" a="1"/>
  <c r="M10" i="5" s="1"/>
  <c r="Q10" i="5" l="1"/>
  <c r="Y10" i="5" s="1"/>
  <c r="T10" i="5"/>
  <c r="AB10" i="5" s="1"/>
  <c r="U10" i="5"/>
  <c r="AC10" i="5" s="1"/>
  <c r="R10" i="5"/>
  <c r="Z10" i="5" s="1"/>
  <c r="N10" i="5"/>
  <c r="V10" i="5" s="1"/>
  <c r="S10" i="5"/>
  <c r="AA10" i="5" s="1"/>
  <c r="O10" i="5"/>
  <c r="W10" i="5" s="1"/>
  <c r="P10" i="5"/>
  <c r="X10" i="5" s="1"/>
  <c r="AD10" i="5" l="1"/>
  <c r="AE10" i="5" s="1" a="1"/>
  <c r="AE10" i="5" s="1"/>
  <c r="AF10" i="5" s="1" a="1"/>
  <c r="AF10" i="5" s="1"/>
  <c r="AG11" i="5" l="1"/>
  <c r="K11" i="5" a="1"/>
  <c r="K11" i="5" s="1"/>
  <c r="M11" i="5" s="1" a="1"/>
  <c r="M11" i="5" s="1"/>
  <c r="P11" i="5" l="1"/>
  <c r="X11" i="5" s="1"/>
  <c r="Q11" i="5"/>
  <c r="Y11" i="5" s="1"/>
  <c r="U11" i="5"/>
  <c r="AC11" i="5" s="1"/>
  <c r="N11" i="5"/>
  <c r="V11" i="5" s="1"/>
  <c r="R11" i="5"/>
  <c r="Z11" i="5" s="1"/>
  <c r="S11" i="5"/>
  <c r="AA11" i="5" s="1"/>
  <c r="O11" i="5"/>
  <c r="W11" i="5" s="1"/>
  <c r="T11" i="5"/>
  <c r="AB11" i="5" s="1"/>
  <c r="AD11" i="5" l="1"/>
  <c r="AE11" i="5" s="1" a="1"/>
  <c r="AE11" i="5" s="1"/>
  <c r="AF11" i="5" s="1" a="1"/>
  <c r="AF11" i="5" s="1"/>
  <c r="K12" i="5" l="1" a="1"/>
  <c r="K12" i="5" s="1"/>
  <c r="M12" i="5" s="1" a="1"/>
  <c r="M12" i="5" s="1"/>
  <c r="AG12" i="5"/>
  <c r="S12" i="5" l="1"/>
  <c r="AA12" i="5" s="1"/>
  <c r="T12" i="5"/>
  <c r="AB12" i="5" s="1"/>
  <c r="Q12" i="5"/>
  <c r="Y12" i="5" s="1"/>
  <c r="U12" i="5"/>
  <c r="AC12" i="5" s="1"/>
  <c r="N12" i="5"/>
  <c r="V12" i="5" s="1"/>
  <c r="O12" i="5"/>
  <c r="W12" i="5" s="1"/>
  <c r="P12" i="5"/>
  <c r="X12" i="5" s="1"/>
  <c r="R12" i="5"/>
  <c r="Z12" i="5" s="1"/>
  <c r="AD12" i="5" l="1"/>
  <c r="AE12" i="5" s="1" a="1"/>
  <c r="AE12" i="5" s="1"/>
  <c r="AF12" i="5" s="1" a="1"/>
  <c r="AF12" i="5" s="1"/>
  <c r="AG13" i="5" l="1"/>
  <c r="K13" i="5" a="1"/>
  <c r="K13" i="5" s="1"/>
  <c r="M13" i="5" s="1" a="1"/>
  <c r="M13" i="5" s="1"/>
  <c r="R13" i="5" l="1"/>
  <c r="Z13" i="5" s="1"/>
  <c r="O13" i="5"/>
  <c r="W13" i="5" s="1"/>
  <c r="S13" i="5"/>
  <c r="AA13" i="5" s="1"/>
  <c r="N13" i="5"/>
  <c r="V13" i="5" s="1"/>
  <c r="P13" i="5"/>
  <c r="X13" i="5" s="1"/>
  <c r="T13" i="5"/>
  <c r="AB13" i="5" s="1"/>
  <c r="U13" i="5"/>
  <c r="AC13" i="5" s="1"/>
  <c r="Q13" i="5"/>
  <c r="Y13" i="5" s="1"/>
  <c r="AD13" i="5" l="1"/>
  <c r="AE13" i="5" s="1" a="1"/>
  <c r="AE13" i="5" s="1"/>
  <c r="AF13" i="5" s="1" a="1"/>
  <c r="AF13" i="5" s="1"/>
  <c r="AG14" i="5" l="1"/>
  <c r="K14" i="5" a="1"/>
  <c r="K14" i="5" s="1"/>
  <c r="M14" i="5" s="1" a="1"/>
  <c r="M14" i="5" s="1"/>
  <c r="R14" i="5" l="1"/>
  <c r="Z14" i="5" s="1"/>
  <c r="S14" i="5"/>
  <c r="AA14" i="5" s="1"/>
  <c r="T14" i="5"/>
  <c r="AB14" i="5" s="1"/>
  <c r="U14" i="5"/>
  <c r="AC14" i="5" s="1"/>
  <c r="O14" i="5"/>
  <c r="W14" i="5" s="1"/>
  <c r="P14" i="5"/>
  <c r="X14" i="5" s="1"/>
  <c r="Q14" i="5"/>
  <c r="Y14" i="5" s="1"/>
  <c r="N14" i="5"/>
  <c r="V14" i="5" s="1"/>
  <c r="AD14" i="5" l="1"/>
  <c r="AE14" i="5" s="1" a="1"/>
  <c r="AE14" i="5" s="1"/>
  <c r="AF14" i="5" s="1" a="1"/>
  <c r="AF14" i="5" s="1"/>
  <c r="AG15" i="5" l="1"/>
  <c r="K15" i="5" a="1"/>
  <c r="K15" i="5" s="1"/>
  <c r="M15" i="5" s="1" a="1"/>
  <c r="M15" i="5" s="1"/>
  <c r="P15" i="5" l="1"/>
  <c r="X15" i="5" s="1"/>
  <c r="U15" i="5"/>
  <c r="AC15" i="5" s="1"/>
  <c r="Q15" i="5"/>
  <c r="Y15" i="5" s="1"/>
  <c r="T15" i="5"/>
  <c r="AB15" i="5" s="1"/>
  <c r="R15" i="5"/>
  <c r="Z15" i="5" s="1"/>
  <c r="S15" i="5"/>
  <c r="AA15" i="5" s="1"/>
  <c r="N15" i="5"/>
  <c r="V15" i="5" s="1"/>
  <c r="O15" i="5"/>
  <c r="W15" i="5" s="1"/>
  <c r="AD15" i="5" l="1"/>
  <c r="AE15" i="5" s="1" a="1"/>
  <c r="AE15" i="5" s="1"/>
  <c r="AF15" i="5" s="1" a="1"/>
  <c r="AF15" i="5" s="1"/>
  <c r="K16" i="5" l="1" a="1"/>
  <c r="K16" i="5" s="1"/>
  <c r="M16" i="5" s="1" a="1"/>
  <c r="M16" i="5" s="1"/>
  <c r="AG16" i="5"/>
  <c r="O16" i="5" l="1"/>
  <c r="W16" i="5" s="1"/>
  <c r="P16" i="5"/>
  <c r="X16" i="5" s="1"/>
  <c r="Q16" i="5"/>
  <c r="Y16" i="5" s="1"/>
  <c r="N16" i="5"/>
  <c r="V16" i="5" s="1"/>
  <c r="R16" i="5"/>
  <c r="Z16" i="5" s="1"/>
  <c r="S16" i="5"/>
  <c r="AA16" i="5" s="1"/>
  <c r="U16" i="5"/>
  <c r="AC16" i="5" s="1"/>
  <c r="T16" i="5"/>
  <c r="AB16" i="5" s="1"/>
  <c r="AD16" i="5" l="1"/>
  <c r="AE16" i="5" s="1" a="1"/>
  <c r="AE16" i="5" s="1"/>
  <c r="AF16" i="5" s="1" a="1"/>
  <c r="AF16" i="5" s="1"/>
  <c r="K17" i="5" l="1" a="1"/>
  <c r="K17" i="5" s="1"/>
  <c r="M17" i="5" s="1" a="1"/>
  <c r="M17" i="5" s="1"/>
  <c r="AG17" i="5"/>
  <c r="N17" i="5" l="1"/>
  <c r="V17" i="5" s="1"/>
  <c r="U17" i="5"/>
  <c r="AC17" i="5" s="1"/>
  <c r="T17" i="5"/>
  <c r="AB17" i="5" s="1"/>
  <c r="S17" i="5"/>
  <c r="AA17" i="5" s="1"/>
  <c r="R17" i="5"/>
  <c r="Z17" i="5" s="1"/>
  <c r="O17" i="5"/>
  <c r="W17" i="5" s="1"/>
  <c r="Q17" i="5"/>
  <c r="Y17" i="5" s="1"/>
  <c r="P17" i="5"/>
  <c r="X17" i="5" s="1"/>
  <c r="AD17" i="5" l="1"/>
  <c r="AE17" i="5" s="1" a="1"/>
  <c r="AE17" i="5" s="1"/>
  <c r="AF17" i="5" s="1" a="1"/>
  <c r="AF17" i="5" s="1"/>
  <c r="AG18" i="5" l="1"/>
  <c r="K18" i="5" a="1"/>
  <c r="K18" i="5" s="1"/>
  <c r="M18" i="5" s="1" a="1"/>
  <c r="M18" i="5" s="1"/>
  <c r="N18" i="5" l="1"/>
  <c r="V18" i="5" s="1"/>
  <c r="R18" i="5"/>
  <c r="Z18" i="5" s="1"/>
  <c r="O18" i="5"/>
  <c r="W18" i="5" s="1"/>
  <c r="Q18" i="5"/>
  <c r="Y18" i="5" s="1"/>
  <c r="S18" i="5"/>
  <c r="AA18" i="5" s="1"/>
  <c r="U18" i="5"/>
  <c r="AC18" i="5" s="1"/>
  <c r="P18" i="5"/>
  <c r="X18" i="5" s="1"/>
  <c r="T18" i="5"/>
  <c r="AB18" i="5" s="1"/>
  <c r="AD18" i="5" l="1"/>
  <c r="AE18" i="5" s="1" a="1"/>
  <c r="AE18" i="5" s="1"/>
  <c r="AF18" i="5" s="1" a="1"/>
  <c r="AF18" i="5" s="1"/>
  <c r="AG19" i="5" l="1"/>
  <c r="AG20" i="5" s="1"/>
  <c r="K19" i="5" a="1"/>
  <c r="K19" i="5" s="1"/>
  <c r="M19" i="5" s="1" a="1"/>
  <c r="M19" i="5" s="1"/>
  <c r="R19" i="5" l="1"/>
  <c r="Z19" i="5" s="1"/>
  <c r="T19" i="5"/>
  <c r="AB19" i="5" s="1"/>
  <c r="Q19" i="5"/>
  <c r="Y19" i="5" s="1"/>
  <c r="U19" i="5"/>
  <c r="AC19" i="5" s="1"/>
  <c r="S19" i="5"/>
  <c r="AA19" i="5" s="1"/>
  <c r="N19" i="5"/>
  <c r="V19" i="5" s="1"/>
  <c r="O19" i="5"/>
  <c r="W19" i="5" s="1"/>
  <c r="P19" i="5"/>
  <c r="X19" i="5" s="1"/>
  <c r="AD19" i="5" l="1"/>
  <c r="AE19" i="5" s="1" a="1"/>
  <c r="AE19" i="5" s="1"/>
  <c r="AF19" i="5" s="1" a="1"/>
  <c r="AF19" i="5" s="1"/>
  <c r="K20" i="5" s="1" a="1"/>
  <c r="K20" i="5" s="1"/>
  <c r="M20" i="5" s="1" a="1"/>
  <c r="M20" i="5" s="1"/>
  <c r="S20" i="5" l="1"/>
  <c r="AA20" i="5" s="1"/>
  <c r="Q20" i="5"/>
  <c r="Y20" i="5" s="1"/>
  <c r="N20" i="5"/>
  <c r="V20" i="5" s="1"/>
  <c r="O20" i="5"/>
  <c r="W20" i="5" s="1"/>
  <c r="P20" i="5"/>
  <c r="X20" i="5" s="1"/>
  <c r="T20" i="5"/>
  <c r="AB20" i="5" s="1"/>
  <c r="U20" i="5"/>
  <c r="AC20" i="5" s="1"/>
  <c r="R20" i="5"/>
  <c r="Z20" i="5" s="1"/>
  <c r="AD20" i="5" l="1"/>
  <c r="AE20" i="5" s="1" a="1"/>
  <c r="AE20" i="5" s="1"/>
  <c r="AF20" i="5" s="1" a="1"/>
  <c r="AF20" i="5" s="1"/>
  <c r="C22" i="5" s="1"/>
  <c r="C26" i="5" s="1" a="1"/>
  <c r="C26" i="5" s="1"/>
  <c r="C29" i="5" s="1" a="1"/>
  <c r="C2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<sst xmlns="http://schemas.openxmlformats.org/spreadsheetml/2006/main" count="2179" uniqueCount="116">
  <si>
    <t>Họ tên: Lã Minh Khánh</t>
  </si>
  <si>
    <t>Lớp: 67CS</t>
  </si>
  <si>
    <t>Bài tập An toàn Bảo mật Thông tin</t>
  </si>
  <si>
    <t>Mã hóa DES</t>
  </si>
  <si>
    <t>Khóa K</t>
  </si>
  <si>
    <t>Dựa trên thông tin trong ảnh, bài toán mã hóa và giải mã DES có các giá trị như sau:
Input:
Bản tin M = 00123456789abcde
Khóa K = 0133457799bbcdff
Output:
Bản mã C = 1abf69d5a93e80b</t>
  </si>
  <si>
    <t>Bản tin M</t>
  </si>
  <si>
    <t>Bản mã C</t>
  </si>
  <si>
    <t>0133457799bbcdff</t>
  </si>
  <si>
    <t>C0</t>
  </si>
  <si>
    <t>D0</t>
  </si>
  <si>
    <t>0</t>
  </si>
  <si>
    <t>1</t>
  </si>
  <si>
    <t>00123456789abcde</t>
  </si>
  <si>
    <t>IP</t>
  </si>
  <si>
    <t>Input</t>
  </si>
  <si>
    <t>S-box 8</t>
  </si>
  <si>
    <t>S-box 7</t>
  </si>
  <si>
    <t>S-box 6</t>
  </si>
  <si>
    <t>S-box 5</t>
  </si>
  <si>
    <t>S-box 4</t>
  </si>
  <si>
    <t>S-box 3</t>
  </si>
  <si>
    <t>S-box 2</t>
  </si>
  <si>
    <t>S-box 1</t>
  </si>
  <si>
    <t>000000</t>
  </si>
  <si>
    <t>000001</t>
  </si>
  <si>
    <t>000010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</si>
  <si>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</si>
  <si>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</si>
  <si>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</si>
  <si>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</si>
  <si>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</si>
  <si>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</si>
  <si>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</si>
  <si>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</si>
  <si>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</si>
  <si>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</si>
  <si>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</si>
  <si>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</si>
  <si>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</si>
  <si>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</si>
  <si>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</si>
  <si>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</si>
  <si>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</si>
  <si>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</si>
  <si>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</si>
  <si>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</si>
  <si>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</si>
  <si>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</si>
  <si>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</si>
  <si>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</si>
  <si>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</si>
  <si>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</si>
  <si>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</si>
  <si>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</si>
  <si>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</si>
  <si>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</si>
  <si>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</si>
  <si>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</si>
  <si>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</si>
  <si>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</si>
  <si>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</si>
  <si>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</si>
  <si>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</si>
  <si>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</si>
  <si>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</si>
  <si>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</si>
  <si>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</si>
  <si>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</si>
  <si>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</si>
  <si>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</si>
  <si>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</si>
  <si>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</si>
  <si>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</si>
  <si>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</si>
  <si>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</si>
  <si>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</si>
  <si>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</si>
  <si>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</si>
  <si>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</si>
  <si>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</si>
  <si>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</si>
  <si>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</si>
  <si>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</si>
  <si>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</si>
  <si>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</si>
  <si>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</si>
  <si>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</si>
  <si>
    <t>FP</t>
  </si>
  <si>
    <t>E-box</t>
  </si>
  <si>
    <t>P-box</t>
  </si>
  <si>
    <t>PC-1</t>
  </si>
  <si>
    <t>PC-2</t>
  </si>
  <si>
    <t>Left Shifts Schedule</t>
  </si>
  <si>
    <t>Convert to bits</t>
  </si>
  <si>
    <t>Initial permutation (PC-1)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</si>
  <si>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</si>
  <si>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</si>
  <si>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</si>
  <si>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</si>
  <si>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</si>
  <si>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</si>
  <si>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</si>
  <si>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</si>
  <si>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</si>
  <si>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</si>
  <si>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</si>
  <si>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</si>
  <si>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</si>
  <si>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</si>
  <si>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</si>
  <si>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</si>
  <si>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Initial Permutation (IP)</t>
  </si>
  <si>
    <t>L0</t>
  </si>
  <si>
    <t>R0</t>
  </si>
  <si>
    <t>Final Permutation (FP)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</si>
</sst>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2" borderId="0" xfId="0" applyFill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7389-EA67-456F-9A25-4E4120F0458E}">
  <dimension ref="A1:BO260"/>
  <sheetViews>
    <sheetView zoomScaleNormal="100" workbookViewId="0">
      <selection activeCell="N10" sqref="N10"/>
    </sheetView>
  </sheetViews>
  <sheetFormatPr defaultRowHeight="14.4" x14ac:dyDescent="0.3"/>
  <cols>
    <col min="3" max="3" width="8.88671875" customWidth="1"/>
    <col min="9" max="9" width="8.88671875" customWidth="1"/>
  </cols>
  <sheetData>
    <row r="1" spans="1:67" ht="14.4" customHeight="1" x14ac:dyDescent="0.3">
      <c r="A1" s="1" t="s">
        <v>0</v>
      </c>
      <c r="B1" s="1"/>
      <c r="C1" s="1"/>
      <c r="E1" s="2" t="s">
        <v>5</v>
      </c>
      <c r="F1" s="2"/>
      <c r="G1" s="2"/>
      <c r="H1" s="2"/>
      <c r="I1" s="2"/>
    </row>
    <row r="2" spans="1:67" x14ac:dyDescent="0.3">
      <c r="A2" s="1" t="s">
        <v>1</v>
      </c>
      <c r="B2" s="1"/>
      <c r="C2" s="1"/>
      <c r="E2" s="2"/>
      <c r="F2" s="2"/>
      <c r="G2" s="2"/>
      <c r="H2" s="2"/>
      <c r="I2" s="2"/>
    </row>
    <row r="3" spans="1:67" x14ac:dyDescent="0.3">
      <c r="A3" s="1" t="s">
        <v>2</v>
      </c>
      <c r="B3" s="1"/>
      <c r="C3" s="1"/>
      <c r="E3" s="2"/>
      <c r="F3" s="2"/>
      <c r="G3" s="2"/>
      <c r="H3" s="2"/>
      <c r="I3" s="2"/>
    </row>
    <row r="4" spans="1:67" x14ac:dyDescent="0.3">
      <c r="A4" s="1" t="s">
        <v>3</v>
      </c>
      <c r="B4" s="1"/>
      <c r="C4" s="1"/>
      <c r="E4" s="2"/>
      <c r="F4" s="2"/>
      <c r="G4" s="2"/>
      <c r="H4" s="2"/>
      <c r="I4" s="2"/>
    </row>
    <row r="5" spans="1:67" x14ac:dyDescent="0.3">
      <c r="E5" s="2"/>
      <c r="F5" s="2"/>
      <c r="G5" s="2"/>
      <c r="H5" s="2"/>
      <c r="I5" s="2"/>
    </row>
    <row r="6" spans="1:67" x14ac:dyDescent="0.3">
      <c r="E6" s="2"/>
      <c r="F6" s="2"/>
      <c r="G6" s="2"/>
      <c r="H6" s="2"/>
      <c r="I6" s="2"/>
    </row>
    <row r="7" spans="1:67" x14ac:dyDescent="0.3">
      <c r="E7" s="2"/>
      <c r="F7" s="2"/>
      <c r="G7" s="2"/>
      <c r="H7" s="2"/>
      <c r="I7" s="2"/>
    </row>
    <row r="8" spans="1:6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1:67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7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7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7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1:67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1:67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1:67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1:67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1:67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1:67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1:67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1:67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1:67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1:67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1:67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67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1:67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spans="1:67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7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7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67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1:67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1:67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1:67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1:67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1:67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1:67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1:67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1:67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spans="1:67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spans="1:67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spans="1:67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spans="1:67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spans="1:67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spans="1:67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spans="1:67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spans="1:67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spans="1:67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spans="1:67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spans="1:67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spans="1:67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spans="1:67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spans="1:67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spans="1:67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spans="1:67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spans="1:67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spans="1:67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spans="1:67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spans="1:67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spans="1:67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spans="1:67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spans="1:67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1:67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spans="1:67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spans="1:67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spans="1:67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spans="1:67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spans="1:67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67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spans="1:67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spans="1:67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spans="1:67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spans="1:67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spans="1:67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spans="1:67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spans="1:67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spans="1:67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spans="1:67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spans="1:67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spans="1:67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spans="1:67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spans="1:67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spans="1:67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spans="1:67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spans="1:67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spans="1:67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spans="1:67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spans="1:67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spans="1:67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spans="1:67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spans="1:67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spans="1:67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spans="1:67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spans="1:67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spans="1:67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spans="1:67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spans="1:67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spans="1:67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spans="1:67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spans="1:67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spans="1:67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spans="1:67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spans="1:67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spans="1:67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spans="1:67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spans="1:67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spans="1:67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spans="1:67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spans="1:67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spans="1:67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spans="1:67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spans="1:67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spans="1:67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spans="1:67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spans="1:67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spans="1:67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spans="1:67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spans="1:67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spans="1:67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spans="1:67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spans="1:67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spans="1:67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spans="1:67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spans="1:67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spans="1:67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spans="1:67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spans="1:67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spans="1:67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spans="1:67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spans="1:67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spans="1:67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spans="1:67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spans="1:67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spans="1:67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spans="1:67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1:67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spans="1:67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spans="1:67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spans="1:67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spans="1:67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spans="1:67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spans="1:67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spans="1:67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spans="1:67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spans="1:67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spans="1:67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spans="1:67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spans="1:67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spans="1:67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spans="1:67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spans="1:67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spans="1:67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spans="1:67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spans="1:67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spans="1:67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spans="1:67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spans="1:67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spans="1:67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spans="1:67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spans="1:67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spans="1:67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spans="1:67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spans="1:67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1:67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spans="1:67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spans="1:67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spans="1:67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spans="1:67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spans="1:67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spans="1:67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spans="1:67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spans="1:67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spans="1:67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spans="1:67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spans="1:67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spans="1:67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spans="1:67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spans="1:67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spans="1:67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spans="1:67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spans="1:67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spans="1:67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spans="1:67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spans="1:67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spans="1:67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spans="1:67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spans="1:67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spans="1:67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spans="1:67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spans="1:67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spans="1:67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1:67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spans="1:67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spans="1:67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spans="1:67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spans="1:67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spans="1:67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spans="1:67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spans="1:67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spans="1:67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spans="1:67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spans="1:67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spans="1:67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spans="1:67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spans="1:67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spans="1:67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spans="1:67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spans="1:67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spans="1:67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spans="1:67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spans="1:67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spans="1:67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spans="1:67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spans="1:67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spans="1:67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spans="1:67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spans="1:67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spans="1:67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spans="1:67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spans="1:67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spans="1:67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spans="1:67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spans="1:67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spans="1:67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spans="1:67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spans="1:67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spans="1:67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spans="1:67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spans="1:67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spans="1:67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spans="1:67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spans="1:67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spans="1:67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spans="1:67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spans="1:67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spans="1:67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spans="1:67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spans="1:67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spans="1:67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spans="1:67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spans="1:67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spans="1:67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spans="1:67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spans="1:67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spans="1:67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spans="1:67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spans="1:67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spans="1:67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spans="1:67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</sheetData>
  <mergeCells count="5">
    <mergeCell ref="A1:C1"/>
    <mergeCell ref="A2:C2"/>
    <mergeCell ref="A3:C3"/>
    <mergeCell ref="A4:C4"/>
    <mergeCell ref="E1:I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AF35-DAEB-4F20-8D8A-CEEA5F17703D}">
  <dimension ref="A1:G65"/>
  <sheetViews>
    <sheetView workbookViewId="0">
      <selection activeCell="I19" sqref="I19"/>
    </sheetView>
  </sheetViews>
  <sheetFormatPr defaultRowHeight="14.4" x14ac:dyDescent="0.3"/>
  <cols>
    <col min="7" max="7" width="18.44140625" customWidth="1"/>
  </cols>
  <sheetData>
    <row r="1" spans="1:7" x14ac:dyDescent="0.3">
      <c r="A1" t="s">
        <v>14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3">
      <c r="A2">
        <v>58</v>
      </c>
      <c r="B2">
        <v>40</v>
      </c>
      <c r="C2">
        <v>32</v>
      </c>
      <c r="D2">
        <v>16</v>
      </c>
      <c r="E2">
        <v>57</v>
      </c>
      <c r="F2">
        <v>14</v>
      </c>
      <c r="G2">
        <v>1</v>
      </c>
    </row>
    <row r="3" spans="1:7" x14ac:dyDescent="0.3">
      <c r="A3">
        <v>50</v>
      </c>
      <c r="B3">
        <v>8</v>
      </c>
      <c r="C3">
        <v>1</v>
      </c>
      <c r="D3">
        <v>7</v>
      </c>
      <c r="E3">
        <v>49</v>
      </c>
      <c r="F3">
        <v>17</v>
      </c>
      <c r="G3">
        <v>1</v>
      </c>
    </row>
    <row r="4" spans="1:7" x14ac:dyDescent="0.3">
      <c r="A4">
        <v>42</v>
      </c>
      <c r="B4">
        <v>48</v>
      </c>
      <c r="C4">
        <v>2</v>
      </c>
      <c r="D4">
        <v>20</v>
      </c>
      <c r="E4">
        <v>41</v>
      </c>
      <c r="F4">
        <v>11</v>
      </c>
      <c r="G4">
        <v>2</v>
      </c>
    </row>
    <row r="5" spans="1:7" x14ac:dyDescent="0.3">
      <c r="A5">
        <v>34</v>
      </c>
      <c r="B5">
        <v>16</v>
      </c>
      <c r="C5" s="6">
        <v>3</v>
      </c>
      <c r="D5">
        <v>21</v>
      </c>
      <c r="E5">
        <v>33</v>
      </c>
      <c r="F5">
        <v>24</v>
      </c>
      <c r="G5">
        <v>2</v>
      </c>
    </row>
    <row r="6" spans="1:7" x14ac:dyDescent="0.3">
      <c r="A6">
        <v>26</v>
      </c>
      <c r="B6">
        <v>56</v>
      </c>
      <c r="C6">
        <v>4</v>
      </c>
      <c r="D6">
        <v>29</v>
      </c>
      <c r="E6">
        <v>25</v>
      </c>
      <c r="F6">
        <v>1</v>
      </c>
      <c r="G6">
        <v>2</v>
      </c>
    </row>
    <row r="7" spans="1:7" x14ac:dyDescent="0.3">
      <c r="A7">
        <v>18</v>
      </c>
      <c r="B7">
        <v>24</v>
      </c>
      <c r="C7">
        <v>5</v>
      </c>
      <c r="D7">
        <v>12</v>
      </c>
      <c r="E7">
        <v>17</v>
      </c>
      <c r="F7">
        <v>5</v>
      </c>
      <c r="G7">
        <v>2</v>
      </c>
    </row>
    <row r="8" spans="1:7" x14ac:dyDescent="0.3">
      <c r="A8">
        <v>10</v>
      </c>
      <c r="B8">
        <v>64</v>
      </c>
      <c r="C8">
        <v>4</v>
      </c>
      <c r="D8">
        <v>28</v>
      </c>
      <c r="E8">
        <v>9</v>
      </c>
      <c r="F8">
        <v>3</v>
      </c>
      <c r="G8">
        <v>2</v>
      </c>
    </row>
    <row r="9" spans="1:7" x14ac:dyDescent="0.3">
      <c r="A9">
        <v>2</v>
      </c>
      <c r="B9">
        <v>32</v>
      </c>
      <c r="C9">
        <v>5</v>
      </c>
      <c r="D9">
        <v>17</v>
      </c>
      <c r="E9">
        <v>1</v>
      </c>
      <c r="F9">
        <v>28</v>
      </c>
      <c r="G9">
        <v>2</v>
      </c>
    </row>
    <row r="10" spans="1:7" x14ac:dyDescent="0.3">
      <c r="A10">
        <v>60</v>
      </c>
      <c r="B10">
        <v>39</v>
      </c>
      <c r="C10">
        <v>6</v>
      </c>
      <c r="D10">
        <v>1</v>
      </c>
      <c r="E10">
        <v>58</v>
      </c>
      <c r="F10">
        <v>15</v>
      </c>
      <c r="G10">
        <v>1</v>
      </c>
    </row>
    <row r="11" spans="1:7" x14ac:dyDescent="0.3">
      <c r="A11">
        <v>52</v>
      </c>
      <c r="B11">
        <v>7</v>
      </c>
      <c r="C11">
        <v>7</v>
      </c>
      <c r="D11">
        <v>15</v>
      </c>
      <c r="E11">
        <v>50</v>
      </c>
      <c r="F11">
        <v>6</v>
      </c>
      <c r="G11">
        <v>2</v>
      </c>
    </row>
    <row r="12" spans="1:7" x14ac:dyDescent="0.3">
      <c r="A12">
        <v>44</v>
      </c>
      <c r="B12">
        <v>47</v>
      </c>
      <c r="C12">
        <v>8</v>
      </c>
      <c r="D12">
        <v>23</v>
      </c>
      <c r="E12">
        <v>42</v>
      </c>
      <c r="F12">
        <v>21</v>
      </c>
      <c r="G12">
        <v>2</v>
      </c>
    </row>
    <row r="13" spans="1:7" x14ac:dyDescent="0.3">
      <c r="A13">
        <v>36</v>
      </c>
      <c r="B13">
        <v>15</v>
      </c>
      <c r="C13">
        <v>9</v>
      </c>
      <c r="D13">
        <v>26</v>
      </c>
      <c r="E13">
        <v>34</v>
      </c>
      <c r="F13">
        <v>10</v>
      </c>
      <c r="G13">
        <v>2</v>
      </c>
    </row>
    <row r="14" spans="1:7" x14ac:dyDescent="0.3">
      <c r="A14">
        <v>28</v>
      </c>
      <c r="B14">
        <v>55</v>
      </c>
      <c r="C14">
        <v>8</v>
      </c>
      <c r="D14">
        <v>5</v>
      </c>
      <c r="E14">
        <v>26</v>
      </c>
      <c r="F14">
        <v>23</v>
      </c>
      <c r="G14">
        <v>2</v>
      </c>
    </row>
    <row r="15" spans="1:7" x14ac:dyDescent="0.3">
      <c r="A15">
        <v>20</v>
      </c>
      <c r="B15">
        <v>23</v>
      </c>
      <c r="C15">
        <v>9</v>
      </c>
      <c r="D15">
        <v>18</v>
      </c>
      <c r="E15">
        <v>18</v>
      </c>
      <c r="F15">
        <v>19</v>
      </c>
      <c r="G15">
        <v>2</v>
      </c>
    </row>
    <row r="16" spans="1:7" x14ac:dyDescent="0.3">
      <c r="A16">
        <v>12</v>
      </c>
      <c r="B16">
        <v>63</v>
      </c>
      <c r="C16">
        <v>10</v>
      </c>
      <c r="D16">
        <v>31</v>
      </c>
      <c r="E16">
        <v>10</v>
      </c>
      <c r="F16">
        <v>12</v>
      </c>
      <c r="G16">
        <v>2</v>
      </c>
    </row>
    <row r="17" spans="1:7" x14ac:dyDescent="0.3">
      <c r="A17">
        <v>4</v>
      </c>
      <c r="B17">
        <v>31</v>
      </c>
      <c r="C17">
        <v>11</v>
      </c>
      <c r="D17">
        <v>10</v>
      </c>
      <c r="E17">
        <v>2</v>
      </c>
      <c r="F17">
        <v>4</v>
      </c>
      <c r="G17">
        <v>1</v>
      </c>
    </row>
    <row r="18" spans="1:7" x14ac:dyDescent="0.3">
      <c r="A18">
        <v>62</v>
      </c>
      <c r="B18">
        <v>38</v>
      </c>
      <c r="C18">
        <v>12</v>
      </c>
      <c r="D18">
        <v>2</v>
      </c>
      <c r="E18">
        <v>59</v>
      </c>
      <c r="F18">
        <v>26</v>
      </c>
    </row>
    <row r="19" spans="1:7" x14ac:dyDescent="0.3">
      <c r="A19">
        <v>54</v>
      </c>
      <c r="B19">
        <v>6</v>
      </c>
      <c r="C19">
        <v>13</v>
      </c>
      <c r="D19">
        <v>8</v>
      </c>
      <c r="E19">
        <v>51</v>
      </c>
      <c r="F19">
        <v>8</v>
      </c>
    </row>
    <row r="20" spans="1:7" x14ac:dyDescent="0.3">
      <c r="A20">
        <v>46</v>
      </c>
      <c r="B20">
        <v>46</v>
      </c>
      <c r="C20">
        <v>12</v>
      </c>
      <c r="D20">
        <v>24</v>
      </c>
      <c r="E20">
        <v>43</v>
      </c>
      <c r="F20">
        <v>16</v>
      </c>
    </row>
    <row r="21" spans="1:7" x14ac:dyDescent="0.3">
      <c r="A21">
        <v>38</v>
      </c>
      <c r="B21">
        <v>14</v>
      </c>
      <c r="C21">
        <v>13</v>
      </c>
      <c r="D21">
        <v>14</v>
      </c>
      <c r="E21">
        <v>35</v>
      </c>
      <c r="F21">
        <v>7</v>
      </c>
    </row>
    <row r="22" spans="1:7" x14ac:dyDescent="0.3">
      <c r="A22">
        <v>30</v>
      </c>
      <c r="B22">
        <v>54</v>
      </c>
      <c r="C22">
        <v>14</v>
      </c>
      <c r="D22">
        <v>32</v>
      </c>
      <c r="E22">
        <v>27</v>
      </c>
      <c r="F22">
        <v>27</v>
      </c>
    </row>
    <row r="23" spans="1:7" x14ac:dyDescent="0.3">
      <c r="A23">
        <v>22</v>
      </c>
      <c r="B23">
        <v>22</v>
      </c>
      <c r="C23">
        <v>15</v>
      </c>
      <c r="D23">
        <v>27</v>
      </c>
      <c r="E23">
        <v>19</v>
      </c>
      <c r="F23">
        <v>20</v>
      </c>
    </row>
    <row r="24" spans="1:7" x14ac:dyDescent="0.3">
      <c r="A24">
        <v>14</v>
      </c>
      <c r="B24">
        <v>62</v>
      </c>
      <c r="C24">
        <v>16</v>
      </c>
      <c r="D24">
        <v>3</v>
      </c>
      <c r="E24">
        <v>11</v>
      </c>
      <c r="F24">
        <v>13</v>
      </c>
    </row>
    <row r="25" spans="1:7" x14ac:dyDescent="0.3">
      <c r="A25">
        <v>6</v>
      </c>
      <c r="B25">
        <v>30</v>
      </c>
      <c r="C25">
        <v>17</v>
      </c>
      <c r="D25">
        <v>9</v>
      </c>
      <c r="E25">
        <v>3</v>
      </c>
      <c r="F25">
        <v>2</v>
      </c>
    </row>
    <row r="26" spans="1:7" x14ac:dyDescent="0.3">
      <c r="A26">
        <v>64</v>
      </c>
      <c r="B26">
        <v>37</v>
      </c>
      <c r="C26">
        <v>16</v>
      </c>
      <c r="D26">
        <v>19</v>
      </c>
      <c r="E26">
        <v>60</v>
      </c>
      <c r="F26">
        <v>41</v>
      </c>
    </row>
    <row r="27" spans="1:7" x14ac:dyDescent="0.3">
      <c r="A27">
        <v>56</v>
      </c>
      <c r="B27">
        <v>5</v>
      </c>
      <c r="C27">
        <v>17</v>
      </c>
      <c r="D27">
        <v>13</v>
      </c>
      <c r="E27">
        <v>52</v>
      </c>
      <c r="F27">
        <v>52</v>
      </c>
    </row>
    <row r="28" spans="1:7" x14ac:dyDescent="0.3">
      <c r="A28">
        <v>48</v>
      </c>
      <c r="B28">
        <v>45</v>
      </c>
      <c r="C28">
        <v>18</v>
      </c>
      <c r="D28">
        <v>30</v>
      </c>
      <c r="E28">
        <v>44</v>
      </c>
      <c r="F28">
        <v>31</v>
      </c>
    </row>
    <row r="29" spans="1:7" x14ac:dyDescent="0.3">
      <c r="A29">
        <v>40</v>
      </c>
      <c r="B29">
        <v>13</v>
      </c>
      <c r="C29">
        <v>19</v>
      </c>
      <c r="D29">
        <v>6</v>
      </c>
      <c r="E29">
        <v>36</v>
      </c>
      <c r="F29">
        <v>37</v>
      </c>
    </row>
    <row r="30" spans="1:7" x14ac:dyDescent="0.3">
      <c r="A30">
        <v>32</v>
      </c>
      <c r="B30">
        <v>53</v>
      </c>
      <c r="C30">
        <v>20</v>
      </c>
      <c r="D30">
        <v>22</v>
      </c>
      <c r="E30">
        <v>63</v>
      </c>
      <c r="F30">
        <v>47</v>
      </c>
    </row>
    <row r="31" spans="1:7" x14ac:dyDescent="0.3">
      <c r="A31">
        <v>24</v>
      </c>
      <c r="B31">
        <v>21</v>
      </c>
      <c r="C31">
        <v>21</v>
      </c>
      <c r="D31">
        <v>11</v>
      </c>
      <c r="E31">
        <v>55</v>
      </c>
      <c r="F31">
        <v>55</v>
      </c>
    </row>
    <row r="32" spans="1:7" x14ac:dyDescent="0.3">
      <c r="A32">
        <v>16</v>
      </c>
      <c r="B32">
        <v>61</v>
      </c>
      <c r="C32">
        <v>20</v>
      </c>
      <c r="D32">
        <v>4</v>
      </c>
      <c r="E32">
        <v>47</v>
      </c>
      <c r="F32">
        <v>30</v>
      </c>
    </row>
    <row r="33" spans="1:6" x14ac:dyDescent="0.3">
      <c r="A33">
        <v>8</v>
      </c>
      <c r="B33">
        <v>29</v>
      </c>
      <c r="C33">
        <v>21</v>
      </c>
      <c r="D33">
        <v>25</v>
      </c>
      <c r="E33">
        <v>39</v>
      </c>
      <c r="F33">
        <v>40</v>
      </c>
    </row>
    <row r="34" spans="1:6" x14ac:dyDescent="0.3">
      <c r="A34">
        <v>57</v>
      </c>
      <c r="B34">
        <v>36</v>
      </c>
      <c r="C34">
        <v>22</v>
      </c>
      <c r="E34">
        <v>31</v>
      </c>
      <c r="F34">
        <v>51</v>
      </c>
    </row>
    <row r="35" spans="1:6" x14ac:dyDescent="0.3">
      <c r="A35">
        <v>49</v>
      </c>
      <c r="B35">
        <v>4</v>
      </c>
      <c r="C35">
        <v>23</v>
      </c>
      <c r="E35">
        <v>23</v>
      </c>
      <c r="F35">
        <v>45</v>
      </c>
    </row>
    <row r="36" spans="1:6" x14ac:dyDescent="0.3">
      <c r="A36">
        <v>41</v>
      </c>
      <c r="B36">
        <v>44</v>
      </c>
      <c r="C36">
        <v>24</v>
      </c>
      <c r="E36">
        <v>15</v>
      </c>
      <c r="F36">
        <v>33</v>
      </c>
    </row>
    <row r="37" spans="1:6" x14ac:dyDescent="0.3">
      <c r="A37">
        <v>33</v>
      </c>
      <c r="B37">
        <v>12</v>
      </c>
      <c r="C37">
        <v>25</v>
      </c>
      <c r="E37">
        <v>7</v>
      </c>
      <c r="F37">
        <v>48</v>
      </c>
    </row>
    <row r="38" spans="1:6" x14ac:dyDescent="0.3">
      <c r="A38">
        <v>25</v>
      </c>
      <c r="B38">
        <v>52</v>
      </c>
      <c r="C38">
        <v>24</v>
      </c>
      <c r="E38">
        <v>62</v>
      </c>
      <c r="F38">
        <v>44</v>
      </c>
    </row>
    <row r="39" spans="1:6" x14ac:dyDescent="0.3">
      <c r="A39">
        <v>17</v>
      </c>
      <c r="B39">
        <v>20</v>
      </c>
      <c r="C39">
        <v>25</v>
      </c>
      <c r="E39">
        <v>54</v>
      </c>
      <c r="F39">
        <v>49</v>
      </c>
    </row>
    <row r="40" spans="1:6" x14ac:dyDescent="0.3">
      <c r="A40">
        <v>9</v>
      </c>
      <c r="B40">
        <v>60</v>
      </c>
      <c r="C40">
        <v>26</v>
      </c>
      <c r="E40">
        <v>46</v>
      </c>
      <c r="F40">
        <v>39</v>
      </c>
    </row>
    <row r="41" spans="1:6" x14ac:dyDescent="0.3">
      <c r="A41">
        <v>1</v>
      </c>
      <c r="B41">
        <v>28</v>
      </c>
      <c r="C41">
        <v>27</v>
      </c>
      <c r="E41">
        <v>38</v>
      </c>
      <c r="F41">
        <v>56</v>
      </c>
    </row>
    <row r="42" spans="1:6" x14ac:dyDescent="0.3">
      <c r="A42">
        <v>59</v>
      </c>
      <c r="B42">
        <v>35</v>
      </c>
      <c r="C42">
        <v>28</v>
      </c>
      <c r="E42">
        <v>30</v>
      </c>
      <c r="F42">
        <v>34</v>
      </c>
    </row>
    <row r="43" spans="1:6" x14ac:dyDescent="0.3">
      <c r="A43">
        <v>51</v>
      </c>
      <c r="B43">
        <v>3</v>
      </c>
      <c r="C43">
        <v>29</v>
      </c>
      <c r="E43">
        <v>22</v>
      </c>
      <c r="F43">
        <v>53</v>
      </c>
    </row>
    <row r="44" spans="1:6" x14ac:dyDescent="0.3">
      <c r="A44">
        <v>43</v>
      </c>
      <c r="B44">
        <v>43</v>
      </c>
      <c r="C44">
        <v>28</v>
      </c>
      <c r="E44">
        <v>14</v>
      </c>
      <c r="F44">
        <v>46</v>
      </c>
    </row>
    <row r="45" spans="1:6" x14ac:dyDescent="0.3">
      <c r="A45">
        <v>35</v>
      </c>
      <c r="B45">
        <v>11</v>
      </c>
      <c r="C45">
        <v>29</v>
      </c>
      <c r="E45">
        <v>6</v>
      </c>
      <c r="F45">
        <v>42</v>
      </c>
    </row>
    <row r="46" spans="1:6" x14ac:dyDescent="0.3">
      <c r="A46">
        <v>27</v>
      </c>
      <c r="B46">
        <v>51</v>
      </c>
      <c r="C46">
        <v>30</v>
      </c>
      <c r="E46">
        <v>61</v>
      </c>
      <c r="F46">
        <v>50</v>
      </c>
    </row>
    <row r="47" spans="1:6" x14ac:dyDescent="0.3">
      <c r="A47">
        <v>19</v>
      </c>
      <c r="B47">
        <v>19</v>
      </c>
      <c r="C47">
        <v>31</v>
      </c>
      <c r="E47">
        <v>53</v>
      </c>
      <c r="F47">
        <v>36</v>
      </c>
    </row>
    <row r="48" spans="1:6" x14ac:dyDescent="0.3">
      <c r="A48">
        <v>11</v>
      </c>
      <c r="B48">
        <v>59</v>
      </c>
      <c r="C48">
        <v>32</v>
      </c>
      <c r="E48">
        <v>45</v>
      </c>
      <c r="F48">
        <v>29</v>
      </c>
    </row>
    <row r="49" spans="1:6" x14ac:dyDescent="0.3">
      <c r="A49">
        <v>3</v>
      </c>
      <c r="B49">
        <v>27</v>
      </c>
      <c r="C49">
        <v>1</v>
      </c>
      <c r="E49">
        <v>37</v>
      </c>
      <c r="F49">
        <v>32</v>
      </c>
    </row>
    <row r="50" spans="1:6" x14ac:dyDescent="0.3">
      <c r="A50">
        <v>61</v>
      </c>
      <c r="B50">
        <v>34</v>
      </c>
      <c r="E50">
        <v>29</v>
      </c>
    </row>
    <row r="51" spans="1:6" x14ac:dyDescent="0.3">
      <c r="A51">
        <v>53</v>
      </c>
      <c r="B51">
        <v>2</v>
      </c>
      <c r="E51">
        <v>21</v>
      </c>
    </row>
    <row r="52" spans="1:6" x14ac:dyDescent="0.3">
      <c r="A52">
        <v>45</v>
      </c>
      <c r="B52">
        <v>42</v>
      </c>
      <c r="E52">
        <v>13</v>
      </c>
    </row>
    <row r="53" spans="1:6" x14ac:dyDescent="0.3">
      <c r="A53">
        <v>37</v>
      </c>
      <c r="B53">
        <v>10</v>
      </c>
      <c r="E53">
        <v>5</v>
      </c>
    </row>
    <row r="54" spans="1:6" x14ac:dyDescent="0.3">
      <c r="A54">
        <v>29</v>
      </c>
      <c r="B54">
        <v>50</v>
      </c>
      <c r="E54">
        <v>28</v>
      </c>
    </row>
    <row r="55" spans="1:6" x14ac:dyDescent="0.3">
      <c r="A55">
        <v>21</v>
      </c>
      <c r="B55">
        <v>18</v>
      </c>
      <c r="E55">
        <v>20</v>
      </c>
    </row>
    <row r="56" spans="1:6" x14ac:dyDescent="0.3">
      <c r="A56">
        <v>13</v>
      </c>
      <c r="B56">
        <v>58</v>
      </c>
      <c r="E56">
        <v>12</v>
      </c>
    </row>
    <row r="57" spans="1:6" x14ac:dyDescent="0.3">
      <c r="A57">
        <v>5</v>
      </c>
      <c r="B57">
        <v>26</v>
      </c>
      <c r="E57">
        <v>4</v>
      </c>
    </row>
    <row r="58" spans="1:6" x14ac:dyDescent="0.3">
      <c r="A58">
        <v>63</v>
      </c>
      <c r="B58">
        <v>33</v>
      </c>
    </row>
    <row r="59" spans="1:6" x14ac:dyDescent="0.3">
      <c r="A59">
        <v>55</v>
      </c>
      <c r="B59">
        <v>1</v>
      </c>
    </row>
    <row r="60" spans="1:6" x14ac:dyDescent="0.3">
      <c r="A60">
        <v>47</v>
      </c>
      <c r="B60">
        <v>41</v>
      </c>
    </row>
    <row r="61" spans="1:6" x14ac:dyDescent="0.3">
      <c r="A61">
        <v>39</v>
      </c>
      <c r="B61">
        <v>9</v>
      </c>
    </row>
    <row r="62" spans="1:6" x14ac:dyDescent="0.3">
      <c r="A62">
        <v>31</v>
      </c>
      <c r="B62">
        <v>49</v>
      </c>
    </row>
    <row r="63" spans="1:6" x14ac:dyDescent="0.3">
      <c r="A63">
        <v>23</v>
      </c>
      <c r="B63">
        <v>17</v>
      </c>
    </row>
    <row r="64" spans="1:6" x14ac:dyDescent="0.3">
      <c r="A64">
        <v>15</v>
      </c>
      <c r="B64">
        <v>57</v>
      </c>
    </row>
    <row r="65" spans="1:2" x14ac:dyDescent="0.3">
      <c r="A65">
        <v>7</v>
      </c>
      <c r="B6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53F0-419B-4B72-BCAE-5156EE89683F}">
  <dimension ref="A1:AG65"/>
  <sheetViews>
    <sheetView zoomScale="70" zoomScaleNormal="70" workbookViewId="0">
      <selection activeCell="N23" sqref="N23"/>
    </sheetView>
  </sheetViews>
  <sheetFormatPr defaultRowHeight="14.4" x14ac:dyDescent="0.3"/>
  <sheetData>
    <row r="1" spans="1:33" x14ac:dyDescent="0.3">
      <c r="A1" s="10" t="s">
        <v>15</v>
      </c>
      <c r="B1" s="11" t="s">
        <v>16</v>
      </c>
      <c r="C1" s="11"/>
      <c r="D1" s="11"/>
      <c r="E1" s="11"/>
      <c r="F1" s="5" t="s">
        <v>17</v>
      </c>
      <c r="G1" s="11"/>
      <c r="H1" s="11"/>
      <c r="I1" s="12"/>
      <c r="J1" s="11" t="s">
        <v>18</v>
      </c>
      <c r="K1" s="11"/>
      <c r="L1" s="11"/>
      <c r="M1" s="12"/>
      <c r="N1" s="11" t="s">
        <v>19</v>
      </c>
      <c r="O1" s="11"/>
      <c r="P1" s="11"/>
      <c r="Q1" s="12"/>
      <c r="R1" s="11" t="s">
        <v>20</v>
      </c>
      <c r="S1" s="11"/>
      <c r="T1" s="11"/>
      <c r="U1" s="11"/>
      <c r="V1" s="5" t="s">
        <v>21</v>
      </c>
      <c r="W1" s="11"/>
      <c r="X1" s="11"/>
      <c r="Y1" s="12"/>
      <c r="Z1" s="11" t="s">
        <v>22</v>
      </c>
      <c r="AA1" s="11"/>
      <c r="AB1" s="11"/>
      <c r="AC1" s="11"/>
      <c r="AD1" s="5" t="s">
        <v>23</v>
      </c>
      <c r="AE1" s="11"/>
      <c r="AF1" s="11"/>
      <c r="AG1" s="11"/>
    </row>
    <row r="2" spans="1:33" x14ac:dyDescent="0.3">
      <c r="A2" s="8" t="s">
        <v>24</v>
      </c>
      <c r="B2" s="7" t="s">
        <v>12</v>
      </c>
      <c r="C2" s="7" t="s">
        <v>12</v>
      </c>
      <c r="D2" s="7" t="s">
        <v>12</v>
      </c>
      <c r="E2" s="7" t="s">
        <v>11</v>
      </c>
      <c r="F2" s="9" t="s">
        <v>12</v>
      </c>
      <c r="G2" s="7" t="s">
        <v>12</v>
      </c>
      <c r="H2" s="7" t="s">
        <v>12</v>
      </c>
      <c r="I2" s="8" t="s">
        <v>12</v>
      </c>
      <c r="J2" s="7" t="s">
        <v>12</v>
      </c>
      <c r="K2" s="7" t="s">
        <v>11</v>
      </c>
      <c r="L2" s="7" t="s">
        <v>12</v>
      </c>
      <c r="M2" s="8" t="s">
        <v>11</v>
      </c>
      <c r="N2" s="7" t="s">
        <v>11</v>
      </c>
      <c r="O2" s="7" t="s">
        <v>12</v>
      </c>
      <c r="P2" s="7" t="s">
        <v>12</v>
      </c>
      <c r="Q2" s="8" t="s">
        <v>12</v>
      </c>
      <c r="R2" s="7" t="s">
        <v>11</v>
      </c>
      <c r="S2" s="7" t="s">
        <v>11</v>
      </c>
      <c r="T2" s="7" t="s">
        <v>12</v>
      </c>
      <c r="U2" s="7" t="s">
        <v>11</v>
      </c>
      <c r="V2" s="9" t="s">
        <v>12</v>
      </c>
      <c r="W2" s="7" t="s">
        <v>12</v>
      </c>
      <c r="X2" s="7" t="s">
        <v>11</v>
      </c>
      <c r="Y2" s="8" t="s">
        <v>11</v>
      </c>
      <c r="Z2" s="7" t="s">
        <v>11</v>
      </c>
      <c r="AA2" s="7" t="s">
        <v>12</v>
      </c>
      <c r="AB2" s="7" t="s">
        <v>11</v>
      </c>
      <c r="AC2" s="7" t="s">
        <v>11</v>
      </c>
      <c r="AD2" s="9" t="s">
        <v>12</v>
      </c>
      <c r="AE2" s="7" t="s">
        <v>12</v>
      </c>
      <c r="AF2" s="7" t="s">
        <v>11</v>
      </c>
      <c r="AG2" s="7" t="s">
        <v>12</v>
      </c>
    </row>
    <row r="3" spans="1:33" x14ac:dyDescent="0.3">
      <c r="A3" s="8" t="s">
        <v>25</v>
      </c>
      <c r="B3" s="7" t="s">
        <v>11</v>
      </c>
      <c r="C3" s="7" t="s">
        <v>11</v>
      </c>
      <c r="D3" s="7" t="s">
        <v>11</v>
      </c>
      <c r="E3" s="7" t="s">
        <v>11</v>
      </c>
      <c r="F3" s="9" t="s">
        <v>11</v>
      </c>
      <c r="G3" s="7" t="s">
        <v>11</v>
      </c>
      <c r="H3" s="7" t="s">
        <v>12</v>
      </c>
      <c r="I3" s="8" t="s">
        <v>12</v>
      </c>
      <c r="J3" s="7" t="s">
        <v>12</v>
      </c>
      <c r="K3" s="7" t="s">
        <v>12</v>
      </c>
      <c r="L3" s="7" t="s">
        <v>11</v>
      </c>
      <c r="M3" s="8" t="s">
        <v>12</v>
      </c>
      <c r="N3" s="7" t="s">
        <v>12</v>
      </c>
      <c r="O3" s="7" t="s">
        <v>12</v>
      </c>
      <c r="P3" s="7" t="s">
        <v>11</v>
      </c>
      <c r="Q3" s="8" t="s">
        <v>12</v>
      </c>
      <c r="R3" s="7" t="s">
        <v>12</v>
      </c>
      <c r="S3" s="7" t="s">
        <v>12</v>
      </c>
      <c r="T3" s="7" t="s">
        <v>12</v>
      </c>
      <c r="U3" s="7" t="s">
        <v>11</v>
      </c>
      <c r="V3" s="9" t="s">
        <v>12</v>
      </c>
      <c r="W3" s="7" t="s">
        <v>11</v>
      </c>
      <c r="X3" s="7" t="s">
        <v>12</v>
      </c>
      <c r="Y3" s="8" t="s">
        <v>11</v>
      </c>
      <c r="Z3" s="7" t="s">
        <v>12</v>
      </c>
      <c r="AA3" s="7" t="s">
        <v>12</v>
      </c>
      <c r="AB3" s="7" t="s">
        <v>11</v>
      </c>
      <c r="AC3" s="7" t="s">
        <v>12</v>
      </c>
      <c r="AD3" s="9" t="s">
        <v>11</v>
      </c>
      <c r="AE3" s="7" t="s">
        <v>11</v>
      </c>
      <c r="AF3" s="7" t="s">
        <v>11</v>
      </c>
      <c r="AG3" s="7" t="s">
        <v>12</v>
      </c>
    </row>
    <row r="4" spans="1:33" x14ac:dyDescent="0.3">
      <c r="A4" s="8" t="s">
        <v>26</v>
      </c>
      <c r="B4" s="7" t="s">
        <v>11</v>
      </c>
      <c r="C4" s="7" t="s">
        <v>12</v>
      </c>
      <c r="D4" s="7" t="s">
        <v>11</v>
      </c>
      <c r="E4" s="7" t="s">
        <v>11</v>
      </c>
      <c r="F4" s="9" t="s">
        <v>11</v>
      </c>
      <c r="G4" s="7" t="s">
        <v>11</v>
      </c>
      <c r="H4" s="7" t="s">
        <v>11</v>
      </c>
      <c r="I4" s="8" t="s">
        <v>12</v>
      </c>
      <c r="J4" s="7" t="s">
        <v>11</v>
      </c>
      <c r="K4" s="7" t="s">
        <v>11</v>
      </c>
      <c r="L4" s="7" t="s">
        <v>11</v>
      </c>
      <c r="M4" s="8" t="s">
        <v>11</v>
      </c>
      <c r="N4" s="7" t="s">
        <v>12</v>
      </c>
      <c r="O4" s="7" t="s">
        <v>12</v>
      </c>
      <c r="P4" s="7" t="s">
        <v>11</v>
      </c>
      <c r="Q4" s="8" t="s">
        <v>12</v>
      </c>
      <c r="R4" s="7" t="s">
        <v>12</v>
      </c>
      <c r="S4" s="7" t="s">
        <v>12</v>
      </c>
      <c r="T4" s="7" t="s">
        <v>11</v>
      </c>
      <c r="U4" s="7" t="s">
        <v>11</v>
      </c>
      <c r="V4" s="9" t="s">
        <v>11</v>
      </c>
      <c r="W4" s="7" t="s">
        <v>11</v>
      </c>
      <c r="X4" s="7" t="s">
        <v>11</v>
      </c>
      <c r="Y4" s="8" t="s">
        <v>12</v>
      </c>
      <c r="Z4" s="7" t="s">
        <v>12</v>
      </c>
      <c r="AA4" s="7" t="s">
        <v>11</v>
      </c>
      <c r="AB4" s="7" t="s">
        <v>12</v>
      </c>
      <c r="AC4" s="7" t="s">
        <v>12</v>
      </c>
      <c r="AD4" s="9" t="s">
        <v>11</v>
      </c>
      <c r="AE4" s="7" t="s">
        <v>11</v>
      </c>
      <c r="AF4" s="7" t="s">
        <v>12</v>
      </c>
      <c r="AG4" s="7" t="s">
        <v>11</v>
      </c>
    </row>
    <row r="5" spans="1:33" x14ac:dyDescent="0.3">
      <c r="A5" s="8" t="s">
        <v>27</v>
      </c>
      <c r="B5" s="7" t="s">
        <v>12</v>
      </c>
      <c r="C5" s="7" t="s">
        <v>12</v>
      </c>
      <c r="D5" s="7" t="s">
        <v>12</v>
      </c>
      <c r="E5" s="7" t="s">
        <v>12</v>
      </c>
      <c r="F5" s="9" t="s">
        <v>12</v>
      </c>
      <c r="G5" s="7" t="s">
        <v>12</v>
      </c>
      <c r="H5" s="7" t="s">
        <v>11</v>
      </c>
      <c r="I5" s="8" t="s">
        <v>12</v>
      </c>
      <c r="J5" s="7" t="s">
        <v>11</v>
      </c>
      <c r="K5" s="7" t="s">
        <v>12</v>
      </c>
      <c r="L5" s="7" t="s">
        <v>12</v>
      </c>
      <c r="M5" s="8" t="s">
        <v>12</v>
      </c>
      <c r="N5" s="7" t="s">
        <v>12</v>
      </c>
      <c r="O5" s="7" t="s">
        <v>11</v>
      </c>
      <c r="P5" s="7" t="s">
        <v>11</v>
      </c>
      <c r="Q5" s="8" t="s">
        <v>11</v>
      </c>
      <c r="R5" s="7" t="s">
        <v>12</v>
      </c>
      <c r="S5" s="7" t="s">
        <v>11</v>
      </c>
      <c r="T5" s="7" t="s">
        <v>12</v>
      </c>
      <c r="U5" s="7" t="s">
        <v>12</v>
      </c>
      <c r="V5" s="9" t="s">
        <v>12</v>
      </c>
      <c r="W5" s="7" t="s">
        <v>12</v>
      </c>
      <c r="X5" s="7" t="s">
        <v>12</v>
      </c>
      <c r="Y5" s="8" t="s">
        <v>12</v>
      </c>
      <c r="Z5" s="7" t="s">
        <v>11</v>
      </c>
      <c r="AA5" s="7" t="s">
        <v>11</v>
      </c>
      <c r="AB5" s="7" t="s">
        <v>11</v>
      </c>
      <c r="AC5" s="7" t="s">
        <v>11</v>
      </c>
      <c r="AD5" s="9" t="s">
        <v>12</v>
      </c>
      <c r="AE5" s="7" t="s">
        <v>12</v>
      </c>
      <c r="AF5" s="7" t="s">
        <v>12</v>
      </c>
      <c r="AG5" s="7" t="s">
        <v>12</v>
      </c>
    </row>
    <row r="6" spans="1:33" x14ac:dyDescent="0.3">
      <c r="A6" s="8" t="s">
        <v>28</v>
      </c>
      <c r="B6" s="7" t="s">
        <v>12</v>
      </c>
      <c r="C6" s="7" t="s">
        <v>12</v>
      </c>
      <c r="D6" s="7" t="s">
        <v>11</v>
      </c>
      <c r="E6" s="7" t="s">
        <v>12</v>
      </c>
      <c r="F6" s="9" t="s">
        <v>12</v>
      </c>
      <c r="G6" s="7" t="s">
        <v>11</v>
      </c>
      <c r="H6" s="7" t="s">
        <v>11</v>
      </c>
      <c r="I6" s="8" t="s">
        <v>11</v>
      </c>
      <c r="J6" s="7" t="s">
        <v>12</v>
      </c>
      <c r="K6" s="7" t="s">
        <v>11</v>
      </c>
      <c r="L6" s="7" t="s">
        <v>11</v>
      </c>
      <c r="M6" s="8" t="s">
        <v>12</v>
      </c>
      <c r="N6" s="7" t="s">
        <v>12</v>
      </c>
      <c r="O6" s="7" t="s">
        <v>12</v>
      </c>
      <c r="P6" s="7" t="s">
        <v>12</v>
      </c>
      <c r="Q6" s="8" t="s">
        <v>11</v>
      </c>
      <c r="R6" s="7" t="s">
        <v>11</v>
      </c>
      <c r="S6" s="7" t="s">
        <v>12</v>
      </c>
      <c r="T6" s="7" t="s">
        <v>11</v>
      </c>
      <c r="U6" s="7" t="s">
        <v>11</v>
      </c>
      <c r="V6" s="9" t="s">
        <v>12</v>
      </c>
      <c r="W6" s="7" t="s">
        <v>11</v>
      </c>
      <c r="X6" s="7" t="s">
        <v>12</v>
      </c>
      <c r="Y6" s="8" t="s">
        <v>11</v>
      </c>
      <c r="Z6" s="7" t="s">
        <v>11</v>
      </c>
      <c r="AA6" s="7" t="s">
        <v>11</v>
      </c>
      <c r="AB6" s="7" t="s">
        <v>12</v>
      </c>
      <c r="AC6" s="7" t="s">
        <v>11</v>
      </c>
      <c r="AD6" s="9" t="s">
        <v>12</v>
      </c>
      <c r="AE6" s="7" t="s">
        <v>11</v>
      </c>
      <c r="AF6" s="7" t="s">
        <v>11</v>
      </c>
      <c r="AG6" s="7" t="s">
        <v>11</v>
      </c>
    </row>
    <row r="7" spans="1:33" x14ac:dyDescent="0.3">
      <c r="A7" s="8" t="s">
        <v>29</v>
      </c>
      <c r="B7" s="7" t="s">
        <v>11</v>
      </c>
      <c r="C7" s="7" t="s">
        <v>12</v>
      </c>
      <c r="D7" s="7" t="s">
        <v>12</v>
      </c>
      <c r="E7" s="7" t="s">
        <v>12</v>
      </c>
      <c r="F7" s="9" t="s">
        <v>11</v>
      </c>
      <c r="G7" s="7" t="s">
        <v>12</v>
      </c>
      <c r="H7" s="7" t="s">
        <v>11</v>
      </c>
      <c r="I7" s="8" t="s">
        <v>11</v>
      </c>
      <c r="J7" s="7" t="s">
        <v>11</v>
      </c>
      <c r="K7" s="7" t="s">
        <v>11</v>
      </c>
      <c r="L7" s="7" t="s">
        <v>11</v>
      </c>
      <c r="M7" s="8" t="s">
        <v>11</v>
      </c>
      <c r="N7" s="7" t="s">
        <v>12</v>
      </c>
      <c r="O7" s="7" t="s">
        <v>11</v>
      </c>
      <c r="P7" s="7" t="s">
        <v>12</v>
      </c>
      <c r="Q7" s="8" t="s">
        <v>12</v>
      </c>
      <c r="R7" s="7" t="s">
        <v>11</v>
      </c>
      <c r="S7" s="7" t="s">
        <v>11</v>
      </c>
      <c r="T7" s="7" t="s">
        <v>12</v>
      </c>
      <c r="U7" s="7" t="s">
        <v>11</v>
      </c>
      <c r="V7" s="9" t="s">
        <v>11</v>
      </c>
      <c r="W7" s="7" t="s">
        <v>12</v>
      </c>
      <c r="X7" s="7" t="s">
        <v>11</v>
      </c>
      <c r="Y7" s="8" t="s">
        <v>11</v>
      </c>
      <c r="Z7" s="7" t="s">
        <v>12</v>
      </c>
      <c r="AA7" s="7" t="s">
        <v>11</v>
      </c>
      <c r="AB7" s="7" t="s">
        <v>12</v>
      </c>
      <c r="AC7" s="7" t="s">
        <v>12</v>
      </c>
      <c r="AD7" s="9" t="s">
        <v>12</v>
      </c>
      <c r="AE7" s="7" t="s">
        <v>12</v>
      </c>
      <c r="AF7" s="7" t="s">
        <v>11</v>
      </c>
      <c r="AG7" s="7" t="s">
        <v>12</v>
      </c>
    </row>
    <row r="8" spans="1:33" x14ac:dyDescent="0.3">
      <c r="A8" s="8" t="s">
        <v>30</v>
      </c>
      <c r="B8" s="7" t="s">
        <v>11</v>
      </c>
      <c r="C8" s="7" t="s">
        <v>11</v>
      </c>
      <c r="D8" s="7" t="s">
        <v>11</v>
      </c>
      <c r="E8" s="7" t="s">
        <v>12</v>
      </c>
      <c r="F8" s="9" t="s">
        <v>12</v>
      </c>
      <c r="G8" s="7" t="s">
        <v>12</v>
      </c>
      <c r="H8" s="7" t="s">
        <v>12</v>
      </c>
      <c r="I8" s="8" t="s">
        <v>11</v>
      </c>
      <c r="J8" s="7" t="s">
        <v>12</v>
      </c>
      <c r="K8" s="7" t="s">
        <v>12</v>
      </c>
      <c r="L8" s="7" t="s">
        <v>12</v>
      </c>
      <c r="M8" s="8" t="s">
        <v>11</v>
      </c>
      <c r="N8" s="7" t="s">
        <v>11</v>
      </c>
      <c r="O8" s="7" t="s">
        <v>11</v>
      </c>
      <c r="P8" s="7" t="s">
        <v>12</v>
      </c>
      <c r="Q8" s="8" t="s">
        <v>12</v>
      </c>
      <c r="R8" s="7" t="s">
        <v>11</v>
      </c>
      <c r="S8" s="7" t="s">
        <v>11</v>
      </c>
      <c r="T8" s="7" t="s">
        <v>11</v>
      </c>
      <c r="U8" s="7" t="s">
        <v>12</v>
      </c>
      <c r="V8" s="9" t="s">
        <v>12</v>
      </c>
      <c r="W8" s="7" t="s">
        <v>12</v>
      </c>
      <c r="X8" s="7" t="s">
        <v>12</v>
      </c>
      <c r="Y8" s="8" t="s">
        <v>12</v>
      </c>
      <c r="Z8" s="7" t="s">
        <v>12</v>
      </c>
      <c r="AA8" s="7" t="s">
        <v>12</v>
      </c>
      <c r="AB8" s="7" t="s">
        <v>12</v>
      </c>
      <c r="AC8" s="7" t="s">
        <v>11</v>
      </c>
      <c r="AD8" s="9" t="s">
        <v>11</v>
      </c>
      <c r="AE8" s="7" t="s">
        <v>12</v>
      </c>
      <c r="AF8" s="7" t="s">
        <v>11</v>
      </c>
      <c r="AG8" s="7" t="s">
        <v>11</v>
      </c>
    </row>
    <row r="9" spans="1:33" x14ac:dyDescent="0.3">
      <c r="A9" s="8" t="s">
        <v>31</v>
      </c>
      <c r="B9" s="7" t="s">
        <v>11</v>
      </c>
      <c r="C9" s="7" t="s">
        <v>12</v>
      </c>
      <c r="D9" s="7" t="s">
        <v>11</v>
      </c>
      <c r="E9" s="7" t="s">
        <v>11</v>
      </c>
      <c r="F9" s="9" t="s">
        <v>11</v>
      </c>
      <c r="G9" s="7" t="s">
        <v>12</v>
      </c>
      <c r="H9" s="7" t="s">
        <v>12</v>
      </c>
      <c r="I9" s="8" t="s">
        <v>12</v>
      </c>
      <c r="J9" s="7" t="s">
        <v>12</v>
      </c>
      <c r="K9" s="7" t="s">
        <v>11</v>
      </c>
      <c r="L9" s="7" t="s">
        <v>11</v>
      </c>
      <c r="M9" s="8" t="s">
        <v>12</v>
      </c>
      <c r="N9" s="7" t="s">
        <v>11</v>
      </c>
      <c r="O9" s="7" t="s">
        <v>12</v>
      </c>
      <c r="P9" s="7" t="s">
        <v>11</v>
      </c>
      <c r="Q9" s="8" t="s">
        <v>12</v>
      </c>
      <c r="R9" s="7" t="s">
        <v>12</v>
      </c>
      <c r="S9" s="7" t="s">
        <v>12</v>
      </c>
      <c r="T9" s="7" t="s">
        <v>11</v>
      </c>
      <c r="U9" s="7" t="s">
        <v>11</v>
      </c>
      <c r="V9" s="9" t="s">
        <v>11</v>
      </c>
      <c r="W9" s="7" t="s">
        <v>11</v>
      </c>
      <c r="X9" s="7" t="s">
        <v>12</v>
      </c>
      <c r="Y9" s="8" t="s">
        <v>11</v>
      </c>
      <c r="Z9" s="7" t="s">
        <v>11</v>
      </c>
      <c r="AA9" s="7" t="s">
        <v>12</v>
      </c>
      <c r="AB9" s="7" t="s">
        <v>12</v>
      </c>
      <c r="AC9" s="7" t="s">
        <v>12</v>
      </c>
      <c r="AD9" s="9" t="s">
        <v>12</v>
      </c>
      <c r="AE9" s="7" t="s">
        <v>11</v>
      </c>
      <c r="AF9" s="7" t="s">
        <v>11</v>
      </c>
      <c r="AG9" s="7" t="s">
        <v>11</v>
      </c>
    </row>
    <row r="10" spans="1:33" x14ac:dyDescent="0.3">
      <c r="A10" s="8" t="s">
        <v>32</v>
      </c>
      <c r="B10" s="7" t="s">
        <v>11</v>
      </c>
      <c r="C10" s="7" t="s">
        <v>11</v>
      </c>
      <c r="D10" s="7" t="s">
        <v>12</v>
      </c>
      <c r="E10" s="7" t="s">
        <v>11</v>
      </c>
      <c r="F10" s="9" t="s">
        <v>11</v>
      </c>
      <c r="G10" s="7" t="s">
        <v>12</v>
      </c>
      <c r="H10" s="7" t="s">
        <v>12</v>
      </c>
      <c r="I10" s="8" t="s">
        <v>11</v>
      </c>
      <c r="J10" s="7" t="s">
        <v>11</v>
      </c>
      <c r="K10" s="7" t="s">
        <v>12</v>
      </c>
      <c r="L10" s="7" t="s">
        <v>12</v>
      </c>
      <c r="M10" s="8" t="s">
        <v>11</v>
      </c>
      <c r="N10" s="7" t="s">
        <v>11</v>
      </c>
      <c r="O10" s="7" t="s">
        <v>11</v>
      </c>
      <c r="P10" s="7" t="s">
        <v>11</v>
      </c>
      <c r="Q10" s="8" t="s">
        <v>11</v>
      </c>
      <c r="R10" s="7" t="s">
        <v>11</v>
      </c>
      <c r="S10" s="7" t="s">
        <v>12</v>
      </c>
      <c r="T10" s="7" t="s">
        <v>12</v>
      </c>
      <c r="U10" s="7" t="s">
        <v>12</v>
      </c>
      <c r="V10" s="9" t="s">
        <v>12</v>
      </c>
      <c r="W10" s="7" t="s">
        <v>11</v>
      </c>
      <c r="X10" s="7" t="s">
        <v>11</v>
      </c>
      <c r="Y10" s="8" t="s">
        <v>12</v>
      </c>
      <c r="Z10" s="7" t="s">
        <v>12</v>
      </c>
      <c r="AA10" s="7" t="s">
        <v>12</v>
      </c>
      <c r="AB10" s="7" t="s">
        <v>12</v>
      </c>
      <c r="AC10" s="7" t="s">
        <v>12</v>
      </c>
      <c r="AD10" s="9" t="s">
        <v>11</v>
      </c>
      <c r="AE10" s="7" t="s">
        <v>12</v>
      </c>
      <c r="AF10" s="7" t="s">
        <v>12</v>
      </c>
      <c r="AG10" s="7" t="s">
        <v>11</v>
      </c>
    </row>
    <row r="11" spans="1:33" x14ac:dyDescent="0.3">
      <c r="A11" s="8" t="s">
        <v>33</v>
      </c>
      <c r="B11" s="7" t="s">
        <v>12</v>
      </c>
      <c r="C11" s="7" t="s">
        <v>12</v>
      </c>
      <c r="D11" s="7" t="s">
        <v>12</v>
      </c>
      <c r="E11" s="7" t="s">
        <v>11</v>
      </c>
      <c r="F11" s="9" t="s">
        <v>12</v>
      </c>
      <c r="G11" s="7" t="s">
        <v>12</v>
      </c>
      <c r="H11" s="7" t="s">
        <v>12</v>
      </c>
      <c r="I11" s="8" t="s">
        <v>12</v>
      </c>
      <c r="J11" s="7" t="s">
        <v>11</v>
      </c>
      <c r="K11" s="7" t="s">
        <v>11</v>
      </c>
      <c r="L11" s="7" t="s">
        <v>12</v>
      </c>
      <c r="M11" s="8" t="s">
        <v>12</v>
      </c>
      <c r="N11" s="7" t="s">
        <v>11</v>
      </c>
      <c r="O11" s="7" t="s">
        <v>12</v>
      </c>
      <c r="P11" s="7" t="s">
        <v>12</v>
      </c>
      <c r="Q11" s="8" t="s">
        <v>11</v>
      </c>
      <c r="R11" s="7" t="s">
        <v>11</v>
      </c>
      <c r="S11" s="7" t="s">
        <v>12</v>
      </c>
      <c r="T11" s="7" t="s">
        <v>11</v>
      </c>
      <c r="U11" s="7" t="s">
        <v>11</v>
      </c>
      <c r="V11" s="9" t="s">
        <v>11</v>
      </c>
      <c r="W11" s="7" t="s">
        <v>12</v>
      </c>
      <c r="X11" s="7" t="s">
        <v>12</v>
      </c>
      <c r="Y11" s="8" t="s">
        <v>12</v>
      </c>
      <c r="Z11" s="7" t="s">
        <v>11</v>
      </c>
      <c r="AA11" s="7" t="s">
        <v>12</v>
      </c>
      <c r="AB11" s="7" t="s">
        <v>11</v>
      </c>
      <c r="AC11" s="7" t="s">
        <v>11</v>
      </c>
      <c r="AD11" s="9" t="s">
        <v>12</v>
      </c>
      <c r="AE11" s="7" t="s">
        <v>11</v>
      </c>
      <c r="AF11" s="7" t="s">
        <v>12</v>
      </c>
      <c r="AG11" s="7" t="s">
        <v>11</v>
      </c>
    </row>
    <row r="12" spans="1:33" x14ac:dyDescent="0.3">
      <c r="A12" s="8" t="s">
        <v>34</v>
      </c>
      <c r="B12" s="7" t="s">
        <v>12</v>
      </c>
      <c r="C12" s="7" t="s">
        <v>12</v>
      </c>
      <c r="D12" s="7" t="s">
        <v>12</v>
      </c>
      <c r="E12" s="7" t="s">
        <v>12</v>
      </c>
      <c r="F12" s="9" t="s">
        <v>12</v>
      </c>
      <c r="G12" s="7" t="s">
        <v>11</v>
      </c>
      <c r="H12" s="7" t="s">
        <v>12</v>
      </c>
      <c r="I12" s="8" t="s">
        <v>12</v>
      </c>
      <c r="J12" s="7" t="s">
        <v>11</v>
      </c>
      <c r="K12" s="7" t="s">
        <v>11</v>
      </c>
      <c r="L12" s="7" t="s">
        <v>12</v>
      </c>
      <c r="M12" s="8" t="s">
        <v>12</v>
      </c>
      <c r="N12" s="7" t="s">
        <v>11</v>
      </c>
      <c r="O12" s="7" t="s">
        <v>12</v>
      </c>
      <c r="P12" s="7" t="s">
        <v>12</v>
      </c>
      <c r="Q12" s="8" t="s">
        <v>11</v>
      </c>
      <c r="R12" s="7" t="s">
        <v>12</v>
      </c>
      <c r="S12" s="7" t="s">
        <v>11</v>
      </c>
      <c r="T12" s="7" t="s">
        <v>12</v>
      </c>
      <c r="U12" s="7" t="s">
        <v>11</v>
      </c>
      <c r="V12" s="9" t="s">
        <v>11</v>
      </c>
      <c r="W12" s="7" t="s">
        <v>11</v>
      </c>
      <c r="X12" s="7" t="s">
        <v>12</v>
      </c>
      <c r="Y12" s="8" t="s">
        <v>11</v>
      </c>
      <c r="Z12" s="7" t="s">
        <v>11</v>
      </c>
      <c r="AA12" s="7" t="s">
        <v>11</v>
      </c>
      <c r="AB12" s="7" t="s">
        <v>11</v>
      </c>
      <c r="AC12" s="7" t="s">
        <v>11</v>
      </c>
      <c r="AD12" s="9" t="s">
        <v>12</v>
      </c>
      <c r="AE12" s="7" t="s">
        <v>12</v>
      </c>
      <c r="AF12" s="7" t="s">
        <v>12</v>
      </c>
      <c r="AG12" s="7" t="s">
        <v>12</v>
      </c>
    </row>
    <row r="13" spans="1:33" x14ac:dyDescent="0.3">
      <c r="A13" s="8" t="s">
        <v>35</v>
      </c>
      <c r="B13" s="7" t="s">
        <v>11</v>
      </c>
      <c r="C13" s="7" t="s">
        <v>11</v>
      </c>
      <c r="D13" s="7" t="s">
        <v>12</v>
      </c>
      <c r="E13" s="7" t="s">
        <v>11</v>
      </c>
      <c r="F13" s="9" t="s">
        <v>11</v>
      </c>
      <c r="G13" s="7" t="s">
        <v>11</v>
      </c>
      <c r="H13" s="7" t="s">
        <v>12</v>
      </c>
      <c r="I13" s="8" t="s">
        <v>11</v>
      </c>
      <c r="J13" s="7" t="s">
        <v>11</v>
      </c>
      <c r="K13" s="7" t="s">
        <v>12</v>
      </c>
      <c r="L13" s="7" t="s">
        <v>11</v>
      </c>
      <c r="M13" s="8" t="s">
        <v>11</v>
      </c>
      <c r="N13" s="7" t="s">
        <v>12</v>
      </c>
      <c r="O13" s="7" t="s">
        <v>12</v>
      </c>
      <c r="P13" s="7" t="s">
        <v>12</v>
      </c>
      <c r="Q13" s="8" t="s">
        <v>12</v>
      </c>
      <c r="R13" s="7" t="s">
        <v>11</v>
      </c>
      <c r="S13" s="7" t="s">
        <v>12</v>
      </c>
      <c r="T13" s="7" t="s">
        <v>12</v>
      </c>
      <c r="U13" s="7" t="s">
        <v>12</v>
      </c>
      <c r="V13" s="9" t="s">
        <v>12</v>
      </c>
      <c r="W13" s="7" t="s">
        <v>12</v>
      </c>
      <c r="X13" s="7" t="s">
        <v>11</v>
      </c>
      <c r="Y13" s="8" t="s">
        <v>11</v>
      </c>
      <c r="Z13" s="7" t="s">
        <v>12</v>
      </c>
      <c r="AA13" s="7" t="s">
        <v>11</v>
      </c>
      <c r="AB13" s="7" t="s">
        <v>11</v>
      </c>
      <c r="AC13" s="7" t="s">
        <v>12</v>
      </c>
      <c r="AD13" s="9" t="s">
        <v>11</v>
      </c>
      <c r="AE13" s="7" t="s">
        <v>11</v>
      </c>
      <c r="AF13" s="7" t="s">
        <v>12</v>
      </c>
      <c r="AG13" s="7" t="s">
        <v>12</v>
      </c>
    </row>
    <row r="14" spans="1:33" x14ac:dyDescent="0.3">
      <c r="A14" s="8" t="s">
        <v>36</v>
      </c>
      <c r="B14" s="7" t="s">
        <v>12</v>
      </c>
      <c r="C14" s="7" t="s">
        <v>11</v>
      </c>
      <c r="D14" s="7" t="s">
        <v>12</v>
      </c>
      <c r="E14" s="7" t="s">
        <v>12</v>
      </c>
      <c r="F14" s="9" t="s">
        <v>11</v>
      </c>
      <c r="G14" s="7" t="s">
        <v>11</v>
      </c>
      <c r="H14" s="7" t="s">
        <v>12</v>
      </c>
      <c r="I14" s="8" t="s">
        <v>12</v>
      </c>
      <c r="J14" s="7" t="s">
        <v>12</v>
      </c>
      <c r="K14" s="7" t="s">
        <v>12</v>
      </c>
      <c r="L14" s="7" t="s">
        <v>12</v>
      </c>
      <c r="M14" s="8" t="s">
        <v>12</v>
      </c>
      <c r="N14" s="7" t="s">
        <v>12</v>
      </c>
      <c r="O14" s="7" t="s">
        <v>11</v>
      </c>
      <c r="P14" s="7" t="s">
        <v>11</v>
      </c>
      <c r="Q14" s="8" t="s">
        <v>12</v>
      </c>
      <c r="R14" s="7" t="s">
        <v>12</v>
      </c>
      <c r="S14" s="7" t="s">
        <v>11</v>
      </c>
      <c r="T14" s="7" t="s">
        <v>12</v>
      </c>
      <c r="U14" s="7" t="s">
        <v>12</v>
      </c>
      <c r="V14" s="9" t="s">
        <v>11</v>
      </c>
      <c r="W14" s="7" t="s">
        <v>12</v>
      </c>
      <c r="X14" s="7" t="s">
        <v>12</v>
      </c>
      <c r="Y14" s="8" t="s">
        <v>11</v>
      </c>
      <c r="Z14" s="7" t="s">
        <v>12</v>
      </c>
      <c r="AA14" s="7" t="s">
        <v>11</v>
      </c>
      <c r="AB14" s="7" t="s">
        <v>11</v>
      </c>
      <c r="AC14" s="7" t="s">
        <v>11</v>
      </c>
      <c r="AD14" s="9" t="s">
        <v>12</v>
      </c>
      <c r="AE14" s="7" t="s">
        <v>11</v>
      </c>
      <c r="AF14" s="7" t="s">
        <v>12</v>
      </c>
      <c r="AG14" s="7" t="s">
        <v>12</v>
      </c>
    </row>
    <row r="15" spans="1:33" x14ac:dyDescent="0.3">
      <c r="A15" s="8" t="s">
        <v>37</v>
      </c>
      <c r="B15" s="7" t="s">
        <v>12</v>
      </c>
      <c r="C15" s="7" t="s">
        <v>12</v>
      </c>
      <c r="D15" s="7" t="s">
        <v>11</v>
      </c>
      <c r="E15" s="7" t="s">
        <v>12</v>
      </c>
      <c r="F15" s="9" t="s">
        <v>12</v>
      </c>
      <c r="G15" s="7" t="s">
        <v>11</v>
      </c>
      <c r="H15" s="7" t="s">
        <v>11</v>
      </c>
      <c r="I15" s="8" t="s">
        <v>11</v>
      </c>
      <c r="J15" s="7" t="s">
        <v>11</v>
      </c>
      <c r="K15" s="7" t="s">
        <v>12</v>
      </c>
      <c r="L15" s="7" t="s">
        <v>12</v>
      </c>
      <c r="M15" s="8" t="s">
        <v>11</v>
      </c>
      <c r="N15" s="7" t="s">
        <v>11</v>
      </c>
      <c r="O15" s="7" t="s">
        <v>11</v>
      </c>
      <c r="P15" s="7" t="s">
        <v>11</v>
      </c>
      <c r="Q15" s="8" t="s">
        <v>11</v>
      </c>
      <c r="R15" s="7" t="s">
        <v>12</v>
      </c>
      <c r="S15" s="7" t="s">
        <v>12</v>
      </c>
      <c r="T15" s="7" t="s">
        <v>11</v>
      </c>
      <c r="U15" s="7" t="s">
        <v>12</v>
      </c>
      <c r="V15" s="9" t="s">
        <v>12</v>
      </c>
      <c r="W15" s="7" t="s">
        <v>11</v>
      </c>
      <c r="X15" s="7" t="s">
        <v>11</v>
      </c>
      <c r="Y15" s="8" t="s">
        <v>12</v>
      </c>
      <c r="Z15" s="7" t="s">
        <v>11</v>
      </c>
      <c r="AA15" s="7" t="s">
        <v>11</v>
      </c>
      <c r="AB15" s="7" t="s">
        <v>11</v>
      </c>
      <c r="AC15" s="7" t="s">
        <v>12</v>
      </c>
      <c r="AD15" s="9" t="s">
        <v>11</v>
      </c>
      <c r="AE15" s="7" t="s">
        <v>12</v>
      </c>
      <c r="AF15" s="7" t="s">
        <v>12</v>
      </c>
      <c r="AG15" s="7" t="s">
        <v>12</v>
      </c>
    </row>
    <row r="16" spans="1:33" x14ac:dyDescent="0.3">
      <c r="A16" s="8" t="s">
        <v>38</v>
      </c>
      <c r="B16" s="7" t="s">
        <v>12</v>
      </c>
      <c r="C16" s="7" t="s">
        <v>11</v>
      </c>
      <c r="D16" s="7" t="s">
        <v>11</v>
      </c>
      <c r="E16" s="7" t="s">
        <v>11</v>
      </c>
      <c r="F16" s="9" t="s">
        <v>11</v>
      </c>
      <c r="G16" s="7" t="s">
        <v>12</v>
      </c>
      <c r="H16" s="7" t="s">
        <v>11</v>
      </c>
      <c r="I16" s="8" t="s">
        <v>11</v>
      </c>
      <c r="J16" s="7" t="s">
        <v>11</v>
      </c>
      <c r="K16" s="7" t="s">
        <v>12</v>
      </c>
      <c r="L16" s="7" t="s">
        <v>11</v>
      </c>
      <c r="M16" s="8" t="s">
        <v>12</v>
      </c>
      <c r="N16" s="7" t="s">
        <v>12</v>
      </c>
      <c r="O16" s="7" t="s">
        <v>11</v>
      </c>
      <c r="P16" s="7" t="s">
        <v>12</v>
      </c>
      <c r="Q16" s="8" t="s">
        <v>11</v>
      </c>
      <c r="R16" s="7" t="s">
        <v>11</v>
      </c>
      <c r="S16" s="7" t="s">
        <v>12</v>
      </c>
      <c r="T16" s="7" t="s">
        <v>12</v>
      </c>
      <c r="U16" s="7" t="s">
        <v>11</v>
      </c>
      <c r="V16" s="9" t="s">
        <v>12</v>
      </c>
      <c r="W16" s="7" t="s">
        <v>11</v>
      </c>
      <c r="X16" s="7" t="s">
        <v>11</v>
      </c>
      <c r="Y16" s="8" t="s">
        <v>11</v>
      </c>
      <c r="Z16" s="7" t="s">
        <v>12</v>
      </c>
      <c r="AA16" s="7" t="s">
        <v>12</v>
      </c>
      <c r="AB16" s="7" t="s">
        <v>11</v>
      </c>
      <c r="AC16" s="7" t="s">
        <v>12</v>
      </c>
      <c r="AD16" s="9" t="s">
        <v>11</v>
      </c>
      <c r="AE16" s="7" t="s">
        <v>11</v>
      </c>
      <c r="AF16" s="7" t="s">
        <v>11</v>
      </c>
      <c r="AG16" s="7" t="s">
        <v>12</v>
      </c>
    </row>
    <row r="17" spans="1:33" x14ac:dyDescent="0.3">
      <c r="A17" s="8" t="s">
        <v>39</v>
      </c>
      <c r="B17" s="7" t="s">
        <v>11</v>
      </c>
      <c r="C17" s="7" t="s">
        <v>11</v>
      </c>
      <c r="D17" s="7" t="s">
        <v>11</v>
      </c>
      <c r="E17" s="7" t="s">
        <v>12</v>
      </c>
      <c r="F17" s="9" t="s">
        <v>12</v>
      </c>
      <c r="G17" s="7" t="s">
        <v>12</v>
      </c>
      <c r="H17" s="7" t="s">
        <v>12</v>
      </c>
      <c r="I17" s="8" t="s">
        <v>11</v>
      </c>
      <c r="J17" s="7" t="s">
        <v>12</v>
      </c>
      <c r="K17" s="7" t="s">
        <v>11</v>
      </c>
      <c r="L17" s="7" t="s">
        <v>12</v>
      </c>
      <c r="M17" s="8" t="s">
        <v>11</v>
      </c>
      <c r="N17" s="7" t="s">
        <v>11</v>
      </c>
      <c r="O17" s="7" t="s">
        <v>11</v>
      </c>
      <c r="P17" s="7" t="s">
        <v>12</v>
      </c>
      <c r="Q17" s="8" t="s">
        <v>12</v>
      </c>
      <c r="R17" s="7" t="s">
        <v>11</v>
      </c>
      <c r="S17" s="7" t="s">
        <v>11</v>
      </c>
      <c r="T17" s="7" t="s">
        <v>11</v>
      </c>
      <c r="U17" s="7" t="s">
        <v>12</v>
      </c>
      <c r="V17" s="9" t="s">
        <v>11</v>
      </c>
      <c r="W17" s="7" t="s">
        <v>12</v>
      </c>
      <c r="X17" s="7" t="s">
        <v>11</v>
      </c>
      <c r="Y17" s="8" t="s">
        <v>12</v>
      </c>
      <c r="Z17" s="7" t="s">
        <v>12</v>
      </c>
      <c r="AA17" s="7" t="s">
        <v>11</v>
      </c>
      <c r="AB17" s="7" t="s">
        <v>12</v>
      </c>
      <c r="AC17" s="7" t="s">
        <v>11</v>
      </c>
      <c r="AD17" s="9" t="s">
        <v>11</v>
      </c>
      <c r="AE17" s="7" t="s">
        <v>12</v>
      </c>
      <c r="AF17" s="7" t="s">
        <v>11</v>
      </c>
      <c r="AG17" s="7" t="s">
        <v>11</v>
      </c>
    </row>
    <row r="18" spans="1:33" x14ac:dyDescent="0.3">
      <c r="A18" s="8" t="s">
        <v>40</v>
      </c>
      <c r="B18" s="7" t="s">
        <v>11</v>
      </c>
      <c r="C18" s="7" t="s">
        <v>11</v>
      </c>
      <c r="D18" s="7" t="s">
        <v>12</v>
      </c>
      <c r="E18" s="7" t="s">
        <v>12</v>
      </c>
      <c r="F18" s="9" t="s">
        <v>12</v>
      </c>
      <c r="G18" s="7" t="s">
        <v>11</v>
      </c>
      <c r="H18" s="7" t="s">
        <v>11</v>
      </c>
      <c r="I18" s="8" t="s">
        <v>12</v>
      </c>
      <c r="J18" s="7" t="s">
        <v>11</v>
      </c>
      <c r="K18" s="7" t="s">
        <v>11</v>
      </c>
      <c r="L18" s="7" t="s">
        <v>11</v>
      </c>
      <c r="M18" s="8" t="s">
        <v>12</v>
      </c>
      <c r="N18" s="7" t="s">
        <v>11</v>
      </c>
      <c r="O18" s="7" t="s">
        <v>11</v>
      </c>
      <c r="P18" s="7" t="s">
        <v>11</v>
      </c>
      <c r="Q18" s="8" t="s">
        <v>12</v>
      </c>
      <c r="R18" s="7" t="s">
        <v>12</v>
      </c>
      <c r="S18" s="7" t="s">
        <v>11</v>
      </c>
      <c r="T18" s="7" t="s">
        <v>11</v>
      </c>
      <c r="U18" s="7" t="s">
        <v>11</v>
      </c>
      <c r="V18" s="9" t="s">
        <v>11</v>
      </c>
      <c r="W18" s="7" t="s">
        <v>11</v>
      </c>
      <c r="X18" s="7" t="s">
        <v>11</v>
      </c>
      <c r="Y18" s="8" t="s">
        <v>11</v>
      </c>
      <c r="Z18" s="7" t="s">
        <v>11</v>
      </c>
      <c r="AA18" s="7" t="s">
        <v>11</v>
      </c>
      <c r="AB18" s="7" t="s">
        <v>12</v>
      </c>
      <c r="AC18" s="7" t="s">
        <v>12</v>
      </c>
      <c r="AD18" s="9" t="s">
        <v>12</v>
      </c>
      <c r="AE18" s="7" t="s">
        <v>11</v>
      </c>
      <c r="AF18" s="7" t="s">
        <v>12</v>
      </c>
      <c r="AG18" s="7" t="s">
        <v>11</v>
      </c>
    </row>
    <row r="19" spans="1:33" x14ac:dyDescent="0.3">
      <c r="A19" s="8" t="s">
        <v>41</v>
      </c>
      <c r="B19" s="7" t="s">
        <v>12</v>
      </c>
      <c r="C19" s="7" t="s">
        <v>11</v>
      </c>
      <c r="D19" s="7" t="s">
        <v>12</v>
      </c>
      <c r="E19" s="7" t="s">
        <v>11</v>
      </c>
      <c r="F19" s="9" t="s">
        <v>12</v>
      </c>
      <c r="G19" s="7" t="s">
        <v>12</v>
      </c>
      <c r="H19" s="7" t="s">
        <v>11</v>
      </c>
      <c r="I19" s="8" t="s">
        <v>11</v>
      </c>
      <c r="J19" s="7" t="s">
        <v>11</v>
      </c>
      <c r="K19" s="7" t="s">
        <v>11</v>
      </c>
      <c r="L19" s="7" t="s">
        <v>12</v>
      </c>
      <c r="M19" s="8" t="s">
        <v>11</v>
      </c>
      <c r="N19" s="7" t="s">
        <v>11</v>
      </c>
      <c r="O19" s="7" t="s">
        <v>12</v>
      </c>
      <c r="P19" s="7" t="s">
        <v>11</v>
      </c>
      <c r="Q19" s="8" t="s">
        <v>11</v>
      </c>
      <c r="R19" s="7" t="s">
        <v>11</v>
      </c>
      <c r="S19" s="7" t="s">
        <v>12</v>
      </c>
      <c r="T19" s="7" t="s">
        <v>11</v>
      </c>
      <c r="U19" s="7" t="s">
        <v>12</v>
      </c>
      <c r="V19" s="9" t="s">
        <v>11</v>
      </c>
      <c r="W19" s="7" t="s">
        <v>12</v>
      </c>
      <c r="X19" s="7" t="s">
        <v>12</v>
      </c>
      <c r="Y19" s="8" t="s">
        <v>11</v>
      </c>
      <c r="Z19" s="7" t="s">
        <v>12</v>
      </c>
      <c r="AA19" s="7" t="s">
        <v>12</v>
      </c>
      <c r="AB19" s="7" t="s">
        <v>12</v>
      </c>
      <c r="AC19" s="7" t="s">
        <v>11</v>
      </c>
      <c r="AD19" s="9" t="s">
        <v>12</v>
      </c>
      <c r="AE19" s="7" t="s">
        <v>12</v>
      </c>
      <c r="AF19" s="7" t="s">
        <v>11</v>
      </c>
      <c r="AG19" s="7" t="s">
        <v>11</v>
      </c>
    </row>
    <row r="20" spans="1:33" x14ac:dyDescent="0.3">
      <c r="A20" s="8" t="s">
        <v>42</v>
      </c>
      <c r="B20" s="7" t="s">
        <v>12</v>
      </c>
      <c r="C20" s="7" t="s">
        <v>11</v>
      </c>
      <c r="D20" s="7" t="s">
        <v>12</v>
      </c>
      <c r="E20" s="7" t="s">
        <v>11</v>
      </c>
      <c r="F20" s="9" t="s">
        <v>11</v>
      </c>
      <c r="G20" s="7" t="s">
        <v>12</v>
      </c>
      <c r="H20" s="7" t="s">
        <v>12</v>
      </c>
      <c r="I20" s="8" t="s">
        <v>12</v>
      </c>
      <c r="J20" s="7" t="s">
        <v>12</v>
      </c>
      <c r="K20" s="7" t="s">
        <v>12</v>
      </c>
      <c r="L20" s="7" t="s">
        <v>11</v>
      </c>
      <c r="M20" s="8" t="s">
        <v>12</v>
      </c>
      <c r="N20" s="7" t="s">
        <v>11</v>
      </c>
      <c r="O20" s="7" t="s">
        <v>11</v>
      </c>
      <c r="P20" s="7" t="s">
        <v>12</v>
      </c>
      <c r="Q20" s="8" t="s">
        <v>11</v>
      </c>
      <c r="R20" s="7" t="s">
        <v>11</v>
      </c>
      <c r="S20" s="7" t="s">
        <v>12</v>
      </c>
      <c r="T20" s="7" t="s">
        <v>11</v>
      </c>
      <c r="U20" s="7" t="s">
        <v>12</v>
      </c>
      <c r="V20" s="9" t="s">
        <v>12</v>
      </c>
      <c r="W20" s="7" t="s">
        <v>12</v>
      </c>
      <c r="X20" s="7" t="s">
        <v>11</v>
      </c>
      <c r="Y20" s="8" t="s">
        <v>12</v>
      </c>
      <c r="Z20" s="7" t="s">
        <v>12</v>
      </c>
      <c r="AA20" s="7" t="s">
        <v>12</v>
      </c>
      <c r="AB20" s="7" t="s">
        <v>11</v>
      </c>
      <c r="AC20" s="7" t="s">
        <v>11</v>
      </c>
      <c r="AD20" s="9" t="s">
        <v>12</v>
      </c>
      <c r="AE20" s="7" t="s">
        <v>11</v>
      </c>
      <c r="AF20" s="7" t="s">
        <v>11</v>
      </c>
      <c r="AG20" s="7" t="s">
        <v>12</v>
      </c>
    </row>
    <row r="21" spans="1:33" x14ac:dyDescent="0.3">
      <c r="A21" s="8" t="s">
        <v>43</v>
      </c>
      <c r="B21" s="7" t="s">
        <v>11</v>
      </c>
      <c r="C21" s="7" t="s">
        <v>12</v>
      </c>
      <c r="D21" s="7" t="s">
        <v>12</v>
      </c>
      <c r="E21" s="7" t="s">
        <v>11</v>
      </c>
      <c r="F21" s="9" t="s">
        <v>11</v>
      </c>
      <c r="G21" s="7" t="s">
        <v>11</v>
      </c>
      <c r="H21" s="7" t="s">
        <v>11</v>
      </c>
      <c r="I21" s="8" t="s">
        <v>11</v>
      </c>
      <c r="J21" s="7" t="s">
        <v>12</v>
      </c>
      <c r="K21" s="7" t="s">
        <v>11</v>
      </c>
      <c r="L21" s="7" t="s">
        <v>11</v>
      </c>
      <c r="M21" s="8" t="s">
        <v>11</v>
      </c>
      <c r="N21" s="7" t="s">
        <v>11</v>
      </c>
      <c r="O21" s="7" t="s">
        <v>12</v>
      </c>
      <c r="P21" s="7" t="s">
        <v>12</v>
      </c>
      <c r="Q21" s="8" t="s">
        <v>12</v>
      </c>
      <c r="R21" s="7" t="s">
        <v>11</v>
      </c>
      <c r="S21" s="7" t="s">
        <v>11</v>
      </c>
      <c r="T21" s="7" t="s">
        <v>11</v>
      </c>
      <c r="U21" s="7" t="s">
        <v>11</v>
      </c>
      <c r="V21" s="9" t="s">
        <v>11</v>
      </c>
      <c r="W21" s="7" t="s">
        <v>11</v>
      </c>
      <c r="X21" s="7" t="s">
        <v>11</v>
      </c>
      <c r="Y21" s="8" t="s">
        <v>12</v>
      </c>
      <c r="Z21" s="7" t="s">
        <v>11</v>
      </c>
      <c r="AA21" s="7" t="s">
        <v>11</v>
      </c>
      <c r="AB21" s="7" t="s">
        <v>12</v>
      </c>
      <c r="AC21" s="7" t="s">
        <v>12</v>
      </c>
      <c r="AD21" s="9" t="s">
        <v>11</v>
      </c>
      <c r="AE21" s="7" t="s">
        <v>12</v>
      </c>
      <c r="AF21" s="7" t="s">
        <v>11</v>
      </c>
      <c r="AG21" s="7" t="s">
        <v>12</v>
      </c>
    </row>
    <row r="22" spans="1:33" x14ac:dyDescent="0.3">
      <c r="A22" s="8" t="s">
        <v>44</v>
      </c>
      <c r="B22" s="7" t="s">
        <v>11</v>
      </c>
      <c r="C22" s="7" t="s">
        <v>12</v>
      </c>
      <c r="D22" s="7" t="s">
        <v>12</v>
      </c>
      <c r="E22" s="7" t="s">
        <v>11</v>
      </c>
      <c r="F22" s="9" t="s">
        <v>11</v>
      </c>
      <c r="G22" s="7" t="s">
        <v>11</v>
      </c>
      <c r="H22" s="7" t="s">
        <v>12</v>
      </c>
      <c r="I22" s="8" t="s">
        <v>11</v>
      </c>
      <c r="J22" s="7" t="s">
        <v>12</v>
      </c>
      <c r="K22" s="7" t="s">
        <v>12</v>
      </c>
      <c r="L22" s="7" t="s">
        <v>11</v>
      </c>
      <c r="M22" s="8" t="s">
        <v>11</v>
      </c>
      <c r="N22" s="7" t="s">
        <v>12</v>
      </c>
      <c r="O22" s="7" t="s">
        <v>11</v>
      </c>
      <c r="P22" s="7" t="s">
        <v>11</v>
      </c>
      <c r="Q22" s="8" t="s">
        <v>11</v>
      </c>
      <c r="R22" s="7" t="s">
        <v>11</v>
      </c>
      <c r="S22" s="7" t="s">
        <v>11</v>
      </c>
      <c r="T22" s="7" t="s">
        <v>12</v>
      </c>
      <c r="U22" s="7" t="s">
        <v>12</v>
      </c>
      <c r="V22" s="9" t="s">
        <v>11</v>
      </c>
      <c r="W22" s="7" t="s">
        <v>11</v>
      </c>
      <c r="X22" s="7" t="s">
        <v>12</v>
      </c>
      <c r="Y22" s="8" t="s">
        <v>12</v>
      </c>
      <c r="Z22" s="7" t="s">
        <v>12</v>
      </c>
      <c r="AA22" s="7" t="s">
        <v>11</v>
      </c>
      <c r="AB22" s="7" t="s">
        <v>11</v>
      </c>
      <c r="AC22" s="7" t="s">
        <v>12</v>
      </c>
      <c r="AD22" s="9" t="s">
        <v>11</v>
      </c>
      <c r="AE22" s="7" t="s">
        <v>11</v>
      </c>
      <c r="AF22" s="7" t="s">
        <v>12</v>
      </c>
      <c r="AG22" s="7" t="s">
        <v>12</v>
      </c>
    </row>
    <row r="23" spans="1:33" x14ac:dyDescent="0.3">
      <c r="A23" s="8" t="s">
        <v>45</v>
      </c>
      <c r="B23" s="7" t="s">
        <v>12</v>
      </c>
      <c r="C23" s="7" t="s">
        <v>12</v>
      </c>
      <c r="D23" s="7" t="s">
        <v>11</v>
      </c>
      <c r="E23" s="7" t="s">
        <v>11</v>
      </c>
      <c r="F23" s="9" t="s">
        <v>11</v>
      </c>
      <c r="G23" s="7" t="s">
        <v>11</v>
      </c>
      <c r="H23" s="7" t="s">
        <v>11</v>
      </c>
      <c r="I23" s="8" t="s">
        <v>12</v>
      </c>
      <c r="J23" s="7" t="s">
        <v>11</v>
      </c>
      <c r="K23" s="7" t="s">
        <v>12</v>
      </c>
      <c r="L23" s="7" t="s">
        <v>11</v>
      </c>
      <c r="M23" s="8" t="s">
        <v>12</v>
      </c>
      <c r="N23" s="7" t="s">
        <v>11</v>
      </c>
      <c r="O23" s="7" t="s">
        <v>11</v>
      </c>
      <c r="P23" s="7" t="s">
        <v>12</v>
      </c>
      <c r="Q23" s="8" t="s">
        <v>11</v>
      </c>
      <c r="R23" s="7" t="s">
        <v>12</v>
      </c>
      <c r="S23" s="7" t="s">
        <v>12</v>
      </c>
      <c r="T23" s="7" t="s">
        <v>12</v>
      </c>
      <c r="U23" s="7" t="s">
        <v>12</v>
      </c>
      <c r="V23" s="9" t="s">
        <v>12</v>
      </c>
      <c r="W23" s="7" t="s">
        <v>12</v>
      </c>
      <c r="X23" s="7" t="s">
        <v>11</v>
      </c>
      <c r="Y23" s="8" t="s">
        <v>12</v>
      </c>
      <c r="Z23" s="7" t="s">
        <v>11</v>
      </c>
      <c r="AA23" s="7" t="s">
        <v>12</v>
      </c>
      <c r="AB23" s="7" t="s">
        <v>11</v>
      </c>
      <c r="AC23" s="7" t="s">
        <v>12</v>
      </c>
      <c r="AD23" s="9" t="s">
        <v>11</v>
      </c>
      <c r="AE23" s="7" t="s">
        <v>12</v>
      </c>
      <c r="AF23" s="7" t="s">
        <v>12</v>
      </c>
      <c r="AG23" s="7" t="s">
        <v>11</v>
      </c>
    </row>
    <row r="24" spans="1:33" x14ac:dyDescent="0.3">
      <c r="A24" s="8" t="s">
        <v>46</v>
      </c>
      <c r="B24" s="7" t="s">
        <v>12</v>
      </c>
      <c r="C24" s="7" t="s">
        <v>12</v>
      </c>
      <c r="D24" s="7" t="s">
        <v>11</v>
      </c>
      <c r="E24" s="7" t="s">
        <v>11</v>
      </c>
      <c r="F24" s="9" t="s">
        <v>12</v>
      </c>
      <c r="G24" s="7" t="s">
        <v>12</v>
      </c>
      <c r="H24" s="7" t="s">
        <v>11</v>
      </c>
      <c r="I24" s="8" t="s">
        <v>12</v>
      </c>
      <c r="J24" s="7" t="s">
        <v>11</v>
      </c>
      <c r="K24" s="7" t="s">
        <v>12</v>
      </c>
      <c r="L24" s="7" t="s">
        <v>12</v>
      </c>
      <c r="M24" s="8" t="s">
        <v>12</v>
      </c>
      <c r="N24" s="7" t="s">
        <v>11</v>
      </c>
      <c r="O24" s="7" t="s">
        <v>12</v>
      </c>
      <c r="P24" s="7" t="s">
        <v>11</v>
      </c>
      <c r="Q24" s="8" t="s">
        <v>12</v>
      </c>
      <c r="R24" s="7" t="s">
        <v>12</v>
      </c>
      <c r="S24" s="7" t="s">
        <v>12</v>
      </c>
      <c r="T24" s="7" t="s">
        <v>12</v>
      </c>
      <c r="U24" s="7" t="s">
        <v>12</v>
      </c>
      <c r="V24" s="9" t="s">
        <v>11</v>
      </c>
      <c r="W24" s="7" t="s">
        <v>12</v>
      </c>
      <c r="X24" s="7" t="s">
        <v>11</v>
      </c>
      <c r="Y24" s="8" t="s">
        <v>11</v>
      </c>
      <c r="Z24" s="7" t="s">
        <v>11</v>
      </c>
      <c r="AA24" s="7" t="s">
        <v>12</v>
      </c>
      <c r="AB24" s="7" t="s">
        <v>12</v>
      </c>
      <c r="AC24" s="7" t="s">
        <v>12</v>
      </c>
      <c r="AD24" s="9" t="s">
        <v>12</v>
      </c>
      <c r="AE24" s="7" t="s">
        <v>12</v>
      </c>
      <c r="AF24" s="7" t="s">
        <v>12</v>
      </c>
      <c r="AG24" s="7" t="s">
        <v>11</v>
      </c>
    </row>
    <row r="25" spans="1:33" x14ac:dyDescent="0.3">
      <c r="A25" s="8" t="s">
        <v>47</v>
      </c>
      <c r="B25" s="7" t="s">
        <v>12</v>
      </c>
      <c r="C25" s="7" t="s">
        <v>11</v>
      </c>
      <c r="D25" s="7" t="s">
        <v>12</v>
      </c>
      <c r="E25" s="7" t="s">
        <v>12</v>
      </c>
      <c r="F25" s="9" t="s">
        <v>12</v>
      </c>
      <c r="G25" s="7" t="s">
        <v>11</v>
      </c>
      <c r="H25" s="7" t="s">
        <v>12</v>
      </c>
      <c r="I25" s="8" t="s">
        <v>11</v>
      </c>
      <c r="J25" s="7" t="s">
        <v>12</v>
      </c>
      <c r="K25" s="7" t="s">
        <v>12</v>
      </c>
      <c r="L25" s="7" t="s">
        <v>12</v>
      </c>
      <c r="M25" s="8" t="s">
        <v>11</v>
      </c>
      <c r="N25" s="7" t="s">
        <v>12</v>
      </c>
      <c r="O25" s="7" t="s">
        <v>12</v>
      </c>
      <c r="P25" s="7" t="s">
        <v>11</v>
      </c>
      <c r="Q25" s="8" t="s">
        <v>11</v>
      </c>
      <c r="R25" s="7" t="s">
        <v>12</v>
      </c>
      <c r="S25" s="7" t="s">
        <v>11</v>
      </c>
      <c r="T25" s="7" t="s">
        <v>12</v>
      </c>
      <c r="U25" s="7" t="s">
        <v>11</v>
      </c>
      <c r="V25" s="9" t="s">
        <v>12</v>
      </c>
      <c r="W25" s="7" t="s">
        <v>12</v>
      </c>
      <c r="X25" s="7" t="s">
        <v>12</v>
      </c>
      <c r="Y25" s="8" t="s">
        <v>11</v>
      </c>
      <c r="Z25" s="7" t="s">
        <v>12</v>
      </c>
      <c r="AA25" s="7" t="s">
        <v>12</v>
      </c>
      <c r="AB25" s="7" t="s">
        <v>11</v>
      </c>
      <c r="AC25" s="7" t="s">
        <v>11</v>
      </c>
      <c r="AD25" s="9" t="s">
        <v>12</v>
      </c>
      <c r="AE25" s="7" t="s">
        <v>11</v>
      </c>
      <c r="AF25" s="7" t="s">
        <v>12</v>
      </c>
      <c r="AG25" s="7" t="s">
        <v>12</v>
      </c>
    </row>
    <row r="26" spans="1:33" x14ac:dyDescent="0.3">
      <c r="A26" s="8" t="s">
        <v>48</v>
      </c>
      <c r="B26" s="7" t="s">
        <v>11</v>
      </c>
      <c r="C26" s="7" t="s">
        <v>12</v>
      </c>
      <c r="D26" s="7" t="s">
        <v>11</v>
      </c>
      <c r="E26" s="7" t="s">
        <v>12</v>
      </c>
      <c r="F26" s="9" t="s">
        <v>12</v>
      </c>
      <c r="G26" s="7" t="s">
        <v>12</v>
      </c>
      <c r="H26" s="7" t="s">
        <v>11</v>
      </c>
      <c r="I26" s="8" t="s">
        <v>11</v>
      </c>
      <c r="J26" s="7" t="s">
        <v>12</v>
      </c>
      <c r="K26" s="7" t="s">
        <v>11</v>
      </c>
      <c r="L26" s="7" t="s">
        <v>12</v>
      </c>
      <c r="M26" s="8" t="s">
        <v>12</v>
      </c>
      <c r="N26" s="7" t="s">
        <v>12</v>
      </c>
      <c r="O26" s="7" t="s">
        <v>11</v>
      </c>
      <c r="P26" s="7" t="s">
        <v>12</v>
      </c>
      <c r="Q26" s="8" t="s">
        <v>12</v>
      </c>
      <c r="R26" s="7" t="s">
        <v>12</v>
      </c>
      <c r="S26" s="7" t="s">
        <v>12</v>
      </c>
      <c r="T26" s="7" t="s">
        <v>11</v>
      </c>
      <c r="U26" s="7" t="s">
        <v>12</v>
      </c>
      <c r="V26" s="9" t="s">
        <v>12</v>
      </c>
      <c r="W26" s="7" t="s">
        <v>12</v>
      </c>
      <c r="X26" s="7" t="s">
        <v>12</v>
      </c>
      <c r="Y26" s="8" t="s">
        <v>11</v>
      </c>
      <c r="Z26" s="7" t="s">
        <v>11</v>
      </c>
      <c r="AA26" s="7" t="s">
        <v>12</v>
      </c>
      <c r="AB26" s="7" t="s">
        <v>11</v>
      </c>
      <c r="AC26" s="7" t="s">
        <v>12</v>
      </c>
      <c r="AD26" s="9" t="s">
        <v>11</v>
      </c>
      <c r="AE26" s="7" t="s">
        <v>12</v>
      </c>
      <c r="AF26" s="7" t="s">
        <v>11</v>
      </c>
      <c r="AG26" s="7" t="s">
        <v>12</v>
      </c>
    </row>
    <row r="27" spans="1:33" x14ac:dyDescent="0.3">
      <c r="A27" s="8" t="s">
        <v>49</v>
      </c>
      <c r="B27" s="7" t="s">
        <v>12</v>
      </c>
      <c r="C27" s="7" t="s">
        <v>11</v>
      </c>
      <c r="D27" s="7" t="s">
        <v>11</v>
      </c>
      <c r="E27" s="7" t="s">
        <v>12</v>
      </c>
      <c r="F27" s="9" t="s">
        <v>11</v>
      </c>
      <c r="G27" s="7" t="s">
        <v>12</v>
      </c>
      <c r="H27" s="7" t="s">
        <v>12</v>
      </c>
      <c r="I27" s="8" t="s">
        <v>11</v>
      </c>
      <c r="J27" s="7" t="s">
        <v>12</v>
      </c>
      <c r="K27" s="7" t="s">
        <v>12</v>
      </c>
      <c r="L27" s="7" t="s">
        <v>11</v>
      </c>
      <c r="M27" s="8" t="s">
        <v>11</v>
      </c>
      <c r="N27" s="7" t="s">
        <v>11</v>
      </c>
      <c r="O27" s="7" t="s">
        <v>11</v>
      </c>
      <c r="P27" s="7" t="s">
        <v>11</v>
      </c>
      <c r="Q27" s="8" t="s">
        <v>12</v>
      </c>
      <c r="R27" s="7" t="s">
        <v>11</v>
      </c>
      <c r="S27" s="7" t="s">
        <v>11</v>
      </c>
      <c r="T27" s="7" t="s">
        <v>12</v>
      </c>
      <c r="U27" s="7" t="s">
        <v>12</v>
      </c>
      <c r="V27" s="9" t="s">
        <v>11</v>
      </c>
      <c r="W27" s="7" t="s">
        <v>11</v>
      </c>
      <c r="X27" s="7" t="s">
        <v>11</v>
      </c>
      <c r="Y27" s="8" t="s">
        <v>11</v>
      </c>
      <c r="Z27" s="7" t="s">
        <v>11</v>
      </c>
      <c r="AA27" s="7" t="s">
        <v>11</v>
      </c>
      <c r="AB27" s="7" t="s">
        <v>12</v>
      </c>
      <c r="AC27" s="7" t="s">
        <v>11</v>
      </c>
      <c r="AD27" s="9" t="s">
        <v>11</v>
      </c>
      <c r="AE27" s="7" t="s">
        <v>11</v>
      </c>
      <c r="AF27" s="7" t="s">
        <v>11</v>
      </c>
      <c r="AG27" s="7" t="s">
        <v>11</v>
      </c>
    </row>
    <row r="28" spans="1:33" x14ac:dyDescent="0.3">
      <c r="A28" s="8" t="s">
        <v>50</v>
      </c>
      <c r="B28" s="7" t="s">
        <v>12</v>
      </c>
      <c r="C28" s="7" t="s">
        <v>11</v>
      </c>
      <c r="D28" s="7" t="s">
        <v>11</v>
      </c>
      <c r="E28" s="7" t="s">
        <v>12</v>
      </c>
      <c r="F28" s="9" t="s">
        <v>11</v>
      </c>
      <c r="G28" s="7" t="s">
        <v>11</v>
      </c>
      <c r="H28" s="7" t="s">
        <v>11</v>
      </c>
      <c r="I28" s="8" t="s">
        <v>11</v>
      </c>
      <c r="J28" s="7" t="s">
        <v>11</v>
      </c>
      <c r="K28" s="7" t="s">
        <v>12</v>
      </c>
      <c r="L28" s="7" t="s">
        <v>11</v>
      </c>
      <c r="M28" s="8" t="s">
        <v>11</v>
      </c>
      <c r="N28" s="7" t="s">
        <v>12</v>
      </c>
      <c r="O28" s="7" t="s">
        <v>12</v>
      </c>
      <c r="P28" s="7" t="s">
        <v>11</v>
      </c>
      <c r="Q28" s="8" t="s">
        <v>11</v>
      </c>
      <c r="R28" s="7" t="s">
        <v>11</v>
      </c>
      <c r="S28" s="7" t="s">
        <v>11</v>
      </c>
      <c r="T28" s="7" t="s">
        <v>11</v>
      </c>
      <c r="U28" s="7" t="s">
        <v>11</v>
      </c>
      <c r="V28" s="9" t="s">
        <v>11</v>
      </c>
      <c r="W28" s="7" t="s">
        <v>12</v>
      </c>
      <c r="X28" s="7" t="s">
        <v>12</v>
      </c>
      <c r="Y28" s="8" t="s">
        <v>12</v>
      </c>
      <c r="Z28" s="7" t="s">
        <v>12</v>
      </c>
      <c r="AA28" s="7" t="s">
        <v>11</v>
      </c>
      <c r="AB28" s="7" t="s">
        <v>12</v>
      </c>
      <c r="AC28" s="7" t="s">
        <v>11</v>
      </c>
      <c r="AD28" s="9" t="s">
        <v>11</v>
      </c>
      <c r="AE28" s="7" t="s">
        <v>11</v>
      </c>
      <c r="AF28" s="7" t="s">
        <v>11</v>
      </c>
      <c r="AG28" s="7" t="s">
        <v>11</v>
      </c>
    </row>
    <row r="29" spans="1:33" x14ac:dyDescent="0.3">
      <c r="A29" s="8" t="s">
        <v>51</v>
      </c>
      <c r="B29" s="7" t="s">
        <v>11</v>
      </c>
      <c r="C29" s="7" t="s">
        <v>12</v>
      </c>
      <c r="D29" s="7" t="s">
        <v>11</v>
      </c>
      <c r="E29" s="7" t="s">
        <v>12</v>
      </c>
      <c r="F29" s="9" t="s">
        <v>12</v>
      </c>
      <c r="G29" s="7" t="s">
        <v>11</v>
      </c>
      <c r="H29" s="7" t="s">
        <v>11</v>
      </c>
      <c r="I29" s="8" t="s">
        <v>12</v>
      </c>
      <c r="J29" s="7" t="s">
        <v>12</v>
      </c>
      <c r="K29" s="7" t="s">
        <v>11</v>
      </c>
      <c r="L29" s="7" t="s">
        <v>12</v>
      </c>
      <c r="M29" s="8" t="s">
        <v>12</v>
      </c>
      <c r="N29" s="7" t="s">
        <v>12</v>
      </c>
      <c r="O29" s="7" t="s">
        <v>11</v>
      </c>
      <c r="P29" s="7" t="s">
        <v>12</v>
      </c>
      <c r="Q29" s="8" t="s">
        <v>11</v>
      </c>
      <c r="R29" s="7" t="s">
        <v>12</v>
      </c>
      <c r="S29" s="7" t="s">
        <v>11</v>
      </c>
      <c r="T29" s="7" t="s">
        <v>11</v>
      </c>
      <c r="U29" s="7" t="s">
        <v>12</v>
      </c>
      <c r="V29" s="9" t="s">
        <v>12</v>
      </c>
      <c r="W29" s="7" t="s">
        <v>11</v>
      </c>
      <c r="X29" s="7" t="s">
        <v>12</v>
      </c>
      <c r="Y29" s="8" t="s">
        <v>12</v>
      </c>
      <c r="Z29" s="7" t="s">
        <v>12</v>
      </c>
      <c r="AA29" s="7" t="s">
        <v>12</v>
      </c>
      <c r="AB29" s="7" t="s">
        <v>12</v>
      </c>
      <c r="AC29" s="7" t="s">
        <v>12</v>
      </c>
      <c r="AD29" s="9" t="s">
        <v>12</v>
      </c>
      <c r="AE29" s="7" t="s">
        <v>12</v>
      </c>
      <c r="AF29" s="7" t="s">
        <v>12</v>
      </c>
      <c r="AG29" s="7" t="s">
        <v>11</v>
      </c>
    </row>
    <row r="30" spans="1:33" x14ac:dyDescent="0.3">
      <c r="A30" s="8" t="s">
        <v>52</v>
      </c>
      <c r="B30" s="7" t="s">
        <v>11</v>
      </c>
      <c r="C30" s="7" t="s">
        <v>11</v>
      </c>
      <c r="D30" s="7" t="s">
        <v>11</v>
      </c>
      <c r="E30" s="7" t="s">
        <v>11</v>
      </c>
      <c r="F30" s="9" t="s">
        <v>11</v>
      </c>
      <c r="G30" s="7" t="s">
        <v>12</v>
      </c>
      <c r="H30" s="7" t="s">
        <v>11</v>
      </c>
      <c r="I30" s="8" t="s">
        <v>12</v>
      </c>
      <c r="J30" s="7" t="s">
        <v>11</v>
      </c>
      <c r="K30" s="7" t="s">
        <v>11</v>
      </c>
      <c r="L30" s="7" t="s">
        <v>12</v>
      </c>
      <c r="M30" s="8" t="s">
        <v>11</v>
      </c>
      <c r="N30" s="7" t="s">
        <v>11</v>
      </c>
      <c r="O30" s="7" t="s">
        <v>12</v>
      </c>
      <c r="P30" s="7" t="s">
        <v>11</v>
      </c>
      <c r="Q30" s="8" t="s">
        <v>11</v>
      </c>
      <c r="R30" s="7" t="s">
        <v>12</v>
      </c>
      <c r="S30" s="7" t="s">
        <v>12</v>
      </c>
      <c r="T30" s="7" t="s">
        <v>12</v>
      </c>
      <c r="U30" s="7" t="s">
        <v>11</v>
      </c>
      <c r="V30" s="9" t="s">
        <v>11</v>
      </c>
      <c r="W30" s="7" t="s">
        <v>12</v>
      </c>
      <c r="X30" s="7" t="s">
        <v>11</v>
      </c>
      <c r="Y30" s="8" t="s">
        <v>12</v>
      </c>
      <c r="Z30" s="7" t="s">
        <v>11</v>
      </c>
      <c r="AA30" s="7" t="s">
        <v>12</v>
      </c>
      <c r="AB30" s="7" t="s">
        <v>12</v>
      </c>
      <c r="AC30" s="7" t="s">
        <v>11</v>
      </c>
      <c r="AD30" s="9" t="s">
        <v>12</v>
      </c>
      <c r="AE30" s="7" t="s">
        <v>12</v>
      </c>
      <c r="AF30" s="7" t="s">
        <v>11</v>
      </c>
      <c r="AG30" s="7" t="s">
        <v>11</v>
      </c>
    </row>
    <row r="31" spans="1:33" x14ac:dyDescent="0.3">
      <c r="A31" s="8" t="s">
        <v>53</v>
      </c>
      <c r="B31" s="7" t="s">
        <v>11</v>
      </c>
      <c r="C31" s="7" t="s">
        <v>11</v>
      </c>
      <c r="D31" s="7" t="s">
        <v>12</v>
      </c>
      <c r="E31" s="7" t="s">
        <v>12</v>
      </c>
      <c r="F31" s="9" t="s">
        <v>12</v>
      </c>
      <c r="G31" s="7" t="s">
        <v>11</v>
      </c>
      <c r="H31" s="7" t="s">
        <v>12</v>
      </c>
      <c r="I31" s="8" t="s">
        <v>12</v>
      </c>
      <c r="J31" s="7" t="s">
        <v>12</v>
      </c>
      <c r="K31" s="7" t="s">
        <v>12</v>
      </c>
      <c r="L31" s="7" t="s">
        <v>12</v>
      </c>
      <c r="M31" s="8" t="s">
        <v>12</v>
      </c>
      <c r="N31" s="7" t="s">
        <v>12</v>
      </c>
      <c r="O31" s="7" t="s">
        <v>12</v>
      </c>
      <c r="P31" s="7" t="s">
        <v>12</v>
      </c>
      <c r="Q31" s="8" t="s">
        <v>11</v>
      </c>
      <c r="R31" s="7" t="s">
        <v>12</v>
      </c>
      <c r="S31" s="7" t="s">
        <v>11</v>
      </c>
      <c r="T31" s="7" t="s">
        <v>11</v>
      </c>
      <c r="U31" s="7" t="s">
        <v>11</v>
      </c>
      <c r="V31" s="9" t="s">
        <v>11</v>
      </c>
      <c r="W31" s="7" t="s">
        <v>11</v>
      </c>
      <c r="X31" s="7" t="s">
        <v>12</v>
      </c>
      <c r="Y31" s="8" t="s">
        <v>12</v>
      </c>
      <c r="Z31" s="7" t="s">
        <v>12</v>
      </c>
      <c r="AA31" s="7" t="s">
        <v>11</v>
      </c>
      <c r="AB31" s="7" t="s">
        <v>11</v>
      </c>
      <c r="AC31" s="7" t="s">
        <v>11</v>
      </c>
      <c r="AD31" s="9" t="s">
        <v>12</v>
      </c>
      <c r="AE31" s="7" t="s">
        <v>11</v>
      </c>
      <c r="AF31" s="7" t="s">
        <v>11</v>
      </c>
      <c r="AG31" s="7" t="s">
        <v>12</v>
      </c>
    </row>
    <row r="32" spans="1:33" x14ac:dyDescent="0.3">
      <c r="A32" s="8" t="s">
        <v>54</v>
      </c>
      <c r="B32" s="7" t="s">
        <v>11</v>
      </c>
      <c r="C32" s="7" t="s">
        <v>12</v>
      </c>
      <c r="D32" s="7" t="s">
        <v>12</v>
      </c>
      <c r="E32" s="7" t="s">
        <v>12</v>
      </c>
      <c r="F32" s="9" t="s">
        <v>12</v>
      </c>
      <c r="G32" s="7" t="s">
        <v>11</v>
      </c>
      <c r="H32" s="7" t="s">
        <v>12</v>
      </c>
      <c r="I32" s="8" t="s">
        <v>11</v>
      </c>
      <c r="J32" s="7" t="s">
        <v>12</v>
      </c>
      <c r="K32" s="7" t="s">
        <v>11</v>
      </c>
      <c r="L32" s="7" t="s">
        <v>11</v>
      </c>
      <c r="M32" s="8" t="s">
        <v>11</v>
      </c>
      <c r="N32" s="7" t="s">
        <v>12</v>
      </c>
      <c r="O32" s="7" t="s">
        <v>12</v>
      </c>
      <c r="P32" s="7" t="s">
        <v>12</v>
      </c>
      <c r="Q32" s="8" t="s">
        <v>12</v>
      </c>
      <c r="R32" s="7" t="s">
        <v>12</v>
      </c>
      <c r="S32" s="7" t="s">
        <v>11</v>
      </c>
      <c r="T32" s="7" t="s">
        <v>11</v>
      </c>
      <c r="U32" s="7" t="s">
        <v>12</v>
      </c>
      <c r="V32" s="9" t="s">
        <v>12</v>
      </c>
      <c r="W32" s="7" t="s">
        <v>11</v>
      </c>
      <c r="X32" s="7" t="s">
        <v>12</v>
      </c>
      <c r="Y32" s="8" t="s">
        <v>12</v>
      </c>
      <c r="Z32" s="7" t="s">
        <v>11</v>
      </c>
      <c r="AA32" s="7" t="s">
        <v>11</v>
      </c>
      <c r="AB32" s="7" t="s">
        <v>11</v>
      </c>
      <c r="AC32" s="7" t="s">
        <v>12</v>
      </c>
      <c r="AD32" s="9" t="s">
        <v>11</v>
      </c>
      <c r="AE32" s="7" t="s">
        <v>12</v>
      </c>
      <c r="AF32" s="7" t="s">
        <v>12</v>
      </c>
      <c r="AG32" s="7" t="s">
        <v>12</v>
      </c>
    </row>
    <row r="33" spans="1:33" x14ac:dyDescent="0.3">
      <c r="A33" s="8" t="s">
        <v>55</v>
      </c>
      <c r="B33" s="7" t="s">
        <v>12</v>
      </c>
      <c r="C33" s="7" t="s">
        <v>11</v>
      </c>
      <c r="D33" s="7" t="s">
        <v>11</v>
      </c>
      <c r="E33" s="7" t="s">
        <v>11</v>
      </c>
      <c r="F33" s="9" t="s">
        <v>11</v>
      </c>
      <c r="G33" s="7" t="s">
        <v>12</v>
      </c>
      <c r="H33" s="7" t="s">
        <v>11</v>
      </c>
      <c r="I33" s="8" t="s">
        <v>12</v>
      </c>
      <c r="J33" s="7" t="s">
        <v>11</v>
      </c>
      <c r="K33" s="7" t="s">
        <v>11</v>
      </c>
      <c r="L33" s="7" t="s">
        <v>11</v>
      </c>
      <c r="M33" s="8" t="s">
        <v>12</v>
      </c>
      <c r="N33" s="7" t="s">
        <v>12</v>
      </c>
      <c r="O33" s="7" t="s">
        <v>11</v>
      </c>
      <c r="P33" s="7" t="s">
        <v>11</v>
      </c>
      <c r="Q33" s="8" t="s">
        <v>12</v>
      </c>
      <c r="R33" s="7" t="s">
        <v>11</v>
      </c>
      <c r="S33" s="7" t="s">
        <v>12</v>
      </c>
      <c r="T33" s="7" t="s">
        <v>12</v>
      </c>
      <c r="U33" s="7" t="s">
        <v>11</v>
      </c>
      <c r="V33" s="9" t="s">
        <v>12</v>
      </c>
      <c r="W33" s="7" t="s">
        <v>11</v>
      </c>
      <c r="X33" s="7" t="s">
        <v>11</v>
      </c>
      <c r="Y33" s="8" t="s">
        <v>11</v>
      </c>
      <c r="Z33" s="7" t="s">
        <v>11</v>
      </c>
      <c r="AA33" s="7" t="s">
        <v>12</v>
      </c>
      <c r="AB33" s="7" t="s">
        <v>12</v>
      </c>
      <c r="AC33" s="7" t="s">
        <v>11</v>
      </c>
      <c r="AD33" s="9" t="s">
        <v>11</v>
      </c>
      <c r="AE33" s="7" t="s">
        <v>11</v>
      </c>
      <c r="AF33" s="7" t="s">
        <v>12</v>
      </c>
      <c r="AG33" s="7" t="s">
        <v>11</v>
      </c>
    </row>
    <row r="34" spans="1:33" x14ac:dyDescent="0.3">
      <c r="A34" s="8" t="s">
        <v>56</v>
      </c>
      <c r="B34" s="7" t="s">
        <v>11</v>
      </c>
      <c r="C34" s="7" t="s">
        <v>12</v>
      </c>
      <c r="D34" s="7" t="s">
        <v>11</v>
      </c>
      <c r="E34" s="7" t="s">
        <v>11</v>
      </c>
      <c r="F34" s="9" t="s">
        <v>11</v>
      </c>
      <c r="G34" s="7" t="s">
        <v>11</v>
      </c>
      <c r="H34" s="7" t="s">
        <v>11</v>
      </c>
      <c r="I34" s="8" t="s">
        <v>11</v>
      </c>
      <c r="J34" s="7" t="s">
        <v>12</v>
      </c>
      <c r="K34" s="7" t="s">
        <v>12</v>
      </c>
      <c r="L34" s="7" t="s">
        <v>11</v>
      </c>
      <c r="M34" s="8" t="s">
        <v>12</v>
      </c>
      <c r="N34" s="7" t="s">
        <v>12</v>
      </c>
      <c r="O34" s="7" t="s">
        <v>11</v>
      </c>
      <c r="P34" s="7" t="s">
        <v>12</v>
      </c>
      <c r="Q34" s="8" t="s">
        <v>11</v>
      </c>
      <c r="R34" s="7" t="s">
        <v>11</v>
      </c>
      <c r="S34" s="7" t="s">
        <v>12</v>
      </c>
      <c r="T34" s="7" t="s">
        <v>11</v>
      </c>
      <c r="U34" s="7" t="s">
        <v>11</v>
      </c>
      <c r="V34" s="9" t="s">
        <v>12</v>
      </c>
      <c r="W34" s="7" t="s">
        <v>11</v>
      </c>
      <c r="X34" s="7" t="s">
        <v>11</v>
      </c>
      <c r="Y34" s="8" t="s">
        <v>12</v>
      </c>
      <c r="Z34" s="7" t="s">
        <v>11</v>
      </c>
      <c r="AA34" s="7" t="s">
        <v>11</v>
      </c>
      <c r="AB34" s="7" t="s">
        <v>11</v>
      </c>
      <c r="AC34" s="7" t="s">
        <v>12</v>
      </c>
      <c r="AD34" s="9" t="s">
        <v>11</v>
      </c>
      <c r="AE34" s="7" t="s">
        <v>12</v>
      </c>
      <c r="AF34" s="7" t="s">
        <v>12</v>
      </c>
      <c r="AG34" s="7" t="s">
        <v>12</v>
      </c>
    </row>
    <row r="35" spans="1:33" x14ac:dyDescent="0.3">
      <c r="A35" s="8" t="s">
        <v>57</v>
      </c>
      <c r="B35" s="7" t="s">
        <v>12</v>
      </c>
      <c r="C35" s="7" t="s">
        <v>12</v>
      </c>
      <c r="D35" s="7" t="s">
        <v>12</v>
      </c>
      <c r="E35" s="7" t="s">
        <v>12</v>
      </c>
      <c r="F35" s="9" t="s">
        <v>12</v>
      </c>
      <c r="G35" s="7" t="s">
        <v>12</v>
      </c>
      <c r="H35" s="7" t="s">
        <v>11</v>
      </c>
      <c r="I35" s="8" t="s">
        <v>12</v>
      </c>
      <c r="J35" s="7" t="s">
        <v>11</v>
      </c>
      <c r="K35" s="7" t="s">
        <v>11</v>
      </c>
      <c r="L35" s="7" t="s">
        <v>11</v>
      </c>
      <c r="M35" s="8" t="s">
        <v>12</v>
      </c>
      <c r="N35" s="7" t="s">
        <v>11</v>
      </c>
      <c r="O35" s="7" t="s">
        <v>11</v>
      </c>
      <c r="P35" s="7" t="s">
        <v>12</v>
      </c>
      <c r="Q35" s="8" t="s">
        <v>12</v>
      </c>
      <c r="R35" s="7" t="s">
        <v>12</v>
      </c>
      <c r="S35" s="7" t="s">
        <v>11</v>
      </c>
      <c r="T35" s="7" t="s">
        <v>12</v>
      </c>
      <c r="U35" s="7" t="s">
        <v>12</v>
      </c>
      <c r="V35" s="9" t="s">
        <v>11</v>
      </c>
      <c r="W35" s="7" t="s">
        <v>12</v>
      </c>
      <c r="X35" s="7" t="s">
        <v>11</v>
      </c>
      <c r="Y35" s="8" t="s">
        <v>11</v>
      </c>
      <c r="Z35" s="7" t="s">
        <v>11</v>
      </c>
      <c r="AA35" s="7" t="s">
        <v>12</v>
      </c>
      <c r="AB35" s="7" t="s">
        <v>12</v>
      </c>
      <c r="AC35" s="7" t="s">
        <v>11</v>
      </c>
      <c r="AD35" s="9" t="s">
        <v>11</v>
      </c>
      <c r="AE35" s="7" t="s">
        <v>11</v>
      </c>
      <c r="AF35" s="7" t="s">
        <v>12</v>
      </c>
      <c r="AG35" s="7" t="s">
        <v>11</v>
      </c>
    </row>
    <row r="36" spans="1:33" x14ac:dyDescent="0.3">
      <c r="A36" s="8" t="s">
        <v>58</v>
      </c>
      <c r="B36" s="7" t="s">
        <v>11</v>
      </c>
      <c r="C36" s="7" t="s">
        <v>11</v>
      </c>
      <c r="D36" s="7" t="s">
        <v>11</v>
      </c>
      <c r="E36" s="7" t="s">
        <v>12</v>
      </c>
      <c r="F36" s="9" t="s">
        <v>12</v>
      </c>
      <c r="G36" s="7" t="s">
        <v>12</v>
      </c>
      <c r="H36" s="7" t="s">
        <v>12</v>
      </c>
      <c r="I36" s="8" t="s">
        <v>11</v>
      </c>
      <c r="J36" s="7" t="s">
        <v>11</v>
      </c>
      <c r="K36" s="7" t="s">
        <v>12</v>
      </c>
      <c r="L36" s="7" t="s">
        <v>12</v>
      </c>
      <c r="M36" s="8" t="s">
        <v>11</v>
      </c>
      <c r="N36" s="7" t="s">
        <v>11</v>
      </c>
      <c r="O36" s="7" t="s">
        <v>12</v>
      </c>
      <c r="P36" s="7" t="s">
        <v>12</v>
      </c>
      <c r="Q36" s="8" t="s">
        <v>11</v>
      </c>
      <c r="R36" s="7" t="s">
        <v>11</v>
      </c>
      <c r="S36" s="7" t="s">
        <v>11</v>
      </c>
      <c r="T36" s="7" t="s">
        <v>12</v>
      </c>
      <c r="U36" s="7" t="s">
        <v>11</v>
      </c>
      <c r="V36" s="9" t="s">
        <v>12</v>
      </c>
      <c r="W36" s="7" t="s">
        <v>12</v>
      </c>
      <c r="X36" s="7" t="s">
        <v>12</v>
      </c>
      <c r="Y36" s="8" t="s">
        <v>11</v>
      </c>
      <c r="Z36" s="7" t="s">
        <v>11</v>
      </c>
      <c r="AA36" s="7" t="s">
        <v>12</v>
      </c>
      <c r="AB36" s="7" t="s">
        <v>11</v>
      </c>
      <c r="AC36" s="7" t="s">
        <v>11</v>
      </c>
      <c r="AD36" s="9" t="s">
        <v>12</v>
      </c>
      <c r="AE36" s="7" t="s">
        <v>11</v>
      </c>
      <c r="AF36" s="7" t="s">
        <v>12</v>
      </c>
      <c r="AG36" s="7" t="s">
        <v>12</v>
      </c>
    </row>
    <row r="37" spans="1:33" x14ac:dyDescent="0.3">
      <c r="A37" s="8" t="s">
        <v>59</v>
      </c>
      <c r="B37" s="7" t="s">
        <v>12</v>
      </c>
      <c r="C37" s="7" t="s">
        <v>12</v>
      </c>
      <c r="D37" s="7" t="s">
        <v>11</v>
      </c>
      <c r="E37" s="7" t="s">
        <v>11</v>
      </c>
      <c r="F37" s="9" t="s">
        <v>12</v>
      </c>
      <c r="G37" s="7" t="s">
        <v>11</v>
      </c>
      <c r="H37" s="7" t="s">
        <v>11</v>
      </c>
      <c r="I37" s="8" t="s">
        <v>11</v>
      </c>
      <c r="J37" s="7" t="s">
        <v>12</v>
      </c>
      <c r="K37" s="7" t="s">
        <v>11</v>
      </c>
      <c r="L37" s="7" t="s">
        <v>12</v>
      </c>
      <c r="M37" s="8" t="s">
        <v>11</v>
      </c>
      <c r="N37" s="7" t="s">
        <v>12</v>
      </c>
      <c r="O37" s="7" t="s">
        <v>12</v>
      </c>
      <c r="P37" s="7" t="s">
        <v>12</v>
      </c>
      <c r="Q37" s="8" t="s">
        <v>12</v>
      </c>
      <c r="R37" s="7" t="s">
        <v>12</v>
      </c>
      <c r="S37" s="7" t="s">
        <v>11</v>
      </c>
      <c r="T37" s="7" t="s">
        <v>11</v>
      </c>
      <c r="U37" s="7" t="s">
        <v>11</v>
      </c>
      <c r="V37" s="9" t="s">
        <v>11</v>
      </c>
      <c r="W37" s="7" t="s">
        <v>11</v>
      </c>
      <c r="X37" s="7" t="s">
        <v>12</v>
      </c>
      <c r="Y37" s="8" t="s">
        <v>12</v>
      </c>
      <c r="Z37" s="7" t="s">
        <v>12</v>
      </c>
      <c r="AA37" s="7" t="s">
        <v>11</v>
      </c>
      <c r="AB37" s="7" t="s">
        <v>12</v>
      </c>
      <c r="AC37" s="7" t="s">
        <v>12</v>
      </c>
      <c r="AD37" s="9" t="s">
        <v>11</v>
      </c>
      <c r="AE37" s="7" t="s">
        <v>11</v>
      </c>
      <c r="AF37" s="7" t="s">
        <v>11</v>
      </c>
      <c r="AG37" s="7" t="s">
        <v>12</v>
      </c>
    </row>
    <row r="38" spans="1:33" x14ac:dyDescent="0.3">
      <c r="A38" s="8" t="s">
        <v>60</v>
      </c>
      <c r="B38" s="7" t="s">
        <v>12</v>
      </c>
      <c r="C38" s="7" t="s">
        <v>12</v>
      </c>
      <c r="D38" s="7" t="s">
        <v>12</v>
      </c>
      <c r="E38" s="7" t="s">
        <v>11</v>
      </c>
      <c r="F38" s="9" t="s">
        <v>11</v>
      </c>
      <c r="G38" s="7" t="s">
        <v>12</v>
      </c>
      <c r="H38" s="7" t="s">
        <v>12</v>
      </c>
      <c r="I38" s="8" t="s">
        <v>12</v>
      </c>
      <c r="J38" s="7" t="s">
        <v>11</v>
      </c>
      <c r="K38" s="7" t="s">
        <v>12</v>
      </c>
      <c r="L38" s="7" t="s">
        <v>11</v>
      </c>
      <c r="M38" s="8" t="s">
        <v>11</v>
      </c>
      <c r="N38" s="7" t="s">
        <v>12</v>
      </c>
      <c r="O38" s="7" t="s">
        <v>11</v>
      </c>
      <c r="P38" s="7" t="s">
        <v>11</v>
      </c>
      <c r="Q38" s="8" t="s">
        <v>12</v>
      </c>
      <c r="R38" s="7" t="s">
        <v>11</v>
      </c>
      <c r="S38" s="7" t="s">
        <v>11</v>
      </c>
      <c r="T38" s="7" t="s">
        <v>11</v>
      </c>
      <c r="U38" s="7" t="s">
        <v>12</v>
      </c>
      <c r="V38" s="9" t="s">
        <v>12</v>
      </c>
      <c r="W38" s="7" t="s">
        <v>12</v>
      </c>
      <c r="X38" s="7" t="s">
        <v>12</v>
      </c>
      <c r="Y38" s="8" t="s">
        <v>12</v>
      </c>
      <c r="Z38" s="7" t="s">
        <v>12</v>
      </c>
      <c r="AA38" s="7" t="s">
        <v>11</v>
      </c>
      <c r="AB38" s="7" t="s">
        <v>12</v>
      </c>
      <c r="AC38" s="7" t="s">
        <v>12</v>
      </c>
      <c r="AD38" s="9" t="s">
        <v>11</v>
      </c>
      <c r="AE38" s="7" t="s">
        <v>12</v>
      </c>
      <c r="AF38" s="7" t="s">
        <v>11</v>
      </c>
      <c r="AG38" s="7" t="s">
        <v>11</v>
      </c>
    </row>
    <row r="39" spans="1:33" x14ac:dyDescent="0.3">
      <c r="A39" s="8" t="s">
        <v>61</v>
      </c>
      <c r="B39" s="7" t="s">
        <v>12</v>
      </c>
      <c r="C39" s="7" t="s">
        <v>11</v>
      </c>
      <c r="D39" s="7" t="s">
        <v>11</v>
      </c>
      <c r="E39" s="7" t="s">
        <v>11</v>
      </c>
      <c r="F39" s="9" t="s">
        <v>12</v>
      </c>
      <c r="G39" s="7" t="s">
        <v>11</v>
      </c>
      <c r="H39" s="7" t="s">
        <v>12</v>
      </c>
      <c r="I39" s="8" t="s">
        <v>11</v>
      </c>
      <c r="J39" s="7" t="s">
        <v>12</v>
      </c>
      <c r="K39" s="7" t="s">
        <v>12</v>
      </c>
      <c r="L39" s="7" t="s">
        <v>11</v>
      </c>
      <c r="M39" s="8" t="s">
        <v>12</v>
      </c>
      <c r="N39" s="7" t="s">
        <v>11</v>
      </c>
      <c r="O39" s="7" t="s">
        <v>11</v>
      </c>
      <c r="P39" s="7" t="s">
        <v>11</v>
      </c>
      <c r="Q39" s="8" t="s">
        <v>11</v>
      </c>
      <c r="R39" s="7" t="s">
        <v>12</v>
      </c>
      <c r="S39" s="7" t="s">
        <v>12</v>
      </c>
      <c r="T39" s="7" t="s">
        <v>11</v>
      </c>
      <c r="U39" s="7" t="s">
        <v>11</v>
      </c>
      <c r="V39" s="9" t="s">
        <v>11</v>
      </c>
      <c r="W39" s="7" t="s">
        <v>11</v>
      </c>
      <c r="X39" s="7" t="s">
        <v>12</v>
      </c>
      <c r="Y39" s="8" t="s">
        <v>11</v>
      </c>
      <c r="Z39" s="7" t="s">
        <v>12</v>
      </c>
      <c r="AA39" s="7" t="s">
        <v>12</v>
      </c>
      <c r="AB39" s="7" t="s">
        <v>11</v>
      </c>
      <c r="AC39" s="7" t="s">
        <v>12</v>
      </c>
      <c r="AD39" s="9" t="s">
        <v>12</v>
      </c>
      <c r="AE39" s="7" t="s">
        <v>12</v>
      </c>
      <c r="AF39" s="7" t="s">
        <v>12</v>
      </c>
      <c r="AG39" s="7" t="s">
        <v>11</v>
      </c>
    </row>
    <row r="40" spans="1:33" x14ac:dyDescent="0.3">
      <c r="A40" s="8" t="s">
        <v>62</v>
      </c>
      <c r="B40" s="7" t="s">
        <v>12</v>
      </c>
      <c r="C40" s="7" t="s">
        <v>11</v>
      </c>
      <c r="D40" s="7" t="s">
        <v>11</v>
      </c>
      <c r="E40" s="7" t="s">
        <v>11</v>
      </c>
      <c r="F40" s="9" t="s">
        <v>12</v>
      </c>
      <c r="G40" s="7" t="s">
        <v>11</v>
      </c>
      <c r="H40" s="7" t="s">
        <v>12</v>
      </c>
      <c r="I40" s="8" t="s">
        <v>12</v>
      </c>
      <c r="J40" s="7" t="s">
        <v>12</v>
      </c>
      <c r="K40" s="7" t="s">
        <v>11</v>
      </c>
      <c r="L40" s="7" t="s">
        <v>11</v>
      </c>
      <c r="M40" s="8" t="s">
        <v>12</v>
      </c>
      <c r="N40" s="7" t="s">
        <v>11</v>
      </c>
      <c r="O40" s="7" t="s">
        <v>11</v>
      </c>
      <c r="P40" s="7" t="s">
        <v>11</v>
      </c>
      <c r="Q40" s="8" t="s">
        <v>11</v>
      </c>
      <c r="R40" s="7" t="s">
        <v>12</v>
      </c>
      <c r="S40" s="7" t="s">
        <v>11</v>
      </c>
      <c r="T40" s="7" t="s">
        <v>12</v>
      </c>
      <c r="U40" s="7" t="s">
        <v>12</v>
      </c>
      <c r="V40" s="9" t="s">
        <v>11</v>
      </c>
      <c r="W40" s="7" t="s">
        <v>12</v>
      </c>
      <c r="X40" s="7" t="s">
        <v>11</v>
      </c>
      <c r="Y40" s="8" t="s">
        <v>12</v>
      </c>
      <c r="Z40" s="7" t="s">
        <v>12</v>
      </c>
      <c r="AA40" s="7" t="s">
        <v>12</v>
      </c>
      <c r="AB40" s="7" t="s">
        <v>11</v>
      </c>
      <c r="AC40" s="7" t="s">
        <v>12</v>
      </c>
      <c r="AD40" s="9" t="s">
        <v>11</v>
      </c>
      <c r="AE40" s="7" t="s">
        <v>11</v>
      </c>
      <c r="AF40" s="7" t="s">
        <v>11</v>
      </c>
      <c r="AG40" s="7" t="s">
        <v>12</v>
      </c>
    </row>
    <row r="41" spans="1:33" x14ac:dyDescent="0.3">
      <c r="A41" s="8" t="s">
        <v>63</v>
      </c>
      <c r="B41" s="7" t="s">
        <v>11</v>
      </c>
      <c r="C41" s="7" t="s">
        <v>11</v>
      </c>
      <c r="D41" s="7" t="s">
        <v>12</v>
      </c>
      <c r="E41" s="7" t="s">
        <v>11</v>
      </c>
      <c r="F41" s="9" t="s">
        <v>11</v>
      </c>
      <c r="G41" s="7" t="s">
        <v>11</v>
      </c>
      <c r="H41" s="7" t="s">
        <v>11</v>
      </c>
      <c r="I41" s="8" t="s">
        <v>12</v>
      </c>
      <c r="J41" s="7" t="s">
        <v>11</v>
      </c>
      <c r="K41" s="7" t="s">
        <v>11</v>
      </c>
      <c r="L41" s="7" t="s">
        <v>11</v>
      </c>
      <c r="M41" s="8" t="s">
        <v>11</v>
      </c>
      <c r="N41" s="7" t="s">
        <v>11</v>
      </c>
      <c r="O41" s="7" t="s">
        <v>12</v>
      </c>
      <c r="P41" s="7" t="s">
        <v>12</v>
      </c>
      <c r="Q41" s="8" t="s">
        <v>11</v>
      </c>
      <c r="R41" s="7" t="s">
        <v>11</v>
      </c>
      <c r="S41" s="7" t="s">
        <v>12</v>
      </c>
      <c r="T41" s="7" t="s">
        <v>12</v>
      </c>
      <c r="U41" s="7" t="s">
        <v>12</v>
      </c>
      <c r="V41" s="9" t="s">
        <v>12</v>
      </c>
      <c r="W41" s="7" t="s">
        <v>12</v>
      </c>
      <c r="X41" s="7" t="s">
        <v>11</v>
      </c>
      <c r="Y41" s="8" t="s">
        <v>11</v>
      </c>
      <c r="Z41" s="7" t="s">
        <v>12</v>
      </c>
      <c r="AA41" s="7" t="s">
        <v>11</v>
      </c>
      <c r="AB41" s="7" t="s">
        <v>11</v>
      </c>
      <c r="AC41" s="7" t="s">
        <v>11</v>
      </c>
      <c r="AD41" s="9" t="s">
        <v>11</v>
      </c>
      <c r="AE41" s="7" t="s">
        <v>12</v>
      </c>
      <c r="AF41" s="7" t="s">
        <v>12</v>
      </c>
      <c r="AG41" s="7" t="s">
        <v>12</v>
      </c>
    </row>
    <row r="42" spans="1:33" x14ac:dyDescent="0.3">
      <c r="A42" s="8" t="s">
        <v>64</v>
      </c>
      <c r="B42" s="7" t="s">
        <v>12</v>
      </c>
      <c r="C42" s="7" t="s">
        <v>12</v>
      </c>
      <c r="D42" s="7" t="s">
        <v>11</v>
      </c>
      <c r="E42" s="7" t="s">
        <v>12</v>
      </c>
      <c r="F42" s="9" t="s">
        <v>12</v>
      </c>
      <c r="G42" s="7" t="s">
        <v>11</v>
      </c>
      <c r="H42" s="7" t="s">
        <v>12</v>
      </c>
      <c r="I42" s="8" t="s">
        <v>11</v>
      </c>
      <c r="J42" s="7" t="s">
        <v>12</v>
      </c>
      <c r="K42" s="7" t="s">
        <v>11</v>
      </c>
      <c r="L42" s="7" t="s">
        <v>11</v>
      </c>
      <c r="M42" s="8" t="s">
        <v>11</v>
      </c>
      <c r="N42" s="7" t="s">
        <v>12</v>
      </c>
      <c r="O42" s="7" t="s">
        <v>12</v>
      </c>
      <c r="P42" s="7" t="s">
        <v>11</v>
      </c>
      <c r="Q42" s="8" t="s">
        <v>11</v>
      </c>
      <c r="R42" s="7" t="s">
        <v>12</v>
      </c>
      <c r="S42" s="7" t="s">
        <v>11</v>
      </c>
      <c r="T42" s="7" t="s">
        <v>12</v>
      </c>
      <c r="U42" s="7" t="s">
        <v>11</v>
      </c>
      <c r="V42" s="9" t="s">
        <v>11</v>
      </c>
      <c r="W42" s="7" t="s">
        <v>11</v>
      </c>
      <c r="X42" s="7" t="s">
        <v>12</v>
      </c>
      <c r="Y42" s="8" t="s">
        <v>11</v>
      </c>
      <c r="Z42" s="7" t="s">
        <v>12</v>
      </c>
      <c r="AA42" s="7" t="s">
        <v>12</v>
      </c>
      <c r="AB42" s="7" t="s">
        <v>11</v>
      </c>
      <c r="AC42" s="7" t="s">
        <v>11</v>
      </c>
      <c r="AD42" s="9" t="s">
        <v>12</v>
      </c>
      <c r="AE42" s="7" t="s">
        <v>11</v>
      </c>
      <c r="AF42" s="7" t="s">
        <v>11</v>
      </c>
      <c r="AG42" s="7" t="s">
        <v>12</v>
      </c>
    </row>
    <row r="43" spans="1:33" x14ac:dyDescent="0.3">
      <c r="A43" s="8" t="s">
        <v>65</v>
      </c>
      <c r="B43" s="7" t="s">
        <v>11</v>
      </c>
      <c r="C43" s="7" t="s">
        <v>12</v>
      </c>
      <c r="D43" s="7" t="s">
        <v>11</v>
      </c>
      <c r="E43" s="7" t="s">
        <v>11</v>
      </c>
      <c r="F43" s="9" t="s">
        <v>11</v>
      </c>
      <c r="G43" s="7" t="s">
        <v>11</v>
      </c>
      <c r="H43" s="7" t="s">
        <v>12</v>
      </c>
      <c r="I43" s="8" t="s">
        <v>12</v>
      </c>
      <c r="J43" s="7" t="s">
        <v>11</v>
      </c>
      <c r="K43" s="7" t="s">
        <v>12</v>
      </c>
      <c r="L43" s="7" t="s">
        <v>12</v>
      </c>
      <c r="M43" s="8" t="s">
        <v>11</v>
      </c>
      <c r="N43" s="7" t="s">
        <v>12</v>
      </c>
      <c r="O43" s="7" t="s">
        <v>11</v>
      </c>
      <c r="P43" s="7" t="s">
        <v>12</v>
      </c>
      <c r="Q43" s="8" t="s">
        <v>11</v>
      </c>
      <c r="R43" s="7" t="s">
        <v>11</v>
      </c>
      <c r="S43" s="7" t="s">
        <v>11</v>
      </c>
      <c r="T43" s="7" t="s">
        <v>11</v>
      </c>
      <c r="U43" s="7" t="s">
        <v>12</v>
      </c>
      <c r="V43" s="9" t="s">
        <v>12</v>
      </c>
      <c r="W43" s="7" t="s">
        <v>11</v>
      </c>
      <c r="X43" s="7" t="s">
        <v>11</v>
      </c>
      <c r="Y43" s="8" t="s">
        <v>12</v>
      </c>
      <c r="Z43" s="7" t="s">
        <v>11</v>
      </c>
      <c r="AA43" s="7" t="s">
        <v>11</v>
      </c>
      <c r="AB43" s="7" t="s">
        <v>11</v>
      </c>
      <c r="AC43" s="7" t="s">
        <v>12</v>
      </c>
      <c r="AD43" s="9" t="s">
        <v>11</v>
      </c>
      <c r="AE43" s="7" t="s">
        <v>12</v>
      </c>
      <c r="AF43" s="7" t="s">
        <v>11</v>
      </c>
      <c r="AG43" s="7" t="s">
        <v>11</v>
      </c>
    </row>
    <row r="44" spans="1:33" x14ac:dyDescent="0.3">
      <c r="A44" s="8" t="s">
        <v>66</v>
      </c>
      <c r="B44" s="7" t="s">
        <v>11</v>
      </c>
      <c r="C44" s="7" t="s">
        <v>12</v>
      </c>
      <c r="D44" s="7" t="s">
        <v>12</v>
      </c>
      <c r="E44" s="7" t="s">
        <v>11</v>
      </c>
      <c r="F44" s="9" t="s">
        <v>11</v>
      </c>
      <c r="G44" s="7" t="s">
        <v>12</v>
      </c>
      <c r="H44" s="7" t="s">
        <v>11</v>
      </c>
      <c r="I44" s="8" t="s">
        <v>11</v>
      </c>
      <c r="J44" s="7" t="s">
        <v>12</v>
      </c>
      <c r="K44" s="7" t="s">
        <v>12</v>
      </c>
      <c r="L44" s="7" t="s">
        <v>12</v>
      </c>
      <c r="M44" s="8" t="s">
        <v>12</v>
      </c>
      <c r="N44" s="7" t="s">
        <v>12</v>
      </c>
      <c r="O44" s="7" t="s">
        <v>11</v>
      </c>
      <c r="P44" s="7" t="s">
        <v>12</v>
      </c>
      <c r="Q44" s="8" t="s">
        <v>12</v>
      </c>
      <c r="R44" s="7" t="s">
        <v>12</v>
      </c>
      <c r="S44" s="7" t="s">
        <v>12</v>
      </c>
      <c r="T44" s="7" t="s">
        <v>11</v>
      </c>
      <c r="U44" s="7" t="s">
        <v>12</v>
      </c>
      <c r="V44" s="9" t="s">
        <v>12</v>
      </c>
      <c r="W44" s="7" t="s">
        <v>11</v>
      </c>
      <c r="X44" s="7" t="s">
        <v>11</v>
      </c>
      <c r="Y44" s="8" t="s">
        <v>11</v>
      </c>
      <c r="Z44" s="7" t="s">
        <v>11</v>
      </c>
      <c r="AA44" s="7" t="s">
        <v>11</v>
      </c>
      <c r="AB44" s="7" t="s">
        <v>12</v>
      </c>
      <c r="AC44" s="7" t="s">
        <v>12</v>
      </c>
      <c r="AD44" s="9" t="s">
        <v>12</v>
      </c>
      <c r="AE44" s="7" t="s">
        <v>12</v>
      </c>
      <c r="AF44" s="7" t="s">
        <v>11</v>
      </c>
      <c r="AG44" s="7" t="s">
        <v>11</v>
      </c>
    </row>
    <row r="45" spans="1:33" x14ac:dyDescent="0.3">
      <c r="A45" s="8" t="s">
        <v>67</v>
      </c>
      <c r="B45" s="7" t="s">
        <v>12</v>
      </c>
      <c r="C45" s="7" t="s">
        <v>11</v>
      </c>
      <c r="D45" s="7" t="s">
        <v>11</v>
      </c>
      <c r="E45" s="7" t="s">
        <v>12</v>
      </c>
      <c r="F45" s="9" t="s">
        <v>12</v>
      </c>
      <c r="G45" s="7" t="s">
        <v>12</v>
      </c>
      <c r="H45" s="7" t="s">
        <v>12</v>
      </c>
      <c r="I45" s="8" t="s">
        <v>12</v>
      </c>
      <c r="J45" s="7" t="s">
        <v>12</v>
      </c>
      <c r="K45" s="7" t="s">
        <v>11</v>
      </c>
      <c r="L45" s="7" t="s">
        <v>11</v>
      </c>
      <c r="M45" s="8" t="s">
        <v>12</v>
      </c>
      <c r="N45" s="7" t="s">
        <v>11</v>
      </c>
      <c r="O45" s="7" t="s">
        <v>11</v>
      </c>
      <c r="P45" s="7" t="s">
        <v>11</v>
      </c>
      <c r="Q45" s="8" t="s">
        <v>12</v>
      </c>
      <c r="R45" s="7" t="s">
        <v>12</v>
      </c>
      <c r="S45" s="7" t="s">
        <v>12</v>
      </c>
      <c r="T45" s="7" t="s">
        <v>12</v>
      </c>
      <c r="U45" s="7" t="s">
        <v>11</v>
      </c>
      <c r="V45" s="9" t="s">
        <v>11</v>
      </c>
      <c r="W45" s="7" t="s">
        <v>12</v>
      </c>
      <c r="X45" s="7" t="s">
        <v>11</v>
      </c>
      <c r="Y45" s="8" t="s">
        <v>12</v>
      </c>
      <c r="Z45" s="7" t="s">
        <v>11</v>
      </c>
      <c r="AA45" s="7" t="s">
        <v>12</v>
      </c>
      <c r="AB45" s="7" t="s">
        <v>11</v>
      </c>
      <c r="AC45" s="7" t="s">
        <v>11</v>
      </c>
      <c r="AD45" s="9" t="s">
        <v>12</v>
      </c>
      <c r="AE45" s="7" t="s">
        <v>11</v>
      </c>
      <c r="AF45" s="7" t="s">
        <v>12</v>
      </c>
      <c r="AG45" s="7" t="s">
        <v>11</v>
      </c>
    </row>
    <row r="46" spans="1:33" x14ac:dyDescent="0.3">
      <c r="A46" s="8" t="s">
        <v>68</v>
      </c>
      <c r="B46" s="7" t="s">
        <v>11</v>
      </c>
      <c r="C46" s="7" t="s">
        <v>11</v>
      </c>
      <c r="D46" s="7" t="s">
        <v>12</v>
      </c>
      <c r="E46" s="7" t="s">
        <v>11</v>
      </c>
      <c r="F46" s="9" t="s">
        <v>12</v>
      </c>
      <c r="G46" s="7" t="s">
        <v>12</v>
      </c>
      <c r="H46" s="7" t="s">
        <v>11</v>
      </c>
      <c r="I46" s="8" t="s">
        <v>12</v>
      </c>
      <c r="J46" s="7" t="s">
        <v>11</v>
      </c>
      <c r="K46" s="7" t="s">
        <v>11</v>
      </c>
      <c r="L46" s="7" t="s">
        <v>12</v>
      </c>
      <c r="M46" s="8" t="s">
        <v>12</v>
      </c>
      <c r="N46" s="7" t="s">
        <v>11</v>
      </c>
      <c r="O46" s="7" t="s">
        <v>12</v>
      </c>
      <c r="P46" s="7" t="s">
        <v>12</v>
      </c>
      <c r="Q46" s="8" t="s">
        <v>12</v>
      </c>
      <c r="R46" s="7" t="s">
        <v>11</v>
      </c>
      <c r="S46" s="7" t="s">
        <v>12</v>
      </c>
      <c r="T46" s="7" t="s">
        <v>12</v>
      </c>
      <c r="U46" s="7" t="s">
        <v>12</v>
      </c>
      <c r="V46" s="9" t="s">
        <v>12</v>
      </c>
      <c r="W46" s="7" t="s">
        <v>12</v>
      </c>
      <c r="X46" s="7" t="s">
        <v>11</v>
      </c>
      <c r="Y46" s="8" t="s">
        <v>11</v>
      </c>
      <c r="Z46" s="7" t="s">
        <v>11</v>
      </c>
      <c r="AA46" s="7" t="s">
        <v>12</v>
      </c>
      <c r="AB46" s="7" t="s">
        <v>12</v>
      </c>
      <c r="AC46" s="7" t="s">
        <v>12</v>
      </c>
      <c r="AD46" s="9" t="s">
        <v>12</v>
      </c>
      <c r="AE46" s="7" t="s">
        <v>12</v>
      </c>
      <c r="AF46" s="7" t="s">
        <v>12</v>
      </c>
      <c r="AG46" s="7" t="s">
        <v>11</v>
      </c>
    </row>
    <row r="47" spans="1:33" x14ac:dyDescent="0.3">
      <c r="A47" s="8" t="s">
        <v>69</v>
      </c>
      <c r="B47" s="7" t="s">
        <v>11</v>
      </c>
      <c r="C47" s="7" t="s">
        <v>11</v>
      </c>
      <c r="D47" s="7" t="s">
        <v>11</v>
      </c>
      <c r="E47" s="7" t="s">
        <v>12</v>
      </c>
      <c r="F47" s="9" t="s">
        <v>11</v>
      </c>
      <c r="G47" s="7" t="s">
        <v>12</v>
      </c>
      <c r="H47" s="7" t="s">
        <v>11</v>
      </c>
      <c r="I47" s="8" t="s">
        <v>11</v>
      </c>
      <c r="J47" s="7" t="s">
        <v>12</v>
      </c>
      <c r="K47" s="7" t="s">
        <v>11</v>
      </c>
      <c r="L47" s="7" t="s">
        <v>11</v>
      </c>
      <c r="M47" s="8" t="s">
        <v>11</v>
      </c>
      <c r="N47" s="7" t="s">
        <v>12</v>
      </c>
      <c r="O47" s="7" t="s">
        <v>12</v>
      </c>
      <c r="P47" s="7" t="s">
        <v>11</v>
      </c>
      <c r="Q47" s="8" t="s">
        <v>12</v>
      </c>
      <c r="R47" s="7" t="s">
        <v>11</v>
      </c>
      <c r="S47" s="7" t="s">
        <v>11</v>
      </c>
      <c r="T47" s="7" t="s">
        <v>12</v>
      </c>
      <c r="U47" s="7" t="s">
        <v>11</v>
      </c>
      <c r="V47" s="9" t="s">
        <v>12</v>
      </c>
      <c r="W47" s="7" t="s">
        <v>12</v>
      </c>
      <c r="X47" s="7" t="s">
        <v>12</v>
      </c>
      <c r="Y47" s="8" t="s">
        <v>12</v>
      </c>
      <c r="Z47" s="7" t="s">
        <v>12</v>
      </c>
      <c r="AA47" s="7" t="s">
        <v>11</v>
      </c>
      <c r="AB47" s="7" t="s">
        <v>12</v>
      </c>
      <c r="AC47" s="7" t="s">
        <v>11</v>
      </c>
      <c r="AD47" s="9" t="s">
        <v>12</v>
      </c>
      <c r="AE47" s="7" t="s">
        <v>11</v>
      </c>
      <c r="AF47" s="7" t="s">
        <v>11</v>
      </c>
      <c r="AG47" s="7" t="s">
        <v>11</v>
      </c>
    </row>
    <row r="48" spans="1:33" x14ac:dyDescent="0.3">
      <c r="A48" s="8" t="s">
        <v>70</v>
      </c>
      <c r="B48" s="7" t="s">
        <v>12</v>
      </c>
      <c r="C48" s="7" t="s">
        <v>11</v>
      </c>
      <c r="D48" s="7" t="s">
        <v>12</v>
      </c>
      <c r="E48" s="7" t="s">
        <v>12</v>
      </c>
      <c r="F48" s="9" t="s">
        <v>11</v>
      </c>
      <c r="G48" s="7" t="s">
        <v>11</v>
      </c>
      <c r="H48" s="7" t="s">
        <v>11</v>
      </c>
      <c r="I48" s="8" t="s">
        <v>12</v>
      </c>
      <c r="J48" s="7" t="s">
        <v>11</v>
      </c>
      <c r="K48" s="7" t="s">
        <v>11</v>
      </c>
      <c r="L48" s="7" t="s">
        <v>11</v>
      </c>
      <c r="M48" s="8" t="s">
        <v>11</v>
      </c>
      <c r="N48" s="7" t="s">
        <v>12</v>
      </c>
      <c r="O48" s="7" t="s">
        <v>12</v>
      </c>
      <c r="P48" s="7" t="s">
        <v>11</v>
      </c>
      <c r="Q48" s="8" t="s">
        <v>12</v>
      </c>
      <c r="R48" s="7" t="s">
        <v>12</v>
      </c>
      <c r="S48" s="7" t="s">
        <v>11</v>
      </c>
      <c r="T48" s="7" t="s">
        <v>11</v>
      </c>
      <c r="U48" s="7" t="s">
        <v>11</v>
      </c>
      <c r="V48" s="9" t="s">
        <v>11</v>
      </c>
      <c r="W48" s="7" t="s">
        <v>11</v>
      </c>
      <c r="X48" s="7" t="s">
        <v>12</v>
      </c>
      <c r="Y48" s="8" t="s">
        <v>12</v>
      </c>
      <c r="Z48" s="7" t="s">
        <v>12</v>
      </c>
      <c r="AA48" s="7" t="s">
        <v>12</v>
      </c>
      <c r="AB48" s="7" t="s">
        <v>12</v>
      </c>
      <c r="AC48" s="7" t="s">
        <v>11</v>
      </c>
      <c r="AD48" s="9" t="s">
        <v>11</v>
      </c>
      <c r="AE48" s="7" t="s">
        <v>11</v>
      </c>
      <c r="AF48" s="7" t="s">
        <v>12</v>
      </c>
      <c r="AG48" s="7" t="s">
        <v>11</v>
      </c>
    </row>
    <row r="49" spans="1:33" x14ac:dyDescent="0.3">
      <c r="A49" s="8" t="s">
        <v>71</v>
      </c>
      <c r="B49" s="7" t="s">
        <v>11</v>
      </c>
      <c r="C49" s="7" t="s">
        <v>12</v>
      </c>
      <c r="D49" s="7" t="s">
        <v>12</v>
      </c>
      <c r="E49" s="7" t="s">
        <v>12</v>
      </c>
      <c r="F49" s="9" t="s">
        <v>11</v>
      </c>
      <c r="G49" s="7" t="s">
        <v>11</v>
      </c>
      <c r="H49" s="7" t="s">
        <v>12</v>
      </c>
      <c r="I49" s="8" t="s">
        <v>11</v>
      </c>
      <c r="J49" s="7" t="s">
        <v>11</v>
      </c>
      <c r="K49" s="7" t="s">
        <v>12</v>
      </c>
      <c r="L49" s="7" t="s">
        <v>12</v>
      </c>
      <c r="M49" s="8" t="s">
        <v>12</v>
      </c>
      <c r="N49" s="7" t="s">
        <v>12</v>
      </c>
      <c r="O49" s="7" t="s">
        <v>11</v>
      </c>
      <c r="P49" s="7" t="s">
        <v>11</v>
      </c>
      <c r="Q49" s="8" t="s">
        <v>11</v>
      </c>
      <c r="R49" s="7" t="s">
        <v>12</v>
      </c>
      <c r="S49" s="7" t="s">
        <v>12</v>
      </c>
      <c r="T49" s="7" t="s">
        <v>11</v>
      </c>
      <c r="U49" s="7" t="s">
        <v>12</v>
      </c>
      <c r="V49" s="9" t="s">
        <v>12</v>
      </c>
      <c r="W49" s="7" t="s">
        <v>11</v>
      </c>
      <c r="X49" s="7" t="s">
        <v>12</v>
      </c>
      <c r="Y49" s="8" t="s">
        <v>11</v>
      </c>
      <c r="Z49" s="7" t="s">
        <v>11</v>
      </c>
      <c r="AA49" s="7" t="s">
        <v>12</v>
      </c>
      <c r="AB49" s="7" t="s">
        <v>12</v>
      </c>
      <c r="AC49" s="7" t="s">
        <v>12</v>
      </c>
      <c r="AD49" s="9" t="s">
        <v>12</v>
      </c>
      <c r="AE49" s="7" t="s">
        <v>12</v>
      </c>
      <c r="AF49" s="7" t="s">
        <v>11</v>
      </c>
      <c r="AG49" s="7" t="s">
        <v>12</v>
      </c>
    </row>
    <row r="50" spans="1:33" x14ac:dyDescent="0.3">
      <c r="A50" s="8" t="s">
        <v>72</v>
      </c>
      <c r="B50" s="7" t="s">
        <v>12</v>
      </c>
      <c r="C50" s="7" t="s">
        <v>12</v>
      </c>
      <c r="D50" s="7" t="s">
        <v>12</v>
      </c>
      <c r="E50" s="7" t="s">
        <v>12</v>
      </c>
      <c r="F50" s="9" t="s">
        <v>11</v>
      </c>
      <c r="G50" s="7" t="s">
        <v>12</v>
      </c>
      <c r="H50" s="7" t="s">
        <v>11</v>
      </c>
      <c r="I50" s="8" t="s">
        <v>12</v>
      </c>
      <c r="J50" s="7" t="s">
        <v>12</v>
      </c>
      <c r="K50" s="7" t="s">
        <v>11</v>
      </c>
      <c r="L50" s="7" t="s">
        <v>12</v>
      </c>
      <c r="M50" s="8" t="s">
        <v>12</v>
      </c>
      <c r="N50" s="7" t="s">
        <v>12</v>
      </c>
      <c r="O50" s="7" t="s">
        <v>12</v>
      </c>
      <c r="P50" s="7" t="s">
        <v>12</v>
      </c>
      <c r="Q50" s="8" t="s">
        <v>12</v>
      </c>
      <c r="R50" s="7" t="s">
        <v>12</v>
      </c>
      <c r="S50" s="7" t="s">
        <v>12</v>
      </c>
      <c r="T50" s="7" t="s">
        <v>12</v>
      </c>
      <c r="U50" s="7" t="s">
        <v>12</v>
      </c>
      <c r="V50" s="9" t="s">
        <v>11</v>
      </c>
      <c r="W50" s="7" t="s">
        <v>12</v>
      </c>
      <c r="X50" s="7" t="s">
        <v>12</v>
      </c>
      <c r="Y50" s="8" t="s">
        <v>12</v>
      </c>
      <c r="Z50" s="7" t="s">
        <v>12</v>
      </c>
      <c r="AA50" s="7" t="s">
        <v>11</v>
      </c>
      <c r="AB50" s="7" t="s">
        <v>12</v>
      </c>
      <c r="AC50" s="7" t="s">
        <v>11</v>
      </c>
      <c r="AD50" s="9" t="s">
        <v>11</v>
      </c>
      <c r="AE50" s="7" t="s">
        <v>11</v>
      </c>
      <c r="AF50" s="7" t="s">
        <v>11</v>
      </c>
      <c r="AG50" s="7" t="s">
        <v>11</v>
      </c>
    </row>
    <row r="51" spans="1:33" x14ac:dyDescent="0.3">
      <c r="A51" s="8" t="s">
        <v>73</v>
      </c>
      <c r="B51" s="7" t="s">
        <v>11</v>
      </c>
      <c r="C51" s="7" t="s">
        <v>12</v>
      </c>
      <c r="D51" s="7" t="s">
        <v>11</v>
      </c>
      <c r="E51" s="7" t="s">
        <v>12</v>
      </c>
      <c r="F51" s="9" t="s">
        <v>12</v>
      </c>
      <c r="G51" s="7" t="s">
        <v>11</v>
      </c>
      <c r="H51" s="7" t="s">
        <v>12</v>
      </c>
      <c r="I51" s="8" t="s">
        <v>12</v>
      </c>
      <c r="J51" s="7" t="s">
        <v>11</v>
      </c>
      <c r="K51" s="7" t="s">
        <v>12</v>
      </c>
      <c r="L51" s="7" t="s">
        <v>11</v>
      </c>
      <c r="M51" s="8" t="s">
        <v>11</v>
      </c>
      <c r="N51" s="7" t="s">
        <v>12</v>
      </c>
      <c r="O51" s="7" t="s">
        <v>11</v>
      </c>
      <c r="P51" s="7" t="s">
        <v>11</v>
      </c>
      <c r="Q51" s="8" t="s">
        <v>12</v>
      </c>
      <c r="R51" s="7" t="s">
        <v>11</v>
      </c>
      <c r="S51" s="7" t="s">
        <v>12</v>
      </c>
      <c r="T51" s="7" t="s">
        <v>12</v>
      </c>
      <c r="U51" s="7" t="s">
        <v>11</v>
      </c>
      <c r="V51" s="9" t="s">
        <v>12</v>
      </c>
      <c r="W51" s="7" t="s">
        <v>11</v>
      </c>
      <c r="X51" s="7" t="s">
        <v>12</v>
      </c>
      <c r="Y51" s="8" t="s">
        <v>12</v>
      </c>
      <c r="Z51" s="7" t="s">
        <v>12</v>
      </c>
      <c r="AA51" s="7" t="s">
        <v>11</v>
      </c>
      <c r="AB51" s="7" t="s">
        <v>11</v>
      </c>
      <c r="AC51" s="7" t="s">
        <v>12</v>
      </c>
      <c r="AD51" s="9" t="s">
        <v>12</v>
      </c>
      <c r="AE51" s="7" t="s">
        <v>12</v>
      </c>
      <c r="AF51" s="7" t="s">
        <v>12</v>
      </c>
      <c r="AG51" s="7" t="s">
        <v>12</v>
      </c>
    </row>
    <row r="52" spans="1:33" x14ac:dyDescent="0.3">
      <c r="A52" s="8" t="s">
        <v>74</v>
      </c>
      <c r="B52" s="7" t="s">
        <v>12</v>
      </c>
      <c r="C52" s="7" t="s">
        <v>12</v>
      </c>
      <c r="D52" s="7" t="s">
        <v>11</v>
      </c>
      <c r="E52" s="7" t="s">
        <v>11</v>
      </c>
      <c r="F52" s="9" t="s">
        <v>12</v>
      </c>
      <c r="G52" s="7" t="s">
        <v>11</v>
      </c>
      <c r="H52" s="7" t="s">
        <v>11</v>
      </c>
      <c r="I52" s="8" t="s">
        <v>11</v>
      </c>
      <c r="J52" s="7" t="s">
        <v>11</v>
      </c>
      <c r="K52" s="7" t="s">
        <v>11</v>
      </c>
      <c r="L52" s="7" t="s">
        <v>11</v>
      </c>
      <c r="M52" s="8" t="s">
        <v>12</v>
      </c>
      <c r="N52" s="7" t="s">
        <v>11</v>
      </c>
      <c r="O52" s="7" t="s">
        <v>11</v>
      </c>
      <c r="P52" s="7" t="s">
        <v>11</v>
      </c>
      <c r="Q52" s="8" t="s">
        <v>12</v>
      </c>
      <c r="R52" s="7" t="s">
        <v>12</v>
      </c>
      <c r="S52" s="7" t="s">
        <v>11</v>
      </c>
      <c r="T52" s="7" t="s">
        <v>11</v>
      </c>
      <c r="U52" s="7" t="s">
        <v>12</v>
      </c>
      <c r="V52" s="9" t="s">
        <v>11</v>
      </c>
      <c r="W52" s="7" t="s">
        <v>11</v>
      </c>
      <c r="X52" s="7" t="s">
        <v>11</v>
      </c>
      <c r="Y52" s="8" t="s">
        <v>11</v>
      </c>
      <c r="Z52" s="7" t="s">
        <v>12</v>
      </c>
      <c r="AA52" s="7" t="s">
        <v>12</v>
      </c>
      <c r="AB52" s="7" t="s">
        <v>12</v>
      </c>
      <c r="AC52" s="7" t="s">
        <v>12</v>
      </c>
      <c r="AD52" s="9" t="s">
        <v>11</v>
      </c>
      <c r="AE52" s="7" t="s">
        <v>12</v>
      </c>
      <c r="AF52" s="7" t="s">
        <v>12</v>
      </c>
      <c r="AG52" s="7" t="s">
        <v>11</v>
      </c>
    </row>
    <row r="53" spans="1:33" x14ac:dyDescent="0.3">
      <c r="A53" s="8" t="s">
        <v>75</v>
      </c>
      <c r="B53" s="7" t="s">
        <v>12</v>
      </c>
      <c r="C53" s="7" t="s">
        <v>11</v>
      </c>
      <c r="D53" s="7" t="s">
        <v>12</v>
      </c>
      <c r="E53" s="7" t="s">
        <v>12</v>
      </c>
      <c r="F53" s="9" t="s">
        <v>11</v>
      </c>
      <c r="G53" s="7" t="s">
        <v>12</v>
      </c>
      <c r="H53" s="7" t="s">
        <v>12</v>
      </c>
      <c r="I53" s="8" t="s">
        <v>11</v>
      </c>
      <c r="J53" s="7" t="s">
        <v>12</v>
      </c>
      <c r="K53" s="7" t="s">
        <v>12</v>
      </c>
      <c r="L53" s="7" t="s">
        <v>12</v>
      </c>
      <c r="M53" s="8" t="s">
        <v>12</v>
      </c>
      <c r="N53" s="7" t="s">
        <v>11</v>
      </c>
      <c r="O53" s="7" t="s">
        <v>12</v>
      </c>
      <c r="P53" s="7" t="s">
        <v>11</v>
      </c>
      <c r="Q53" s="8" t="s">
        <v>11</v>
      </c>
      <c r="R53" s="7" t="s">
        <v>12</v>
      </c>
      <c r="S53" s="7" t="s">
        <v>12</v>
      </c>
      <c r="T53" s="7" t="s">
        <v>12</v>
      </c>
      <c r="U53" s="7" t="s">
        <v>12</v>
      </c>
      <c r="V53" s="9" t="s">
        <v>12</v>
      </c>
      <c r="W53" s="7" t="s">
        <v>12</v>
      </c>
      <c r="X53" s="7" t="s">
        <v>12</v>
      </c>
      <c r="Y53" s="8" t="s">
        <v>11</v>
      </c>
      <c r="Z53" s="7" t="s">
        <v>11</v>
      </c>
      <c r="AA53" s="7" t="s">
        <v>12</v>
      </c>
      <c r="AB53" s="7" t="s">
        <v>11</v>
      </c>
      <c r="AC53" s="7" t="s">
        <v>12</v>
      </c>
      <c r="AD53" s="9" t="s">
        <v>12</v>
      </c>
      <c r="AE53" s="7" t="s">
        <v>12</v>
      </c>
      <c r="AF53" s="7" t="s">
        <v>11</v>
      </c>
      <c r="AG53" s="7" t="s">
        <v>11</v>
      </c>
    </row>
    <row r="54" spans="1:33" x14ac:dyDescent="0.3">
      <c r="A54" s="8" t="s">
        <v>76</v>
      </c>
      <c r="B54" s="7" t="s">
        <v>12</v>
      </c>
      <c r="C54" s="7" t="s">
        <v>11</v>
      </c>
      <c r="D54" s="7" t="s">
        <v>11</v>
      </c>
      <c r="E54" s="7" t="s">
        <v>12</v>
      </c>
      <c r="F54" s="9" t="s">
        <v>12</v>
      </c>
      <c r="G54" s="7" t="s">
        <v>12</v>
      </c>
      <c r="H54" s="7" t="s">
        <v>11</v>
      </c>
      <c r="I54" s="8" t="s">
        <v>11</v>
      </c>
      <c r="J54" s="7" t="s">
        <v>11</v>
      </c>
      <c r="K54" s="7" t="s">
        <v>11</v>
      </c>
      <c r="L54" s="7" t="s">
        <v>12</v>
      </c>
      <c r="M54" s="8" t="s">
        <v>11</v>
      </c>
      <c r="N54" s="7" t="s">
        <v>11</v>
      </c>
      <c r="O54" s="7" t="s">
        <v>11</v>
      </c>
      <c r="P54" s="7" t="s">
        <v>12</v>
      </c>
      <c r="Q54" s="8" t="s">
        <v>12</v>
      </c>
      <c r="R54" s="7" t="s">
        <v>12</v>
      </c>
      <c r="S54" s="7" t="s">
        <v>12</v>
      </c>
      <c r="T54" s="7" t="s">
        <v>11</v>
      </c>
      <c r="U54" s="7" t="s">
        <v>11</v>
      </c>
      <c r="V54" s="9" t="s">
        <v>11</v>
      </c>
      <c r="W54" s="7" t="s">
        <v>12</v>
      </c>
      <c r="X54" s="7" t="s">
        <v>11</v>
      </c>
      <c r="Y54" s="8" t="s">
        <v>11</v>
      </c>
      <c r="Z54" s="7" t="s">
        <v>11</v>
      </c>
      <c r="AA54" s="7" t="s">
        <v>12</v>
      </c>
      <c r="AB54" s="7" t="s">
        <v>12</v>
      </c>
      <c r="AC54" s="7" t="s">
        <v>11</v>
      </c>
      <c r="AD54" s="9" t="s">
        <v>12</v>
      </c>
      <c r="AE54" s="7" t="s">
        <v>11</v>
      </c>
      <c r="AF54" s="7" t="s">
        <v>12</v>
      </c>
      <c r="AG54" s="7" t="s">
        <v>11</v>
      </c>
    </row>
    <row r="55" spans="1:33" x14ac:dyDescent="0.3">
      <c r="A55" s="8" t="s">
        <v>77</v>
      </c>
      <c r="B55" s="7" t="s">
        <v>11</v>
      </c>
      <c r="C55" s="7" t="s">
        <v>11</v>
      </c>
      <c r="D55" s="7" t="s">
        <v>12</v>
      </c>
      <c r="E55" s="7" t="s">
        <v>12</v>
      </c>
      <c r="F55" s="9" t="s">
        <v>11</v>
      </c>
      <c r="G55" s="7" t="s">
        <v>12</v>
      </c>
      <c r="H55" s="7" t="s">
        <v>12</v>
      </c>
      <c r="I55" s="8" t="s">
        <v>12</v>
      </c>
      <c r="J55" s="7" t="s">
        <v>12</v>
      </c>
      <c r="K55" s="7" t="s">
        <v>12</v>
      </c>
      <c r="L55" s="7" t="s">
        <v>12</v>
      </c>
      <c r="M55" s="8" t="s">
        <v>11</v>
      </c>
      <c r="N55" s="7" t="s">
        <v>11</v>
      </c>
      <c r="O55" s="7" t="s">
        <v>12</v>
      </c>
      <c r="P55" s="7" t="s">
        <v>11</v>
      </c>
      <c r="Q55" s="8" t="s">
        <v>12</v>
      </c>
      <c r="R55" s="7" t="s">
        <v>11</v>
      </c>
      <c r="S55" s="7" t="s">
        <v>11</v>
      </c>
      <c r="T55" s="7" t="s">
        <v>11</v>
      </c>
      <c r="U55" s="7" t="s">
        <v>11</v>
      </c>
      <c r="V55" s="9" t="s">
        <v>11</v>
      </c>
      <c r="W55" s="7" t="s">
        <v>11</v>
      </c>
      <c r="X55" s="7" t="s">
        <v>11</v>
      </c>
      <c r="Y55" s="8" t="s">
        <v>12</v>
      </c>
      <c r="Z55" s="7" t="s">
        <v>11</v>
      </c>
      <c r="AA55" s="7" t="s">
        <v>11</v>
      </c>
      <c r="AB55" s="7" t="s">
        <v>11</v>
      </c>
      <c r="AC55" s="7" t="s">
        <v>11</v>
      </c>
      <c r="AD55" s="9" t="s">
        <v>12</v>
      </c>
      <c r="AE55" s="7" t="s">
        <v>11</v>
      </c>
      <c r="AF55" s="7" t="s">
        <v>11</v>
      </c>
      <c r="AG55" s="7" t="s">
        <v>12</v>
      </c>
    </row>
    <row r="56" spans="1:33" x14ac:dyDescent="0.3">
      <c r="A56" s="8" t="s">
        <v>78</v>
      </c>
      <c r="B56" s="7" t="s">
        <v>11</v>
      </c>
      <c r="C56" s="7" t="s">
        <v>12</v>
      </c>
      <c r="D56" s="7" t="s">
        <v>12</v>
      </c>
      <c r="E56" s="7" t="s">
        <v>12</v>
      </c>
      <c r="F56" s="9" t="s">
        <v>11</v>
      </c>
      <c r="G56" s="7" t="s">
        <v>12</v>
      </c>
      <c r="H56" s="7" t="s">
        <v>12</v>
      </c>
      <c r="I56" s="8" t="s">
        <v>11</v>
      </c>
      <c r="J56" s="7" t="s">
        <v>12</v>
      </c>
      <c r="K56" s="7" t="s">
        <v>12</v>
      </c>
      <c r="L56" s="7" t="s">
        <v>11</v>
      </c>
      <c r="M56" s="8" t="s">
        <v>11</v>
      </c>
      <c r="N56" s="7" t="s">
        <v>12</v>
      </c>
      <c r="O56" s="7" t="s">
        <v>12</v>
      </c>
      <c r="P56" s="7" t="s">
        <v>12</v>
      </c>
      <c r="Q56" s="8" t="s">
        <v>11</v>
      </c>
      <c r="R56" s="7" t="s">
        <v>11</v>
      </c>
      <c r="S56" s="7" t="s">
        <v>12</v>
      </c>
      <c r="T56" s="7" t="s">
        <v>11</v>
      </c>
      <c r="U56" s="7" t="s">
        <v>12</v>
      </c>
      <c r="V56" s="9" t="s">
        <v>12</v>
      </c>
      <c r="W56" s="7" t="s">
        <v>11</v>
      </c>
      <c r="X56" s="7" t="s">
        <v>12</v>
      </c>
      <c r="Y56" s="8" t="s">
        <v>11</v>
      </c>
      <c r="Z56" s="7" t="s">
        <v>12</v>
      </c>
      <c r="AA56" s="7" t="s">
        <v>11</v>
      </c>
      <c r="AB56" s="7" t="s">
        <v>11</v>
      </c>
      <c r="AC56" s="7" t="s">
        <v>11</v>
      </c>
      <c r="AD56" s="9" t="s">
        <v>12</v>
      </c>
      <c r="AE56" s="7" t="s">
        <v>12</v>
      </c>
      <c r="AF56" s="7" t="s">
        <v>11</v>
      </c>
      <c r="AG56" s="7" t="s">
        <v>12</v>
      </c>
    </row>
    <row r="57" spans="1:33" x14ac:dyDescent="0.3">
      <c r="A57" s="8" t="s">
        <v>79</v>
      </c>
      <c r="B57" s="7" t="s">
        <v>12</v>
      </c>
      <c r="C57" s="7" t="s">
        <v>12</v>
      </c>
      <c r="D57" s="7" t="s">
        <v>12</v>
      </c>
      <c r="E57" s="7" t="s">
        <v>11</v>
      </c>
      <c r="F57" s="9" t="s">
        <v>12</v>
      </c>
      <c r="G57" s="7" t="s">
        <v>12</v>
      </c>
      <c r="H57" s="7" t="s">
        <v>11</v>
      </c>
      <c r="I57" s="8" t="s">
        <v>11</v>
      </c>
      <c r="J57" s="7" t="s">
        <v>11</v>
      </c>
      <c r="K57" s="7" t="s">
        <v>11</v>
      </c>
      <c r="L57" s="7" t="s">
        <v>12</v>
      </c>
      <c r="M57" s="8" t="s">
        <v>12</v>
      </c>
      <c r="N57" s="7" t="s">
        <v>12</v>
      </c>
      <c r="O57" s="7" t="s">
        <v>11</v>
      </c>
      <c r="P57" s="7" t="s">
        <v>12</v>
      </c>
      <c r="Q57" s="8" t="s">
        <v>12</v>
      </c>
      <c r="R57" s="7" t="s">
        <v>12</v>
      </c>
      <c r="S57" s="7" t="s">
        <v>11</v>
      </c>
      <c r="T57" s="7" t="s">
        <v>11</v>
      </c>
      <c r="U57" s="7" t="s">
        <v>12</v>
      </c>
      <c r="V57" s="9" t="s">
        <v>11</v>
      </c>
      <c r="W57" s="7" t="s">
        <v>12</v>
      </c>
      <c r="X57" s="7" t="s">
        <v>12</v>
      </c>
      <c r="Y57" s="8" t="s">
        <v>12</v>
      </c>
      <c r="Z57" s="7" t="s">
        <v>12</v>
      </c>
      <c r="AA57" s="7" t="s">
        <v>12</v>
      </c>
      <c r="AB57" s="7" t="s">
        <v>12</v>
      </c>
      <c r="AC57" s="7" t="s">
        <v>12</v>
      </c>
      <c r="AD57" s="9" t="s">
        <v>11</v>
      </c>
      <c r="AE57" s="7" t="s">
        <v>11</v>
      </c>
      <c r="AF57" s="7" t="s">
        <v>11</v>
      </c>
      <c r="AG57" s="7" t="s">
        <v>11</v>
      </c>
    </row>
    <row r="58" spans="1:33" x14ac:dyDescent="0.3">
      <c r="A58" s="8" t="s">
        <v>80</v>
      </c>
      <c r="B58" s="7" t="s">
        <v>11</v>
      </c>
      <c r="C58" s="7" t="s">
        <v>11</v>
      </c>
      <c r="D58" s="7" t="s">
        <v>12</v>
      </c>
      <c r="E58" s="7" t="s">
        <v>12</v>
      </c>
      <c r="F58" s="9" t="s">
        <v>12</v>
      </c>
      <c r="G58" s="7" t="s">
        <v>11</v>
      </c>
      <c r="H58" s="7" t="s">
        <v>11</v>
      </c>
      <c r="I58" s="8" t="s">
        <v>12</v>
      </c>
      <c r="J58" s="7" t="s">
        <v>11</v>
      </c>
      <c r="K58" s="7" t="s">
        <v>12</v>
      </c>
      <c r="L58" s="7" t="s">
        <v>11</v>
      </c>
      <c r="M58" s="8" t="s">
        <v>12</v>
      </c>
      <c r="N58" s="7" t="s">
        <v>11</v>
      </c>
      <c r="O58" s="7" t="s">
        <v>12</v>
      </c>
      <c r="P58" s="7" t="s">
        <v>11</v>
      </c>
      <c r="Q58" s="8" t="s">
        <v>12</v>
      </c>
      <c r="R58" s="7" t="s">
        <v>11</v>
      </c>
      <c r="S58" s="7" t="s">
        <v>12</v>
      </c>
      <c r="T58" s="7" t="s">
        <v>12</v>
      </c>
      <c r="U58" s="7" t="s">
        <v>11</v>
      </c>
      <c r="V58" s="9" t="s">
        <v>11</v>
      </c>
      <c r="W58" s="7" t="s">
        <v>11</v>
      </c>
      <c r="X58" s="7" t="s">
        <v>11</v>
      </c>
      <c r="Y58" s="8" t="s">
        <v>12</v>
      </c>
      <c r="Z58" s="7" t="s">
        <v>11</v>
      </c>
      <c r="AA58" s="7" t="s">
        <v>11</v>
      </c>
      <c r="AB58" s="7" t="s">
        <v>11</v>
      </c>
      <c r="AC58" s="7" t="s">
        <v>11</v>
      </c>
      <c r="AD58" s="9" t="s">
        <v>12</v>
      </c>
      <c r="AE58" s="7" t="s">
        <v>12</v>
      </c>
      <c r="AF58" s="7" t="s">
        <v>12</v>
      </c>
      <c r="AG58" s="7" t="s">
        <v>12</v>
      </c>
    </row>
    <row r="59" spans="1:33" x14ac:dyDescent="0.3">
      <c r="A59" s="8" t="s">
        <v>81</v>
      </c>
      <c r="B59" s="7" t="s">
        <v>12</v>
      </c>
      <c r="C59" s="7" t="s">
        <v>11</v>
      </c>
      <c r="D59" s="7" t="s">
        <v>12</v>
      </c>
      <c r="E59" s="7" t="s">
        <v>11</v>
      </c>
      <c r="F59" s="9" t="s">
        <v>11</v>
      </c>
      <c r="G59" s="7" t="s">
        <v>11</v>
      </c>
      <c r="H59" s="7" t="s">
        <v>11</v>
      </c>
      <c r="I59" s="8" t="s">
        <v>11</v>
      </c>
      <c r="J59" s="7" t="s">
        <v>12</v>
      </c>
      <c r="K59" s="7" t="s">
        <v>11</v>
      </c>
      <c r="L59" s="7" t="s">
        <v>12</v>
      </c>
      <c r="M59" s="8" t="s">
        <v>12</v>
      </c>
      <c r="N59" s="7" t="s">
        <v>12</v>
      </c>
      <c r="O59" s="7" t="s">
        <v>12</v>
      </c>
      <c r="P59" s="7" t="s">
        <v>11</v>
      </c>
      <c r="Q59" s="8" t="s">
        <v>11</v>
      </c>
      <c r="R59" s="7" t="s">
        <v>12</v>
      </c>
      <c r="S59" s="7" t="s">
        <v>11</v>
      </c>
      <c r="T59" s="7" t="s">
        <v>12</v>
      </c>
      <c r="U59" s="7" t="s">
        <v>11</v>
      </c>
      <c r="V59" s="9" t="s">
        <v>11</v>
      </c>
      <c r="W59" s="7" t="s">
        <v>12</v>
      </c>
      <c r="X59" s="7" t="s">
        <v>12</v>
      </c>
      <c r="Y59" s="8" t="s">
        <v>11</v>
      </c>
      <c r="Z59" s="7" t="s">
        <v>12</v>
      </c>
      <c r="AA59" s="7" t="s">
        <v>12</v>
      </c>
      <c r="AB59" s="7" t="s">
        <v>12</v>
      </c>
      <c r="AC59" s="7" t="s">
        <v>11</v>
      </c>
      <c r="AD59" s="9" t="s">
        <v>11</v>
      </c>
      <c r="AE59" s="7" t="s">
        <v>11</v>
      </c>
      <c r="AF59" s="7" t="s">
        <v>12</v>
      </c>
      <c r="AG59" s="7" t="s">
        <v>12</v>
      </c>
    </row>
    <row r="60" spans="1:33" x14ac:dyDescent="0.3">
      <c r="A60" s="8" t="s">
        <v>82</v>
      </c>
      <c r="B60" s="7" t="s">
        <v>12</v>
      </c>
      <c r="C60" s="7" t="s">
        <v>11</v>
      </c>
      <c r="D60" s="7" t="s">
        <v>12</v>
      </c>
      <c r="E60" s="7" t="s">
        <v>11</v>
      </c>
      <c r="F60" s="9" t="s">
        <v>11</v>
      </c>
      <c r="G60" s="7" t="s">
        <v>11</v>
      </c>
      <c r="H60" s="7" t="s">
        <v>12</v>
      </c>
      <c r="I60" s="8" t="s">
        <v>12</v>
      </c>
      <c r="J60" s="7" t="s">
        <v>12</v>
      </c>
      <c r="K60" s="7" t="s">
        <v>11</v>
      </c>
      <c r="L60" s="7" t="s">
        <v>12</v>
      </c>
      <c r="M60" s="8" t="s">
        <v>11</v>
      </c>
      <c r="N60" s="7" t="s">
        <v>11</v>
      </c>
      <c r="O60" s="7" t="s">
        <v>11</v>
      </c>
      <c r="P60" s="7" t="s">
        <v>12</v>
      </c>
      <c r="Q60" s="8" t="s">
        <v>11</v>
      </c>
      <c r="R60" s="7" t="s">
        <v>11</v>
      </c>
      <c r="S60" s="7" t="s">
        <v>11</v>
      </c>
      <c r="T60" s="7" t="s">
        <v>12</v>
      </c>
      <c r="U60" s="7" t="s">
        <v>12</v>
      </c>
      <c r="V60" s="9" t="s">
        <v>12</v>
      </c>
      <c r="W60" s="7" t="s">
        <v>12</v>
      </c>
      <c r="X60" s="7" t="s">
        <v>11</v>
      </c>
      <c r="Y60" s="8" t="s">
        <v>12</v>
      </c>
      <c r="Z60" s="7" t="s">
        <v>11</v>
      </c>
      <c r="AA60" s="7" t="s">
        <v>12</v>
      </c>
      <c r="AB60" s="7" t="s">
        <v>11</v>
      </c>
      <c r="AC60" s="7" t="s">
        <v>12</v>
      </c>
      <c r="AD60" s="9" t="s">
        <v>11</v>
      </c>
      <c r="AE60" s="7" t="s">
        <v>11</v>
      </c>
      <c r="AF60" s="7" t="s">
        <v>12</v>
      </c>
      <c r="AG60" s="7" t="s">
        <v>12</v>
      </c>
    </row>
    <row r="61" spans="1:33" x14ac:dyDescent="0.3">
      <c r="A61" s="8" t="s">
        <v>83</v>
      </c>
      <c r="B61" s="7" t="s">
        <v>11</v>
      </c>
      <c r="C61" s="7" t="s">
        <v>11</v>
      </c>
      <c r="D61" s="7" t="s">
        <v>11</v>
      </c>
      <c r="E61" s="7" t="s">
        <v>11</v>
      </c>
      <c r="F61" s="9" t="s">
        <v>11</v>
      </c>
      <c r="G61" s="7" t="s">
        <v>12</v>
      </c>
      <c r="H61" s="7" t="s">
        <v>11</v>
      </c>
      <c r="I61" s="8" t="s">
        <v>12</v>
      </c>
      <c r="J61" s="7" t="s">
        <v>11</v>
      </c>
      <c r="K61" s="7" t="s">
        <v>12</v>
      </c>
      <c r="L61" s="7" t="s">
        <v>11</v>
      </c>
      <c r="M61" s="8" t="s">
        <v>12</v>
      </c>
      <c r="N61" s="7" t="s">
        <v>11</v>
      </c>
      <c r="O61" s="7" t="s">
        <v>12</v>
      </c>
      <c r="P61" s="7" t="s">
        <v>12</v>
      </c>
      <c r="Q61" s="8" t="s">
        <v>12</v>
      </c>
      <c r="R61" s="7" t="s">
        <v>11</v>
      </c>
      <c r="S61" s="7" t="s">
        <v>12</v>
      </c>
      <c r="T61" s="7" t="s">
        <v>11</v>
      </c>
      <c r="U61" s="7" t="s">
        <v>11</v>
      </c>
      <c r="V61" s="9" t="s">
        <v>11</v>
      </c>
      <c r="W61" s="7" t="s">
        <v>11</v>
      </c>
      <c r="X61" s="7" t="s">
        <v>11</v>
      </c>
      <c r="Y61" s="8" t="s">
        <v>11</v>
      </c>
      <c r="Z61" s="7" t="s">
        <v>11</v>
      </c>
      <c r="AA61" s="7" t="s">
        <v>11</v>
      </c>
      <c r="AB61" s="7" t="s">
        <v>12</v>
      </c>
      <c r="AC61" s="7" t="s">
        <v>11</v>
      </c>
      <c r="AD61" s="9" t="s">
        <v>11</v>
      </c>
      <c r="AE61" s="7" t="s">
        <v>12</v>
      </c>
      <c r="AF61" s="7" t="s">
        <v>11</v>
      </c>
      <c r="AG61" s="7" t="s">
        <v>12</v>
      </c>
    </row>
    <row r="62" spans="1:33" x14ac:dyDescent="0.3">
      <c r="A62" s="8" t="s">
        <v>84</v>
      </c>
      <c r="B62" s="7" t="s">
        <v>11</v>
      </c>
      <c r="C62" s="7" t="s">
        <v>12</v>
      </c>
      <c r="D62" s="7" t="s">
        <v>11</v>
      </c>
      <c r="E62" s="7" t="s">
        <v>12</v>
      </c>
      <c r="F62" s="9" t="s">
        <v>11</v>
      </c>
      <c r="G62" s="7" t="s">
        <v>11</v>
      </c>
      <c r="H62" s="7" t="s">
        <v>12</v>
      </c>
      <c r="I62" s="8" t="s">
        <v>11</v>
      </c>
      <c r="J62" s="7" t="s">
        <v>12</v>
      </c>
      <c r="K62" s="7" t="s">
        <v>12</v>
      </c>
      <c r="L62" s="7" t="s">
        <v>12</v>
      </c>
      <c r="M62" s="8" t="s">
        <v>11</v>
      </c>
      <c r="N62" s="7" t="s">
        <v>12</v>
      </c>
      <c r="O62" s="7" t="s">
        <v>11</v>
      </c>
      <c r="P62" s="7" t="s">
        <v>11</v>
      </c>
      <c r="Q62" s="8" t="s">
        <v>11</v>
      </c>
      <c r="R62" s="7" t="s">
        <v>11</v>
      </c>
      <c r="S62" s="7" t="s">
        <v>11</v>
      </c>
      <c r="T62" s="7" t="s">
        <v>11</v>
      </c>
      <c r="U62" s="7" t="s">
        <v>11</v>
      </c>
      <c r="V62" s="9" t="s">
        <v>12</v>
      </c>
      <c r="W62" s="7" t="s">
        <v>11</v>
      </c>
      <c r="X62" s="7" t="s">
        <v>12</v>
      </c>
      <c r="Y62" s="8" t="s">
        <v>12</v>
      </c>
      <c r="Z62" s="7" t="s">
        <v>12</v>
      </c>
      <c r="AA62" s="7" t="s">
        <v>11</v>
      </c>
      <c r="AB62" s="7" t="s">
        <v>11</v>
      </c>
      <c r="AC62" s="7" t="s">
        <v>12</v>
      </c>
      <c r="AD62" s="9" t="s">
        <v>11</v>
      </c>
      <c r="AE62" s="7" t="s">
        <v>12</v>
      </c>
      <c r="AF62" s="7" t="s">
        <v>11</v>
      </c>
      <c r="AG62" s="7" t="s">
        <v>12</v>
      </c>
    </row>
    <row r="63" spans="1:33" x14ac:dyDescent="0.3">
      <c r="A63" s="8" t="s">
        <v>85</v>
      </c>
      <c r="B63" s="7" t="s">
        <v>11</v>
      </c>
      <c r="C63" s="7" t="s">
        <v>12</v>
      </c>
      <c r="D63" s="7" t="s">
        <v>12</v>
      </c>
      <c r="E63" s="7" t="s">
        <v>11</v>
      </c>
      <c r="F63" s="9" t="s">
        <v>12</v>
      </c>
      <c r="G63" s="7" t="s">
        <v>12</v>
      </c>
      <c r="H63" s="7" t="s">
        <v>12</v>
      </c>
      <c r="I63" s="8" t="s">
        <v>11</v>
      </c>
      <c r="J63" s="7" t="s">
        <v>11</v>
      </c>
      <c r="K63" s="7" t="s">
        <v>11</v>
      </c>
      <c r="L63" s="7" t="s">
        <v>12</v>
      </c>
      <c r="M63" s="8" t="s">
        <v>11</v>
      </c>
      <c r="N63" s="7" t="s">
        <v>11</v>
      </c>
      <c r="O63" s="7" t="s">
        <v>11</v>
      </c>
      <c r="P63" s="7" t="s">
        <v>12</v>
      </c>
      <c r="Q63" s="8" t="s">
        <v>11</v>
      </c>
      <c r="R63" s="7" t="s">
        <v>11</v>
      </c>
      <c r="S63" s="7" t="s">
        <v>12</v>
      </c>
      <c r="T63" s="7" t="s">
        <v>11</v>
      </c>
      <c r="U63" s="7" t="s">
        <v>12</v>
      </c>
      <c r="V63" s="9" t="s">
        <v>12</v>
      </c>
      <c r="W63" s="7" t="s">
        <v>11</v>
      </c>
      <c r="X63" s="7" t="s">
        <v>11</v>
      </c>
      <c r="Y63" s="8" t="s">
        <v>11</v>
      </c>
      <c r="Z63" s="7" t="s">
        <v>11</v>
      </c>
      <c r="AA63" s="7" t="s">
        <v>11</v>
      </c>
      <c r="AB63" s="7" t="s">
        <v>12</v>
      </c>
      <c r="AC63" s="7" t="s">
        <v>12</v>
      </c>
      <c r="AD63" s="9" t="s">
        <v>11</v>
      </c>
      <c r="AE63" s="7" t="s">
        <v>12</v>
      </c>
      <c r="AF63" s="7" t="s">
        <v>12</v>
      </c>
      <c r="AG63" s="7" t="s">
        <v>11</v>
      </c>
    </row>
    <row r="64" spans="1:33" x14ac:dyDescent="0.3">
      <c r="A64" s="8" t="s">
        <v>86</v>
      </c>
      <c r="B64" s="7" t="s">
        <v>11</v>
      </c>
      <c r="C64" s="7" t="s">
        <v>11</v>
      </c>
      <c r="D64" s="7" t="s">
        <v>11</v>
      </c>
      <c r="E64" s="7" t="s">
        <v>11</v>
      </c>
      <c r="F64" s="9" t="s">
        <v>12</v>
      </c>
      <c r="G64" s="7" t="s">
        <v>12</v>
      </c>
      <c r="H64" s="7" t="s">
        <v>12</v>
      </c>
      <c r="I64" s="8" t="s">
        <v>12</v>
      </c>
      <c r="J64" s="7" t="s">
        <v>11</v>
      </c>
      <c r="K64" s="7" t="s">
        <v>12</v>
      </c>
      <c r="L64" s="7" t="s">
        <v>12</v>
      </c>
      <c r="M64" s="8" t="s">
        <v>12</v>
      </c>
      <c r="N64" s="7" t="s">
        <v>11</v>
      </c>
      <c r="O64" s="7" t="s">
        <v>12</v>
      </c>
      <c r="P64" s="7" t="s">
        <v>11</v>
      </c>
      <c r="Q64" s="8" t="s">
        <v>11</v>
      </c>
      <c r="R64" s="7" t="s">
        <v>12</v>
      </c>
      <c r="S64" s="7" t="s">
        <v>12</v>
      </c>
      <c r="T64" s="7" t="s">
        <v>12</v>
      </c>
      <c r="U64" s="7" t="s">
        <v>11</v>
      </c>
      <c r="V64" s="9" t="s">
        <v>11</v>
      </c>
      <c r="W64" s="7" t="s">
        <v>12</v>
      </c>
      <c r="X64" s="7" t="s">
        <v>12</v>
      </c>
      <c r="Y64" s="8" t="s">
        <v>11</v>
      </c>
      <c r="Z64" s="7" t="s">
        <v>11</v>
      </c>
      <c r="AA64" s="7" t="s">
        <v>11</v>
      </c>
      <c r="AB64" s="7" t="s">
        <v>12</v>
      </c>
      <c r="AC64" s="7" t="s">
        <v>11</v>
      </c>
      <c r="AD64" s="9" t="s">
        <v>12</v>
      </c>
      <c r="AE64" s="7" t="s">
        <v>11</v>
      </c>
      <c r="AF64" s="7" t="s">
        <v>11</v>
      </c>
      <c r="AG64" s="7" t="s">
        <v>11</v>
      </c>
    </row>
    <row r="65" spans="1:33" x14ac:dyDescent="0.3">
      <c r="A65" s="8" t="s">
        <v>87</v>
      </c>
      <c r="B65" s="7" t="s">
        <v>12</v>
      </c>
      <c r="C65" s="7" t="s">
        <v>12</v>
      </c>
      <c r="D65" s="7" t="s">
        <v>11</v>
      </c>
      <c r="E65" s="7" t="s">
        <v>12</v>
      </c>
      <c r="F65" s="9" t="s">
        <v>12</v>
      </c>
      <c r="G65" s="7" t="s">
        <v>11</v>
      </c>
      <c r="H65" s="7" t="s">
        <v>11</v>
      </c>
      <c r="I65" s="8" t="s">
        <v>12</v>
      </c>
      <c r="J65" s="7" t="s">
        <v>12</v>
      </c>
      <c r="K65" s="7" t="s">
        <v>12</v>
      </c>
      <c r="L65" s="7" t="s">
        <v>11</v>
      </c>
      <c r="M65" s="8" t="s">
        <v>11</v>
      </c>
      <c r="N65" s="7" t="s">
        <v>12</v>
      </c>
      <c r="O65" s="7" t="s">
        <v>12</v>
      </c>
      <c r="P65" s="7" t="s">
        <v>12</v>
      </c>
      <c r="Q65" s="8" t="s">
        <v>11</v>
      </c>
      <c r="R65" s="7" t="s">
        <v>11</v>
      </c>
      <c r="S65" s="7" t="s">
        <v>11</v>
      </c>
      <c r="T65" s="7" t="s">
        <v>12</v>
      </c>
      <c r="U65" s="7" t="s">
        <v>12</v>
      </c>
      <c r="V65" s="9" t="s">
        <v>12</v>
      </c>
      <c r="W65" s="7" t="s">
        <v>12</v>
      </c>
      <c r="X65" s="7" t="s">
        <v>11</v>
      </c>
      <c r="Y65" s="8" t="s">
        <v>12</v>
      </c>
      <c r="Z65" s="7" t="s">
        <v>12</v>
      </c>
      <c r="AA65" s="7" t="s">
        <v>12</v>
      </c>
      <c r="AB65" s="7" t="s">
        <v>11</v>
      </c>
      <c r="AC65" s="7" t="s">
        <v>11</v>
      </c>
      <c r="AD65" s="9" t="s">
        <v>12</v>
      </c>
      <c r="AE65" s="7" t="s">
        <v>11</v>
      </c>
      <c r="AF65" s="7" t="s">
        <v>12</v>
      </c>
      <c r="AG65" s="7" t="s">
        <v>12</v>
      </c>
    </row>
  </sheetData>
  <mergeCells count="8">
    <mergeCell ref="F1:I1"/>
    <mergeCell ref="B1:E1"/>
    <mergeCell ref="AD1:AG1"/>
    <mergeCell ref="Z1:AC1"/>
    <mergeCell ref="V1:Y1"/>
    <mergeCell ref="R1:U1"/>
    <mergeCell ref="N1:Q1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DB6-761A-4446-8E33-644C41FF6049}">
  <dimension ref="A1:N20"/>
  <sheetViews>
    <sheetView tabSelected="1" zoomScale="85" zoomScaleNormal="85" workbookViewId="0">
      <selection activeCell="L5" sqref="L5"/>
    </sheetView>
  </sheetViews>
  <sheetFormatPr defaultRowHeight="14.4" x14ac:dyDescent="0.3"/>
  <cols>
    <col min="4" max="4" width="15.44140625" customWidth="1"/>
    <col min="10" max="10" width="36.21875" customWidth="1"/>
    <col min="11" max="11" width="35" customWidth="1"/>
    <col min="12" max="12" width="57.21875" customWidth="1"/>
    <col min="13" max="13" width="64.88671875" customWidth="1"/>
    <col min="14" max="14" width="68.6640625" customWidth="1"/>
  </cols>
  <sheetData>
    <row r="1" spans="1:14" x14ac:dyDescent="0.3">
      <c r="A1" s="1" t="s">
        <v>4</v>
      </c>
      <c r="B1" s="1"/>
      <c r="C1" s="13" t="s">
        <v>8</v>
      </c>
      <c r="D1" s="13"/>
    </row>
    <row r="2" spans="1:14" ht="14.4" customHeight="1" x14ac:dyDescent="0.3">
      <c r="A2" s="1" t="s">
        <v>94</v>
      </c>
      <c r="B2" s="1"/>
      <c r="C2" s="2" t="str">
        <f>CONCATENATE(DEC2BIN(HEX2DEC(MID(C$1,1,2)),8), DEC2BIN(HEX2DEC(MID(C$1,3,2)),8), DEC2BIN(HEX2DEC(MID(C$1,5,2)),8), DEC2BIN(HEX2DEC(MID(C$1,7,2)),8), DEC2BIN(HEX2DEC(MID(C$1,9,2)),8), DEC2BIN(HEX2DEC(MID(C$1,11,2)),8), DEC2BIN(HEX2DEC(MID(C$1,13,2)),8), DEC2BIN(HEX2DEC(MID(C$1,15,2)),8))</f>
        <v>0000000100110011010001010111011110011001101110111100110111111111</v>
      </c>
      <c r="D2" s="2"/>
      <c r="E2" s="2"/>
      <c r="F2" s="2"/>
    </row>
    <row r="3" spans="1:14" x14ac:dyDescent="0.3">
      <c r="C3" s="2"/>
      <c r="D3" s="2"/>
      <c r="E3" s="2"/>
      <c r="F3" s="2"/>
    </row>
    <row r="4" spans="1:14" x14ac:dyDescent="0.3">
      <c r="A4" s="3" t="s">
        <v>95</v>
      </c>
      <c r="B4" s="3"/>
      <c r="C4" s="6"/>
      <c r="D4" s="2" t="str" cm="1">
        <f t="array" ref="D4">_xlfn.TEXTJOIN("",TRUE, MID(C$2, INDEX(Permutations!$E$2:$E$57, _xlfn.SEQUENCE(1,56)), 1))</f>
        <v>11110000110011001010101010111010101011001100111100001010</v>
      </c>
      <c r="E4" s="2"/>
      <c r="F4" s="2"/>
      <c r="G4" s="2"/>
    </row>
    <row r="5" spans="1:14" x14ac:dyDescent="0.3">
      <c r="C5" s="6"/>
      <c r="D5" s="2"/>
      <c r="E5" s="2"/>
      <c r="F5" s="2"/>
      <c r="G5" s="2"/>
      <c r="I5" t="s">
        <v>96</v>
      </c>
      <c r="J5" t="str">
        <f>CONCATENATE(RIGHT($B$7,28-Permutations!G2),LEFT($B$7,Permutations!G2))</f>
        <v>1110000110011001010101010111</v>
      </c>
      <c r="K5" t="str">
        <f>CONCATENATE(RIGHT($B$9,28-Permutations!G2),LEFT($B$9,Permutations!G2))</f>
        <v>0101010110011001111000010101</v>
      </c>
      <c r="L5" t="str" cm="1">
        <f t="array" ref="L5">_xlfn.TEXTJOIN("",TRUE,INDEX(MID(CONCATENATE(J5,K5),_xlfn.SEQUENCE(1,56,1,1),1),Permutations!$F$2:$F$49))</f>
        <v>000110110000001011101111110110110100100110100101</v>
      </c>
    </row>
    <row r="6" spans="1:14" x14ac:dyDescent="0.3">
      <c r="I6" s="6" t="s">
        <v>97</v>
      </c>
      <c r="J6" s="6" t="str">
        <f>CONCATENATE(RIGHT($B$7,28-Permutations!G3),LEFT($B$7,Permutations!G3))</f>
        <v>1110000110011001010101010111</v>
      </c>
      <c r="K6" s="6" t="str">
        <f>CONCATENATE(RIGHT($B$9,28-Permutations!G3),LEFT($B$9,Permutations!G3))</f>
        <v>0101010110011001111000010101</v>
      </c>
      <c r="L6" s="6" t="str" cm="1">
        <f t="array" ref="L6">_xlfn.TEXTJOIN("",TRUE,INDEX(MID(CONCATENATE(J6,K6),_xlfn.SEQUENCE(1,56,1,1),1),Permutations!$F$2:$F$49))</f>
        <v>000110110000001011101111110110110100100110100101</v>
      </c>
      <c r="M6" s="6"/>
      <c r="N6" s="6"/>
    </row>
    <row r="7" spans="1:14" ht="14.4" customHeight="1" x14ac:dyDescent="0.3">
      <c r="A7" t="s">
        <v>9</v>
      </c>
      <c r="B7" s="2" t="str">
        <f xml:space="preserve"> LEFT(D4,28)</f>
        <v>1111000011001100101010101011</v>
      </c>
      <c r="C7" s="2"/>
      <c r="D7" s="2"/>
      <c r="I7" s="6" t="s">
        <v>98</v>
      </c>
      <c r="J7" s="6" t="str">
        <f>CONCATENATE(RIGHT($B$7,28-Permutations!G4),LEFT($B$7,Permutations!G4))</f>
        <v>1100001100110010101010101111</v>
      </c>
      <c r="K7" s="6" t="str">
        <f>CONCATENATE(RIGHT($B$9,28-Permutations!G4),LEFT($B$9,Permutations!G4))</f>
        <v>1010101100110011110000101010</v>
      </c>
      <c r="L7" s="6" t="str" cm="1">
        <f t="array" ref="L7">_xlfn.TEXTJOIN("",TRUE,INDEX(MID(CONCATENATE(J7,K7),_xlfn.SEQUENCE(1,56,1,1),1),Permutations!$F$2:$F$49))</f>
        <v>011010011010111011011001001001011110101001100110</v>
      </c>
      <c r="M7" s="6"/>
      <c r="N7" s="6"/>
    </row>
    <row r="8" spans="1:14" x14ac:dyDescent="0.3">
      <c r="B8" s="2"/>
      <c r="C8" s="2"/>
      <c r="D8" s="2"/>
      <c r="I8" s="6" t="s">
        <v>99</v>
      </c>
      <c r="J8" s="6" t="str">
        <f>CONCATENATE(RIGHT($B$7,28-Permutations!G5),LEFT($B$7,Permutations!G5))</f>
        <v>1100001100110010101010101111</v>
      </c>
      <c r="K8" s="6" t="str">
        <f>CONCATENATE(RIGHT($B$9,28-Permutations!G5),LEFT($B$9,Permutations!G5))</f>
        <v>1010101100110011110000101010</v>
      </c>
      <c r="L8" s="6" t="str" cm="1">
        <f t="array" ref="L8">_xlfn.TEXTJOIN("",TRUE,INDEX(MID(CONCATENATE(J8,K8),_xlfn.SEQUENCE(1,56,1,1),1),Permutations!$F$2:$F$49))</f>
        <v>011010011010111011011001001001011110101001100110</v>
      </c>
      <c r="M8" s="6"/>
      <c r="N8" s="6"/>
    </row>
    <row r="9" spans="1:14" x14ac:dyDescent="0.3">
      <c r="A9" s="6" t="s">
        <v>10</v>
      </c>
      <c r="B9" s="2" t="str">
        <f xml:space="preserve"> RIGHT(D4,28)</f>
        <v>1010101011001100111100001010</v>
      </c>
      <c r="C9" s="2"/>
      <c r="D9" s="2"/>
      <c r="I9" s="6" t="s">
        <v>100</v>
      </c>
      <c r="J9" s="6" t="str">
        <f>CONCATENATE(RIGHT($B$7,28-Permutations!G6),LEFT($B$7,Permutations!G6))</f>
        <v>1100001100110010101010101111</v>
      </c>
      <c r="K9" s="6" t="str">
        <f>CONCATENATE(RIGHT($B$9,28-Permutations!G6),LEFT($B$9,Permutations!G6))</f>
        <v>1010101100110011110000101010</v>
      </c>
      <c r="L9" s="6" t="str" cm="1">
        <f t="array" ref="L9">_xlfn.TEXTJOIN("",TRUE,INDEX(MID(CONCATENATE(J9,K9),_xlfn.SEQUENCE(1,56,1,1),1),Permutations!$F$2:$F$49))</f>
        <v>011010011010111011011001001001011110101001100110</v>
      </c>
      <c r="M9" s="6"/>
      <c r="N9" s="6"/>
    </row>
    <row r="10" spans="1:14" x14ac:dyDescent="0.3">
      <c r="B10" s="2"/>
      <c r="C10" s="2"/>
      <c r="D10" s="2"/>
      <c r="I10" s="6" t="s">
        <v>101</v>
      </c>
      <c r="J10" s="6" t="str">
        <f>CONCATENATE(RIGHT($B$7,28-Permutations!G7),LEFT($B$7,Permutations!G7))</f>
        <v>1100001100110010101010101111</v>
      </c>
      <c r="K10" s="6" t="str">
        <f>CONCATENATE(RIGHT($B$9,28-Permutations!G7),LEFT($B$9,Permutations!G7))</f>
        <v>1010101100110011110000101010</v>
      </c>
      <c r="L10" s="6" t="str" cm="1">
        <f t="array" ref="L10">_xlfn.TEXTJOIN("",TRUE,INDEX(MID(CONCATENATE(J10,K10),_xlfn.SEQUENCE(1,56,1,1),1),Permutations!$F$2:$F$49))</f>
        <v>011010011010111011011001001001011110101001100110</v>
      </c>
      <c r="M10" s="6"/>
      <c r="N10" s="6"/>
    </row>
    <row r="11" spans="1:14" x14ac:dyDescent="0.3">
      <c r="I11" s="6" t="s">
        <v>102</v>
      </c>
      <c r="J11" s="6" t="str">
        <f>CONCATENATE(RIGHT($B$7,28-Permutations!G8),LEFT($B$7,Permutations!G8))</f>
        <v>1100001100110010101010101111</v>
      </c>
      <c r="K11" s="6" t="str">
        <f>CONCATENATE(RIGHT($B$9,28-Permutations!G8),LEFT($B$9,Permutations!G8))</f>
        <v>1010101100110011110000101010</v>
      </c>
      <c r="L11" s="6" t="str" cm="1">
        <f t="array" ref="L11">_xlfn.TEXTJOIN("",TRUE,INDEX(MID(CONCATENATE(J11,K11),_xlfn.SEQUENCE(1,56,1,1),1),Permutations!$F$2:$F$49))</f>
        <v>011010011010111011011001001001011110101001100110</v>
      </c>
      <c r="M11" s="6"/>
      <c r="N11" s="6"/>
    </row>
    <row r="12" spans="1:14" x14ac:dyDescent="0.3">
      <c r="I12" s="6" t="s">
        <v>103</v>
      </c>
      <c r="J12" s="6" t="str">
        <f>CONCATENATE(RIGHT($B$7,28-Permutations!G9),LEFT($B$7,Permutations!G9))</f>
        <v>1100001100110010101010101111</v>
      </c>
      <c r="K12" s="6" t="str">
        <f>CONCATENATE(RIGHT($B$9,28-Permutations!G9),LEFT($B$9,Permutations!G9))</f>
        <v>1010101100110011110000101010</v>
      </c>
      <c r="L12" s="6" t="str" cm="1">
        <f t="array" ref="L12">_xlfn.TEXTJOIN("",TRUE,INDEX(MID(CONCATENATE(J12,K12),_xlfn.SEQUENCE(1,56,1,1),1),Permutations!$F$2:$F$49))</f>
        <v>011010011010111011011001001001011110101001100110</v>
      </c>
      <c r="M12" s="6"/>
      <c r="N12" s="6"/>
    </row>
    <row r="13" spans="1:14" x14ac:dyDescent="0.3">
      <c r="I13" s="6" t="s">
        <v>104</v>
      </c>
      <c r="J13" s="6" t="str">
        <f>CONCATENATE(RIGHT($B$7,28-Permutations!G10),LEFT($B$7,Permutations!G10))</f>
        <v>1110000110011001010101010111</v>
      </c>
      <c r="K13" s="6" t="str">
        <f>CONCATENATE(RIGHT($B$9,28-Permutations!G10),LEFT($B$9,Permutations!G10))</f>
        <v>0101010110011001111000010101</v>
      </c>
      <c r="L13" s="6" t="str" cm="1">
        <f t="array" ref="L13">_xlfn.TEXTJOIN("",TRUE,INDEX(MID(CONCATENATE(J13,K13),_xlfn.SEQUENCE(1,56,1,1),1),Permutations!$F$2:$F$49))</f>
        <v>000110110000001011101111110110110100100110100101</v>
      </c>
      <c r="M13" s="6"/>
      <c r="N13" s="6"/>
    </row>
    <row r="14" spans="1:14" x14ac:dyDescent="0.3">
      <c r="I14" s="6" t="s">
        <v>105</v>
      </c>
      <c r="J14" s="6" t="str">
        <f>CONCATENATE(RIGHT($B$7,28-Permutations!G11),LEFT($B$7,Permutations!G11))</f>
        <v>1100001100110010101010101111</v>
      </c>
      <c r="K14" s="6" t="str">
        <f>CONCATENATE(RIGHT($B$9,28-Permutations!G11),LEFT($B$9,Permutations!G11))</f>
        <v>1010101100110011110000101010</v>
      </c>
      <c r="L14" s="6" t="str" cm="1">
        <f t="array" ref="L14">_xlfn.TEXTJOIN("",TRUE,INDEX(MID(CONCATENATE(J14,K14),_xlfn.SEQUENCE(1,56,1,1),1),Permutations!$F$2:$F$49))</f>
        <v>011010011010111011011001001001011110101001100110</v>
      </c>
      <c r="M14" s="6"/>
      <c r="N14" s="6"/>
    </row>
    <row r="15" spans="1:14" x14ac:dyDescent="0.3">
      <c r="I15" s="6" t="s">
        <v>106</v>
      </c>
      <c r="J15" s="6" t="str">
        <f>CONCATENATE(RIGHT($B$7,28-Permutations!G12),LEFT($B$7,Permutations!G12))</f>
        <v>1100001100110010101010101111</v>
      </c>
      <c r="K15" s="6" t="str">
        <f>CONCATENATE(RIGHT($B$9,28-Permutations!G12),LEFT($B$9,Permutations!G12))</f>
        <v>1010101100110011110000101010</v>
      </c>
      <c r="L15" s="6" t="str" cm="1">
        <f t="array" ref="L15">_xlfn.TEXTJOIN("",TRUE,INDEX(MID(CONCATENATE(J15,K15),_xlfn.SEQUENCE(1,56,1,1),1),Permutations!$F$2:$F$49))</f>
        <v>011010011010111011011001001001011110101001100110</v>
      </c>
      <c r="M15" s="6"/>
      <c r="N15" s="6"/>
    </row>
    <row r="16" spans="1:14" x14ac:dyDescent="0.3">
      <c r="I16" s="6" t="s">
        <v>107</v>
      </c>
      <c r="J16" s="6" t="str">
        <f>CONCATENATE(RIGHT($B$7,28-Permutations!G13),LEFT($B$7,Permutations!G13))</f>
        <v>1100001100110010101010101111</v>
      </c>
      <c r="K16" s="6" t="str">
        <f>CONCATENATE(RIGHT($B$9,28-Permutations!G13),LEFT($B$9,Permutations!G13))</f>
        <v>1010101100110011110000101010</v>
      </c>
      <c r="L16" s="6" t="str" cm="1">
        <f t="array" ref="L16">_xlfn.TEXTJOIN("",TRUE,INDEX(MID(CONCATENATE(J16,K16),_xlfn.SEQUENCE(1,56,1,1),1),Permutations!$F$2:$F$49))</f>
        <v>011010011010111011011001001001011110101001100110</v>
      </c>
      <c r="M16" s="6"/>
      <c r="N16" s="6"/>
    </row>
    <row r="17" spans="9:14" x14ac:dyDescent="0.3">
      <c r="I17" s="6" t="s">
        <v>108</v>
      </c>
      <c r="J17" s="6" t="str">
        <f>CONCATENATE(RIGHT($B$7,28-Permutations!G14),LEFT($B$7,Permutations!G14))</f>
        <v>1100001100110010101010101111</v>
      </c>
      <c r="K17" s="6" t="str">
        <f>CONCATENATE(RIGHT($B$9,28-Permutations!G14),LEFT($B$9,Permutations!G14))</f>
        <v>1010101100110011110000101010</v>
      </c>
      <c r="L17" s="6" t="str" cm="1">
        <f t="array" ref="L17">_xlfn.TEXTJOIN("",TRUE,INDEX(MID(CONCATENATE(J17,K17),_xlfn.SEQUENCE(1,56,1,1),1),Permutations!$F$2:$F$49))</f>
        <v>011010011010111011011001001001011110101001100110</v>
      </c>
      <c r="M17" s="6"/>
      <c r="N17" s="6"/>
    </row>
    <row r="18" spans="9:14" x14ac:dyDescent="0.3">
      <c r="I18" s="6" t="s">
        <v>109</v>
      </c>
      <c r="J18" s="6" t="str">
        <f>CONCATENATE(RIGHT($B$7,28-Permutations!G15),LEFT($B$7,Permutations!G15))</f>
        <v>1100001100110010101010101111</v>
      </c>
      <c r="K18" s="6" t="str">
        <f>CONCATENATE(RIGHT($B$9,28-Permutations!G15),LEFT($B$9,Permutations!G15))</f>
        <v>1010101100110011110000101010</v>
      </c>
      <c r="L18" s="6" t="str" cm="1">
        <f t="array" ref="L18">_xlfn.TEXTJOIN("",TRUE,INDEX(MID(CONCATENATE(J18,K18),_xlfn.SEQUENCE(1,56,1,1),1),Permutations!$F$2:$F$49))</f>
        <v>011010011010111011011001001001011110101001100110</v>
      </c>
      <c r="M18" s="6"/>
      <c r="N18" s="6"/>
    </row>
    <row r="19" spans="9:14" x14ac:dyDescent="0.3">
      <c r="I19" s="6" t="s">
        <v>110</v>
      </c>
      <c r="J19" s="6" t="str">
        <f>CONCATENATE(RIGHT($B$7,28-Permutations!G16),LEFT($B$7,Permutations!G16))</f>
        <v>1100001100110010101010101111</v>
      </c>
      <c r="K19" s="6" t="str">
        <f>CONCATENATE(RIGHT($B$9,28-Permutations!G16),LEFT($B$9,Permutations!G16))</f>
        <v>1010101100110011110000101010</v>
      </c>
      <c r="L19" s="6" t="str" cm="1">
        <f t="array" ref="L19">_xlfn.TEXTJOIN("",TRUE,INDEX(MID(CONCATENATE(J19,K19),_xlfn.SEQUENCE(1,56,1,1),1),Permutations!$F$2:$F$49))</f>
        <v>011010011010111011011001001001011110101001100110</v>
      </c>
      <c r="M19" s="6"/>
      <c r="N19" s="6"/>
    </row>
    <row r="20" spans="9:14" x14ac:dyDescent="0.3">
      <c r="I20" s="6" t="s">
        <v>111</v>
      </c>
      <c r="J20" s="6" t="str">
        <f>CONCATENATE(RIGHT($B$7,28-Permutations!G17),LEFT($B$7,Permutations!G17))</f>
        <v>1110000110011001010101010111</v>
      </c>
      <c r="K20" s="6" t="str">
        <f>CONCATENATE(RIGHT($B$9,28-Permutations!G17),LEFT($B$9,Permutations!G17))</f>
        <v>0101010110011001111000010101</v>
      </c>
      <c r="L20" s="6" t="str" cm="1">
        <f t="array" ref="L20">_xlfn.TEXTJOIN("",TRUE,INDEX(MID(CONCATENATE(J20,K20),_xlfn.SEQUENCE(1,56,1,1),1),Permutations!$F$2:$F$49))</f>
        <v>000110110000001011101111110110110100100110100101</v>
      </c>
      <c r="M20" s="6"/>
      <c r="N20" s="6"/>
    </row>
  </sheetData>
  <mergeCells count="7">
    <mergeCell ref="B7:D8"/>
    <mergeCell ref="B9:D10"/>
    <mergeCell ref="A1:B1"/>
    <mergeCell ref="C1:D1"/>
    <mergeCell ref="A2:B2"/>
    <mergeCell ref="C2:F3"/>
    <mergeCell ref="D4:G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806-26C4-41E8-94E1-2B7A0AC8A853}">
  <dimension ref="A1:AW30"/>
  <sheetViews>
    <sheetView topLeftCell="L1" zoomScale="47" zoomScaleNormal="47" workbookViewId="0">
      <selection activeCell="AG5" sqref="AG5"/>
    </sheetView>
  </sheetViews>
  <sheetFormatPr defaultRowHeight="14.4" x14ac:dyDescent="0.3"/>
  <cols>
    <col min="2" max="2" width="11.77734375" customWidth="1"/>
    <col min="4" max="4" width="17.33203125" customWidth="1"/>
    <col min="5" max="5" width="20.6640625" customWidth="1"/>
    <col min="11" max="11" width="61.5546875" customWidth="1"/>
    <col min="12" max="12" width="62.6640625" customWidth="1"/>
    <col min="13" max="13" width="63" customWidth="1"/>
    <col min="14" max="14" width="8.21875" customWidth="1"/>
    <col min="15" max="15" width="9.44140625" customWidth="1"/>
    <col min="16" max="16" width="8" customWidth="1"/>
    <col min="17" max="17" width="8.109375" customWidth="1"/>
    <col min="30" max="30" width="39.6640625" customWidth="1"/>
    <col min="31" max="31" width="42.5546875" customWidth="1"/>
    <col min="32" max="32" width="36.77734375" customWidth="1"/>
    <col min="33" max="33" width="33.88671875" customWidth="1"/>
    <col min="46" max="46" width="38.5546875" customWidth="1"/>
    <col min="47" max="47" width="37.21875" customWidth="1"/>
    <col min="48" max="48" width="36.77734375" customWidth="1"/>
    <col min="49" max="49" width="39.33203125" customWidth="1"/>
    <col min="50" max="50" width="23.6640625" customWidth="1"/>
  </cols>
  <sheetData>
    <row r="1" spans="1:49" x14ac:dyDescent="0.3">
      <c r="A1" s="1" t="s">
        <v>6</v>
      </c>
      <c r="B1" s="1"/>
      <c r="C1" s="4" t="s">
        <v>13</v>
      </c>
      <c r="D1" s="4"/>
    </row>
    <row r="2" spans="1:49" x14ac:dyDescent="0.3">
      <c r="A2" s="1" t="s">
        <v>94</v>
      </c>
      <c r="B2" s="1"/>
      <c r="C2" s="2" t="str">
        <f>CONCATENATE(DEC2BIN(HEX2DEC(MID(C$1,1,2)),8), DEC2BIN(HEX2DEC(MID(C$1,3,2)),8), DEC2BIN(HEX2DEC(MID(C$1,5,2)),8), DEC2BIN(HEX2DEC(MID(C$1,7,2)),8), DEC2BIN(HEX2DEC(MID(C$1,9,2)),8), DEC2BIN(HEX2DEC(MID(C$1,11,2)),8), DEC2BIN(HEX2DEC(MID(C$1,13,2)),8), DEC2BIN(HEX2DEC(MID(C$1,15,2)),8))</f>
        <v>0000000000010010001101000101011001111000100110101011110011011110</v>
      </c>
      <c r="D2" s="2"/>
      <c r="E2" s="2"/>
    </row>
    <row r="3" spans="1:49" x14ac:dyDescent="0.3">
      <c r="C3" s="2"/>
      <c r="D3" s="2"/>
      <c r="E3" s="2"/>
    </row>
    <row r="5" spans="1:49" x14ac:dyDescent="0.3">
      <c r="J5" t="s">
        <v>96</v>
      </c>
      <c r="K5" t="str" cm="1">
        <f t="array" ref="K5">_xlfn.TEXTJOIN("",TRUE,INDEX(MID($B$17,_xlfn.SEQUENCE(1,32,1,1),1),Permutations!$C$2:$C$49))</f>
        <v>011100000000001010101001011110100001010101010101</v>
      </c>
      <c r="L5" t="str">
        <f>'Giải nén khóa K'!L5</f>
        <v>000110110000001011101111110110110100100110100101</v>
      </c>
      <c r="M5" t="str" cm="1">
        <f t="array" ref="M5">_xlfn.TEXTJOIN("",TRUE,IF(MID(K5,_xlfn.SEQUENCE(1,48,1,1),1)=MID(L5,_xlfn.SEQUENCE(1,48,1,1),1),"0","1"))</f>
        <v>011010110000000001000110101000010101110011110000</v>
      </c>
      <c r="N5" t="str">
        <f>LEFT(M5,6)</f>
        <v>011010</v>
      </c>
      <c r="O5" t="str">
        <f>MID(M5,7,6)</f>
        <v>110000</v>
      </c>
      <c r="P5" t="str">
        <f>MID(M5,13,6)</f>
        <v>000001</v>
      </c>
      <c r="Q5" t="str">
        <f>MID(M5,19,6)</f>
        <v>000110</v>
      </c>
      <c r="R5" t="str">
        <f>MID(M5,25,6)</f>
        <v>101000</v>
      </c>
      <c r="S5" t="str">
        <f>MID(M5,31,6)</f>
        <v>010101</v>
      </c>
      <c r="T5" t="str">
        <f>MID(M5,37,6)</f>
        <v>110011</v>
      </c>
      <c r="U5" t="str">
        <f>MID(M5,43,6)</f>
        <v>110000</v>
      </c>
      <c r="V5" t="str">
        <f>_xlfn.TEXTJOIN("", TRUE, INDEX('S-boxes'!$B$2:$E$65, MATCH(N5, 'S-boxes'!$A$2:$A$65, 0), 0))</f>
        <v>1001</v>
      </c>
      <c r="W5" t="str">
        <f>_xlfn.TEXTJOIN("", TRUE, INDEX('S-boxes'!$F$2:$I$65, MATCH(O5, 'S-boxes'!$A$2:$A$65, 0), 0))</f>
        <v>0101</v>
      </c>
      <c r="X5" s="6" t="str">
        <f>_xlfn.TEXTJOIN("", TRUE, INDEX('S-boxes'!$J$2:$M$65, MATCH(P5, 'S-boxes'!$A$2:$A$65, 0), 0))</f>
        <v>1101</v>
      </c>
      <c r="Y5" t="str">
        <f>_xlfn.TEXTJOIN("", TRUE, INDEX('S-boxes'!$N$2:$Q$65, MATCH(Q5, 'S-boxes'!$A$2:$A$65, 0), 0))</f>
        <v>0011</v>
      </c>
      <c r="Z5" t="str">
        <f>_xlfn.TEXTJOIN("", TRUE, INDEX('S-boxes'!$R$2:$U$65, MATCH(R5, 'S-boxes'!$A$2:$A$65, 0), 0))</f>
        <v>1010</v>
      </c>
      <c r="AA5" t="str">
        <f>_xlfn.TEXTJOIN("", TRUE, INDEX('S-boxes'!$V$2:$Y$65, MATCH(S5, 'S-boxes'!$A$2:$A$65, 0), 0))</f>
        <v>1101</v>
      </c>
      <c r="AB5" s="6" t="str">
        <f>_xlfn.TEXTJOIN("", TRUE, INDEX('S-boxes'!$Z$2:$AC$65, MATCH(T5, 'S-boxes'!$A$2:$A$65, 0), 0))</f>
        <v>0101</v>
      </c>
      <c r="AC5" s="6" t="str">
        <f>_xlfn.TEXTJOIN("", TRUE, INDEX('S-boxes'!$AD$2:$AG$65, MATCH(U5, 'S-boxes'!$A$2:$A$65, 0), 0))</f>
        <v>0000</v>
      </c>
      <c r="AD5" s="6" t="str">
        <f>V5&amp;W5&amp;X5&amp;Y5&amp;Z5&amp;AA5&amp;AB5&amp;AC5</f>
        <v>10010101110100111010110101010000</v>
      </c>
      <c r="AE5" t="str" cm="1">
        <f t="array" ref="AE5">_xlfn.TEXTJOIN("",TRUE,INDEX(MID(AD5,_xlfn.SEQUENCE(1,32,1,1),1),Permutations!$D$2:$D$33))</f>
        <v>10010111110100010110000110011010</v>
      </c>
      <c r="AF5" t="str" cm="1">
        <f t="array" ref="AF5">_xlfn.TEXTJOIN("",TRUE,IF(MID($B$11,_xlfn.SEQUENCE(1,32,1,1),1)=MID(AE5,_xlfn.SEQUENCE(1,32,1,1),1),"0","1"))</f>
        <v>00001111001011111010110110011010</v>
      </c>
      <c r="AG5" t="str">
        <f>$B$17</f>
        <v>11100000010101001111000010101010</v>
      </c>
    </row>
    <row r="6" spans="1:49" x14ac:dyDescent="0.3">
      <c r="A6" s="1" t="s">
        <v>112</v>
      </c>
      <c r="B6" s="1"/>
      <c r="C6" s="2" t="str" cm="1">
        <f t="array" ref="C6">_xlfn.TEXTJOIN("",TRUE, MID(C$2, INDEX(Permutations!$A$2:$A$65, _xlfn.SEQUENCE(1,64)), 1))</f>
        <v>1001100011111110110011000000000011100000010101001111000010101010</v>
      </c>
      <c r="D6" s="2"/>
      <c r="E6" s="2"/>
      <c r="J6" s="6" t="s">
        <v>97</v>
      </c>
      <c r="K6" s="6" t="str" cm="1">
        <f t="array" ref="K6">_xlfn.TEXTJOIN("",TRUE,INDEX(MID(AF5,_xlfn.SEQUENCE(1,32,1,1),1),Permutations!$C$2:$C$49))</f>
        <v>000001011110100101011111110101011011110011110100</v>
      </c>
      <c r="L6" s="6" t="str">
        <f>'Giải nén khóa K'!L6</f>
        <v>000110110000001011101111110110110100100110100101</v>
      </c>
      <c r="M6" s="6" t="str" cm="1">
        <f t="array" ref="M6">_xlfn.TEXTJOIN("",TRUE,IF(MID(K6,_xlfn.SEQUENCE(1,48,1,1),1)=MID(L6,_xlfn.SEQUENCE(1,48,1,1),1),"0","1"))</f>
        <v>000111101110101110110000000011101111010101010001</v>
      </c>
      <c r="N6" s="6" t="str">
        <f>LEFT(M6,6)</f>
        <v>000111</v>
      </c>
      <c r="O6" s="6" t="str">
        <f>MID(M6,7,6)</f>
        <v>101110</v>
      </c>
      <c r="P6" s="6" t="str">
        <f>MID(M6,13,6)</f>
        <v>101110</v>
      </c>
      <c r="Q6" s="6" t="str">
        <f>MID(M6,19,6)</f>
        <v>110000</v>
      </c>
      <c r="R6" s="6" t="str">
        <f>MID(M6,25,6)</f>
        <v>000011</v>
      </c>
      <c r="S6" s="6" t="str">
        <f>MID(M6,31,6)</f>
        <v>101111</v>
      </c>
      <c r="T6" s="6" t="str">
        <f>MID(M6,37,6)</f>
        <v>010101</v>
      </c>
      <c r="U6" s="6" t="str">
        <f>MID(M6,43,6)</f>
        <v>010001</v>
      </c>
      <c r="V6" s="6" t="str">
        <f>_xlfn.TEXTJOIN("", TRUE, INDEX('S-boxes'!$B$2:$E$65, MATCH(N6, 'S-boxes'!$A$2:$A$65, 0), 0))</f>
        <v>0100</v>
      </c>
      <c r="W6" s="6" t="str">
        <f>_xlfn.TEXTJOIN("", TRUE, INDEX('S-boxes'!$F$2:$I$65, MATCH(O6, 'S-boxes'!$A$2:$A$65, 0), 0))</f>
        <v>0001</v>
      </c>
      <c r="X6" s="6" t="str">
        <f>_xlfn.TEXTJOIN("", TRUE, INDEX('S-boxes'!$J$2:$M$65, MATCH(P6, 'S-boxes'!$A$2:$A$65, 0), 0))</f>
        <v>0000</v>
      </c>
      <c r="Y6" s="6" t="str">
        <f>_xlfn.TEXTJOIN("", TRUE, INDEX('S-boxes'!$N$2:$Q$65, MATCH(Q6, 'S-boxes'!$A$2:$A$65, 0), 0))</f>
        <v>1111</v>
      </c>
      <c r="Z6" s="6" t="str">
        <f>_xlfn.TEXTJOIN("", TRUE, INDEX('S-boxes'!$R$2:$U$65, MATCH(R6, 'S-boxes'!$A$2:$A$65, 0), 0))</f>
        <v>1011</v>
      </c>
      <c r="AA6" s="6" t="str">
        <f>_xlfn.TEXTJOIN("", TRUE, INDEX('S-boxes'!$V$2:$Y$65, MATCH(S6, 'S-boxes'!$A$2:$A$65, 0), 0))</f>
        <v>1010</v>
      </c>
      <c r="AB6" s="6" t="str">
        <f>_xlfn.TEXTJOIN("", TRUE, INDEX('S-boxes'!$Z$2:$AC$65, MATCH(T6, 'S-boxes'!$A$2:$A$65, 0), 0))</f>
        <v>0101</v>
      </c>
      <c r="AC6" s="6" t="str">
        <f>_xlfn.TEXTJOIN("", TRUE, INDEX('S-boxes'!$AD$2:$AG$65, MATCH(U6, 'S-boxes'!$A$2:$A$65, 0), 0))</f>
        <v>1100</v>
      </c>
      <c r="AD6" s="6" t="str">
        <f>V6&amp;W6&amp;X6&amp;Y6&amp;Z6&amp;AA6&amp;AB6&amp;AC6</f>
        <v>01000001000011111011101001011100</v>
      </c>
      <c r="AE6" s="6" t="str" cm="1">
        <f t="array" ref="AE6">_xlfn.TEXTJOIN("",TRUE,INDEX(MID(AD6,_xlfn.SEQUENCE(1,32,1,1),1),Permutations!$D$2:$D$33))</f>
        <v>10111011011100001101000011100000</v>
      </c>
      <c r="AF6" s="6" t="str" cm="1">
        <f t="array" ref="AF6">_xlfn.TEXTJOIN("",TRUE,IF(MID(AF5,_xlfn.SEQUENCE(1,32,1,1),1)=MID(AE6,_xlfn.SEQUENCE(1,32,1,1),1),"0","1"))</f>
        <v>10110100010111110111110101111010</v>
      </c>
      <c r="AG6" s="6" t="str">
        <f>AF5</f>
        <v>00001111001011111010110110011010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9" x14ac:dyDescent="0.3">
      <c r="C7" s="2"/>
      <c r="D7" s="2"/>
      <c r="E7" s="2"/>
      <c r="J7" s="6" t="s">
        <v>98</v>
      </c>
      <c r="K7" s="6" t="str" cm="1">
        <f t="array" ref="K7">_xlfn.TEXTJOIN("",TRUE,INDEX(MID(AF6,_xlfn.SEQUENCE(1,32,1,1),1),Permutations!$C$2:$C$49))</f>
        <v>010110101000001011111110101111111010101111110101</v>
      </c>
      <c r="L7" s="6" t="str">
        <f>'Giải nén khóa K'!L7</f>
        <v>011010011010111011011001001001011110101001100110</v>
      </c>
      <c r="M7" s="6" t="str" cm="1">
        <f t="array" ref="M7">_xlfn.TEXTJOIN("",TRUE,IF(MID(K7,_xlfn.SEQUENCE(1,48,1,1),1)=MID(L7,_xlfn.SEQUENCE(1,48,1,1),1),"0","1"))</f>
        <v>001100110010110000100111100110100100000110010011</v>
      </c>
      <c r="N7" s="6" t="str">
        <f t="shared" ref="N7:N20" si="0">LEFT(M7,6)</f>
        <v>001100</v>
      </c>
      <c r="O7" s="6" t="str">
        <f t="shared" ref="O7:O19" si="1">MID(M7,7,6)</f>
        <v>110010</v>
      </c>
      <c r="P7" s="6" t="str">
        <f t="shared" ref="P7:P19" si="2">MID(M7,13,6)</f>
        <v>110000</v>
      </c>
      <c r="Q7" s="6" t="str">
        <f t="shared" ref="Q7:Q19" si="3">MID(M7,19,6)</f>
        <v>100111</v>
      </c>
      <c r="R7" s="6" t="str">
        <f t="shared" ref="R7:R19" si="4">MID(M7,25,6)</f>
        <v>100110</v>
      </c>
      <c r="S7" s="6" t="str">
        <f t="shared" ref="S7:S19" si="5">MID(M7,31,6)</f>
        <v>100100</v>
      </c>
      <c r="T7" s="6" t="str">
        <f t="shared" ref="T7:T19" si="6">MID(M7,37,6)</f>
        <v>000110</v>
      </c>
      <c r="U7" s="6" t="str">
        <f t="shared" ref="U7:U19" si="7">MID(M7,43,6)</f>
        <v>010011</v>
      </c>
      <c r="V7" s="6" t="str">
        <f>_xlfn.TEXTJOIN("", TRUE, INDEX('S-boxes'!$B$2:$E$65, MATCH(N7, 'S-boxes'!$A$2:$A$65, 0), 0))</f>
        <v>1011</v>
      </c>
      <c r="W7" s="6" t="str">
        <f>_xlfn.TEXTJOIN("", TRUE, INDEX('S-boxes'!$F$2:$I$65, MATCH(O7, 'S-boxes'!$A$2:$A$65, 0), 0))</f>
        <v>1000</v>
      </c>
      <c r="X7" s="6" t="str">
        <f>_xlfn.TEXTJOIN("", TRUE, INDEX('S-boxes'!$J$2:$M$65, MATCH(P7, 'S-boxes'!$A$2:$A$65, 0), 0))</f>
        <v>1011</v>
      </c>
      <c r="Y7" s="6" t="str">
        <f>_xlfn.TEXTJOIN("", TRUE, INDEX('S-boxes'!$N$2:$Q$65, MATCH(Q7, 'S-boxes'!$A$2:$A$65, 0), 0))</f>
        <v>0110</v>
      </c>
      <c r="Z7" s="6" t="str">
        <f>_xlfn.TEXTJOIN("", TRUE, INDEX('S-boxes'!$R$2:$U$65, MATCH(R7, 'S-boxes'!$A$2:$A$65, 0), 0))</f>
        <v>1011</v>
      </c>
      <c r="AA7" s="6" t="str">
        <f>_xlfn.TEXTJOIN("", TRUE, INDEX('S-boxes'!$V$2:$Y$65, MATCH(S7, 'S-boxes'!$A$2:$A$65, 0), 0))</f>
        <v>1111</v>
      </c>
      <c r="AB7" s="6" t="str">
        <f>_xlfn.TEXTJOIN("", TRUE, INDEX('S-boxes'!$Z$2:$AC$65, MATCH(T7, 'S-boxes'!$A$2:$A$65, 0), 0))</f>
        <v>1110</v>
      </c>
      <c r="AC7" s="6" t="str">
        <f>_xlfn.TEXTJOIN("", TRUE, INDEX('S-boxes'!$AD$2:$AG$65, MATCH(U7, 'S-boxes'!$A$2:$A$65, 0), 0))</f>
        <v>0101</v>
      </c>
      <c r="AD7" s="6" t="str">
        <f t="shared" ref="AD7:AD19" si="8">V7&amp;W7&amp;X7&amp;Y7&amp;Z7&amp;AA7&amp;AB7&amp;AC7</f>
        <v>10111000101101101011111111100101</v>
      </c>
      <c r="AE7" s="6" t="str" cm="1">
        <f t="array" ref="AE7">_xlfn.TEXTJOIN("",TRUE,INDEX(MID(AD7,_xlfn.SEQUENCE(1,32,1,1),1),Permutations!$D$2:$D$33))</f>
        <v>00110101111110000011111110101111</v>
      </c>
      <c r="AF7" s="6" t="str" cm="1">
        <f t="array" ref="AF7">_xlfn.TEXTJOIN("",TRUE,IF(MID(AF6,_xlfn.SEQUENCE(1,32,1,1),1)=MID(AE7,_xlfn.SEQUENCE(1,32,1,1),1),"0","1"))</f>
        <v>10000001101001110100001011010101</v>
      </c>
      <c r="AG7" s="6" t="str">
        <f t="shared" ref="AG7:AG19" si="9">AF6</f>
        <v>10110100010111110111110101111010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3">
      <c r="J8" s="6" t="s">
        <v>99</v>
      </c>
      <c r="K8" s="6" t="str" cm="1">
        <f t="array" ref="K8">_xlfn.TEXTJOIN("",TRUE,INDEX(MID(AF7,_xlfn.SEQUENCE(1,32,1,1),1),Permutations!$C$2:$C$49))</f>
        <v>110000000011110100001110101000000101011010101011</v>
      </c>
      <c r="L8" s="6" t="str">
        <f>'Giải nén khóa K'!L8</f>
        <v>011010011010111011011001001001011110101001100110</v>
      </c>
      <c r="M8" s="6" t="str" cm="1">
        <f t="array" ref="M8">_xlfn.TEXTJOIN("",TRUE,IF(MID(K8,_xlfn.SEQUENCE(1,48,1,1),1)=MID(L8,_xlfn.SEQUENCE(1,48,1,1),1),"0","1"))</f>
        <v>101010011001001111010111100001011011110011001101</v>
      </c>
      <c r="N8" s="6" t="str">
        <f t="shared" si="0"/>
        <v>101010</v>
      </c>
      <c r="O8" s="6" t="str">
        <f t="shared" si="1"/>
        <v>011001</v>
      </c>
      <c r="P8" s="6" t="str">
        <f t="shared" si="2"/>
        <v>001111</v>
      </c>
      <c r="Q8" s="6" t="str">
        <f t="shared" si="3"/>
        <v>010111</v>
      </c>
      <c r="R8" s="6" t="str">
        <f t="shared" si="4"/>
        <v>100001</v>
      </c>
      <c r="S8" s="6" t="str">
        <f t="shared" si="5"/>
        <v>011011</v>
      </c>
      <c r="T8" s="6" t="str">
        <f t="shared" si="6"/>
        <v>110011</v>
      </c>
      <c r="U8" s="6" t="str">
        <f t="shared" si="7"/>
        <v>001101</v>
      </c>
      <c r="V8" s="6" t="str">
        <f>_xlfn.TEXTJOIN("", TRUE, INDEX('S-boxes'!$B$2:$E$65, MATCH(N8, 'S-boxes'!$A$2:$A$65, 0), 0))</f>
        <v>0110</v>
      </c>
      <c r="W8" s="6" t="str">
        <f>_xlfn.TEXTJOIN("", TRUE, INDEX('S-boxes'!$F$2:$I$65, MATCH(O8, 'S-boxes'!$A$2:$A$65, 0), 0))</f>
        <v>0110</v>
      </c>
      <c r="X8" s="6" t="str">
        <f>_xlfn.TEXTJOIN("", TRUE, INDEX('S-boxes'!$J$2:$M$65, MATCH(P8, 'S-boxes'!$A$2:$A$65, 0), 0))</f>
        <v>1010</v>
      </c>
      <c r="Y8" s="6" t="str">
        <f>_xlfn.TEXTJOIN("", TRUE, INDEX('S-boxes'!$N$2:$Q$65, MATCH(Q8, 'S-boxes'!$A$2:$A$65, 0), 0))</f>
        <v>1100</v>
      </c>
      <c r="Z8" s="6" t="str">
        <f>_xlfn.TEXTJOIN("", TRUE, INDEX('S-boxes'!$R$2:$U$65, MATCH(R8, 'S-boxes'!$A$2:$A$65, 0), 0))</f>
        <v>1011</v>
      </c>
      <c r="AA8" s="6" t="str">
        <f>_xlfn.TEXTJOIN("", TRUE, INDEX('S-boxes'!$V$2:$Y$65, MATCH(S8, 'S-boxes'!$A$2:$A$65, 0), 0))</f>
        <v>1011</v>
      </c>
      <c r="AB8" s="6" t="str">
        <f>_xlfn.TEXTJOIN("", TRUE, INDEX('S-boxes'!$Z$2:$AC$65, MATCH(T8, 'S-boxes'!$A$2:$A$65, 0), 0))</f>
        <v>0101</v>
      </c>
      <c r="AC8" s="6" t="str">
        <f>_xlfn.TEXTJOIN("", TRUE, INDEX('S-boxes'!$AD$2:$AG$65, MATCH(U8, 'S-boxes'!$A$2:$A$65, 0), 0))</f>
        <v>0111</v>
      </c>
      <c r="AD8" s="6" t="str">
        <f t="shared" si="8"/>
        <v>01100110101011001011101101010111</v>
      </c>
      <c r="AE8" s="6" t="str" cm="1">
        <f t="array" ref="AE8">_xlfn.TEXTJOIN("",TRUE,INDEX(MID(AD8,_xlfn.SEQUENCE(1,32,1,1),1),Permutations!$D$2:$D$33))</f>
        <v>01110011001100101011101111110100</v>
      </c>
      <c r="AF8" s="6" t="str" cm="1">
        <f t="array" ref="AF8">_xlfn.TEXTJOIN("",TRUE,IF(MID(AF7,_xlfn.SEQUENCE(1,32,1,1),1)=MID(AE8,_xlfn.SEQUENCE(1,32,1,1),1),"0","1"))</f>
        <v>11110010100101011111100100100001</v>
      </c>
      <c r="AG8" s="6" t="str">
        <f t="shared" si="9"/>
        <v>10000001101001110100001011010101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3">
      <c r="J9" s="6" t="s">
        <v>100</v>
      </c>
      <c r="K9" s="6" t="str" cm="1">
        <f t="array" ref="K9">_xlfn.TEXTJOIN("",TRUE,INDEX(MID(AF8,_xlfn.SEQUENCE(1,32,1,1),1),Permutations!$C$2:$C$49))</f>
        <v>111110100101010010101011111111110010100100000011</v>
      </c>
      <c r="L9" s="6" t="str">
        <f>'Giải nén khóa K'!L9</f>
        <v>011010011010111011011001001001011110101001100110</v>
      </c>
      <c r="M9" s="6" t="str" cm="1">
        <f t="array" ref="M9">_xlfn.TEXTJOIN("",TRUE,IF(MID(K9,_xlfn.SEQUENCE(1,48,1,1),1)=MID(L9,_xlfn.SEQUENCE(1,48,1,1),1),"0","1"))</f>
        <v>100100111111101001110010110110101100001101100101</v>
      </c>
      <c r="N9" s="6" t="str">
        <f t="shared" si="0"/>
        <v>100100</v>
      </c>
      <c r="O9" s="6" t="str">
        <f t="shared" si="1"/>
        <v>111111</v>
      </c>
      <c r="P9" s="6" t="str">
        <f t="shared" si="2"/>
        <v>101001</v>
      </c>
      <c r="Q9" s="6" t="str">
        <f t="shared" si="3"/>
        <v>110010</v>
      </c>
      <c r="R9" s="6" t="str">
        <f t="shared" si="4"/>
        <v>110110</v>
      </c>
      <c r="S9" s="6" t="str">
        <f t="shared" si="5"/>
        <v>101100</v>
      </c>
      <c r="T9" s="6" t="str">
        <f t="shared" si="6"/>
        <v>001101</v>
      </c>
      <c r="U9" s="6" t="str">
        <f t="shared" si="7"/>
        <v>100101</v>
      </c>
      <c r="V9" s="6" t="str">
        <f>_xlfn.TEXTJOIN("", TRUE, INDEX('S-boxes'!$B$2:$E$65, MATCH(N9, 'S-boxes'!$A$2:$A$65, 0), 0))</f>
        <v>1110</v>
      </c>
      <c r="W9" s="6" t="str">
        <f>_xlfn.TEXTJOIN("", TRUE, INDEX('S-boxes'!$F$2:$I$65, MATCH(O9, 'S-boxes'!$A$2:$A$65, 0), 0))</f>
        <v>1001</v>
      </c>
      <c r="X9" s="6" t="str">
        <f>_xlfn.TEXTJOIN("", TRUE, INDEX('S-boxes'!$J$2:$M$65, MATCH(P9, 'S-boxes'!$A$2:$A$65, 0), 0))</f>
        <v>0110</v>
      </c>
      <c r="Y9" s="6" t="str">
        <f>_xlfn.TEXTJOIN("", TRUE, INDEX('S-boxes'!$N$2:$Q$65, MATCH(Q9, 'S-boxes'!$A$2:$A$65, 0), 0))</f>
        <v>0001</v>
      </c>
      <c r="Z9" s="6" t="str">
        <f>_xlfn.TEXTJOIN("", TRUE, INDEX('S-boxes'!$R$2:$U$65, MATCH(R9, 'S-boxes'!$A$2:$A$65, 0), 0))</f>
        <v>0101</v>
      </c>
      <c r="AA9" s="6" t="str">
        <f>_xlfn.TEXTJOIN("", TRUE, INDEX('S-boxes'!$V$2:$Y$65, MATCH(S9, 'S-boxes'!$A$2:$A$65, 0), 0))</f>
        <v>1100</v>
      </c>
      <c r="AB9" s="6" t="str">
        <f>_xlfn.TEXTJOIN("", TRUE, INDEX('S-boxes'!$Z$2:$AC$65, MATCH(T9, 'S-boxes'!$A$2:$A$65, 0), 0))</f>
        <v>0001</v>
      </c>
      <c r="AC9" s="6" t="str">
        <f>_xlfn.TEXTJOIN("", TRUE, INDEX('S-boxes'!$AD$2:$AG$65, MATCH(U9, 'S-boxes'!$A$2:$A$65, 0), 0))</f>
        <v>1110</v>
      </c>
      <c r="AD9" s="6" t="str">
        <f t="shared" si="8"/>
        <v>11101001011000010101110000011110</v>
      </c>
      <c r="AE9" s="6" t="str" cm="1">
        <f t="array" ref="AE9">_xlfn.TEXTJOIN("",TRUE,INDEX(MID(AD9,_xlfn.SEQUENCE(1,32,1,1),1),Permutations!$D$2:$D$33))</f>
        <v>10111010100011111100001000101100</v>
      </c>
      <c r="AF9" s="6" t="str" cm="1">
        <f t="array" ref="AF9">_xlfn.TEXTJOIN("",TRUE,IF(MID(AF8,_xlfn.SEQUENCE(1,32,1,1),1)=MID(AE9,_xlfn.SEQUENCE(1,32,1,1),1),"0","1"))</f>
        <v>01001000000110100011101100001101</v>
      </c>
      <c r="AG9" s="6" t="str">
        <f t="shared" si="9"/>
        <v>11110010100101011111100100100001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3">
      <c r="J10" s="6" t="s">
        <v>101</v>
      </c>
      <c r="K10" s="6" t="str" cm="1">
        <f t="array" ref="K10">_xlfn.TEXTJOIN("",TRUE,INDEX(MID(AF9,_xlfn.SEQUENCE(1,32,1,1),1),Permutations!$C$2:$C$49))</f>
        <v>101001010000000011110100000111110110100001011010</v>
      </c>
      <c r="L10" s="6" t="str">
        <f>'Giải nén khóa K'!L10</f>
        <v>011010011010111011011001001001011110101001100110</v>
      </c>
      <c r="M10" s="6" t="str" cm="1">
        <f t="array" ref="M10">_xlfn.TEXTJOIN("",TRUE,IF(MID(K10,_xlfn.SEQUENCE(1,48,1,1),1)=MID(L10,_xlfn.SEQUENCE(1,48,1,1),1),"0","1"))</f>
        <v>110011001010111000101101001110101000001000111100</v>
      </c>
      <c r="N10" s="6" t="str">
        <f t="shared" si="0"/>
        <v>110011</v>
      </c>
      <c r="O10" s="6" t="str">
        <f t="shared" si="1"/>
        <v>001010</v>
      </c>
      <c r="P10" s="6" t="str">
        <f t="shared" si="2"/>
        <v>111000</v>
      </c>
      <c r="Q10" s="6" t="str">
        <f t="shared" si="3"/>
        <v>101101</v>
      </c>
      <c r="R10" s="6" t="str">
        <f t="shared" si="4"/>
        <v>001110</v>
      </c>
      <c r="S10" s="6" t="str">
        <f t="shared" si="5"/>
        <v>101000</v>
      </c>
      <c r="T10" s="6" t="str">
        <f t="shared" si="6"/>
        <v>001000</v>
      </c>
      <c r="U10" s="6" t="str">
        <f t="shared" si="7"/>
        <v>111100</v>
      </c>
      <c r="V10" s="6" t="str">
        <f>_xlfn.TEXTJOIN("", TRUE, INDEX('S-boxes'!$B$2:$E$65, MATCH(N10, 'S-boxes'!$A$2:$A$65, 0), 0))</f>
        <v>1011</v>
      </c>
      <c r="W10" s="6" t="str">
        <f>_xlfn.TEXTJOIN("", TRUE, INDEX('S-boxes'!$F$2:$I$65, MATCH(O10, 'S-boxes'!$A$2:$A$65, 0), 0))</f>
        <v>1011</v>
      </c>
      <c r="X10" s="6" t="str">
        <f>_xlfn.TEXTJOIN("", TRUE, INDEX('S-boxes'!$J$2:$M$65, MATCH(P10, 'S-boxes'!$A$2:$A$65, 0), 0))</f>
        <v>0101</v>
      </c>
      <c r="Y10" s="6" t="str">
        <f>_xlfn.TEXTJOIN("", TRUE, INDEX('S-boxes'!$N$2:$Q$65, MATCH(Q10, 'S-boxes'!$A$2:$A$65, 0), 0))</f>
        <v>1101</v>
      </c>
      <c r="Z10" s="6" t="str">
        <f>_xlfn.TEXTJOIN("", TRUE, INDEX('S-boxes'!$R$2:$U$65, MATCH(R10, 'S-boxes'!$A$2:$A$65, 0), 0))</f>
        <v>0110</v>
      </c>
      <c r="AA10" s="6" t="str">
        <f>_xlfn.TEXTJOIN("", TRUE, INDEX('S-boxes'!$V$2:$Y$65, MATCH(S10, 'S-boxes'!$A$2:$A$65, 0), 0))</f>
        <v>0010</v>
      </c>
      <c r="AB10" s="6" t="str">
        <f>_xlfn.TEXTJOIN("", TRUE, INDEX('S-boxes'!$Z$2:$AC$65, MATCH(T10, 'S-boxes'!$A$2:$A$65, 0), 0))</f>
        <v>1111</v>
      </c>
      <c r="AC10" s="6" t="str">
        <f>_xlfn.TEXTJOIN("", TRUE, INDEX('S-boxes'!$AD$2:$AG$65, MATCH(U10, 'S-boxes'!$A$2:$A$65, 0), 0))</f>
        <v>0101</v>
      </c>
      <c r="AD10" s="6" t="str">
        <f t="shared" si="8"/>
        <v>10111011010111010110001011110101</v>
      </c>
      <c r="AE10" s="6" t="str" cm="1">
        <f t="array" ref="AE10">_xlfn.TEXTJOIN("",TRUE,INDEX(MID(AD10,_xlfn.SEQUENCE(1,32,1,1),1),Permutations!$D$2:$D$33))</f>
        <v>11000110101111010101111011100011</v>
      </c>
      <c r="AF10" s="6" t="str" cm="1">
        <f t="array" ref="AF10">_xlfn.TEXTJOIN("",TRUE,IF(MID(AF9,_xlfn.SEQUENCE(1,32,1,1),1)=MID(AE10,_xlfn.SEQUENCE(1,32,1,1),1),"0","1"))</f>
        <v>10001110101001110110010111101110</v>
      </c>
      <c r="AG10" s="6" t="str">
        <f t="shared" si="9"/>
        <v>01001000000110100011101100001101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3">
      <c r="A11" t="s">
        <v>113</v>
      </c>
      <c r="B11" s="1" t="str">
        <f>LEFT(C6,32)</f>
        <v>10011000111111101100110000000000</v>
      </c>
      <c r="C11" s="1"/>
      <c r="D11" s="1"/>
      <c r="E11" s="1"/>
      <c r="J11" s="6" t="s">
        <v>102</v>
      </c>
      <c r="K11" s="6" t="str" cm="1">
        <f t="array" ref="K11">_xlfn.TEXTJOIN("",TRUE,INDEX(MID(AF10,_xlfn.SEQUENCE(1,32,1,1),1),Permutations!$C$2:$C$49))</f>
        <v>010001011101010100001110101100001011111101011101</v>
      </c>
      <c r="L11" s="6" t="str">
        <f>'Giải nén khóa K'!L11</f>
        <v>011010011010111011011001001001011110101001100110</v>
      </c>
      <c r="M11" s="6" t="str" cm="1">
        <f t="array" ref="M11">_xlfn.TEXTJOIN("",TRUE,IF(MID(K11,_xlfn.SEQUENCE(1,48,1,1),1)=MID(L11,_xlfn.SEQUENCE(1,48,1,1),1),"0","1"))</f>
        <v>001011000111101111010111100101010101010100111011</v>
      </c>
      <c r="N11" s="6" t="str">
        <f t="shared" si="0"/>
        <v>001011</v>
      </c>
      <c r="O11" s="6" t="str">
        <f t="shared" si="1"/>
        <v>000111</v>
      </c>
      <c r="P11" s="6" t="str">
        <f t="shared" si="2"/>
        <v>101111</v>
      </c>
      <c r="Q11" s="6" t="str">
        <f t="shared" si="3"/>
        <v>010111</v>
      </c>
      <c r="R11" s="6" t="str">
        <f t="shared" si="4"/>
        <v>100101</v>
      </c>
      <c r="S11" s="6" t="str">
        <f t="shared" si="5"/>
        <v>010101</v>
      </c>
      <c r="T11" s="6" t="str">
        <f t="shared" si="6"/>
        <v>010100</v>
      </c>
      <c r="U11" s="6" t="str">
        <f t="shared" si="7"/>
        <v>111011</v>
      </c>
      <c r="V11" s="6" t="str">
        <f>_xlfn.TEXTJOIN("", TRUE, INDEX('S-boxes'!$B$2:$E$65, MATCH(N11, 'S-boxes'!$A$2:$A$65, 0), 0))</f>
        <v>0010</v>
      </c>
      <c r="W11" s="6" t="str">
        <f>_xlfn.TEXTJOIN("", TRUE, INDEX('S-boxes'!$F$2:$I$65, MATCH(O11, 'S-boxes'!$A$2:$A$65, 0), 0))</f>
        <v>0111</v>
      </c>
      <c r="X11" s="6" t="str">
        <f>_xlfn.TEXTJOIN("", TRUE, INDEX('S-boxes'!$J$2:$M$65, MATCH(P11, 'S-boxes'!$A$2:$A$65, 0), 0))</f>
        <v>0111</v>
      </c>
      <c r="Y11" s="6" t="str">
        <f>_xlfn.TEXTJOIN("", TRUE, INDEX('S-boxes'!$N$2:$Q$65, MATCH(Q11, 'S-boxes'!$A$2:$A$65, 0), 0))</f>
        <v>1100</v>
      </c>
      <c r="Z11" s="6" t="str">
        <f>_xlfn.TEXTJOIN("", TRUE, INDEX('S-boxes'!$R$2:$U$65, MATCH(R11, 'S-boxes'!$A$2:$A$65, 0), 0))</f>
        <v>1100</v>
      </c>
      <c r="AA11" s="6" t="str">
        <f>_xlfn.TEXTJOIN("", TRUE, INDEX('S-boxes'!$V$2:$Y$65, MATCH(S11, 'S-boxes'!$A$2:$A$65, 0), 0))</f>
        <v>1101</v>
      </c>
      <c r="AB11" s="6" t="str">
        <f>_xlfn.TEXTJOIN("", TRUE, INDEX('S-boxes'!$Z$2:$AC$65, MATCH(T11, 'S-boxes'!$A$2:$A$65, 0), 0))</f>
        <v>1001</v>
      </c>
      <c r="AC11" s="6" t="str">
        <f>_xlfn.TEXTJOIN("", TRUE, INDEX('S-boxes'!$AD$2:$AG$65, MATCH(U11, 'S-boxes'!$A$2:$A$65, 0), 0))</f>
        <v>0101</v>
      </c>
      <c r="AD11" s="6" t="str">
        <f t="shared" si="8"/>
        <v>00100111011111001100110110010101</v>
      </c>
      <c r="AE11" s="6" t="str" cm="1">
        <f t="array" ref="AE11">_xlfn.TEXTJOIN("",TRUE,INDEX(MID(AD11,_xlfn.SEQUENCE(1,32,1,1),1),Permutations!$D$2:$D$33))</f>
        <v>01010111000001010111101001111101</v>
      </c>
      <c r="AF11" s="6" t="str" cm="1">
        <f t="array" ref="AF11">_xlfn.TEXTJOIN("",TRUE,IF(MID(AF10,_xlfn.SEQUENCE(1,32,1,1),1)=MID(AE11,_xlfn.SEQUENCE(1,32,1,1),1),"0","1"))</f>
        <v>11011001101000100001111110010011</v>
      </c>
      <c r="AG11" s="6" t="str">
        <f t="shared" si="9"/>
        <v>10001110101001110110010111101110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3">
      <c r="B12" s="1"/>
      <c r="C12" s="1"/>
      <c r="D12" s="1"/>
      <c r="E12" s="1"/>
      <c r="J12" s="6" t="s">
        <v>103</v>
      </c>
      <c r="K12" s="6" t="str" cm="1">
        <f t="array" ref="K12">_xlfn.TEXTJOIN("",TRUE,INDEX(MID(AF11,_xlfn.SEQUENCE(1,32,1,1),1),Permutations!$C$2:$C$49))</f>
        <v>111011110011110100000100000011111111110010100111</v>
      </c>
      <c r="L12" s="6" t="str">
        <f>'Giải nén khóa K'!L12</f>
        <v>011010011010111011011001001001011110101001100110</v>
      </c>
      <c r="M12" s="6" t="str" cm="1">
        <f t="array" ref="M12">_xlfn.TEXTJOIN("",TRUE,IF(MID(K12,_xlfn.SEQUENCE(1,48,1,1),1)=MID(L12,_xlfn.SEQUENCE(1,48,1,1),1),"0","1"))</f>
        <v>100001101001001111011101001010100001011011000001</v>
      </c>
      <c r="N12" s="6" t="str">
        <f t="shared" si="0"/>
        <v>100001</v>
      </c>
      <c r="O12" s="6" t="str">
        <f t="shared" si="1"/>
        <v>101001</v>
      </c>
      <c r="P12" s="6" t="str">
        <f t="shared" si="2"/>
        <v>001111</v>
      </c>
      <c r="Q12" s="6" t="str">
        <f t="shared" si="3"/>
        <v>011101</v>
      </c>
      <c r="R12" s="6" t="str">
        <f t="shared" si="4"/>
        <v>001010</v>
      </c>
      <c r="S12" s="6" t="str">
        <f t="shared" si="5"/>
        <v>100001</v>
      </c>
      <c r="T12" s="6" t="str">
        <f t="shared" si="6"/>
        <v>011011</v>
      </c>
      <c r="U12" s="6" t="str">
        <f t="shared" si="7"/>
        <v>000001</v>
      </c>
      <c r="V12" s="6" t="str">
        <f>_xlfn.TEXTJOIN("", TRUE, INDEX('S-boxes'!$B$2:$E$65, MATCH(N12, 'S-boxes'!$A$2:$A$65, 0), 0))</f>
        <v>1111</v>
      </c>
      <c r="W12" s="6" t="str">
        <f>_xlfn.TEXTJOIN("", TRUE, INDEX('S-boxes'!$F$2:$I$65, MATCH(O12, 'S-boxes'!$A$2:$A$65, 0), 0))</f>
        <v>0011</v>
      </c>
      <c r="X12" s="6" t="str">
        <f>_xlfn.TEXTJOIN("", TRUE, INDEX('S-boxes'!$J$2:$M$65, MATCH(P12, 'S-boxes'!$A$2:$A$65, 0), 0))</f>
        <v>1010</v>
      </c>
      <c r="Y12" s="6" t="str">
        <f>_xlfn.TEXTJOIN("", TRUE, INDEX('S-boxes'!$N$2:$Q$65, MATCH(Q12, 'S-boxes'!$A$2:$A$65, 0), 0))</f>
        <v>1110</v>
      </c>
      <c r="Z12" s="6" t="str">
        <f>_xlfn.TEXTJOIN("", TRUE, INDEX('S-boxes'!$R$2:$U$65, MATCH(R12, 'S-boxes'!$A$2:$A$65, 0), 0))</f>
        <v>1010</v>
      </c>
      <c r="AA12" s="6" t="str">
        <f>_xlfn.TEXTJOIN("", TRUE, INDEX('S-boxes'!$V$2:$Y$65, MATCH(S12, 'S-boxes'!$A$2:$A$65, 0), 0))</f>
        <v>0100</v>
      </c>
      <c r="AB12" s="6" t="str">
        <f>_xlfn.TEXTJOIN("", TRUE, INDEX('S-boxes'!$Z$2:$AC$65, MATCH(T12, 'S-boxes'!$A$2:$A$65, 0), 0))</f>
        <v>1111</v>
      </c>
      <c r="AC12" s="6" t="str">
        <f>_xlfn.TEXTJOIN("", TRUE, INDEX('S-boxes'!$AD$2:$AG$65, MATCH(U12, 'S-boxes'!$A$2:$A$65, 0), 0))</f>
        <v>0001</v>
      </c>
      <c r="AD12" s="6" t="str">
        <f t="shared" si="8"/>
        <v>11110011101011101010010011110001</v>
      </c>
      <c r="AE12" s="6" t="str" cm="1">
        <f t="array" ref="AE12">_xlfn.TEXTJOIN("",TRUE,INDEX(MID(AD12,_xlfn.SEQUENCE(1,32,1,1),1),Permutations!$D$2:$D$33))</f>
        <v>01000011110100001101111111001111</v>
      </c>
      <c r="AF12" s="6" t="str" cm="1">
        <f t="array" ref="AF12">_xlfn.TEXTJOIN("",TRUE,IF(MID(AF11,_xlfn.SEQUENCE(1,32,1,1),1)=MID(AE12,_xlfn.SEQUENCE(1,32,1,1),1),"0","1"))</f>
        <v>10011010011100101100000001011100</v>
      </c>
      <c r="AG12" s="6" t="str">
        <f t="shared" si="9"/>
        <v>11011001101000100001111110010011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3">
      <c r="J13" s="6" t="s">
        <v>104</v>
      </c>
      <c r="K13" s="6" t="str" cm="1">
        <f t="array" ref="K13">_xlfn.TEXTJOIN("",TRUE,INDEX(MID(AF12,_xlfn.SEQUENCE(1,32,1,1),1),Permutations!$C$2:$C$49))</f>
        <v>010011110100001110100101011000000000001011111001</v>
      </c>
      <c r="L13" s="6" t="str">
        <f>'Giải nén khóa K'!L13</f>
        <v>000110110000001011101111110110110100100110100101</v>
      </c>
      <c r="M13" s="6" t="str" cm="1">
        <f t="array" ref="M13">_xlfn.TEXTJOIN("",TRUE,IF(MID(K13,_xlfn.SEQUENCE(1,48,1,1),1)=MID(L13,_xlfn.SEQUENCE(1,48,1,1),1),"0","1"))</f>
        <v>010101000100000101001010101110110100101101011100</v>
      </c>
      <c r="N13" s="6" t="str">
        <f t="shared" si="0"/>
        <v>010101</v>
      </c>
      <c r="O13" s="6" t="str">
        <f t="shared" si="1"/>
        <v>000100</v>
      </c>
      <c r="P13" s="6" t="str">
        <f t="shared" si="2"/>
        <v>000101</v>
      </c>
      <c r="Q13" s="6" t="str">
        <f t="shared" si="3"/>
        <v>001010</v>
      </c>
      <c r="R13" s="6" t="str">
        <f t="shared" si="4"/>
        <v>101110</v>
      </c>
      <c r="S13" s="6" t="str">
        <f t="shared" si="5"/>
        <v>110100</v>
      </c>
      <c r="T13" s="6" t="str">
        <f t="shared" si="6"/>
        <v>101101</v>
      </c>
      <c r="U13" s="6" t="str">
        <f t="shared" si="7"/>
        <v>011100</v>
      </c>
      <c r="V13" s="6" t="str">
        <f>_xlfn.TEXTJOIN("", TRUE, INDEX('S-boxes'!$B$2:$E$65, MATCH(N13, 'S-boxes'!$A$2:$A$65, 0), 0))</f>
        <v>1100</v>
      </c>
      <c r="W13" s="6" t="str">
        <f>_xlfn.TEXTJOIN("", TRUE, INDEX('S-boxes'!$F$2:$I$65, MATCH(O13, 'S-boxes'!$A$2:$A$65, 0), 0))</f>
        <v>1000</v>
      </c>
      <c r="X13" s="6" t="str">
        <f>_xlfn.TEXTJOIN("", TRUE, INDEX('S-boxes'!$J$2:$M$65, MATCH(P13, 'S-boxes'!$A$2:$A$65, 0), 0))</f>
        <v>0000</v>
      </c>
      <c r="Y13" s="6" t="str">
        <f>_xlfn.TEXTJOIN("", TRUE, INDEX('S-boxes'!$N$2:$Q$65, MATCH(Q13, 'S-boxes'!$A$2:$A$65, 0), 0))</f>
        <v>0110</v>
      </c>
      <c r="Z13" s="6" t="str">
        <f>_xlfn.TEXTJOIN("", TRUE, INDEX('S-boxes'!$R$2:$U$65, MATCH(R13, 'S-boxes'!$A$2:$A$65, 0), 0))</f>
        <v>1000</v>
      </c>
      <c r="AA13" s="6" t="str">
        <f>_xlfn.TEXTJOIN("", TRUE, INDEX('S-boxes'!$V$2:$Y$65, MATCH(S13, 'S-boxes'!$A$2:$A$65, 0), 0))</f>
        <v>0100</v>
      </c>
      <c r="AB13" s="6" t="str">
        <f>_xlfn.TEXTJOIN("", TRUE, INDEX('S-boxes'!$Z$2:$AC$65, MATCH(T13, 'S-boxes'!$A$2:$A$65, 0), 0))</f>
        <v>1010</v>
      </c>
      <c r="AC13" s="6" t="str">
        <f>_xlfn.TEXTJOIN("", TRUE, INDEX('S-boxes'!$AD$2:$AG$65, MATCH(U13, 'S-boxes'!$A$2:$A$65, 0), 0))</f>
        <v>1100</v>
      </c>
      <c r="AD13" s="6" t="str">
        <f t="shared" si="8"/>
        <v>11001000000001101000010010101100</v>
      </c>
      <c r="AE13" s="6" t="str" cm="1">
        <f t="array" ref="AE13">_xlfn.TEXTJOIN("",TRUE,INDEX(MID(AD13,_xlfn.SEQUENCE(1,32,1,1),1),Permutations!$D$2:$D$33))</f>
        <v>00001001110010001001010000101001</v>
      </c>
      <c r="AF13" s="6" t="str" cm="1">
        <f t="array" ref="AF13">_xlfn.TEXTJOIN("",TRUE,IF(MID(AF12,_xlfn.SEQUENCE(1,32,1,1),1)=MID(AE13,_xlfn.SEQUENCE(1,32,1,1),1),"0","1"))</f>
        <v>10010011101110100101010001110101</v>
      </c>
      <c r="AG13" s="6" t="str">
        <f t="shared" si="9"/>
        <v>10011010011100101100000001011100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3">
      <c r="J14" s="6" t="s">
        <v>105</v>
      </c>
      <c r="K14" s="6" t="str" cm="1">
        <f t="array" ref="K14">_xlfn.TEXTJOIN("",TRUE,INDEX(MID(AF13,_xlfn.SEQUENCE(1,32,1,1),1),Permutations!$C$2:$C$49))</f>
        <v>110010100111110111110100001010101000001110101011</v>
      </c>
      <c r="L14" s="6" t="str">
        <f>'Giải nén khóa K'!L14</f>
        <v>011010011010111011011001001001011110101001100110</v>
      </c>
      <c r="M14" s="6" t="str" cm="1">
        <f t="array" ref="M14">_xlfn.TEXTJOIN("",TRUE,IF(MID(K14,_xlfn.SEQUENCE(1,48,1,1),1)=MID(L14,_xlfn.SEQUENCE(1,48,1,1),1),"0","1"))</f>
        <v>101000111101001100101101000011110110100111001101</v>
      </c>
      <c r="N14" s="6" t="str">
        <f t="shared" si="0"/>
        <v>101000</v>
      </c>
      <c r="O14" s="6" t="str">
        <f t="shared" si="1"/>
        <v>111101</v>
      </c>
      <c r="P14" s="6" t="str">
        <f t="shared" si="2"/>
        <v>001100</v>
      </c>
      <c r="Q14" s="6" t="str">
        <f t="shared" si="3"/>
        <v>101101</v>
      </c>
      <c r="R14" s="6" t="str">
        <f t="shared" si="4"/>
        <v>000011</v>
      </c>
      <c r="S14" s="6" t="str">
        <f t="shared" si="5"/>
        <v>110110</v>
      </c>
      <c r="T14" s="6" t="str">
        <f t="shared" si="6"/>
        <v>100111</v>
      </c>
      <c r="U14" s="6" t="str">
        <f t="shared" si="7"/>
        <v>001101</v>
      </c>
      <c r="V14" s="6" t="str">
        <f>_xlfn.TEXTJOIN("", TRUE, INDEX('S-boxes'!$B$2:$E$65, MATCH(N14, 'S-boxes'!$A$2:$A$65, 0), 0))</f>
        <v>1101</v>
      </c>
      <c r="W14" s="6" t="str">
        <f>_xlfn.TEXTJOIN("", TRUE, INDEX('S-boxes'!$F$2:$I$65, MATCH(O14, 'S-boxes'!$A$2:$A$65, 0), 0))</f>
        <v>1110</v>
      </c>
      <c r="X14" s="6" t="str">
        <f>_xlfn.TEXTJOIN("", TRUE, INDEX('S-boxes'!$J$2:$M$65, MATCH(P14, 'S-boxes'!$A$2:$A$65, 0), 0))</f>
        <v>1111</v>
      </c>
      <c r="Y14" s="6" t="str">
        <f>_xlfn.TEXTJOIN("", TRUE, INDEX('S-boxes'!$N$2:$Q$65, MATCH(Q14, 'S-boxes'!$A$2:$A$65, 0), 0))</f>
        <v>1101</v>
      </c>
      <c r="Z14" s="6" t="str">
        <f>_xlfn.TEXTJOIN("", TRUE, INDEX('S-boxes'!$R$2:$U$65, MATCH(R14, 'S-boxes'!$A$2:$A$65, 0), 0))</f>
        <v>1011</v>
      </c>
      <c r="AA14" s="6" t="str">
        <f>_xlfn.TEXTJOIN("", TRUE, INDEX('S-boxes'!$V$2:$Y$65, MATCH(S14, 'S-boxes'!$A$2:$A$65, 0), 0))</f>
        <v>1010</v>
      </c>
      <c r="AB14" s="6" t="str">
        <f>_xlfn.TEXTJOIN("", TRUE, INDEX('S-boxes'!$Z$2:$AC$65, MATCH(T14, 'S-boxes'!$A$2:$A$65, 0), 0))</f>
        <v>1000</v>
      </c>
      <c r="AC14" s="6" t="str">
        <f>_xlfn.TEXTJOIN("", TRUE, INDEX('S-boxes'!$AD$2:$AG$65, MATCH(U14, 'S-boxes'!$A$2:$A$65, 0), 0))</f>
        <v>0111</v>
      </c>
      <c r="AD14" s="6" t="str">
        <f t="shared" si="8"/>
        <v>11011110111111011011101010000111</v>
      </c>
      <c r="AE14" s="6" t="str" cm="1">
        <f t="array" ref="AE14">_xlfn.TEXTJOIN("",TRUE,INDEX(MID(AD14,_xlfn.SEQUENCE(1,32,1,1),1),Permutations!$D$2:$D$33))</f>
        <v>11110101101010111001100111110111</v>
      </c>
      <c r="AF14" s="6" t="str" cm="1">
        <f t="array" ref="AF14">_xlfn.TEXTJOIN("",TRUE,IF(MID(AF13,_xlfn.SEQUENCE(1,32,1,1),1)=MID(AE14,_xlfn.SEQUENCE(1,32,1,1),1),"0","1"))</f>
        <v>01100110000100011100110110000010</v>
      </c>
      <c r="AG14" s="6" t="str">
        <f t="shared" si="9"/>
        <v>10010011101110100101010001110101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3">
      <c r="J15" s="6" t="s">
        <v>106</v>
      </c>
      <c r="K15" s="6" t="str" cm="1">
        <f t="array" ref="K15">_xlfn.TEXTJOIN("",TRUE,INDEX(MID(AF14,_xlfn.SEQUENCE(1,32,1,1),1),Permutations!$C$2:$C$49))</f>
        <v>001100001100000010100011111001011011110000000100</v>
      </c>
      <c r="L15" s="6" t="str">
        <f>'Giải nén khóa K'!L15</f>
        <v>011010011010111011011001001001011110101001100110</v>
      </c>
      <c r="M15" s="6" t="str" cm="1">
        <f t="array" ref="M15">_xlfn.TEXTJOIN("",TRUE,IF(MID(K15,_xlfn.SEQUENCE(1,48,1,1),1)=MID(L15,_xlfn.SEQUENCE(1,48,1,1),1),"0","1"))</f>
        <v>010110010110111001111010110000000101011001100010</v>
      </c>
      <c r="N15" s="6" t="str">
        <f t="shared" si="0"/>
        <v>010110</v>
      </c>
      <c r="O15" s="6" t="str">
        <f t="shared" si="1"/>
        <v>010110</v>
      </c>
      <c r="P15" s="6" t="str">
        <f t="shared" si="2"/>
        <v>111001</v>
      </c>
      <c r="Q15" s="6" t="str">
        <f t="shared" si="3"/>
        <v>111010</v>
      </c>
      <c r="R15" s="6" t="str">
        <f t="shared" si="4"/>
        <v>110000</v>
      </c>
      <c r="S15" s="6" t="str">
        <f t="shared" si="5"/>
        <v>000101</v>
      </c>
      <c r="T15" s="6" t="str">
        <f t="shared" si="6"/>
        <v>011001</v>
      </c>
      <c r="U15" s="6" t="str">
        <f t="shared" si="7"/>
        <v>100010</v>
      </c>
      <c r="V15" s="6" t="str">
        <f>_xlfn.TEXTJOIN("", TRUE, INDEX('S-boxes'!$B$2:$E$65, MATCH(N15, 'S-boxes'!$A$2:$A$65, 0), 0))</f>
        <v>1100</v>
      </c>
      <c r="W15" s="6" t="str">
        <f>_xlfn.TEXTJOIN("", TRUE, INDEX('S-boxes'!$F$2:$I$65, MATCH(O15, 'S-boxes'!$A$2:$A$65, 0), 0))</f>
        <v>1101</v>
      </c>
      <c r="X15" s="6" t="str">
        <f>_xlfn.TEXTJOIN("", TRUE, INDEX('S-boxes'!$J$2:$M$65, MATCH(P15, 'S-boxes'!$A$2:$A$65, 0), 0))</f>
        <v>1011</v>
      </c>
      <c r="Y15" s="6" t="str">
        <f>_xlfn.TEXTJOIN("", TRUE, INDEX('S-boxes'!$N$2:$Q$65, MATCH(Q15, 'S-boxes'!$A$2:$A$65, 0), 0))</f>
        <v>0010</v>
      </c>
      <c r="Z15" s="6" t="str">
        <f>_xlfn.TEXTJOIN("", TRUE, INDEX('S-boxes'!$R$2:$U$65, MATCH(R15, 'S-boxes'!$A$2:$A$65, 0), 0))</f>
        <v>1111</v>
      </c>
      <c r="AA15" s="6" t="str">
        <f>_xlfn.TEXTJOIN("", TRUE, INDEX('S-boxes'!$V$2:$Y$65, MATCH(S15, 'S-boxes'!$A$2:$A$65, 0), 0))</f>
        <v>0100</v>
      </c>
      <c r="AB15" s="6" t="str">
        <f>_xlfn.TEXTJOIN("", TRUE, INDEX('S-boxes'!$Z$2:$AC$65, MATCH(T15, 'S-boxes'!$A$2:$A$65, 0), 0))</f>
        <v>0010</v>
      </c>
      <c r="AC15" s="6" t="str">
        <f>_xlfn.TEXTJOIN("", TRUE, INDEX('S-boxes'!$AD$2:$AG$65, MATCH(U15, 'S-boxes'!$A$2:$A$65, 0), 0))</f>
        <v>1011</v>
      </c>
      <c r="AD15" s="6" t="str">
        <f t="shared" si="8"/>
        <v>11001101101100101111010000101011</v>
      </c>
      <c r="AE15" s="6" t="str" cm="1">
        <f t="array" ref="AE15">_xlfn.TEXTJOIN("",TRUE,INDEX(MID(AD15,_xlfn.SEQUENCE(1,32,1,1),1),Permutations!$D$2:$D$33))</f>
        <v>00101101110011101100110110011100</v>
      </c>
      <c r="AF15" s="6" t="str" cm="1">
        <f t="array" ref="AF15">_xlfn.TEXTJOIN("",TRUE,IF(MID(AF14,_xlfn.SEQUENCE(1,32,1,1),1)=MID(AE15,_xlfn.SEQUENCE(1,32,1,1),1),"0","1"))</f>
        <v>01001011110111110000000000011110</v>
      </c>
      <c r="AG15" s="6" t="str">
        <f t="shared" si="9"/>
        <v>01100110000100011100110110000010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3">
      <c r="J16" s="6" t="s">
        <v>107</v>
      </c>
      <c r="K16" s="6" t="str" cm="1">
        <f t="array" ref="K16">_xlfn.TEXTJOIN("",TRUE,INDEX(MID(AF15,_xlfn.SEQUENCE(1,32,1,1),1),Permutations!$C$2:$C$49))</f>
        <v>001001010111111011111110100000000000000011111100</v>
      </c>
      <c r="L16" s="6" t="str">
        <f>'Giải nén khóa K'!L16</f>
        <v>011010011010111011011001001001011110101001100110</v>
      </c>
      <c r="M16" s="6" t="str" cm="1">
        <f t="array" ref="M16">_xlfn.TEXTJOIN("",TRUE,IF(MID(K16,_xlfn.SEQUENCE(1,48,1,1),1)=MID(L16,_xlfn.SEQUENCE(1,48,1,1),1),"0","1"))</f>
        <v>010011001101000000100111101001011110101010011010</v>
      </c>
      <c r="N16" s="6" t="str">
        <f t="shared" si="0"/>
        <v>010011</v>
      </c>
      <c r="O16" s="6" t="str">
        <f t="shared" si="1"/>
        <v>001101</v>
      </c>
      <c r="P16" s="6" t="str">
        <f t="shared" si="2"/>
        <v>000000</v>
      </c>
      <c r="Q16" s="6" t="str">
        <f t="shared" si="3"/>
        <v>100111</v>
      </c>
      <c r="R16" s="6" t="str">
        <f t="shared" si="4"/>
        <v>101001</v>
      </c>
      <c r="S16" s="6" t="str">
        <f t="shared" si="5"/>
        <v>011110</v>
      </c>
      <c r="T16" s="6" t="str">
        <f t="shared" si="6"/>
        <v>101010</v>
      </c>
      <c r="U16" s="6" t="str">
        <f t="shared" si="7"/>
        <v>011010</v>
      </c>
      <c r="V16" s="6" t="str">
        <f>_xlfn.TEXTJOIN("", TRUE, INDEX('S-boxes'!$B$2:$E$65, MATCH(N16, 'S-boxes'!$A$2:$A$65, 0), 0))</f>
        <v>0110</v>
      </c>
      <c r="W16" s="6" t="str">
        <f>_xlfn.TEXTJOIN("", TRUE, INDEX('S-boxes'!$F$2:$I$65, MATCH(O16, 'S-boxes'!$A$2:$A$65, 0), 0))</f>
        <v>1000</v>
      </c>
      <c r="X16" s="6" t="str">
        <f>_xlfn.TEXTJOIN("", TRUE, INDEX('S-boxes'!$J$2:$M$65, MATCH(P16, 'S-boxes'!$A$2:$A$65, 0), 0))</f>
        <v>1010</v>
      </c>
      <c r="Y16" s="6" t="str">
        <f>_xlfn.TEXTJOIN("", TRUE, INDEX('S-boxes'!$N$2:$Q$65, MATCH(Q16, 'S-boxes'!$A$2:$A$65, 0), 0))</f>
        <v>0110</v>
      </c>
      <c r="Z16" s="6" t="str">
        <f>_xlfn.TEXTJOIN("", TRUE, INDEX('S-boxes'!$R$2:$U$65, MATCH(R16, 'S-boxes'!$A$2:$A$65, 0), 0))</f>
        <v>0001</v>
      </c>
      <c r="AA16" s="6" t="str">
        <f>_xlfn.TEXTJOIN("", TRUE, INDEX('S-boxes'!$V$2:$Y$65, MATCH(S16, 'S-boxes'!$A$2:$A$65, 0), 0))</f>
        <v>1011</v>
      </c>
      <c r="AB16" s="6" t="str">
        <f>_xlfn.TEXTJOIN("", TRUE, INDEX('S-boxes'!$Z$2:$AC$65, MATCH(T16, 'S-boxes'!$A$2:$A$65, 0), 0))</f>
        <v>0011</v>
      </c>
      <c r="AC16" s="6" t="str">
        <f>_xlfn.TEXTJOIN("", TRUE, INDEX('S-boxes'!$AD$2:$AG$65, MATCH(U16, 'S-boxes'!$A$2:$A$65, 0), 0))</f>
        <v>0000</v>
      </c>
      <c r="AD16" s="6" t="str">
        <f t="shared" si="8"/>
        <v>01101000101001100001101100110000</v>
      </c>
      <c r="AE16" s="6" t="str" cm="1">
        <f t="array" ref="AE16">_xlfn.TEXTJOIN("",TRUE,INDEX(MID(AD16,_xlfn.SEQUENCE(1,32,1,1),1),Permutations!$D$2:$D$33))</f>
        <v>00110010011010001011011100000100</v>
      </c>
      <c r="AF16" s="6" t="str" cm="1">
        <f t="array" ref="AF16">_xlfn.TEXTJOIN("",TRUE,IF(MID(AF15,_xlfn.SEQUENCE(1,32,1,1),1)=MID(AE16,_xlfn.SEQUENCE(1,32,1,1),1),"0","1"))</f>
        <v>01111001101101111011011100011010</v>
      </c>
      <c r="AG16" s="6" t="str">
        <f t="shared" si="9"/>
        <v>01001011110111110000000000011110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3">
      <c r="A17" t="s">
        <v>114</v>
      </c>
      <c r="B17" s="1" t="str">
        <f>RIGHT(C6,32)</f>
        <v>11100000010101001111000010101010</v>
      </c>
      <c r="C17" s="1"/>
      <c r="D17" s="1"/>
      <c r="E17" s="1"/>
      <c r="J17" s="6" t="s">
        <v>108</v>
      </c>
      <c r="K17" s="6" t="str" cm="1">
        <f t="array" ref="K17">_xlfn.TEXTJOIN("",TRUE,INDEX(MID(AF16,_xlfn.SEQUENCE(1,32,1,1),1),Permutations!$C$2:$C$49))</f>
        <v>001111110011110110101111110110101110100011110100</v>
      </c>
      <c r="L17" s="6" t="str">
        <f>'Giải nén khóa K'!L17</f>
        <v>011010011010111011011001001001011110101001100110</v>
      </c>
      <c r="M17" s="6" t="str" cm="1">
        <f t="array" ref="M17">_xlfn.TEXTJOIN("",TRUE,IF(MID(K17,_xlfn.SEQUENCE(1,48,1,1),1)=MID(L17,_xlfn.SEQUENCE(1,48,1,1),1),"0","1"))</f>
        <v>010101101001001101110110111111110000001010010010</v>
      </c>
      <c r="N17" s="6" t="str">
        <f t="shared" si="0"/>
        <v>010101</v>
      </c>
      <c r="O17" s="6" t="str">
        <f t="shared" si="1"/>
        <v>101001</v>
      </c>
      <c r="P17" s="6" t="str">
        <f t="shared" si="2"/>
        <v>001101</v>
      </c>
      <c r="Q17" s="6" t="str">
        <f t="shared" si="3"/>
        <v>110110</v>
      </c>
      <c r="R17" s="6" t="str">
        <f t="shared" si="4"/>
        <v>111111</v>
      </c>
      <c r="S17" s="6" t="str">
        <f t="shared" si="5"/>
        <v>110000</v>
      </c>
      <c r="T17" s="6" t="str">
        <f t="shared" si="6"/>
        <v>001010</v>
      </c>
      <c r="U17" s="6" t="str">
        <f t="shared" si="7"/>
        <v>010010</v>
      </c>
      <c r="V17" s="6" t="str">
        <f>_xlfn.TEXTJOIN("", TRUE, INDEX('S-boxes'!$B$2:$E$65, MATCH(N17, 'S-boxes'!$A$2:$A$65, 0), 0))</f>
        <v>1100</v>
      </c>
      <c r="W17" s="6" t="str">
        <f>_xlfn.TEXTJOIN("", TRUE, INDEX('S-boxes'!$F$2:$I$65, MATCH(O17, 'S-boxes'!$A$2:$A$65, 0), 0))</f>
        <v>0011</v>
      </c>
      <c r="X17" s="6" t="str">
        <f>_xlfn.TEXTJOIN("", TRUE, INDEX('S-boxes'!$J$2:$M$65, MATCH(P17, 'S-boxes'!$A$2:$A$65, 0), 0))</f>
        <v>0110</v>
      </c>
      <c r="Y17" s="6" t="str">
        <f>_xlfn.TEXTJOIN("", TRUE, INDEX('S-boxes'!$N$2:$Q$65, MATCH(Q17, 'S-boxes'!$A$2:$A$65, 0), 0))</f>
        <v>1110</v>
      </c>
      <c r="Z17" s="6" t="str">
        <f>_xlfn.TEXTJOIN("", TRUE, INDEX('S-boxes'!$R$2:$U$65, MATCH(R17, 'S-boxes'!$A$2:$A$65, 0), 0))</f>
        <v>0011</v>
      </c>
      <c r="AA17" s="6" t="str">
        <f>_xlfn.TEXTJOIN("", TRUE, INDEX('S-boxes'!$V$2:$Y$65, MATCH(S17, 'S-boxes'!$A$2:$A$65, 0), 0))</f>
        <v>0111</v>
      </c>
      <c r="AB17" s="6" t="str">
        <f>_xlfn.TEXTJOIN("", TRUE, INDEX('S-boxes'!$Z$2:$AC$65, MATCH(T17, 'S-boxes'!$A$2:$A$65, 0), 0))</f>
        <v>0000</v>
      </c>
      <c r="AC17" s="6" t="str">
        <f>_xlfn.TEXTJOIN("", TRUE, INDEX('S-boxes'!$AD$2:$AG$65, MATCH(U17, 'S-boxes'!$A$2:$A$65, 0), 0))</f>
        <v>1001</v>
      </c>
      <c r="AD17" s="6" t="str">
        <f t="shared" si="8"/>
        <v>11000011011011100011011100001001</v>
      </c>
      <c r="AE17" s="6" t="str" cm="1">
        <f t="array" ref="AE17">_xlfn.TEXTJOIN("",TRUE,INDEX(MID(AD17,_xlfn.SEQUENCE(1,32,1,1),1),Permutations!$D$2:$D$33))</f>
        <v>01101000111000011111100011001100</v>
      </c>
      <c r="AF17" s="6" t="str" cm="1">
        <f t="array" ref="AF17">_xlfn.TEXTJOIN("",TRUE,IF(MID(AF16,_xlfn.SEQUENCE(1,32,1,1),1)=MID(AE17,_xlfn.SEQUENCE(1,32,1,1),1),"0","1"))</f>
        <v>00010001010101100100111111010110</v>
      </c>
      <c r="AG17" s="6" t="str">
        <f t="shared" si="9"/>
        <v>01111001101101111011011100011010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3">
      <c r="B18" s="1"/>
      <c r="C18" s="1"/>
      <c r="D18" s="1"/>
      <c r="E18" s="1"/>
      <c r="J18" s="6" t="s">
        <v>109</v>
      </c>
      <c r="K18" s="6" t="str" cm="1">
        <f t="array" ref="K18">_xlfn.TEXTJOIN("",TRUE,INDEX(MID(AF17,_xlfn.SEQUENCE(1,32,1,1),1),Permutations!$C$2:$C$49))</f>
        <v>000010100010101010101100001001011111111010101100</v>
      </c>
      <c r="L18" s="6" t="str">
        <f>'Giải nén khóa K'!L18</f>
        <v>011010011010111011011001001001011110101001100110</v>
      </c>
      <c r="M18" s="6" t="str" cm="1">
        <f t="array" ref="M18">_xlfn.TEXTJOIN("",TRUE,IF(MID(K18,_xlfn.SEQUENCE(1,48,1,1),1)=MID(L18,_xlfn.SEQUENCE(1,48,1,1),1),"0","1"))</f>
        <v>011000111000010001110101000000000001010011001010</v>
      </c>
      <c r="N18" s="6" t="str">
        <f t="shared" si="0"/>
        <v>011000</v>
      </c>
      <c r="O18" s="6" t="str">
        <f t="shared" si="1"/>
        <v>111000</v>
      </c>
      <c r="P18" s="6" t="str">
        <f t="shared" si="2"/>
        <v>010001</v>
      </c>
      <c r="Q18" s="6" t="str">
        <f t="shared" si="3"/>
        <v>110101</v>
      </c>
      <c r="R18" s="6" t="str">
        <f t="shared" si="4"/>
        <v>000000</v>
      </c>
      <c r="S18" s="6" t="str">
        <f t="shared" si="5"/>
        <v>000001</v>
      </c>
      <c r="T18" s="6" t="str">
        <f t="shared" si="6"/>
        <v>010011</v>
      </c>
      <c r="U18" s="6" t="str">
        <f t="shared" si="7"/>
        <v>001010</v>
      </c>
      <c r="V18" s="6" t="str">
        <f>_xlfn.TEXTJOIN("", TRUE, INDEX('S-boxes'!$B$2:$E$65, MATCH(N18, 'S-boxes'!$A$2:$A$65, 0), 0))</f>
        <v>0101</v>
      </c>
      <c r="W18" s="6" t="str">
        <f>_xlfn.TEXTJOIN("", TRUE, INDEX('S-boxes'!$F$2:$I$65, MATCH(O18, 'S-boxes'!$A$2:$A$65, 0), 0))</f>
        <v>1001</v>
      </c>
      <c r="X18" s="6" t="str">
        <f>_xlfn.TEXTJOIN("", TRUE, INDEX('S-boxes'!$J$2:$M$65, MATCH(P18, 'S-boxes'!$A$2:$A$65, 0), 0))</f>
        <v>0010</v>
      </c>
      <c r="Y18" s="6" t="str">
        <f>_xlfn.TEXTJOIN("", TRUE, INDEX('S-boxes'!$N$2:$Q$65, MATCH(Q18, 'S-boxes'!$A$2:$A$65, 0), 0))</f>
        <v>0101</v>
      </c>
      <c r="Z18" s="6" t="str">
        <f>_xlfn.TEXTJOIN("", TRUE, INDEX('S-boxes'!$R$2:$U$65, MATCH(R18, 'S-boxes'!$A$2:$A$65, 0), 0))</f>
        <v>0010</v>
      </c>
      <c r="AA18" s="6" t="str">
        <f>_xlfn.TEXTJOIN("", TRUE, INDEX('S-boxes'!$V$2:$Y$65, MATCH(S18, 'S-boxes'!$A$2:$A$65, 0), 0))</f>
        <v>1010</v>
      </c>
      <c r="AB18" s="6" t="str">
        <f>_xlfn.TEXTJOIN("", TRUE, INDEX('S-boxes'!$Z$2:$AC$65, MATCH(T18, 'S-boxes'!$A$2:$A$65, 0), 0))</f>
        <v>0011</v>
      </c>
      <c r="AC18" s="6" t="str">
        <f>_xlfn.TEXTJOIN("", TRUE, INDEX('S-boxes'!$AD$2:$AG$65, MATCH(U18, 'S-boxes'!$A$2:$A$65, 0), 0))</f>
        <v>1111</v>
      </c>
      <c r="AD18" s="6" t="str">
        <f t="shared" si="8"/>
        <v>01011001001001010010101000111111</v>
      </c>
      <c r="AE18" s="6" t="str" cm="1">
        <f t="array" ref="AE18">_xlfn.TEXTJOIN("",TRUE,INDEX(MID(AD18,_xlfn.SEQUENCE(1,32,1,1),1),Permutations!$D$2:$D$33))</f>
        <v>10011010001010101101110010100110</v>
      </c>
      <c r="AF18" s="6" t="str" cm="1">
        <f t="array" ref="AF18">_xlfn.TEXTJOIN("",TRUE,IF(MID(AF17,_xlfn.SEQUENCE(1,32,1,1),1)=MID(AE18,_xlfn.SEQUENCE(1,32,1,1),1),"0","1"))</f>
        <v>10001011011111001001001101110000</v>
      </c>
      <c r="AG18" s="6" t="str">
        <f t="shared" si="9"/>
        <v>00010001010101100100111111010110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3">
      <c r="J19" s="6" t="s">
        <v>110</v>
      </c>
      <c r="K19" s="6" t="str" cm="1">
        <f t="array" ref="K19">_xlfn.TEXTJOIN("",TRUE,INDEX(MID(AF18,_xlfn.SEQUENCE(1,32,1,1),1),Permutations!$C$2:$C$49))</f>
        <v>010001010110101111111001010010100110101110100001</v>
      </c>
      <c r="L19" s="6" t="str">
        <f>'Giải nén khóa K'!L19</f>
        <v>011010011010111011011001001001011110101001100110</v>
      </c>
      <c r="M19" s="6" t="str" cm="1">
        <f t="array" ref="M19">_xlfn.TEXTJOIN("",TRUE,IF(MID(K19,_xlfn.SEQUENCE(1,48,1,1),1)=MID(L19,_xlfn.SEQUENCE(1,48,1,1),1),"0","1"))</f>
        <v>001011001100010100100000011011111000000111000111</v>
      </c>
      <c r="N19" s="6" t="str">
        <f t="shared" si="0"/>
        <v>001011</v>
      </c>
      <c r="O19" s="6" t="str">
        <f t="shared" si="1"/>
        <v>001100</v>
      </c>
      <c r="P19" s="6" t="str">
        <f t="shared" si="2"/>
        <v>010100</v>
      </c>
      <c r="Q19" s="6" t="str">
        <f t="shared" si="3"/>
        <v>100000</v>
      </c>
      <c r="R19" s="6" t="str">
        <f t="shared" si="4"/>
        <v>011011</v>
      </c>
      <c r="S19" s="6" t="str">
        <f t="shared" si="5"/>
        <v>111000</v>
      </c>
      <c r="T19" s="6" t="str">
        <f t="shared" si="6"/>
        <v>000111</v>
      </c>
      <c r="U19" s="6" t="str">
        <f t="shared" si="7"/>
        <v>000111</v>
      </c>
      <c r="V19" s="6" t="str">
        <f>_xlfn.TEXTJOIN("", TRUE, INDEX('S-boxes'!$B$2:$E$65, MATCH(N19, 'S-boxes'!$A$2:$A$65, 0), 0))</f>
        <v>0010</v>
      </c>
      <c r="W19" s="6" t="str">
        <f>_xlfn.TEXTJOIN("", TRUE, INDEX('S-boxes'!$F$2:$I$65, MATCH(O19, 'S-boxes'!$A$2:$A$65, 0), 0))</f>
        <v>0011</v>
      </c>
      <c r="X19" s="6" t="str">
        <f>_xlfn.TEXTJOIN("", TRUE, INDEX('S-boxes'!$J$2:$M$65, MATCH(P19, 'S-boxes'!$A$2:$A$65, 0), 0))</f>
        <v>1100</v>
      </c>
      <c r="Y19" s="6" t="str">
        <f>_xlfn.TEXTJOIN("", TRUE, INDEX('S-boxes'!$N$2:$Q$65, MATCH(Q19, 'S-boxes'!$A$2:$A$65, 0), 0))</f>
        <v>1010</v>
      </c>
      <c r="Z19" s="6" t="str">
        <f>_xlfn.TEXTJOIN("", TRUE, INDEX('S-boxes'!$R$2:$U$65, MATCH(R19, 'S-boxes'!$A$2:$A$65, 0), 0))</f>
        <v>1001</v>
      </c>
      <c r="AA19" s="6" t="str">
        <f>_xlfn.TEXTJOIN("", TRUE, INDEX('S-boxes'!$V$2:$Y$65, MATCH(S19, 'S-boxes'!$A$2:$A$65, 0), 0))</f>
        <v>0001</v>
      </c>
      <c r="AB19" s="6" t="str">
        <f>_xlfn.TEXTJOIN("", TRUE, INDEX('S-boxes'!$Z$2:$AC$65, MATCH(T19, 'S-boxes'!$A$2:$A$65, 0), 0))</f>
        <v>0111</v>
      </c>
      <c r="AC19" s="6" t="str">
        <f>_xlfn.TEXTJOIN("", TRUE, INDEX('S-boxes'!$AD$2:$AG$65, MATCH(U19, 'S-boxes'!$A$2:$A$65, 0), 0))</f>
        <v>1000</v>
      </c>
      <c r="AD19" s="6" t="str">
        <f t="shared" si="8"/>
        <v>00100011110010101001000101111000</v>
      </c>
      <c r="AE19" s="6" t="str" cm="1">
        <f t="array" ref="AE19">_xlfn.TEXTJOIN("",TRUE,INDEX(MID(AD19,_xlfn.SEQUENCE(1,32,1,1),1),Permutations!$D$2:$D$33))</f>
        <v>01101011010100010110011101000000</v>
      </c>
      <c r="AF19" s="6" t="str" cm="1">
        <f t="array" ref="AF19">_xlfn.TEXTJOIN("",TRUE,IF(MID(AF18,_xlfn.SEQUENCE(1,32,1,1),1)=MID(AE19,_xlfn.SEQUENCE(1,32,1,1),1),"0","1"))</f>
        <v>11100000001011011111010000110000</v>
      </c>
      <c r="AG19" s="6" t="str">
        <f t="shared" si="9"/>
        <v>10001011011111001001001101110000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3">
      <c r="H20" s="6"/>
      <c r="J20" s="6" t="s">
        <v>111</v>
      </c>
      <c r="K20" s="6" t="str" cm="1">
        <f t="array" ref="K20">_xlfn.TEXTJOIN("",TRUE,INDEX(MID(AF19,_xlfn.SEQUENCE(1,32,1,1),1),Permutations!$C$2:$C$49))</f>
        <v>011100000000000101011011111110101000000110100001</v>
      </c>
      <c r="L20" s="6" t="str">
        <f>'Giải nén khóa K'!L20</f>
        <v>000110110000001011101111110110110100100110100101</v>
      </c>
      <c r="M20" s="6" t="str" cm="1">
        <f t="array" ref="M20">_xlfn.TEXTJOIN("",TRUE,IF(MID(K20,_xlfn.SEQUENCE(1,48,1,1),1)=MID(L20,_xlfn.SEQUENCE(1,48,1,1),1),"0","1"))</f>
        <v>011010110000001110110100001000011100100000000100</v>
      </c>
      <c r="N20" s="6" t="str">
        <f t="shared" si="0"/>
        <v>011010</v>
      </c>
      <c r="O20" s="6" t="str">
        <f t="shared" ref="O20" si="10">MID(M20,7,6)</f>
        <v>110000</v>
      </c>
      <c r="P20" s="6" t="str">
        <f t="shared" ref="P20" si="11">MID(M20,13,6)</f>
        <v>001110</v>
      </c>
      <c r="Q20" s="6" t="str">
        <f t="shared" ref="Q20" si="12">MID(M20,19,6)</f>
        <v>110100</v>
      </c>
      <c r="R20" s="6" t="str">
        <f t="shared" ref="R20" si="13">MID(M20,25,6)</f>
        <v>001000</v>
      </c>
      <c r="S20" s="6" t="str">
        <f t="shared" ref="S20" si="14">MID(M20,31,6)</f>
        <v>011100</v>
      </c>
      <c r="T20" s="6" t="str">
        <f t="shared" ref="T20" si="15">MID(M20,37,6)</f>
        <v>100000</v>
      </c>
      <c r="U20" s="6" t="str">
        <f t="shared" ref="U20" si="16">MID(M20,43,6)</f>
        <v>000100</v>
      </c>
      <c r="V20" s="6" t="str">
        <f>_xlfn.TEXTJOIN("", TRUE, INDEX('S-boxes'!$B$2:$E$65, MATCH(N20, 'S-boxes'!$A$2:$A$65, 0), 0))</f>
        <v>1001</v>
      </c>
      <c r="W20" s="6" t="str">
        <f>_xlfn.TEXTJOIN("", TRUE, INDEX('S-boxes'!$F$2:$I$65, MATCH(O20, 'S-boxes'!$A$2:$A$65, 0), 0))</f>
        <v>0101</v>
      </c>
      <c r="X20" s="6" t="str">
        <f>_xlfn.TEXTJOIN("", TRUE, INDEX('S-boxes'!$J$2:$M$65, MATCH(P20, 'S-boxes'!$A$2:$A$65, 0), 0))</f>
        <v>0101</v>
      </c>
      <c r="Y20" s="6" t="str">
        <f>_xlfn.TEXTJOIN("", TRUE, INDEX('S-boxes'!$N$2:$Q$65, MATCH(Q20, 'S-boxes'!$A$2:$A$65, 0), 0))</f>
        <v>0011</v>
      </c>
      <c r="Z20" s="6" t="str">
        <f>_xlfn.TEXTJOIN("", TRUE, INDEX('S-boxes'!$R$2:$U$65, MATCH(R20, 'S-boxes'!$A$2:$A$65, 0), 0))</f>
        <v>0111</v>
      </c>
      <c r="AA20" s="6" t="str">
        <f>_xlfn.TEXTJOIN("", TRUE, INDEX('S-boxes'!$V$2:$Y$65, MATCH(S20, 'S-boxes'!$A$2:$A$65, 0), 0))</f>
        <v>0101</v>
      </c>
      <c r="AB20" s="6" t="str">
        <f>_xlfn.TEXTJOIN("", TRUE, INDEX('S-boxes'!$Z$2:$AC$65, MATCH(T20, 'S-boxes'!$A$2:$A$65, 0), 0))</f>
        <v>0001</v>
      </c>
      <c r="AC20" s="6" t="str">
        <f>_xlfn.TEXTJOIN("", TRUE, INDEX('S-boxes'!$AD$2:$AG$65, MATCH(U20, 'S-boxes'!$A$2:$A$65, 0), 0))</f>
        <v>1000</v>
      </c>
      <c r="AD20" s="6" t="str">
        <f t="shared" ref="AD20" si="17">V20&amp;W20&amp;X20&amp;Y20&amp;Z20&amp;AA20&amp;AB20&amp;AC20</f>
        <v>10010101010100110111010100011000</v>
      </c>
      <c r="AE20" s="6" t="str" cm="1">
        <f t="array" ref="AE20">_xlfn.TEXTJOIN("",TRUE,INDEX(MID(AD20,_xlfn.SEQUENCE(1,32,1,1),1),Permutations!$D$2:$D$33))</f>
        <v>10101110110001010110000010011010</v>
      </c>
      <c r="AF20" s="6" t="str" cm="1">
        <f t="array" ref="AF20">_xlfn.TEXTJOIN("",TRUE,IF(MID(AF19,_xlfn.SEQUENCE(1,32,1,1),1)=MID(AE20,_xlfn.SEQUENCE(1,32,1,1),1),"0","1"))</f>
        <v>01001110111010001001010010101010</v>
      </c>
      <c r="AG20" s="6" t="str">
        <f>AG19</f>
        <v>10001011011111001001001101110000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3">
      <c r="J21" s="6"/>
      <c r="K21" s="6"/>
      <c r="L21" s="6"/>
      <c r="M21" s="6"/>
    </row>
    <row r="22" spans="1:49" x14ac:dyDescent="0.3">
      <c r="A22" s="1" t="s">
        <v>115</v>
      </c>
      <c r="B22" s="1"/>
      <c r="C22" s="2" t="str">
        <f>CONCATENATE(AF20,AG20)</f>
        <v>0100111011101000100101001010101010001011011111001001001101110000</v>
      </c>
      <c r="D22" s="2"/>
      <c r="E22" s="2"/>
    </row>
    <row r="23" spans="1:49" x14ac:dyDescent="0.3">
      <c r="C23" s="2"/>
      <c r="D23" s="2"/>
      <c r="E23" s="2"/>
    </row>
    <row r="26" spans="1:49" x14ac:dyDescent="0.3">
      <c r="C26" s="2" t="str" cm="1">
        <f t="array" ref="C26">_xlfn.TEXTJOIN("",TRUE,INDEX(MID(C22,_xlfn.SEQUENCE(1,64,1,1),1),Permutations!B2:B65))</f>
        <v>1000100011001001011001001111000100101110001100110111001010011101</v>
      </c>
      <c r="D26" s="2"/>
      <c r="E26" s="2"/>
    </row>
    <row r="27" spans="1:49" x14ac:dyDescent="0.3">
      <c r="C27" s="2"/>
      <c r="D27" s="2"/>
      <c r="E27" s="2"/>
    </row>
    <row r="29" spans="1:49" x14ac:dyDescent="0.3">
      <c r="A29" s="1" t="s">
        <v>7</v>
      </c>
      <c r="B29" s="1"/>
      <c r="C29" s="1" t="str" cm="1">
        <f t="array" ref="C29">_xlfn.TEXTJOIN("",TRUE,DEC2HEX(BIN2DEC(MID(C26,_xlfn.SEQUENCE(LEN(C26)/4)*4-3,4)),1))</f>
        <v>88C964F12E33729D</v>
      </c>
      <c r="D29" s="1"/>
      <c r="E29" s="1"/>
    </row>
    <row r="30" spans="1:49" x14ac:dyDescent="0.3">
      <c r="C30" s="1"/>
      <c r="D30" s="1"/>
      <c r="E30" s="1"/>
    </row>
  </sheetData>
  <mergeCells count="13">
    <mergeCell ref="B11:E12"/>
    <mergeCell ref="B17:E18"/>
    <mergeCell ref="A22:B22"/>
    <mergeCell ref="C22:E23"/>
    <mergeCell ref="C26:E27"/>
    <mergeCell ref="A29:B29"/>
    <mergeCell ref="C29:E30"/>
    <mergeCell ref="A1:B1"/>
    <mergeCell ref="C1:D1"/>
    <mergeCell ref="A2:B2"/>
    <mergeCell ref="C2:E3"/>
    <mergeCell ref="A6:B6"/>
    <mergeCell ref="C6:E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1C04-E805-45E6-B758-446A7087EE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Đề bài</vt:lpstr>
      <vt:lpstr>Permutations</vt:lpstr>
      <vt:lpstr>S-boxes</vt:lpstr>
      <vt:lpstr>Giải nén khóa K</vt:lpstr>
      <vt:lpstr>Mã hóa M sang C</vt:lpstr>
      <vt:lpstr>Giải mã C về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Lã Minh Khánh</dc:creator>
  <cp:lastModifiedBy>Lã Minh Khánh</cp:lastModifiedBy>
  <dcterms:created xsi:type="dcterms:W3CDTF">2025-08-21T11:26:23Z</dcterms:created>
  <dcterms:modified xsi:type="dcterms:W3CDTF">2025-08-23T05:58:32Z</dcterms:modified>
</cp:coreProperties>
</file>