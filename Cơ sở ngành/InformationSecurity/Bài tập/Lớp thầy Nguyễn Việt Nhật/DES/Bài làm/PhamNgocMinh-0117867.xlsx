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281B89-9A69-4FAB-BB43-82FF94D06BDB}" xr6:coauthVersionLast="47" xr6:coauthVersionMax="47" xr10:uidLastSave="{00000000-0000-0000-0000-000000000000}"/>
  <bookViews>
    <workbookView xWindow="-120" yWindow="-120" windowWidth="29040" windowHeight="15720" xr2:uid="{650B3FB6-0113-4D9D-A439-758AFACE6B01}"/>
  </bookViews>
  <sheets>
    <sheet name="Trang_tính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61" i="1" l="1" a="1"/>
  <c r="N1061" i="1" s="1"/>
  <c r="N1062" i="1" a="1"/>
  <c r="N1062" i="1" s="1"/>
  <c r="N1063" i="1" a="1"/>
  <c r="N1063" i="1" s="1"/>
  <c r="N1064" i="1" a="1"/>
  <c r="N1064" i="1" s="1"/>
  <c r="N1065" i="1" a="1"/>
  <c r="N1065" i="1" s="1"/>
  <c r="N1066" i="1" a="1"/>
  <c r="N1066" i="1"/>
  <c r="N1067" i="1" a="1"/>
  <c r="N1067" i="1" s="1"/>
  <c r="N1068" i="1" a="1"/>
  <c r="N1068" i="1" s="1"/>
  <c r="AO1069" i="1" s="1"/>
  <c r="N1069" i="1" a="1"/>
  <c r="N1069" i="1" s="1"/>
  <c r="N1070" i="1" a="1"/>
  <c r="N1070" i="1" s="1"/>
  <c r="N1071" i="1" a="1"/>
  <c r="N1071" i="1" s="1"/>
  <c r="N1072" i="1" a="1"/>
  <c r="N1072" i="1"/>
  <c r="N1073" i="1" a="1"/>
  <c r="N1073" i="1" s="1"/>
  <c r="N1074" i="1" a="1"/>
  <c r="N1074" i="1" s="1"/>
  <c r="N1075" i="1" a="1"/>
  <c r="N1075" i="1" s="1"/>
  <c r="N1076" i="1" a="1"/>
  <c r="N1076" i="1" s="1"/>
  <c r="N1077" i="1" a="1"/>
  <c r="N1077" i="1" s="1"/>
  <c r="N1078" i="1" a="1"/>
  <c r="N1078" i="1"/>
  <c r="N1079" i="1" a="1"/>
  <c r="N1079" i="1" s="1"/>
  <c r="N1080" i="1" a="1"/>
  <c r="N1080" i="1" s="1"/>
  <c r="N1081" i="1" a="1"/>
  <c r="N1081" i="1" s="1"/>
  <c r="X1081" i="1" s="1"/>
  <c r="N1082" i="1" a="1"/>
  <c r="N1082" i="1" s="1"/>
  <c r="N1083" i="1" a="1"/>
  <c r="N1083" i="1" s="1"/>
  <c r="N1084" i="1" a="1"/>
  <c r="N1084" i="1"/>
  <c r="N1085" i="1" a="1"/>
  <c r="N1085" i="1" s="1"/>
  <c r="N1086" i="1" a="1"/>
  <c r="N1086" i="1" s="1"/>
  <c r="N1087" i="1" a="1"/>
  <c r="N1087" i="1" s="1"/>
  <c r="N1088" i="1" a="1"/>
  <c r="N1088" i="1" s="1"/>
  <c r="N1089" i="1" a="1"/>
  <c r="N1089" i="1" s="1"/>
  <c r="N1090" i="1" a="1"/>
  <c r="N1090" i="1"/>
  <c r="N1091" i="1" a="1"/>
  <c r="N1091" i="1" s="1"/>
  <c r="N1092" i="1" a="1"/>
  <c r="N1092" i="1" s="1"/>
  <c r="N1093" i="1" a="1"/>
  <c r="N1093" i="1" s="1"/>
  <c r="N1094" i="1" a="1"/>
  <c r="N1094" i="1" s="1"/>
  <c r="N1095" i="1" a="1"/>
  <c r="N1095" i="1" s="1"/>
  <c r="N1096" i="1" a="1"/>
  <c r="N1096" i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 s="1"/>
  <c r="N1102" i="1" a="1"/>
  <c r="N1102" i="1"/>
  <c r="N1103" i="1" a="1"/>
  <c r="N1103" i="1" s="1"/>
  <c r="N1104" i="1" a="1"/>
  <c r="N1104" i="1" s="1"/>
  <c r="N1105" i="1" a="1"/>
  <c r="N1105" i="1" s="1"/>
  <c r="X1105" i="1" s="1"/>
  <c r="N1106" i="1" a="1"/>
  <c r="N1106" i="1" s="1"/>
  <c r="N1107" i="1" a="1"/>
  <c r="N1107" i="1" s="1"/>
  <c r="N1060" i="1" a="1"/>
  <c r="N1060" i="1" s="1"/>
  <c r="F1061" i="1" a="1"/>
  <c r="F1061" i="1" s="1"/>
  <c r="G1061" i="1" a="1"/>
  <c r="G1061" i="1" s="1"/>
  <c r="H1061" i="1" a="1"/>
  <c r="H1061" i="1" s="1"/>
  <c r="I1061" i="1" a="1"/>
  <c r="I1061" i="1" s="1"/>
  <c r="J1061" i="1" a="1"/>
  <c r="J1061" i="1" s="1"/>
  <c r="K1061" i="1" a="1"/>
  <c r="K1061" i="1"/>
  <c r="F1062" i="1" a="1"/>
  <c r="F1062" i="1" s="1"/>
  <c r="G1062" i="1" a="1"/>
  <c r="G1062" i="1" s="1"/>
  <c r="H1062" i="1" a="1"/>
  <c r="H1062" i="1" s="1"/>
  <c r="I1062" i="1" a="1"/>
  <c r="I1062" i="1" s="1"/>
  <c r="J1062" i="1" a="1"/>
  <c r="J1062" i="1" s="1"/>
  <c r="K1062" i="1" a="1"/>
  <c r="K1062" i="1"/>
  <c r="F1063" i="1" a="1"/>
  <c r="F1063" i="1" s="1"/>
  <c r="G1063" i="1" a="1"/>
  <c r="G1063" i="1" s="1"/>
  <c r="H1063" i="1" a="1"/>
  <c r="H1063" i="1" s="1"/>
  <c r="I1063" i="1" a="1"/>
  <c r="I1063" i="1" s="1"/>
  <c r="J1063" i="1" a="1"/>
  <c r="J1063" i="1" s="1"/>
  <c r="K1063" i="1" a="1"/>
  <c r="K1063" i="1"/>
  <c r="F1064" i="1" a="1"/>
  <c r="F1064" i="1" s="1"/>
  <c r="G1064" i="1" a="1"/>
  <c r="G1064" i="1" s="1"/>
  <c r="H1064" i="1" a="1"/>
  <c r="H1064" i="1" s="1"/>
  <c r="I1064" i="1" a="1"/>
  <c r="I1064" i="1" s="1"/>
  <c r="J1064" i="1" a="1"/>
  <c r="J1064" i="1" s="1"/>
  <c r="K1064" i="1" a="1"/>
  <c r="K1064" i="1"/>
  <c r="F1065" i="1" a="1"/>
  <c r="F1065" i="1" s="1"/>
  <c r="G1065" i="1" a="1"/>
  <c r="G1065" i="1" s="1"/>
  <c r="H1065" i="1" a="1"/>
  <c r="H1065" i="1" s="1"/>
  <c r="I1065" i="1" a="1"/>
  <c r="I1065" i="1" s="1"/>
  <c r="J1065" i="1" a="1"/>
  <c r="J1065" i="1" s="1"/>
  <c r="K1065" i="1" a="1"/>
  <c r="K1065" i="1"/>
  <c r="F1066" i="1" a="1"/>
  <c r="F1066" i="1" s="1"/>
  <c r="G1066" i="1" a="1"/>
  <c r="G1066" i="1" s="1"/>
  <c r="H1066" i="1" a="1"/>
  <c r="H1066" i="1" s="1"/>
  <c r="I1066" i="1" a="1"/>
  <c r="I1066" i="1" s="1"/>
  <c r="J1066" i="1" a="1"/>
  <c r="J1066" i="1" s="1"/>
  <c r="K1066" i="1" a="1"/>
  <c r="K1066" i="1"/>
  <c r="F1067" i="1" a="1"/>
  <c r="F1067" i="1" s="1"/>
  <c r="G1067" i="1" a="1"/>
  <c r="G1067" i="1" s="1"/>
  <c r="H1067" i="1" a="1"/>
  <c r="H1067" i="1" s="1"/>
  <c r="I1067" i="1" a="1"/>
  <c r="I1067" i="1" s="1"/>
  <c r="J1067" i="1" a="1"/>
  <c r="J1067" i="1" s="1"/>
  <c r="K1067" i="1" a="1"/>
  <c r="K1067" i="1"/>
  <c r="G1060" i="1" a="1"/>
  <c r="G1060" i="1" s="1"/>
  <c r="H1060" i="1" a="1"/>
  <c r="H1060" i="1" s="1"/>
  <c r="I1060" i="1" a="1"/>
  <c r="I1060" i="1" s="1"/>
  <c r="J1060" i="1" a="1"/>
  <c r="J1060" i="1"/>
  <c r="K1060" i="1" a="1"/>
  <c r="K1060" i="1" s="1"/>
  <c r="F1060" i="1" a="1"/>
  <c r="F1060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/>
  <c r="N1006" i="1" a="1"/>
  <c r="N1006" i="1" s="1"/>
  <c r="N1007" i="1" a="1"/>
  <c r="N1007" i="1" s="1"/>
  <c r="N1008" i="1" a="1"/>
  <c r="N1008" i="1" s="1"/>
  <c r="X1008" i="1" s="1"/>
  <c r="N1009" i="1" a="1"/>
  <c r="N1009" i="1" s="1"/>
  <c r="N1010" i="1" a="1"/>
  <c r="N1010" i="1" s="1"/>
  <c r="N1011" i="1" a="1"/>
  <c r="N1011" i="1"/>
  <c r="N1012" i="1" a="1"/>
  <c r="N1012" i="1" s="1"/>
  <c r="X1012" i="1" s="1"/>
  <c r="N1013" i="1" a="1"/>
  <c r="N1013" i="1" s="1"/>
  <c r="N1014" i="1" a="1"/>
  <c r="N1014" i="1" s="1"/>
  <c r="N1015" i="1" a="1"/>
  <c r="N1015" i="1" s="1"/>
  <c r="N1016" i="1" a="1"/>
  <c r="N1016" i="1" s="1"/>
  <c r="X1016" i="1" s="1"/>
  <c r="N1017" i="1" a="1"/>
  <c r="N1017" i="1"/>
  <c r="N1018" i="1" a="1"/>
  <c r="N1018" i="1" s="1"/>
  <c r="N1019" i="1" a="1"/>
  <c r="N1019" i="1" s="1"/>
  <c r="N1020" i="1" a="1"/>
  <c r="N1020" i="1" s="1"/>
  <c r="X1020" i="1" s="1"/>
  <c r="N1021" i="1" a="1"/>
  <c r="N1021" i="1" s="1"/>
  <c r="N1022" i="1" a="1"/>
  <c r="N1022" i="1" s="1"/>
  <c r="N1023" i="1" a="1"/>
  <c r="N1023" i="1"/>
  <c r="N1024" i="1" a="1"/>
  <c r="N1024" i="1" s="1"/>
  <c r="N1025" i="1" a="1"/>
  <c r="N1025" i="1" s="1"/>
  <c r="N1026" i="1" a="1"/>
  <c r="N1026" i="1" s="1"/>
  <c r="N1027" i="1" a="1"/>
  <c r="N1027" i="1" s="1"/>
  <c r="N1028" i="1" a="1"/>
  <c r="N1028" i="1" s="1"/>
  <c r="N1029" i="1" a="1"/>
  <c r="N1029" i="1"/>
  <c r="N1030" i="1" a="1"/>
  <c r="N1030" i="1" s="1"/>
  <c r="N1031" i="1" a="1"/>
  <c r="N1031" i="1" s="1"/>
  <c r="N1032" i="1" a="1"/>
  <c r="N1032" i="1" s="1"/>
  <c r="N1033" i="1" a="1"/>
  <c r="N1033" i="1" s="1"/>
  <c r="N1034" i="1" a="1"/>
  <c r="N1034" i="1" s="1"/>
  <c r="N1035" i="1" a="1"/>
  <c r="N1035" i="1"/>
  <c r="N1036" i="1" a="1"/>
  <c r="N1036" i="1" s="1"/>
  <c r="N1037" i="1" a="1"/>
  <c r="N1037" i="1" s="1"/>
  <c r="N1038" i="1" a="1"/>
  <c r="N1038" i="1" s="1"/>
  <c r="N1039" i="1" a="1"/>
  <c r="N1039" i="1" s="1"/>
  <c r="N1040" i="1" a="1"/>
  <c r="N1040" i="1" s="1"/>
  <c r="N1041" i="1" a="1"/>
  <c r="N1041" i="1"/>
  <c r="N1042" i="1" a="1"/>
  <c r="N1042" i="1" s="1"/>
  <c r="N1043" i="1" a="1"/>
  <c r="N1043" i="1" s="1"/>
  <c r="N1044" i="1" a="1"/>
  <c r="N1044" i="1" s="1"/>
  <c r="N1045" i="1" a="1"/>
  <c r="N1045" i="1" s="1"/>
  <c r="N1046" i="1" a="1"/>
  <c r="N1046" i="1" s="1"/>
  <c r="N999" i="1" a="1"/>
  <c r="N999" i="1" s="1"/>
  <c r="F1000" i="1" a="1"/>
  <c r="F1000" i="1" s="1"/>
  <c r="G1000" i="1" a="1"/>
  <c r="G1000" i="1" s="1"/>
  <c r="H1000" i="1" a="1"/>
  <c r="H1000" i="1" s="1"/>
  <c r="I1000" i="1" a="1"/>
  <c r="I1000" i="1" s="1"/>
  <c r="J1000" i="1" a="1"/>
  <c r="J1000" i="1" s="1"/>
  <c r="K1000" i="1" a="1"/>
  <c r="K1000" i="1"/>
  <c r="F1001" i="1" a="1"/>
  <c r="F1001" i="1" s="1"/>
  <c r="G1001" i="1" a="1"/>
  <c r="G1001" i="1" s="1"/>
  <c r="H1001" i="1" a="1"/>
  <c r="H1001" i="1" s="1"/>
  <c r="I1001" i="1" a="1"/>
  <c r="I1001" i="1" s="1"/>
  <c r="J1001" i="1" a="1"/>
  <c r="J1001" i="1" s="1"/>
  <c r="K1001" i="1" a="1"/>
  <c r="K1001" i="1"/>
  <c r="F1002" i="1" a="1"/>
  <c r="F1002" i="1" s="1"/>
  <c r="G1002" i="1" a="1"/>
  <c r="G1002" i="1" s="1"/>
  <c r="H1002" i="1" a="1"/>
  <c r="H1002" i="1" s="1"/>
  <c r="I1002" i="1" a="1"/>
  <c r="I1002" i="1" s="1"/>
  <c r="J1002" i="1" a="1"/>
  <c r="J1002" i="1" s="1"/>
  <c r="K1002" i="1" a="1"/>
  <c r="K1002" i="1"/>
  <c r="F1003" i="1" a="1"/>
  <c r="F1003" i="1" s="1"/>
  <c r="G1003" i="1" a="1"/>
  <c r="G1003" i="1" s="1"/>
  <c r="H1003" i="1" a="1"/>
  <c r="H1003" i="1" s="1"/>
  <c r="I1003" i="1" a="1"/>
  <c r="I1003" i="1" s="1"/>
  <c r="J1003" i="1" a="1"/>
  <c r="J1003" i="1" s="1"/>
  <c r="K1003" i="1" a="1"/>
  <c r="K1003" i="1"/>
  <c r="F1004" i="1" a="1"/>
  <c r="F1004" i="1" s="1"/>
  <c r="G1004" i="1" a="1"/>
  <c r="G1004" i="1" s="1"/>
  <c r="H1004" i="1" a="1"/>
  <c r="H1004" i="1" s="1"/>
  <c r="I1004" i="1" a="1"/>
  <c r="I1004" i="1" s="1"/>
  <c r="J1004" i="1" a="1"/>
  <c r="J1004" i="1" s="1"/>
  <c r="K1004" i="1" a="1"/>
  <c r="K1004" i="1"/>
  <c r="F1005" i="1" a="1"/>
  <c r="F1005" i="1" s="1"/>
  <c r="G1005" i="1" a="1"/>
  <c r="G1005" i="1" s="1"/>
  <c r="H1005" i="1" a="1"/>
  <c r="H1005" i="1" s="1"/>
  <c r="I1005" i="1" a="1"/>
  <c r="I1005" i="1" s="1"/>
  <c r="J1005" i="1" a="1"/>
  <c r="J1005" i="1" s="1"/>
  <c r="K1005" i="1" a="1"/>
  <c r="K1005" i="1"/>
  <c r="F1006" i="1" a="1"/>
  <c r="F1006" i="1" s="1"/>
  <c r="G1006" i="1" a="1"/>
  <c r="G1006" i="1" s="1"/>
  <c r="H1006" i="1" a="1"/>
  <c r="H1006" i="1" s="1"/>
  <c r="I1006" i="1" a="1"/>
  <c r="I1006" i="1" s="1"/>
  <c r="J1006" i="1" a="1"/>
  <c r="J1006" i="1" s="1"/>
  <c r="K1006" i="1" a="1"/>
  <c r="K1006" i="1"/>
  <c r="G999" i="1" a="1"/>
  <c r="G999" i="1" s="1"/>
  <c r="H999" i="1" a="1"/>
  <c r="H999" i="1" s="1"/>
  <c r="I999" i="1" a="1"/>
  <c r="I999" i="1" s="1"/>
  <c r="J999" i="1" a="1"/>
  <c r="J999" i="1"/>
  <c r="K999" i="1" a="1"/>
  <c r="K999" i="1" s="1"/>
  <c r="F999" i="1" a="1"/>
  <c r="F999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/>
  <c r="N951" i="1" a="1"/>
  <c r="N951" i="1" s="1"/>
  <c r="N952" i="1" a="1"/>
  <c r="N952" i="1" s="1"/>
  <c r="N953" i="1" a="1"/>
  <c r="N953" i="1" s="1"/>
  <c r="N954" i="1" a="1"/>
  <c r="N954" i="1" s="1"/>
  <c r="N955" i="1" a="1"/>
  <c r="N955" i="1" s="1"/>
  <c r="N956" i="1" a="1"/>
  <c r="N956" i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X973" i="1" s="1"/>
  <c r="N974" i="1" a="1"/>
  <c r="N974" i="1"/>
  <c r="N975" i="1" a="1"/>
  <c r="N975" i="1" s="1"/>
  <c r="N976" i="1" a="1"/>
  <c r="N976" i="1" s="1"/>
  <c r="N977" i="1" a="1"/>
  <c r="N977" i="1" s="1"/>
  <c r="N978" i="1" a="1"/>
  <c r="N978" i="1" s="1"/>
  <c r="N979" i="1" a="1"/>
  <c r="N979" i="1" s="1"/>
  <c r="N980" i="1" a="1"/>
  <c r="N980" i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38" i="1" a="1"/>
  <c r="N938" i="1" s="1"/>
  <c r="F939" i="1" a="1"/>
  <c r="F939" i="1" s="1"/>
  <c r="G939" i="1" a="1"/>
  <c r="G939" i="1" s="1"/>
  <c r="H939" i="1" a="1"/>
  <c r="H939" i="1" s="1"/>
  <c r="I939" i="1" a="1"/>
  <c r="I939" i="1" s="1"/>
  <c r="J939" i="1" a="1"/>
  <c r="J939" i="1" s="1"/>
  <c r="K939" i="1" a="1"/>
  <c r="K939" i="1"/>
  <c r="F940" i="1" a="1"/>
  <c r="F940" i="1" s="1"/>
  <c r="G940" i="1" a="1"/>
  <c r="G940" i="1" s="1"/>
  <c r="H940" i="1" a="1"/>
  <c r="H940" i="1" s="1"/>
  <c r="I940" i="1" a="1"/>
  <c r="I940" i="1" s="1"/>
  <c r="J940" i="1" a="1"/>
  <c r="J940" i="1" s="1"/>
  <c r="K940" i="1" a="1"/>
  <c r="K940" i="1"/>
  <c r="F941" i="1" a="1"/>
  <c r="F941" i="1" s="1"/>
  <c r="G941" i="1" a="1"/>
  <c r="G941" i="1" s="1"/>
  <c r="H941" i="1" a="1"/>
  <c r="H941" i="1" s="1"/>
  <c r="I941" i="1" a="1"/>
  <c r="I941" i="1" s="1"/>
  <c r="J941" i="1" a="1"/>
  <c r="J941" i="1" s="1"/>
  <c r="K941" i="1" a="1"/>
  <c r="K941" i="1"/>
  <c r="F942" i="1" a="1"/>
  <c r="F942" i="1" s="1"/>
  <c r="G942" i="1" a="1"/>
  <c r="G942" i="1" s="1"/>
  <c r="H942" i="1" a="1"/>
  <c r="H942" i="1" s="1"/>
  <c r="I942" i="1" a="1"/>
  <c r="I942" i="1" s="1"/>
  <c r="J942" i="1" a="1"/>
  <c r="J942" i="1" s="1"/>
  <c r="K942" i="1" a="1"/>
  <c r="K942" i="1"/>
  <c r="F943" i="1" a="1"/>
  <c r="F943" i="1" s="1"/>
  <c r="G943" i="1" a="1"/>
  <c r="G943" i="1" s="1"/>
  <c r="H943" i="1" a="1"/>
  <c r="H943" i="1" s="1"/>
  <c r="I943" i="1" a="1"/>
  <c r="I943" i="1" s="1"/>
  <c r="J943" i="1" a="1"/>
  <c r="J943" i="1" s="1"/>
  <c r="K943" i="1" a="1"/>
  <c r="K943" i="1"/>
  <c r="F944" i="1" a="1"/>
  <c r="F944" i="1" s="1"/>
  <c r="G944" i="1" a="1"/>
  <c r="G944" i="1" s="1"/>
  <c r="H944" i="1" a="1"/>
  <c r="H944" i="1" s="1"/>
  <c r="I944" i="1" a="1"/>
  <c r="I944" i="1" s="1"/>
  <c r="J944" i="1" a="1"/>
  <c r="J944" i="1" s="1"/>
  <c r="K944" i="1" a="1"/>
  <c r="K944" i="1"/>
  <c r="F945" i="1" a="1"/>
  <c r="F945" i="1" s="1"/>
  <c r="G945" i="1" a="1"/>
  <c r="G945" i="1" s="1"/>
  <c r="H945" i="1" a="1"/>
  <c r="H945" i="1" s="1"/>
  <c r="I945" i="1" a="1"/>
  <c r="I945" i="1" s="1"/>
  <c r="J945" i="1" a="1"/>
  <c r="J945" i="1" s="1"/>
  <c r="K945" i="1" a="1"/>
  <c r="K945" i="1"/>
  <c r="G938" i="1" a="1"/>
  <c r="G938" i="1" s="1"/>
  <c r="H938" i="1" a="1"/>
  <c r="H938" i="1"/>
  <c r="I938" i="1" a="1"/>
  <c r="I938" i="1" s="1"/>
  <c r="J938" i="1" a="1"/>
  <c r="J938" i="1" s="1"/>
  <c r="K938" i="1" a="1"/>
  <c r="K938" i="1"/>
  <c r="F938" i="1" a="1"/>
  <c r="F938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 s="1"/>
  <c r="N883" i="1" a="1"/>
  <c r="N883" i="1" s="1"/>
  <c r="N884" i="1" a="1"/>
  <c r="N884" i="1" s="1"/>
  <c r="N885" i="1" a="1"/>
  <c r="N885" i="1" s="1"/>
  <c r="AO886" i="1" s="1"/>
  <c r="N886" i="1" a="1"/>
  <c r="N886" i="1" s="1"/>
  <c r="X886" i="1" s="1"/>
  <c r="N887" i="1" a="1"/>
  <c r="N887" i="1" s="1"/>
  <c r="N888" i="1" a="1"/>
  <c r="N888" i="1" s="1"/>
  <c r="N889" i="1" a="1"/>
  <c r="N889" i="1" s="1"/>
  <c r="N890" i="1" a="1"/>
  <c r="N890" i="1" s="1"/>
  <c r="X890" i="1" s="1"/>
  <c r="N891" i="1" a="1"/>
  <c r="N891" i="1" s="1"/>
  <c r="N892" i="1" a="1"/>
  <c r="N892" i="1" s="1"/>
  <c r="N893" i="1" a="1"/>
  <c r="N893" i="1" s="1"/>
  <c r="N894" i="1" a="1"/>
  <c r="N894" i="1" s="1"/>
  <c r="X894" i="1" s="1"/>
  <c r="N895" i="1" a="1"/>
  <c r="N895" i="1" s="1"/>
  <c r="N896" i="1" a="1"/>
  <c r="N896" i="1" s="1"/>
  <c r="N897" i="1" a="1"/>
  <c r="N897" i="1" s="1"/>
  <c r="N898" i="1" a="1"/>
  <c r="N898" i="1" s="1"/>
  <c r="X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877" i="1" a="1"/>
  <c r="N877" i="1" s="1"/>
  <c r="F878" i="1" a="1"/>
  <c r="F878" i="1" s="1"/>
  <c r="G878" i="1" a="1"/>
  <c r="G878" i="1" s="1"/>
  <c r="H878" i="1" a="1"/>
  <c r="H878" i="1" s="1"/>
  <c r="I878" i="1" a="1"/>
  <c r="I878" i="1" s="1"/>
  <c r="J878" i="1" a="1"/>
  <c r="J878" i="1" s="1"/>
  <c r="K878" i="1" a="1"/>
  <c r="K878" i="1"/>
  <c r="F879" i="1" a="1"/>
  <c r="F879" i="1" s="1"/>
  <c r="G879" i="1" a="1"/>
  <c r="G879" i="1" s="1"/>
  <c r="H879" i="1" a="1"/>
  <c r="H879" i="1" s="1"/>
  <c r="I879" i="1" a="1"/>
  <c r="I879" i="1" s="1"/>
  <c r="J879" i="1" a="1"/>
  <c r="J879" i="1" s="1"/>
  <c r="K879" i="1" a="1"/>
  <c r="K879" i="1"/>
  <c r="F880" i="1" a="1"/>
  <c r="F880" i="1" s="1"/>
  <c r="G880" i="1" a="1"/>
  <c r="G880" i="1" s="1"/>
  <c r="H880" i="1" a="1"/>
  <c r="H880" i="1" s="1"/>
  <c r="I880" i="1" a="1"/>
  <c r="I880" i="1" s="1"/>
  <c r="J880" i="1" a="1"/>
  <c r="J880" i="1" s="1"/>
  <c r="K880" i="1" a="1"/>
  <c r="K880" i="1"/>
  <c r="F881" i="1" a="1"/>
  <c r="F881" i="1" s="1"/>
  <c r="G881" i="1" a="1"/>
  <c r="G881" i="1" s="1"/>
  <c r="H881" i="1" a="1"/>
  <c r="H881" i="1" s="1"/>
  <c r="I881" i="1" a="1"/>
  <c r="I881" i="1" s="1"/>
  <c r="J881" i="1" a="1"/>
  <c r="J881" i="1" s="1"/>
  <c r="K881" i="1" a="1"/>
  <c r="K881" i="1"/>
  <c r="F882" i="1" a="1"/>
  <c r="F882" i="1" s="1"/>
  <c r="G882" i="1" a="1"/>
  <c r="G882" i="1" s="1"/>
  <c r="H882" i="1" a="1"/>
  <c r="H882" i="1" s="1"/>
  <c r="I882" i="1" a="1"/>
  <c r="I882" i="1" s="1"/>
  <c r="J882" i="1" a="1"/>
  <c r="J882" i="1" s="1"/>
  <c r="K882" i="1" a="1"/>
  <c r="K882" i="1"/>
  <c r="F883" i="1" a="1"/>
  <c r="F883" i="1" s="1"/>
  <c r="G883" i="1" a="1"/>
  <c r="G883" i="1" s="1"/>
  <c r="H883" i="1" a="1"/>
  <c r="H883" i="1" s="1"/>
  <c r="I883" i="1" a="1"/>
  <c r="I883" i="1" s="1"/>
  <c r="J883" i="1" a="1"/>
  <c r="J883" i="1" s="1"/>
  <c r="K883" i="1" a="1"/>
  <c r="K883" i="1"/>
  <c r="F884" i="1" a="1"/>
  <c r="F884" i="1" s="1"/>
  <c r="G884" i="1" a="1"/>
  <c r="G884" i="1" s="1"/>
  <c r="H884" i="1" a="1"/>
  <c r="H884" i="1" s="1"/>
  <c r="I884" i="1" a="1"/>
  <c r="I884" i="1" s="1"/>
  <c r="J884" i="1" a="1"/>
  <c r="J884" i="1" s="1"/>
  <c r="K884" i="1" a="1"/>
  <c r="K884" i="1"/>
  <c r="G877" i="1" a="1"/>
  <c r="G877" i="1" s="1"/>
  <c r="H877" i="1" a="1"/>
  <c r="H877" i="1" s="1"/>
  <c r="I877" i="1" a="1"/>
  <c r="I877" i="1" s="1"/>
  <c r="J877" i="1" a="1"/>
  <c r="J877" i="1" s="1"/>
  <c r="K877" i="1" a="1"/>
  <c r="K877" i="1" s="1"/>
  <c r="F877" i="1" a="1"/>
  <c r="F877" i="1" s="1"/>
  <c r="N817" i="1" a="1"/>
  <c r="N817" i="1" s="1"/>
  <c r="N818" i="1" a="1"/>
  <c r="N818" i="1"/>
  <c r="N819" i="1" a="1"/>
  <c r="N819" i="1" s="1"/>
  <c r="N820" i="1" a="1"/>
  <c r="N820" i="1"/>
  <c r="N821" i="1" a="1"/>
  <c r="N821" i="1" s="1"/>
  <c r="N822" i="1" a="1"/>
  <c r="N822" i="1"/>
  <c r="N823" i="1" a="1"/>
  <c r="N823" i="1" s="1"/>
  <c r="N824" i="1" a="1"/>
  <c r="N824" i="1"/>
  <c r="N825" i="1" a="1"/>
  <c r="N825" i="1" s="1"/>
  <c r="N826" i="1" a="1"/>
  <c r="N826" i="1"/>
  <c r="N827" i="1" a="1"/>
  <c r="N827" i="1" s="1"/>
  <c r="N828" i="1" a="1"/>
  <c r="N828" i="1"/>
  <c r="N829" i="1" a="1"/>
  <c r="N829" i="1" s="1"/>
  <c r="X829" i="1" s="1"/>
  <c r="N830" i="1" a="1"/>
  <c r="N830" i="1"/>
  <c r="N831" i="1" a="1"/>
  <c r="N831" i="1" s="1"/>
  <c r="N832" i="1" a="1"/>
  <c r="N832" i="1"/>
  <c r="N833" i="1" a="1"/>
  <c r="N833" i="1" s="1"/>
  <c r="X833" i="1" s="1"/>
  <c r="N834" i="1" a="1"/>
  <c r="N834" i="1"/>
  <c r="N835" i="1" a="1"/>
  <c r="N835" i="1" s="1"/>
  <c r="N836" i="1" a="1"/>
  <c r="N836" i="1"/>
  <c r="N837" i="1" a="1"/>
  <c r="N837" i="1" s="1"/>
  <c r="X837" i="1" s="1"/>
  <c r="N838" i="1" a="1"/>
  <c r="N838" i="1"/>
  <c r="N839" i="1" a="1"/>
  <c r="N839" i="1" s="1"/>
  <c r="N840" i="1" a="1"/>
  <c r="N840" i="1"/>
  <c r="N841" i="1" a="1"/>
  <c r="N841" i="1" s="1"/>
  <c r="N842" i="1" a="1"/>
  <c r="N842" i="1"/>
  <c r="N843" i="1" a="1"/>
  <c r="N843" i="1" s="1"/>
  <c r="N844" i="1" a="1"/>
  <c r="N844" i="1"/>
  <c r="N845" i="1" a="1"/>
  <c r="N845" i="1" s="1"/>
  <c r="N846" i="1" a="1"/>
  <c r="N846" i="1"/>
  <c r="N847" i="1" a="1"/>
  <c r="N847" i="1" s="1"/>
  <c r="X847" i="1" s="1"/>
  <c r="N848" i="1" a="1"/>
  <c r="N848" i="1"/>
  <c r="N849" i="1" a="1"/>
  <c r="N849" i="1" s="1"/>
  <c r="N850" i="1" a="1"/>
  <c r="N850" i="1"/>
  <c r="N851" i="1" a="1"/>
  <c r="N851" i="1" s="1"/>
  <c r="N852" i="1" a="1"/>
  <c r="N852" i="1"/>
  <c r="N853" i="1" a="1"/>
  <c r="N853" i="1" s="1"/>
  <c r="N854" i="1" a="1"/>
  <c r="N854" i="1"/>
  <c r="N855" i="1" a="1"/>
  <c r="N855" i="1" s="1"/>
  <c r="N856" i="1" a="1"/>
  <c r="N856" i="1"/>
  <c r="N857" i="1" a="1"/>
  <c r="N857" i="1" s="1"/>
  <c r="N858" i="1" a="1"/>
  <c r="N858" i="1"/>
  <c r="N859" i="1" a="1"/>
  <c r="N859" i="1" s="1"/>
  <c r="N860" i="1" a="1"/>
  <c r="N860" i="1"/>
  <c r="N861" i="1" a="1"/>
  <c r="N861" i="1" s="1"/>
  <c r="N862" i="1" a="1"/>
  <c r="N862" i="1"/>
  <c r="N863" i="1" a="1"/>
  <c r="N863" i="1" s="1"/>
  <c r="N816" i="1" a="1"/>
  <c r="N816" i="1" s="1"/>
  <c r="Q1117" i="1" a="1"/>
  <c r="Q1117" i="1" s="1"/>
  <c r="Q1116" i="1"/>
  <c r="Q1116" i="1" a="1"/>
  <c r="Q1115" i="1"/>
  <c r="Q1115" i="1" a="1"/>
  <c r="Q1114" i="1" a="1"/>
  <c r="Q1114" i="1" s="1"/>
  <c r="Q1113" i="1" a="1"/>
  <c r="Q1113" i="1" s="1"/>
  <c r="Q1112" i="1"/>
  <c r="Q1112" i="1" a="1"/>
  <c r="Q1111" i="1" a="1"/>
  <c r="Q1111" i="1" s="1"/>
  <c r="Q1110" i="1"/>
  <c r="Q1110" i="1" a="1"/>
  <c r="Q1109" i="1"/>
  <c r="Q1109" i="1" a="1"/>
  <c r="Q1108" i="1" a="1"/>
  <c r="Q1108" i="1" s="1"/>
  <c r="Q1107" i="1" a="1"/>
  <c r="Q1107" i="1" s="1"/>
  <c r="Q1106" i="1" a="1"/>
  <c r="Q1106" i="1" s="1"/>
  <c r="Q1105" i="1" a="1"/>
  <c r="Q1105" i="1" s="1"/>
  <c r="Q1104" i="1" a="1"/>
  <c r="Q1104" i="1" s="1"/>
  <c r="Q1103" i="1" a="1"/>
  <c r="Q1103" i="1" s="1"/>
  <c r="Q1102" i="1" a="1"/>
  <c r="Q1102" i="1" s="1"/>
  <c r="Q1101" i="1" a="1"/>
  <c r="Q1101" i="1" s="1"/>
  <c r="Q1100" i="1" a="1"/>
  <c r="Q1100" i="1" s="1"/>
  <c r="Q1099" i="1" a="1"/>
  <c r="Q1099" i="1" s="1"/>
  <c r="Q1098" i="1" a="1"/>
  <c r="Q1098" i="1" s="1"/>
  <c r="Q1097" i="1" a="1"/>
  <c r="Q1097" i="1" s="1"/>
  <c r="Q1096" i="1" a="1"/>
  <c r="Q1096" i="1" s="1"/>
  <c r="Q1095" i="1" a="1"/>
  <c r="Q1095" i="1" s="1"/>
  <c r="Q1094" i="1" a="1"/>
  <c r="Q1094" i="1" s="1"/>
  <c r="Q1093" i="1" a="1"/>
  <c r="Q1093" i="1" s="1"/>
  <c r="Q1092" i="1" a="1"/>
  <c r="Q1092" i="1" s="1"/>
  <c r="AL1091" i="1" a="1"/>
  <c r="AL1091" i="1" s="1"/>
  <c r="AI1091" i="1"/>
  <c r="AI1091" i="1" a="1"/>
  <c r="Q1091" i="1"/>
  <c r="Q1091" i="1" a="1"/>
  <c r="AL1090" i="1" a="1"/>
  <c r="AL1090" i="1" s="1"/>
  <c r="AI1090" i="1"/>
  <c r="AI1090" i="1" a="1"/>
  <c r="Q1090" i="1" a="1"/>
  <c r="Q1090" i="1" s="1"/>
  <c r="AL1089" i="1" a="1"/>
  <c r="AL1089" i="1" s="1"/>
  <c r="AI1089" i="1" a="1"/>
  <c r="AI1089" i="1" s="1"/>
  <c r="Q1089" i="1" a="1"/>
  <c r="Q1089" i="1" s="1"/>
  <c r="AL1088" i="1" a="1"/>
  <c r="AL1088" i="1" s="1"/>
  <c r="AI1088" i="1"/>
  <c r="AI1088" i="1" a="1"/>
  <c r="Q1088" i="1" a="1"/>
  <c r="Q1088" i="1" s="1"/>
  <c r="AL1087" i="1" a="1"/>
  <c r="AL1087" i="1" s="1"/>
  <c r="AI1087" i="1" a="1"/>
  <c r="AI1087" i="1" s="1"/>
  <c r="Q1087" i="1" a="1"/>
  <c r="Q1087" i="1" s="1"/>
  <c r="AL1086" i="1" a="1"/>
  <c r="AL1086" i="1" s="1"/>
  <c r="AI1086" i="1" a="1"/>
  <c r="AI1086" i="1" s="1"/>
  <c r="Q1086" i="1" a="1"/>
  <c r="Q1086" i="1" s="1"/>
  <c r="AL1085" i="1" a="1"/>
  <c r="AL1085" i="1" s="1"/>
  <c r="AI1085" i="1" a="1"/>
  <c r="AI1085" i="1" s="1"/>
  <c r="Q1085" i="1" a="1"/>
  <c r="Q1085" i="1" s="1"/>
  <c r="AL1084" i="1" a="1"/>
  <c r="AL1084" i="1" s="1"/>
  <c r="AI1084" i="1" a="1"/>
  <c r="AI1084" i="1" s="1"/>
  <c r="Q1084" i="1" a="1"/>
  <c r="Q1084" i="1" s="1"/>
  <c r="AL1083" i="1" a="1"/>
  <c r="AL1083" i="1" s="1"/>
  <c r="AI1083" i="1" a="1"/>
  <c r="AI1083" i="1" s="1"/>
  <c r="Q1083" i="1" a="1"/>
  <c r="Q1083" i="1" s="1"/>
  <c r="AL1082" i="1" a="1"/>
  <c r="AL1082" i="1" s="1"/>
  <c r="AI1082" i="1" a="1"/>
  <c r="AI1082" i="1" s="1"/>
  <c r="Q1082" i="1" a="1"/>
  <c r="Q1082" i="1" s="1"/>
  <c r="AL1081" i="1"/>
  <c r="AL1081" i="1" a="1"/>
  <c r="AI1081" i="1" a="1"/>
  <c r="AI1081" i="1" s="1"/>
  <c r="Q1081" i="1" a="1"/>
  <c r="Q1081" i="1" s="1"/>
  <c r="AL1080" i="1" a="1"/>
  <c r="AL1080" i="1" s="1"/>
  <c r="AI1080" i="1" a="1"/>
  <c r="AI1080" i="1" s="1"/>
  <c r="Q1080" i="1" a="1"/>
  <c r="Q1080" i="1" s="1"/>
  <c r="AL1079" i="1" a="1"/>
  <c r="AL1079" i="1" s="1"/>
  <c r="AI1079" i="1" a="1"/>
  <c r="AI1079" i="1" s="1"/>
  <c r="Q1079" i="1" a="1"/>
  <c r="Q1079" i="1" s="1"/>
  <c r="AL1078" i="1" a="1"/>
  <c r="AL1078" i="1" s="1"/>
  <c r="AI1078" i="1" a="1"/>
  <c r="AI1078" i="1" s="1"/>
  <c r="Q1078" i="1" a="1"/>
  <c r="Q1078" i="1" s="1"/>
  <c r="AL1077" i="1"/>
  <c r="AL1077" i="1" a="1"/>
  <c r="AI1077" i="1" a="1"/>
  <c r="AI1077" i="1" s="1"/>
  <c r="Q1077" i="1" a="1"/>
  <c r="Q1077" i="1" s="1"/>
  <c r="AL1076" i="1" a="1"/>
  <c r="AL1076" i="1" s="1"/>
  <c r="AI1076" i="1" a="1"/>
  <c r="AI1076" i="1" s="1"/>
  <c r="Q1076" i="1" a="1"/>
  <c r="Q1076" i="1" s="1"/>
  <c r="AL1075" i="1" a="1"/>
  <c r="AL1075" i="1" s="1"/>
  <c r="AI1075" i="1" a="1"/>
  <c r="AI1075" i="1" s="1"/>
  <c r="Q1075" i="1" a="1"/>
  <c r="Q1075" i="1" s="1"/>
  <c r="AL1074" i="1" a="1"/>
  <c r="AL1074" i="1" s="1"/>
  <c r="AI1074" i="1" a="1"/>
  <c r="AI1074" i="1" s="1"/>
  <c r="Q1074" i="1" a="1"/>
  <c r="Q1074" i="1" s="1"/>
  <c r="AL1073" i="1"/>
  <c r="AL1073" i="1" a="1"/>
  <c r="AI1073" i="1" a="1"/>
  <c r="AI1073" i="1" s="1"/>
  <c r="Q1073" i="1" a="1"/>
  <c r="Q1073" i="1" s="1"/>
  <c r="AL1072" i="1" a="1"/>
  <c r="AL1072" i="1" s="1"/>
  <c r="AI1072" i="1" a="1"/>
  <c r="AI1072" i="1" s="1"/>
  <c r="Q1072" i="1" a="1"/>
  <c r="Q1072" i="1" s="1"/>
  <c r="AL1071" i="1" a="1"/>
  <c r="AL1071" i="1" s="1"/>
  <c r="AI1071" i="1" a="1"/>
  <c r="AI1071" i="1" s="1"/>
  <c r="Q1071" i="1" a="1"/>
  <c r="Q1071" i="1" s="1"/>
  <c r="AL1070" i="1" a="1"/>
  <c r="AL1070" i="1" s="1"/>
  <c r="AI1070" i="1" a="1"/>
  <c r="AI1070" i="1" s="1"/>
  <c r="Q1070" i="1" a="1"/>
  <c r="Q1070" i="1" s="1"/>
  <c r="AL1069" i="1"/>
  <c r="AL1069" i="1" a="1"/>
  <c r="AI1069" i="1" a="1"/>
  <c r="AI1069" i="1" s="1"/>
  <c r="AL1068" i="1"/>
  <c r="AL1068" i="1" a="1"/>
  <c r="AI1068" i="1" a="1"/>
  <c r="AI1068" i="1" s="1"/>
  <c r="AA1068" i="1"/>
  <c r="AC1068" i="1" s="1"/>
  <c r="AL1067" i="1" a="1"/>
  <c r="AL1067" i="1" s="1"/>
  <c r="AI1067" i="1"/>
  <c r="AI1067" i="1" a="1"/>
  <c r="AD1067" i="1"/>
  <c r="AC1067" i="1"/>
  <c r="AE1067" i="1" s="1" a="1"/>
  <c r="AE1067" i="1" s="1"/>
  <c r="AF1067" i="1" s="1"/>
  <c r="AA1067" i="1"/>
  <c r="U1067" i="1"/>
  <c r="U1067" i="1" a="1"/>
  <c r="AL1066" i="1" a="1"/>
  <c r="AL1066" i="1" s="1"/>
  <c r="AI1066" i="1" a="1"/>
  <c r="AI1066" i="1" s="1"/>
  <c r="AA1066" i="1"/>
  <c r="AC1066" i="1" s="1"/>
  <c r="U1066" i="1" a="1"/>
  <c r="U1066" i="1" s="1"/>
  <c r="AL1065" i="1"/>
  <c r="AL1065" i="1" a="1"/>
  <c r="AI1065" i="1"/>
  <c r="AI1065" i="1" a="1"/>
  <c r="AA1065" i="1"/>
  <c r="AC1065" i="1" s="1"/>
  <c r="U1065" i="1" a="1"/>
  <c r="U1065" i="1" s="1"/>
  <c r="AL1064" i="1" a="1"/>
  <c r="AL1064" i="1" s="1"/>
  <c r="AI1064" i="1"/>
  <c r="AI1064" i="1" a="1"/>
  <c r="AD1064" i="1"/>
  <c r="AA1064" i="1"/>
  <c r="AC1064" i="1" s="1"/>
  <c r="AE1064" i="1" s="1" a="1"/>
  <c r="AE1064" i="1" s="1"/>
  <c r="AF1064" i="1" s="1"/>
  <c r="U1064" i="1"/>
  <c r="U1064" i="1" a="1"/>
  <c r="AL1063" i="1"/>
  <c r="AL1063" i="1" a="1"/>
  <c r="AI1063" i="1" a="1"/>
  <c r="AI1063" i="1" s="1"/>
  <c r="AA1063" i="1"/>
  <c r="AD1063" i="1" s="1"/>
  <c r="U1063" i="1" a="1"/>
  <c r="U1063" i="1" s="1"/>
  <c r="AL1062" i="1"/>
  <c r="AL1062" i="1" a="1"/>
  <c r="AI1062" i="1" a="1"/>
  <c r="AI1062" i="1" s="1"/>
  <c r="AA1062" i="1"/>
  <c r="AD1062" i="1" s="1"/>
  <c r="U1062" i="1"/>
  <c r="U1062" i="1" a="1"/>
  <c r="AN1061" i="1"/>
  <c r="AL1061" i="1" a="1"/>
  <c r="AL1061" i="1" s="1"/>
  <c r="AI1061" i="1"/>
  <c r="AI1061" i="1" a="1"/>
  <c r="AA1061" i="1"/>
  <c r="AD1061" i="1" s="1"/>
  <c r="U1061" i="1"/>
  <c r="U1061" i="1" a="1"/>
  <c r="AL1060" i="1"/>
  <c r="AL1060" i="1" a="1"/>
  <c r="AI1060" i="1" a="1"/>
  <c r="AI1060" i="1" s="1"/>
  <c r="Q1056" i="1" a="1"/>
  <c r="Q1056" i="1" s="1"/>
  <c r="Q1055" i="1" a="1"/>
  <c r="Q1055" i="1" s="1"/>
  <c r="Q1054" i="1" a="1"/>
  <c r="Q1054" i="1" s="1"/>
  <c r="Q1053" i="1" a="1"/>
  <c r="Q1053" i="1" s="1"/>
  <c r="Q1052" i="1" a="1"/>
  <c r="Q1052" i="1" s="1"/>
  <c r="Q1051" i="1"/>
  <c r="Q1051" i="1" a="1"/>
  <c r="Q1050" i="1" a="1"/>
  <c r="Q1050" i="1" s="1"/>
  <c r="Q1049" i="1" a="1"/>
  <c r="Q1049" i="1" s="1"/>
  <c r="Q1048" i="1" a="1"/>
  <c r="Q1048" i="1" s="1"/>
  <c r="Q1047" i="1" a="1"/>
  <c r="Q1047" i="1" s="1"/>
  <c r="Q1046" i="1" a="1"/>
  <c r="Q1046" i="1" s="1"/>
  <c r="Q1045" i="1" a="1"/>
  <c r="Q1045" i="1" s="1"/>
  <c r="Q1044" i="1" a="1"/>
  <c r="Q1044" i="1" s="1"/>
  <c r="Q1043" i="1" a="1"/>
  <c r="Q1043" i="1" s="1"/>
  <c r="Q1042" i="1" a="1"/>
  <c r="Q1042" i="1" s="1"/>
  <c r="Q1041" i="1" a="1"/>
  <c r="Q1041" i="1" s="1"/>
  <c r="Q1040" i="1" a="1"/>
  <c r="Q1040" i="1" s="1"/>
  <c r="Q1039" i="1" a="1"/>
  <c r="Q1039" i="1" s="1"/>
  <c r="Q1038" i="1" a="1"/>
  <c r="Q1038" i="1" s="1"/>
  <c r="Q1037" i="1" a="1"/>
  <c r="Q1037" i="1" s="1"/>
  <c r="Q1036" i="1" a="1"/>
  <c r="Q1036" i="1" s="1"/>
  <c r="Q1035" i="1" a="1"/>
  <c r="Q1035" i="1" s="1"/>
  <c r="Q1034" i="1" a="1"/>
  <c r="Q1034" i="1" s="1"/>
  <c r="Q1033" i="1" a="1"/>
  <c r="Q1033" i="1" s="1"/>
  <c r="Q1032" i="1" a="1"/>
  <c r="Q1032" i="1" s="1"/>
  <c r="Q1031" i="1" a="1"/>
  <c r="Q1031" i="1" s="1"/>
  <c r="AL1030" i="1" a="1"/>
  <c r="AL1030" i="1" s="1"/>
  <c r="AI1030" i="1" a="1"/>
  <c r="AI1030" i="1" s="1"/>
  <c r="Q1030" i="1"/>
  <c r="Q1030" i="1" a="1"/>
  <c r="AL1029" i="1" a="1"/>
  <c r="AL1029" i="1" s="1"/>
  <c r="AI1029" i="1"/>
  <c r="AI1029" i="1" a="1"/>
  <c r="Q1029" i="1" a="1"/>
  <c r="Q1029" i="1" s="1"/>
  <c r="AL1028" i="1" a="1"/>
  <c r="AL1028" i="1" s="1"/>
  <c r="AI1028" i="1" a="1"/>
  <c r="AI1028" i="1" s="1"/>
  <c r="Q1028" i="1"/>
  <c r="Q1028" i="1" a="1"/>
  <c r="AL1027" i="1" a="1"/>
  <c r="AL1027" i="1" s="1"/>
  <c r="AI1027" i="1"/>
  <c r="AI1027" i="1" a="1"/>
  <c r="Q1027" i="1" a="1"/>
  <c r="Q1027" i="1" s="1"/>
  <c r="AL1026" i="1" a="1"/>
  <c r="AL1026" i="1" s="1"/>
  <c r="AI1026" i="1" a="1"/>
  <c r="AI1026" i="1" s="1"/>
  <c r="Q1026" i="1"/>
  <c r="Q1026" i="1" a="1"/>
  <c r="AL1025" i="1" a="1"/>
  <c r="AL1025" i="1" s="1"/>
  <c r="AI1025" i="1"/>
  <c r="AI1025" i="1" a="1"/>
  <c r="Q1025" i="1" a="1"/>
  <c r="Q1025" i="1" s="1"/>
  <c r="AL1024" i="1" a="1"/>
  <c r="AL1024" i="1" s="1"/>
  <c r="AI1024" i="1" a="1"/>
  <c r="AI1024" i="1" s="1"/>
  <c r="Q1024" i="1"/>
  <c r="Q1024" i="1" a="1"/>
  <c r="AL1023" i="1" a="1"/>
  <c r="AL1023" i="1" s="1"/>
  <c r="AI1023" i="1"/>
  <c r="AI1023" i="1" a="1"/>
  <c r="Q1023" i="1" a="1"/>
  <c r="Q1023" i="1" s="1"/>
  <c r="AL1022" i="1" a="1"/>
  <c r="AL1022" i="1" s="1"/>
  <c r="AI1022" i="1" a="1"/>
  <c r="AI1022" i="1" s="1"/>
  <c r="Q1022" i="1"/>
  <c r="Q1022" i="1" a="1"/>
  <c r="AL1021" i="1" a="1"/>
  <c r="AL1021" i="1" s="1"/>
  <c r="AI1021" i="1"/>
  <c r="AI1021" i="1" a="1"/>
  <c r="Q1021" i="1" a="1"/>
  <c r="Q1021" i="1" s="1"/>
  <c r="AL1020" i="1" a="1"/>
  <c r="AL1020" i="1" s="1"/>
  <c r="AI1020" i="1" a="1"/>
  <c r="AI1020" i="1" s="1"/>
  <c r="Q1020" i="1"/>
  <c r="Q1020" i="1" a="1"/>
  <c r="AL1019" i="1" a="1"/>
  <c r="AL1019" i="1" s="1"/>
  <c r="AI1019" i="1"/>
  <c r="AI1019" i="1" a="1"/>
  <c r="Q1019" i="1" a="1"/>
  <c r="Q1019" i="1" s="1"/>
  <c r="AL1018" i="1" a="1"/>
  <c r="AL1018" i="1" s="1"/>
  <c r="AI1018" i="1" a="1"/>
  <c r="AI1018" i="1" s="1"/>
  <c r="Q1018" i="1"/>
  <c r="Q1018" i="1" a="1"/>
  <c r="AL1017" i="1" a="1"/>
  <c r="AL1017" i="1" s="1"/>
  <c r="AI1017" i="1"/>
  <c r="AI1017" i="1" a="1"/>
  <c r="Q1017" i="1" a="1"/>
  <c r="Q1017" i="1" s="1"/>
  <c r="AL1016" i="1" a="1"/>
  <c r="AL1016" i="1" s="1"/>
  <c r="AI1016" i="1" a="1"/>
  <c r="AI1016" i="1" s="1"/>
  <c r="Q1016" i="1"/>
  <c r="Q1016" i="1" a="1"/>
  <c r="AL1015" i="1" a="1"/>
  <c r="AL1015" i="1" s="1"/>
  <c r="AI1015" i="1"/>
  <c r="AI1015" i="1" a="1"/>
  <c r="Q1015" i="1" a="1"/>
  <c r="Q1015" i="1" s="1"/>
  <c r="AL1014" i="1" a="1"/>
  <c r="AL1014" i="1" s="1"/>
  <c r="AI1014" i="1" a="1"/>
  <c r="AI1014" i="1" s="1"/>
  <c r="Q1014" i="1"/>
  <c r="Q1014" i="1" a="1"/>
  <c r="AL1013" i="1" a="1"/>
  <c r="AL1013" i="1" s="1"/>
  <c r="AI1013" i="1"/>
  <c r="AI1013" i="1" a="1"/>
  <c r="Q1013" i="1" a="1"/>
  <c r="Q1013" i="1" s="1"/>
  <c r="AL1012" i="1" a="1"/>
  <c r="AL1012" i="1" s="1"/>
  <c r="AI1012" i="1" a="1"/>
  <c r="AI1012" i="1" s="1"/>
  <c r="Q1012" i="1"/>
  <c r="Q1012" i="1" a="1"/>
  <c r="AL1011" i="1" a="1"/>
  <c r="AL1011" i="1" s="1"/>
  <c r="AI1011" i="1"/>
  <c r="AI1011" i="1" a="1"/>
  <c r="Q1011" i="1" a="1"/>
  <c r="Q1011" i="1" s="1"/>
  <c r="AL1010" i="1" a="1"/>
  <c r="AL1010" i="1" s="1"/>
  <c r="AI1010" i="1" a="1"/>
  <c r="AI1010" i="1" s="1"/>
  <c r="Q1010" i="1"/>
  <c r="Q1010" i="1" a="1"/>
  <c r="AL1009" i="1" a="1"/>
  <c r="AL1009" i="1" s="1"/>
  <c r="AI1009" i="1"/>
  <c r="AI1009" i="1" a="1"/>
  <c r="Q1009" i="1" a="1"/>
  <c r="Q1009" i="1" s="1"/>
  <c r="AL1008" i="1" a="1"/>
  <c r="AL1008" i="1" s="1"/>
  <c r="AI1008" i="1" a="1"/>
  <c r="AI1008" i="1" s="1"/>
  <c r="AL1007" i="1"/>
  <c r="AL1007" i="1" a="1"/>
  <c r="AI1007" i="1" a="1"/>
  <c r="AI1007" i="1" s="1"/>
  <c r="AA1007" i="1"/>
  <c r="AC1007" i="1" s="1"/>
  <c r="AL1006" i="1" a="1"/>
  <c r="AL1006" i="1" s="1"/>
  <c r="AI1006" i="1" a="1"/>
  <c r="AI1006" i="1" s="1"/>
  <c r="AC1006" i="1"/>
  <c r="AA1006" i="1"/>
  <c r="AD1006" i="1" s="1"/>
  <c r="U1006" i="1"/>
  <c r="U1006" i="1" a="1"/>
  <c r="AL1005" i="1" a="1"/>
  <c r="AL1005" i="1" s="1"/>
  <c r="AI1005" i="1"/>
  <c r="AI1005" i="1" a="1"/>
  <c r="AD1005" i="1"/>
  <c r="AE1005" i="1" s="1" a="1"/>
  <c r="AE1005" i="1" s="1"/>
  <c r="AF1005" i="1" s="1"/>
  <c r="AC1005" i="1"/>
  <c r="AA1005" i="1"/>
  <c r="U1005" i="1" a="1"/>
  <c r="U1005" i="1" s="1"/>
  <c r="AL1004" i="1"/>
  <c r="AL1004" i="1" a="1"/>
  <c r="AI1004" i="1" a="1"/>
  <c r="AI1004" i="1" s="1"/>
  <c r="AA1004" i="1"/>
  <c r="AC1004" i="1" s="1"/>
  <c r="U1004" i="1" a="1"/>
  <c r="U1004" i="1" s="1"/>
  <c r="AL1003" i="1"/>
  <c r="AL1003" i="1" a="1"/>
  <c r="AI1003" i="1"/>
  <c r="AI1003" i="1" a="1"/>
  <c r="AA1003" i="1"/>
  <c r="AD1003" i="1" s="1"/>
  <c r="U1003" i="1"/>
  <c r="U1003" i="1" a="1"/>
  <c r="AL1002" i="1" a="1"/>
  <c r="AL1002" i="1" s="1"/>
  <c r="AI1002" i="1" a="1"/>
  <c r="AI1002" i="1" s="1"/>
  <c r="AA1002" i="1"/>
  <c r="AC1002" i="1" s="1"/>
  <c r="U1002" i="1"/>
  <c r="U1002" i="1" a="1"/>
  <c r="AL1001" i="1"/>
  <c r="AL1001" i="1" a="1"/>
  <c r="AI1001" i="1" a="1"/>
  <c r="AI1001" i="1" s="1"/>
  <c r="AA1001" i="1"/>
  <c r="AD1001" i="1" s="1"/>
  <c r="U1001" i="1" a="1"/>
  <c r="U1001" i="1" s="1"/>
  <c r="AN1000" i="1"/>
  <c r="AL1000" i="1" a="1"/>
  <c r="AL1000" i="1" s="1"/>
  <c r="AI1000" i="1"/>
  <c r="AI1000" i="1" a="1"/>
  <c r="AA1000" i="1"/>
  <c r="AD1000" i="1" s="1"/>
  <c r="U1000" i="1"/>
  <c r="U1000" i="1" a="1"/>
  <c r="AL999" i="1"/>
  <c r="AL999" i="1" a="1"/>
  <c r="AI999" i="1" a="1"/>
  <c r="AI999" i="1" s="1"/>
  <c r="U999" i="1" a="1"/>
  <c r="U999" i="1" s="1"/>
  <c r="Q995" i="1" a="1"/>
  <c r="Q995" i="1" s="1"/>
  <c r="Q994" i="1" a="1"/>
  <c r="Q994" i="1" s="1"/>
  <c r="Q993" i="1" a="1"/>
  <c r="Q993" i="1" s="1"/>
  <c r="Q992" i="1" a="1"/>
  <c r="Q992" i="1" s="1"/>
  <c r="Q991" i="1" a="1"/>
  <c r="Q991" i="1" s="1"/>
  <c r="Q990" i="1" a="1"/>
  <c r="Q990" i="1" s="1"/>
  <c r="Q989" i="1" a="1"/>
  <c r="Q989" i="1" s="1"/>
  <c r="Q988" i="1" a="1"/>
  <c r="Q988" i="1" s="1"/>
  <c r="Q987" i="1" a="1"/>
  <c r="Q987" i="1" s="1"/>
  <c r="Q986" i="1" a="1"/>
  <c r="Q986" i="1" s="1"/>
  <c r="Q985" i="1" a="1"/>
  <c r="Q985" i="1" s="1"/>
  <c r="Q984" i="1" a="1"/>
  <c r="Q984" i="1" s="1"/>
  <c r="Q983" i="1"/>
  <c r="Q983" i="1" a="1"/>
  <c r="Q982" i="1" a="1"/>
  <c r="Q982" i="1" s="1"/>
  <c r="Q981" i="1" a="1"/>
  <c r="Q981" i="1" s="1"/>
  <c r="Q980" i="1" a="1"/>
  <c r="Q980" i="1" s="1"/>
  <c r="Q979" i="1"/>
  <c r="Q979" i="1" a="1"/>
  <c r="Q978" i="1" a="1"/>
  <c r="Q978" i="1" s="1"/>
  <c r="Q977" i="1" a="1"/>
  <c r="Q977" i="1" s="1"/>
  <c r="Q976" i="1" a="1"/>
  <c r="Q976" i="1" s="1"/>
  <c r="Q975" i="1"/>
  <c r="Q975" i="1" a="1"/>
  <c r="Q974" i="1" a="1"/>
  <c r="Q974" i="1" s="1"/>
  <c r="Q973" i="1" a="1"/>
  <c r="Q973" i="1" s="1"/>
  <c r="Q972" i="1" a="1"/>
  <c r="Q972" i="1" s="1"/>
  <c r="Q971" i="1"/>
  <c r="Q971" i="1" a="1"/>
  <c r="Q970" i="1" a="1"/>
  <c r="Q970" i="1" s="1"/>
  <c r="AL969" i="1" a="1"/>
  <c r="AL969" i="1" s="1"/>
  <c r="AI969" i="1" a="1"/>
  <c r="AI969" i="1" s="1"/>
  <c r="Q969" i="1" a="1"/>
  <c r="Q969" i="1" s="1"/>
  <c r="AL968" i="1" a="1"/>
  <c r="AL968" i="1" s="1"/>
  <c r="AO969" i="1" s="1"/>
  <c r="AI968" i="1"/>
  <c r="AI968" i="1" a="1"/>
  <c r="Q968" i="1" a="1"/>
  <c r="Q968" i="1" s="1"/>
  <c r="AL967" i="1" a="1"/>
  <c r="AL967" i="1" s="1"/>
  <c r="AI967" i="1" a="1"/>
  <c r="AI967" i="1" s="1"/>
  <c r="Q967" i="1"/>
  <c r="Q967" i="1" a="1"/>
  <c r="AL966" i="1"/>
  <c r="AL966" i="1" a="1"/>
  <c r="AI966" i="1" a="1"/>
  <c r="AI966" i="1" s="1"/>
  <c r="Q966" i="1" a="1"/>
  <c r="Q966" i="1" s="1"/>
  <c r="AL965" i="1" a="1"/>
  <c r="AL965" i="1" s="1"/>
  <c r="AI965" i="1" a="1"/>
  <c r="AI965" i="1" s="1"/>
  <c r="Q965" i="1" a="1"/>
  <c r="Q965" i="1" s="1"/>
  <c r="AL964" i="1" a="1"/>
  <c r="AL964" i="1" s="1"/>
  <c r="AI964" i="1"/>
  <c r="AI964" i="1" a="1"/>
  <c r="Q964" i="1" a="1"/>
  <c r="Q964" i="1" s="1"/>
  <c r="AL963" i="1" a="1"/>
  <c r="AL963" i="1" s="1"/>
  <c r="AI963" i="1" a="1"/>
  <c r="AI963" i="1" s="1"/>
  <c r="Q963" i="1"/>
  <c r="Q963" i="1" a="1"/>
  <c r="AL962" i="1"/>
  <c r="AL962" i="1" a="1"/>
  <c r="AI962" i="1" a="1"/>
  <c r="AI962" i="1" s="1"/>
  <c r="Q962" i="1" a="1"/>
  <c r="Q962" i="1" s="1"/>
  <c r="AL961" i="1" a="1"/>
  <c r="AL961" i="1" s="1"/>
  <c r="AI961" i="1" a="1"/>
  <c r="AI961" i="1" s="1"/>
  <c r="Q961" i="1" a="1"/>
  <c r="Q961" i="1" s="1"/>
  <c r="AL960" i="1" a="1"/>
  <c r="AL960" i="1" s="1"/>
  <c r="AI960" i="1"/>
  <c r="AI960" i="1" a="1"/>
  <c r="Q960" i="1" a="1"/>
  <c r="Q960" i="1" s="1"/>
  <c r="AL959" i="1" a="1"/>
  <c r="AL959" i="1" s="1"/>
  <c r="AI959" i="1" a="1"/>
  <c r="AI959" i="1" s="1"/>
  <c r="Q959" i="1"/>
  <c r="Q959" i="1" a="1"/>
  <c r="AL958" i="1"/>
  <c r="AL958" i="1" a="1"/>
  <c r="AI958" i="1" a="1"/>
  <c r="AI958" i="1" s="1"/>
  <c r="Q958" i="1" a="1"/>
  <c r="Q958" i="1" s="1"/>
  <c r="AL957" i="1" a="1"/>
  <c r="AL957" i="1" s="1"/>
  <c r="AI957" i="1" a="1"/>
  <c r="AI957" i="1" s="1"/>
  <c r="Q957" i="1" a="1"/>
  <c r="Q957" i="1" s="1"/>
  <c r="AL956" i="1" a="1"/>
  <c r="AL956" i="1" s="1"/>
  <c r="AI956" i="1"/>
  <c r="AI956" i="1" a="1"/>
  <c r="Q956" i="1" a="1"/>
  <c r="Q956" i="1" s="1"/>
  <c r="AL955" i="1" a="1"/>
  <c r="AL955" i="1" s="1"/>
  <c r="AI955" i="1" a="1"/>
  <c r="AI955" i="1" s="1"/>
  <c r="Q955" i="1"/>
  <c r="Q955" i="1" a="1"/>
  <c r="AL954" i="1"/>
  <c r="AL954" i="1" a="1"/>
  <c r="AI954" i="1" a="1"/>
  <c r="AI954" i="1" s="1"/>
  <c r="Q954" i="1" a="1"/>
  <c r="Q954" i="1" s="1"/>
  <c r="AL953" i="1" a="1"/>
  <c r="AL953" i="1" s="1"/>
  <c r="AI953" i="1" a="1"/>
  <c r="AI953" i="1" s="1"/>
  <c r="Q953" i="1" a="1"/>
  <c r="Q953" i="1" s="1"/>
  <c r="AL952" i="1" a="1"/>
  <c r="AL952" i="1" s="1"/>
  <c r="AI952" i="1"/>
  <c r="AI952" i="1" a="1"/>
  <c r="Q952" i="1" a="1"/>
  <c r="Q952" i="1" s="1"/>
  <c r="AL951" i="1" a="1"/>
  <c r="AL951" i="1" s="1"/>
  <c r="AI951" i="1" a="1"/>
  <c r="AI951" i="1" s="1"/>
  <c r="Q951" i="1"/>
  <c r="Q951" i="1" a="1"/>
  <c r="AL950" i="1"/>
  <c r="AL950" i="1" a="1"/>
  <c r="AI950" i="1" a="1"/>
  <c r="AI950" i="1" s="1"/>
  <c r="Q950" i="1" a="1"/>
  <c r="Q950" i="1" s="1"/>
  <c r="AL949" i="1" a="1"/>
  <c r="AL949" i="1" s="1"/>
  <c r="AI949" i="1" a="1"/>
  <c r="AI949" i="1" s="1"/>
  <c r="Q949" i="1" a="1"/>
  <c r="Q949" i="1" s="1"/>
  <c r="AL948" i="1" a="1"/>
  <c r="AL948" i="1" s="1"/>
  <c r="AI948" i="1"/>
  <c r="AI948" i="1" a="1"/>
  <c r="Q948" i="1" a="1"/>
  <c r="Q948" i="1" s="1"/>
  <c r="AL947" i="1" a="1"/>
  <c r="AL947" i="1" s="1"/>
  <c r="AI947" i="1" a="1"/>
  <c r="AI947" i="1" s="1"/>
  <c r="AL946" i="1"/>
  <c r="AL946" i="1" a="1"/>
  <c r="AI946" i="1"/>
  <c r="AI946" i="1" a="1"/>
  <c r="AA946" i="1"/>
  <c r="AC946" i="1" s="1"/>
  <c r="AL945" i="1" a="1"/>
  <c r="AL945" i="1" s="1"/>
  <c r="AI945" i="1"/>
  <c r="AI945" i="1" a="1"/>
  <c r="AA945" i="1"/>
  <c r="AC945" i="1" s="1"/>
  <c r="U945" i="1"/>
  <c r="U945" i="1" a="1"/>
  <c r="AL944" i="1"/>
  <c r="AL944" i="1" a="1"/>
  <c r="AI944" i="1" a="1"/>
  <c r="AI944" i="1" s="1"/>
  <c r="AD944" i="1"/>
  <c r="AA944" i="1"/>
  <c r="AC944" i="1" s="1"/>
  <c r="AE944" i="1" s="1" a="1"/>
  <c r="AE944" i="1" s="1"/>
  <c r="AF944" i="1" s="1"/>
  <c r="U944" i="1" a="1"/>
  <c r="U944" i="1" s="1"/>
  <c r="AL943" i="1"/>
  <c r="AL943" i="1" a="1"/>
  <c r="AI943" i="1" a="1"/>
  <c r="AI943" i="1" s="1"/>
  <c r="AD943" i="1"/>
  <c r="AA943" i="1"/>
  <c r="AC943" i="1" s="1"/>
  <c r="U943" i="1"/>
  <c r="U943" i="1" a="1"/>
  <c r="AL942" i="1" a="1"/>
  <c r="AL942" i="1" s="1"/>
  <c r="AI942" i="1" a="1"/>
  <c r="AI942" i="1" s="1"/>
  <c r="AA942" i="1"/>
  <c r="AD942" i="1" s="1"/>
  <c r="U942" i="1"/>
  <c r="U942" i="1" a="1"/>
  <c r="AL941" i="1" a="1"/>
  <c r="AL941" i="1" s="1"/>
  <c r="AI941" i="1" a="1"/>
  <c r="AI941" i="1" s="1"/>
  <c r="AA941" i="1"/>
  <c r="AD941" i="1" s="1"/>
  <c r="U941" i="1" a="1"/>
  <c r="U941" i="1" s="1"/>
  <c r="AL940" i="1" a="1"/>
  <c r="AL940" i="1" s="1"/>
  <c r="AI940" i="1" a="1"/>
  <c r="AI940" i="1" s="1"/>
  <c r="AC940" i="1"/>
  <c r="AA940" i="1"/>
  <c r="AD940" i="1" s="1"/>
  <c r="U940" i="1" a="1"/>
  <c r="U940" i="1" s="1"/>
  <c r="AN939" i="1"/>
  <c r="AL939" i="1" a="1"/>
  <c r="AL939" i="1" s="1"/>
  <c r="AI939" i="1" a="1"/>
  <c r="AI939" i="1" s="1"/>
  <c r="AA939" i="1"/>
  <c r="AC939" i="1" s="1"/>
  <c r="U939" i="1" a="1"/>
  <c r="U939" i="1" s="1"/>
  <c r="AL938" i="1" a="1"/>
  <c r="AL938" i="1" s="1"/>
  <c r="AI938" i="1" a="1"/>
  <c r="AI938" i="1" s="1"/>
  <c r="U938" i="1" a="1"/>
  <c r="U938" i="1" s="1"/>
  <c r="Q934" i="1" a="1"/>
  <c r="Q934" i="1" s="1"/>
  <c r="Q933" i="1" a="1"/>
  <c r="Q933" i="1" s="1"/>
  <c r="Q932" i="1" a="1"/>
  <c r="Q932" i="1" s="1"/>
  <c r="Q931" i="1" a="1"/>
  <c r="Q931" i="1" s="1"/>
  <c r="Q930" i="1" a="1"/>
  <c r="Q930" i="1" s="1"/>
  <c r="Q929" i="1" a="1"/>
  <c r="Q929" i="1" s="1"/>
  <c r="Q928" i="1" a="1"/>
  <c r="Q928" i="1" s="1"/>
  <c r="Q927" i="1" a="1"/>
  <c r="Q927" i="1" s="1"/>
  <c r="Q926" i="1" a="1"/>
  <c r="Q926" i="1" s="1"/>
  <c r="Q925" i="1" a="1"/>
  <c r="Q925" i="1" s="1"/>
  <c r="Q924" i="1" a="1"/>
  <c r="Q924" i="1" s="1"/>
  <c r="Q923" i="1" a="1"/>
  <c r="Q923" i="1" s="1"/>
  <c r="Q922" i="1"/>
  <c r="Q922" i="1" a="1"/>
  <c r="Q921" i="1" a="1"/>
  <c r="Q921" i="1" s="1"/>
  <c r="Q920" i="1" a="1"/>
  <c r="Q920" i="1" s="1"/>
  <c r="Q919" i="1" a="1"/>
  <c r="Q919" i="1" s="1"/>
  <c r="Q918" i="1" a="1"/>
  <c r="Q918" i="1" s="1"/>
  <c r="Q917" i="1" a="1"/>
  <c r="Q917" i="1" s="1"/>
  <c r="Q916" i="1" a="1"/>
  <c r="Q916" i="1" s="1"/>
  <c r="Q915" i="1" a="1"/>
  <c r="Q915" i="1" s="1"/>
  <c r="Q914" i="1" a="1"/>
  <c r="Q914" i="1" s="1"/>
  <c r="Q913" i="1" a="1"/>
  <c r="Q913" i="1" s="1"/>
  <c r="Q912" i="1" a="1"/>
  <c r="Q912" i="1" s="1"/>
  <c r="Q911" i="1" a="1"/>
  <c r="Q911" i="1" s="1"/>
  <c r="Q910" i="1" a="1"/>
  <c r="Q910" i="1" s="1"/>
  <c r="Q909" i="1" a="1"/>
  <c r="Q909" i="1" s="1"/>
  <c r="AL908" i="1" a="1"/>
  <c r="AL908" i="1" s="1"/>
  <c r="AI908" i="1" a="1"/>
  <c r="AI908" i="1" s="1"/>
  <c r="Q908" i="1"/>
  <c r="Q908" i="1" a="1"/>
  <c r="AL907" i="1" a="1"/>
  <c r="AL907" i="1" s="1"/>
  <c r="AI907" i="1"/>
  <c r="AI907" i="1" a="1"/>
  <c r="Q907" i="1" a="1"/>
  <c r="Q907" i="1" s="1"/>
  <c r="AL906" i="1" a="1"/>
  <c r="AL906" i="1" s="1"/>
  <c r="AI906" i="1" a="1"/>
  <c r="AI906" i="1" s="1"/>
  <c r="Q906" i="1"/>
  <c r="Q906" i="1" a="1"/>
  <c r="AL905" i="1" a="1"/>
  <c r="AL905" i="1" s="1"/>
  <c r="AI905" i="1"/>
  <c r="AI905" i="1" a="1"/>
  <c r="Q905" i="1" a="1"/>
  <c r="Q905" i="1" s="1"/>
  <c r="AL904" i="1" a="1"/>
  <c r="AL904" i="1" s="1"/>
  <c r="AI904" i="1" a="1"/>
  <c r="AI904" i="1" s="1"/>
  <c r="Q904" i="1"/>
  <c r="Q904" i="1" a="1"/>
  <c r="AL903" i="1" a="1"/>
  <c r="AL903" i="1" s="1"/>
  <c r="AI903" i="1"/>
  <c r="AI903" i="1" a="1"/>
  <c r="Q903" i="1" a="1"/>
  <c r="Q903" i="1" s="1"/>
  <c r="AL902" i="1" a="1"/>
  <c r="AL902" i="1" s="1"/>
  <c r="AI902" i="1" a="1"/>
  <c r="AI902" i="1" s="1"/>
  <c r="Q902" i="1"/>
  <c r="Q902" i="1" a="1"/>
  <c r="AL901" i="1"/>
  <c r="AL901" i="1" a="1"/>
  <c r="AI901" i="1"/>
  <c r="AI901" i="1" a="1"/>
  <c r="Q901" i="1" a="1"/>
  <c r="Q901" i="1" s="1"/>
  <c r="AL900" i="1" a="1"/>
  <c r="AL900" i="1" s="1"/>
  <c r="AI900" i="1" a="1"/>
  <c r="AI900" i="1" s="1"/>
  <c r="Q900" i="1"/>
  <c r="Q900" i="1" a="1"/>
  <c r="AL899" i="1" a="1"/>
  <c r="AL899" i="1" s="1"/>
  <c r="AI899" i="1"/>
  <c r="AI899" i="1" a="1"/>
  <c r="Q899" i="1" a="1"/>
  <c r="Q899" i="1" s="1"/>
  <c r="AL898" i="1" a="1"/>
  <c r="AL898" i="1" s="1"/>
  <c r="AI898" i="1" a="1"/>
  <c r="AI898" i="1" s="1"/>
  <c r="Q898" i="1"/>
  <c r="Q898" i="1" a="1"/>
  <c r="AL897" i="1"/>
  <c r="AL897" i="1" a="1"/>
  <c r="AI897" i="1"/>
  <c r="AI897" i="1" a="1"/>
  <c r="Q897" i="1" a="1"/>
  <c r="Q897" i="1" s="1"/>
  <c r="AL896" i="1" a="1"/>
  <c r="AL896" i="1" s="1"/>
  <c r="AI896" i="1" a="1"/>
  <c r="AI896" i="1" s="1"/>
  <c r="Q896" i="1"/>
  <c r="Q896" i="1" a="1"/>
  <c r="AL895" i="1" a="1"/>
  <c r="AL895" i="1" s="1"/>
  <c r="AI895" i="1"/>
  <c r="AI895" i="1" a="1"/>
  <c r="Q895" i="1" a="1"/>
  <c r="Q895" i="1" s="1"/>
  <c r="AL894" i="1" a="1"/>
  <c r="AL894" i="1" s="1"/>
  <c r="AI894" i="1" a="1"/>
  <c r="AI894" i="1" s="1"/>
  <c r="Q894" i="1"/>
  <c r="Q894" i="1" a="1"/>
  <c r="AL893" i="1"/>
  <c r="AL893" i="1" a="1"/>
  <c r="AI893" i="1"/>
  <c r="AI893" i="1" a="1"/>
  <c r="Q893" i="1" a="1"/>
  <c r="Q893" i="1" s="1"/>
  <c r="AL892" i="1" a="1"/>
  <c r="AL892" i="1" s="1"/>
  <c r="AI892" i="1" a="1"/>
  <c r="AI892" i="1" s="1"/>
  <c r="Q892" i="1"/>
  <c r="Q892" i="1" a="1"/>
  <c r="AL891" i="1" a="1"/>
  <c r="AL891" i="1" s="1"/>
  <c r="AI891" i="1"/>
  <c r="AI891" i="1" a="1"/>
  <c r="Q891" i="1" a="1"/>
  <c r="Q891" i="1" s="1"/>
  <c r="AL890" i="1" a="1"/>
  <c r="AL890" i="1" s="1"/>
  <c r="AI890" i="1" a="1"/>
  <c r="AI890" i="1" s="1"/>
  <c r="Q890" i="1"/>
  <c r="Q890" i="1" a="1"/>
  <c r="AL889" i="1"/>
  <c r="AL889" i="1" a="1"/>
  <c r="AI889" i="1"/>
  <c r="AI889" i="1" a="1"/>
  <c r="Q889" i="1" a="1"/>
  <c r="Q889" i="1" s="1"/>
  <c r="AL888" i="1" a="1"/>
  <c r="AL888" i="1" s="1"/>
  <c r="AI888" i="1" a="1"/>
  <c r="AI888" i="1" s="1"/>
  <c r="Q888" i="1"/>
  <c r="Q888" i="1" a="1"/>
  <c r="AL887" i="1" a="1"/>
  <c r="AL887" i="1" s="1"/>
  <c r="AI887" i="1"/>
  <c r="AI887" i="1" a="1"/>
  <c r="Q887" i="1" a="1"/>
  <c r="Q887" i="1" s="1"/>
  <c r="AL886" i="1" a="1"/>
  <c r="AL886" i="1" s="1"/>
  <c r="AI886" i="1" a="1"/>
  <c r="AI886" i="1" s="1"/>
  <c r="AL885" i="1"/>
  <c r="AL885" i="1" a="1"/>
  <c r="AI885" i="1" a="1"/>
  <c r="AI885" i="1" s="1"/>
  <c r="AA885" i="1"/>
  <c r="AD885" i="1" s="1"/>
  <c r="AL884" i="1" a="1"/>
  <c r="AL884" i="1" s="1"/>
  <c r="AI884" i="1"/>
  <c r="AI884" i="1" a="1"/>
  <c r="AA884" i="1"/>
  <c r="AD884" i="1" s="1"/>
  <c r="U884" i="1"/>
  <c r="U884" i="1" a="1"/>
  <c r="AL883" i="1" a="1"/>
  <c r="AL883" i="1" s="1"/>
  <c r="AI883" i="1"/>
  <c r="AI883" i="1" a="1"/>
  <c r="AD883" i="1"/>
  <c r="AC883" i="1"/>
  <c r="AA883" i="1"/>
  <c r="U883" i="1" a="1"/>
  <c r="U883" i="1" s="1"/>
  <c r="AL882" i="1" a="1"/>
  <c r="AL882" i="1" s="1"/>
  <c r="AI882" i="1" a="1"/>
  <c r="AI882" i="1" s="1"/>
  <c r="AA882" i="1"/>
  <c r="AD882" i="1" s="1"/>
  <c r="U882" i="1" a="1"/>
  <c r="U882" i="1" s="1"/>
  <c r="AL881" i="1"/>
  <c r="AL881" i="1" a="1"/>
  <c r="AI881" i="1"/>
  <c r="AI881" i="1" a="1"/>
  <c r="AA881" i="1"/>
  <c r="AD881" i="1" s="1"/>
  <c r="U881" i="1"/>
  <c r="U881" i="1" a="1"/>
  <c r="AL880" i="1" a="1"/>
  <c r="AL880" i="1" s="1"/>
  <c r="AI880" i="1" a="1"/>
  <c r="AI880" i="1" s="1"/>
  <c r="AA880" i="1"/>
  <c r="AD880" i="1" s="1"/>
  <c r="U880" i="1"/>
  <c r="U880" i="1" a="1"/>
  <c r="AL879" i="1"/>
  <c r="AL879" i="1" a="1"/>
  <c r="AI879" i="1" a="1"/>
  <c r="AI879" i="1" s="1"/>
  <c r="AA879" i="1"/>
  <c r="AD879" i="1" s="1"/>
  <c r="U879" i="1" a="1"/>
  <c r="U879" i="1" s="1"/>
  <c r="AN878" i="1"/>
  <c r="AL878" i="1" a="1"/>
  <c r="AL878" i="1" s="1"/>
  <c r="AI878" i="1" a="1"/>
  <c r="AI878" i="1" s="1"/>
  <c r="AA878" i="1"/>
  <c r="AC878" i="1" s="1"/>
  <c r="U878" i="1"/>
  <c r="U878" i="1" a="1"/>
  <c r="AL877" i="1"/>
  <c r="AL877" i="1" a="1"/>
  <c r="AI877" i="1" a="1"/>
  <c r="AI877" i="1" s="1"/>
  <c r="U877" i="1"/>
  <c r="U877" i="1" a="1"/>
  <c r="Q873" i="1" a="1"/>
  <c r="Q873" i="1" s="1"/>
  <c r="Q872" i="1" a="1"/>
  <c r="Q872" i="1" s="1"/>
  <c r="Q871" i="1" a="1"/>
  <c r="Q871" i="1" s="1"/>
  <c r="Q870" i="1" a="1"/>
  <c r="Q870" i="1" s="1"/>
  <c r="Q869" i="1" a="1"/>
  <c r="Q869" i="1" s="1"/>
  <c r="Q868" i="1" a="1"/>
  <c r="Q868" i="1" s="1"/>
  <c r="Q867" i="1" a="1"/>
  <c r="Q867" i="1" s="1"/>
  <c r="Q866" i="1" a="1"/>
  <c r="Q866" i="1" s="1"/>
  <c r="X856" i="1" s="1"/>
  <c r="Q865" i="1" a="1"/>
  <c r="Q865" i="1" s="1"/>
  <c r="Q864" i="1" a="1"/>
  <c r="Q864" i="1" s="1"/>
  <c r="Q863" i="1" a="1"/>
  <c r="Q863" i="1" s="1"/>
  <c r="Q862" i="1" a="1"/>
  <c r="Q862" i="1" s="1"/>
  <c r="Q861" i="1"/>
  <c r="Q861" i="1" a="1"/>
  <c r="Q860" i="1" a="1"/>
  <c r="Q860" i="1" s="1"/>
  <c r="X850" i="1" s="1"/>
  <c r="Q859" i="1" a="1"/>
  <c r="Q859" i="1" s="1"/>
  <c r="Q858" i="1" a="1"/>
  <c r="Q858" i="1" s="1"/>
  <c r="Q857" i="1"/>
  <c r="Q857" i="1" a="1"/>
  <c r="Q856" i="1" a="1"/>
  <c r="Q856" i="1" s="1"/>
  <c r="X846" i="1" s="1"/>
  <c r="Q855" i="1" a="1"/>
  <c r="Q855" i="1" s="1"/>
  <c r="Q854" i="1" a="1"/>
  <c r="Q854" i="1" s="1"/>
  <c r="X844" i="1" s="1"/>
  <c r="Q853" i="1" a="1"/>
  <c r="Q853" i="1" s="1"/>
  <c r="Q852" i="1" a="1"/>
  <c r="Q852" i="1" s="1"/>
  <c r="Q851" i="1" a="1"/>
  <c r="Q851" i="1" s="1"/>
  <c r="Q850" i="1" a="1"/>
  <c r="Q850" i="1" s="1"/>
  <c r="Q849" i="1" a="1"/>
  <c r="Q849" i="1" s="1"/>
  <c r="Q848" i="1" a="1"/>
  <c r="Q848" i="1" s="1"/>
  <c r="AL847" i="1" a="1"/>
  <c r="AL847" i="1" s="1"/>
  <c r="AI847" i="1" a="1"/>
  <c r="AI847" i="1" s="1"/>
  <c r="Q847" i="1"/>
  <c r="Q847" i="1" a="1"/>
  <c r="AL846" i="1" a="1"/>
  <c r="AL846" i="1" s="1"/>
  <c r="AI846" i="1"/>
  <c r="AI846" i="1" a="1"/>
  <c r="Q846" i="1" a="1"/>
  <c r="Q846" i="1" s="1"/>
  <c r="AL845" i="1" a="1"/>
  <c r="AL845" i="1" s="1"/>
  <c r="AI845" i="1" a="1"/>
  <c r="AI845" i="1" s="1"/>
  <c r="Q845" i="1"/>
  <c r="Q845" i="1" a="1"/>
  <c r="AL844" i="1" a="1"/>
  <c r="AL844" i="1" s="1"/>
  <c r="AI844" i="1"/>
  <c r="AI844" i="1" a="1"/>
  <c r="Q844" i="1" a="1"/>
  <c r="Q844" i="1" s="1"/>
  <c r="AL843" i="1" a="1"/>
  <c r="AL843" i="1" s="1"/>
  <c r="AI843" i="1" a="1"/>
  <c r="AI843" i="1" s="1"/>
  <c r="Q843" i="1"/>
  <c r="Q843" i="1" a="1"/>
  <c r="AL842" i="1" a="1"/>
  <c r="AL842" i="1" s="1"/>
  <c r="AI842" i="1"/>
  <c r="AI842" i="1" a="1"/>
  <c r="Q842" i="1" a="1"/>
  <c r="Q842" i="1" s="1"/>
  <c r="AL841" i="1" a="1"/>
  <c r="AL841" i="1" s="1"/>
  <c r="AI841" i="1" a="1"/>
  <c r="AI841" i="1" s="1"/>
  <c r="Q841" i="1"/>
  <c r="Q841" i="1" a="1"/>
  <c r="AL840" i="1"/>
  <c r="AL840" i="1" a="1"/>
  <c r="AI840" i="1"/>
  <c r="AI840" i="1" a="1"/>
  <c r="Q840" i="1" a="1"/>
  <c r="Q840" i="1" s="1"/>
  <c r="X830" i="1" s="1"/>
  <c r="AL839" i="1" a="1"/>
  <c r="AL839" i="1" s="1"/>
  <c r="AI839" i="1" a="1"/>
  <c r="AI839" i="1" s="1"/>
  <c r="Q839" i="1"/>
  <c r="Q839" i="1" a="1"/>
  <c r="AL838" i="1" a="1"/>
  <c r="AL838" i="1" s="1"/>
  <c r="AO839" i="1" s="1"/>
  <c r="AI838" i="1"/>
  <c r="AI838" i="1" a="1"/>
  <c r="Q838" i="1" a="1"/>
  <c r="Q838" i="1" s="1"/>
  <c r="AL837" i="1" a="1"/>
  <c r="AL837" i="1" s="1"/>
  <c r="AI837" i="1" a="1"/>
  <c r="AI837" i="1" s="1"/>
  <c r="Q837" i="1"/>
  <c r="Q837" i="1" a="1"/>
  <c r="AL836" i="1"/>
  <c r="AL836" i="1" a="1"/>
  <c r="AI836" i="1"/>
  <c r="AI836" i="1" a="1"/>
  <c r="Q836" i="1" a="1"/>
  <c r="Q836" i="1" s="1"/>
  <c r="X826" i="1" s="1"/>
  <c r="AL835" i="1" a="1"/>
  <c r="AL835" i="1" s="1"/>
  <c r="AI835" i="1" a="1"/>
  <c r="AI835" i="1" s="1"/>
  <c r="Q835" i="1" a="1"/>
  <c r="Q835" i="1" s="1"/>
  <c r="AL834" i="1" a="1"/>
  <c r="AL834" i="1" s="1"/>
  <c r="AI834" i="1"/>
  <c r="AI834" i="1" a="1"/>
  <c r="Q834" i="1" a="1"/>
  <c r="Q834" i="1" s="1"/>
  <c r="X824" i="1" s="1"/>
  <c r="AL833" i="1" a="1"/>
  <c r="AL833" i="1" s="1"/>
  <c r="AI833" i="1" a="1"/>
  <c r="AI833" i="1" s="1"/>
  <c r="Q833" i="1"/>
  <c r="Q833" i="1" a="1"/>
  <c r="AL832" i="1"/>
  <c r="AL832" i="1" a="1"/>
  <c r="AI832" i="1" a="1"/>
  <c r="AI832" i="1" s="1"/>
  <c r="Q832" i="1" a="1"/>
  <c r="Q832" i="1" s="1"/>
  <c r="AL831" i="1" a="1"/>
  <c r="AL831" i="1" s="1"/>
  <c r="AI831" i="1" a="1"/>
  <c r="AI831" i="1" s="1"/>
  <c r="Q831" i="1" a="1"/>
  <c r="Q831" i="1" s="1"/>
  <c r="AL830" i="1" a="1"/>
  <c r="AL830" i="1" s="1"/>
  <c r="AO831" i="1" s="1"/>
  <c r="AI830" i="1"/>
  <c r="AI830" i="1" a="1"/>
  <c r="Q830" i="1" a="1"/>
  <c r="Q830" i="1" s="1"/>
  <c r="X820" i="1" s="1"/>
  <c r="AL829" i="1" a="1"/>
  <c r="AL829" i="1" s="1"/>
  <c r="AI829" i="1" a="1"/>
  <c r="AI829" i="1" s="1"/>
  <c r="Q829" i="1"/>
  <c r="Q829" i="1" a="1"/>
  <c r="AL828" i="1"/>
  <c r="AL828" i="1" a="1"/>
  <c r="AI828" i="1" a="1"/>
  <c r="AI828" i="1" s="1"/>
  <c r="Q828" i="1" a="1"/>
  <c r="Q828" i="1" s="1"/>
  <c r="X818" i="1" s="1"/>
  <c r="AL827" i="1" a="1"/>
  <c r="AL827" i="1" s="1"/>
  <c r="AI827" i="1" a="1"/>
  <c r="AI827" i="1" s="1"/>
  <c r="Q827" i="1" a="1"/>
  <c r="Q827" i="1" s="1"/>
  <c r="AL826" i="1" a="1"/>
  <c r="AL826" i="1" s="1"/>
  <c r="AO827" i="1" s="1"/>
  <c r="AI826" i="1"/>
  <c r="AI826" i="1" a="1"/>
  <c r="Q826" i="1" a="1"/>
  <c r="Q826" i="1" s="1"/>
  <c r="AL825" i="1" a="1"/>
  <c r="AL825" i="1" s="1"/>
  <c r="AI825" i="1" a="1"/>
  <c r="AI825" i="1" s="1"/>
  <c r="AL824" i="1"/>
  <c r="AO825" i="1" s="1"/>
  <c r="AL824" i="1" a="1"/>
  <c r="AI824" i="1"/>
  <c r="AI824" i="1" a="1"/>
  <c r="AA824" i="1"/>
  <c r="AD824" i="1" s="1"/>
  <c r="AL823" i="1" a="1"/>
  <c r="AL823" i="1" s="1"/>
  <c r="AI823" i="1"/>
  <c r="AI823" i="1" a="1"/>
  <c r="AA823" i="1"/>
  <c r="AC823" i="1" s="1"/>
  <c r="U823" i="1"/>
  <c r="U823" i="1" a="1"/>
  <c r="AL822" i="1" a="1"/>
  <c r="AL822" i="1" s="1"/>
  <c r="AI822" i="1" a="1"/>
  <c r="AI822" i="1" s="1"/>
  <c r="AA822" i="1"/>
  <c r="AD822" i="1" s="1"/>
  <c r="U822" i="1" a="1"/>
  <c r="U822" i="1" s="1"/>
  <c r="AL821" i="1" a="1"/>
  <c r="AL821" i="1" s="1"/>
  <c r="AI821" i="1" a="1"/>
  <c r="AI821" i="1" s="1"/>
  <c r="AA821" i="1"/>
  <c r="AC821" i="1" s="1"/>
  <c r="U821" i="1" a="1"/>
  <c r="U821" i="1" s="1"/>
  <c r="AL820" i="1"/>
  <c r="AO821" i="1" s="1"/>
  <c r="AL820" i="1" a="1"/>
  <c r="AI820" i="1"/>
  <c r="AI820" i="1" a="1"/>
  <c r="AD820" i="1"/>
  <c r="AC820" i="1"/>
  <c r="AE820" i="1" s="1" a="1"/>
  <c r="AE820" i="1" s="1"/>
  <c r="AF820" i="1" s="1"/>
  <c r="AA820" i="1"/>
  <c r="U820" i="1" a="1"/>
  <c r="U820" i="1" s="1"/>
  <c r="AL819" i="1" a="1"/>
  <c r="AL819" i="1" s="1"/>
  <c r="AI819" i="1" a="1"/>
  <c r="AI819" i="1" s="1"/>
  <c r="AA819" i="1"/>
  <c r="AC819" i="1" s="1"/>
  <c r="U819" i="1"/>
  <c r="U819" i="1" a="1"/>
  <c r="AL818" i="1"/>
  <c r="AO819" i="1" s="1"/>
  <c r="AL818" i="1" a="1"/>
  <c r="AI818" i="1" a="1"/>
  <c r="AI818" i="1" s="1"/>
  <c r="AA818" i="1"/>
  <c r="AD818" i="1" s="1"/>
  <c r="U818" i="1" a="1"/>
  <c r="U818" i="1" s="1"/>
  <c r="AL817" i="1" a="1"/>
  <c r="AL817" i="1" s="1"/>
  <c r="AI817" i="1" a="1"/>
  <c r="AI817" i="1" s="1"/>
  <c r="AA817" i="1"/>
  <c r="AD817" i="1" s="1"/>
  <c r="U817" i="1"/>
  <c r="U817" i="1" a="1"/>
  <c r="AL816" i="1"/>
  <c r="AL816" i="1" a="1"/>
  <c r="AI816" i="1" a="1"/>
  <c r="AI816" i="1" s="1"/>
  <c r="U816" i="1" a="1"/>
  <c r="U816" i="1" s="1"/>
  <c r="Q811" i="1" a="1"/>
  <c r="Q811" i="1" s="1"/>
  <c r="X801" i="1" s="1"/>
  <c r="Q810" i="1" a="1"/>
  <c r="Q810" i="1" s="1"/>
  <c r="X800" i="1" s="1"/>
  <c r="Q809" i="1" a="1"/>
  <c r="Q809" i="1" s="1"/>
  <c r="X799" i="1" s="1"/>
  <c r="Q808" i="1"/>
  <c r="X798" i="1" s="1"/>
  <c r="Q808" i="1" a="1"/>
  <c r="Q807" i="1"/>
  <c r="Q807" i="1" a="1"/>
  <c r="Q806" i="1" a="1"/>
  <c r="Q806" i="1" s="1"/>
  <c r="X796" i="1" s="1"/>
  <c r="Q805" i="1" a="1"/>
  <c r="Q805" i="1" s="1"/>
  <c r="X795" i="1" s="1"/>
  <c r="Q804" i="1" a="1"/>
  <c r="Q804" i="1" s="1"/>
  <c r="X794" i="1" s="1"/>
  <c r="Q803" i="1" a="1"/>
  <c r="Q803" i="1" s="1"/>
  <c r="X793" i="1" s="1"/>
  <c r="Q802" i="1"/>
  <c r="Q802" i="1" a="1"/>
  <c r="Q801" i="1" a="1"/>
  <c r="Q801" i="1" s="1"/>
  <c r="X791" i="1" s="1"/>
  <c r="Q800" i="1" a="1"/>
  <c r="Q800" i="1" s="1"/>
  <c r="X790" i="1" s="1"/>
  <c r="Q799" i="1"/>
  <c r="Q799" i="1" a="1"/>
  <c r="Q798" i="1"/>
  <c r="Q798" i="1" a="1"/>
  <c r="X797" i="1"/>
  <c r="Q797" i="1" a="1"/>
  <c r="Q797" i="1" s="1"/>
  <c r="X787" i="1" s="1"/>
  <c r="Q796" i="1" a="1"/>
  <c r="Q796" i="1" s="1"/>
  <c r="X786" i="1" s="1"/>
  <c r="Q795" i="1"/>
  <c r="Q795" i="1" a="1"/>
  <c r="Q794" i="1"/>
  <c r="X784" i="1" s="1"/>
  <c r="Q794" i="1" a="1"/>
  <c r="Q793" i="1" a="1"/>
  <c r="Q793" i="1" s="1"/>
  <c r="X783" i="1" s="1"/>
  <c r="X792" i="1"/>
  <c r="Q792" i="1" a="1"/>
  <c r="Q792" i="1" s="1"/>
  <c r="X782" i="1" s="1"/>
  <c r="Q791" i="1"/>
  <c r="Q791" i="1" a="1"/>
  <c r="Q790" i="1"/>
  <c r="X780" i="1" s="1"/>
  <c r="Q790" i="1" a="1"/>
  <c r="X789" i="1"/>
  <c r="Q789" i="1" a="1"/>
  <c r="Q789" i="1" s="1"/>
  <c r="X779" i="1" s="1"/>
  <c r="X788" i="1"/>
  <c r="Q788" i="1" a="1"/>
  <c r="Q788" i="1" s="1"/>
  <c r="X778" i="1" s="1"/>
  <c r="Q787" i="1"/>
  <c r="Q787" i="1" a="1"/>
  <c r="Q786" i="1"/>
  <c r="X776" i="1" s="1"/>
  <c r="Q786" i="1" a="1"/>
  <c r="AL785" i="1" a="1"/>
  <c r="AL785" i="1" s="1"/>
  <c r="AO786" i="1" s="1"/>
  <c r="AI785" i="1" a="1"/>
  <c r="AI785" i="1" s="1"/>
  <c r="X785" i="1"/>
  <c r="Q785" i="1" a="1"/>
  <c r="Q785" i="1" s="1"/>
  <c r="X775" i="1" s="1"/>
  <c r="AL784" i="1" a="1"/>
  <c r="AL784" i="1" s="1"/>
  <c r="AO785" i="1" s="1"/>
  <c r="AI784" i="1"/>
  <c r="AI784" i="1" a="1"/>
  <c r="Q784" i="1" a="1"/>
  <c r="Q784" i="1" s="1"/>
  <c r="X774" i="1" s="1"/>
  <c r="AL783" i="1"/>
  <c r="AO784" i="1" s="1"/>
  <c r="AL783" i="1" a="1"/>
  <c r="AI783" i="1"/>
  <c r="AI783" i="1" a="1"/>
  <c r="Q783" i="1"/>
  <c r="X773" i="1" s="1"/>
  <c r="Q783" i="1" a="1"/>
  <c r="AL782" i="1" a="1"/>
  <c r="AL782" i="1" s="1"/>
  <c r="AO783" i="1" s="1"/>
  <c r="AI782" i="1" a="1"/>
  <c r="AI782" i="1" s="1"/>
  <c r="Q782" i="1"/>
  <c r="X772" i="1" s="1"/>
  <c r="Q782" i="1" a="1"/>
  <c r="AL781" i="1" a="1"/>
  <c r="AL781" i="1" s="1"/>
  <c r="AO782" i="1" s="1"/>
  <c r="AI781" i="1" a="1"/>
  <c r="AI781" i="1" s="1"/>
  <c r="X781" i="1"/>
  <c r="Q781" i="1" a="1"/>
  <c r="Q781" i="1" s="1"/>
  <c r="X771" i="1" s="1"/>
  <c r="AL780" i="1" a="1"/>
  <c r="AL780" i="1" s="1"/>
  <c r="AO781" i="1" s="1"/>
  <c r="AI780" i="1"/>
  <c r="AI780" i="1" a="1"/>
  <c r="Q780" i="1" a="1"/>
  <c r="Q780" i="1" s="1"/>
  <c r="X770" i="1" s="1"/>
  <c r="AL779" i="1"/>
  <c r="AO780" i="1" s="1"/>
  <c r="AL779" i="1" a="1"/>
  <c r="AI779" i="1"/>
  <c r="AI779" i="1" a="1"/>
  <c r="Q779" i="1"/>
  <c r="X769" i="1" s="1"/>
  <c r="Q779" i="1" a="1"/>
  <c r="AL778" i="1"/>
  <c r="AO779" i="1" s="1"/>
  <c r="AL778" i="1" a="1"/>
  <c r="AI778" i="1" a="1"/>
  <c r="AI778" i="1" s="1"/>
  <c r="Q778" i="1"/>
  <c r="X768" i="1" s="1"/>
  <c r="Q778" i="1" a="1"/>
  <c r="AL777" i="1" a="1"/>
  <c r="AL777" i="1" s="1"/>
  <c r="AO778" i="1" s="1"/>
  <c r="AI777" i="1" a="1"/>
  <c r="AI777" i="1" s="1"/>
  <c r="X777" i="1"/>
  <c r="Q777" i="1" a="1"/>
  <c r="Q777" i="1" s="1"/>
  <c r="X767" i="1" s="1"/>
  <c r="AL776" i="1" a="1"/>
  <c r="AL776" i="1" s="1"/>
  <c r="AO777" i="1" s="1"/>
  <c r="AI776" i="1"/>
  <c r="AI776" i="1" a="1"/>
  <c r="Q776" i="1" a="1"/>
  <c r="Q776" i="1" s="1"/>
  <c r="X766" i="1" s="1"/>
  <c r="AL775" i="1"/>
  <c r="AO776" i="1" s="1"/>
  <c r="AL775" i="1" a="1"/>
  <c r="AI775" i="1"/>
  <c r="AI775" i="1" a="1"/>
  <c r="Q775" i="1"/>
  <c r="X765" i="1" s="1"/>
  <c r="Q775" i="1" a="1"/>
  <c r="AL774" i="1"/>
  <c r="AO775" i="1" s="1"/>
  <c r="AL774" i="1" a="1"/>
  <c r="AI774" i="1" a="1"/>
  <c r="AI774" i="1" s="1"/>
  <c r="Q774" i="1"/>
  <c r="X764" i="1" s="1"/>
  <c r="Q774" i="1" a="1"/>
  <c r="AL773" i="1" a="1"/>
  <c r="AL773" i="1" s="1"/>
  <c r="AO774" i="1" s="1"/>
  <c r="AI773" i="1" a="1"/>
  <c r="AI773" i="1" s="1"/>
  <c r="Q773" i="1" a="1"/>
  <c r="Q773" i="1" s="1"/>
  <c r="X763" i="1" s="1"/>
  <c r="AL772" i="1" a="1"/>
  <c r="AL772" i="1" s="1"/>
  <c r="AO773" i="1" s="1"/>
  <c r="AI772" i="1"/>
  <c r="AI772" i="1" a="1"/>
  <c r="Q772" i="1" a="1"/>
  <c r="Q772" i="1" s="1"/>
  <c r="X762" i="1" s="1"/>
  <c r="AL771" i="1"/>
  <c r="AO772" i="1" s="1"/>
  <c r="AL771" i="1" a="1"/>
  <c r="AI771" i="1"/>
  <c r="AI771" i="1" a="1"/>
  <c r="Q771" i="1"/>
  <c r="X761" i="1" s="1"/>
  <c r="Q771" i="1" a="1"/>
  <c r="AL770" i="1"/>
  <c r="AO771" i="1" s="1"/>
  <c r="AL770" i="1" a="1"/>
  <c r="AI770" i="1" a="1"/>
  <c r="AI770" i="1" s="1"/>
  <c r="Q770" i="1"/>
  <c r="X760" i="1" s="1"/>
  <c r="Q770" i="1" a="1"/>
  <c r="AL769" i="1" a="1"/>
  <c r="AL769" i="1" s="1"/>
  <c r="AO770" i="1" s="1"/>
  <c r="AI769" i="1" a="1"/>
  <c r="AI769" i="1" s="1"/>
  <c r="Q769" i="1" a="1"/>
  <c r="Q769" i="1" s="1"/>
  <c r="X759" i="1" s="1"/>
  <c r="AL768" i="1" a="1"/>
  <c r="AL768" i="1" s="1"/>
  <c r="AO769" i="1" s="1"/>
  <c r="AI768" i="1"/>
  <c r="AI768" i="1" a="1"/>
  <c r="Q768" i="1" a="1"/>
  <c r="Q768" i="1" s="1"/>
  <c r="X758" i="1" s="1"/>
  <c r="AL767" i="1"/>
  <c r="AO768" i="1" s="1"/>
  <c r="AL767" i="1" a="1"/>
  <c r="AI767" i="1"/>
  <c r="AI767" i="1" a="1"/>
  <c r="Q767" i="1"/>
  <c r="X757" i="1" s="1"/>
  <c r="Q767" i="1" a="1"/>
  <c r="AL766" i="1"/>
  <c r="AO767" i="1" s="1"/>
  <c r="AL766" i="1" a="1"/>
  <c r="AI766" i="1" a="1"/>
  <c r="AI766" i="1" s="1"/>
  <c r="Q766" i="1"/>
  <c r="X756" i="1" s="1"/>
  <c r="Q766" i="1" a="1"/>
  <c r="AL765" i="1" a="1"/>
  <c r="AL765" i="1" s="1"/>
  <c r="AO766" i="1" s="1"/>
  <c r="AI765" i="1" a="1"/>
  <c r="AI765" i="1" s="1"/>
  <c r="Q765" i="1" a="1"/>
  <c r="Q765" i="1" s="1"/>
  <c r="X755" i="1" s="1"/>
  <c r="AL764" i="1" a="1"/>
  <c r="AL764" i="1" s="1"/>
  <c r="AO765" i="1" s="1"/>
  <c r="AI764" i="1"/>
  <c r="AI764" i="1" a="1"/>
  <c r="Q764" i="1" a="1"/>
  <c r="Q764" i="1" s="1"/>
  <c r="X754" i="1" s="1"/>
  <c r="AL763" i="1"/>
  <c r="AO764" i="1" s="1"/>
  <c r="AL763" i="1" a="1"/>
  <c r="AI763" i="1"/>
  <c r="AI763" i="1" a="1"/>
  <c r="AL762" i="1"/>
  <c r="AO763" i="1" s="1"/>
  <c r="AL762" i="1" a="1"/>
  <c r="AI762" i="1"/>
  <c r="AI762" i="1" a="1"/>
  <c r="AA762" i="1"/>
  <c r="AD762" i="1" s="1"/>
  <c r="AL761" i="1" a="1"/>
  <c r="AL761" i="1" s="1"/>
  <c r="AO762" i="1" s="1"/>
  <c r="AI761" i="1" a="1"/>
  <c r="AI761" i="1" s="1"/>
  <c r="AA761" i="1"/>
  <c r="AC761" i="1" s="1"/>
  <c r="U761" i="1" a="1"/>
  <c r="U761" i="1" s="1"/>
  <c r="AL760" i="1"/>
  <c r="AO761" i="1" s="1"/>
  <c r="AL760" i="1" a="1"/>
  <c r="AI760" i="1" a="1"/>
  <c r="AI760" i="1" s="1"/>
  <c r="AD760" i="1"/>
  <c r="AC760" i="1"/>
  <c r="AA760" i="1"/>
  <c r="U760" i="1" a="1"/>
  <c r="U760" i="1" s="1"/>
  <c r="AL759" i="1"/>
  <c r="AO760" i="1" s="1"/>
  <c r="AL759" i="1" a="1"/>
  <c r="AI759" i="1"/>
  <c r="AI759" i="1" a="1"/>
  <c r="AD759" i="1"/>
  <c r="AA759" i="1"/>
  <c r="AC759" i="1" s="1"/>
  <c r="U759" i="1"/>
  <c r="U759" i="1" a="1"/>
  <c r="AL758" i="1" a="1"/>
  <c r="AL758" i="1" s="1"/>
  <c r="AO759" i="1" s="1"/>
  <c r="AI758" i="1"/>
  <c r="AI758" i="1" a="1"/>
  <c r="AA758" i="1"/>
  <c r="AC758" i="1" s="1"/>
  <c r="U758" i="1"/>
  <c r="U758" i="1" a="1"/>
  <c r="AL757" i="1"/>
  <c r="AO758" i="1" s="1"/>
  <c r="AL757" i="1" a="1"/>
  <c r="AI757" i="1"/>
  <c r="AI757" i="1" a="1"/>
  <c r="AA757" i="1"/>
  <c r="AD757" i="1" s="1"/>
  <c r="U757" i="1" a="1"/>
  <c r="U757" i="1" s="1"/>
  <c r="AL756" i="1"/>
  <c r="AO757" i="1" s="1"/>
  <c r="AL756" i="1" a="1"/>
  <c r="AI756" i="1" a="1"/>
  <c r="AI756" i="1" s="1"/>
  <c r="AC756" i="1"/>
  <c r="AA756" i="1"/>
  <c r="AD756" i="1" s="1"/>
  <c r="U756" i="1"/>
  <c r="U756" i="1" a="1"/>
  <c r="AO755" i="1"/>
  <c r="AN755" i="1"/>
  <c r="AL755" i="1"/>
  <c r="AO756" i="1" s="1"/>
  <c r="AL755" i="1" a="1"/>
  <c r="AI755" i="1" a="1"/>
  <c r="AI755" i="1" s="1"/>
  <c r="AD755" i="1"/>
  <c r="AA755" i="1"/>
  <c r="AC755" i="1" s="1"/>
  <c r="AE755" i="1" s="1" a="1"/>
  <c r="AE755" i="1" s="1"/>
  <c r="AF755" i="1" s="1"/>
  <c r="U755" i="1"/>
  <c r="U755" i="1" a="1"/>
  <c r="AL754" i="1"/>
  <c r="AL754" i="1" a="1"/>
  <c r="AI754" i="1" a="1"/>
  <c r="AI754" i="1" s="1"/>
  <c r="Q750" i="1" a="1"/>
  <c r="Q750" i="1" s="1"/>
  <c r="X740" i="1" s="1"/>
  <c r="Q749" i="1" a="1"/>
  <c r="Q749" i="1" s="1"/>
  <c r="X739" i="1" s="1"/>
  <c r="Q748" i="1" a="1"/>
  <c r="Q748" i="1" s="1"/>
  <c r="X738" i="1" s="1"/>
  <c r="Q747" i="1" a="1"/>
  <c r="Q747" i="1" s="1"/>
  <c r="X737" i="1" s="1"/>
  <c r="Q746" i="1" a="1"/>
  <c r="Q746" i="1" s="1"/>
  <c r="X736" i="1" s="1"/>
  <c r="Q745" i="1" a="1"/>
  <c r="Q745" i="1" s="1"/>
  <c r="X735" i="1" s="1"/>
  <c r="Q744" i="1" a="1"/>
  <c r="Q744" i="1" s="1"/>
  <c r="X734" i="1" s="1"/>
  <c r="Q743" i="1" a="1"/>
  <c r="Q743" i="1" s="1"/>
  <c r="X733" i="1" s="1"/>
  <c r="Q742" i="1" a="1"/>
  <c r="Q742" i="1" s="1"/>
  <c r="X732" i="1" s="1"/>
  <c r="Q741" i="1" a="1"/>
  <c r="Q741" i="1" s="1"/>
  <c r="X731" i="1" s="1"/>
  <c r="Q740" i="1" a="1"/>
  <c r="Q740" i="1" s="1"/>
  <c r="X730" i="1" s="1"/>
  <c r="Q739" i="1" a="1"/>
  <c r="Q739" i="1" s="1"/>
  <c r="X729" i="1" s="1"/>
  <c r="Q738" i="1"/>
  <c r="X728" i="1" s="1"/>
  <c r="Q738" i="1" a="1"/>
  <c r="Q737" i="1" a="1"/>
  <c r="Q737" i="1" s="1"/>
  <c r="X727" i="1" s="1"/>
  <c r="Q736" i="1" a="1"/>
  <c r="Q736" i="1" s="1"/>
  <c r="X726" i="1" s="1"/>
  <c r="Q735" i="1" a="1"/>
  <c r="Q735" i="1" s="1"/>
  <c r="X725" i="1" s="1"/>
  <c r="Q734" i="1"/>
  <c r="Q734" i="1" a="1"/>
  <c r="Q733" i="1" a="1"/>
  <c r="Q733" i="1" s="1"/>
  <c r="X723" i="1" s="1"/>
  <c r="Q732" i="1" a="1"/>
  <c r="Q732" i="1" s="1"/>
  <c r="X722" i="1" s="1"/>
  <c r="Q731" i="1" a="1"/>
  <c r="Q731" i="1" s="1"/>
  <c r="X721" i="1" s="1"/>
  <c r="Q730" i="1" a="1"/>
  <c r="Q730" i="1" s="1"/>
  <c r="X720" i="1" s="1"/>
  <c r="Q729" i="1" a="1"/>
  <c r="Q729" i="1" s="1"/>
  <c r="X719" i="1" s="1"/>
  <c r="Q728" i="1" a="1"/>
  <c r="Q728" i="1" s="1"/>
  <c r="X718" i="1" s="1"/>
  <c r="Q727" i="1" a="1"/>
  <c r="Q727" i="1" s="1"/>
  <c r="X717" i="1" s="1"/>
  <c r="Q726" i="1" a="1"/>
  <c r="Q726" i="1" s="1"/>
  <c r="X716" i="1" s="1"/>
  <c r="Q725" i="1" a="1"/>
  <c r="Q725" i="1" s="1"/>
  <c r="X715" i="1" s="1"/>
  <c r="AL724" i="1" a="1"/>
  <c r="AL724" i="1" s="1"/>
  <c r="AO725" i="1" s="1"/>
  <c r="AI724" i="1" a="1"/>
  <c r="AI724" i="1" s="1"/>
  <c r="X724" i="1"/>
  <c r="Q724" i="1"/>
  <c r="Q724" i="1" a="1"/>
  <c r="AL723" i="1" a="1"/>
  <c r="AL723" i="1" s="1"/>
  <c r="AO724" i="1" s="1"/>
  <c r="AI723" i="1"/>
  <c r="AI723" i="1" a="1"/>
  <c r="Q723" i="1" a="1"/>
  <c r="Q723" i="1" s="1"/>
  <c r="X713" i="1" s="1"/>
  <c r="AL722" i="1" a="1"/>
  <c r="AL722" i="1" s="1"/>
  <c r="AO723" i="1" s="1"/>
  <c r="AI722" i="1" a="1"/>
  <c r="AI722" i="1" s="1"/>
  <c r="Q722" i="1"/>
  <c r="X712" i="1" s="1"/>
  <c r="Q722" i="1" a="1"/>
  <c r="AL721" i="1"/>
  <c r="AO722" i="1" s="1"/>
  <c r="AL721" i="1" a="1"/>
  <c r="AI721" i="1" a="1"/>
  <c r="AI721" i="1" s="1"/>
  <c r="Q721" i="1" a="1"/>
  <c r="Q721" i="1" s="1"/>
  <c r="X711" i="1" s="1"/>
  <c r="AL720" i="1" a="1"/>
  <c r="AL720" i="1" s="1"/>
  <c r="AO721" i="1" s="1"/>
  <c r="AI720" i="1" a="1"/>
  <c r="AI720" i="1" s="1"/>
  <c r="Q720" i="1" a="1"/>
  <c r="Q720" i="1" s="1"/>
  <c r="X710" i="1" s="1"/>
  <c r="AL719" i="1" a="1"/>
  <c r="AL719" i="1" s="1"/>
  <c r="AO720" i="1" s="1"/>
  <c r="AI719" i="1"/>
  <c r="AI719" i="1" a="1"/>
  <c r="Q719" i="1" a="1"/>
  <c r="Q719" i="1" s="1"/>
  <c r="X709" i="1" s="1"/>
  <c r="AL718" i="1" a="1"/>
  <c r="AL718" i="1" s="1"/>
  <c r="AO719" i="1" s="1"/>
  <c r="AI718" i="1" a="1"/>
  <c r="AI718" i="1" s="1"/>
  <c r="Q718" i="1"/>
  <c r="X708" i="1" s="1"/>
  <c r="Q718" i="1" a="1"/>
  <c r="AL717" i="1"/>
  <c r="AO718" i="1" s="1"/>
  <c r="AL717" i="1" a="1"/>
  <c r="AI717" i="1" a="1"/>
  <c r="AI717" i="1" s="1"/>
  <c r="Q717" i="1" a="1"/>
  <c r="Q717" i="1" s="1"/>
  <c r="X707" i="1" s="1"/>
  <c r="AL716" i="1" a="1"/>
  <c r="AL716" i="1" s="1"/>
  <c r="AO717" i="1" s="1"/>
  <c r="AI716" i="1" a="1"/>
  <c r="AI716" i="1" s="1"/>
  <c r="Q716" i="1" a="1"/>
  <c r="Q716" i="1" s="1"/>
  <c r="X706" i="1" s="1"/>
  <c r="AL715" i="1" a="1"/>
  <c r="AL715" i="1" s="1"/>
  <c r="AO716" i="1" s="1"/>
  <c r="AI715" i="1"/>
  <c r="AI715" i="1" a="1"/>
  <c r="Q715" i="1" a="1"/>
  <c r="Q715" i="1" s="1"/>
  <c r="X705" i="1" s="1"/>
  <c r="AL714" i="1" a="1"/>
  <c r="AL714" i="1" s="1"/>
  <c r="AO715" i="1" s="1"/>
  <c r="AI714" i="1" a="1"/>
  <c r="AI714" i="1" s="1"/>
  <c r="X714" i="1"/>
  <c r="Q714" i="1"/>
  <c r="X704" i="1" s="1"/>
  <c r="Q714" i="1" a="1"/>
  <c r="AL713" i="1"/>
  <c r="AO714" i="1" s="1"/>
  <c r="AL713" i="1" a="1"/>
  <c r="AI713" i="1" a="1"/>
  <c r="AI713" i="1" s="1"/>
  <c r="Q713" i="1" a="1"/>
  <c r="Q713" i="1" s="1"/>
  <c r="X703" i="1" s="1"/>
  <c r="AL712" i="1" a="1"/>
  <c r="AL712" i="1" s="1"/>
  <c r="AO713" i="1" s="1"/>
  <c r="AI712" i="1" a="1"/>
  <c r="AI712" i="1" s="1"/>
  <c r="Q712" i="1" a="1"/>
  <c r="Q712" i="1" s="1"/>
  <c r="X702" i="1" s="1"/>
  <c r="AL711" i="1" a="1"/>
  <c r="AL711" i="1" s="1"/>
  <c r="AO712" i="1" s="1"/>
  <c r="AI711" i="1"/>
  <c r="AI711" i="1" a="1"/>
  <c r="Q711" i="1" a="1"/>
  <c r="Q711" i="1" s="1"/>
  <c r="X701" i="1" s="1"/>
  <c r="AL710" i="1" a="1"/>
  <c r="AL710" i="1" s="1"/>
  <c r="AO711" i="1" s="1"/>
  <c r="AI710" i="1" a="1"/>
  <c r="AI710" i="1" s="1"/>
  <c r="Q710" i="1"/>
  <c r="X700" i="1" s="1"/>
  <c r="Q710" i="1" a="1"/>
  <c r="AL709" i="1"/>
  <c r="AO710" i="1" s="1"/>
  <c r="AL709" i="1" a="1"/>
  <c r="AI709" i="1" a="1"/>
  <c r="AI709" i="1" s="1"/>
  <c r="Q709" i="1" a="1"/>
  <c r="Q709" i="1" s="1"/>
  <c r="X699" i="1" s="1"/>
  <c r="AL708" i="1" a="1"/>
  <c r="AL708" i="1" s="1"/>
  <c r="AO709" i="1" s="1"/>
  <c r="AI708" i="1" a="1"/>
  <c r="AI708" i="1" s="1"/>
  <c r="Q708" i="1" a="1"/>
  <c r="Q708" i="1" s="1"/>
  <c r="X698" i="1" s="1"/>
  <c r="AL707" i="1" a="1"/>
  <c r="AL707" i="1" s="1"/>
  <c r="AO708" i="1" s="1"/>
  <c r="AI707" i="1"/>
  <c r="AI707" i="1" a="1"/>
  <c r="Q707" i="1" a="1"/>
  <c r="Q707" i="1" s="1"/>
  <c r="X697" i="1" s="1"/>
  <c r="AL706" i="1" a="1"/>
  <c r="AL706" i="1" s="1"/>
  <c r="AO707" i="1" s="1"/>
  <c r="AI706" i="1" a="1"/>
  <c r="AI706" i="1" s="1"/>
  <c r="Q706" i="1"/>
  <c r="X696" i="1" s="1"/>
  <c r="Q706" i="1" a="1"/>
  <c r="AL705" i="1"/>
  <c r="AO706" i="1" s="1"/>
  <c r="AL705" i="1" a="1"/>
  <c r="AI705" i="1" a="1"/>
  <c r="AI705" i="1" s="1"/>
  <c r="Q705" i="1" a="1"/>
  <c r="Q705" i="1" s="1"/>
  <c r="X695" i="1" s="1"/>
  <c r="AL704" i="1" a="1"/>
  <c r="AL704" i="1" s="1"/>
  <c r="AO705" i="1" s="1"/>
  <c r="AI704" i="1" a="1"/>
  <c r="AI704" i="1" s="1"/>
  <c r="Q704" i="1" a="1"/>
  <c r="Q704" i="1" s="1"/>
  <c r="X694" i="1" s="1"/>
  <c r="AL703" i="1" a="1"/>
  <c r="AL703" i="1" s="1"/>
  <c r="AO704" i="1" s="1"/>
  <c r="AI703" i="1"/>
  <c r="AI703" i="1" a="1"/>
  <c r="Q703" i="1" a="1"/>
  <c r="Q703" i="1" s="1"/>
  <c r="X693" i="1" s="1"/>
  <c r="AL702" i="1" a="1"/>
  <c r="AL702" i="1" s="1"/>
  <c r="AO703" i="1" s="1"/>
  <c r="AI702" i="1" a="1"/>
  <c r="AI702" i="1" s="1"/>
  <c r="AL701" i="1"/>
  <c r="AO702" i="1" s="1"/>
  <c r="AL701" i="1" a="1"/>
  <c r="AI701" i="1"/>
  <c r="AI701" i="1" a="1"/>
  <c r="AA701" i="1"/>
  <c r="AC701" i="1" s="1"/>
  <c r="AL700" i="1" a="1"/>
  <c r="AL700" i="1" s="1"/>
  <c r="AO701" i="1" s="1"/>
  <c r="AI700" i="1"/>
  <c r="AI700" i="1" a="1"/>
  <c r="AA700" i="1"/>
  <c r="AD700" i="1" s="1"/>
  <c r="U700" i="1"/>
  <c r="U700" i="1" a="1"/>
  <c r="AO699" i="1"/>
  <c r="AL699" i="1"/>
  <c r="AO700" i="1" s="1"/>
  <c r="AL699" i="1" a="1"/>
  <c r="AI699" i="1" a="1"/>
  <c r="AI699" i="1" s="1"/>
  <c r="AD699" i="1"/>
  <c r="AC699" i="1"/>
  <c r="AE699" i="1" s="1" a="1"/>
  <c r="AE699" i="1" s="1"/>
  <c r="AF699" i="1" s="1"/>
  <c r="AA699" i="1"/>
  <c r="U699" i="1" a="1"/>
  <c r="U699" i="1" s="1"/>
  <c r="AL698" i="1"/>
  <c r="AL698" i="1" a="1"/>
  <c r="AI698" i="1" a="1"/>
  <c r="AI698" i="1" s="1"/>
  <c r="AA698" i="1"/>
  <c r="AC698" i="1" s="1"/>
  <c r="U698" i="1"/>
  <c r="U698" i="1" a="1"/>
  <c r="AL697" i="1" a="1"/>
  <c r="AL697" i="1" s="1"/>
  <c r="AO698" i="1" s="1"/>
  <c r="AI697" i="1"/>
  <c r="AI697" i="1" a="1"/>
  <c r="AA697" i="1"/>
  <c r="AD697" i="1" s="1"/>
  <c r="U697" i="1"/>
  <c r="U697" i="1" a="1"/>
  <c r="AL696" i="1" a="1"/>
  <c r="AL696" i="1" s="1"/>
  <c r="AO697" i="1" s="1"/>
  <c r="AI696" i="1" a="1"/>
  <c r="AI696" i="1" s="1"/>
  <c r="AD696" i="1"/>
  <c r="AA696" i="1"/>
  <c r="AC696" i="1" s="1"/>
  <c r="U696" i="1" a="1"/>
  <c r="U696" i="1" s="1"/>
  <c r="AL695" i="1"/>
  <c r="AO696" i="1" s="1"/>
  <c r="AL695" i="1" a="1"/>
  <c r="AI695" i="1" a="1"/>
  <c r="AI695" i="1" s="1"/>
  <c r="AA695" i="1"/>
  <c r="AD695" i="1" s="1"/>
  <c r="U695" i="1" a="1"/>
  <c r="U695" i="1" s="1"/>
  <c r="AN694" i="1"/>
  <c r="AL694" i="1" a="1"/>
  <c r="AL694" i="1" s="1"/>
  <c r="AO695" i="1" s="1"/>
  <c r="AI694" i="1" a="1"/>
  <c r="AI694" i="1" s="1"/>
  <c r="AD694" i="1"/>
  <c r="AA694" i="1"/>
  <c r="AC694" i="1" s="1"/>
  <c r="AE694" i="1" s="1" a="1"/>
  <c r="AE694" i="1" s="1"/>
  <c r="AF694" i="1" s="1"/>
  <c r="U694" i="1"/>
  <c r="U694" i="1" a="1"/>
  <c r="AL693" i="1"/>
  <c r="AO694" i="1" s="1"/>
  <c r="AL693" i="1" a="1"/>
  <c r="AI693" i="1" a="1"/>
  <c r="AI693" i="1" s="1"/>
  <c r="U693" i="1" a="1"/>
  <c r="U693" i="1" s="1"/>
  <c r="Q689" i="1" a="1"/>
  <c r="Q689" i="1" s="1"/>
  <c r="X679" i="1" s="1"/>
  <c r="Q688" i="1" a="1"/>
  <c r="Q688" i="1" s="1"/>
  <c r="X678" i="1" s="1"/>
  <c r="Q687" i="1" a="1"/>
  <c r="Q687" i="1" s="1"/>
  <c r="X677" i="1" s="1"/>
  <c r="Q686" i="1" a="1"/>
  <c r="Q686" i="1" s="1"/>
  <c r="X676" i="1" s="1"/>
  <c r="Q685" i="1"/>
  <c r="X675" i="1" s="1"/>
  <c r="Q685" i="1" a="1"/>
  <c r="Q684" i="1" a="1"/>
  <c r="Q684" i="1" s="1"/>
  <c r="X674" i="1" s="1"/>
  <c r="Q683" i="1" a="1"/>
  <c r="Q683" i="1" s="1"/>
  <c r="X673" i="1" s="1"/>
  <c r="Q682" i="1" a="1"/>
  <c r="Q682" i="1" s="1"/>
  <c r="X672" i="1" s="1"/>
  <c r="Q681" i="1" a="1"/>
  <c r="Q681" i="1" s="1"/>
  <c r="X671" i="1" s="1"/>
  <c r="Q680" i="1" a="1"/>
  <c r="Q680" i="1" s="1"/>
  <c r="X670" i="1" s="1"/>
  <c r="Q679" i="1" a="1"/>
  <c r="Q679" i="1" s="1"/>
  <c r="X669" i="1" s="1"/>
  <c r="Q678" i="1" a="1"/>
  <c r="Q678" i="1" s="1"/>
  <c r="X668" i="1" s="1"/>
  <c r="Q677" i="1"/>
  <c r="Q677" i="1" a="1"/>
  <c r="Q676" i="1" a="1"/>
  <c r="Q676" i="1" s="1"/>
  <c r="X666" i="1" s="1"/>
  <c r="Q675" i="1" a="1"/>
  <c r="Q675" i="1" s="1"/>
  <c r="X665" i="1" s="1"/>
  <c r="Q674" i="1" a="1"/>
  <c r="Q674" i="1" s="1"/>
  <c r="X664" i="1" s="1"/>
  <c r="Q673" i="1"/>
  <c r="Q673" i="1" a="1"/>
  <c r="Q672" i="1" a="1"/>
  <c r="Q672" i="1" s="1"/>
  <c r="X662" i="1" s="1"/>
  <c r="Q671" i="1" a="1"/>
  <c r="Q671" i="1" s="1"/>
  <c r="X661" i="1" s="1"/>
  <c r="Q670" i="1" a="1"/>
  <c r="Q670" i="1" s="1"/>
  <c r="X660" i="1" s="1"/>
  <c r="Q669" i="1" a="1"/>
  <c r="Q669" i="1" s="1"/>
  <c r="X659" i="1" s="1"/>
  <c r="Q668" i="1" a="1"/>
  <c r="Q668" i="1" s="1"/>
  <c r="X658" i="1" s="1"/>
  <c r="X667" i="1"/>
  <c r="Q667" i="1" a="1"/>
  <c r="Q667" i="1" s="1"/>
  <c r="X657" i="1" s="1"/>
  <c r="Q666" i="1" a="1"/>
  <c r="Q666" i="1" s="1"/>
  <c r="X656" i="1" s="1"/>
  <c r="Q665" i="1" a="1"/>
  <c r="Q665" i="1" s="1"/>
  <c r="X655" i="1" s="1"/>
  <c r="Q664" i="1"/>
  <c r="X654" i="1" s="1"/>
  <c r="Q664" i="1" a="1"/>
  <c r="AL663" i="1" a="1"/>
  <c r="AL663" i="1" s="1"/>
  <c r="AO664" i="1" s="1"/>
  <c r="AI663" i="1" a="1"/>
  <c r="AI663" i="1" s="1"/>
  <c r="X663" i="1"/>
  <c r="Q663" i="1" a="1"/>
  <c r="Q663" i="1" s="1"/>
  <c r="X653" i="1" s="1"/>
  <c r="AL662" i="1" a="1"/>
  <c r="AL662" i="1" s="1"/>
  <c r="AO663" i="1" s="1"/>
  <c r="AI662" i="1"/>
  <c r="AI662" i="1" a="1"/>
  <c r="Q662" i="1" a="1"/>
  <c r="Q662" i="1" s="1"/>
  <c r="X652" i="1" s="1"/>
  <c r="AL661" i="1" a="1"/>
  <c r="AL661" i="1" s="1"/>
  <c r="AO662" i="1" s="1"/>
  <c r="AI661" i="1"/>
  <c r="AI661" i="1" a="1"/>
  <c r="Q661" i="1"/>
  <c r="X651" i="1" s="1"/>
  <c r="Q661" i="1" a="1"/>
  <c r="AL660" i="1" a="1"/>
  <c r="AL660" i="1" s="1"/>
  <c r="AO661" i="1" s="1"/>
  <c r="AI660" i="1" a="1"/>
  <c r="AI660" i="1" s="1"/>
  <c r="Q660" i="1"/>
  <c r="X650" i="1" s="1"/>
  <c r="Q660" i="1" a="1"/>
  <c r="AL659" i="1" a="1"/>
  <c r="AL659" i="1" s="1"/>
  <c r="AO660" i="1" s="1"/>
  <c r="AI659" i="1" a="1"/>
  <c r="AI659" i="1" s="1"/>
  <c r="Q659" i="1" a="1"/>
  <c r="Q659" i="1" s="1"/>
  <c r="X649" i="1" s="1"/>
  <c r="AL658" i="1" a="1"/>
  <c r="AL658" i="1" s="1"/>
  <c r="AO659" i="1" s="1"/>
  <c r="AI658" i="1"/>
  <c r="AI658" i="1" a="1"/>
  <c r="Q658" i="1" a="1"/>
  <c r="Q658" i="1" s="1"/>
  <c r="X648" i="1" s="1"/>
  <c r="AL657" i="1" a="1"/>
  <c r="AL657" i="1" s="1"/>
  <c r="AO658" i="1" s="1"/>
  <c r="AI657" i="1"/>
  <c r="AI657" i="1" a="1"/>
  <c r="Q657" i="1"/>
  <c r="X647" i="1" s="1"/>
  <c r="Q657" i="1" a="1"/>
  <c r="AL656" i="1" a="1"/>
  <c r="AL656" i="1" s="1"/>
  <c r="AO657" i="1" s="1"/>
  <c r="AI656" i="1" a="1"/>
  <c r="AI656" i="1" s="1"/>
  <c r="Q656" i="1"/>
  <c r="X646" i="1" s="1"/>
  <c r="Q656" i="1" a="1"/>
  <c r="AL655" i="1" a="1"/>
  <c r="AL655" i="1" s="1"/>
  <c r="AO656" i="1" s="1"/>
  <c r="AI655" i="1" a="1"/>
  <c r="AI655" i="1" s="1"/>
  <c r="Q655" i="1" a="1"/>
  <c r="Q655" i="1" s="1"/>
  <c r="X645" i="1" s="1"/>
  <c r="AL654" i="1" a="1"/>
  <c r="AL654" i="1" s="1"/>
  <c r="AO655" i="1" s="1"/>
  <c r="AI654" i="1"/>
  <c r="AI654" i="1" a="1"/>
  <c r="Q654" i="1" a="1"/>
  <c r="Q654" i="1" s="1"/>
  <c r="X644" i="1" s="1"/>
  <c r="AL653" i="1" a="1"/>
  <c r="AL653" i="1" s="1"/>
  <c r="AO654" i="1" s="1"/>
  <c r="AI653" i="1"/>
  <c r="AI653" i="1" a="1"/>
  <c r="Q653" i="1"/>
  <c r="X643" i="1" s="1"/>
  <c r="Q653" i="1" a="1"/>
  <c r="AL652" i="1" a="1"/>
  <c r="AL652" i="1" s="1"/>
  <c r="AO653" i="1" s="1"/>
  <c r="AI652" i="1" a="1"/>
  <c r="AI652" i="1" s="1"/>
  <c r="Q652" i="1"/>
  <c r="X642" i="1" s="1"/>
  <c r="Q652" i="1" a="1"/>
  <c r="AL651" i="1" a="1"/>
  <c r="AL651" i="1" s="1"/>
  <c r="AO652" i="1" s="1"/>
  <c r="AI651" i="1" a="1"/>
  <c r="AI651" i="1" s="1"/>
  <c r="Q651" i="1" a="1"/>
  <c r="Q651" i="1" s="1"/>
  <c r="X641" i="1" s="1"/>
  <c r="AL650" i="1" a="1"/>
  <c r="AL650" i="1" s="1"/>
  <c r="AO651" i="1" s="1"/>
  <c r="AI650" i="1"/>
  <c r="AI650" i="1" a="1"/>
  <c r="Q650" i="1" a="1"/>
  <c r="Q650" i="1" s="1"/>
  <c r="X640" i="1" s="1"/>
  <c r="AL649" i="1" a="1"/>
  <c r="AL649" i="1" s="1"/>
  <c r="AO650" i="1" s="1"/>
  <c r="AI649" i="1"/>
  <c r="AI649" i="1" a="1"/>
  <c r="Q649" i="1"/>
  <c r="X639" i="1" s="1"/>
  <c r="Q649" i="1" a="1"/>
  <c r="AL648" i="1"/>
  <c r="AO649" i="1" s="1"/>
  <c r="AL648" i="1" a="1"/>
  <c r="AI648" i="1" a="1"/>
  <c r="AI648" i="1" s="1"/>
  <c r="Q648" i="1"/>
  <c r="X638" i="1" s="1"/>
  <c r="Q648" i="1" a="1"/>
  <c r="AL647" i="1" a="1"/>
  <c r="AL647" i="1" s="1"/>
  <c r="AO648" i="1" s="1"/>
  <c r="AI647" i="1" a="1"/>
  <c r="AI647" i="1" s="1"/>
  <c r="Q647" i="1" a="1"/>
  <c r="Q647" i="1" s="1"/>
  <c r="X637" i="1" s="1"/>
  <c r="AL646" i="1" a="1"/>
  <c r="AL646" i="1" s="1"/>
  <c r="AO647" i="1" s="1"/>
  <c r="AI646" i="1"/>
  <c r="AI646" i="1" a="1"/>
  <c r="Q646" i="1" a="1"/>
  <c r="Q646" i="1" s="1"/>
  <c r="X636" i="1" s="1"/>
  <c r="AL645" i="1" a="1"/>
  <c r="AL645" i="1" s="1"/>
  <c r="AO646" i="1" s="1"/>
  <c r="AI645" i="1"/>
  <c r="AI645" i="1" a="1"/>
  <c r="Q645" i="1"/>
  <c r="X635" i="1" s="1"/>
  <c r="Q645" i="1" a="1"/>
  <c r="AL644" i="1"/>
  <c r="AO645" i="1" s="1"/>
  <c r="AL644" i="1" a="1"/>
  <c r="AI644" i="1" a="1"/>
  <c r="AI644" i="1" s="1"/>
  <c r="Q644" i="1"/>
  <c r="X634" i="1" s="1"/>
  <c r="Q644" i="1" a="1"/>
  <c r="AL643" i="1" a="1"/>
  <c r="AL643" i="1" s="1"/>
  <c r="AO644" i="1" s="1"/>
  <c r="AI643" i="1" a="1"/>
  <c r="AI643" i="1" s="1"/>
  <c r="Q643" i="1" a="1"/>
  <c r="Q643" i="1" s="1"/>
  <c r="X633" i="1" s="1"/>
  <c r="AL642" i="1" a="1"/>
  <c r="AL642" i="1" s="1"/>
  <c r="AO643" i="1" s="1"/>
  <c r="AI642" i="1"/>
  <c r="AI642" i="1" a="1"/>
  <c r="Q642" i="1" a="1"/>
  <c r="Q642" i="1" s="1"/>
  <c r="X632" i="1" s="1"/>
  <c r="AL641" i="1" a="1"/>
  <c r="AL641" i="1" s="1"/>
  <c r="AO642" i="1" s="1"/>
  <c r="AI641" i="1"/>
  <c r="AI641" i="1" a="1"/>
  <c r="AL640" i="1"/>
  <c r="AO641" i="1" s="1"/>
  <c r="AL640" i="1" a="1"/>
  <c r="AI640" i="1"/>
  <c r="AI640" i="1" a="1"/>
  <c r="AA640" i="1"/>
  <c r="AC640" i="1" s="1"/>
  <c r="AL639" i="1" a="1"/>
  <c r="AL639" i="1" s="1"/>
  <c r="AO640" i="1" s="1"/>
  <c r="AI639" i="1"/>
  <c r="AI639" i="1" a="1"/>
  <c r="AA639" i="1"/>
  <c r="AD639" i="1" s="1"/>
  <c r="U639" i="1"/>
  <c r="U639" i="1" a="1"/>
  <c r="AO638" i="1"/>
  <c r="AL638" i="1" a="1"/>
  <c r="AL638" i="1" s="1"/>
  <c r="AO639" i="1" s="1"/>
  <c r="AI638" i="1" a="1"/>
  <c r="AI638" i="1" s="1"/>
  <c r="AC638" i="1"/>
  <c r="AE638" i="1" s="1" a="1"/>
  <c r="AE638" i="1" s="1"/>
  <c r="AF638" i="1" s="1"/>
  <c r="AA638" i="1"/>
  <c r="AD638" i="1" s="1"/>
  <c r="U638" i="1" a="1"/>
  <c r="U638" i="1" s="1"/>
  <c r="AL637" i="1"/>
  <c r="AL637" i="1" a="1"/>
  <c r="AI637" i="1" a="1"/>
  <c r="AI637" i="1" s="1"/>
  <c r="AD637" i="1"/>
  <c r="AA637" i="1"/>
  <c r="AC637" i="1" s="1"/>
  <c r="U637" i="1"/>
  <c r="U637" i="1" a="1"/>
  <c r="AL636" i="1" a="1"/>
  <c r="AL636" i="1" s="1"/>
  <c r="AO637" i="1" s="1"/>
  <c r="AI636" i="1" a="1"/>
  <c r="AI636" i="1" s="1"/>
  <c r="AA636" i="1"/>
  <c r="AD636" i="1" s="1"/>
  <c r="U636" i="1"/>
  <c r="U636" i="1" a="1"/>
  <c r="AL635" i="1" a="1"/>
  <c r="AL635" i="1" s="1"/>
  <c r="AO636" i="1" s="1"/>
  <c r="AI635" i="1"/>
  <c r="AI635" i="1" a="1"/>
  <c r="AA635" i="1"/>
  <c r="AC635" i="1" s="1"/>
  <c r="U635" i="1" a="1"/>
  <c r="U635" i="1" s="1"/>
  <c r="AL634" i="1" a="1"/>
  <c r="AL634" i="1" s="1"/>
  <c r="AO635" i="1" s="1"/>
  <c r="AI634" i="1"/>
  <c r="AI634" i="1" a="1"/>
  <c r="AC634" i="1"/>
  <c r="AA634" i="1"/>
  <c r="AD634" i="1" s="1"/>
  <c r="U634" i="1" a="1"/>
  <c r="U634" i="1" s="1"/>
  <c r="AN633" i="1"/>
  <c r="AL633" i="1"/>
  <c r="AO634" i="1" s="1"/>
  <c r="AL633" i="1" a="1"/>
  <c r="AI633" i="1" a="1"/>
  <c r="AI633" i="1" s="1"/>
  <c r="AD633" i="1"/>
  <c r="AC633" i="1"/>
  <c r="AE633" i="1" s="1" a="1"/>
  <c r="AE633" i="1" s="1"/>
  <c r="AF633" i="1" s="1"/>
  <c r="AA633" i="1"/>
  <c r="U633" i="1" a="1"/>
  <c r="U633" i="1" s="1"/>
  <c r="AL632" i="1" a="1"/>
  <c r="AL632" i="1" s="1"/>
  <c r="AO633" i="1" s="1"/>
  <c r="AI632" i="1"/>
  <c r="AI632" i="1" a="1"/>
  <c r="U632" i="1" a="1"/>
  <c r="U632" i="1" s="1"/>
  <c r="Q628" i="1" a="1"/>
  <c r="Q628" i="1" s="1"/>
  <c r="X618" i="1" s="1"/>
  <c r="Q627" i="1" a="1"/>
  <c r="Q627" i="1" s="1"/>
  <c r="X617" i="1" s="1"/>
  <c r="Q626" i="1" a="1"/>
  <c r="Q626" i="1" s="1"/>
  <c r="X616" i="1" s="1"/>
  <c r="Q625" i="1" a="1"/>
  <c r="Q625" i="1" s="1"/>
  <c r="X615" i="1" s="1"/>
  <c r="Q624" i="1" a="1"/>
  <c r="Q624" i="1" s="1"/>
  <c r="X614" i="1" s="1"/>
  <c r="Q623" i="1"/>
  <c r="X613" i="1" s="1"/>
  <c r="Q623" i="1" a="1"/>
  <c r="Q622" i="1" a="1"/>
  <c r="Q622" i="1" s="1"/>
  <c r="X612" i="1" s="1"/>
  <c r="Q621" i="1" a="1"/>
  <c r="Q621" i="1" s="1"/>
  <c r="X611" i="1" s="1"/>
  <c r="Q620" i="1" a="1"/>
  <c r="Q620" i="1" s="1"/>
  <c r="X610" i="1" s="1"/>
  <c r="Q619" i="1" a="1"/>
  <c r="Q619" i="1" s="1"/>
  <c r="X609" i="1" s="1"/>
  <c r="Q618" i="1" a="1"/>
  <c r="Q618" i="1" s="1"/>
  <c r="X608" i="1" s="1"/>
  <c r="Q617" i="1" a="1"/>
  <c r="Q617" i="1" s="1"/>
  <c r="X607" i="1" s="1"/>
  <c r="Q616" i="1"/>
  <c r="X606" i="1" s="1"/>
  <c r="Q616" i="1" a="1"/>
  <c r="Q615" i="1" a="1"/>
  <c r="Q615" i="1" s="1"/>
  <c r="X605" i="1" s="1"/>
  <c r="Q614" i="1" a="1"/>
  <c r="Q614" i="1" s="1"/>
  <c r="X604" i="1" s="1"/>
  <c r="Q613" i="1" a="1"/>
  <c r="Q613" i="1" s="1"/>
  <c r="X603" i="1" s="1"/>
  <c r="Q612" i="1"/>
  <c r="Q612" i="1" a="1"/>
  <c r="Q611" i="1" a="1"/>
  <c r="Q611" i="1" s="1"/>
  <c r="X601" i="1" s="1"/>
  <c r="Q610" i="1" a="1"/>
  <c r="Q610" i="1" s="1"/>
  <c r="X600" i="1" s="1"/>
  <c r="Q609" i="1" a="1"/>
  <c r="Q609" i="1" s="1"/>
  <c r="X599" i="1" s="1"/>
  <c r="Q608" i="1" a="1"/>
  <c r="Q608" i="1" s="1"/>
  <c r="X598" i="1" s="1"/>
  <c r="Q607" i="1" a="1"/>
  <c r="Q607" i="1" s="1"/>
  <c r="X597" i="1" s="1"/>
  <c r="Q606" i="1" a="1"/>
  <c r="Q606" i="1" s="1"/>
  <c r="X596" i="1" s="1"/>
  <c r="Q605" i="1" a="1"/>
  <c r="Q605" i="1" s="1"/>
  <c r="X595" i="1" s="1"/>
  <c r="Q604" i="1" a="1"/>
  <c r="Q604" i="1" s="1"/>
  <c r="X594" i="1" s="1"/>
  <c r="Q603" i="1" a="1"/>
  <c r="Q603" i="1" s="1"/>
  <c r="X593" i="1" s="1"/>
  <c r="AL602" i="1" a="1"/>
  <c r="AL602" i="1" s="1"/>
  <c r="AO603" i="1" s="1"/>
  <c r="AI602" i="1" a="1"/>
  <c r="AI602" i="1" s="1"/>
  <c r="X602" i="1"/>
  <c r="Q602" i="1"/>
  <c r="Q602" i="1" a="1"/>
  <c r="AL601" i="1" a="1"/>
  <c r="AL601" i="1" s="1"/>
  <c r="AO602" i="1" s="1"/>
  <c r="AI601" i="1"/>
  <c r="AI601" i="1" a="1"/>
  <c r="Q601" i="1" a="1"/>
  <c r="Q601" i="1" s="1"/>
  <c r="X591" i="1" s="1"/>
  <c r="AL600" i="1" a="1"/>
  <c r="AL600" i="1" s="1"/>
  <c r="AO601" i="1" s="1"/>
  <c r="AI600" i="1" a="1"/>
  <c r="AI600" i="1" s="1"/>
  <c r="Q600" i="1" a="1"/>
  <c r="Q600" i="1" s="1"/>
  <c r="X590" i="1" s="1"/>
  <c r="AL599" i="1" a="1"/>
  <c r="AL599" i="1" s="1"/>
  <c r="AO600" i="1" s="1"/>
  <c r="AI599" i="1"/>
  <c r="AI599" i="1" a="1"/>
  <c r="Q599" i="1" a="1"/>
  <c r="Q599" i="1" s="1"/>
  <c r="X589" i="1" s="1"/>
  <c r="AL598" i="1" a="1"/>
  <c r="AL598" i="1" s="1"/>
  <c r="AO599" i="1" s="1"/>
  <c r="AI598" i="1" a="1"/>
  <c r="AI598" i="1" s="1"/>
  <c r="Q598" i="1" a="1"/>
  <c r="Q598" i="1" s="1"/>
  <c r="X588" i="1" s="1"/>
  <c r="AL597" i="1" a="1"/>
  <c r="AL597" i="1" s="1"/>
  <c r="AO598" i="1" s="1"/>
  <c r="AI597" i="1" a="1"/>
  <c r="AI597" i="1" s="1"/>
  <c r="Q597" i="1" a="1"/>
  <c r="Q597" i="1" s="1"/>
  <c r="X587" i="1" s="1"/>
  <c r="AL596" i="1" a="1"/>
  <c r="AL596" i="1" s="1"/>
  <c r="AO597" i="1" s="1"/>
  <c r="AI596" i="1" a="1"/>
  <c r="AI596" i="1" s="1"/>
  <c r="Q596" i="1" a="1"/>
  <c r="Q596" i="1" s="1"/>
  <c r="X586" i="1" s="1"/>
  <c r="AL595" i="1" a="1"/>
  <c r="AL595" i="1" s="1"/>
  <c r="AO596" i="1" s="1"/>
  <c r="AI595" i="1" a="1"/>
  <c r="AI595" i="1" s="1"/>
  <c r="Q595" i="1" a="1"/>
  <c r="Q595" i="1" s="1"/>
  <c r="X585" i="1" s="1"/>
  <c r="AL594" i="1" a="1"/>
  <c r="AL594" i="1" s="1"/>
  <c r="AO595" i="1" s="1"/>
  <c r="AI594" i="1" a="1"/>
  <c r="AI594" i="1" s="1"/>
  <c r="Q594" i="1" a="1"/>
  <c r="Q594" i="1" s="1"/>
  <c r="X584" i="1" s="1"/>
  <c r="AL593" i="1" a="1"/>
  <c r="AL593" i="1" s="1"/>
  <c r="AO594" i="1" s="1"/>
  <c r="AI593" i="1" a="1"/>
  <c r="AI593" i="1" s="1"/>
  <c r="Q593" i="1" a="1"/>
  <c r="Q593" i="1" s="1"/>
  <c r="X583" i="1" s="1"/>
  <c r="AL592" i="1" a="1"/>
  <c r="AL592" i="1" s="1"/>
  <c r="AO593" i="1" s="1"/>
  <c r="AI592" i="1" a="1"/>
  <c r="AI592" i="1" s="1"/>
  <c r="X592" i="1"/>
  <c r="Q592" i="1" a="1"/>
  <c r="Q592" i="1" s="1"/>
  <c r="X582" i="1" s="1"/>
  <c r="AL591" i="1" a="1"/>
  <c r="AL591" i="1" s="1"/>
  <c r="AO592" i="1" s="1"/>
  <c r="AI591" i="1" a="1"/>
  <c r="AI591" i="1" s="1"/>
  <c r="Q591" i="1" a="1"/>
  <c r="Q591" i="1" s="1"/>
  <c r="X581" i="1" s="1"/>
  <c r="AL590" i="1" a="1"/>
  <c r="AL590" i="1" s="1"/>
  <c r="AO591" i="1" s="1"/>
  <c r="AI590" i="1" a="1"/>
  <c r="AI590" i="1" s="1"/>
  <c r="Q590" i="1" a="1"/>
  <c r="Q590" i="1" s="1"/>
  <c r="X580" i="1" s="1"/>
  <c r="AL589" i="1" a="1"/>
  <c r="AL589" i="1" s="1"/>
  <c r="AO590" i="1" s="1"/>
  <c r="AI589" i="1" a="1"/>
  <c r="AI589" i="1" s="1"/>
  <c r="Q589" i="1" a="1"/>
  <c r="Q589" i="1" s="1"/>
  <c r="X579" i="1" s="1"/>
  <c r="AL588" i="1"/>
  <c r="AO589" i="1" s="1"/>
  <c r="AL588" i="1" a="1"/>
  <c r="AI588" i="1" a="1"/>
  <c r="AI588" i="1" s="1"/>
  <c r="Q588" i="1" a="1"/>
  <c r="Q588" i="1" s="1"/>
  <c r="X578" i="1" s="1"/>
  <c r="AL587" i="1" a="1"/>
  <c r="AL587" i="1" s="1"/>
  <c r="AO588" i="1" s="1"/>
  <c r="AI587" i="1" a="1"/>
  <c r="AI587" i="1" s="1"/>
  <c r="Q587" i="1" a="1"/>
  <c r="Q587" i="1" s="1"/>
  <c r="X577" i="1" s="1"/>
  <c r="AL586" i="1" a="1"/>
  <c r="AL586" i="1" s="1"/>
  <c r="AO587" i="1" s="1"/>
  <c r="AI586" i="1" a="1"/>
  <c r="AI586" i="1" s="1"/>
  <c r="Q586" i="1" a="1"/>
  <c r="Q586" i="1" s="1"/>
  <c r="X576" i="1" s="1"/>
  <c r="AL585" i="1" a="1"/>
  <c r="AL585" i="1" s="1"/>
  <c r="AO586" i="1" s="1"/>
  <c r="AI585" i="1" a="1"/>
  <c r="AI585" i="1" s="1"/>
  <c r="Q585" i="1" a="1"/>
  <c r="Q585" i="1" s="1"/>
  <c r="X575" i="1" s="1"/>
  <c r="AL584" i="1"/>
  <c r="AO585" i="1" s="1"/>
  <c r="AL584" i="1" a="1"/>
  <c r="AI584" i="1" a="1"/>
  <c r="AI584" i="1" s="1"/>
  <c r="Q584" i="1" a="1"/>
  <c r="Q584" i="1" s="1"/>
  <c r="X574" i="1" s="1"/>
  <c r="AL583" i="1" a="1"/>
  <c r="AL583" i="1" s="1"/>
  <c r="AO584" i="1" s="1"/>
  <c r="AI583" i="1" a="1"/>
  <c r="AI583" i="1" s="1"/>
  <c r="Q583" i="1" a="1"/>
  <c r="Q583" i="1" s="1"/>
  <c r="X573" i="1" s="1"/>
  <c r="AL582" i="1" a="1"/>
  <c r="AL582" i="1" s="1"/>
  <c r="AO583" i="1" s="1"/>
  <c r="AI582" i="1" a="1"/>
  <c r="AI582" i="1" s="1"/>
  <c r="Q582" i="1" a="1"/>
  <c r="Q582" i="1" s="1"/>
  <c r="X572" i="1" s="1"/>
  <c r="AL581" i="1" a="1"/>
  <c r="AL581" i="1" s="1"/>
  <c r="AO582" i="1" s="1"/>
  <c r="AI581" i="1" a="1"/>
  <c r="AI581" i="1" s="1"/>
  <c r="Q581" i="1" a="1"/>
  <c r="Q581" i="1" s="1"/>
  <c r="X571" i="1" s="1"/>
  <c r="AL580" i="1"/>
  <c r="AO581" i="1" s="1"/>
  <c r="AL580" i="1" a="1"/>
  <c r="AI580" i="1" a="1"/>
  <c r="AI580" i="1" s="1"/>
  <c r="AL579" i="1"/>
  <c r="AO580" i="1" s="1"/>
  <c r="AL579" i="1" a="1"/>
  <c r="AI579" i="1" a="1"/>
  <c r="AI579" i="1" s="1"/>
  <c r="AA579" i="1"/>
  <c r="AD579" i="1" s="1"/>
  <c r="AL578" i="1" a="1"/>
  <c r="AL578" i="1" s="1"/>
  <c r="AO579" i="1" s="1"/>
  <c r="AI578" i="1"/>
  <c r="AI578" i="1" a="1"/>
  <c r="AD578" i="1"/>
  <c r="AC578" i="1"/>
  <c r="AE578" i="1" s="1" a="1"/>
  <c r="AE578" i="1" s="1"/>
  <c r="AF578" i="1" s="1"/>
  <c r="AA578" i="1"/>
  <c r="U578" i="1"/>
  <c r="U578" i="1" a="1"/>
  <c r="AO577" i="1"/>
  <c r="AL577" i="1" a="1"/>
  <c r="AL577" i="1" s="1"/>
  <c r="AO578" i="1" s="1"/>
  <c r="AI577" i="1" a="1"/>
  <c r="AI577" i="1" s="1"/>
  <c r="AD577" i="1"/>
  <c r="AA577" i="1"/>
  <c r="AC577" i="1" s="1"/>
  <c r="U577" i="1" a="1"/>
  <c r="U577" i="1" s="1"/>
  <c r="AL576" i="1"/>
  <c r="AL576" i="1" a="1"/>
  <c r="AI576" i="1"/>
  <c r="AI576" i="1" a="1"/>
  <c r="AA576" i="1"/>
  <c r="AC576" i="1" s="1"/>
  <c r="U576" i="1" a="1"/>
  <c r="U576" i="1" s="1"/>
  <c r="AL575" i="1" a="1"/>
  <c r="AL575" i="1" s="1"/>
  <c r="AO576" i="1" s="1"/>
  <c r="AI575" i="1" a="1"/>
  <c r="AI575" i="1" s="1"/>
  <c r="AD575" i="1"/>
  <c r="AC575" i="1"/>
  <c r="AE575" i="1" s="1" a="1"/>
  <c r="AE575" i="1" s="1"/>
  <c r="AF575" i="1" s="1"/>
  <c r="AA575" i="1"/>
  <c r="U575" i="1"/>
  <c r="U575" i="1" a="1"/>
  <c r="AL574" i="1"/>
  <c r="AO575" i="1" s="1"/>
  <c r="AL574" i="1" a="1"/>
  <c r="AI574" i="1" a="1"/>
  <c r="AI574" i="1" s="1"/>
  <c r="AA574" i="1"/>
  <c r="AD574" i="1" s="1"/>
  <c r="U574" i="1" a="1"/>
  <c r="U574" i="1" s="1"/>
  <c r="AL573" i="1" a="1"/>
  <c r="AL573" i="1" s="1"/>
  <c r="AO574" i="1" s="1"/>
  <c r="AI573" i="1" a="1"/>
  <c r="AI573" i="1" s="1"/>
  <c r="AA573" i="1"/>
  <c r="AC573" i="1" s="1"/>
  <c r="U573" i="1"/>
  <c r="U573" i="1" a="1"/>
  <c r="AN572" i="1"/>
  <c r="AL572" i="1" a="1"/>
  <c r="AL572" i="1" s="1"/>
  <c r="AO573" i="1" s="1"/>
  <c r="AI572" i="1"/>
  <c r="AI572" i="1" a="1"/>
  <c r="AA572" i="1"/>
  <c r="AD572" i="1" s="1"/>
  <c r="U572" i="1" a="1"/>
  <c r="U572" i="1" s="1"/>
  <c r="AL571" i="1" a="1"/>
  <c r="AL571" i="1" s="1"/>
  <c r="AO572" i="1" s="1"/>
  <c r="AI571" i="1" a="1"/>
  <c r="AI571" i="1" s="1"/>
  <c r="U571" i="1"/>
  <c r="U571" i="1" a="1"/>
  <c r="Q567" i="1" a="1"/>
  <c r="Q567" i="1" s="1"/>
  <c r="X557" i="1" s="1"/>
  <c r="Q566" i="1" a="1"/>
  <c r="Q566" i="1" s="1"/>
  <c r="X556" i="1" s="1"/>
  <c r="Q565" i="1" a="1"/>
  <c r="Q565" i="1" s="1"/>
  <c r="X555" i="1" s="1"/>
  <c r="Q564" i="1" a="1"/>
  <c r="Q564" i="1" s="1"/>
  <c r="X554" i="1" s="1"/>
  <c r="Q563" i="1" a="1"/>
  <c r="Q563" i="1" s="1"/>
  <c r="X553" i="1" s="1"/>
  <c r="Q562" i="1"/>
  <c r="X552" i="1" s="1"/>
  <c r="Q562" i="1" a="1"/>
  <c r="Q561" i="1" a="1"/>
  <c r="Q561" i="1" s="1"/>
  <c r="X551" i="1" s="1"/>
  <c r="Q560" i="1" a="1"/>
  <c r="Q560" i="1" s="1"/>
  <c r="X550" i="1" s="1"/>
  <c r="Q559" i="1" a="1"/>
  <c r="Q559" i="1" s="1"/>
  <c r="X549" i="1" s="1"/>
  <c r="Q558" i="1" a="1"/>
  <c r="Q558" i="1" s="1"/>
  <c r="X548" i="1" s="1"/>
  <c r="Q557" i="1" a="1"/>
  <c r="Q557" i="1" s="1"/>
  <c r="X547" i="1" s="1"/>
  <c r="Q556" i="1" a="1"/>
  <c r="Q556" i="1" s="1"/>
  <c r="X546" i="1" s="1"/>
  <c r="Q555" i="1"/>
  <c r="X545" i="1" s="1"/>
  <c r="Q555" i="1" a="1"/>
  <c r="Q554" i="1" a="1"/>
  <c r="Q554" i="1" s="1"/>
  <c r="X544" i="1" s="1"/>
  <c r="Q553" i="1" a="1"/>
  <c r="Q553" i="1" s="1"/>
  <c r="X543" i="1" s="1"/>
  <c r="Q552" i="1" a="1"/>
  <c r="Q552" i="1" s="1"/>
  <c r="X542" i="1" s="1"/>
  <c r="Q551" i="1"/>
  <c r="X541" i="1" s="1"/>
  <c r="Q551" i="1" a="1"/>
  <c r="Q550" i="1" a="1"/>
  <c r="Q550" i="1" s="1"/>
  <c r="X540" i="1" s="1"/>
  <c r="Q549" i="1" a="1"/>
  <c r="Q549" i="1" s="1"/>
  <c r="X539" i="1" s="1"/>
  <c r="Q548" i="1" a="1"/>
  <c r="Q548" i="1" s="1"/>
  <c r="X538" i="1" s="1"/>
  <c r="Q547" i="1"/>
  <c r="X537" i="1" s="1"/>
  <c r="Q547" i="1" a="1"/>
  <c r="Q546" i="1" a="1"/>
  <c r="Q546" i="1" s="1"/>
  <c r="X536" i="1" s="1"/>
  <c r="Q545" i="1" a="1"/>
  <c r="Q545" i="1" s="1"/>
  <c r="X535" i="1" s="1"/>
  <c r="Q544" i="1" a="1"/>
  <c r="Q544" i="1" s="1"/>
  <c r="X534" i="1" s="1"/>
  <c r="Q543" i="1"/>
  <c r="X533" i="1" s="1"/>
  <c r="Q543" i="1" a="1"/>
  <c r="Q542" i="1" a="1"/>
  <c r="Q542" i="1" s="1"/>
  <c r="X532" i="1" s="1"/>
  <c r="AL541" i="1" a="1"/>
  <c r="AL541" i="1" s="1"/>
  <c r="AO542" i="1" s="1"/>
  <c r="AI541" i="1"/>
  <c r="AI541" i="1" a="1"/>
  <c r="Q541" i="1"/>
  <c r="Q541" i="1" a="1"/>
  <c r="AL540" i="1" a="1"/>
  <c r="AL540" i="1" s="1"/>
  <c r="AO541" i="1" s="1"/>
  <c r="AI540" i="1" a="1"/>
  <c r="AI540" i="1" s="1"/>
  <c r="Q540" i="1"/>
  <c r="X530" i="1" s="1"/>
  <c r="Q540" i="1" a="1"/>
  <c r="AL539" i="1" a="1"/>
  <c r="AL539" i="1" s="1"/>
  <c r="AO540" i="1" s="1"/>
  <c r="AI539" i="1" a="1"/>
  <c r="AI539" i="1" s="1"/>
  <c r="Q539" i="1" a="1"/>
  <c r="Q539" i="1" s="1"/>
  <c r="X529" i="1" s="1"/>
  <c r="AL538" i="1"/>
  <c r="AO539" i="1" s="1"/>
  <c r="AL538" i="1" a="1"/>
  <c r="AI538" i="1"/>
  <c r="AI538" i="1" a="1"/>
  <c r="Q538" i="1" a="1"/>
  <c r="Q538" i="1" s="1"/>
  <c r="X528" i="1" s="1"/>
  <c r="AL537" i="1"/>
  <c r="AO538" i="1" s="1"/>
  <c r="AL537" i="1" a="1"/>
  <c r="AI537" i="1"/>
  <c r="AI537" i="1" a="1"/>
  <c r="Q537" i="1"/>
  <c r="Q537" i="1" a="1"/>
  <c r="AL536" i="1" a="1"/>
  <c r="AL536" i="1" s="1"/>
  <c r="AO537" i="1" s="1"/>
  <c r="AI536" i="1" a="1"/>
  <c r="AI536" i="1" s="1"/>
  <c r="Q536" i="1"/>
  <c r="X526" i="1" s="1"/>
  <c r="Q536" i="1" a="1"/>
  <c r="AL535" i="1" a="1"/>
  <c r="AL535" i="1" s="1"/>
  <c r="AO536" i="1" s="1"/>
  <c r="AI535" i="1" a="1"/>
  <c r="AI535" i="1" s="1"/>
  <c r="Q535" i="1" a="1"/>
  <c r="Q535" i="1" s="1"/>
  <c r="X525" i="1" s="1"/>
  <c r="AL534" i="1"/>
  <c r="AO535" i="1" s="1"/>
  <c r="AL534" i="1" a="1"/>
  <c r="AI534" i="1"/>
  <c r="AI534" i="1" a="1"/>
  <c r="Q534" i="1" a="1"/>
  <c r="Q534" i="1" s="1"/>
  <c r="X524" i="1" s="1"/>
  <c r="AL533" i="1"/>
  <c r="AO534" i="1" s="1"/>
  <c r="AL533" i="1" a="1"/>
  <c r="AI533" i="1"/>
  <c r="AI533" i="1" a="1"/>
  <c r="Q533" i="1"/>
  <c r="Q533" i="1" a="1"/>
  <c r="AL532" i="1" a="1"/>
  <c r="AL532" i="1" s="1"/>
  <c r="AO533" i="1" s="1"/>
  <c r="AI532" i="1" a="1"/>
  <c r="AI532" i="1" s="1"/>
  <c r="Q532" i="1"/>
  <c r="X522" i="1" s="1"/>
  <c r="Q532" i="1" a="1"/>
  <c r="AL531" i="1" a="1"/>
  <c r="AL531" i="1" s="1"/>
  <c r="AO532" i="1" s="1"/>
  <c r="AI531" i="1" a="1"/>
  <c r="AI531" i="1" s="1"/>
  <c r="X531" i="1"/>
  <c r="Q531" i="1" a="1"/>
  <c r="Q531" i="1" s="1"/>
  <c r="X521" i="1" s="1"/>
  <c r="AL530" i="1"/>
  <c r="AO531" i="1" s="1"/>
  <c r="AL530" i="1" a="1"/>
  <c r="AI530" i="1"/>
  <c r="AI530" i="1" a="1"/>
  <c r="Q530" i="1" a="1"/>
  <c r="Q530" i="1" s="1"/>
  <c r="X520" i="1" s="1"/>
  <c r="AL529" i="1"/>
  <c r="AO530" i="1" s="1"/>
  <c r="AL529" i="1" a="1"/>
  <c r="AI529" i="1"/>
  <c r="AI529" i="1" a="1"/>
  <c r="Q529" i="1"/>
  <c r="Q529" i="1" a="1"/>
  <c r="AL528" i="1" a="1"/>
  <c r="AL528" i="1" s="1"/>
  <c r="AO529" i="1" s="1"/>
  <c r="AI528" i="1" a="1"/>
  <c r="AI528" i="1" s="1"/>
  <c r="Q528" i="1"/>
  <c r="X518" i="1" s="1"/>
  <c r="Q528" i="1" a="1"/>
  <c r="AL527" i="1" a="1"/>
  <c r="AL527" i="1" s="1"/>
  <c r="AO528" i="1" s="1"/>
  <c r="AI527" i="1" a="1"/>
  <c r="AI527" i="1" s="1"/>
  <c r="X527" i="1"/>
  <c r="Q527" i="1" a="1"/>
  <c r="Q527" i="1" s="1"/>
  <c r="X517" i="1" s="1"/>
  <c r="AL526" i="1"/>
  <c r="AO527" i="1" s="1"/>
  <c r="AL526" i="1" a="1"/>
  <c r="AI526" i="1"/>
  <c r="AI526" i="1" a="1"/>
  <c r="Q526" i="1" a="1"/>
  <c r="Q526" i="1" s="1"/>
  <c r="X516" i="1" s="1"/>
  <c r="AL525" i="1"/>
  <c r="AO526" i="1" s="1"/>
  <c r="AL525" i="1" a="1"/>
  <c r="AI525" i="1"/>
  <c r="AI525" i="1" a="1"/>
  <c r="Q525" i="1"/>
  <c r="Q525" i="1" a="1"/>
  <c r="AL524" i="1" a="1"/>
  <c r="AL524" i="1" s="1"/>
  <c r="AO525" i="1" s="1"/>
  <c r="AI524" i="1" a="1"/>
  <c r="AI524" i="1" s="1"/>
  <c r="Q524" i="1"/>
  <c r="Q524" i="1" a="1"/>
  <c r="AL523" i="1" a="1"/>
  <c r="AL523" i="1" s="1"/>
  <c r="AO524" i="1" s="1"/>
  <c r="AI523" i="1" a="1"/>
  <c r="AI523" i="1" s="1"/>
  <c r="X523" i="1"/>
  <c r="Q523" i="1" a="1"/>
  <c r="Q523" i="1" s="1"/>
  <c r="X513" i="1" s="1"/>
  <c r="AL522" i="1"/>
  <c r="AO523" i="1" s="1"/>
  <c r="AL522" i="1" a="1"/>
  <c r="AI522" i="1"/>
  <c r="AI522" i="1" a="1"/>
  <c r="Q522" i="1" a="1"/>
  <c r="Q522" i="1" s="1"/>
  <c r="X512" i="1" s="1"/>
  <c r="AL521" i="1"/>
  <c r="AO522" i="1" s="1"/>
  <c r="AL521" i="1" a="1"/>
  <c r="AI521" i="1"/>
  <c r="AI521" i="1" a="1"/>
  <c r="Q521" i="1"/>
  <c r="X511" i="1" s="1"/>
  <c r="Q521" i="1" a="1"/>
  <c r="AL520" i="1" a="1"/>
  <c r="AL520" i="1" s="1"/>
  <c r="AO521" i="1" s="1"/>
  <c r="AI520" i="1" a="1"/>
  <c r="AI520" i="1" s="1"/>
  <c r="Q520" i="1"/>
  <c r="X510" i="1" s="1"/>
  <c r="Q520" i="1" a="1"/>
  <c r="AL519" i="1" a="1"/>
  <c r="AL519" i="1" s="1"/>
  <c r="AO520" i="1" s="1"/>
  <c r="AI519" i="1" a="1"/>
  <c r="AI519" i="1" s="1"/>
  <c r="X519" i="1"/>
  <c r="AL518" i="1" a="1"/>
  <c r="AL518" i="1" s="1"/>
  <c r="AO519" i="1" s="1"/>
  <c r="AI518" i="1"/>
  <c r="AI518" i="1" a="1"/>
  <c r="AA518" i="1"/>
  <c r="AC518" i="1" s="1"/>
  <c r="AL517" i="1"/>
  <c r="AO518" i="1" s="1"/>
  <c r="AL517" i="1" a="1"/>
  <c r="AI517" i="1" a="1"/>
  <c r="AI517" i="1" s="1"/>
  <c r="AD517" i="1"/>
  <c r="AA517" i="1"/>
  <c r="AC517" i="1" s="1"/>
  <c r="AE517" i="1" s="1" a="1"/>
  <c r="AE517" i="1" s="1"/>
  <c r="AF517" i="1" s="1"/>
  <c r="U517" i="1" a="1"/>
  <c r="U517" i="1" s="1"/>
  <c r="AL516" i="1"/>
  <c r="AO517" i="1" s="1"/>
  <c r="AL516" i="1" a="1"/>
  <c r="AI516" i="1"/>
  <c r="AI516" i="1" a="1"/>
  <c r="AD516" i="1"/>
  <c r="AA516" i="1"/>
  <c r="AC516" i="1" s="1"/>
  <c r="U516" i="1"/>
  <c r="U516" i="1" a="1"/>
  <c r="AO515" i="1"/>
  <c r="AL515" i="1" a="1"/>
  <c r="AL515" i="1" s="1"/>
  <c r="AO516" i="1" s="1"/>
  <c r="AI515" i="1" a="1"/>
  <c r="AI515" i="1" s="1"/>
  <c r="AC515" i="1"/>
  <c r="AA515" i="1"/>
  <c r="AD515" i="1" s="1"/>
  <c r="X515" i="1"/>
  <c r="U515" i="1"/>
  <c r="U515" i="1" a="1"/>
  <c r="AL514" i="1"/>
  <c r="AL514" i="1" a="1"/>
  <c r="AI514" i="1"/>
  <c r="AI514" i="1" a="1"/>
  <c r="AA514" i="1"/>
  <c r="AD514" i="1" s="1"/>
  <c r="X514" i="1"/>
  <c r="U514" i="1" a="1"/>
  <c r="U514" i="1" s="1"/>
  <c r="AO513" i="1"/>
  <c r="AL513" i="1" a="1"/>
  <c r="AL513" i="1" s="1"/>
  <c r="AO514" i="1" s="1"/>
  <c r="AI513" i="1" a="1"/>
  <c r="AI513" i="1" s="1"/>
  <c r="AA513" i="1"/>
  <c r="AD513" i="1" s="1"/>
  <c r="U513" i="1"/>
  <c r="U513" i="1" a="1"/>
  <c r="AL512" i="1"/>
  <c r="AL512" i="1" a="1"/>
  <c r="AI512" i="1" a="1"/>
  <c r="AI512" i="1" s="1"/>
  <c r="AD512" i="1"/>
  <c r="AA512" i="1"/>
  <c r="AC512" i="1" s="1"/>
  <c r="AE512" i="1" s="1" a="1"/>
  <c r="AE512" i="1" s="1"/>
  <c r="AF512" i="1" s="1"/>
  <c r="U512" i="1" a="1"/>
  <c r="U512" i="1" s="1"/>
  <c r="AL511" i="1" a="1"/>
  <c r="AL511" i="1" s="1"/>
  <c r="AO512" i="1" s="1"/>
  <c r="AI511" i="1"/>
  <c r="AI511" i="1" a="1"/>
  <c r="AD511" i="1"/>
  <c r="AA511" i="1"/>
  <c r="AC511" i="1" s="1"/>
  <c r="U511" i="1"/>
  <c r="U511" i="1" a="1"/>
  <c r="AL510" i="1"/>
  <c r="AO511" i="1" s="1"/>
  <c r="AL510" i="1" a="1"/>
  <c r="AI510" i="1" a="1"/>
  <c r="AI510" i="1" s="1"/>
  <c r="U510" i="1"/>
  <c r="U510" i="1" a="1"/>
  <c r="Q505" i="1" a="1"/>
  <c r="Q505" i="1" s="1"/>
  <c r="X495" i="1" s="1"/>
  <c r="Q504" i="1" a="1"/>
  <c r="Q504" i="1" s="1"/>
  <c r="X494" i="1" s="1"/>
  <c r="Q503" i="1" a="1"/>
  <c r="Q503" i="1" s="1"/>
  <c r="X493" i="1" s="1"/>
  <c r="Q502" i="1" a="1"/>
  <c r="Q502" i="1" s="1"/>
  <c r="X492" i="1" s="1"/>
  <c r="Q501" i="1" a="1"/>
  <c r="Q501" i="1" s="1"/>
  <c r="X491" i="1" s="1"/>
  <c r="Q500" i="1"/>
  <c r="X490" i="1" s="1"/>
  <c r="Q500" i="1" a="1"/>
  <c r="Q499" i="1" a="1"/>
  <c r="Q499" i="1" s="1"/>
  <c r="X489" i="1" s="1"/>
  <c r="Q498" i="1" a="1"/>
  <c r="Q498" i="1" s="1"/>
  <c r="X488" i="1" s="1"/>
  <c r="Q497" i="1" a="1"/>
  <c r="Q497" i="1" s="1"/>
  <c r="X487" i="1" s="1"/>
  <c r="Q496" i="1" a="1"/>
  <c r="Q496" i="1" s="1"/>
  <c r="X486" i="1" s="1"/>
  <c r="Q495" i="1" a="1"/>
  <c r="Q495" i="1" s="1"/>
  <c r="X485" i="1" s="1"/>
  <c r="Q494" i="1" a="1"/>
  <c r="Q494" i="1" s="1"/>
  <c r="X484" i="1" s="1"/>
  <c r="Q493" i="1"/>
  <c r="Q493" i="1" a="1"/>
  <c r="Q492" i="1" a="1"/>
  <c r="Q492" i="1" s="1"/>
  <c r="X482" i="1" s="1"/>
  <c r="Q491" i="1" a="1"/>
  <c r="Q491" i="1" s="1"/>
  <c r="X481" i="1" s="1"/>
  <c r="Q490" i="1" a="1"/>
  <c r="Q490" i="1" s="1"/>
  <c r="X480" i="1" s="1"/>
  <c r="Q489" i="1"/>
  <c r="Q489" i="1" a="1"/>
  <c r="Q488" i="1" a="1"/>
  <c r="Q488" i="1" s="1"/>
  <c r="X478" i="1" s="1"/>
  <c r="Q487" i="1" a="1"/>
  <c r="Q487" i="1" s="1"/>
  <c r="X477" i="1" s="1"/>
  <c r="Q486" i="1" a="1"/>
  <c r="Q486" i="1" s="1"/>
  <c r="X476" i="1" s="1"/>
  <c r="Q485" i="1" a="1"/>
  <c r="Q485" i="1" s="1"/>
  <c r="X475" i="1" s="1"/>
  <c r="Q484" i="1" a="1"/>
  <c r="Q484" i="1" s="1"/>
  <c r="X474" i="1" s="1"/>
  <c r="X483" i="1"/>
  <c r="Q483" i="1" a="1"/>
  <c r="Q483" i="1" s="1"/>
  <c r="X473" i="1" s="1"/>
  <c r="Q482" i="1" a="1"/>
  <c r="Q482" i="1" s="1"/>
  <c r="X472" i="1" s="1"/>
  <c r="Q481" i="1" a="1"/>
  <c r="Q481" i="1" s="1"/>
  <c r="X471" i="1" s="1"/>
  <c r="AN480" i="1"/>
  <c r="Q480" i="1" a="1"/>
  <c r="Q480" i="1" s="1"/>
  <c r="X470" i="1" s="1"/>
  <c r="AN479" i="1"/>
  <c r="AL479" i="1" a="1"/>
  <c r="AL479" i="1" s="1"/>
  <c r="AO480" i="1" s="1"/>
  <c r="AI479" i="1" a="1"/>
  <c r="AI479" i="1" s="1"/>
  <c r="X479" i="1"/>
  <c r="Q479" i="1" a="1"/>
  <c r="Q479" i="1" s="1"/>
  <c r="X469" i="1" s="1"/>
  <c r="AN478" i="1"/>
  <c r="AL478" i="1" a="1"/>
  <c r="AL478" i="1" s="1"/>
  <c r="AO479" i="1" s="1"/>
  <c r="AI478" i="1"/>
  <c r="AI478" i="1" a="1"/>
  <c r="Q478" i="1" a="1"/>
  <c r="Q478" i="1" s="1"/>
  <c r="X468" i="1" s="1"/>
  <c r="AN477" i="1"/>
  <c r="AL477" i="1" a="1"/>
  <c r="AL477" i="1" s="1"/>
  <c r="AO478" i="1" s="1"/>
  <c r="AI477" i="1" a="1"/>
  <c r="AI477" i="1" s="1"/>
  <c r="Q477" i="1"/>
  <c r="X467" i="1" s="1"/>
  <c r="Q477" i="1" a="1"/>
  <c r="AN476" i="1"/>
  <c r="AL476" i="1" a="1"/>
  <c r="AL476" i="1" s="1"/>
  <c r="AO477" i="1" s="1"/>
  <c r="AI476" i="1" a="1"/>
  <c r="AI476" i="1" s="1"/>
  <c r="Q476" i="1" a="1"/>
  <c r="Q476" i="1" s="1"/>
  <c r="X466" i="1" s="1"/>
  <c r="AN475" i="1"/>
  <c r="AL475" i="1" a="1"/>
  <c r="AL475" i="1" s="1"/>
  <c r="AO476" i="1" s="1"/>
  <c r="AI475" i="1" a="1"/>
  <c r="AI475" i="1" s="1"/>
  <c r="Q475" i="1" a="1"/>
  <c r="Q475" i="1" s="1"/>
  <c r="X465" i="1" s="1"/>
  <c r="AN474" i="1"/>
  <c r="AL474" i="1" a="1"/>
  <c r="AL474" i="1" s="1"/>
  <c r="AO475" i="1" s="1"/>
  <c r="AI474" i="1"/>
  <c r="AI474" i="1" a="1"/>
  <c r="Q474" i="1" a="1"/>
  <c r="Q474" i="1" s="1"/>
  <c r="X464" i="1" s="1"/>
  <c r="AN473" i="1"/>
  <c r="AL473" i="1" a="1"/>
  <c r="AL473" i="1" s="1"/>
  <c r="AO474" i="1" s="1"/>
  <c r="AI473" i="1" a="1"/>
  <c r="AI473" i="1" s="1"/>
  <c r="Q473" i="1"/>
  <c r="X463" i="1" s="1"/>
  <c r="Q473" i="1" a="1"/>
  <c r="AN472" i="1"/>
  <c r="AL472" i="1" a="1"/>
  <c r="AL472" i="1" s="1"/>
  <c r="AO473" i="1" s="1"/>
  <c r="AI472" i="1" a="1"/>
  <c r="AI472" i="1" s="1"/>
  <c r="Q472" i="1" a="1"/>
  <c r="Q472" i="1" s="1"/>
  <c r="X462" i="1" s="1"/>
  <c r="AN471" i="1"/>
  <c r="AL471" i="1" a="1"/>
  <c r="AL471" i="1" s="1"/>
  <c r="AO472" i="1" s="1"/>
  <c r="AI471" i="1" a="1"/>
  <c r="AI471" i="1" s="1"/>
  <c r="Q471" i="1" a="1"/>
  <c r="Q471" i="1" s="1"/>
  <c r="X461" i="1" s="1"/>
  <c r="AN470" i="1"/>
  <c r="AL470" i="1" a="1"/>
  <c r="AL470" i="1" s="1"/>
  <c r="AO471" i="1" s="1"/>
  <c r="AI470" i="1"/>
  <c r="AI470" i="1" a="1"/>
  <c r="Q470" i="1" a="1"/>
  <c r="Q470" i="1" s="1"/>
  <c r="X460" i="1" s="1"/>
  <c r="AN469" i="1"/>
  <c r="AL469" i="1" a="1"/>
  <c r="AL469" i="1" s="1"/>
  <c r="AO470" i="1" s="1"/>
  <c r="AI469" i="1" a="1"/>
  <c r="AI469" i="1" s="1"/>
  <c r="Q469" i="1"/>
  <c r="Q469" i="1" a="1"/>
  <c r="AN468" i="1"/>
  <c r="AL468" i="1" a="1"/>
  <c r="AL468" i="1" s="1"/>
  <c r="AO469" i="1" s="1"/>
  <c r="AI468" i="1" a="1"/>
  <c r="AI468" i="1" s="1"/>
  <c r="Q468" i="1" a="1"/>
  <c r="Q468" i="1" s="1"/>
  <c r="X458" i="1" s="1"/>
  <c r="AN467" i="1"/>
  <c r="AL467" i="1" a="1"/>
  <c r="AL467" i="1" s="1"/>
  <c r="AO468" i="1" s="1"/>
  <c r="AI467" i="1" a="1"/>
  <c r="AI467" i="1" s="1"/>
  <c r="Q467" i="1" a="1"/>
  <c r="Q467" i="1" s="1"/>
  <c r="X457" i="1" s="1"/>
  <c r="AN466" i="1"/>
  <c r="AL466" i="1" a="1"/>
  <c r="AL466" i="1" s="1"/>
  <c r="AO467" i="1" s="1"/>
  <c r="AI466" i="1"/>
  <c r="AI466" i="1" a="1"/>
  <c r="Q466" i="1" a="1"/>
  <c r="Q466" i="1" s="1"/>
  <c r="X456" i="1" s="1"/>
  <c r="AN465" i="1"/>
  <c r="AL465" i="1" a="1"/>
  <c r="AL465" i="1" s="1"/>
  <c r="AO466" i="1" s="1"/>
  <c r="AI465" i="1" a="1"/>
  <c r="AI465" i="1" s="1"/>
  <c r="Q465" i="1"/>
  <c r="Q465" i="1" a="1"/>
  <c r="AN464" i="1"/>
  <c r="AL464" i="1" a="1"/>
  <c r="AL464" i="1" s="1"/>
  <c r="AO465" i="1" s="1"/>
  <c r="AI464" i="1" a="1"/>
  <c r="AI464" i="1" s="1"/>
  <c r="Q464" i="1" a="1"/>
  <c r="Q464" i="1" s="1"/>
  <c r="X454" i="1" s="1"/>
  <c r="AN463" i="1"/>
  <c r="AL463" i="1" a="1"/>
  <c r="AL463" i="1" s="1"/>
  <c r="AO464" i="1" s="1"/>
  <c r="AI463" i="1" a="1"/>
  <c r="AI463" i="1" s="1"/>
  <c r="Q463" i="1" a="1"/>
  <c r="Q463" i="1" s="1"/>
  <c r="X453" i="1" s="1"/>
  <c r="AN462" i="1"/>
  <c r="AL462" i="1" a="1"/>
  <c r="AL462" i="1" s="1"/>
  <c r="AO463" i="1" s="1"/>
  <c r="AI462" i="1"/>
  <c r="AI462" i="1" a="1"/>
  <c r="Q462" i="1" a="1"/>
  <c r="Q462" i="1" s="1"/>
  <c r="X452" i="1" s="1"/>
  <c r="AN461" i="1"/>
  <c r="AL461" i="1" a="1"/>
  <c r="AL461" i="1" s="1"/>
  <c r="AO462" i="1" s="1"/>
  <c r="AI461" i="1" a="1"/>
  <c r="AI461" i="1" s="1"/>
  <c r="Q461" i="1"/>
  <c r="Q461" i="1" a="1"/>
  <c r="AN460" i="1"/>
  <c r="AL460" i="1" a="1"/>
  <c r="AL460" i="1" s="1"/>
  <c r="AO461" i="1" s="1"/>
  <c r="AI460" i="1" a="1"/>
  <c r="AI460" i="1" s="1"/>
  <c r="Q460" i="1" a="1"/>
  <c r="Q460" i="1" s="1"/>
  <c r="X450" i="1" s="1"/>
  <c r="AN459" i="1"/>
  <c r="AL459" i="1" a="1"/>
  <c r="AL459" i="1" s="1"/>
  <c r="AO460" i="1" s="1"/>
  <c r="AI459" i="1" a="1"/>
  <c r="AI459" i="1" s="1"/>
  <c r="X459" i="1"/>
  <c r="Q459" i="1" a="1"/>
  <c r="Q459" i="1" s="1"/>
  <c r="X449" i="1" s="1"/>
  <c r="AL458" i="1" a="1"/>
  <c r="AL458" i="1" s="1"/>
  <c r="AO459" i="1" s="1"/>
  <c r="AI458" i="1"/>
  <c r="AI458" i="1" a="1"/>
  <c r="Q458" i="1" a="1"/>
  <c r="Q458" i="1" s="1"/>
  <c r="X448" i="1" s="1"/>
  <c r="AL457" i="1" a="1"/>
  <c r="AL457" i="1" s="1"/>
  <c r="AO458" i="1" s="1"/>
  <c r="AI457" i="1" a="1"/>
  <c r="AI457" i="1" s="1"/>
  <c r="AL456" i="1"/>
  <c r="AO457" i="1" s="1"/>
  <c r="AL456" i="1" a="1"/>
  <c r="AI456" i="1" a="1"/>
  <c r="AI456" i="1" s="1"/>
  <c r="AA456" i="1"/>
  <c r="AC456" i="1" s="1"/>
  <c r="AL455" i="1" a="1"/>
  <c r="AL455" i="1" s="1"/>
  <c r="AO456" i="1" s="1"/>
  <c r="AI455" i="1"/>
  <c r="AI455" i="1" a="1"/>
  <c r="AD455" i="1"/>
  <c r="AA455" i="1"/>
  <c r="AC455" i="1" s="1"/>
  <c r="AE455" i="1" s="1" a="1"/>
  <c r="AE455" i="1" s="1"/>
  <c r="AF455" i="1" s="1"/>
  <c r="X455" i="1"/>
  <c r="U455" i="1"/>
  <c r="U455" i="1" a="1"/>
  <c r="AO454" i="1"/>
  <c r="AL454" i="1" a="1"/>
  <c r="AL454" i="1" s="1"/>
  <c r="AO455" i="1" s="1"/>
  <c r="AI454" i="1" a="1"/>
  <c r="AI454" i="1" s="1"/>
  <c r="AA454" i="1"/>
  <c r="AC454" i="1" s="1"/>
  <c r="U454" i="1" a="1"/>
  <c r="U454" i="1" s="1"/>
  <c r="AL453" i="1"/>
  <c r="AL453" i="1" a="1"/>
  <c r="AI453" i="1" a="1"/>
  <c r="AI453" i="1" s="1"/>
  <c r="AA453" i="1"/>
  <c r="AC453" i="1" s="1"/>
  <c r="U453" i="1" a="1"/>
  <c r="U453" i="1" s="1"/>
  <c r="AL452" i="1" a="1"/>
  <c r="AL452" i="1" s="1"/>
  <c r="AO453" i="1" s="1"/>
  <c r="AI452" i="1" a="1"/>
  <c r="AI452" i="1" s="1"/>
  <c r="AD452" i="1"/>
  <c r="AC452" i="1"/>
  <c r="AA452" i="1"/>
  <c r="U452" i="1"/>
  <c r="U452" i="1" a="1"/>
  <c r="AL451" i="1" a="1"/>
  <c r="AL451" i="1" s="1"/>
  <c r="AO452" i="1" s="1"/>
  <c r="AI451" i="1" a="1"/>
  <c r="AI451" i="1" s="1"/>
  <c r="AA451" i="1"/>
  <c r="AC451" i="1" s="1"/>
  <c r="X451" i="1"/>
  <c r="U451" i="1" a="1"/>
  <c r="U451" i="1" s="1"/>
  <c r="AL450" i="1" a="1"/>
  <c r="AL450" i="1" s="1"/>
  <c r="AO451" i="1" s="1"/>
  <c r="AI450" i="1" a="1"/>
  <c r="AI450" i="1" s="1"/>
  <c r="AA450" i="1"/>
  <c r="AD450" i="1" s="1"/>
  <c r="U450" i="1" a="1"/>
  <c r="U450" i="1" s="1"/>
  <c r="AN449" i="1"/>
  <c r="AL449" i="1" a="1"/>
  <c r="AL449" i="1" s="1"/>
  <c r="AO450" i="1" s="1"/>
  <c r="AI449" i="1"/>
  <c r="AI449" i="1" a="1"/>
  <c r="AD449" i="1"/>
  <c r="AC449" i="1"/>
  <c r="AE449" i="1" s="1" a="1"/>
  <c r="AE449" i="1" s="1"/>
  <c r="AF449" i="1" s="1"/>
  <c r="AA449" i="1"/>
  <c r="U449" i="1" a="1"/>
  <c r="U449" i="1" s="1"/>
  <c r="AL448" i="1" a="1"/>
  <c r="AL448" i="1" s="1"/>
  <c r="AO449" i="1" s="1"/>
  <c r="AI448" i="1" a="1"/>
  <c r="AI448" i="1" s="1"/>
  <c r="U448" i="1" a="1"/>
  <c r="U448" i="1" s="1"/>
  <c r="Q444" i="1" a="1"/>
  <c r="Q444" i="1" s="1"/>
  <c r="X434" i="1" s="1"/>
  <c r="Q443" i="1" a="1"/>
  <c r="Q443" i="1" s="1"/>
  <c r="X433" i="1" s="1"/>
  <c r="Q442" i="1" a="1"/>
  <c r="Q442" i="1" s="1"/>
  <c r="X432" i="1" s="1"/>
  <c r="Q441" i="1" a="1"/>
  <c r="Q441" i="1" s="1"/>
  <c r="X431" i="1" s="1"/>
  <c r="Q440" i="1"/>
  <c r="X430" i="1" s="1"/>
  <c r="Q440" i="1" a="1"/>
  <c r="Q439" i="1"/>
  <c r="X429" i="1" s="1"/>
  <c r="Q439" i="1" a="1"/>
  <c r="Q438" i="1" a="1"/>
  <c r="Q438" i="1" s="1"/>
  <c r="X428" i="1" s="1"/>
  <c r="Q437" i="1" a="1"/>
  <c r="Q437" i="1" s="1"/>
  <c r="X427" i="1" s="1"/>
  <c r="Q436" i="1" a="1"/>
  <c r="Q436" i="1" s="1"/>
  <c r="X426" i="1" s="1"/>
  <c r="Q435" i="1" a="1"/>
  <c r="Q435" i="1" s="1"/>
  <c r="X425" i="1" s="1"/>
  <c r="Q434" i="1" a="1"/>
  <c r="Q434" i="1" s="1"/>
  <c r="X424" i="1" s="1"/>
  <c r="Q433" i="1" a="1"/>
  <c r="Q433" i="1" s="1"/>
  <c r="X423" i="1" s="1"/>
  <c r="Q432" i="1"/>
  <c r="Q432" i="1" a="1"/>
  <c r="Q431" i="1" a="1"/>
  <c r="Q431" i="1" s="1"/>
  <c r="X421" i="1" s="1"/>
  <c r="Q430" i="1" a="1"/>
  <c r="Q430" i="1" s="1"/>
  <c r="X420" i="1" s="1"/>
  <c r="Q429" i="1" a="1"/>
  <c r="Q429" i="1" s="1"/>
  <c r="X419" i="1" s="1"/>
  <c r="Q428" i="1"/>
  <c r="Q428" i="1" a="1"/>
  <c r="Q427" i="1" a="1"/>
  <c r="Q427" i="1" s="1"/>
  <c r="X417" i="1" s="1"/>
  <c r="Q426" i="1" a="1"/>
  <c r="Q426" i="1" s="1"/>
  <c r="X416" i="1" s="1"/>
  <c r="Q425" i="1" a="1"/>
  <c r="Q425" i="1" s="1"/>
  <c r="X415" i="1" s="1"/>
  <c r="Q424" i="1" a="1"/>
  <c r="Q424" i="1" s="1"/>
  <c r="X414" i="1" s="1"/>
  <c r="Q423" i="1" a="1"/>
  <c r="Q423" i="1" s="1"/>
  <c r="X413" i="1" s="1"/>
  <c r="X422" i="1"/>
  <c r="Q422" i="1" a="1"/>
  <c r="Q422" i="1" s="1"/>
  <c r="X412" i="1" s="1"/>
  <c r="Q421" i="1" a="1"/>
  <c r="Q421" i="1" s="1"/>
  <c r="X411" i="1" s="1"/>
  <c r="Q420" i="1" a="1"/>
  <c r="Q420" i="1" s="1"/>
  <c r="X410" i="1" s="1"/>
  <c r="AN419" i="1"/>
  <c r="Q419" i="1"/>
  <c r="X409" i="1" s="1"/>
  <c r="Q419" i="1" a="1"/>
  <c r="AN418" i="1"/>
  <c r="AL418" i="1" a="1"/>
  <c r="AL418" i="1" s="1"/>
  <c r="AO419" i="1" s="1"/>
  <c r="AI418" i="1" a="1"/>
  <c r="AI418" i="1" s="1"/>
  <c r="X418" i="1"/>
  <c r="Q418" i="1"/>
  <c r="Q418" i="1" a="1"/>
  <c r="AN417" i="1"/>
  <c r="AL417" i="1" a="1"/>
  <c r="AL417" i="1" s="1"/>
  <c r="AO418" i="1" s="1"/>
  <c r="AI417" i="1"/>
  <c r="AI417" i="1" a="1"/>
  <c r="Q417" i="1" a="1"/>
  <c r="Q417" i="1" s="1"/>
  <c r="X407" i="1" s="1"/>
  <c r="AN416" i="1"/>
  <c r="AL416" i="1" a="1"/>
  <c r="AL416" i="1" s="1"/>
  <c r="AO417" i="1" s="1"/>
  <c r="AI416" i="1"/>
  <c r="AI416" i="1" a="1"/>
  <c r="Q416" i="1"/>
  <c r="Q416" i="1" a="1"/>
  <c r="AN415" i="1"/>
  <c r="AL415" i="1" a="1"/>
  <c r="AL415" i="1" s="1"/>
  <c r="AO416" i="1" s="1"/>
  <c r="AI415" i="1" a="1"/>
  <c r="AI415" i="1" s="1"/>
  <c r="Q415" i="1"/>
  <c r="X405" i="1" s="1"/>
  <c r="Q415" i="1" a="1"/>
  <c r="AN414" i="1"/>
  <c r="AL414" i="1" a="1"/>
  <c r="AL414" i="1" s="1"/>
  <c r="AO415" i="1" s="1"/>
  <c r="AI414" i="1" a="1"/>
  <c r="AI414" i="1" s="1"/>
  <c r="Q414" i="1" a="1"/>
  <c r="Q414" i="1" s="1"/>
  <c r="X404" i="1" s="1"/>
  <c r="AN413" i="1"/>
  <c r="AL413" i="1" a="1"/>
  <c r="AL413" i="1" s="1"/>
  <c r="AO414" i="1" s="1"/>
  <c r="AI413" i="1"/>
  <c r="AI413" i="1" a="1"/>
  <c r="Q413" i="1" a="1"/>
  <c r="Q413" i="1" s="1"/>
  <c r="X403" i="1" s="1"/>
  <c r="AN412" i="1"/>
  <c r="AL412" i="1" a="1"/>
  <c r="AL412" i="1" s="1"/>
  <c r="AO413" i="1" s="1"/>
  <c r="AI412" i="1"/>
  <c r="AI412" i="1" a="1"/>
  <c r="Q412" i="1"/>
  <c r="Q412" i="1" a="1"/>
  <c r="AN411" i="1"/>
  <c r="AL411" i="1" a="1"/>
  <c r="AL411" i="1" s="1"/>
  <c r="AO412" i="1" s="1"/>
  <c r="AI411" i="1" a="1"/>
  <c r="AI411" i="1" s="1"/>
  <c r="Q411" i="1"/>
  <c r="X401" i="1" s="1"/>
  <c r="Q411" i="1" a="1"/>
  <c r="AN410" i="1"/>
  <c r="AL410" i="1" a="1"/>
  <c r="AL410" i="1" s="1"/>
  <c r="AO411" i="1" s="1"/>
  <c r="AI410" i="1" a="1"/>
  <c r="AI410" i="1" s="1"/>
  <c r="Q410" i="1" a="1"/>
  <c r="Q410" i="1" s="1"/>
  <c r="X400" i="1" s="1"/>
  <c r="AN409" i="1"/>
  <c r="AL409" i="1" a="1"/>
  <c r="AL409" i="1" s="1"/>
  <c r="AO410" i="1" s="1"/>
  <c r="AI409" i="1"/>
  <c r="AI409" i="1" a="1"/>
  <c r="Q409" i="1" a="1"/>
  <c r="Q409" i="1" s="1"/>
  <c r="X399" i="1" s="1"/>
  <c r="AN408" i="1"/>
  <c r="AL408" i="1" a="1"/>
  <c r="AL408" i="1" s="1"/>
  <c r="AO409" i="1" s="1"/>
  <c r="AI408" i="1"/>
  <c r="AI408" i="1" a="1"/>
  <c r="X408" i="1"/>
  <c r="Q408" i="1" a="1"/>
  <c r="Q408" i="1" s="1"/>
  <c r="X398" i="1" s="1"/>
  <c r="AN407" i="1"/>
  <c r="AL407" i="1" a="1"/>
  <c r="AL407" i="1" s="1"/>
  <c r="AO408" i="1" s="1"/>
  <c r="AI407" i="1" a="1"/>
  <c r="AI407" i="1" s="1"/>
  <c r="Q407" i="1"/>
  <c r="X397" i="1" s="1"/>
  <c r="Q407" i="1" a="1"/>
  <c r="AN406" i="1"/>
  <c r="AL406" i="1" a="1"/>
  <c r="AL406" i="1" s="1"/>
  <c r="AO407" i="1" s="1"/>
  <c r="AI406" i="1" a="1"/>
  <c r="AI406" i="1" s="1"/>
  <c r="X406" i="1"/>
  <c r="Q406" i="1" a="1"/>
  <c r="Q406" i="1" s="1"/>
  <c r="X396" i="1" s="1"/>
  <c r="AN405" i="1"/>
  <c r="AL405" i="1" a="1"/>
  <c r="AL405" i="1" s="1"/>
  <c r="AO406" i="1" s="1"/>
  <c r="AI405" i="1" a="1"/>
  <c r="AI405" i="1" s="1"/>
  <c r="Q405" i="1" a="1"/>
  <c r="Q405" i="1" s="1"/>
  <c r="X395" i="1" s="1"/>
  <c r="AN404" i="1"/>
  <c r="AL404" i="1" a="1"/>
  <c r="AL404" i="1" s="1"/>
  <c r="AO405" i="1" s="1"/>
  <c r="AI404" i="1"/>
  <c r="AI404" i="1" a="1"/>
  <c r="Q404" i="1" a="1"/>
  <c r="Q404" i="1" s="1"/>
  <c r="X394" i="1" s="1"/>
  <c r="AN403" i="1"/>
  <c r="AL403" i="1"/>
  <c r="AO404" i="1" s="1"/>
  <c r="AL403" i="1" a="1"/>
  <c r="AI403" i="1" a="1"/>
  <c r="AI403" i="1" s="1"/>
  <c r="Q403" i="1"/>
  <c r="X393" i="1" s="1"/>
  <c r="Q403" i="1" a="1"/>
  <c r="AN402" i="1"/>
  <c r="AL402" i="1" a="1"/>
  <c r="AL402" i="1" s="1"/>
  <c r="AO403" i="1" s="1"/>
  <c r="AI402" i="1" a="1"/>
  <c r="AI402" i="1" s="1"/>
  <c r="X402" i="1"/>
  <c r="Q402" i="1" a="1"/>
  <c r="Q402" i="1" s="1"/>
  <c r="X392" i="1" s="1"/>
  <c r="AN401" i="1"/>
  <c r="AL401" i="1" a="1"/>
  <c r="AL401" i="1" s="1"/>
  <c r="AO402" i="1" s="1"/>
  <c r="AI401" i="1" a="1"/>
  <c r="AI401" i="1" s="1"/>
  <c r="Q401" i="1" a="1"/>
  <c r="Q401" i="1" s="1"/>
  <c r="X391" i="1" s="1"/>
  <c r="AN400" i="1"/>
  <c r="AL400" i="1" a="1"/>
  <c r="AL400" i="1" s="1"/>
  <c r="AO401" i="1" s="1"/>
  <c r="AI400" i="1"/>
  <c r="AI400" i="1" a="1"/>
  <c r="Q400" i="1" a="1"/>
  <c r="Q400" i="1" s="1"/>
  <c r="X390" i="1" s="1"/>
  <c r="AN399" i="1"/>
  <c r="AL399" i="1"/>
  <c r="AO400" i="1" s="1"/>
  <c r="AL399" i="1" a="1"/>
  <c r="AI399" i="1"/>
  <c r="AI399" i="1" a="1"/>
  <c r="Q399" i="1"/>
  <c r="X389" i="1" s="1"/>
  <c r="Q399" i="1" a="1"/>
  <c r="AN398" i="1"/>
  <c r="AL398" i="1" a="1"/>
  <c r="AL398" i="1" s="1"/>
  <c r="AO399" i="1" s="1"/>
  <c r="AI398" i="1" a="1"/>
  <c r="AI398" i="1" s="1"/>
  <c r="Q398" i="1"/>
  <c r="Q398" i="1" a="1"/>
  <c r="AL397" i="1" a="1"/>
  <c r="AL397" i="1" s="1"/>
  <c r="AO398" i="1" s="1"/>
  <c r="AI397" i="1" a="1"/>
  <c r="AI397" i="1" s="1"/>
  <c r="Q397" i="1" a="1"/>
  <c r="Q397" i="1" s="1"/>
  <c r="X387" i="1" s="1"/>
  <c r="AL396" i="1" a="1"/>
  <c r="AL396" i="1" s="1"/>
  <c r="AO397" i="1" s="1"/>
  <c r="AI396" i="1"/>
  <c r="AI396" i="1" a="1"/>
  <c r="AL395" i="1"/>
  <c r="AO396" i="1" s="1"/>
  <c r="AL395" i="1" a="1"/>
  <c r="AI395" i="1"/>
  <c r="AI395" i="1" a="1"/>
  <c r="AA395" i="1"/>
  <c r="AC395" i="1" s="1"/>
  <c r="AL394" i="1" a="1"/>
  <c r="AL394" i="1" s="1"/>
  <c r="AO395" i="1" s="1"/>
  <c r="AI394" i="1" a="1"/>
  <c r="AI394" i="1" s="1"/>
  <c r="AD394" i="1"/>
  <c r="AC394" i="1"/>
  <c r="AA394" i="1"/>
  <c r="U394" i="1"/>
  <c r="U394" i="1" a="1"/>
  <c r="AL393" i="1" a="1"/>
  <c r="AL393" i="1" s="1"/>
  <c r="AO394" i="1" s="1"/>
  <c r="AI393" i="1"/>
  <c r="AI393" i="1" a="1"/>
  <c r="AD393" i="1"/>
  <c r="AA393" i="1"/>
  <c r="AC393" i="1" s="1"/>
  <c r="U393" i="1" a="1"/>
  <c r="U393" i="1" s="1"/>
  <c r="AL392" i="1" a="1"/>
  <c r="AL392" i="1" s="1"/>
  <c r="AO393" i="1" s="1"/>
  <c r="AI392" i="1" a="1"/>
  <c r="AI392" i="1" s="1"/>
  <c r="AA392" i="1"/>
  <c r="AC392" i="1" s="1"/>
  <c r="U392" i="1" a="1"/>
  <c r="U392" i="1" s="1"/>
  <c r="AL391" i="1" a="1"/>
  <c r="AL391" i="1" s="1"/>
  <c r="AO392" i="1" s="1"/>
  <c r="AI391" i="1" a="1"/>
  <c r="AI391" i="1" s="1"/>
  <c r="AD391" i="1"/>
  <c r="AA391" i="1"/>
  <c r="AC391" i="1" s="1"/>
  <c r="AE391" i="1" s="1" a="1"/>
  <c r="AE391" i="1" s="1"/>
  <c r="AF391" i="1" s="1"/>
  <c r="U391" i="1" a="1"/>
  <c r="U391" i="1" s="1"/>
  <c r="AL390" i="1" a="1"/>
  <c r="AL390" i="1" s="1"/>
  <c r="AO391" i="1" s="1"/>
  <c r="AI390" i="1"/>
  <c r="AI390" i="1" a="1"/>
  <c r="AA390" i="1"/>
  <c r="AD390" i="1" s="1"/>
  <c r="U390" i="1" a="1"/>
  <c r="U390" i="1" s="1"/>
  <c r="AL389" i="1" a="1"/>
  <c r="AL389" i="1" s="1"/>
  <c r="AO390" i="1" s="1"/>
  <c r="AI389" i="1" a="1"/>
  <c r="AI389" i="1" s="1"/>
  <c r="AA389" i="1"/>
  <c r="AD389" i="1" s="1"/>
  <c r="U389" i="1" a="1"/>
  <c r="U389" i="1" s="1"/>
  <c r="AN388" i="1"/>
  <c r="AL388" i="1"/>
  <c r="AO389" i="1" s="1"/>
  <c r="AL388" i="1" a="1"/>
  <c r="AI388" i="1"/>
  <c r="AI388" i="1" a="1"/>
  <c r="AA388" i="1"/>
  <c r="AD388" i="1" s="1"/>
  <c r="X388" i="1"/>
  <c r="U388" i="1" a="1"/>
  <c r="U388" i="1" s="1"/>
  <c r="AL387" i="1" a="1"/>
  <c r="AL387" i="1" s="1"/>
  <c r="AO388" i="1" s="1"/>
  <c r="AI387" i="1" a="1"/>
  <c r="AI387" i="1" s="1"/>
  <c r="U387" i="1" a="1"/>
  <c r="U387" i="1" s="1"/>
  <c r="Q383" i="1" a="1"/>
  <c r="Q383" i="1" s="1"/>
  <c r="X373" i="1" s="1"/>
  <c r="Q382" i="1" a="1"/>
  <c r="Q382" i="1" s="1"/>
  <c r="X372" i="1" s="1"/>
  <c r="Q381" i="1" a="1"/>
  <c r="Q381" i="1" s="1"/>
  <c r="X371" i="1" s="1"/>
  <c r="Q380" i="1" a="1"/>
  <c r="Q380" i="1" s="1"/>
  <c r="X370" i="1" s="1"/>
  <c r="Q379" i="1" a="1"/>
  <c r="Q379" i="1" s="1"/>
  <c r="X369" i="1" s="1"/>
  <c r="Q378" i="1"/>
  <c r="X368" i="1" s="1"/>
  <c r="Q378" i="1" a="1"/>
  <c r="Q377" i="1" a="1"/>
  <c r="Q377" i="1" s="1"/>
  <c r="X367" i="1" s="1"/>
  <c r="Q376" i="1" a="1"/>
  <c r="Q376" i="1" s="1"/>
  <c r="X366" i="1" s="1"/>
  <c r="Q375" i="1" a="1"/>
  <c r="Q375" i="1" s="1"/>
  <c r="X365" i="1" s="1"/>
  <c r="Q374" i="1" a="1"/>
  <c r="Q374" i="1" s="1"/>
  <c r="X364" i="1" s="1"/>
  <c r="Q373" i="1" a="1"/>
  <c r="Q373" i="1" s="1"/>
  <c r="X363" i="1" s="1"/>
  <c r="Q372" i="1" a="1"/>
  <c r="Q372" i="1" s="1"/>
  <c r="X362" i="1" s="1"/>
  <c r="Q371" i="1" a="1"/>
  <c r="Q371" i="1" s="1"/>
  <c r="X361" i="1" s="1"/>
  <c r="Q370" i="1" a="1"/>
  <c r="Q370" i="1" s="1"/>
  <c r="X360" i="1" s="1"/>
  <c r="Q369" i="1" a="1"/>
  <c r="Q369" i="1" s="1"/>
  <c r="X359" i="1" s="1"/>
  <c r="Q368" i="1" a="1"/>
  <c r="Q368" i="1" s="1"/>
  <c r="X358" i="1" s="1"/>
  <c r="Q367" i="1" a="1"/>
  <c r="Q367" i="1" s="1"/>
  <c r="X357" i="1" s="1"/>
  <c r="Q366" i="1" a="1"/>
  <c r="Q366" i="1" s="1"/>
  <c r="X356" i="1" s="1"/>
  <c r="Q365" i="1" a="1"/>
  <c r="Q365" i="1" s="1"/>
  <c r="X355" i="1" s="1"/>
  <c r="Q364" i="1" a="1"/>
  <c r="Q364" i="1" s="1"/>
  <c r="X354" i="1" s="1"/>
  <c r="Q363" i="1" a="1"/>
  <c r="Q363" i="1" s="1"/>
  <c r="X353" i="1" s="1"/>
  <c r="Q362" i="1" a="1"/>
  <c r="Q362" i="1" s="1"/>
  <c r="X352" i="1" s="1"/>
  <c r="Q361" i="1" a="1"/>
  <c r="Q361" i="1" s="1"/>
  <c r="X351" i="1" s="1"/>
  <c r="Q360" i="1" a="1"/>
  <c r="Q360" i="1" s="1"/>
  <c r="X350" i="1" s="1"/>
  <c r="Q359" i="1" a="1"/>
  <c r="Q359" i="1" s="1"/>
  <c r="X349" i="1" s="1"/>
  <c r="AN358" i="1"/>
  <c r="Q358" i="1" a="1"/>
  <c r="Q358" i="1" s="1"/>
  <c r="X348" i="1" s="1"/>
  <c r="AN357" i="1"/>
  <c r="AL357" i="1" a="1"/>
  <c r="AL357" i="1" s="1"/>
  <c r="AO358" i="1" s="1"/>
  <c r="AI357" i="1" a="1"/>
  <c r="AI357" i="1" s="1"/>
  <c r="Q357" i="1"/>
  <c r="Q357" i="1" a="1"/>
  <c r="AN356" i="1"/>
  <c r="AL356" i="1" a="1"/>
  <c r="AL356" i="1" s="1"/>
  <c r="AO357" i="1" s="1"/>
  <c r="AI356" i="1"/>
  <c r="AI356" i="1" a="1"/>
  <c r="Q356" i="1" a="1"/>
  <c r="Q356" i="1" s="1"/>
  <c r="X346" i="1" s="1"/>
  <c r="AN355" i="1"/>
  <c r="AL355" i="1" a="1"/>
  <c r="AL355" i="1" s="1"/>
  <c r="AO356" i="1" s="1"/>
  <c r="AI355" i="1" a="1"/>
  <c r="AI355" i="1" s="1"/>
  <c r="Q355" i="1"/>
  <c r="X345" i="1" s="1"/>
  <c r="Q355" i="1" a="1"/>
  <c r="AN354" i="1"/>
  <c r="AL354" i="1" a="1"/>
  <c r="AL354" i="1" s="1"/>
  <c r="AO355" i="1" s="1"/>
  <c r="AI354" i="1"/>
  <c r="AI354" i="1" a="1"/>
  <c r="Q354" i="1" a="1"/>
  <c r="Q354" i="1" s="1"/>
  <c r="X344" i="1" s="1"/>
  <c r="AN353" i="1"/>
  <c r="AL353" i="1" a="1"/>
  <c r="AL353" i="1" s="1"/>
  <c r="AO354" i="1" s="1"/>
  <c r="AI353" i="1" a="1"/>
  <c r="AI353" i="1" s="1"/>
  <c r="Q353" i="1"/>
  <c r="Q353" i="1" a="1"/>
  <c r="AN352" i="1"/>
  <c r="AL352" i="1" a="1"/>
  <c r="AL352" i="1" s="1"/>
  <c r="AO353" i="1" s="1"/>
  <c r="AI352" i="1"/>
  <c r="AI352" i="1" a="1"/>
  <c r="Q352" i="1" a="1"/>
  <c r="Q352" i="1" s="1"/>
  <c r="X342" i="1" s="1"/>
  <c r="AN351" i="1"/>
  <c r="AL351" i="1" a="1"/>
  <c r="AL351" i="1" s="1"/>
  <c r="AO352" i="1" s="1"/>
  <c r="AI351" i="1" a="1"/>
  <c r="AI351" i="1" s="1"/>
  <c r="Q351" i="1"/>
  <c r="X341" i="1" s="1"/>
  <c r="Q351" i="1" a="1"/>
  <c r="AN350" i="1"/>
  <c r="AL350" i="1" a="1"/>
  <c r="AL350" i="1" s="1"/>
  <c r="AO351" i="1" s="1"/>
  <c r="AI350" i="1"/>
  <c r="AI350" i="1" a="1"/>
  <c r="Q350" i="1" a="1"/>
  <c r="Q350" i="1" s="1"/>
  <c r="X340" i="1" s="1"/>
  <c r="AN349" i="1"/>
  <c r="AL349" i="1" a="1"/>
  <c r="AL349" i="1" s="1"/>
  <c r="AO350" i="1" s="1"/>
  <c r="AI349" i="1" a="1"/>
  <c r="AI349" i="1" s="1"/>
  <c r="Q349" i="1"/>
  <c r="Q349" i="1" a="1"/>
  <c r="AN348" i="1"/>
  <c r="AL348" i="1" a="1"/>
  <c r="AL348" i="1" s="1"/>
  <c r="AO349" i="1" s="1"/>
  <c r="AI348" i="1"/>
  <c r="AI348" i="1" a="1"/>
  <c r="Q348" i="1" a="1"/>
  <c r="Q348" i="1" s="1"/>
  <c r="X338" i="1" s="1"/>
  <c r="AN347" i="1"/>
  <c r="AL347" i="1" a="1"/>
  <c r="AL347" i="1" s="1"/>
  <c r="AO348" i="1" s="1"/>
  <c r="AI347" i="1" a="1"/>
  <c r="AI347" i="1" s="1"/>
  <c r="X347" i="1"/>
  <c r="Q347" i="1"/>
  <c r="X337" i="1" s="1"/>
  <c r="Q347" i="1" a="1"/>
  <c r="AN346" i="1"/>
  <c r="AL346" i="1" a="1"/>
  <c r="AL346" i="1" s="1"/>
  <c r="AO347" i="1" s="1"/>
  <c r="AI346" i="1"/>
  <c r="AI346" i="1" a="1"/>
  <c r="Q346" i="1" a="1"/>
  <c r="Q346" i="1" s="1"/>
  <c r="X336" i="1" s="1"/>
  <c r="AN345" i="1"/>
  <c r="AL345" i="1" a="1"/>
  <c r="AL345" i="1" s="1"/>
  <c r="AO346" i="1" s="1"/>
  <c r="AI345" i="1" a="1"/>
  <c r="AI345" i="1" s="1"/>
  <c r="Q345" i="1"/>
  <c r="Q345" i="1" a="1"/>
  <c r="AN344" i="1"/>
  <c r="AL344" i="1" a="1"/>
  <c r="AL344" i="1" s="1"/>
  <c r="AO345" i="1" s="1"/>
  <c r="AI344" i="1"/>
  <c r="AI344" i="1" a="1"/>
  <c r="Q344" i="1" a="1"/>
  <c r="Q344" i="1" s="1"/>
  <c r="X334" i="1" s="1"/>
  <c r="AN343" i="1"/>
  <c r="AL343" i="1" a="1"/>
  <c r="AL343" i="1" s="1"/>
  <c r="AO344" i="1" s="1"/>
  <c r="AI343" i="1" a="1"/>
  <c r="AI343" i="1" s="1"/>
  <c r="X343" i="1"/>
  <c r="Q343" i="1"/>
  <c r="X333" i="1" s="1"/>
  <c r="Q343" i="1" a="1"/>
  <c r="AN342" i="1"/>
  <c r="AL342" i="1" a="1"/>
  <c r="AL342" i="1" s="1"/>
  <c r="AO343" i="1" s="1"/>
  <c r="AI342" i="1"/>
  <c r="AI342" i="1" a="1"/>
  <c r="Q342" i="1" a="1"/>
  <c r="Q342" i="1" s="1"/>
  <c r="X332" i="1" s="1"/>
  <c r="AN341" i="1"/>
  <c r="AL341" i="1" a="1"/>
  <c r="AL341" i="1" s="1"/>
  <c r="AO342" i="1" s="1"/>
  <c r="AI341" i="1" a="1"/>
  <c r="AI341" i="1" s="1"/>
  <c r="Q341" i="1"/>
  <c r="X331" i="1" s="1"/>
  <c r="Q341" i="1" a="1"/>
  <c r="AN340" i="1"/>
  <c r="AL340" i="1" a="1"/>
  <c r="AL340" i="1" s="1"/>
  <c r="AO341" i="1" s="1"/>
  <c r="AI340" i="1"/>
  <c r="AI340" i="1" a="1"/>
  <c r="Q340" i="1" a="1"/>
  <c r="Q340" i="1" s="1"/>
  <c r="X330" i="1" s="1"/>
  <c r="AN339" i="1"/>
  <c r="AL339" i="1" a="1"/>
  <c r="AL339" i="1" s="1"/>
  <c r="AO340" i="1" s="1"/>
  <c r="AI339" i="1" a="1"/>
  <c r="AI339" i="1" s="1"/>
  <c r="X339" i="1"/>
  <c r="Q339" i="1"/>
  <c r="X329" i="1" s="1"/>
  <c r="Q339" i="1" a="1"/>
  <c r="AN338" i="1"/>
  <c r="AL338" i="1" a="1"/>
  <c r="AL338" i="1" s="1"/>
  <c r="AO339" i="1" s="1"/>
  <c r="AI338" i="1"/>
  <c r="AI338" i="1" a="1"/>
  <c r="Q338" i="1" a="1"/>
  <c r="Q338" i="1" s="1"/>
  <c r="X328" i="1" s="1"/>
  <c r="AL337" i="1" a="1"/>
  <c r="AL337" i="1" s="1"/>
  <c r="AO338" i="1" s="1"/>
  <c r="AI337" i="1" a="1"/>
  <c r="AI337" i="1" s="1"/>
  <c r="Q337" i="1"/>
  <c r="Q337" i="1" a="1"/>
  <c r="AL336" i="1" a="1"/>
  <c r="AL336" i="1" s="1"/>
  <c r="AO337" i="1" s="1"/>
  <c r="AI336" i="1"/>
  <c r="AI336" i="1" a="1"/>
  <c r="Q336" i="1" a="1"/>
  <c r="Q336" i="1" s="1"/>
  <c r="X326" i="1" s="1"/>
  <c r="AO335" i="1"/>
  <c r="AL335" i="1" a="1"/>
  <c r="AL335" i="1" s="1"/>
  <c r="AO336" i="1" s="1"/>
  <c r="AI335" i="1" a="1"/>
  <c r="AI335" i="1" s="1"/>
  <c r="X335" i="1"/>
  <c r="AL334" i="1"/>
  <c r="AL334" i="1" a="1"/>
  <c r="AI334" i="1" a="1"/>
  <c r="AI334" i="1" s="1"/>
  <c r="AA334" i="1"/>
  <c r="AC334" i="1" s="1"/>
  <c r="AL333" i="1" a="1"/>
  <c r="AL333" i="1" s="1"/>
  <c r="AO334" i="1" s="1"/>
  <c r="AI333" i="1"/>
  <c r="AI333" i="1" a="1"/>
  <c r="AA333" i="1"/>
  <c r="AD333" i="1" s="1"/>
  <c r="R333" i="1"/>
  <c r="R333" i="1" a="1"/>
  <c r="AL332" i="1" a="1"/>
  <c r="AL332" i="1" s="1"/>
  <c r="AO333" i="1" s="1"/>
  <c r="AI332" i="1"/>
  <c r="AI332" i="1" a="1"/>
  <c r="AC332" i="1"/>
  <c r="AA332" i="1"/>
  <c r="AD332" i="1" s="1"/>
  <c r="AE332" i="1" s="1" a="1"/>
  <c r="AE332" i="1" s="1"/>
  <c r="AF332" i="1" s="1"/>
  <c r="R332" i="1" a="1"/>
  <c r="R332" i="1" s="1"/>
  <c r="AL331" i="1"/>
  <c r="AO332" i="1" s="1"/>
  <c r="AL331" i="1" a="1"/>
  <c r="AI331" i="1" a="1"/>
  <c r="AI331" i="1" s="1"/>
  <c r="AD331" i="1"/>
  <c r="AC331" i="1"/>
  <c r="AE331" i="1" s="1" a="1"/>
  <c r="AE331" i="1" s="1"/>
  <c r="AF331" i="1" s="1"/>
  <c r="AA331" i="1"/>
  <c r="R331" i="1" a="1"/>
  <c r="R331" i="1" s="1"/>
  <c r="AL330" i="1"/>
  <c r="AO331" i="1" s="1"/>
  <c r="AL330" i="1" a="1"/>
  <c r="AI330" i="1"/>
  <c r="AI330" i="1" a="1"/>
  <c r="AD330" i="1"/>
  <c r="AA330" i="1"/>
  <c r="AC330" i="1" s="1"/>
  <c r="R330" i="1"/>
  <c r="R330" i="1" a="1"/>
  <c r="AL329" i="1" a="1"/>
  <c r="AL329" i="1" s="1"/>
  <c r="AO330" i="1" s="1"/>
  <c r="AI329" i="1" a="1"/>
  <c r="AI329" i="1" s="1"/>
  <c r="AA329" i="1"/>
  <c r="AD329" i="1" s="1"/>
  <c r="R329" i="1"/>
  <c r="R329" i="1" a="1"/>
  <c r="AL328" i="1"/>
  <c r="AO329" i="1" s="1"/>
  <c r="AL328" i="1" a="1"/>
  <c r="AI328" i="1" a="1"/>
  <c r="AI328" i="1" s="1"/>
  <c r="AA328" i="1"/>
  <c r="AD328" i="1" s="1"/>
  <c r="R328" i="1"/>
  <c r="R328" i="1" a="1"/>
  <c r="AL327" i="1" a="1"/>
  <c r="AL327" i="1" s="1"/>
  <c r="AO328" i="1" s="1"/>
  <c r="AI327" i="1"/>
  <c r="AI327" i="1" a="1"/>
  <c r="AC327" i="1"/>
  <c r="AA327" i="1"/>
  <c r="AD327" i="1" s="1"/>
  <c r="X327" i="1"/>
  <c r="AL326" i="1"/>
  <c r="AO327" i="1" s="1"/>
  <c r="AL326" i="1" a="1"/>
  <c r="AI326" i="1" a="1"/>
  <c r="AI326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F265" i="1" a="1"/>
  <c r="F265" i="1" s="1"/>
  <c r="G265" i="1" a="1"/>
  <c r="G265" i="1" s="1"/>
  <c r="H265" i="1" a="1"/>
  <c r="H265" i="1" s="1"/>
  <c r="I265" i="1" a="1"/>
  <c r="I265" i="1" s="1"/>
  <c r="J265" i="1" a="1"/>
  <c r="J265" i="1" s="1"/>
  <c r="K265" i="1" a="1"/>
  <c r="K265" i="1"/>
  <c r="F266" i="1" a="1"/>
  <c r="F266" i="1" s="1"/>
  <c r="G266" i="1" a="1"/>
  <c r="G266" i="1" s="1"/>
  <c r="H266" i="1" a="1"/>
  <c r="H266" i="1" s="1"/>
  <c r="I266" i="1" a="1"/>
  <c r="I266" i="1" s="1"/>
  <c r="J266" i="1" a="1"/>
  <c r="J266" i="1" s="1"/>
  <c r="K266" i="1" a="1"/>
  <c r="K266" i="1"/>
  <c r="F267" i="1" a="1"/>
  <c r="F267" i="1" s="1"/>
  <c r="N282" i="1" s="1" a="1"/>
  <c r="N282" i="1" s="1"/>
  <c r="G267" i="1" a="1"/>
  <c r="G267" i="1" s="1"/>
  <c r="H267" i="1" a="1"/>
  <c r="H267" i="1" s="1"/>
  <c r="I267" i="1" a="1"/>
  <c r="I267" i="1" s="1"/>
  <c r="J267" i="1" a="1"/>
  <c r="J267" i="1" s="1"/>
  <c r="K267" i="1" a="1"/>
  <c r="K267" i="1"/>
  <c r="F268" i="1" a="1"/>
  <c r="F268" i="1" s="1"/>
  <c r="N288" i="1" s="1" a="1"/>
  <c r="N288" i="1" s="1"/>
  <c r="G268" i="1" a="1"/>
  <c r="G268" i="1" s="1"/>
  <c r="H268" i="1" a="1"/>
  <c r="H268" i="1" s="1"/>
  <c r="I268" i="1" a="1"/>
  <c r="I268" i="1" s="1"/>
  <c r="J268" i="1" a="1"/>
  <c r="J268" i="1" s="1"/>
  <c r="K268" i="1" a="1"/>
  <c r="K268" i="1"/>
  <c r="F269" i="1" a="1"/>
  <c r="F269" i="1" s="1"/>
  <c r="G269" i="1" a="1"/>
  <c r="G269" i="1" s="1"/>
  <c r="H269" i="1" a="1"/>
  <c r="H269" i="1" s="1"/>
  <c r="I269" i="1" a="1"/>
  <c r="I269" i="1" s="1"/>
  <c r="J269" i="1" a="1"/>
  <c r="J269" i="1" s="1"/>
  <c r="K269" i="1" a="1"/>
  <c r="K269" i="1"/>
  <c r="F270" i="1" a="1"/>
  <c r="F270" i="1" s="1"/>
  <c r="G270" i="1" a="1"/>
  <c r="G270" i="1" s="1"/>
  <c r="H270" i="1" a="1"/>
  <c r="H270" i="1" s="1"/>
  <c r="I270" i="1" a="1"/>
  <c r="I270" i="1" s="1"/>
  <c r="J270" i="1" a="1"/>
  <c r="J270" i="1" s="1"/>
  <c r="K270" i="1" a="1"/>
  <c r="K270" i="1"/>
  <c r="F271" i="1" a="1"/>
  <c r="F271" i="1" s="1"/>
  <c r="N306" i="1" s="1" a="1"/>
  <c r="N306" i="1" s="1"/>
  <c r="G271" i="1" a="1"/>
  <c r="G271" i="1" s="1"/>
  <c r="H271" i="1" a="1"/>
  <c r="H271" i="1" s="1"/>
  <c r="I271" i="1" a="1"/>
  <c r="I271" i="1" s="1"/>
  <c r="J271" i="1" a="1"/>
  <c r="J271" i="1" s="1"/>
  <c r="K271" i="1" a="1"/>
  <c r="K271" i="1"/>
  <c r="G264" i="1" a="1"/>
  <c r="G264" i="1" s="1"/>
  <c r="H264" i="1" a="1"/>
  <c r="H264" i="1" s="1"/>
  <c r="I264" i="1" a="1"/>
  <c r="I264" i="1" s="1"/>
  <c r="J264" i="1" a="1"/>
  <c r="J264" i="1"/>
  <c r="K264" i="1" a="1"/>
  <c r="K264" i="1"/>
  <c r="F264" i="1" a="1"/>
  <c r="F264" i="1"/>
  <c r="AO1073" i="1" l="1"/>
  <c r="X1070" i="1"/>
  <c r="AO1091" i="1"/>
  <c r="X1088" i="1"/>
  <c r="X1106" i="1"/>
  <c r="AO1077" i="1"/>
  <c r="AO1084" i="1"/>
  <c r="AO1088" i="1"/>
  <c r="X1089" i="1"/>
  <c r="X1099" i="1"/>
  <c r="X1107" i="1"/>
  <c r="AO1070" i="1"/>
  <c r="AO1081" i="1"/>
  <c r="X1074" i="1"/>
  <c r="X1078" i="1"/>
  <c r="X1090" i="1"/>
  <c r="X1086" i="1"/>
  <c r="X1073" i="1"/>
  <c r="X1071" i="1"/>
  <c r="X1091" i="1"/>
  <c r="X1100" i="1"/>
  <c r="AO1074" i="1"/>
  <c r="AO1085" i="1"/>
  <c r="X1092" i="1"/>
  <c r="X1101" i="1"/>
  <c r="X1097" i="1"/>
  <c r="AO1078" i="1"/>
  <c r="X1075" i="1"/>
  <c r="AO1089" i="1"/>
  <c r="AO1092" i="1"/>
  <c r="X1093" i="1"/>
  <c r="AO1071" i="1"/>
  <c r="X1068" i="1"/>
  <c r="X1079" i="1"/>
  <c r="X1082" i="1"/>
  <c r="X1094" i="1"/>
  <c r="X1102" i="1"/>
  <c r="AO1083" i="1"/>
  <c r="AO1075" i="1"/>
  <c r="AO1082" i="1"/>
  <c r="AO1086" i="1"/>
  <c r="X1083" i="1"/>
  <c r="X1095" i="1"/>
  <c r="X1103" i="1"/>
  <c r="AO1080" i="1"/>
  <c r="X1098" i="1"/>
  <c r="AO1079" i="1"/>
  <c r="X1072" i="1"/>
  <c r="X1076" i="1"/>
  <c r="AO1090" i="1"/>
  <c r="X1084" i="1"/>
  <c r="X1104" i="1"/>
  <c r="AO1076" i="1"/>
  <c r="AO1087" i="1"/>
  <c r="X1077" i="1"/>
  <c r="X1087" i="1"/>
  <c r="AO1072" i="1"/>
  <c r="X1069" i="1"/>
  <c r="X1080" i="1"/>
  <c r="X1085" i="1"/>
  <c r="X1096" i="1"/>
  <c r="X1036" i="1"/>
  <c r="AO1009" i="1"/>
  <c r="AO1012" i="1"/>
  <c r="X1010" i="1"/>
  <c r="X1013" i="1"/>
  <c r="AO1015" i="1"/>
  <c r="X1026" i="1"/>
  <c r="X1038" i="1"/>
  <c r="X1024" i="1"/>
  <c r="X1019" i="1"/>
  <c r="AO1021" i="1"/>
  <c r="AO1024" i="1"/>
  <c r="AO1027" i="1"/>
  <c r="AO1030" i="1"/>
  <c r="X1028" i="1"/>
  <c r="X1040" i="1"/>
  <c r="X1007" i="1"/>
  <c r="X1027" i="1"/>
  <c r="AO1010" i="1"/>
  <c r="X1011" i="1"/>
  <c r="X1017" i="1"/>
  <c r="X1029" i="1"/>
  <c r="AO1013" i="1"/>
  <c r="AO1016" i="1"/>
  <c r="X1014" i="1"/>
  <c r="X1030" i="1"/>
  <c r="X1041" i="1"/>
  <c r="AO1018" i="1"/>
  <c r="AO1019" i="1"/>
  <c r="X1031" i="1"/>
  <c r="X1042" i="1"/>
  <c r="X1009" i="1"/>
  <c r="AO1022" i="1"/>
  <c r="AO1025" i="1"/>
  <c r="AO1028" i="1"/>
  <c r="AO1031" i="1"/>
  <c r="X1032" i="1"/>
  <c r="X1043" i="1"/>
  <c r="AO1026" i="1"/>
  <c r="X1039" i="1"/>
  <c r="AO1011" i="1"/>
  <c r="X1015" i="1"/>
  <c r="X1021" i="1"/>
  <c r="X1033" i="1"/>
  <c r="X1044" i="1"/>
  <c r="AO1029" i="1"/>
  <c r="X1025" i="1"/>
  <c r="AO1008" i="1"/>
  <c r="AO1014" i="1"/>
  <c r="X1018" i="1"/>
  <c r="X1022" i="1"/>
  <c r="X1034" i="1"/>
  <c r="X1045" i="1"/>
  <c r="AO1023" i="1"/>
  <c r="X1037" i="1"/>
  <c r="AO1017" i="1"/>
  <c r="AO1020" i="1"/>
  <c r="X1023" i="1"/>
  <c r="X1035" i="1"/>
  <c r="X1046" i="1"/>
  <c r="X949" i="1"/>
  <c r="AO963" i="1"/>
  <c r="X956" i="1"/>
  <c r="X959" i="1"/>
  <c r="X966" i="1"/>
  <c r="X976" i="1"/>
  <c r="AO960" i="1"/>
  <c r="X967" i="1"/>
  <c r="X977" i="1"/>
  <c r="AO947" i="1"/>
  <c r="AO954" i="1"/>
  <c r="AO957" i="1"/>
  <c r="X950" i="1"/>
  <c r="X953" i="1"/>
  <c r="AO970" i="1"/>
  <c r="X968" i="1"/>
  <c r="X978" i="1"/>
  <c r="X946" i="1"/>
  <c r="AO951" i="1"/>
  <c r="X947" i="1"/>
  <c r="AO967" i="1"/>
  <c r="X960" i="1"/>
  <c r="X979" i="1"/>
  <c r="AO948" i="1"/>
  <c r="AO964" i="1"/>
  <c r="X969" i="1"/>
  <c r="X980" i="1"/>
  <c r="AO958" i="1"/>
  <c r="AO961" i="1"/>
  <c r="X954" i="1"/>
  <c r="X957" i="1"/>
  <c r="X961" i="1"/>
  <c r="X970" i="1"/>
  <c r="X981" i="1"/>
  <c r="AO955" i="1"/>
  <c r="X948" i="1"/>
  <c r="X951" i="1"/>
  <c r="X962" i="1"/>
  <c r="X971" i="1"/>
  <c r="X982" i="1"/>
  <c r="X965" i="1"/>
  <c r="AO952" i="1"/>
  <c r="AO968" i="1"/>
  <c r="X963" i="1"/>
  <c r="X972" i="1"/>
  <c r="X983" i="1"/>
  <c r="AO953" i="1"/>
  <c r="AO949" i="1"/>
  <c r="AO962" i="1"/>
  <c r="AO965" i="1"/>
  <c r="X958" i="1"/>
  <c r="X984" i="1"/>
  <c r="AO950" i="1"/>
  <c r="X975" i="1"/>
  <c r="AO959" i="1"/>
  <c r="X952" i="1"/>
  <c r="X955" i="1"/>
  <c r="X964" i="1"/>
  <c r="X985" i="1"/>
  <c r="AO966" i="1"/>
  <c r="AO956" i="1"/>
  <c r="X974" i="1"/>
  <c r="X901" i="1"/>
  <c r="AO890" i="1"/>
  <c r="X885" i="1"/>
  <c r="AO898" i="1"/>
  <c r="X896" i="1"/>
  <c r="X900" i="1"/>
  <c r="X923" i="1"/>
  <c r="X888" i="1"/>
  <c r="X891" i="1"/>
  <c r="AO904" i="1"/>
  <c r="AO907" i="1"/>
  <c r="X902" i="1"/>
  <c r="X913" i="1"/>
  <c r="AO888" i="1"/>
  <c r="AO896" i="1"/>
  <c r="X897" i="1"/>
  <c r="X903" i="1"/>
  <c r="X914" i="1"/>
  <c r="X904" i="1"/>
  <c r="X915" i="1"/>
  <c r="AO891" i="1"/>
  <c r="AO899" i="1"/>
  <c r="X905" i="1"/>
  <c r="X916" i="1"/>
  <c r="AO901" i="1"/>
  <c r="X924" i="1"/>
  <c r="AO894" i="1"/>
  <c r="X889" i="1"/>
  <c r="AO902" i="1"/>
  <c r="AO905" i="1"/>
  <c r="AO908" i="1"/>
  <c r="X906" i="1"/>
  <c r="X917" i="1"/>
  <c r="AO893" i="1"/>
  <c r="AO889" i="1"/>
  <c r="AO897" i="1"/>
  <c r="X895" i="1"/>
  <c r="X907" i="1"/>
  <c r="X918" i="1"/>
  <c r="X887" i="1"/>
  <c r="X892" i="1"/>
  <c r="X908" i="1"/>
  <c r="X919" i="1"/>
  <c r="AO892" i="1"/>
  <c r="AO900" i="1"/>
  <c r="X909" i="1"/>
  <c r="X920" i="1"/>
  <c r="X912" i="1"/>
  <c r="AO887" i="1"/>
  <c r="AO903" i="1"/>
  <c r="AO906" i="1"/>
  <c r="AO909" i="1"/>
  <c r="X910" i="1"/>
  <c r="X921" i="1"/>
  <c r="AO895" i="1"/>
  <c r="X893" i="1"/>
  <c r="X899" i="1"/>
  <c r="X911" i="1"/>
  <c r="X922" i="1"/>
  <c r="AO838" i="1"/>
  <c r="X843" i="1"/>
  <c r="X828" i="1"/>
  <c r="AO841" i="1"/>
  <c r="AO844" i="1"/>
  <c r="AO847" i="1"/>
  <c r="X854" i="1"/>
  <c r="X819" i="1"/>
  <c r="X825" i="1"/>
  <c r="X853" i="1"/>
  <c r="AO833" i="1"/>
  <c r="AO836" i="1"/>
  <c r="X834" i="1"/>
  <c r="X845" i="1"/>
  <c r="X855" i="1"/>
  <c r="AO824" i="1"/>
  <c r="X817" i="1"/>
  <c r="X823" i="1"/>
  <c r="X857" i="1"/>
  <c r="X831" i="1"/>
  <c r="AO842" i="1"/>
  <c r="AO845" i="1"/>
  <c r="X858" i="1"/>
  <c r="AO830" i="1"/>
  <c r="AO820" i="1"/>
  <c r="AO822" i="1"/>
  <c r="AO828" i="1"/>
  <c r="X832" i="1"/>
  <c r="AO848" i="1"/>
  <c r="X848" i="1"/>
  <c r="X859" i="1"/>
  <c r="AO834" i="1"/>
  <c r="AO837" i="1"/>
  <c r="X835" i="1"/>
  <c r="X838" i="1"/>
  <c r="X849" i="1"/>
  <c r="X860" i="1"/>
  <c r="AO840" i="1"/>
  <c r="X839" i="1"/>
  <c r="X861" i="1"/>
  <c r="X827" i="1"/>
  <c r="AO843" i="1"/>
  <c r="AO846" i="1"/>
  <c r="X840" i="1"/>
  <c r="X862" i="1"/>
  <c r="AO823" i="1"/>
  <c r="AO829" i="1"/>
  <c r="AO832" i="1"/>
  <c r="X836" i="1"/>
  <c r="X841" i="1"/>
  <c r="X851" i="1"/>
  <c r="X863" i="1"/>
  <c r="AO818" i="1"/>
  <c r="X821" i="1"/>
  <c r="AO826" i="1"/>
  <c r="X822" i="1"/>
  <c r="AO835" i="1"/>
  <c r="X842" i="1"/>
  <c r="X852" i="1"/>
  <c r="AO817" i="1"/>
  <c r="X816" i="1"/>
  <c r="AE393" i="1" a="1"/>
  <c r="AE393" i="1" s="1"/>
  <c r="AF393" i="1" s="1"/>
  <c r="AE515" i="1" a="1"/>
  <c r="AE515" i="1" s="1"/>
  <c r="AF515" i="1" s="1"/>
  <c r="AE759" i="1" a="1"/>
  <c r="AE759" i="1" s="1"/>
  <c r="AF759" i="1" s="1"/>
  <c r="AE1004" i="1" a="1"/>
  <c r="AE1004" i="1" s="1"/>
  <c r="AF1004" i="1" s="1"/>
  <c r="AD451" i="1"/>
  <c r="AE451" i="1" s="1" a="1"/>
  <c r="AE451" i="1" s="1"/>
  <c r="AF451" i="1" s="1"/>
  <c r="AE635" i="1" a="1"/>
  <c r="AE635" i="1" s="1"/>
  <c r="AF635" i="1" s="1"/>
  <c r="AE819" i="1" a="1"/>
  <c r="AE819" i="1" s="1"/>
  <c r="AF819" i="1" s="1"/>
  <c r="AC882" i="1"/>
  <c r="AE882" i="1" s="1" a="1"/>
  <c r="AE882" i="1" s="1"/>
  <c r="AF882" i="1" s="1"/>
  <c r="AE942" i="1" a="1"/>
  <c r="AE942" i="1" s="1"/>
  <c r="AF942" i="1" s="1"/>
  <c r="AD1004" i="1"/>
  <c r="AD635" i="1"/>
  <c r="AE696" i="1" a="1"/>
  <c r="AE696" i="1" s="1"/>
  <c r="AF696" i="1" s="1"/>
  <c r="AD819" i="1"/>
  <c r="AC942" i="1"/>
  <c r="AE1006" i="1" a="1"/>
  <c r="AE1006" i="1" s="1"/>
  <c r="AF1006" i="1" s="1"/>
  <c r="AE330" i="1" a="1"/>
  <c r="AE330" i="1" s="1"/>
  <c r="AF330" i="1" s="1"/>
  <c r="AC333" i="1"/>
  <c r="AE333" i="1" s="1" a="1"/>
  <c r="AE333" i="1" s="1"/>
  <c r="AF333" i="1" s="1"/>
  <c r="AC389" i="1"/>
  <c r="AE389" i="1" s="1" a="1"/>
  <c r="AE389" i="1" s="1"/>
  <c r="AF389" i="1" s="1"/>
  <c r="AD573" i="1"/>
  <c r="AE577" i="1" a="1"/>
  <c r="AE577" i="1" s="1"/>
  <c r="AF577" i="1" s="1"/>
  <c r="AE637" i="1" a="1"/>
  <c r="AE637" i="1" s="1"/>
  <c r="AF637" i="1" s="1"/>
  <c r="AD758" i="1"/>
  <c r="AD821" i="1"/>
  <c r="AC881" i="1"/>
  <c r="AE881" i="1" s="1" a="1"/>
  <c r="AE881" i="1" s="1"/>
  <c r="AF881" i="1" s="1"/>
  <c r="AC1003" i="1"/>
  <c r="AE1003" i="1" s="1" a="1"/>
  <c r="AE1003" i="1" s="1"/>
  <c r="AF1003" i="1" s="1"/>
  <c r="AE758" i="1" a="1"/>
  <c r="AE758" i="1" s="1"/>
  <c r="AF758" i="1" s="1"/>
  <c r="AE698" i="1" a="1"/>
  <c r="AE698" i="1" s="1"/>
  <c r="AF698" i="1" s="1"/>
  <c r="AE573" i="1" a="1"/>
  <c r="AE573" i="1" s="1"/>
  <c r="AF573" i="1" s="1"/>
  <c r="AE821" i="1" a="1"/>
  <c r="AE821" i="1" s="1"/>
  <c r="AF821" i="1" s="1"/>
  <c r="AE940" i="1" a="1"/>
  <c r="AE940" i="1" s="1"/>
  <c r="AF940" i="1" s="1"/>
  <c r="AD454" i="1"/>
  <c r="AE454" i="1" s="1" a="1"/>
  <c r="AE454" i="1" s="1"/>
  <c r="AF454" i="1" s="1"/>
  <c r="AE516" i="1" a="1"/>
  <c r="AE516" i="1" s="1"/>
  <c r="AF516" i="1" s="1"/>
  <c r="AD698" i="1"/>
  <c r="AC1061" i="1"/>
  <c r="AE1061" i="1" s="1" a="1"/>
  <c r="AE1061" i="1" s="1"/>
  <c r="AF1061" i="1" s="1"/>
  <c r="AD1066" i="1"/>
  <c r="AE1066" i="1" s="1" a="1"/>
  <c r="AE1066" i="1" s="1"/>
  <c r="AF1066" i="1" s="1"/>
  <c r="AE394" i="1" a="1"/>
  <c r="AE394" i="1" s="1"/>
  <c r="AF394" i="1" s="1"/>
  <c r="AE452" i="1" a="1"/>
  <c r="AE452" i="1" s="1"/>
  <c r="AF452" i="1" s="1"/>
  <c r="AE511" i="1" a="1"/>
  <c r="AE511" i="1" s="1"/>
  <c r="AF511" i="1" s="1"/>
  <c r="AE634" i="1" a="1"/>
  <c r="AE634" i="1" s="1"/>
  <c r="AF634" i="1" s="1"/>
  <c r="AE760" i="1" a="1"/>
  <c r="AE760" i="1" s="1"/>
  <c r="AF760" i="1" s="1"/>
  <c r="AE883" i="1" a="1"/>
  <c r="AE883" i="1" s="1"/>
  <c r="AF883" i="1" s="1"/>
  <c r="AE943" i="1" a="1"/>
  <c r="AE943" i="1" s="1"/>
  <c r="AF943" i="1" s="1"/>
  <c r="AC574" i="1"/>
  <c r="AE574" i="1" s="1" a="1"/>
  <c r="AE574" i="1" s="1"/>
  <c r="AF574" i="1" s="1"/>
  <c r="AC636" i="1"/>
  <c r="AE636" i="1" s="1" a="1"/>
  <c r="AE636" i="1" s="1"/>
  <c r="AF636" i="1" s="1"/>
  <c r="AC695" i="1"/>
  <c r="AE695" i="1" s="1" a="1"/>
  <c r="AE695" i="1" s="1"/>
  <c r="AC697" i="1"/>
  <c r="AE697" i="1" s="1" a="1"/>
  <c r="AE697" i="1" s="1"/>
  <c r="AF697" i="1" s="1"/>
  <c r="AC822" i="1"/>
  <c r="AE822" i="1" s="1" a="1"/>
  <c r="AE822" i="1" s="1"/>
  <c r="AF822" i="1" s="1"/>
  <c r="AD939" i="1"/>
  <c r="AE939" i="1" s="1" a="1"/>
  <c r="AE939" i="1" s="1"/>
  <c r="AD640" i="1"/>
  <c r="AE640" i="1" s="1" a="1"/>
  <c r="AE640" i="1" s="1"/>
  <c r="AF640" i="1" s="1"/>
  <c r="AD878" i="1"/>
  <c r="AE878" i="1" s="1" a="1"/>
  <c r="AE878" i="1" s="1"/>
  <c r="AD1002" i="1"/>
  <c r="AE1002" i="1" s="1" a="1"/>
  <c r="AE1002" i="1" s="1"/>
  <c r="AF1002" i="1" s="1"/>
  <c r="AD1065" i="1"/>
  <c r="AE1065" i="1" s="1" a="1"/>
  <c r="AE1065" i="1" s="1"/>
  <c r="AF1065" i="1" s="1"/>
  <c r="AD1068" i="1"/>
  <c r="AE1068" i="1" s="1" a="1"/>
  <c r="AE1068" i="1" s="1"/>
  <c r="AF1068" i="1" s="1"/>
  <c r="AC1062" i="1"/>
  <c r="AE1062" i="1" s="1" a="1"/>
  <c r="AE1062" i="1" s="1"/>
  <c r="AF1062" i="1" s="1"/>
  <c r="AC1063" i="1"/>
  <c r="AE1063" i="1" s="1" a="1"/>
  <c r="AE1063" i="1" s="1"/>
  <c r="AF1063" i="1" s="1"/>
  <c r="AD1007" i="1"/>
  <c r="AE1007" i="1" s="1" a="1"/>
  <c r="AE1007" i="1" s="1"/>
  <c r="AF1007" i="1" s="1"/>
  <c r="AC1000" i="1"/>
  <c r="AE1000" i="1" s="1" a="1"/>
  <c r="AE1000" i="1" s="1"/>
  <c r="AC1001" i="1"/>
  <c r="AE1001" i="1" s="1" a="1"/>
  <c r="AE1001" i="1" s="1"/>
  <c r="AD946" i="1"/>
  <c r="AE946" i="1" s="1" a="1"/>
  <c r="AE946" i="1" s="1"/>
  <c r="AF946" i="1" s="1"/>
  <c r="AD945" i="1"/>
  <c r="AE945" i="1" s="1" a="1"/>
  <c r="AE945" i="1" s="1"/>
  <c r="AF945" i="1" s="1"/>
  <c r="AC941" i="1"/>
  <c r="AE941" i="1" s="1" a="1"/>
  <c r="AE941" i="1" s="1"/>
  <c r="AF941" i="1" s="1"/>
  <c r="AC884" i="1"/>
  <c r="AE884" i="1" s="1" a="1"/>
  <c r="AE884" i="1" s="1"/>
  <c r="AF884" i="1" s="1"/>
  <c r="AC885" i="1"/>
  <c r="AE885" i="1" s="1" a="1"/>
  <c r="AE885" i="1" s="1"/>
  <c r="AF885" i="1" s="1"/>
  <c r="AC879" i="1"/>
  <c r="AE879" i="1" s="1" a="1"/>
  <c r="AE879" i="1" s="1"/>
  <c r="AF879" i="1" s="1"/>
  <c r="AC880" i="1"/>
  <c r="AE880" i="1" s="1" a="1"/>
  <c r="AE880" i="1" s="1"/>
  <c r="AF880" i="1" s="1"/>
  <c r="AD823" i="1"/>
  <c r="AE823" i="1" s="1" a="1"/>
  <c r="AE823" i="1" s="1"/>
  <c r="AF823" i="1" s="1"/>
  <c r="AC824" i="1"/>
  <c r="AE824" i="1" s="1" a="1"/>
  <c r="AE824" i="1" s="1"/>
  <c r="AF824" i="1" s="1"/>
  <c r="AN817" i="1"/>
  <c r="AC817" i="1"/>
  <c r="AE817" i="1" s="1" a="1"/>
  <c r="AE817" i="1" s="1"/>
  <c r="AC818" i="1"/>
  <c r="AE818" i="1" s="1" a="1"/>
  <c r="AE818" i="1" s="1"/>
  <c r="AF818" i="1" s="1"/>
  <c r="AN756" i="1"/>
  <c r="AE756" i="1" a="1"/>
  <c r="AE756" i="1" s="1"/>
  <c r="AD761" i="1"/>
  <c r="AE761" i="1" s="1" a="1"/>
  <c r="AE761" i="1" s="1"/>
  <c r="AF761" i="1" s="1"/>
  <c r="AC762" i="1"/>
  <c r="AE762" i="1" s="1" a="1"/>
  <c r="AE762" i="1" s="1"/>
  <c r="AF762" i="1" s="1"/>
  <c r="AC757" i="1"/>
  <c r="AE757" i="1" s="1" a="1"/>
  <c r="AE757" i="1" s="1"/>
  <c r="AF757" i="1" s="1"/>
  <c r="AD701" i="1"/>
  <c r="AE701" i="1" s="1" a="1"/>
  <c r="AE701" i="1" s="1"/>
  <c r="AF701" i="1" s="1"/>
  <c r="AC700" i="1"/>
  <c r="AE700" i="1" s="1" a="1"/>
  <c r="AE700" i="1" s="1"/>
  <c r="AF700" i="1" s="1"/>
  <c r="AN695" i="1"/>
  <c r="AC639" i="1"/>
  <c r="AE639" i="1" s="1" a="1"/>
  <c r="AE639" i="1" s="1"/>
  <c r="AF639" i="1" s="1"/>
  <c r="AE576" i="1" a="1"/>
  <c r="AE576" i="1" s="1"/>
  <c r="AF576" i="1" s="1"/>
  <c r="AD576" i="1"/>
  <c r="AC579" i="1"/>
  <c r="AE579" i="1" s="1" a="1"/>
  <c r="AE579" i="1" s="1"/>
  <c r="AF579" i="1" s="1"/>
  <c r="AC572" i="1"/>
  <c r="AE572" i="1" s="1" a="1"/>
  <c r="AE572" i="1" s="1"/>
  <c r="AN511" i="1"/>
  <c r="AD518" i="1"/>
  <c r="AE518" i="1" s="1" a="1"/>
  <c r="AE518" i="1" s="1"/>
  <c r="AF518" i="1" s="1"/>
  <c r="AC513" i="1"/>
  <c r="AE513" i="1" s="1" a="1"/>
  <c r="AE513" i="1" s="1"/>
  <c r="AF513" i="1" s="1"/>
  <c r="AC514" i="1"/>
  <c r="AE514" i="1" s="1" a="1"/>
  <c r="AE514" i="1" s="1"/>
  <c r="AF514" i="1" s="1"/>
  <c r="AD453" i="1"/>
  <c r="AE453" i="1" s="1" a="1"/>
  <c r="AE453" i="1" s="1"/>
  <c r="AF453" i="1" s="1"/>
  <c r="AD456" i="1"/>
  <c r="AE456" i="1" s="1" a="1"/>
  <c r="AE456" i="1" s="1"/>
  <c r="AF456" i="1" s="1"/>
  <c r="AC450" i="1"/>
  <c r="AE450" i="1" s="1" a="1"/>
  <c r="AE450" i="1" s="1"/>
  <c r="AD395" i="1"/>
  <c r="AE395" i="1" s="1" a="1"/>
  <c r="AE395" i="1" s="1"/>
  <c r="AF395" i="1" s="1"/>
  <c r="AD392" i="1"/>
  <c r="AE392" i="1" s="1" a="1"/>
  <c r="AE392" i="1" s="1"/>
  <c r="AF392" i="1" s="1"/>
  <c r="AC388" i="1"/>
  <c r="AE388" i="1" s="1" a="1"/>
  <c r="AE388" i="1" s="1"/>
  <c r="AC390" i="1"/>
  <c r="AE390" i="1" s="1" a="1"/>
  <c r="AE390" i="1" s="1"/>
  <c r="AF390" i="1" s="1"/>
  <c r="AE327" i="1" a="1"/>
  <c r="AE327" i="1" s="1"/>
  <c r="AD334" i="1"/>
  <c r="AE334" i="1" s="1" a="1"/>
  <c r="AE334" i="1" s="1"/>
  <c r="AF334" i="1" s="1"/>
  <c r="AC328" i="1"/>
  <c r="AE328" i="1" s="1" a="1"/>
  <c r="AE328" i="1" s="1"/>
  <c r="AF328" i="1" s="1"/>
  <c r="AC329" i="1"/>
  <c r="AE329" i="1" s="1" a="1"/>
  <c r="AE329" i="1" s="1"/>
  <c r="AF329" i="1" s="1"/>
  <c r="AN573" i="1" l="1"/>
  <c r="AN1002" i="1"/>
  <c r="AF939" i="1"/>
  <c r="AN1001" i="1"/>
  <c r="AF695" i="1"/>
  <c r="AN757" i="1"/>
  <c r="AF878" i="1"/>
  <c r="AN940" i="1"/>
  <c r="AN696" i="1"/>
  <c r="AF1001" i="1"/>
  <c r="AN1063" i="1"/>
  <c r="AF1000" i="1"/>
  <c r="AN1062" i="1"/>
  <c r="AF817" i="1"/>
  <c r="AN879" i="1"/>
  <c r="AF756" i="1"/>
  <c r="AN818" i="1"/>
  <c r="AF572" i="1"/>
  <c r="AN634" i="1"/>
  <c r="AF450" i="1"/>
  <c r="AN512" i="1"/>
  <c r="AF388" i="1"/>
  <c r="AN450" i="1"/>
  <c r="AF327" i="1"/>
  <c r="AN389" i="1"/>
  <c r="AN265" i="1" l="1"/>
  <c r="K823" i="1" a="1"/>
  <c r="K823" i="1" s="1"/>
  <c r="J823" i="1" a="1"/>
  <c r="J823" i="1" s="1"/>
  <c r="I823" i="1" a="1"/>
  <c r="I823" i="1" s="1"/>
  <c r="H823" i="1" a="1"/>
  <c r="H823" i="1" s="1"/>
  <c r="G823" i="1" a="1"/>
  <c r="G823" i="1" s="1"/>
  <c r="F823" i="1" a="1"/>
  <c r="F823" i="1" s="1"/>
  <c r="K822" i="1" a="1"/>
  <c r="K822" i="1" s="1"/>
  <c r="J822" i="1" a="1"/>
  <c r="J822" i="1" s="1"/>
  <c r="I822" i="1" a="1"/>
  <c r="I822" i="1" s="1"/>
  <c r="H822" i="1" a="1"/>
  <c r="H822" i="1" s="1"/>
  <c r="G822" i="1" a="1"/>
  <c r="G822" i="1" s="1"/>
  <c r="F822" i="1" a="1"/>
  <c r="F822" i="1" s="1"/>
  <c r="K821" i="1" a="1"/>
  <c r="K821" i="1" s="1"/>
  <c r="J821" i="1" a="1"/>
  <c r="J821" i="1" s="1"/>
  <c r="I821" i="1" a="1"/>
  <c r="I821" i="1" s="1"/>
  <c r="H821" i="1" a="1"/>
  <c r="H821" i="1" s="1"/>
  <c r="G821" i="1" a="1"/>
  <c r="G821" i="1" s="1"/>
  <c r="F821" i="1" a="1"/>
  <c r="F821" i="1" s="1"/>
  <c r="K820" i="1" a="1"/>
  <c r="K820" i="1" s="1"/>
  <c r="J820" i="1" a="1"/>
  <c r="J820" i="1" s="1"/>
  <c r="I820" i="1" a="1"/>
  <c r="I820" i="1" s="1"/>
  <c r="H820" i="1" a="1"/>
  <c r="H820" i="1" s="1"/>
  <c r="G820" i="1" a="1"/>
  <c r="G820" i="1" s="1"/>
  <c r="F820" i="1" a="1"/>
  <c r="F820" i="1" s="1"/>
  <c r="K819" i="1" a="1"/>
  <c r="K819" i="1" s="1"/>
  <c r="J819" i="1" a="1"/>
  <c r="J819" i="1" s="1"/>
  <c r="I819" i="1" a="1"/>
  <c r="I819" i="1" s="1"/>
  <c r="H819" i="1" a="1"/>
  <c r="H819" i="1" s="1"/>
  <c r="G819" i="1" a="1"/>
  <c r="G819" i="1" s="1"/>
  <c r="F819" i="1" a="1"/>
  <c r="F819" i="1" s="1"/>
  <c r="K818" i="1" a="1"/>
  <c r="K818" i="1" s="1"/>
  <c r="J818" i="1" a="1"/>
  <c r="J818" i="1" s="1"/>
  <c r="I818" i="1" a="1"/>
  <c r="I818" i="1" s="1"/>
  <c r="H818" i="1" a="1"/>
  <c r="H818" i="1" s="1"/>
  <c r="G818" i="1" a="1"/>
  <c r="G818" i="1" s="1"/>
  <c r="F818" i="1" a="1"/>
  <c r="F818" i="1" s="1"/>
  <c r="K817" i="1" a="1"/>
  <c r="K817" i="1" s="1"/>
  <c r="J817" i="1" a="1"/>
  <c r="J817" i="1" s="1"/>
  <c r="I817" i="1" a="1"/>
  <c r="I817" i="1" s="1"/>
  <c r="H817" i="1" a="1"/>
  <c r="H817" i="1" s="1"/>
  <c r="G817" i="1" a="1"/>
  <c r="G817" i="1" s="1"/>
  <c r="F817" i="1" a="1"/>
  <c r="F817" i="1" s="1"/>
  <c r="K816" i="1" a="1"/>
  <c r="K816" i="1" s="1"/>
  <c r="J816" i="1" a="1"/>
  <c r="J816" i="1" s="1"/>
  <c r="I816" i="1" a="1"/>
  <c r="I816" i="1" s="1"/>
  <c r="H816" i="1" a="1"/>
  <c r="H816" i="1" s="1"/>
  <c r="G816" i="1" a="1"/>
  <c r="G816" i="1" s="1"/>
  <c r="F816" i="1" a="1"/>
  <c r="F816" i="1" s="1"/>
  <c r="K761" i="1" a="1"/>
  <c r="K761" i="1" s="1"/>
  <c r="N801" i="1" s="1" a="1"/>
  <c r="N801" i="1" s="1"/>
  <c r="J761" i="1" a="1"/>
  <c r="J761" i="1" s="1"/>
  <c r="N800" i="1" s="1" a="1"/>
  <c r="N800" i="1" s="1"/>
  <c r="I761" i="1" a="1"/>
  <c r="I761" i="1" s="1"/>
  <c r="N799" i="1" s="1" a="1"/>
  <c r="N799" i="1" s="1"/>
  <c r="H761" i="1" a="1"/>
  <c r="H761" i="1" s="1"/>
  <c r="N798" i="1" s="1" a="1"/>
  <c r="N798" i="1" s="1"/>
  <c r="G761" i="1" a="1"/>
  <c r="G761" i="1" s="1"/>
  <c r="N797" i="1" s="1" a="1"/>
  <c r="N797" i="1" s="1"/>
  <c r="F761" i="1" a="1"/>
  <c r="F761" i="1" s="1"/>
  <c r="N796" i="1" s="1" a="1"/>
  <c r="N796" i="1" s="1"/>
  <c r="K760" i="1" a="1"/>
  <c r="K760" i="1" s="1"/>
  <c r="N795" i="1" s="1" a="1"/>
  <c r="N795" i="1" s="1"/>
  <c r="J760" i="1" a="1"/>
  <c r="J760" i="1" s="1"/>
  <c r="N794" i="1" s="1" a="1"/>
  <c r="N794" i="1" s="1"/>
  <c r="I760" i="1" a="1"/>
  <c r="I760" i="1" s="1"/>
  <c r="N793" i="1" s="1" a="1"/>
  <c r="N793" i="1" s="1"/>
  <c r="H760" i="1" a="1"/>
  <c r="H760" i="1" s="1"/>
  <c r="N792" i="1" s="1" a="1"/>
  <c r="N792" i="1" s="1"/>
  <c r="G760" i="1" a="1"/>
  <c r="G760" i="1" s="1"/>
  <c r="N791" i="1" s="1" a="1"/>
  <c r="N791" i="1" s="1"/>
  <c r="F760" i="1" a="1"/>
  <c r="F760" i="1" s="1"/>
  <c r="N790" i="1" s="1" a="1"/>
  <c r="N790" i="1" s="1"/>
  <c r="K759" i="1" a="1"/>
  <c r="K759" i="1" s="1"/>
  <c r="N789" i="1" s="1" a="1"/>
  <c r="N789" i="1" s="1"/>
  <c r="J759" i="1" a="1"/>
  <c r="J759" i="1" s="1"/>
  <c r="N788" i="1" s="1" a="1"/>
  <c r="N788" i="1" s="1"/>
  <c r="I759" i="1" a="1"/>
  <c r="I759" i="1" s="1"/>
  <c r="N787" i="1" s="1" a="1"/>
  <c r="N787" i="1" s="1"/>
  <c r="H759" i="1" a="1"/>
  <c r="H759" i="1" s="1"/>
  <c r="N786" i="1" s="1" a="1"/>
  <c r="N786" i="1" s="1"/>
  <c r="G759" i="1" a="1"/>
  <c r="G759" i="1" s="1"/>
  <c r="N785" i="1" s="1" a="1"/>
  <c r="N785" i="1" s="1"/>
  <c r="F759" i="1" a="1"/>
  <c r="F759" i="1" s="1"/>
  <c r="N784" i="1" s="1" a="1"/>
  <c r="N784" i="1" s="1"/>
  <c r="K758" i="1" a="1"/>
  <c r="K758" i="1" s="1"/>
  <c r="N783" i="1" s="1" a="1"/>
  <c r="N783" i="1" s="1"/>
  <c r="J758" i="1" a="1"/>
  <c r="J758" i="1" s="1"/>
  <c r="N782" i="1" s="1" a="1"/>
  <c r="N782" i="1" s="1"/>
  <c r="I758" i="1" a="1"/>
  <c r="I758" i="1" s="1"/>
  <c r="N781" i="1" s="1" a="1"/>
  <c r="N781" i="1" s="1"/>
  <c r="H758" i="1" a="1"/>
  <c r="H758" i="1" s="1"/>
  <c r="N780" i="1" s="1" a="1"/>
  <c r="N780" i="1" s="1"/>
  <c r="G758" i="1" a="1"/>
  <c r="G758" i="1" s="1"/>
  <c r="N779" i="1" s="1" a="1"/>
  <c r="N779" i="1" s="1"/>
  <c r="F758" i="1" a="1"/>
  <c r="F758" i="1" s="1"/>
  <c r="N778" i="1" s="1" a="1"/>
  <c r="N778" i="1" s="1"/>
  <c r="K757" i="1" a="1"/>
  <c r="K757" i="1" s="1"/>
  <c r="N777" i="1" s="1" a="1"/>
  <c r="N777" i="1" s="1"/>
  <c r="J757" i="1" a="1"/>
  <c r="J757" i="1" s="1"/>
  <c r="N776" i="1" s="1" a="1"/>
  <c r="N776" i="1" s="1"/>
  <c r="I757" i="1" a="1"/>
  <c r="I757" i="1" s="1"/>
  <c r="N775" i="1" s="1" a="1"/>
  <c r="N775" i="1" s="1"/>
  <c r="H757" i="1" a="1"/>
  <c r="H757" i="1" s="1"/>
  <c r="N774" i="1" s="1" a="1"/>
  <c r="N774" i="1" s="1"/>
  <c r="G757" i="1" a="1"/>
  <c r="G757" i="1" s="1"/>
  <c r="N773" i="1" s="1" a="1"/>
  <c r="N773" i="1" s="1"/>
  <c r="F757" i="1" a="1"/>
  <c r="F757" i="1" s="1"/>
  <c r="N772" i="1" s="1" a="1"/>
  <c r="N772" i="1" s="1"/>
  <c r="K756" i="1" a="1"/>
  <c r="K756" i="1" s="1"/>
  <c r="N771" i="1" s="1" a="1"/>
  <c r="N771" i="1" s="1"/>
  <c r="J756" i="1" a="1"/>
  <c r="J756" i="1" s="1"/>
  <c r="N770" i="1" s="1" a="1"/>
  <c r="N770" i="1" s="1"/>
  <c r="I756" i="1" a="1"/>
  <c r="I756" i="1" s="1"/>
  <c r="N769" i="1" s="1" a="1"/>
  <c r="N769" i="1" s="1"/>
  <c r="H756" i="1" a="1"/>
  <c r="H756" i="1" s="1"/>
  <c r="N768" i="1" s="1" a="1"/>
  <c r="N768" i="1" s="1"/>
  <c r="G756" i="1" a="1"/>
  <c r="G756" i="1" s="1"/>
  <c r="N767" i="1" s="1" a="1"/>
  <c r="N767" i="1" s="1"/>
  <c r="F756" i="1" a="1"/>
  <c r="F756" i="1" s="1"/>
  <c r="N766" i="1" s="1" a="1"/>
  <c r="N766" i="1" s="1"/>
  <c r="K755" i="1" a="1"/>
  <c r="K755" i="1" s="1"/>
  <c r="N765" i="1" s="1" a="1"/>
  <c r="N765" i="1" s="1"/>
  <c r="J755" i="1" a="1"/>
  <c r="J755" i="1" s="1"/>
  <c r="N764" i="1" s="1" a="1"/>
  <c r="N764" i="1" s="1"/>
  <c r="I755" i="1" a="1"/>
  <c r="I755" i="1" s="1"/>
  <c r="N763" i="1" s="1" a="1"/>
  <c r="N763" i="1" s="1"/>
  <c r="H755" i="1" a="1"/>
  <c r="H755" i="1" s="1"/>
  <c r="N762" i="1" s="1" a="1"/>
  <c r="N762" i="1" s="1"/>
  <c r="G755" i="1" a="1"/>
  <c r="G755" i="1" s="1"/>
  <c r="N761" i="1" s="1" a="1"/>
  <c r="N761" i="1" s="1"/>
  <c r="F755" i="1" a="1"/>
  <c r="F755" i="1" s="1"/>
  <c r="N760" i="1" s="1" a="1"/>
  <c r="N760" i="1" s="1"/>
  <c r="K754" i="1" a="1"/>
  <c r="K754" i="1" s="1"/>
  <c r="N759" i="1" s="1" a="1"/>
  <c r="N759" i="1" s="1"/>
  <c r="J754" i="1" a="1"/>
  <c r="J754" i="1" s="1"/>
  <c r="N758" i="1" s="1" a="1"/>
  <c r="N758" i="1" s="1"/>
  <c r="I754" i="1" a="1"/>
  <c r="I754" i="1" s="1"/>
  <c r="N757" i="1" s="1" a="1"/>
  <c r="N757" i="1" s="1"/>
  <c r="H754" i="1" a="1"/>
  <c r="H754" i="1" s="1"/>
  <c r="N756" i="1" s="1" a="1"/>
  <c r="N756" i="1" s="1"/>
  <c r="G754" i="1" a="1"/>
  <c r="G754" i="1" s="1"/>
  <c r="N755" i="1" s="1" a="1"/>
  <c r="N755" i="1" s="1"/>
  <c r="F754" i="1" a="1"/>
  <c r="F754" i="1" s="1"/>
  <c r="N754" i="1" s="1" a="1"/>
  <c r="N754" i="1" s="1"/>
  <c r="K700" i="1" a="1"/>
  <c r="K700" i="1" s="1"/>
  <c r="N735" i="1" s="1" a="1"/>
  <c r="N735" i="1" s="1"/>
  <c r="J700" i="1" a="1"/>
  <c r="J700" i="1" s="1"/>
  <c r="N740" i="1" s="1" a="1"/>
  <c r="N740" i="1" s="1"/>
  <c r="I700" i="1" a="1"/>
  <c r="I700" i="1" s="1"/>
  <c r="N739" i="1" s="1" a="1"/>
  <c r="N739" i="1" s="1"/>
  <c r="H700" i="1" a="1"/>
  <c r="H700" i="1" s="1"/>
  <c r="N738" i="1" s="1" a="1"/>
  <c r="N738" i="1" s="1"/>
  <c r="G700" i="1" a="1"/>
  <c r="G700" i="1" s="1"/>
  <c r="N737" i="1" s="1" a="1"/>
  <c r="N737" i="1" s="1"/>
  <c r="F700" i="1" a="1"/>
  <c r="F700" i="1" s="1"/>
  <c r="N736" i="1" s="1" a="1"/>
  <c r="N736" i="1" s="1"/>
  <c r="K699" i="1" a="1"/>
  <c r="K699" i="1" s="1"/>
  <c r="N729" i="1" s="1" a="1"/>
  <c r="N729" i="1" s="1"/>
  <c r="J699" i="1" a="1"/>
  <c r="J699" i="1" s="1"/>
  <c r="N734" i="1" s="1" a="1"/>
  <c r="N734" i="1" s="1"/>
  <c r="I699" i="1" a="1"/>
  <c r="I699" i="1" s="1"/>
  <c r="N733" i="1" s="1" a="1"/>
  <c r="N733" i="1" s="1"/>
  <c r="H699" i="1" a="1"/>
  <c r="H699" i="1" s="1"/>
  <c r="N732" i="1" s="1" a="1"/>
  <c r="N732" i="1" s="1"/>
  <c r="G699" i="1" a="1"/>
  <c r="G699" i="1" s="1"/>
  <c r="N731" i="1" s="1" a="1"/>
  <c r="N731" i="1" s="1"/>
  <c r="F699" i="1" a="1"/>
  <c r="F699" i="1" s="1"/>
  <c r="N730" i="1" s="1" a="1"/>
  <c r="N730" i="1" s="1"/>
  <c r="K698" i="1" a="1"/>
  <c r="K698" i="1" s="1"/>
  <c r="N723" i="1" s="1" a="1"/>
  <c r="N723" i="1" s="1"/>
  <c r="J698" i="1" a="1"/>
  <c r="J698" i="1" s="1"/>
  <c r="N728" i="1" s="1" a="1"/>
  <c r="N728" i="1" s="1"/>
  <c r="I698" i="1" a="1"/>
  <c r="I698" i="1" s="1"/>
  <c r="N727" i="1" s="1" a="1"/>
  <c r="N727" i="1" s="1"/>
  <c r="H698" i="1" a="1"/>
  <c r="H698" i="1" s="1"/>
  <c r="N726" i="1" s="1" a="1"/>
  <c r="N726" i="1" s="1"/>
  <c r="G698" i="1" a="1"/>
  <c r="G698" i="1" s="1"/>
  <c r="N725" i="1" s="1" a="1"/>
  <c r="N725" i="1" s="1"/>
  <c r="F698" i="1" a="1"/>
  <c r="F698" i="1" s="1"/>
  <c r="N724" i="1" s="1" a="1"/>
  <c r="N724" i="1" s="1"/>
  <c r="K697" i="1" a="1"/>
  <c r="K697" i="1" s="1"/>
  <c r="N717" i="1" s="1" a="1"/>
  <c r="N717" i="1" s="1"/>
  <c r="J697" i="1" a="1"/>
  <c r="J697" i="1" s="1"/>
  <c r="N722" i="1" s="1" a="1"/>
  <c r="N722" i="1" s="1"/>
  <c r="I697" i="1" a="1"/>
  <c r="I697" i="1" s="1"/>
  <c r="N721" i="1" s="1" a="1"/>
  <c r="N721" i="1" s="1"/>
  <c r="H697" i="1" a="1"/>
  <c r="H697" i="1" s="1"/>
  <c r="N720" i="1" s="1" a="1"/>
  <c r="N720" i="1" s="1"/>
  <c r="G697" i="1" a="1"/>
  <c r="G697" i="1" s="1"/>
  <c r="N719" i="1" s="1" a="1"/>
  <c r="N719" i="1" s="1"/>
  <c r="F697" i="1" a="1"/>
  <c r="F697" i="1" s="1"/>
  <c r="N718" i="1" s="1" a="1"/>
  <c r="N718" i="1" s="1"/>
  <c r="K696" i="1" a="1"/>
  <c r="K696" i="1" s="1"/>
  <c r="N711" i="1" s="1" a="1"/>
  <c r="N711" i="1" s="1"/>
  <c r="J696" i="1" a="1"/>
  <c r="J696" i="1" s="1"/>
  <c r="N716" i="1" s="1" a="1"/>
  <c r="N716" i="1" s="1"/>
  <c r="I696" i="1" a="1"/>
  <c r="I696" i="1" s="1"/>
  <c r="N715" i="1" s="1" a="1"/>
  <c r="N715" i="1" s="1"/>
  <c r="H696" i="1" a="1"/>
  <c r="H696" i="1" s="1"/>
  <c r="N714" i="1" s="1" a="1"/>
  <c r="N714" i="1" s="1"/>
  <c r="G696" i="1" a="1"/>
  <c r="G696" i="1" s="1"/>
  <c r="N713" i="1" s="1" a="1"/>
  <c r="N713" i="1" s="1"/>
  <c r="F696" i="1" a="1"/>
  <c r="F696" i="1" s="1"/>
  <c r="N712" i="1" s="1" a="1"/>
  <c r="N712" i="1" s="1"/>
  <c r="K695" i="1" a="1"/>
  <c r="K695" i="1" s="1"/>
  <c r="N705" i="1" s="1" a="1"/>
  <c r="N705" i="1" s="1"/>
  <c r="J695" i="1" a="1"/>
  <c r="J695" i="1" s="1"/>
  <c r="N710" i="1" s="1" a="1"/>
  <c r="N710" i="1" s="1"/>
  <c r="I695" i="1" a="1"/>
  <c r="I695" i="1" s="1"/>
  <c r="N709" i="1" s="1" a="1"/>
  <c r="N709" i="1" s="1"/>
  <c r="H695" i="1" a="1"/>
  <c r="H695" i="1" s="1"/>
  <c r="N708" i="1" s="1" a="1"/>
  <c r="N708" i="1" s="1"/>
  <c r="G695" i="1" a="1"/>
  <c r="G695" i="1" s="1"/>
  <c r="N707" i="1" s="1" a="1"/>
  <c r="N707" i="1" s="1"/>
  <c r="F695" i="1" a="1"/>
  <c r="F695" i="1" s="1"/>
  <c r="N706" i="1" s="1" a="1"/>
  <c r="N706" i="1" s="1"/>
  <c r="K694" i="1" a="1"/>
  <c r="K694" i="1" s="1"/>
  <c r="N699" i="1" s="1" a="1"/>
  <c r="N699" i="1" s="1"/>
  <c r="J694" i="1" a="1"/>
  <c r="J694" i="1" s="1"/>
  <c r="N704" i="1" s="1" a="1"/>
  <c r="N704" i="1" s="1"/>
  <c r="I694" i="1" a="1"/>
  <c r="I694" i="1" s="1"/>
  <c r="N703" i="1" s="1" a="1"/>
  <c r="N703" i="1" s="1"/>
  <c r="H694" i="1" a="1"/>
  <c r="H694" i="1" s="1"/>
  <c r="N702" i="1" s="1" a="1"/>
  <c r="N702" i="1" s="1"/>
  <c r="G694" i="1" a="1"/>
  <c r="G694" i="1" s="1"/>
  <c r="N701" i="1" s="1" a="1"/>
  <c r="N701" i="1" s="1"/>
  <c r="F694" i="1" a="1"/>
  <c r="F694" i="1" s="1"/>
  <c r="N700" i="1" s="1" a="1"/>
  <c r="N700" i="1" s="1"/>
  <c r="K693" i="1" a="1"/>
  <c r="K693" i="1" s="1"/>
  <c r="N693" i="1" s="1" a="1"/>
  <c r="N693" i="1" s="1"/>
  <c r="J693" i="1" a="1"/>
  <c r="J693" i="1" s="1"/>
  <c r="N698" i="1" s="1" a="1"/>
  <c r="N698" i="1" s="1"/>
  <c r="I693" i="1" a="1"/>
  <c r="I693" i="1" s="1"/>
  <c r="N697" i="1" s="1" a="1"/>
  <c r="N697" i="1" s="1"/>
  <c r="H693" i="1" a="1"/>
  <c r="H693" i="1" s="1"/>
  <c r="N696" i="1" s="1" a="1"/>
  <c r="N696" i="1" s="1"/>
  <c r="G693" i="1" a="1"/>
  <c r="G693" i="1" s="1"/>
  <c r="N695" i="1" s="1" a="1"/>
  <c r="N695" i="1" s="1"/>
  <c r="F693" i="1" a="1"/>
  <c r="F693" i="1" s="1"/>
  <c r="N694" i="1" s="1" a="1"/>
  <c r="N694" i="1" s="1"/>
  <c r="K639" i="1" a="1"/>
  <c r="K639" i="1" s="1"/>
  <c r="N675" i="1" s="1" a="1"/>
  <c r="N675" i="1" s="1"/>
  <c r="J639" i="1" a="1"/>
  <c r="J639" i="1" s="1"/>
  <c r="N674" i="1" s="1" a="1"/>
  <c r="N674" i="1" s="1"/>
  <c r="I639" i="1" a="1"/>
  <c r="I639" i="1" s="1"/>
  <c r="N679" i="1" s="1" a="1"/>
  <c r="N679" i="1" s="1"/>
  <c r="H639" i="1" a="1"/>
  <c r="H639" i="1" s="1"/>
  <c r="N678" i="1" s="1" a="1"/>
  <c r="N678" i="1" s="1"/>
  <c r="G639" i="1" a="1"/>
  <c r="G639" i="1" s="1"/>
  <c r="N677" i="1" s="1" a="1"/>
  <c r="N677" i="1" s="1"/>
  <c r="F639" i="1" a="1"/>
  <c r="F639" i="1" s="1"/>
  <c r="N676" i="1" s="1" a="1"/>
  <c r="N676" i="1" s="1"/>
  <c r="K638" i="1" a="1"/>
  <c r="K638" i="1" s="1"/>
  <c r="N669" i="1" s="1" a="1"/>
  <c r="N669" i="1" s="1"/>
  <c r="J638" i="1" a="1"/>
  <c r="J638" i="1" s="1"/>
  <c r="N668" i="1" s="1" a="1"/>
  <c r="N668" i="1" s="1"/>
  <c r="I638" i="1" a="1"/>
  <c r="I638" i="1" s="1"/>
  <c r="N673" i="1" s="1" a="1"/>
  <c r="N673" i="1" s="1"/>
  <c r="H638" i="1" a="1"/>
  <c r="H638" i="1" s="1"/>
  <c r="N672" i="1" s="1" a="1"/>
  <c r="N672" i="1" s="1"/>
  <c r="G638" i="1" a="1"/>
  <c r="G638" i="1" s="1"/>
  <c r="N671" i="1" s="1" a="1"/>
  <c r="N671" i="1" s="1"/>
  <c r="F638" i="1" a="1"/>
  <c r="F638" i="1" s="1"/>
  <c r="N670" i="1" s="1" a="1"/>
  <c r="N670" i="1" s="1"/>
  <c r="K637" i="1" a="1"/>
  <c r="K637" i="1" s="1"/>
  <c r="N663" i="1" s="1" a="1"/>
  <c r="N663" i="1" s="1"/>
  <c r="J637" i="1" a="1"/>
  <c r="J637" i="1" s="1"/>
  <c r="N662" i="1" s="1" a="1"/>
  <c r="N662" i="1" s="1"/>
  <c r="I637" i="1" a="1"/>
  <c r="I637" i="1" s="1"/>
  <c r="N667" i="1" s="1" a="1"/>
  <c r="N667" i="1" s="1"/>
  <c r="H637" i="1" a="1"/>
  <c r="H637" i="1" s="1"/>
  <c r="N666" i="1" s="1" a="1"/>
  <c r="N666" i="1" s="1"/>
  <c r="G637" i="1" a="1"/>
  <c r="G637" i="1" s="1"/>
  <c r="N665" i="1" s="1" a="1"/>
  <c r="N665" i="1" s="1"/>
  <c r="F637" i="1" a="1"/>
  <c r="F637" i="1" s="1"/>
  <c r="N664" i="1" s="1" a="1"/>
  <c r="N664" i="1" s="1"/>
  <c r="K636" i="1" a="1"/>
  <c r="K636" i="1" s="1"/>
  <c r="N657" i="1" s="1" a="1"/>
  <c r="N657" i="1" s="1"/>
  <c r="J636" i="1" a="1"/>
  <c r="J636" i="1" s="1"/>
  <c r="N656" i="1" s="1" a="1"/>
  <c r="N656" i="1" s="1"/>
  <c r="I636" i="1" a="1"/>
  <c r="I636" i="1" s="1"/>
  <c r="N661" i="1" s="1" a="1"/>
  <c r="N661" i="1" s="1"/>
  <c r="H636" i="1" a="1"/>
  <c r="H636" i="1" s="1"/>
  <c r="N660" i="1" s="1" a="1"/>
  <c r="N660" i="1" s="1"/>
  <c r="G636" i="1" a="1"/>
  <c r="G636" i="1" s="1"/>
  <c r="N659" i="1" s="1" a="1"/>
  <c r="N659" i="1" s="1"/>
  <c r="F636" i="1" a="1"/>
  <c r="F636" i="1" s="1"/>
  <c r="N658" i="1" s="1" a="1"/>
  <c r="N658" i="1" s="1"/>
  <c r="K635" i="1" a="1"/>
  <c r="K635" i="1" s="1"/>
  <c r="N651" i="1" s="1" a="1"/>
  <c r="N651" i="1" s="1"/>
  <c r="J635" i="1" a="1"/>
  <c r="J635" i="1" s="1"/>
  <c r="N650" i="1" s="1" a="1"/>
  <c r="N650" i="1" s="1"/>
  <c r="I635" i="1" a="1"/>
  <c r="I635" i="1" s="1"/>
  <c r="N655" i="1" s="1" a="1"/>
  <c r="N655" i="1" s="1"/>
  <c r="H635" i="1" a="1"/>
  <c r="H635" i="1" s="1"/>
  <c r="N654" i="1" s="1" a="1"/>
  <c r="N654" i="1" s="1"/>
  <c r="G635" i="1" a="1"/>
  <c r="G635" i="1" s="1"/>
  <c r="N653" i="1" s="1" a="1"/>
  <c r="N653" i="1" s="1"/>
  <c r="F635" i="1" a="1"/>
  <c r="F635" i="1" s="1"/>
  <c r="N652" i="1" s="1" a="1"/>
  <c r="N652" i="1" s="1"/>
  <c r="K634" i="1" a="1"/>
  <c r="K634" i="1" s="1"/>
  <c r="N645" i="1" s="1" a="1"/>
  <c r="N645" i="1" s="1"/>
  <c r="J634" i="1" a="1"/>
  <c r="J634" i="1" s="1"/>
  <c r="N644" i="1" s="1" a="1"/>
  <c r="N644" i="1" s="1"/>
  <c r="I634" i="1" a="1"/>
  <c r="I634" i="1" s="1"/>
  <c r="N649" i="1" s="1" a="1"/>
  <c r="N649" i="1" s="1"/>
  <c r="H634" i="1" a="1"/>
  <c r="H634" i="1" s="1"/>
  <c r="N648" i="1" s="1" a="1"/>
  <c r="N648" i="1" s="1"/>
  <c r="G634" i="1" a="1"/>
  <c r="G634" i="1" s="1"/>
  <c r="N647" i="1" s="1" a="1"/>
  <c r="N647" i="1" s="1"/>
  <c r="F634" i="1" a="1"/>
  <c r="F634" i="1" s="1"/>
  <c r="N646" i="1" s="1" a="1"/>
  <c r="N646" i="1" s="1"/>
  <c r="K633" i="1" a="1"/>
  <c r="K633" i="1" s="1"/>
  <c r="N639" i="1" s="1" a="1"/>
  <c r="N639" i="1" s="1"/>
  <c r="J633" i="1" a="1"/>
  <c r="J633" i="1" s="1"/>
  <c r="N638" i="1" s="1" a="1"/>
  <c r="N638" i="1" s="1"/>
  <c r="I633" i="1" a="1"/>
  <c r="I633" i="1" s="1"/>
  <c r="N643" i="1" s="1" a="1"/>
  <c r="N643" i="1" s="1"/>
  <c r="H633" i="1" a="1"/>
  <c r="H633" i="1" s="1"/>
  <c r="N642" i="1" s="1" a="1"/>
  <c r="N642" i="1" s="1"/>
  <c r="G633" i="1" a="1"/>
  <c r="G633" i="1" s="1"/>
  <c r="N641" i="1" s="1" a="1"/>
  <c r="N641" i="1" s="1"/>
  <c r="F633" i="1" a="1"/>
  <c r="F633" i="1" s="1"/>
  <c r="N640" i="1" s="1" a="1"/>
  <c r="N640" i="1" s="1"/>
  <c r="K632" i="1" a="1"/>
  <c r="K632" i="1" s="1"/>
  <c r="N633" i="1" s="1" a="1"/>
  <c r="N633" i="1" s="1"/>
  <c r="J632" i="1" a="1"/>
  <c r="J632" i="1" s="1"/>
  <c r="N632" i="1" s="1" a="1"/>
  <c r="N632" i="1" s="1"/>
  <c r="I632" i="1" a="1"/>
  <c r="I632" i="1" s="1"/>
  <c r="N637" i="1" s="1" a="1"/>
  <c r="N637" i="1" s="1"/>
  <c r="H632" i="1" a="1"/>
  <c r="H632" i="1" s="1"/>
  <c r="N636" i="1" s="1" a="1"/>
  <c r="N636" i="1" s="1"/>
  <c r="G632" i="1" a="1"/>
  <c r="G632" i="1" s="1"/>
  <c r="N635" i="1" s="1" a="1"/>
  <c r="N635" i="1" s="1"/>
  <c r="F632" i="1" a="1"/>
  <c r="F632" i="1" s="1"/>
  <c r="N634" i="1" s="1" a="1"/>
  <c r="N634" i="1" s="1"/>
  <c r="K578" i="1" a="1"/>
  <c r="K578" i="1" s="1"/>
  <c r="N615" i="1" s="1" a="1"/>
  <c r="N615" i="1" s="1"/>
  <c r="J578" i="1" a="1"/>
  <c r="J578" i="1" s="1"/>
  <c r="N614" i="1" s="1" a="1"/>
  <c r="N614" i="1" s="1"/>
  <c r="I578" i="1" a="1"/>
  <c r="I578" i="1" s="1"/>
  <c r="N613" i="1" s="1" a="1"/>
  <c r="N613" i="1" s="1"/>
  <c r="H578" i="1" a="1"/>
  <c r="H578" i="1" s="1"/>
  <c r="N618" i="1" s="1" a="1"/>
  <c r="N618" i="1" s="1"/>
  <c r="G578" i="1" a="1"/>
  <c r="G578" i="1" s="1"/>
  <c r="N617" i="1" s="1" a="1"/>
  <c r="N617" i="1" s="1"/>
  <c r="F578" i="1" a="1"/>
  <c r="F578" i="1" s="1"/>
  <c r="N616" i="1" s="1" a="1"/>
  <c r="N616" i="1" s="1"/>
  <c r="K577" i="1" a="1"/>
  <c r="K577" i="1" s="1"/>
  <c r="N609" i="1" s="1" a="1"/>
  <c r="N609" i="1" s="1"/>
  <c r="J577" i="1" a="1"/>
  <c r="J577" i="1" s="1"/>
  <c r="N608" i="1" s="1" a="1"/>
  <c r="N608" i="1" s="1"/>
  <c r="I577" i="1" a="1"/>
  <c r="I577" i="1" s="1"/>
  <c r="N607" i="1" s="1" a="1"/>
  <c r="N607" i="1" s="1"/>
  <c r="H577" i="1" a="1"/>
  <c r="H577" i="1" s="1"/>
  <c r="N612" i="1" s="1" a="1"/>
  <c r="N612" i="1" s="1"/>
  <c r="G577" i="1" a="1"/>
  <c r="G577" i="1" s="1"/>
  <c r="N611" i="1" s="1" a="1"/>
  <c r="N611" i="1" s="1"/>
  <c r="F577" i="1" a="1"/>
  <c r="F577" i="1" s="1"/>
  <c r="N610" i="1" s="1" a="1"/>
  <c r="N610" i="1" s="1"/>
  <c r="K576" i="1" a="1"/>
  <c r="K576" i="1" s="1"/>
  <c r="N603" i="1" s="1" a="1"/>
  <c r="N603" i="1" s="1"/>
  <c r="J576" i="1" a="1"/>
  <c r="J576" i="1" s="1"/>
  <c r="N602" i="1" s="1" a="1"/>
  <c r="N602" i="1" s="1"/>
  <c r="I576" i="1" a="1"/>
  <c r="I576" i="1" s="1"/>
  <c r="N601" i="1" s="1" a="1"/>
  <c r="N601" i="1" s="1"/>
  <c r="H576" i="1" a="1"/>
  <c r="H576" i="1" s="1"/>
  <c r="N606" i="1" s="1" a="1"/>
  <c r="N606" i="1" s="1"/>
  <c r="G576" i="1" a="1"/>
  <c r="G576" i="1" s="1"/>
  <c r="N605" i="1" s="1" a="1"/>
  <c r="N605" i="1" s="1"/>
  <c r="F576" i="1" a="1"/>
  <c r="F576" i="1" s="1"/>
  <c r="N604" i="1" s="1" a="1"/>
  <c r="N604" i="1" s="1"/>
  <c r="K575" i="1" a="1"/>
  <c r="K575" i="1" s="1"/>
  <c r="N597" i="1" s="1" a="1"/>
  <c r="N597" i="1" s="1"/>
  <c r="J575" i="1" a="1"/>
  <c r="J575" i="1" s="1"/>
  <c r="N596" i="1" s="1" a="1"/>
  <c r="N596" i="1" s="1"/>
  <c r="I575" i="1" a="1"/>
  <c r="I575" i="1" s="1"/>
  <c r="N595" i="1" s="1" a="1"/>
  <c r="N595" i="1" s="1"/>
  <c r="H575" i="1" a="1"/>
  <c r="H575" i="1" s="1"/>
  <c r="N600" i="1" s="1" a="1"/>
  <c r="N600" i="1" s="1"/>
  <c r="G575" i="1" a="1"/>
  <c r="G575" i="1" s="1"/>
  <c r="N599" i="1" s="1" a="1"/>
  <c r="N599" i="1" s="1"/>
  <c r="F575" i="1" a="1"/>
  <c r="F575" i="1" s="1"/>
  <c r="N598" i="1" s="1" a="1"/>
  <c r="N598" i="1" s="1"/>
  <c r="K574" i="1" a="1"/>
  <c r="K574" i="1" s="1"/>
  <c r="N591" i="1" s="1" a="1"/>
  <c r="N591" i="1" s="1"/>
  <c r="J574" i="1" a="1"/>
  <c r="J574" i="1" s="1"/>
  <c r="N590" i="1" s="1" a="1"/>
  <c r="N590" i="1" s="1"/>
  <c r="I574" i="1" a="1"/>
  <c r="I574" i="1" s="1"/>
  <c r="N589" i="1" s="1" a="1"/>
  <c r="N589" i="1" s="1"/>
  <c r="H574" i="1" a="1"/>
  <c r="H574" i="1" s="1"/>
  <c r="N594" i="1" s="1" a="1"/>
  <c r="N594" i="1" s="1"/>
  <c r="G574" i="1" a="1"/>
  <c r="G574" i="1" s="1"/>
  <c r="N593" i="1" s="1" a="1"/>
  <c r="N593" i="1" s="1"/>
  <c r="F574" i="1" a="1"/>
  <c r="F574" i="1" s="1"/>
  <c r="N592" i="1" s="1" a="1"/>
  <c r="N592" i="1" s="1"/>
  <c r="K573" i="1" a="1"/>
  <c r="K573" i="1" s="1"/>
  <c r="N585" i="1" s="1" a="1"/>
  <c r="N585" i="1" s="1"/>
  <c r="J573" i="1" a="1"/>
  <c r="J573" i="1" s="1"/>
  <c r="N584" i="1" s="1" a="1"/>
  <c r="N584" i="1" s="1"/>
  <c r="I573" i="1" a="1"/>
  <c r="I573" i="1" s="1"/>
  <c r="N583" i="1" s="1" a="1"/>
  <c r="N583" i="1" s="1"/>
  <c r="H573" i="1" a="1"/>
  <c r="H573" i="1" s="1"/>
  <c r="N588" i="1" s="1" a="1"/>
  <c r="N588" i="1" s="1"/>
  <c r="G573" i="1" a="1"/>
  <c r="G573" i="1" s="1"/>
  <c r="N587" i="1" s="1" a="1"/>
  <c r="N587" i="1" s="1"/>
  <c r="F573" i="1" a="1"/>
  <c r="F573" i="1" s="1"/>
  <c r="N586" i="1" s="1" a="1"/>
  <c r="N586" i="1" s="1"/>
  <c r="K572" i="1" a="1"/>
  <c r="K572" i="1" s="1"/>
  <c r="N579" i="1" s="1" a="1"/>
  <c r="N579" i="1" s="1"/>
  <c r="J572" i="1" a="1"/>
  <c r="J572" i="1" s="1"/>
  <c r="N578" i="1" s="1" a="1"/>
  <c r="N578" i="1" s="1"/>
  <c r="I572" i="1" a="1"/>
  <c r="I572" i="1" s="1"/>
  <c r="N577" i="1" s="1" a="1"/>
  <c r="N577" i="1" s="1"/>
  <c r="H572" i="1" a="1"/>
  <c r="H572" i="1" s="1"/>
  <c r="N582" i="1" s="1" a="1"/>
  <c r="N582" i="1" s="1"/>
  <c r="G572" i="1" a="1"/>
  <c r="G572" i="1" s="1"/>
  <c r="N581" i="1" s="1" a="1"/>
  <c r="N581" i="1" s="1"/>
  <c r="F572" i="1" a="1"/>
  <c r="F572" i="1" s="1"/>
  <c r="N580" i="1" s="1" a="1"/>
  <c r="N580" i="1" s="1"/>
  <c r="K571" i="1" a="1"/>
  <c r="K571" i="1" s="1"/>
  <c r="N573" i="1" s="1" a="1"/>
  <c r="N573" i="1" s="1"/>
  <c r="J571" i="1" a="1"/>
  <c r="J571" i="1" s="1"/>
  <c r="N572" i="1" s="1" a="1"/>
  <c r="N572" i="1" s="1"/>
  <c r="I571" i="1" a="1"/>
  <c r="I571" i="1" s="1"/>
  <c r="N571" i="1" s="1" a="1"/>
  <c r="N571" i="1" s="1"/>
  <c r="H571" i="1" a="1"/>
  <c r="H571" i="1" s="1"/>
  <c r="N576" i="1" s="1" a="1"/>
  <c r="N576" i="1" s="1"/>
  <c r="G571" i="1" a="1"/>
  <c r="G571" i="1" s="1"/>
  <c r="N575" i="1" s="1" a="1"/>
  <c r="N575" i="1" s="1"/>
  <c r="F571" i="1" a="1"/>
  <c r="F571" i="1" s="1"/>
  <c r="N574" i="1" s="1" a="1"/>
  <c r="N574" i="1" s="1"/>
  <c r="K517" i="1" a="1"/>
  <c r="K517" i="1" s="1"/>
  <c r="N555" i="1" s="1" a="1"/>
  <c r="N555" i="1" s="1"/>
  <c r="J517" i="1" a="1"/>
  <c r="J517" i="1" s="1"/>
  <c r="N554" i="1" s="1" a="1"/>
  <c r="N554" i="1" s="1"/>
  <c r="I517" i="1" a="1"/>
  <c r="I517" i="1" s="1"/>
  <c r="N553" i="1" s="1" a="1"/>
  <c r="N553" i="1" s="1"/>
  <c r="H517" i="1" a="1"/>
  <c r="H517" i="1" s="1"/>
  <c r="N552" i="1" s="1" a="1"/>
  <c r="N552" i="1" s="1"/>
  <c r="G517" i="1" a="1"/>
  <c r="G517" i="1" s="1"/>
  <c r="N557" i="1" s="1" a="1"/>
  <c r="N557" i="1" s="1"/>
  <c r="F517" i="1" a="1"/>
  <c r="F517" i="1" s="1"/>
  <c r="N556" i="1" s="1" a="1"/>
  <c r="N556" i="1" s="1"/>
  <c r="K516" i="1" a="1"/>
  <c r="K516" i="1" s="1"/>
  <c r="N549" i="1" s="1" a="1"/>
  <c r="N549" i="1" s="1"/>
  <c r="J516" i="1" a="1"/>
  <c r="J516" i="1" s="1"/>
  <c r="N548" i="1" s="1" a="1"/>
  <c r="N548" i="1" s="1"/>
  <c r="I516" i="1" a="1"/>
  <c r="I516" i="1" s="1"/>
  <c r="N547" i="1" s="1" a="1"/>
  <c r="N547" i="1" s="1"/>
  <c r="H516" i="1" a="1"/>
  <c r="H516" i="1" s="1"/>
  <c r="N546" i="1" s="1" a="1"/>
  <c r="N546" i="1" s="1"/>
  <c r="G516" i="1" a="1"/>
  <c r="G516" i="1" s="1"/>
  <c r="N551" i="1" s="1" a="1"/>
  <c r="N551" i="1" s="1"/>
  <c r="F516" i="1" a="1"/>
  <c r="F516" i="1" s="1"/>
  <c r="N550" i="1" s="1" a="1"/>
  <c r="N550" i="1" s="1"/>
  <c r="K515" i="1" a="1"/>
  <c r="K515" i="1" s="1"/>
  <c r="N543" i="1" s="1" a="1"/>
  <c r="N543" i="1" s="1"/>
  <c r="J515" i="1" a="1"/>
  <c r="J515" i="1" s="1"/>
  <c r="N542" i="1" s="1" a="1"/>
  <c r="N542" i="1" s="1"/>
  <c r="I515" i="1" a="1"/>
  <c r="I515" i="1" s="1"/>
  <c r="N541" i="1" s="1" a="1"/>
  <c r="N541" i="1" s="1"/>
  <c r="H515" i="1" a="1"/>
  <c r="H515" i="1" s="1"/>
  <c r="N540" i="1" s="1" a="1"/>
  <c r="N540" i="1" s="1"/>
  <c r="G515" i="1" a="1"/>
  <c r="G515" i="1" s="1"/>
  <c r="N545" i="1" s="1" a="1"/>
  <c r="N545" i="1" s="1"/>
  <c r="F515" i="1" a="1"/>
  <c r="F515" i="1" s="1"/>
  <c r="N544" i="1" s="1" a="1"/>
  <c r="N544" i="1" s="1"/>
  <c r="K514" i="1" a="1"/>
  <c r="K514" i="1" s="1"/>
  <c r="N537" i="1" s="1" a="1"/>
  <c r="N537" i="1" s="1"/>
  <c r="J514" i="1" a="1"/>
  <c r="J514" i="1" s="1"/>
  <c r="N536" i="1" s="1" a="1"/>
  <c r="N536" i="1" s="1"/>
  <c r="I514" i="1" a="1"/>
  <c r="I514" i="1" s="1"/>
  <c r="N535" i="1" s="1" a="1"/>
  <c r="N535" i="1" s="1"/>
  <c r="H514" i="1" a="1"/>
  <c r="H514" i="1" s="1"/>
  <c r="N534" i="1" s="1" a="1"/>
  <c r="N534" i="1" s="1"/>
  <c r="G514" i="1" a="1"/>
  <c r="G514" i="1" s="1"/>
  <c r="N539" i="1" s="1" a="1"/>
  <c r="N539" i="1" s="1"/>
  <c r="F514" i="1" a="1"/>
  <c r="F514" i="1" s="1"/>
  <c r="N538" i="1" s="1" a="1"/>
  <c r="N538" i="1" s="1"/>
  <c r="K513" i="1" a="1"/>
  <c r="K513" i="1" s="1"/>
  <c r="N531" i="1" s="1" a="1"/>
  <c r="N531" i="1" s="1"/>
  <c r="J513" i="1" a="1"/>
  <c r="J513" i="1" s="1"/>
  <c r="N530" i="1" s="1" a="1"/>
  <c r="N530" i="1" s="1"/>
  <c r="I513" i="1" a="1"/>
  <c r="I513" i="1" s="1"/>
  <c r="N529" i="1" s="1" a="1"/>
  <c r="N529" i="1" s="1"/>
  <c r="H513" i="1" a="1"/>
  <c r="H513" i="1" s="1"/>
  <c r="N528" i="1" s="1" a="1"/>
  <c r="N528" i="1" s="1"/>
  <c r="G513" i="1" a="1"/>
  <c r="G513" i="1" s="1"/>
  <c r="N533" i="1" s="1" a="1"/>
  <c r="N533" i="1" s="1"/>
  <c r="F513" i="1" a="1"/>
  <c r="F513" i="1" s="1"/>
  <c r="N532" i="1" s="1" a="1"/>
  <c r="N532" i="1" s="1"/>
  <c r="K512" i="1" a="1"/>
  <c r="K512" i="1" s="1"/>
  <c r="N525" i="1" s="1" a="1"/>
  <c r="N525" i="1" s="1"/>
  <c r="J512" i="1" a="1"/>
  <c r="J512" i="1" s="1"/>
  <c r="N524" i="1" s="1" a="1"/>
  <c r="N524" i="1" s="1"/>
  <c r="I512" i="1" a="1"/>
  <c r="I512" i="1" s="1"/>
  <c r="N523" i="1" s="1" a="1"/>
  <c r="N523" i="1" s="1"/>
  <c r="H512" i="1" a="1"/>
  <c r="H512" i="1" s="1"/>
  <c r="N522" i="1" s="1" a="1"/>
  <c r="N522" i="1" s="1"/>
  <c r="G512" i="1" a="1"/>
  <c r="G512" i="1" s="1"/>
  <c r="N527" i="1" s="1" a="1"/>
  <c r="N527" i="1" s="1"/>
  <c r="F512" i="1" a="1"/>
  <c r="F512" i="1" s="1"/>
  <c r="N526" i="1" s="1" a="1"/>
  <c r="N526" i="1" s="1"/>
  <c r="K511" i="1" a="1"/>
  <c r="K511" i="1" s="1"/>
  <c r="N519" i="1" s="1" a="1"/>
  <c r="N519" i="1" s="1"/>
  <c r="J511" i="1" a="1"/>
  <c r="J511" i="1" s="1"/>
  <c r="N518" i="1" s="1" a="1"/>
  <c r="N518" i="1" s="1"/>
  <c r="I511" i="1" a="1"/>
  <c r="I511" i="1" s="1"/>
  <c r="N517" i="1" s="1" a="1"/>
  <c r="N517" i="1" s="1"/>
  <c r="H511" i="1" a="1"/>
  <c r="H511" i="1" s="1"/>
  <c r="N516" i="1" s="1" a="1"/>
  <c r="N516" i="1" s="1"/>
  <c r="G511" i="1" a="1"/>
  <c r="G511" i="1" s="1"/>
  <c r="N521" i="1" s="1" a="1"/>
  <c r="N521" i="1" s="1"/>
  <c r="F511" i="1" a="1"/>
  <c r="F511" i="1" s="1"/>
  <c r="N520" i="1" s="1" a="1"/>
  <c r="N520" i="1" s="1"/>
  <c r="K510" i="1" a="1"/>
  <c r="K510" i="1" s="1"/>
  <c r="N513" i="1" s="1" a="1"/>
  <c r="N513" i="1" s="1"/>
  <c r="J510" i="1" a="1"/>
  <c r="J510" i="1" s="1"/>
  <c r="N512" i="1" s="1" a="1"/>
  <c r="N512" i="1" s="1"/>
  <c r="I510" i="1" a="1"/>
  <c r="I510" i="1" s="1"/>
  <c r="N511" i="1" s="1" a="1"/>
  <c r="N511" i="1" s="1"/>
  <c r="H510" i="1" a="1"/>
  <c r="H510" i="1" s="1"/>
  <c r="N510" i="1" s="1" a="1"/>
  <c r="N510" i="1" s="1"/>
  <c r="G510" i="1" a="1"/>
  <c r="G510" i="1" s="1"/>
  <c r="N515" i="1" s="1" a="1"/>
  <c r="N515" i="1" s="1"/>
  <c r="F510" i="1" a="1"/>
  <c r="F510" i="1" s="1"/>
  <c r="N514" i="1" s="1" a="1"/>
  <c r="N514" i="1" s="1"/>
  <c r="K455" i="1" a="1"/>
  <c r="K455" i="1" s="1"/>
  <c r="N495" i="1" s="1" a="1"/>
  <c r="N495" i="1" s="1"/>
  <c r="J455" i="1" a="1"/>
  <c r="J455" i="1" s="1"/>
  <c r="N494" i="1" s="1" a="1"/>
  <c r="N494" i="1" s="1"/>
  <c r="I455" i="1" a="1"/>
  <c r="I455" i="1" s="1"/>
  <c r="N493" i="1" s="1" a="1"/>
  <c r="N493" i="1" s="1"/>
  <c r="H455" i="1" a="1"/>
  <c r="H455" i="1" s="1"/>
  <c r="N492" i="1" s="1" a="1"/>
  <c r="N492" i="1" s="1"/>
  <c r="G455" i="1" a="1"/>
  <c r="G455" i="1" s="1"/>
  <c r="N491" i="1" s="1" a="1"/>
  <c r="N491" i="1" s="1"/>
  <c r="F455" i="1" a="1"/>
  <c r="F455" i="1" s="1"/>
  <c r="N490" i="1" s="1" a="1"/>
  <c r="N490" i="1" s="1"/>
  <c r="K454" i="1" a="1"/>
  <c r="K454" i="1" s="1"/>
  <c r="N489" i="1" s="1" a="1"/>
  <c r="N489" i="1" s="1"/>
  <c r="J454" i="1" a="1"/>
  <c r="J454" i="1" s="1"/>
  <c r="N488" i="1" s="1" a="1"/>
  <c r="N488" i="1" s="1"/>
  <c r="I454" i="1" a="1"/>
  <c r="I454" i="1" s="1"/>
  <c r="N487" i="1" s="1" a="1"/>
  <c r="N487" i="1" s="1"/>
  <c r="H454" i="1" a="1"/>
  <c r="H454" i="1" s="1"/>
  <c r="N486" i="1" s="1" a="1"/>
  <c r="N486" i="1" s="1"/>
  <c r="G454" i="1" a="1"/>
  <c r="G454" i="1" s="1"/>
  <c r="N485" i="1" s="1" a="1"/>
  <c r="N485" i="1" s="1"/>
  <c r="F454" i="1" a="1"/>
  <c r="F454" i="1" s="1"/>
  <c r="N484" i="1" s="1" a="1"/>
  <c r="N484" i="1" s="1"/>
  <c r="K453" i="1" a="1"/>
  <c r="K453" i="1" s="1"/>
  <c r="N483" i="1" s="1" a="1"/>
  <c r="N483" i="1" s="1"/>
  <c r="J453" i="1" a="1"/>
  <c r="J453" i="1" s="1"/>
  <c r="N482" i="1" s="1" a="1"/>
  <c r="N482" i="1" s="1"/>
  <c r="I453" i="1" a="1"/>
  <c r="I453" i="1" s="1"/>
  <c r="N481" i="1" s="1" a="1"/>
  <c r="N481" i="1" s="1"/>
  <c r="H453" i="1" a="1"/>
  <c r="H453" i="1" s="1"/>
  <c r="N480" i="1" s="1" a="1"/>
  <c r="N480" i="1" s="1"/>
  <c r="G453" i="1" a="1"/>
  <c r="G453" i="1" s="1"/>
  <c r="N479" i="1" s="1" a="1"/>
  <c r="N479" i="1" s="1"/>
  <c r="F453" i="1" a="1"/>
  <c r="F453" i="1" s="1"/>
  <c r="N478" i="1" s="1" a="1"/>
  <c r="N478" i="1" s="1"/>
  <c r="K452" i="1" a="1"/>
  <c r="K452" i="1" s="1"/>
  <c r="N477" i="1" s="1" a="1"/>
  <c r="N477" i="1" s="1"/>
  <c r="J452" i="1" a="1"/>
  <c r="J452" i="1" s="1"/>
  <c r="N476" i="1" s="1" a="1"/>
  <c r="N476" i="1" s="1"/>
  <c r="I452" i="1" a="1"/>
  <c r="I452" i="1" s="1"/>
  <c r="N475" i="1" s="1" a="1"/>
  <c r="N475" i="1" s="1"/>
  <c r="H452" i="1" a="1"/>
  <c r="H452" i="1" s="1"/>
  <c r="N474" i="1" s="1" a="1"/>
  <c r="N474" i="1" s="1"/>
  <c r="G452" i="1" a="1"/>
  <c r="G452" i="1" s="1"/>
  <c r="N473" i="1" s="1" a="1"/>
  <c r="N473" i="1" s="1"/>
  <c r="F452" i="1" a="1"/>
  <c r="F452" i="1" s="1"/>
  <c r="N472" i="1" s="1" a="1"/>
  <c r="N472" i="1" s="1"/>
  <c r="K451" i="1" a="1"/>
  <c r="K451" i="1" s="1"/>
  <c r="N471" i="1" s="1" a="1"/>
  <c r="N471" i="1" s="1"/>
  <c r="J451" i="1" a="1"/>
  <c r="J451" i="1" s="1"/>
  <c r="N470" i="1" s="1" a="1"/>
  <c r="N470" i="1" s="1"/>
  <c r="I451" i="1" a="1"/>
  <c r="I451" i="1" s="1"/>
  <c r="N469" i="1" s="1" a="1"/>
  <c r="N469" i="1" s="1"/>
  <c r="H451" i="1" a="1"/>
  <c r="H451" i="1" s="1"/>
  <c r="N468" i="1" s="1" a="1"/>
  <c r="N468" i="1" s="1"/>
  <c r="G451" i="1" a="1"/>
  <c r="G451" i="1" s="1"/>
  <c r="N467" i="1" s="1" a="1"/>
  <c r="N467" i="1" s="1"/>
  <c r="F451" i="1" a="1"/>
  <c r="F451" i="1" s="1"/>
  <c r="N466" i="1" s="1" a="1"/>
  <c r="N466" i="1" s="1"/>
  <c r="K450" i="1" a="1"/>
  <c r="K450" i="1" s="1"/>
  <c r="N465" i="1" s="1" a="1"/>
  <c r="N465" i="1" s="1"/>
  <c r="J450" i="1" a="1"/>
  <c r="J450" i="1" s="1"/>
  <c r="N464" i="1" s="1" a="1"/>
  <c r="N464" i="1" s="1"/>
  <c r="I450" i="1" a="1"/>
  <c r="I450" i="1" s="1"/>
  <c r="N463" i="1" s="1" a="1"/>
  <c r="N463" i="1" s="1"/>
  <c r="H450" i="1" a="1"/>
  <c r="H450" i="1" s="1"/>
  <c r="N462" i="1" s="1" a="1"/>
  <c r="N462" i="1" s="1"/>
  <c r="G450" i="1" a="1"/>
  <c r="G450" i="1" s="1"/>
  <c r="N461" i="1" s="1" a="1"/>
  <c r="N461" i="1" s="1"/>
  <c r="F450" i="1" a="1"/>
  <c r="F450" i="1" s="1"/>
  <c r="N460" i="1" s="1" a="1"/>
  <c r="N460" i="1" s="1"/>
  <c r="K449" i="1" a="1"/>
  <c r="K449" i="1" s="1"/>
  <c r="N459" i="1" s="1" a="1"/>
  <c r="N459" i="1" s="1"/>
  <c r="J449" i="1" a="1"/>
  <c r="J449" i="1" s="1"/>
  <c r="N458" i="1" s="1" a="1"/>
  <c r="N458" i="1" s="1"/>
  <c r="I449" i="1" a="1"/>
  <c r="I449" i="1" s="1"/>
  <c r="N457" i="1" s="1" a="1"/>
  <c r="N457" i="1" s="1"/>
  <c r="H449" i="1" a="1"/>
  <c r="H449" i="1" s="1"/>
  <c r="N456" i="1" s="1" a="1"/>
  <c r="N456" i="1" s="1"/>
  <c r="G449" i="1" a="1"/>
  <c r="G449" i="1" s="1"/>
  <c r="N455" i="1" s="1" a="1"/>
  <c r="N455" i="1" s="1"/>
  <c r="F449" i="1" a="1"/>
  <c r="F449" i="1" s="1"/>
  <c r="N454" i="1" s="1" a="1"/>
  <c r="N454" i="1" s="1"/>
  <c r="K448" i="1" a="1"/>
  <c r="K448" i="1" s="1"/>
  <c r="N453" i="1" s="1" a="1"/>
  <c r="N453" i="1" s="1"/>
  <c r="J448" i="1" a="1"/>
  <c r="J448" i="1" s="1"/>
  <c r="N452" i="1" s="1" a="1"/>
  <c r="N452" i="1" s="1"/>
  <c r="I448" i="1" a="1"/>
  <c r="I448" i="1" s="1"/>
  <c r="N451" i="1" s="1" a="1"/>
  <c r="N451" i="1" s="1"/>
  <c r="H448" i="1" a="1"/>
  <c r="H448" i="1" s="1"/>
  <c r="N450" i="1" s="1" a="1"/>
  <c r="N450" i="1" s="1"/>
  <c r="G448" i="1" a="1"/>
  <c r="G448" i="1" s="1"/>
  <c r="N449" i="1" s="1" a="1"/>
  <c r="N449" i="1" s="1"/>
  <c r="F448" i="1" a="1"/>
  <c r="F448" i="1" s="1"/>
  <c r="N448" i="1" s="1" a="1"/>
  <c r="N448" i="1" s="1"/>
  <c r="K394" i="1" a="1"/>
  <c r="K394" i="1" s="1"/>
  <c r="N429" i="1" s="1" a="1"/>
  <c r="N429" i="1" s="1"/>
  <c r="J394" i="1" a="1"/>
  <c r="J394" i="1" s="1"/>
  <c r="N434" i="1" s="1" a="1"/>
  <c r="N434" i="1" s="1"/>
  <c r="I394" i="1" a="1"/>
  <c r="I394" i="1" s="1"/>
  <c r="N433" i="1" s="1" a="1"/>
  <c r="N433" i="1" s="1"/>
  <c r="H394" i="1" a="1"/>
  <c r="H394" i="1" s="1"/>
  <c r="N432" i="1" s="1" a="1"/>
  <c r="N432" i="1" s="1"/>
  <c r="G394" i="1" a="1"/>
  <c r="G394" i="1" s="1"/>
  <c r="N431" i="1" s="1" a="1"/>
  <c r="N431" i="1" s="1"/>
  <c r="F394" i="1" a="1"/>
  <c r="F394" i="1" s="1"/>
  <c r="N430" i="1" s="1" a="1"/>
  <c r="N430" i="1" s="1"/>
  <c r="K393" i="1" a="1"/>
  <c r="K393" i="1" s="1"/>
  <c r="N423" i="1" s="1" a="1"/>
  <c r="N423" i="1" s="1"/>
  <c r="J393" i="1" a="1"/>
  <c r="J393" i="1" s="1"/>
  <c r="N428" i="1" s="1" a="1"/>
  <c r="N428" i="1" s="1"/>
  <c r="I393" i="1" a="1"/>
  <c r="I393" i="1" s="1"/>
  <c r="N427" i="1" s="1" a="1"/>
  <c r="N427" i="1" s="1"/>
  <c r="H393" i="1" a="1"/>
  <c r="H393" i="1" s="1"/>
  <c r="N426" i="1" s="1" a="1"/>
  <c r="N426" i="1" s="1"/>
  <c r="G393" i="1" a="1"/>
  <c r="G393" i="1" s="1"/>
  <c r="N425" i="1" s="1" a="1"/>
  <c r="N425" i="1" s="1"/>
  <c r="F393" i="1" a="1"/>
  <c r="F393" i="1" s="1"/>
  <c r="N424" i="1" s="1" a="1"/>
  <c r="N424" i="1" s="1"/>
  <c r="K392" i="1" a="1"/>
  <c r="K392" i="1" s="1"/>
  <c r="N417" i="1" s="1" a="1"/>
  <c r="N417" i="1" s="1"/>
  <c r="J392" i="1" a="1"/>
  <c r="J392" i="1" s="1"/>
  <c r="N422" i="1" s="1" a="1"/>
  <c r="N422" i="1" s="1"/>
  <c r="I392" i="1" a="1"/>
  <c r="I392" i="1" s="1"/>
  <c r="N421" i="1" s="1" a="1"/>
  <c r="N421" i="1" s="1"/>
  <c r="H392" i="1" a="1"/>
  <c r="H392" i="1" s="1"/>
  <c r="N420" i="1" s="1" a="1"/>
  <c r="N420" i="1" s="1"/>
  <c r="G392" i="1" a="1"/>
  <c r="G392" i="1" s="1"/>
  <c r="N419" i="1" s="1" a="1"/>
  <c r="N419" i="1" s="1"/>
  <c r="F392" i="1" a="1"/>
  <c r="F392" i="1" s="1"/>
  <c r="N418" i="1" s="1" a="1"/>
  <c r="N418" i="1" s="1"/>
  <c r="K391" i="1" a="1"/>
  <c r="K391" i="1" s="1"/>
  <c r="N411" i="1" s="1" a="1"/>
  <c r="N411" i="1" s="1"/>
  <c r="J391" i="1" a="1"/>
  <c r="J391" i="1" s="1"/>
  <c r="N416" i="1" s="1" a="1"/>
  <c r="N416" i="1" s="1"/>
  <c r="I391" i="1" a="1"/>
  <c r="I391" i="1" s="1"/>
  <c r="N415" i="1" s="1" a="1"/>
  <c r="N415" i="1" s="1"/>
  <c r="H391" i="1" a="1"/>
  <c r="H391" i="1" s="1"/>
  <c r="N414" i="1" s="1" a="1"/>
  <c r="N414" i="1" s="1"/>
  <c r="G391" i="1" a="1"/>
  <c r="G391" i="1" s="1"/>
  <c r="N413" i="1" s="1" a="1"/>
  <c r="N413" i="1" s="1"/>
  <c r="F391" i="1" a="1"/>
  <c r="F391" i="1" s="1"/>
  <c r="N412" i="1" s="1" a="1"/>
  <c r="N412" i="1" s="1"/>
  <c r="K390" i="1" a="1"/>
  <c r="K390" i="1" s="1"/>
  <c r="N405" i="1" s="1" a="1"/>
  <c r="N405" i="1" s="1"/>
  <c r="J390" i="1" a="1"/>
  <c r="J390" i="1" s="1"/>
  <c r="N410" i="1" s="1" a="1"/>
  <c r="N410" i="1" s="1"/>
  <c r="I390" i="1" a="1"/>
  <c r="I390" i="1" s="1"/>
  <c r="N409" i="1" s="1" a="1"/>
  <c r="N409" i="1" s="1"/>
  <c r="H390" i="1" a="1"/>
  <c r="H390" i="1" s="1"/>
  <c r="N408" i="1" s="1" a="1"/>
  <c r="N408" i="1" s="1"/>
  <c r="G390" i="1" a="1"/>
  <c r="G390" i="1" s="1"/>
  <c r="N407" i="1" s="1" a="1"/>
  <c r="N407" i="1" s="1"/>
  <c r="F390" i="1" a="1"/>
  <c r="F390" i="1" s="1"/>
  <c r="N406" i="1" s="1" a="1"/>
  <c r="N406" i="1" s="1"/>
  <c r="K389" i="1" a="1"/>
  <c r="K389" i="1" s="1"/>
  <c r="N399" i="1" s="1" a="1"/>
  <c r="N399" i="1" s="1"/>
  <c r="J389" i="1" a="1"/>
  <c r="J389" i="1" s="1"/>
  <c r="N404" i="1" s="1" a="1"/>
  <c r="N404" i="1" s="1"/>
  <c r="I389" i="1" a="1"/>
  <c r="I389" i="1" s="1"/>
  <c r="N403" i="1" s="1" a="1"/>
  <c r="N403" i="1" s="1"/>
  <c r="H389" i="1" a="1"/>
  <c r="H389" i="1" s="1"/>
  <c r="N402" i="1" s="1" a="1"/>
  <c r="N402" i="1" s="1"/>
  <c r="G389" i="1" a="1"/>
  <c r="G389" i="1" s="1"/>
  <c r="N401" i="1" s="1" a="1"/>
  <c r="N401" i="1" s="1"/>
  <c r="F389" i="1" a="1"/>
  <c r="F389" i="1" s="1"/>
  <c r="N400" i="1" s="1" a="1"/>
  <c r="N400" i="1" s="1"/>
  <c r="K388" i="1" a="1"/>
  <c r="K388" i="1" s="1"/>
  <c r="N393" i="1" s="1" a="1"/>
  <c r="N393" i="1" s="1"/>
  <c r="J388" i="1" a="1"/>
  <c r="J388" i="1" s="1"/>
  <c r="N398" i="1" s="1" a="1"/>
  <c r="N398" i="1" s="1"/>
  <c r="I388" i="1" a="1"/>
  <c r="I388" i="1" s="1"/>
  <c r="N397" i="1" s="1" a="1"/>
  <c r="N397" i="1" s="1"/>
  <c r="H388" i="1" a="1"/>
  <c r="H388" i="1" s="1"/>
  <c r="N396" i="1" s="1" a="1"/>
  <c r="N396" i="1" s="1"/>
  <c r="G388" i="1" a="1"/>
  <c r="G388" i="1" s="1"/>
  <c r="N395" i="1" s="1" a="1"/>
  <c r="N395" i="1" s="1"/>
  <c r="F388" i="1" a="1"/>
  <c r="F388" i="1" s="1"/>
  <c r="N394" i="1" s="1" a="1"/>
  <c r="N394" i="1" s="1"/>
  <c r="K387" i="1" a="1"/>
  <c r="K387" i="1" s="1"/>
  <c r="N387" i="1" s="1" a="1"/>
  <c r="N387" i="1" s="1"/>
  <c r="J387" i="1" a="1"/>
  <c r="J387" i="1" s="1"/>
  <c r="N392" i="1" s="1" a="1"/>
  <c r="N392" i="1" s="1"/>
  <c r="I387" i="1" a="1"/>
  <c r="I387" i="1" s="1"/>
  <c r="N391" i="1" s="1" a="1"/>
  <c r="N391" i="1" s="1"/>
  <c r="H387" i="1" a="1"/>
  <c r="H387" i="1" s="1"/>
  <c r="N390" i="1" s="1" a="1"/>
  <c r="N390" i="1" s="1"/>
  <c r="G387" i="1" a="1"/>
  <c r="G387" i="1" s="1"/>
  <c r="N389" i="1" s="1" a="1"/>
  <c r="N389" i="1" s="1"/>
  <c r="F387" i="1" a="1"/>
  <c r="F387" i="1" s="1"/>
  <c r="N388" i="1" s="1" a="1"/>
  <c r="N388" i="1" s="1"/>
  <c r="K333" i="1" a="1"/>
  <c r="K333" i="1" s="1"/>
  <c r="N369" i="1" s="1" a="1"/>
  <c r="N369" i="1" s="1"/>
  <c r="J333" i="1" a="1"/>
  <c r="J333" i="1" s="1"/>
  <c r="N368" i="1" s="1" a="1"/>
  <c r="N368" i="1" s="1"/>
  <c r="I333" i="1" a="1"/>
  <c r="I333" i="1" s="1"/>
  <c r="N373" i="1" s="1" a="1"/>
  <c r="N373" i="1" s="1"/>
  <c r="H333" i="1" a="1"/>
  <c r="H333" i="1" s="1"/>
  <c r="N372" i="1" s="1" a="1"/>
  <c r="N372" i="1" s="1"/>
  <c r="G333" i="1" a="1"/>
  <c r="G333" i="1" s="1"/>
  <c r="N371" i="1" s="1" a="1"/>
  <c r="N371" i="1" s="1"/>
  <c r="F333" i="1" a="1"/>
  <c r="F333" i="1" s="1"/>
  <c r="N370" i="1" s="1" a="1"/>
  <c r="N370" i="1" s="1"/>
  <c r="K332" i="1" a="1"/>
  <c r="K332" i="1" s="1"/>
  <c r="N363" i="1" s="1" a="1"/>
  <c r="N363" i="1" s="1"/>
  <c r="J332" i="1" a="1"/>
  <c r="J332" i="1" s="1"/>
  <c r="N362" i="1" s="1" a="1"/>
  <c r="N362" i="1" s="1"/>
  <c r="I332" i="1" a="1"/>
  <c r="I332" i="1" s="1"/>
  <c r="N367" i="1" s="1" a="1"/>
  <c r="N367" i="1" s="1"/>
  <c r="H332" i="1" a="1"/>
  <c r="H332" i="1" s="1"/>
  <c r="N366" i="1" s="1" a="1"/>
  <c r="N366" i="1" s="1"/>
  <c r="G332" i="1" a="1"/>
  <c r="G332" i="1" s="1"/>
  <c r="N365" i="1" s="1" a="1"/>
  <c r="N365" i="1" s="1"/>
  <c r="F332" i="1" a="1"/>
  <c r="F332" i="1" s="1"/>
  <c r="N364" i="1" s="1" a="1"/>
  <c r="N364" i="1" s="1"/>
  <c r="K331" i="1" a="1"/>
  <c r="K331" i="1" s="1"/>
  <c r="N357" i="1" s="1" a="1"/>
  <c r="N357" i="1" s="1"/>
  <c r="J331" i="1" a="1"/>
  <c r="J331" i="1" s="1"/>
  <c r="N356" i="1" s="1" a="1"/>
  <c r="N356" i="1" s="1"/>
  <c r="I331" i="1" a="1"/>
  <c r="I331" i="1" s="1"/>
  <c r="N361" i="1" s="1" a="1"/>
  <c r="N361" i="1" s="1"/>
  <c r="H331" i="1" a="1"/>
  <c r="H331" i="1" s="1"/>
  <c r="N360" i="1" s="1" a="1"/>
  <c r="N360" i="1" s="1"/>
  <c r="G331" i="1" a="1"/>
  <c r="G331" i="1" s="1"/>
  <c r="N359" i="1" s="1" a="1"/>
  <c r="N359" i="1" s="1"/>
  <c r="F331" i="1" a="1"/>
  <c r="F331" i="1" s="1"/>
  <c r="N358" i="1" s="1" a="1"/>
  <c r="N358" i="1" s="1"/>
  <c r="K330" i="1" a="1"/>
  <c r="K330" i="1" s="1"/>
  <c r="N351" i="1" s="1" a="1"/>
  <c r="N351" i="1" s="1"/>
  <c r="J330" i="1" a="1"/>
  <c r="J330" i="1" s="1"/>
  <c r="N350" i="1" s="1" a="1"/>
  <c r="N350" i="1" s="1"/>
  <c r="I330" i="1" a="1"/>
  <c r="I330" i="1" s="1"/>
  <c r="N355" i="1" s="1" a="1"/>
  <c r="N355" i="1" s="1"/>
  <c r="H330" i="1" a="1"/>
  <c r="H330" i="1" s="1"/>
  <c r="N354" i="1" s="1" a="1"/>
  <c r="N354" i="1" s="1"/>
  <c r="G330" i="1" a="1"/>
  <c r="G330" i="1" s="1"/>
  <c r="N353" i="1" s="1" a="1"/>
  <c r="N353" i="1" s="1"/>
  <c r="F330" i="1" a="1"/>
  <c r="F330" i="1" s="1"/>
  <c r="N352" i="1" s="1" a="1"/>
  <c r="N352" i="1" s="1"/>
  <c r="K329" i="1" a="1"/>
  <c r="K329" i="1" s="1"/>
  <c r="N345" i="1" s="1" a="1"/>
  <c r="N345" i="1" s="1"/>
  <c r="J329" i="1" a="1"/>
  <c r="J329" i="1" s="1"/>
  <c r="N344" i="1" s="1" a="1"/>
  <c r="N344" i="1" s="1"/>
  <c r="I329" i="1" a="1"/>
  <c r="I329" i="1" s="1"/>
  <c r="N349" i="1" s="1" a="1"/>
  <c r="N349" i="1" s="1"/>
  <c r="H329" i="1" a="1"/>
  <c r="H329" i="1" s="1"/>
  <c r="N348" i="1" s="1" a="1"/>
  <c r="N348" i="1" s="1"/>
  <c r="G329" i="1" a="1"/>
  <c r="G329" i="1" s="1"/>
  <c r="N347" i="1" s="1" a="1"/>
  <c r="N347" i="1" s="1"/>
  <c r="F329" i="1" a="1"/>
  <c r="F329" i="1" s="1"/>
  <c r="N346" i="1" s="1" a="1"/>
  <c r="N346" i="1" s="1"/>
  <c r="K328" i="1" a="1"/>
  <c r="K328" i="1" s="1"/>
  <c r="N339" i="1" s="1" a="1"/>
  <c r="N339" i="1" s="1"/>
  <c r="J328" i="1" a="1"/>
  <c r="J328" i="1" s="1"/>
  <c r="N338" i="1" s="1" a="1"/>
  <c r="N338" i="1" s="1"/>
  <c r="I328" i="1" a="1"/>
  <c r="I328" i="1" s="1"/>
  <c r="N343" i="1" s="1" a="1"/>
  <c r="N343" i="1" s="1"/>
  <c r="H328" i="1" a="1"/>
  <c r="H328" i="1" s="1"/>
  <c r="N342" i="1" s="1" a="1"/>
  <c r="N342" i="1" s="1"/>
  <c r="G328" i="1" a="1"/>
  <c r="G328" i="1" s="1"/>
  <c r="N341" i="1" s="1" a="1"/>
  <c r="N341" i="1" s="1"/>
  <c r="F328" i="1" a="1"/>
  <c r="F328" i="1" s="1"/>
  <c r="N340" i="1" s="1" a="1"/>
  <c r="N340" i="1" s="1"/>
  <c r="K327" i="1" a="1"/>
  <c r="K327" i="1" s="1"/>
  <c r="N333" i="1" s="1" a="1"/>
  <c r="N333" i="1" s="1"/>
  <c r="J327" i="1" a="1"/>
  <c r="J327" i="1" s="1"/>
  <c r="N332" i="1" s="1" a="1"/>
  <c r="N332" i="1" s="1"/>
  <c r="I327" i="1" a="1"/>
  <c r="I327" i="1" s="1"/>
  <c r="N337" i="1" s="1" a="1"/>
  <c r="N337" i="1" s="1"/>
  <c r="H327" i="1" a="1"/>
  <c r="H327" i="1" s="1"/>
  <c r="N336" i="1" s="1" a="1"/>
  <c r="N336" i="1" s="1"/>
  <c r="G327" i="1" a="1"/>
  <c r="G327" i="1" s="1"/>
  <c r="N335" i="1" s="1" a="1"/>
  <c r="N335" i="1" s="1"/>
  <c r="F327" i="1" a="1"/>
  <c r="F327" i="1" s="1"/>
  <c r="N334" i="1" s="1" a="1"/>
  <c r="N334" i="1" s="1"/>
  <c r="K326" i="1" a="1"/>
  <c r="K326" i="1" s="1"/>
  <c r="N327" i="1" s="1" a="1"/>
  <c r="N327" i="1" s="1"/>
  <c r="J326" i="1" a="1"/>
  <c r="J326" i="1" s="1"/>
  <c r="N326" i="1" s="1" a="1"/>
  <c r="N326" i="1" s="1"/>
  <c r="I326" i="1" a="1"/>
  <c r="I326" i="1" s="1"/>
  <c r="N331" i="1" s="1" a="1"/>
  <c r="N331" i="1" s="1"/>
  <c r="H326" i="1" a="1"/>
  <c r="H326" i="1" s="1"/>
  <c r="N330" i="1" s="1" a="1"/>
  <c r="N330" i="1" s="1"/>
  <c r="G326" i="1" a="1"/>
  <c r="G326" i="1" s="1"/>
  <c r="N329" i="1" s="1" a="1"/>
  <c r="N329" i="1" s="1"/>
  <c r="F326" i="1" a="1"/>
  <c r="F326" i="1" s="1"/>
  <c r="N328" i="1" s="1" a="1"/>
  <c r="N328" i="1" s="1"/>
  <c r="K210" i="1" a="1"/>
  <c r="K210" i="1" s="1"/>
  <c r="N249" i="1" s="1" a="1"/>
  <c r="N249" i="1" s="1"/>
  <c r="J210" i="1" a="1"/>
  <c r="J210" i="1" s="1"/>
  <c r="N248" i="1" s="1" a="1"/>
  <c r="N248" i="1" s="1"/>
  <c r="I210" i="1" a="1"/>
  <c r="I210" i="1" s="1"/>
  <c r="N247" i="1" s="1" a="1"/>
  <c r="N247" i="1" s="1"/>
  <c r="H210" i="1" a="1"/>
  <c r="H210" i="1" s="1"/>
  <c r="N246" i="1" s="1" a="1"/>
  <c r="N246" i="1" s="1"/>
  <c r="G210" i="1" a="1"/>
  <c r="G210" i="1" s="1"/>
  <c r="N245" i="1" s="1" a="1"/>
  <c r="N245" i="1" s="1"/>
  <c r="F210" i="1" a="1"/>
  <c r="F210" i="1" s="1"/>
  <c r="N244" i="1" s="1" a="1"/>
  <c r="N244" i="1" s="1"/>
  <c r="K209" i="1" a="1"/>
  <c r="K209" i="1" s="1"/>
  <c r="N243" i="1" s="1" a="1"/>
  <c r="N243" i="1" s="1"/>
  <c r="J209" i="1" a="1"/>
  <c r="J209" i="1" s="1"/>
  <c r="N242" i="1" s="1" a="1"/>
  <c r="N242" i="1" s="1"/>
  <c r="I209" i="1" a="1"/>
  <c r="I209" i="1" s="1"/>
  <c r="N241" i="1" s="1" a="1"/>
  <c r="N241" i="1" s="1"/>
  <c r="H209" i="1" a="1"/>
  <c r="H209" i="1" s="1"/>
  <c r="N240" i="1" s="1" a="1"/>
  <c r="N240" i="1" s="1"/>
  <c r="G209" i="1" a="1"/>
  <c r="G209" i="1" s="1"/>
  <c r="N239" i="1" s="1" a="1"/>
  <c r="N239" i="1" s="1"/>
  <c r="F209" i="1" a="1"/>
  <c r="F209" i="1" s="1"/>
  <c r="N238" i="1" s="1" a="1"/>
  <c r="N238" i="1" s="1"/>
  <c r="K208" i="1" a="1"/>
  <c r="K208" i="1" s="1"/>
  <c r="N237" i="1" s="1" a="1"/>
  <c r="N237" i="1" s="1"/>
  <c r="J208" i="1" a="1"/>
  <c r="J208" i="1" s="1"/>
  <c r="N236" i="1" s="1" a="1"/>
  <c r="N236" i="1" s="1"/>
  <c r="I208" i="1" a="1"/>
  <c r="I208" i="1" s="1"/>
  <c r="N235" i="1" s="1" a="1"/>
  <c r="N235" i="1" s="1"/>
  <c r="H208" i="1" a="1"/>
  <c r="H208" i="1" s="1"/>
  <c r="N234" i="1" s="1" a="1"/>
  <c r="N234" i="1" s="1"/>
  <c r="G208" i="1" a="1"/>
  <c r="G208" i="1" s="1"/>
  <c r="N233" i="1" s="1" a="1"/>
  <c r="N233" i="1" s="1"/>
  <c r="F208" i="1" a="1"/>
  <c r="F208" i="1" s="1"/>
  <c r="N232" i="1" s="1" a="1"/>
  <c r="N232" i="1" s="1"/>
  <c r="K207" i="1" a="1"/>
  <c r="K207" i="1" s="1"/>
  <c r="N231" i="1" s="1" a="1"/>
  <c r="N231" i="1" s="1"/>
  <c r="J207" i="1" a="1"/>
  <c r="J207" i="1" s="1"/>
  <c r="N230" i="1" s="1" a="1"/>
  <c r="N230" i="1" s="1"/>
  <c r="I207" i="1" a="1"/>
  <c r="I207" i="1" s="1"/>
  <c r="N229" i="1" s="1" a="1"/>
  <c r="N229" i="1" s="1"/>
  <c r="H207" i="1" a="1"/>
  <c r="H207" i="1" s="1"/>
  <c r="N228" i="1" s="1" a="1"/>
  <c r="N228" i="1" s="1"/>
  <c r="G207" i="1" a="1"/>
  <c r="G207" i="1" s="1"/>
  <c r="N227" i="1" s="1" a="1"/>
  <c r="N227" i="1" s="1"/>
  <c r="F207" i="1" a="1"/>
  <c r="F207" i="1" s="1"/>
  <c r="N226" i="1" s="1" a="1"/>
  <c r="N226" i="1" s="1"/>
  <c r="K206" i="1" a="1"/>
  <c r="K206" i="1" s="1"/>
  <c r="N225" i="1" s="1" a="1"/>
  <c r="N225" i="1" s="1"/>
  <c r="J206" i="1" a="1"/>
  <c r="J206" i="1" s="1"/>
  <c r="N224" i="1" s="1" a="1"/>
  <c r="N224" i="1" s="1"/>
  <c r="I206" i="1" a="1"/>
  <c r="I206" i="1" s="1"/>
  <c r="N223" i="1" s="1" a="1"/>
  <c r="N223" i="1" s="1"/>
  <c r="H206" i="1" a="1"/>
  <c r="H206" i="1" s="1"/>
  <c r="N222" i="1" s="1" a="1"/>
  <c r="N222" i="1" s="1"/>
  <c r="G206" i="1" a="1"/>
  <c r="G206" i="1" s="1"/>
  <c r="N221" i="1" s="1" a="1"/>
  <c r="N221" i="1" s="1"/>
  <c r="F206" i="1" a="1"/>
  <c r="F206" i="1" s="1"/>
  <c r="N220" i="1" s="1" a="1"/>
  <c r="N220" i="1" s="1"/>
  <c r="K205" i="1" a="1"/>
  <c r="K205" i="1" s="1"/>
  <c r="N219" i="1" s="1" a="1"/>
  <c r="N219" i="1" s="1"/>
  <c r="J205" i="1" a="1"/>
  <c r="J205" i="1" s="1"/>
  <c r="N218" i="1" s="1" a="1"/>
  <c r="N218" i="1" s="1"/>
  <c r="I205" i="1" a="1"/>
  <c r="I205" i="1" s="1"/>
  <c r="N217" i="1" s="1" a="1"/>
  <c r="N217" i="1" s="1"/>
  <c r="H205" i="1" a="1"/>
  <c r="H205" i="1" s="1"/>
  <c r="N216" i="1" s="1" a="1"/>
  <c r="N216" i="1" s="1"/>
  <c r="G205" i="1" a="1"/>
  <c r="G205" i="1" s="1"/>
  <c r="N215" i="1" s="1" a="1"/>
  <c r="N215" i="1" s="1"/>
  <c r="F205" i="1" a="1"/>
  <c r="F205" i="1" s="1"/>
  <c r="N214" i="1" s="1" a="1"/>
  <c r="N214" i="1" s="1"/>
  <c r="K204" i="1" a="1"/>
  <c r="K204" i="1" s="1"/>
  <c r="N213" i="1" s="1" a="1"/>
  <c r="N213" i="1" s="1"/>
  <c r="J204" i="1" a="1"/>
  <c r="J204" i="1" s="1"/>
  <c r="N212" i="1" s="1" a="1"/>
  <c r="N212" i="1" s="1"/>
  <c r="I204" i="1" a="1"/>
  <c r="I204" i="1" s="1"/>
  <c r="N211" i="1" s="1" a="1"/>
  <c r="N211" i="1" s="1"/>
  <c r="H204" i="1" a="1"/>
  <c r="H204" i="1" s="1"/>
  <c r="N210" i="1" s="1" a="1"/>
  <c r="N210" i="1" s="1"/>
  <c r="G204" i="1" a="1"/>
  <c r="G204" i="1" s="1"/>
  <c r="N209" i="1" s="1" a="1"/>
  <c r="N209" i="1" s="1"/>
  <c r="F204" i="1" a="1"/>
  <c r="F204" i="1" s="1"/>
  <c r="N208" i="1" s="1" a="1"/>
  <c r="N208" i="1" s="1"/>
  <c r="K203" i="1" a="1"/>
  <c r="K203" i="1" s="1"/>
  <c r="N207" i="1" s="1" a="1"/>
  <c r="N207" i="1" s="1"/>
  <c r="J203" i="1" a="1"/>
  <c r="J203" i="1" s="1"/>
  <c r="N206" i="1" s="1" a="1"/>
  <c r="N206" i="1" s="1"/>
  <c r="I203" i="1" a="1"/>
  <c r="I203" i="1" s="1"/>
  <c r="N205" i="1" s="1" a="1"/>
  <c r="N205" i="1" s="1"/>
  <c r="H203" i="1" a="1"/>
  <c r="H203" i="1" s="1"/>
  <c r="N204" i="1" s="1" a="1"/>
  <c r="N204" i="1" s="1"/>
  <c r="G203" i="1" a="1"/>
  <c r="G203" i="1" s="1"/>
  <c r="N203" i="1" s="1" a="1"/>
  <c r="N203" i="1" s="1"/>
  <c r="F203" i="1" a="1"/>
  <c r="F203" i="1" s="1"/>
  <c r="N202" i="1" s="1" a="1"/>
  <c r="N202" i="1" s="1"/>
  <c r="AO1064" i="1" l="1"/>
  <c r="X1063" i="1"/>
  <c r="AO1065" i="1"/>
  <c r="X1064" i="1"/>
  <c r="AO1062" i="1"/>
  <c r="X1061" i="1"/>
  <c r="AO1066" i="1"/>
  <c r="X1065" i="1"/>
  <c r="AO1067" i="1"/>
  <c r="X1066" i="1"/>
  <c r="X1067" i="1"/>
  <c r="AO1068" i="1"/>
  <c r="AO1063" i="1"/>
  <c r="X1062" i="1"/>
  <c r="AO1061" i="1"/>
  <c r="X1060" i="1"/>
  <c r="AO1004" i="1"/>
  <c r="X1003" i="1"/>
  <c r="X1004" i="1"/>
  <c r="AO1005" i="1"/>
  <c r="X1001" i="1"/>
  <c r="AO1002" i="1"/>
  <c r="AO1006" i="1"/>
  <c r="X1005" i="1"/>
  <c r="X1006" i="1"/>
  <c r="AO1007" i="1"/>
  <c r="X1002" i="1"/>
  <c r="AO1003" i="1"/>
  <c r="X1000" i="1"/>
  <c r="AO1001" i="1"/>
  <c r="AO940" i="1"/>
  <c r="X939" i="1"/>
  <c r="X940" i="1"/>
  <c r="AO941" i="1"/>
  <c r="X941" i="1"/>
  <c r="AO942" i="1"/>
  <c r="AO944" i="1"/>
  <c r="X943" i="1"/>
  <c r="AO945" i="1"/>
  <c r="X944" i="1"/>
  <c r="AO946" i="1"/>
  <c r="X945" i="1"/>
  <c r="X938" i="1"/>
  <c r="AO939" i="1"/>
  <c r="X878" i="1"/>
  <c r="AO879" i="1"/>
  <c r="AO880" i="1"/>
  <c r="X879" i="1"/>
  <c r="AO881" i="1"/>
  <c r="X880" i="1"/>
  <c r="AO882" i="1"/>
  <c r="X881" i="1"/>
  <c r="AO883" i="1"/>
  <c r="X882" i="1"/>
  <c r="X883" i="1"/>
  <c r="AO884" i="1"/>
  <c r="AO885" i="1"/>
  <c r="X884" i="1"/>
  <c r="AO878" i="1"/>
  <c r="X877" i="1"/>
  <c r="AO1000" i="1" l="1"/>
  <c r="X999" i="1"/>
  <c r="AO943" i="1"/>
  <c r="X942" i="1"/>
  <c r="Q5" i="1" a="1"/>
  <c r="Q5" i="1" s="1"/>
  <c r="G143" i="1" a="1"/>
  <c r="G143" i="1" s="1"/>
  <c r="N149" i="1" s="1" a="1"/>
  <c r="N149" i="1" s="1"/>
  <c r="F146" i="1" a="1"/>
  <c r="F146" i="1" s="1"/>
  <c r="N166" i="1" s="1" a="1"/>
  <c r="N166" i="1" s="1"/>
  <c r="G146" i="1" a="1"/>
  <c r="G146" i="1" s="1"/>
  <c r="N167" i="1" s="1" a="1"/>
  <c r="N167" i="1" s="1"/>
  <c r="H146" i="1" a="1"/>
  <c r="H146" i="1" s="1"/>
  <c r="N168" i="1" s="1" a="1"/>
  <c r="N168" i="1" s="1"/>
  <c r="I146" i="1" a="1"/>
  <c r="I146" i="1" s="1"/>
  <c r="N169" i="1" s="1" a="1"/>
  <c r="N169" i="1" s="1"/>
  <c r="J146" i="1" a="1"/>
  <c r="J146" i="1" s="1"/>
  <c r="N170" i="1" s="1" a="1"/>
  <c r="N170" i="1" s="1"/>
  <c r="K146" i="1" a="1"/>
  <c r="K146" i="1" s="1"/>
  <c r="N171" i="1" s="1" a="1"/>
  <c r="N171" i="1" s="1"/>
  <c r="F147" i="1" a="1"/>
  <c r="F147" i="1" s="1"/>
  <c r="N172" i="1" s="1" a="1"/>
  <c r="N172" i="1" s="1"/>
  <c r="G147" i="1" a="1"/>
  <c r="G147" i="1" s="1"/>
  <c r="N173" i="1" s="1" a="1"/>
  <c r="N173" i="1" s="1"/>
  <c r="H147" i="1" a="1"/>
  <c r="H147" i="1" s="1"/>
  <c r="N174" i="1" s="1" a="1"/>
  <c r="N174" i="1" s="1"/>
  <c r="I147" i="1" a="1"/>
  <c r="I147" i="1" s="1"/>
  <c r="N175" i="1" s="1" a="1"/>
  <c r="N175" i="1" s="1"/>
  <c r="J147" i="1" a="1"/>
  <c r="J147" i="1" s="1"/>
  <c r="N176" i="1" s="1" a="1"/>
  <c r="N176" i="1" s="1"/>
  <c r="K147" i="1" a="1"/>
  <c r="K147" i="1" s="1"/>
  <c r="N177" i="1" s="1" a="1"/>
  <c r="N177" i="1" s="1"/>
  <c r="F148" i="1" a="1"/>
  <c r="F148" i="1" s="1"/>
  <c r="N178" i="1" s="1" a="1"/>
  <c r="N178" i="1" s="1"/>
  <c r="G148" i="1" a="1"/>
  <c r="G148" i="1" s="1"/>
  <c r="N179" i="1" s="1" a="1"/>
  <c r="N179" i="1" s="1"/>
  <c r="H148" i="1" a="1"/>
  <c r="H148" i="1" s="1"/>
  <c r="N180" i="1" s="1" a="1"/>
  <c r="N180" i="1" s="1"/>
  <c r="I148" i="1" a="1"/>
  <c r="I148" i="1" s="1"/>
  <c r="N181" i="1" s="1" a="1"/>
  <c r="N181" i="1" s="1"/>
  <c r="J148" i="1" a="1"/>
  <c r="J148" i="1" s="1"/>
  <c r="N182" i="1" s="1" a="1"/>
  <c r="N182" i="1" s="1"/>
  <c r="K148" i="1" a="1"/>
  <c r="K148" i="1" s="1"/>
  <c r="N183" i="1" s="1" a="1"/>
  <c r="N183" i="1" s="1"/>
  <c r="F149" i="1" a="1"/>
  <c r="F149" i="1" s="1"/>
  <c r="N184" i="1" s="1" a="1"/>
  <c r="N184" i="1" s="1"/>
  <c r="G149" i="1" a="1"/>
  <c r="G149" i="1" s="1"/>
  <c r="N185" i="1" s="1" a="1"/>
  <c r="N185" i="1" s="1"/>
  <c r="H149" i="1" a="1"/>
  <c r="H149" i="1" s="1"/>
  <c r="N186" i="1" s="1" a="1"/>
  <c r="N186" i="1" s="1"/>
  <c r="I149" i="1" a="1"/>
  <c r="I149" i="1" s="1"/>
  <c r="N187" i="1" s="1" a="1"/>
  <c r="N187" i="1" s="1"/>
  <c r="J149" i="1" a="1"/>
  <c r="J149" i="1" s="1"/>
  <c r="N188" i="1" s="1" a="1"/>
  <c r="N188" i="1" s="1"/>
  <c r="K149" i="1" a="1"/>
  <c r="K149" i="1" s="1"/>
  <c r="N189" i="1" s="1" a="1"/>
  <c r="N189" i="1" s="1"/>
  <c r="B84" i="1" a="1"/>
  <c r="B84" i="1" s="1"/>
  <c r="T89" i="1" s="1" a="1"/>
  <c r="T89" i="1" s="1"/>
  <c r="AN276" i="1" s="1"/>
  <c r="C84" i="1" a="1"/>
  <c r="C84" i="1" s="1"/>
  <c r="T90" i="1" s="1" a="1"/>
  <c r="T90" i="1" s="1"/>
  <c r="AN277" i="1" s="1"/>
  <c r="D84" i="1" a="1"/>
  <c r="D84" i="1" s="1"/>
  <c r="T91" i="1" s="1" a="1"/>
  <c r="T91" i="1" s="1"/>
  <c r="AN278" i="1" s="1"/>
  <c r="E84" i="1" a="1"/>
  <c r="E84" i="1" s="1"/>
  <c r="N93" i="1" s="1" a="1"/>
  <c r="N93" i="1" s="1"/>
  <c r="F84" i="1" a="1"/>
  <c r="F84" i="1" s="1"/>
  <c r="K94" i="1" s="1" a="1"/>
  <c r="K94" i="1" s="1"/>
  <c r="G84" i="1" a="1"/>
  <c r="G84" i="1" s="1"/>
  <c r="N95" i="1" s="1" a="1"/>
  <c r="N95" i="1" s="1"/>
  <c r="H84" i="1" a="1"/>
  <c r="H84" i="1" s="1"/>
  <c r="N96" i="1" s="1" a="1"/>
  <c r="N96" i="1" s="1"/>
  <c r="B85" i="1" a="1"/>
  <c r="B85" i="1" s="1"/>
  <c r="K97" i="1" s="1" a="1"/>
  <c r="K97" i="1" s="1"/>
  <c r="C85" i="1" a="1"/>
  <c r="C85" i="1" s="1"/>
  <c r="C156" i="1" s="1" a="1"/>
  <c r="C156" i="1" s="1"/>
  <c r="H143" i="1" s="1" a="1"/>
  <c r="H143" i="1" s="1"/>
  <c r="N150" i="1" s="1" a="1"/>
  <c r="N150" i="1" s="1"/>
  <c r="D85" i="1" a="1"/>
  <c r="D85" i="1" s="1"/>
  <c r="C157" i="1" s="1" a="1"/>
  <c r="C157" i="1" s="1"/>
  <c r="F145" i="1" s="1" a="1"/>
  <c r="F145" i="1" s="1"/>
  <c r="N160" i="1" s="1" a="1"/>
  <c r="N160" i="1" s="1"/>
  <c r="E85" i="1" a="1"/>
  <c r="E85" i="1" s="1"/>
  <c r="C158" i="1" s="1" a="1"/>
  <c r="C158" i="1" s="1"/>
  <c r="G142" i="1" s="1" a="1"/>
  <c r="G142" i="1" s="1"/>
  <c r="N143" i="1" s="1" a="1"/>
  <c r="N143" i="1" s="1"/>
  <c r="F85" i="1" a="1"/>
  <c r="F85" i="1" s="1"/>
  <c r="C159" i="1" s="1" a="1"/>
  <c r="C159" i="1" s="1"/>
  <c r="G85" i="1" a="1"/>
  <c r="G85" i="1" s="1"/>
  <c r="T101" i="1" s="1" a="1"/>
  <c r="T101" i="1" s="1"/>
  <c r="AN288" i="1" s="1"/>
  <c r="H85" i="1" a="1"/>
  <c r="H85" i="1" s="1"/>
  <c r="T102" i="1" s="1" a="1"/>
  <c r="T102" i="1" s="1"/>
  <c r="AN289" i="1" s="1"/>
  <c r="B86" i="1" a="1"/>
  <c r="B86" i="1" s="1"/>
  <c r="T103" i="1" s="1" a="1"/>
  <c r="T103" i="1" s="1"/>
  <c r="AN290" i="1" s="1"/>
  <c r="C86" i="1" a="1"/>
  <c r="C86" i="1" s="1"/>
  <c r="N105" i="1" s="1" a="1"/>
  <c r="N105" i="1" s="1"/>
  <c r="D86" i="1" a="1"/>
  <c r="D86" i="1" s="1"/>
  <c r="K106" i="1" s="1" a="1"/>
  <c r="K106" i="1" s="1"/>
  <c r="E86" i="1" a="1"/>
  <c r="E86" i="1" s="1"/>
  <c r="N107" i="1" s="1" a="1"/>
  <c r="N107" i="1" s="1"/>
  <c r="F86" i="1" a="1"/>
  <c r="F86" i="1" s="1"/>
  <c r="K108" i="1" s="1" a="1"/>
  <c r="K108" i="1" s="1"/>
  <c r="G86" i="1" a="1"/>
  <c r="G86" i="1" s="1"/>
  <c r="K109" i="1" s="1" a="1"/>
  <c r="K109" i="1" s="1"/>
  <c r="H86" i="1" a="1"/>
  <c r="H86" i="1" s="1"/>
  <c r="C168" i="1" s="1" a="1"/>
  <c r="C168" i="1" s="1"/>
  <c r="H145" i="1" s="1" a="1"/>
  <c r="H145" i="1" s="1"/>
  <c r="N162" i="1" s="1" a="1"/>
  <c r="N162" i="1" s="1"/>
  <c r="B87" i="1" a="1"/>
  <c r="B87" i="1" s="1"/>
  <c r="K111" i="1" s="1" a="1"/>
  <c r="K111" i="1" s="1"/>
  <c r="C87" i="1" a="1"/>
  <c r="C87" i="1" s="1"/>
  <c r="K112" i="1" s="1" a="1"/>
  <c r="K112" i="1" s="1"/>
  <c r="D87" i="1" a="1"/>
  <c r="D87" i="1" s="1"/>
  <c r="K113" i="1" s="1" a="1"/>
  <c r="K113" i="1" s="1"/>
  <c r="E87" i="1" a="1"/>
  <c r="E87" i="1" s="1"/>
  <c r="K114" i="1" s="1" a="1"/>
  <c r="K114" i="1" s="1"/>
  <c r="F87" i="1" a="1"/>
  <c r="F87" i="1" s="1"/>
  <c r="K115" i="1" s="1" a="1"/>
  <c r="K115" i="1" s="1"/>
  <c r="G87" i="1" a="1"/>
  <c r="G87" i="1" s="1"/>
  <c r="K116" i="1" s="1" a="1"/>
  <c r="K116" i="1" s="1"/>
  <c r="H87" i="1" a="1"/>
  <c r="H87" i="1" s="1"/>
  <c r="K117" i="1" s="1" a="1"/>
  <c r="K117" i="1" s="1"/>
  <c r="B88" i="1" a="1"/>
  <c r="B88" i="1" s="1"/>
  <c r="K118" i="1" s="1" a="1"/>
  <c r="K118" i="1" s="1"/>
  <c r="C88" i="1" a="1"/>
  <c r="C88" i="1" s="1"/>
  <c r="K119" i="1" s="1" a="1"/>
  <c r="K119" i="1" s="1"/>
  <c r="D88" i="1" a="1"/>
  <c r="D88" i="1" s="1"/>
  <c r="K120" i="1" s="1" a="1"/>
  <c r="K120" i="1" s="1"/>
  <c r="E88" i="1" a="1"/>
  <c r="E88" i="1" s="1"/>
  <c r="K121" i="1" s="1" a="1"/>
  <c r="K121" i="1" s="1"/>
  <c r="F88" i="1" a="1"/>
  <c r="F88" i="1" s="1"/>
  <c r="K122" i="1" s="1" a="1"/>
  <c r="K122" i="1" s="1"/>
  <c r="G88" i="1" a="1"/>
  <c r="G88" i="1" s="1"/>
  <c r="K123" i="1" s="1" a="1"/>
  <c r="K123" i="1" s="1"/>
  <c r="H88" i="1" a="1"/>
  <c r="H88" i="1" s="1"/>
  <c r="K124" i="1" s="1" a="1"/>
  <c r="K124" i="1" s="1"/>
  <c r="B89" i="1" a="1"/>
  <c r="B89" i="1" s="1"/>
  <c r="K125" i="1" s="1" a="1"/>
  <c r="K125" i="1" s="1"/>
  <c r="C89" i="1" a="1"/>
  <c r="C89" i="1" s="1"/>
  <c r="K126" i="1" s="1" a="1"/>
  <c r="K126" i="1" s="1"/>
  <c r="D89" i="1" a="1"/>
  <c r="D89" i="1" s="1"/>
  <c r="K127" i="1" s="1" a="1"/>
  <c r="K127" i="1" s="1"/>
  <c r="E89" i="1" a="1"/>
  <c r="E89" i="1" s="1"/>
  <c r="K128" i="1" s="1" a="1"/>
  <c r="K128" i="1" s="1"/>
  <c r="F89" i="1" a="1"/>
  <c r="F89" i="1" s="1"/>
  <c r="K129" i="1" s="1" a="1"/>
  <c r="K129" i="1" s="1"/>
  <c r="G89" i="1" a="1"/>
  <c r="G89" i="1" s="1"/>
  <c r="K130" i="1" s="1" a="1"/>
  <c r="K130" i="1" s="1"/>
  <c r="H89" i="1" a="1"/>
  <c r="H89" i="1" s="1"/>
  <c r="K131" i="1" s="1" a="1"/>
  <c r="K131" i="1" s="1"/>
  <c r="B90" i="1" a="1"/>
  <c r="B90" i="1" s="1"/>
  <c r="K132" i="1" s="1" a="1"/>
  <c r="K132" i="1" s="1"/>
  <c r="C90" i="1" a="1"/>
  <c r="C90" i="1" s="1"/>
  <c r="K133" i="1" s="1" a="1"/>
  <c r="K133" i="1" s="1"/>
  <c r="D90" i="1" a="1"/>
  <c r="D90" i="1" s="1"/>
  <c r="K134" i="1" s="1" a="1"/>
  <c r="K134" i="1" s="1"/>
  <c r="E90" i="1" a="1"/>
  <c r="E90" i="1" s="1"/>
  <c r="K135" i="1" s="1" a="1"/>
  <c r="K135" i="1" s="1"/>
  <c r="F90" i="1" a="1"/>
  <c r="F90" i="1" s="1"/>
  <c r="K136" i="1" s="1" a="1"/>
  <c r="K136" i="1" s="1"/>
  <c r="G90" i="1" a="1"/>
  <c r="G90" i="1" s="1"/>
  <c r="K137" i="1" s="1" a="1"/>
  <c r="K137" i="1" s="1"/>
  <c r="H90" i="1" a="1"/>
  <c r="H90" i="1" s="1"/>
  <c r="K138" i="1" s="1" a="1"/>
  <c r="K138" i="1" s="1"/>
  <c r="C83" i="1" a="1"/>
  <c r="C83" i="1" s="1"/>
  <c r="N84" i="1" s="1" a="1"/>
  <c r="N84" i="1" s="1"/>
  <c r="D83" i="1" a="1"/>
  <c r="D83" i="1" s="1"/>
  <c r="K85" i="1" s="1" a="1"/>
  <c r="K85" i="1" s="1"/>
  <c r="E83" i="1" a="1"/>
  <c r="E83" i="1" s="1"/>
  <c r="C144" i="1" s="1" a="1"/>
  <c r="C144" i="1" s="1"/>
  <c r="F143" i="1" s="1" a="1"/>
  <c r="F143" i="1" s="1"/>
  <c r="N148" i="1" s="1" a="1"/>
  <c r="N148" i="1" s="1"/>
  <c r="F83" i="1" a="1"/>
  <c r="F83" i="1" s="1"/>
  <c r="C145" i="1" s="1" a="1"/>
  <c r="C145" i="1" s="1"/>
  <c r="I144" i="1" s="1" a="1"/>
  <c r="I144" i="1" s="1"/>
  <c r="N157" i="1" s="1" a="1"/>
  <c r="N157" i="1" s="1"/>
  <c r="G83" i="1" a="1"/>
  <c r="G83" i="1" s="1"/>
  <c r="H83" i="1" a="1"/>
  <c r="H83" i="1" s="1"/>
  <c r="C147" i="1" s="1" a="1"/>
  <c r="C147" i="1" s="1"/>
  <c r="I143" i="1" s="1" a="1"/>
  <c r="I143" i="1" s="1"/>
  <c r="N151" i="1" s="1" a="1"/>
  <c r="N151" i="1" s="1"/>
  <c r="B83" i="1" a="1"/>
  <c r="B83" i="1" s="1"/>
  <c r="N83" i="1" s="1" a="1"/>
  <c r="N83" i="1" s="1"/>
  <c r="X6" i="1" a="1"/>
  <c r="X6" i="1" s="1"/>
  <c r="R32" i="1" s="1" a="1"/>
  <c r="R32" i="1" s="1"/>
  <c r="X7" i="1" a="1"/>
  <c r="X7" i="1" s="1"/>
  <c r="X8" i="1" a="1"/>
  <c r="X8" i="1" s="1"/>
  <c r="X9" i="1" a="1"/>
  <c r="X9" i="1" s="1"/>
  <c r="AG150" i="1" s="1" a="1"/>
  <c r="AG150" i="1" s="1"/>
  <c r="X10" i="1" a="1"/>
  <c r="X10" i="1" s="1"/>
  <c r="X11" i="1" a="1"/>
  <c r="X11" i="1" s="1"/>
  <c r="X12" i="1" a="1"/>
  <c r="X12" i="1" s="1"/>
  <c r="W6" i="1" a="1"/>
  <c r="W6" i="1" s="1"/>
  <c r="W7" i="1" a="1"/>
  <c r="W7" i="1" s="1"/>
  <c r="W8" i="1" a="1"/>
  <c r="W8" i="1" s="1"/>
  <c r="W9" i="1" a="1"/>
  <c r="W9" i="1" s="1"/>
  <c r="AG149" i="1" s="1" a="1"/>
  <c r="AG149" i="1" s="1"/>
  <c r="W10" i="1" a="1"/>
  <c r="W10" i="1" s="1"/>
  <c r="W11" i="1" a="1"/>
  <c r="W11" i="1" s="1"/>
  <c r="W12" i="1" a="1"/>
  <c r="W12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AG155" i="1" s="1" a="1"/>
  <c r="AG155" i="1" s="1"/>
  <c r="U11" i="1" a="1"/>
  <c r="U11" i="1" s="1"/>
  <c r="U12" i="1" a="1"/>
  <c r="U12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AG152" i="1" s="1" a="1"/>
  <c r="AG152" i="1" s="1"/>
  <c r="R11" i="1" a="1"/>
  <c r="R11" i="1" s="1"/>
  <c r="R12" i="1" a="1"/>
  <c r="R12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R54" i="1" l="1" a="1"/>
  <c r="R54" i="1" s="1"/>
  <c r="AG148" i="1" a="1"/>
  <c r="AG148" i="1" s="1"/>
  <c r="R49" i="1" a="1"/>
  <c r="R49" i="1" s="1"/>
  <c r="AG143" i="1" a="1"/>
  <c r="AG143" i="1" s="1"/>
  <c r="R59" i="1" a="1"/>
  <c r="R59" i="1" s="1"/>
  <c r="AG153" i="1" a="1"/>
  <c r="AG153" i="1" s="1"/>
  <c r="U45" i="1" a="1"/>
  <c r="U45" i="1" s="1"/>
  <c r="AG171" i="1" a="1"/>
  <c r="AG171" i="1" s="1"/>
  <c r="U40" i="1" a="1"/>
  <c r="U40" i="1" s="1"/>
  <c r="AG166" i="1" a="1"/>
  <c r="AG166" i="1" s="1"/>
  <c r="U35" i="1" a="1"/>
  <c r="U35" i="1" s="1"/>
  <c r="Z21" i="1" s="1" a="1"/>
  <c r="Z21" i="1" s="1"/>
  <c r="X54" i="1" s="1" a="1"/>
  <c r="X54" i="1" s="1"/>
  <c r="Q169" i="1" s="1"/>
  <c r="AG161" i="1" a="1"/>
  <c r="AG161" i="1" s="1"/>
  <c r="U19" i="1" a="1"/>
  <c r="U19" i="1" s="1"/>
  <c r="Z17" i="1" s="1" a="1"/>
  <c r="Z17" i="1" s="1"/>
  <c r="X30" i="1" s="1" a="1"/>
  <c r="X30" i="1" s="1"/>
  <c r="AG145" i="1" a="1"/>
  <c r="AG145" i="1" s="1"/>
  <c r="U37" i="1" a="1"/>
  <c r="U37" i="1" s="1"/>
  <c r="AB21" i="1" s="1" a="1"/>
  <c r="AB21" i="1" s="1"/>
  <c r="X56" i="1" s="1" a="1"/>
  <c r="X56" i="1" s="1"/>
  <c r="Q171" i="1" s="1"/>
  <c r="AG163" i="1" a="1"/>
  <c r="AG163" i="1" s="1"/>
  <c r="U48" i="1" a="1"/>
  <c r="U48" i="1" s="1"/>
  <c r="W17" i="1" s="1" a="1"/>
  <c r="W17" i="1" s="1"/>
  <c r="X27" i="1" s="1" a="1"/>
  <c r="X27" i="1" s="1"/>
  <c r="AG174" i="1" a="1"/>
  <c r="AG174" i="1" s="1"/>
  <c r="R64" i="1" a="1"/>
  <c r="R64" i="1" s="1"/>
  <c r="AG158" i="1" a="1"/>
  <c r="AG158" i="1" s="1"/>
  <c r="U47" i="1" a="1"/>
  <c r="U47" i="1" s="1"/>
  <c r="Z24" i="1" s="1" a="1"/>
  <c r="Z24" i="1" s="1"/>
  <c r="X72" i="1" s="1" a="1"/>
  <c r="X72" i="1" s="1"/>
  <c r="Q187" i="1" s="1"/>
  <c r="AG173" i="1" a="1"/>
  <c r="AG173" i="1" s="1"/>
  <c r="C161" i="1" a="1"/>
  <c r="C161" i="1" s="1"/>
  <c r="I145" i="1" s="1" a="1"/>
  <c r="I145" i="1" s="1"/>
  <c r="N163" i="1" s="1" a="1"/>
  <c r="N163" i="1" s="1"/>
  <c r="R74" i="1" a="1"/>
  <c r="R74" i="1" s="1"/>
  <c r="AG168" i="1" a="1"/>
  <c r="AG168" i="1" s="1"/>
  <c r="R53" i="1" a="1"/>
  <c r="R53" i="1" s="1"/>
  <c r="AG147" i="1" a="1"/>
  <c r="AG147" i="1" s="1"/>
  <c r="R71" i="1" a="1"/>
  <c r="R71" i="1" s="1"/>
  <c r="AG165" i="1" a="1"/>
  <c r="AG165" i="1" s="1"/>
  <c r="R62" i="1" a="1"/>
  <c r="R62" i="1" s="1"/>
  <c r="AG156" i="1" a="1"/>
  <c r="AG156" i="1" s="1"/>
  <c r="U34" i="1" a="1"/>
  <c r="U34" i="1" s="1"/>
  <c r="Y21" i="1" s="1" a="1"/>
  <c r="Y21" i="1" s="1"/>
  <c r="X53" i="1" s="1" a="1"/>
  <c r="X53" i="1" s="1"/>
  <c r="Q168" i="1" s="1"/>
  <c r="AG160" i="1" a="1"/>
  <c r="AG160" i="1" s="1"/>
  <c r="R63" i="1" a="1"/>
  <c r="R63" i="1" s="1"/>
  <c r="AG157" i="1" a="1"/>
  <c r="AG157" i="1" s="1"/>
  <c r="U33" i="1" a="1"/>
  <c r="U33" i="1" s="1"/>
  <c r="AG159" i="1" a="1"/>
  <c r="AG159" i="1" s="1"/>
  <c r="U43" i="1" a="1"/>
  <c r="U43" i="1" s="1"/>
  <c r="Z23" i="1" s="1" a="1"/>
  <c r="Z23" i="1" s="1"/>
  <c r="X66" i="1" s="1" a="1"/>
  <c r="X66" i="1" s="1"/>
  <c r="Q181" i="1" s="1"/>
  <c r="AG169" i="1" a="1"/>
  <c r="AG169" i="1" s="1"/>
  <c r="U44" i="1" a="1"/>
  <c r="U44" i="1" s="1"/>
  <c r="AG170" i="1" a="1"/>
  <c r="AG170" i="1" s="1"/>
  <c r="U25" i="1" a="1"/>
  <c r="U25" i="1" s="1"/>
  <c r="AB18" i="1" s="1" a="1"/>
  <c r="AB18" i="1" s="1"/>
  <c r="X38" i="1" s="1" a="1"/>
  <c r="X38" i="1" s="1"/>
  <c r="AG151" i="1" a="1"/>
  <c r="AG151" i="1" s="1"/>
  <c r="U18" i="1" a="1"/>
  <c r="U18" i="1" s="1"/>
  <c r="Y17" i="1" s="1" a="1"/>
  <c r="Y17" i="1" s="1"/>
  <c r="X29" i="1" s="1" a="1"/>
  <c r="X29" i="1" s="1"/>
  <c r="AG144" i="1" a="1"/>
  <c r="AG144" i="1" s="1"/>
  <c r="U36" i="1" a="1"/>
  <c r="U36" i="1" s="1"/>
  <c r="AA21" i="1" s="1" a="1"/>
  <c r="AA21" i="1" s="1"/>
  <c r="X55" i="1" s="1" a="1"/>
  <c r="X55" i="1" s="1"/>
  <c r="Q170" i="1" s="1"/>
  <c r="AG162" i="1" a="1"/>
  <c r="AG162" i="1" s="1"/>
  <c r="U28" i="1" a="1"/>
  <c r="U28" i="1" s="1"/>
  <c r="AG154" i="1" a="1"/>
  <c r="AG154" i="1" s="1"/>
  <c r="U46" i="1" a="1"/>
  <c r="U46" i="1" s="1"/>
  <c r="Y24" i="1" s="1" a="1"/>
  <c r="Y24" i="1" s="1"/>
  <c r="X71" i="1" s="1" a="1"/>
  <c r="X71" i="1" s="1"/>
  <c r="Q186" i="1" s="1"/>
  <c r="AG172" i="1" a="1"/>
  <c r="AG172" i="1" s="1"/>
  <c r="R73" i="1" a="1"/>
  <c r="R73" i="1" s="1"/>
  <c r="AG167" i="1" a="1"/>
  <c r="AG167" i="1" s="1"/>
  <c r="R52" i="1" a="1"/>
  <c r="R52" i="1" s="1"/>
  <c r="AG146" i="1" a="1"/>
  <c r="AG146" i="1" s="1"/>
  <c r="R70" i="1" a="1"/>
  <c r="R70" i="1" s="1"/>
  <c r="AG164" i="1" a="1"/>
  <c r="AG164" i="1" s="1"/>
  <c r="T41" i="1" a="1"/>
  <c r="T41" i="1" s="1"/>
  <c r="R28" i="1" a="1"/>
  <c r="R28" i="1" s="1"/>
  <c r="R46" i="1" a="1"/>
  <c r="R46" i="1" s="1"/>
  <c r="T24" i="1" a="1"/>
  <c r="T24" i="1" s="1"/>
  <c r="T33" i="1" a="1"/>
  <c r="T33" i="1" s="1"/>
  <c r="R38" i="1" a="1"/>
  <c r="R38" i="1" s="1"/>
  <c r="R17" i="1" a="1"/>
  <c r="R17" i="1" s="1"/>
  <c r="R23" i="1" a="1"/>
  <c r="R23" i="1" s="1"/>
  <c r="T25" i="1" a="1"/>
  <c r="T25" i="1" s="1"/>
  <c r="T30" i="1" a="1"/>
  <c r="T30" i="1" s="1"/>
  <c r="R22" i="1" a="1"/>
  <c r="R22" i="1" s="1"/>
  <c r="T43" i="1" a="1"/>
  <c r="T43" i="1" s="1"/>
  <c r="R48" i="1" a="1"/>
  <c r="R48" i="1" s="1"/>
  <c r="R26" i="1" a="1"/>
  <c r="R26" i="1" s="1"/>
  <c r="T21" i="1" a="1"/>
  <c r="T21" i="1" s="1"/>
  <c r="T35" i="1" a="1"/>
  <c r="T35" i="1" s="1"/>
  <c r="R40" i="1" a="1"/>
  <c r="R40" i="1" s="1"/>
  <c r="T36" i="1" a="1"/>
  <c r="T36" i="1" s="1"/>
  <c r="T20" i="1" a="1"/>
  <c r="T20" i="1" s="1"/>
  <c r="R27" i="1" a="1"/>
  <c r="R27" i="1" s="1"/>
  <c r="T45" i="1" a="1"/>
  <c r="T45" i="1" s="1"/>
  <c r="T32" i="1" a="1"/>
  <c r="T32" i="1" s="1"/>
  <c r="T44" i="1" a="1"/>
  <c r="T44" i="1" s="1"/>
  <c r="T19" i="1" a="1"/>
  <c r="T19" i="1" s="1"/>
  <c r="R37" i="1" a="1"/>
  <c r="R37" i="1" s="1"/>
  <c r="R80" i="1" a="1"/>
  <c r="R80" i="1" s="1"/>
  <c r="T31" i="1" a="1"/>
  <c r="T31" i="1" s="1"/>
  <c r="T18" i="1" a="1"/>
  <c r="T18" i="1" s="1"/>
  <c r="T42" i="1" a="1"/>
  <c r="T42" i="1" s="1"/>
  <c r="R29" i="1" a="1"/>
  <c r="R29" i="1" s="1"/>
  <c r="T47" i="1" a="1"/>
  <c r="T47" i="1" s="1"/>
  <c r="R72" i="1" a="1"/>
  <c r="R72" i="1" s="1"/>
  <c r="R34" i="1" a="1"/>
  <c r="R34" i="1" s="1"/>
  <c r="R39" i="1" a="1"/>
  <c r="R39" i="1" s="1"/>
  <c r="R44" i="1" a="1"/>
  <c r="R44" i="1" s="1"/>
  <c r="K104" i="1" a="1"/>
  <c r="K104" i="1" s="1"/>
  <c r="K92" i="1" a="1"/>
  <c r="K92" i="1" s="1"/>
  <c r="R43" i="1" a="1"/>
  <c r="R43" i="1" s="1"/>
  <c r="C149" i="1" a="1"/>
  <c r="C149" i="1" s="1"/>
  <c r="K144" i="1" s="1" a="1"/>
  <c r="K144" i="1" s="1"/>
  <c r="N159" i="1" s="1" a="1"/>
  <c r="N159" i="1" s="1"/>
  <c r="U39" i="1" a="1"/>
  <c r="U39" i="1" s="1"/>
  <c r="Z22" i="1" s="1" a="1"/>
  <c r="Z22" i="1" s="1"/>
  <c r="X60" i="1" s="1" a="1"/>
  <c r="X60" i="1" s="1"/>
  <c r="Q175" i="1" s="1"/>
  <c r="R31" i="1" a="1"/>
  <c r="R31" i="1" s="1"/>
  <c r="R20" i="1" a="1"/>
  <c r="R20" i="1" s="1"/>
  <c r="K83" i="1" a="1"/>
  <c r="K83" i="1" s="1"/>
  <c r="R79" i="1" a="1"/>
  <c r="R79" i="1" s="1"/>
  <c r="T27" i="1" a="1"/>
  <c r="T27" i="1" s="1"/>
  <c r="R77" i="1" a="1"/>
  <c r="R77" i="1" s="1"/>
  <c r="N86" i="1" a="1"/>
  <c r="N86" i="1" s="1"/>
  <c r="N98" i="1" a="1"/>
  <c r="N98" i="1" s="1"/>
  <c r="R68" i="1" a="1"/>
  <c r="R68" i="1" s="1"/>
  <c r="N109" i="1" a="1"/>
  <c r="N109" i="1" s="1"/>
  <c r="R67" i="1" a="1"/>
  <c r="R67" i="1" s="1"/>
  <c r="T93" i="1" a="1"/>
  <c r="T93" i="1" s="1"/>
  <c r="AN280" i="1" s="1"/>
  <c r="T105" i="1" a="1"/>
  <c r="T105" i="1" s="1"/>
  <c r="AN292" i="1" s="1"/>
  <c r="U21" i="1" a="1"/>
  <c r="U21" i="1" s="1"/>
  <c r="U29" i="1" a="1"/>
  <c r="U29" i="1" s="1"/>
  <c r="R61" i="1" a="1"/>
  <c r="R61" i="1" s="1"/>
  <c r="R58" i="1" a="1"/>
  <c r="R58" i="1" s="1"/>
  <c r="U26" i="1" a="1"/>
  <c r="U26" i="1" s="1"/>
  <c r="Y19" i="1" s="1" a="1"/>
  <c r="Y19" i="1" s="1"/>
  <c r="X41" i="1" s="1" a="1"/>
  <c r="X41" i="1" s="1"/>
  <c r="R56" i="1" a="1"/>
  <c r="R56" i="1" s="1"/>
  <c r="U24" i="1" a="1"/>
  <c r="U24" i="1" s="1"/>
  <c r="W19" i="1" s="1" a="1"/>
  <c r="W19" i="1" s="1"/>
  <c r="X39" i="1" s="1" a="1"/>
  <c r="X39" i="1" s="1"/>
  <c r="U23" i="1" a="1"/>
  <c r="U23" i="1" s="1"/>
  <c r="Z18" i="1" s="1" a="1"/>
  <c r="Z18" i="1" s="1"/>
  <c r="X36" i="1" s="1" a="1"/>
  <c r="X36" i="1" s="1"/>
  <c r="Q151" i="1" s="1"/>
  <c r="R55" i="1" a="1"/>
  <c r="R55" i="1" s="1"/>
  <c r="C146" i="1" a="1"/>
  <c r="C146" i="1" s="1"/>
  <c r="K142" i="1" s="1" a="1"/>
  <c r="K142" i="1" s="1"/>
  <c r="N147" i="1" s="1" a="1"/>
  <c r="N147" i="1" s="1"/>
  <c r="T87" i="1" a="1"/>
  <c r="T87" i="1" s="1"/>
  <c r="AN274" i="1" s="1"/>
  <c r="K88" i="1" a="1"/>
  <c r="K88" i="1" s="1"/>
  <c r="N88" i="1" a="1"/>
  <c r="N88" i="1" s="1"/>
  <c r="R69" i="1" a="1"/>
  <c r="R69" i="1" s="1"/>
  <c r="R57" i="1" a="1"/>
  <c r="R57" i="1" s="1"/>
  <c r="R45" i="1" a="1"/>
  <c r="R45" i="1" s="1"/>
  <c r="R33" i="1" a="1"/>
  <c r="R33" i="1" s="1"/>
  <c r="R21" i="1" a="1"/>
  <c r="R21" i="1" s="1"/>
  <c r="K105" i="1" a="1"/>
  <c r="K105" i="1" s="1"/>
  <c r="K93" i="1" a="1"/>
  <c r="K93" i="1" s="1"/>
  <c r="N85" i="1" a="1"/>
  <c r="N85" i="1" s="1"/>
  <c r="N97" i="1" a="1"/>
  <c r="N97" i="1" s="1"/>
  <c r="N108" i="1" a="1"/>
  <c r="N108" i="1" s="1"/>
  <c r="T92" i="1" a="1"/>
  <c r="T92" i="1" s="1"/>
  <c r="AN279" i="1" s="1"/>
  <c r="T104" i="1" a="1"/>
  <c r="T104" i="1" s="1"/>
  <c r="AN291" i="1" s="1"/>
  <c r="C148" i="1" a="1"/>
  <c r="C148" i="1" s="1"/>
  <c r="G145" i="1" s="1" a="1"/>
  <c r="G145" i="1" s="1"/>
  <c r="N161" i="1" s="1" a="1"/>
  <c r="N161" i="1" s="1"/>
  <c r="C160" i="1" a="1"/>
  <c r="C160" i="1" s="1"/>
  <c r="G144" i="1" s="1" a="1"/>
  <c r="G144" i="1" s="1"/>
  <c r="N155" i="1" s="1" a="1"/>
  <c r="N155" i="1" s="1"/>
  <c r="T26" i="1" a="1"/>
  <c r="T26" i="1" s="1"/>
  <c r="T37" i="1" a="1"/>
  <c r="T37" i="1" s="1"/>
  <c r="T48" i="1" a="1"/>
  <c r="T48" i="1" s="1"/>
  <c r="U20" i="1" a="1"/>
  <c r="U20" i="1" s="1"/>
  <c r="AA17" i="1" s="1" a="1"/>
  <c r="AA17" i="1" s="1"/>
  <c r="X31" i="1" s="1" a="1"/>
  <c r="X31" i="1" s="1"/>
  <c r="U30" i="1" a="1"/>
  <c r="U30" i="1" s="1"/>
  <c r="Y20" i="1" s="1" a="1"/>
  <c r="Y20" i="1" s="1"/>
  <c r="X47" i="1" s="1" a="1"/>
  <c r="X47" i="1" s="1"/>
  <c r="Q162" i="1" s="1"/>
  <c r="U38" i="1" a="1"/>
  <c r="U38" i="1" s="1"/>
  <c r="Y22" i="1" s="1" a="1"/>
  <c r="Y22" i="1" s="1"/>
  <c r="X59" i="1" s="1" a="1"/>
  <c r="X59" i="1" s="1"/>
  <c r="Q174" i="1" s="1"/>
  <c r="R19" i="1" a="1"/>
  <c r="R19" i="1" s="1"/>
  <c r="K103" i="1" a="1"/>
  <c r="K103" i="1" s="1"/>
  <c r="K91" i="1" a="1"/>
  <c r="K91" i="1" s="1"/>
  <c r="N87" i="1" a="1"/>
  <c r="N87" i="1" s="1"/>
  <c r="N99" i="1" a="1"/>
  <c r="N99" i="1" s="1"/>
  <c r="N110" i="1" a="1"/>
  <c r="N110" i="1" s="1"/>
  <c r="T94" i="1" a="1"/>
  <c r="T94" i="1" s="1"/>
  <c r="AN281" i="1" s="1"/>
  <c r="T106" i="1" a="1"/>
  <c r="T106" i="1" s="1"/>
  <c r="AN293" i="1" s="1"/>
  <c r="C150" i="1" a="1"/>
  <c r="C150" i="1" s="1"/>
  <c r="C162" i="1" a="1"/>
  <c r="C162" i="1" s="1"/>
  <c r="J143" i="1" s="1" a="1"/>
  <c r="J143" i="1" s="1"/>
  <c r="N152" i="1" s="1" a="1"/>
  <c r="N152" i="1" s="1"/>
  <c r="T28" i="1" a="1"/>
  <c r="T28" i="1" s="1"/>
  <c r="T38" i="1" a="1"/>
  <c r="T38" i="1" s="1"/>
  <c r="U22" i="1" a="1"/>
  <c r="U22" i="1" s="1"/>
  <c r="Y18" i="1" s="1" a="1"/>
  <c r="Y18" i="1" s="1"/>
  <c r="X35" i="1" s="1" a="1"/>
  <c r="X35" i="1" s="1"/>
  <c r="Q150" i="1" s="1"/>
  <c r="U31" i="1" a="1"/>
  <c r="U31" i="1" s="1"/>
  <c r="Z20" i="1" s="1" a="1"/>
  <c r="Z20" i="1" s="1"/>
  <c r="X48" i="1" s="1" a="1"/>
  <c r="X48" i="1" s="1"/>
  <c r="R78" i="1" a="1"/>
  <c r="R78" i="1" s="1"/>
  <c r="R66" i="1" a="1"/>
  <c r="R66" i="1" s="1"/>
  <c r="R42" i="1" a="1"/>
  <c r="R42" i="1" s="1"/>
  <c r="R30" i="1" a="1"/>
  <c r="R30" i="1" s="1"/>
  <c r="R18" i="1" a="1"/>
  <c r="R18" i="1" s="1"/>
  <c r="K102" i="1" a="1"/>
  <c r="K102" i="1" s="1"/>
  <c r="K90" i="1" a="1"/>
  <c r="K90" i="1" s="1"/>
  <c r="N100" i="1" a="1"/>
  <c r="N100" i="1" s="1"/>
  <c r="T83" i="1" a="1"/>
  <c r="T83" i="1" s="1"/>
  <c r="T95" i="1" a="1"/>
  <c r="T95" i="1" s="1"/>
  <c r="AN282" i="1" s="1"/>
  <c r="T107" i="1" a="1"/>
  <c r="T107" i="1" s="1"/>
  <c r="AN294" i="1" s="1"/>
  <c r="C151" i="1" a="1"/>
  <c r="C151" i="1" s="1"/>
  <c r="K143" i="1" s="1" a="1"/>
  <c r="K143" i="1" s="1"/>
  <c r="N153" i="1" s="1" a="1"/>
  <c r="N153" i="1" s="1"/>
  <c r="Q153" i="1" s="1"/>
  <c r="C163" i="1" a="1"/>
  <c r="C163" i="1" s="1"/>
  <c r="T29" i="1" a="1"/>
  <c r="T29" i="1" s="1"/>
  <c r="T39" i="1" a="1"/>
  <c r="T39" i="1" s="1"/>
  <c r="U41" i="1" a="1"/>
  <c r="U41" i="1" s="1"/>
  <c r="X23" i="1" s="1" a="1"/>
  <c r="X23" i="1" s="1"/>
  <c r="X64" i="1" s="1" a="1"/>
  <c r="X64" i="1" s="1"/>
  <c r="Q179" i="1" s="1"/>
  <c r="R65" i="1" a="1"/>
  <c r="R65" i="1" s="1"/>
  <c r="R41" i="1" a="1"/>
  <c r="R41" i="1" s="1"/>
  <c r="K101" i="1" a="1"/>
  <c r="K101" i="1" s="1"/>
  <c r="K89" i="1" a="1"/>
  <c r="K89" i="1" s="1"/>
  <c r="N89" i="1" a="1"/>
  <c r="N89" i="1" s="1"/>
  <c r="N101" i="1" a="1"/>
  <c r="N101" i="1" s="1"/>
  <c r="T84" i="1" a="1"/>
  <c r="T84" i="1" s="1"/>
  <c r="T96" i="1" a="1"/>
  <c r="T96" i="1" s="1"/>
  <c r="AN283" i="1" s="1"/>
  <c r="T108" i="1" a="1"/>
  <c r="T108" i="1" s="1"/>
  <c r="AN295" i="1" s="1"/>
  <c r="C152" i="1" a="1"/>
  <c r="C152" i="1" s="1"/>
  <c r="H142" i="1" s="1" a="1"/>
  <c r="H142" i="1" s="1"/>
  <c r="N144" i="1" s="1" a="1"/>
  <c r="N144" i="1" s="1"/>
  <c r="Q144" i="1" s="1"/>
  <c r="C164" i="1" a="1"/>
  <c r="C164" i="1" s="1"/>
  <c r="F144" i="1" s="1" a="1"/>
  <c r="F144" i="1" s="1"/>
  <c r="N154" i="1" s="1" a="1"/>
  <c r="N154" i="1" s="1"/>
  <c r="T40" i="1" a="1"/>
  <c r="T40" i="1" s="1"/>
  <c r="U32" i="1" a="1"/>
  <c r="U32" i="1" s="1"/>
  <c r="U42" i="1" a="1"/>
  <c r="U42" i="1" s="1"/>
  <c r="Y23" i="1" s="1" a="1"/>
  <c r="Y23" i="1" s="1"/>
  <c r="X65" i="1" s="1" a="1"/>
  <c r="X65" i="1" s="1"/>
  <c r="Q180" i="1" s="1"/>
  <c r="R76" i="1" a="1"/>
  <c r="R76" i="1" s="1"/>
  <c r="K100" i="1" a="1"/>
  <c r="K100" i="1" s="1"/>
  <c r="N90" i="1" a="1"/>
  <c r="N90" i="1" s="1"/>
  <c r="N102" i="1" a="1"/>
  <c r="N102" i="1" s="1"/>
  <c r="T85" i="1" a="1"/>
  <c r="T85" i="1" s="1"/>
  <c r="T97" i="1" a="1"/>
  <c r="T97" i="1" s="1"/>
  <c r="AN284" i="1" s="1"/>
  <c r="T109" i="1" a="1"/>
  <c r="T109" i="1" s="1"/>
  <c r="AN296" i="1" s="1"/>
  <c r="C153" i="1" a="1"/>
  <c r="C153" i="1" s="1"/>
  <c r="H144" i="1" s="1" a="1"/>
  <c r="H144" i="1" s="1"/>
  <c r="N156" i="1" s="1" a="1"/>
  <c r="N156" i="1" s="1"/>
  <c r="C165" i="1" a="1"/>
  <c r="C165" i="1" s="1"/>
  <c r="I142" i="1" s="1" a="1"/>
  <c r="I142" i="1" s="1"/>
  <c r="N145" i="1" s="1" a="1"/>
  <c r="N145" i="1" s="1"/>
  <c r="Q145" i="1" s="1"/>
  <c r="R75" i="1" a="1"/>
  <c r="R75" i="1" s="1"/>
  <c r="R51" i="1" a="1"/>
  <c r="R51" i="1" s="1"/>
  <c r="K99" i="1" a="1"/>
  <c r="K99" i="1" s="1"/>
  <c r="K87" i="1" a="1"/>
  <c r="K87" i="1" s="1"/>
  <c r="N91" i="1" a="1"/>
  <c r="N91" i="1" s="1"/>
  <c r="N103" i="1" a="1"/>
  <c r="N103" i="1" s="1"/>
  <c r="T86" i="1" a="1"/>
  <c r="T86" i="1" s="1"/>
  <c r="T98" i="1" a="1"/>
  <c r="T98" i="1" s="1"/>
  <c r="AN285" i="1" s="1"/>
  <c r="C142" i="1" a="1"/>
  <c r="C142" i="1" s="1"/>
  <c r="J142" i="1" s="1" a="1"/>
  <c r="J142" i="1" s="1"/>
  <c r="N146" i="1" s="1" a="1"/>
  <c r="N146" i="1" s="1"/>
  <c r="C154" i="1" a="1"/>
  <c r="C154" i="1" s="1"/>
  <c r="J145" i="1" s="1" a="1"/>
  <c r="J145" i="1" s="1"/>
  <c r="N164" i="1" s="1" a="1"/>
  <c r="N164" i="1" s="1"/>
  <c r="C166" i="1" a="1"/>
  <c r="C166" i="1" s="1"/>
  <c r="U17" i="1" a="1"/>
  <c r="U17" i="1" s="1"/>
  <c r="R50" i="1" a="1"/>
  <c r="R50" i="1" s="1"/>
  <c r="K110" i="1" a="1"/>
  <c r="K110" i="1" s="1"/>
  <c r="K98" i="1" a="1"/>
  <c r="K98" i="1" s="1"/>
  <c r="K86" i="1" a="1"/>
  <c r="K86" i="1" s="1"/>
  <c r="N92" i="1" a="1"/>
  <c r="N92" i="1" s="1"/>
  <c r="N104" i="1" a="1"/>
  <c r="N104" i="1" s="1"/>
  <c r="T99" i="1" a="1"/>
  <c r="T99" i="1" s="1"/>
  <c r="AN286" i="1" s="1"/>
  <c r="C143" i="1" a="1"/>
  <c r="C143" i="1" s="1"/>
  <c r="K145" i="1" s="1" a="1"/>
  <c r="K145" i="1" s="1"/>
  <c r="N165" i="1" s="1" a="1"/>
  <c r="N165" i="1" s="1"/>
  <c r="C155" i="1" a="1"/>
  <c r="C155" i="1" s="1"/>
  <c r="F142" i="1" s="1" a="1"/>
  <c r="F142" i="1" s="1"/>
  <c r="N142" i="1" s="1" a="1"/>
  <c r="N142" i="1" s="1"/>
  <c r="C167" i="1" a="1"/>
  <c r="C167" i="1" s="1"/>
  <c r="J144" i="1" s="1" a="1"/>
  <c r="J144" i="1" s="1"/>
  <c r="N158" i="1" s="1" a="1"/>
  <c r="N158" i="1" s="1"/>
  <c r="R25" i="1" a="1"/>
  <c r="R25" i="1" s="1"/>
  <c r="T88" i="1" a="1"/>
  <c r="T88" i="1" s="1"/>
  <c r="AN275" i="1" s="1"/>
  <c r="T100" i="1" a="1"/>
  <c r="T100" i="1" s="1"/>
  <c r="AN287" i="1" s="1"/>
  <c r="T22" i="1" a="1"/>
  <c r="T22" i="1" s="1"/>
  <c r="R60" i="1" a="1"/>
  <c r="R60" i="1" s="1"/>
  <c r="R36" i="1" a="1"/>
  <c r="R36" i="1" s="1"/>
  <c r="R24" i="1" a="1"/>
  <c r="R24" i="1" s="1"/>
  <c r="K96" i="1" a="1"/>
  <c r="K96" i="1" s="1"/>
  <c r="K84" i="1" a="1"/>
  <c r="K84" i="1" s="1"/>
  <c r="N94" i="1" a="1"/>
  <c r="N94" i="1" s="1"/>
  <c r="N106" i="1" a="1"/>
  <c r="N106" i="1" s="1"/>
  <c r="T23" i="1" a="1"/>
  <c r="T23" i="1" s="1"/>
  <c r="T34" i="1" a="1"/>
  <c r="T34" i="1" s="1"/>
  <c r="U27" i="1" a="1"/>
  <c r="U27" i="1" s="1"/>
  <c r="Z19" i="1" s="1" a="1"/>
  <c r="Z19" i="1" s="1"/>
  <c r="X42" i="1" s="1" a="1"/>
  <c r="X42" i="1" s="1"/>
  <c r="Q157" i="1" s="1"/>
  <c r="R47" i="1" a="1"/>
  <c r="R47" i="1" s="1"/>
  <c r="R35" i="1" a="1"/>
  <c r="R35" i="1" s="1"/>
  <c r="K107" i="1" a="1"/>
  <c r="K107" i="1" s="1"/>
  <c r="K95" i="1" a="1"/>
  <c r="K95" i="1" s="1"/>
  <c r="T46" i="1" a="1"/>
  <c r="T46" i="1" s="1"/>
  <c r="W20" i="1" a="1"/>
  <c r="W20" i="1" s="1"/>
  <c r="X45" i="1" s="1" a="1"/>
  <c r="X45" i="1" s="1"/>
  <c r="Q160" i="1" s="1"/>
  <c r="AA19" i="1" a="1"/>
  <c r="AA19" i="1" s="1"/>
  <c r="X43" i="1" s="1" a="1"/>
  <c r="X43" i="1" s="1"/>
  <c r="AB19" i="1" a="1"/>
  <c r="AB19" i="1" s="1"/>
  <c r="X44" i="1" s="1" a="1"/>
  <c r="X44" i="1" s="1"/>
  <c r="Q159" i="1" s="1"/>
  <c r="X20" i="1" a="1"/>
  <c r="X20" i="1" s="1"/>
  <c r="X46" i="1" s="1" a="1"/>
  <c r="X46" i="1" s="1"/>
  <c r="Q161" i="1" s="1"/>
  <c r="AA22" i="1" a="1"/>
  <c r="AA22" i="1" s="1"/>
  <c r="X61" i="1" s="1" a="1"/>
  <c r="X61" i="1" s="1"/>
  <c r="Q176" i="1" s="1"/>
  <c r="W23" i="1" a="1"/>
  <c r="W23" i="1" s="1"/>
  <c r="X63" i="1" s="1" a="1"/>
  <c r="X63" i="1" s="1"/>
  <c r="Q178" i="1" s="1"/>
  <c r="X18" i="1" a="1"/>
  <c r="X18" i="1" s="1"/>
  <c r="X34" i="1" s="1" a="1"/>
  <c r="X34" i="1" s="1"/>
  <c r="Q149" i="1" s="1"/>
  <c r="AB17" i="1" a="1"/>
  <c r="AB17" i="1" s="1"/>
  <c r="X32" i="1" s="1" a="1"/>
  <c r="X32" i="1" s="1"/>
  <c r="W21" i="1" a="1"/>
  <c r="W21" i="1" s="1"/>
  <c r="X51" i="1" s="1" a="1"/>
  <c r="X51" i="1" s="1"/>
  <c r="Q166" i="1" s="1"/>
  <c r="AA20" i="1" a="1"/>
  <c r="AA20" i="1" s="1"/>
  <c r="X49" i="1" s="1" a="1"/>
  <c r="X49" i="1" s="1"/>
  <c r="AB20" i="1" a="1"/>
  <c r="AB20" i="1" s="1"/>
  <c r="X50" i="1" s="1" a="1"/>
  <c r="X50" i="1" s="1"/>
  <c r="X21" i="1" a="1"/>
  <c r="X21" i="1" s="1"/>
  <c r="X52" i="1" s="1" a="1"/>
  <c r="X52" i="1" s="1"/>
  <c r="Q167" i="1" s="1"/>
  <c r="AA23" i="1" a="1"/>
  <c r="AA23" i="1" s="1"/>
  <c r="X67" i="1" s="1" a="1"/>
  <c r="X67" i="1" s="1"/>
  <c r="Q182" i="1" s="1"/>
  <c r="W24" i="1" a="1"/>
  <c r="W24" i="1" s="1"/>
  <c r="X69" i="1" s="1" a="1"/>
  <c r="X69" i="1" s="1"/>
  <c r="Q184" i="1" s="1"/>
  <c r="AB23" i="1" a="1"/>
  <c r="AB23" i="1" s="1"/>
  <c r="X68" i="1" s="1" a="1"/>
  <c r="X68" i="1" s="1"/>
  <c r="Q183" i="1" s="1"/>
  <c r="X24" i="1" a="1"/>
  <c r="X24" i="1" s="1"/>
  <c r="X70" i="1" s="1" a="1"/>
  <c r="X70" i="1" s="1"/>
  <c r="Q185" i="1" s="1"/>
  <c r="X17" i="1" a="1"/>
  <c r="X17" i="1" s="1"/>
  <c r="X28" i="1" s="1" a="1"/>
  <c r="X28" i="1" s="1"/>
  <c r="Q143" i="1" s="1"/>
  <c r="AB24" i="1" a="1"/>
  <c r="AB24" i="1" s="1"/>
  <c r="X74" i="1" s="1" a="1"/>
  <c r="X74" i="1" s="1"/>
  <c r="Q189" i="1" s="1"/>
  <c r="AA24" i="1" a="1"/>
  <c r="AA24" i="1" s="1"/>
  <c r="X73" i="1" s="1" a="1"/>
  <c r="X73" i="1" s="1"/>
  <c r="Q188" i="1" s="1"/>
  <c r="X19" i="1" a="1"/>
  <c r="X19" i="1" s="1"/>
  <c r="X40" i="1" s="1" a="1"/>
  <c r="X40" i="1" s="1"/>
  <c r="Q155" i="1" s="1"/>
  <c r="X22" i="1" a="1"/>
  <c r="X22" i="1" s="1"/>
  <c r="X58" i="1" s="1" a="1"/>
  <c r="X58" i="1" s="1"/>
  <c r="Q173" i="1" s="1"/>
  <c r="T17" i="1" a="1"/>
  <c r="T17" i="1" s="1"/>
  <c r="Q154" i="1" l="1"/>
  <c r="Q164" i="1"/>
  <c r="Q142" i="1"/>
  <c r="T143" i="1" s="1"/>
  <c r="AA18" i="1" a="1"/>
  <c r="AA18" i="1" s="1"/>
  <c r="X37" i="1" s="1" a="1"/>
  <c r="X37" i="1" s="1"/>
  <c r="Q152" i="1" s="1"/>
  <c r="W22" i="1" a="1"/>
  <c r="W22" i="1" s="1"/>
  <c r="X57" i="1" s="1" a="1"/>
  <c r="X57" i="1" s="1"/>
  <c r="Q172" i="1" s="1"/>
  <c r="W18" i="1" a="1"/>
  <c r="W18" i="1" s="1"/>
  <c r="X33" i="1" s="1" a="1"/>
  <c r="X33" i="1" s="1"/>
  <c r="Q148" i="1" s="1"/>
  <c r="T144" i="1" s="1"/>
  <c r="Q163" i="1"/>
  <c r="Q146" i="1"/>
  <c r="Q165" i="1"/>
  <c r="T146" i="1" s="1"/>
  <c r="Q158" i="1"/>
  <c r="AB22" i="1" a="1"/>
  <c r="AB22" i="1" s="1"/>
  <c r="X62" i="1" s="1" a="1"/>
  <c r="X62" i="1" s="1"/>
  <c r="Q177" i="1" s="1"/>
  <c r="T148" i="1" s="1"/>
  <c r="AN335" i="1" s="1"/>
  <c r="T147" i="1"/>
  <c r="T150" i="1"/>
  <c r="AN337" i="1" s="1"/>
  <c r="T149" i="1"/>
  <c r="AN336" i="1" s="1"/>
  <c r="Q147" i="1"/>
  <c r="Q156" i="1"/>
  <c r="T145" i="1" s="1"/>
  <c r="W148" i="1" l="1"/>
  <c r="V148" i="1"/>
  <c r="X148" i="1" s="1" a="1"/>
  <c r="X148" i="1" s="1"/>
  <c r="Y148" i="1" s="1"/>
  <c r="AB162" i="1" s="1" a="1"/>
  <c r="AB162" i="1" s="1"/>
  <c r="AE145" i="1" s="1" a="1"/>
  <c r="AE145" i="1" s="1"/>
  <c r="V143" i="1"/>
  <c r="W143" i="1"/>
  <c r="W149" i="1"/>
  <c r="V149" i="1"/>
  <c r="V145" i="1"/>
  <c r="W145" i="1"/>
  <c r="W144" i="1"/>
  <c r="V144" i="1"/>
  <c r="X144" i="1" s="1" a="1"/>
  <c r="X144" i="1" s="1"/>
  <c r="Y144" i="1" s="1"/>
  <c r="W150" i="1"/>
  <c r="V150" i="1"/>
  <c r="W146" i="1"/>
  <c r="V146" i="1"/>
  <c r="W147" i="1"/>
  <c r="V147" i="1"/>
  <c r="X147" i="1" s="1" a="1"/>
  <c r="X147" i="1" s="1"/>
  <c r="Y147" i="1" s="1"/>
  <c r="AH146" i="1" l="1"/>
  <c r="T203" i="1" s="1" a="1"/>
  <c r="T203" i="1" s="1"/>
  <c r="AN207" i="1"/>
  <c r="X150" i="1" a="1"/>
  <c r="X150" i="1" s="1"/>
  <c r="Y150" i="1" s="1"/>
  <c r="AB172" i="1" s="1" a="1"/>
  <c r="AB172" i="1" s="1"/>
  <c r="AE156" i="1" s="1" a="1"/>
  <c r="AE156" i="1" s="1"/>
  <c r="X145" i="1" a="1"/>
  <c r="X145" i="1" s="1"/>
  <c r="Y145" i="1" s="1"/>
  <c r="AB151" i="1" s="1" a="1"/>
  <c r="AB151" i="1" s="1"/>
  <c r="AE157" i="1" s="1" a="1"/>
  <c r="AE157" i="1" s="1"/>
  <c r="AB163" i="1" a="1"/>
  <c r="AB163" i="1" s="1"/>
  <c r="AE170" i="1" s="1" a="1"/>
  <c r="AE170" i="1" s="1"/>
  <c r="AB165" i="1" a="1"/>
  <c r="AB165" i="1" s="1"/>
  <c r="AE160" i="1" s="1" a="1"/>
  <c r="AE160" i="1" s="1"/>
  <c r="AB164" i="1" a="1"/>
  <c r="AB164" i="1" s="1"/>
  <c r="AE152" i="1" s="1" a="1"/>
  <c r="AE152" i="1" s="1"/>
  <c r="X143" i="1" a="1"/>
  <c r="X143" i="1" s="1"/>
  <c r="Y143" i="1" s="1"/>
  <c r="AB142" i="1" s="1" a="1"/>
  <c r="AB142" i="1" s="1"/>
  <c r="AB149" i="1" a="1"/>
  <c r="AB149" i="1" s="1"/>
  <c r="AE159" i="1" s="1" a="1"/>
  <c r="AE159" i="1" s="1"/>
  <c r="AB146" i="1" a="1"/>
  <c r="AB146" i="1" s="1"/>
  <c r="AE154" i="1" s="1" a="1"/>
  <c r="AE154" i="1" s="1"/>
  <c r="AB147" i="1" a="1"/>
  <c r="AB147" i="1" s="1"/>
  <c r="AE169" i="1" s="1" a="1"/>
  <c r="AE169" i="1" s="1"/>
  <c r="AB148" i="1" a="1"/>
  <c r="AB148" i="1" s="1"/>
  <c r="AE143" i="1" s="1" a="1"/>
  <c r="AE143" i="1" s="1"/>
  <c r="AB161" i="1" a="1"/>
  <c r="AB161" i="1" s="1"/>
  <c r="AE144" i="1" s="1" a="1"/>
  <c r="AE144" i="1" s="1"/>
  <c r="AB158" i="1" a="1"/>
  <c r="AB158" i="1" s="1"/>
  <c r="AE149" i="1" s="1" a="1"/>
  <c r="AE149" i="1" s="1"/>
  <c r="AB160" i="1" a="1"/>
  <c r="AB160" i="1" s="1"/>
  <c r="AE166" i="1" s="1" a="1"/>
  <c r="AE166" i="1" s="1"/>
  <c r="AB159" i="1" a="1"/>
  <c r="AB159" i="1" s="1"/>
  <c r="AE155" i="1" s="1" a="1"/>
  <c r="AE155" i="1" s="1"/>
  <c r="X146" i="1" a="1"/>
  <c r="X146" i="1" s="1"/>
  <c r="Y146" i="1" s="1"/>
  <c r="X149" i="1" a="1"/>
  <c r="X149" i="1" s="1"/>
  <c r="Y149" i="1" s="1"/>
  <c r="Q217" i="1" l="1" a="1"/>
  <c r="Q217" i="1" s="1"/>
  <c r="X207" i="1" s="1"/>
  <c r="AN390" i="1"/>
  <c r="P204" i="1" a="1"/>
  <c r="P204" i="1" s="1"/>
  <c r="Q219" i="1" s="1" a="1"/>
  <c r="Q219" i="1" s="1"/>
  <c r="X209" i="1" s="1"/>
  <c r="AH160" i="1"/>
  <c r="R207" i="1" s="1" a="1"/>
  <c r="R207" i="1" s="1"/>
  <c r="Q239" i="1" s="1" a="1"/>
  <c r="Q239" i="1" s="1"/>
  <c r="X229" i="1" s="1"/>
  <c r="AN221" i="1"/>
  <c r="AH155" i="1"/>
  <c r="Q206" i="1" s="1" a="1"/>
  <c r="Q206" i="1" s="1"/>
  <c r="Q232" i="1" s="1" a="1"/>
  <c r="Q232" i="1" s="1"/>
  <c r="X222" i="1" s="1"/>
  <c r="AN216" i="1"/>
  <c r="AH153" i="1"/>
  <c r="S205" i="1" s="1" a="1"/>
  <c r="S205" i="1" s="1"/>
  <c r="Q228" i="1" s="1" a="1"/>
  <c r="Q228" i="1" s="1"/>
  <c r="X218" i="1" s="1"/>
  <c r="AN214" i="1"/>
  <c r="AH161" i="1"/>
  <c r="S207" i="1" s="1" a="1"/>
  <c r="S207" i="1" s="1"/>
  <c r="Q240" i="1" s="1" a="1"/>
  <c r="Q240" i="1" s="1"/>
  <c r="X230" i="1" s="1"/>
  <c r="AN222" i="1"/>
  <c r="AH171" i="1"/>
  <c r="Q210" i="1" s="1" a="1"/>
  <c r="Q210" i="1" s="1"/>
  <c r="Q256" i="1" s="1" a="1"/>
  <c r="Q256" i="1" s="1"/>
  <c r="X246" i="1" s="1"/>
  <c r="AN232" i="1"/>
  <c r="AH158" i="1"/>
  <c r="T206" i="1" s="1" a="1"/>
  <c r="T206" i="1" s="1"/>
  <c r="AN219" i="1"/>
  <c r="AH156" i="1"/>
  <c r="R206" i="1" s="1" a="1"/>
  <c r="R206" i="1" s="1"/>
  <c r="Q233" i="1" s="1" a="1"/>
  <c r="Q233" i="1" s="1"/>
  <c r="X223" i="1" s="1"/>
  <c r="AN217" i="1"/>
  <c r="AH157" i="1"/>
  <c r="S206" i="1" s="1" a="1"/>
  <c r="S206" i="1" s="1"/>
  <c r="Q234" i="1" s="1" a="1"/>
  <c r="Q234" i="1" s="1"/>
  <c r="X224" i="1" s="1"/>
  <c r="AN218" i="1"/>
  <c r="AH145" i="1"/>
  <c r="S203" i="1" s="1" a="1"/>
  <c r="S203" i="1" s="1"/>
  <c r="Q216" i="1" s="1" a="1"/>
  <c r="Q216" i="1" s="1"/>
  <c r="X206" i="1" s="1"/>
  <c r="AN206" i="1"/>
  <c r="AH167" i="1"/>
  <c r="Q209" i="1" s="1" a="1"/>
  <c r="Q209" i="1" s="1"/>
  <c r="Q250" i="1" s="1" a="1"/>
  <c r="Q250" i="1" s="1"/>
  <c r="X240" i="1" s="1"/>
  <c r="AN228" i="1"/>
  <c r="AH144" i="1"/>
  <c r="R203" i="1" s="1" a="1"/>
  <c r="R203" i="1" s="1"/>
  <c r="Q215" i="1" s="1" a="1"/>
  <c r="Q215" i="1" s="1"/>
  <c r="X205" i="1" s="1"/>
  <c r="AN205" i="1"/>
  <c r="AH150" i="1"/>
  <c r="P205" i="1" s="1" a="1"/>
  <c r="P205" i="1" s="1"/>
  <c r="Q225" i="1" s="1" a="1"/>
  <c r="Q225" i="1" s="1"/>
  <c r="X215" i="1" s="1"/>
  <c r="AN211" i="1"/>
  <c r="AH170" i="1"/>
  <c r="P210" i="1" s="1" a="1"/>
  <c r="P210" i="1" s="1"/>
  <c r="Q255" i="1" s="1" a="1"/>
  <c r="Q255" i="1" s="1"/>
  <c r="X245" i="1" s="1"/>
  <c r="AN231" i="1"/>
  <c r="AE150" i="1" a="1"/>
  <c r="AE150" i="1" s="1"/>
  <c r="AB170" i="1" a="1"/>
  <c r="AB170" i="1" s="1"/>
  <c r="AE146" i="1" s="1" a="1"/>
  <c r="AE146" i="1" s="1"/>
  <c r="AB173" i="1" a="1"/>
  <c r="AB173" i="1" s="1"/>
  <c r="AE162" i="1" s="1" a="1"/>
  <c r="AE162" i="1" s="1"/>
  <c r="AB171" i="1" a="1"/>
  <c r="AB171" i="1" s="1"/>
  <c r="AE168" i="1" s="1" a="1"/>
  <c r="AE168" i="1" s="1"/>
  <c r="AB150" i="1" a="1"/>
  <c r="AB150" i="1" s="1"/>
  <c r="AE165" i="1" s="1" a="1"/>
  <c r="AE165" i="1" s="1"/>
  <c r="AB144" i="1" a="1"/>
  <c r="AB144" i="1" s="1"/>
  <c r="AE164" i="1" s="1" a="1"/>
  <c r="AE164" i="1" s="1"/>
  <c r="AB145" i="1" a="1"/>
  <c r="AB145" i="1" s="1"/>
  <c r="AE172" i="1" s="1" a="1"/>
  <c r="AE172" i="1" s="1"/>
  <c r="AB143" i="1" a="1"/>
  <c r="AB143" i="1" s="1"/>
  <c r="AE158" i="1" s="1" a="1"/>
  <c r="AE158" i="1" s="1"/>
  <c r="AB152" i="1" a="1"/>
  <c r="AB152" i="1" s="1"/>
  <c r="AE171" i="1" s="1" a="1"/>
  <c r="AE171" i="1" s="1"/>
  <c r="AB153" i="1" a="1"/>
  <c r="AB153" i="1" s="1"/>
  <c r="AE147" i="1" s="1" a="1"/>
  <c r="AE147" i="1" s="1"/>
  <c r="AB166" i="1" a="1"/>
  <c r="AB166" i="1" s="1"/>
  <c r="AE173" i="1" s="1" a="1"/>
  <c r="AE173" i="1" s="1"/>
  <c r="AB167" i="1" a="1"/>
  <c r="AB167" i="1" s="1"/>
  <c r="AE153" i="1" s="1" a="1"/>
  <c r="AE153" i="1" s="1"/>
  <c r="AB169" i="1" a="1"/>
  <c r="AB169" i="1" s="1"/>
  <c r="AE148" i="1" s="1" a="1"/>
  <c r="AE148" i="1" s="1"/>
  <c r="AB168" i="1" a="1"/>
  <c r="AB168" i="1" s="1"/>
  <c r="AE163" i="1" s="1" a="1"/>
  <c r="AE163" i="1" s="1"/>
  <c r="AB155" i="1" a="1"/>
  <c r="AB155" i="1" s="1"/>
  <c r="AE161" i="1" s="1" a="1"/>
  <c r="AE161" i="1" s="1"/>
  <c r="AB156" i="1" a="1"/>
  <c r="AB156" i="1" s="1"/>
  <c r="AE151" i="1" s="1" a="1"/>
  <c r="AE151" i="1" s="1"/>
  <c r="AB154" i="1" a="1"/>
  <c r="AB154" i="1" s="1"/>
  <c r="AE167" i="1" s="1" a="1"/>
  <c r="AE167" i="1" s="1"/>
  <c r="AB157" i="1" a="1"/>
  <c r="AB157" i="1" s="1"/>
  <c r="AE142" i="1" s="1" a="1"/>
  <c r="AE142" i="1" s="1"/>
  <c r="Q235" i="1" l="1" a="1"/>
  <c r="Q235" i="1" s="1"/>
  <c r="X225" i="1" s="1"/>
  <c r="AN393" i="1"/>
  <c r="U205" i="1" a="1"/>
  <c r="U205" i="1" s="1"/>
  <c r="U209" i="1" a="1"/>
  <c r="U209" i="1" s="1"/>
  <c r="Q254" i="1" s="1" a="1"/>
  <c r="Q254" i="1" s="1"/>
  <c r="X244" i="1" s="1"/>
  <c r="U208" i="1" a="1"/>
  <c r="U208" i="1" s="1"/>
  <c r="Q248" i="1" s="1" a="1"/>
  <c r="Q248" i="1" s="1"/>
  <c r="X238" i="1" s="1"/>
  <c r="AH148" i="1"/>
  <c r="R204" i="1" s="1" a="1"/>
  <c r="R204" i="1" s="1"/>
  <c r="Q221" i="1" s="1" a="1"/>
  <c r="Q221" i="1" s="1"/>
  <c r="X211" i="1" s="1"/>
  <c r="AN209" i="1"/>
  <c r="P207" i="1" a="1"/>
  <c r="P207" i="1" s="1"/>
  <c r="Q237" i="1" s="1" a="1"/>
  <c r="Q237" i="1" s="1"/>
  <c r="X227" i="1" s="1"/>
  <c r="AH159" i="1"/>
  <c r="Q207" i="1" s="1" a="1"/>
  <c r="Q207" i="1" s="1"/>
  <c r="Q238" i="1" s="1" a="1"/>
  <c r="Q238" i="1" s="1"/>
  <c r="X228" i="1" s="1"/>
  <c r="AN220" i="1"/>
  <c r="AH173" i="1"/>
  <c r="AN234" i="1"/>
  <c r="AH165" i="1"/>
  <c r="S208" i="1" s="1" a="1"/>
  <c r="S208" i="1" s="1"/>
  <c r="Q246" i="1" s="1" a="1"/>
  <c r="Q246" i="1" s="1"/>
  <c r="X236" i="1" s="1"/>
  <c r="AN226" i="1"/>
  <c r="AH168" i="1"/>
  <c r="R209" i="1" s="1" a="1"/>
  <c r="R209" i="1" s="1"/>
  <c r="Q251" i="1" s="1" a="1"/>
  <c r="Q251" i="1" s="1"/>
  <c r="X241" i="1" s="1"/>
  <c r="AN229" i="1"/>
  <c r="AH166" i="1"/>
  <c r="T208" i="1" s="1" a="1"/>
  <c r="T208" i="1" s="1"/>
  <c r="AN227" i="1"/>
  <c r="T209" i="1" a="1"/>
  <c r="T209" i="1" s="1"/>
  <c r="AH152" i="1"/>
  <c r="R205" i="1" s="1" a="1"/>
  <c r="R205" i="1" s="1"/>
  <c r="Q227" i="1" s="1" a="1"/>
  <c r="Q227" i="1" s="1"/>
  <c r="X217" i="1" s="1"/>
  <c r="AN213" i="1"/>
  <c r="AH169" i="1"/>
  <c r="S209" i="1" s="1" a="1"/>
  <c r="S209" i="1" s="1"/>
  <c r="Q252" i="1" s="1" a="1"/>
  <c r="Q252" i="1" s="1"/>
  <c r="X242" i="1" s="1"/>
  <c r="AN230" i="1"/>
  <c r="AH162" i="1"/>
  <c r="P208" i="1" s="1" a="1"/>
  <c r="P208" i="1" s="1"/>
  <c r="Q243" i="1" s="1" a="1"/>
  <c r="Q243" i="1" s="1"/>
  <c r="X233" i="1" s="1"/>
  <c r="AN223" i="1"/>
  <c r="AH163" i="1"/>
  <c r="Q208" i="1" s="1" a="1"/>
  <c r="Q208" i="1" s="1"/>
  <c r="Q244" i="1" s="1" a="1"/>
  <c r="Q244" i="1" s="1"/>
  <c r="X234" i="1" s="1"/>
  <c r="AN224" i="1"/>
  <c r="T204" i="1" a="1"/>
  <c r="T204" i="1" s="1"/>
  <c r="AH172" i="1"/>
  <c r="AN233" i="1"/>
  <c r="AH164" i="1"/>
  <c r="R208" i="1" s="1" a="1"/>
  <c r="R208" i="1" s="1"/>
  <c r="Q245" i="1" s="1" a="1"/>
  <c r="Q245" i="1" s="1"/>
  <c r="X235" i="1" s="1"/>
  <c r="AN225" i="1"/>
  <c r="AH147" i="1"/>
  <c r="Q204" i="1" s="1" a="1"/>
  <c r="Q204" i="1" s="1"/>
  <c r="Q220" i="1" s="1" a="1"/>
  <c r="Q220" i="1" s="1"/>
  <c r="X210" i="1" s="1"/>
  <c r="AN208" i="1"/>
  <c r="AH149" i="1"/>
  <c r="S204" i="1" s="1" a="1"/>
  <c r="S204" i="1" s="1"/>
  <c r="Q222" i="1" s="1" a="1"/>
  <c r="Q222" i="1" s="1"/>
  <c r="X212" i="1" s="1"/>
  <c r="AN210" i="1"/>
  <c r="AH151" i="1"/>
  <c r="U204" i="1" s="1" a="1"/>
  <c r="U204" i="1" s="1"/>
  <c r="Q224" i="1" s="1" a="1"/>
  <c r="Q224" i="1" s="1"/>
  <c r="X214" i="1" s="1"/>
  <c r="AN212" i="1"/>
  <c r="AH154" i="1"/>
  <c r="T205" i="1" s="1" a="1"/>
  <c r="T205" i="1" s="1"/>
  <c r="AN215" i="1"/>
  <c r="AH174" i="1"/>
  <c r="P203" i="1" s="1" a="1"/>
  <c r="P203" i="1" s="1"/>
  <c r="AN235" i="1"/>
  <c r="Q230" i="1" a="1"/>
  <c r="Q230" i="1" s="1"/>
  <c r="X220" i="1" s="1"/>
  <c r="Q253" i="1" l="1" a="1"/>
  <c r="Q253" i="1" s="1"/>
  <c r="X243" i="1" s="1"/>
  <c r="AN396" i="1"/>
  <c r="Q223" i="1" a="1"/>
  <c r="Q223" i="1" s="1"/>
  <c r="X213" i="1" s="1"/>
  <c r="AN391" i="1"/>
  <c r="Q229" i="1" a="1"/>
  <c r="Q229" i="1" s="1"/>
  <c r="X219" i="1" s="1"/>
  <c r="AN392" i="1"/>
  <c r="Q247" i="1" a="1"/>
  <c r="Q247" i="1" s="1"/>
  <c r="X237" i="1" s="1"/>
  <c r="AN395" i="1"/>
  <c r="Q213" i="1" a="1"/>
  <c r="Q213" i="1" s="1"/>
  <c r="X203" i="1" s="1"/>
  <c r="P209" i="1" a="1"/>
  <c r="P209" i="1" s="1"/>
  <c r="Q249" i="1" s="1" a="1"/>
  <c r="Q249" i="1" s="1"/>
  <c r="X239" i="1" s="1"/>
  <c r="AA210" i="1" s="1"/>
  <c r="AA205" i="1"/>
  <c r="AD205" i="1" s="1"/>
  <c r="AA209" i="1"/>
  <c r="U206" i="1" a="1"/>
  <c r="U206" i="1" s="1"/>
  <c r="Q236" i="1" s="1" a="1"/>
  <c r="Q236" i="1" s="1"/>
  <c r="X226" i="1" s="1"/>
  <c r="T207" i="1" a="1"/>
  <c r="T207" i="1" s="1"/>
  <c r="U203" i="1" a="1"/>
  <c r="U203" i="1" s="1"/>
  <c r="Q218" i="1" s="1" a="1"/>
  <c r="Q218" i="1" s="1"/>
  <c r="X208" i="1" s="1"/>
  <c r="S210" i="1" a="1"/>
  <c r="S210" i="1" s="1"/>
  <c r="Q258" i="1" s="1" a="1"/>
  <c r="Q258" i="1" s="1"/>
  <c r="X248" i="1" s="1"/>
  <c r="R210" i="1" a="1"/>
  <c r="R210" i="1" s="1"/>
  <c r="Q257" i="1" s="1" a="1"/>
  <c r="Q257" i="1" s="1"/>
  <c r="X247" i="1" s="1"/>
  <c r="P206" i="1" a="1"/>
  <c r="P206" i="1" s="1"/>
  <c r="Q231" i="1" s="1" a="1"/>
  <c r="Q231" i="1" s="1"/>
  <c r="X221" i="1" s="1"/>
  <c r="T210" i="1" a="1"/>
  <c r="T210" i="1" s="1"/>
  <c r="Q205" i="1" a="1"/>
  <c r="Q205" i="1" s="1"/>
  <c r="Q226" i="1" s="1" a="1"/>
  <c r="Q226" i="1" s="1"/>
  <c r="X216" i="1" s="1"/>
  <c r="AA206" i="1" s="1"/>
  <c r="U207" i="1" a="1"/>
  <c r="U207" i="1" s="1"/>
  <c r="Q242" i="1" s="1" a="1"/>
  <c r="Q242" i="1" s="1"/>
  <c r="X232" i="1" s="1"/>
  <c r="AH143" i="1"/>
  <c r="AN204" i="1"/>
  <c r="Q259" i="1" l="1" a="1"/>
  <c r="Q259" i="1" s="1"/>
  <c r="X249" i="1" s="1"/>
  <c r="AN397" i="1"/>
  <c r="Q241" i="1" a="1"/>
  <c r="Q241" i="1" s="1"/>
  <c r="X231" i="1" s="1"/>
  <c r="AA208" i="1" s="1"/>
  <c r="AD208" i="1" s="1"/>
  <c r="AN394" i="1"/>
  <c r="AA207" i="1"/>
  <c r="AD207" i="1" s="1"/>
  <c r="AD206" i="1"/>
  <c r="Q203" i="1" a="1"/>
  <c r="Q203" i="1" s="1"/>
  <c r="Q214" i="1" s="1" a="1"/>
  <c r="Q214" i="1" s="1"/>
  <c r="X204" i="1" s="1"/>
  <c r="AA204" i="1" s="1"/>
  <c r="U210" i="1" a="1"/>
  <c r="U210" i="1" s="1"/>
  <c r="Q260" i="1" s="1" a="1"/>
  <c r="Q260" i="1" s="1"/>
  <c r="X250" i="1" s="1"/>
  <c r="AA211" i="1" s="1"/>
  <c r="AC205" i="1"/>
  <c r="AE205" i="1" s="1" a="1"/>
  <c r="AE205" i="1" s="1"/>
  <c r="AC206" i="1"/>
  <c r="AD209" i="1"/>
  <c r="AC209" i="1"/>
  <c r="AE206" i="1" l="1" a="1"/>
  <c r="AE206" i="1" s="1"/>
  <c r="AN268" i="1" s="1"/>
  <c r="AC207" i="1"/>
  <c r="AE207" i="1" s="1" a="1"/>
  <c r="AE207" i="1" s="1"/>
  <c r="AC208" i="1"/>
  <c r="AE208" i="1" s="1" a="1"/>
  <c r="AE208" i="1" s="1"/>
  <c r="AD211" i="1"/>
  <c r="AC211" i="1"/>
  <c r="AC204" i="1"/>
  <c r="AC210" i="1"/>
  <c r="AF205" i="1"/>
  <c r="AI208" i="1" s="1" a="1"/>
  <c r="AI208" i="1" s="1"/>
  <c r="AL230" i="1" s="1" a="1"/>
  <c r="AL230" i="1" s="1"/>
  <c r="AO231" i="1" s="1"/>
  <c r="AN267" i="1"/>
  <c r="AD204" i="1"/>
  <c r="AD210" i="1"/>
  <c r="AE209" i="1" a="1"/>
  <c r="AE209" i="1" s="1"/>
  <c r="P271" i="1" l="1" a="1"/>
  <c r="P271" i="1" s="1"/>
  <c r="Q316" i="1" s="1" a="1"/>
  <c r="Q316" i="1" s="1"/>
  <c r="X306" i="1" s="1"/>
  <c r="T270" i="1" a="1"/>
  <c r="T270" i="1" s="1"/>
  <c r="AF206" i="1"/>
  <c r="AI212" i="1" s="1" a="1"/>
  <c r="AI212" i="1" s="1"/>
  <c r="AL218" i="1" s="1" a="1"/>
  <c r="AL218" i="1" s="1"/>
  <c r="AO219" i="1" s="1"/>
  <c r="AE211" i="1" a="1"/>
  <c r="AE211" i="1" s="1"/>
  <c r="AF211" i="1" s="1"/>
  <c r="AE204" i="1" a="1"/>
  <c r="AE204" i="1" s="1"/>
  <c r="AF204" i="1" s="1"/>
  <c r="AE210" i="1" a="1"/>
  <c r="AE210" i="1" s="1"/>
  <c r="AN272" i="1" s="1"/>
  <c r="AI210" i="1" a="1"/>
  <c r="AI210" i="1" s="1"/>
  <c r="AL220" i="1" s="1" a="1"/>
  <c r="AL220" i="1" s="1"/>
  <c r="AO221" i="1" s="1"/>
  <c r="AI207" i="1" a="1"/>
  <c r="AI207" i="1" s="1"/>
  <c r="AL215" i="1" s="1" a="1"/>
  <c r="AL215" i="1" s="1"/>
  <c r="AO216" i="1" s="1"/>
  <c r="AF208" i="1"/>
  <c r="AI222" i="1" s="1" a="1"/>
  <c r="AI222" i="1" s="1"/>
  <c r="AL205" i="1" s="1" a="1"/>
  <c r="AL205" i="1" s="1"/>
  <c r="AO206" i="1" s="1"/>
  <c r="AN270" i="1"/>
  <c r="AF207" i="1"/>
  <c r="AI216" i="1" s="1" a="1"/>
  <c r="AI216" i="1" s="1"/>
  <c r="AL222" i="1" s="1" a="1"/>
  <c r="AL222" i="1" s="1"/>
  <c r="AO223" i="1" s="1"/>
  <c r="AN269" i="1"/>
  <c r="AF209" i="1"/>
  <c r="AI223" i="1" s="1" a="1"/>
  <c r="AI223" i="1" s="1"/>
  <c r="AL206" i="1" s="1" a="1"/>
  <c r="AL206" i="1" s="1"/>
  <c r="AO207" i="1" s="1"/>
  <c r="AN271" i="1"/>
  <c r="AI209" i="1" a="1"/>
  <c r="AI209" i="1" s="1"/>
  <c r="AL204" i="1" s="1" a="1"/>
  <c r="AL204" i="1" s="1"/>
  <c r="AO205" i="1" s="1"/>
  <c r="Q314" i="1" l="1" a="1"/>
  <c r="Q314" i="1" s="1"/>
  <c r="X304" i="1" s="1"/>
  <c r="AN457" i="1"/>
  <c r="R268" i="1" a="1"/>
  <c r="R268" i="1" s="1"/>
  <c r="Q267" i="1" a="1"/>
  <c r="Q267" i="1" s="1"/>
  <c r="Q293" i="1" s="1" a="1"/>
  <c r="Q293" i="1" s="1"/>
  <c r="X283" i="1" s="1"/>
  <c r="U266" i="1" a="1"/>
  <c r="U266" i="1" s="1"/>
  <c r="Q291" i="1" s="1" a="1"/>
  <c r="Q291" i="1" s="1"/>
  <c r="X281" i="1" s="1"/>
  <c r="P268" i="1" a="1"/>
  <c r="P268" i="1" s="1"/>
  <c r="T267" i="1" a="1"/>
  <c r="T267" i="1" s="1"/>
  <c r="T264" i="1" a="1"/>
  <c r="T264" i="1" s="1"/>
  <c r="P265" i="1" a="1"/>
  <c r="P265" i="1" s="1"/>
  <c r="Q280" i="1" s="1" a="1"/>
  <c r="Q280" i="1" s="1"/>
  <c r="X270" i="1" s="1"/>
  <c r="P269" i="1" a="1"/>
  <c r="P269" i="1" s="1"/>
  <c r="Q304" i="1" s="1" a="1"/>
  <c r="Q304" i="1" s="1"/>
  <c r="X294" i="1" s="1"/>
  <c r="T268" i="1" a="1"/>
  <c r="T268" i="1" s="1"/>
  <c r="S264" i="1" a="1"/>
  <c r="S264" i="1" s="1"/>
  <c r="R264" i="1" a="1"/>
  <c r="R264" i="1" s="1"/>
  <c r="AI213" i="1" a="1"/>
  <c r="AI213" i="1" s="1"/>
  <c r="AL232" i="1" s="1" a="1"/>
  <c r="AL232" i="1" s="1"/>
  <c r="AO233" i="1" s="1"/>
  <c r="AI211" i="1" a="1"/>
  <c r="AI211" i="1" s="1"/>
  <c r="AL226" i="1" s="1" a="1"/>
  <c r="AL226" i="1" s="1"/>
  <c r="AO227" i="1" s="1"/>
  <c r="AI214" i="1" a="1"/>
  <c r="AI214" i="1" s="1"/>
  <c r="AL208" i="1" s="1" a="1"/>
  <c r="AL208" i="1" s="1"/>
  <c r="AO209" i="1" s="1"/>
  <c r="AI205" i="1" a="1"/>
  <c r="AI205" i="1" s="1"/>
  <c r="AL225" i="1" s="1" a="1"/>
  <c r="AL225" i="1" s="1"/>
  <c r="AO226" i="1" s="1"/>
  <c r="AI203" i="1" a="1"/>
  <c r="AI203" i="1" s="1"/>
  <c r="AL211" i="1" s="1" a="1"/>
  <c r="AL211" i="1" s="1"/>
  <c r="AO212" i="1" s="1"/>
  <c r="AN273" i="1"/>
  <c r="AN266" i="1"/>
  <c r="AF210" i="1"/>
  <c r="AI228" i="1" s="1" a="1"/>
  <c r="AI228" i="1" s="1"/>
  <c r="AL214" i="1" s="1" a="1"/>
  <c r="AL214" i="1" s="1"/>
  <c r="AO215" i="1" s="1"/>
  <c r="AI234" i="1" a="1"/>
  <c r="AI234" i="1" s="1"/>
  <c r="AL223" i="1" s="1" a="1"/>
  <c r="AL223" i="1" s="1"/>
  <c r="AO224" i="1" s="1"/>
  <c r="AI233" i="1" a="1"/>
  <c r="AI233" i="1" s="1"/>
  <c r="AL217" i="1" s="1" a="1"/>
  <c r="AL217" i="1" s="1"/>
  <c r="AO218" i="1" s="1"/>
  <c r="AI232" i="1" a="1"/>
  <c r="AI232" i="1" s="1"/>
  <c r="AL229" i="1" s="1" a="1"/>
  <c r="AL229" i="1" s="1"/>
  <c r="AO230" i="1" s="1"/>
  <c r="AI231" i="1" a="1"/>
  <c r="AI231" i="1" s="1"/>
  <c r="AL207" i="1" s="1" a="1"/>
  <c r="AL207" i="1" s="1"/>
  <c r="AO208" i="1" s="1"/>
  <c r="AI204" i="1" a="1"/>
  <c r="AI204" i="1" s="1"/>
  <c r="AL219" i="1" s="1" a="1"/>
  <c r="AL219" i="1" s="1"/>
  <c r="AO220" i="1" s="1"/>
  <c r="AI206" i="1" a="1"/>
  <c r="AI206" i="1" s="1"/>
  <c r="AL233" i="1" s="1" a="1"/>
  <c r="AL233" i="1" s="1"/>
  <c r="AO234" i="1" s="1"/>
  <c r="AI215" i="1" a="1"/>
  <c r="AI215" i="1" s="1"/>
  <c r="AL228" i="1" s="1" a="1"/>
  <c r="AL228" i="1" s="1"/>
  <c r="AO229" i="1" s="1"/>
  <c r="AI224" i="1" a="1"/>
  <c r="AI224" i="1" s="1"/>
  <c r="AL231" i="1" s="1" a="1"/>
  <c r="AL231" i="1" s="1"/>
  <c r="AO232" i="1" s="1"/>
  <c r="AI221" i="1" a="1"/>
  <c r="AI221" i="1" s="1"/>
  <c r="AL227" i="1" s="1" a="1"/>
  <c r="AL227" i="1" s="1"/>
  <c r="AO228" i="1" s="1"/>
  <c r="AI220" i="1" a="1"/>
  <c r="AI220" i="1" s="1"/>
  <c r="AL216" i="1" s="1" a="1"/>
  <c r="AL216" i="1" s="1"/>
  <c r="AO217" i="1" s="1"/>
  <c r="AI219" i="1" a="1"/>
  <c r="AI219" i="1" s="1"/>
  <c r="AL210" i="1" s="1" a="1"/>
  <c r="AL210" i="1" s="1"/>
  <c r="AO211" i="1" s="1"/>
  <c r="AI226" i="1" a="1"/>
  <c r="AI226" i="1" s="1"/>
  <c r="AL221" i="1" s="1" a="1"/>
  <c r="AL221" i="1" s="1"/>
  <c r="AO222" i="1" s="1"/>
  <c r="AI225" i="1" a="1"/>
  <c r="AI225" i="1" s="1"/>
  <c r="AL213" i="1" s="1" a="1"/>
  <c r="AL213" i="1" s="1"/>
  <c r="AO214" i="1" s="1"/>
  <c r="AI217" i="1" a="1"/>
  <c r="AI217" i="1" s="1"/>
  <c r="AL212" i="1" s="1" a="1"/>
  <c r="AL212" i="1" s="1"/>
  <c r="AO213" i="1" s="1"/>
  <c r="AI218" i="1" a="1"/>
  <c r="AI218" i="1" s="1"/>
  <c r="AL203" i="1" s="1" a="1"/>
  <c r="AL203" i="1" s="1"/>
  <c r="AO204" i="1" s="1"/>
  <c r="Q278" i="1" l="1" a="1"/>
  <c r="Q278" i="1" s="1"/>
  <c r="X268" i="1" s="1"/>
  <c r="AN451" i="1"/>
  <c r="Q296" i="1" a="1"/>
  <c r="Q296" i="1" s="1"/>
  <c r="X286" i="1" s="1"/>
  <c r="AN454" i="1"/>
  <c r="Q302" i="1" a="1"/>
  <c r="Q302" i="1" s="1"/>
  <c r="X292" i="1" s="1"/>
  <c r="AN455" i="1"/>
  <c r="S326" i="1" a="1"/>
  <c r="S326" i="1" s="1"/>
  <c r="S333" i="1" a="1"/>
  <c r="S333" i="1" s="1"/>
  <c r="S330" i="1" a="1"/>
  <c r="S330" i="1" s="1"/>
  <c r="S332" i="1" a="1"/>
  <c r="S332" i="1" s="1"/>
  <c r="S328" i="1" a="1"/>
  <c r="S328" i="1" s="1"/>
  <c r="S271" i="1" a="1"/>
  <c r="S271" i="1" s="1"/>
  <c r="Q319" i="1" s="1" a="1"/>
  <c r="Q319" i="1" s="1"/>
  <c r="X309" i="1" s="1"/>
  <c r="R326" i="1" a="1"/>
  <c r="R326" i="1" s="1"/>
  <c r="Q277" i="1" a="1"/>
  <c r="Q277" i="1" s="1"/>
  <c r="X267" i="1" s="1"/>
  <c r="Q276" i="1" a="1"/>
  <c r="Q276" i="1" s="1"/>
  <c r="X266" i="1" s="1"/>
  <c r="Q298" i="1" a="1"/>
  <c r="Q298" i="1" s="1"/>
  <c r="X288" i="1" s="1"/>
  <c r="Q300" i="1" a="1"/>
  <c r="Q300" i="1" s="1"/>
  <c r="X290" i="1" s="1"/>
  <c r="U270" i="1" a="1"/>
  <c r="U270" i="1" s="1"/>
  <c r="Q315" i="1" s="1" a="1"/>
  <c r="Q315" i="1" s="1"/>
  <c r="X305" i="1" s="1"/>
  <c r="Q271" i="1" a="1"/>
  <c r="Q271" i="1" s="1"/>
  <c r="Q317" i="1" s="1" a="1"/>
  <c r="Q317" i="1" s="1"/>
  <c r="X307" i="1" s="1"/>
  <c r="U264" i="1" a="1"/>
  <c r="U264" i="1" s="1"/>
  <c r="Q279" i="1" s="1" a="1"/>
  <c r="Q279" i="1" s="1"/>
  <c r="X269" i="1" s="1"/>
  <c r="Q265" i="1" a="1"/>
  <c r="Q265" i="1" s="1"/>
  <c r="Q281" i="1" s="1" a="1"/>
  <c r="Q281" i="1" s="1"/>
  <c r="X271" i="1" s="1"/>
  <c r="Q268" i="1" a="1"/>
  <c r="Q268" i="1" s="1"/>
  <c r="Q299" i="1" s="1" a="1"/>
  <c r="Q299" i="1" s="1"/>
  <c r="X289" i="1" s="1"/>
  <c r="U267" i="1" a="1"/>
  <c r="U267" i="1" s="1"/>
  <c r="Q264" i="1" a="1"/>
  <c r="Q264" i="1" s="1"/>
  <c r="Q275" i="1" s="1" a="1"/>
  <c r="Q275" i="1" s="1"/>
  <c r="X265" i="1" s="1"/>
  <c r="U271" i="1" a="1"/>
  <c r="U271" i="1" s="1"/>
  <c r="Q321" i="1" s="1" a="1"/>
  <c r="Q321" i="1" s="1"/>
  <c r="X311" i="1" s="1"/>
  <c r="Q266" i="1" a="1"/>
  <c r="Q266" i="1" s="1"/>
  <c r="U265" i="1" a="1"/>
  <c r="U265" i="1" s="1"/>
  <c r="R266" i="1" a="1"/>
  <c r="R266" i="1" s="1"/>
  <c r="Q269" i="1" a="1"/>
  <c r="Q269" i="1" s="1"/>
  <c r="U268" i="1" a="1"/>
  <c r="U268" i="1" s="1"/>
  <c r="Q303" i="1" s="1" a="1"/>
  <c r="Q303" i="1" s="1"/>
  <c r="X293" i="1" s="1"/>
  <c r="S269" i="1" a="1"/>
  <c r="S269" i="1" s="1"/>
  <c r="S270" i="1" a="1"/>
  <c r="S270" i="1" s="1"/>
  <c r="P267" i="1" a="1"/>
  <c r="P267" i="1" s="1"/>
  <c r="T266" i="1" a="1"/>
  <c r="T266" i="1" s="1"/>
  <c r="R265" i="1" a="1"/>
  <c r="R265" i="1" s="1"/>
  <c r="R270" i="1" a="1"/>
  <c r="R270" i="1" s="1"/>
  <c r="S268" i="1" a="1"/>
  <c r="S268" i="1" s="1"/>
  <c r="P266" i="1" a="1"/>
  <c r="P266" i="1" s="1"/>
  <c r="T265" i="1" a="1"/>
  <c r="T265" i="1" s="1"/>
  <c r="P270" i="1" a="1"/>
  <c r="P270" i="1" s="1"/>
  <c r="T269" i="1" a="1"/>
  <c r="T269" i="1" s="1"/>
  <c r="S266" i="1" a="1"/>
  <c r="S266" i="1" s="1"/>
  <c r="R267" i="1" a="1"/>
  <c r="R267" i="1" s="1"/>
  <c r="R271" i="1" a="1"/>
  <c r="R271" i="1" s="1"/>
  <c r="S267" i="1" a="1"/>
  <c r="S267" i="1" s="1"/>
  <c r="U269" i="1" a="1"/>
  <c r="U269" i="1" s="1"/>
  <c r="Q270" i="1" a="1"/>
  <c r="Q270" i="1" s="1"/>
  <c r="AI230" i="1" a="1"/>
  <c r="AI230" i="1" s="1"/>
  <c r="AL209" i="1" s="1" a="1"/>
  <c r="AL209" i="1" s="1"/>
  <c r="AO210" i="1" s="1"/>
  <c r="AI227" i="1" a="1"/>
  <c r="AI227" i="1" s="1"/>
  <c r="AL234" i="1" s="1" a="1"/>
  <c r="AL234" i="1" s="1"/>
  <c r="AO235" i="1" s="1"/>
  <c r="U1060" i="1" s="1" a="1"/>
  <c r="U1060" i="1" s="1"/>
  <c r="AI229" i="1" a="1"/>
  <c r="AI229" i="1" s="1"/>
  <c r="AL224" i="1" s="1" a="1"/>
  <c r="AL224" i="1" s="1"/>
  <c r="AO225" i="1" s="1"/>
  <c r="R1002" i="1" l="1" a="1"/>
  <c r="R1002" i="1" s="1"/>
  <c r="Q1066" i="1" a="1"/>
  <c r="Q1066" i="1" s="1"/>
  <c r="R1065" i="1" a="1"/>
  <c r="R1065" i="1" s="1"/>
  <c r="P1061" i="1" a="1"/>
  <c r="P1061" i="1" s="1"/>
  <c r="T1065" i="1" a="1"/>
  <c r="T1065" i="1" s="1"/>
  <c r="Q1062" i="1" a="1"/>
  <c r="Q1062" i="1" s="1"/>
  <c r="R1066" i="1" a="1"/>
  <c r="R1066" i="1" s="1"/>
  <c r="S1067" i="1" a="1"/>
  <c r="S1067" i="1" s="1"/>
  <c r="R1061" i="1" a="1"/>
  <c r="R1061" i="1" s="1"/>
  <c r="P1064" i="1" a="1"/>
  <c r="P1064" i="1" s="1"/>
  <c r="T1063" i="1" a="1"/>
  <c r="T1063" i="1" s="1"/>
  <c r="S1065" i="1" a="1"/>
  <c r="S1065" i="1" s="1"/>
  <c r="Q1067" i="1" a="1"/>
  <c r="Q1067" i="1" s="1"/>
  <c r="P1065" i="1" a="1"/>
  <c r="P1065" i="1" s="1"/>
  <c r="R1067" i="1" a="1"/>
  <c r="R1067" i="1" s="1"/>
  <c r="S1060" i="1" a="1"/>
  <c r="S1060" i="1" s="1"/>
  <c r="R1062" i="1" a="1"/>
  <c r="R1062" i="1" s="1"/>
  <c r="T1061" i="1" a="1"/>
  <c r="T1061" i="1" s="1"/>
  <c r="P1062" i="1" a="1"/>
  <c r="P1062" i="1" s="1"/>
  <c r="Q1064" i="1" a="1"/>
  <c r="Q1064" i="1" s="1"/>
  <c r="Q1060" i="1" a="1"/>
  <c r="Q1060" i="1" s="1"/>
  <c r="T1066" i="1" a="1"/>
  <c r="T1066" i="1" s="1"/>
  <c r="P1066" i="1" a="1"/>
  <c r="P1066" i="1" s="1"/>
  <c r="T1062" i="1" a="1"/>
  <c r="T1062" i="1" s="1"/>
  <c r="R1060" i="1" a="1"/>
  <c r="R1060" i="1" s="1"/>
  <c r="Q1061" i="1" a="1"/>
  <c r="Q1061" i="1" s="1"/>
  <c r="S1061" i="1" a="1"/>
  <c r="S1061" i="1" s="1"/>
  <c r="Q1063" i="1" a="1"/>
  <c r="Q1063" i="1" s="1"/>
  <c r="P1060" i="1" a="1"/>
  <c r="P1060" i="1" s="1"/>
  <c r="T1064" i="1" a="1"/>
  <c r="T1064" i="1" s="1"/>
  <c r="P1063" i="1" a="1"/>
  <c r="P1063" i="1" s="1"/>
  <c r="R1063" i="1" a="1"/>
  <c r="R1063" i="1" s="1"/>
  <c r="S1063" i="1" a="1"/>
  <c r="S1063" i="1" s="1"/>
  <c r="S1062" i="1" a="1"/>
  <c r="S1062" i="1" s="1"/>
  <c r="S1066" i="1" a="1"/>
  <c r="S1066" i="1" s="1"/>
  <c r="T1067" i="1" a="1"/>
  <c r="T1067" i="1" s="1"/>
  <c r="Q1065" i="1" a="1"/>
  <c r="Q1065" i="1" s="1"/>
  <c r="R1064" i="1" a="1"/>
  <c r="R1064" i="1" s="1"/>
  <c r="S1064" i="1" a="1"/>
  <c r="S1064" i="1" s="1"/>
  <c r="T1060" i="1" a="1"/>
  <c r="T1060" i="1" s="1"/>
  <c r="P1067" i="1" a="1"/>
  <c r="P1067" i="1" s="1"/>
  <c r="P1004" i="1" a="1"/>
  <c r="P1004" i="1" s="1"/>
  <c r="T1002" i="1" a="1"/>
  <c r="T1002" i="1" s="1"/>
  <c r="T1001" i="1" a="1"/>
  <c r="T1001" i="1" s="1"/>
  <c r="Q1002" i="1" a="1"/>
  <c r="Q1002" i="1" s="1"/>
  <c r="Q999" i="1" a="1"/>
  <c r="Q999" i="1" s="1"/>
  <c r="T1005" i="1" a="1"/>
  <c r="T1005" i="1" s="1"/>
  <c r="S1003" i="1" a="1"/>
  <c r="S1003" i="1" s="1"/>
  <c r="S1004" i="1" a="1"/>
  <c r="S1004" i="1" s="1"/>
  <c r="R1005" i="1" a="1"/>
  <c r="R1005" i="1" s="1"/>
  <c r="Q1000" i="1" a="1"/>
  <c r="Q1000" i="1" s="1"/>
  <c r="R1001" i="1" a="1"/>
  <c r="R1001" i="1" s="1"/>
  <c r="R1006" i="1" a="1"/>
  <c r="R1006" i="1" s="1"/>
  <c r="R999" i="1" a="1"/>
  <c r="R999" i="1" s="1"/>
  <c r="P1002" i="1" a="1"/>
  <c r="P1002" i="1" s="1"/>
  <c r="Q1003" i="1" a="1"/>
  <c r="Q1003" i="1" s="1"/>
  <c r="T1003" i="1" a="1"/>
  <c r="T1003" i="1" s="1"/>
  <c r="T1006" i="1" a="1"/>
  <c r="T1006" i="1" s="1"/>
  <c r="P1005" i="1" a="1"/>
  <c r="P1005" i="1" s="1"/>
  <c r="S999" i="1" a="1"/>
  <c r="S999" i="1" s="1"/>
  <c r="P1001" i="1" a="1"/>
  <c r="P1001" i="1" s="1"/>
  <c r="S1005" i="1" a="1"/>
  <c r="S1005" i="1" s="1"/>
  <c r="R1004" i="1" a="1"/>
  <c r="R1004" i="1" s="1"/>
  <c r="S1002" i="1" a="1"/>
  <c r="S1002" i="1" s="1"/>
  <c r="T1000" i="1" a="1"/>
  <c r="T1000" i="1" s="1"/>
  <c r="P999" i="1" a="1"/>
  <c r="P999" i="1" s="1"/>
  <c r="Q1006" i="1" a="1"/>
  <c r="Q1006" i="1" s="1"/>
  <c r="T999" i="1" a="1"/>
  <c r="T999" i="1" s="1"/>
  <c r="S1000" i="1" a="1"/>
  <c r="S1000" i="1" s="1"/>
  <c r="S1001" i="1" a="1"/>
  <c r="S1001" i="1" s="1"/>
  <c r="P1000" i="1" a="1"/>
  <c r="P1000" i="1" s="1"/>
  <c r="Q1001" i="1" a="1"/>
  <c r="Q1001" i="1" s="1"/>
  <c r="P818" i="1" a="1"/>
  <c r="P818" i="1" s="1"/>
  <c r="R1003" i="1" a="1"/>
  <c r="R1003" i="1" s="1"/>
  <c r="T1004" i="1" a="1"/>
  <c r="T1004" i="1" s="1"/>
  <c r="P1003" i="1" a="1"/>
  <c r="P1003" i="1" s="1"/>
  <c r="Q1004" i="1" a="1"/>
  <c r="Q1004" i="1" s="1"/>
  <c r="Q1005" i="1" a="1"/>
  <c r="Q1005" i="1" s="1"/>
  <c r="S1006" i="1" a="1"/>
  <c r="S1006" i="1" s="1"/>
  <c r="R1000" i="1" a="1"/>
  <c r="R1000" i="1" s="1"/>
  <c r="P1006" i="1" a="1"/>
  <c r="P1006" i="1" s="1"/>
  <c r="R943" i="1" a="1"/>
  <c r="R943" i="1" s="1"/>
  <c r="T944" i="1" a="1"/>
  <c r="T944" i="1" s="1"/>
  <c r="R939" i="1" a="1"/>
  <c r="R939" i="1" s="1"/>
  <c r="R945" i="1" a="1"/>
  <c r="R945" i="1" s="1"/>
  <c r="P940" i="1" a="1"/>
  <c r="P940" i="1" s="1"/>
  <c r="Q945" i="1" a="1"/>
  <c r="Q945" i="1" s="1"/>
  <c r="Q941" i="1" a="1"/>
  <c r="Q941" i="1" s="1"/>
  <c r="T942" i="1" a="1"/>
  <c r="T942" i="1" s="1"/>
  <c r="Q939" i="1" a="1"/>
  <c r="Q939" i="1" s="1"/>
  <c r="P943" i="1" a="1"/>
  <c r="P943" i="1" s="1"/>
  <c r="S944" i="1" a="1"/>
  <c r="S944" i="1" s="1"/>
  <c r="P941" i="1" a="1"/>
  <c r="P941" i="1" s="1"/>
  <c r="R940" i="1" a="1"/>
  <c r="R940" i="1" s="1"/>
  <c r="R944" i="1" a="1"/>
  <c r="R944" i="1" s="1"/>
  <c r="S940" i="1" a="1"/>
  <c r="S940" i="1" s="1"/>
  <c r="T945" i="1" a="1"/>
  <c r="T945" i="1" s="1"/>
  <c r="Q942" i="1" a="1"/>
  <c r="Q942" i="1" s="1"/>
  <c r="P939" i="1" a="1"/>
  <c r="P939" i="1" s="1"/>
  <c r="T940" i="1" a="1"/>
  <c r="T940" i="1" s="1"/>
  <c r="P944" i="1" a="1"/>
  <c r="P944" i="1" s="1"/>
  <c r="T943" i="1" a="1"/>
  <c r="T943" i="1" s="1"/>
  <c r="T938" i="1" a="1"/>
  <c r="T938" i="1" s="1"/>
  <c r="Q938" i="1" a="1"/>
  <c r="Q938" i="1" s="1"/>
  <c r="P938" i="1" a="1"/>
  <c r="P938" i="1" s="1"/>
  <c r="S945" i="1" a="1"/>
  <c r="S945" i="1" s="1"/>
  <c r="Q940" i="1" a="1"/>
  <c r="Q940" i="1" s="1"/>
  <c r="S939" i="1" a="1"/>
  <c r="S939" i="1" s="1"/>
  <c r="R938" i="1" a="1"/>
  <c r="R938" i="1" s="1"/>
  <c r="Q944" i="1" a="1"/>
  <c r="Q944" i="1" s="1"/>
  <c r="S941" i="1" a="1"/>
  <c r="S941" i="1" s="1"/>
  <c r="P942" i="1" a="1"/>
  <c r="P942" i="1" s="1"/>
  <c r="R941" i="1" a="1"/>
  <c r="R941" i="1" s="1"/>
  <c r="T941" i="1" a="1"/>
  <c r="T941" i="1" s="1"/>
  <c r="S942" i="1" a="1"/>
  <c r="S942" i="1" s="1"/>
  <c r="R942" i="1" a="1"/>
  <c r="R942" i="1" s="1"/>
  <c r="Q943" i="1" a="1"/>
  <c r="Q943" i="1" s="1"/>
  <c r="S943" i="1" a="1"/>
  <c r="S943" i="1" s="1"/>
  <c r="S938" i="1" a="1"/>
  <c r="S938" i="1" s="1"/>
  <c r="T939" i="1" a="1"/>
  <c r="T939" i="1" s="1"/>
  <c r="P945" i="1" a="1"/>
  <c r="P945" i="1" s="1"/>
  <c r="Q822" i="1" a="1"/>
  <c r="Q822" i="1" s="1"/>
  <c r="Q877" i="1" a="1"/>
  <c r="Q877" i="1" s="1"/>
  <c r="T882" i="1" a="1"/>
  <c r="T882" i="1" s="1"/>
  <c r="AN1069" i="1" s="1"/>
  <c r="Q884" i="1" a="1"/>
  <c r="Q884" i="1" s="1"/>
  <c r="P878" i="1" a="1"/>
  <c r="P878" i="1" s="1"/>
  <c r="P881" i="1" a="1"/>
  <c r="P881" i="1" s="1"/>
  <c r="S881" i="1" a="1"/>
  <c r="S881" i="1" s="1"/>
  <c r="S877" i="1" a="1"/>
  <c r="S877" i="1" s="1"/>
  <c r="P882" i="1" a="1"/>
  <c r="P882" i="1" s="1"/>
  <c r="R878" i="1" a="1"/>
  <c r="R878" i="1" s="1"/>
  <c r="R883" i="1" a="1"/>
  <c r="R883" i="1" s="1"/>
  <c r="P879" i="1" a="1"/>
  <c r="P879" i="1" s="1"/>
  <c r="Q883" i="1" a="1"/>
  <c r="Q883" i="1" s="1"/>
  <c r="S884" i="1" a="1"/>
  <c r="S884" i="1" s="1"/>
  <c r="T880" i="1" a="1"/>
  <c r="T880" i="1" s="1"/>
  <c r="AN1067" i="1" s="1"/>
  <c r="T883" i="1" a="1"/>
  <c r="T883" i="1" s="1"/>
  <c r="AN1070" i="1" s="1"/>
  <c r="R879" i="1" a="1"/>
  <c r="R879" i="1" s="1"/>
  <c r="Q880" i="1" a="1"/>
  <c r="Q880" i="1" s="1"/>
  <c r="S882" i="1" a="1"/>
  <c r="S882" i="1" s="1"/>
  <c r="R881" i="1" a="1"/>
  <c r="R881" i="1" s="1"/>
  <c r="Q881" i="1" a="1"/>
  <c r="Q881" i="1" s="1"/>
  <c r="T879" i="1" a="1"/>
  <c r="T879" i="1" s="1"/>
  <c r="AN1066" i="1" s="1"/>
  <c r="R884" i="1" a="1"/>
  <c r="R884" i="1" s="1"/>
  <c r="Q878" i="1" a="1"/>
  <c r="Q878" i="1" s="1"/>
  <c r="P883" i="1" a="1"/>
  <c r="P883" i="1" s="1"/>
  <c r="P877" i="1" a="1"/>
  <c r="P877" i="1" s="1"/>
  <c r="S879" i="1" a="1"/>
  <c r="S879" i="1" s="1"/>
  <c r="P880" i="1" a="1"/>
  <c r="P880" i="1" s="1"/>
  <c r="S878" i="1" a="1"/>
  <c r="S878" i="1" s="1"/>
  <c r="T878" i="1" a="1"/>
  <c r="T878" i="1" s="1"/>
  <c r="AN1065" i="1" s="1"/>
  <c r="R877" i="1" a="1"/>
  <c r="R877" i="1" s="1"/>
  <c r="T884" i="1" a="1"/>
  <c r="R880" i="1" a="1"/>
  <c r="R880" i="1" s="1"/>
  <c r="S880" i="1" a="1"/>
  <c r="S880" i="1" s="1"/>
  <c r="T881" i="1" a="1"/>
  <c r="T881" i="1" s="1"/>
  <c r="AN1068" i="1" s="1"/>
  <c r="T877" i="1" a="1"/>
  <c r="T877" i="1" s="1"/>
  <c r="AN1064" i="1" s="1"/>
  <c r="Q882" i="1" a="1"/>
  <c r="Q882" i="1" s="1"/>
  <c r="R882" i="1" a="1"/>
  <c r="R882" i="1" s="1"/>
  <c r="S883" i="1" a="1"/>
  <c r="S883" i="1" s="1"/>
  <c r="Q879" i="1" a="1"/>
  <c r="Q879" i="1" s="1"/>
  <c r="P884" i="1" a="1"/>
  <c r="P884" i="1" s="1"/>
  <c r="R823" i="1" a="1"/>
  <c r="R823" i="1" s="1"/>
  <c r="R820" i="1" a="1"/>
  <c r="R820" i="1" s="1"/>
  <c r="S820" i="1" a="1"/>
  <c r="S820" i="1" s="1"/>
  <c r="R816" i="1" a="1"/>
  <c r="R816" i="1" s="1"/>
  <c r="Q823" i="1" a="1"/>
  <c r="Q823" i="1" s="1"/>
  <c r="P821" i="1" a="1"/>
  <c r="P821" i="1" s="1"/>
  <c r="T820" i="1" a="1"/>
  <c r="T820" i="1" s="1"/>
  <c r="AN1007" i="1" s="1"/>
  <c r="Q817" i="1" a="1"/>
  <c r="Q817" i="1" s="1"/>
  <c r="R818" i="1" a="1"/>
  <c r="R818" i="1" s="1"/>
  <c r="T822" i="1" a="1"/>
  <c r="T822" i="1" s="1"/>
  <c r="AN1009" i="1" s="1"/>
  <c r="Q819" i="1" a="1"/>
  <c r="Q819" i="1" s="1"/>
  <c r="S822" i="1" a="1"/>
  <c r="S822" i="1" s="1"/>
  <c r="P819" i="1" a="1"/>
  <c r="P819" i="1" s="1"/>
  <c r="Q820" i="1" a="1"/>
  <c r="Q820" i="1" s="1"/>
  <c r="T817" i="1" a="1"/>
  <c r="T817" i="1" s="1"/>
  <c r="AN1004" i="1" s="1"/>
  <c r="R822" i="1" a="1"/>
  <c r="R822" i="1" s="1"/>
  <c r="T823" i="1" a="1"/>
  <c r="P822" i="1" a="1"/>
  <c r="P822" i="1" s="1"/>
  <c r="P817" i="1" a="1"/>
  <c r="P817" i="1" s="1"/>
  <c r="P816" i="1" a="1"/>
  <c r="P816" i="1" s="1"/>
  <c r="Q698" i="1" a="1"/>
  <c r="Q698" i="1" s="1"/>
  <c r="S819" i="1" a="1"/>
  <c r="S819" i="1" s="1"/>
  <c r="T821" i="1" a="1"/>
  <c r="T821" i="1" s="1"/>
  <c r="AN1008" i="1" s="1"/>
  <c r="T816" i="1" a="1"/>
  <c r="T816" i="1" s="1"/>
  <c r="AN1003" i="1" s="1"/>
  <c r="S817" i="1" a="1"/>
  <c r="S817" i="1" s="1"/>
  <c r="Q816" i="1" a="1"/>
  <c r="Q816" i="1" s="1"/>
  <c r="S823" i="1" a="1"/>
  <c r="S823" i="1" s="1"/>
  <c r="Q818" i="1" a="1"/>
  <c r="Q818" i="1" s="1"/>
  <c r="R819" i="1" a="1"/>
  <c r="R819" i="1" s="1"/>
  <c r="R817" i="1" a="1"/>
  <c r="R817" i="1" s="1"/>
  <c r="T818" i="1" a="1"/>
  <c r="T818" i="1" s="1"/>
  <c r="AN1005" i="1" s="1"/>
  <c r="T819" i="1" a="1"/>
  <c r="T819" i="1" s="1"/>
  <c r="AN1006" i="1" s="1"/>
  <c r="R821" i="1" a="1"/>
  <c r="R821" i="1" s="1"/>
  <c r="P820" i="1" a="1"/>
  <c r="P820" i="1" s="1"/>
  <c r="Q821" i="1" a="1"/>
  <c r="Q821" i="1" s="1"/>
  <c r="S821" i="1" a="1"/>
  <c r="S821" i="1" s="1"/>
  <c r="S816" i="1" a="1"/>
  <c r="S816" i="1" s="1"/>
  <c r="S818" i="1" a="1"/>
  <c r="S818" i="1" s="1"/>
  <c r="P823" i="1" a="1"/>
  <c r="P823" i="1" s="1"/>
  <c r="S758" i="1" a="1"/>
  <c r="S758" i="1" s="1"/>
  <c r="P755" i="1" a="1"/>
  <c r="P755" i="1" s="1"/>
  <c r="T759" i="1" a="1"/>
  <c r="T759" i="1" s="1"/>
  <c r="AN946" i="1" s="1"/>
  <c r="Q761" i="1" a="1"/>
  <c r="Q761" i="1" s="1"/>
  <c r="P756" i="1" a="1"/>
  <c r="P756" i="1" s="1"/>
  <c r="Q757" i="1" a="1"/>
  <c r="Q757" i="1" s="1"/>
  <c r="S754" i="1" a="1"/>
  <c r="S754" i="1" s="1"/>
  <c r="T757" i="1" a="1"/>
  <c r="T757" i="1" s="1"/>
  <c r="AN944" i="1" s="1"/>
  <c r="T760" i="1" a="1"/>
  <c r="T760" i="1" s="1"/>
  <c r="AN947" i="1" s="1"/>
  <c r="P759" i="1" a="1"/>
  <c r="P759" i="1" s="1"/>
  <c r="R760" i="1" a="1"/>
  <c r="R760" i="1" s="1"/>
  <c r="S759" i="1" a="1"/>
  <c r="S759" i="1" s="1"/>
  <c r="Q760" i="1" a="1"/>
  <c r="Q760" i="1" s="1"/>
  <c r="R756" i="1" a="1"/>
  <c r="R756" i="1" s="1"/>
  <c r="R755" i="1" a="1"/>
  <c r="R755" i="1" s="1"/>
  <c r="R761" i="1" a="1"/>
  <c r="R761" i="1" s="1"/>
  <c r="S761" i="1" a="1"/>
  <c r="S761" i="1" s="1"/>
  <c r="Q758" i="1" a="1"/>
  <c r="Q758" i="1" s="1"/>
  <c r="S756" i="1" a="1"/>
  <c r="S756" i="1" s="1"/>
  <c r="Q755" i="1" a="1"/>
  <c r="Q755" i="1" s="1"/>
  <c r="P760" i="1" a="1"/>
  <c r="P760" i="1" s="1"/>
  <c r="S757" i="1" a="1"/>
  <c r="S757" i="1" s="1"/>
  <c r="P757" i="1" a="1"/>
  <c r="P757" i="1" s="1"/>
  <c r="P754" i="1" a="1"/>
  <c r="P754" i="1" s="1"/>
  <c r="T755" i="1" a="1"/>
  <c r="T755" i="1" s="1"/>
  <c r="AN942" i="1" s="1"/>
  <c r="R754" i="1" a="1"/>
  <c r="R754" i="1" s="1"/>
  <c r="T761" i="1" a="1"/>
  <c r="S755" i="1" a="1"/>
  <c r="S755" i="1" s="1"/>
  <c r="R759" i="1" a="1"/>
  <c r="R759" i="1" s="1"/>
  <c r="T758" i="1" a="1"/>
  <c r="T758" i="1" s="1"/>
  <c r="AN945" i="1" s="1"/>
  <c r="T754" i="1" a="1"/>
  <c r="T754" i="1" s="1"/>
  <c r="AN941" i="1" s="1"/>
  <c r="R757" i="1" a="1"/>
  <c r="R757" i="1" s="1"/>
  <c r="Q754" i="1" a="1"/>
  <c r="Q754" i="1" s="1"/>
  <c r="S760" i="1" a="1"/>
  <c r="S760" i="1" s="1"/>
  <c r="Q756" i="1" a="1"/>
  <c r="Q756" i="1" s="1"/>
  <c r="Q759" i="1" a="1"/>
  <c r="Q759" i="1" s="1"/>
  <c r="R327" i="1" a="1"/>
  <c r="R327" i="1" s="1"/>
  <c r="U754" i="1" a="1"/>
  <c r="U754" i="1" s="1"/>
  <c r="T756" i="1" a="1"/>
  <c r="T756" i="1" s="1"/>
  <c r="AN943" i="1" s="1"/>
  <c r="R758" i="1" a="1"/>
  <c r="R758" i="1" s="1"/>
  <c r="P758" i="1" a="1"/>
  <c r="P758" i="1" s="1"/>
  <c r="P761" i="1" a="1"/>
  <c r="P761" i="1" s="1"/>
  <c r="R700" i="1" a="1"/>
  <c r="R700" i="1" s="1"/>
  <c r="P695" i="1" a="1"/>
  <c r="P695" i="1" s="1"/>
  <c r="R694" i="1" a="1"/>
  <c r="R694" i="1" s="1"/>
  <c r="T699" i="1" a="1"/>
  <c r="T699" i="1" s="1"/>
  <c r="AN886" i="1" s="1"/>
  <c r="Q693" i="1" a="1"/>
  <c r="Q693" i="1" s="1"/>
  <c r="S696" i="1" a="1"/>
  <c r="S696" i="1" s="1"/>
  <c r="R695" i="1" a="1"/>
  <c r="R695" i="1" s="1"/>
  <c r="P698" i="1" a="1"/>
  <c r="P698" i="1" s="1"/>
  <c r="R693" i="1" a="1"/>
  <c r="R693" i="1" s="1"/>
  <c r="R699" i="1" a="1"/>
  <c r="R699" i="1" s="1"/>
  <c r="Q697" i="1" a="1"/>
  <c r="Q697" i="1" s="1"/>
  <c r="Q696" i="1" a="1"/>
  <c r="Q696" i="1" s="1"/>
  <c r="T697" i="1" a="1"/>
  <c r="T697" i="1" s="1"/>
  <c r="AN884" i="1" s="1"/>
  <c r="Q694" i="1" a="1"/>
  <c r="Q694" i="1" s="1"/>
  <c r="P699" i="1" a="1"/>
  <c r="P699" i="1" s="1"/>
  <c r="S699" i="1" a="1"/>
  <c r="S699" i="1" s="1"/>
  <c r="P696" i="1" a="1"/>
  <c r="P696" i="1" s="1"/>
  <c r="R698" i="1" a="1"/>
  <c r="R698" i="1" s="1"/>
  <c r="R697" i="1" a="1"/>
  <c r="R697" i="1" s="1"/>
  <c r="T700" i="1" a="1"/>
  <c r="S697" i="1" a="1"/>
  <c r="S697" i="1" s="1"/>
  <c r="S695" i="1" a="1"/>
  <c r="S695" i="1" s="1"/>
  <c r="P693" i="1" a="1"/>
  <c r="P693" i="1" s="1"/>
  <c r="Q699" i="1" a="1"/>
  <c r="Q699" i="1" s="1"/>
  <c r="P694" i="1" a="1"/>
  <c r="P694" i="1" s="1"/>
  <c r="T693" i="1" a="1"/>
  <c r="T693" i="1" s="1"/>
  <c r="AN880" i="1" s="1"/>
  <c r="S694" i="1" a="1"/>
  <c r="S694" i="1" s="1"/>
  <c r="T694" i="1" a="1"/>
  <c r="T694" i="1" s="1"/>
  <c r="AN881" i="1" s="1"/>
  <c r="Q700" i="1" a="1"/>
  <c r="Q700" i="1" s="1"/>
  <c r="T698" i="1" a="1"/>
  <c r="T698" i="1" s="1"/>
  <c r="AN885" i="1" s="1"/>
  <c r="Q695" i="1" a="1"/>
  <c r="Q695" i="1" s="1"/>
  <c r="R696" i="1" a="1"/>
  <c r="R696" i="1" s="1"/>
  <c r="T696" i="1" a="1"/>
  <c r="T696" i="1" s="1"/>
  <c r="AN883" i="1" s="1"/>
  <c r="S700" i="1" a="1"/>
  <c r="S700" i="1" s="1"/>
  <c r="P697" i="1" a="1"/>
  <c r="P697" i="1" s="1"/>
  <c r="P638" i="1" a="1"/>
  <c r="P638" i="1" s="1"/>
  <c r="S698" i="1" a="1"/>
  <c r="S698" i="1" s="1"/>
  <c r="S693" i="1" a="1"/>
  <c r="S693" i="1" s="1"/>
  <c r="T695" i="1" a="1"/>
  <c r="T695" i="1" s="1"/>
  <c r="AN882" i="1" s="1"/>
  <c r="P700" i="1" a="1"/>
  <c r="P700" i="1" s="1"/>
  <c r="P636" i="1" a="1"/>
  <c r="P636" i="1" s="1"/>
  <c r="P632" i="1" a="1"/>
  <c r="P632" i="1" s="1"/>
  <c r="T637" i="1" a="1"/>
  <c r="T637" i="1" s="1"/>
  <c r="AN824" i="1" s="1"/>
  <c r="Q634" i="1" a="1"/>
  <c r="Q634" i="1" s="1"/>
  <c r="R636" i="1" a="1"/>
  <c r="R636" i="1" s="1"/>
  <c r="T635" i="1" a="1"/>
  <c r="T635" i="1" s="1"/>
  <c r="AN822" i="1" s="1"/>
  <c r="R633" i="1" a="1"/>
  <c r="R633" i="1" s="1"/>
  <c r="Q638" i="1" a="1"/>
  <c r="Q638" i="1" s="1"/>
  <c r="S632" i="1" a="1"/>
  <c r="S632" i="1" s="1"/>
  <c r="Q635" i="1" a="1"/>
  <c r="Q635" i="1" s="1"/>
  <c r="Q632" i="1" a="1"/>
  <c r="Q632" i="1" s="1"/>
  <c r="P634" i="1" a="1"/>
  <c r="P634" i="1" s="1"/>
  <c r="P637" i="1" a="1"/>
  <c r="P637" i="1" s="1"/>
  <c r="S634" i="1" a="1"/>
  <c r="S634" i="1" s="1"/>
  <c r="T634" i="1" a="1"/>
  <c r="T634" i="1" s="1"/>
  <c r="AN821" i="1" s="1"/>
  <c r="T638" i="1" a="1"/>
  <c r="T638" i="1" s="1"/>
  <c r="AN825" i="1" s="1"/>
  <c r="R634" i="1" a="1"/>
  <c r="R634" i="1" s="1"/>
  <c r="S639" i="1" a="1"/>
  <c r="S639" i="1" s="1"/>
  <c r="S636" i="1" a="1"/>
  <c r="S636" i="1" s="1"/>
  <c r="R639" i="1" a="1"/>
  <c r="R639" i="1" s="1"/>
  <c r="Q636" i="1" a="1"/>
  <c r="Q636" i="1" s="1"/>
  <c r="R638" i="1" a="1"/>
  <c r="R638" i="1" s="1"/>
  <c r="Q633" i="1" a="1"/>
  <c r="Q633" i="1" s="1"/>
  <c r="S511" i="1" a="1"/>
  <c r="S511" i="1" s="1"/>
  <c r="T633" i="1" a="1"/>
  <c r="T633" i="1" s="1"/>
  <c r="AN820" i="1" s="1"/>
  <c r="R632" i="1" a="1"/>
  <c r="R632" i="1" s="1"/>
  <c r="P635" i="1" a="1"/>
  <c r="P635" i="1" s="1"/>
  <c r="S633" i="1" a="1"/>
  <c r="S633" i="1" s="1"/>
  <c r="S635" i="1" a="1"/>
  <c r="S635" i="1" s="1"/>
  <c r="T636" i="1" a="1"/>
  <c r="T636" i="1" s="1"/>
  <c r="AN823" i="1" s="1"/>
  <c r="T639" i="1" a="1"/>
  <c r="R635" i="1" a="1"/>
  <c r="R635" i="1" s="1"/>
  <c r="R637" i="1" a="1"/>
  <c r="R637" i="1" s="1"/>
  <c r="S638" i="1" a="1"/>
  <c r="S638" i="1" s="1"/>
  <c r="S637" i="1" a="1"/>
  <c r="S637" i="1" s="1"/>
  <c r="Q637" i="1" a="1"/>
  <c r="Q637" i="1" s="1"/>
  <c r="Q639" i="1" a="1"/>
  <c r="Q639" i="1" s="1"/>
  <c r="P633" i="1" a="1"/>
  <c r="P633" i="1" s="1"/>
  <c r="T632" i="1" a="1"/>
  <c r="T632" i="1" s="1"/>
  <c r="AN819" i="1" s="1"/>
  <c r="P639" i="1" a="1"/>
  <c r="P639" i="1" s="1"/>
  <c r="Q577" i="1" a="1"/>
  <c r="Q577" i="1" s="1"/>
  <c r="T576" i="1" a="1"/>
  <c r="T576" i="1" s="1"/>
  <c r="AN763" i="1" s="1"/>
  <c r="Q573" i="1" a="1"/>
  <c r="Q573" i="1" s="1"/>
  <c r="T573" i="1" a="1"/>
  <c r="T573" i="1" s="1"/>
  <c r="AN760" i="1" s="1"/>
  <c r="S571" i="1" a="1"/>
  <c r="S571" i="1" s="1"/>
  <c r="R572" i="1" a="1"/>
  <c r="R572" i="1" s="1"/>
  <c r="S575" i="1" a="1"/>
  <c r="S575" i="1" s="1"/>
  <c r="P573" i="1" a="1"/>
  <c r="P573" i="1" s="1"/>
  <c r="Q574" i="1" a="1"/>
  <c r="Q574" i="1" s="1"/>
  <c r="R577" i="1" a="1"/>
  <c r="R577" i="1" s="1"/>
  <c r="T577" i="1" a="1"/>
  <c r="T577" i="1" s="1"/>
  <c r="AN764" i="1" s="1"/>
  <c r="P576" i="1" a="1"/>
  <c r="P576" i="1" s="1"/>
  <c r="P575" i="1" a="1"/>
  <c r="P575" i="1" s="1"/>
  <c r="T574" i="1" a="1"/>
  <c r="T574" i="1" s="1"/>
  <c r="AN761" i="1" s="1"/>
  <c r="T572" i="1" a="1"/>
  <c r="T572" i="1" s="1"/>
  <c r="AN759" i="1" s="1"/>
  <c r="R573" i="1" a="1"/>
  <c r="R573" i="1" s="1"/>
  <c r="S576" i="1" a="1"/>
  <c r="S576" i="1" s="1"/>
  <c r="Q578" i="1" a="1"/>
  <c r="Q578" i="1" s="1"/>
  <c r="Q575" i="1" a="1"/>
  <c r="Q575" i="1" s="1"/>
  <c r="Q571" i="1" a="1"/>
  <c r="Q571" i="1" s="1"/>
  <c r="R578" i="1" a="1"/>
  <c r="R578" i="1" s="1"/>
  <c r="Q572" i="1" a="1"/>
  <c r="Q572" i="1" s="1"/>
  <c r="P577" i="1" a="1"/>
  <c r="P577" i="1" s="1"/>
  <c r="S574" i="1" a="1"/>
  <c r="S574" i="1" s="1"/>
  <c r="R571" i="1" a="1"/>
  <c r="R571" i="1" s="1"/>
  <c r="P574" i="1" a="1"/>
  <c r="P574" i="1" s="1"/>
  <c r="S572" i="1" a="1"/>
  <c r="S572" i="1" s="1"/>
  <c r="P571" i="1" a="1"/>
  <c r="P571" i="1" s="1"/>
  <c r="T575" i="1" a="1"/>
  <c r="T575" i="1" s="1"/>
  <c r="AN762" i="1" s="1"/>
  <c r="T578" i="1" a="1"/>
  <c r="R574" i="1" a="1"/>
  <c r="R574" i="1" s="1"/>
  <c r="S573" i="1" a="1"/>
  <c r="S573" i="1" s="1"/>
  <c r="S577" i="1" a="1"/>
  <c r="S577" i="1" s="1"/>
  <c r="R576" i="1" a="1"/>
  <c r="R576" i="1" s="1"/>
  <c r="Q576" i="1" a="1"/>
  <c r="Q576" i="1" s="1"/>
  <c r="S578" i="1" a="1"/>
  <c r="S578" i="1" s="1"/>
  <c r="R575" i="1" a="1"/>
  <c r="R575" i="1" s="1"/>
  <c r="P572" i="1" a="1"/>
  <c r="P572" i="1" s="1"/>
  <c r="T571" i="1" a="1"/>
  <c r="T571" i="1" s="1"/>
  <c r="AN758" i="1" s="1"/>
  <c r="P578" i="1" a="1"/>
  <c r="P578" i="1" s="1"/>
  <c r="T510" i="1" a="1"/>
  <c r="T510" i="1" s="1"/>
  <c r="AN697" i="1" s="1"/>
  <c r="R514" i="1" a="1"/>
  <c r="R514" i="1" s="1"/>
  <c r="R515" i="1" a="1"/>
  <c r="R515" i="1" s="1"/>
  <c r="T517" i="1" a="1"/>
  <c r="T513" i="1" a="1"/>
  <c r="T513" i="1" s="1"/>
  <c r="AN700" i="1" s="1"/>
  <c r="T512" i="1" a="1"/>
  <c r="T512" i="1" s="1"/>
  <c r="AN699" i="1" s="1"/>
  <c r="Q512" i="1" a="1"/>
  <c r="Q512" i="1" s="1"/>
  <c r="Q517" i="1" a="1"/>
  <c r="Q517" i="1" s="1"/>
  <c r="S515" i="1" a="1"/>
  <c r="S515" i="1" s="1"/>
  <c r="S514" i="1" a="1"/>
  <c r="S514" i="1" s="1"/>
  <c r="P514" i="1" a="1"/>
  <c r="P514" i="1" s="1"/>
  <c r="Q516" i="1" a="1"/>
  <c r="Q516" i="1" s="1"/>
  <c r="R517" i="1" a="1"/>
  <c r="R517" i="1" s="1"/>
  <c r="P511" i="1" a="1"/>
  <c r="P511" i="1" s="1"/>
  <c r="R511" i="1" a="1"/>
  <c r="R511" i="1" s="1"/>
  <c r="T511" i="1" a="1"/>
  <c r="T511" i="1" s="1"/>
  <c r="AN698" i="1" s="1"/>
  <c r="T515" i="1" a="1"/>
  <c r="T515" i="1" s="1"/>
  <c r="AN702" i="1" s="1"/>
  <c r="R512" i="1" a="1"/>
  <c r="R512" i="1" s="1"/>
  <c r="Q510" i="1" a="1"/>
  <c r="Q510" i="1" s="1"/>
  <c r="S517" i="1" a="1"/>
  <c r="S517" i="1" s="1"/>
  <c r="Q514" i="1" a="1"/>
  <c r="Q514" i="1" s="1"/>
  <c r="R516" i="1" a="1"/>
  <c r="R516" i="1" s="1"/>
  <c r="S510" i="1" a="1"/>
  <c r="S510" i="1" s="1"/>
  <c r="P516" i="1" a="1"/>
  <c r="P516" i="1" s="1"/>
  <c r="Q513" i="1" a="1"/>
  <c r="Q513" i="1" s="1"/>
  <c r="R510" i="1" a="1"/>
  <c r="R510" i="1" s="1"/>
  <c r="P512" i="1" a="1"/>
  <c r="P512" i="1" s="1"/>
  <c r="R453" i="1" a="1"/>
  <c r="R453" i="1" s="1"/>
  <c r="P515" i="1" a="1"/>
  <c r="P515" i="1" s="1"/>
  <c r="T514" i="1" a="1"/>
  <c r="T514" i="1" s="1"/>
  <c r="AN701" i="1" s="1"/>
  <c r="T516" i="1" a="1"/>
  <c r="T516" i="1" s="1"/>
  <c r="AN703" i="1" s="1"/>
  <c r="R513" i="1" a="1"/>
  <c r="R513" i="1" s="1"/>
  <c r="P510" i="1" a="1"/>
  <c r="P510" i="1" s="1"/>
  <c r="S516" i="1" a="1"/>
  <c r="S516" i="1" s="1"/>
  <c r="Q511" i="1" a="1"/>
  <c r="Q511" i="1" s="1"/>
  <c r="Q515" i="1" a="1"/>
  <c r="Q515" i="1" s="1"/>
  <c r="S512" i="1" a="1"/>
  <c r="S512" i="1" s="1"/>
  <c r="S513" i="1" a="1"/>
  <c r="S513" i="1" s="1"/>
  <c r="P513" i="1" a="1"/>
  <c r="P513" i="1" s="1"/>
  <c r="P517" i="1" a="1"/>
  <c r="P517" i="1" s="1"/>
  <c r="Q449" i="1" a="1"/>
  <c r="Q449" i="1" s="1"/>
  <c r="S454" i="1" a="1"/>
  <c r="S454" i="1" s="1"/>
  <c r="P451" i="1" a="1"/>
  <c r="P451" i="1" s="1"/>
  <c r="P454" i="1" a="1"/>
  <c r="P454" i="1" s="1"/>
  <c r="T449" i="1" a="1"/>
  <c r="T449" i="1" s="1"/>
  <c r="AN636" i="1" s="1"/>
  <c r="T455" i="1" a="1"/>
  <c r="Q455" i="1" a="1"/>
  <c r="Q455" i="1" s="1"/>
  <c r="R450" i="1" a="1"/>
  <c r="R450" i="1" s="1"/>
  <c r="Q448" i="1" a="1"/>
  <c r="Q448" i="1" s="1"/>
  <c r="R454" i="1" a="1"/>
  <c r="R454" i="1" s="1"/>
  <c r="T448" i="1" a="1"/>
  <c r="T448" i="1" s="1"/>
  <c r="AN635" i="1" s="1"/>
  <c r="S449" i="1" a="1"/>
  <c r="S449" i="1" s="1"/>
  <c r="R448" i="1" a="1"/>
  <c r="R448" i="1" s="1"/>
  <c r="Q452" i="1" a="1"/>
  <c r="Q452" i="1" s="1"/>
  <c r="P448" i="1" a="1"/>
  <c r="P448" i="1" s="1"/>
  <c r="P449" i="1" a="1"/>
  <c r="P449" i="1" s="1"/>
  <c r="Q450" i="1" a="1"/>
  <c r="Q450" i="1" s="1"/>
  <c r="R451" i="1" a="1"/>
  <c r="R451" i="1" s="1"/>
  <c r="S450" i="1" a="1"/>
  <c r="S450" i="1" s="1"/>
  <c r="T453" i="1" a="1"/>
  <c r="T453" i="1" s="1"/>
  <c r="AN640" i="1" s="1"/>
  <c r="P452" i="1" a="1"/>
  <c r="P452" i="1" s="1"/>
  <c r="Q453" i="1" a="1"/>
  <c r="Q453" i="1" s="1"/>
  <c r="R452" i="1" a="1"/>
  <c r="R452" i="1" s="1"/>
  <c r="S455" i="1" a="1"/>
  <c r="S455" i="1" s="1"/>
  <c r="T450" i="1" a="1"/>
  <c r="T450" i="1" s="1"/>
  <c r="AN637" i="1" s="1"/>
  <c r="P455" i="1" a="1"/>
  <c r="P455" i="1" s="1"/>
  <c r="Q454" i="1" a="1"/>
  <c r="Q454" i="1" s="1"/>
  <c r="S448" i="1" a="1"/>
  <c r="S448" i="1" s="1"/>
  <c r="R449" i="1" a="1"/>
  <c r="R449" i="1" s="1"/>
  <c r="T452" i="1" a="1"/>
  <c r="T452" i="1" s="1"/>
  <c r="AN639" i="1" s="1"/>
  <c r="T451" i="1" a="1"/>
  <c r="T451" i="1" s="1"/>
  <c r="AN638" i="1" s="1"/>
  <c r="P450" i="1" a="1"/>
  <c r="P450" i="1" s="1"/>
  <c r="Q451" i="1" a="1"/>
  <c r="Q451" i="1" s="1"/>
  <c r="S452" i="1" a="1"/>
  <c r="S452" i="1" s="1"/>
  <c r="Q308" i="1" a="1"/>
  <c r="Q308" i="1" s="1"/>
  <c r="X298" i="1" s="1"/>
  <c r="AN456" i="1"/>
  <c r="Q284" i="1" a="1"/>
  <c r="Q284" i="1" s="1"/>
  <c r="X274" i="1" s="1"/>
  <c r="AN452" i="1"/>
  <c r="Q290" i="1" a="1"/>
  <c r="Q290" i="1" s="1"/>
  <c r="X280" i="1" s="1"/>
  <c r="AN453" i="1"/>
  <c r="S453" i="1" a="1"/>
  <c r="S453" i="1" s="1"/>
  <c r="T454" i="1" a="1"/>
  <c r="T454" i="1" s="1"/>
  <c r="AN641" i="1" s="1"/>
  <c r="P453" i="1" a="1"/>
  <c r="P453" i="1" s="1"/>
  <c r="R455" i="1" a="1"/>
  <c r="R455" i="1" s="1"/>
  <c r="S451" i="1" a="1"/>
  <c r="S451" i="1" s="1"/>
  <c r="R389" i="1" a="1"/>
  <c r="R389" i="1" s="1"/>
  <c r="S389" i="1" a="1"/>
  <c r="S389" i="1" s="1"/>
  <c r="S387" i="1" a="1"/>
  <c r="S387" i="1" s="1"/>
  <c r="R388" i="1" a="1"/>
  <c r="R388" i="1" s="1"/>
  <c r="Q393" i="1" a="1"/>
  <c r="Q393" i="1" s="1"/>
  <c r="T393" i="1" a="1"/>
  <c r="T393" i="1" s="1"/>
  <c r="AN580" i="1" s="1"/>
  <c r="P392" i="1" a="1"/>
  <c r="P392" i="1" s="1"/>
  <c r="Q387" i="1" a="1"/>
  <c r="Q387" i="1" s="1"/>
  <c r="Q388" i="1" a="1"/>
  <c r="Q388" i="1" s="1"/>
  <c r="Q394" i="1" a="1"/>
  <c r="Q394" i="1" s="1"/>
  <c r="T389" i="1" a="1"/>
  <c r="T389" i="1" s="1"/>
  <c r="AN576" i="1" s="1"/>
  <c r="P390" i="1" a="1"/>
  <c r="P390" i="1" s="1"/>
  <c r="P333" i="1" a="1"/>
  <c r="P333" i="1" s="1"/>
  <c r="S391" i="1" a="1"/>
  <c r="S391" i="1" s="1"/>
  <c r="T394" i="1" a="1"/>
  <c r="Q391" i="1" a="1"/>
  <c r="Q391" i="1" s="1"/>
  <c r="R391" i="1" a="1"/>
  <c r="R391" i="1" s="1"/>
  <c r="R393" i="1" a="1"/>
  <c r="R393" i="1" s="1"/>
  <c r="S393" i="1" a="1"/>
  <c r="S393" i="1" s="1"/>
  <c r="P393" i="1" a="1"/>
  <c r="P393" i="1" s="1"/>
  <c r="P389" i="1" a="1"/>
  <c r="P389" i="1" s="1"/>
  <c r="T390" i="1" a="1"/>
  <c r="T390" i="1" s="1"/>
  <c r="AN577" i="1" s="1"/>
  <c r="T387" i="1" a="1"/>
  <c r="T387" i="1" s="1"/>
  <c r="AN574" i="1" s="1"/>
  <c r="T388" i="1" a="1"/>
  <c r="T388" i="1" s="1"/>
  <c r="AN575" i="1" s="1"/>
  <c r="S390" i="1" a="1"/>
  <c r="S390" i="1" s="1"/>
  <c r="P388" i="1" a="1"/>
  <c r="P388" i="1" s="1"/>
  <c r="Q389" i="1" a="1"/>
  <c r="Q389" i="1" s="1"/>
  <c r="S388" i="1" a="1"/>
  <c r="S388" i="1" s="1"/>
  <c r="S392" i="1" a="1"/>
  <c r="S392" i="1" s="1"/>
  <c r="T392" i="1" a="1"/>
  <c r="T392" i="1" s="1"/>
  <c r="AN579" i="1" s="1"/>
  <c r="P391" i="1" a="1"/>
  <c r="P391" i="1" s="1"/>
  <c r="R390" i="1" a="1"/>
  <c r="R390" i="1" s="1"/>
  <c r="R387" i="1" a="1"/>
  <c r="R387" i="1" s="1"/>
  <c r="S394" i="1" a="1"/>
  <c r="S394" i="1" s="1"/>
  <c r="R392" i="1" a="1"/>
  <c r="R392" i="1" s="1"/>
  <c r="Q392" i="1" a="1"/>
  <c r="Q392" i="1" s="1"/>
  <c r="Q390" i="1" a="1"/>
  <c r="Q390" i="1" s="1"/>
  <c r="P387" i="1" a="1"/>
  <c r="P387" i="1" s="1"/>
  <c r="T391" i="1" a="1"/>
  <c r="T391" i="1" s="1"/>
  <c r="AN578" i="1" s="1"/>
  <c r="R394" i="1" a="1"/>
  <c r="R394" i="1" s="1"/>
  <c r="P394" i="1" a="1"/>
  <c r="P394" i="1" s="1"/>
  <c r="T329" i="1" a="1"/>
  <c r="T329" i="1" s="1"/>
  <c r="AN516" i="1" s="1"/>
  <c r="P328" i="1" a="1"/>
  <c r="P328" i="1" s="1"/>
  <c r="T328" i="1" a="1"/>
  <c r="T328" i="1" s="1"/>
  <c r="AN515" i="1" s="1"/>
  <c r="Q333" i="1" a="1"/>
  <c r="Q333" i="1" s="1"/>
  <c r="T332" i="1" a="1"/>
  <c r="T332" i="1" s="1"/>
  <c r="AN519" i="1" s="1"/>
  <c r="P331" i="1" a="1"/>
  <c r="P331" i="1" s="1"/>
  <c r="U328" i="1" a="1"/>
  <c r="U328" i="1" s="1"/>
  <c r="Q327" i="1" a="1"/>
  <c r="Q327" i="1" s="1"/>
  <c r="U333" i="1" a="1"/>
  <c r="U333" i="1" s="1"/>
  <c r="T330" i="1" a="1"/>
  <c r="T330" i="1" s="1"/>
  <c r="AN517" i="1" s="1"/>
  <c r="P329" i="1" a="1"/>
  <c r="P329" i="1" s="1"/>
  <c r="S329" i="1" a="1"/>
  <c r="S329" i="1" s="1"/>
  <c r="Q329" i="1" a="1"/>
  <c r="Q329" i="1" s="1"/>
  <c r="U331" i="1" a="1"/>
  <c r="U331" i="1" s="1"/>
  <c r="Q326" i="1" a="1"/>
  <c r="Q326" i="1" s="1"/>
  <c r="T333" i="1" a="1"/>
  <c r="U326" i="1" a="1"/>
  <c r="U326" i="1" s="1"/>
  <c r="P327" i="1" a="1"/>
  <c r="P327" i="1" s="1"/>
  <c r="T326" i="1" a="1"/>
  <c r="T326" i="1" s="1"/>
  <c r="AN513" i="1" s="1"/>
  <c r="Q330" i="1" a="1"/>
  <c r="Q330" i="1" s="1"/>
  <c r="U330" i="1" a="1"/>
  <c r="U330" i="1" s="1"/>
  <c r="P326" i="1" a="1"/>
  <c r="P326" i="1" s="1"/>
  <c r="U329" i="1" a="1"/>
  <c r="U329" i="1" s="1"/>
  <c r="Q328" i="1" a="1"/>
  <c r="Q328" i="1" s="1"/>
  <c r="P332" i="1" a="1"/>
  <c r="P332" i="1" s="1"/>
  <c r="T331" i="1" a="1"/>
  <c r="T331" i="1" s="1"/>
  <c r="AN518" i="1" s="1"/>
  <c r="P330" i="1" a="1"/>
  <c r="P330" i="1" s="1"/>
  <c r="S327" i="1" a="1"/>
  <c r="S327" i="1" s="1"/>
  <c r="S331" i="1" a="1"/>
  <c r="S331" i="1" s="1"/>
  <c r="Q332" i="1" a="1"/>
  <c r="Q332" i="1" s="1"/>
  <c r="U332" i="1" a="1"/>
  <c r="U332" i="1" s="1"/>
  <c r="Q331" i="1" a="1"/>
  <c r="Q331" i="1" s="1"/>
  <c r="U327" i="1" a="1"/>
  <c r="U327" i="1" s="1"/>
  <c r="T327" i="1" a="1"/>
  <c r="T327" i="1" s="1"/>
  <c r="AN514" i="1" s="1"/>
  <c r="Q313" i="1" a="1"/>
  <c r="Q313" i="1" s="1"/>
  <c r="X303" i="1" s="1"/>
  <c r="Q305" i="1" a="1"/>
  <c r="Q305" i="1" s="1"/>
  <c r="X295" i="1" s="1"/>
  <c r="Q318" i="1" a="1"/>
  <c r="Q318" i="1" s="1"/>
  <c r="X308" i="1" s="1"/>
  <c r="Q294" i="1" a="1"/>
  <c r="Q294" i="1" s="1"/>
  <c r="X284" i="1" s="1"/>
  <c r="Q289" i="1" a="1"/>
  <c r="Q289" i="1" s="1"/>
  <c r="X279" i="1" s="1"/>
  <c r="Q310" i="1" a="1"/>
  <c r="Q310" i="1" s="1"/>
  <c r="X300" i="1" s="1"/>
  <c r="Q288" i="1" a="1"/>
  <c r="Q288" i="1" s="1"/>
  <c r="X278" i="1" s="1"/>
  <c r="Q285" i="1" a="1"/>
  <c r="Q285" i="1" s="1"/>
  <c r="X275" i="1" s="1"/>
  <c r="Q286" i="1" a="1"/>
  <c r="Q286" i="1" s="1"/>
  <c r="X276" i="1" s="1"/>
  <c r="Q287" i="1" a="1"/>
  <c r="Q287" i="1" s="1"/>
  <c r="X277" i="1" s="1"/>
  <c r="Q301" i="1" a="1"/>
  <c r="Q301" i="1" s="1"/>
  <c r="X291" i="1" s="1"/>
  <c r="Q292" i="1" a="1"/>
  <c r="Q292" i="1" s="1"/>
  <c r="X282" i="1" s="1"/>
  <c r="Q312" i="1" a="1"/>
  <c r="Q312" i="1" s="1"/>
  <c r="X302" i="1" s="1"/>
  <c r="Q295" i="1" a="1"/>
  <c r="Q295" i="1" s="1"/>
  <c r="X285" i="1" s="1"/>
  <c r="Q307" i="1" a="1"/>
  <c r="Q307" i="1" s="1"/>
  <c r="X297" i="1" s="1"/>
  <c r="Q311" i="1" a="1"/>
  <c r="Q311" i="1" s="1"/>
  <c r="X301" i="1" s="1"/>
  <c r="Q282" i="1" a="1"/>
  <c r="Q282" i="1" s="1"/>
  <c r="X272" i="1" s="1"/>
  <c r="Q297" i="1" a="1"/>
  <c r="Q297" i="1" s="1"/>
  <c r="X287" i="1" s="1"/>
  <c r="Q309" i="1" a="1"/>
  <c r="Q309" i="1" s="1"/>
  <c r="X299" i="1" s="1"/>
  <c r="S265" i="1" a="1"/>
  <c r="S265" i="1" s="1"/>
  <c r="R269" i="1" a="1"/>
  <c r="R269" i="1" s="1"/>
  <c r="P264" i="1" a="1"/>
  <c r="P264" i="1" s="1"/>
  <c r="Q274" i="1" s="1" a="1"/>
  <c r="Q274" i="1" s="1"/>
  <c r="X264" i="1" s="1"/>
  <c r="AA265" i="1" s="1"/>
  <c r="T271" i="1" a="1"/>
  <c r="T271" i="1" s="1"/>
  <c r="T884" i="1" l="1"/>
  <c r="AN1071" i="1" s="1"/>
  <c r="AN1088" i="1"/>
  <c r="AN1084" i="1"/>
  <c r="AN1080" i="1"/>
  <c r="AN1076" i="1"/>
  <c r="AN1072" i="1"/>
  <c r="AN1089" i="1"/>
  <c r="AN1085" i="1"/>
  <c r="AN1081" i="1"/>
  <c r="AN1077" i="1"/>
  <c r="AN1073" i="1"/>
  <c r="AN1092" i="1"/>
  <c r="AN1090" i="1"/>
  <c r="AN1086" i="1"/>
  <c r="AN1082" i="1"/>
  <c r="AN1078" i="1"/>
  <c r="AN1074" i="1"/>
  <c r="AN1091" i="1"/>
  <c r="AN1087" i="1"/>
  <c r="AN1083" i="1"/>
  <c r="AN1079" i="1"/>
  <c r="AN1075" i="1"/>
  <c r="T823" i="1"/>
  <c r="AN1010" i="1" s="1"/>
  <c r="AN1027" i="1"/>
  <c r="AN1023" i="1"/>
  <c r="AN1019" i="1"/>
  <c r="AN1015" i="1"/>
  <c r="AN1011" i="1"/>
  <c r="AN1028" i="1"/>
  <c r="AN1024" i="1"/>
  <c r="AN1020" i="1"/>
  <c r="AN1016" i="1"/>
  <c r="AN1012" i="1"/>
  <c r="AN1031" i="1"/>
  <c r="AN1029" i="1"/>
  <c r="AN1025" i="1"/>
  <c r="AN1021" i="1"/>
  <c r="AN1017" i="1"/>
  <c r="AN1013" i="1"/>
  <c r="AN1030" i="1"/>
  <c r="AN1026" i="1"/>
  <c r="AN1022" i="1"/>
  <c r="AN1018" i="1"/>
  <c r="AN1014" i="1"/>
  <c r="T761" i="1"/>
  <c r="AN948" i="1" s="1"/>
  <c r="AN966" i="1"/>
  <c r="AN962" i="1"/>
  <c r="AN958" i="1"/>
  <c r="AN954" i="1"/>
  <c r="AN950" i="1"/>
  <c r="AN965" i="1"/>
  <c r="AN961" i="1"/>
  <c r="AN953" i="1"/>
  <c r="AN949" i="1"/>
  <c r="AN967" i="1"/>
  <c r="AN963" i="1"/>
  <c r="AN959" i="1"/>
  <c r="AN955" i="1"/>
  <c r="AN951" i="1"/>
  <c r="AN969" i="1"/>
  <c r="AN970" i="1"/>
  <c r="AN957" i="1"/>
  <c r="AN968" i="1"/>
  <c r="AN964" i="1"/>
  <c r="AN960" i="1"/>
  <c r="AN956" i="1"/>
  <c r="AN952" i="1"/>
  <c r="T700" i="1"/>
  <c r="AN887" i="1" s="1"/>
  <c r="AN896" i="1"/>
  <c r="AN888" i="1"/>
  <c r="AN905" i="1"/>
  <c r="AN901" i="1"/>
  <c r="AN897" i="1"/>
  <c r="AN893" i="1"/>
  <c r="AN889" i="1"/>
  <c r="AN900" i="1"/>
  <c r="AN904" i="1"/>
  <c r="AN906" i="1"/>
  <c r="AN902" i="1"/>
  <c r="AN898" i="1"/>
  <c r="AN894" i="1"/>
  <c r="AN890" i="1"/>
  <c r="AN909" i="1"/>
  <c r="AN908" i="1"/>
  <c r="AN892" i="1"/>
  <c r="AN907" i="1"/>
  <c r="AN903" i="1"/>
  <c r="AN899" i="1"/>
  <c r="AN895" i="1"/>
  <c r="AN891" i="1"/>
  <c r="T639" i="1"/>
  <c r="AN826" i="1" s="1"/>
  <c r="AN835" i="1"/>
  <c r="AN839" i="1"/>
  <c r="AN831" i="1"/>
  <c r="AN844" i="1"/>
  <c r="AN840" i="1"/>
  <c r="AN836" i="1"/>
  <c r="AN832" i="1"/>
  <c r="AN828" i="1"/>
  <c r="AN847" i="1"/>
  <c r="AN827" i="1"/>
  <c r="AN845" i="1"/>
  <c r="AN841" i="1"/>
  <c r="AN837" i="1"/>
  <c r="AN833" i="1"/>
  <c r="AN829" i="1"/>
  <c r="AN848" i="1"/>
  <c r="AN846" i="1"/>
  <c r="AN842" i="1"/>
  <c r="AN838" i="1"/>
  <c r="AN834" i="1"/>
  <c r="AN830" i="1"/>
  <c r="AN843" i="1"/>
  <c r="T578" i="1"/>
  <c r="AN765" i="1" s="1"/>
  <c r="AN785" i="1"/>
  <c r="AN782" i="1"/>
  <c r="AN778" i="1"/>
  <c r="AN774" i="1"/>
  <c r="AN770" i="1"/>
  <c r="AN766" i="1"/>
  <c r="AN786" i="1"/>
  <c r="AN773" i="1"/>
  <c r="AN769" i="1"/>
  <c r="AN783" i="1"/>
  <c r="AN779" i="1"/>
  <c r="AN775" i="1"/>
  <c r="AN771" i="1"/>
  <c r="AN767" i="1"/>
  <c r="AN777" i="1"/>
  <c r="AN784" i="1"/>
  <c r="AN780" i="1"/>
  <c r="AN776" i="1"/>
  <c r="AN772" i="1"/>
  <c r="AN768" i="1"/>
  <c r="AN781" i="1"/>
  <c r="T517" i="1"/>
  <c r="AN704" i="1" s="1"/>
  <c r="AN720" i="1"/>
  <c r="AN721" i="1"/>
  <c r="AN717" i="1"/>
  <c r="AN713" i="1"/>
  <c r="AN709" i="1"/>
  <c r="AN705" i="1"/>
  <c r="AN724" i="1"/>
  <c r="AN722" i="1"/>
  <c r="AN718" i="1"/>
  <c r="AN714" i="1"/>
  <c r="AN710" i="1"/>
  <c r="AN706" i="1"/>
  <c r="AN725" i="1"/>
  <c r="AN716" i="1"/>
  <c r="AN723" i="1"/>
  <c r="AN719" i="1"/>
  <c r="AN715" i="1"/>
  <c r="AN711" i="1"/>
  <c r="AN707" i="1"/>
  <c r="AN712" i="1"/>
  <c r="AN708" i="1"/>
  <c r="T455" i="1"/>
  <c r="AN642" i="1" s="1"/>
  <c r="AN660" i="1"/>
  <c r="AN656" i="1"/>
  <c r="AN652" i="1"/>
  <c r="AN648" i="1"/>
  <c r="AN644" i="1"/>
  <c r="AN658" i="1"/>
  <c r="AN654" i="1"/>
  <c r="AN650" i="1"/>
  <c r="AN662" i="1"/>
  <c r="AN646" i="1"/>
  <c r="AN661" i="1"/>
  <c r="AN657" i="1"/>
  <c r="AN653" i="1"/>
  <c r="AN649" i="1"/>
  <c r="AN645" i="1"/>
  <c r="AN664" i="1"/>
  <c r="AN651" i="1"/>
  <c r="AN647" i="1"/>
  <c r="AN663" i="1"/>
  <c r="AN659" i="1"/>
  <c r="AN655" i="1"/>
  <c r="AN643" i="1"/>
  <c r="T394" i="1"/>
  <c r="AN581" i="1" s="1"/>
  <c r="AN599" i="1"/>
  <c r="AN595" i="1"/>
  <c r="AN591" i="1"/>
  <c r="AN587" i="1"/>
  <c r="AN583" i="1"/>
  <c r="AN600" i="1"/>
  <c r="AN596" i="1"/>
  <c r="AN592" i="1"/>
  <c r="AN588" i="1"/>
  <c r="AN584" i="1"/>
  <c r="AN603" i="1"/>
  <c r="AN601" i="1"/>
  <c r="AN597" i="1"/>
  <c r="AN593" i="1"/>
  <c r="AN589" i="1"/>
  <c r="AN585" i="1"/>
  <c r="AN602" i="1"/>
  <c r="AN598" i="1"/>
  <c r="AN594" i="1"/>
  <c r="AN590" i="1"/>
  <c r="AN586" i="1"/>
  <c r="AN582" i="1"/>
  <c r="T333" i="1"/>
  <c r="AN520" i="1" s="1"/>
  <c r="AN526" i="1"/>
  <c r="AN539" i="1"/>
  <c r="AN535" i="1"/>
  <c r="AN531" i="1"/>
  <c r="AN527" i="1"/>
  <c r="AN523" i="1"/>
  <c r="AN542" i="1"/>
  <c r="AN540" i="1"/>
  <c r="AN536" i="1"/>
  <c r="AN532" i="1"/>
  <c r="AN528" i="1"/>
  <c r="AN524" i="1"/>
  <c r="AN541" i="1"/>
  <c r="AN537" i="1"/>
  <c r="AN533" i="1"/>
  <c r="AN529" i="1"/>
  <c r="AN525" i="1"/>
  <c r="AN521" i="1"/>
  <c r="AN538" i="1"/>
  <c r="AN534" i="1"/>
  <c r="AN530" i="1"/>
  <c r="AN522" i="1"/>
  <c r="Q320" i="1" a="1"/>
  <c r="Q320" i="1" s="1"/>
  <c r="X310" i="1" s="1"/>
  <c r="AA272" i="1" s="1"/>
  <c r="AD272" i="1" s="1"/>
  <c r="AN458" i="1"/>
  <c r="AA271" i="1"/>
  <c r="AD271" i="1" s="1"/>
  <c r="AA268" i="1"/>
  <c r="AC268" i="1" s="1"/>
  <c r="Q306" i="1" a="1"/>
  <c r="Q306" i="1" s="1"/>
  <c r="Q283" i="1" a="1"/>
  <c r="Q283" i="1" s="1"/>
  <c r="X273" i="1" s="1"/>
  <c r="AA269" i="1"/>
  <c r="AA267" i="1"/>
  <c r="X296" i="1" l="1"/>
  <c r="AA270" i="1" s="1"/>
  <c r="AA266" i="1"/>
  <c r="AC266" i="1" s="1"/>
  <c r="AD268" i="1"/>
  <c r="AE268" i="1" s="1" a="1"/>
  <c r="AE268" i="1" s="1"/>
  <c r="AN330" i="1" s="1"/>
  <c r="AC271" i="1"/>
  <c r="AE271" i="1" s="1" a="1"/>
  <c r="AE271" i="1" s="1"/>
  <c r="AN333" i="1" s="1"/>
  <c r="AC272" i="1"/>
  <c r="AE272" i="1" s="1" a="1"/>
  <c r="AE272" i="1" s="1"/>
  <c r="AN334" i="1" s="1"/>
  <c r="AD265" i="1"/>
  <c r="AC265" i="1"/>
  <c r="AD267" i="1"/>
  <c r="AC267" i="1"/>
  <c r="AD269" i="1"/>
  <c r="AC269" i="1"/>
  <c r="AC270" i="1" l="1"/>
  <c r="AD270" i="1"/>
  <c r="AD266" i="1"/>
  <c r="AE266" i="1" s="1" a="1"/>
  <c r="AE266" i="1" s="1"/>
  <c r="AN328" i="1" s="1"/>
  <c r="AE265" i="1" a="1"/>
  <c r="AE265" i="1" s="1"/>
  <c r="AE269" i="1" a="1"/>
  <c r="AE269" i="1" s="1"/>
  <c r="AF268" i="1"/>
  <c r="AI276" i="1" s="1" a="1"/>
  <c r="AI276" i="1" s="1"/>
  <c r="AL289" i="1" s="1" a="1"/>
  <c r="AL289" i="1" s="1"/>
  <c r="AO290" i="1" s="1"/>
  <c r="AF272" i="1"/>
  <c r="AI292" i="1" s="1" a="1"/>
  <c r="AI292" i="1" s="1"/>
  <c r="AL268" i="1" s="1" a="1"/>
  <c r="AL268" i="1" s="1"/>
  <c r="AO269" i="1" s="1"/>
  <c r="AE267" i="1" a="1"/>
  <c r="AE267" i="1" s="1"/>
  <c r="AN329" i="1" s="1"/>
  <c r="AF271" i="1"/>
  <c r="AF269" i="1" l="1"/>
  <c r="AI283" i="1" s="1" a="1"/>
  <c r="AI283" i="1" s="1"/>
  <c r="AL266" i="1" s="1" a="1"/>
  <c r="AL266" i="1" s="1"/>
  <c r="AO267" i="1" s="1"/>
  <c r="AN331" i="1"/>
  <c r="AF265" i="1"/>
  <c r="AI264" i="1" s="1" a="1"/>
  <c r="AI264" i="1" s="1"/>
  <c r="AL272" i="1" s="1" a="1"/>
  <c r="AL272" i="1" s="1"/>
  <c r="AO273" i="1" s="1"/>
  <c r="AN327" i="1"/>
  <c r="AE270" i="1" a="1"/>
  <c r="AE270" i="1" s="1"/>
  <c r="AF266" i="1"/>
  <c r="AI271" i="1" s="1" a="1"/>
  <c r="AI271" i="1" s="1"/>
  <c r="AL281" i="1" s="1" a="1"/>
  <c r="AL281" i="1" s="1"/>
  <c r="AO282" i="1" s="1"/>
  <c r="AI293" i="1" a="1"/>
  <c r="AI293" i="1" s="1"/>
  <c r="AL290" i="1" s="1" a="1"/>
  <c r="AL290" i="1" s="1"/>
  <c r="AO291" i="1" s="1"/>
  <c r="AI295" i="1" a="1"/>
  <c r="AI295" i="1" s="1"/>
  <c r="AL284" i="1" s="1" a="1"/>
  <c r="AL284" i="1" s="1"/>
  <c r="AO285" i="1" s="1"/>
  <c r="AI294" i="1" a="1"/>
  <c r="AI294" i="1" s="1"/>
  <c r="AL278" i="1" s="1" a="1"/>
  <c r="AL278" i="1" s="1"/>
  <c r="AO279" i="1" s="1"/>
  <c r="AI279" i="1" a="1"/>
  <c r="AI279" i="1" s="1"/>
  <c r="AL264" i="1" s="1" a="1"/>
  <c r="AL264" i="1" s="1"/>
  <c r="AO265" i="1" s="1"/>
  <c r="AI277" i="1" a="1"/>
  <c r="AI277" i="1" s="1"/>
  <c r="AL283" i="1" s="1" a="1"/>
  <c r="AL283" i="1" s="1"/>
  <c r="AO284" i="1" s="1"/>
  <c r="AI278" i="1" a="1"/>
  <c r="AI278" i="1" s="1"/>
  <c r="AL273" i="1" s="1" a="1"/>
  <c r="AL273" i="1" s="1"/>
  <c r="AO274" i="1" s="1"/>
  <c r="AF267" i="1"/>
  <c r="AI272" i="1" s="1" a="1"/>
  <c r="AI272" i="1" s="1"/>
  <c r="AL287" i="1" s="1" a="1"/>
  <c r="AL287" i="1" s="1"/>
  <c r="AO288" i="1" s="1"/>
  <c r="AI291" i="1" a="1"/>
  <c r="AI291" i="1" s="1"/>
  <c r="AL270" i="1" s="1" a="1"/>
  <c r="AL270" i="1" s="1"/>
  <c r="AO271" i="1" s="1"/>
  <c r="AI290" i="1" a="1"/>
  <c r="AI290" i="1" s="1"/>
  <c r="AL285" i="1" s="1" a="1"/>
  <c r="AL285" i="1" s="1"/>
  <c r="AO286" i="1" s="1"/>
  <c r="AI289" i="1" a="1"/>
  <c r="AI289" i="1" s="1"/>
  <c r="AL275" i="1" s="1" a="1"/>
  <c r="AL275" i="1" s="1"/>
  <c r="AO276" i="1" s="1"/>
  <c r="AI288" i="1" a="1"/>
  <c r="AI288" i="1" s="1"/>
  <c r="AL295" i="1" s="1" a="1"/>
  <c r="AL295" i="1" s="1"/>
  <c r="AO296" i="1" s="1"/>
  <c r="AI282" i="1" l="1" a="1"/>
  <c r="AI282" i="1" s="1"/>
  <c r="AL288" i="1" s="1" a="1"/>
  <c r="AL288" i="1" s="1"/>
  <c r="AO289" i="1" s="1"/>
  <c r="AI280" i="1" a="1"/>
  <c r="AI280" i="1" s="1"/>
  <c r="AL271" i="1" s="1" a="1"/>
  <c r="AL271" i="1" s="1"/>
  <c r="AO272" i="1" s="1"/>
  <c r="AI281" i="1" a="1"/>
  <c r="AI281" i="1" s="1"/>
  <c r="AL277" i="1" s="1" a="1"/>
  <c r="AL277" i="1" s="1"/>
  <c r="AO278" i="1" s="1"/>
  <c r="AI267" i="1" a="1"/>
  <c r="AI267" i="1" s="1"/>
  <c r="AL294" i="1" s="1" a="1"/>
  <c r="AL294" i="1" s="1"/>
  <c r="AO295" i="1" s="1"/>
  <c r="AI266" i="1" a="1"/>
  <c r="AI266" i="1" s="1"/>
  <c r="AL286" i="1" s="1" a="1"/>
  <c r="AL286" i="1" s="1"/>
  <c r="AO287" i="1" s="1"/>
  <c r="AI265" i="1" a="1"/>
  <c r="AI265" i="1" s="1"/>
  <c r="AL280" i="1" s="1" a="1"/>
  <c r="AL280" i="1" s="1"/>
  <c r="AO281" i="1" s="1"/>
  <c r="AI270" i="1" a="1"/>
  <c r="AI270" i="1" s="1"/>
  <c r="AL265" i="1" s="1" a="1"/>
  <c r="AL265" i="1" s="1"/>
  <c r="AO266" i="1" s="1"/>
  <c r="AI268" i="1" a="1"/>
  <c r="AI268" i="1" s="1"/>
  <c r="AL276" i="1" s="1" a="1"/>
  <c r="AL276" i="1" s="1"/>
  <c r="AO277" i="1" s="1"/>
  <c r="AI269" i="1" a="1"/>
  <c r="AI269" i="1" s="1"/>
  <c r="AL291" i="1" s="1" a="1"/>
  <c r="AL291" i="1" s="1"/>
  <c r="AO292" i="1" s="1"/>
  <c r="AF270" i="1"/>
  <c r="AN332" i="1"/>
  <c r="AI275" i="1" a="1"/>
  <c r="AI275" i="1" s="1"/>
  <c r="AL269" i="1" s="1" a="1"/>
  <c r="AL269" i="1" s="1"/>
  <c r="AO270" i="1" s="1"/>
  <c r="AI274" i="1" a="1"/>
  <c r="AI274" i="1" s="1"/>
  <c r="AL293" i="1" s="1" a="1"/>
  <c r="AL293" i="1" s="1"/>
  <c r="AO294" i="1" s="1"/>
  <c r="AI273" i="1" a="1"/>
  <c r="AI273" i="1" s="1"/>
  <c r="AL279" i="1" s="1" a="1"/>
  <c r="AL279" i="1" s="1"/>
  <c r="AO280" i="1" s="1"/>
  <c r="AI286" i="1" l="1" a="1"/>
  <c r="AI286" i="1" s="1"/>
  <c r="AL274" i="1" s="1" a="1"/>
  <c r="AL274" i="1" s="1"/>
  <c r="AO275" i="1" s="1"/>
  <c r="AI287" i="1" a="1"/>
  <c r="AI287" i="1" s="1"/>
  <c r="AL282" i="1" s="1" a="1"/>
  <c r="AL282" i="1" s="1"/>
  <c r="AO283" i="1" s="1"/>
  <c r="AI285" i="1" a="1"/>
  <c r="AI285" i="1" s="1"/>
  <c r="AL292" i="1" s="1" a="1"/>
  <c r="AL292" i="1" s="1"/>
  <c r="AO293" i="1" s="1"/>
  <c r="AI284" i="1" a="1"/>
  <c r="AI284" i="1" s="1"/>
  <c r="AL267" i="1" s="1" a="1"/>
  <c r="AL267" i="1" s="1"/>
  <c r="AO26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<sst xmlns="http://schemas.openxmlformats.org/spreadsheetml/2006/main" count="334" uniqueCount="102">
  <si>
    <t>M = 00123456789abcde</t>
  </si>
  <si>
    <t>K = 0133457799bbcdff</t>
  </si>
  <si>
    <t>Bản rõ ban đầu</t>
  </si>
  <si>
    <t>STT</t>
  </si>
  <si>
    <t>M</t>
  </si>
  <si>
    <t>Khóa K</t>
  </si>
  <si>
    <t>K</t>
  </si>
  <si>
    <t>BẢNG IP</t>
  </si>
  <si>
    <t>BẢNG IP-1</t>
  </si>
  <si>
    <t>BẢNG P</t>
  </si>
  <si>
    <t>BẢNG PC-1</t>
  </si>
  <si>
    <t>BẢNG PC-2</t>
  </si>
  <si>
    <t>BẢNG E</t>
  </si>
  <si>
    <t>Hoán vị IP</t>
  </si>
  <si>
    <t>Bảng hoán vị IP</t>
  </si>
  <si>
    <t>PC-1</t>
  </si>
  <si>
    <t>Giá trị khóa vòng 56bit PC-1(K)</t>
  </si>
  <si>
    <t>C0</t>
  </si>
  <si>
    <t>D0</t>
  </si>
  <si>
    <t>C1</t>
  </si>
  <si>
    <t>D1</t>
  </si>
  <si>
    <t>K1</t>
  </si>
  <si>
    <t>C1D1</t>
  </si>
  <si>
    <t>PC-2</t>
  </si>
  <si>
    <t>R0</t>
  </si>
  <si>
    <t>L0</t>
  </si>
  <si>
    <t>BẢNG E(R0)</t>
  </si>
  <si>
    <t>E(R0)</t>
  </si>
  <si>
    <t>Tính K1 vòng 1</t>
  </si>
  <si>
    <t>XOR(E(R0), K1)</t>
  </si>
  <si>
    <t>K2</t>
  </si>
  <si>
    <t>C2D2</t>
  </si>
  <si>
    <t>Tính K3</t>
  </si>
  <si>
    <t>C3D3</t>
  </si>
  <si>
    <t>K3</t>
  </si>
  <si>
    <t>Tính K4</t>
  </si>
  <si>
    <t>C4D4</t>
  </si>
  <si>
    <t>K4</t>
  </si>
  <si>
    <t>Tính K5</t>
  </si>
  <si>
    <t>C5D5</t>
  </si>
  <si>
    <t>K5</t>
  </si>
  <si>
    <t>Tính K6</t>
  </si>
  <si>
    <t>C6D6</t>
  </si>
  <si>
    <t>K6</t>
  </si>
  <si>
    <t>Tính K7</t>
  </si>
  <si>
    <t>C7D7</t>
  </si>
  <si>
    <t>K7</t>
  </si>
  <si>
    <t>Tính K8</t>
  </si>
  <si>
    <t>C8D8</t>
  </si>
  <si>
    <t>K8</t>
  </si>
  <si>
    <t>Tính K9</t>
  </si>
  <si>
    <t>C9D9</t>
  </si>
  <si>
    <t>K9</t>
  </si>
  <si>
    <t>Tính K10</t>
  </si>
  <si>
    <t>C10D10</t>
  </si>
  <si>
    <t>K10</t>
  </si>
  <si>
    <t>Tính K11</t>
  </si>
  <si>
    <t>C11D11</t>
  </si>
  <si>
    <t>K11</t>
  </si>
  <si>
    <t>Tính K12</t>
  </si>
  <si>
    <t>C12D12</t>
  </si>
  <si>
    <t>K12</t>
  </si>
  <si>
    <t>Tính K13</t>
  </si>
  <si>
    <t>C13D13</t>
  </si>
  <si>
    <t>K13</t>
  </si>
  <si>
    <t>Tính K14</t>
  </si>
  <si>
    <t>C14D14</t>
  </si>
  <si>
    <t>K14</t>
  </si>
  <si>
    <t>Tính K15</t>
  </si>
  <si>
    <t>C15D15</t>
  </si>
  <si>
    <t>K15</t>
  </si>
  <si>
    <t>Tính K16</t>
  </si>
  <si>
    <t>C16D16</t>
  </si>
  <si>
    <t>K16</t>
  </si>
  <si>
    <t>Giá trị đầu vào</t>
  </si>
  <si>
    <t>Hàng</t>
  </si>
  <si>
    <t>Cột</t>
  </si>
  <si>
    <t>S-box</t>
  </si>
  <si>
    <t>Output (Dec)</t>
  </si>
  <si>
    <t>Output (Bin)</t>
  </si>
  <si>
    <t>F(R0, K1)</t>
  </si>
  <si>
    <t>F(R0, K1) hoán vị</t>
  </si>
  <si>
    <t>Vòng 1</t>
  </si>
  <si>
    <t>L1 = R0</t>
  </si>
  <si>
    <t>R1 = XOR(L0, f(R0, K1))</t>
  </si>
  <si>
    <t>Tính K2 Vòng 2</t>
  </si>
  <si>
    <t>BẢNG E(R1)</t>
  </si>
  <si>
    <t>E(R1)</t>
  </si>
  <si>
    <t>XOR(E(R1), K2)</t>
  </si>
  <si>
    <t>F(R1, K2)</t>
  </si>
  <si>
    <t>F(R1, K2) hoán vị</t>
  </si>
  <si>
    <t>Vòng 2</t>
  </si>
  <si>
    <t>L2 = R1</t>
  </si>
  <si>
    <t>BẢNG E(R2)</t>
  </si>
  <si>
    <t>E(R2)</t>
  </si>
  <si>
    <t>XOR(E(R2), K3)</t>
  </si>
  <si>
    <t>F(R2, K3)</t>
  </si>
  <si>
    <t>F(R2, K3) hoán vị</t>
  </si>
  <si>
    <t>Vòng 3</t>
  </si>
  <si>
    <t>L3 = R2</t>
  </si>
  <si>
    <t>R2 = XOR(L1, f(R1, K2))</t>
  </si>
  <si>
    <t>R3 = XOR(L2, f(R2, K3))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</si>
</sst>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63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/>
    <xf numFmtId="0" fontId="0" fillId="0" borderId="1" xfId="0" applyBorder="1"/>
    <xf numFmtId="0" fontId="1" fillId="0" borderId="7" xfId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/>
    <xf numFmtId="49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8" xfId="0" applyFont="1" applyBorder="1"/>
    <xf numFmtId="0" fontId="4" fillId="0" borderId="11" xfId="0" applyFont="1" applyBorder="1"/>
    <xf numFmtId="0" fontId="4" fillId="0" borderId="6" xfId="0" applyFont="1" applyBorder="1"/>
    <xf numFmtId="0" fontId="4" fillId="0" borderId="13" xfId="0" applyFont="1" applyBorder="1"/>
    <xf numFmtId="0" fontId="4" fillId="0" borderId="10" xfId="0" applyFont="1" applyBorder="1"/>
    <xf numFmtId="0" fontId="4" fillId="0" borderId="12" xfId="0" applyFont="1" applyBorder="1"/>
    <xf numFmtId="0" fontId="4" fillId="0" borderId="7" xfId="0" applyFont="1" applyBorder="1"/>
    <xf numFmtId="0" fontId="1" fillId="0" borderId="4" xfId="0" applyFont="1" applyBorder="1"/>
    <xf numFmtId="0" fontId="1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" fillId="0" borderId="1" xfId="1" applyBorder="1" applyAlignment="1">
      <alignment horizontal="center" vertical="center"/>
    </xf>
  </cellXfs>
  <cellStyles count="2">
    <cellStyle name="Bình thường 2" xfId="1" xr:uid="{5A8E707E-0ABC-4AE2-BCB8-FDEE6EBCA56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_hoa_DES.xlsx" TargetMode="External"/><Relationship Id="rId1" Type="http://schemas.openxmlformats.org/officeDocument/2006/relationships/externalLinkPath" Target="Ma_hoa_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ính toán"/>
      <sheetName val="S-box"/>
    </sheetNames>
    <sheetDataSet>
      <sheetData sheetId="0"/>
      <sheetData sheetId="1">
        <row r="2">
          <cell r="A2">
            <v>14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31</v>
    <v>1</v>
  </rv>
  <rv s="0">
    <v>0</v>
    <v>8</v>
    <v>31</v>
    <v>6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86B7-801B-4B01-BE77-0A8A373661F0}">
  <dimension ref="A1:AO1117"/>
  <sheetViews>
    <sheetView tabSelected="1" topLeftCell="A3" workbookViewId="0">
      <selection activeCell="AH1" sqref="AH1"/>
    </sheetView>
  </sheetViews>
  <sheetFormatPr defaultRowHeight="15" x14ac:dyDescent="0.25"/>
  <cols>
    <col min="1" max="1" width="15.28515625" customWidth="1"/>
    <col min="2" max="2" width="14.140625" customWidth="1"/>
    <col min="3" max="3" width="11" customWidth="1"/>
    <col min="4" max="4" width="13.42578125" customWidth="1"/>
    <col min="10" max="10" width="13.5703125" customWidth="1"/>
    <col min="11" max="11" width="13.28515625" customWidth="1"/>
    <col min="17" max="17" width="14.85546875" customWidth="1"/>
    <col min="20" max="20" width="11.85546875" customWidth="1"/>
    <col min="24" max="25" width="19.7109375" customWidth="1"/>
    <col min="28" max="28" width="16.28515625" customWidth="1"/>
    <col min="31" max="31" width="15.42578125" customWidth="1"/>
    <col min="32" max="32" width="14.140625" customWidth="1"/>
    <col min="33" max="34" width="24.7109375" customWidth="1"/>
    <col min="40" max="41" width="24.28515625" customWidth="1"/>
  </cols>
  <sheetData>
    <row r="1" spans="1:28" ht="21" x14ac:dyDescent="0.35">
      <c r="A1" s="1" t="s">
        <v>0</v>
      </c>
    </row>
    <row r="2" spans="1:28" ht="21" x14ac:dyDescent="0.35">
      <c r="A2" s="1" t="s">
        <v>1</v>
      </c>
    </row>
    <row r="4" spans="1:28" x14ac:dyDescent="0.25">
      <c r="B4" s="37" t="s">
        <v>2</v>
      </c>
      <c r="C4" s="38"/>
      <c r="E4" s="37" t="s">
        <v>5</v>
      </c>
      <c r="F4" s="38"/>
      <c r="H4" s="39" t="s">
        <v>7</v>
      </c>
      <c r="I4" s="40"/>
      <c r="J4" s="40"/>
      <c r="K4" s="40"/>
      <c r="L4" s="40"/>
      <c r="M4" s="40"/>
      <c r="N4" s="40"/>
      <c r="O4" s="41"/>
      <c r="P4" s="13"/>
      <c r="Q4" s="2" t="s">
        <v>13</v>
      </c>
    </row>
    <row r="5" spans="1:28" x14ac:dyDescent="0.25">
      <c r="B5" s="3" t="s">
        <v>3</v>
      </c>
      <c r="C5" s="3" t="s">
        <v>4</v>
      </c>
      <c r="E5" s="3" t="s">
        <v>3</v>
      </c>
      <c r="F5" s="3" t="s">
        <v>6</v>
      </c>
      <c r="H5" s="14">
        <v>58</v>
      </c>
      <c r="I5" s="15">
        <v>50</v>
      </c>
      <c r="J5" s="15">
        <v>42</v>
      </c>
      <c r="K5" s="15">
        <v>34</v>
      </c>
      <c r="L5" s="15">
        <v>26</v>
      </c>
      <c r="M5" s="15">
        <v>18</v>
      </c>
      <c r="N5" s="15">
        <v>10</v>
      </c>
      <c r="O5" s="15">
        <v>2</v>
      </c>
      <c r="P5" s="13"/>
      <c r="Q5" s="7" cm="1">
        <f t="array" ref="Q5">INDEX($C$6:$C$69, H5)</f>
        <v>1</v>
      </c>
      <c r="R5" s="7" cm="1">
        <f t="array" ref="R5">INDEX($C$6:$C$69, I5)</f>
        <v>0</v>
      </c>
      <c r="S5" s="7" cm="1">
        <f t="array" ref="S5">INDEX($C$6:$C$69, J5)</f>
        <v>0</v>
      </c>
      <c r="T5" s="7" cm="1">
        <f t="array" ref="T5">INDEX($C$6:$C$69, K5)</f>
        <v>1</v>
      </c>
      <c r="U5" s="7" cm="1">
        <f t="array" ref="U5">INDEX($C$6:$C$69, L5)</f>
        <v>1</v>
      </c>
      <c r="V5" s="7" cm="1">
        <f t="array" ref="V5">INDEX($C$6:$C$69, M5)</f>
        <v>0</v>
      </c>
      <c r="W5" s="7" cm="1">
        <f t="array" ref="W5">INDEX($C$6:$C$69, N5)</f>
        <v>0</v>
      </c>
      <c r="X5" s="4" cm="1">
        <f t="array" ref="X5">INDEX($C$6:$C$69, O5)</f>
        <v>0</v>
      </c>
    </row>
    <row r="6" spans="1:28" x14ac:dyDescent="0.25">
      <c r="B6" s="7">
        <v>1</v>
      </c>
      <c r="C6" s="4">
        <v>0</v>
      </c>
      <c r="E6" s="7">
        <v>1</v>
      </c>
      <c r="F6" s="4">
        <v>0</v>
      </c>
      <c r="H6" s="15">
        <v>60</v>
      </c>
      <c r="I6" s="15">
        <v>52</v>
      </c>
      <c r="J6" s="15">
        <v>44</v>
      </c>
      <c r="K6" s="15">
        <v>36</v>
      </c>
      <c r="L6" s="15">
        <v>28</v>
      </c>
      <c r="M6" s="15">
        <v>20</v>
      </c>
      <c r="N6" s="15">
        <v>12</v>
      </c>
      <c r="O6" s="15">
        <v>4</v>
      </c>
      <c r="P6" s="13"/>
      <c r="Q6" s="7" cm="1">
        <f t="array" ref="Q6">INDEX($C$6:$C$69, H6)</f>
        <v>1</v>
      </c>
      <c r="R6" s="7" cm="1">
        <f t="array" ref="R6">INDEX($C$6:$C$69, I6)</f>
        <v>1</v>
      </c>
      <c r="S6" s="7" cm="1">
        <f t="array" ref="S6">INDEX($C$6:$C$69, J6)</f>
        <v>1</v>
      </c>
      <c r="T6" s="7" cm="1">
        <f t="array" ref="T6">INDEX($C$6:$C$69, K6)</f>
        <v>1</v>
      </c>
      <c r="U6" s="7" cm="1">
        <f t="array" ref="U6">INDEX($C$6:$C$69, L6)</f>
        <v>1</v>
      </c>
      <c r="V6" s="7" cm="1">
        <f t="array" ref="V6">INDEX($C$6:$C$69, M6)</f>
        <v>1</v>
      </c>
      <c r="W6" s="7" cm="1">
        <f t="array" ref="W6">INDEX($C$6:$C$69, N6)</f>
        <v>1</v>
      </c>
      <c r="X6" s="4" cm="1">
        <f t="array" ref="X6">INDEX($C$6:$C$69, O6)</f>
        <v>0</v>
      </c>
    </row>
    <row r="7" spans="1:28" x14ac:dyDescent="0.25">
      <c r="B7" s="9">
        <v>2</v>
      </c>
      <c r="C7" s="5">
        <v>0</v>
      </c>
      <c r="E7" s="9">
        <v>2</v>
      </c>
      <c r="F7" s="5">
        <v>0</v>
      </c>
      <c r="H7" s="15">
        <v>62</v>
      </c>
      <c r="I7" s="15">
        <v>54</v>
      </c>
      <c r="J7" s="15">
        <v>46</v>
      </c>
      <c r="K7" s="15">
        <v>38</v>
      </c>
      <c r="L7" s="15">
        <v>30</v>
      </c>
      <c r="M7" s="15">
        <v>22</v>
      </c>
      <c r="N7" s="15">
        <v>14</v>
      </c>
      <c r="O7" s="15">
        <v>6</v>
      </c>
      <c r="P7" s="13"/>
      <c r="Q7" s="7" cm="1">
        <f t="array" ref="Q7">INDEX($C$6:$C$69, H7)</f>
        <v>1</v>
      </c>
      <c r="R7" s="7" cm="1">
        <f t="array" ref="R7">INDEX($C$6:$C$69, I7)</f>
        <v>1</v>
      </c>
      <c r="S7" s="7" cm="1">
        <f t="array" ref="S7">INDEX($C$6:$C$69, J7)</f>
        <v>0</v>
      </c>
      <c r="T7" s="7" cm="1">
        <f t="array" ref="T7">INDEX($C$6:$C$69, K7)</f>
        <v>0</v>
      </c>
      <c r="U7" s="7" cm="1">
        <f t="array" ref="U7">INDEX($C$6:$C$69, L7)</f>
        <v>1</v>
      </c>
      <c r="V7" s="7" cm="1">
        <f t="array" ref="V7">INDEX($C$6:$C$69, M7)</f>
        <v>1</v>
      </c>
      <c r="W7" s="7" cm="1">
        <f t="array" ref="W7">INDEX($C$6:$C$69, N7)</f>
        <v>0</v>
      </c>
      <c r="X7" s="4" cm="1">
        <f t="array" ref="X7">INDEX($C$6:$C$69, O7)</f>
        <v>0</v>
      </c>
    </row>
    <row r="8" spans="1:28" x14ac:dyDescent="0.25">
      <c r="B8" s="9">
        <v>3</v>
      </c>
      <c r="C8" s="5">
        <v>0</v>
      </c>
      <c r="E8" s="9">
        <v>3</v>
      </c>
      <c r="F8" s="5">
        <v>0</v>
      </c>
      <c r="H8" s="15">
        <v>64</v>
      </c>
      <c r="I8" s="15">
        <v>56</v>
      </c>
      <c r="J8" s="15">
        <v>48</v>
      </c>
      <c r="K8" s="15">
        <v>40</v>
      </c>
      <c r="L8" s="15">
        <v>32</v>
      </c>
      <c r="M8" s="15">
        <v>24</v>
      </c>
      <c r="N8" s="15">
        <v>16</v>
      </c>
      <c r="O8" s="15">
        <v>8</v>
      </c>
      <c r="P8" s="13"/>
      <c r="Q8" s="7" cm="1">
        <f t="array" ref="Q8">INDEX($C$6:$C$69, H8)</f>
        <v>0</v>
      </c>
      <c r="R8" s="7" cm="1">
        <f t="array" ref="R8">INDEX($C$6:$C$69, I8)</f>
        <v>0</v>
      </c>
      <c r="S8" s="7" cm="1">
        <f t="array" ref="S8">INDEX($C$6:$C$69, J8)</f>
        <v>0</v>
      </c>
      <c r="T8" s="7" cm="1">
        <f t="array" ref="T8">INDEX($C$6:$C$69, K8)</f>
        <v>0</v>
      </c>
      <c r="U8" s="7" cm="1">
        <f t="array" ref="U8">INDEX($C$6:$C$69, L8)</f>
        <v>0</v>
      </c>
      <c r="V8" s="7" cm="1">
        <f t="array" ref="V8">INDEX($C$6:$C$69, M8)</f>
        <v>0</v>
      </c>
      <c r="W8" s="7" cm="1">
        <f t="array" ref="W8">INDEX($C$6:$C$69, N8)</f>
        <v>0</v>
      </c>
      <c r="X8" s="4" cm="1">
        <f t="array" ref="X8">INDEX($C$6:$C$69, O8)</f>
        <v>0</v>
      </c>
    </row>
    <row r="9" spans="1:28" x14ac:dyDescent="0.25">
      <c r="B9" s="9">
        <v>4</v>
      </c>
      <c r="C9" s="5">
        <v>0</v>
      </c>
      <c r="E9" s="9">
        <v>4</v>
      </c>
      <c r="F9" s="5">
        <v>0</v>
      </c>
      <c r="H9" s="15">
        <v>57</v>
      </c>
      <c r="I9" s="15">
        <v>49</v>
      </c>
      <c r="J9" s="15">
        <v>41</v>
      </c>
      <c r="K9" s="15">
        <v>33</v>
      </c>
      <c r="L9" s="15">
        <v>25</v>
      </c>
      <c r="M9" s="15">
        <v>17</v>
      </c>
      <c r="N9" s="15">
        <v>9</v>
      </c>
      <c r="O9" s="15">
        <v>1</v>
      </c>
      <c r="P9" s="13"/>
      <c r="Q9" s="7" cm="1">
        <f t="array" ref="Q9">INDEX($C$6:$C$69, H9)</f>
        <v>1</v>
      </c>
      <c r="R9" s="7" cm="1">
        <f t="array" ref="R9">INDEX($C$6:$C$69, I9)</f>
        <v>1</v>
      </c>
      <c r="S9" s="7" cm="1">
        <f t="array" ref="S9">INDEX($C$6:$C$69, J9)</f>
        <v>1</v>
      </c>
      <c r="T9" s="7" cm="1">
        <f t="array" ref="T9">INDEX($C$6:$C$69, K9)</f>
        <v>0</v>
      </c>
      <c r="U9" s="7" cm="1">
        <f t="array" ref="U9">INDEX($C$6:$C$69, L9)</f>
        <v>0</v>
      </c>
      <c r="V9" s="7" cm="1">
        <f t="array" ref="V9">INDEX($C$6:$C$69, M9)</f>
        <v>0</v>
      </c>
      <c r="W9" s="7" cm="1">
        <f t="array" ref="W9">INDEX($C$6:$C$69, N9)</f>
        <v>0</v>
      </c>
      <c r="X9" s="4" cm="1">
        <f t="array" ref="X9">INDEX($C$6:$C$69, O9)</f>
        <v>0</v>
      </c>
    </row>
    <row r="10" spans="1:28" x14ac:dyDescent="0.25">
      <c r="B10" s="9">
        <v>5</v>
      </c>
      <c r="C10" s="5">
        <v>0</v>
      </c>
      <c r="E10" s="9">
        <v>5</v>
      </c>
      <c r="F10" s="5">
        <v>0</v>
      </c>
      <c r="H10" s="15">
        <v>59</v>
      </c>
      <c r="I10" s="15">
        <v>51</v>
      </c>
      <c r="J10" s="15">
        <v>43</v>
      </c>
      <c r="K10" s="15">
        <v>35</v>
      </c>
      <c r="L10" s="15">
        <v>27</v>
      </c>
      <c r="M10" s="15">
        <v>19</v>
      </c>
      <c r="N10" s="15">
        <v>11</v>
      </c>
      <c r="O10" s="15">
        <v>3</v>
      </c>
      <c r="P10" s="13"/>
      <c r="Q10" s="7" cm="1">
        <f t="array" ref="Q10">INDEX($C$6:$C$69, H10)</f>
        <v>0</v>
      </c>
      <c r="R10" s="7" cm="1">
        <f t="array" ref="R10">INDEX($C$6:$C$69, I10)</f>
        <v>1</v>
      </c>
      <c r="S10" s="7" cm="1">
        <f t="array" ref="S10">INDEX($C$6:$C$69, J10)</f>
        <v>0</v>
      </c>
      <c r="T10" s="7" cm="1">
        <f t="array" ref="T10">INDEX($C$6:$C$69, K10)</f>
        <v>1</v>
      </c>
      <c r="U10" s="7" cm="1">
        <f t="array" ref="U10">INDEX($C$6:$C$69, L10)</f>
        <v>0</v>
      </c>
      <c r="V10" s="7" cm="1">
        <f t="array" ref="V10">INDEX($C$6:$C$69, M10)</f>
        <v>1</v>
      </c>
      <c r="W10" s="7" cm="1">
        <f t="array" ref="W10">INDEX($C$6:$C$69, N10)</f>
        <v>0</v>
      </c>
      <c r="X10" s="4" cm="1">
        <f t="array" ref="X10">INDEX($C$6:$C$69, O10)</f>
        <v>0</v>
      </c>
    </row>
    <row r="11" spans="1:28" x14ac:dyDescent="0.25">
      <c r="B11" s="9">
        <v>6</v>
      </c>
      <c r="C11" s="5">
        <v>0</v>
      </c>
      <c r="E11" s="9">
        <v>6</v>
      </c>
      <c r="F11" s="5">
        <v>0</v>
      </c>
      <c r="H11" s="15">
        <v>61</v>
      </c>
      <c r="I11" s="15">
        <v>53</v>
      </c>
      <c r="J11" s="15">
        <v>45</v>
      </c>
      <c r="K11" s="15">
        <v>37</v>
      </c>
      <c r="L11" s="15">
        <v>29</v>
      </c>
      <c r="M11" s="15">
        <v>21</v>
      </c>
      <c r="N11" s="15">
        <v>13</v>
      </c>
      <c r="O11" s="15">
        <v>5</v>
      </c>
      <c r="P11" s="13"/>
      <c r="Q11" s="7" cm="1">
        <f t="array" ref="Q11">INDEX($C$6:$C$69, H11)</f>
        <v>1</v>
      </c>
      <c r="R11" s="7" cm="1">
        <f t="array" ref="R11">INDEX($C$6:$C$69, I11)</f>
        <v>1</v>
      </c>
      <c r="S11" s="7" cm="1">
        <f t="array" ref="S11">INDEX($C$6:$C$69, J11)</f>
        <v>1</v>
      </c>
      <c r="T11" s="7" cm="1">
        <f t="array" ref="T11">INDEX($C$6:$C$69, K11)</f>
        <v>1</v>
      </c>
      <c r="U11" s="7" cm="1">
        <f t="array" ref="U11">INDEX($C$6:$C$69, L11)</f>
        <v>0</v>
      </c>
      <c r="V11" s="7" cm="1">
        <f t="array" ref="V11">INDEX($C$6:$C$69, M11)</f>
        <v>0</v>
      </c>
      <c r="W11" s="7" cm="1">
        <f t="array" ref="W11">INDEX($C$6:$C$69, N11)</f>
        <v>0</v>
      </c>
      <c r="X11" s="4" cm="1">
        <f t="array" ref="X11">INDEX($C$6:$C$69, O11)</f>
        <v>0</v>
      </c>
    </row>
    <row r="12" spans="1:28" x14ac:dyDescent="0.25">
      <c r="B12" s="9">
        <v>7</v>
      </c>
      <c r="C12" s="5">
        <v>0</v>
      </c>
      <c r="E12" s="9">
        <v>7</v>
      </c>
      <c r="F12" s="5">
        <v>0</v>
      </c>
      <c r="H12" s="15">
        <v>63</v>
      </c>
      <c r="I12" s="15">
        <v>55</v>
      </c>
      <c r="J12" s="15">
        <v>47</v>
      </c>
      <c r="K12" s="15">
        <v>39</v>
      </c>
      <c r="L12" s="15">
        <v>31</v>
      </c>
      <c r="M12" s="15">
        <v>23</v>
      </c>
      <c r="N12" s="15">
        <v>15</v>
      </c>
      <c r="O12" s="15">
        <v>7</v>
      </c>
      <c r="P12" s="13"/>
      <c r="Q12" s="17" cm="1">
        <f t="array" ref="Q12">INDEX($C$6:$C$69, H12)</f>
        <v>1</v>
      </c>
      <c r="R12" s="17" cm="1">
        <f t="array" ref="R12">INDEX($C$6:$C$69, I12)</f>
        <v>0</v>
      </c>
      <c r="S12" s="17" cm="1">
        <f t="array" ref="S12">INDEX($C$6:$C$69, J12)</f>
        <v>1</v>
      </c>
      <c r="T12" s="17" cm="1">
        <f t="array" ref="T12">INDEX($C$6:$C$69, K12)</f>
        <v>0</v>
      </c>
      <c r="U12" s="17" cm="1">
        <f t="array" ref="U12">INDEX($C$6:$C$69, L12)</f>
        <v>1</v>
      </c>
      <c r="V12" s="17" cm="1">
        <f t="array" ref="V12">INDEX($C$6:$C$69, M12)</f>
        <v>0</v>
      </c>
      <c r="W12" s="17" cm="1">
        <f t="array" ref="W12">INDEX($C$6:$C$69, N12)</f>
        <v>1</v>
      </c>
      <c r="X12" s="2" cm="1">
        <f t="array" ref="X12">INDEX($C$6:$C$69, O12)</f>
        <v>0</v>
      </c>
    </row>
    <row r="13" spans="1:28" x14ac:dyDescent="0.25">
      <c r="B13" s="11">
        <v>8</v>
      </c>
      <c r="C13" s="6">
        <v>0</v>
      </c>
      <c r="E13" s="11">
        <v>8</v>
      </c>
      <c r="F13" s="6">
        <v>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8" x14ac:dyDescent="0.25">
      <c r="B14" s="4">
        <v>9</v>
      </c>
      <c r="C14" s="4">
        <v>0</v>
      </c>
      <c r="E14" s="4">
        <v>9</v>
      </c>
      <c r="F14" s="4">
        <v>0</v>
      </c>
      <c r="H14" s="39" t="s">
        <v>9</v>
      </c>
      <c r="I14" s="40"/>
      <c r="J14" s="40"/>
      <c r="K14" s="40"/>
      <c r="L14" s="40"/>
      <c r="M14" s="40"/>
      <c r="N14" s="40"/>
      <c r="O14" s="41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x14ac:dyDescent="0.25">
      <c r="B15" s="5">
        <v>10</v>
      </c>
      <c r="C15" s="5">
        <v>0</v>
      </c>
      <c r="E15" s="5">
        <v>10</v>
      </c>
      <c r="F15" s="5">
        <v>0</v>
      </c>
      <c r="H15" s="16">
        <v>16</v>
      </c>
      <c r="I15" s="16">
        <v>7</v>
      </c>
      <c r="J15" s="16">
        <v>20</v>
      </c>
      <c r="K15" s="16">
        <v>21</v>
      </c>
      <c r="L15" s="16">
        <v>29</v>
      </c>
      <c r="M15" s="16">
        <v>12</v>
      </c>
      <c r="N15" s="16">
        <v>28</v>
      </c>
      <c r="O15" s="16">
        <v>17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x14ac:dyDescent="0.25">
      <c r="B16" s="5">
        <v>11</v>
      </c>
      <c r="C16" s="5">
        <v>0</v>
      </c>
      <c r="E16" s="5">
        <v>11</v>
      </c>
      <c r="F16" s="5">
        <v>1</v>
      </c>
      <c r="H16" s="16">
        <v>1</v>
      </c>
      <c r="I16" s="16">
        <v>15</v>
      </c>
      <c r="J16" s="16">
        <v>23</v>
      </c>
      <c r="K16" s="16">
        <v>26</v>
      </c>
      <c r="L16" s="16">
        <v>5</v>
      </c>
      <c r="M16" s="16">
        <v>18</v>
      </c>
      <c r="N16" s="16">
        <v>31</v>
      </c>
      <c r="O16" s="16">
        <v>10</v>
      </c>
      <c r="P16" s="13"/>
      <c r="Q16" s="37" t="s">
        <v>14</v>
      </c>
      <c r="R16" s="38"/>
      <c r="S16" s="13"/>
      <c r="T16" s="29" t="s">
        <v>25</v>
      </c>
      <c r="U16" s="28" t="s">
        <v>24</v>
      </c>
      <c r="V16" s="13"/>
      <c r="W16" s="39" t="s">
        <v>26</v>
      </c>
      <c r="X16" s="40"/>
      <c r="Y16" s="40"/>
      <c r="Z16" s="40"/>
      <c r="AA16" s="40"/>
      <c r="AB16" s="41"/>
    </row>
    <row r="17" spans="2:28" x14ac:dyDescent="0.25">
      <c r="B17" s="5">
        <v>12</v>
      </c>
      <c r="C17" s="5">
        <v>1</v>
      </c>
      <c r="E17" s="5">
        <v>12</v>
      </c>
      <c r="F17" s="5">
        <v>1</v>
      </c>
      <c r="H17" s="16">
        <v>2</v>
      </c>
      <c r="I17" s="16">
        <v>8</v>
      </c>
      <c r="J17" s="16">
        <v>24</v>
      </c>
      <c r="K17" s="16">
        <v>14</v>
      </c>
      <c r="L17" s="16">
        <v>32</v>
      </c>
      <c r="M17" s="16">
        <v>27</v>
      </c>
      <c r="N17" s="16">
        <v>3</v>
      </c>
      <c r="O17" s="16">
        <v>9</v>
      </c>
      <c r="P17" s="13"/>
      <c r="Q17" s="7">
        <v>1</v>
      </c>
      <c r="R17" s="4" cm="1">
        <f t="array" ref="R17">INDEX($Q$5:$X$12, INT((ROW(A1)-1)/8)+1, MOD(ROW(A1)-1,8)+1)</f>
        <v>1</v>
      </c>
      <c r="S17" s="13"/>
      <c r="T17" s="4" cm="1">
        <f t="array" ref="T17">INDEX($Q$5:$X$12, INT((ROW(C1)-1)/8)+1, MOD(ROW(C1)-1,8)+1)</f>
        <v>1</v>
      </c>
      <c r="U17" s="4" cm="1">
        <f t="array" ref="U17">INDEX($Q$5:$X$12, INT((ROW(A33)-1)/8)+1, MOD(ROW(A33)-1,8)+1)</f>
        <v>1</v>
      </c>
      <c r="V17" s="13"/>
      <c r="W17" s="15" cm="1">
        <f t="array" ref="W17">INDEX($U$17:$U$48, H51)</f>
        <v>0</v>
      </c>
      <c r="X17" s="15" cm="1">
        <f t="array" ref="X17">INDEX($U$17:$U$48, I51)</f>
        <v>1</v>
      </c>
      <c r="Y17" s="15" cm="1">
        <f t="array" ref="Y17">INDEX($U$17:$U$48, J51)</f>
        <v>1</v>
      </c>
      <c r="Z17" s="15" cm="1">
        <f t="array" ref="Z17">INDEX($U$17:$U$48, K51)</f>
        <v>1</v>
      </c>
      <c r="AA17" s="15" cm="1">
        <f t="array" ref="AA17">INDEX($U$17:$U$48, L51)</f>
        <v>0</v>
      </c>
      <c r="AB17" s="15" cm="1">
        <f t="array" ref="AB17">INDEX($U$17:$U$48, M51)</f>
        <v>0</v>
      </c>
    </row>
    <row r="18" spans="2:28" x14ac:dyDescent="0.25">
      <c r="B18" s="5">
        <v>13</v>
      </c>
      <c r="C18" s="5">
        <v>0</v>
      </c>
      <c r="E18" s="5">
        <v>13</v>
      </c>
      <c r="F18" s="5">
        <v>0</v>
      </c>
      <c r="H18" s="16">
        <v>19</v>
      </c>
      <c r="I18" s="16">
        <v>13</v>
      </c>
      <c r="J18" s="16">
        <v>30</v>
      </c>
      <c r="K18" s="16">
        <v>6</v>
      </c>
      <c r="L18" s="16">
        <v>22</v>
      </c>
      <c r="M18" s="16">
        <v>11</v>
      </c>
      <c r="N18" s="16">
        <v>4</v>
      </c>
      <c r="O18" s="16">
        <v>25</v>
      </c>
      <c r="P18" s="13"/>
      <c r="Q18" s="9">
        <v>2</v>
      </c>
      <c r="R18" s="5" cm="1">
        <f t="array" ref="R18">INDEX($Q$5:$X$12, INT((ROW(A2)-1)/8)+1, MOD(ROW(A2)-1,8)+1)</f>
        <v>0</v>
      </c>
      <c r="S18" s="13"/>
      <c r="T18" s="5" cm="1">
        <f t="array" ref="T18">INDEX($Q$5:$X$12, INT((ROW(C2)-1)/8)+1, MOD(ROW(C2)-1,8)+1)</f>
        <v>0</v>
      </c>
      <c r="U18" s="4" cm="1">
        <f t="array" ref="U18">INDEX($Q$5:$X$12, INT((ROW(A34)-1)/8)+1, MOD(ROW(A34)-1,8)+1)</f>
        <v>1</v>
      </c>
      <c r="V18" s="13"/>
      <c r="W18" s="15" cm="1">
        <f t="array" ref="W18">INDEX($U$17:$U$48, H52)</f>
        <v>0</v>
      </c>
      <c r="X18" s="15" cm="1">
        <f t="array" ref="X18">INDEX($U$17:$U$48, I52)</f>
        <v>0</v>
      </c>
      <c r="Y18" s="15" cm="1">
        <f t="array" ref="Y18">INDEX($U$17:$U$48, J52)</f>
        <v>0</v>
      </c>
      <c r="Z18" s="15" cm="1">
        <f t="array" ref="Z18">INDEX($U$17:$U$48, K52)</f>
        <v>0</v>
      </c>
      <c r="AA18" s="15" cm="1">
        <f t="array" ref="AA18">INDEX($U$17:$U$48, L52)</f>
        <v>0</v>
      </c>
      <c r="AB18" s="15" cm="1">
        <f t="array" ref="AB18">INDEX($U$17:$U$48, M52)</f>
        <v>0</v>
      </c>
    </row>
    <row r="19" spans="2:28" x14ac:dyDescent="0.25">
      <c r="B19" s="5">
        <v>14</v>
      </c>
      <c r="C19" s="5">
        <v>0</v>
      </c>
      <c r="E19" s="5">
        <v>14</v>
      </c>
      <c r="F19" s="5">
        <v>0</v>
      </c>
      <c r="H19" s="13"/>
      <c r="I19" s="13"/>
      <c r="J19" s="13"/>
      <c r="K19" s="13"/>
      <c r="L19" s="13"/>
      <c r="M19" s="13"/>
      <c r="N19" s="13"/>
      <c r="O19" s="13"/>
      <c r="P19" s="13"/>
      <c r="Q19" s="9">
        <v>3</v>
      </c>
      <c r="R19" s="5" cm="1">
        <f t="array" ref="R19">INDEX($Q$5:$X$12, INT((ROW(A3)-1)/8)+1, MOD(ROW(A3)-1,8)+1)</f>
        <v>0</v>
      </c>
      <c r="S19" s="13"/>
      <c r="T19" s="5" cm="1">
        <f t="array" ref="T19">INDEX($Q$5:$X$12, INT((ROW(C3)-1)/8)+1, MOD(ROW(C3)-1,8)+1)</f>
        <v>0</v>
      </c>
      <c r="U19" s="4" cm="1">
        <f t="array" ref="U19">INDEX($Q$5:$X$12, INT((ROW(A35)-1)/8)+1, MOD(ROW(A35)-1,8)+1)</f>
        <v>1</v>
      </c>
      <c r="V19" s="13"/>
      <c r="W19" s="15" cm="1">
        <f t="array" ref="W19">INDEX($U$17:$U$48, H53)</f>
        <v>0</v>
      </c>
      <c r="X19" s="15" cm="1">
        <f t="array" ref="X19">INDEX($U$17:$U$48, I53)</f>
        <v>0</v>
      </c>
      <c r="Y19" s="15" cm="1">
        <f t="array" ref="Y19">INDEX($U$17:$U$48, J53)</f>
        <v>1</v>
      </c>
      <c r="Z19" s="15" cm="1">
        <f t="array" ref="Z19">INDEX($U$17:$U$48, K53)</f>
        <v>0</v>
      </c>
      <c r="AA19" s="15" cm="1">
        <f t="array" ref="AA19">INDEX($U$17:$U$48, L53)</f>
        <v>1</v>
      </c>
      <c r="AB19" s="15" cm="1">
        <f t="array" ref="AB19">INDEX($U$17:$U$48, M53)</f>
        <v>0</v>
      </c>
    </row>
    <row r="20" spans="2:28" x14ac:dyDescent="0.25">
      <c r="B20" s="5">
        <v>15</v>
      </c>
      <c r="C20" s="5">
        <v>1</v>
      </c>
      <c r="E20" s="5">
        <v>15</v>
      </c>
      <c r="F20" s="5">
        <v>1</v>
      </c>
      <c r="H20" s="44" t="s">
        <v>10</v>
      </c>
      <c r="I20" s="44"/>
      <c r="J20" s="44"/>
      <c r="K20" s="44"/>
      <c r="L20" s="44"/>
      <c r="M20" s="44"/>
      <c r="N20" s="44"/>
      <c r="O20" s="13"/>
      <c r="Q20" s="9">
        <v>4</v>
      </c>
      <c r="R20" s="5" cm="1">
        <f t="array" ref="R20">INDEX($Q$5:$X$12, INT((ROW(A4)-1)/8)+1, MOD(ROW(A4)-1,8)+1)</f>
        <v>1</v>
      </c>
      <c r="T20" s="5" cm="1">
        <f t="array" ref="T20">INDEX($Q$5:$X$12, INT((ROW(C4)-1)/8)+1, MOD(ROW(C4)-1,8)+1)</f>
        <v>1</v>
      </c>
      <c r="U20" s="4" cm="1">
        <f t="array" ref="U20">INDEX($Q$5:$X$12, INT((ROW(A36)-1)/8)+1, MOD(ROW(A36)-1,8)+1)</f>
        <v>0</v>
      </c>
      <c r="V20" s="13"/>
      <c r="W20" s="15" cm="1">
        <f t="array" ref="W20">INDEX($U$17:$U$48, H54)</f>
        <v>1</v>
      </c>
      <c r="X20" s="15" cm="1">
        <f t="array" ref="X20">INDEX($U$17:$U$48, I54)</f>
        <v>0</v>
      </c>
      <c r="Y20" s="15" cm="1">
        <f t="array" ref="Y20">INDEX($U$17:$U$48, J54)</f>
        <v>1</v>
      </c>
      <c r="Z20" s="15" cm="1">
        <f t="array" ref="Z20">INDEX($U$17:$U$48, K54)</f>
        <v>0</v>
      </c>
      <c r="AA20" s="15" cm="1">
        <f t="array" ref="AA20">INDEX($U$17:$U$48, L54)</f>
        <v>0</v>
      </c>
      <c r="AB20" s="15" cm="1">
        <f t="array" ref="AB20">INDEX($U$17:$U$48, M54)</f>
        <v>1</v>
      </c>
    </row>
    <row r="21" spans="2:28" x14ac:dyDescent="0.25">
      <c r="B21" s="6">
        <v>16</v>
      </c>
      <c r="C21" s="6">
        <v>0</v>
      </c>
      <c r="E21" s="6">
        <v>16</v>
      </c>
      <c r="F21" s="6">
        <v>1</v>
      </c>
      <c r="H21" s="16">
        <v>57</v>
      </c>
      <c r="I21" s="16">
        <v>49</v>
      </c>
      <c r="J21" s="16">
        <v>41</v>
      </c>
      <c r="K21" s="16">
        <v>33</v>
      </c>
      <c r="L21" s="16">
        <v>25</v>
      </c>
      <c r="M21" s="16">
        <v>17</v>
      </c>
      <c r="N21" s="16">
        <v>9</v>
      </c>
      <c r="O21" s="13"/>
      <c r="Q21" s="9">
        <v>5</v>
      </c>
      <c r="R21" s="5" cm="1">
        <f t="array" ref="R21">INDEX($Q$5:$X$12, INT((ROW(A5)-1)/8)+1, MOD(ROW(A5)-1,8)+1)</f>
        <v>1</v>
      </c>
      <c r="T21" s="5" cm="1">
        <f t="array" ref="T21">INDEX($Q$5:$X$12, INT((ROW(C5)-1)/8)+1, MOD(ROW(C5)-1,8)+1)</f>
        <v>1</v>
      </c>
      <c r="U21" s="4" cm="1">
        <f t="array" ref="U21">INDEX($Q$5:$X$12, INT((ROW(A37)-1)/8)+1, MOD(ROW(A37)-1,8)+1)</f>
        <v>0</v>
      </c>
      <c r="V21" s="13"/>
      <c r="W21" s="15" cm="1">
        <f t="array" ref="W21">INDEX($U$17:$U$48, H55)</f>
        <v>0</v>
      </c>
      <c r="X21" s="15" cm="1">
        <f t="array" ref="X21">INDEX($U$17:$U$48, I55)</f>
        <v>1</v>
      </c>
      <c r="Y21" s="15" cm="1">
        <f t="array" ref="Y21">INDEX($U$17:$U$48, J55)</f>
        <v>1</v>
      </c>
      <c r="Z21" s="15" cm="1">
        <f t="array" ref="Z21">INDEX($U$17:$U$48, K55)</f>
        <v>1</v>
      </c>
      <c r="AA21" s="15" cm="1">
        <f t="array" ref="AA21">INDEX($U$17:$U$48, L55)</f>
        <v>1</v>
      </c>
      <c r="AB21" s="15" cm="1">
        <f t="array" ref="AB21">INDEX($U$17:$U$48, M55)</f>
        <v>0</v>
      </c>
    </row>
    <row r="22" spans="2:28" x14ac:dyDescent="0.25">
      <c r="B22" s="4">
        <v>17</v>
      </c>
      <c r="C22" s="4">
        <v>0</v>
      </c>
      <c r="E22" s="4">
        <v>17</v>
      </c>
      <c r="F22" s="4">
        <v>0</v>
      </c>
      <c r="H22" s="16">
        <v>1</v>
      </c>
      <c r="I22" s="16">
        <v>58</v>
      </c>
      <c r="J22" s="16">
        <v>50</v>
      </c>
      <c r="K22" s="16">
        <v>42</v>
      </c>
      <c r="L22" s="16">
        <v>34</v>
      </c>
      <c r="M22" s="16">
        <v>26</v>
      </c>
      <c r="N22" s="16">
        <v>18</v>
      </c>
      <c r="O22" s="13"/>
      <c r="Q22" s="9">
        <v>6</v>
      </c>
      <c r="R22" s="5" cm="1">
        <f t="array" ref="R22">INDEX($Q$5:$X$12, INT((ROW(A6)-1)/8)+1, MOD(ROW(A6)-1,8)+1)</f>
        <v>0</v>
      </c>
      <c r="T22" s="5" cm="1">
        <f t="array" ref="T22">INDEX($Q$5:$X$12, INT((ROW(C6)-1)/8)+1, MOD(ROW(C6)-1,8)+1)</f>
        <v>0</v>
      </c>
      <c r="U22" s="4" cm="1">
        <f t="array" ref="U22">INDEX($Q$5:$X$12, INT((ROW(A38)-1)/8)+1, MOD(ROW(A38)-1,8)+1)</f>
        <v>0</v>
      </c>
      <c r="V22" s="13"/>
      <c r="W22" s="15" cm="1">
        <f t="array" ref="W22">INDEX($U$17:$U$48, H56)</f>
        <v>1</v>
      </c>
      <c r="X22" s="15" cm="1">
        <f t="array" ref="X22">INDEX($U$17:$U$48, I56)</f>
        <v>0</v>
      </c>
      <c r="Y22" s="15" cm="1">
        <f t="array" ref="Y22">INDEX($U$17:$U$48, J56)</f>
        <v>0</v>
      </c>
      <c r="Z22" s="15" cm="1">
        <f t="array" ref="Z22">INDEX($U$17:$U$48, K56)</f>
        <v>0</v>
      </c>
      <c r="AA22" s="15" cm="1">
        <f t="array" ref="AA22">INDEX($U$17:$U$48, L56)</f>
        <v>0</v>
      </c>
      <c r="AB22" s="15" cm="1">
        <f t="array" ref="AB22">INDEX($U$17:$U$48, M56)</f>
        <v>1</v>
      </c>
    </row>
    <row r="23" spans="2:28" x14ac:dyDescent="0.25">
      <c r="B23" s="5">
        <v>18</v>
      </c>
      <c r="C23" s="5">
        <v>0</v>
      </c>
      <c r="E23" s="5">
        <v>18</v>
      </c>
      <c r="F23" s="5">
        <v>1</v>
      </c>
      <c r="H23" s="16">
        <v>10</v>
      </c>
      <c r="I23" s="16">
        <v>2</v>
      </c>
      <c r="J23" s="16">
        <v>59</v>
      </c>
      <c r="K23" s="16">
        <v>51</v>
      </c>
      <c r="L23" s="16">
        <v>43</v>
      </c>
      <c r="M23" s="16">
        <v>35</v>
      </c>
      <c r="N23" s="16">
        <v>27</v>
      </c>
      <c r="O23" s="13"/>
      <c r="Q23" s="9">
        <v>7</v>
      </c>
      <c r="R23" s="5" cm="1">
        <f t="array" ref="R23">INDEX($Q$5:$X$12, INT((ROW(A7)-1)/8)+1, MOD(ROW(A7)-1,8)+1)</f>
        <v>0</v>
      </c>
      <c r="T23" s="5" cm="1">
        <f t="array" ref="T23">INDEX($Q$5:$X$12, INT((ROW(C7)-1)/8)+1, MOD(ROW(C7)-1,8)+1)</f>
        <v>0</v>
      </c>
      <c r="U23" s="4" cm="1">
        <f t="array" ref="U23">INDEX($Q$5:$X$12, INT((ROW(A39)-1)/8)+1, MOD(ROW(A39)-1,8)+1)</f>
        <v>0</v>
      </c>
      <c r="V23" s="13"/>
      <c r="W23" s="15" cm="1">
        <f t="array" ref="W23">INDEX($U$17:$U$48, H57)</f>
        <v>0</v>
      </c>
      <c r="X23" s="15" cm="1">
        <f t="array" ref="X23">INDEX($U$17:$U$48, I57)</f>
        <v>1</v>
      </c>
      <c r="Y23" s="15" cm="1">
        <f t="array" ref="Y23">INDEX($U$17:$U$48, J57)</f>
        <v>0</v>
      </c>
      <c r="Z23" s="15" cm="1">
        <f t="array" ref="Z23">INDEX($U$17:$U$48, K57)</f>
        <v>1</v>
      </c>
      <c r="AA23" s="15" cm="1">
        <f t="array" ref="AA23">INDEX($U$17:$U$48, L57)</f>
        <v>0</v>
      </c>
      <c r="AB23" s="15" cm="1">
        <f t="array" ref="AB23">INDEX($U$17:$U$48, M57)</f>
        <v>1</v>
      </c>
    </row>
    <row r="24" spans="2:28" x14ac:dyDescent="0.25">
      <c r="B24" s="5">
        <v>19</v>
      </c>
      <c r="C24" s="5">
        <v>1</v>
      </c>
      <c r="E24" s="5">
        <v>19</v>
      </c>
      <c r="F24" s="5">
        <v>0</v>
      </c>
      <c r="H24" s="16">
        <v>19</v>
      </c>
      <c r="I24" s="16">
        <v>11</v>
      </c>
      <c r="J24" s="16">
        <v>3</v>
      </c>
      <c r="K24" s="16">
        <v>60</v>
      </c>
      <c r="L24" s="16">
        <v>52</v>
      </c>
      <c r="M24" s="16">
        <v>44</v>
      </c>
      <c r="N24" s="16">
        <v>36</v>
      </c>
      <c r="O24" s="13"/>
      <c r="Q24" s="11">
        <v>8</v>
      </c>
      <c r="R24" s="6" cm="1">
        <f t="array" ref="R24">INDEX($Q$5:$X$12, INT((ROW(A8)-1)/8)+1, MOD(ROW(A8)-1,8)+1)</f>
        <v>0</v>
      </c>
      <c r="T24" s="6" cm="1">
        <f t="array" ref="T24">INDEX($Q$5:$X$12, INT((ROW(C8)-1)/8)+1, MOD(ROW(C8)-1,8)+1)</f>
        <v>0</v>
      </c>
      <c r="U24" s="4" cm="1">
        <f t="array" ref="U24">INDEX($Q$5:$X$12, INT((ROW(A40)-1)/8)+1, MOD(ROW(A40)-1,8)+1)</f>
        <v>0</v>
      </c>
      <c r="V24" s="13"/>
      <c r="W24" s="15" cm="1">
        <f t="array" ref="W24">INDEX($U$17:$U$48, H58)</f>
        <v>0</v>
      </c>
      <c r="X24" s="15" cm="1">
        <f t="array" ref="X24">INDEX($U$17:$U$48, I58)</f>
        <v>1</v>
      </c>
      <c r="Y24" s="15" cm="1">
        <f t="array" ref="Y24">INDEX($U$17:$U$48, J58)</f>
        <v>0</v>
      </c>
      <c r="Z24" s="15" cm="1">
        <f t="array" ref="Z24">INDEX($U$17:$U$48, K58)</f>
        <v>1</v>
      </c>
      <c r="AA24" s="15" cm="1">
        <f t="array" ref="AA24">INDEX($U$17:$U$48, L58)</f>
        <v>0</v>
      </c>
      <c r="AB24" s="15" cm="1">
        <f t="array" ref="AB24">INDEX($U$17:$U$48, M58)</f>
        <v>1</v>
      </c>
    </row>
    <row r="25" spans="2:28" x14ac:dyDescent="0.25">
      <c r="B25" s="5">
        <v>20</v>
      </c>
      <c r="C25" s="5">
        <v>1</v>
      </c>
      <c r="E25" s="5">
        <v>20</v>
      </c>
      <c r="F25" s="5">
        <v>0</v>
      </c>
      <c r="H25" s="16">
        <v>63</v>
      </c>
      <c r="I25" s="16">
        <v>55</v>
      </c>
      <c r="J25" s="16">
        <v>47</v>
      </c>
      <c r="K25" s="16">
        <v>39</v>
      </c>
      <c r="L25" s="16">
        <v>31</v>
      </c>
      <c r="M25" s="16">
        <v>23</v>
      </c>
      <c r="N25" s="16">
        <v>15</v>
      </c>
      <c r="O25" s="13"/>
      <c r="Q25" s="7">
        <v>9</v>
      </c>
      <c r="R25" s="4" cm="1">
        <f t="array" ref="R25">INDEX($Q$5:$X$12, INT((ROW(A9)-1)/8)+1, MOD(ROW(A9)-1,8)+1)</f>
        <v>1</v>
      </c>
      <c r="T25" s="4" cm="1">
        <f t="array" ref="T25">INDEX($Q$5:$X$12, INT((ROW(C9)-1)/8)+1, MOD(ROW(C9)-1,8)+1)</f>
        <v>1</v>
      </c>
      <c r="U25" s="4" cm="1">
        <f t="array" ref="U25">INDEX($Q$5:$X$12, INT((ROW(A41)-1)/8)+1, MOD(ROW(A41)-1,8)+1)</f>
        <v>0</v>
      </c>
      <c r="V25" s="13"/>
    </row>
    <row r="26" spans="2:28" x14ac:dyDescent="0.25">
      <c r="B26" s="5">
        <v>21</v>
      </c>
      <c r="C26" s="5">
        <v>0</v>
      </c>
      <c r="E26" s="5">
        <v>21</v>
      </c>
      <c r="F26" s="5">
        <v>0</v>
      </c>
      <c r="H26" s="16">
        <v>7</v>
      </c>
      <c r="I26" s="16">
        <v>62</v>
      </c>
      <c r="J26" s="16">
        <v>54</v>
      </c>
      <c r="K26" s="16">
        <v>46</v>
      </c>
      <c r="L26" s="16">
        <v>38</v>
      </c>
      <c r="M26" s="16">
        <v>30</v>
      </c>
      <c r="N26" s="16">
        <v>22</v>
      </c>
      <c r="O26" s="13"/>
      <c r="Q26" s="9">
        <v>10</v>
      </c>
      <c r="R26" s="5" cm="1">
        <f t="array" ref="R26">INDEX($Q$5:$X$12, INT((ROW(A10)-1)/8)+1, MOD(ROW(A10)-1,8)+1)</f>
        <v>1</v>
      </c>
      <c r="T26" s="5" cm="1">
        <f t="array" ref="T26">INDEX($Q$5:$X$12, INT((ROW(C10)-1)/8)+1, MOD(ROW(C10)-1,8)+1)</f>
        <v>1</v>
      </c>
      <c r="U26" s="4" cm="1">
        <f t="array" ref="U26">INDEX($Q$5:$X$12, INT((ROW(A42)-1)/8)+1, MOD(ROW(A42)-1,8)+1)</f>
        <v>1</v>
      </c>
      <c r="V26" s="13"/>
      <c r="W26" s="37" t="s">
        <v>27</v>
      </c>
      <c r="X26" s="43"/>
    </row>
    <row r="27" spans="2:28" x14ac:dyDescent="0.25">
      <c r="B27" s="5">
        <v>22</v>
      </c>
      <c r="C27" s="5">
        <v>1</v>
      </c>
      <c r="E27" s="5">
        <v>22</v>
      </c>
      <c r="F27" s="5">
        <v>1</v>
      </c>
      <c r="H27" s="16">
        <v>14</v>
      </c>
      <c r="I27" s="16">
        <v>6</v>
      </c>
      <c r="J27" s="16">
        <v>61</v>
      </c>
      <c r="K27" s="16">
        <v>53</v>
      </c>
      <c r="L27" s="16">
        <v>45</v>
      </c>
      <c r="M27" s="16">
        <v>37</v>
      </c>
      <c r="N27" s="16">
        <v>29</v>
      </c>
      <c r="O27" s="13"/>
      <c r="Q27" s="9">
        <v>11</v>
      </c>
      <c r="R27" s="5" cm="1">
        <f t="array" ref="R27">INDEX($Q$5:$X$12, INT((ROW(A11)-1)/8)+1, MOD(ROW(A11)-1,8)+1)</f>
        <v>1</v>
      </c>
      <c r="T27" s="5" cm="1">
        <f t="array" ref="T27">INDEX($Q$5:$X$12, INT((ROW(C11)-1)/8)+1, MOD(ROW(C11)-1,8)+1)</f>
        <v>1</v>
      </c>
      <c r="U27" s="4" cm="1">
        <f t="array" ref="U27">INDEX($Q$5:$X$12, INT((ROW(A43)-1)/8)+1, MOD(ROW(A43)-1,8)+1)</f>
        <v>0</v>
      </c>
      <c r="V27" s="13"/>
      <c r="W27" s="7">
        <v>1</v>
      </c>
      <c r="X27" s="4" cm="1">
        <f t="array" ref="X27">INDEX($W$17:$AB$24, INT((ROW(A1)-1)/6)+1, MOD(ROW(A1)-1,6)+1)</f>
        <v>0</v>
      </c>
    </row>
    <row r="28" spans="2:28" x14ac:dyDescent="0.25">
      <c r="B28" s="5">
        <v>23</v>
      </c>
      <c r="C28" s="5">
        <v>0</v>
      </c>
      <c r="E28" s="5">
        <v>23</v>
      </c>
      <c r="F28" s="5">
        <v>0</v>
      </c>
      <c r="H28" s="16">
        <v>21</v>
      </c>
      <c r="I28" s="16">
        <v>13</v>
      </c>
      <c r="J28" s="16">
        <v>5</v>
      </c>
      <c r="K28" s="16">
        <v>28</v>
      </c>
      <c r="L28" s="16">
        <v>20</v>
      </c>
      <c r="M28" s="16">
        <v>12</v>
      </c>
      <c r="N28" s="16">
        <v>4</v>
      </c>
      <c r="O28" s="13"/>
      <c r="Q28" s="9">
        <v>12</v>
      </c>
      <c r="R28" s="5" cm="1">
        <f t="array" ref="R28">INDEX($Q$5:$X$12, INT((ROW(A12)-1)/8)+1, MOD(ROW(A12)-1,8)+1)</f>
        <v>1</v>
      </c>
      <c r="T28" s="5" cm="1">
        <f t="array" ref="T28">INDEX($Q$5:$X$12, INT((ROW(C12)-1)/8)+1, MOD(ROW(C12)-1,8)+1)</f>
        <v>1</v>
      </c>
      <c r="U28" s="4" cm="1">
        <f t="array" ref="U28">INDEX($Q$5:$X$12, INT((ROW(A44)-1)/8)+1, MOD(ROW(A44)-1,8)+1)</f>
        <v>1</v>
      </c>
      <c r="V28" s="13"/>
      <c r="W28" s="9">
        <v>2</v>
      </c>
      <c r="X28" s="5" cm="1">
        <f t="array" ref="X28">INDEX($W$17:$AB$24, INT((ROW(A2)-1)/6)+1, MOD(ROW(A2)-1,6)+1)</f>
        <v>1</v>
      </c>
    </row>
    <row r="29" spans="2:28" x14ac:dyDescent="0.25">
      <c r="B29" s="6">
        <v>24</v>
      </c>
      <c r="C29" s="6">
        <v>0</v>
      </c>
      <c r="E29" s="6">
        <v>24</v>
      </c>
      <c r="F29" s="6">
        <v>1</v>
      </c>
      <c r="Q29" s="9">
        <v>13</v>
      </c>
      <c r="R29" s="5" cm="1">
        <f t="array" ref="R29">INDEX($Q$5:$X$12, INT((ROW(A13)-1)/8)+1, MOD(ROW(A13)-1,8)+1)</f>
        <v>1</v>
      </c>
      <c r="T29" s="5" cm="1">
        <f t="array" ref="T29">INDEX($Q$5:$X$12, INT((ROW(C13)-1)/8)+1, MOD(ROW(C13)-1,8)+1)</f>
        <v>1</v>
      </c>
      <c r="U29" s="4" cm="1">
        <f t="array" ref="U29">INDEX($Q$5:$X$12, INT((ROW(A45)-1)/8)+1, MOD(ROW(A45)-1,8)+1)</f>
        <v>0</v>
      </c>
      <c r="W29" s="9">
        <v>3</v>
      </c>
      <c r="X29" s="5" cm="1">
        <f t="array" ref="X29">INDEX($W$17:$AB$24, INT((ROW(A3)-1)/6)+1, MOD(ROW(A3)-1,6)+1)</f>
        <v>1</v>
      </c>
    </row>
    <row r="30" spans="2:28" x14ac:dyDescent="0.25">
      <c r="B30" s="4">
        <v>25</v>
      </c>
      <c r="C30" s="4">
        <v>0</v>
      </c>
      <c r="E30" s="4">
        <v>25</v>
      </c>
      <c r="F30" s="4">
        <v>0</v>
      </c>
      <c r="H30" s="39" t="s">
        <v>8</v>
      </c>
      <c r="I30" s="40"/>
      <c r="J30" s="40"/>
      <c r="K30" s="40"/>
      <c r="L30" s="40"/>
      <c r="M30" s="40"/>
      <c r="N30" s="40"/>
      <c r="O30" s="41"/>
      <c r="Q30" s="9">
        <v>14</v>
      </c>
      <c r="R30" s="5" cm="1">
        <f t="array" ref="R30">INDEX($Q$5:$X$12, INT((ROW(A14)-1)/8)+1, MOD(ROW(A14)-1,8)+1)</f>
        <v>1</v>
      </c>
      <c r="T30" s="5" cm="1">
        <f t="array" ref="T30">INDEX($Q$5:$X$12, INT((ROW(C14)-1)/8)+1, MOD(ROW(C14)-1,8)+1)</f>
        <v>1</v>
      </c>
      <c r="U30" s="4" cm="1">
        <f t="array" ref="U30">INDEX($Q$5:$X$12, INT((ROW(A46)-1)/8)+1, MOD(ROW(A46)-1,8)+1)</f>
        <v>1</v>
      </c>
      <c r="W30" s="9">
        <v>4</v>
      </c>
      <c r="X30" s="5" cm="1">
        <f t="array" ref="X30">INDEX($W$17:$AB$24, INT((ROW(A4)-1)/6)+1, MOD(ROW(A4)-1,6)+1)</f>
        <v>1</v>
      </c>
    </row>
    <row r="31" spans="2:28" x14ac:dyDescent="0.25">
      <c r="B31" s="5">
        <v>26</v>
      </c>
      <c r="C31" s="5">
        <v>1</v>
      </c>
      <c r="E31" s="5">
        <v>26</v>
      </c>
      <c r="F31" s="5">
        <v>1</v>
      </c>
      <c r="H31" s="14">
        <v>40</v>
      </c>
      <c r="I31" s="15">
        <v>8</v>
      </c>
      <c r="J31" s="15">
        <v>48</v>
      </c>
      <c r="K31" s="15">
        <v>16</v>
      </c>
      <c r="L31" s="15">
        <v>56</v>
      </c>
      <c r="M31" s="15">
        <v>24</v>
      </c>
      <c r="N31" s="15">
        <v>64</v>
      </c>
      <c r="O31" s="15">
        <v>32</v>
      </c>
      <c r="Q31" s="9">
        <v>15</v>
      </c>
      <c r="R31" s="5" cm="1">
        <f t="array" ref="R31">INDEX($Q$5:$X$12, INT((ROW(A15)-1)/8)+1, MOD(ROW(A15)-1,8)+1)</f>
        <v>1</v>
      </c>
      <c r="T31" s="5" cm="1">
        <f t="array" ref="T31">INDEX($Q$5:$X$12, INT((ROW(C15)-1)/8)+1, MOD(ROW(C15)-1,8)+1)</f>
        <v>1</v>
      </c>
      <c r="U31" s="4" cm="1">
        <f t="array" ref="U31">INDEX($Q$5:$X$12, INT((ROW(A47)-1)/8)+1, MOD(ROW(A47)-1,8)+1)</f>
        <v>0</v>
      </c>
      <c r="W31" s="9">
        <v>5</v>
      </c>
      <c r="X31" s="5" cm="1">
        <f t="array" ref="X31">INDEX($W$17:$AB$24, INT((ROW(A5)-1)/6)+1, MOD(ROW(A5)-1,6)+1)</f>
        <v>0</v>
      </c>
    </row>
    <row r="32" spans="2:28" x14ac:dyDescent="0.25">
      <c r="B32" s="5">
        <v>27</v>
      </c>
      <c r="C32" s="5">
        <v>0</v>
      </c>
      <c r="E32" s="5">
        <v>27</v>
      </c>
      <c r="F32" s="5">
        <v>1</v>
      </c>
      <c r="H32" s="15">
        <v>39</v>
      </c>
      <c r="I32" s="15">
        <v>7</v>
      </c>
      <c r="J32" s="15">
        <v>47</v>
      </c>
      <c r="K32" s="15">
        <v>15</v>
      </c>
      <c r="L32" s="15">
        <v>55</v>
      </c>
      <c r="M32" s="15">
        <v>23</v>
      </c>
      <c r="N32" s="15">
        <v>63</v>
      </c>
      <c r="O32" s="15">
        <v>31</v>
      </c>
      <c r="Q32" s="11">
        <v>16</v>
      </c>
      <c r="R32" s="6" cm="1">
        <f t="array" ref="R32">INDEX($Q$5:$X$12, INT((ROW(A16)-1)/8)+1, MOD(ROW(A16)-1,8)+1)</f>
        <v>0</v>
      </c>
      <c r="T32" s="6" cm="1">
        <f t="array" ref="T32">INDEX($Q$5:$X$12, INT((ROW(C16)-1)/8)+1, MOD(ROW(C16)-1,8)+1)</f>
        <v>0</v>
      </c>
      <c r="U32" s="4" cm="1">
        <f t="array" ref="U32">INDEX($Q$5:$X$12, INT((ROW(A48)-1)/8)+1, MOD(ROW(A48)-1,8)+1)</f>
        <v>0</v>
      </c>
      <c r="W32" s="9">
        <v>6</v>
      </c>
      <c r="X32" s="5" cm="1">
        <f t="array" ref="X32">INDEX($W$17:$AB$24, INT((ROW(A6)-1)/6)+1, MOD(ROW(A6)-1,6)+1)</f>
        <v>0</v>
      </c>
    </row>
    <row r="33" spans="2:24" x14ac:dyDescent="0.25">
      <c r="B33" s="5">
        <v>28</v>
      </c>
      <c r="C33" s="5">
        <v>1</v>
      </c>
      <c r="E33" s="5">
        <v>28</v>
      </c>
      <c r="F33" s="5">
        <v>1</v>
      </c>
      <c r="H33" s="15">
        <v>38</v>
      </c>
      <c r="I33" s="15">
        <v>6</v>
      </c>
      <c r="J33" s="15">
        <v>46</v>
      </c>
      <c r="K33" s="15">
        <v>14</v>
      </c>
      <c r="L33" s="15">
        <v>54</v>
      </c>
      <c r="M33" s="15">
        <v>22</v>
      </c>
      <c r="N33" s="15">
        <v>62</v>
      </c>
      <c r="O33" s="15">
        <v>30</v>
      </c>
      <c r="Q33" s="7">
        <v>17</v>
      </c>
      <c r="R33" s="4" cm="1">
        <f t="array" ref="R33">INDEX($Q$5:$X$12, INT((ROW(A17)-1)/8)+1, MOD(ROW(A17)-1,8)+1)</f>
        <v>1</v>
      </c>
      <c r="T33" s="4" cm="1">
        <f t="array" ref="T33">INDEX($Q$5:$X$12, INT((ROW(C17)-1)/8)+1, MOD(ROW(C17)-1,8)+1)</f>
        <v>1</v>
      </c>
      <c r="U33" s="4" cm="1">
        <f t="array" ref="U33">INDEX($Q$5:$X$12, INT((ROW(A49)-1)/8)+1, MOD(ROW(A49)-1,8)+1)</f>
        <v>1</v>
      </c>
      <c r="W33" s="9">
        <v>7</v>
      </c>
      <c r="X33" s="5" cm="1">
        <f t="array" ref="X33">INDEX($W$17:$AB$24, INT((ROW(A7)-1)/6)+1, MOD(ROW(A7)-1,6)+1)</f>
        <v>0</v>
      </c>
    </row>
    <row r="34" spans="2:24" x14ac:dyDescent="0.25">
      <c r="B34" s="5">
        <v>29</v>
      </c>
      <c r="C34" s="5">
        <v>0</v>
      </c>
      <c r="E34" s="5">
        <v>29</v>
      </c>
      <c r="F34" s="5">
        <v>0</v>
      </c>
      <c r="H34" s="15">
        <v>37</v>
      </c>
      <c r="I34" s="15">
        <v>5</v>
      </c>
      <c r="J34" s="15">
        <v>45</v>
      </c>
      <c r="K34" s="15">
        <v>13</v>
      </c>
      <c r="L34" s="15">
        <v>53</v>
      </c>
      <c r="M34" s="15">
        <v>21</v>
      </c>
      <c r="N34" s="15">
        <v>61</v>
      </c>
      <c r="O34" s="15">
        <v>29</v>
      </c>
      <c r="Q34" s="9">
        <v>18</v>
      </c>
      <c r="R34" s="5" cm="1">
        <f t="array" ref="R34">INDEX($Q$5:$X$12, INT((ROW(A18)-1)/8)+1, MOD(ROW(A18)-1,8)+1)</f>
        <v>1</v>
      </c>
      <c r="T34" s="5" cm="1">
        <f t="array" ref="T34">INDEX($Q$5:$X$12, INT((ROW(C18)-1)/8)+1, MOD(ROW(C18)-1,8)+1)</f>
        <v>1</v>
      </c>
      <c r="U34" s="4" cm="1">
        <f t="array" ref="U34">INDEX($Q$5:$X$12, INT((ROW(A50)-1)/8)+1, MOD(ROW(A50)-1,8)+1)</f>
        <v>1</v>
      </c>
      <c r="W34" s="11">
        <v>8</v>
      </c>
      <c r="X34" s="5" cm="1">
        <f t="array" ref="X34">INDEX($W$17:$AB$24, INT((ROW(A8)-1)/6)+1, MOD(ROW(A8)-1,6)+1)</f>
        <v>0</v>
      </c>
    </row>
    <row r="35" spans="2:24" x14ac:dyDescent="0.25">
      <c r="B35" s="5">
        <v>30</v>
      </c>
      <c r="C35" s="5">
        <v>1</v>
      </c>
      <c r="E35" s="5">
        <v>30</v>
      </c>
      <c r="F35" s="5">
        <v>1</v>
      </c>
      <c r="H35" s="15">
        <v>36</v>
      </c>
      <c r="I35" s="15">
        <v>4</v>
      </c>
      <c r="J35" s="15">
        <v>44</v>
      </c>
      <c r="K35" s="15">
        <v>12</v>
      </c>
      <c r="L35" s="15">
        <v>52</v>
      </c>
      <c r="M35" s="15">
        <v>20</v>
      </c>
      <c r="N35" s="15">
        <v>60</v>
      </c>
      <c r="O35" s="15">
        <v>28</v>
      </c>
      <c r="Q35" s="9">
        <v>19</v>
      </c>
      <c r="R35" s="5" cm="1">
        <f t="array" ref="R35">INDEX($Q$5:$X$12, INT((ROW(A19)-1)/8)+1, MOD(ROW(A19)-1,8)+1)</f>
        <v>0</v>
      </c>
      <c r="T35" s="5" cm="1">
        <f t="array" ref="T35">INDEX($Q$5:$X$12, INT((ROW(C19)-1)/8)+1, MOD(ROW(C19)-1,8)+1)</f>
        <v>0</v>
      </c>
      <c r="U35" s="4" cm="1">
        <f t="array" ref="U35">INDEX($Q$5:$X$12, INT((ROW(A51)-1)/8)+1, MOD(ROW(A51)-1,8)+1)</f>
        <v>1</v>
      </c>
      <c r="W35" s="7">
        <v>9</v>
      </c>
      <c r="X35" s="4" cm="1">
        <f t="array" ref="X35">INDEX($W$17:$AB$24, INT((ROW(A9)-1)/6)+1, MOD(ROW(A9)-1,6)+1)</f>
        <v>0</v>
      </c>
    </row>
    <row r="36" spans="2:24" x14ac:dyDescent="0.25">
      <c r="B36" s="5">
        <v>31</v>
      </c>
      <c r="C36" s="5">
        <v>1</v>
      </c>
      <c r="E36" s="5">
        <v>31</v>
      </c>
      <c r="F36" s="5">
        <v>1</v>
      </c>
      <c r="H36" s="15">
        <v>35</v>
      </c>
      <c r="I36" s="15">
        <v>3</v>
      </c>
      <c r="J36" s="15">
        <v>43</v>
      </c>
      <c r="K36" s="15">
        <v>11</v>
      </c>
      <c r="L36" s="15">
        <v>51</v>
      </c>
      <c r="M36" s="15">
        <v>19</v>
      </c>
      <c r="N36" s="15">
        <v>59</v>
      </c>
      <c r="O36" s="15">
        <v>27</v>
      </c>
      <c r="Q36" s="9">
        <v>20</v>
      </c>
      <c r="R36" s="5" cm="1">
        <f t="array" ref="R36">INDEX($Q$5:$X$12, INT((ROW(A20)-1)/8)+1, MOD(ROW(A20)-1,8)+1)</f>
        <v>0</v>
      </c>
      <c r="T36" s="5" cm="1">
        <f t="array" ref="T36">INDEX($Q$5:$X$12, INT((ROW(C20)-1)/8)+1, MOD(ROW(C20)-1,8)+1)</f>
        <v>0</v>
      </c>
      <c r="U36" s="4" cm="1">
        <f t="array" ref="U36">INDEX($Q$5:$X$12, INT((ROW(A52)-1)/8)+1, MOD(ROW(A52)-1,8)+1)</f>
        <v>1</v>
      </c>
      <c r="W36" s="9">
        <v>10</v>
      </c>
      <c r="X36" s="5" cm="1">
        <f t="array" ref="X36">INDEX($W$17:$AB$24, INT((ROW(A10)-1)/6)+1, MOD(ROW(A10)-1,6)+1)</f>
        <v>0</v>
      </c>
    </row>
    <row r="37" spans="2:24" x14ac:dyDescent="0.25">
      <c r="B37" s="6">
        <v>32</v>
      </c>
      <c r="C37" s="6">
        <v>0</v>
      </c>
      <c r="E37" s="6">
        <v>32</v>
      </c>
      <c r="F37" s="6">
        <v>1</v>
      </c>
      <c r="H37" s="15">
        <v>34</v>
      </c>
      <c r="I37" s="15">
        <v>2</v>
      </c>
      <c r="J37" s="15">
        <v>42</v>
      </c>
      <c r="K37" s="15">
        <v>10</v>
      </c>
      <c r="L37" s="15">
        <v>50</v>
      </c>
      <c r="M37" s="15">
        <v>18</v>
      </c>
      <c r="N37" s="15">
        <v>58</v>
      </c>
      <c r="O37" s="15">
        <v>26</v>
      </c>
      <c r="Q37" s="9">
        <v>21</v>
      </c>
      <c r="R37" s="5" cm="1">
        <f t="array" ref="R37">INDEX($Q$5:$X$12, INT((ROW(A21)-1)/8)+1, MOD(ROW(A21)-1,8)+1)</f>
        <v>1</v>
      </c>
      <c r="T37" s="5" cm="1">
        <f t="array" ref="T37">INDEX($Q$5:$X$12, INT((ROW(C21)-1)/8)+1, MOD(ROW(C21)-1,8)+1)</f>
        <v>1</v>
      </c>
      <c r="U37" s="4" cm="1">
        <f t="array" ref="U37">INDEX($Q$5:$X$12, INT((ROW(A53)-1)/8)+1, MOD(ROW(A53)-1,8)+1)</f>
        <v>0</v>
      </c>
      <c r="W37" s="9">
        <v>11</v>
      </c>
      <c r="X37" s="5" cm="1">
        <f t="array" ref="X37">INDEX($W$17:$AB$24, INT((ROW(A11)-1)/6)+1, MOD(ROW(A11)-1,6)+1)</f>
        <v>0</v>
      </c>
    </row>
    <row r="38" spans="2:24" x14ac:dyDescent="0.25">
      <c r="B38" s="4">
        <v>33</v>
      </c>
      <c r="C38" s="4">
        <v>0</v>
      </c>
      <c r="E38" s="4">
        <v>33</v>
      </c>
      <c r="F38" s="4">
        <v>1</v>
      </c>
      <c r="H38" s="15">
        <v>33</v>
      </c>
      <c r="I38" s="15">
        <v>1</v>
      </c>
      <c r="J38" s="15">
        <v>41</v>
      </c>
      <c r="K38" s="15">
        <v>9</v>
      </c>
      <c r="L38" s="15">
        <v>49</v>
      </c>
      <c r="M38" s="15">
        <v>17</v>
      </c>
      <c r="N38" s="15">
        <v>57</v>
      </c>
      <c r="O38" s="15">
        <v>25</v>
      </c>
      <c r="Q38" s="9">
        <v>22</v>
      </c>
      <c r="R38" s="5" cm="1">
        <f t="array" ref="R38">INDEX($Q$5:$X$12, INT((ROW(A22)-1)/8)+1, MOD(ROW(A22)-1,8)+1)</f>
        <v>1</v>
      </c>
      <c r="T38" s="5" cm="1">
        <f t="array" ref="T38">INDEX($Q$5:$X$12, INT((ROW(C22)-1)/8)+1, MOD(ROW(C22)-1,8)+1)</f>
        <v>1</v>
      </c>
      <c r="U38" s="4" cm="1">
        <f t="array" ref="U38">INDEX($Q$5:$X$12, INT((ROW(A54)-1)/8)+1, MOD(ROW(A54)-1,8)+1)</f>
        <v>0</v>
      </c>
      <c r="W38" s="9">
        <v>12</v>
      </c>
      <c r="X38" s="5" cm="1">
        <f t="array" ref="X38">INDEX($W$17:$AB$24, INT((ROW(A12)-1)/6)+1, MOD(ROW(A12)-1,6)+1)</f>
        <v>0</v>
      </c>
    </row>
    <row r="39" spans="2:24" x14ac:dyDescent="0.25">
      <c r="B39" s="5">
        <v>34</v>
      </c>
      <c r="C39" s="5">
        <v>1</v>
      </c>
      <c r="E39" s="5">
        <v>34</v>
      </c>
      <c r="F39" s="5">
        <v>0</v>
      </c>
      <c r="Q39" s="9">
        <v>23</v>
      </c>
      <c r="R39" s="5" cm="1">
        <f t="array" ref="R39">INDEX($Q$5:$X$12, INT((ROW(A23)-1)/8)+1, MOD(ROW(A23)-1,8)+1)</f>
        <v>0</v>
      </c>
      <c r="T39" s="5" cm="1">
        <f t="array" ref="T39">INDEX($Q$5:$X$12, INT((ROW(C23)-1)/8)+1, MOD(ROW(C23)-1,8)+1)</f>
        <v>0</v>
      </c>
      <c r="U39" s="4" cm="1">
        <f t="array" ref="U39">INDEX($Q$5:$X$12, INT((ROW(A55)-1)/8)+1, MOD(ROW(A55)-1,8)+1)</f>
        <v>0</v>
      </c>
      <c r="W39" s="9">
        <v>13</v>
      </c>
      <c r="X39" s="5" cm="1">
        <f t="array" ref="X39">INDEX($W$17:$AB$24, INT((ROW(A13)-1)/6)+1, MOD(ROW(A13)-1,6)+1)</f>
        <v>0</v>
      </c>
    </row>
    <row r="40" spans="2:24" x14ac:dyDescent="0.25">
      <c r="B40" s="5">
        <v>35</v>
      </c>
      <c r="C40" s="5">
        <v>1</v>
      </c>
      <c r="E40" s="5">
        <v>35</v>
      </c>
      <c r="F40" s="5">
        <v>0</v>
      </c>
      <c r="H40" s="39" t="s">
        <v>11</v>
      </c>
      <c r="I40" s="40"/>
      <c r="J40" s="40"/>
      <c r="K40" s="40"/>
      <c r="L40" s="40"/>
      <c r="M40" s="41"/>
      <c r="Q40" s="11">
        <v>24</v>
      </c>
      <c r="R40" s="6" cm="1">
        <f t="array" ref="R40">INDEX($Q$5:$X$12, INT((ROW(A24)-1)/8)+1, MOD(ROW(A24)-1,8)+1)</f>
        <v>0</v>
      </c>
      <c r="T40" s="6" cm="1">
        <f t="array" ref="T40">INDEX($Q$5:$X$12, INT((ROW(C24)-1)/8)+1, MOD(ROW(C24)-1,8)+1)</f>
        <v>0</v>
      </c>
      <c r="U40" s="4" cm="1">
        <f t="array" ref="U40">INDEX($Q$5:$X$12, INT((ROW(A56)-1)/8)+1, MOD(ROW(A56)-1,8)+1)</f>
        <v>0</v>
      </c>
      <c r="W40" s="9">
        <v>14</v>
      </c>
      <c r="X40" s="5" cm="1">
        <f t="array" ref="X40">INDEX($W$17:$AB$24, INT((ROW(A14)-1)/6)+1, MOD(ROW(A14)-1,6)+1)</f>
        <v>0</v>
      </c>
    </row>
    <row r="41" spans="2:24" x14ac:dyDescent="0.25">
      <c r="B41" s="5">
        <v>36</v>
      </c>
      <c r="C41" s="5">
        <v>1</v>
      </c>
      <c r="E41" s="5">
        <v>36</v>
      </c>
      <c r="F41" s="5">
        <v>1</v>
      </c>
      <c r="H41" s="15">
        <v>14</v>
      </c>
      <c r="I41" s="15">
        <v>17</v>
      </c>
      <c r="J41" s="15">
        <v>11</v>
      </c>
      <c r="K41" s="15">
        <v>24</v>
      </c>
      <c r="L41" s="15">
        <v>1</v>
      </c>
      <c r="M41" s="15">
        <v>5</v>
      </c>
      <c r="Q41" s="7">
        <v>25</v>
      </c>
      <c r="R41" s="4" cm="1">
        <f t="array" ref="R41">INDEX($Q$5:$X$12, INT((ROW(A25)-1)/8)+1, MOD(ROW(A25)-1,8)+1)</f>
        <v>0</v>
      </c>
      <c r="T41" s="4" cm="1">
        <f t="array" ref="T41">INDEX($Q$5:$X$12, INT((ROW(C25)-1)/8)+1, MOD(ROW(C25)-1,8)+1)</f>
        <v>0</v>
      </c>
      <c r="U41" s="4" cm="1">
        <f t="array" ref="U41">INDEX($Q$5:$X$12, INT((ROW(A57)-1)/8)+1, MOD(ROW(A57)-1,8)+1)</f>
        <v>1</v>
      </c>
      <c r="W41" s="9">
        <v>15</v>
      </c>
      <c r="X41" s="5" cm="1">
        <f t="array" ref="X41">INDEX($W$17:$AB$24, INT((ROW(A15)-1)/6)+1, MOD(ROW(A15)-1,6)+1)</f>
        <v>1</v>
      </c>
    </row>
    <row r="42" spans="2:24" x14ac:dyDescent="0.25">
      <c r="B42" s="5">
        <v>37</v>
      </c>
      <c r="C42" s="5">
        <v>1</v>
      </c>
      <c r="E42" s="5">
        <v>37</v>
      </c>
      <c r="F42" s="5">
        <v>1</v>
      </c>
      <c r="H42" s="15">
        <v>3</v>
      </c>
      <c r="I42" s="15">
        <v>28</v>
      </c>
      <c r="J42" s="15">
        <v>15</v>
      </c>
      <c r="K42" s="15">
        <v>6</v>
      </c>
      <c r="L42" s="15">
        <v>21</v>
      </c>
      <c r="M42" s="15">
        <v>10</v>
      </c>
      <c r="Q42" s="9">
        <v>26</v>
      </c>
      <c r="R42" s="5" cm="1">
        <f t="array" ref="R42">INDEX($Q$5:$X$12, INT((ROW(A26)-1)/8)+1, MOD(ROW(A26)-1,8)+1)</f>
        <v>0</v>
      </c>
      <c r="T42" s="5" cm="1">
        <f t="array" ref="T42">INDEX($Q$5:$X$12, INT((ROW(C26)-1)/8)+1, MOD(ROW(C26)-1,8)+1)</f>
        <v>0</v>
      </c>
      <c r="U42" s="4" cm="1">
        <f t="array" ref="U42">INDEX($Q$5:$X$12, INT((ROW(A58)-1)/8)+1, MOD(ROW(A58)-1,8)+1)</f>
        <v>0</v>
      </c>
      <c r="W42" s="11">
        <v>16</v>
      </c>
      <c r="X42" s="6" cm="1">
        <f t="array" ref="X42">INDEX($W$17:$AB$24, INT((ROW(A16)-1)/6)+1, MOD(ROW(A16)-1,6)+1)</f>
        <v>0</v>
      </c>
    </row>
    <row r="43" spans="2:24" x14ac:dyDescent="0.25">
      <c r="B43" s="5">
        <v>38</v>
      </c>
      <c r="C43" s="5">
        <v>0</v>
      </c>
      <c r="E43" s="5">
        <v>38</v>
      </c>
      <c r="F43" s="5">
        <v>0</v>
      </c>
      <c r="H43" s="15">
        <v>23</v>
      </c>
      <c r="I43" s="15">
        <v>19</v>
      </c>
      <c r="J43" s="15">
        <v>12</v>
      </c>
      <c r="K43" s="15">
        <v>4</v>
      </c>
      <c r="L43" s="15">
        <v>26</v>
      </c>
      <c r="M43" s="15">
        <v>8</v>
      </c>
      <c r="Q43" s="9">
        <v>27</v>
      </c>
      <c r="R43" s="5" cm="1">
        <f t="array" ref="R43">INDEX($Q$5:$X$12, INT((ROW(A27)-1)/8)+1, MOD(ROW(A27)-1,8)+1)</f>
        <v>0</v>
      </c>
      <c r="T43" s="5" cm="1">
        <f t="array" ref="T43">INDEX($Q$5:$X$12, INT((ROW(C27)-1)/8)+1, MOD(ROW(C27)-1,8)+1)</f>
        <v>0</v>
      </c>
      <c r="U43" s="4" cm="1">
        <f t="array" ref="U43">INDEX($Q$5:$X$12, INT((ROW(A59)-1)/8)+1, MOD(ROW(A59)-1,8)+1)</f>
        <v>1</v>
      </c>
      <c r="W43" s="7">
        <v>17</v>
      </c>
      <c r="X43" s="4" cm="1">
        <f t="array" ref="X43">INDEX($W$17:$AB$24, INT((ROW(A17)-1)/6)+1, MOD(ROW(A17)-1,6)+1)</f>
        <v>1</v>
      </c>
    </row>
    <row r="44" spans="2:24" x14ac:dyDescent="0.25">
      <c r="B44" s="5">
        <v>39</v>
      </c>
      <c r="C44" s="5">
        <v>0</v>
      </c>
      <c r="E44" s="5">
        <v>39</v>
      </c>
      <c r="F44" s="5">
        <v>0</v>
      </c>
      <c r="H44" s="15">
        <v>16</v>
      </c>
      <c r="I44" s="15">
        <v>7</v>
      </c>
      <c r="J44" s="15">
        <v>27</v>
      </c>
      <c r="K44" s="15">
        <v>20</v>
      </c>
      <c r="L44" s="15">
        <v>13</v>
      </c>
      <c r="M44" s="15">
        <v>2</v>
      </c>
      <c r="Q44" s="9">
        <v>28</v>
      </c>
      <c r="R44" s="5" cm="1">
        <f t="array" ref="R44">INDEX($Q$5:$X$12, INT((ROW(A28)-1)/8)+1, MOD(ROW(A28)-1,8)+1)</f>
        <v>0</v>
      </c>
      <c r="T44" s="5" cm="1">
        <f t="array" ref="T44">INDEX($Q$5:$X$12, INT((ROW(C28)-1)/8)+1, MOD(ROW(C28)-1,8)+1)</f>
        <v>0</v>
      </c>
      <c r="U44" s="4" cm="1">
        <f t="array" ref="U44">INDEX($Q$5:$X$12, INT((ROW(A60)-1)/8)+1, MOD(ROW(A60)-1,8)+1)</f>
        <v>0</v>
      </c>
      <c r="W44" s="9">
        <v>18</v>
      </c>
      <c r="X44" s="5" cm="1">
        <f t="array" ref="X44">INDEX($W$17:$AB$24, INT((ROW(A18)-1)/6)+1, MOD(ROW(A18)-1,6)+1)</f>
        <v>0</v>
      </c>
    </row>
    <row r="45" spans="2:24" x14ac:dyDescent="0.25">
      <c r="B45" s="6">
        <v>40</v>
      </c>
      <c r="C45" s="6">
        <v>0</v>
      </c>
      <c r="E45" s="6">
        <v>40</v>
      </c>
      <c r="F45" s="6">
        <v>1</v>
      </c>
      <c r="H45" s="15">
        <v>41</v>
      </c>
      <c r="I45" s="15">
        <v>52</v>
      </c>
      <c r="J45" s="15">
        <v>31</v>
      </c>
      <c r="K45" s="15">
        <v>37</v>
      </c>
      <c r="L45" s="15">
        <v>47</v>
      </c>
      <c r="M45" s="15">
        <v>55</v>
      </c>
      <c r="Q45" s="9">
        <v>29</v>
      </c>
      <c r="R45" s="5" cm="1">
        <f t="array" ref="R45">INDEX($Q$5:$X$12, INT((ROW(A29)-1)/8)+1, MOD(ROW(A29)-1,8)+1)</f>
        <v>0</v>
      </c>
      <c r="T45" s="5" cm="1">
        <f t="array" ref="T45">INDEX($Q$5:$X$12, INT((ROW(C29)-1)/8)+1, MOD(ROW(C29)-1,8)+1)</f>
        <v>0</v>
      </c>
      <c r="U45" s="4" cm="1">
        <f t="array" ref="U45">INDEX($Q$5:$X$12, INT((ROW(A61)-1)/8)+1, MOD(ROW(A61)-1,8)+1)</f>
        <v>1</v>
      </c>
      <c r="W45" s="9">
        <v>19</v>
      </c>
      <c r="X45" s="5" cm="1">
        <f t="array" ref="X45">INDEX($W$17:$AB$24, INT((ROW(A19)-1)/6)+1, MOD(ROW(A19)-1,6)+1)</f>
        <v>1</v>
      </c>
    </row>
    <row r="46" spans="2:24" x14ac:dyDescent="0.25">
      <c r="B46" s="7">
        <v>41</v>
      </c>
      <c r="C46" s="4">
        <v>1</v>
      </c>
      <c r="E46" s="7">
        <v>41</v>
      </c>
      <c r="F46" s="4">
        <v>1</v>
      </c>
      <c r="H46" s="15">
        <v>30</v>
      </c>
      <c r="I46" s="15">
        <v>40</v>
      </c>
      <c r="J46" s="15">
        <v>51</v>
      </c>
      <c r="K46" s="15">
        <v>45</v>
      </c>
      <c r="L46" s="15">
        <v>33</v>
      </c>
      <c r="M46" s="15">
        <v>48</v>
      </c>
      <c r="Q46" s="9">
        <v>30</v>
      </c>
      <c r="R46" s="5" cm="1">
        <f t="array" ref="R46">INDEX($Q$5:$X$12, INT((ROW(A30)-1)/8)+1, MOD(ROW(A30)-1,8)+1)</f>
        <v>0</v>
      </c>
      <c r="T46" s="5" cm="1">
        <f t="array" ref="T46">INDEX($Q$5:$X$12, INT((ROW(C30)-1)/8)+1, MOD(ROW(C30)-1,8)+1)</f>
        <v>0</v>
      </c>
      <c r="U46" s="4" cm="1">
        <f t="array" ref="U46">INDEX($Q$5:$X$12, INT((ROW(A62)-1)/8)+1, MOD(ROW(A62)-1,8)+1)</f>
        <v>0</v>
      </c>
      <c r="W46" s="9">
        <v>20</v>
      </c>
      <c r="X46" s="5" cm="1">
        <f t="array" ref="X46">INDEX($W$17:$AB$24, INT((ROW(A20)-1)/6)+1, MOD(ROW(A20)-1,6)+1)</f>
        <v>0</v>
      </c>
    </row>
    <row r="47" spans="2:24" x14ac:dyDescent="0.25">
      <c r="B47" s="9">
        <v>42</v>
      </c>
      <c r="C47" s="5">
        <v>0</v>
      </c>
      <c r="E47" s="9">
        <v>42</v>
      </c>
      <c r="F47" s="5">
        <v>0</v>
      </c>
      <c r="H47" s="15">
        <v>44</v>
      </c>
      <c r="I47" s="15">
        <v>49</v>
      </c>
      <c r="J47" s="15">
        <v>39</v>
      </c>
      <c r="K47" s="15">
        <v>56</v>
      </c>
      <c r="L47" s="15">
        <v>34</v>
      </c>
      <c r="M47" s="15">
        <v>53</v>
      </c>
      <c r="Q47" s="9">
        <v>31</v>
      </c>
      <c r="R47" s="5" cm="1">
        <f t="array" ref="R47">INDEX($Q$5:$X$12, INT((ROW(A31)-1)/8)+1, MOD(ROW(A31)-1,8)+1)</f>
        <v>0</v>
      </c>
      <c r="T47" s="5" cm="1">
        <f t="array" ref="T47">INDEX($Q$5:$X$12, INT((ROW(C31)-1)/8)+1, MOD(ROW(C31)-1,8)+1)</f>
        <v>0</v>
      </c>
      <c r="U47" s="4" cm="1">
        <f t="array" ref="U47">INDEX($Q$5:$X$12, INT((ROW(A63)-1)/8)+1, MOD(ROW(A63)-1,8)+1)</f>
        <v>1</v>
      </c>
      <c r="W47" s="9">
        <v>21</v>
      </c>
      <c r="X47" s="5" cm="1">
        <f t="array" ref="X47">INDEX($W$17:$AB$24, INT((ROW(A21)-1)/6)+1, MOD(ROW(A21)-1,6)+1)</f>
        <v>1</v>
      </c>
    </row>
    <row r="48" spans="2:24" x14ac:dyDescent="0.25">
      <c r="B48" s="9">
        <v>43</v>
      </c>
      <c r="C48" s="5">
        <v>0</v>
      </c>
      <c r="E48" s="9">
        <v>43</v>
      </c>
      <c r="F48" s="5">
        <v>1</v>
      </c>
      <c r="H48" s="15">
        <v>46</v>
      </c>
      <c r="I48" s="15">
        <v>42</v>
      </c>
      <c r="J48" s="15">
        <v>50</v>
      </c>
      <c r="K48" s="15">
        <v>36</v>
      </c>
      <c r="L48" s="15">
        <v>29</v>
      </c>
      <c r="M48" s="15">
        <v>32</v>
      </c>
      <c r="Q48" s="11">
        <v>32</v>
      </c>
      <c r="R48" s="6" cm="1">
        <f t="array" ref="R48">INDEX($Q$5:$X$12, INT((ROW(A32)-1)/8)+1, MOD(ROW(A32)-1,8)+1)</f>
        <v>0</v>
      </c>
      <c r="T48" s="6" cm="1">
        <f t="array" ref="T48">INDEX($Q$5:$X$12, INT((ROW(C32)-1)/8)+1, MOD(ROW(C32)-1,8)+1)</f>
        <v>0</v>
      </c>
      <c r="U48" s="4" cm="1">
        <f t="array" ref="U48">INDEX($Q$5:$X$12, INT((ROW(A64)-1)/8)+1, MOD(ROW(A64)-1,8)+1)</f>
        <v>0</v>
      </c>
      <c r="W48" s="9">
        <v>22</v>
      </c>
      <c r="X48" s="5" cm="1">
        <f t="array" ref="X48">INDEX($W$17:$AB$24, INT((ROW(A22)-1)/6)+1, MOD(ROW(A22)-1,6)+1)</f>
        <v>0</v>
      </c>
    </row>
    <row r="49" spans="2:24" x14ac:dyDescent="0.25">
      <c r="B49" s="9">
        <v>44</v>
      </c>
      <c r="C49" s="5">
        <v>1</v>
      </c>
      <c r="E49" s="9">
        <v>44</v>
      </c>
      <c r="F49" s="5">
        <v>1</v>
      </c>
      <c r="Q49" s="7">
        <v>33</v>
      </c>
      <c r="R49" s="4" cm="1">
        <f t="array" ref="R49">INDEX($Q$5:$X$12, INT((ROW(A33)-1)/8)+1, MOD(ROW(A33)-1,8)+1)</f>
        <v>1</v>
      </c>
      <c r="W49" s="9">
        <v>23</v>
      </c>
      <c r="X49" s="5" cm="1">
        <f t="array" ref="X49">INDEX($W$17:$AB$24, INT((ROW(A23)-1)/6)+1, MOD(ROW(A23)-1,6)+1)</f>
        <v>0</v>
      </c>
    </row>
    <row r="50" spans="2:24" x14ac:dyDescent="0.25">
      <c r="B50" s="9">
        <v>45</v>
      </c>
      <c r="C50" s="5">
        <v>1</v>
      </c>
      <c r="E50" s="9">
        <v>45</v>
      </c>
      <c r="F50" s="5">
        <v>1</v>
      </c>
      <c r="H50" s="39" t="s">
        <v>12</v>
      </c>
      <c r="I50" s="40"/>
      <c r="J50" s="40"/>
      <c r="K50" s="40"/>
      <c r="L50" s="40"/>
      <c r="M50" s="41"/>
      <c r="Q50" s="9">
        <v>34</v>
      </c>
      <c r="R50" s="5" cm="1">
        <f t="array" ref="R50">INDEX($Q$5:$X$12, INT((ROW(A34)-1)/8)+1, MOD(ROW(A34)-1,8)+1)</f>
        <v>1</v>
      </c>
      <c r="W50" s="11">
        <v>24</v>
      </c>
      <c r="X50" s="6" cm="1">
        <f t="array" ref="X50">INDEX($W$17:$AB$24, INT((ROW(A24)-1)/6)+1, MOD(ROW(A24)-1,6)+1)</f>
        <v>1</v>
      </c>
    </row>
    <row r="51" spans="2:24" x14ac:dyDescent="0.25">
      <c r="B51" s="9">
        <v>46</v>
      </c>
      <c r="C51" s="5">
        <v>0</v>
      </c>
      <c r="E51" s="9">
        <v>46</v>
      </c>
      <c r="F51" s="5">
        <v>0</v>
      </c>
      <c r="H51" s="15">
        <v>32</v>
      </c>
      <c r="I51" s="15">
        <v>1</v>
      </c>
      <c r="J51" s="15">
        <v>2</v>
      </c>
      <c r="K51" s="15">
        <v>3</v>
      </c>
      <c r="L51" s="15">
        <v>4</v>
      </c>
      <c r="M51" s="15">
        <v>5</v>
      </c>
      <c r="Q51" s="9">
        <v>35</v>
      </c>
      <c r="R51" s="5" cm="1">
        <f t="array" ref="R51">INDEX($Q$5:$X$12, INT((ROW(A35)-1)/8)+1, MOD(ROW(A35)-1,8)+1)</f>
        <v>1</v>
      </c>
      <c r="W51" s="7">
        <v>25</v>
      </c>
      <c r="X51" s="4" cm="1">
        <f t="array" ref="X51">INDEX($W$17:$AB$24, INT((ROW(A25)-1)/6)+1, MOD(ROW(A25)-1,6)+1)</f>
        <v>0</v>
      </c>
    </row>
    <row r="52" spans="2:24" x14ac:dyDescent="0.25">
      <c r="B52" s="9">
        <v>47</v>
      </c>
      <c r="C52" s="5">
        <v>1</v>
      </c>
      <c r="E52" s="9">
        <v>47</v>
      </c>
      <c r="F52" s="5">
        <v>1</v>
      </c>
      <c r="H52" s="15">
        <v>4</v>
      </c>
      <c r="I52" s="15">
        <v>5</v>
      </c>
      <c r="J52" s="15">
        <v>6</v>
      </c>
      <c r="K52" s="15">
        <v>7</v>
      </c>
      <c r="L52" s="15">
        <v>8</v>
      </c>
      <c r="M52" s="15">
        <v>9</v>
      </c>
      <c r="Q52" s="9">
        <v>36</v>
      </c>
      <c r="R52" s="5" cm="1">
        <f t="array" ref="R52">INDEX($Q$5:$X$12, INT((ROW(A36)-1)/8)+1, MOD(ROW(A36)-1,8)+1)</f>
        <v>0</v>
      </c>
      <c r="W52" s="9">
        <v>26</v>
      </c>
      <c r="X52" s="5" cm="1">
        <f t="array" ref="X52">INDEX($W$17:$AB$24, INT((ROW(A26)-1)/6)+1, MOD(ROW(A26)-1,6)+1)</f>
        <v>1</v>
      </c>
    </row>
    <row r="53" spans="2:24" x14ac:dyDescent="0.25">
      <c r="B53" s="11">
        <v>48</v>
      </c>
      <c r="C53" s="6">
        <v>0</v>
      </c>
      <c r="E53" s="11">
        <v>48</v>
      </c>
      <c r="F53" s="6">
        <v>1</v>
      </c>
      <c r="H53" s="15">
        <v>8</v>
      </c>
      <c r="I53" s="15">
        <v>9</v>
      </c>
      <c r="J53" s="15">
        <v>10</v>
      </c>
      <c r="K53" s="15">
        <v>11</v>
      </c>
      <c r="L53" s="15">
        <v>12</v>
      </c>
      <c r="M53" s="15">
        <v>13</v>
      </c>
      <c r="Q53" s="9">
        <v>37</v>
      </c>
      <c r="R53" s="5" cm="1">
        <f t="array" ref="R53">INDEX($Q$5:$X$12, INT((ROW(A37)-1)/8)+1, MOD(ROW(A37)-1,8)+1)</f>
        <v>0</v>
      </c>
      <c r="W53" s="9">
        <v>27</v>
      </c>
      <c r="X53" s="5" cm="1">
        <f t="array" ref="X53">INDEX($W$17:$AB$24, INT((ROW(A27)-1)/6)+1, MOD(ROW(A27)-1,6)+1)</f>
        <v>1</v>
      </c>
    </row>
    <row r="54" spans="2:24" x14ac:dyDescent="0.25">
      <c r="B54" s="7">
        <v>49</v>
      </c>
      <c r="C54" s="4">
        <v>1</v>
      </c>
      <c r="E54" s="7">
        <v>49</v>
      </c>
      <c r="F54" s="4">
        <v>1</v>
      </c>
      <c r="H54" s="15">
        <v>12</v>
      </c>
      <c r="I54" s="15">
        <v>13</v>
      </c>
      <c r="J54" s="15">
        <v>14</v>
      </c>
      <c r="K54" s="15">
        <v>15</v>
      </c>
      <c r="L54" s="15">
        <v>16</v>
      </c>
      <c r="M54" s="15">
        <v>17</v>
      </c>
      <c r="Q54" s="9">
        <v>38</v>
      </c>
      <c r="R54" s="5" cm="1">
        <f t="array" ref="R54">INDEX($Q$5:$X$12, INT((ROW(A38)-1)/8)+1, MOD(ROW(A38)-1,8)+1)</f>
        <v>0</v>
      </c>
      <c r="W54" s="9">
        <v>28</v>
      </c>
      <c r="X54" s="5" cm="1">
        <f t="array" ref="X54">INDEX($W$17:$AB$24, INT((ROW(A28)-1)/6)+1, MOD(ROW(A28)-1,6)+1)</f>
        <v>1</v>
      </c>
    </row>
    <row r="55" spans="2:24" x14ac:dyDescent="0.25">
      <c r="B55" s="9">
        <v>50</v>
      </c>
      <c r="C55" s="5">
        <v>0</v>
      </c>
      <c r="E55" s="9">
        <v>50</v>
      </c>
      <c r="F55" s="5">
        <v>1</v>
      </c>
      <c r="H55" s="15">
        <v>16</v>
      </c>
      <c r="I55" s="15">
        <v>17</v>
      </c>
      <c r="J55" s="15">
        <v>18</v>
      </c>
      <c r="K55" s="15">
        <v>19</v>
      </c>
      <c r="L55" s="15">
        <v>20</v>
      </c>
      <c r="M55" s="15">
        <v>21</v>
      </c>
      <c r="Q55" s="9">
        <v>39</v>
      </c>
      <c r="R55" s="5" cm="1">
        <f t="array" ref="R55">INDEX($Q$5:$X$12, INT((ROW(A39)-1)/8)+1, MOD(ROW(A39)-1,8)+1)</f>
        <v>0</v>
      </c>
      <c r="W55" s="9">
        <v>29</v>
      </c>
      <c r="X55" s="5" cm="1">
        <f t="array" ref="X55">INDEX($W$17:$AB$24, INT((ROW(A29)-1)/6)+1, MOD(ROW(A29)-1,6)+1)</f>
        <v>1</v>
      </c>
    </row>
    <row r="56" spans="2:24" x14ac:dyDescent="0.25">
      <c r="B56" s="9">
        <v>51</v>
      </c>
      <c r="C56" s="5">
        <v>1</v>
      </c>
      <c r="E56" s="9">
        <v>51</v>
      </c>
      <c r="F56" s="5">
        <v>0</v>
      </c>
      <c r="H56" s="15">
        <v>20</v>
      </c>
      <c r="I56" s="15">
        <v>21</v>
      </c>
      <c r="J56" s="15">
        <v>22</v>
      </c>
      <c r="K56" s="15">
        <v>23</v>
      </c>
      <c r="L56" s="15">
        <v>24</v>
      </c>
      <c r="M56" s="15">
        <v>25</v>
      </c>
      <c r="Q56" s="11">
        <v>40</v>
      </c>
      <c r="R56" s="6" cm="1">
        <f t="array" ref="R56">INDEX($Q$5:$X$12, INT((ROW(A40)-1)/8)+1, MOD(ROW(A40)-1,8)+1)</f>
        <v>0</v>
      </c>
      <c r="W56" s="9">
        <v>30</v>
      </c>
      <c r="X56" s="5" cm="1">
        <f t="array" ref="X56">INDEX($W$17:$AB$24, INT((ROW(A30)-1)/6)+1, MOD(ROW(A30)-1,6)+1)</f>
        <v>0</v>
      </c>
    </row>
    <row r="57" spans="2:24" x14ac:dyDescent="0.25">
      <c r="B57" s="9">
        <v>52</v>
      </c>
      <c r="C57" s="5">
        <v>1</v>
      </c>
      <c r="E57" s="9">
        <v>52</v>
      </c>
      <c r="F57" s="5">
        <v>0</v>
      </c>
      <c r="H57" s="15">
        <v>24</v>
      </c>
      <c r="I57" s="15">
        <v>25</v>
      </c>
      <c r="J57" s="15">
        <v>26</v>
      </c>
      <c r="K57" s="15">
        <v>27</v>
      </c>
      <c r="L57" s="15">
        <v>28</v>
      </c>
      <c r="M57" s="15">
        <v>29</v>
      </c>
      <c r="Q57" s="7">
        <v>41</v>
      </c>
      <c r="R57" s="4" cm="1">
        <f t="array" ref="R57">INDEX($Q$5:$X$12, INT((ROW(A41)-1)/8)+1, MOD(ROW(A41)-1,8)+1)</f>
        <v>0</v>
      </c>
      <c r="W57" s="9">
        <v>31</v>
      </c>
      <c r="X57" s="5" cm="1">
        <f t="array" ref="X57">INDEX($W$17:$AB$24, INT((ROW(A31)-1)/6)+1, MOD(ROW(A31)-1,6)+1)</f>
        <v>1</v>
      </c>
    </row>
    <row r="58" spans="2:24" x14ac:dyDescent="0.25">
      <c r="B58" s="9">
        <v>53</v>
      </c>
      <c r="C58" s="5">
        <v>1</v>
      </c>
      <c r="E58" s="9">
        <v>53</v>
      </c>
      <c r="F58" s="5">
        <v>1</v>
      </c>
      <c r="H58" s="15">
        <v>28</v>
      </c>
      <c r="I58" s="15">
        <v>29</v>
      </c>
      <c r="J58" s="15">
        <v>30</v>
      </c>
      <c r="K58" s="15">
        <v>31</v>
      </c>
      <c r="L58" s="15">
        <v>32</v>
      </c>
      <c r="M58" s="15">
        <v>1</v>
      </c>
      <c r="Q58" s="9">
        <v>42</v>
      </c>
      <c r="R58" s="5" cm="1">
        <f t="array" ref="R58">INDEX($Q$5:$X$12, INT((ROW(A42)-1)/8)+1, MOD(ROW(A42)-1,8)+1)</f>
        <v>1</v>
      </c>
      <c r="W58" s="11">
        <v>32</v>
      </c>
      <c r="X58" s="6" cm="1">
        <f t="array" ref="X58">INDEX($W$17:$AB$24, INT((ROW(A32)-1)/6)+1, MOD(ROW(A32)-1,6)+1)</f>
        <v>0</v>
      </c>
    </row>
    <row r="59" spans="2:24" x14ac:dyDescent="0.25">
      <c r="B59" s="9">
        <v>54</v>
      </c>
      <c r="C59" s="5">
        <v>1</v>
      </c>
      <c r="E59" s="9">
        <v>54</v>
      </c>
      <c r="F59" s="5">
        <v>1</v>
      </c>
      <c r="Q59" s="9">
        <v>43</v>
      </c>
      <c r="R59" s="5" cm="1">
        <f t="array" ref="R59">INDEX($Q$5:$X$12, INT((ROW(A43)-1)/8)+1, MOD(ROW(A43)-1,8)+1)</f>
        <v>0</v>
      </c>
      <c r="W59" s="7">
        <v>33</v>
      </c>
      <c r="X59" s="4" cm="1">
        <f t="array" ref="X59">INDEX($W$17:$AB$24, INT((ROW(A33)-1)/6)+1, MOD(ROW(A33)-1,6)+1)</f>
        <v>0</v>
      </c>
    </row>
    <row r="60" spans="2:24" x14ac:dyDescent="0.25">
      <c r="B60" s="9">
        <v>55</v>
      </c>
      <c r="C60" s="5">
        <v>0</v>
      </c>
      <c r="E60" s="9">
        <v>55</v>
      </c>
      <c r="F60" s="5">
        <v>0</v>
      </c>
      <c r="Q60" s="9">
        <v>44</v>
      </c>
      <c r="R60" s="5" cm="1">
        <f t="array" ref="R60">INDEX($Q$5:$X$12, INT((ROW(A44)-1)/8)+1, MOD(ROW(A44)-1,8)+1)</f>
        <v>1</v>
      </c>
      <c r="W60" s="9">
        <v>34</v>
      </c>
      <c r="X60" s="5" cm="1">
        <f t="array" ref="X60">INDEX($W$17:$AB$24, INT((ROW(A34)-1)/6)+1, MOD(ROW(A34)-1,6)+1)</f>
        <v>0</v>
      </c>
    </row>
    <row r="61" spans="2:24" x14ac:dyDescent="0.25">
      <c r="B61" s="11">
        <v>56</v>
      </c>
      <c r="C61" s="6">
        <v>0</v>
      </c>
      <c r="E61" s="11">
        <v>56</v>
      </c>
      <c r="F61" s="6">
        <v>1</v>
      </c>
      <c r="Q61" s="9">
        <v>45</v>
      </c>
      <c r="R61" s="5" cm="1">
        <f t="array" ref="R61">INDEX($Q$5:$X$12, INT((ROW(A45)-1)/8)+1, MOD(ROW(A45)-1,8)+1)</f>
        <v>0</v>
      </c>
      <c r="W61" s="9">
        <v>35</v>
      </c>
      <c r="X61" s="5" cm="1">
        <f t="array" ref="X61">INDEX($W$17:$AB$24, INT((ROW(A35)-1)/6)+1, MOD(ROW(A35)-1,6)+1)</f>
        <v>0</v>
      </c>
    </row>
    <row r="62" spans="2:24" x14ac:dyDescent="0.25">
      <c r="B62" s="7">
        <v>57</v>
      </c>
      <c r="C62" s="4">
        <v>1</v>
      </c>
      <c r="E62" s="7">
        <v>57</v>
      </c>
      <c r="F62" s="4">
        <v>1</v>
      </c>
      <c r="Q62" s="9">
        <v>46</v>
      </c>
      <c r="R62" s="5" cm="1">
        <f t="array" ref="R62">INDEX($Q$5:$X$12, INT((ROW(A46)-1)/8)+1, MOD(ROW(A46)-1,8)+1)</f>
        <v>1</v>
      </c>
      <c r="W62" s="9">
        <v>36</v>
      </c>
      <c r="X62" s="5" cm="1">
        <f t="array" ref="X62">INDEX($W$17:$AB$24, INT((ROW(A36)-1)/6)+1, MOD(ROW(A36)-1,6)+1)</f>
        <v>1</v>
      </c>
    </row>
    <row r="63" spans="2:24" x14ac:dyDescent="0.25">
      <c r="B63" s="9">
        <v>58</v>
      </c>
      <c r="C63" s="5">
        <v>1</v>
      </c>
      <c r="E63" s="9">
        <v>58</v>
      </c>
      <c r="F63" s="5">
        <v>1</v>
      </c>
      <c r="Q63" s="9">
        <v>47</v>
      </c>
      <c r="R63" s="5" cm="1">
        <f t="array" ref="R63">INDEX($Q$5:$X$12, INT((ROW(A47)-1)/8)+1, MOD(ROW(A47)-1,8)+1)</f>
        <v>0</v>
      </c>
      <c r="W63" s="9">
        <v>37</v>
      </c>
      <c r="X63" s="5" cm="1">
        <f t="array" ref="X63">INDEX($W$17:$AB$24, INT((ROW(A37)-1)/6)+1, MOD(ROW(A37)-1,6)+1)</f>
        <v>0</v>
      </c>
    </row>
    <row r="64" spans="2:24" x14ac:dyDescent="0.25">
      <c r="B64" s="9">
        <v>59</v>
      </c>
      <c r="C64" s="5">
        <v>0</v>
      </c>
      <c r="E64" s="9">
        <v>59</v>
      </c>
      <c r="F64" s="5">
        <v>1</v>
      </c>
      <c r="Q64" s="11">
        <v>48</v>
      </c>
      <c r="R64" s="6" cm="1">
        <f t="array" ref="R64">INDEX($Q$5:$X$12, INT((ROW(A48)-1)/8)+1, MOD(ROW(A48)-1,8)+1)</f>
        <v>0</v>
      </c>
      <c r="W64" s="9">
        <v>38</v>
      </c>
      <c r="X64" s="5" cm="1">
        <f t="array" ref="X64">INDEX($W$17:$AB$24, INT((ROW(A38)-1)/6)+1, MOD(ROW(A38)-1,6)+1)</f>
        <v>1</v>
      </c>
    </row>
    <row r="65" spans="2:24" x14ac:dyDescent="0.25">
      <c r="B65" s="9">
        <v>60</v>
      </c>
      <c r="C65" s="5">
        <v>1</v>
      </c>
      <c r="E65" s="9">
        <v>60</v>
      </c>
      <c r="F65" s="5">
        <v>1</v>
      </c>
      <c r="Q65" s="7">
        <v>49</v>
      </c>
      <c r="R65" s="4" cm="1">
        <f t="array" ref="R65">INDEX($Q$5:$X$12, INT((ROW(A49)-1)/8)+1, MOD(ROW(A49)-1,8)+1)</f>
        <v>1</v>
      </c>
      <c r="W65" s="9">
        <v>39</v>
      </c>
      <c r="X65" s="5" cm="1">
        <f t="array" ref="X65">INDEX($W$17:$AB$24, INT((ROW(A39)-1)/6)+1, MOD(ROW(A39)-1,6)+1)</f>
        <v>0</v>
      </c>
    </row>
    <row r="66" spans="2:24" x14ac:dyDescent="0.25">
      <c r="B66" s="9">
        <v>61</v>
      </c>
      <c r="C66" s="5">
        <v>1</v>
      </c>
      <c r="E66" s="9">
        <v>61</v>
      </c>
      <c r="F66" s="5">
        <v>1</v>
      </c>
      <c r="Q66" s="9">
        <v>50</v>
      </c>
      <c r="R66" s="5" cm="1">
        <f t="array" ref="R66">INDEX($Q$5:$X$12, INT((ROW(A50)-1)/8)+1, MOD(ROW(A50)-1,8)+1)</f>
        <v>1</v>
      </c>
      <c r="W66" s="11">
        <v>40</v>
      </c>
      <c r="X66" s="6" cm="1">
        <f t="array" ref="X66">INDEX($W$17:$AB$24, INT((ROW(A40)-1)/6)+1, MOD(ROW(A40)-1,6)+1)</f>
        <v>1</v>
      </c>
    </row>
    <row r="67" spans="2:24" x14ac:dyDescent="0.25">
      <c r="B67" s="9">
        <v>62</v>
      </c>
      <c r="C67" s="5">
        <v>1</v>
      </c>
      <c r="E67" s="9">
        <v>62</v>
      </c>
      <c r="F67" s="5">
        <v>1</v>
      </c>
      <c r="Q67" s="9">
        <v>51</v>
      </c>
      <c r="R67" s="5" cm="1">
        <f t="array" ref="R67">INDEX($Q$5:$X$12, INT((ROW(A51)-1)/8)+1, MOD(ROW(A51)-1,8)+1)</f>
        <v>1</v>
      </c>
      <c r="W67" s="7">
        <v>41</v>
      </c>
      <c r="X67" s="5" cm="1">
        <f t="array" ref="X67">INDEX($W$17:$AB$24, INT((ROW(A41)-1)/6)+1, MOD(ROW(A41)-1,6)+1)</f>
        <v>0</v>
      </c>
    </row>
    <row r="68" spans="2:24" x14ac:dyDescent="0.25">
      <c r="B68" s="9">
        <v>63</v>
      </c>
      <c r="C68" s="5">
        <v>1</v>
      </c>
      <c r="E68" s="9">
        <v>63</v>
      </c>
      <c r="F68" s="5">
        <v>1</v>
      </c>
      <c r="Q68" s="9">
        <v>52</v>
      </c>
      <c r="R68" s="5" cm="1">
        <f t="array" ref="R68">INDEX($Q$5:$X$12, INT((ROW(A52)-1)/8)+1, MOD(ROW(A52)-1,8)+1)</f>
        <v>1</v>
      </c>
      <c r="W68" s="9">
        <v>42</v>
      </c>
      <c r="X68" s="5" cm="1">
        <f t="array" ref="X68">INDEX($W$17:$AB$24, INT((ROW(A42)-1)/6)+1, MOD(ROW(A42)-1,6)+1)</f>
        <v>1</v>
      </c>
    </row>
    <row r="69" spans="2:24" x14ac:dyDescent="0.25">
      <c r="B69" s="11">
        <v>64</v>
      </c>
      <c r="C69" s="6">
        <v>0</v>
      </c>
      <c r="E69" s="11">
        <v>64</v>
      </c>
      <c r="F69" s="6">
        <v>1</v>
      </c>
      <c r="Q69" s="9">
        <v>53</v>
      </c>
      <c r="R69" s="5" cm="1">
        <f t="array" ref="R69">INDEX($Q$5:$X$12, INT((ROW(A53)-1)/8)+1, MOD(ROW(A53)-1,8)+1)</f>
        <v>0</v>
      </c>
      <c r="W69" s="9">
        <v>43</v>
      </c>
      <c r="X69" s="5" cm="1">
        <f t="array" ref="X69">INDEX($W$17:$AB$24, INT((ROW(A43)-1)/6)+1, MOD(ROW(A43)-1,6)+1)</f>
        <v>0</v>
      </c>
    </row>
    <row r="70" spans="2:24" x14ac:dyDescent="0.25">
      <c r="Q70" s="9">
        <v>54</v>
      </c>
      <c r="R70" s="5" cm="1">
        <f t="array" ref="R70">INDEX($Q$5:$X$12, INT((ROW(A54)-1)/8)+1, MOD(ROW(A54)-1,8)+1)</f>
        <v>0</v>
      </c>
      <c r="W70" s="9">
        <v>44</v>
      </c>
      <c r="X70" s="5" cm="1">
        <f t="array" ref="X70">INDEX($W$17:$AB$24, INT((ROW(A44)-1)/6)+1, MOD(ROW(A44)-1,6)+1)</f>
        <v>1</v>
      </c>
    </row>
    <row r="71" spans="2:24" x14ac:dyDescent="0.25">
      <c r="Q71" s="9">
        <v>55</v>
      </c>
      <c r="R71" s="5" cm="1">
        <f t="array" ref="R71">INDEX($Q$5:$X$12, INT((ROW(A55)-1)/8)+1, MOD(ROW(A55)-1,8)+1)</f>
        <v>0</v>
      </c>
      <c r="W71" s="9">
        <v>45</v>
      </c>
      <c r="X71" s="5" cm="1">
        <f t="array" ref="X71">INDEX($W$17:$AB$24, INT((ROW(A45)-1)/6)+1, MOD(ROW(A45)-1,6)+1)</f>
        <v>0</v>
      </c>
    </row>
    <row r="72" spans="2:24" x14ac:dyDescent="0.25">
      <c r="Q72" s="11">
        <v>56</v>
      </c>
      <c r="R72" s="6" cm="1">
        <f t="array" ref="R72">INDEX($Q$5:$X$12, INT((ROW(A56)-1)/8)+1, MOD(ROW(A56)-1,8)+1)</f>
        <v>0</v>
      </c>
      <c r="W72" s="9">
        <v>46</v>
      </c>
      <c r="X72" s="5" cm="1">
        <f t="array" ref="X72">INDEX($W$17:$AB$24, INT((ROW(A46)-1)/6)+1, MOD(ROW(A46)-1,6)+1)</f>
        <v>1</v>
      </c>
    </row>
    <row r="73" spans="2:24" x14ac:dyDescent="0.25">
      <c r="Q73" s="9">
        <v>57</v>
      </c>
      <c r="R73" s="5" cm="1">
        <f t="array" ref="R73">INDEX($Q$5:$X$12, INT((ROW(A57)-1)/8)+1, MOD(ROW(A57)-1,8)+1)</f>
        <v>1</v>
      </c>
      <c r="W73" s="9">
        <v>47</v>
      </c>
      <c r="X73" s="5" cm="1">
        <f t="array" ref="X73">INDEX($W$17:$AB$24, INT((ROW(A47)-1)/6)+1, MOD(ROW(A47)-1,6)+1)</f>
        <v>0</v>
      </c>
    </row>
    <row r="74" spans="2:24" x14ac:dyDescent="0.25">
      <c r="Q74" s="9">
        <v>58</v>
      </c>
      <c r="R74" s="5" cm="1">
        <f t="array" ref="R74">INDEX($Q$5:$X$12, INT((ROW(A58)-1)/8)+1, MOD(ROW(A58)-1,8)+1)</f>
        <v>0</v>
      </c>
      <c r="W74" s="11">
        <v>48</v>
      </c>
      <c r="X74" s="6" cm="1">
        <f t="array" ref="X74">INDEX($W$17:$AB$24, INT((ROW(A48)-1)/6)+1, MOD(ROW(A48)-1,6)+1)</f>
        <v>1</v>
      </c>
    </row>
    <row r="75" spans="2:24" x14ac:dyDescent="0.25">
      <c r="Q75" s="9">
        <v>59</v>
      </c>
      <c r="R75" s="5" cm="1">
        <f t="array" ref="R75">INDEX($Q$5:$X$12, INT((ROW(A59)-1)/8)+1, MOD(ROW(A59)-1,8)+1)</f>
        <v>1</v>
      </c>
    </row>
    <row r="76" spans="2:24" x14ac:dyDescent="0.25">
      <c r="Q76" s="9">
        <v>60</v>
      </c>
      <c r="R76" s="5" cm="1">
        <f t="array" ref="R76">INDEX($Q$5:$X$12, INT((ROW(A60)-1)/8)+1, MOD(ROW(A60)-1,8)+1)</f>
        <v>0</v>
      </c>
    </row>
    <row r="77" spans="2:24" x14ac:dyDescent="0.25">
      <c r="Q77" s="9">
        <v>61</v>
      </c>
      <c r="R77" s="5" cm="1">
        <f t="array" ref="R77">INDEX($Q$5:$X$12, INT((ROW(A61)-1)/8)+1, MOD(ROW(A61)-1,8)+1)</f>
        <v>1</v>
      </c>
    </row>
    <row r="78" spans="2:24" x14ac:dyDescent="0.25">
      <c r="Q78" s="9">
        <v>62</v>
      </c>
      <c r="R78" s="5" cm="1">
        <f t="array" ref="R78">INDEX($Q$5:$X$12, INT((ROW(A62)-1)/8)+1, MOD(ROW(A62)-1,8)+1)</f>
        <v>0</v>
      </c>
    </row>
    <row r="79" spans="2:24" x14ac:dyDescent="0.25">
      <c r="Q79" s="9">
        <v>63</v>
      </c>
      <c r="R79" s="5" cm="1">
        <f t="array" ref="R79">INDEX($Q$5:$X$12, INT((ROW(A63)-1)/8)+1, MOD(ROW(A63)-1,8)+1)</f>
        <v>1</v>
      </c>
    </row>
    <row r="80" spans="2:24" x14ac:dyDescent="0.25">
      <c r="Q80" s="11">
        <v>64</v>
      </c>
      <c r="R80" s="6" cm="1">
        <f t="array" ref="R80">INDEX($Q$5:$X$12, INT((ROW(A64)-1)/8)+1, MOD(ROW(A64)-1,8)+1)</f>
        <v>0</v>
      </c>
    </row>
    <row r="82" spans="2:23" x14ac:dyDescent="0.25">
      <c r="B82" t="s">
        <v>15</v>
      </c>
      <c r="C82" s="20"/>
      <c r="D82" s="20"/>
      <c r="E82" s="20"/>
      <c r="F82" s="20"/>
      <c r="G82" s="20"/>
      <c r="H82" s="20"/>
      <c r="J82" s="37" t="s">
        <v>16</v>
      </c>
      <c r="K82" s="38"/>
      <c r="M82" s="37" t="s">
        <v>17</v>
      </c>
      <c r="N82" s="38"/>
      <c r="P82" s="17" t="s">
        <v>18</v>
      </c>
      <c r="Q82" s="18"/>
      <c r="S82" s="37" t="s">
        <v>19</v>
      </c>
      <c r="T82" s="43"/>
      <c r="V82" s="37" t="s">
        <v>20</v>
      </c>
      <c r="W82" s="43"/>
    </row>
    <row r="83" spans="2:23" x14ac:dyDescent="0.25">
      <c r="B83" s="19" cm="1">
        <f t="array" ref="B83">INDEX($F$6:$F$69, H21)</f>
        <v>1</v>
      </c>
      <c r="C83" s="19" cm="1">
        <f t="array" ref="C83">INDEX($F$6:$F$69, I21)</f>
        <v>1</v>
      </c>
      <c r="D83" s="19" cm="1">
        <f t="array" ref="D83">INDEX($F$6:$F$69, J21)</f>
        <v>1</v>
      </c>
      <c r="E83" s="19" cm="1">
        <f t="array" ref="E83">INDEX($F$6:$F$69, K21)</f>
        <v>1</v>
      </c>
      <c r="F83" s="19" cm="1">
        <f t="array" ref="F83">INDEX($F$6:$F$69, L21)</f>
        <v>0</v>
      </c>
      <c r="G83" s="19" cm="1">
        <f t="array" ref="G83">INDEX($F$6:$F$69, M21)</f>
        <v>0</v>
      </c>
      <c r="H83" s="19" cm="1">
        <f t="array" ref="H83">INDEX($F$6:$F$69, N21)</f>
        <v>0</v>
      </c>
      <c r="J83" s="4">
        <v>1</v>
      </c>
      <c r="K83" s="8" cm="1">
        <f t="array" ref="K83">INDEX($B$83:$H$90, INT((ROW(A1)-1)/7)+1, MOD(ROW(A1)-1,7)+1)</f>
        <v>1</v>
      </c>
      <c r="M83" s="4">
        <v>1</v>
      </c>
      <c r="N83" s="8" cm="1">
        <f t="array" ref="N83">INDEX($B$83:$H$90, INT((ROW(D1)-1)/7)+1, MOD(ROW(D1)-1,7)+1)</f>
        <v>1</v>
      </c>
      <c r="P83" s="21">
        <v>29</v>
      </c>
      <c r="Q83" s="22">
        <v>1</v>
      </c>
      <c r="S83" s="7">
        <v>1</v>
      </c>
      <c r="T83" s="4" cm="1">
        <f t="array" ref="T83">INDEX($B$83:$H$90, INT((ROW(J2)-1)/7)+1, MOD(ROW(J2)-1,7)+1)</f>
        <v>1</v>
      </c>
      <c r="V83" s="25">
        <v>29</v>
      </c>
      <c r="W83" s="27">
        <v>0</v>
      </c>
    </row>
    <row r="84" spans="2:23" x14ac:dyDescent="0.25">
      <c r="B84" s="19" cm="1">
        <f t="array" ref="B84">INDEX($F$6:$F$69, H22)</f>
        <v>0</v>
      </c>
      <c r="C84" s="19" cm="1">
        <f t="array" ref="C84">INDEX($F$6:$F$69, I22)</f>
        <v>1</v>
      </c>
      <c r="D84" s="19" cm="1">
        <f t="array" ref="D84">INDEX($F$6:$F$69, J22)</f>
        <v>1</v>
      </c>
      <c r="E84" s="19" cm="1">
        <f t="array" ref="E84">INDEX($F$6:$F$69, K22)</f>
        <v>0</v>
      </c>
      <c r="F84" s="19" cm="1">
        <f t="array" ref="F84">INDEX($F$6:$F$69, L22)</f>
        <v>0</v>
      </c>
      <c r="G84" s="19" cm="1">
        <f t="array" ref="G84">INDEX($F$6:$F$69, M22)</f>
        <v>1</v>
      </c>
      <c r="H84" s="19" cm="1">
        <f t="array" ref="H84">INDEX($F$6:$F$69, N22)</f>
        <v>1</v>
      </c>
      <c r="J84" s="5">
        <v>2</v>
      </c>
      <c r="K84" s="10" cm="1">
        <f t="array" ref="K84">INDEX($B$83:$H$90, INT((ROW(A2)-1)/7)+1, MOD(ROW(A2)-1,7)+1)</f>
        <v>1</v>
      </c>
      <c r="M84" s="5">
        <v>2</v>
      </c>
      <c r="N84" s="10" cm="1">
        <f t="array" ref="N84">INDEX($B$83:$H$90, INT((ROW(D2)-1)/7)+1, MOD(ROW(D2)-1,7)+1)</f>
        <v>1</v>
      </c>
      <c r="P84" s="21">
        <v>30</v>
      </c>
      <c r="Q84" s="22">
        <v>0</v>
      </c>
      <c r="S84" s="9">
        <v>2</v>
      </c>
      <c r="T84" s="5" cm="1">
        <f t="array" ref="T84">INDEX($B$83:$H$90, INT((ROW(J3)-1)/7)+1, MOD(ROW(J3)-1,7)+1)</f>
        <v>1</v>
      </c>
      <c r="V84" s="25">
        <v>30</v>
      </c>
      <c r="W84" s="21">
        <v>1</v>
      </c>
    </row>
    <row r="85" spans="2:23" x14ac:dyDescent="0.25">
      <c r="B85" s="19" cm="1">
        <f t="array" ref="B85">INDEX($F$6:$F$69, H23)</f>
        <v>0</v>
      </c>
      <c r="C85" s="19" cm="1">
        <f t="array" ref="C85">INDEX($F$6:$F$69, I23)</f>
        <v>0</v>
      </c>
      <c r="D85" s="19" cm="1">
        <f t="array" ref="D85">INDEX($F$6:$F$69, J23)</f>
        <v>1</v>
      </c>
      <c r="E85" s="19" cm="1">
        <f t="array" ref="E85">INDEX($F$6:$F$69, K23)</f>
        <v>0</v>
      </c>
      <c r="F85" s="19" cm="1">
        <f t="array" ref="F85">INDEX($F$6:$F$69, L23)</f>
        <v>1</v>
      </c>
      <c r="G85" s="19" cm="1">
        <f t="array" ref="G85">INDEX($F$6:$F$69, M23)</f>
        <v>0</v>
      </c>
      <c r="H85" s="19" cm="1">
        <f t="array" ref="H85">INDEX($F$6:$F$69, N23)</f>
        <v>1</v>
      </c>
      <c r="J85" s="5">
        <v>3</v>
      </c>
      <c r="K85" s="10" cm="1">
        <f t="array" ref="K85">INDEX($B$83:$H$90, INT((ROW(A3)-1)/7)+1, MOD(ROW(A3)-1,7)+1)</f>
        <v>1</v>
      </c>
      <c r="M85" s="5">
        <v>3</v>
      </c>
      <c r="N85" s="10" cm="1">
        <f t="array" ref="N85">INDEX($B$83:$H$90, INT((ROW(D3)-1)/7)+1, MOD(ROW(D3)-1,7)+1)</f>
        <v>1</v>
      </c>
      <c r="P85" s="21">
        <v>31</v>
      </c>
      <c r="Q85" s="22">
        <v>1</v>
      </c>
      <c r="S85" s="9">
        <v>3</v>
      </c>
      <c r="T85" s="5" cm="1">
        <f t="array" ref="T85">INDEX($B$83:$H$90, INT((ROW(J4)-1)/7)+1, MOD(ROW(J4)-1,7)+1)</f>
        <v>1</v>
      </c>
      <c r="V85" s="25">
        <v>31</v>
      </c>
      <c r="W85" s="21">
        <v>0</v>
      </c>
    </row>
    <row r="86" spans="2:23" x14ac:dyDescent="0.25">
      <c r="B86" s="19" cm="1">
        <f t="array" ref="B86">INDEX($F$6:$F$69, H24)</f>
        <v>0</v>
      </c>
      <c r="C86" s="19" cm="1">
        <f t="array" ref="C86">INDEX($F$6:$F$69, I24)</f>
        <v>1</v>
      </c>
      <c r="D86" s="19" cm="1">
        <f t="array" ref="D86">INDEX($F$6:$F$69, J24)</f>
        <v>0</v>
      </c>
      <c r="E86" s="19" cm="1">
        <f t="array" ref="E86">INDEX($F$6:$F$69, K24)</f>
        <v>1</v>
      </c>
      <c r="F86" s="19" cm="1">
        <f t="array" ref="F86">INDEX($F$6:$F$69, L24)</f>
        <v>0</v>
      </c>
      <c r="G86" s="19" cm="1">
        <f t="array" ref="G86">INDEX($F$6:$F$69, M24)</f>
        <v>1</v>
      </c>
      <c r="H86" s="19" cm="1">
        <f t="array" ref="H86">INDEX($F$6:$F$69, N24)</f>
        <v>1</v>
      </c>
      <c r="J86" s="5">
        <v>4</v>
      </c>
      <c r="K86" s="10" cm="1">
        <f t="array" ref="K86">INDEX($B$83:$H$90, INT((ROW(A4)-1)/7)+1, MOD(ROW(A4)-1,7)+1)</f>
        <v>1</v>
      </c>
      <c r="M86" s="5">
        <v>4</v>
      </c>
      <c r="N86" s="10" cm="1">
        <f t="array" ref="N86">INDEX($B$83:$H$90, INT((ROW(D4)-1)/7)+1, MOD(ROW(D4)-1,7)+1)</f>
        <v>1</v>
      </c>
      <c r="P86" s="23">
        <v>32</v>
      </c>
      <c r="Q86" s="24">
        <v>0</v>
      </c>
      <c r="S86" s="9">
        <v>4</v>
      </c>
      <c r="T86" s="5" cm="1">
        <f t="array" ref="T86">INDEX($B$83:$H$90, INT((ROW(J5)-1)/7)+1, MOD(ROW(J5)-1,7)+1)</f>
        <v>0</v>
      </c>
      <c r="V86" s="26">
        <v>32</v>
      </c>
      <c r="W86" s="23">
        <v>1</v>
      </c>
    </row>
    <row r="87" spans="2:23" x14ac:dyDescent="0.25">
      <c r="B87" s="19" cm="1">
        <f t="array" ref="B87">INDEX($F$6:$F$69, H25)</f>
        <v>1</v>
      </c>
      <c r="C87" s="19" cm="1">
        <f t="array" ref="C87">INDEX($F$6:$F$69, I25)</f>
        <v>0</v>
      </c>
      <c r="D87" s="19" cm="1">
        <f t="array" ref="D87">INDEX($F$6:$F$69, J25)</f>
        <v>1</v>
      </c>
      <c r="E87" s="19" cm="1">
        <f t="array" ref="E87">INDEX($F$6:$F$69, K25)</f>
        <v>0</v>
      </c>
      <c r="F87" s="19" cm="1">
        <f t="array" ref="F87">INDEX($F$6:$F$69, L25)</f>
        <v>1</v>
      </c>
      <c r="G87" s="19" cm="1">
        <f t="array" ref="G87">INDEX($F$6:$F$69, M25)</f>
        <v>0</v>
      </c>
      <c r="H87" s="19" cm="1">
        <f t="array" ref="H87">INDEX($F$6:$F$69, N25)</f>
        <v>1</v>
      </c>
      <c r="J87" s="5">
        <v>5</v>
      </c>
      <c r="K87" s="10" cm="1">
        <f t="array" ref="K87">INDEX($B$83:$H$90, INT((ROW(A5)-1)/7)+1, MOD(ROW(A5)-1,7)+1)</f>
        <v>0</v>
      </c>
      <c r="M87" s="5">
        <v>5</v>
      </c>
      <c r="N87" s="10" cm="1">
        <f t="array" ref="N87">INDEX($B$83:$H$90, INT((ROW(D5)-1)/7)+1, MOD(ROW(D5)-1,7)+1)</f>
        <v>0</v>
      </c>
      <c r="P87" s="21">
        <v>33</v>
      </c>
      <c r="Q87" s="22">
        <v>1</v>
      </c>
      <c r="S87" s="9">
        <v>5</v>
      </c>
      <c r="T87" s="5" cm="1">
        <f t="array" ref="T87">INDEX($B$83:$H$90, INT((ROW(J6)-1)/7)+1, MOD(ROW(J6)-1,7)+1)</f>
        <v>0</v>
      </c>
      <c r="V87" s="25">
        <v>33</v>
      </c>
      <c r="W87" s="27">
        <v>0</v>
      </c>
    </row>
    <row r="88" spans="2:23" x14ac:dyDescent="0.25">
      <c r="B88" s="19" cm="1">
        <f t="array" ref="B88">INDEX($F$6:$F$69, H26)</f>
        <v>0</v>
      </c>
      <c r="C88" s="19" cm="1">
        <f t="array" ref="C88">INDEX($F$6:$F$69, I26)</f>
        <v>1</v>
      </c>
      <c r="D88" s="19" cm="1">
        <f t="array" ref="D88">INDEX($F$6:$F$69, J26)</f>
        <v>1</v>
      </c>
      <c r="E88" s="19" cm="1">
        <f t="array" ref="E88">INDEX($F$6:$F$69, K26)</f>
        <v>0</v>
      </c>
      <c r="F88" s="19" cm="1">
        <f t="array" ref="F88">INDEX($F$6:$F$69, L26)</f>
        <v>0</v>
      </c>
      <c r="G88" s="19" cm="1">
        <f t="array" ref="G88">INDEX($F$6:$F$69, M26)</f>
        <v>1</v>
      </c>
      <c r="H88" s="19" cm="1">
        <f t="array" ref="H88">INDEX($F$6:$F$69, N26)</f>
        <v>1</v>
      </c>
      <c r="J88" s="5">
        <v>6</v>
      </c>
      <c r="K88" s="10" cm="1">
        <f t="array" ref="K88">INDEX($B$83:$H$90, INT((ROW(A6)-1)/7)+1, MOD(ROW(A6)-1,7)+1)</f>
        <v>0</v>
      </c>
      <c r="M88" s="5">
        <v>6</v>
      </c>
      <c r="N88" s="10" cm="1">
        <f t="array" ref="N88">INDEX($B$83:$H$90, INT((ROW(D6)-1)/7)+1, MOD(ROW(D6)-1,7)+1)</f>
        <v>0</v>
      </c>
      <c r="P88" s="21">
        <v>34</v>
      </c>
      <c r="Q88" s="22">
        <v>0</v>
      </c>
      <c r="S88" s="9">
        <v>6</v>
      </c>
      <c r="T88" s="5" cm="1">
        <f t="array" ref="T88">INDEX($B$83:$H$90, INT((ROW(J7)-1)/7)+1, MOD(ROW(J7)-1,7)+1)</f>
        <v>0</v>
      </c>
      <c r="V88" s="25">
        <v>34</v>
      </c>
      <c r="W88" s="21">
        <v>1</v>
      </c>
    </row>
    <row r="89" spans="2:23" x14ac:dyDescent="0.25">
      <c r="B89" s="19" cm="1">
        <f t="array" ref="B89">INDEX($F$6:$F$69, H27)</f>
        <v>0</v>
      </c>
      <c r="C89" s="19" cm="1">
        <f t="array" ref="C89">INDEX($F$6:$F$69, I27)</f>
        <v>0</v>
      </c>
      <c r="D89" s="19" cm="1">
        <f t="array" ref="D89">INDEX($F$6:$F$69, J27)</f>
        <v>1</v>
      </c>
      <c r="E89" s="19" cm="1">
        <f t="array" ref="E89">INDEX($F$6:$F$69, K27)</f>
        <v>1</v>
      </c>
      <c r="F89" s="19" cm="1">
        <f t="array" ref="F89">INDEX($F$6:$F$69, L27)</f>
        <v>1</v>
      </c>
      <c r="G89" s="19" cm="1">
        <f t="array" ref="G89">INDEX($F$6:$F$69, M27)</f>
        <v>1</v>
      </c>
      <c r="H89" s="19" cm="1">
        <f t="array" ref="H89">INDEX($F$6:$F$69, N27)</f>
        <v>0</v>
      </c>
      <c r="J89" s="5">
        <v>7</v>
      </c>
      <c r="K89" s="10" cm="1">
        <f t="array" ref="K89">INDEX($B$83:$H$90, INT((ROW(A7)-1)/7)+1, MOD(ROW(A7)-1,7)+1)</f>
        <v>0</v>
      </c>
      <c r="M89" s="5">
        <v>7</v>
      </c>
      <c r="N89" s="10" cm="1">
        <f t="array" ref="N89">INDEX($B$83:$H$90, INT((ROW(D7)-1)/7)+1, MOD(ROW(D7)-1,7)+1)</f>
        <v>0</v>
      </c>
      <c r="P89" s="21">
        <v>35</v>
      </c>
      <c r="Q89" s="22">
        <v>1</v>
      </c>
      <c r="S89" s="9">
        <v>7</v>
      </c>
      <c r="T89" s="5" cm="1">
        <f t="array" ref="T89">INDEX($B$83:$H$90, INT((ROW(J8)-1)/7)+1, MOD(ROW(J8)-1,7)+1)</f>
        <v>0</v>
      </c>
      <c r="V89" s="25">
        <v>35</v>
      </c>
      <c r="W89" s="21">
        <v>0</v>
      </c>
    </row>
    <row r="90" spans="2:23" x14ac:dyDescent="0.25">
      <c r="B90" s="19" cm="1">
        <f t="array" ref="B90">INDEX($F$6:$F$69, H28)</f>
        <v>0</v>
      </c>
      <c r="C90" s="19" cm="1">
        <f t="array" ref="C90">INDEX($F$6:$F$69, I28)</f>
        <v>0</v>
      </c>
      <c r="D90" s="19" cm="1">
        <f t="array" ref="D90">INDEX($F$6:$F$69, J28)</f>
        <v>0</v>
      </c>
      <c r="E90" s="19" cm="1">
        <f t="array" ref="E90">INDEX($F$6:$F$69, K28)</f>
        <v>1</v>
      </c>
      <c r="F90" s="19" cm="1">
        <f t="array" ref="F90">INDEX($F$6:$F$69, L28)</f>
        <v>0</v>
      </c>
      <c r="G90" s="19" cm="1">
        <f t="array" ref="G90">INDEX($F$6:$F$69, M28)</f>
        <v>1</v>
      </c>
      <c r="H90" s="19" cm="1">
        <f t="array" ref="H90">INDEX($F$6:$F$69, N28)</f>
        <v>0</v>
      </c>
      <c r="J90" s="6">
        <v>8</v>
      </c>
      <c r="K90" s="12" cm="1">
        <f t="array" ref="K90">INDEX($B$83:$H$90, INT((ROW(A8)-1)/7)+1, MOD(ROW(A8)-1,7)+1)</f>
        <v>0</v>
      </c>
      <c r="M90" s="6">
        <v>8</v>
      </c>
      <c r="N90" s="12" cm="1">
        <f t="array" ref="N90">INDEX($B$83:$H$90, INT((ROW(D8)-1)/7)+1, MOD(ROW(D8)-1,7)+1)</f>
        <v>0</v>
      </c>
      <c r="P90" s="21">
        <v>36</v>
      </c>
      <c r="Q90" s="22">
        <v>0</v>
      </c>
      <c r="S90" s="11">
        <v>8</v>
      </c>
      <c r="T90" s="6" cm="1">
        <f t="array" ref="T90">INDEX($B$83:$H$90, INT((ROW(J9)-1)/7)+1, MOD(ROW(J9)-1,7)+1)</f>
        <v>1</v>
      </c>
      <c r="V90" s="25">
        <v>36</v>
      </c>
      <c r="W90" s="21">
        <v>1</v>
      </c>
    </row>
    <row r="91" spans="2:23" x14ac:dyDescent="0.25">
      <c r="J91" s="5">
        <v>9</v>
      </c>
      <c r="K91" s="4" cm="1">
        <f t="array" ref="K91">INDEX($B$83:$H$90, INT((ROW(A9)-1)/7)+1, MOD(ROW(A9)-1,7)+1)</f>
        <v>1</v>
      </c>
      <c r="M91" s="5">
        <v>9</v>
      </c>
      <c r="N91" s="4" cm="1">
        <f t="array" ref="N91">INDEX($B$83:$H$90, INT((ROW(D9)-1)/7)+1, MOD(ROW(D9)-1,7)+1)</f>
        <v>1</v>
      </c>
      <c r="P91" s="21">
        <v>37</v>
      </c>
      <c r="Q91" s="22">
        <v>1</v>
      </c>
      <c r="S91" s="9">
        <v>9</v>
      </c>
      <c r="T91" s="4" cm="1">
        <f t="array" ref="T91">INDEX($B$83:$H$90, INT((ROW(J10)-1)/7)+1, MOD(ROW(J10)-1,7)+1)</f>
        <v>1</v>
      </c>
      <c r="V91" s="25">
        <v>37</v>
      </c>
      <c r="W91" s="21">
        <v>1</v>
      </c>
    </row>
    <row r="92" spans="2:23" x14ac:dyDescent="0.25">
      <c r="J92" s="5">
        <v>10</v>
      </c>
      <c r="K92" s="5" cm="1">
        <f t="array" ref="K92">INDEX($B$83:$H$90, INT((ROW(A10)-1)/7)+1, MOD(ROW(A10)-1,7)+1)</f>
        <v>1</v>
      </c>
      <c r="M92" s="5">
        <v>10</v>
      </c>
      <c r="N92" s="5" cm="1">
        <f t="array" ref="N92">INDEX($B$83:$H$90, INT((ROW(D10)-1)/7)+1, MOD(ROW(D10)-1,7)+1)</f>
        <v>1</v>
      </c>
      <c r="P92" s="21">
        <v>38</v>
      </c>
      <c r="Q92" s="22">
        <v>1</v>
      </c>
      <c r="S92" s="9">
        <v>10</v>
      </c>
      <c r="T92" s="5" cm="1">
        <f t="array" ref="T92">INDEX($B$83:$H$90, INT((ROW(J11)-1)/7)+1, MOD(ROW(J11)-1,7)+1)</f>
        <v>0</v>
      </c>
      <c r="V92" s="25">
        <v>38</v>
      </c>
      <c r="W92" s="21">
        <v>0</v>
      </c>
    </row>
    <row r="93" spans="2:23" x14ac:dyDescent="0.25">
      <c r="J93" s="5">
        <v>11</v>
      </c>
      <c r="K93" s="5" cm="1">
        <f t="array" ref="K93">INDEX($B$83:$H$90, INT((ROW(A11)-1)/7)+1, MOD(ROW(A11)-1,7)+1)</f>
        <v>0</v>
      </c>
      <c r="M93" s="5">
        <v>11</v>
      </c>
      <c r="N93" s="5" cm="1">
        <f t="array" ref="N93">INDEX($B$83:$H$90, INT((ROW(D11)-1)/7)+1, MOD(ROW(D11)-1,7)+1)</f>
        <v>0</v>
      </c>
      <c r="P93" s="21">
        <v>39</v>
      </c>
      <c r="Q93" s="22">
        <v>0</v>
      </c>
      <c r="S93" s="9">
        <v>11</v>
      </c>
      <c r="T93" s="5" cm="1">
        <f t="array" ref="T93">INDEX($B$83:$H$90, INT((ROW(J12)-1)/7)+1, MOD(ROW(J12)-1,7)+1)</f>
        <v>0</v>
      </c>
      <c r="V93" s="25">
        <v>39</v>
      </c>
      <c r="W93" s="21">
        <v>0</v>
      </c>
    </row>
    <row r="94" spans="2:23" x14ac:dyDescent="0.25">
      <c r="J94" s="5">
        <v>12</v>
      </c>
      <c r="K94" s="5" cm="1">
        <f t="array" ref="K94">INDEX($B$83:$H$90, INT((ROW(A12)-1)/7)+1, MOD(ROW(A12)-1,7)+1)</f>
        <v>0</v>
      </c>
      <c r="M94" s="5">
        <v>12</v>
      </c>
      <c r="N94" s="5" cm="1">
        <f t="array" ref="N94">INDEX($B$83:$H$90, INT((ROW(D12)-1)/7)+1, MOD(ROW(D12)-1,7)+1)</f>
        <v>0</v>
      </c>
      <c r="P94" s="23">
        <v>40</v>
      </c>
      <c r="Q94" s="24">
        <v>0</v>
      </c>
      <c r="S94" s="9">
        <v>12</v>
      </c>
      <c r="T94" s="5" cm="1">
        <f t="array" ref="T94">INDEX($B$83:$H$90, INT((ROW(J13)-1)/7)+1, MOD(ROW(J13)-1,7)+1)</f>
        <v>1</v>
      </c>
      <c r="V94" s="26">
        <v>40</v>
      </c>
      <c r="W94" s="23">
        <v>1</v>
      </c>
    </row>
    <row r="95" spans="2:23" x14ac:dyDescent="0.25">
      <c r="J95" s="5">
        <v>13</v>
      </c>
      <c r="K95" s="5" cm="1">
        <f t="array" ref="K95">INDEX($B$83:$H$90, INT((ROW(A13)-1)/7)+1, MOD(ROW(A13)-1,7)+1)</f>
        <v>1</v>
      </c>
      <c r="M95" s="5">
        <v>13</v>
      </c>
      <c r="N95" s="5" cm="1">
        <f t="array" ref="N95">INDEX($B$83:$H$90, INT((ROW(D13)-1)/7)+1, MOD(ROW(D13)-1,7)+1)</f>
        <v>1</v>
      </c>
      <c r="P95" s="21">
        <v>41</v>
      </c>
      <c r="Q95" s="22">
        <v>1</v>
      </c>
      <c r="S95" s="9">
        <v>13</v>
      </c>
      <c r="T95" s="5" cm="1">
        <f t="array" ref="T95">INDEX($B$83:$H$90, INT((ROW(J14)-1)/7)+1, MOD(ROW(J14)-1,7)+1)</f>
        <v>1</v>
      </c>
      <c r="V95" s="25">
        <v>41</v>
      </c>
      <c r="W95" s="27">
        <v>1</v>
      </c>
    </row>
    <row r="96" spans="2:23" x14ac:dyDescent="0.25">
      <c r="J96" s="5">
        <v>14</v>
      </c>
      <c r="K96" s="5" cm="1">
        <f t="array" ref="K96">INDEX($B$83:$H$90, INT((ROW(A14)-1)/7)+1, MOD(ROW(A14)-1,7)+1)</f>
        <v>1</v>
      </c>
      <c r="M96" s="5">
        <v>14</v>
      </c>
      <c r="N96" s="5" cm="1">
        <f t="array" ref="N96">INDEX($B$83:$H$90, INT((ROW(D14)-1)/7)+1, MOD(ROW(D14)-1,7)+1)</f>
        <v>1</v>
      </c>
      <c r="P96" s="21">
        <v>42</v>
      </c>
      <c r="Q96" s="22">
        <v>1</v>
      </c>
      <c r="S96" s="9">
        <v>14</v>
      </c>
      <c r="T96" s="5" cm="1">
        <f t="array" ref="T96">INDEX($B$83:$H$90, INT((ROW(J15)-1)/7)+1, MOD(ROW(J15)-1,7)+1)</f>
        <v>0</v>
      </c>
      <c r="V96" s="25">
        <v>42</v>
      </c>
      <c r="W96" s="21">
        <v>0</v>
      </c>
    </row>
    <row r="97" spans="10:23" x14ac:dyDescent="0.25">
      <c r="J97" s="5">
        <v>15</v>
      </c>
      <c r="K97" s="5" cm="1">
        <f t="array" ref="K97">INDEX($B$83:$H$90, INT((ROW(A15)-1)/7)+1, MOD(ROW(A15)-1,7)+1)</f>
        <v>0</v>
      </c>
      <c r="M97" s="5">
        <v>15</v>
      </c>
      <c r="N97" s="5" cm="1">
        <f t="array" ref="N97">INDEX($B$83:$H$90, INT((ROW(D15)-1)/7)+1, MOD(ROW(D15)-1,7)+1)</f>
        <v>0</v>
      </c>
      <c r="P97" s="21">
        <v>43</v>
      </c>
      <c r="Q97" s="22">
        <v>0</v>
      </c>
      <c r="S97" s="9">
        <v>15</v>
      </c>
      <c r="T97" s="5" cm="1">
        <f t="array" ref="T97">INDEX($B$83:$H$90, INT((ROW(J16)-1)/7)+1, MOD(ROW(J16)-1,7)+1)</f>
        <v>0</v>
      </c>
      <c r="V97" s="25">
        <v>43</v>
      </c>
      <c r="W97" s="21">
        <v>0</v>
      </c>
    </row>
    <row r="98" spans="10:23" x14ac:dyDescent="0.25">
      <c r="J98" s="6">
        <v>16</v>
      </c>
      <c r="K98" s="6" cm="1">
        <f t="array" ref="K98">INDEX($B$83:$H$90, INT((ROW(A16)-1)/7)+1, MOD(ROW(A16)-1,7)+1)</f>
        <v>0</v>
      </c>
      <c r="M98" s="5">
        <v>16</v>
      </c>
      <c r="N98" s="6" cm="1">
        <f t="array" ref="N98">INDEX($B$83:$H$90, INT((ROW(D16)-1)/7)+1, MOD(ROW(D16)-1,7)+1)</f>
        <v>0</v>
      </c>
      <c r="P98" s="21">
        <v>44</v>
      </c>
      <c r="Q98" s="22">
        <v>0</v>
      </c>
      <c r="S98" s="9">
        <v>16</v>
      </c>
      <c r="T98" s="6" cm="1">
        <f t="array" ref="T98">INDEX($B$83:$H$90, INT((ROW(J17)-1)/7)+1, MOD(ROW(J17)-1,7)+1)</f>
        <v>1</v>
      </c>
      <c r="V98" s="25">
        <v>44</v>
      </c>
      <c r="W98" s="21">
        <v>1</v>
      </c>
    </row>
    <row r="99" spans="10:23" x14ac:dyDescent="0.25">
      <c r="J99" s="4">
        <v>17</v>
      </c>
      <c r="K99" s="4" cm="1">
        <f t="array" ref="K99">INDEX($B$83:$H$90, INT((ROW(A17)-1)/7)+1, MOD(ROW(A17)-1,7)+1)</f>
        <v>1</v>
      </c>
      <c r="M99" s="4">
        <v>17</v>
      </c>
      <c r="N99" s="4" cm="1">
        <f t="array" ref="N99">INDEX($B$83:$H$90, INT((ROW(D17)-1)/7)+1, MOD(ROW(D17)-1,7)+1)</f>
        <v>1</v>
      </c>
      <c r="P99" s="21">
        <v>45</v>
      </c>
      <c r="Q99" s="22">
        <v>1</v>
      </c>
      <c r="S99" s="7">
        <v>17</v>
      </c>
      <c r="T99" s="4" cm="1">
        <f t="array" ref="T99">INDEX($B$83:$H$90, INT((ROW(J18)-1)/7)+1, MOD(ROW(J18)-1,7)+1)</f>
        <v>0</v>
      </c>
      <c r="V99" s="25">
        <v>45</v>
      </c>
      <c r="W99" s="21">
        <v>1</v>
      </c>
    </row>
    <row r="100" spans="10:23" x14ac:dyDescent="0.25">
      <c r="J100" s="5">
        <v>18</v>
      </c>
      <c r="K100" s="5" cm="1">
        <f t="array" ref="K100">INDEX($B$83:$H$90, INT((ROW(A18)-1)/7)+1, MOD(ROW(A18)-1,7)+1)</f>
        <v>0</v>
      </c>
      <c r="M100" s="5">
        <v>18</v>
      </c>
      <c r="N100" s="5" cm="1">
        <f t="array" ref="N100">INDEX($B$83:$H$90, INT((ROW(D18)-1)/7)+1, MOD(ROW(D18)-1,7)+1)</f>
        <v>0</v>
      </c>
      <c r="P100" s="21">
        <v>46</v>
      </c>
      <c r="Q100" s="22">
        <v>1</v>
      </c>
      <c r="S100" s="9">
        <v>18</v>
      </c>
      <c r="T100" s="5" cm="1">
        <f t="array" ref="T100">INDEX($B$83:$H$90, INT((ROW(J19)-1)/7)+1, MOD(ROW(J19)-1,7)+1)</f>
        <v>1</v>
      </c>
      <c r="V100" s="25">
        <v>46</v>
      </c>
      <c r="W100" s="21">
        <v>1</v>
      </c>
    </row>
    <row r="101" spans="10:23" x14ac:dyDescent="0.25">
      <c r="J101" s="5">
        <v>19</v>
      </c>
      <c r="K101" s="5" cm="1">
        <f t="array" ref="K101">INDEX($B$83:$H$90, INT((ROW(A19)-1)/7)+1, MOD(ROW(A19)-1,7)+1)</f>
        <v>1</v>
      </c>
      <c r="M101" s="5">
        <v>19</v>
      </c>
      <c r="N101" s="5" cm="1">
        <f t="array" ref="N101">INDEX($B$83:$H$90, INT((ROW(D19)-1)/7)+1, MOD(ROW(D19)-1,7)+1)</f>
        <v>1</v>
      </c>
      <c r="P101" s="21">
        <v>47</v>
      </c>
      <c r="Q101" s="22">
        <v>1</v>
      </c>
      <c r="S101" s="9">
        <v>19</v>
      </c>
      <c r="T101" s="5" cm="1">
        <f t="array" ref="T101">INDEX($B$83:$H$90, INT((ROW(J20)-1)/7)+1, MOD(ROW(J20)-1,7)+1)</f>
        <v>0</v>
      </c>
      <c r="V101" s="25">
        <v>47</v>
      </c>
      <c r="W101" s="21">
        <v>1</v>
      </c>
    </row>
    <row r="102" spans="10:23" x14ac:dyDescent="0.25">
      <c r="J102" s="5">
        <v>20</v>
      </c>
      <c r="K102" s="5" cm="1">
        <f t="array" ref="K102">INDEX($B$83:$H$90, INT((ROW(A20)-1)/7)+1, MOD(ROW(A20)-1,7)+1)</f>
        <v>0</v>
      </c>
      <c r="M102" s="5">
        <v>20</v>
      </c>
      <c r="N102" s="5" cm="1">
        <f t="array" ref="N102">INDEX($B$83:$H$90, INT((ROW(D20)-1)/7)+1, MOD(ROW(D20)-1,7)+1)</f>
        <v>0</v>
      </c>
      <c r="P102" s="23">
        <v>48</v>
      </c>
      <c r="Q102" s="24">
        <v>1</v>
      </c>
      <c r="S102" s="9">
        <v>20</v>
      </c>
      <c r="T102" s="5" cm="1">
        <f t="array" ref="T102">INDEX($B$83:$H$90, INT((ROW(J21)-1)/7)+1, MOD(ROW(J21)-1,7)+1)</f>
        <v>1</v>
      </c>
      <c r="V102" s="26">
        <v>48</v>
      </c>
      <c r="W102" s="23">
        <v>0</v>
      </c>
    </row>
    <row r="103" spans="10:23" x14ac:dyDescent="0.25">
      <c r="J103" s="5">
        <v>21</v>
      </c>
      <c r="K103" s="5" cm="1">
        <f t="array" ref="K103">INDEX($B$83:$H$90, INT((ROW(A21)-1)/7)+1, MOD(ROW(A21)-1,7)+1)</f>
        <v>1</v>
      </c>
      <c r="M103" s="5">
        <v>21</v>
      </c>
      <c r="N103" s="5" cm="1">
        <f t="array" ref="N103">INDEX($B$83:$H$90, INT((ROW(D21)-1)/7)+1, MOD(ROW(D21)-1,7)+1)</f>
        <v>1</v>
      </c>
      <c r="P103" s="21">
        <v>49</v>
      </c>
      <c r="Q103" s="22">
        <v>0</v>
      </c>
      <c r="S103" s="9">
        <v>21</v>
      </c>
      <c r="T103" s="5" cm="1">
        <f t="array" ref="T103">INDEX($B$83:$H$90, INT((ROW(J22)-1)/7)+1, MOD(ROW(J22)-1,7)+1)</f>
        <v>0</v>
      </c>
      <c r="V103" s="25">
        <v>49</v>
      </c>
      <c r="W103" s="21">
        <v>0</v>
      </c>
    </row>
    <row r="104" spans="10:23" x14ac:dyDescent="0.25">
      <c r="J104" s="5">
        <v>22</v>
      </c>
      <c r="K104" s="5" cm="1">
        <f t="array" ref="K104">INDEX($B$83:$H$90, INT((ROW(A22)-1)/7)+1, MOD(ROW(A22)-1,7)+1)</f>
        <v>0</v>
      </c>
      <c r="M104" s="5">
        <v>22</v>
      </c>
      <c r="N104" s="5" cm="1">
        <f t="array" ref="N104">INDEX($B$83:$H$90, INT((ROW(D22)-1)/7)+1, MOD(ROW(D22)-1,7)+1)</f>
        <v>0</v>
      </c>
      <c r="P104" s="21">
        <v>50</v>
      </c>
      <c r="Q104" s="22">
        <v>0</v>
      </c>
      <c r="S104" s="9">
        <v>22</v>
      </c>
      <c r="T104" s="5" cm="1">
        <f t="array" ref="T104">INDEX($B$83:$H$90, INT((ROW(J23)-1)/7)+1, MOD(ROW(J23)-1,7)+1)</f>
        <v>1</v>
      </c>
      <c r="V104" s="25">
        <v>50</v>
      </c>
      <c r="W104" s="21">
        <v>0</v>
      </c>
    </row>
    <row r="105" spans="10:23" x14ac:dyDescent="0.25">
      <c r="J105" s="5">
        <v>23</v>
      </c>
      <c r="K105" s="5" cm="1">
        <f t="array" ref="K105">INDEX($B$83:$H$90, INT((ROW(A23)-1)/7)+1, MOD(ROW(A23)-1,7)+1)</f>
        <v>1</v>
      </c>
      <c r="M105" s="5">
        <v>23</v>
      </c>
      <c r="N105" s="5" cm="1">
        <f t="array" ref="N105">INDEX($B$83:$H$90, INT((ROW(D23)-1)/7)+1, MOD(ROW(D23)-1,7)+1)</f>
        <v>1</v>
      </c>
      <c r="P105" s="21">
        <v>51</v>
      </c>
      <c r="Q105" s="22">
        <v>0</v>
      </c>
      <c r="S105" s="9">
        <v>23</v>
      </c>
      <c r="T105" s="5" cm="1">
        <f t="array" ref="T105">INDEX($B$83:$H$90, INT((ROW(J24)-1)/7)+1, MOD(ROW(J24)-1,7)+1)</f>
        <v>0</v>
      </c>
      <c r="V105" s="25">
        <v>51</v>
      </c>
      <c r="W105" s="21">
        <v>0</v>
      </c>
    </row>
    <row r="106" spans="10:23" x14ac:dyDescent="0.25">
      <c r="J106" s="6">
        <v>24</v>
      </c>
      <c r="K106" s="6" cm="1">
        <f t="array" ref="K106">INDEX($B$83:$H$90, INT((ROW(A24)-1)/7)+1, MOD(ROW(A24)-1,7)+1)</f>
        <v>0</v>
      </c>
      <c r="M106" s="5">
        <v>24</v>
      </c>
      <c r="N106" s="6" cm="1">
        <f t="array" ref="N106">INDEX($B$83:$H$90, INT((ROW(D24)-1)/7)+1, MOD(ROW(D24)-1,7)+1)</f>
        <v>0</v>
      </c>
      <c r="P106" s="21">
        <v>52</v>
      </c>
      <c r="Q106" s="22">
        <v>0</v>
      </c>
      <c r="S106" s="9">
        <v>24</v>
      </c>
      <c r="T106" s="6" cm="1">
        <f t="array" ref="T106">INDEX($B$83:$H$90, INT((ROW(J25)-1)/7)+1, MOD(ROW(J25)-1,7)+1)</f>
        <v>1</v>
      </c>
      <c r="V106" s="25">
        <v>52</v>
      </c>
      <c r="W106" s="21">
        <v>1</v>
      </c>
    </row>
    <row r="107" spans="10:23" x14ac:dyDescent="0.25">
      <c r="J107" s="4">
        <v>25</v>
      </c>
      <c r="K107" s="4" cm="1">
        <f t="array" ref="K107">INDEX($B$83:$H$90, INT((ROW(A25)-1)/7)+1, MOD(ROW(A25)-1,7)+1)</f>
        <v>1</v>
      </c>
      <c r="M107" s="4">
        <v>25</v>
      </c>
      <c r="N107" s="4" cm="1">
        <f t="array" ref="N107">INDEX($B$83:$H$90, INT((ROW(D25)-1)/7)+1, MOD(ROW(D25)-1,7)+1)</f>
        <v>1</v>
      </c>
      <c r="P107" s="21">
        <v>53</v>
      </c>
      <c r="Q107" s="22">
        <v>1</v>
      </c>
      <c r="S107" s="7">
        <v>25</v>
      </c>
      <c r="T107" s="5" cm="1">
        <f t="array" ref="T107">INDEX($B$83:$H$90, INT((ROW(J26)-1)/7)+1, MOD(ROW(J26)-1,7)+1)</f>
        <v>0</v>
      </c>
      <c r="V107" s="25">
        <v>53</v>
      </c>
      <c r="W107" s="21">
        <v>0</v>
      </c>
    </row>
    <row r="108" spans="10:23" x14ac:dyDescent="0.25">
      <c r="J108" s="5">
        <v>26</v>
      </c>
      <c r="K108" s="5" cm="1">
        <f t="array" ref="K108">INDEX($B$83:$H$90, INT((ROW(A26)-1)/7)+1, MOD(ROW(A26)-1,7)+1)</f>
        <v>0</v>
      </c>
      <c r="M108" s="5">
        <v>26</v>
      </c>
      <c r="N108" s="5" cm="1">
        <f t="array" ref="N108">INDEX($B$83:$H$90, INT((ROW(D26)-1)/7)+1, MOD(ROW(D26)-1,7)+1)</f>
        <v>0</v>
      </c>
      <c r="P108" s="21">
        <v>54</v>
      </c>
      <c r="Q108" s="22">
        <v>0</v>
      </c>
      <c r="S108" s="9">
        <v>26</v>
      </c>
      <c r="T108" s="5" cm="1">
        <f t="array" ref="T108">INDEX($B$83:$H$90, INT((ROW(J27)-1)/7)+1, MOD(ROW(J27)-1,7)+1)</f>
        <v>1</v>
      </c>
      <c r="V108" s="25">
        <v>54</v>
      </c>
      <c r="W108" s="21">
        <v>1</v>
      </c>
    </row>
    <row r="109" spans="10:23" x14ac:dyDescent="0.25">
      <c r="J109" s="5">
        <v>27</v>
      </c>
      <c r="K109" s="5" cm="1">
        <f t="array" ref="K109">INDEX($B$83:$H$90, INT((ROW(A27)-1)/7)+1, MOD(ROW(A27)-1,7)+1)</f>
        <v>1</v>
      </c>
      <c r="M109" s="5">
        <v>27</v>
      </c>
      <c r="N109" s="5" cm="1">
        <f t="array" ref="N109">INDEX($B$83:$H$90, INT((ROW(D27)-1)/7)+1, MOD(ROW(D27)-1,7)+1)</f>
        <v>1</v>
      </c>
      <c r="P109" s="21">
        <v>55</v>
      </c>
      <c r="Q109" s="22">
        <v>1</v>
      </c>
      <c r="S109" s="9">
        <v>27</v>
      </c>
      <c r="T109" s="5" cm="1">
        <f t="array" ref="T109">INDEX($B$83:$H$90, INT((ROW(J28)-1)/7)+1, MOD(ROW(J28)-1,7)+1)</f>
        <v>1</v>
      </c>
      <c r="V109" s="25">
        <v>55</v>
      </c>
      <c r="W109" s="21">
        <v>0</v>
      </c>
    </row>
    <row r="110" spans="10:23" x14ac:dyDescent="0.25">
      <c r="J110" s="5">
        <v>28</v>
      </c>
      <c r="K110" s="5" cm="1">
        <f t="array" ref="K110">INDEX($B$83:$H$90, INT((ROW(A28)-1)/7)+1, MOD(ROW(A28)-1,7)+1)</f>
        <v>1</v>
      </c>
      <c r="M110" s="6">
        <v>28</v>
      </c>
      <c r="N110" s="6" cm="1">
        <f t="array" ref="N110">INDEX($B$83:$H$90, INT((ROW(D28)-1)/7)+1, MOD(ROW(D28)-1,7)+1)</f>
        <v>1</v>
      </c>
      <c r="P110" s="23">
        <v>56</v>
      </c>
      <c r="Q110" s="24">
        <v>0</v>
      </c>
      <c r="S110" s="11">
        <v>28</v>
      </c>
      <c r="T110" s="6">
        <v>1</v>
      </c>
      <c r="V110" s="26">
        <v>56</v>
      </c>
      <c r="W110" s="23">
        <v>1</v>
      </c>
    </row>
    <row r="111" spans="10:23" x14ac:dyDescent="0.25">
      <c r="J111" s="5">
        <v>29</v>
      </c>
      <c r="K111" s="5" cm="1">
        <f t="array" ref="K111">INDEX($B$83:$H$90, INT((ROW(A29)-1)/7)+1, MOD(ROW(A29)-1,7)+1)</f>
        <v>1</v>
      </c>
    </row>
    <row r="112" spans="10:23" x14ac:dyDescent="0.25">
      <c r="J112" s="5">
        <v>30</v>
      </c>
      <c r="K112" s="5" cm="1">
        <f t="array" ref="K112">INDEX($B$83:$H$90, INT((ROW(A30)-1)/7)+1, MOD(ROW(A30)-1,7)+1)</f>
        <v>0</v>
      </c>
    </row>
    <row r="113" spans="10:11" x14ac:dyDescent="0.25">
      <c r="J113" s="5">
        <v>31</v>
      </c>
      <c r="K113" s="5" cm="1">
        <f t="array" ref="K113">INDEX($B$83:$H$90, INT((ROW(A31)-1)/7)+1, MOD(ROW(A31)-1,7)+1)</f>
        <v>1</v>
      </c>
    </row>
    <row r="114" spans="10:11" x14ac:dyDescent="0.25">
      <c r="J114" s="6">
        <v>32</v>
      </c>
      <c r="K114" s="6" cm="1">
        <f t="array" ref="K114">INDEX($B$83:$H$90, INT((ROW(A32)-1)/7)+1, MOD(ROW(A32)-1,7)+1)</f>
        <v>0</v>
      </c>
    </row>
    <row r="115" spans="10:11" x14ac:dyDescent="0.25">
      <c r="J115" s="4">
        <v>33</v>
      </c>
      <c r="K115" s="4" cm="1">
        <f t="array" ref="K115">INDEX($B$83:$H$90, INT((ROW(A33)-1)/7)+1, MOD(ROW(A33)-1,7)+1)</f>
        <v>1</v>
      </c>
    </row>
    <row r="116" spans="10:11" x14ac:dyDescent="0.25">
      <c r="J116" s="5">
        <v>34</v>
      </c>
      <c r="K116" s="5" cm="1">
        <f t="array" ref="K116">INDEX($B$83:$H$90, INT((ROW(A34)-1)/7)+1, MOD(ROW(A34)-1,7)+1)</f>
        <v>0</v>
      </c>
    </row>
    <row r="117" spans="10:11" x14ac:dyDescent="0.25">
      <c r="J117" s="5">
        <v>35</v>
      </c>
      <c r="K117" s="5" cm="1">
        <f t="array" ref="K117">INDEX($B$83:$H$90, INT((ROW(A35)-1)/7)+1, MOD(ROW(A35)-1,7)+1)</f>
        <v>1</v>
      </c>
    </row>
    <row r="118" spans="10:11" x14ac:dyDescent="0.25">
      <c r="J118" s="5">
        <v>36</v>
      </c>
      <c r="K118" s="5" cm="1">
        <f t="array" ref="K118">INDEX($B$83:$H$90, INT((ROW(A36)-1)/7)+1, MOD(ROW(A36)-1,7)+1)</f>
        <v>0</v>
      </c>
    </row>
    <row r="119" spans="10:11" x14ac:dyDescent="0.25">
      <c r="J119" s="5">
        <v>37</v>
      </c>
      <c r="K119" s="5" cm="1">
        <f t="array" ref="K119">INDEX($B$83:$H$90, INT((ROW(A37)-1)/7)+1, MOD(ROW(A37)-1,7)+1)</f>
        <v>1</v>
      </c>
    </row>
    <row r="120" spans="10:11" x14ac:dyDescent="0.25">
      <c r="J120" s="5">
        <v>38</v>
      </c>
      <c r="K120" s="5" cm="1">
        <f t="array" ref="K120">INDEX($B$83:$H$90, INT((ROW(A38)-1)/7)+1, MOD(ROW(A38)-1,7)+1)</f>
        <v>1</v>
      </c>
    </row>
    <row r="121" spans="10:11" x14ac:dyDescent="0.25">
      <c r="J121" s="5">
        <v>39</v>
      </c>
      <c r="K121" s="5" cm="1">
        <f t="array" ref="K121">INDEX($B$83:$H$90, INT((ROW(A39)-1)/7)+1, MOD(ROW(A39)-1,7)+1)</f>
        <v>0</v>
      </c>
    </row>
    <row r="122" spans="10:11" x14ac:dyDescent="0.25">
      <c r="J122" s="6">
        <v>40</v>
      </c>
      <c r="K122" s="6" cm="1">
        <f t="array" ref="K122">INDEX($B$83:$H$90, INT((ROW(A40)-1)/7)+1, MOD(ROW(A40)-1,7)+1)</f>
        <v>0</v>
      </c>
    </row>
    <row r="123" spans="10:11" x14ac:dyDescent="0.25">
      <c r="J123" s="4">
        <v>41</v>
      </c>
      <c r="K123" s="4" cm="1">
        <f t="array" ref="K123">INDEX($B$83:$H$90, INT((ROW(A41)-1)/7)+1, MOD(ROW(A41)-1,7)+1)</f>
        <v>1</v>
      </c>
    </row>
    <row r="124" spans="10:11" x14ac:dyDescent="0.25">
      <c r="J124" s="5">
        <v>42</v>
      </c>
      <c r="K124" s="5" cm="1">
        <f t="array" ref="K124">INDEX($B$83:$H$90, INT((ROW(A42)-1)/7)+1, MOD(ROW(A42)-1,7)+1)</f>
        <v>1</v>
      </c>
    </row>
    <row r="125" spans="10:11" x14ac:dyDescent="0.25">
      <c r="J125" s="5">
        <v>43</v>
      </c>
      <c r="K125" s="5" cm="1">
        <f t="array" ref="K125">INDEX($B$83:$H$90, INT((ROW(A43)-1)/7)+1, MOD(ROW(A43)-1,7)+1)</f>
        <v>0</v>
      </c>
    </row>
    <row r="126" spans="10:11" x14ac:dyDescent="0.25">
      <c r="J126" s="5">
        <v>44</v>
      </c>
      <c r="K126" s="5" cm="1">
        <f t="array" ref="K126">INDEX($B$83:$H$90, INT((ROW(A44)-1)/7)+1, MOD(ROW(A44)-1,7)+1)</f>
        <v>0</v>
      </c>
    </row>
    <row r="127" spans="10:11" x14ac:dyDescent="0.25">
      <c r="J127" s="5">
        <v>45</v>
      </c>
      <c r="K127" s="5" cm="1">
        <f t="array" ref="K127">INDEX($B$83:$H$90, INT((ROW(A45)-1)/7)+1, MOD(ROW(A45)-1,7)+1)</f>
        <v>1</v>
      </c>
    </row>
    <row r="128" spans="10:11" x14ac:dyDescent="0.25">
      <c r="J128" s="5">
        <v>46</v>
      </c>
      <c r="K128" s="5" cm="1">
        <f t="array" ref="K128">INDEX($B$83:$H$90, INT((ROW(A46)-1)/7)+1, MOD(ROW(A46)-1,7)+1)</f>
        <v>1</v>
      </c>
    </row>
    <row r="129" spans="1:34" x14ac:dyDescent="0.25">
      <c r="J129" s="5">
        <v>47</v>
      </c>
      <c r="K129" s="5" cm="1">
        <f t="array" ref="K129">INDEX($B$83:$H$90, INT((ROW(A47)-1)/7)+1, MOD(ROW(A47)-1,7)+1)</f>
        <v>1</v>
      </c>
    </row>
    <row r="130" spans="1:34" x14ac:dyDescent="0.25">
      <c r="J130" s="6">
        <v>48</v>
      </c>
      <c r="K130" s="6" cm="1">
        <f t="array" ref="K130">INDEX($B$83:$H$90, INT((ROW(A48)-1)/7)+1, MOD(ROW(A48)-1,7)+1)</f>
        <v>1</v>
      </c>
    </row>
    <row r="131" spans="1:34" x14ac:dyDescent="0.25">
      <c r="J131" s="4">
        <v>49</v>
      </c>
      <c r="K131" s="4" cm="1">
        <f t="array" ref="K131">INDEX($B$83:$H$90, INT((ROW(A49)-1)/7)+1, MOD(ROW(A49)-1,7)+1)</f>
        <v>0</v>
      </c>
    </row>
    <row r="132" spans="1:34" x14ac:dyDescent="0.25">
      <c r="J132" s="5">
        <v>50</v>
      </c>
      <c r="K132" s="5" cm="1">
        <f t="array" ref="K132">INDEX($B$83:$H$90, INT((ROW(A50)-1)/7)+1, MOD(ROW(A50)-1,7)+1)</f>
        <v>0</v>
      </c>
    </row>
    <row r="133" spans="1:34" x14ac:dyDescent="0.25">
      <c r="J133" s="5">
        <v>51</v>
      </c>
      <c r="K133" s="5" cm="1">
        <f t="array" ref="K133">INDEX($B$83:$H$90, INT((ROW(A51)-1)/7)+1, MOD(ROW(A51)-1,7)+1)</f>
        <v>0</v>
      </c>
    </row>
    <row r="134" spans="1:34" x14ac:dyDescent="0.25">
      <c r="J134" s="5">
        <v>52</v>
      </c>
      <c r="K134" s="5" cm="1">
        <f t="array" ref="K134">INDEX($B$83:$H$90, INT((ROW(A52)-1)/7)+1, MOD(ROW(A52)-1,7)+1)</f>
        <v>0</v>
      </c>
    </row>
    <row r="135" spans="1:34" x14ac:dyDescent="0.25">
      <c r="J135" s="5">
        <v>53</v>
      </c>
      <c r="K135" s="5" cm="1">
        <f t="array" ref="K135">INDEX($B$83:$H$90, INT((ROW(A53)-1)/7)+1, MOD(ROW(A53)-1,7)+1)</f>
        <v>1</v>
      </c>
    </row>
    <row r="136" spans="1:34" x14ac:dyDescent="0.25">
      <c r="J136" s="5">
        <v>54</v>
      </c>
      <c r="K136" s="5" cm="1">
        <f t="array" ref="K136">INDEX($B$83:$H$90, INT((ROW(A54)-1)/7)+1, MOD(ROW(A54)-1,7)+1)</f>
        <v>0</v>
      </c>
    </row>
    <row r="137" spans="1:34" x14ac:dyDescent="0.25">
      <c r="J137" s="5">
        <v>55</v>
      </c>
      <c r="K137" s="5" cm="1">
        <f t="array" ref="K137">INDEX($B$83:$H$90, INT((ROW(A55)-1)/7)+1, MOD(ROW(A55)-1,7)+1)</f>
        <v>1</v>
      </c>
    </row>
    <row r="138" spans="1:34" x14ac:dyDescent="0.25">
      <c r="J138" s="6">
        <v>56</v>
      </c>
      <c r="K138" s="6" cm="1">
        <f t="array" ref="K138">INDEX($B$83:$H$90, INT((ROW(A56)-1)/7)+1, MOD(ROW(A56)-1,7)+1)</f>
        <v>0</v>
      </c>
    </row>
    <row r="140" spans="1:34" x14ac:dyDescent="0.25">
      <c r="A140" t="s">
        <v>28</v>
      </c>
    </row>
    <row r="141" spans="1:34" x14ac:dyDescent="0.25">
      <c r="B141" s="37" t="s">
        <v>22</v>
      </c>
      <c r="C141" s="38"/>
      <c r="F141" s="39" t="s">
        <v>23</v>
      </c>
      <c r="G141" s="40"/>
      <c r="H141" s="40"/>
      <c r="I141" s="40"/>
      <c r="J141" s="40"/>
      <c r="K141" s="41"/>
      <c r="M141" s="37" t="s">
        <v>21</v>
      </c>
      <c r="N141" s="43"/>
      <c r="P141" s="2" t="s">
        <v>3</v>
      </c>
      <c r="Q141" s="18" t="s">
        <v>29</v>
      </c>
      <c r="S141" s="42" t="s">
        <v>77</v>
      </c>
      <c r="T141" s="42" t="s">
        <v>74</v>
      </c>
      <c r="U141" s="42"/>
      <c r="V141" s="42" t="s">
        <v>75</v>
      </c>
      <c r="W141" s="42" t="s">
        <v>76</v>
      </c>
      <c r="X141" s="36" t="s">
        <v>78</v>
      </c>
      <c r="Y141" s="36" t="s">
        <v>79</v>
      </c>
      <c r="AA141" s="37" t="s">
        <v>80</v>
      </c>
      <c r="AB141" s="38"/>
      <c r="AD141" s="37" t="s">
        <v>81</v>
      </c>
      <c r="AE141" s="38"/>
      <c r="AG141" s="36" t="s">
        <v>82</v>
      </c>
      <c r="AH141" s="36"/>
    </row>
    <row r="142" spans="1:34" x14ac:dyDescent="0.25">
      <c r="B142" s="4">
        <v>1</v>
      </c>
      <c r="C142" s="4" cm="1">
        <f t="array" ref="C142">INDEX($B$83:$H$90, INT((ROW(P2)-1)/7)+1, MOD(ROW(P2)-1,7)+1)</f>
        <v>1</v>
      </c>
      <c r="F142" s="15" cm="1">
        <f t="array" ref="F142">INDEX($C$142:$C$197, H41)</f>
        <v>0</v>
      </c>
      <c r="G142" s="15" cm="1">
        <f t="array" ref="G142">INDEX($C$142:$C$197, I41)</f>
        <v>0</v>
      </c>
      <c r="H142" s="15" cm="1">
        <f t="array" ref="H142">INDEX($C$142:$C$197, J41)</f>
        <v>0</v>
      </c>
      <c r="I142" s="15" cm="1">
        <f t="array" ref="I142">INDEX($C$142:$C$197, K41)</f>
        <v>1</v>
      </c>
      <c r="J142" s="15" cm="1">
        <f t="array" ref="J142">INDEX($C$142:$C$197, L41)</f>
        <v>1</v>
      </c>
      <c r="K142" s="15" cm="1">
        <f t="array" ref="K142">INDEX($C$142:$C$197, M41)</f>
        <v>0</v>
      </c>
      <c r="M142" s="7">
        <v>1</v>
      </c>
      <c r="N142" s="4" cm="1">
        <f t="array" ref="N142">INDEX($F$142:$K$149, INT((ROW(A1)-1)/6)+1, MOD(ROW(A1)-1,6)+1)</f>
        <v>0</v>
      </c>
      <c r="P142" s="7">
        <v>1</v>
      </c>
      <c r="Q142" s="4">
        <f>_xlfn.BITXOR(X27, N142)</f>
        <v>0</v>
      </c>
      <c r="S142" s="42"/>
      <c r="T142" s="42"/>
      <c r="U142" s="42"/>
      <c r="V142" s="42"/>
      <c r="W142" s="42"/>
      <c r="X142" s="36"/>
      <c r="Y142" s="36"/>
      <c r="AA142" s="7">
        <v>1</v>
      </c>
      <c r="AB142" s="4" t="e" cm="1">
        <f t="array" aca="1" ref="AB142" ca="1">MID(INDEX($Y$143:$Y$150,INT((ROW(A1)-1)/4)+1),MOD(ROW(A1)-1,4)+1,1)</f>
        <v>#VALUE!</v>
      </c>
      <c r="AD142" s="7">
        <v>1</v>
      </c>
      <c r="AE142" s="4" t="e" cm="1">
        <f t="array" aca="1" ref="AE142" ca="1">INDEX($AB$142:$AB$173, INDEX($H$15:$O$18, INT((ROW(A1)-1)/8)+1, MOD(ROW(A1)-1,8)+1))</f>
        <v>#VALUE!</v>
      </c>
      <c r="AG142" s="2" t="s">
        <v>83</v>
      </c>
      <c r="AH142" s="31" t="s">
        <v>84</v>
      </c>
    </row>
    <row r="143" spans="1:34" x14ac:dyDescent="0.25">
      <c r="B143" s="5">
        <v>2</v>
      </c>
      <c r="C143" s="5" cm="1">
        <f t="array" ref="C143">INDEX($B$83:$H$90, INT((ROW(P3)-1)/7)+1, MOD(ROW(P3)-1,7)+1)</f>
        <v>1</v>
      </c>
      <c r="F143" s="15" cm="1">
        <f t="array" ref="F143">INDEX($C$142:$C$197, H42)</f>
        <v>1</v>
      </c>
      <c r="G143" s="15" cm="1">
        <f t="array" ref="G143">INDEX($C$142:$C$197, I42)</f>
        <v>1</v>
      </c>
      <c r="H143" s="15" cm="1">
        <f t="array" ref="H143">INDEX($C$142:$C$197, J42)</f>
        <v>0</v>
      </c>
      <c r="I143" s="15" cm="1">
        <f t="array" ref="I143">INDEX($C$142:$C$197, K42)</f>
        <v>0</v>
      </c>
      <c r="J143" s="15" cm="1">
        <f t="array" ref="J143">INDEX($C$142:$C$197, L42)</f>
        <v>0</v>
      </c>
      <c r="K143" s="15" cm="1">
        <f t="array" ref="K143">INDEX($C$142:$C$197, M42)</f>
        <v>0</v>
      </c>
      <c r="M143" s="9">
        <v>2</v>
      </c>
      <c r="N143" s="5" cm="1">
        <f t="array" ref="N143">INDEX($F$142:$K$149, INT((ROW(A2)-1)/6)+1, MOD(ROW(A2)-1,6)+1)</f>
        <v>0</v>
      </c>
      <c r="P143" s="9">
        <v>2</v>
      </c>
      <c r="Q143" s="4">
        <f t="shared" ref="Q143:Q189" si="0">_xlfn.BITXOR(X28, N143)</f>
        <v>1</v>
      </c>
      <c r="S143" s="32">
        <v>1</v>
      </c>
      <c r="T143" s="34" t="str">
        <f>_xlfn.TEXTJOIN("", TRUE, INDEX($Q$142:$Q$189, (ROW(A1)-1)*6+1) : INDEX($Q$142:$Q$189, (ROW(A1)-1)*6+6))</f>
        <v>011010</v>
      </c>
      <c r="U143" s="35"/>
      <c r="V143" s="32">
        <f>BIN2DEC(LEFT(T143,1) &amp; RIGHT(T143,1))</f>
        <v>0</v>
      </c>
      <c r="W143" s="31">
        <f>BIN2DEC(MID(T143,2,4))</f>
        <v>13</v>
      </c>
      <c r="X143" s="31" t="e" cm="1">
        <f t="array" aca="1" ref="X143" ca="1">INDEX(OFFSET('[1]S-box'!$A$2, (S143-1)*6, 0, 4, 16), V143+1, W143+1)</f>
        <v>#VALUE!</v>
      </c>
      <c r="Y143" s="33" t="e">
        <f ca="1">DEC2BIN(X143, 4)</f>
        <v>#VALUE!</v>
      </c>
      <c r="AA143" s="9">
        <v>2</v>
      </c>
      <c r="AB143" s="4" t="e" cm="1">
        <f t="array" aca="1" ref="AB143" ca="1">MID(INDEX($Y$143:$Y$150,INT((ROW(A2)-1)/4)+1),MOD(ROW(A2)-1,4)+1,1)</f>
        <v>#VALUE!</v>
      </c>
      <c r="AD143" s="9">
        <v>2</v>
      </c>
      <c r="AE143" s="4" t="e" cm="1">
        <f t="array" aca="1" ref="AE143" ca="1">INDEX($AB$142:$AB$173, INDEX($H$15:$O$18, INT((ROW(A2)-1)/8)+1, MOD(ROW(A2)-1,8)+1))</f>
        <v>#VALUE!</v>
      </c>
      <c r="AG143" s="2" cm="1">
        <f t="array" ref="AG143">INDEX($Q$5:$X$12, INT((ROW(A33)-1)/8)+1, MOD(ROW(A33)-1,8)+1)</f>
        <v>1</v>
      </c>
      <c r="AH143" s="2" t="e">
        <f ca="1">_xlfn.BITXOR(T17, AE142)</f>
        <v>#VALUE!</v>
      </c>
    </row>
    <row r="144" spans="1:34" x14ac:dyDescent="0.25">
      <c r="B144" s="5">
        <v>3</v>
      </c>
      <c r="C144" s="5" cm="1">
        <f t="array" ref="C144">INDEX($B$83:$H$90, INT((ROW(P4)-1)/7)+1, MOD(ROW(P4)-1,7)+1)</f>
        <v>1</v>
      </c>
      <c r="F144" s="15" cm="1">
        <f t="array" ref="F144">INDEX($C$142:$C$197, H43)</f>
        <v>0</v>
      </c>
      <c r="G144" s="15" cm="1">
        <f t="array" ref="G144">INDEX($C$142:$C$197, I43)</f>
        <v>0</v>
      </c>
      <c r="H144" s="15" cm="1">
        <f t="array" ref="H144">INDEX($C$142:$C$197, J43)</f>
        <v>1</v>
      </c>
      <c r="I144" s="15" cm="1">
        <f t="array" ref="I144">INDEX($C$142:$C$197, K43)</f>
        <v>0</v>
      </c>
      <c r="J144" s="15" cm="1">
        <f t="array" ref="J144">INDEX($C$142:$C$197, L43)</f>
        <v>1</v>
      </c>
      <c r="K144" s="15" cm="1">
        <f t="array" ref="K144">INDEX($C$142:$C$197, M43)</f>
        <v>1</v>
      </c>
      <c r="M144" s="9">
        <v>3</v>
      </c>
      <c r="N144" s="5" cm="1">
        <f t="array" ref="N144">INDEX($F$142:$K$149, INT((ROW(A3)-1)/6)+1, MOD(ROW(A3)-1,6)+1)</f>
        <v>0</v>
      </c>
      <c r="P144" s="9">
        <v>3</v>
      </c>
      <c r="Q144" s="4">
        <f t="shared" si="0"/>
        <v>1</v>
      </c>
      <c r="S144" s="32">
        <v>2</v>
      </c>
      <c r="T144" s="34" t="str">
        <f>_xlfn.TEXTJOIN("", TRUE, INDEX($Q$142:$Q$189, (ROW(A2)-1)*6+1) : INDEX($Q$142:$Q$189, (ROW(A2)-1)*6+6))</f>
        <v>110000</v>
      </c>
      <c r="U144" s="35"/>
      <c r="V144" s="32">
        <f t="shared" ref="V144:V150" si="1">BIN2DEC(LEFT(T144,1) &amp; RIGHT(T144,1))</f>
        <v>2</v>
      </c>
      <c r="W144" s="31">
        <f t="shared" ref="W144:W150" si="2">BIN2DEC(MID(T144,2,4))</f>
        <v>8</v>
      </c>
      <c r="X144" s="31" t="e" cm="1">
        <f t="array" aca="1" ref="X144" ca="1">INDEX(OFFSET('[1]S-box'!$A$2, (S144-1)*6, 0, 4, 16), V144+1, W144+1)</f>
        <v>#VALUE!</v>
      </c>
      <c r="Y144" s="33" t="e">
        <f t="shared" ref="Y144:Y150" ca="1" si="3">DEC2BIN(X144, 4)</f>
        <v>#VALUE!</v>
      </c>
      <c r="AA144" s="9">
        <v>3</v>
      </c>
      <c r="AB144" s="4" t="e" cm="1">
        <f t="array" aca="1" ref="AB144" ca="1">MID(INDEX($Y$143:$Y$150,INT((ROW(A3)-1)/4)+1),MOD(ROW(A3)-1,4)+1,1)</f>
        <v>#VALUE!</v>
      </c>
      <c r="AD144" s="9">
        <v>3</v>
      </c>
      <c r="AE144" s="4" t="e" cm="1">
        <f t="array" aca="1" ref="AE144" ca="1">INDEX($AB$142:$AB$173, INDEX($H$15:$O$18, INT((ROW(A3)-1)/8)+1, MOD(ROW(A3)-1,8)+1))</f>
        <v>#VALUE!</v>
      </c>
      <c r="AG144" s="2" cm="1">
        <f t="array" ref="AG144">INDEX($Q$5:$X$12, INT((ROW(A34)-1)/8)+1, MOD(ROW(A34)-1,8)+1)</f>
        <v>1</v>
      </c>
      <c r="AH144" s="2" t="e">
        <f t="shared" ref="AH144:AH174" ca="1" si="4">_xlfn.BITXOR(T18, AE143)</f>
        <v>#VALUE!</v>
      </c>
    </row>
    <row r="145" spans="2:34" x14ac:dyDescent="0.25">
      <c r="B145" s="5">
        <v>4</v>
      </c>
      <c r="C145" s="5" cm="1">
        <f t="array" ref="C145">INDEX($B$83:$H$90, INT((ROW(P5)-1)/7)+1, MOD(ROW(P5)-1,7)+1)</f>
        <v>0</v>
      </c>
      <c r="F145" s="15" cm="1">
        <f t="array" ref="F145">INDEX($C$142:$C$197, H44)</f>
        <v>1</v>
      </c>
      <c r="G145" s="15" cm="1">
        <f t="array" ref="G145">INDEX($C$142:$C$197, I44)</f>
        <v>0</v>
      </c>
      <c r="H145" s="15" cm="1">
        <f t="array" ref="H145">INDEX($C$142:$C$197, J44)</f>
        <v>1</v>
      </c>
      <c r="I145" s="15" cm="1">
        <f t="array" ref="I145">INDEX($C$142:$C$197, K44)</f>
        <v>1</v>
      </c>
      <c r="J145" s="15" cm="1">
        <f t="array" ref="J145">INDEX($C$142:$C$197, L44)</f>
        <v>1</v>
      </c>
      <c r="K145" s="15" cm="1">
        <f t="array" ref="K145">INDEX($C$142:$C$197, M44)</f>
        <v>1</v>
      </c>
      <c r="M145" s="9">
        <v>4</v>
      </c>
      <c r="N145" s="5" cm="1">
        <f t="array" ref="N145">INDEX($F$142:$K$149, INT((ROW(A4)-1)/6)+1, MOD(ROW(A4)-1,6)+1)</f>
        <v>1</v>
      </c>
      <c r="P145" s="9">
        <v>4</v>
      </c>
      <c r="Q145" s="4">
        <f t="shared" si="0"/>
        <v>0</v>
      </c>
      <c r="S145" s="32">
        <v>3</v>
      </c>
      <c r="T145" s="34" t="str">
        <f>_xlfn.TEXTJOIN("", TRUE, INDEX($Q$142:$Q$189, (ROW(A3)-1)*6+1) : INDEX($Q$142:$Q$189, (ROW(A3)-1)*6+6))</f>
        <v>000001</v>
      </c>
      <c r="U145" s="35"/>
      <c r="V145" s="32">
        <f t="shared" si="1"/>
        <v>1</v>
      </c>
      <c r="W145" s="31">
        <f t="shared" si="2"/>
        <v>0</v>
      </c>
      <c r="X145" s="31" t="e" cm="1">
        <f t="array" aca="1" ref="X145" ca="1">INDEX(OFFSET('[1]S-box'!$A$2, (S145-1)*6, 0, 4, 16), V145+1, W145+1)</f>
        <v>#VALUE!</v>
      </c>
      <c r="Y145" s="33" t="e">
        <f t="shared" ca="1" si="3"/>
        <v>#VALUE!</v>
      </c>
      <c r="AA145" s="9">
        <v>4</v>
      </c>
      <c r="AB145" s="4" t="e" cm="1">
        <f t="array" aca="1" ref="AB145" ca="1">MID(INDEX($Y$143:$Y$150,INT((ROW(A4)-1)/4)+1),MOD(ROW(A4)-1,4)+1,1)</f>
        <v>#VALUE!</v>
      </c>
      <c r="AD145" s="9">
        <v>4</v>
      </c>
      <c r="AE145" s="4" t="e" cm="1">
        <f t="array" aca="1" ref="AE145" ca="1">INDEX($AB$142:$AB$173, INDEX($H$15:$O$18, INT((ROW(A4)-1)/8)+1, MOD(ROW(A4)-1,8)+1))</f>
        <v>#VALUE!</v>
      </c>
      <c r="AG145" s="2" cm="1">
        <f t="array" ref="AG145">INDEX($Q$5:$X$12, INT((ROW(A35)-1)/8)+1, MOD(ROW(A35)-1,8)+1)</f>
        <v>1</v>
      </c>
      <c r="AH145" s="2" t="e">
        <f t="shared" ca="1" si="4"/>
        <v>#VALUE!</v>
      </c>
    </row>
    <row r="146" spans="2:34" x14ac:dyDescent="0.25">
      <c r="B146" s="5">
        <v>5</v>
      </c>
      <c r="C146" s="5" cm="1">
        <f t="array" ref="C146">INDEX($B$83:$H$90, INT((ROW(P6)-1)/7)+1, MOD(ROW(P6)-1,7)+1)</f>
        <v>0</v>
      </c>
      <c r="F146" s="15" cm="1">
        <f t="array" ref="F146">INDEX($C$142:$C$197, H45)</f>
        <v>1</v>
      </c>
      <c r="G146" s="15" cm="1">
        <f t="array" ref="G146">INDEX($C$142:$C$197, I45)</f>
        <v>1</v>
      </c>
      <c r="H146" s="15" cm="1">
        <f t="array" ref="H146">INDEX($C$142:$C$197, J45)</f>
        <v>0</v>
      </c>
      <c r="I146" s="15" cm="1">
        <f t="array" ref="I146">INDEX($C$142:$C$197, K45)</f>
        <v>1</v>
      </c>
      <c r="J146" s="15" cm="1">
        <f t="array" ref="J146">INDEX($C$142:$C$197, L45)</f>
        <v>1</v>
      </c>
      <c r="K146" s="15" cm="1">
        <f t="array" ref="K146">INDEX($C$142:$C$197, M45)</f>
        <v>0</v>
      </c>
      <c r="M146" s="9">
        <v>5</v>
      </c>
      <c r="N146" s="5" cm="1">
        <f t="array" ref="N146">INDEX($F$142:$K$149, INT((ROW(A5)-1)/6)+1, MOD(ROW(A5)-1,6)+1)</f>
        <v>1</v>
      </c>
      <c r="P146" s="9">
        <v>5</v>
      </c>
      <c r="Q146" s="4">
        <f t="shared" si="0"/>
        <v>1</v>
      </c>
      <c r="S146" s="32">
        <v>4</v>
      </c>
      <c r="T146" s="34" t="str">
        <f>_xlfn.TEXTJOIN("", TRUE, INDEX($Q$142:$Q$189, (ROW(A4)-1)*6+1) : INDEX($Q$142:$Q$189, (ROW(A4)-1)*6+6))</f>
        <v>000110</v>
      </c>
      <c r="U146" s="35"/>
      <c r="V146" s="32">
        <f t="shared" si="1"/>
        <v>0</v>
      </c>
      <c r="W146" s="31">
        <f t="shared" si="2"/>
        <v>3</v>
      </c>
      <c r="X146" s="31" t="e" cm="1">
        <f t="array" aca="1" ref="X146" ca="1">INDEX(OFFSET('[1]S-box'!$A$2, (S146-1)*6, 0, 4, 16), V146+1, W146+1)</f>
        <v>#VALUE!</v>
      </c>
      <c r="Y146" s="33" t="e">
        <f t="shared" ca="1" si="3"/>
        <v>#VALUE!</v>
      </c>
      <c r="AA146" s="9">
        <v>5</v>
      </c>
      <c r="AB146" s="4" t="e" cm="1">
        <f t="array" aca="1" ref="AB146" ca="1">MID(INDEX($Y$143:$Y$150,INT((ROW(A5)-1)/4)+1),MOD(ROW(A5)-1,4)+1,1)</f>
        <v>#VALUE!</v>
      </c>
      <c r="AD146" s="9">
        <v>5</v>
      </c>
      <c r="AE146" s="4" t="e" cm="1">
        <f t="array" aca="1" ref="AE146" ca="1">INDEX($AB$142:$AB$173, INDEX($H$15:$O$18, INT((ROW(A5)-1)/8)+1, MOD(ROW(A5)-1,8)+1))</f>
        <v>#VALUE!</v>
      </c>
      <c r="AG146" s="2" cm="1">
        <f t="array" ref="AG146">INDEX($Q$5:$X$12, INT((ROW(A36)-1)/8)+1, MOD(ROW(A36)-1,8)+1)</f>
        <v>0</v>
      </c>
      <c r="AH146" s="2" t="e">
        <f t="shared" ca="1" si="4"/>
        <v>#VALUE!</v>
      </c>
    </row>
    <row r="147" spans="2:34" x14ac:dyDescent="0.25">
      <c r="B147" s="5">
        <v>6</v>
      </c>
      <c r="C147" s="5" cm="1">
        <f t="array" ref="C147">INDEX($B$83:$H$90, INT((ROW(P7)-1)/7)+1, MOD(ROW(P7)-1,7)+1)</f>
        <v>0</v>
      </c>
      <c r="F147" s="15" cm="1">
        <f t="array" ref="F147">INDEX($C$142:$C$197, H46)</f>
        <v>1</v>
      </c>
      <c r="G147" s="15" cm="1">
        <f t="array" ref="G147">INDEX($C$142:$C$197, I46)</f>
        <v>1</v>
      </c>
      <c r="H147" s="15" cm="1">
        <f t="array" ref="H147">INDEX($C$142:$C$197, J46)</f>
        <v>0</v>
      </c>
      <c r="I147" s="15" cm="1">
        <f t="array" ref="I147">INDEX($C$142:$C$197, K46)</f>
        <v>1</v>
      </c>
      <c r="J147" s="15" cm="1">
        <f t="array" ref="J147">INDEX($C$142:$C$197, L46)</f>
        <v>0</v>
      </c>
      <c r="K147" s="15" cm="1">
        <f t="array" ref="K147">INDEX($C$142:$C$197, M46)</f>
        <v>0</v>
      </c>
      <c r="M147" s="9">
        <v>6</v>
      </c>
      <c r="N147" s="5" cm="1">
        <f t="array" ref="N147">INDEX($F$142:$K$149, INT((ROW(A6)-1)/6)+1, MOD(ROW(A6)-1,6)+1)</f>
        <v>0</v>
      </c>
      <c r="P147" s="9">
        <v>6</v>
      </c>
      <c r="Q147" s="4">
        <f t="shared" si="0"/>
        <v>0</v>
      </c>
      <c r="S147" s="32">
        <v>5</v>
      </c>
      <c r="T147" s="34" t="str">
        <f>_xlfn.TEXTJOIN("", TRUE, INDEX($Q$142:$Q$189, (ROW(A5)-1)*6+1) : INDEX($Q$142:$Q$189, (ROW(A5)-1)*6+6))</f>
        <v>101000</v>
      </c>
      <c r="U147" s="35"/>
      <c r="V147" s="32">
        <f t="shared" si="1"/>
        <v>2</v>
      </c>
      <c r="W147" s="31">
        <f t="shared" si="2"/>
        <v>4</v>
      </c>
      <c r="X147" s="31" t="e" cm="1">
        <f t="array" aca="1" ref="X147" ca="1">INDEX(OFFSET('[1]S-box'!$A$2, (S147-1)*6, 0, 4, 16), V147+1, W147+1)</f>
        <v>#VALUE!</v>
      </c>
      <c r="Y147" s="33" t="e">
        <f t="shared" ca="1" si="3"/>
        <v>#VALUE!</v>
      </c>
      <c r="AA147" s="9">
        <v>6</v>
      </c>
      <c r="AB147" s="4" t="e" cm="1">
        <f t="array" aca="1" ref="AB147" ca="1">MID(INDEX($Y$143:$Y$150,INT((ROW(A6)-1)/4)+1),MOD(ROW(A6)-1,4)+1,1)</f>
        <v>#VALUE!</v>
      </c>
      <c r="AD147" s="9">
        <v>6</v>
      </c>
      <c r="AE147" s="4" t="e" cm="1">
        <f t="array" aca="1" ref="AE147" ca="1">INDEX($AB$142:$AB$173, INDEX($H$15:$O$18, INT((ROW(A6)-1)/8)+1, MOD(ROW(A6)-1,8)+1))</f>
        <v>#VALUE!</v>
      </c>
      <c r="AG147" s="2" cm="1">
        <f t="array" ref="AG147">INDEX($Q$5:$X$12, INT((ROW(A37)-1)/8)+1, MOD(ROW(A37)-1,8)+1)</f>
        <v>0</v>
      </c>
      <c r="AH147" s="2" t="e">
        <f t="shared" ca="1" si="4"/>
        <v>#VALUE!</v>
      </c>
    </row>
    <row r="148" spans="2:34" x14ac:dyDescent="0.25">
      <c r="B148" s="5">
        <v>7</v>
      </c>
      <c r="C148" s="5" cm="1">
        <f t="array" ref="C148">INDEX($B$83:$H$90, INT((ROW(P8)-1)/7)+1, MOD(ROW(P8)-1,7)+1)</f>
        <v>0</v>
      </c>
      <c r="F148" s="15" cm="1">
        <f t="array" ref="F148">INDEX($C$142:$C$197, H47)</f>
        <v>1</v>
      </c>
      <c r="G148" s="15" cm="1">
        <f t="array" ref="G148">INDEX($C$142:$C$197, I47)</f>
        <v>0</v>
      </c>
      <c r="H148" s="15" cm="1">
        <f t="array" ref="H148">INDEX($C$142:$C$197, J47)</f>
        <v>0</v>
      </c>
      <c r="I148" s="15" cm="1">
        <f t="array" ref="I148">INDEX($C$142:$C$197, K47)</f>
        <v>1</v>
      </c>
      <c r="J148" s="15" cm="1">
        <f t="array" ref="J148">INDEX($C$142:$C$197, L47)</f>
        <v>1</v>
      </c>
      <c r="K148" s="15" cm="1">
        <f t="array" ref="K148">INDEX($C$142:$C$197, M47)</f>
        <v>0</v>
      </c>
      <c r="M148" s="9">
        <v>7</v>
      </c>
      <c r="N148" s="5" cm="1">
        <f t="array" ref="N148">INDEX($F$142:$K$149, INT((ROW(A7)-1)/6)+1, MOD(ROW(A7)-1,6)+1)</f>
        <v>1</v>
      </c>
      <c r="P148" s="9">
        <v>7</v>
      </c>
      <c r="Q148" s="4">
        <f t="shared" si="0"/>
        <v>1</v>
      </c>
      <c r="S148" s="32">
        <v>6</v>
      </c>
      <c r="T148" s="34" t="str">
        <f>_xlfn.TEXTJOIN("", TRUE, INDEX($Q$142:$Q$189, (ROW(A6)-1)*6+1) : INDEX($Q$142:$Q$189, (ROW(A6)-1)*6+6))</f>
        <v>010101</v>
      </c>
      <c r="U148" s="35"/>
      <c r="V148" s="32">
        <f t="shared" si="1"/>
        <v>1</v>
      </c>
      <c r="W148" s="31">
        <f t="shared" si="2"/>
        <v>10</v>
      </c>
      <c r="X148" s="31" t="e" cm="1">
        <f t="array" aca="1" ref="X148" ca="1">INDEX(OFFSET('[1]S-box'!$A$2, (S148-1)*6, 0, 4, 16), V148+1, W148+1)</f>
        <v>#VALUE!</v>
      </c>
      <c r="Y148" s="33" t="e">
        <f t="shared" ca="1" si="3"/>
        <v>#VALUE!</v>
      </c>
      <c r="AA148" s="9">
        <v>7</v>
      </c>
      <c r="AB148" s="4" t="e" cm="1">
        <f t="array" aca="1" ref="AB148" ca="1">MID(INDEX($Y$143:$Y$150,INT((ROW(A7)-1)/4)+1),MOD(ROW(A7)-1,4)+1,1)</f>
        <v>#VALUE!</v>
      </c>
      <c r="AD148" s="9">
        <v>7</v>
      </c>
      <c r="AE148" s="4" t="e" cm="1">
        <f t="array" aca="1" ref="AE148" ca="1">INDEX($AB$142:$AB$173, INDEX($H$15:$O$18, INT((ROW(A7)-1)/8)+1, MOD(ROW(A7)-1,8)+1))</f>
        <v>#VALUE!</v>
      </c>
      <c r="AG148" s="2" cm="1">
        <f t="array" ref="AG148">INDEX($Q$5:$X$12, INT((ROW(A38)-1)/8)+1, MOD(ROW(A38)-1,8)+1)</f>
        <v>0</v>
      </c>
      <c r="AH148" s="2" t="e">
        <f t="shared" ca="1" si="4"/>
        <v>#VALUE!</v>
      </c>
    </row>
    <row r="149" spans="2:34" x14ac:dyDescent="0.25">
      <c r="B149" s="6">
        <v>8</v>
      </c>
      <c r="C149" s="6" cm="1">
        <f t="array" ref="C149">INDEX($B$83:$H$90, INT((ROW(P9)-1)/7)+1, MOD(ROW(P9)-1,7)+1)</f>
        <v>1</v>
      </c>
      <c r="F149" s="15" cm="1">
        <f t="array" ref="F149">INDEX($C$142:$C$197, H48)</f>
        <v>1</v>
      </c>
      <c r="G149" s="15" cm="1">
        <f t="array" ref="G149">INDEX($C$142:$C$197, I48)</f>
        <v>0</v>
      </c>
      <c r="H149" s="15" cm="1">
        <f t="array" ref="H149">INDEX($C$142:$C$197, J48)</f>
        <v>0</v>
      </c>
      <c r="I149" s="15" cm="1">
        <f t="array" ref="I149">INDEX($C$142:$C$197, K48)</f>
        <v>1</v>
      </c>
      <c r="J149" s="15" cm="1">
        <f t="array" ref="J149">INDEX($C$142:$C$197, L48)</f>
        <v>0</v>
      </c>
      <c r="K149" s="15" cm="1">
        <f t="array" ref="K149">INDEX($C$142:$C$197, M48)</f>
        <v>1</v>
      </c>
      <c r="M149" s="11">
        <v>8</v>
      </c>
      <c r="N149" s="6" cm="1">
        <f t="array" ref="N149">INDEX($F$142:$K$149, INT((ROW(A8)-1)/6)+1, MOD(ROW(A8)-1,6)+1)</f>
        <v>1</v>
      </c>
      <c r="P149" s="11">
        <v>8</v>
      </c>
      <c r="Q149" s="4">
        <f t="shared" si="0"/>
        <v>1</v>
      </c>
      <c r="S149" s="32">
        <v>7</v>
      </c>
      <c r="T149" s="34" t="str">
        <f>_xlfn.TEXTJOIN("", TRUE, INDEX($Q$142:$Q$189, (ROW(A7)-1)*6+1) : INDEX($Q$142:$Q$189, (ROW(A7)-1)*6+6))</f>
        <v>110011</v>
      </c>
      <c r="U149" s="35"/>
      <c r="V149" s="32">
        <f t="shared" si="1"/>
        <v>3</v>
      </c>
      <c r="W149" s="31">
        <f t="shared" si="2"/>
        <v>9</v>
      </c>
      <c r="X149" s="31" t="e" cm="1">
        <f t="array" aca="1" ref="X149" ca="1">INDEX(OFFSET('[1]S-box'!$A$2, (S149-1)*6, 0, 4, 16), V149+1, W149+1)</f>
        <v>#VALUE!</v>
      </c>
      <c r="Y149" s="33" t="e">
        <f t="shared" ca="1" si="3"/>
        <v>#VALUE!</v>
      </c>
      <c r="AA149" s="11">
        <v>8</v>
      </c>
      <c r="AB149" s="4" t="e" cm="1">
        <f t="array" aca="1" ref="AB149" ca="1">MID(INDEX($Y$143:$Y$150,INT((ROW(A8)-1)/4)+1),MOD(ROW(A8)-1,4)+1,1)</f>
        <v>#VALUE!</v>
      </c>
      <c r="AD149" s="11">
        <v>8</v>
      </c>
      <c r="AE149" s="4" t="e" cm="1">
        <f t="array" aca="1" ref="AE149" ca="1">INDEX($AB$142:$AB$173, INDEX($H$15:$O$18, INT((ROW(A8)-1)/8)+1, MOD(ROW(A8)-1,8)+1))</f>
        <v>#VALUE!</v>
      </c>
      <c r="AG149" s="2" cm="1">
        <f t="array" ref="AG149">INDEX($Q$5:$X$12, INT((ROW(A39)-1)/8)+1, MOD(ROW(A39)-1,8)+1)</f>
        <v>0</v>
      </c>
      <c r="AH149" s="2" t="e">
        <f t="shared" ca="1" si="4"/>
        <v>#VALUE!</v>
      </c>
    </row>
    <row r="150" spans="2:34" x14ac:dyDescent="0.25">
      <c r="B150" s="5">
        <v>9</v>
      </c>
      <c r="C150" s="4" cm="1">
        <f t="array" ref="C150">INDEX($B$83:$H$90, INT((ROW(P10)-1)/7)+1, MOD(ROW(P10)-1,7)+1)</f>
        <v>1</v>
      </c>
      <c r="M150" s="9">
        <v>9</v>
      </c>
      <c r="N150" s="4" cm="1">
        <f t="array" ref="N150">INDEX($F$142:$K$149, INT((ROW(A9)-1)/6)+1, MOD(ROW(A9)-1,6)+1)</f>
        <v>0</v>
      </c>
      <c r="P150" s="9">
        <v>9</v>
      </c>
      <c r="Q150" s="4">
        <f t="shared" si="0"/>
        <v>0</v>
      </c>
      <c r="S150" s="32">
        <v>8</v>
      </c>
      <c r="T150" s="34" t="str">
        <f>_xlfn.TEXTJOIN("", TRUE, INDEX($Q$142:$Q$189, (ROW(A8)-1)*6+1) : INDEX($Q$142:$Q$189, (ROW(A8)-1)*6+6))</f>
        <v>110000</v>
      </c>
      <c r="U150" s="35"/>
      <c r="V150" s="32">
        <f t="shared" si="1"/>
        <v>2</v>
      </c>
      <c r="W150" s="31">
        <f t="shared" si="2"/>
        <v>8</v>
      </c>
      <c r="X150" s="31" t="e" cm="1">
        <f t="array" aca="1" ref="X150" ca="1">INDEX(OFFSET('[1]S-box'!$A$2, (S150-1)*6, 0, 4, 16), V150+1, W150+1)</f>
        <v>#VALUE!</v>
      </c>
      <c r="Y150" s="33" t="e">
        <f t="shared" ca="1" si="3"/>
        <v>#VALUE!</v>
      </c>
      <c r="AA150" s="9">
        <v>9</v>
      </c>
      <c r="AB150" s="4" t="e" cm="1">
        <f t="array" aca="1" ref="AB150" ca="1">MID(INDEX($Y$143:$Y$150,INT((ROW(A9)-1)/4)+1),MOD(ROW(A9)-1,4)+1,1)</f>
        <v>#VALUE!</v>
      </c>
      <c r="AD150" s="9">
        <v>9</v>
      </c>
      <c r="AE150" s="4" t="e" cm="1">
        <f t="array" aca="1" ref="AE150" ca="1">INDEX($AB$142:$AB$173, INDEX($H$15:$O$18, INT((ROW(A9)-1)/8)+1, MOD(ROW(A9)-1,8)+1))</f>
        <v>#VALUE!</v>
      </c>
      <c r="AG150" s="2" cm="1">
        <f t="array" ref="AG150">INDEX($Q$5:$X$12, INT((ROW(A40)-1)/8)+1, MOD(ROW(A40)-1,8)+1)</f>
        <v>0</v>
      </c>
      <c r="AH150" s="2" t="e">
        <f t="shared" ca="1" si="4"/>
        <v>#VALUE!</v>
      </c>
    </row>
    <row r="151" spans="2:34" x14ac:dyDescent="0.25">
      <c r="B151" s="5">
        <v>10</v>
      </c>
      <c r="C151" s="5" cm="1">
        <f t="array" ref="C151">INDEX($B$83:$H$90, INT((ROW(P11)-1)/7)+1, MOD(ROW(P11)-1,7)+1)</f>
        <v>0</v>
      </c>
      <c r="M151" s="9">
        <v>10</v>
      </c>
      <c r="N151" s="5" cm="1">
        <f t="array" ref="N151">INDEX($F$142:$K$149, INT((ROW(A10)-1)/6)+1, MOD(ROW(A10)-1,6)+1)</f>
        <v>0</v>
      </c>
      <c r="P151" s="9">
        <v>10</v>
      </c>
      <c r="Q151" s="4">
        <f t="shared" si="0"/>
        <v>0</v>
      </c>
      <c r="AA151" s="9">
        <v>10</v>
      </c>
      <c r="AB151" s="4" t="e" cm="1">
        <f t="array" aca="1" ref="AB151" ca="1">MID(INDEX($Y$143:$Y$150,INT((ROW(A10)-1)/4)+1),MOD(ROW(A10)-1,4)+1,1)</f>
        <v>#VALUE!</v>
      </c>
      <c r="AD151" s="9">
        <v>10</v>
      </c>
      <c r="AE151" s="4" t="e" cm="1">
        <f t="array" aca="1" ref="AE151" ca="1">INDEX($AB$142:$AB$173, INDEX($H$15:$O$18, INT((ROW(A10)-1)/8)+1, MOD(ROW(A10)-1,8)+1))</f>
        <v>#VALUE!</v>
      </c>
      <c r="AG151" s="2" cm="1">
        <f t="array" ref="AG151">INDEX($Q$5:$X$12, INT((ROW(A41)-1)/8)+1, MOD(ROW(A41)-1,8)+1)</f>
        <v>0</v>
      </c>
      <c r="AH151" s="2" t="e">
        <f t="shared" ca="1" si="4"/>
        <v>#VALUE!</v>
      </c>
    </row>
    <row r="152" spans="2:34" x14ac:dyDescent="0.25">
      <c r="B152" s="5">
        <v>11</v>
      </c>
      <c r="C152" s="5" cm="1">
        <f t="array" ref="C152">INDEX($B$83:$H$90, INT((ROW(P12)-1)/7)+1, MOD(ROW(P12)-1,7)+1)</f>
        <v>0</v>
      </c>
      <c r="M152" s="9">
        <v>11</v>
      </c>
      <c r="N152" s="5" cm="1">
        <f t="array" ref="N152">INDEX($F$142:$K$149, INT((ROW(A11)-1)/6)+1, MOD(ROW(A11)-1,6)+1)</f>
        <v>0</v>
      </c>
      <c r="P152" s="9">
        <v>11</v>
      </c>
      <c r="Q152" s="4">
        <f t="shared" si="0"/>
        <v>0</v>
      </c>
      <c r="AA152" s="9">
        <v>11</v>
      </c>
      <c r="AB152" s="4" t="e" cm="1">
        <f t="array" aca="1" ref="AB152" ca="1">MID(INDEX($Y$143:$Y$150,INT((ROW(A11)-1)/4)+1),MOD(ROW(A11)-1,4)+1,1)</f>
        <v>#VALUE!</v>
      </c>
      <c r="AD152" s="9">
        <v>11</v>
      </c>
      <c r="AE152" s="4" t="e" cm="1">
        <f t="array" aca="1" ref="AE152" ca="1">INDEX($AB$142:$AB$173, INDEX($H$15:$O$18, INT((ROW(A11)-1)/8)+1, MOD(ROW(A11)-1,8)+1))</f>
        <v>#VALUE!</v>
      </c>
      <c r="AG152" s="2" cm="1">
        <f t="array" ref="AG152">INDEX($Q$5:$X$12, INT((ROW(A42)-1)/8)+1, MOD(ROW(A42)-1,8)+1)</f>
        <v>1</v>
      </c>
      <c r="AH152" s="2" t="e">
        <f t="shared" ca="1" si="4"/>
        <v>#VALUE!</v>
      </c>
    </row>
    <row r="153" spans="2:34" x14ac:dyDescent="0.25">
      <c r="B153" s="5">
        <v>12</v>
      </c>
      <c r="C153" s="5" cm="1">
        <f t="array" ref="C153">INDEX($B$83:$H$90, INT((ROW(P13)-1)/7)+1, MOD(ROW(P13)-1,7)+1)</f>
        <v>1</v>
      </c>
      <c r="M153" s="9">
        <v>12</v>
      </c>
      <c r="N153" s="5" cm="1">
        <f t="array" ref="N153">INDEX($F$142:$K$149, INT((ROW(A12)-1)/6)+1, MOD(ROW(A12)-1,6)+1)</f>
        <v>0</v>
      </c>
      <c r="P153" s="9">
        <v>12</v>
      </c>
      <c r="Q153" s="4">
        <f t="shared" si="0"/>
        <v>0</v>
      </c>
      <c r="AA153" s="9">
        <v>12</v>
      </c>
      <c r="AB153" s="4" t="e" cm="1">
        <f t="array" aca="1" ref="AB153" ca="1">MID(INDEX($Y$143:$Y$150,INT((ROW(A12)-1)/4)+1),MOD(ROW(A12)-1,4)+1,1)</f>
        <v>#VALUE!</v>
      </c>
      <c r="AD153" s="9">
        <v>12</v>
      </c>
      <c r="AE153" s="4" t="e" cm="1">
        <f t="array" aca="1" ref="AE153" ca="1">INDEX($AB$142:$AB$173, INDEX($H$15:$O$18, INT((ROW(A12)-1)/8)+1, MOD(ROW(A12)-1,8)+1))</f>
        <v>#VALUE!</v>
      </c>
      <c r="AG153" s="2" cm="1">
        <f t="array" ref="AG153">INDEX($Q$5:$X$12, INT((ROW(A43)-1)/8)+1, MOD(ROW(A43)-1,8)+1)</f>
        <v>0</v>
      </c>
      <c r="AH153" s="2" t="e">
        <f t="shared" ca="1" si="4"/>
        <v>#VALUE!</v>
      </c>
    </row>
    <row r="154" spans="2:34" x14ac:dyDescent="0.25">
      <c r="B154" s="5">
        <v>13</v>
      </c>
      <c r="C154" s="5" cm="1">
        <f t="array" ref="C154">INDEX($B$83:$H$90, INT((ROW(P14)-1)/7)+1, MOD(ROW(P14)-1,7)+1)</f>
        <v>1</v>
      </c>
      <c r="M154" s="9">
        <v>13</v>
      </c>
      <c r="N154" s="5" cm="1">
        <f t="array" ref="N154">INDEX($F$142:$K$149, INT((ROW(A13)-1)/6)+1, MOD(ROW(A13)-1,6)+1)</f>
        <v>0</v>
      </c>
      <c r="P154" s="9">
        <v>13</v>
      </c>
      <c r="Q154" s="4">
        <f t="shared" si="0"/>
        <v>0</v>
      </c>
      <c r="AA154" s="9">
        <v>13</v>
      </c>
      <c r="AB154" s="4" t="e" cm="1">
        <f t="array" aca="1" ref="AB154" ca="1">MID(INDEX($Y$143:$Y$150,INT((ROW(A13)-1)/4)+1),MOD(ROW(A13)-1,4)+1,1)</f>
        <v>#VALUE!</v>
      </c>
      <c r="AD154" s="9">
        <v>13</v>
      </c>
      <c r="AE154" s="4" t="e" cm="1">
        <f t="array" aca="1" ref="AE154" ca="1">INDEX($AB$142:$AB$173, INDEX($H$15:$O$18, INT((ROW(A13)-1)/8)+1, MOD(ROW(A13)-1,8)+1))</f>
        <v>#VALUE!</v>
      </c>
      <c r="AG154" s="2" cm="1">
        <f t="array" ref="AG154">INDEX($Q$5:$X$12, INT((ROW(A44)-1)/8)+1, MOD(ROW(A44)-1,8)+1)</f>
        <v>1</v>
      </c>
      <c r="AH154" s="2" t="e">
        <f t="shared" ca="1" si="4"/>
        <v>#VALUE!</v>
      </c>
    </row>
    <row r="155" spans="2:34" x14ac:dyDescent="0.25">
      <c r="B155" s="5">
        <v>14</v>
      </c>
      <c r="C155" s="5" cm="1">
        <f t="array" ref="C155">INDEX($B$83:$H$90, INT((ROW(P15)-1)/7)+1, MOD(ROW(P15)-1,7)+1)</f>
        <v>0</v>
      </c>
      <c r="M155" s="9">
        <v>14</v>
      </c>
      <c r="N155" s="5" cm="1">
        <f t="array" ref="N155">INDEX($F$142:$K$149, INT((ROW(A14)-1)/6)+1, MOD(ROW(A14)-1,6)+1)</f>
        <v>0</v>
      </c>
      <c r="P155" s="9">
        <v>14</v>
      </c>
      <c r="Q155" s="4">
        <f t="shared" si="0"/>
        <v>0</v>
      </c>
      <c r="AA155" s="9">
        <v>14</v>
      </c>
      <c r="AB155" s="4" t="e" cm="1">
        <f t="array" aca="1" ref="AB155" ca="1">MID(INDEX($Y$143:$Y$150,INT((ROW(A14)-1)/4)+1),MOD(ROW(A14)-1,4)+1,1)</f>
        <v>#VALUE!</v>
      </c>
      <c r="AD155" s="9">
        <v>14</v>
      </c>
      <c r="AE155" s="4" t="e" cm="1">
        <f t="array" aca="1" ref="AE155" ca="1">INDEX($AB$142:$AB$173, INDEX($H$15:$O$18, INT((ROW(A14)-1)/8)+1, MOD(ROW(A14)-1,8)+1))</f>
        <v>#VALUE!</v>
      </c>
      <c r="AG155" s="2" cm="1">
        <f t="array" ref="AG155">INDEX($Q$5:$X$12, INT((ROW(A45)-1)/8)+1, MOD(ROW(A45)-1,8)+1)</f>
        <v>0</v>
      </c>
      <c r="AH155" s="2" t="e">
        <f t="shared" ca="1" si="4"/>
        <v>#VALUE!</v>
      </c>
    </row>
    <row r="156" spans="2:34" x14ac:dyDescent="0.25">
      <c r="B156" s="5">
        <v>15</v>
      </c>
      <c r="C156" s="5" cm="1">
        <f t="array" ref="C156">INDEX($B$83:$H$90, INT((ROW(P16)-1)/7)+1, MOD(ROW(P16)-1,7)+1)</f>
        <v>0</v>
      </c>
      <c r="M156" s="9">
        <v>15</v>
      </c>
      <c r="N156" s="5" cm="1">
        <f t="array" ref="N156">INDEX($F$142:$K$149, INT((ROW(A15)-1)/6)+1, MOD(ROW(A15)-1,6)+1)</f>
        <v>1</v>
      </c>
      <c r="P156" s="9">
        <v>15</v>
      </c>
      <c r="Q156" s="4">
        <f t="shared" si="0"/>
        <v>0</v>
      </c>
      <c r="AA156" s="9">
        <v>15</v>
      </c>
      <c r="AB156" s="4" t="e" cm="1">
        <f t="array" aca="1" ref="AB156" ca="1">MID(INDEX($Y$143:$Y$150,INT((ROW(A15)-1)/4)+1),MOD(ROW(A15)-1,4)+1,1)</f>
        <v>#VALUE!</v>
      </c>
      <c r="AD156" s="9">
        <v>15</v>
      </c>
      <c r="AE156" s="4" t="e" cm="1">
        <f t="array" aca="1" ref="AE156" ca="1">INDEX($AB$142:$AB$173, INDEX($H$15:$O$18, INT((ROW(A15)-1)/8)+1, MOD(ROW(A15)-1,8)+1))</f>
        <v>#VALUE!</v>
      </c>
      <c r="AG156" s="2" cm="1">
        <f t="array" ref="AG156">INDEX($Q$5:$X$12, INT((ROW(A46)-1)/8)+1, MOD(ROW(A46)-1,8)+1)</f>
        <v>1</v>
      </c>
      <c r="AH156" s="2" t="e">
        <f t="shared" ca="1" si="4"/>
        <v>#VALUE!</v>
      </c>
    </row>
    <row r="157" spans="2:34" x14ac:dyDescent="0.25">
      <c r="B157" s="6">
        <v>16</v>
      </c>
      <c r="C157" s="6" cm="1">
        <f t="array" ref="C157">INDEX($B$83:$H$90, INT((ROW(P17)-1)/7)+1, MOD(ROW(P17)-1,7)+1)</f>
        <v>1</v>
      </c>
      <c r="M157" s="11">
        <v>16</v>
      </c>
      <c r="N157" s="6" cm="1">
        <f t="array" ref="N157">INDEX($F$142:$K$149, INT((ROW(A16)-1)/6)+1, MOD(ROW(A16)-1,6)+1)</f>
        <v>0</v>
      </c>
      <c r="P157" s="11">
        <v>16</v>
      </c>
      <c r="Q157" s="4">
        <f t="shared" si="0"/>
        <v>0</v>
      </c>
      <c r="AA157" s="11">
        <v>16</v>
      </c>
      <c r="AB157" s="4" t="e" cm="1">
        <f t="array" aca="1" ref="AB157" ca="1">MID(INDEX($Y$143:$Y$150,INT((ROW(A16)-1)/4)+1),MOD(ROW(A16)-1,4)+1,1)</f>
        <v>#VALUE!</v>
      </c>
      <c r="AD157" s="11">
        <v>16</v>
      </c>
      <c r="AE157" s="4" t="e" cm="1">
        <f t="array" aca="1" ref="AE157" ca="1">INDEX($AB$142:$AB$173, INDEX($H$15:$O$18, INT((ROW(A16)-1)/8)+1, MOD(ROW(A16)-1,8)+1))</f>
        <v>#VALUE!</v>
      </c>
      <c r="AG157" s="2" cm="1">
        <f t="array" ref="AG157">INDEX($Q$5:$X$12, INT((ROW(A47)-1)/8)+1, MOD(ROW(A47)-1,8)+1)</f>
        <v>0</v>
      </c>
      <c r="AH157" s="2" t="e">
        <f t="shared" ca="1" si="4"/>
        <v>#VALUE!</v>
      </c>
    </row>
    <row r="158" spans="2:34" x14ac:dyDescent="0.25">
      <c r="B158" s="4">
        <v>17</v>
      </c>
      <c r="C158" s="4" cm="1">
        <f t="array" ref="C158">INDEX($B$83:$H$90, INT((ROW(P18)-1)/7)+1, MOD(ROW(P18)-1,7)+1)</f>
        <v>0</v>
      </c>
      <c r="M158" s="7">
        <v>17</v>
      </c>
      <c r="N158" s="4" cm="1">
        <f t="array" ref="N158">INDEX($F$142:$K$149, INT((ROW(A17)-1)/6)+1, MOD(ROW(A17)-1,6)+1)</f>
        <v>1</v>
      </c>
      <c r="P158" s="7">
        <v>17</v>
      </c>
      <c r="Q158" s="4">
        <f t="shared" si="0"/>
        <v>0</v>
      </c>
      <c r="AA158" s="7">
        <v>17</v>
      </c>
      <c r="AB158" s="4" t="e" cm="1">
        <f t="array" aca="1" ref="AB158" ca="1">MID(INDEX($Y$143:$Y$150,INT((ROW(A17)-1)/4)+1),MOD(ROW(A17)-1,4)+1,1)</f>
        <v>#VALUE!</v>
      </c>
      <c r="AD158" s="7">
        <v>17</v>
      </c>
      <c r="AE158" s="4" t="e" cm="1">
        <f t="array" aca="1" ref="AE158" ca="1">INDEX($AB$142:$AB$173, INDEX($H$15:$O$18, INT((ROW(A17)-1)/8)+1, MOD(ROW(A17)-1,8)+1))</f>
        <v>#VALUE!</v>
      </c>
      <c r="AG158" s="2" cm="1">
        <f t="array" ref="AG158">INDEX($Q$5:$X$12, INT((ROW(A48)-1)/8)+1, MOD(ROW(A48)-1,8)+1)</f>
        <v>0</v>
      </c>
      <c r="AH158" s="2" t="e">
        <f t="shared" ca="1" si="4"/>
        <v>#VALUE!</v>
      </c>
    </row>
    <row r="159" spans="2:34" x14ac:dyDescent="0.25">
      <c r="B159" s="5">
        <v>18</v>
      </c>
      <c r="C159" s="5" cm="1">
        <f t="array" ref="C159">INDEX($B$83:$H$90, INT((ROW(P19)-1)/7)+1, MOD(ROW(P19)-1,7)+1)</f>
        <v>1</v>
      </c>
      <c r="M159" s="9">
        <v>18</v>
      </c>
      <c r="N159" s="5" cm="1">
        <f t="array" ref="N159">INDEX($F$142:$K$149, INT((ROW(A18)-1)/6)+1, MOD(ROW(A18)-1,6)+1)</f>
        <v>1</v>
      </c>
      <c r="P159" s="9">
        <v>18</v>
      </c>
      <c r="Q159" s="4">
        <f t="shared" si="0"/>
        <v>1</v>
      </c>
      <c r="AA159" s="9">
        <v>18</v>
      </c>
      <c r="AB159" s="4" t="e" cm="1">
        <f t="array" aca="1" ref="AB159" ca="1">MID(INDEX($Y$143:$Y$150,INT((ROW(A18)-1)/4)+1),MOD(ROW(A18)-1,4)+1,1)</f>
        <v>#VALUE!</v>
      </c>
      <c r="AD159" s="9">
        <v>18</v>
      </c>
      <c r="AE159" s="4" t="e" cm="1">
        <f t="array" aca="1" ref="AE159" ca="1">INDEX($AB$142:$AB$173, INDEX($H$15:$O$18, INT((ROW(A18)-1)/8)+1, MOD(ROW(A18)-1,8)+1))</f>
        <v>#VALUE!</v>
      </c>
      <c r="AG159" s="2" cm="1">
        <f t="array" ref="AG159">INDEX($Q$5:$X$12, INT((ROW(A49)-1)/8)+1, MOD(ROW(A49)-1,8)+1)</f>
        <v>1</v>
      </c>
      <c r="AH159" s="2" t="e">
        <f t="shared" ca="1" si="4"/>
        <v>#VALUE!</v>
      </c>
    </row>
    <row r="160" spans="2:34" x14ac:dyDescent="0.25">
      <c r="B160" s="5">
        <v>19</v>
      </c>
      <c r="C160" s="5" cm="1">
        <f t="array" ref="C160">INDEX($B$83:$H$90, INT((ROW(P20)-1)/7)+1, MOD(ROW(P20)-1,7)+1)</f>
        <v>0</v>
      </c>
      <c r="M160" s="9">
        <v>19</v>
      </c>
      <c r="N160" s="5" cm="1">
        <f t="array" ref="N160">INDEX($F$142:$K$149, INT((ROW(A19)-1)/6)+1, MOD(ROW(A19)-1,6)+1)</f>
        <v>1</v>
      </c>
      <c r="P160" s="9">
        <v>19</v>
      </c>
      <c r="Q160" s="4">
        <f t="shared" si="0"/>
        <v>0</v>
      </c>
      <c r="AA160" s="9">
        <v>19</v>
      </c>
      <c r="AB160" s="4" t="e" cm="1">
        <f t="array" aca="1" ref="AB160" ca="1">MID(INDEX($Y$143:$Y$150,INT((ROW(A19)-1)/4)+1),MOD(ROW(A19)-1,4)+1,1)</f>
        <v>#VALUE!</v>
      </c>
      <c r="AD160" s="9">
        <v>19</v>
      </c>
      <c r="AE160" s="4" t="e" cm="1">
        <f t="array" aca="1" ref="AE160" ca="1">INDEX($AB$142:$AB$173, INDEX($H$15:$O$18, INT((ROW(A19)-1)/8)+1, MOD(ROW(A19)-1,8)+1))</f>
        <v>#VALUE!</v>
      </c>
      <c r="AG160" s="2" cm="1">
        <f t="array" ref="AG160">INDEX($Q$5:$X$12, INT((ROW(A50)-1)/8)+1, MOD(ROW(A50)-1,8)+1)</f>
        <v>1</v>
      </c>
      <c r="AH160" s="2" t="e">
        <f t="shared" ca="1" si="4"/>
        <v>#VALUE!</v>
      </c>
    </row>
    <row r="161" spans="2:34" x14ac:dyDescent="0.25">
      <c r="B161" s="5">
        <v>20</v>
      </c>
      <c r="C161" s="5" cm="1">
        <f t="array" ref="C161">INDEX($B$83:$H$90, INT((ROW(P21)-1)/7)+1, MOD(ROW(P21)-1,7)+1)</f>
        <v>1</v>
      </c>
      <c r="M161" s="9">
        <v>20</v>
      </c>
      <c r="N161" s="5" cm="1">
        <f t="array" ref="N161">INDEX($F$142:$K$149, INT((ROW(A20)-1)/6)+1, MOD(ROW(A20)-1,6)+1)</f>
        <v>0</v>
      </c>
      <c r="P161" s="9">
        <v>20</v>
      </c>
      <c r="Q161" s="4">
        <f t="shared" si="0"/>
        <v>0</v>
      </c>
      <c r="AA161" s="9">
        <v>20</v>
      </c>
      <c r="AB161" s="4" t="e" cm="1">
        <f t="array" aca="1" ref="AB161" ca="1">MID(INDEX($Y$143:$Y$150,INT((ROW(A20)-1)/4)+1),MOD(ROW(A20)-1,4)+1,1)</f>
        <v>#VALUE!</v>
      </c>
      <c r="AD161" s="9">
        <v>20</v>
      </c>
      <c r="AE161" s="4" t="e" cm="1">
        <f t="array" aca="1" ref="AE161" ca="1">INDEX($AB$142:$AB$173, INDEX($H$15:$O$18, INT((ROW(A20)-1)/8)+1, MOD(ROW(A20)-1,8)+1))</f>
        <v>#VALUE!</v>
      </c>
      <c r="AG161" s="2" cm="1">
        <f t="array" ref="AG161">INDEX($Q$5:$X$12, INT((ROW(A51)-1)/8)+1, MOD(ROW(A51)-1,8)+1)</f>
        <v>1</v>
      </c>
      <c r="AH161" s="2" t="e">
        <f t="shared" ca="1" si="4"/>
        <v>#VALUE!</v>
      </c>
    </row>
    <row r="162" spans="2:34" x14ac:dyDescent="0.25">
      <c r="B162" s="5">
        <v>21</v>
      </c>
      <c r="C162" s="5" cm="1">
        <f t="array" ref="C162">INDEX($B$83:$H$90, INT((ROW(P22)-1)/7)+1, MOD(ROW(P22)-1,7)+1)</f>
        <v>0</v>
      </c>
      <c r="M162" s="9">
        <v>21</v>
      </c>
      <c r="N162" s="5" cm="1">
        <f t="array" ref="N162">INDEX($F$142:$K$149, INT((ROW(A21)-1)/6)+1, MOD(ROW(A21)-1,6)+1)</f>
        <v>1</v>
      </c>
      <c r="P162" s="9">
        <v>21</v>
      </c>
      <c r="Q162" s="4">
        <f t="shared" si="0"/>
        <v>0</v>
      </c>
      <c r="AA162" s="9">
        <v>21</v>
      </c>
      <c r="AB162" s="4" t="e" cm="1">
        <f t="array" aca="1" ref="AB162" ca="1">MID(INDEX($Y$143:$Y$150,INT((ROW(A21)-1)/4)+1),MOD(ROW(A21)-1,4)+1,1)</f>
        <v>#VALUE!</v>
      </c>
      <c r="AD162" s="9">
        <v>21</v>
      </c>
      <c r="AE162" s="4" t="e" cm="1">
        <f t="array" aca="1" ref="AE162" ca="1">INDEX($AB$142:$AB$173, INDEX($H$15:$O$18, INT((ROW(A21)-1)/8)+1, MOD(ROW(A21)-1,8)+1))</f>
        <v>#VALUE!</v>
      </c>
      <c r="AG162" s="2" cm="1">
        <f t="array" ref="AG162">INDEX($Q$5:$X$12, INT((ROW(A52)-1)/8)+1, MOD(ROW(A52)-1,8)+1)</f>
        <v>1</v>
      </c>
      <c r="AH162" s="2" t="e">
        <f t="shared" ca="1" si="4"/>
        <v>#VALUE!</v>
      </c>
    </row>
    <row r="163" spans="2:34" x14ac:dyDescent="0.25">
      <c r="B163" s="5">
        <v>22</v>
      </c>
      <c r="C163" s="5" cm="1">
        <f t="array" ref="C163">INDEX($B$83:$H$90, INT((ROW(P23)-1)/7)+1, MOD(ROW(P23)-1,7)+1)</f>
        <v>1</v>
      </c>
      <c r="M163" s="9">
        <v>22</v>
      </c>
      <c r="N163" s="5" cm="1">
        <f t="array" ref="N163">INDEX($F$142:$K$149, INT((ROW(A22)-1)/6)+1, MOD(ROW(A22)-1,6)+1)</f>
        <v>1</v>
      </c>
      <c r="P163" s="9">
        <v>22</v>
      </c>
      <c r="Q163" s="4">
        <f t="shared" si="0"/>
        <v>1</v>
      </c>
      <c r="AA163" s="9">
        <v>22</v>
      </c>
      <c r="AB163" s="4" t="e" cm="1">
        <f t="array" aca="1" ref="AB163" ca="1">MID(INDEX($Y$143:$Y$150,INT((ROW(A22)-1)/4)+1),MOD(ROW(A22)-1,4)+1,1)</f>
        <v>#VALUE!</v>
      </c>
      <c r="AD163" s="9">
        <v>22</v>
      </c>
      <c r="AE163" s="4" t="e" cm="1">
        <f t="array" aca="1" ref="AE163" ca="1">INDEX($AB$142:$AB$173, INDEX($H$15:$O$18, INT((ROW(A22)-1)/8)+1, MOD(ROW(A22)-1,8)+1))</f>
        <v>#VALUE!</v>
      </c>
      <c r="AG163" s="2" cm="1">
        <f t="array" ref="AG163">INDEX($Q$5:$X$12, INT((ROW(A53)-1)/8)+1, MOD(ROW(A53)-1,8)+1)</f>
        <v>0</v>
      </c>
      <c r="AH163" s="2" t="e">
        <f t="shared" ca="1" si="4"/>
        <v>#VALUE!</v>
      </c>
    </row>
    <row r="164" spans="2:34" x14ac:dyDescent="0.25">
      <c r="B164" s="5">
        <v>23</v>
      </c>
      <c r="C164" s="5" cm="1">
        <f t="array" ref="C164">INDEX($B$83:$H$90, INT((ROW(P24)-1)/7)+1, MOD(ROW(P24)-1,7)+1)</f>
        <v>0</v>
      </c>
      <c r="M164" s="9">
        <v>23</v>
      </c>
      <c r="N164" s="5" cm="1">
        <f t="array" ref="N164">INDEX($F$142:$K$149, INT((ROW(A23)-1)/6)+1, MOD(ROW(A23)-1,6)+1)</f>
        <v>1</v>
      </c>
      <c r="P164" s="9">
        <v>23</v>
      </c>
      <c r="Q164" s="4">
        <f t="shared" si="0"/>
        <v>1</v>
      </c>
      <c r="AA164" s="9">
        <v>23</v>
      </c>
      <c r="AB164" s="4" t="e" cm="1">
        <f t="array" aca="1" ref="AB164" ca="1">MID(INDEX($Y$143:$Y$150,INT((ROW(A23)-1)/4)+1),MOD(ROW(A23)-1,4)+1,1)</f>
        <v>#VALUE!</v>
      </c>
      <c r="AD164" s="9">
        <v>23</v>
      </c>
      <c r="AE164" s="4" t="e" cm="1">
        <f t="array" aca="1" ref="AE164" ca="1">INDEX($AB$142:$AB$173, INDEX($H$15:$O$18, INT((ROW(A23)-1)/8)+1, MOD(ROW(A23)-1,8)+1))</f>
        <v>#VALUE!</v>
      </c>
      <c r="AG164" s="2" cm="1">
        <f t="array" ref="AG164">INDEX($Q$5:$X$12, INT((ROW(A54)-1)/8)+1, MOD(ROW(A54)-1,8)+1)</f>
        <v>0</v>
      </c>
      <c r="AH164" s="2" t="e">
        <f t="shared" ca="1" si="4"/>
        <v>#VALUE!</v>
      </c>
    </row>
    <row r="165" spans="2:34" x14ac:dyDescent="0.25">
      <c r="B165" s="6">
        <v>24</v>
      </c>
      <c r="C165" s="6" cm="1">
        <f t="array" ref="C165">INDEX($B$83:$H$90, INT((ROW(P25)-1)/7)+1, MOD(ROW(P25)-1,7)+1)</f>
        <v>1</v>
      </c>
      <c r="M165" s="11">
        <v>24</v>
      </c>
      <c r="N165" s="6" cm="1">
        <f t="array" ref="N165">INDEX($F$142:$K$149, INT((ROW(A24)-1)/6)+1, MOD(ROW(A24)-1,6)+1)</f>
        <v>1</v>
      </c>
      <c r="P165" s="11">
        <v>24</v>
      </c>
      <c r="Q165" s="4">
        <f t="shared" si="0"/>
        <v>0</v>
      </c>
      <c r="AA165" s="11">
        <v>24</v>
      </c>
      <c r="AB165" s="4" t="e" cm="1">
        <f t="array" aca="1" ref="AB165" ca="1">MID(INDEX($Y$143:$Y$150,INT((ROW(A24)-1)/4)+1),MOD(ROW(A24)-1,4)+1,1)</f>
        <v>#VALUE!</v>
      </c>
      <c r="AD165" s="11">
        <v>24</v>
      </c>
      <c r="AE165" s="4" t="e" cm="1">
        <f t="array" aca="1" ref="AE165" ca="1">INDEX($AB$142:$AB$173, INDEX($H$15:$O$18, INT((ROW(A24)-1)/8)+1, MOD(ROW(A24)-1,8)+1))</f>
        <v>#VALUE!</v>
      </c>
      <c r="AG165" s="2" cm="1">
        <f t="array" ref="AG165">INDEX($Q$5:$X$12, INT((ROW(A55)-1)/8)+1, MOD(ROW(A55)-1,8)+1)</f>
        <v>0</v>
      </c>
      <c r="AH165" s="2" t="e">
        <f t="shared" ca="1" si="4"/>
        <v>#VALUE!</v>
      </c>
    </row>
    <row r="166" spans="2:34" x14ac:dyDescent="0.25">
      <c r="B166" s="7">
        <v>25</v>
      </c>
      <c r="C166" s="4" cm="1">
        <f t="array" ref="C166">INDEX($B$83:$H$90, INT((ROW(P26)-1)/7)+1, MOD(ROW(P26)-1,7)+1)</f>
        <v>0</v>
      </c>
      <c r="M166" s="7">
        <v>25</v>
      </c>
      <c r="N166" s="4" cm="1">
        <f t="array" ref="N166">INDEX($F$142:$K$149, INT((ROW(A25)-1)/6)+1, MOD(ROW(A25)-1,6)+1)</f>
        <v>1</v>
      </c>
      <c r="P166" s="7">
        <v>25</v>
      </c>
      <c r="Q166" s="4">
        <f t="shared" si="0"/>
        <v>1</v>
      </c>
      <c r="AA166" s="7">
        <v>25</v>
      </c>
      <c r="AB166" s="4" t="e" cm="1">
        <f t="array" aca="1" ref="AB166" ca="1">MID(INDEX($Y$143:$Y$150,INT((ROW(A25)-1)/4)+1),MOD(ROW(A25)-1,4)+1,1)</f>
        <v>#VALUE!</v>
      </c>
      <c r="AD166" s="7">
        <v>25</v>
      </c>
      <c r="AE166" s="4" t="e" cm="1">
        <f t="array" aca="1" ref="AE166" ca="1">INDEX($AB$142:$AB$173, INDEX($H$15:$O$18, INT((ROW(A25)-1)/8)+1, MOD(ROW(A25)-1,8)+1))</f>
        <v>#VALUE!</v>
      </c>
      <c r="AG166" s="2" cm="1">
        <f t="array" ref="AG166">INDEX($Q$5:$X$12, INT((ROW(A56)-1)/8)+1, MOD(ROW(A56)-1,8)+1)</f>
        <v>0</v>
      </c>
      <c r="AH166" s="2" t="e">
        <f t="shared" ca="1" si="4"/>
        <v>#VALUE!</v>
      </c>
    </row>
    <row r="167" spans="2:34" x14ac:dyDescent="0.25">
      <c r="B167" s="9">
        <v>26</v>
      </c>
      <c r="C167" s="5" cm="1">
        <f t="array" ref="C167">INDEX($B$83:$H$90, INT((ROW(P27)-1)/7)+1, MOD(ROW(P27)-1,7)+1)</f>
        <v>1</v>
      </c>
      <c r="M167" s="9">
        <v>26</v>
      </c>
      <c r="N167" s="5" cm="1">
        <f t="array" ref="N167">INDEX($F$142:$K$149, INT((ROW(A26)-1)/6)+1, MOD(ROW(A26)-1,6)+1)</f>
        <v>1</v>
      </c>
      <c r="P167" s="9">
        <v>26</v>
      </c>
      <c r="Q167" s="4">
        <f t="shared" si="0"/>
        <v>0</v>
      </c>
      <c r="AA167" s="9">
        <v>26</v>
      </c>
      <c r="AB167" s="4" t="e" cm="1">
        <f t="array" aca="1" ref="AB167" ca="1">MID(INDEX($Y$143:$Y$150,INT((ROW(A26)-1)/4)+1),MOD(ROW(A26)-1,4)+1,1)</f>
        <v>#VALUE!</v>
      </c>
      <c r="AD167" s="9">
        <v>26</v>
      </c>
      <c r="AE167" s="4" t="e" cm="1">
        <f t="array" aca="1" ref="AE167" ca="1">INDEX($AB$142:$AB$173, INDEX($H$15:$O$18, INT((ROW(A26)-1)/8)+1, MOD(ROW(A26)-1,8)+1))</f>
        <v>#VALUE!</v>
      </c>
      <c r="AG167" s="2" cm="1">
        <f t="array" ref="AG167">INDEX($Q$5:$X$12, INT((ROW(A57)-1)/8)+1, MOD(ROW(A57)-1,8)+1)</f>
        <v>1</v>
      </c>
      <c r="AH167" s="2" t="e">
        <f t="shared" ca="1" si="4"/>
        <v>#VALUE!</v>
      </c>
    </row>
    <row r="168" spans="2:34" x14ac:dyDescent="0.25">
      <c r="B168" s="9">
        <v>27</v>
      </c>
      <c r="C168" s="5" cm="1">
        <f t="array" ref="C168">INDEX($B$83:$H$90, INT((ROW(P28)-1)/7)+1, MOD(ROW(P28)-1,7)+1)</f>
        <v>1</v>
      </c>
      <c r="M168" s="9">
        <v>27</v>
      </c>
      <c r="N168" s="5" cm="1">
        <f t="array" ref="N168">INDEX($F$142:$K$149, INT((ROW(A27)-1)/6)+1, MOD(ROW(A27)-1,6)+1)</f>
        <v>0</v>
      </c>
      <c r="P168" s="9">
        <v>27</v>
      </c>
      <c r="Q168" s="4">
        <f t="shared" si="0"/>
        <v>1</v>
      </c>
      <c r="AA168" s="9">
        <v>27</v>
      </c>
      <c r="AB168" s="4" t="e" cm="1">
        <f t="array" aca="1" ref="AB168" ca="1">MID(INDEX($Y$143:$Y$150,INT((ROW(A27)-1)/4)+1),MOD(ROW(A27)-1,4)+1,1)</f>
        <v>#VALUE!</v>
      </c>
      <c r="AD168" s="9">
        <v>27</v>
      </c>
      <c r="AE168" s="4" t="e" cm="1">
        <f t="array" aca="1" ref="AE168" ca="1">INDEX($AB$142:$AB$173, INDEX($H$15:$O$18, INT((ROW(A27)-1)/8)+1, MOD(ROW(A27)-1,8)+1))</f>
        <v>#VALUE!</v>
      </c>
      <c r="AG168" s="2" cm="1">
        <f t="array" ref="AG168">INDEX($Q$5:$X$12, INT((ROW(A58)-1)/8)+1, MOD(ROW(A58)-1,8)+1)</f>
        <v>0</v>
      </c>
      <c r="AH168" s="2" t="e">
        <f t="shared" ca="1" si="4"/>
        <v>#VALUE!</v>
      </c>
    </row>
    <row r="169" spans="2:34" x14ac:dyDescent="0.25">
      <c r="B169" s="9">
        <v>28</v>
      </c>
      <c r="C169" s="5">
        <v>1</v>
      </c>
      <c r="M169" s="9">
        <v>28</v>
      </c>
      <c r="N169" s="5" cm="1">
        <f t="array" ref="N169">INDEX($F$142:$K$149, INT((ROW(A28)-1)/6)+1, MOD(ROW(A28)-1,6)+1)</f>
        <v>1</v>
      </c>
      <c r="P169" s="9">
        <v>28</v>
      </c>
      <c r="Q169" s="4">
        <f t="shared" si="0"/>
        <v>0</v>
      </c>
      <c r="AA169" s="9">
        <v>28</v>
      </c>
      <c r="AB169" s="4" t="e" cm="1">
        <f t="array" aca="1" ref="AB169" ca="1">MID(INDEX($Y$143:$Y$150,INT((ROW(A28)-1)/4)+1),MOD(ROW(A28)-1,4)+1,1)</f>
        <v>#VALUE!</v>
      </c>
      <c r="AD169" s="9">
        <v>28</v>
      </c>
      <c r="AE169" s="4" t="e" cm="1">
        <f t="array" aca="1" ref="AE169" ca="1">INDEX($AB$142:$AB$173, INDEX($H$15:$O$18, INT((ROW(A28)-1)/8)+1, MOD(ROW(A28)-1,8)+1))</f>
        <v>#VALUE!</v>
      </c>
      <c r="AG169" s="2" cm="1">
        <f t="array" ref="AG169">INDEX($Q$5:$X$12, INT((ROW(A59)-1)/8)+1, MOD(ROW(A59)-1,8)+1)</f>
        <v>1</v>
      </c>
      <c r="AH169" s="2" t="e">
        <f t="shared" ca="1" si="4"/>
        <v>#VALUE!</v>
      </c>
    </row>
    <row r="170" spans="2:34" x14ac:dyDescent="0.25">
      <c r="B170" s="9">
        <v>29</v>
      </c>
      <c r="C170" s="21">
        <v>0</v>
      </c>
      <c r="M170" s="9">
        <v>29</v>
      </c>
      <c r="N170" s="5" cm="1">
        <f t="array" ref="N170">INDEX($F$142:$K$149, INT((ROW(A29)-1)/6)+1, MOD(ROW(A29)-1,6)+1)</f>
        <v>1</v>
      </c>
      <c r="P170" s="9">
        <v>29</v>
      </c>
      <c r="Q170" s="4">
        <f t="shared" si="0"/>
        <v>0</v>
      </c>
      <c r="AA170" s="9">
        <v>29</v>
      </c>
      <c r="AB170" s="4" t="e" cm="1">
        <f t="array" aca="1" ref="AB170" ca="1">MID(INDEX($Y$143:$Y$150,INT((ROW(A29)-1)/4)+1),MOD(ROW(A29)-1,4)+1,1)</f>
        <v>#VALUE!</v>
      </c>
      <c r="AD170" s="9">
        <v>29</v>
      </c>
      <c r="AE170" s="4" t="e" cm="1">
        <f t="array" aca="1" ref="AE170" ca="1">INDEX($AB$142:$AB$173, INDEX($H$15:$O$18, INT((ROW(A29)-1)/8)+1, MOD(ROW(A29)-1,8)+1))</f>
        <v>#VALUE!</v>
      </c>
      <c r="AG170" s="2" cm="1">
        <f t="array" ref="AG170">INDEX($Q$5:$X$12, INT((ROW(A60)-1)/8)+1, MOD(ROW(A60)-1,8)+1)</f>
        <v>0</v>
      </c>
      <c r="AH170" s="2" t="e">
        <f t="shared" ca="1" si="4"/>
        <v>#VALUE!</v>
      </c>
    </row>
    <row r="171" spans="2:34" x14ac:dyDescent="0.25">
      <c r="B171" s="9">
        <v>30</v>
      </c>
      <c r="C171" s="21">
        <v>1</v>
      </c>
      <c r="M171" s="9">
        <v>30</v>
      </c>
      <c r="N171" s="5" cm="1">
        <f t="array" ref="N171">INDEX($F$142:$K$149, INT((ROW(A30)-1)/6)+1, MOD(ROW(A30)-1,6)+1)</f>
        <v>0</v>
      </c>
      <c r="P171" s="9">
        <v>30</v>
      </c>
      <c r="Q171" s="4">
        <f t="shared" si="0"/>
        <v>0</v>
      </c>
      <c r="AA171" s="9">
        <v>30</v>
      </c>
      <c r="AB171" s="4" t="e" cm="1">
        <f t="array" aca="1" ref="AB171" ca="1">MID(INDEX($Y$143:$Y$150,INT((ROW(A30)-1)/4)+1),MOD(ROW(A30)-1,4)+1,1)</f>
        <v>#VALUE!</v>
      </c>
      <c r="AD171" s="9">
        <v>30</v>
      </c>
      <c r="AE171" s="4" t="e" cm="1">
        <f t="array" aca="1" ref="AE171" ca="1">INDEX($AB$142:$AB$173, INDEX($H$15:$O$18, INT((ROW(A30)-1)/8)+1, MOD(ROW(A30)-1,8)+1))</f>
        <v>#VALUE!</v>
      </c>
      <c r="AG171" s="2" cm="1">
        <f t="array" ref="AG171">INDEX($Q$5:$X$12, INT((ROW(A61)-1)/8)+1, MOD(ROW(A61)-1,8)+1)</f>
        <v>1</v>
      </c>
      <c r="AH171" s="2" t="e">
        <f t="shared" ca="1" si="4"/>
        <v>#VALUE!</v>
      </c>
    </row>
    <row r="172" spans="2:34" x14ac:dyDescent="0.25">
      <c r="B172" s="9">
        <v>31</v>
      </c>
      <c r="C172" s="21">
        <v>0</v>
      </c>
      <c r="M172" s="9">
        <v>31</v>
      </c>
      <c r="N172" s="5" cm="1">
        <f t="array" ref="N172">INDEX($F$142:$K$149, INT((ROW(A31)-1)/6)+1, MOD(ROW(A31)-1,6)+1)</f>
        <v>1</v>
      </c>
      <c r="P172" s="9">
        <v>31</v>
      </c>
      <c r="Q172" s="4">
        <f t="shared" si="0"/>
        <v>0</v>
      </c>
      <c r="AA172" s="9">
        <v>31</v>
      </c>
      <c r="AB172" s="4" t="e" cm="1">
        <f t="array" aca="1" ref="AB172" ca="1">MID(INDEX($Y$143:$Y$150,INT((ROW(A31)-1)/4)+1),MOD(ROW(A31)-1,4)+1,1)</f>
        <v>#VALUE!</v>
      </c>
      <c r="AD172" s="9">
        <v>31</v>
      </c>
      <c r="AE172" s="4" t="e" cm="1">
        <f t="array" aca="1" ref="AE172" ca="1">INDEX($AB$142:$AB$173, INDEX($H$15:$O$18, INT((ROW(A31)-1)/8)+1, MOD(ROW(A31)-1,8)+1))</f>
        <v>#VALUE!</v>
      </c>
      <c r="AG172" s="2" cm="1">
        <f t="array" ref="AG172">INDEX($Q$5:$X$12, INT((ROW(A62)-1)/8)+1, MOD(ROW(A62)-1,8)+1)</f>
        <v>0</v>
      </c>
      <c r="AH172" s="2" t="e">
        <f t="shared" ca="1" si="4"/>
        <v>#VALUE!</v>
      </c>
    </row>
    <row r="173" spans="2:34" x14ac:dyDescent="0.25">
      <c r="B173" s="11">
        <v>32</v>
      </c>
      <c r="C173" s="23">
        <v>1</v>
      </c>
      <c r="M173" s="11">
        <v>32</v>
      </c>
      <c r="N173" s="6" cm="1">
        <f t="array" ref="N173">INDEX($F$142:$K$149, INT((ROW(A32)-1)/6)+1, MOD(ROW(A32)-1,6)+1)</f>
        <v>1</v>
      </c>
      <c r="P173" s="11">
        <v>32</v>
      </c>
      <c r="Q173" s="4">
        <f t="shared" si="0"/>
        <v>1</v>
      </c>
      <c r="AA173" s="11">
        <v>32</v>
      </c>
      <c r="AB173" s="2" t="e" cm="1">
        <f t="array" aca="1" ref="AB173" ca="1">MID(INDEX($Y$143:$Y$150,INT((ROW(A32)-1)/4)+1),MOD(ROW(A32)-1,4)+1,1)</f>
        <v>#VALUE!</v>
      </c>
      <c r="AD173" s="11">
        <v>32</v>
      </c>
      <c r="AE173" s="2" t="e" cm="1">
        <f t="array" aca="1" ref="AE173" ca="1">INDEX($AB$142:$AB$173, INDEX($H$15:$O$18, INT((ROW(A32)-1)/8)+1, MOD(ROW(A32)-1,8)+1))</f>
        <v>#VALUE!</v>
      </c>
      <c r="AG173" s="2" cm="1">
        <f t="array" ref="AG173">INDEX($Q$5:$X$12, INT((ROW(A63)-1)/8)+1, MOD(ROW(A63)-1,8)+1)</f>
        <v>1</v>
      </c>
      <c r="AH173" s="2" t="e">
        <f t="shared" ca="1" si="4"/>
        <v>#VALUE!</v>
      </c>
    </row>
    <row r="174" spans="2:34" x14ac:dyDescent="0.25">
      <c r="B174" s="4">
        <v>33</v>
      </c>
      <c r="C174" s="27">
        <v>0</v>
      </c>
      <c r="M174" s="7">
        <v>33</v>
      </c>
      <c r="N174" s="4" cm="1">
        <f t="array" ref="N174">INDEX($F$142:$K$149, INT((ROW(A33)-1)/6)+1, MOD(ROW(A33)-1,6)+1)</f>
        <v>0</v>
      </c>
      <c r="P174" s="7">
        <v>33</v>
      </c>
      <c r="Q174" s="4">
        <f t="shared" si="0"/>
        <v>0</v>
      </c>
      <c r="AG174" s="2" cm="1">
        <f t="array" ref="AG174">INDEX($Q$5:$X$12, INT((ROW(A64)-1)/8)+1, MOD(ROW(A64)-1,8)+1)</f>
        <v>0</v>
      </c>
      <c r="AH174" s="2" t="e">
        <f t="shared" ca="1" si="4"/>
        <v>#VALUE!</v>
      </c>
    </row>
    <row r="175" spans="2:34" x14ac:dyDescent="0.25">
      <c r="B175" s="5">
        <v>34</v>
      </c>
      <c r="C175" s="21">
        <v>1</v>
      </c>
      <c r="M175" s="9">
        <v>34</v>
      </c>
      <c r="N175" s="5" cm="1">
        <f t="array" ref="N175">INDEX($F$142:$K$149, INT((ROW(A34)-1)/6)+1, MOD(ROW(A34)-1,6)+1)</f>
        <v>1</v>
      </c>
      <c r="P175" s="9">
        <v>34</v>
      </c>
      <c r="Q175" s="4">
        <f t="shared" si="0"/>
        <v>1</v>
      </c>
    </row>
    <row r="176" spans="2:34" x14ac:dyDescent="0.25">
      <c r="B176" s="5">
        <v>35</v>
      </c>
      <c r="C176" s="21">
        <v>0</v>
      </c>
      <c r="M176" s="9">
        <v>35</v>
      </c>
      <c r="N176" s="5" cm="1">
        <f t="array" ref="N176">INDEX($F$142:$K$149, INT((ROW(A35)-1)/6)+1, MOD(ROW(A35)-1,6)+1)</f>
        <v>0</v>
      </c>
      <c r="P176" s="9">
        <v>35</v>
      </c>
      <c r="Q176" s="4">
        <f t="shared" si="0"/>
        <v>0</v>
      </c>
    </row>
    <row r="177" spans="2:17" x14ac:dyDescent="0.25">
      <c r="B177" s="5">
        <v>36</v>
      </c>
      <c r="C177" s="21">
        <v>1</v>
      </c>
      <c r="M177" s="9">
        <v>36</v>
      </c>
      <c r="N177" s="5" cm="1">
        <f t="array" ref="N177">INDEX($F$142:$K$149, INT((ROW(A36)-1)/6)+1, MOD(ROW(A36)-1,6)+1)</f>
        <v>0</v>
      </c>
      <c r="P177" s="9">
        <v>36</v>
      </c>
      <c r="Q177" s="4">
        <f t="shared" si="0"/>
        <v>1</v>
      </c>
    </row>
    <row r="178" spans="2:17" x14ac:dyDescent="0.25">
      <c r="B178" s="5">
        <v>37</v>
      </c>
      <c r="C178" s="21">
        <v>1</v>
      </c>
      <c r="M178" s="9">
        <v>37</v>
      </c>
      <c r="N178" s="5" cm="1">
        <f t="array" ref="N178">INDEX($F$142:$K$149, INT((ROW(A37)-1)/6)+1, MOD(ROW(A37)-1,6)+1)</f>
        <v>1</v>
      </c>
      <c r="P178" s="9">
        <v>37</v>
      </c>
      <c r="Q178" s="4">
        <f t="shared" si="0"/>
        <v>1</v>
      </c>
    </row>
    <row r="179" spans="2:17" x14ac:dyDescent="0.25">
      <c r="B179" s="5">
        <v>38</v>
      </c>
      <c r="C179" s="21">
        <v>0</v>
      </c>
      <c r="M179" s="9">
        <v>38</v>
      </c>
      <c r="N179" s="5" cm="1">
        <f t="array" ref="N179">INDEX($F$142:$K$149, INT((ROW(A38)-1)/6)+1, MOD(ROW(A38)-1,6)+1)</f>
        <v>0</v>
      </c>
      <c r="P179" s="9">
        <v>38</v>
      </c>
      <c r="Q179" s="4">
        <f t="shared" si="0"/>
        <v>1</v>
      </c>
    </row>
    <row r="180" spans="2:17" x14ac:dyDescent="0.25">
      <c r="B180" s="5">
        <v>39</v>
      </c>
      <c r="C180" s="21">
        <v>0</v>
      </c>
      <c r="M180" s="9">
        <v>39</v>
      </c>
      <c r="N180" s="5" cm="1">
        <f t="array" ref="N180">INDEX($F$142:$K$149, INT((ROW(A39)-1)/6)+1, MOD(ROW(A39)-1,6)+1)</f>
        <v>0</v>
      </c>
      <c r="P180" s="9">
        <v>39</v>
      </c>
      <c r="Q180" s="4">
        <f t="shared" si="0"/>
        <v>0</v>
      </c>
    </row>
    <row r="181" spans="2:17" x14ac:dyDescent="0.25">
      <c r="B181" s="6">
        <v>40</v>
      </c>
      <c r="C181" s="23">
        <v>1</v>
      </c>
      <c r="M181" s="11">
        <v>40</v>
      </c>
      <c r="N181" s="6" cm="1">
        <f t="array" ref="N181">INDEX($F$142:$K$149, INT((ROW(A40)-1)/6)+1, MOD(ROW(A40)-1,6)+1)</f>
        <v>1</v>
      </c>
      <c r="P181" s="11">
        <v>40</v>
      </c>
      <c r="Q181" s="4">
        <f t="shared" si="0"/>
        <v>0</v>
      </c>
    </row>
    <row r="182" spans="2:17" x14ac:dyDescent="0.25">
      <c r="B182" s="4">
        <v>41</v>
      </c>
      <c r="C182" s="27">
        <v>1</v>
      </c>
      <c r="M182" s="7">
        <v>41</v>
      </c>
      <c r="N182" s="4" cm="1">
        <f t="array" ref="N182">INDEX($F$142:$K$149, INT((ROW(A41)-1)/6)+1, MOD(ROW(A41)-1,6)+1)</f>
        <v>1</v>
      </c>
      <c r="P182" s="7">
        <v>41</v>
      </c>
      <c r="Q182" s="4">
        <f t="shared" si="0"/>
        <v>1</v>
      </c>
    </row>
    <row r="183" spans="2:17" x14ac:dyDescent="0.25">
      <c r="B183" s="5">
        <v>42</v>
      </c>
      <c r="C183" s="21">
        <v>0</v>
      </c>
      <c r="M183" s="9">
        <v>42</v>
      </c>
      <c r="N183" s="5" cm="1">
        <f t="array" ref="N183">INDEX($F$142:$K$149, INT((ROW(A42)-1)/6)+1, MOD(ROW(A42)-1,6)+1)</f>
        <v>0</v>
      </c>
      <c r="P183" s="9">
        <v>42</v>
      </c>
      <c r="Q183" s="4">
        <f t="shared" si="0"/>
        <v>1</v>
      </c>
    </row>
    <row r="184" spans="2:17" x14ac:dyDescent="0.25">
      <c r="B184" s="5">
        <v>43</v>
      </c>
      <c r="C184" s="21">
        <v>0</v>
      </c>
      <c r="M184" s="9">
        <v>43</v>
      </c>
      <c r="N184" s="5" cm="1">
        <f t="array" ref="N184">INDEX($F$142:$K$149, INT((ROW(A43)-1)/6)+1, MOD(ROW(A43)-1,6)+1)</f>
        <v>1</v>
      </c>
      <c r="P184" s="9">
        <v>43</v>
      </c>
      <c r="Q184" s="4">
        <f t="shared" si="0"/>
        <v>1</v>
      </c>
    </row>
    <row r="185" spans="2:17" x14ac:dyDescent="0.25">
      <c r="B185" s="5">
        <v>44</v>
      </c>
      <c r="C185" s="21">
        <v>1</v>
      </c>
      <c r="M185" s="9">
        <v>44</v>
      </c>
      <c r="N185" s="5" cm="1">
        <f t="array" ref="N185">INDEX($F$142:$K$149, INT((ROW(A44)-1)/6)+1, MOD(ROW(A44)-1,6)+1)</f>
        <v>0</v>
      </c>
      <c r="P185" s="9">
        <v>44</v>
      </c>
      <c r="Q185" s="4">
        <f t="shared" si="0"/>
        <v>1</v>
      </c>
    </row>
    <row r="186" spans="2:17" x14ac:dyDescent="0.25">
      <c r="B186" s="5">
        <v>45</v>
      </c>
      <c r="C186" s="21">
        <v>1</v>
      </c>
      <c r="M186" s="9">
        <v>45</v>
      </c>
      <c r="N186" s="5" cm="1">
        <f t="array" ref="N186">INDEX($F$142:$K$149, INT((ROW(A45)-1)/6)+1, MOD(ROW(A45)-1,6)+1)</f>
        <v>0</v>
      </c>
      <c r="P186" s="9">
        <v>45</v>
      </c>
      <c r="Q186" s="4">
        <f t="shared" si="0"/>
        <v>0</v>
      </c>
    </row>
    <row r="187" spans="2:17" x14ac:dyDescent="0.25">
      <c r="B187" s="5">
        <v>46</v>
      </c>
      <c r="C187" s="21">
        <v>1</v>
      </c>
      <c r="M187" s="9">
        <v>46</v>
      </c>
      <c r="N187" s="5" cm="1">
        <f t="array" ref="N187">INDEX($F$142:$K$149, INT((ROW(A46)-1)/6)+1, MOD(ROW(A46)-1,6)+1)</f>
        <v>1</v>
      </c>
      <c r="P187" s="9">
        <v>46</v>
      </c>
      <c r="Q187" s="4">
        <f t="shared" si="0"/>
        <v>0</v>
      </c>
    </row>
    <row r="188" spans="2:17" x14ac:dyDescent="0.25">
      <c r="B188" s="5">
        <v>47</v>
      </c>
      <c r="C188" s="21">
        <v>1</v>
      </c>
      <c r="M188" s="9">
        <v>47</v>
      </c>
      <c r="N188" s="5" cm="1">
        <f t="array" ref="N188">INDEX($F$142:$K$149, INT((ROW(A47)-1)/6)+1, MOD(ROW(A47)-1,6)+1)</f>
        <v>0</v>
      </c>
      <c r="P188" s="9">
        <v>47</v>
      </c>
      <c r="Q188" s="4">
        <f t="shared" si="0"/>
        <v>0</v>
      </c>
    </row>
    <row r="189" spans="2:17" x14ac:dyDescent="0.25">
      <c r="B189" s="6">
        <v>48</v>
      </c>
      <c r="C189" s="23">
        <v>0</v>
      </c>
      <c r="M189" s="11">
        <v>48</v>
      </c>
      <c r="N189" s="6" cm="1">
        <f t="array" ref="N189">INDEX($F$142:$K$149, INT((ROW(A48)-1)/6)+1, MOD(ROW(A48)-1,6)+1)</f>
        <v>1</v>
      </c>
      <c r="P189" s="11">
        <v>48</v>
      </c>
      <c r="Q189" s="2">
        <f t="shared" si="0"/>
        <v>0</v>
      </c>
    </row>
    <row r="190" spans="2:17" x14ac:dyDescent="0.25">
      <c r="B190" s="4">
        <v>49</v>
      </c>
      <c r="C190" s="21">
        <v>0</v>
      </c>
    </row>
    <row r="191" spans="2:17" x14ac:dyDescent="0.25">
      <c r="B191" s="5">
        <v>50</v>
      </c>
      <c r="C191" s="21">
        <v>0</v>
      </c>
    </row>
    <row r="192" spans="2:17" x14ac:dyDescent="0.25">
      <c r="B192" s="5">
        <v>51</v>
      </c>
      <c r="C192" s="21">
        <v>0</v>
      </c>
    </row>
    <row r="193" spans="2:41" x14ac:dyDescent="0.25">
      <c r="B193" s="5">
        <v>52</v>
      </c>
      <c r="C193" s="21">
        <v>1</v>
      </c>
    </row>
    <row r="194" spans="2:41" x14ac:dyDescent="0.25">
      <c r="B194" s="5">
        <v>53</v>
      </c>
      <c r="C194" s="21">
        <v>0</v>
      </c>
    </row>
    <row r="195" spans="2:41" x14ac:dyDescent="0.25">
      <c r="B195" s="5">
        <v>54</v>
      </c>
      <c r="C195" s="21">
        <v>1</v>
      </c>
    </row>
    <row r="196" spans="2:41" x14ac:dyDescent="0.25">
      <c r="B196" s="5">
        <v>55</v>
      </c>
      <c r="C196" s="21">
        <v>0</v>
      </c>
    </row>
    <row r="197" spans="2:41" x14ac:dyDescent="0.25">
      <c r="B197" s="6">
        <v>56</v>
      </c>
      <c r="C197" s="23">
        <v>1</v>
      </c>
    </row>
    <row r="200" spans="2:41" x14ac:dyDescent="0.25">
      <c r="B200" t="s">
        <v>85</v>
      </c>
    </row>
    <row r="201" spans="2:41" x14ac:dyDescent="0.25">
      <c r="M201" s="37" t="s">
        <v>30</v>
      </c>
      <c r="N201" s="43"/>
    </row>
    <row r="202" spans="2:41" x14ac:dyDescent="0.25">
      <c r="B202" s="37" t="s">
        <v>31</v>
      </c>
      <c r="C202" s="38"/>
      <c r="F202" s="39" t="s">
        <v>23</v>
      </c>
      <c r="G202" s="40"/>
      <c r="H202" s="40"/>
      <c r="I202" s="40"/>
      <c r="J202" s="40"/>
      <c r="K202" s="41"/>
      <c r="M202" s="7">
        <v>1</v>
      </c>
      <c r="N202" s="4" cm="1">
        <f t="array" ref="N202">INDEX($F$203:$K$210, INT((ROW(A1)-1)/6)+1, MOD(ROW(A1)-1,6)+1)</f>
        <v>0</v>
      </c>
      <c r="P202" s="39" t="s">
        <v>86</v>
      </c>
      <c r="Q202" s="40"/>
      <c r="R202" s="40"/>
      <c r="S202" s="40"/>
      <c r="T202" s="40"/>
      <c r="U202" s="41"/>
      <c r="W202" s="2" t="s">
        <v>3</v>
      </c>
      <c r="X202" s="18" t="s">
        <v>88</v>
      </c>
      <c r="Z202" s="42" t="s">
        <v>77</v>
      </c>
      <c r="AA202" s="42" t="s">
        <v>74</v>
      </c>
      <c r="AB202" s="42"/>
      <c r="AC202" s="42" t="s">
        <v>75</v>
      </c>
      <c r="AD202" s="42" t="s">
        <v>76</v>
      </c>
      <c r="AE202" s="36" t="s">
        <v>78</v>
      </c>
      <c r="AF202" s="36" t="s">
        <v>79</v>
      </c>
      <c r="AH202" s="37" t="s">
        <v>89</v>
      </c>
      <c r="AI202" s="38"/>
      <c r="AK202" s="37" t="s">
        <v>90</v>
      </c>
      <c r="AL202" s="38"/>
      <c r="AN202" s="36" t="s">
        <v>91</v>
      </c>
      <c r="AO202" s="36"/>
    </row>
    <row r="203" spans="2:41" x14ac:dyDescent="0.25">
      <c r="B203" s="4">
        <v>1</v>
      </c>
      <c r="C203" s="4">
        <v>1</v>
      </c>
      <c r="F203" s="15" cm="1">
        <f t="array" ref="F203">INDEX($C$203:$C$258, H41)</f>
        <v>0</v>
      </c>
      <c r="G203" s="15" cm="1">
        <f t="array" ref="G203">INDEX($C$203:$C$258, I41)</f>
        <v>1</v>
      </c>
      <c r="H203" s="15" cm="1">
        <f t="array" ref="H203">INDEX($C$203:$C$258, J41)</f>
        <v>1</v>
      </c>
      <c r="I203" s="15" cm="1">
        <f t="array" ref="I203">INDEX($C$203:$C$258, K41)</f>
        <v>0</v>
      </c>
      <c r="J203" s="15" cm="1">
        <f t="array" ref="J203">INDEX($C$203:$C$258, L41)</f>
        <v>1</v>
      </c>
      <c r="K203" s="15" cm="1">
        <f t="array" ref="K203">INDEX($C$203:$C$258, M41)</f>
        <v>0</v>
      </c>
      <c r="M203" s="9">
        <v>2</v>
      </c>
      <c r="N203" s="4" cm="1">
        <f t="array" ref="N203">INDEX($F$203:$K$210, INT((ROW(A2)-1)/6)+1, MOD(ROW(A2)-1,6)+1)</f>
        <v>1</v>
      </c>
      <c r="P203" s="15" t="e" cm="1">
        <f t="array" aca="1" ref="P203" ca="1">INDEX($AH$143:$AH$174, H51)</f>
        <v>#VALUE!</v>
      </c>
      <c r="Q203" s="15" t="e" cm="1">
        <f t="array" aca="1" ref="Q203" ca="1">INDEX($AH$143:$AH$174, I51)</f>
        <v>#VALUE!</v>
      </c>
      <c r="R203" s="15" t="e" cm="1">
        <f t="array" aca="1" ref="R203" ca="1">INDEX($AH$143:$AH$174, J51)</f>
        <v>#VALUE!</v>
      </c>
      <c r="S203" s="15" t="e" cm="1">
        <f t="array" aca="1" ref="S203" ca="1">INDEX($AH$143:$AH$174, K51)</f>
        <v>#VALUE!</v>
      </c>
      <c r="T203" s="15" t="e" cm="1">
        <f t="array" aca="1" ref="T203" ca="1">INDEX($AH$143:$AH$174, L51)</f>
        <v>#VALUE!</v>
      </c>
      <c r="U203" s="15" t="e" cm="1">
        <f t="array" aca="1" ref="U203" ca="1">INDEX($AH$143:$AH$174, M51)</f>
        <v>#VALUE!</v>
      </c>
      <c r="W203" s="7">
        <v>1</v>
      </c>
      <c r="X203" s="4" t="e">
        <f ca="1">_xlfn.BITXOR(Q213, N202)</f>
        <v>#VALUE!</v>
      </c>
      <c r="Z203" s="42"/>
      <c r="AA203" s="42"/>
      <c r="AB203" s="42"/>
      <c r="AC203" s="42"/>
      <c r="AD203" s="42"/>
      <c r="AE203" s="36"/>
      <c r="AF203" s="36"/>
      <c r="AH203" s="7">
        <v>1</v>
      </c>
      <c r="AI203" s="4" t="e" cm="1">
        <f t="array" aca="1" ref="AI203" ca="1">MID(INDEX($AF$204:$AF$211,INT((ROW(A1)-1)/4)+1),MOD(ROW(A1)-1,4)+1,1)</f>
        <v>#VALUE!</v>
      </c>
      <c r="AK203" s="7">
        <v>1</v>
      </c>
      <c r="AL203" s="4" t="e" cm="1">
        <f t="array" aca="1" ref="AL203" ca="1">INDEX($AI$203:$AI$234, INDEX($H$15:$O$18, INT((ROW(A1)-1)/8)+1, MOD(ROW(A1)-1,8)+1))</f>
        <v>#VALUE!</v>
      </c>
      <c r="AN203" s="2" t="s">
        <v>92</v>
      </c>
      <c r="AO203" s="31" t="s">
        <v>100</v>
      </c>
    </row>
    <row r="204" spans="2:41" x14ac:dyDescent="0.25">
      <c r="B204" s="5">
        <v>2</v>
      </c>
      <c r="C204" s="4">
        <v>1</v>
      </c>
      <c r="F204" s="15" cm="1">
        <f t="array" ref="F204">INDEX($C$203:$C$258, H42)</f>
        <v>0</v>
      </c>
      <c r="G204" s="15" cm="1">
        <f t="array" ref="G204">INDEX($C$203:$C$258, I42)</f>
        <v>1</v>
      </c>
      <c r="H204" s="15" cm="1">
        <f t="array" ref="H204">INDEX($C$203:$C$258, J42)</f>
        <v>1</v>
      </c>
      <c r="I204" s="15" cm="1">
        <f t="array" ref="I204">INDEX($C$203:$C$258, K42)</f>
        <v>0</v>
      </c>
      <c r="J204" s="15" cm="1">
        <f t="array" ref="J204">INDEX($C$203:$C$258, L42)</f>
        <v>1</v>
      </c>
      <c r="K204" s="15" cm="1">
        <f t="array" ref="K204">INDEX($C$203:$C$258, M42)</f>
        <v>0</v>
      </c>
      <c r="M204" s="9">
        <v>3</v>
      </c>
      <c r="N204" s="4" cm="1">
        <f t="array" ref="N204">INDEX($F$203:$K$210, INT((ROW(A3)-1)/6)+1, MOD(ROW(A3)-1,6)+1)</f>
        <v>1</v>
      </c>
      <c r="P204" s="15" t="e" cm="1">
        <f t="array" aca="1" ref="P204" ca="1">INDEX($AH$143:$AH$174, H52)</f>
        <v>#VALUE!</v>
      </c>
      <c r="Q204" s="15" t="e" cm="1">
        <f t="array" aca="1" ref="Q204" ca="1">INDEX($AH$143:$AH$174, I52)</f>
        <v>#VALUE!</v>
      </c>
      <c r="R204" s="15" t="e" cm="1">
        <f t="array" aca="1" ref="R204" ca="1">INDEX($AH$143:$AH$174, J52)</f>
        <v>#VALUE!</v>
      </c>
      <c r="S204" s="15" t="e" cm="1">
        <f t="array" aca="1" ref="S204" ca="1">INDEX($AH$143:$AH$174, K52)</f>
        <v>#VALUE!</v>
      </c>
      <c r="T204" s="15" t="e" cm="1">
        <f t="array" aca="1" ref="T204" ca="1">INDEX($AH$143:$AH$174, L52)</f>
        <v>#VALUE!</v>
      </c>
      <c r="U204" s="15" t="e" cm="1">
        <f t="array" aca="1" ref="U204" ca="1">INDEX($AH$143:$AH$174, M52)</f>
        <v>#VALUE!</v>
      </c>
      <c r="W204" s="9">
        <v>2</v>
      </c>
      <c r="X204" s="4" t="e">
        <f t="shared" ref="X204:X250" ca="1" si="5">_xlfn.BITXOR(Q214, N203)</f>
        <v>#VALUE!</v>
      </c>
      <c r="Z204" s="32">
        <v>1</v>
      </c>
      <c r="AA204" s="34" t="e">
        <f ca="1">_xlfn.TEXTJOIN("", TRUE, INDEX($X$203:$X$250, (ROW(A1)-1)*6+1) : INDEX($X$203:$X$250, (ROW(A1)-1)*6+6))</f>
        <v>#VALUE!</v>
      </c>
      <c r="AB204" s="35"/>
      <c r="AC204" s="32" t="e">
        <f ca="1">BIN2DEC(LEFT(AA204,1) &amp; RIGHT(AA204,1))</f>
        <v>#VALUE!</v>
      </c>
      <c r="AD204" s="31" t="e">
        <f ca="1">BIN2DEC(MID(AA204,2,4))</f>
        <v>#VALUE!</v>
      </c>
      <c r="AE204" s="31" t="e" cm="1">
        <f t="array" aca="1" ref="AE204" ca="1">INDEX(OFFSET('[1]S-box'!$A$2, (Z204-1)*6, 0, 4, 16), AC204+1, AD204+1)</f>
        <v>#VALUE!</v>
      </c>
      <c r="AF204" s="33" t="e">
        <f ca="1">DEC2BIN(AE204, 4)</f>
        <v>#VALUE!</v>
      </c>
      <c r="AH204" s="9">
        <v>2</v>
      </c>
      <c r="AI204" s="4" t="e" cm="1">
        <f t="array" aca="1" ref="AI204" ca="1">MID(INDEX($AF$204:$AF$211,INT((ROW(A2)-1)/4)+1),MOD(ROW(A2)-1,4)+1,1)</f>
        <v>#VALUE!</v>
      </c>
      <c r="AK204" s="9">
        <v>2</v>
      </c>
      <c r="AL204" s="4" t="e" cm="1">
        <f t="array" aca="1" ref="AL204" ca="1">INDEX($AI$203:$AI$234, INDEX($H$15:$O$18, INT((ROW(A2)-1)/8)+1, MOD(ROW(A2)-1,8)+1))</f>
        <v>#VALUE!</v>
      </c>
      <c r="AN204" s="2" t="e">
        <f ca="1">_xlfn.BITXOR(T17, AE142)</f>
        <v>#VALUE!</v>
      </c>
      <c r="AO204" s="2" t="e">
        <f ca="1">_xlfn.BITXOR(N202, AL203)</f>
        <v>#VALUE!</v>
      </c>
    </row>
    <row r="205" spans="2:41" x14ac:dyDescent="0.25">
      <c r="B205" s="5">
        <v>3</v>
      </c>
      <c r="C205" s="4">
        <v>0</v>
      </c>
      <c r="F205" s="15" cm="1">
        <f t="array" ref="F205">INDEX($C$203:$C$258, H43)</f>
        <v>1</v>
      </c>
      <c r="G205" s="15" cm="1">
        <f t="array" ref="G205">INDEX($C$203:$C$258, I43)</f>
        <v>1</v>
      </c>
      <c r="H205" s="15" cm="1">
        <f t="array" ref="H205">INDEX($C$203:$C$258, J43)</f>
        <v>1</v>
      </c>
      <c r="I205" s="15" cm="1">
        <f t="array" ref="I205">INDEX($C$203:$C$258, K43)</f>
        <v>0</v>
      </c>
      <c r="J205" s="15" cm="1">
        <f t="array" ref="J205">INDEX($C$203:$C$258, L43)</f>
        <v>1</v>
      </c>
      <c r="K205" s="15" cm="1">
        <f t="array" ref="K205">INDEX($C$203:$C$258, M43)</f>
        <v>1</v>
      </c>
      <c r="M205" s="9">
        <v>4</v>
      </c>
      <c r="N205" s="4" cm="1">
        <f t="array" ref="N205">INDEX($F$203:$K$210, INT((ROW(A4)-1)/6)+1, MOD(ROW(A4)-1,6)+1)</f>
        <v>0</v>
      </c>
      <c r="P205" s="15" t="e" cm="1">
        <f t="array" aca="1" ref="P205" ca="1">INDEX($AH$143:$AH$174, H53)</f>
        <v>#VALUE!</v>
      </c>
      <c r="Q205" s="15" t="e" cm="1">
        <f t="array" aca="1" ref="Q205" ca="1">INDEX($AH$143:$AH$174, I53)</f>
        <v>#VALUE!</v>
      </c>
      <c r="R205" s="15" t="e" cm="1">
        <f t="array" aca="1" ref="R205" ca="1">INDEX($AH$143:$AH$174, J53)</f>
        <v>#VALUE!</v>
      </c>
      <c r="S205" s="15" t="e" cm="1">
        <f t="array" aca="1" ref="S205" ca="1">INDEX($AH$143:$AH$174, K53)</f>
        <v>#VALUE!</v>
      </c>
      <c r="T205" s="15" t="e" cm="1">
        <f t="array" aca="1" ref="T205" ca="1">INDEX($AH$143:$AH$174, L53)</f>
        <v>#VALUE!</v>
      </c>
      <c r="U205" s="15" t="e" cm="1">
        <f t="array" aca="1" ref="U205" ca="1">INDEX($AH$143:$AH$174, M53)</f>
        <v>#VALUE!</v>
      </c>
      <c r="W205" s="9">
        <v>3</v>
      </c>
      <c r="X205" s="4" t="e">
        <f t="shared" ca="1" si="5"/>
        <v>#VALUE!</v>
      </c>
      <c r="Z205" s="32">
        <v>2</v>
      </c>
      <c r="AA205" s="34" t="e">
        <f ca="1">_xlfn.TEXTJOIN("", TRUE, INDEX($X$203:$X$250, (ROW(A2)-1)*6+1) : INDEX($X$203:$X$250, (ROW(A2)-1)*6+6))</f>
        <v>#VALUE!</v>
      </c>
      <c r="AB205" s="35"/>
      <c r="AC205" s="32" t="e">
        <f t="shared" ref="AC205:AC211" ca="1" si="6">BIN2DEC(LEFT(AA205,1) &amp; RIGHT(AA205,1))</f>
        <v>#VALUE!</v>
      </c>
      <c r="AD205" s="31" t="e">
        <f t="shared" ref="AD205:AD211" ca="1" si="7">BIN2DEC(MID(AA205,2,4))</f>
        <v>#VALUE!</v>
      </c>
      <c r="AE205" s="31" t="e" cm="1">
        <f t="array" aca="1" ref="AE205" ca="1">INDEX(OFFSET('[1]S-box'!$A$2, (Z205-1)*6, 0, 4, 16), AC205+1, AD205+1)</f>
        <v>#VALUE!</v>
      </c>
      <c r="AF205" s="33" t="e">
        <f t="shared" ref="AF205:AF211" ca="1" si="8">DEC2BIN(AE205, 4)</f>
        <v>#VALUE!</v>
      </c>
      <c r="AH205" s="9">
        <v>3</v>
      </c>
      <c r="AI205" s="4" t="e" cm="1">
        <f t="array" aca="1" ref="AI205" ca="1">MID(INDEX($AF$204:$AF$211,INT((ROW(A3)-1)/4)+1),MOD(ROW(A3)-1,4)+1,1)</f>
        <v>#VALUE!</v>
      </c>
      <c r="AK205" s="9">
        <v>3</v>
      </c>
      <c r="AL205" s="4" t="e" cm="1">
        <f t="array" aca="1" ref="AL205" ca="1">INDEX($AI$203:$AI$234, INDEX($H$15:$O$18, INT((ROW(A3)-1)/8)+1, MOD(ROW(A3)-1,8)+1))</f>
        <v>#VALUE!</v>
      </c>
      <c r="AN205" s="2" t="e">
        <f t="shared" ref="AN205:AN235" ca="1" si="9">_xlfn.BITXOR(T18, AE143)</f>
        <v>#VALUE!</v>
      </c>
      <c r="AO205" s="2" t="e">
        <f t="shared" ref="AO205:AO235" ca="1" si="10">_xlfn.BITXOR(N203, AL204)</f>
        <v>#VALUE!</v>
      </c>
    </row>
    <row r="206" spans="2:41" x14ac:dyDescent="0.25">
      <c r="B206" s="5">
        <v>4</v>
      </c>
      <c r="C206" s="4">
        <v>0</v>
      </c>
      <c r="F206" s="15" cm="1">
        <f t="array" ref="F206">INDEX($C$203:$C$258, H44)</f>
        <v>0</v>
      </c>
      <c r="G206" s="15" cm="1">
        <f t="array" ref="G206">INDEX($C$203:$C$258, I44)</f>
        <v>1</v>
      </c>
      <c r="H206" s="15" cm="1">
        <f t="array" ref="H206">INDEX($C$203:$C$258, J44)</f>
        <v>1</v>
      </c>
      <c r="I206" s="15" cm="1">
        <f t="array" ref="I206">INDEX($C$203:$C$258, K44)</f>
        <v>0</v>
      </c>
      <c r="J206" s="15" cm="1">
        <f t="array" ref="J206">INDEX($C$203:$C$258, L44)</f>
        <v>0</v>
      </c>
      <c r="K206" s="15" cm="1">
        <f t="array" ref="K206">INDEX($C$203:$C$258, M44)</f>
        <v>1</v>
      </c>
      <c r="M206" s="9">
        <v>5</v>
      </c>
      <c r="N206" s="4" cm="1">
        <f t="array" ref="N206">INDEX($F$203:$K$210, INT((ROW(A5)-1)/6)+1, MOD(ROW(A5)-1,6)+1)</f>
        <v>1</v>
      </c>
      <c r="P206" s="15" t="e" cm="1">
        <f t="array" aca="1" ref="P206" ca="1">INDEX($AH$143:$AH$174, H54)</f>
        <v>#VALUE!</v>
      </c>
      <c r="Q206" s="15" t="e" cm="1">
        <f t="array" aca="1" ref="Q206" ca="1">INDEX($AH$143:$AH$174, I54)</f>
        <v>#VALUE!</v>
      </c>
      <c r="R206" s="15" t="e" cm="1">
        <f t="array" aca="1" ref="R206" ca="1">INDEX($AH$143:$AH$174, J54)</f>
        <v>#VALUE!</v>
      </c>
      <c r="S206" s="15" t="e" cm="1">
        <f t="array" aca="1" ref="S206" ca="1">INDEX($AH$143:$AH$174, K54)</f>
        <v>#VALUE!</v>
      </c>
      <c r="T206" s="15" t="e" cm="1">
        <f t="array" aca="1" ref="T206" ca="1">INDEX($AH$143:$AH$174, L54)</f>
        <v>#VALUE!</v>
      </c>
      <c r="U206" s="15" t="e" cm="1">
        <f t="array" aca="1" ref="U206" ca="1">INDEX($AH$143:$AH$174, M54)</f>
        <v>#VALUE!</v>
      </c>
      <c r="W206" s="9">
        <v>4</v>
      </c>
      <c r="X206" s="4" t="e">
        <f t="shared" ca="1" si="5"/>
        <v>#VALUE!</v>
      </c>
      <c r="Z206" s="32">
        <v>3</v>
      </c>
      <c r="AA206" s="34" t="e">
        <f ca="1">_xlfn.TEXTJOIN("", TRUE, INDEX($X$203:$X$250, (ROW(A3)-1)*6+1) : INDEX($X$203:$X$250, (ROW(A3)-1)*6+6))</f>
        <v>#VALUE!</v>
      </c>
      <c r="AB206" s="35"/>
      <c r="AC206" s="32" t="e">
        <f t="shared" ca="1" si="6"/>
        <v>#VALUE!</v>
      </c>
      <c r="AD206" s="31" t="e">
        <f t="shared" ca="1" si="7"/>
        <v>#VALUE!</v>
      </c>
      <c r="AE206" s="31" t="e" cm="1">
        <f t="array" aca="1" ref="AE206" ca="1">INDEX(OFFSET('[1]S-box'!$A$2, (Z206-1)*6, 0, 4, 16), AC206+1, AD206+1)</f>
        <v>#VALUE!</v>
      </c>
      <c r="AF206" s="33" t="e">
        <f t="shared" ca="1" si="8"/>
        <v>#VALUE!</v>
      </c>
      <c r="AH206" s="9">
        <v>4</v>
      </c>
      <c r="AI206" s="4" t="e" cm="1">
        <f t="array" aca="1" ref="AI206" ca="1">MID(INDEX($AF$204:$AF$211,INT((ROW(A4)-1)/4)+1),MOD(ROW(A4)-1,4)+1,1)</f>
        <v>#VALUE!</v>
      </c>
      <c r="AK206" s="9">
        <v>4</v>
      </c>
      <c r="AL206" s="4" t="e" cm="1">
        <f t="array" aca="1" ref="AL206" ca="1">INDEX($AI$203:$AI$234, INDEX($H$15:$O$18, INT((ROW(A4)-1)/8)+1, MOD(ROW(A4)-1,8)+1))</f>
        <v>#VALUE!</v>
      </c>
      <c r="AN206" s="2" t="e">
        <f t="shared" ca="1" si="9"/>
        <v>#VALUE!</v>
      </c>
      <c r="AO206" s="2" t="e">
        <f t="shared" ca="1" si="10"/>
        <v>#VALUE!</v>
      </c>
    </row>
    <row r="207" spans="2:41" x14ac:dyDescent="0.25">
      <c r="B207" s="5">
        <v>5</v>
      </c>
      <c r="C207" s="4">
        <v>0</v>
      </c>
      <c r="F207" s="15" cm="1">
        <f t="array" ref="F207">INDEX($C$203:$C$258, H45)</f>
        <v>0</v>
      </c>
      <c r="G207" s="15" cm="1">
        <f t="array" ref="G207">INDEX($C$203:$C$258, I45)</f>
        <v>0</v>
      </c>
      <c r="H207" s="15" cm="1">
        <f t="array" ref="H207">INDEX($C$203:$C$258, J45)</f>
        <v>1</v>
      </c>
      <c r="I207" s="15" cm="1">
        <f t="array" ref="I207">INDEX($C$203:$C$258, K45)</f>
        <v>0</v>
      </c>
      <c r="J207" s="15" cm="1">
        <f t="array" ref="J207">INDEX($C$203:$C$258, L45)</f>
        <v>0</v>
      </c>
      <c r="K207" s="15" cm="1">
        <f t="array" ref="K207">INDEX($C$203:$C$258, M45)</f>
        <v>1</v>
      </c>
      <c r="M207" s="9">
        <v>6</v>
      </c>
      <c r="N207" s="4" cm="1">
        <f t="array" ref="N207">INDEX($F$203:$K$210, INT((ROW(A6)-1)/6)+1, MOD(ROW(A6)-1,6)+1)</f>
        <v>0</v>
      </c>
      <c r="P207" s="15" t="e" cm="1">
        <f t="array" aca="1" ref="P207" ca="1">INDEX($AH$143:$AH$174, H55)</f>
        <v>#VALUE!</v>
      </c>
      <c r="Q207" s="15" t="e" cm="1">
        <f t="array" aca="1" ref="Q207" ca="1">INDEX($AH$143:$AH$174, I55)</f>
        <v>#VALUE!</v>
      </c>
      <c r="R207" s="15" t="e" cm="1">
        <f t="array" aca="1" ref="R207" ca="1">INDEX($AH$143:$AH$174, J55)</f>
        <v>#VALUE!</v>
      </c>
      <c r="S207" s="15" t="e" cm="1">
        <f t="array" aca="1" ref="S207" ca="1">INDEX($AH$143:$AH$174, K55)</f>
        <v>#VALUE!</v>
      </c>
      <c r="T207" s="15" t="e" cm="1">
        <f t="array" aca="1" ref="T207" ca="1">INDEX($AH$143:$AH$174, L55)</f>
        <v>#VALUE!</v>
      </c>
      <c r="U207" s="15" t="e" cm="1">
        <f t="array" aca="1" ref="U207" ca="1">INDEX($AH$143:$AH$174, M55)</f>
        <v>#VALUE!</v>
      </c>
      <c r="W207" s="9">
        <v>5</v>
      </c>
      <c r="X207" s="4" t="e">
        <f t="shared" ca="1" si="5"/>
        <v>#VALUE!</v>
      </c>
      <c r="Z207" s="32">
        <v>4</v>
      </c>
      <c r="AA207" s="34" t="e">
        <f ca="1">_xlfn.TEXTJOIN("", TRUE, INDEX($X$203:$X$250, (ROW(A4)-1)*6+1) : INDEX($X$203:$X$250, (ROW(A4)-1)*6+6))</f>
        <v>#VALUE!</v>
      </c>
      <c r="AB207" s="35"/>
      <c r="AC207" s="32" t="e">
        <f t="shared" ca="1" si="6"/>
        <v>#VALUE!</v>
      </c>
      <c r="AD207" s="31" t="e">
        <f t="shared" ca="1" si="7"/>
        <v>#VALUE!</v>
      </c>
      <c r="AE207" s="31" t="e" cm="1">
        <f t="array" aca="1" ref="AE207" ca="1">INDEX(OFFSET('[1]S-box'!$A$2, (Z207-1)*6, 0, 4, 16), AC207+1, AD207+1)</f>
        <v>#VALUE!</v>
      </c>
      <c r="AF207" s="33" t="e">
        <f t="shared" ca="1" si="8"/>
        <v>#VALUE!</v>
      </c>
      <c r="AH207" s="9">
        <v>5</v>
      </c>
      <c r="AI207" s="4" t="e" cm="1">
        <f t="array" aca="1" ref="AI207" ca="1">MID(INDEX($AF$204:$AF$211,INT((ROW(A5)-1)/4)+1),MOD(ROW(A5)-1,4)+1,1)</f>
        <v>#VALUE!</v>
      </c>
      <c r="AK207" s="9">
        <v>5</v>
      </c>
      <c r="AL207" s="4" t="e" cm="1">
        <f t="array" aca="1" ref="AL207" ca="1">INDEX($AI$203:$AI$234, INDEX($H$15:$O$18, INT((ROW(A5)-1)/8)+1, MOD(ROW(A5)-1,8)+1))</f>
        <v>#VALUE!</v>
      </c>
      <c r="AN207" s="2" t="e">
        <f t="shared" ca="1" si="9"/>
        <v>#VALUE!</v>
      </c>
      <c r="AO207" s="2" t="e">
        <f t="shared" ca="1" si="10"/>
        <v>#VALUE!</v>
      </c>
    </row>
    <row r="208" spans="2:41" x14ac:dyDescent="0.25">
      <c r="B208" s="5">
        <v>6</v>
      </c>
      <c r="C208" s="4">
        <v>0</v>
      </c>
      <c r="F208" s="15" cm="1">
        <f t="array" ref="F208">INDEX($C$203:$C$258, H46)</f>
        <v>0</v>
      </c>
      <c r="G208" s="15" cm="1">
        <f t="array" ref="G208">INDEX($C$203:$C$258, I46)</f>
        <v>1</v>
      </c>
      <c r="H208" s="15" cm="1">
        <f t="array" ref="H208">INDEX($C$203:$C$258, J46)</f>
        <v>1</v>
      </c>
      <c r="I208" s="15" cm="1">
        <f t="array" ref="I208">INDEX($C$203:$C$258, K46)</f>
        <v>1</v>
      </c>
      <c r="J208" s="15" cm="1">
        <f t="array" ref="J208">INDEX($C$203:$C$258, L46)</f>
        <v>1</v>
      </c>
      <c r="K208" s="15" cm="1">
        <f t="array" ref="K208">INDEX($C$203:$C$258, M46)</f>
        <v>0</v>
      </c>
      <c r="M208" s="9">
        <v>7</v>
      </c>
      <c r="N208" s="4" cm="1">
        <f t="array" ref="N208">INDEX($F$203:$K$210, INT((ROW(A7)-1)/6)+1, MOD(ROW(A7)-1,6)+1)</f>
        <v>0</v>
      </c>
      <c r="P208" s="15" t="e" cm="1">
        <f t="array" aca="1" ref="P208" ca="1">INDEX($AH$143:$AH$174, H56)</f>
        <v>#VALUE!</v>
      </c>
      <c r="Q208" s="15" t="e" cm="1">
        <f t="array" aca="1" ref="Q208" ca="1">INDEX($AH$143:$AH$174, I56)</f>
        <v>#VALUE!</v>
      </c>
      <c r="R208" s="15" t="e" cm="1">
        <f t="array" aca="1" ref="R208" ca="1">INDEX($AH$143:$AH$174, J56)</f>
        <v>#VALUE!</v>
      </c>
      <c r="S208" s="15" t="e" cm="1">
        <f t="array" aca="1" ref="S208" ca="1">INDEX($AH$143:$AH$174, K56)</f>
        <v>#VALUE!</v>
      </c>
      <c r="T208" s="15" t="e" cm="1">
        <f t="array" aca="1" ref="T208" ca="1">INDEX($AH$143:$AH$174, L56)</f>
        <v>#VALUE!</v>
      </c>
      <c r="U208" s="15" t="e" cm="1">
        <f t="array" aca="1" ref="U208" ca="1">INDEX($AH$143:$AH$174, M56)</f>
        <v>#VALUE!</v>
      </c>
      <c r="W208" s="9">
        <v>6</v>
      </c>
      <c r="X208" s="4" t="e">
        <f t="shared" ca="1" si="5"/>
        <v>#VALUE!</v>
      </c>
      <c r="Z208" s="32">
        <v>5</v>
      </c>
      <c r="AA208" s="34" t="e">
        <f ca="1">_xlfn.TEXTJOIN("", TRUE, INDEX($X$203:$X$250, (ROW(A5)-1)*6+1) : INDEX($X$203:$X$250, (ROW(A5)-1)*6+6))</f>
        <v>#VALUE!</v>
      </c>
      <c r="AB208" s="35"/>
      <c r="AC208" s="32" t="e">
        <f t="shared" ca="1" si="6"/>
        <v>#VALUE!</v>
      </c>
      <c r="AD208" s="31" t="e">
        <f t="shared" ca="1" si="7"/>
        <v>#VALUE!</v>
      </c>
      <c r="AE208" s="31" t="e" cm="1">
        <f t="array" aca="1" ref="AE208" ca="1">INDEX(OFFSET('[1]S-box'!$A$2, (Z208-1)*6, 0, 4, 16), AC208+1, AD208+1)</f>
        <v>#VALUE!</v>
      </c>
      <c r="AF208" s="33" t="e">
        <f t="shared" ca="1" si="8"/>
        <v>#VALUE!</v>
      </c>
      <c r="AH208" s="9">
        <v>6</v>
      </c>
      <c r="AI208" s="4" t="e" cm="1">
        <f t="array" aca="1" ref="AI208" ca="1">MID(INDEX($AF$204:$AF$211,INT((ROW(A6)-1)/4)+1),MOD(ROW(A6)-1,4)+1,1)</f>
        <v>#VALUE!</v>
      </c>
      <c r="AK208" s="9">
        <v>6</v>
      </c>
      <c r="AL208" s="4" t="e" cm="1">
        <f t="array" aca="1" ref="AL208" ca="1">INDEX($AI$203:$AI$234, INDEX($H$15:$O$18, INT((ROW(A6)-1)/8)+1, MOD(ROW(A6)-1,8)+1))</f>
        <v>#VALUE!</v>
      </c>
      <c r="AN208" s="2" t="e">
        <f t="shared" ca="1" si="9"/>
        <v>#VALUE!</v>
      </c>
      <c r="AO208" s="2" t="e">
        <f t="shared" ca="1" si="10"/>
        <v>#VALUE!</v>
      </c>
    </row>
    <row r="209" spans="2:41" x14ac:dyDescent="0.25">
      <c r="B209" s="5">
        <v>7</v>
      </c>
      <c r="C209" s="4">
        <v>1</v>
      </c>
      <c r="F209" s="15" cm="1">
        <f t="array" ref="F209">INDEX($C$203:$C$258, H47)</f>
        <v>1</v>
      </c>
      <c r="G209" s="15" cm="1">
        <f t="array" ref="G209">INDEX($C$203:$C$258, I47)</f>
        <v>0</v>
      </c>
      <c r="H209" s="15" cm="1">
        <f t="array" ref="H209">INDEX($C$203:$C$258, J47)</f>
        <v>1</v>
      </c>
      <c r="I209" s="15" cm="1">
        <f t="array" ref="I209">INDEX($C$203:$C$258, K47)</f>
        <v>0</v>
      </c>
      <c r="J209" s="15" cm="1">
        <f t="array" ref="J209">INDEX($C$203:$C$258, L47)</f>
        <v>0</v>
      </c>
      <c r="K209" s="15" cm="1">
        <f t="array" ref="K209">INDEX($C$203:$C$258, M47)</f>
        <v>1</v>
      </c>
      <c r="M209" s="11">
        <v>8</v>
      </c>
      <c r="N209" s="4" cm="1">
        <f t="array" ref="N209">INDEX($F$203:$K$210, INT((ROW(A8)-1)/6)+1, MOD(ROW(A8)-1,6)+1)</f>
        <v>1</v>
      </c>
      <c r="P209" s="15" t="e" cm="1">
        <f t="array" aca="1" ref="P209" ca="1">INDEX($AH$143:$AH$174, H57)</f>
        <v>#VALUE!</v>
      </c>
      <c r="Q209" s="15" t="e" cm="1">
        <f t="array" aca="1" ref="Q209" ca="1">INDEX($AH$143:$AH$174, I57)</f>
        <v>#VALUE!</v>
      </c>
      <c r="R209" s="15" t="e" cm="1">
        <f t="array" aca="1" ref="R209" ca="1">INDEX($AH$143:$AH$174, J57)</f>
        <v>#VALUE!</v>
      </c>
      <c r="S209" s="15" t="e" cm="1">
        <f t="array" aca="1" ref="S209" ca="1">INDEX($AH$143:$AH$174, K57)</f>
        <v>#VALUE!</v>
      </c>
      <c r="T209" s="15" t="e" cm="1">
        <f t="array" aca="1" ref="T209" ca="1">INDEX($AH$143:$AH$174, L57)</f>
        <v>#VALUE!</v>
      </c>
      <c r="U209" s="15" t="e" cm="1">
        <f t="array" aca="1" ref="U209" ca="1">INDEX($AH$143:$AH$174, M57)</f>
        <v>#VALUE!</v>
      </c>
      <c r="W209" s="9">
        <v>7</v>
      </c>
      <c r="X209" s="4" t="e">
        <f t="shared" ca="1" si="5"/>
        <v>#VALUE!</v>
      </c>
      <c r="Z209" s="32">
        <v>6</v>
      </c>
      <c r="AA209" s="34" t="e">
        <f ca="1">_xlfn.TEXTJOIN("", TRUE, INDEX($X$203:$X$250, (ROW(A6)-1)*6+1) : INDEX($X$203:$X$250, (ROW(A6)-1)*6+6))</f>
        <v>#VALUE!</v>
      </c>
      <c r="AB209" s="35"/>
      <c r="AC209" s="32" t="e">
        <f t="shared" ca="1" si="6"/>
        <v>#VALUE!</v>
      </c>
      <c r="AD209" s="31" t="e">
        <f t="shared" ca="1" si="7"/>
        <v>#VALUE!</v>
      </c>
      <c r="AE209" s="31" t="e" cm="1">
        <f t="array" aca="1" ref="AE209" ca="1">INDEX(OFFSET('[1]S-box'!$A$2, (Z209-1)*6, 0, 4, 16), AC209+1, AD209+1)</f>
        <v>#VALUE!</v>
      </c>
      <c r="AF209" s="33" t="e">
        <f t="shared" ca="1" si="8"/>
        <v>#VALUE!</v>
      </c>
      <c r="AH209" s="9">
        <v>7</v>
      </c>
      <c r="AI209" s="4" t="e" cm="1">
        <f t="array" aca="1" ref="AI209" ca="1">MID(INDEX($AF$204:$AF$211,INT((ROW(A7)-1)/4)+1),MOD(ROW(A7)-1,4)+1,1)</f>
        <v>#VALUE!</v>
      </c>
      <c r="AK209" s="9">
        <v>7</v>
      </c>
      <c r="AL209" s="4" t="e" cm="1">
        <f t="array" aca="1" ref="AL209" ca="1">INDEX($AI$203:$AI$234, INDEX($H$15:$O$18, INT((ROW(A7)-1)/8)+1, MOD(ROW(A7)-1,8)+1))</f>
        <v>#VALUE!</v>
      </c>
      <c r="AN209" s="2" t="e">
        <f t="shared" ca="1" si="9"/>
        <v>#VALUE!</v>
      </c>
      <c r="AO209" s="2" t="e">
        <f t="shared" ca="1" si="10"/>
        <v>#VALUE!</v>
      </c>
    </row>
    <row r="210" spans="2:41" x14ac:dyDescent="0.25">
      <c r="B210" s="6">
        <v>8</v>
      </c>
      <c r="C210" s="4">
        <v>1</v>
      </c>
      <c r="F210" s="15" cm="1">
        <f t="array" ref="F210">INDEX($C$203:$C$258, H48)</f>
        <v>1</v>
      </c>
      <c r="G210" s="15" cm="1">
        <f t="array" ref="G210">INDEX($C$203:$C$258, I48)</f>
        <v>0</v>
      </c>
      <c r="H210" s="15" cm="1">
        <f t="array" ref="H210">INDEX($C$203:$C$258, J48)</f>
        <v>0</v>
      </c>
      <c r="I210" s="15" cm="1">
        <f t="array" ref="I210">INDEX($C$203:$C$258, K48)</f>
        <v>1</v>
      </c>
      <c r="J210" s="15" cm="1">
        <f t="array" ref="J210">INDEX($C$203:$C$258, L48)</f>
        <v>1</v>
      </c>
      <c r="K210" s="15" cm="1">
        <f t="array" ref="K210">INDEX($C$203:$C$258, M48)</f>
        <v>0</v>
      </c>
      <c r="M210" s="9">
        <v>9</v>
      </c>
      <c r="N210" s="4" cm="1">
        <f t="array" ref="N210">INDEX($F$203:$K$210, INT((ROW(A9)-1)/6)+1, MOD(ROW(A9)-1,6)+1)</f>
        <v>1</v>
      </c>
      <c r="P210" s="15" t="e" cm="1">
        <f t="array" aca="1" ref="P210" ca="1">INDEX($AH$143:$AH$174, H58)</f>
        <v>#VALUE!</v>
      </c>
      <c r="Q210" s="15" t="e" cm="1">
        <f t="array" aca="1" ref="Q210" ca="1">INDEX($AH$143:$AH$174, I58)</f>
        <v>#VALUE!</v>
      </c>
      <c r="R210" s="15" t="e" cm="1">
        <f t="array" aca="1" ref="R210" ca="1">INDEX($AH$143:$AH$174, J58)</f>
        <v>#VALUE!</v>
      </c>
      <c r="S210" s="15" t="e" cm="1">
        <f t="array" aca="1" ref="S210" ca="1">INDEX($AH$143:$AH$174, K58)</f>
        <v>#VALUE!</v>
      </c>
      <c r="T210" s="15" t="e" cm="1">
        <f t="array" aca="1" ref="T210" ca="1">INDEX($AH$143:$AH$174, L58)</f>
        <v>#VALUE!</v>
      </c>
      <c r="U210" s="15" t="e" cm="1">
        <f t="array" aca="1" ref="U210" ca="1">INDEX($AH$143:$AH$174, M58)</f>
        <v>#VALUE!</v>
      </c>
      <c r="W210" s="11">
        <v>8</v>
      </c>
      <c r="X210" s="4" t="e">
        <f t="shared" ca="1" si="5"/>
        <v>#VALUE!</v>
      </c>
      <c r="Z210" s="32">
        <v>7</v>
      </c>
      <c r="AA210" s="34" t="e">
        <f ca="1">_xlfn.TEXTJOIN("", TRUE, INDEX($X$203:$X$250, (ROW(A7)-1)*6+1) : INDEX($X$203:$X$250, (ROW(A7)-1)*6+6))</f>
        <v>#VALUE!</v>
      </c>
      <c r="AB210" s="35"/>
      <c r="AC210" s="32" t="e">
        <f t="shared" ca="1" si="6"/>
        <v>#VALUE!</v>
      </c>
      <c r="AD210" s="31" t="e">
        <f t="shared" ca="1" si="7"/>
        <v>#VALUE!</v>
      </c>
      <c r="AE210" s="31" t="e" cm="1">
        <f t="array" aca="1" ref="AE210" ca="1">INDEX(OFFSET('[1]S-box'!$A$2, (Z210-1)*6, 0, 4, 16), AC210+1, AD210+1)</f>
        <v>#VALUE!</v>
      </c>
      <c r="AF210" s="33" t="e">
        <f t="shared" ca="1" si="8"/>
        <v>#VALUE!</v>
      </c>
      <c r="AH210" s="11">
        <v>8</v>
      </c>
      <c r="AI210" s="4" t="e" cm="1">
        <f t="array" aca="1" ref="AI210" ca="1">MID(INDEX($AF$204:$AF$211,INT((ROW(A8)-1)/4)+1),MOD(ROW(A8)-1,4)+1,1)</f>
        <v>#VALUE!</v>
      </c>
      <c r="AK210" s="11">
        <v>8</v>
      </c>
      <c r="AL210" s="4" t="e" cm="1">
        <f t="array" aca="1" ref="AL210" ca="1">INDEX($AI$203:$AI$234, INDEX($H$15:$O$18, INT((ROW(A8)-1)/8)+1, MOD(ROW(A8)-1,8)+1))</f>
        <v>#VALUE!</v>
      </c>
      <c r="AN210" s="2" t="e">
        <f t="shared" ca="1" si="9"/>
        <v>#VALUE!</v>
      </c>
      <c r="AO210" s="2" t="e">
        <f t="shared" ca="1" si="10"/>
        <v>#VALUE!</v>
      </c>
    </row>
    <row r="211" spans="2:41" x14ac:dyDescent="0.25">
      <c r="B211" s="5">
        <v>9</v>
      </c>
      <c r="C211" s="4">
        <v>0</v>
      </c>
      <c r="M211" s="9">
        <v>10</v>
      </c>
      <c r="N211" s="4" cm="1">
        <f t="array" ref="N211">INDEX($F$203:$K$210, INT((ROW(A10)-1)/6)+1, MOD(ROW(A10)-1,6)+1)</f>
        <v>0</v>
      </c>
      <c r="W211" s="9">
        <v>9</v>
      </c>
      <c r="X211" s="4" t="e">
        <f t="shared" ca="1" si="5"/>
        <v>#VALUE!</v>
      </c>
      <c r="Z211" s="32">
        <v>8</v>
      </c>
      <c r="AA211" s="34" t="e">
        <f ca="1">_xlfn.TEXTJOIN("", TRUE, INDEX($X$203:$X$250, (ROW(A8)-1)*6+1) : INDEX($X$203:$X$250, (ROW(A8)-1)*6+6))</f>
        <v>#VALUE!</v>
      </c>
      <c r="AB211" s="35"/>
      <c r="AC211" s="32" t="e">
        <f t="shared" ca="1" si="6"/>
        <v>#VALUE!</v>
      </c>
      <c r="AD211" s="31" t="e">
        <f t="shared" ca="1" si="7"/>
        <v>#VALUE!</v>
      </c>
      <c r="AE211" s="31" t="e" cm="1">
        <f t="array" aca="1" ref="AE211" ca="1">INDEX(OFFSET('[1]S-box'!$A$2, (Z211-1)*6, 0, 4, 16), AC211+1, AD211+1)</f>
        <v>#VALUE!</v>
      </c>
      <c r="AF211" s="33" t="e">
        <f t="shared" ca="1" si="8"/>
        <v>#VALUE!</v>
      </c>
      <c r="AH211" s="9">
        <v>9</v>
      </c>
      <c r="AI211" s="4" t="e" cm="1">
        <f t="array" aca="1" ref="AI211" ca="1">MID(INDEX($AF$204:$AF$211,INT((ROW(A9)-1)/4)+1),MOD(ROW(A9)-1,4)+1,1)</f>
        <v>#VALUE!</v>
      </c>
      <c r="AK211" s="9">
        <v>9</v>
      </c>
      <c r="AL211" s="4" t="e" cm="1">
        <f t="array" aca="1" ref="AL211" ca="1">INDEX($AI$203:$AI$234, INDEX($H$15:$O$18, INT((ROW(A9)-1)/8)+1, MOD(ROW(A9)-1,8)+1))</f>
        <v>#VALUE!</v>
      </c>
      <c r="AN211" s="2" t="e">
        <f t="shared" ca="1" si="9"/>
        <v>#VALUE!</v>
      </c>
      <c r="AO211" s="2" t="e">
        <f t="shared" ca="1" si="10"/>
        <v>#VALUE!</v>
      </c>
    </row>
    <row r="212" spans="2:41" x14ac:dyDescent="0.25">
      <c r="B212" s="5">
        <v>10</v>
      </c>
      <c r="C212" s="4">
        <v>0</v>
      </c>
      <c r="M212" s="9">
        <v>11</v>
      </c>
      <c r="N212" s="4" cm="1">
        <f t="array" ref="N212">INDEX($F$203:$K$210, INT((ROW(A11)-1)/6)+1, MOD(ROW(A11)-1,6)+1)</f>
        <v>1</v>
      </c>
      <c r="P212" s="36" t="s">
        <v>87</v>
      </c>
      <c r="Q212" s="36"/>
      <c r="W212" s="9">
        <v>10</v>
      </c>
      <c r="X212" s="4" t="e">
        <f t="shared" ca="1" si="5"/>
        <v>#VALUE!</v>
      </c>
      <c r="AH212" s="9">
        <v>10</v>
      </c>
      <c r="AI212" s="4" t="e" cm="1">
        <f t="array" aca="1" ref="AI212" ca="1">MID(INDEX($AF$204:$AF$211,INT((ROW(A10)-1)/4)+1),MOD(ROW(A10)-1,4)+1,1)</f>
        <v>#VALUE!</v>
      </c>
      <c r="AK212" s="9">
        <v>10</v>
      </c>
      <c r="AL212" s="4" t="e" cm="1">
        <f t="array" aca="1" ref="AL212" ca="1">INDEX($AI$203:$AI$234, INDEX($H$15:$O$18, INT((ROW(A10)-1)/8)+1, MOD(ROW(A10)-1,8)+1))</f>
        <v>#VALUE!</v>
      </c>
      <c r="AN212" s="2" t="e">
        <f t="shared" ca="1" si="9"/>
        <v>#VALUE!</v>
      </c>
      <c r="AO212" s="2" t="e">
        <f t="shared" ca="1" si="10"/>
        <v>#VALUE!</v>
      </c>
    </row>
    <row r="213" spans="2:41" x14ac:dyDescent="0.25">
      <c r="B213" s="5">
        <v>11</v>
      </c>
      <c r="C213" s="4">
        <v>1</v>
      </c>
      <c r="M213" s="9">
        <v>12</v>
      </c>
      <c r="N213" s="4" cm="1">
        <f t="array" ref="N213">INDEX($F$203:$K$210, INT((ROW(A12)-1)/6)+1, MOD(ROW(A12)-1,6)+1)</f>
        <v>0</v>
      </c>
      <c r="P213" s="9">
        <v>1</v>
      </c>
      <c r="Q213" s="5" t="e" cm="1">
        <f t="array" aca="1" ref="Q213" ca="1">INDEX($P$203:$U$210, INT((ROW(A1)-1)/6)+1, MOD(ROW(A1)-1,6)+1)</f>
        <v>#VALUE!</v>
      </c>
      <c r="W213" s="9">
        <v>11</v>
      </c>
      <c r="X213" s="4" t="e">
        <f t="shared" ca="1" si="5"/>
        <v>#VALUE!</v>
      </c>
      <c r="AH213" s="9">
        <v>11</v>
      </c>
      <c r="AI213" s="4" t="e" cm="1">
        <f t="array" aca="1" ref="AI213" ca="1">MID(INDEX($AF$204:$AF$211,INT((ROW(A11)-1)/4)+1),MOD(ROW(A11)-1,4)+1,1)</f>
        <v>#VALUE!</v>
      </c>
      <c r="AK213" s="9">
        <v>11</v>
      </c>
      <c r="AL213" s="4" t="e" cm="1">
        <f t="array" aca="1" ref="AL213" ca="1">INDEX($AI$203:$AI$234, INDEX($H$15:$O$18, INT((ROW(A11)-1)/8)+1, MOD(ROW(A11)-1,8)+1))</f>
        <v>#VALUE!</v>
      </c>
      <c r="AN213" s="2" t="e">
        <f t="shared" ca="1" si="9"/>
        <v>#VALUE!</v>
      </c>
      <c r="AO213" s="2" t="e">
        <f t="shared" ca="1" si="10"/>
        <v>#VALUE!</v>
      </c>
    </row>
    <row r="214" spans="2:41" x14ac:dyDescent="0.25">
      <c r="B214" s="5">
        <v>12</v>
      </c>
      <c r="C214" s="4">
        <v>1</v>
      </c>
      <c r="M214" s="9">
        <v>13</v>
      </c>
      <c r="N214" s="4" cm="1">
        <f t="array" ref="N214">INDEX($F$203:$K$210, INT((ROW(A13)-1)/6)+1, MOD(ROW(A13)-1,6)+1)</f>
        <v>1</v>
      </c>
      <c r="P214" s="9">
        <v>2</v>
      </c>
      <c r="Q214" s="5" t="e" cm="1">
        <f t="array" aca="1" ref="Q214" ca="1">INDEX($P$203:$U$210, INT((ROW(A2)-1)/6)+1, MOD(ROW(A2)-1,6)+1)</f>
        <v>#VALUE!</v>
      </c>
      <c r="W214" s="9">
        <v>12</v>
      </c>
      <c r="X214" s="4" t="e">
        <f t="shared" ca="1" si="5"/>
        <v>#VALUE!</v>
      </c>
      <c r="AH214" s="9">
        <v>12</v>
      </c>
      <c r="AI214" s="4" t="e" cm="1">
        <f t="array" aca="1" ref="AI214" ca="1">MID(INDEX($AF$204:$AF$211,INT((ROW(A12)-1)/4)+1),MOD(ROW(A12)-1,4)+1,1)</f>
        <v>#VALUE!</v>
      </c>
      <c r="AK214" s="9">
        <v>12</v>
      </c>
      <c r="AL214" s="4" t="e" cm="1">
        <f t="array" aca="1" ref="AL214" ca="1">INDEX($AI$203:$AI$234, INDEX($H$15:$O$18, INT((ROW(A12)-1)/8)+1, MOD(ROW(A12)-1,8)+1))</f>
        <v>#VALUE!</v>
      </c>
      <c r="AN214" s="2" t="e">
        <f t="shared" ca="1" si="9"/>
        <v>#VALUE!</v>
      </c>
      <c r="AO214" s="2" t="e">
        <f t="shared" ca="1" si="10"/>
        <v>#VALUE!</v>
      </c>
    </row>
    <row r="215" spans="2:41" x14ac:dyDescent="0.25">
      <c r="B215" s="5">
        <v>13</v>
      </c>
      <c r="C215" s="4">
        <v>0</v>
      </c>
      <c r="M215" s="9">
        <v>14</v>
      </c>
      <c r="N215" s="4" cm="1">
        <f t="array" ref="N215">INDEX($F$203:$K$210, INT((ROW(A14)-1)/6)+1, MOD(ROW(A14)-1,6)+1)</f>
        <v>1</v>
      </c>
      <c r="P215" s="9">
        <v>3</v>
      </c>
      <c r="Q215" s="5" t="e" cm="1">
        <f t="array" aca="1" ref="Q215" ca="1">INDEX($P$203:$U$210, INT((ROW(A3)-1)/6)+1, MOD(ROW(A3)-1,6)+1)</f>
        <v>#VALUE!</v>
      </c>
      <c r="W215" s="9">
        <v>13</v>
      </c>
      <c r="X215" s="4" t="e">
        <f t="shared" ca="1" si="5"/>
        <v>#VALUE!</v>
      </c>
      <c r="AH215" s="9">
        <v>13</v>
      </c>
      <c r="AI215" s="4" t="e" cm="1">
        <f t="array" aca="1" ref="AI215" ca="1">MID(INDEX($AF$204:$AF$211,INT((ROW(A13)-1)/4)+1),MOD(ROW(A13)-1,4)+1,1)</f>
        <v>#VALUE!</v>
      </c>
      <c r="AK215" s="9">
        <v>13</v>
      </c>
      <c r="AL215" s="4" t="e" cm="1">
        <f t="array" aca="1" ref="AL215" ca="1">INDEX($AI$203:$AI$234, INDEX($H$15:$O$18, INT((ROW(A13)-1)/8)+1, MOD(ROW(A13)-1,8)+1))</f>
        <v>#VALUE!</v>
      </c>
      <c r="AN215" s="2" t="e">
        <f t="shared" ca="1" si="9"/>
        <v>#VALUE!</v>
      </c>
      <c r="AO215" s="2" t="e">
        <f t="shared" ca="1" si="10"/>
        <v>#VALUE!</v>
      </c>
    </row>
    <row r="216" spans="2:41" x14ac:dyDescent="0.25">
      <c r="B216" s="5">
        <v>14</v>
      </c>
      <c r="C216" s="4">
        <v>0</v>
      </c>
      <c r="M216" s="9">
        <v>15</v>
      </c>
      <c r="N216" s="4" cm="1">
        <f t="array" ref="N216">INDEX($F$203:$K$210, INT((ROW(A15)-1)/6)+1, MOD(ROW(A15)-1,6)+1)</f>
        <v>1</v>
      </c>
      <c r="P216" s="9">
        <v>4</v>
      </c>
      <c r="Q216" s="5" t="e" cm="1">
        <f t="array" aca="1" ref="Q216" ca="1">INDEX($P$203:$U$210, INT((ROW(A4)-1)/6)+1, MOD(ROW(A4)-1,6)+1)</f>
        <v>#VALUE!</v>
      </c>
      <c r="W216" s="9">
        <v>14</v>
      </c>
      <c r="X216" s="4" t="e">
        <f t="shared" ca="1" si="5"/>
        <v>#VALUE!</v>
      </c>
      <c r="AH216" s="9">
        <v>14</v>
      </c>
      <c r="AI216" s="4" t="e" cm="1">
        <f t="array" aca="1" ref="AI216" ca="1">MID(INDEX($AF$204:$AF$211,INT((ROW(A14)-1)/4)+1),MOD(ROW(A14)-1,4)+1,1)</f>
        <v>#VALUE!</v>
      </c>
      <c r="AK216" s="9">
        <v>14</v>
      </c>
      <c r="AL216" s="4" t="e" cm="1">
        <f t="array" aca="1" ref="AL216" ca="1">INDEX($AI$203:$AI$234, INDEX($H$15:$O$18, INT((ROW(A14)-1)/8)+1, MOD(ROW(A14)-1,8)+1))</f>
        <v>#VALUE!</v>
      </c>
      <c r="AN216" s="2" t="e">
        <f t="shared" ca="1" si="9"/>
        <v>#VALUE!</v>
      </c>
      <c r="AO216" s="2" t="e">
        <f t="shared" ca="1" si="10"/>
        <v>#VALUE!</v>
      </c>
    </row>
    <row r="217" spans="2:41" x14ac:dyDescent="0.25">
      <c r="B217" s="5">
        <v>15</v>
      </c>
      <c r="C217" s="4">
        <v>1</v>
      </c>
      <c r="M217" s="11">
        <v>16</v>
      </c>
      <c r="N217" s="4" cm="1">
        <f t="array" ref="N217">INDEX($F$203:$K$210, INT((ROW(A16)-1)/6)+1, MOD(ROW(A16)-1,6)+1)</f>
        <v>0</v>
      </c>
      <c r="P217" s="9">
        <v>5</v>
      </c>
      <c r="Q217" s="5" t="e" cm="1">
        <f t="array" aca="1" ref="Q217" ca="1">INDEX($P$203:$U$210, INT((ROW(A5)-1)/6)+1, MOD(ROW(A5)-1,6)+1)</f>
        <v>#VALUE!</v>
      </c>
      <c r="W217" s="9">
        <v>15</v>
      </c>
      <c r="X217" s="4" t="e">
        <f t="shared" ca="1" si="5"/>
        <v>#VALUE!</v>
      </c>
      <c r="AH217" s="9">
        <v>15</v>
      </c>
      <c r="AI217" s="4" t="e" cm="1">
        <f t="array" aca="1" ref="AI217" ca="1">MID(INDEX($AF$204:$AF$211,INT((ROW(A15)-1)/4)+1),MOD(ROW(A15)-1,4)+1,1)</f>
        <v>#VALUE!</v>
      </c>
      <c r="AK217" s="9">
        <v>15</v>
      </c>
      <c r="AL217" s="4" t="e" cm="1">
        <f t="array" aca="1" ref="AL217" ca="1">INDEX($AI$203:$AI$234, INDEX($H$15:$O$18, INT((ROW(A15)-1)/8)+1, MOD(ROW(A15)-1,8)+1))</f>
        <v>#VALUE!</v>
      </c>
      <c r="AN217" s="2" t="e">
        <f t="shared" ca="1" si="9"/>
        <v>#VALUE!</v>
      </c>
      <c r="AO217" s="2" t="e">
        <f t="shared" ca="1" si="10"/>
        <v>#VALUE!</v>
      </c>
    </row>
    <row r="218" spans="2:41" x14ac:dyDescent="0.25">
      <c r="B218" s="6">
        <v>16</v>
      </c>
      <c r="C218" s="4">
        <v>0</v>
      </c>
      <c r="M218" s="7">
        <v>17</v>
      </c>
      <c r="N218" s="4" cm="1">
        <f t="array" ref="N218">INDEX($F$203:$K$210, INT((ROW(A17)-1)/6)+1, MOD(ROW(A17)-1,6)+1)</f>
        <v>1</v>
      </c>
      <c r="P218" s="9">
        <v>6</v>
      </c>
      <c r="Q218" s="5" t="e" cm="1">
        <f t="array" aca="1" ref="Q218" ca="1">INDEX($P$203:$U$210, INT((ROW(A6)-1)/6)+1, MOD(ROW(A6)-1,6)+1)</f>
        <v>#VALUE!</v>
      </c>
      <c r="W218" s="11">
        <v>16</v>
      </c>
      <c r="X218" s="4" t="e">
        <f t="shared" ca="1" si="5"/>
        <v>#VALUE!</v>
      </c>
      <c r="AH218" s="11">
        <v>16</v>
      </c>
      <c r="AI218" s="4" t="e" cm="1">
        <f t="array" aca="1" ref="AI218" ca="1">MID(INDEX($AF$204:$AF$211,INT((ROW(A16)-1)/4)+1),MOD(ROW(A16)-1,4)+1,1)</f>
        <v>#VALUE!</v>
      </c>
      <c r="AK218" s="11">
        <v>16</v>
      </c>
      <c r="AL218" s="4" t="e" cm="1">
        <f t="array" aca="1" ref="AL218" ca="1">INDEX($AI$203:$AI$234, INDEX($H$15:$O$18, INT((ROW(A16)-1)/8)+1, MOD(ROW(A16)-1,8)+1))</f>
        <v>#VALUE!</v>
      </c>
      <c r="AN218" s="2" t="e">
        <f t="shared" ca="1" si="9"/>
        <v>#VALUE!</v>
      </c>
      <c r="AO218" s="2" t="e">
        <f t="shared" ca="1" si="10"/>
        <v>#VALUE!</v>
      </c>
    </row>
    <row r="219" spans="2:41" x14ac:dyDescent="0.25">
      <c r="B219" s="4">
        <v>17</v>
      </c>
      <c r="C219" s="4">
        <v>1</v>
      </c>
      <c r="M219" s="9">
        <v>18</v>
      </c>
      <c r="N219" s="4" cm="1">
        <f t="array" ref="N219">INDEX($F$203:$K$210, INT((ROW(A18)-1)/6)+1, MOD(ROW(A18)-1,6)+1)</f>
        <v>1</v>
      </c>
      <c r="P219" s="9">
        <v>7</v>
      </c>
      <c r="Q219" s="5" t="e" cm="1">
        <f t="array" aca="1" ref="Q219" ca="1">INDEX($P$203:$U$210, INT((ROW(A7)-1)/6)+1, MOD(ROW(A7)-1,6)+1)</f>
        <v>#VALUE!</v>
      </c>
      <c r="W219" s="7">
        <v>17</v>
      </c>
      <c r="X219" s="4" t="e">
        <f t="shared" ca="1" si="5"/>
        <v>#VALUE!</v>
      </c>
      <c r="AH219" s="7">
        <v>17</v>
      </c>
      <c r="AI219" s="4" t="e" cm="1">
        <f t="array" aca="1" ref="AI219" ca="1">MID(INDEX($AF$204:$AF$211,INT((ROW(A17)-1)/4)+1),MOD(ROW(A17)-1,4)+1,1)</f>
        <v>#VALUE!</v>
      </c>
      <c r="AK219" s="7">
        <v>17</v>
      </c>
      <c r="AL219" s="4" t="e" cm="1">
        <f t="array" aca="1" ref="AL219" ca="1">INDEX($AI$203:$AI$234, INDEX($H$15:$O$18, INT((ROW(A17)-1)/8)+1, MOD(ROW(A17)-1,8)+1))</f>
        <v>#VALUE!</v>
      </c>
      <c r="AN219" s="2" t="e">
        <f t="shared" ca="1" si="9"/>
        <v>#VALUE!</v>
      </c>
      <c r="AO219" s="2" t="e">
        <f t="shared" ca="1" si="10"/>
        <v>#VALUE!</v>
      </c>
    </row>
    <row r="220" spans="2:41" x14ac:dyDescent="0.25">
      <c r="B220" s="5">
        <v>18</v>
      </c>
      <c r="C220" s="4">
        <v>1</v>
      </c>
      <c r="M220" s="9">
        <v>19</v>
      </c>
      <c r="N220" s="4" cm="1">
        <f t="array" ref="N220">INDEX($F$203:$K$210, INT((ROW(A19)-1)/6)+1, MOD(ROW(A19)-1,6)+1)</f>
        <v>0</v>
      </c>
      <c r="P220" s="11">
        <v>8</v>
      </c>
      <c r="Q220" s="5" t="e" cm="1">
        <f t="array" aca="1" ref="Q220" ca="1">INDEX($P$203:$U$210, INT((ROW(A8)-1)/6)+1, MOD(ROW(A8)-1,6)+1)</f>
        <v>#VALUE!</v>
      </c>
      <c r="W220" s="9">
        <v>18</v>
      </c>
      <c r="X220" s="4" t="e">
        <f t="shared" ca="1" si="5"/>
        <v>#VALUE!</v>
      </c>
      <c r="AH220" s="9">
        <v>18</v>
      </c>
      <c r="AI220" s="4" t="e" cm="1">
        <f t="array" aca="1" ref="AI220" ca="1">MID(INDEX($AF$204:$AF$211,INT((ROW(A18)-1)/4)+1),MOD(ROW(A18)-1,4)+1,1)</f>
        <v>#VALUE!</v>
      </c>
      <c r="AK220" s="9">
        <v>18</v>
      </c>
      <c r="AL220" s="4" t="e" cm="1">
        <f t="array" aca="1" ref="AL220" ca="1">INDEX($AI$203:$AI$234, INDEX($H$15:$O$18, INT((ROW(A18)-1)/8)+1, MOD(ROW(A18)-1,8)+1))</f>
        <v>#VALUE!</v>
      </c>
      <c r="AN220" s="2" t="e">
        <f t="shared" ca="1" si="9"/>
        <v>#VALUE!</v>
      </c>
      <c r="AO220" s="2" t="e">
        <f t="shared" ca="1" si="10"/>
        <v>#VALUE!</v>
      </c>
    </row>
    <row r="221" spans="2:41" x14ac:dyDescent="0.25">
      <c r="B221" s="5">
        <v>19</v>
      </c>
      <c r="C221" s="4">
        <v>1</v>
      </c>
      <c r="M221" s="9">
        <v>20</v>
      </c>
      <c r="N221" s="4" cm="1">
        <f t="array" ref="N221">INDEX($F$203:$K$210, INT((ROW(A20)-1)/6)+1, MOD(ROW(A20)-1,6)+1)</f>
        <v>1</v>
      </c>
      <c r="P221" s="7">
        <v>9</v>
      </c>
      <c r="Q221" s="5" t="e" cm="1">
        <f t="array" aca="1" ref="Q221" ca="1">INDEX($P$203:$U$210, INT((ROW(A9)-1)/6)+1, MOD(ROW(A9)-1,6)+1)</f>
        <v>#VALUE!</v>
      </c>
      <c r="W221" s="9">
        <v>19</v>
      </c>
      <c r="X221" s="4" t="e">
        <f t="shared" ca="1" si="5"/>
        <v>#VALUE!</v>
      </c>
      <c r="AH221" s="9">
        <v>19</v>
      </c>
      <c r="AI221" s="4" t="e" cm="1">
        <f t="array" aca="1" ref="AI221" ca="1">MID(INDEX($AF$204:$AF$211,INT((ROW(A19)-1)/4)+1),MOD(ROW(A19)-1,4)+1,1)</f>
        <v>#VALUE!</v>
      </c>
      <c r="AK221" s="9">
        <v>19</v>
      </c>
      <c r="AL221" s="4" t="e" cm="1">
        <f t="array" aca="1" ref="AL221" ca="1">INDEX($AI$203:$AI$234, INDEX($H$15:$O$18, INT((ROW(A19)-1)/8)+1, MOD(ROW(A19)-1,8)+1))</f>
        <v>#VALUE!</v>
      </c>
      <c r="AN221" s="2" t="e">
        <f t="shared" ca="1" si="9"/>
        <v>#VALUE!</v>
      </c>
      <c r="AO221" s="2" t="e">
        <f t="shared" ca="1" si="10"/>
        <v>#VALUE!</v>
      </c>
    </row>
    <row r="222" spans="2:41" x14ac:dyDescent="0.25">
      <c r="B222" s="5">
        <v>20</v>
      </c>
      <c r="C222" s="4">
        <v>0</v>
      </c>
      <c r="M222" s="9">
        <v>21</v>
      </c>
      <c r="N222" s="4" cm="1">
        <f t="array" ref="N222">INDEX($F$203:$K$210, INT((ROW(A21)-1)/6)+1, MOD(ROW(A21)-1,6)+1)</f>
        <v>1</v>
      </c>
      <c r="P222" s="9">
        <v>10</v>
      </c>
      <c r="Q222" s="5" t="e" cm="1">
        <f t="array" aca="1" ref="Q222" ca="1">INDEX($P$203:$U$210, INT((ROW(A10)-1)/6)+1, MOD(ROW(A10)-1,6)+1)</f>
        <v>#VALUE!</v>
      </c>
      <c r="W222" s="9">
        <v>20</v>
      </c>
      <c r="X222" s="4" t="e">
        <f t="shared" ca="1" si="5"/>
        <v>#VALUE!</v>
      </c>
      <c r="AH222" s="9">
        <v>20</v>
      </c>
      <c r="AI222" s="4" t="e" cm="1">
        <f t="array" aca="1" ref="AI222" ca="1">MID(INDEX($AF$204:$AF$211,INT((ROW(A20)-1)/4)+1),MOD(ROW(A20)-1,4)+1,1)</f>
        <v>#VALUE!</v>
      </c>
      <c r="AK222" s="9">
        <v>20</v>
      </c>
      <c r="AL222" s="4" t="e" cm="1">
        <f t="array" aca="1" ref="AL222" ca="1">INDEX($AI$203:$AI$234, INDEX($H$15:$O$18, INT((ROW(A20)-1)/8)+1, MOD(ROW(A20)-1,8)+1))</f>
        <v>#VALUE!</v>
      </c>
      <c r="AN222" s="2" t="e">
        <f t="shared" ca="1" si="9"/>
        <v>#VALUE!</v>
      </c>
      <c r="AO222" s="2" t="e">
        <f t="shared" ca="1" si="10"/>
        <v>#VALUE!</v>
      </c>
    </row>
    <row r="223" spans="2:41" x14ac:dyDescent="0.25">
      <c r="B223" s="5">
        <v>21</v>
      </c>
      <c r="C223" s="4">
        <v>1</v>
      </c>
      <c r="M223" s="9">
        <v>22</v>
      </c>
      <c r="N223" s="4" cm="1">
        <f t="array" ref="N223">INDEX($F$203:$K$210, INT((ROW(A22)-1)/6)+1, MOD(ROW(A22)-1,6)+1)</f>
        <v>0</v>
      </c>
      <c r="P223" s="9">
        <v>11</v>
      </c>
      <c r="Q223" s="5" t="e" cm="1">
        <f t="array" aca="1" ref="Q223" ca="1">INDEX($P$203:$U$210, INT((ROW(A11)-1)/6)+1, MOD(ROW(A11)-1,6)+1)</f>
        <v>#VALUE!</v>
      </c>
      <c r="W223" s="9">
        <v>21</v>
      </c>
      <c r="X223" s="4" t="e">
        <f t="shared" ca="1" si="5"/>
        <v>#VALUE!</v>
      </c>
      <c r="AH223" s="9">
        <v>21</v>
      </c>
      <c r="AI223" s="4" t="e" cm="1">
        <f t="array" aca="1" ref="AI223" ca="1">MID(INDEX($AF$204:$AF$211,INT((ROW(A21)-1)/4)+1),MOD(ROW(A21)-1,4)+1,1)</f>
        <v>#VALUE!</v>
      </c>
      <c r="AK223" s="9">
        <v>21</v>
      </c>
      <c r="AL223" s="4" t="e" cm="1">
        <f t="array" aca="1" ref="AL223" ca="1">INDEX($AI$203:$AI$234, INDEX($H$15:$O$18, INT((ROW(A21)-1)/8)+1, MOD(ROW(A21)-1,8)+1))</f>
        <v>#VALUE!</v>
      </c>
      <c r="AN223" s="2" t="e">
        <f t="shared" ca="1" si="9"/>
        <v>#VALUE!</v>
      </c>
      <c r="AO223" s="2" t="e">
        <f t="shared" ca="1" si="10"/>
        <v>#VALUE!</v>
      </c>
    </row>
    <row r="224" spans="2:41" x14ac:dyDescent="0.25">
      <c r="B224" s="5">
        <v>22</v>
      </c>
      <c r="C224" s="4">
        <v>0</v>
      </c>
      <c r="M224" s="9">
        <v>23</v>
      </c>
      <c r="N224" s="4" cm="1">
        <f t="array" ref="N224">INDEX($F$203:$K$210, INT((ROW(A23)-1)/6)+1, MOD(ROW(A23)-1,6)+1)</f>
        <v>0</v>
      </c>
      <c r="P224" s="9">
        <v>12</v>
      </c>
      <c r="Q224" s="5" t="e" cm="1">
        <f t="array" aca="1" ref="Q224" ca="1">INDEX($P$203:$U$210, INT((ROW(A12)-1)/6)+1, MOD(ROW(A12)-1,6)+1)</f>
        <v>#VALUE!</v>
      </c>
      <c r="W224" s="9">
        <v>22</v>
      </c>
      <c r="X224" s="4" t="e">
        <f t="shared" ca="1" si="5"/>
        <v>#VALUE!</v>
      </c>
      <c r="AH224" s="9">
        <v>22</v>
      </c>
      <c r="AI224" s="4" t="e" cm="1">
        <f t="array" aca="1" ref="AI224" ca="1">MID(INDEX($AF$204:$AF$211,INT((ROW(A22)-1)/4)+1),MOD(ROW(A22)-1,4)+1,1)</f>
        <v>#VALUE!</v>
      </c>
      <c r="AK224" s="9">
        <v>22</v>
      </c>
      <c r="AL224" s="4" t="e" cm="1">
        <f t="array" aca="1" ref="AL224" ca="1">INDEX($AI$203:$AI$234, INDEX($H$15:$O$18, INT((ROW(A22)-1)/8)+1, MOD(ROW(A22)-1,8)+1))</f>
        <v>#VALUE!</v>
      </c>
      <c r="AN224" s="2" t="e">
        <f t="shared" ca="1" si="9"/>
        <v>#VALUE!</v>
      </c>
      <c r="AO224" s="2" t="e">
        <f t="shared" ca="1" si="10"/>
        <v>#VALUE!</v>
      </c>
    </row>
    <row r="225" spans="2:41" x14ac:dyDescent="0.25">
      <c r="B225" s="5">
        <v>23</v>
      </c>
      <c r="C225" s="4">
        <v>1</v>
      </c>
      <c r="M225" s="11">
        <v>24</v>
      </c>
      <c r="N225" s="4" cm="1">
        <f t="array" ref="N225">INDEX($F$203:$K$210, INT((ROW(A24)-1)/6)+1, MOD(ROW(A24)-1,6)+1)</f>
        <v>1</v>
      </c>
      <c r="P225" s="9">
        <v>13</v>
      </c>
      <c r="Q225" s="5" t="e" cm="1">
        <f t="array" aca="1" ref="Q225" ca="1">INDEX($P$203:$U$210, INT((ROW(A13)-1)/6)+1, MOD(ROW(A13)-1,6)+1)</f>
        <v>#VALUE!</v>
      </c>
      <c r="W225" s="9">
        <v>23</v>
      </c>
      <c r="X225" s="4" t="e">
        <f t="shared" ca="1" si="5"/>
        <v>#VALUE!</v>
      </c>
      <c r="AH225" s="9">
        <v>23</v>
      </c>
      <c r="AI225" s="4" t="e" cm="1">
        <f t="array" aca="1" ref="AI225" ca="1">MID(INDEX($AF$204:$AF$211,INT((ROW(A23)-1)/4)+1),MOD(ROW(A23)-1,4)+1,1)</f>
        <v>#VALUE!</v>
      </c>
      <c r="AK225" s="9">
        <v>23</v>
      </c>
      <c r="AL225" s="4" t="e" cm="1">
        <f t="array" aca="1" ref="AL225" ca="1">INDEX($AI$203:$AI$234, INDEX($H$15:$O$18, INT((ROW(A23)-1)/8)+1, MOD(ROW(A23)-1,8)+1))</f>
        <v>#VALUE!</v>
      </c>
      <c r="AN225" s="2" t="e">
        <f t="shared" ca="1" si="9"/>
        <v>#VALUE!</v>
      </c>
      <c r="AO225" s="2" t="e">
        <f t="shared" ca="1" si="10"/>
        <v>#VALUE!</v>
      </c>
    </row>
    <row r="226" spans="2:41" x14ac:dyDescent="0.25">
      <c r="B226" s="6">
        <v>24</v>
      </c>
      <c r="C226" s="4">
        <v>0</v>
      </c>
      <c r="M226" s="7">
        <v>25</v>
      </c>
      <c r="N226" s="4" cm="1">
        <f t="array" ref="N226">INDEX($F$203:$K$210, INT((ROW(A25)-1)/6)+1, MOD(ROW(A25)-1,6)+1)</f>
        <v>0</v>
      </c>
      <c r="P226" s="9">
        <v>14</v>
      </c>
      <c r="Q226" s="5" t="e" cm="1">
        <f t="array" aca="1" ref="Q226" ca="1">INDEX($P$203:$U$210, INT((ROW(A14)-1)/6)+1, MOD(ROW(A14)-1,6)+1)</f>
        <v>#VALUE!</v>
      </c>
      <c r="W226" s="11">
        <v>24</v>
      </c>
      <c r="X226" s="4" t="e">
        <f t="shared" ca="1" si="5"/>
        <v>#VALUE!</v>
      </c>
      <c r="AH226" s="11">
        <v>24</v>
      </c>
      <c r="AI226" s="4" t="e" cm="1">
        <f t="array" aca="1" ref="AI226" ca="1">MID(INDEX($AF$204:$AF$211,INT((ROW(A24)-1)/4)+1),MOD(ROW(A24)-1,4)+1,1)</f>
        <v>#VALUE!</v>
      </c>
      <c r="AK226" s="11">
        <v>24</v>
      </c>
      <c r="AL226" s="4" t="e" cm="1">
        <f t="array" aca="1" ref="AL226" ca="1">INDEX($AI$203:$AI$234, INDEX($H$15:$O$18, INT((ROW(A24)-1)/8)+1, MOD(ROW(A24)-1,8)+1))</f>
        <v>#VALUE!</v>
      </c>
      <c r="AN226" s="2" t="e">
        <f t="shared" ca="1" si="9"/>
        <v>#VALUE!</v>
      </c>
      <c r="AO226" s="2" t="e">
        <f t="shared" ca="1" si="10"/>
        <v>#VALUE!</v>
      </c>
    </row>
    <row r="227" spans="2:41" x14ac:dyDescent="0.25">
      <c r="B227" s="7">
        <v>25</v>
      </c>
      <c r="C227" s="4">
        <v>1</v>
      </c>
      <c r="M227" s="9">
        <v>26</v>
      </c>
      <c r="N227" s="4" cm="1">
        <f t="array" ref="N227">INDEX($F$203:$K$210, INT((ROW(A26)-1)/6)+1, MOD(ROW(A26)-1,6)+1)</f>
        <v>0</v>
      </c>
      <c r="P227" s="9">
        <v>15</v>
      </c>
      <c r="Q227" s="5" t="e" cm="1">
        <f t="array" aca="1" ref="Q227" ca="1">INDEX($P$203:$U$210, INT((ROW(A15)-1)/6)+1, MOD(ROW(A15)-1,6)+1)</f>
        <v>#VALUE!</v>
      </c>
      <c r="W227" s="7">
        <v>25</v>
      </c>
      <c r="X227" s="4" t="e">
        <f t="shared" ca="1" si="5"/>
        <v>#VALUE!</v>
      </c>
      <c r="AH227" s="7">
        <v>25</v>
      </c>
      <c r="AI227" s="4" t="e" cm="1">
        <f t="array" aca="1" ref="AI227" ca="1">MID(INDEX($AF$204:$AF$211,INT((ROW(A25)-1)/4)+1),MOD(ROW(A25)-1,4)+1,1)</f>
        <v>#VALUE!</v>
      </c>
      <c r="AK227" s="7">
        <v>25</v>
      </c>
      <c r="AL227" s="4" t="e" cm="1">
        <f t="array" aca="1" ref="AL227" ca="1">INDEX($AI$203:$AI$234, INDEX($H$15:$O$18, INT((ROW(A25)-1)/8)+1, MOD(ROW(A25)-1,8)+1))</f>
        <v>#VALUE!</v>
      </c>
      <c r="AN227" s="2" t="e">
        <f t="shared" ca="1" si="9"/>
        <v>#VALUE!</v>
      </c>
      <c r="AO227" s="2" t="e">
        <f t="shared" ca="1" si="10"/>
        <v>#VALUE!</v>
      </c>
    </row>
    <row r="228" spans="2:41" x14ac:dyDescent="0.25">
      <c r="B228" s="9">
        <v>26</v>
      </c>
      <c r="C228" s="4">
        <v>1</v>
      </c>
      <c r="M228" s="9">
        <v>27</v>
      </c>
      <c r="N228" s="4" cm="1">
        <f t="array" ref="N228">INDEX($F$203:$K$210, INT((ROW(A27)-1)/6)+1, MOD(ROW(A27)-1,6)+1)</f>
        <v>1</v>
      </c>
      <c r="P228" s="11">
        <v>16</v>
      </c>
      <c r="Q228" s="5" t="e" cm="1">
        <f t="array" aca="1" ref="Q228" ca="1">INDEX($P$203:$U$210, INT((ROW(A16)-1)/6)+1, MOD(ROW(A16)-1,6)+1)</f>
        <v>#VALUE!</v>
      </c>
      <c r="W228" s="9">
        <v>26</v>
      </c>
      <c r="X228" s="4" t="e">
        <f t="shared" ca="1" si="5"/>
        <v>#VALUE!</v>
      </c>
      <c r="AH228" s="9">
        <v>26</v>
      </c>
      <c r="AI228" s="4" t="e" cm="1">
        <f t="array" aca="1" ref="AI228" ca="1">MID(INDEX($AF$204:$AF$211,INT((ROW(A26)-1)/4)+1),MOD(ROW(A26)-1,4)+1,1)</f>
        <v>#VALUE!</v>
      </c>
      <c r="AK228" s="9">
        <v>26</v>
      </c>
      <c r="AL228" s="4" t="e" cm="1">
        <f t="array" aca="1" ref="AL228" ca="1">INDEX($AI$203:$AI$234, INDEX($H$15:$O$18, INT((ROW(A26)-1)/8)+1, MOD(ROW(A26)-1,8)+1))</f>
        <v>#VALUE!</v>
      </c>
      <c r="AN228" s="2" t="e">
        <f t="shared" ca="1" si="9"/>
        <v>#VALUE!</v>
      </c>
      <c r="AO228" s="2" t="e">
        <f t="shared" ca="1" si="10"/>
        <v>#VALUE!</v>
      </c>
    </row>
    <row r="229" spans="2:41" x14ac:dyDescent="0.25">
      <c r="B229" s="9">
        <v>27</v>
      </c>
      <c r="C229" s="4">
        <v>1</v>
      </c>
      <c r="M229" s="9">
        <v>28</v>
      </c>
      <c r="N229" s="4" cm="1">
        <f t="array" ref="N229">INDEX($F$203:$K$210, INT((ROW(A28)-1)/6)+1, MOD(ROW(A28)-1,6)+1)</f>
        <v>0</v>
      </c>
      <c r="P229" s="7">
        <v>17</v>
      </c>
      <c r="Q229" s="5" t="e" cm="1">
        <f t="array" aca="1" ref="Q229" ca="1">INDEX($P$203:$U$210, INT((ROW(A17)-1)/6)+1, MOD(ROW(A17)-1,6)+1)</f>
        <v>#VALUE!</v>
      </c>
      <c r="W229" s="9">
        <v>27</v>
      </c>
      <c r="X229" s="4" t="e">
        <f t="shared" ca="1" si="5"/>
        <v>#VALUE!</v>
      </c>
      <c r="AH229" s="9">
        <v>27</v>
      </c>
      <c r="AI229" s="4" t="e" cm="1">
        <f t="array" aca="1" ref="AI229" ca="1">MID(INDEX($AF$204:$AF$211,INT((ROW(A27)-1)/4)+1),MOD(ROW(A27)-1,4)+1,1)</f>
        <v>#VALUE!</v>
      </c>
      <c r="AK229" s="9">
        <v>27</v>
      </c>
      <c r="AL229" s="4" t="e" cm="1">
        <f t="array" aca="1" ref="AL229" ca="1">INDEX($AI$203:$AI$234, INDEX($H$15:$O$18, INT((ROW(A27)-1)/8)+1, MOD(ROW(A27)-1,8)+1))</f>
        <v>#VALUE!</v>
      </c>
      <c r="AN229" s="2" t="e">
        <f t="shared" ca="1" si="9"/>
        <v>#VALUE!</v>
      </c>
      <c r="AO229" s="2" t="e">
        <f t="shared" ca="1" si="10"/>
        <v>#VALUE!</v>
      </c>
    </row>
    <row r="230" spans="2:41" x14ac:dyDescent="0.25">
      <c r="B230" s="9">
        <v>28</v>
      </c>
      <c r="C230" s="4">
        <v>1</v>
      </c>
      <c r="M230" s="9">
        <v>29</v>
      </c>
      <c r="N230" s="4" cm="1">
        <f t="array" ref="N230">INDEX($F$203:$K$210, INT((ROW(A29)-1)/6)+1, MOD(ROW(A29)-1,6)+1)</f>
        <v>0</v>
      </c>
      <c r="P230" s="9">
        <v>18</v>
      </c>
      <c r="Q230" s="5" t="e" cm="1">
        <f t="array" aca="1" ref="Q230" ca="1">INDEX($P$203:$U$210, INT((ROW(A18)-1)/6)+1, MOD(ROW(A18)-1,6)+1)</f>
        <v>#VALUE!</v>
      </c>
      <c r="W230" s="9">
        <v>28</v>
      </c>
      <c r="X230" s="4" t="e">
        <f t="shared" ca="1" si="5"/>
        <v>#VALUE!</v>
      </c>
      <c r="AH230" s="9">
        <v>28</v>
      </c>
      <c r="AI230" s="4" t="e" cm="1">
        <f t="array" aca="1" ref="AI230" ca="1">MID(INDEX($AF$204:$AF$211,INT((ROW(A28)-1)/4)+1),MOD(ROW(A28)-1,4)+1,1)</f>
        <v>#VALUE!</v>
      </c>
      <c r="AK230" s="9">
        <v>28</v>
      </c>
      <c r="AL230" s="4" t="e" cm="1">
        <f t="array" aca="1" ref="AL230" ca="1">INDEX($AI$203:$AI$234, INDEX($H$15:$O$18, INT((ROW(A28)-1)/8)+1, MOD(ROW(A28)-1,8)+1))</f>
        <v>#VALUE!</v>
      </c>
      <c r="AN230" s="2" t="e">
        <f t="shared" ca="1" si="9"/>
        <v>#VALUE!</v>
      </c>
      <c r="AO230" s="2" t="e">
        <f t="shared" ca="1" si="10"/>
        <v>#VALUE!</v>
      </c>
    </row>
    <row r="231" spans="2:41" x14ac:dyDescent="0.25">
      <c r="B231" s="9">
        <v>29</v>
      </c>
      <c r="C231" s="4">
        <v>1</v>
      </c>
      <c r="M231" s="9">
        <v>30</v>
      </c>
      <c r="N231" s="4" cm="1">
        <f t="array" ref="N231">INDEX($F$203:$K$210, INT((ROW(A30)-1)/6)+1, MOD(ROW(A30)-1,6)+1)</f>
        <v>1</v>
      </c>
      <c r="P231" s="9">
        <v>19</v>
      </c>
      <c r="Q231" s="5" t="e" cm="1">
        <f t="array" aca="1" ref="Q231" ca="1">INDEX($P$203:$U$210, INT((ROW(A19)-1)/6)+1, MOD(ROW(A19)-1,6)+1)</f>
        <v>#VALUE!</v>
      </c>
      <c r="W231" s="9">
        <v>29</v>
      </c>
      <c r="X231" s="4" t="e">
        <f t="shared" ca="1" si="5"/>
        <v>#VALUE!</v>
      </c>
      <c r="AH231" s="9">
        <v>29</v>
      </c>
      <c r="AI231" s="4" t="e" cm="1">
        <f t="array" aca="1" ref="AI231" ca="1">MID(INDEX($AF$204:$AF$211,INT((ROW(A29)-1)/4)+1),MOD(ROW(A29)-1,4)+1,1)</f>
        <v>#VALUE!</v>
      </c>
      <c r="AK231" s="9">
        <v>29</v>
      </c>
      <c r="AL231" s="4" t="e" cm="1">
        <f t="array" aca="1" ref="AL231" ca="1">INDEX($AI$203:$AI$234, INDEX($H$15:$O$18, INT((ROW(A29)-1)/8)+1, MOD(ROW(A29)-1,8)+1))</f>
        <v>#VALUE!</v>
      </c>
      <c r="AN231" s="2" t="e">
        <f t="shared" ca="1" si="9"/>
        <v>#VALUE!</v>
      </c>
      <c r="AO231" s="2" t="e">
        <f t="shared" ca="1" si="10"/>
        <v>#VALUE!</v>
      </c>
    </row>
    <row r="232" spans="2:41" x14ac:dyDescent="0.25">
      <c r="B232" s="9">
        <v>30</v>
      </c>
      <c r="C232" s="4">
        <v>0</v>
      </c>
      <c r="M232" s="9">
        <v>31</v>
      </c>
      <c r="N232" s="4" cm="1">
        <f t="array" ref="N232">INDEX($F$203:$K$210, INT((ROW(A31)-1)/6)+1, MOD(ROW(A31)-1,6)+1)</f>
        <v>0</v>
      </c>
      <c r="P232" s="9">
        <v>20</v>
      </c>
      <c r="Q232" s="5" t="e" cm="1">
        <f t="array" aca="1" ref="Q232" ca="1">INDEX($P$203:$U$210, INT((ROW(A20)-1)/6)+1, MOD(ROW(A20)-1,6)+1)</f>
        <v>#VALUE!</v>
      </c>
      <c r="W232" s="9">
        <v>30</v>
      </c>
      <c r="X232" s="4" t="e">
        <f t="shared" ca="1" si="5"/>
        <v>#VALUE!</v>
      </c>
      <c r="AH232" s="9">
        <v>30</v>
      </c>
      <c r="AI232" s="4" t="e" cm="1">
        <f t="array" aca="1" ref="AI232" ca="1">MID(INDEX($AF$204:$AF$211,INT((ROW(A30)-1)/4)+1),MOD(ROW(A30)-1,4)+1,1)</f>
        <v>#VALUE!</v>
      </c>
      <c r="AK232" s="9">
        <v>30</v>
      </c>
      <c r="AL232" s="4" t="e" cm="1">
        <f t="array" aca="1" ref="AL232" ca="1">INDEX($AI$203:$AI$234, INDEX($H$15:$O$18, INT((ROW(A30)-1)/8)+1, MOD(ROW(A30)-1,8)+1))</f>
        <v>#VALUE!</v>
      </c>
      <c r="AN232" s="2" t="e">
        <f t="shared" ca="1" si="9"/>
        <v>#VALUE!</v>
      </c>
      <c r="AO232" s="2" t="e">
        <f t="shared" ca="1" si="10"/>
        <v>#VALUE!</v>
      </c>
    </row>
    <row r="233" spans="2:41" x14ac:dyDescent="0.25">
      <c r="B233" s="9">
        <v>31</v>
      </c>
      <c r="C233" s="4">
        <v>1</v>
      </c>
      <c r="M233" s="11">
        <v>32</v>
      </c>
      <c r="N233" s="4" cm="1">
        <f t="array" ref="N233">INDEX($F$203:$K$210, INT((ROW(A32)-1)/6)+1, MOD(ROW(A32)-1,6)+1)</f>
        <v>1</v>
      </c>
      <c r="P233" s="9">
        <v>21</v>
      </c>
      <c r="Q233" s="5" t="e" cm="1">
        <f t="array" aca="1" ref="Q233" ca="1">INDEX($P$203:$U$210, INT((ROW(A21)-1)/6)+1, MOD(ROW(A21)-1,6)+1)</f>
        <v>#VALUE!</v>
      </c>
      <c r="W233" s="9">
        <v>31</v>
      </c>
      <c r="X233" s="4" t="e">
        <f t="shared" ca="1" si="5"/>
        <v>#VALUE!</v>
      </c>
      <c r="AH233" s="9">
        <v>31</v>
      </c>
      <c r="AI233" s="4" t="e" cm="1">
        <f t="array" aca="1" ref="AI233" ca="1">MID(INDEX($AF$204:$AF$211,INT((ROW(A31)-1)/4)+1),MOD(ROW(A31)-1,4)+1,1)</f>
        <v>#VALUE!</v>
      </c>
      <c r="AK233" s="9">
        <v>31</v>
      </c>
      <c r="AL233" s="4" t="e" cm="1">
        <f t="array" aca="1" ref="AL233" ca="1">INDEX($AI$203:$AI$234, INDEX($H$15:$O$18, INT((ROW(A31)-1)/8)+1, MOD(ROW(A31)-1,8)+1))</f>
        <v>#VALUE!</v>
      </c>
      <c r="AN233" s="2" t="e">
        <f t="shared" ca="1" si="9"/>
        <v>#VALUE!</v>
      </c>
      <c r="AO233" s="2" t="e">
        <f t="shared" ca="1" si="10"/>
        <v>#VALUE!</v>
      </c>
    </row>
    <row r="234" spans="2:41" x14ac:dyDescent="0.25">
      <c r="B234" s="11">
        <v>32</v>
      </c>
      <c r="C234" s="4">
        <v>0</v>
      </c>
      <c r="M234" s="7">
        <v>33</v>
      </c>
      <c r="N234" s="4" cm="1">
        <f t="array" ref="N234">INDEX($F$203:$K$210, INT((ROW(A33)-1)/6)+1, MOD(ROW(A33)-1,6)+1)</f>
        <v>1</v>
      </c>
      <c r="P234" s="9">
        <v>22</v>
      </c>
      <c r="Q234" s="5" t="e" cm="1">
        <f t="array" aca="1" ref="Q234" ca="1">INDEX($P$203:$U$210, INT((ROW(A22)-1)/6)+1, MOD(ROW(A22)-1,6)+1)</f>
        <v>#VALUE!</v>
      </c>
      <c r="W234" s="11">
        <v>32</v>
      </c>
      <c r="X234" s="4" t="e">
        <f t="shared" ca="1" si="5"/>
        <v>#VALUE!</v>
      </c>
      <c r="AH234" s="11">
        <v>32</v>
      </c>
      <c r="AI234" s="4" t="e" cm="1">
        <f t="array" aca="1" ref="AI234" ca="1">MID(INDEX($AF$204:$AF$211,INT((ROW(A32)-1)/4)+1),MOD(ROW(A32)-1,4)+1,1)</f>
        <v>#VALUE!</v>
      </c>
      <c r="AK234" s="11">
        <v>32</v>
      </c>
      <c r="AL234" s="4" t="e" cm="1">
        <f t="array" aca="1" ref="AL234" ca="1">INDEX($AI$203:$AI$234, INDEX($H$15:$O$18, INT((ROW(A32)-1)/8)+1, MOD(ROW(A32)-1,8)+1))</f>
        <v>#VALUE!</v>
      </c>
      <c r="AN234" s="2" t="e">
        <f t="shared" ca="1" si="9"/>
        <v>#VALUE!</v>
      </c>
      <c r="AO234" s="2" t="e">
        <f t="shared" ca="1" si="10"/>
        <v>#VALUE!</v>
      </c>
    </row>
    <row r="235" spans="2:41" x14ac:dyDescent="0.25">
      <c r="B235" s="4">
        <v>33</v>
      </c>
      <c r="C235" s="4">
        <v>1</v>
      </c>
      <c r="M235" s="9">
        <v>34</v>
      </c>
      <c r="N235" s="4" cm="1">
        <f t="array" ref="N235">INDEX($F$203:$K$210, INT((ROW(A34)-1)/6)+1, MOD(ROW(A34)-1,6)+1)</f>
        <v>1</v>
      </c>
      <c r="P235" s="9">
        <v>23</v>
      </c>
      <c r="Q235" s="5" t="e" cm="1">
        <f t="array" aca="1" ref="Q235" ca="1">INDEX($P$203:$U$210, INT((ROW(A23)-1)/6)+1, MOD(ROW(A23)-1,6)+1)</f>
        <v>#VALUE!</v>
      </c>
      <c r="W235" s="7">
        <v>33</v>
      </c>
      <c r="X235" s="4" t="e">
        <f t="shared" ca="1" si="5"/>
        <v>#VALUE!</v>
      </c>
      <c r="AN235" s="2" t="e">
        <f t="shared" ca="1" si="9"/>
        <v>#VALUE!</v>
      </c>
      <c r="AO235" s="2" t="e">
        <f t="shared" ca="1" si="10"/>
        <v>#VALUE!</v>
      </c>
    </row>
    <row r="236" spans="2:41" x14ac:dyDescent="0.25">
      <c r="B236" s="5">
        <v>34</v>
      </c>
      <c r="C236" s="4">
        <v>0</v>
      </c>
      <c r="M236" s="9">
        <v>35</v>
      </c>
      <c r="N236" s="4" cm="1">
        <f t="array" ref="N236">INDEX($F$203:$K$210, INT((ROW(A35)-1)/6)+1, MOD(ROW(A35)-1,6)+1)</f>
        <v>1</v>
      </c>
      <c r="P236" s="11">
        <v>24</v>
      </c>
      <c r="Q236" s="5" t="e" cm="1">
        <f t="array" aca="1" ref="Q236" ca="1">INDEX($P$203:$U$210, INT((ROW(A24)-1)/6)+1, MOD(ROW(A24)-1,6)+1)</f>
        <v>#VALUE!</v>
      </c>
      <c r="W236" s="9">
        <v>34</v>
      </c>
      <c r="X236" s="4" t="e">
        <f t="shared" ca="1" si="5"/>
        <v>#VALUE!</v>
      </c>
    </row>
    <row r="237" spans="2:41" x14ac:dyDescent="0.25">
      <c r="B237" s="5">
        <v>35</v>
      </c>
      <c r="C237" s="4">
        <v>1</v>
      </c>
      <c r="M237" s="9">
        <v>36</v>
      </c>
      <c r="N237" s="4" cm="1">
        <f t="array" ref="N237">INDEX($F$203:$K$210, INT((ROW(A36)-1)/6)+1, MOD(ROW(A36)-1,6)+1)</f>
        <v>0</v>
      </c>
      <c r="P237" s="7">
        <v>25</v>
      </c>
      <c r="Q237" s="5" t="e" cm="1">
        <f t="array" aca="1" ref="Q237" ca="1">INDEX($P$203:$U$210, INT((ROW(A25)-1)/6)+1, MOD(ROW(A25)-1,6)+1)</f>
        <v>#VALUE!</v>
      </c>
      <c r="W237" s="9">
        <v>35</v>
      </c>
      <c r="X237" s="4" t="e">
        <f t="shared" ca="1" si="5"/>
        <v>#VALUE!</v>
      </c>
    </row>
    <row r="238" spans="2:41" x14ac:dyDescent="0.25">
      <c r="B238" s="5">
        <v>36</v>
      </c>
      <c r="C238" s="4">
        <v>1</v>
      </c>
      <c r="M238" s="9">
        <v>37</v>
      </c>
      <c r="N238" s="4" cm="1">
        <f t="array" ref="N238">INDEX($F$203:$K$210, INT((ROW(A37)-1)/6)+1, MOD(ROW(A37)-1,6)+1)</f>
        <v>1</v>
      </c>
      <c r="P238" s="9">
        <v>26</v>
      </c>
      <c r="Q238" s="5" t="e" cm="1">
        <f t="array" aca="1" ref="Q238" ca="1">INDEX($P$203:$U$210, INT((ROW(A26)-1)/6)+1, MOD(ROW(A26)-1,6)+1)</f>
        <v>#VALUE!</v>
      </c>
      <c r="W238" s="9">
        <v>36</v>
      </c>
      <c r="X238" s="4" t="e">
        <f t="shared" ca="1" si="5"/>
        <v>#VALUE!</v>
      </c>
    </row>
    <row r="239" spans="2:41" x14ac:dyDescent="0.25">
      <c r="B239" s="5">
        <v>37</v>
      </c>
      <c r="C239" s="4">
        <v>0</v>
      </c>
      <c r="M239" s="9">
        <v>38</v>
      </c>
      <c r="N239" s="4" cm="1">
        <f t="array" ref="N239">INDEX($F$203:$K$210, INT((ROW(A38)-1)/6)+1, MOD(ROW(A38)-1,6)+1)</f>
        <v>0</v>
      </c>
      <c r="P239" s="9">
        <v>27</v>
      </c>
      <c r="Q239" s="5" t="e" cm="1">
        <f t="array" aca="1" ref="Q239" ca="1">INDEX($P$203:$U$210, INT((ROW(A27)-1)/6)+1, MOD(ROW(A27)-1,6)+1)</f>
        <v>#VALUE!</v>
      </c>
      <c r="W239" s="9">
        <v>37</v>
      </c>
      <c r="X239" s="4" t="e">
        <f t="shared" ca="1" si="5"/>
        <v>#VALUE!</v>
      </c>
    </row>
    <row r="240" spans="2:41" x14ac:dyDescent="0.25">
      <c r="B240" s="5">
        <v>38</v>
      </c>
      <c r="C240" s="4">
        <v>0</v>
      </c>
      <c r="M240" s="9">
        <v>39</v>
      </c>
      <c r="N240" s="4" cm="1">
        <f t="array" ref="N240">INDEX($F$203:$K$210, INT((ROW(A39)-1)/6)+1, MOD(ROW(A39)-1,6)+1)</f>
        <v>1</v>
      </c>
      <c r="P240" s="9">
        <v>28</v>
      </c>
      <c r="Q240" s="5" t="e" cm="1">
        <f t="array" aca="1" ref="Q240" ca="1">INDEX($P$203:$U$210, INT((ROW(A28)-1)/6)+1, MOD(ROW(A28)-1,6)+1)</f>
        <v>#VALUE!</v>
      </c>
      <c r="W240" s="9">
        <v>38</v>
      </c>
      <c r="X240" s="4" t="e">
        <f t="shared" ca="1" si="5"/>
        <v>#VALUE!</v>
      </c>
    </row>
    <row r="241" spans="2:24" x14ac:dyDescent="0.25">
      <c r="B241" s="5">
        <v>39</v>
      </c>
      <c r="C241" s="4">
        <v>1</v>
      </c>
      <c r="M241" s="11">
        <v>40</v>
      </c>
      <c r="N241" s="4" cm="1">
        <f t="array" ref="N241">INDEX($F$203:$K$210, INT((ROW(A40)-1)/6)+1, MOD(ROW(A40)-1,6)+1)</f>
        <v>0</v>
      </c>
      <c r="P241" s="9">
        <v>29</v>
      </c>
      <c r="Q241" s="5" t="e" cm="1">
        <f t="array" aca="1" ref="Q241" ca="1">INDEX($P$203:$U$210, INT((ROW(A29)-1)/6)+1, MOD(ROW(A29)-1,6)+1)</f>
        <v>#VALUE!</v>
      </c>
      <c r="W241" s="9">
        <v>39</v>
      </c>
      <c r="X241" s="4" t="e">
        <f t="shared" ca="1" si="5"/>
        <v>#VALUE!</v>
      </c>
    </row>
    <row r="242" spans="2:24" x14ac:dyDescent="0.25">
      <c r="B242" s="6">
        <v>40</v>
      </c>
      <c r="C242" s="4">
        <v>1</v>
      </c>
      <c r="M242" s="7">
        <v>41</v>
      </c>
      <c r="N242" s="4" cm="1">
        <f t="array" ref="N242">INDEX($F$203:$K$210, INT((ROW(A41)-1)/6)+1, MOD(ROW(A41)-1,6)+1)</f>
        <v>0</v>
      </c>
      <c r="P242" s="9">
        <v>30</v>
      </c>
      <c r="Q242" s="5" t="e" cm="1">
        <f t="array" aca="1" ref="Q242" ca="1">INDEX($P$203:$U$210, INT((ROW(A30)-1)/6)+1, MOD(ROW(A30)-1,6)+1)</f>
        <v>#VALUE!</v>
      </c>
      <c r="W242" s="11">
        <v>40</v>
      </c>
      <c r="X242" s="4" t="e">
        <f t="shared" ca="1" si="5"/>
        <v>#VALUE!</v>
      </c>
    </row>
    <row r="243" spans="2:24" x14ac:dyDescent="0.25">
      <c r="B243" s="4">
        <v>41</v>
      </c>
      <c r="C243" s="4">
        <v>0</v>
      </c>
      <c r="M243" s="9">
        <v>42</v>
      </c>
      <c r="N243" s="4" cm="1">
        <f t="array" ref="N243">INDEX($F$203:$K$210, INT((ROW(A42)-1)/6)+1, MOD(ROW(A42)-1,6)+1)</f>
        <v>1</v>
      </c>
      <c r="P243" s="9">
        <v>31</v>
      </c>
      <c r="Q243" s="5" t="e" cm="1">
        <f t="array" aca="1" ref="Q243" ca="1">INDEX($P$203:$U$210, INT((ROW(A31)-1)/6)+1, MOD(ROW(A31)-1,6)+1)</f>
        <v>#VALUE!</v>
      </c>
      <c r="W243" s="7">
        <v>41</v>
      </c>
      <c r="X243" s="4" t="e">
        <f t="shared" ca="1" si="5"/>
        <v>#VALUE!</v>
      </c>
    </row>
    <row r="244" spans="2:24" x14ac:dyDescent="0.25">
      <c r="B244" s="5">
        <v>42</v>
      </c>
      <c r="C244" s="4">
        <v>0</v>
      </c>
      <c r="M244" s="9">
        <v>43</v>
      </c>
      <c r="N244" s="4" cm="1">
        <f t="array" ref="N244">INDEX($F$203:$K$210, INT((ROW(A43)-1)/6)+1, MOD(ROW(A43)-1,6)+1)</f>
        <v>1</v>
      </c>
      <c r="P244" s="11">
        <v>32</v>
      </c>
      <c r="Q244" s="5" t="e" cm="1">
        <f t="array" aca="1" ref="Q244" ca="1">INDEX($P$203:$U$210, INT((ROW(A32)-1)/6)+1, MOD(ROW(A32)-1,6)+1)</f>
        <v>#VALUE!</v>
      </c>
      <c r="W244" s="9">
        <v>42</v>
      </c>
      <c r="X244" s="4" t="e">
        <f t="shared" ca="1" si="5"/>
        <v>#VALUE!</v>
      </c>
    </row>
    <row r="245" spans="2:24" x14ac:dyDescent="0.25">
      <c r="B245" s="5">
        <v>43</v>
      </c>
      <c r="C245" s="4">
        <v>1</v>
      </c>
      <c r="M245" s="9">
        <v>44</v>
      </c>
      <c r="N245" s="4" cm="1">
        <f t="array" ref="N245">INDEX($F$203:$K$210, INT((ROW(A44)-1)/6)+1, MOD(ROW(A44)-1,6)+1)</f>
        <v>0</v>
      </c>
      <c r="P245" s="7">
        <v>33</v>
      </c>
      <c r="Q245" s="5" t="e" cm="1">
        <f t="array" aca="1" ref="Q245" ca="1">INDEX($P$203:$U$210, INT((ROW(A33)-1)/6)+1, MOD(ROW(A33)-1,6)+1)</f>
        <v>#VALUE!</v>
      </c>
      <c r="W245" s="9">
        <v>43</v>
      </c>
      <c r="X245" s="4" t="e">
        <f t="shared" ca="1" si="5"/>
        <v>#VALUE!</v>
      </c>
    </row>
    <row r="246" spans="2:24" x14ac:dyDescent="0.25">
      <c r="B246" s="5">
        <v>44</v>
      </c>
      <c r="C246" s="4">
        <v>1</v>
      </c>
      <c r="M246" s="9">
        <v>45</v>
      </c>
      <c r="N246" s="4" cm="1">
        <f t="array" ref="N246">INDEX($F$203:$K$210, INT((ROW(A45)-1)/6)+1, MOD(ROW(A45)-1,6)+1)</f>
        <v>0</v>
      </c>
      <c r="P246" s="9">
        <v>34</v>
      </c>
      <c r="Q246" s="5" t="e" cm="1">
        <f t="array" aca="1" ref="Q246" ca="1">INDEX($P$203:$U$210, INT((ROW(A34)-1)/6)+1, MOD(ROW(A34)-1,6)+1)</f>
        <v>#VALUE!</v>
      </c>
      <c r="W246" s="9">
        <v>44</v>
      </c>
      <c r="X246" s="4" t="e">
        <f t="shared" ca="1" si="5"/>
        <v>#VALUE!</v>
      </c>
    </row>
    <row r="247" spans="2:24" x14ac:dyDescent="0.25">
      <c r="B247" s="5">
        <v>45</v>
      </c>
      <c r="C247" s="4">
        <v>1</v>
      </c>
      <c r="M247" s="9">
        <v>46</v>
      </c>
      <c r="N247" s="4" cm="1">
        <f t="array" ref="N247">INDEX($F$203:$K$210, INT((ROW(A46)-1)/6)+1, MOD(ROW(A46)-1,6)+1)</f>
        <v>1</v>
      </c>
      <c r="P247" s="9">
        <v>35</v>
      </c>
      <c r="Q247" s="5" t="e" cm="1">
        <f t="array" aca="1" ref="Q247" ca="1">INDEX($P$203:$U$210, INT((ROW(A35)-1)/6)+1, MOD(ROW(A35)-1,6)+1)</f>
        <v>#VALUE!</v>
      </c>
      <c r="W247" s="9">
        <v>45</v>
      </c>
      <c r="X247" s="4" t="e">
        <f t="shared" ca="1" si="5"/>
        <v>#VALUE!</v>
      </c>
    </row>
    <row r="248" spans="2:24" x14ac:dyDescent="0.25">
      <c r="B248" s="5">
        <v>46</v>
      </c>
      <c r="C248" s="4">
        <v>1</v>
      </c>
      <c r="M248" s="9">
        <v>47</v>
      </c>
      <c r="N248" s="4" cm="1">
        <f t="array" ref="N248">INDEX($F$203:$K$210, INT((ROW(A47)-1)/6)+1, MOD(ROW(A47)-1,6)+1)</f>
        <v>1</v>
      </c>
      <c r="P248" s="9">
        <v>36</v>
      </c>
      <c r="Q248" s="5" t="e" cm="1">
        <f t="array" aca="1" ref="Q248" ca="1">INDEX($P$203:$U$210, INT((ROW(A36)-1)/6)+1, MOD(ROW(A36)-1,6)+1)</f>
        <v>#VALUE!</v>
      </c>
      <c r="W248" s="9">
        <v>46</v>
      </c>
      <c r="X248" s="4" t="e">
        <f t="shared" ca="1" si="5"/>
        <v>#VALUE!</v>
      </c>
    </row>
    <row r="249" spans="2:24" x14ac:dyDescent="0.25">
      <c r="B249" s="5">
        <v>47</v>
      </c>
      <c r="C249" s="4">
        <v>0</v>
      </c>
      <c r="M249" s="11">
        <v>48</v>
      </c>
      <c r="N249" s="4" cm="1">
        <f t="array" ref="N249">INDEX($F$203:$K$210, INT((ROW(A48)-1)/6)+1, MOD(ROW(A48)-1,6)+1)</f>
        <v>0</v>
      </c>
      <c r="P249" s="9">
        <v>37</v>
      </c>
      <c r="Q249" s="5" t="e" cm="1">
        <f t="array" aca="1" ref="Q249" ca="1">INDEX($P$203:$U$210, INT((ROW(A37)-1)/6)+1, MOD(ROW(A37)-1,6)+1)</f>
        <v>#VALUE!</v>
      </c>
      <c r="W249" s="9">
        <v>47</v>
      </c>
      <c r="X249" s="4" t="e">
        <f t="shared" ca="1" si="5"/>
        <v>#VALUE!</v>
      </c>
    </row>
    <row r="250" spans="2:24" x14ac:dyDescent="0.25">
      <c r="B250" s="6">
        <v>48</v>
      </c>
      <c r="C250" s="4">
        <v>0</v>
      </c>
      <c r="P250" s="9">
        <v>38</v>
      </c>
      <c r="Q250" s="5" t="e" cm="1">
        <f t="array" aca="1" ref="Q250" ca="1">INDEX($P$203:$U$210, INT((ROW(A38)-1)/6)+1, MOD(ROW(A38)-1,6)+1)</f>
        <v>#VALUE!</v>
      </c>
      <c r="W250" s="11">
        <v>48</v>
      </c>
      <c r="X250" s="4" t="e">
        <f t="shared" ca="1" si="5"/>
        <v>#VALUE!</v>
      </c>
    </row>
    <row r="251" spans="2:24" x14ac:dyDescent="0.25">
      <c r="B251" s="4">
        <v>49</v>
      </c>
      <c r="C251" s="4">
        <v>0</v>
      </c>
      <c r="P251" s="9">
        <v>39</v>
      </c>
      <c r="Q251" s="5" t="e" cm="1">
        <f t="array" aca="1" ref="Q251" ca="1">INDEX($P$203:$U$210, INT((ROW(A39)-1)/6)+1, MOD(ROW(A39)-1,6)+1)</f>
        <v>#VALUE!</v>
      </c>
    </row>
    <row r="252" spans="2:24" x14ac:dyDescent="0.25">
      <c r="B252" s="5">
        <v>50</v>
      </c>
      <c r="C252" s="4">
        <v>0</v>
      </c>
      <c r="P252" s="11">
        <v>40</v>
      </c>
      <c r="Q252" s="5" t="e" cm="1">
        <f t="array" aca="1" ref="Q252" ca="1">INDEX($P$203:$U$210, INT((ROW(A40)-1)/6)+1, MOD(ROW(A40)-1,6)+1)</f>
        <v>#VALUE!</v>
      </c>
    </row>
    <row r="253" spans="2:24" x14ac:dyDescent="0.25">
      <c r="B253" s="5">
        <v>51</v>
      </c>
      <c r="C253" s="4">
        <v>1</v>
      </c>
      <c r="P253" s="7">
        <v>41</v>
      </c>
      <c r="Q253" s="5" t="e" cm="1">
        <f t="array" aca="1" ref="Q253" ca="1">INDEX($P$203:$U$210, INT((ROW(A41)-1)/6)+1, MOD(ROW(A41)-1,6)+1)</f>
        <v>#VALUE!</v>
      </c>
    </row>
    <row r="254" spans="2:24" x14ac:dyDescent="0.25">
      <c r="B254" s="5">
        <v>52</v>
      </c>
      <c r="C254" s="4">
        <v>0</v>
      </c>
      <c r="P254" s="9">
        <v>42</v>
      </c>
      <c r="Q254" s="5" t="e" cm="1">
        <f t="array" aca="1" ref="Q254" ca="1">INDEX($P$203:$U$210, INT((ROW(A42)-1)/6)+1, MOD(ROW(A42)-1,6)+1)</f>
        <v>#VALUE!</v>
      </c>
    </row>
    <row r="255" spans="2:24" x14ac:dyDescent="0.25">
      <c r="B255" s="5">
        <v>53</v>
      </c>
      <c r="C255" s="4">
        <v>1</v>
      </c>
      <c r="P255" s="9">
        <v>43</v>
      </c>
      <c r="Q255" s="5" t="e" cm="1">
        <f t="array" aca="1" ref="Q255" ca="1">INDEX($P$203:$U$210, INT((ROW(A43)-1)/6)+1, MOD(ROW(A43)-1,6)+1)</f>
        <v>#VALUE!</v>
      </c>
    </row>
    <row r="256" spans="2:24" x14ac:dyDescent="0.25">
      <c r="B256" s="5">
        <v>54</v>
      </c>
      <c r="C256" s="4">
        <v>0</v>
      </c>
      <c r="P256" s="9">
        <v>44</v>
      </c>
      <c r="Q256" s="5" t="e" cm="1">
        <f t="array" aca="1" ref="Q256" ca="1">INDEX($P$203:$U$210, INT((ROW(A44)-1)/6)+1, MOD(ROW(A44)-1,6)+1)</f>
        <v>#VALUE!</v>
      </c>
    </row>
    <row r="257" spans="2:41" x14ac:dyDescent="0.25">
      <c r="B257" s="5">
        <v>55</v>
      </c>
      <c r="C257" s="4">
        <v>1</v>
      </c>
      <c r="P257" s="9">
        <v>45</v>
      </c>
      <c r="Q257" s="5" t="e" cm="1">
        <f t="array" aca="1" ref="Q257" ca="1">INDEX($P$203:$U$210, INT((ROW(A45)-1)/6)+1, MOD(ROW(A45)-1,6)+1)</f>
        <v>#VALUE!</v>
      </c>
    </row>
    <row r="258" spans="2:41" x14ac:dyDescent="0.25">
      <c r="B258" s="6">
        <v>56</v>
      </c>
      <c r="C258" s="4">
        <v>0</v>
      </c>
      <c r="P258" s="9">
        <v>46</v>
      </c>
      <c r="Q258" s="5" t="e" cm="1">
        <f t="array" aca="1" ref="Q258" ca="1">INDEX($P$203:$U$210, INT((ROW(A46)-1)/6)+1, MOD(ROW(A46)-1,6)+1)</f>
        <v>#VALUE!</v>
      </c>
    </row>
    <row r="259" spans="2:41" x14ac:dyDescent="0.25">
      <c r="P259" s="9">
        <v>47</v>
      </c>
      <c r="Q259" s="5" t="e" cm="1">
        <f t="array" aca="1" ref="Q259" ca="1">INDEX($P$203:$U$210, INT((ROW(A47)-1)/6)+1, MOD(ROW(A47)-1,6)+1)</f>
        <v>#VALUE!</v>
      </c>
    </row>
    <row r="260" spans="2:41" x14ac:dyDescent="0.25">
      <c r="P260" s="11">
        <v>48</v>
      </c>
      <c r="Q260" s="5" t="e" cm="1">
        <f t="array" aca="1" ref="Q260" ca="1">INDEX($P$203:$U$210, INT((ROW(A48)-1)/6)+1, MOD(ROW(A48)-1,6)+1)</f>
        <v>#VALUE!</v>
      </c>
    </row>
    <row r="262" spans="2:41" x14ac:dyDescent="0.25">
      <c r="B262" t="s">
        <v>32</v>
      </c>
    </row>
    <row r="263" spans="2:41" x14ac:dyDescent="0.25">
      <c r="B263" s="37" t="s">
        <v>33</v>
      </c>
      <c r="C263" s="38"/>
      <c r="F263" s="39" t="s">
        <v>23</v>
      </c>
      <c r="G263" s="40"/>
      <c r="H263" s="40"/>
      <c r="I263" s="40"/>
      <c r="J263" s="40"/>
      <c r="K263" s="41"/>
      <c r="M263" s="37" t="s">
        <v>34</v>
      </c>
      <c r="N263" s="43"/>
      <c r="P263" s="39" t="s">
        <v>93</v>
      </c>
      <c r="Q263" s="40"/>
      <c r="R263" s="40"/>
      <c r="S263" s="40"/>
      <c r="T263" s="40"/>
      <c r="U263" s="41"/>
      <c r="W263" s="2" t="s">
        <v>3</v>
      </c>
      <c r="X263" s="18" t="s">
        <v>95</v>
      </c>
      <c r="Z263" s="42" t="s">
        <v>77</v>
      </c>
      <c r="AA263" s="42" t="s">
        <v>74</v>
      </c>
      <c r="AB263" s="42"/>
      <c r="AC263" s="42" t="s">
        <v>75</v>
      </c>
      <c r="AD263" s="42" t="s">
        <v>76</v>
      </c>
      <c r="AE263" s="36" t="s">
        <v>78</v>
      </c>
      <c r="AF263" s="36" t="s">
        <v>79</v>
      </c>
      <c r="AH263" s="37" t="s">
        <v>96</v>
      </c>
      <c r="AI263" s="38"/>
      <c r="AK263" s="37" t="s">
        <v>97</v>
      </c>
      <c r="AL263" s="38"/>
      <c r="AN263" s="36" t="s">
        <v>98</v>
      </c>
      <c r="AO263" s="36"/>
    </row>
    <row r="264" spans="2:41" x14ac:dyDescent="0.25">
      <c r="B264" s="7">
        <v>1</v>
      </c>
      <c r="C264" s="30">
        <v>0</v>
      </c>
      <c r="F264" s="15" cm="1">
        <f t="array" ref="F264">INDEX($C$264:$C$319, H41)</f>
        <v>0</v>
      </c>
      <c r="G264" s="15" cm="1">
        <f t="array" ref="G264">INDEX($C$264:$C$319, I41)</f>
        <v>1</v>
      </c>
      <c r="H264" s="15" cm="1">
        <f t="array" ref="H264">INDEX($C$264:$C$319, J41)</f>
        <v>0</v>
      </c>
      <c r="I264" s="15" cm="1">
        <f t="array" ref="I264">INDEX($C$264:$C$319, K41)</f>
        <v>1</v>
      </c>
      <c r="J264" s="15" cm="1">
        <f t="array" ref="J264">INDEX($C$264:$C$319, L41)</f>
        <v>0</v>
      </c>
      <c r="K264" s="15" cm="1">
        <f t="array" ref="K264">INDEX($C$264:$C$319, M41)</f>
        <v>1</v>
      </c>
      <c r="M264" s="7">
        <v>1</v>
      </c>
      <c r="N264" s="4" cm="1">
        <f t="array" ref="N264">INDEX($F$264:$K$271, INT((ROW(A1)-1)/6)+1, MOD(ROW(A1)-1,6)+1)</f>
        <v>0</v>
      </c>
      <c r="P264" s="15" t="e" cm="1">
        <f t="array" aca="1" ref="P264" ca="1">INDEX($AO$204:$AO$235, H51)</f>
        <v>#VALUE!</v>
      </c>
      <c r="Q264" s="15" t="e" cm="1">
        <f t="array" aca="1" ref="Q264" ca="1">INDEX($AO$204:$AO$235, I51)</f>
        <v>#VALUE!</v>
      </c>
      <c r="R264" s="15" t="e" cm="1">
        <f t="array" aca="1" ref="R264" ca="1">INDEX($AO$204:$AO$235, J51)</f>
        <v>#VALUE!</v>
      </c>
      <c r="S264" s="15" t="e" cm="1">
        <f t="array" aca="1" ref="S264" ca="1">INDEX($AO$204:$AO$235, K51)</f>
        <v>#VALUE!</v>
      </c>
      <c r="T264" s="15" t="e" cm="1">
        <f t="array" aca="1" ref="T264" ca="1">INDEX($AO$204:$AO$235, L51)</f>
        <v>#VALUE!</v>
      </c>
      <c r="U264" s="15" t="e" cm="1">
        <f t="array" aca="1" ref="U264" ca="1">INDEX($AO$204:$AO$235, M51)</f>
        <v>#VALUE!</v>
      </c>
      <c r="W264" s="7">
        <v>1</v>
      </c>
      <c r="X264" s="4" t="e">
        <f ca="1">_xlfn.BITXOR(Q274, N264)</f>
        <v>#VALUE!</v>
      </c>
      <c r="Z264" s="42"/>
      <c r="AA264" s="42"/>
      <c r="AB264" s="42"/>
      <c r="AC264" s="42"/>
      <c r="AD264" s="42"/>
      <c r="AE264" s="36"/>
      <c r="AF264" s="36"/>
      <c r="AH264" s="7">
        <v>1</v>
      </c>
      <c r="AI264" s="4" t="e" cm="1">
        <f t="array" aca="1" ref="AI264" ca="1">MID(INDEX($AF$265:$AF$272,INT((ROW(A1)-1)/4)+1),MOD(ROW(A1)-1,4)+1,1)</f>
        <v>#VALUE!</v>
      </c>
      <c r="AK264" s="7">
        <v>1</v>
      </c>
      <c r="AL264" s="4" t="e" cm="1">
        <f t="array" aca="1" ref="AL264" ca="1">INDEX($AI$264:$AI$295, INDEX($H$15:$O$18, INT((ROW(A1)-1)/8)+1, MOD(ROW(A1)-1,8)+1))</f>
        <v>#VALUE!</v>
      </c>
      <c r="AN264" s="2" t="s">
        <v>99</v>
      </c>
      <c r="AO264" s="31" t="s">
        <v>101</v>
      </c>
    </row>
    <row r="265" spans="2:41" x14ac:dyDescent="0.25">
      <c r="B265" s="9">
        <v>2</v>
      </c>
      <c r="C265" s="30">
        <v>0</v>
      </c>
      <c r="F265" s="15" cm="1">
        <f t="array" ref="F265">INDEX($C$264:$C$319, H42)</f>
        <v>0</v>
      </c>
      <c r="G265" s="15" cm="1">
        <f t="array" ref="G265">INDEX($C$264:$C$319, I42)</f>
        <v>1</v>
      </c>
      <c r="H265" s="15" cm="1">
        <f t="array" ref="H265">INDEX($C$264:$C$319, J42)</f>
        <v>1</v>
      </c>
      <c r="I265" s="15" cm="1">
        <f t="array" ref="I265">INDEX($C$264:$C$319, K42)</f>
        <v>1</v>
      </c>
      <c r="J265" s="15" cm="1">
        <f t="array" ref="J265">INDEX($C$264:$C$319, L42)</f>
        <v>1</v>
      </c>
      <c r="K265" s="15" cm="1">
        <f t="array" ref="K265">INDEX($C$264:$C$319, M42)</f>
        <v>1</v>
      </c>
      <c r="M265" s="9">
        <v>2</v>
      </c>
      <c r="N265" s="4" cm="1">
        <f t="array" ref="N265">INDEX($F$264:$K$271, INT((ROW(A2)-1)/6)+1, MOD(ROW(A2)-1,6)+1)</f>
        <v>1</v>
      </c>
      <c r="P265" s="15" t="e" cm="1">
        <f t="array" aca="1" ref="P265" ca="1">INDEX($AO$204:$AO$235, H52)</f>
        <v>#VALUE!</v>
      </c>
      <c r="Q265" s="15" t="e" cm="1">
        <f t="array" aca="1" ref="Q265" ca="1">INDEX($AO$204:$AO$235, I52)</f>
        <v>#VALUE!</v>
      </c>
      <c r="R265" s="15" t="e" cm="1">
        <f t="array" aca="1" ref="R265" ca="1">INDEX($AO$204:$AO$235, J52)</f>
        <v>#VALUE!</v>
      </c>
      <c r="S265" s="15" t="e" cm="1">
        <f t="array" aca="1" ref="S265" ca="1">INDEX($AO$204:$AO$235, K52)</f>
        <v>#VALUE!</v>
      </c>
      <c r="T265" s="15" t="e" cm="1">
        <f t="array" aca="1" ref="T265" ca="1">INDEX($AO$204:$AO$235, L52)</f>
        <v>#VALUE!</v>
      </c>
      <c r="U265" s="15" t="e" cm="1">
        <f t="array" aca="1" ref="U265" ca="1">INDEX($AO$204:$AO$235, M52)</f>
        <v>#VALUE!</v>
      </c>
      <c r="W265" s="9">
        <v>2</v>
      </c>
      <c r="X265" s="4" t="e">
        <f t="shared" ref="X265:X311" ca="1" si="11">_xlfn.BITXOR(Q275, N265)</f>
        <v>#VALUE!</v>
      </c>
      <c r="Z265" s="32">
        <v>1</v>
      </c>
      <c r="AA265" s="34" t="e">
        <f ca="1">_xlfn.TEXTJOIN("", TRUE, INDEX($X$264:$X$311, (ROW(A1)-1)*6+1) : INDEX($X$264:$X$311, (ROW(A1)-1)*6+6))</f>
        <v>#VALUE!</v>
      </c>
      <c r="AB265" s="35"/>
      <c r="AC265" s="32" t="e">
        <f ca="1">BIN2DEC(LEFT(AA265,1) &amp; RIGHT(AA265,1))</f>
        <v>#VALUE!</v>
      </c>
      <c r="AD265" s="31" t="e">
        <f ca="1">BIN2DEC(MID(AA265,2,4))</f>
        <v>#VALUE!</v>
      </c>
      <c r="AE265" s="31" t="e" cm="1">
        <f t="array" aca="1" ref="AE265" ca="1">INDEX(OFFSET('[1]S-box'!$A$2, (Z265-1)*6, 0, 4, 16), AC265+1, AD265+1)</f>
        <v>#VALUE!</v>
      </c>
      <c r="AF265" s="33" t="e">
        <f ca="1">DEC2BIN(AE265, 4)</f>
        <v>#VALUE!</v>
      </c>
      <c r="AH265" s="9">
        <v>2</v>
      </c>
      <c r="AI265" s="4" t="e" cm="1">
        <f t="array" aca="1" ref="AI265" ca="1">MID(INDEX($AF$265:$AF$272,INT((ROW(A2)-1)/4)+1),MOD(ROW(A2)-1,4)+1,1)</f>
        <v>#VALUE!</v>
      </c>
      <c r="AK265" s="9">
        <v>2</v>
      </c>
      <c r="AL265" s="4" t="e" cm="1">
        <f t="array" aca="1" ref="AL265" ca="1">INDEX($AI$264:$AI$295, INDEX($H$15:$O$18, INT((ROW(A2)-1)/8)+1, MOD(ROW(A2)-1,8)+1))</f>
        <v>#VALUE!</v>
      </c>
      <c r="AN265" s="2">
        <f>_xlfn.BITXOR(T78, AE203)</f>
        <v>0</v>
      </c>
      <c r="AO265" s="2" t="e">
        <f ca="1">_xlfn.BITXOR(N264, AL264)</f>
        <v>#VALUE!</v>
      </c>
    </row>
    <row r="266" spans="2:41" x14ac:dyDescent="0.25">
      <c r="B266" s="9">
        <v>3</v>
      </c>
      <c r="C266" s="30">
        <v>0</v>
      </c>
      <c r="F266" s="15" cm="1">
        <f t="array" ref="F266">INDEX($C$264:$C$319, H43)</f>
        <v>1</v>
      </c>
      <c r="G266" s="15" cm="1">
        <f t="array" ref="G266">INDEX($C$264:$C$319, I43)</f>
        <v>1</v>
      </c>
      <c r="H266" s="15" cm="1">
        <f t="array" ref="H266">INDEX($C$264:$C$319, J43)</f>
        <v>0</v>
      </c>
      <c r="I266" s="15" cm="1">
        <f t="array" ref="I266">INDEX($C$264:$C$319, K43)</f>
        <v>0</v>
      </c>
      <c r="J266" s="15" cm="1">
        <f t="array" ref="J266">INDEX($C$264:$C$319, L43)</f>
        <v>1</v>
      </c>
      <c r="K266" s="15" cm="1">
        <f t="array" ref="K266">INDEX($C$264:$C$319, M43)</f>
        <v>0</v>
      </c>
      <c r="M266" s="9">
        <v>3</v>
      </c>
      <c r="N266" s="4" cm="1">
        <f t="array" ref="N266">INDEX($F$264:$K$271, INT((ROW(A3)-1)/6)+1, MOD(ROW(A3)-1,6)+1)</f>
        <v>0</v>
      </c>
      <c r="P266" s="15" t="e" cm="1">
        <f t="array" aca="1" ref="P266" ca="1">INDEX($AO$204:$AO$235, H53)</f>
        <v>#VALUE!</v>
      </c>
      <c r="Q266" s="15" t="e" cm="1">
        <f t="array" aca="1" ref="Q266" ca="1">INDEX($AO$204:$AO$235, I53)</f>
        <v>#VALUE!</v>
      </c>
      <c r="R266" s="15" t="e" cm="1">
        <f t="array" aca="1" ref="R266" ca="1">INDEX($AO$204:$AO$235, J53)</f>
        <v>#VALUE!</v>
      </c>
      <c r="S266" s="15" t="e" cm="1">
        <f t="array" aca="1" ref="S266" ca="1">INDEX($AO$204:$AO$235, K53)</f>
        <v>#VALUE!</v>
      </c>
      <c r="T266" s="15" t="e" cm="1">
        <f t="array" aca="1" ref="T266" ca="1">INDEX($AO$204:$AO$235, L53)</f>
        <v>#VALUE!</v>
      </c>
      <c r="U266" s="15" t="e" cm="1">
        <f t="array" aca="1" ref="U266" ca="1">INDEX($AO$204:$AO$235, M53)</f>
        <v>#VALUE!</v>
      </c>
      <c r="W266" s="9">
        <v>3</v>
      </c>
      <c r="X266" s="4" t="e">
        <f t="shared" ca="1" si="11"/>
        <v>#VALUE!</v>
      </c>
      <c r="Z266" s="32">
        <v>2</v>
      </c>
      <c r="AA266" s="34" t="e">
        <f ca="1">_xlfn.TEXTJOIN("", TRUE, INDEX($X$264:$X$311, (ROW(A2)-1)*6+1) : INDEX($X$264:$X$311, (ROW(A2)-1)*6+6))</f>
        <v>#VALUE!</v>
      </c>
      <c r="AB266" s="35"/>
      <c r="AC266" s="32" t="e">
        <f t="shared" ref="AC266:AC272" ca="1" si="12">BIN2DEC(LEFT(AA266,1) &amp; RIGHT(AA266,1))</f>
        <v>#VALUE!</v>
      </c>
      <c r="AD266" s="31" t="e">
        <f t="shared" ref="AD266:AD272" ca="1" si="13">BIN2DEC(MID(AA266,2,4))</f>
        <v>#VALUE!</v>
      </c>
      <c r="AE266" s="31" t="e" cm="1">
        <f t="array" aca="1" ref="AE266" ca="1">INDEX(OFFSET('[1]S-box'!$A$2, (Z266-1)*6, 0, 4, 16), AC266+1, AD266+1)</f>
        <v>#VALUE!</v>
      </c>
      <c r="AF266" s="33" t="e">
        <f t="shared" ref="AF266:AF272" ca="1" si="14">DEC2BIN(AE266, 4)</f>
        <v>#VALUE!</v>
      </c>
      <c r="AH266" s="9">
        <v>3</v>
      </c>
      <c r="AI266" s="4" t="e" cm="1">
        <f t="array" aca="1" ref="AI266" ca="1">MID(INDEX($AF$265:$AF$272,INT((ROW(A3)-1)/4)+1),MOD(ROW(A3)-1,4)+1,1)</f>
        <v>#VALUE!</v>
      </c>
      <c r="AK266" s="9">
        <v>3</v>
      </c>
      <c r="AL266" s="4" t="e" cm="1">
        <f t="array" aca="1" ref="AL266" ca="1">INDEX($AI$264:$AI$295, INDEX($H$15:$O$18, INT((ROW(A3)-1)/8)+1, MOD(ROW(A3)-1,8)+1))</f>
        <v>#VALUE!</v>
      </c>
      <c r="AN266" s="2" t="e">
        <f t="shared" ref="AN266:AN296" ca="1" si="15">_xlfn.BITXOR(T79, AE204)</f>
        <v>#VALUE!</v>
      </c>
      <c r="AO266" s="2" t="e">
        <f t="shared" ref="AO266:AO296" ca="1" si="16">_xlfn.BITXOR(N265, AL265)</f>
        <v>#VALUE!</v>
      </c>
    </row>
    <row r="267" spans="2:41" x14ac:dyDescent="0.25">
      <c r="B267" s="9">
        <v>4</v>
      </c>
      <c r="C267" s="30">
        <v>0</v>
      </c>
      <c r="F267" s="15" cm="1">
        <f t="array" ref="F267">INDEX($C$264:$C$319, H44)</f>
        <v>0</v>
      </c>
      <c r="G267" s="15" cm="1">
        <f t="array" ref="G267">INDEX($C$264:$C$319, I44)</f>
        <v>0</v>
      </c>
      <c r="H267" s="15" cm="1">
        <f t="array" ref="H267">INDEX($C$264:$C$319, J44)</f>
        <v>1</v>
      </c>
      <c r="I267" s="15" cm="1">
        <f t="array" ref="I267">INDEX($C$264:$C$319, K44)</f>
        <v>0</v>
      </c>
      <c r="J267" s="15" cm="1">
        <f t="array" ref="J267">INDEX($C$264:$C$319, L44)</f>
        <v>1</v>
      </c>
      <c r="K267" s="15" cm="1">
        <f t="array" ref="K267">INDEX($C$264:$C$319, M44)</f>
        <v>0</v>
      </c>
      <c r="M267" s="9">
        <v>4</v>
      </c>
      <c r="N267" s="4" cm="1">
        <f t="array" ref="N267">INDEX($F$264:$K$271, INT((ROW(A4)-1)/6)+1, MOD(ROW(A4)-1,6)+1)</f>
        <v>1</v>
      </c>
      <c r="P267" s="15" t="e" cm="1">
        <f t="array" aca="1" ref="P267" ca="1">INDEX($AO$204:$AO$235, H54)</f>
        <v>#VALUE!</v>
      </c>
      <c r="Q267" s="15" t="e" cm="1">
        <f t="array" aca="1" ref="Q267" ca="1">INDEX($AO$204:$AO$235, I54)</f>
        <v>#VALUE!</v>
      </c>
      <c r="R267" s="15" t="e" cm="1">
        <f t="array" aca="1" ref="R267" ca="1">INDEX($AO$204:$AO$235, J54)</f>
        <v>#VALUE!</v>
      </c>
      <c r="S267" s="15" t="e" cm="1">
        <f t="array" aca="1" ref="S267" ca="1">INDEX($AO$204:$AO$235, K54)</f>
        <v>#VALUE!</v>
      </c>
      <c r="T267" s="15" t="e" cm="1">
        <f t="array" aca="1" ref="T267" ca="1">INDEX($AO$204:$AO$235, L54)</f>
        <v>#VALUE!</v>
      </c>
      <c r="U267" s="15" t="e" cm="1">
        <f t="array" aca="1" ref="U267" ca="1">INDEX($AO$204:$AO$235, M54)</f>
        <v>#VALUE!</v>
      </c>
      <c r="W267" s="9">
        <v>4</v>
      </c>
      <c r="X267" s="4" t="e">
        <f t="shared" ca="1" si="11"/>
        <v>#VALUE!</v>
      </c>
      <c r="Z267" s="32">
        <v>3</v>
      </c>
      <c r="AA267" s="34" t="e">
        <f ca="1">_xlfn.TEXTJOIN("", TRUE, INDEX($X$264:$X$311, (ROW(A3)-1)*6+1) : INDEX($X$264:$X$311, (ROW(A3)-1)*6+6))</f>
        <v>#VALUE!</v>
      </c>
      <c r="AB267" s="35"/>
      <c r="AC267" s="32" t="e">
        <f t="shared" ca="1" si="12"/>
        <v>#VALUE!</v>
      </c>
      <c r="AD267" s="31" t="e">
        <f t="shared" ca="1" si="13"/>
        <v>#VALUE!</v>
      </c>
      <c r="AE267" s="31" t="e" cm="1">
        <f t="array" aca="1" ref="AE267" ca="1">INDEX(OFFSET('[1]S-box'!$A$2, (Z267-1)*6, 0, 4, 16), AC267+1, AD267+1)</f>
        <v>#VALUE!</v>
      </c>
      <c r="AF267" s="33" t="e">
        <f t="shared" ca="1" si="14"/>
        <v>#VALUE!</v>
      </c>
      <c r="AH267" s="9">
        <v>4</v>
      </c>
      <c r="AI267" s="4" t="e" cm="1">
        <f t="array" aca="1" ref="AI267" ca="1">MID(INDEX($AF$265:$AF$272,INT((ROW(A4)-1)/4)+1),MOD(ROW(A4)-1,4)+1,1)</f>
        <v>#VALUE!</v>
      </c>
      <c r="AK267" s="9">
        <v>4</v>
      </c>
      <c r="AL267" s="4" t="e" cm="1">
        <f t="array" aca="1" ref="AL267" ca="1">INDEX($AI$264:$AI$295, INDEX($H$15:$O$18, INT((ROW(A4)-1)/8)+1, MOD(ROW(A4)-1,8)+1))</f>
        <v>#VALUE!</v>
      </c>
      <c r="AN267" s="2" t="e">
        <f t="shared" ca="1" si="15"/>
        <v>#VALUE!</v>
      </c>
      <c r="AO267" s="2" t="e">
        <f t="shared" ca="1" si="16"/>
        <v>#VALUE!</v>
      </c>
    </row>
    <row r="268" spans="2:41" x14ac:dyDescent="0.25">
      <c r="B268" s="9">
        <v>5</v>
      </c>
      <c r="C268" s="30">
        <v>1</v>
      </c>
      <c r="F268" s="15" cm="1">
        <f t="array" ref="F268">INDEX($C$264:$C$319, H45)</f>
        <v>1</v>
      </c>
      <c r="G268" s="15" cm="1">
        <f t="array" ref="G268">INDEX($C$264:$C$319, I45)</f>
        <v>0</v>
      </c>
      <c r="H268" s="15" cm="1">
        <f t="array" ref="H268">INDEX($C$264:$C$319, J45)</f>
        <v>1</v>
      </c>
      <c r="I268" s="15" cm="1">
        <f t="array" ref="I268">INDEX($C$264:$C$319, K45)</f>
        <v>1</v>
      </c>
      <c r="J268" s="15" cm="1">
        <f t="array" ref="J268">INDEX($C$264:$C$319, L45)</f>
        <v>0</v>
      </c>
      <c r="K268" s="15" cm="1">
        <f t="array" ref="K268">INDEX($C$264:$C$319, M45)</f>
        <v>1</v>
      </c>
      <c r="M268" s="9">
        <v>5</v>
      </c>
      <c r="N268" s="4" cm="1">
        <f t="array" ref="N268">INDEX($F$264:$K$271, INT((ROW(A5)-1)/6)+1, MOD(ROW(A5)-1,6)+1)</f>
        <v>0</v>
      </c>
      <c r="P268" s="15" t="e" cm="1">
        <f t="array" aca="1" ref="P268" ca="1">INDEX($AO$204:$AO$235, H55)</f>
        <v>#VALUE!</v>
      </c>
      <c r="Q268" s="15" t="e" cm="1">
        <f t="array" aca="1" ref="Q268" ca="1">INDEX($AO$204:$AO$235, I55)</f>
        <v>#VALUE!</v>
      </c>
      <c r="R268" s="15" t="e" cm="1">
        <f t="array" aca="1" ref="R268" ca="1">INDEX($AO$204:$AO$235, J55)</f>
        <v>#VALUE!</v>
      </c>
      <c r="S268" s="15" t="e" cm="1">
        <f t="array" aca="1" ref="S268" ca="1">INDEX($AO$204:$AO$235, K55)</f>
        <v>#VALUE!</v>
      </c>
      <c r="T268" s="15" t="e" cm="1">
        <f t="array" aca="1" ref="T268" ca="1">INDEX($AO$204:$AO$235, L55)</f>
        <v>#VALUE!</v>
      </c>
      <c r="U268" s="15" t="e" cm="1">
        <f t="array" aca="1" ref="U268" ca="1">INDEX($AO$204:$AO$235, M55)</f>
        <v>#VALUE!</v>
      </c>
      <c r="W268" s="9">
        <v>5</v>
      </c>
      <c r="X268" s="4" t="e">
        <f t="shared" ca="1" si="11"/>
        <v>#VALUE!</v>
      </c>
      <c r="Z268" s="32">
        <v>4</v>
      </c>
      <c r="AA268" s="34" t="e">
        <f ca="1">_xlfn.TEXTJOIN("", TRUE, INDEX($X$264:$X$311, (ROW(A4)-1)*6+1) : INDEX($X$264:$X$311, (ROW(A4)-1)*6+6))</f>
        <v>#VALUE!</v>
      </c>
      <c r="AB268" s="35"/>
      <c r="AC268" s="32" t="e">
        <f t="shared" ca="1" si="12"/>
        <v>#VALUE!</v>
      </c>
      <c r="AD268" s="31" t="e">
        <f t="shared" ca="1" si="13"/>
        <v>#VALUE!</v>
      </c>
      <c r="AE268" s="31" t="e" cm="1">
        <f t="array" aca="1" ref="AE268" ca="1">INDEX(OFFSET('[1]S-box'!$A$2, (Z268-1)*6, 0, 4, 16), AC268+1, AD268+1)</f>
        <v>#VALUE!</v>
      </c>
      <c r="AF268" s="33" t="e">
        <f t="shared" ca="1" si="14"/>
        <v>#VALUE!</v>
      </c>
      <c r="AH268" s="9">
        <v>5</v>
      </c>
      <c r="AI268" s="4" t="e" cm="1">
        <f t="array" aca="1" ref="AI268" ca="1">MID(INDEX($AF$265:$AF$272,INT((ROW(A5)-1)/4)+1),MOD(ROW(A5)-1,4)+1,1)</f>
        <v>#VALUE!</v>
      </c>
      <c r="AK268" s="9">
        <v>5</v>
      </c>
      <c r="AL268" s="4" t="e" cm="1">
        <f t="array" aca="1" ref="AL268" ca="1">INDEX($AI$264:$AI$295, INDEX($H$15:$O$18, INT((ROW(A5)-1)/8)+1, MOD(ROW(A5)-1,8)+1))</f>
        <v>#VALUE!</v>
      </c>
      <c r="AN268" s="2" t="e">
        <f t="shared" ca="1" si="15"/>
        <v>#VALUE!</v>
      </c>
      <c r="AO268" s="2" t="e">
        <f t="shared" ca="1" si="16"/>
        <v>#VALUE!</v>
      </c>
    </row>
    <row r="269" spans="2:41" x14ac:dyDescent="0.25">
      <c r="B269" s="9">
        <v>6</v>
      </c>
      <c r="C269" s="30">
        <v>1</v>
      </c>
      <c r="F269" s="15" cm="1">
        <f t="array" ref="F269">INDEX($C$264:$C$319, H46)</f>
        <v>0</v>
      </c>
      <c r="G269" s="15" cm="1">
        <f t="array" ref="G269">INDEX($C$264:$C$319, I46)</f>
        <v>0</v>
      </c>
      <c r="H269" s="15" cm="1">
        <f t="array" ref="H269">INDEX($C$264:$C$319, J46)</f>
        <v>1</v>
      </c>
      <c r="I269" s="15" cm="1">
        <f t="array" ref="I269">INDEX($C$264:$C$319, K46)</f>
        <v>0</v>
      </c>
      <c r="J269" s="15" cm="1">
        <f t="array" ref="J269">INDEX($C$264:$C$319, L46)</f>
        <v>1</v>
      </c>
      <c r="K269" s="15" cm="1">
        <f t="array" ref="K269">INDEX($C$264:$C$319, M46)</f>
        <v>0</v>
      </c>
      <c r="M269" s="9">
        <v>6</v>
      </c>
      <c r="N269" s="4" cm="1">
        <f t="array" ref="N269">INDEX($F$264:$K$271, INT((ROW(A6)-1)/6)+1, MOD(ROW(A6)-1,6)+1)</f>
        <v>1</v>
      </c>
      <c r="P269" s="15" t="e" cm="1">
        <f t="array" aca="1" ref="P269" ca="1">INDEX($AO$204:$AO$235, H56)</f>
        <v>#VALUE!</v>
      </c>
      <c r="Q269" s="15" t="e" cm="1">
        <f t="array" aca="1" ref="Q269" ca="1">INDEX($AO$204:$AO$235, I56)</f>
        <v>#VALUE!</v>
      </c>
      <c r="R269" s="15" t="e" cm="1">
        <f t="array" aca="1" ref="R269" ca="1">INDEX($AO$204:$AO$235, J56)</f>
        <v>#VALUE!</v>
      </c>
      <c r="S269" s="15" t="e" cm="1">
        <f t="array" aca="1" ref="S269" ca="1">INDEX($AO$204:$AO$235, K56)</f>
        <v>#VALUE!</v>
      </c>
      <c r="T269" s="15" t="e" cm="1">
        <f t="array" aca="1" ref="T269" ca="1">INDEX($AO$204:$AO$235, L56)</f>
        <v>#VALUE!</v>
      </c>
      <c r="U269" s="15" t="e" cm="1">
        <f t="array" aca="1" ref="U269" ca="1">INDEX($AO$204:$AO$235, M56)</f>
        <v>#VALUE!</v>
      </c>
      <c r="W269" s="9">
        <v>6</v>
      </c>
      <c r="X269" s="4" t="e">
        <f t="shared" ca="1" si="11"/>
        <v>#VALUE!</v>
      </c>
      <c r="Z269" s="32">
        <v>5</v>
      </c>
      <c r="AA269" s="34" t="e">
        <f ca="1">_xlfn.TEXTJOIN("", TRUE, INDEX($X$264:$X$311, (ROW(A5)-1)*6+1) : INDEX($X$264:$X$311, (ROW(A5)-1)*6+6))</f>
        <v>#VALUE!</v>
      </c>
      <c r="AB269" s="35"/>
      <c r="AC269" s="32" t="e">
        <f t="shared" ca="1" si="12"/>
        <v>#VALUE!</v>
      </c>
      <c r="AD269" s="31" t="e">
        <f t="shared" ca="1" si="13"/>
        <v>#VALUE!</v>
      </c>
      <c r="AE269" s="31" t="e" cm="1">
        <f t="array" aca="1" ref="AE269" ca="1">INDEX(OFFSET('[1]S-box'!$A$2, (Z269-1)*6, 0, 4, 16), AC269+1, AD269+1)</f>
        <v>#VALUE!</v>
      </c>
      <c r="AF269" s="33" t="e">
        <f t="shared" ca="1" si="14"/>
        <v>#VALUE!</v>
      </c>
      <c r="AH269" s="9">
        <v>6</v>
      </c>
      <c r="AI269" s="4" t="e" cm="1">
        <f t="array" aca="1" ref="AI269" ca="1">MID(INDEX($AF$265:$AF$272,INT((ROW(A6)-1)/4)+1),MOD(ROW(A6)-1,4)+1,1)</f>
        <v>#VALUE!</v>
      </c>
      <c r="AK269" s="9">
        <v>6</v>
      </c>
      <c r="AL269" s="4" t="e" cm="1">
        <f t="array" aca="1" ref="AL269" ca="1">INDEX($AI$264:$AI$295, INDEX($H$15:$O$18, INT((ROW(A6)-1)/8)+1, MOD(ROW(A6)-1,8)+1))</f>
        <v>#VALUE!</v>
      </c>
      <c r="AN269" s="2" t="e">
        <f t="shared" ca="1" si="15"/>
        <v>#VALUE!</v>
      </c>
      <c r="AO269" s="2" t="e">
        <f t="shared" ca="1" si="16"/>
        <v>#VALUE!</v>
      </c>
    </row>
    <row r="270" spans="2:41" x14ac:dyDescent="0.25">
      <c r="B270" s="9">
        <v>7</v>
      </c>
      <c r="C270" s="30">
        <v>0</v>
      </c>
      <c r="F270" s="15" cm="1">
        <f t="array" ref="F270">INDEX($C$264:$C$319, H47)</f>
        <v>1</v>
      </c>
      <c r="G270" s="15" cm="1">
        <f t="array" ref="G270">INDEX($C$264:$C$319, I47)</f>
        <v>1</v>
      </c>
      <c r="H270" s="15" cm="1">
        <f t="array" ref="H270">INDEX($C$264:$C$319, J47)</f>
        <v>0</v>
      </c>
      <c r="I270" s="15" cm="1">
        <f t="array" ref="I270">INDEX($C$264:$C$319, K47)</f>
        <v>0</v>
      </c>
      <c r="J270" s="15" cm="1">
        <f t="array" ref="J270">INDEX($C$264:$C$319, L47)</f>
        <v>1</v>
      </c>
      <c r="K270" s="15" cm="1">
        <f t="array" ref="K270">INDEX($C$264:$C$319, M47)</f>
        <v>1</v>
      </c>
      <c r="M270" s="9">
        <v>7</v>
      </c>
      <c r="N270" s="4" cm="1">
        <f t="array" ref="N270">INDEX($F$264:$K$271, INT((ROW(A7)-1)/6)+1, MOD(ROW(A7)-1,6)+1)</f>
        <v>0</v>
      </c>
      <c r="P270" s="15" t="e" cm="1">
        <f t="array" aca="1" ref="P270" ca="1">INDEX($AO$204:$AO$235, H57)</f>
        <v>#VALUE!</v>
      </c>
      <c r="Q270" s="15" t="e" cm="1">
        <f t="array" aca="1" ref="Q270" ca="1">INDEX($AO$204:$AO$235, I57)</f>
        <v>#VALUE!</v>
      </c>
      <c r="R270" s="15" t="e" cm="1">
        <f t="array" aca="1" ref="R270" ca="1">INDEX($AO$204:$AO$235, J57)</f>
        <v>#VALUE!</v>
      </c>
      <c r="S270" s="15" t="e" cm="1">
        <f t="array" aca="1" ref="S270" ca="1">INDEX($AO$204:$AO$235, K57)</f>
        <v>#VALUE!</v>
      </c>
      <c r="T270" s="15" t="e" cm="1">
        <f t="array" aca="1" ref="T270" ca="1">INDEX($AO$204:$AO$235, L57)</f>
        <v>#VALUE!</v>
      </c>
      <c r="U270" s="15" t="e" cm="1">
        <f t="array" aca="1" ref="U270" ca="1">INDEX($AO$204:$AO$235, M57)</f>
        <v>#VALUE!</v>
      </c>
      <c r="W270" s="9">
        <v>7</v>
      </c>
      <c r="X270" s="4" t="e">
        <f t="shared" ca="1" si="11"/>
        <v>#VALUE!</v>
      </c>
      <c r="Z270" s="32">
        <v>6</v>
      </c>
      <c r="AA270" s="34" t="e">
        <f ca="1">_xlfn.TEXTJOIN("", TRUE, INDEX($X$264:$X$311, (ROW(A6)-1)*6+1) : INDEX($X$264:$X$311, (ROW(A6)-1)*6+6))</f>
        <v>#VALUE!</v>
      </c>
      <c r="AB270" s="35"/>
      <c r="AC270" s="32" t="e">
        <f t="shared" ca="1" si="12"/>
        <v>#VALUE!</v>
      </c>
      <c r="AD270" s="31" t="e">
        <f t="shared" ca="1" si="13"/>
        <v>#VALUE!</v>
      </c>
      <c r="AE270" s="31" t="e" cm="1">
        <f t="array" aca="1" ref="AE270" ca="1">INDEX(OFFSET('[1]S-box'!$A$2, (Z270-1)*6, 0, 4, 16), AC270+1, AD270+1)</f>
        <v>#VALUE!</v>
      </c>
      <c r="AF270" s="33" t="e">
        <f t="shared" ca="1" si="14"/>
        <v>#VALUE!</v>
      </c>
      <c r="AH270" s="9">
        <v>7</v>
      </c>
      <c r="AI270" s="4" t="e" cm="1">
        <f t="array" aca="1" ref="AI270" ca="1">MID(INDEX($AF$265:$AF$272,INT((ROW(A7)-1)/4)+1),MOD(ROW(A7)-1,4)+1,1)</f>
        <v>#VALUE!</v>
      </c>
      <c r="AK270" s="9">
        <v>7</v>
      </c>
      <c r="AL270" s="4" t="e" cm="1">
        <f t="array" aca="1" ref="AL270" ca="1">INDEX($AI$264:$AI$295, INDEX($H$15:$O$18, INT((ROW(A7)-1)/8)+1, MOD(ROW(A7)-1,8)+1))</f>
        <v>#VALUE!</v>
      </c>
      <c r="AN270" s="2" t="e">
        <f t="shared" ca="1" si="15"/>
        <v>#VALUE!</v>
      </c>
      <c r="AO270" s="2" t="e">
        <f t="shared" ca="1" si="16"/>
        <v>#VALUE!</v>
      </c>
    </row>
    <row r="271" spans="2:41" x14ac:dyDescent="0.25">
      <c r="B271" s="11">
        <v>8</v>
      </c>
      <c r="C271" s="30">
        <v>0</v>
      </c>
      <c r="F271" s="15" cm="1">
        <f t="array" ref="F271">INDEX($C$264:$C$319, H48)</f>
        <v>0</v>
      </c>
      <c r="G271" s="15" cm="1">
        <f t="array" ref="G271">INDEX($C$264:$C$319, I48)</f>
        <v>1</v>
      </c>
      <c r="H271" s="15" cm="1">
        <f t="array" ref="H271">INDEX($C$264:$C$319, J48)</f>
        <v>0</v>
      </c>
      <c r="I271" s="15" cm="1">
        <f t="array" ref="I271">INDEX($C$264:$C$319, K48)</f>
        <v>0</v>
      </c>
      <c r="J271" s="15" cm="1">
        <f t="array" ref="J271">INDEX($C$264:$C$319, L48)</f>
        <v>1</v>
      </c>
      <c r="K271" s="15" cm="1">
        <f t="array" ref="K271">INDEX($C$264:$C$319, M48)</f>
        <v>0</v>
      </c>
      <c r="M271" s="11">
        <v>8</v>
      </c>
      <c r="N271" s="4" cm="1">
        <f t="array" ref="N271">INDEX($F$264:$K$271, INT((ROW(A8)-1)/6)+1, MOD(ROW(A8)-1,6)+1)</f>
        <v>1</v>
      </c>
      <c r="P271" s="15" t="e" cm="1">
        <f t="array" aca="1" ref="P271" ca="1">INDEX($AO$204:$AO$235, H58)</f>
        <v>#VALUE!</v>
      </c>
      <c r="Q271" s="15" t="e" cm="1">
        <f t="array" aca="1" ref="Q271" ca="1">INDEX($AO$204:$AO$235, I58)</f>
        <v>#VALUE!</v>
      </c>
      <c r="R271" s="15" t="e" cm="1">
        <f t="array" aca="1" ref="R271" ca="1">INDEX($AO$204:$AO$235, J58)</f>
        <v>#VALUE!</v>
      </c>
      <c r="S271" s="15" t="e" cm="1">
        <f t="array" aca="1" ref="S271" ca="1">INDEX($AO$204:$AO$235, K58)</f>
        <v>#VALUE!</v>
      </c>
      <c r="T271" s="15" t="e" cm="1">
        <f t="array" aca="1" ref="T271" ca="1">INDEX($AO$204:$AO$235, L58)</f>
        <v>#VALUE!</v>
      </c>
      <c r="U271" s="15" t="e" cm="1">
        <f t="array" aca="1" ref="U271" ca="1">INDEX($AO$204:$AO$235, M58)</f>
        <v>#VALUE!</v>
      </c>
      <c r="W271" s="11">
        <v>8</v>
      </c>
      <c r="X271" s="4" t="e">
        <f t="shared" ca="1" si="11"/>
        <v>#VALUE!</v>
      </c>
      <c r="Z271" s="32">
        <v>7</v>
      </c>
      <c r="AA271" s="34" t="e">
        <f ca="1">_xlfn.TEXTJOIN("", TRUE, INDEX($X$264:$X$311, (ROW(A7)-1)*6+1) : INDEX($X$264:$X$311, (ROW(A7)-1)*6+6))</f>
        <v>#VALUE!</v>
      </c>
      <c r="AB271" s="35"/>
      <c r="AC271" s="32" t="e">
        <f t="shared" ca="1" si="12"/>
        <v>#VALUE!</v>
      </c>
      <c r="AD271" s="31" t="e">
        <f t="shared" ca="1" si="13"/>
        <v>#VALUE!</v>
      </c>
      <c r="AE271" s="31" t="e" cm="1">
        <f t="array" aca="1" ref="AE271" ca="1">INDEX(OFFSET('[1]S-box'!$A$2, (Z271-1)*6, 0, 4, 16), AC271+1, AD271+1)</f>
        <v>#VALUE!</v>
      </c>
      <c r="AF271" s="33" t="e">
        <f t="shared" ca="1" si="14"/>
        <v>#VALUE!</v>
      </c>
      <c r="AH271" s="11">
        <v>8</v>
      </c>
      <c r="AI271" s="4" t="e" cm="1">
        <f t="array" aca="1" ref="AI271" ca="1">MID(INDEX($AF$265:$AF$272,INT((ROW(A8)-1)/4)+1),MOD(ROW(A8)-1,4)+1,1)</f>
        <v>#VALUE!</v>
      </c>
      <c r="AK271" s="11">
        <v>8</v>
      </c>
      <c r="AL271" s="4" t="e" cm="1">
        <f t="array" aca="1" ref="AL271" ca="1">INDEX($AI$264:$AI$295, INDEX($H$15:$O$18, INT((ROW(A8)-1)/8)+1, MOD(ROW(A8)-1,8)+1))</f>
        <v>#VALUE!</v>
      </c>
      <c r="AN271" s="2" t="e">
        <f t="shared" ca="1" si="15"/>
        <v>#VALUE!</v>
      </c>
      <c r="AO271" s="2" t="e">
        <f t="shared" ca="1" si="16"/>
        <v>#VALUE!</v>
      </c>
    </row>
    <row r="272" spans="2:41" x14ac:dyDescent="0.25">
      <c r="B272" s="9">
        <v>9</v>
      </c>
      <c r="C272" s="30">
        <v>1</v>
      </c>
      <c r="M272" s="9">
        <v>9</v>
      </c>
      <c r="N272" s="4" cm="1">
        <f t="array" ref="N272">INDEX($F$264:$K$271, INT((ROW(A9)-1)/6)+1, MOD(ROW(A9)-1,6)+1)</f>
        <v>1</v>
      </c>
      <c r="W272" s="9">
        <v>9</v>
      </c>
      <c r="X272" s="4" t="e">
        <f t="shared" ca="1" si="11"/>
        <v>#VALUE!</v>
      </c>
      <c r="Z272" s="32">
        <v>8</v>
      </c>
      <c r="AA272" s="34" t="e">
        <f ca="1">_xlfn.TEXTJOIN("", TRUE, INDEX($X$264:$X$311, (ROW(A8)-1)*6+1) : INDEX($X$264:$X$311, (ROW(A8)-1)*6+6))</f>
        <v>#VALUE!</v>
      </c>
      <c r="AB272" s="35"/>
      <c r="AC272" s="32" t="e">
        <f t="shared" ca="1" si="12"/>
        <v>#VALUE!</v>
      </c>
      <c r="AD272" s="31" t="e">
        <f t="shared" ca="1" si="13"/>
        <v>#VALUE!</v>
      </c>
      <c r="AE272" s="31" t="e" cm="1">
        <f t="array" aca="1" ref="AE272" ca="1">INDEX(OFFSET('[1]S-box'!$A$2, (Z272-1)*6, 0, 4, 16), AC272+1, AD272+1)</f>
        <v>#VALUE!</v>
      </c>
      <c r="AF272" s="33" t="e">
        <f t="shared" ca="1" si="14"/>
        <v>#VALUE!</v>
      </c>
      <c r="AH272" s="9">
        <v>9</v>
      </c>
      <c r="AI272" s="4" t="e" cm="1">
        <f t="array" aca="1" ref="AI272" ca="1">MID(INDEX($AF$265:$AF$272,INT((ROW(A9)-1)/4)+1),MOD(ROW(A9)-1,4)+1,1)</f>
        <v>#VALUE!</v>
      </c>
      <c r="AK272" s="9">
        <v>9</v>
      </c>
      <c r="AL272" s="4" t="e" cm="1">
        <f t="array" aca="1" ref="AL272" ca="1">INDEX($AI$264:$AI$295, INDEX($H$15:$O$18, INT((ROW(A9)-1)/8)+1, MOD(ROW(A9)-1,8)+1))</f>
        <v>#VALUE!</v>
      </c>
      <c r="AN272" s="2" t="e">
        <f t="shared" ca="1" si="15"/>
        <v>#VALUE!</v>
      </c>
      <c r="AO272" s="2" t="e">
        <f t="shared" ca="1" si="16"/>
        <v>#VALUE!</v>
      </c>
    </row>
    <row r="273" spans="2:41" x14ac:dyDescent="0.25">
      <c r="B273" s="9">
        <v>10</v>
      </c>
      <c r="C273" s="30">
        <v>1</v>
      </c>
      <c r="M273" s="9">
        <v>10</v>
      </c>
      <c r="N273" s="4" cm="1">
        <f t="array" ref="N273">INDEX($F$264:$K$271, INT((ROW(A10)-1)/6)+1, MOD(ROW(A10)-1,6)+1)</f>
        <v>1</v>
      </c>
      <c r="P273" s="36" t="s">
        <v>94</v>
      </c>
      <c r="Q273" s="36"/>
      <c r="W273" s="9">
        <v>10</v>
      </c>
      <c r="X273" s="4" t="e">
        <f t="shared" ca="1" si="11"/>
        <v>#VALUE!</v>
      </c>
      <c r="AH273" s="9">
        <v>10</v>
      </c>
      <c r="AI273" s="4" t="e" cm="1">
        <f t="array" aca="1" ref="AI273" ca="1">MID(INDEX($AF$265:$AF$272,INT((ROW(A10)-1)/4)+1),MOD(ROW(A10)-1,4)+1,1)</f>
        <v>#VALUE!</v>
      </c>
      <c r="AK273" s="9">
        <v>10</v>
      </c>
      <c r="AL273" s="4" t="e" cm="1">
        <f t="array" aca="1" ref="AL273" ca="1">INDEX($AI$264:$AI$295, INDEX($H$15:$O$18, INT((ROW(A10)-1)/8)+1, MOD(ROW(A10)-1,8)+1))</f>
        <v>#VALUE!</v>
      </c>
      <c r="AN273" s="2" t="e">
        <f t="shared" ca="1" si="15"/>
        <v>#VALUE!</v>
      </c>
      <c r="AO273" s="2" t="e">
        <f t="shared" ca="1" si="16"/>
        <v>#VALUE!</v>
      </c>
    </row>
    <row r="274" spans="2:41" x14ac:dyDescent="0.25">
      <c r="B274" s="9">
        <v>11</v>
      </c>
      <c r="C274" s="30">
        <v>0</v>
      </c>
      <c r="M274" s="9">
        <v>11</v>
      </c>
      <c r="N274" s="4" cm="1">
        <f t="array" ref="N274">INDEX($F$264:$K$271, INT((ROW(A11)-1)/6)+1, MOD(ROW(A11)-1,6)+1)</f>
        <v>1</v>
      </c>
      <c r="P274" s="9">
        <v>1</v>
      </c>
      <c r="Q274" s="4" t="e" cm="1">
        <f t="array" aca="1" ref="Q274" ca="1">INDEX($P$264:$U$271, INT((ROW(A1)-1)/6)+1, MOD(ROW(A1)-1,6)+1)</f>
        <v>#VALUE!</v>
      </c>
      <c r="W274" s="9">
        <v>11</v>
      </c>
      <c r="X274" s="4" t="e">
        <f t="shared" ca="1" si="11"/>
        <v>#VALUE!</v>
      </c>
      <c r="AH274" s="9">
        <v>11</v>
      </c>
      <c r="AI274" s="4" t="e" cm="1">
        <f t="array" aca="1" ref="AI274" ca="1">MID(INDEX($AF$265:$AF$272,INT((ROW(A11)-1)/4)+1),MOD(ROW(A11)-1,4)+1,1)</f>
        <v>#VALUE!</v>
      </c>
      <c r="AK274" s="9">
        <v>11</v>
      </c>
      <c r="AL274" s="4" t="e" cm="1">
        <f t="array" aca="1" ref="AL274" ca="1">INDEX($AI$264:$AI$295, INDEX($H$15:$O$18, INT((ROW(A11)-1)/8)+1, MOD(ROW(A11)-1,8)+1))</f>
        <v>#VALUE!</v>
      </c>
      <c r="AN274" s="2">
        <f t="shared" si="15"/>
        <v>0</v>
      </c>
      <c r="AO274" s="2" t="e">
        <f t="shared" ca="1" si="16"/>
        <v>#VALUE!</v>
      </c>
    </row>
    <row r="275" spans="2:41" x14ac:dyDescent="0.25">
      <c r="B275" s="9">
        <v>12</v>
      </c>
      <c r="C275" s="30">
        <v>0</v>
      </c>
      <c r="M275" s="9">
        <v>12</v>
      </c>
      <c r="N275" s="4" cm="1">
        <f t="array" ref="N275">INDEX($F$264:$K$271, INT((ROW(A12)-1)/6)+1, MOD(ROW(A12)-1,6)+1)</f>
        <v>1</v>
      </c>
      <c r="P275" s="9">
        <v>2</v>
      </c>
      <c r="Q275" s="4" t="e" cm="1">
        <f t="array" aca="1" ref="Q275" ca="1">INDEX($P$264:$U$271, INT((ROW(A2)-1)/6)+1, MOD(ROW(A2)-1,6)+1)</f>
        <v>#VALUE!</v>
      </c>
      <c r="W275" s="9">
        <v>12</v>
      </c>
      <c r="X275" s="4" t="e">
        <f t="shared" ca="1" si="11"/>
        <v>#VALUE!</v>
      </c>
      <c r="AH275" s="9">
        <v>12</v>
      </c>
      <c r="AI275" s="4" t="e" cm="1">
        <f t="array" aca="1" ref="AI275" ca="1">MID(INDEX($AF$265:$AF$272,INT((ROW(A12)-1)/4)+1),MOD(ROW(A12)-1,4)+1,1)</f>
        <v>#VALUE!</v>
      </c>
      <c r="AK275" s="9">
        <v>12</v>
      </c>
      <c r="AL275" s="4" t="e" cm="1">
        <f t="array" aca="1" ref="AL275" ca="1">INDEX($AI$264:$AI$295, INDEX($H$15:$O$18, INT((ROW(A12)-1)/8)+1, MOD(ROW(A12)-1,8)+1))</f>
        <v>#VALUE!</v>
      </c>
      <c r="AN275" s="2">
        <f t="shared" si="15"/>
        <v>0</v>
      </c>
      <c r="AO275" s="2" t="e">
        <f t="shared" ca="1" si="16"/>
        <v>#VALUE!</v>
      </c>
    </row>
    <row r="276" spans="2:41" x14ac:dyDescent="0.25">
      <c r="B276" s="9">
        <v>13</v>
      </c>
      <c r="C276" s="30">
        <v>1</v>
      </c>
      <c r="M276" s="9">
        <v>13</v>
      </c>
      <c r="N276" s="4" cm="1">
        <f t="array" ref="N276">INDEX($F$264:$K$271, INT((ROW(A13)-1)/6)+1, MOD(ROW(A13)-1,6)+1)</f>
        <v>1</v>
      </c>
      <c r="P276" s="9">
        <v>3</v>
      </c>
      <c r="Q276" s="4" t="e" cm="1">
        <f t="array" aca="1" ref="Q276" ca="1">INDEX($P$264:$U$271, INT((ROW(A3)-1)/6)+1, MOD(ROW(A3)-1,6)+1)</f>
        <v>#VALUE!</v>
      </c>
      <c r="W276" s="9">
        <v>13</v>
      </c>
      <c r="X276" s="4" t="e">
        <f t="shared" ca="1" si="11"/>
        <v>#VALUE!</v>
      </c>
      <c r="AH276" s="9">
        <v>13</v>
      </c>
      <c r="AI276" s="4" t="e" cm="1">
        <f t="array" aca="1" ref="AI276" ca="1">MID(INDEX($AF$265:$AF$272,INT((ROW(A13)-1)/4)+1),MOD(ROW(A13)-1,4)+1,1)</f>
        <v>#VALUE!</v>
      </c>
      <c r="AK276" s="9">
        <v>13</v>
      </c>
      <c r="AL276" s="4" t="e" cm="1">
        <f t="array" aca="1" ref="AL276" ca="1">INDEX($AI$264:$AI$295, INDEX($H$15:$O$18, INT((ROW(A13)-1)/8)+1, MOD(ROW(A13)-1,8)+1))</f>
        <v>#VALUE!</v>
      </c>
      <c r="AN276" s="2">
        <f t="shared" si="15"/>
        <v>0</v>
      </c>
      <c r="AO276" s="2" t="e">
        <f t="shared" ca="1" si="16"/>
        <v>#VALUE!</v>
      </c>
    </row>
    <row r="277" spans="2:41" x14ac:dyDescent="0.25">
      <c r="B277" s="9">
        <v>14</v>
      </c>
      <c r="C277" s="30">
        <v>0</v>
      </c>
      <c r="M277" s="9">
        <v>14</v>
      </c>
      <c r="N277" s="4" cm="1">
        <f t="array" ref="N277">INDEX($F$264:$K$271, INT((ROW(A14)-1)/6)+1, MOD(ROW(A14)-1,6)+1)</f>
        <v>1</v>
      </c>
      <c r="P277" s="9">
        <v>4</v>
      </c>
      <c r="Q277" s="4" t="e" cm="1">
        <f t="array" aca="1" ref="Q277" ca="1">INDEX($P$264:$U$271, INT((ROW(A4)-1)/6)+1, MOD(ROW(A4)-1,6)+1)</f>
        <v>#VALUE!</v>
      </c>
      <c r="W277" s="9">
        <v>14</v>
      </c>
      <c r="X277" s="4" t="e">
        <f t="shared" ca="1" si="11"/>
        <v>#VALUE!</v>
      </c>
      <c r="AH277" s="9">
        <v>14</v>
      </c>
      <c r="AI277" s="4" t="e" cm="1">
        <f t="array" aca="1" ref="AI277" ca="1">MID(INDEX($AF$265:$AF$272,INT((ROW(A14)-1)/4)+1),MOD(ROW(A14)-1,4)+1,1)</f>
        <v>#VALUE!</v>
      </c>
      <c r="AK277" s="9">
        <v>14</v>
      </c>
      <c r="AL277" s="4" t="e" cm="1">
        <f t="array" aca="1" ref="AL277" ca="1">INDEX($AI$264:$AI$295, INDEX($H$15:$O$18, INT((ROW(A14)-1)/8)+1, MOD(ROW(A14)-1,8)+1))</f>
        <v>#VALUE!</v>
      </c>
      <c r="AN277" s="2">
        <f t="shared" si="15"/>
        <v>1</v>
      </c>
      <c r="AO277" s="2" t="e">
        <f t="shared" ca="1" si="16"/>
        <v>#VALUE!</v>
      </c>
    </row>
    <row r="278" spans="2:41" x14ac:dyDescent="0.25">
      <c r="B278" s="9">
        <v>15</v>
      </c>
      <c r="C278" s="30">
        <v>1</v>
      </c>
      <c r="M278" s="9">
        <v>15</v>
      </c>
      <c r="N278" s="4" cm="1">
        <f t="array" ref="N278">INDEX($F$264:$K$271, INT((ROW(A15)-1)/6)+1, MOD(ROW(A15)-1,6)+1)</f>
        <v>0</v>
      </c>
      <c r="P278" s="9">
        <v>5</v>
      </c>
      <c r="Q278" s="4" t="e" cm="1">
        <f t="array" aca="1" ref="Q278" ca="1">INDEX($P$264:$U$271, INT((ROW(A5)-1)/6)+1, MOD(ROW(A5)-1,6)+1)</f>
        <v>#VALUE!</v>
      </c>
      <c r="W278" s="9">
        <v>15</v>
      </c>
      <c r="X278" s="4" t="e">
        <f t="shared" ca="1" si="11"/>
        <v>#VALUE!</v>
      </c>
      <c r="AH278" s="9">
        <v>15</v>
      </c>
      <c r="AI278" s="4" t="e" cm="1">
        <f t="array" aca="1" ref="AI278" ca="1">MID(INDEX($AF$265:$AF$272,INT((ROW(A15)-1)/4)+1),MOD(ROW(A15)-1,4)+1,1)</f>
        <v>#VALUE!</v>
      </c>
      <c r="AK278" s="9">
        <v>15</v>
      </c>
      <c r="AL278" s="4" t="e" cm="1">
        <f t="array" aca="1" ref="AL278" ca="1">INDEX($AI$264:$AI$295, INDEX($H$15:$O$18, INT((ROW(A15)-1)/8)+1, MOD(ROW(A15)-1,8)+1))</f>
        <v>#VALUE!</v>
      </c>
      <c r="AN278" s="2">
        <f t="shared" si="15"/>
        <v>1</v>
      </c>
      <c r="AO278" s="2" t="e">
        <f t="shared" ca="1" si="16"/>
        <v>#VALUE!</v>
      </c>
    </row>
    <row r="279" spans="2:41" x14ac:dyDescent="0.25">
      <c r="B279" s="11">
        <v>16</v>
      </c>
      <c r="C279" s="30">
        <v>0</v>
      </c>
      <c r="M279" s="11">
        <v>16</v>
      </c>
      <c r="N279" s="4" cm="1">
        <f t="array" ref="N279">INDEX($F$264:$K$271, INT((ROW(A16)-1)/6)+1, MOD(ROW(A16)-1,6)+1)</f>
        <v>0</v>
      </c>
      <c r="P279" s="9">
        <v>6</v>
      </c>
      <c r="Q279" s="4" t="e" cm="1">
        <f t="array" aca="1" ref="Q279" ca="1">INDEX($P$264:$U$271, INT((ROW(A6)-1)/6)+1, MOD(ROW(A6)-1,6)+1)</f>
        <v>#VALUE!</v>
      </c>
      <c r="W279" s="11">
        <v>16</v>
      </c>
      <c r="X279" s="4" t="e">
        <f t="shared" ca="1" si="11"/>
        <v>#VALUE!</v>
      </c>
      <c r="AH279" s="11">
        <v>16</v>
      </c>
      <c r="AI279" s="4" t="e" cm="1">
        <f t="array" aca="1" ref="AI279" ca="1">MID(INDEX($AF$265:$AF$272,INT((ROW(A16)-1)/4)+1),MOD(ROW(A16)-1,4)+1,1)</f>
        <v>#VALUE!</v>
      </c>
      <c r="AK279" s="11">
        <v>16</v>
      </c>
      <c r="AL279" s="4" t="e" cm="1">
        <f t="array" aca="1" ref="AL279" ca="1">INDEX($AI$264:$AI$295, INDEX($H$15:$O$18, INT((ROW(A16)-1)/8)+1, MOD(ROW(A16)-1,8)+1))</f>
        <v>#VALUE!</v>
      </c>
      <c r="AN279" s="2">
        <f t="shared" si="15"/>
        <v>0</v>
      </c>
      <c r="AO279" s="2" t="e">
        <f t="shared" ca="1" si="16"/>
        <v>#VALUE!</v>
      </c>
    </row>
    <row r="280" spans="2:41" x14ac:dyDescent="0.25">
      <c r="B280" s="7">
        <v>17</v>
      </c>
      <c r="C280" s="30">
        <v>1</v>
      </c>
      <c r="M280" s="7">
        <v>17</v>
      </c>
      <c r="N280" s="4" cm="1">
        <f t="array" ref="N280">INDEX($F$264:$K$271, INT((ROW(A17)-1)/6)+1, MOD(ROW(A17)-1,6)+1)</f>
        <v>1</v>
      </c>
      <c r="P280" s="9">
        <v>7</v>
      </c>
      <c r="Q280" s="4" t="e" cm="1">
        <f t="array" aca="1" ref="Q280" ca="1">INDEX($P$264:$U$271, INT((ROW(A7)-1)/6)+1, MOD(ROW(A7)-1,6)+1)</f>
        <v>#VALUE!</v>
      </c>
      <c r="W280" s="7">
        <v>17</v>
      </c>
      <c r="X280" s="4" t="e">
        <f t="shared" ca="1" si="11"/>
        <v>#VALUE!</v>
      </c>
      <c r="AH280" s="7">
        <v>17</v>
      </c>
      <c r="AI280" s="4" t="e" cm="1">
        <f t="array" aca="1" ref="AI280" ca="1">MID(INDEX($AF$265:$AF$272,INT((ROW(A17)-1)/4)+1),MOD(ROW(A17)-1,4)+1,1)</f>
        <v>#VALUE!</v>
      </c>
      <c r="AK280" s="7">
        <v>17</v>
      </c>
      <c r="AL280" s="4" t="e" cm="1">
        <f t="array" aca="1" ref="AL280" ca="1">INDEX($AI$264:$AI$295, INDEX($H$15:$O$18, INT((ROW(A17)-1)/8)+1, MOD(ROW(A17)-1,8)+1))</f>
        <v>#VALUE!</v>
      </c>
      <c r="AN280" s="2">
        <f t="shared" si="15"/>
        <v>0</v>
      </c>
      <c r="AO280" s="2" t="e">
        <f t="shared" ca="1" si="16"/>
        <v>#VALUE!</v>
      </c>
    </row>
    <row r="281" spans="2:41" x14ac:dyDescent="0.25">
      <c r="B281" s="9">
        <v>18</v>
      </c>
      <c r="C281" s="30">
        <v>0</v>
      </c>
      <c r="M281" s="9">
        <v>18</v>
      </c>
      <c r="N281" s="4" cm="1">
        <f t="array" ref="N281">INDEX($F$264:$K$271, INT((ROW(A18)-1)/6)+1, MOD(ROW(A18)-1,6)+1)</f>
        <v>0</v>
      </c>
      <c r="P281" s="11">
        <v>8</v>
      </c>
      <c r="Q281" s="4" t="e" cm="1">
        <f t="array" aca="1" ref="Q281" ca="1">INDEX($P$264:$U$271, INT((ROW(A8)-1)/6)+1, MOD(ROW(A8)-1,6)+1)</f>
        <v>#VALUE!</v>
      </c>
      <c r="W281" s="9">
        <v>18</v>
      </c>
      <c r="X281" s="4" t="e">
        <f t="shared" ca="1" si="11"/>
        <v>#VALUE!</v>
      </c>
      <c r="AH281" s="9">
        <v>18</v>
      </c>
      <c r="AI281" s="4" t="e" cm="1">
        <f t="array" aca="1" ref="AI281" ca="1">MID(INDEX($AF$265:$AF$272,INT((ROW(A18)-1)/4)+1),MOD(ROW(A18)-1,4)+1,1)</f>
        <v>#VALUE!</v>
      </c>
      <c r="AK281" s="9">
        <v>18</v>
      </c>
      <c r="AL281" s="4" t="e" cm="1">
        <f t="array" aca="1" ref="AL281" ca="1">INDEX($AI$264:$AI$295, INDEX($H$15:$O$18, INT((ROW(A18)-1)/8)+1, MOD(ROW(A18)-1,8)+1))</f>
        <v>#VALUE!</v>
      </c>
      <c r="AN281" s="2">
        <f t="shared" si="15"/>
        <v>1</v>
      </c>
      <c r="AO281" s="2" t="e">
        <f t="shared" ca="1" si="16"/>
        <v>#VALUE!</v>
      </c>
    </row>
    <row r="282" spans="2:41" x14ac:dyDescent="0.25">
      <c r="B282" s="9">
        <v>19</v>
      </c>
      <c r="C282" s="30">
        <v>1</v>
      </c>
      <c r="M282" s="9">
        <v>19</v>
      </c>
      <c r="N282" s="4" cm="1">
        <f t="array" ref="N282">INDEX($F$264:$K$271, INT((ROW(A19)-1)/6)+1, MOD(ROW(A19)-1,6)+1)</f>
        <v>0</v>
      </c>
      <c r="P282" s="7">
        <v>9</v>
      </c>
      <c r="Q282" s="4" t="e" cm="1">
        <f t="array" aca="1" ref="Q282" ca="1">INDEX($P$264:$U$271, INT((ROW(A9)-1)/6)+1, MOD(ROW(A9)-1,6)+1)</f>
        <v>#VALUE!</v>
      </c>
      <c r="W282" s="9">
        <v>19</v>
      </c>
      <c r="X282" s="4" t="e">
        <f t="shared" ca="1" si="11"/>
        <v>#VALUE!</v>
      </c>
      <c r="AH282" s="9">
        <v>19</v>
      </c>
      <c r="AI282" s="4" t="e" cm="1">
        <f t="array" aca="1" ref="AI282" ca="1">MID(INDEX($AF$265:$AF$272,INT((ROW(A19)-1)/4)+1),MOD(ROW(A19)-1,4)+1,1)</f>
        <v>#VALUE!</v>
      </c>
      <c r="AK282" s="9">
        <v>19</v>
      </c>
      <c r="AL282" s="4" t="e" cm="1">
        <f t="array" aca="1" ref="AL282" ca="1">INDEX($AI$264:$AI$295, INDEX($H$15:$O$18, INT((ROW(A19)-1)/8)+1, MOD(ROW(A19)-1,8)+1))</f>
        <v>#VALUE!</v>
      </c>
      <c r="AN282" s="2">
        <f t="shared" si="15"/>
        <v>1</v>
      </c>
      <c r="AO282" s="2" t="e">
        <f t="shared" ca="1" si="16"/>
        <v>#VALUE!</v>
      </c>
    </row>
    <row r="283" spans="2:41" x14ac:dyDescent="0.25">
      <c r="B283" s="9">
        <v>20</v>
      </c>
      <c r="C283" s="30">
        <v>0</v>
      </c>
      <c r="M283" s="9">
        <v>20</v>
      </c>
      <c r="N283" s="4" cm="1">
        <f t="array" ref="N283">INDEX($F$264:$K$271, INT((ROW(A20)-1)/6)+1, MOD(ROW(A20)-1,6)+1)</f>
        <v>0</v>
      </c>
      <c r="P283" s="9">
        <v>10</v>
      </c>
      <c r="Q283" s="4" t="e" cm="1">
        <f t="array" aca="1" ref="Q283" ca="1">INDEX($P$264:$U$271, INT((ROW(A10)-1)/6)+1, MOD(ROW(A10)-1,6)+1)</f>
        <v>#VALUE!</v>
      </c>
      <c r="W283" s="9">
        <v>20</v>
      </c>
      <c r="X283" s="4" t="e">
        <f t="shared" ca="1" si="11"/>
        <v>#VALUE!</v>
      </c>
      <c r="AH283" s="9">
        <v>20</v>
      </c>
      <c r="AI283" s="4" t="e" cm="1">
        <f t="array" aca="1" ref="AI283" ca="1">MID(INDEX($AF$265:$AF$272,INT((ROW(A20)-1)/4)+1),MOD(ROW(A20)-1,4)+1,1)</f>
        <v>#VALUE!</v>
      </c>
      <c r="AK283" s="9">
        <v>20</v>
      </c>
      <c r="AL283" s="4" t="e" cm="1">
        <f t="array" aca="1" ref="AL283" ca="1">INDEX($AI$264:$AI$295, INDEX($H$15:$O$18, INT((ROW(A20)-1)/8)+1, MOD(ROW(A20)-1,8)+1))</f>
        <v>#VALUE!</v>
      </c>
      <c r="AN283" s="2">
        <f t="shared" si="15"/>
        <v>0</v>
      </c>
      <c r="AO283" s="2" t="e">
        <f t="shared" ca="1" si="16"/>
        <v>#VALUE!</v>
      </c>
    </row>
    <row r="284" spans="2:41" x14ac:dyDescent="0.25">
      <c r="B284" s="9">
        <v>21</v>
      </c>
      <c r="C284" s="30">
        <v>1</v>
      </c>
      <c r="M284" s="9">
        <v>21</v>
      </c>
      <c r="N284" s="4" cm="1">
        <f t="array" ref="N284">INDEX($F$264:$K$271, INT((ROW(A21)-1)/6)+1, MOD(ROW(A21)-1,6)+1)</f>
        <v>1</v>
      </c>
      <c r="P284" s="9">
        <v>11</v>
      </c>
      <c r="Q284" s="4" t="e" cm="1">
        <f t="array" aca="1" ref="Q284" ca="1">INDEX($P$264:$U$271, INT((ROW(A11)-1)/6)+1, MOD(ROW(A11)-1,6)+1)</f>
        <v>#VALUE!</v>
      </c>
      <c r="W284" s="9">
        <v>21</v>
      </c>
      <c r="X284" s="4" t="e">
        <f t="shared" ca="1" si="11"/>
        <v>#VALUE!</v>
      </c>
      <c r="AH284" s="9">
        <v>21</v>
      </c>
      <c r="AI284" s="4" t="e" cm="1">
        <f t="array" aca="1" ref="AI284" ca="1">MID(INDEX($AF$265:$AF$272,INT((ROW(A21)-1)/4)+1),MOD(ROW(A21)-1,4)+1,1)</f>
        <v>#VALUE!</v>
      </c>
      <c r="AK284" s="9">
        <v>21</v>
      </c>
      <c r="AL284" s="4" t="e" cm="1">
        <f t="array" aca="1" ref="AL284" ca="1">INDEX($AI$264:$AI$295, INDEX($H$15:$O$18, INT((ROW(A21)-1)/8)+1, MOD(ROW(A21)-1,8)+1))</f>
        <v>#VALUE!</v>
      </c>
      <c r="AN284" s="2">
        <f t="shared" si="15"/>
        <v>0</v>
      </c>
      <c r="AO284" s="2" t="e">
        <f t="shared" ca="1" si="16"/>
        <v>#VALUE!</v>
      </c>
    </row>
    <row r="285" spans="2:41" x14ac:dyDescent="0.25">
      <c r="B285" s="9">
        <v>22</v>
      </c>
      <c r="C285" s="30">
        <v>0</v>
      </c>
      <c r="M285" s="9">
        <v>22</v>
      </c>
      <c r="N285" s="4" cm="1">
        <f t="array" ref="N285">INDEX($F$264:$K$271, INT((ROW(A22)-1)/6)+1, MOD(ROW(A22)-1,6)+1)</f>
        <v>0</v>
      </c>
      <c r="P285" s="9">
        <v>12</v>
      </c>
      <c r="Q285" s="4" t="e" cm="1">
        <f t="array" aca="1" ref="Q285" ca="1">INDEX($P$264:$U$271, INT((ROW(A12)-1)/6)+1, MOD(ROW(A12)-1,6)+1)</f>
        <v>#VALUE!</v>
      </c>
      <c r="W285" s="9">
        <v>22</v>
      </c>
      <c r="X285" s="4" t="e">
        <f t="shared" ca="1" si="11"/>
        <v>#VALUE!</v>
      </c>
      <c r="AH285" s="9">
        <v>22</v>
      </c>
      <c r="AI285" s="4" t="e" cm="1">
        <f t="array" aca="1" ref="AI285" ca="1">MID(INDEX($AF$265:$AF$272,INT((ROW(A22)-1)/4)+1),MOD(ROW(A22)-1,4)+1,1)</f>
        <v>#VALUE!</v>
      </c>
      <c r="AK285" s="9">
        <v>22</v>
      </c>
      <c r="AL285" s="4" t="e" cm="1">
        <f t="array" aca="1" ref="AL285" ca="1">INDEX($AI$264:$AI$295, INDEX($H$15:$O$18, INT((ROW(A22)-1)/8)+1, MOD(ROW(A22)-1,8)+1))</f>
        <v>#VALUE!</v>
      </c>
      <c r="AN285" s="2">
        <f t="shared" si="15"/>
        <v>1</v>
      </c>
      <c r="AO285" s="2" t="e">
        <f t="shared" ca="1" si="16"/>
        <v>#VALUE!</v>
      </c>
    </row>
    <row r="286" spans="2:41" x14ac:dyDescent="0.25">
      <c r="B286" s="9">
        <v>23</v>
      </c>
      <c r="C286" s="30">
        <v>1</v>
      </c>
      <c r="M286" s="9">
        <v>23</v>
      </c>
      <c r="N286" s="4" cm="1">
        <f t="array" ref="N286">INDEX($F$264:$K$271, INT((ROW(A23)-1)/6)+1, MOD(ROW(A23)-1,6)+1)</f>
        <v>1</v>
      </c>
      <c r="P286" s="9">
        <v>13</v>
      </c>
      <c r="Q286" s="4" t="e" cm="1">
        <f t="array" aca="1" ref="Q286" ca="1">INDEX($P$264:$U$271, INT((ROW(A13)-1)/6)+1, MOD(ROW(A13)-1,6)+1)</f>
        <v>#VALUE!</v>
      </c>
      <c r="W286" s="9">
        <v>23</v>
      </c>
      <c r="X286" s="4" t="e">
        <f t="shared" ca="1" si="11"/>
        <v>#VALUE!</v>
      </c>
      <c r="AH286" s="9">
        <v>23</v>
      </c>
      <c r="AI286" s="4" t="e" cm="1">
        <f t="array" aca="1" ref="AI286" ca="1">MID(INDEX($AF$265:$AF$272,INT((ROW(A23)-1)/4)+1),MOD(ROW(A23)-1,4)+1,1)</f>
        <v>#VALUE!</v>
      </c>
      <c r="AK286" s="9">
        <v>23</v>
      </c>
      <c r="AL286" s="4" t="e" cm="1">
        <f t="array" aca="1" ref="AL286" ca="1">INDEX($AI$264:$AI$295, INDEX($H$15:$O$18, INT((ROW(A23)-1)/8)+1, MOD(ROW(A23)-1,8)+1))</f>
        <v>#VALUE!</v>
      </c>
      <c r="AN286" s="2">
        <f t="shared" si="15"/>
        <v>0</v>
      </c>
      <c r="AO286" s="2" t="e">
        <f t="shared" ca="1" si="16"/>
        <v>#VALUE!</v>
      </c>
    </row>
    <row r="287" spans="2:41" x14ac:dyDescent="0.25">
      <c r="B287" s="11">
        <v>24</v>
      </c>
      <c r="C287" s="30">
        <v>1</v>
      </c>
      <c r="M287" s="11">
        <v>24</v>
      </c>
      <c r="N287" s="4" cm="1">
        <f t="array" ref="N287">INDEX($F$264:$K$271, INT((ROW(A24)-1)/6)+1, MOD(ROW(A24)-1,6)+1)</f>
        <v>0</v>
      </c>
      <c r="P287" s="9">
        <v>14</v>
      </c>
      <c r="Q287" s="4" t="e" cm="1">
        <f t="array" aca="1" ref="Q287" ca="1">INDEX($P$264:$U$271, INT((ROW(A14)-1)/6)+1, MOD(ROW(A14)-1,6)+1)</f>
        <v>#VALUE!</v>
      </c>
      <c r="W287" s="11">
        <v>24</v>
      </c>
      <c r="X287" s="4" t="e">
        <f t="shared" ca="1" si="11"/>
        <v>#VALUE!</v>
      </c>
      <c r="AH287" s="11">
        <v>24</v>
      </c>
      <c r="AI287" s="4" t="e" cm="1">
        <f t="array" aca="1" ref="AI287" ca="1">MID(INDEX($AF$265:$AF$272,INT((ROW(A24)-1)/4)+1),MOD(ROW(A24)-1,4)+1,1)</f>
        <v>#VALUE!</v>
      </c>
      <c r="AK287" s="11">
        <v>24</v>
      </c>
      <c r="AL287" s="4" t="e" cm="1">
        <f t="array" aca="1" ref="AL287" ca="1">INDEX($AI$264:$AI$295, INDEX($H$15:$O$18, INT((ROW(A24)-1)/8)+1, MOD(ROW(A24)-1,8)+1))</f>
        <v>#VALUE!</v>
      </c>
      <c r="AN287" s="2">
        <f t="shared" si="15"/>
        <v>1</v>
      </c>
      <c r="AO287" s="2" t="e">
        <f t="shared" ca="1" si="16"/>
        <v>#VALUE!</v>
      </c>
    </row>
    <row r="288" spans="2:41" x14ac:dyDescent="0.25">
      <c r="B288" s="7">
        <v>25</v>
      </c>
      <c r="C288" s="30">
        <v>1</v>
      </c>
      <c r="M288" s="7">
        <v>25</v>
      </c>
      <c r="N288" s="4" cm="1">
        <f t="array" ref="N288">INDEX($F$264:$K$271, INT((ROW(A25)-1)/6)+1, MOD(ROW(A25)-1,6)+1)</f>
        <v>1</v>
      </c>
      <c r="P288" s="9">
        <v>15</v>
      </c>
      <c r="Q288" s="4" t="e" cm="1">
        <f t="array" aca="1" ref="Q288" ca="1">INDEX($P$264:$U$271, INT((ROW(A15)-1)/6)+1, MOD(ROW(A15)-1,6)+1)</f>
        <v>#VALUE!</v>
      </c>
      <c r="W288" s="7">
        <v>25</v>
      </c>
      <c r="X288" s="4" t="e">
        <f t="shared" ca="1" si="11"/>
        <v>#VALUE!</v>
      </c>
      <c r="AH288" s="7">
        <v>25</v>
      </c>
      <c r="AI288" s="4" t="e" cm="1">
        <f t="array" aca="1" ref="AI288" ca="1">MID(INDEX($AF$265:$AF$272,INT((ROW(A25)-1)/4)+1),MOD(ROW(A25)-1,4)+1,1)</f>
        <v>#VALUE!</v>
      </c>
      <c r="AK288" s="7">
        <v>25</v>
      </c>
      <c r="AL288" s="4" t="e" cm="1">
        <f t="array" aca="1" ref="AL288" ca="1">INDEX($AI$264:$AI$295, INDEX($H$15:$O$18, INT((ROW(A25)-1)/8)+1, MOD(ROW(A25)-1,8)+1))</f>
        <v>#VALUE!</v>
      </c>
      <c r="AN288" s="2">
        <f t="shared" si="15"/>
        <v>0</v>
      </c>
      <c r="AO288" s="2" t="e">
        <f t="shared" ca="1" si="16"/>
        <v>#VALUE!</v>
      </c>
    </row>
    <row r="289" spans="2:41" x14ac:dyDescent="0.25">
      <c r="B289" s="9">
        <v>26</v>
      </c>
      <c r="C289" s="30">
        <v>1</v>
      </c>
      <c r="M289" s="9">
        <v>26</v>
      </c>
      <c r="N289" s="4" cm="1">
        <f t="array" ref="N289">INDEX($F$264:$K$271, INT((ROW(A26)-1)/6)+1, MOD(ROW(A26)-1,6)+1)</f>
        <v>0</v>
      </c>
      <c r="P289" s="11">
        <v>16</v>
      </c>
      <c r="Q289" s="4" t="e" cm="1">
        <f t="array" aca="1" ref="Q289" ca="1">INDEX($P$264:$U$271, INT((ROW(A16)-1)/6)+1, MOD(ROW(A16)-1,6)+1)</f>
        <v>#VALUE!</v>
      </c>
      <c r="W289" s="9">
        <v>26</v>
      </c>
      <c r="X289" s="4" t="e">
        <f t="shared" ca="1" si="11"/>
        <v>#VALUE!</v>
      </c>
      <c r="AH289" s="9">
        <v>26</v>
      </c>
      <c r="AI289" s="4" t="e" cm="1">
        <f t="array" aca="1" ref="AI289" ca="1">MID(INDEX($AF$265:$AF$272,INT((ROW(A26)-1)/4)+1),MOD(ROW(A26)-1,4)+1,1)</f>
        <v>#VALUE!</v>
      </c>
      <c r="AK289" s="9">
        <v>26</v>
      </c>
      <c r="AL289" s="4" t="e" cm="1">
        <f t="array" aca="1" ref="AL289" ca="1">INDEX($AI$264:$AI$295, INDEX($H$15:$O$18, INT((ROW(A26)-1)/8)+1, MOD(ROW(A26)-1,8)+1))</f>
        <v>#VALUE!</v>
      </c>
      <c r="AN289" s="2">
        <f t="shared" si="15"/>
        <v>1</v>
      </c>
      <c r="AO289" s="2" t="e">
        <f t="shared" ca="1" si="16"/>
        <v>#VALUE!</v>
      </c>
    </row>
    <row r="290" spans="2:41" x14ac:dyDescent="0.25">
      <c r="B290" s="9">
        <v>27</v>
      </c>
      <c r="C290" s="30">
        <v>1</v>
      </c>
      <c r="M290" s="9">
        <v>27</v>
      </c>
      <c r="N290" s="4" cm="1">
        <f t="array" ref="N290">INDEX($F$264:$K$271, INT((ROW(A27)-1)/6)+1, MOD(ROW(A27)-1,6)+1)</f>
        <v>1</v>
      </c>
      <c r="P290" s="7">
        <v>17</v>
      </c>
      <c r="Q290" s="4" t="e" cm="1">
        <f t="array" aca="1" ref="Q290" ca="1">INDEX($P$264:$U$271, INT((ROW(A17)-1)/6)+1, MOD(ROW(A17)-1,6)+1)</f>
        <v>#VALUE!</v>
      </c>
      <c r="W290" s="9">
        <v>27</v>
      </c>
      <c r="X290" s="4" t="e">
        <f t="shared" ca="1" si="11"/>
        <v>#VALUE!</v>
      </c>
      <c r="AH290" s="9">
        <v>27</v>
      </c>
      <c r="AI290" s="4" t="e" cm="1">
        <f t="array" aca="1" ref="AI290" ca="1">MID(INDEX($AF$265:$AF$272,INT((ROW(A27)-1)/4)+1),MOD(ROW(A27)-1,4)+1,1)</f>
        <v>#VALUE!</v>
      </c>
      <c r="AK290" s="9">
        <v>27</v>
      </c>
      <c r="AL290" s="4" t="e" cm="1">
        <f t="array" aca="1" ref="AL290" ca="1">INDEX($AI$264:$AI$295, INDEX($H$15:$O$18, INT((ROW(A27)-1)/8)+1, MOD(ROW(A27)-1,8)+1))</f>
        <v>#VALUE!</v>
      </c>
      <c r="AN290" s="2">
        <f t="shared" si="15"/>
        <v>0</v>
      </c>
      <c r="AO290" s="2" t="e">
        <f t="shared" ca="1" si="16"/>
        <v>#VALUE!</v>
      </c>
    </row>
    <row r="291" spans="2:41" x14ac:dyDescent="0.25">
      <c r="B291" s="9">
        <v>28</v>
      </c>
      <c r="C291" s="30">
        <v>1</v>
      </c>
      <c r="M291" s="9">
        <v>28</v>
      </c>
      <c r="N291" s="4" cm="1">
        <f t="array" ref="N291">INDEX($F$264:$K$271, INT((ROW(A28)-1)/6)+1, MOD(ROW(A28)-1,6)+1)</f>
        <v>1</v>
      </c>
      <c r="P291" s="9">
        <v>18</v>
      </c>
      <c r="Q291" s="4" t="e" cm="1">
        <f t="array" aca="1" ref="Q291" ca="1">INDEX($P$264:$U$271, INT((ROW(A18)-1)/6)+1, MOD(ROW(A18)-1,6)+1)</f>
        <v>#VALUE!</v>
      </c>
      <c r="W291" s="9">
        <v>28</v>
      </c>
      <c r="X291" s="4" t="e">
        <f t="shared" ca="1" si="11"/>
        <v>#VALUE!</v>
      </c>
      <c r="AH291" s="9">
        <v>28</v>
      </c>
      <c r="AI291" s="4" t="e" cm="1">
        <f t="array" aca="1" ref="AI291" ca="1">MID(INDEX($AF$265:$AF$272,INT((ROW(A28)-1)/4)+1),MOD(ROW(A28)-1,4)+1,1)</f>
        <v>#VALUE!</v>
      </c>
      <c r="AK291" s="9">
        <v>28</v>
      </c>
      <c r="AL291" s="4" t="e" cm="1">
        <f t="array" aca="1" ref="AL291" ca="1">INDEX($AI$264:$AI$295, INDEX($H$15:$O$18, INT((ROW(A28)-1)/8)+1, MOD(ROW(A28)-1,8)+1))</f>
        <v>#VALUE!</v>
      </c>
      <c r="AN291" s="2">
        <f t="shared" si="15"/>
        <v>1</v>
      </c>
      <c r="AO291" s="2" t="e">
        <f t="shared" ca="1" si="16"/>
        <v>#VALUE!</v>
      </c>
    </row>
    <row r="292" spans="2:41" x14ac:dyDescent="0.25">
      <c r="B292" s="9">
        <v>29</v>
      </c>
      <c r="C292" s="30">
        <v>1</v>
      </c>
      <c r="M292" s="9">
        <v>29</v>
      </c>
      <c r="N292" s="4" cm="1">
        <f t="array" ref="N292">INDEX($F$264:$K$271, INT((ROW(A29)-1)/6)+1, MOD(ROW(A29)-1,6)+1)</f>
        <v>0</v>
      </c>
      <c r="P292" s="9">
        <v>19</v>
      </c>
      <c r="Q292" s="4" t="e" cm="1">
        <f t="array" aca="1" ref="Q292" ca="1">INDEX($P$264:$U$271, INT((ROW(A19)-1)/6)+1, MOD(ROW(A19)-1,6)+1)</f>
        <v>#VALUE!</v>
      </c>
      <c r="W292" s="9">
        <v>29</v>
      </c>
      <c r="X292" s="4" t="e">
        <f t="shared" ca="1" si="11"/>
        <v>#VALUE!</v>
      </c>
      <c r="AH292" s="9">
        <v>29</v>
      </c>
      <c r="AI292" s="4" t="e" cm="1">
        <f t="array" aca="1" ref="AI292" ca="1">MID(INDEX($AF$265:$AF$272,INT((ROW(A29)-1)/4)+1),MOD(ROW(A29)-1,4)+1,1)</f>
        <v>#VALUE!</v>
      </c>
      <c r="AK292" s="9">
        <v>29</v>
      </c>
      <c r="AL292" s="4" t="e" cm="1">
        <f t="array" aca="1" ref="AL292" ca="1">INDEX($AI$264:$AI$295, INDEX($H$15:$O$18, INT((ROW(A29)-1)/8)+1, MOD(ROW(A29)-1,8)+1))</f>
        <v>#VALUE!</v>
      </c>
      <c r="AN292" s="2">
        <f t="shared" si="15"/>
        <v>0</v>
      </c>
      <c r="AO292" s="2" t="e">
        <f t="shared" ca="1" si="16"/>
        <v>#VALUE!</v>
      </c>
    </row>
    <row r="293" spans="2:41" x14ac:dyDescent="0.25">
      <c r="B293" s="9">
        <v>30</v>
      </c>
      <c r="C293" s="30">
        <v>0</v>
      </c>
      <c r="M293" s="9">
        <v>30</v>
      </c>
      <c r="N293" s="4" cm="1">
        <f t="array" ref="N293">INDEX($F$264:$K$271, INT((ROW(A30)-1)/6)+1, MOD(ROW(A30)-1,6)+1)</f>
        <v>1</v>
      </c>
      <c r="P293" s="9">
        <v>20</v>
      </c>
      <c r="Q293" s="4" t="e" cm="1">
        <f t="array" aca="1" ref="Q293" ca="1">INDEX($P$264:$U$271, INT((ROW(A20)-1)/6)+1, MOD(ROW(A20)-1,6)+1)</f>
        <v>#VALUE!</v>
      </c>
      <c r="W293" s="9">
        <v>30</v>
      </c>
      <c r="X293" s="4" t="e">
        <f t="shared" ca="1" si="11"/>
        <v>#VALUE!</v>
      </c>
      <c r="AH293" s="9">
        <v>30</v>
      </c>
      <c r="AI293" s="4" t="e" cm="1">
        <f t="array" aca="1" ref="AI293" ca="1">MID(INDEX($AF$265:$AF$272,INT((ROW(A30)-1)/4)+1),MOD(ROW(A30)-1,4)+1,1)</f>
        <v>#VALUE!</v>
      </c>
      <c r="AK293" s="9">
        <v>30</v>
      </c>
      <c r="AL293" s="4" t="e" cm="1">
        <f t="array" aca="1" ref="AL293" ca="1">INDEX($AI$264:$AI$295, INDEX($H$15:$O$18, INT((ROW(A30)-1)/8)+1, MOD(ROW(A30)-1,8)+1))</f>
        <v>#VALUE!</v>
      </c>
      <c r="AN293" s="2">
        <f t="shared" si="15"/>
        <v>1</v>
      </c>
      <c r="AO293" s="2" t="e">
        <f t="shared" ca="1" si="16"/>
        <v>#VALUE!</v>
      </c>
    </row>
    <row r="294" spans="2:41" x14ac:dyDescent="0.25">
      <c r="B294" s="9">
        <v>31</v>
      </c>
      <c r="C294" s="30">
        <v>1</v>
      </c>
      <c r="M294" s="9">
        <v>31</v>
      </c>
      <c r="N294" s="4" cm="1">
        <f t="array" ref="N294">INDEX($F$264:$K$271, INT((ROW(A31)-1)/6)+1, MOD(ROW(A31)-1,6)+1)</f>
        <v>0</v>
      </c>
      <c r="P294" s="9">
        <v>21</v>
      </c>
      <c r="Q294" s="4" t="e" cm="1">
        <f t="array" aca="1" ref="Q294" ca="1">INDEX($P$264:$U$271, INT((ROW(A21)-1)/6)+1, MOD(ROW(A21)-1,6)+1)</f>
        <v>#VALUE!</v>
      </c>
      <c r="W294" s="9">
        <v>31</v>
      </c>
      <c r="X294" s="4" t="e">
        <f t="shared" ca="1" si="11"/>
        <v>#VALUE!</v>
      </c>
      <c r="AH294" s="9">
        <v>31</v>
      </c>
      <c r="AI294" s="4" t="e" cm="1">
        <f t="array" aca="1" ref="AI294" ca="1">MID(INDEX($AF$265:$AF$272,INT((ROW(A31)-1)/4)+1),MOD(ROW(A31)-1,4)+1,1)</f>
        <v>#VALUE!</v>
      </c>
      <c r="AK294" s="9">
        <v>31</v>
      </c>
      <c r="AL294" s="4" t="e" cm="1">
        <f t="array" aca="1" ref="AL294" ca="1">INDEX($AI$264:$AI$295, INDEX($H$15:$O$18, INT((ROW(A31)-1)/8)+1, MOD(ROW(A31)-1,8)+1))</f>
        <v>#VALUE!</v>
      </c>
      <c r="AN294" s="2">
        <f t="shared" si="15"/>
        <v>0</v>
      </c>
      <c r="AO294" s="2" t="e">
        <f t="shared" ca="1" si="16"/>
        <v>#VALUE!</v>
      </c>
    </row>
    <row r="295" spans="2:41" x14ac:dyDescent="0.25">
      <c r="B295" s="11">
        <v>32</v>
      </c>
      <c r="C295" s="30">
        <v>0</v>
      </c>
      <c r="M295" s="11">
        <v>32</v>
      </c>
      <c r="N295" s="4" cm="1">
        <f t="array" ref="N295">INDEX($F$264:$K$271, INT((ROW(A32)-1)/6)+1, MOD(ROW(A32)-1,6)+1)</f>
        <v>0</v>
      </c>
      <c r="P295" s="9">
        <v>22</v>
      </c>
      <c r="Q295" s="4" t="e" cm="1">
        <f t="array" aca="1" ref="Q295" ca="1">INDEX($P$264:$U$271, INT((ROW(A22)-1)/6)+1, MOD(ROW(A22)-1,6)+1)</f>
        <v>#VALUE!</v>
      </c>
      <c r="W295" s="11">
        <v>32</v>
      </c>
      <c r="X295" s="4" t="e">
        <f t="shared" ca="1" si="11"/>
        <v>#VALUE!</v>
      </c>
      <c r="AH295" s="11">
        <v>32</v>
      </c>
      <c r="AI295" s="4" t="e" cm="1">
        <f t="array" aca="1" ref="AI295" ca="1">MID(INDEX($AF$265:$AF$272,INT((ROW(A32)-1)/4)+1),MOD(ROW(A32)-1,4)+1,1)</f>
        <v>#VALUE!</v>
      </c>
      <c r="AK295" s="11">
        <v>32</v>
      </c>
      <c r="AL295" s="4" t="e" cm="1">
        <f t="array" aca="1" ref="AL295" ca="1">INDEX($AI$264:$AI$295, INDEX($H$15:$O$18, INT((ROW(A32)-1)/8)+1, MOD(ROW(A32)-1,8)+1))</f>
        <v>#VALUE!</v>
      </c>
      <c r="AN295" s="2">
        <f t="shared" si="15"/>
        <v>1</v>
      </c>
      <c r="AO295" s="2" t="e">
        <f t="shared" ca="1" si="16"/>
        <v>#VALUE!</v>
      </c>
    </row>
    <row r="296" spans="2:41" x14ac:dyDescent="0.25">
      <c r="B296" s="7">
        <v>33</v>
      </c>
      <c r="C296" s="30">
        <v>1</v>
      </c>
      <c r="M296" s="7">
        <v>33</v>
      </c>
      <c r="N296" s="4" cm="1">
        <f t="array" ref="N296">INDEX($F$264:$K$271, INT((ROW(A33)-1)/6)+1, MOD(ROW(A33)-1,6)+1)</f>
        <v>1</v>
      </c>
      <c r="P296" s="9">
        <v>23</v>
      </c>
      <c r="Q296" s="4" t="e" cm="1">
        <f t="array" aca="1" ref="Q296" ca="1">INDEX($P$264:$U$271, INT((ROW(A23)-1)/6)+1, MOD(ROW(A23)-1,6)+1)</f>
        <v>#VALUE!</v>
      </c>
      <c r="W296" s="7">
        <v>33</v>
      </c>
      <c r="X296" s="4" t="e">
        <f t="shared" ca="1" si="11"/>
        <v>#VALUE!</v>
      </c>
      <c r="AN296" s="2">
        <f t="shared" si="15"/>
        <v>1</v>
      </c>
      <c r="AO296" s="2" t="e">
        <f t="shared" ca="1" si="16"/>
        <v>#VALUE!</v>
      </c>
    </row>
    <row r="297" spans="2:41" x14ac:dyDescent="0.25">
      <c r="B297" s="9">
        <v>34</v>
      </c>
      <c r="C297" s="30">
        <v>1</v>
      </c>
      <c r="M297" s="9">
        <v>34</v>
      </c>
      <c r="N297" s="4" cm="1">
        <f t="array" ref="N297">INDEX($F$264:$K$271, INT((ROW(A34)-1)/6)+1, MOD(ROW(A34)-1,6)+1)</f>
        <v>0</v>
      </c>
      <c r="P297" s="11">
        <v>24</v>
      </c>
      <c r="Q297" s="4" t="e" cm="1">
        <f t="array" aca="1" ref="Q297" ca="1">INDEX($P$264:$U$271, INT((ROW(A24)-1)/6)+1, MOD(ROW(A24)-1,6)+1)</f>
        <v>#VALUE!</v>
      </c>
      <c r="W297" s="9">
        <v>34</v>
      </c>
      <c r="X297" s="4" t="e">
        <f t="shared" ca="1" si="11"/>
        <v>#VALUE!</v>
      </c>
    </row>
    <row r="298" spans="2:41" x14ac:dyDescent="0.25">
      <c r="B298" s="9">
        <v>35</v>
      </c>
      <c r="C298" s="30">
        <v>0</v>
      </c>
      <c r="M298" s="9">
        <v>35</v>
      </c>
      <c r="N298" s="4" cm="1">
        <f t="array" ref="N298">INDEX($F$264:$K$271, INT((ROW(A35)-1)/6)+1, MOD(ROW(A35)-1,6)+1)</f>
        <v>1</v>
      </c>
      <c r="P298" s="7">
        <v>25</v>
      </c>
      <c r="Q298" s="4" t="e" cm="1">
        <f t="array" aca="1" ref="Q298" ca="1">INDEX($P$264:$U$271, INT((ROW(A25)-1)/6)+1, MOD(ROW(A25)-1,6)+1)</f>
        <v>#VALUE!</v>
      </c>
      <c r="W298" s="9">
        <v>35</v>
      </c>
      <c r="X298" s="4" t="e">
        <f t="shared" ca="1" si="11"/>
        <v>#VALUE!</v>
      </c>
    </row>
    <row r="299" spans="2:41" x14ac:dyDescent="0.25">
      <c r="B299" s="9">
        <v>36</v>
      </c>
      <c r="C299" s="30">
        <v>0</v>
      </c>
      <c r="M299" s="9">
        <v>36</v>
      </c>
      <c r="N299" s="4" cm="1">
        <f t="array" ref="N299">INDEX($F$264:$K$271, INT((ROW(A36)-1)/6)+1, MOD(ROW(A36)-1,6)+1)</f>
        <v>0</v>
      </c>
      <c r="P299" s="9">
        <v>26</v>
      </c>
      <c r="Q299" s="4" t="e" cm="1">
        <f t="array" aca="1" ref="Q299" ca="1">INDEX($P$264:$U$271, INT((ROW(A26)-1)/6)+1, MOD(ROW(A26)-1,6)+1)</f>
        <v>#VALUE!</v>
      </c>
      <c r="W299" s="9">
        <v>36</v>
      </c>
      <c r="X299" s="4" t="e">
        <f t="shared" ca="1" si="11"/>
        <v>#VALUE!</v>
      </c>
    </row>
    <row r="300" spans="2:41" x14ac:dyDescent="0.25">
      <c r="B300" s="9">
        <v>37</v>
      </c>
      <c r="C300" s="30">
        <v>1</v>
      </c>
      <c r="M300" s="9">
        <v>37</v>
      </c>
      <c r="N300" s="4" cm="1">
        <f t="array" ref="N300">INDEX($F$264:$K$271, INT((ROW(A37)-1)/6)+1, MOD(ROW(A37)-1,6)+1)</f>
        <v>1</v>
      </c>
      <c r="P300" s="9">
        <v>27</v>
      </c>
      <c r="Q300" s="4" t="e" cm="1">
        <f t="array" aca="1" ref="Q300" ca="1">INDEX($P$264:$U$271, INT((ROW(A27)-1)/6)+1, MOD(ROW(A27)-1,6)+1)</f>
        <v>#VALUE!</v>
      </c>
      <c r="W300" s="9">
        <v>37</v>
      </c>
      <c r="X300" s="4" t="e">
        <f t="shared" ca="1" si="11"/>
        <v>#VALUE!</v>
      </c>
    </row>
    <row r="301" spans="2:41" x14ac:dyDescent="0.25">
      <c r="B301" s="9">
        <v>38</v>
      </c>
      <c r="C301" s="30">
        <v>1</v>
      </c>
      <c r="M301" s="9">
        <v>38</v>
      </c>
      <c r="N301" s="4" cm="1">
        <f t="array" ref="N301">INDEX($F$264:$K$271, INT((ROW(A38)-1)/6)+1, MOD(ROW(A38)-1,6)+1)</f>
        <v>1</v>
      </c>
      <c r="P301" s="9">
        <v>28</v>
      </c>
      <c r="Q301" s="4" t="e" cm="1">
        <f t="array" aca="1" ref="Q301" ca="1">INDEX($P$264:$U$271, INT((ROW(A28)-1)/6)+1, MOD(ROW(A28)-1,6)+1)</f>
        <v>#VALUE!</v>
      </c>
      <c r="W301" s="9">
        <v>38</v>
      </c>
      <c r="X301" s="4" t="e">
        <f t="shared" ca="1" si="11"/>
        <v>#VALUE!</v>
      </c>
    </row>
    <row r="302" spans="2:41" x14ac:dyDescent="0.25">
      <c r="B302" s="9">
        <v>39</v>
      </c>
      <c r="C302" s="30">
        <v>0</v>
      </c>
      <c r="M302" s="9">
        <v>39</v>
      </c>
      <c r="N302" s="4" cm="1">
        <f t="array" ref="N302">INDEX($F$264:$K$271, INT((ROW(A39)-1)/6)+1, MOD(ROW(A39)-1,6)+1)</f>
        <v>0</v>
      </c>
      <c r="P302" s="9">
        <v>29</v>
      </c>
      <c r="Q302" s="4" t="e" cm="1">
        <f t="array" aca="1" ref="Q302" ca="1">INDEX($P$264:$U$271, INT((ROW(A29)-1)/6)+1, MOD(ROW(A29)-1,6)+1)</f>
        <v>#VALUE!</v>
      </c>
      <c r="W302" s="9">
        <v>39</v>
      </c>
      <c r="X302" s="4" t="e">
        <f t="shared" ca="1" si="11"/>
        <v>#VALUE!</v>
      </c>
    </row>
    <row r="303" spans="2:41" x14ac:dyDescent="0.25">
      <c r="B303" s="11">
        <v>40</v>
      </c>
      <c r="C303" s="30">
        <v>0</v>
      </c>
      <c r="M303" s="11">
        <v>40</v>
      </c>
      <c r="N303" s="4" cm="1">
        <f t="array" ref="N303">INDEX($F$264:$K$271, INT((ROW(A40)-1)/6)+1, MOD(ROW(A40)-1,6)+1)</f>
        <v>0</v>
      </c>
      <c r="P303" s="9">
        <v>30</v>
      </c>
      <c r="Q303" s="4" t="e" cm="1">
        <f t="array" aca="1" ref="Q303" ca="1">INDEX($P$264:$U$271, INT((ROW(A30)-1)/6)+1, MOD(ROW(A30)-1,6)+1)</f>
        <v>#VALUE!</v>
      </c>
      <c r="W303" s="11">
        <v>40</v>
      </c>
      <c r="X303" s="4" t="e">
        <f t="shared" ca="1" si="11"/>
        <v>#VALUE!</v>
      </c>
    </row>
    <row r="304" spans="2:41" x14ac:dyDescent="0.25">
      <c r="B304" s="7">
        <v>41</v>
      </c>
      <c r="C304" s="30">
        <v>1</v>
      </c>
      <c r="M304" s="7">
        <v>41</v>
      </c>
      <c r="N304" s="4" cm="1">
        <f t="array" ref="N304">INDEX($F$264:$K$271, INT((ROW(A41)-1)/6)+1, MOD(ROW(A41)-1,6)+1)</f>
        <v>1</v>
      </c>
      <c r="P304" s="9">
        <v>31</v>
      </c>
      <c r="Q304" s="4" t="e" cm="1">
        <f t="array" aca="1" ref="Q304" ca="1">INDEX($P$264:$U$271, INT((ROW(A31)-1)/6)+1, MOD(ROW(A31)-1,6)+1)</f>
        <v>#VALUE!</v>
      </c>
      <c r="W304" s="7">
        <v>41</v>
      </c>
      <c r="X304" s="4" t="e">
        <f t="shared" ca="1" si="11"/>
        <v>#VALUE!</v>
      </c>
    </row>
    <row r="305" spans="2:24" x14ac:dyDescent="0.25">
      <c r="B305" s="9">
        <v>42</v>
      </c>
      <c r="C305" s="30">
        <v>1</v>
      </c>
      <c r="M305" s="9">
        <v>42</v>
      </c>
      <c r="N305" s="4" cm="1">
        <f t="array" ref="N305">INDEX($F$264:$K$271, INT((ROW(A42)-1)/6)+1, MOD(ROW(A42)-1,6)+1)</f>
        <v>1</v>
      </c>
      <c r="P305" s="11">
        <v>32</v>
      </c>
      <c r="Q305" s="4" t="e" cm="1">
        <f t="array" aca="1" ref="Q305" ca="1">INDEX($P$264:$U$271, INT((ROW(A32)-1)/6)+1, MOD(ROW(A32)-1,6)+1)</f>
        <v>#VALUE!</v>
      </c>
      <c r="W305" s="9">
        <v>42</v>
      </c>
      <c r="X305" s="4" t="e">
        <f t="shared" ca="1" si="11"/>
        <v>#VALUE!</v>
      </c>
    </row>
    <row r="306" spans="2:24" x14ac:dyDescent="0.25">
      <c r="B306" s="9">
        <v>43</v>
      </c>
      <c r="C306" s="30">
        <v>1</v>
      </c>
      <c r="M306" s="9">
        <v>43</v>
      </c>
      <c r="N306" s="4" cm="1">
        <f t="array" ref="N306">INDEX($F$264:$K$271, INT((ROW(A43)-1)/6)+1, MOD(ROW(A43)-1,6)+1)</f>
        <v>0</v>
      </c>
      <c r="P306" s="7">
        <v>33</v>
      </c>
      <c r="Q306" s="4" t="e" cm="1">
        <f t="array" aca="1" ref="Q306" ca="1">INDEX($P$264:$U$271, INT((ROW(A33)-1)/6)+1, MOD(ROW(A33)-1,6)+1)</f>
        <v>#VALUE!</v>
      </c>
      <c r="W306" s="9">
        <v>43</v>
      </c>
      <c r="X306" s="4" t="e">
        <f t="shared" ca="1" si="11"/>
        <v>#VALUE!</v>
      </c>
    </row>
    <row r="307" spans="2:24" x14ac:dyDescent="0.25">
      <c r="B307" s="9">
        <v>44</v>
      </c>
      <c r="C307" s="30">
        <v>1</v>
      </c>
      <c r="M307" s="9">
        <v>44</v>
      </c>
      <c r="N307" s="4" cm="1">
        <f t="array" ref="N307">INDEX($F$264:$K$271, INT((ROW(A44)-1)/6)+1, MOD(ROW(A44)-1,6)+1)</f>
        <v>1</v>
      </c>
      <c r="P307" s="9">
        <v>34</v>
      </c>
      <c r="Q307" s="4" t="e" cm="1">
        <f t="array" aca="1" ref="Q307" ca="1">INDEX($P$264:$U$271, INT((ROW(A34)-1)/6)+1, MOD(ROW(A34)-1,6)+1)</f>
        <v>#VALUE!</v>
      </c>
      <c r="W307" s="9">
        <v>44</v>
      </c>
      <c r="X307" s="4" t="e">
        <f t="shared" ca="1" si="11"/>
        <v>#VALUE!</v>
      </c>
    </row>
    <row r="308" spans="2:24" x14ac:dyDescent="0.25">
      <c r="B308" s="9">
        <v>45</v>
      </c>
      <c r="C308" s="30">
        <v>0</v>
      </c>
      <c r="M308" s="9">
        <v>45</v>
      </c>
      <c r="N308" s="4" cm="1">
        <f t="array" ref="N308">INDEX($F$264:$K$271, INT((ROW(A45)-1)/6)+1, MOD(ROW(A45)-1,6)+1)</f>
        <v>0</v>
      </c>
      <c r="P308" s="9">
        <v>35</v>
      </c>
      <c r="Q308" s="4" t="e" cm="1">
        <f t="array" aca="1" ref="Q308" ca="1">INDEX($P$264:$U$271, INT((ROW(A35)-1)/6)+1, MOD(ROW(A35)-1,6)+1)</f>
        <v>#VALUE!</v>
      </c>
      <c r="W308" s="9">
        <v>45</v>
      </c>
      <c r="X308" s="4" t="e">
        <f t="shared" ca="1" si="11"/>
        <v>#VALUE!</v>
      </c>
    </row>
    <row r="309" spans="2:24" x14ac:dyDescent="0.25">
      <c r="B309" s="9">
        <v>46</v>
      </c>
      <c r="C309" s="30">
        <v>0</v>
      </c>
      <c r="M309" s="9">
        <v>46</v>
      </c>
      <c r="N309" s="4" cm="1">
        <f t="array" ref="N309">INDEX($F$264:$K$271, INT((ROW(A46)-1)/6)+1, MOD(ROW(A46)-1,6)+1)</f>
        <v>0</v>
      </c>
      <c r="P309" s="9">
        <v>36</v>
      </c>
      <c r="Q309" s="4" t="e" cm="1">
        <f t="array" aca="1" ref="Q309" ca="1">INDEX($P$264:$U$271, INT((ROW(A36)-1)/6)+1, MOD(ROW(A36)-1,6)+1)</f>
        <v>#VALUE!</v>
      </c>
      <c r="W309" s="9">
        <v>46</v>
      </c>
      <c r="X309" s="4" t="e">
        <f t="shared" ca="1" si="11"/>
        <v>#VALUE!</v>
      </c>
    </row>
    <row r="310" spans="2:24" x14ac:dyDescent="0.25">
      <c r="B310" s="9">
        <v>47</v>
      </c>
      <c r="C310" s="30">
        <v>0</v>
      </c>
      <c r="M310" s="9">
        <v>47</v>
      </c>
      <c r="N310" s="4" cm="1">
        <f t="array" ref="N310">INDEX($F$264:$K$271, INT((ROW(A47)-1)/6)+1, MOD(ROW(A47)-1,6)+1)</f>
        <v>1</v>
      </c>
      <c r="P310" s="9">
        <v>37</v>
      </c>
      <c r="Q310" s="4" t="e" cm="1">
        <f t="array" aca="1" ref="Q310" ca="1">INDEX($P$264:$U$271, INT((ROW(A37)-1)/6)+1, MOD(ROW(A37)-1,6)+1)</f>
        <v>#VALUE!</v>
      </c>
      <c r="W310" s="9">
        <v>47</v>
      </c>
      <c r="X310" s="4" t="e">
        <f t="shared" ca="1" si="11"/>
        <v>#VALUE!</v>
      </c>
    </row>
    <row r="311" spans="2:24" x14ac:dyDescent="0.25">
      <c r="B311" s="11">
        <v>48</v>
      </c>
      <c r="C311" s="30">
        <v>0</v>
      </c>
      <c r="M311" s="11">
        <v>48</v>
      </c>
      <c r="N311" s="4" cm="1">
        <f t="array" ref="N311">INDEX($F$264:$K$271, INT((ROW(A48)-1)/6)+1, MOD(ROW(A48)-1,6)+1)</f>
        <v>0</v>
      </c>
      <c r="P311" s="9">
        <v>38</v>
      </c>
      <c r="Q311" s="4" t="e" cm="1">
        <f t="array" aca="1" ref="Q311" ca="1">INDEX($P$264:$U$271, INT((ROW(A38)-1)/6)+1, MOD(ROW(A38)-1,6)+1)</f>
        <v>#VALUE!</v>
      </c>
      <c r="W311" s="11">
        <v>48</v>
      </c>
      <c r="X311" s="4" t="e">
        <f t="shared" ca="1" si="11"/>
        <v>#VALUE!</v>
      </c>
    </row>
    <row r="312" spans="2:24" x14ac:dyDescent="0.25">
      <c r="B312" s="7">
        <v>49</v>
      </c>
      <c r="C312" s="30">
        <v>1</v>
      </c>
      <c r="P312" s="9">
        <v>39</v>
      </c>
      <c r="Q312" s="4" t="e" cm="1">
        <f t="array" aca="1" ref="Q312" ca="1">INDEX($P$264:$U$271, INT((ROW(A39)-1)/6)+1, MOD(ROW(A39)-1,6)+1)</f>
        <v>#VALUE!</v>
      </c>
    </row>
    <row r="313" spans="2:24" x14ac:dyDescent="0.25">
      <c r="B313" s="9">
        <v>50</v>
      </c>
      <c r="C313" s="30">
        <v>0</v>
      </c>
      <c r="P313" s="11">
        <v>40</v>
      </c>
      <c r="Q313" s="4" t="e" cm="1">
        <f t="array" aca="1" ref="Q313" ca="1">INDEX($P$264:$U$271, INT((ROW(A40)-1)/6)+1, MOD(ROW(A40)-1,6)+1)</f>
        <v>#VALUE!</v>
      </c>
    </row>
    <row r="314" spans="2:24" x14ac:dyDescent="0.25">
      <c r="B314" s="9">
        <v>51</v>
      </c>
      <c r="C314" s="30">
        <v>1</v>
      </c>
      <c r="P314" s="7">
        <v>41</v>
      </c>
      <c r="Q314" s="4" t="e" cm="1">
        <f t="array" aca="1" ref="Q314" ca="1">INDEX($P$264:$U$271, INT((ROW(A41)-1)/6)+1, MOD(ROW(A41)-1,6)+1)</f>
        <v>#VALUE!</v>
      </c>
    </row>
    <row r="315" spans="2:24" x14ac:dyDescent="0.25">
      <c r="B315" s="9">
        <v>52</v>
      </c>
      <c r="C315" s="30">
        <v>0</v>
      </c>
      <c r="P315" s="9">
        <v>42</v>
      </c>
      <c r="Q315" s="4" t="e" cm="1">
        <f t="array" aca="1" ref="Q315" ca="1">INDEX($P$264:$U$271, INT((ROW(A42)-1)/6)+1, MOD(ROW(A42)-1,6)+1)</f>
        <v>#VALUE!</v>
      </c>
    </row>
    <row r="316" spans="2:24" x14ac:dyDescent="0.25">
      <c r="B316" s="9">
        <v>53</v>
      </c>
      <c r="C316" s="30">
        <v>1</v>
      </c>
      <c r="P316" s="9">
        <v>43</v>
      </c>
      <c r="Q316" s="4" t="e" cm="1">
        <f t="array" aca="1" ref="Q316" ca="1">INDEX($P$264:$U$271, INT((ROW(A43)-1)/6)+1, MOD(ROW(A43)-1,6)+1)</f>
        <v>#VALUE!</v>
      </c>
    </row>
    <row r="317" spans="2:24" x14ac:dyDescent="0.25">
      <c r="B317" s="9">
        <v>54</v>
      </c>
      <c r="C317" s="30">
        <v>0</v>
      </c>
      <c r="P317" s="9">
        <v>44</v>
      </c>
      <c r="Q317" s="4" t="e" cm="1">
        <f t="array" aca="1" ref="Q317" ca="1">INDEX($P$264:$U$271, INT((ROW(A44)-1)/6)+1, MOD(ROW(A44)-1,6)+1)</f>
        <v>#VALUE!</v>
      </c>
    </row>
    <row r="318" spans="2:24" x14ac:dyDescent="0.25">
      <c r="B318" s="9">
        <v>55</v>
      </c>
      <c r="C318" s="30">
        <v>1</v>
      </c>
      <c r="P318" s="9">
        <v>45</v>
      </c>
      <c r="Q318" s="4" t="e" cm="1">
        <f t="array" aca="1" ref="Q318" ca="1">INDEX($P$264:$U$271, INT((ROW(A45)-1)/6)+1, MOD(ROW(A45)-1,6)+1)</f>
        <v>#VALUE!</v>
      </c>
    </row>
    <row r="319" spans="2:24" x14ac:dyDescent="0.25">
      <c r="B319" s="11">
        <v>56</v>
      </c>
      <c r="C319" s="30">
        <v>0</v>
      </c>
      <c r="P319" s="9">
        <v>46</v>
      </c>
      <c r="Q319" s="4" t="e" cm="1">
        <f t="array" aca="1" ref="Q319" ca="1">INDEX($P$264:$U$271, INT((ROW(A46)-1)/6)+1, MOD(ROW(A46)-1,6)+1)</f>
        <v>#VALUE!</v>
      </c>
    </row>
    <row r="320" spans="2:24" x14ac:dyDescent="0.25">
      <c r="P320" s="9">
        <v>47</v>
      </c>
      <c r="Q320" s="4" t="e" cm="1">
        <f t="array" aca="1" ref="Q320" ca="1">INDEX($P$264:$U$271, INT((ROW(A47)-1)/6)+1, MOD(ROW(A47)-1,6)+1)</f>
        <v>#VALUE!</v>
      </c>
    </row>
    <row r="321" spans="2:41" x14ac:dyDescent="0.25">
      <c r="P321" s="11">
        <v>48</v>
      </c>
      <c r="Q321" s="4" t="e" cm="1">
        <f t="array" aca="1" ref="Q321" ca="1">INDEX($P$264:$U$271, INT((ROW(A48)-1)/6)+1, MOD(ROW(A48)-1,6)+1)</f>
        <v>#VALUE!</v>
      </c>
    </row>
    <row r="323" spans="2:41" x14ac:dyDescent="0.25">
      <c r="B323" t="s">
        <v>35</v>
      </c>
    </row>
    <row r="325" spans="2:41" x14ac:dyDescent="0.25">
      <c r="B325" s="37" t="s">
        <v>36</v>
      </c>
      <c r="C325" s="38"/>
      <c r="F325" s="39" t="s">
        <v>23</v>
      </c>
      <c r="G325" s="40"/>
      <c r="H325" s="40"/>
      <c r="I325" s="40"/>
      <c r="J325" s="40"/>
      <c r="K325" s="41"/>
      <c r="M325" s="37" t="s">
        <v>37</v>
      </c>
      <c r="N325" s="43"/>
      <c r="P325" s="39" t="s">
        <v>93</v>
      </c>
      <c r="Q325" s="40"/>
      <c r="R325" s="40"/>
      <c r="S325" s="40"/>
      <c r="T325" s="40"/>
      <c r="U325" s="41"/>
      <c r="W325" s="2" t="s">
        <v>3</v>
      </c>
      <c r="X325" s="18" t="s">
        <v>95</v>
      </c>
      <c r="Z325" s="42" t="s">
        <v>77</v>
      </c>
      <c r="AA325" s="42" t="s">
        <v>74</v>
      </c>
      <c r="AB325" s="42"/>
      <c r="AC325" s="42" t="s">
        <v>75</v>
      </c>
      <c r="AD325" s="42" t="s">
        <v>76</v>
      </c>
      <c r="AE325" s="36" t="s">
        <v>78</v>
      </c>
      <c r="AF325" s="36" t="s">
        <v>79</v>
      </c>
      <c r="AH325" s="37" t="s">
        <v>96</v>
      </c>
      <c r="AI325" s="38"/>
      <c r="AK325" s="37" t="s">
        <v>97</v>
      </c>
      <c r="AL325" s="38"/>
      <c r="AN325" s="36" t="s">
        <v>98</v>
      </c>
      <c r="AO325" s="36"/>
    </row>
    <row r="326" spans="2:41" x14ac:dyDescent="0.25">
      <c r="B326" s="7">
        <v>1</v>
      </c>
      <c r="C326" s="30">
        <v>0</v>
      </c>
      <c r="F326" s="15" cm="1">
        <f t="array" ref="F326">INDEX($C$326:$C$381, H41)</f>
        <v>0</v>
      </c>
      <c r="G326" s="15" cm="1">
        <f t="array" ref="G326">INDEX($C$326:$C$381, I41)</f>
        <v>1</v>
      </c>
      <c r="H326" s="15" cm="1">
        <f t="array" ref="H326">INDEX($C$326:$C$381, J41)</f>
        <v>1</v>
      </c>
      <c r="I326" s="15" cm="1">
        <f t="array" ref="I326">INDEX($C$326:$C$381, K41)</f>
        <v>1</v>
      </c>
      <c r="J326" s="15" cm="1">
        <f t="array" ref="J326">INDEX($C$326:$C$381, L41)</f>
        <v>0</v>
      </c>
      <c r="K326" s="15" cm="1">
        <f t="array" ref="K326">INDEX($C$326:$C$381, M41)</f>
        <v>0</v>
      </c>
      <c r="M326" s="7">
        <v>1</v>
      </c>
      <c r="N326" s="4" cm="1">
        <f t="array" ref="N326">INDEX($F$326:$K$333, INT((ROW(A1)-1)/6)+1, MOD(ROW(A125)-1,6)+1)</f>
        <v>0</v>
      </c>
      <c r="P326" s="15" t="e" cm="1" vm="1">
        <f t="array" aca="1" ref="P326" ca="1">INDEX($AO$204:$AO$235, H113)</f>
        <v>#VALUE!</v>
      </c>
      <c r="Q326" s="15" t="e" cm="1" vm="1">
        <f t="array" aca="1" ref="Q326" ca="1">INDEX($AO$204:$AO$235, I113)</f>
        <v>#VALUE!</v>
      </c>
      <c r="R326" s="15" t="e" cm="1">
        <f t="array" aca="1" ref="R326" ca="1">INDEX($AO$204:$AO$235, J113)</f>
        <v>#VALUE!</v>
      </c>
      <c r="S326" s="15" t="e" cm="1">
        <f t="array" aca="1" ref="S326" ca="1">INDEX($AO$204:$AO$235, K113)</f>
        <v>#VALUE!</v>
      </c>
      <c r="T326" s="15" t="e" cm="1" vm="1">
        <f t="array" aca="1" ref="T326" ca="1">INDEX($AO$204:$AO$235, L113)</f>
        <v>#VALUE!</v>
      </c>
      <c r="U326" s="15" t="e" cm="1" vm="1">
        <f t="array" aca="1" ref="U326" ca="1">INDEX($AO$204:$AO$235, M113)</f>
        <v>#VALUE!</v>
      </c>
      <c r="W326" s="7">
        <v>1</v>
      </c>
      <c r="X326" s="4" t="e">
        <f>_xlfn.BITXOR(Q336, N326)</f>
        <v>#REF!</v>
      </c>
      <c r="Z326" s="42"/>
      <c r="AA326" s="42"/>
      <c r="AB326" s="42"/>
      <c r="AC326" s="42"/>
      <c r="AD326" s="42"/>
      <c r="AE326" s="36"/>
      <c r="AF326" s="36"/>
      <c r="AH326" s="7">
        <v>1</v>
      </c>
      <c r="AI326" s="4" t="e" cm="1">
        <f t="array" ref="AI326">MID(INDEX($AF$265:$AF$272,INT((ROW(A63)-1)/4)+1),MOD(ROW(A63)-1,4)+1,1)</f>
        <v>#REF!</v>
      </c>
      <c r="AK326" s="7">
        <v>1</v>
      </c>
      <c r="AL326" s="4" t="e" cm="1">
        <f t="array" ref="AL326">INDEX($AI$264:$AI$295, INDEX($H$15:$O$18, INT((ROW(A63)-1)/8)+1, MOD(ROW(A63)-1,8)+1))</f>
        <v>#REF!</v>
      </c>
      <c r="AN326" s="2" t="s">
        <v>99</v>
      </c>
      <c r="AO326" s="31" t="s">
        <v>101</v>
      </c>
    </row>
    <row r="327" spans="2:41" x14ac:dyDescent="0.25">
      <c r="B327" s="9">
        <v>2</v>
      </c>
      <c r="C327" s="30">
        <v>0</v>
      </c>
      <c r="F327" s="15" cm="1">
        <f t="array" ref="F327">INDEX($C$326:$C$381, H42)</f>
        <v>1</v>
      </c>
      <c r="G327" s="15" cm="1">
        <f t="array" ref="G327">INDEX($C$326:$C$381, I42)</f>
        <v>0</v>
      </c>
      <c r="H327" s="15" cm="1">
        <f t="array" ref="H327">INDEX($C$326:$C$381, J42)</f>
        <v>1</v>
      </c>
      <c r="I327" s="15" cm="1">
        <f t="array" ref="I327">INDEX($C$326:$C$381, K42)</f>
        <v>0</v>
      </c>
      <c r="J327" s="15" cm="1">
        <f t="array" ref="J327">INDEX($C$326:$C$381, L42)</f>
        <v>1</v>
      </c>
      <c r="K327" s="15" cm="1">
        <f t="array" ref="K327">INDEX($C$326:$C$381, M42)</f>
        <v>0</v>
      </c>
      <c r="M327" s="9">
        <v>2</v>
      </c>
      <c r="N327" s="4" cm="1">
        <f t="array" ref="N327">INDEX($F$326:$K$333, INT((ROW(A2)-1)/6)+1, MOD(ROW(A126)-1,6)+1)</f>
        <v>0</v>
      </c>
      <c r="P327" s="15" t="e" cm="1" vm="1">
        <f t="array" aca="1" ref="P327" ca="1">INDEX($AO$204:$AO$235, H114)</f>
        <v>#VALUE!</v>
      </c>
      <c r="Q327" s="15" t="e" cm="1" vm="1">
        <f t="array" aca="1" ref="Q327" ca="1">INDEX($AO$204:$AO$235, I114)</f>
        <v>#VALUE!</v>
      </c>
      <c r="R327" s="15" t="e" cm="1">
        <f t="array" aca="1" ref="R327" ca="1">INDEX($AO$204:$AO$235, J114)</f>
        <v>#VALUE!</v>
      </c>
      <c r="S327" s="15" t="e" cm="1" vm="1">
        <f t="array" aca="1" ref="S327" ca="1">INDEX($AO$204:$AO$235, K114)</f>
        <v>#VALUE!</v>
      </c>
      <c r="T327" s="15" t="e" cm="1" vm="1">
        <f t="array" aca="1" ref="T327" ca="1">INDEX($AO$204:$AO$235, L114)</f>
        <v>#VALUE!</v>
      </c>
      <c r="U327" s="15" t="e" cm="1" vm="1">
        <f t="array" aca="1" ref="U327" ca="1">INDEX($AO$204:$AO$235, M114)</f>
        <v>#VALUE!</v>
      </c>
      <c r="W327" s="9">
        <v>2</v>
      </c>
      <c r="X327" s="4" t="e">
        <f t="shared" ref="X327:X373" si="17">_xlfn.BITXOR(Q337, N327)</f>
        <v>#REF!</v>
      </c>
      <c r="Z327" s="32">
        <v>1</v>
      </c>
      <c r="AA327" s="34" t="e">
        <f>_xlfn.TEXTJOIN("", TRUE, INDEX($X$264:$X$311, (ROW(A63)-1)*6+1) : INDEX($X$264:$X$311, (ROW(A63)-1)*6+6))</f>
        <v>#REF!</v>
      </c>
      <c r="AB327" s="35"/>
      <c r="AC327" s="32" t="e">
        <f>BIN2DEC(LEFT(AA327,1) &amp; RIGHT(AA327,1))</f>
        <v>#REF!</v>
      </c>
      <c r="AD327" s="31" t="e">
        <f>BIN2DEC(MID(AA327,2,4))</f>
        <v>#REF!</v>
      </c>
      <c r="AE327" s="31" t="e" cm="1">
        <f t="array" aca="1" ref="AE327" ca="1">INDEX(OFFSET('[1]S-box'!$A$2, (Z327-1)*6, 0, 4, 16), AC327+1, AD327+1)</f>
        <v>#VALUE!</v>
      </c>
      <c r="AF327" s="33" t="e">
        <f ca="1">DEC2BIN(AE327, 4)</f>
        <v>#VALUE!</v>
      </c>
      <c r="AH327" s="9">
        <v>2</v>
      </c>
      <c r="AI327" s="4" t="e" cm="1">
        <f t="array" ref="AI327">MID(INDEX($AF$265:$AF$272,INT((ROW(A64)-1)/4)+1),MOD(ROW(A64)-1,4)+1,1)</f>
        <v>#REF!</v>
      </c>
      <c r="AK327" s="9">
        <v>2</v>
      </c>
      <c r="AL327" s="4" t="e" cm="1">
        <f t="array" ref="AL327">INDEX($AI$264:$AI$295, INDEX($H$15:$O$18, INT((ROW(A64)-1)/8)+1, MOD(ROW(A64)-1,8)+1))</f>
        <v>#REF!</v>
      </c>
      <c r="AN327" s="2" t="e">
        <f ca="1">_xlfn.BITXOR(T140, AE265)</f>
        <v>#VALUE!</v>
      </c>
      <c r="AO327" s="2" t="e">
        <f>_xlfn.BITXOR(N326, AL326)</f>
        <v>#REF!</v>
      </c>
    </row>
    <row r="328" spans="2:41" x14ac:dyDescent="0.25">
      <c r="B328" s="9">
        <v>3</v>
      </c>
      <c r="C328" s="30">
        <v>1</v>
      </c>
      <c r="F328" s="15" cm="1">
        <f t="array" ref="F328">INDEX($C$326:$C$381, H43)</f>
        <v>1</v>
      </c>
      <c r="G328" s="15" cm="1">
        <f t="array" ref="G328">INDEX($C$326:$C$381, I43)</f>
        <v>1</v>
      </c>
      <c r="H328" s="15" cm="1">
        <f t="array" ref="H328">INDEX($C$326:$C$381, J43)</f>
        <v>0</v>
      </c>
      <c r="I328" s="15" cm="1">
        <f t="array" ref="I328">INDEX($C$326:$C$381, K43)</f>
        <v>1</v>
      </c>
      <c r="J328" s="15" cm="1">
        <f t="array" ref="J328">INDEX($C$326:$C$381, L43)</f>
        <v>1</v>
      </c>
      <c r="K328" s="15" cm="1">
        <f t="array" ref="K328">INDEX($C$326:$C$381, M43)</f>
        <v>1</v>
      </c>
      <c r="M328" s="9">
        <v>3</v>
      </c>
      <c r="N328" s="4" cm="1">
        <f t="array" ref="N328">INDEX($F$326:$K$333, INT((ROW(A3)-1)/6)+1, MOD(ROW(A127)-1,6)+1)</f>
        <v>0</v>
      </c>
      <c r="P328" s="15" t="e" cm="1" vm="1">
        <f t="array" aca="1" ref="P328" ca="1">INDEX($AO$204:$AO$235, H115)</f>
        <v>#VALUE!</v>
      </c>
      <c r="Q328" s="15" t="e" cm="1" vm="1">
        <f t="array" aca="1" ref="Q328" ca="1">INDEX($AO$204:$AO$235, I115)</f>
        <v>#VALUE!</v>
      </c>
      <c r="R328" s="15" t="e" cm="1">
        <f t="array" ref="R328">INDEX($AO$204:$AO$235, J115)</f>
        <v>#REF!</v>
      </c>
      <c r="S328" s="15" t="e" cm="1">
        <f t="array" aca="1" ref="S328" ca="1">INDEX($AO$204:$AO$235, K115)</f>
        <v>#VALUE!</v>
      </c>
      <c r="T328" s="15" t="e" cm="1" vm="1">
        <f t="array" aca="1" ref="T328" ca="1">INDEX($AO$204:$AO$235, L115)</f>
        <v>#VALUE!</v>
      </c>
      <c r="U328" s="15" t="e" cm="1" vm="1">
        <f t="array" aca="1" ref="U328" ca="1">INDEX($AO$204:$AO$235, M115)</f>
        <v>#VALUE!</v>
      </c>
      <c r="W328" s="9">
        <v>3</v>
      </c>
      <c r="X328" s="4" t="e">
        <f t="shared" si="17"/>
        <v>#REF!</v>
      </c>
      <c r="Z328" s="32">
        <v>2</v>
      </c>
      <c r="AA328" s="34" t="e">
        <f>_xlfn.TEXTJOIN("", TRUE, INDEX($X$264:$X$311, (ROW(A64)-1)*6+1) : INDEX($X$264:$X$311, (ROW(A64)-1)*6+6))</f>
        <v>#REF!</v>
      </c>
      <c r="AB328" s="35"/>
      <c r="AC328" s="32" t="e">
        <f t="shared" ref="AC328:AC334" si="18">BIN2DEC(LEFT(AA328,1) &amp; RIGHT(AA328,1))</f>
        <v>#REF!</v>
      </c>
      <c r="AD328" s="31" t="e">
        <f t="shared" ref="AD328:AD334" si="19">BIN2DEC(MID(AA328,2,4))</f>
        <v>#REF!</v>
      </c>
      <c r="AE328" s="31" t="e" cm="1">
        <f t="array" aca="1" ref="AE328" ca="1">INDEX(OFFSET('[1]S-box'!$A$2, (Z328-1)*6, 0, 4, 16), AC328+1, AD328+1)</f>
        <v>#VALUE!</v>
      </c>
      <c r="AF328" s="33" t="e">
        <f t="shared" ref="AF328:AF334" ca="1" si="20">DEC2BIN(AE328, 4)</f>
        <v>#VALUE!</v>
      </c>
      <c r="AH328" s="9">
        <v>3</v>
      </c>
      <c r="AI328" s="4" t="e" cm="1">
        <f t="array" ref="AI328">MID(INDEX($AF$265:$AF$272,INT((ROW(A65)-1)/4)+1),MOD(ROW(A65)-1,4)+1,1)</f>
        <v>#REF!</v>
      </c>
      <c r="AK328" s="9">
        <v>3</v>
      </c>
      <c r="AL328" s="4" t="e" cm="1">
        <f t="array" ref="AL328">INDEX($AI$264:$AI$295, INDEX($H$15:$O$18, INT((ROW(A65)-1)/8)+1, MOD(ROW(A65)-1,8)+1))</f>
        <v>#REF!</v>
      </c>
      <c r="AN328" s="2" t="e">
        <f t="shared" ref="AN328:AN358" ca="1" si="21">_xlfn.BITXOR(T141, AE266)</f>
        <v>#VALUE!</v>
      </c>
      <c r="AO328" s="2" t="e">
        <f t="shared" ref="AO328:AO358" si="22">_xlfn.BITXOR(N327, AL327)</f>
        <v>#REF!</v>
      </c>
    </row>
    <row r="329" spans="2:41" x14ac:dyDescent="0.25">
      <c r="B329" s="9">
        <v>4</v>
      </c>
      <c r="C329" s="30">
        <v>1</v>
      </c>
      <c r="F329" s="15" cm="1">
        <f t="array" ref="F329">INDEX($C$326:$C$381, H44)</f>
        <v>0</v>
      </c>
      <c r="G329" s="15" cm="1">
        <f t="array" ref="G329">INDEX($C$326:$C$381, I44)</f>
        <v>1</v>
      </c>
      <c r="H329" s="15" cm="1">
        <f t="array" ref="H329">INDEX($C$326:$C$381, J44)</f>
        <v>0</v>
      </c>
      <c r="I329" s="15" cm="1">
        <f t="array" ref="I329">INDEX($C$326:$C$381, K44)</f>
        <v>0</v>
      </c>
      <c r="J329" s="15" cm="1">
        <f t="array" ref="J329">INDEX($C$326:$C$381, L44)</f>
        <v>1</v>
      </c>
      <c r="K329" s="15" cm="1">
        <f t="array" ref="K329">INDEX($C$326:$C$381, M44)</f>
        <v>0</v>
      </c>
      <c r="M329" s="9">
        <v>4</v>
      </c>
      <c r="N329" s="4" cm="1">
        <f t="array" ref="N329">INDEX($F$326:$K$333, INT((ROW(A4)-1)/6)+1, MOD(ROW(A128)-1,6)+1)</f>
        <v>1</v>
      </c>
      <c r="P329" s="15" t="e" cm="1" vm="1">
        <f t="array" aca="1" ref="P329" ca="1">INDEX($AO$204:$AO$235, H116)</f>
        <v>#VALUE!</v>
      </c>
      <c r="Q329" s="15" t="e" cm="1" vm="1">
        <f t="array" aca="1" ref="Q329" ca="1">INDEX($AO$204:$AO$235, I116)</f>
        <v>#VALUE!</v>
      </c>
      <c r="R329" s="15" t="e" cm="1">
        <f t="array" ref="R329">INDEX($AO$204:$AO$235, J116)</f>
        <v>#REF!</v>
      </c>
      <c r="S329" s="15" t="e" cm="1" vm="1">
        <f t="array" aca="1" ref="S329" ca="1">INDEX($AO$204:$AO$235, K116)</f>
        <v>#VALUE!</v>
      </c>
      <c r="T329" s="15" t="e" cm="1" vm="1">
        <f t="array" aca="1" ref="T329" ca="1">INDEX($AO$204:$AO$235, L116)</f>
        <v>#VALUE!</v>
      </c>
      <c r="U329" s="15" t="e" cm="1" vm="1">
        <f t="array" aca="1" ref="U329" ca="1">INDEX($AO$204:$AO$235, M116)</f>
        <v>#VALUE!</v>
      </c>
      <c r="W329" s="9">
        <v>4</v>
      </c>
      <c r="X329" s="4" t="e">
        <f t="shared" si="17"/>
        <v>#REF!</v>
      </c>
      <c r="Z329" s="32">
        <v>3</v>
      </c>
      <c r="AA329" s="34" t="e">
        <f>_xlfn.TEXTJOIN("", TRUE, INDEX($X$264:$X$311, (ROW(A65)-1)*6+1) : INDEX($X$264:$X$311, (ROW(A65)-1)*6+6))</f>
        <v>#REF!</v>
      </c>
      <c r="AB329" s="35"/>
      <c r="AC329" s="32" t="e">
        <f t="shared" si="18"/>
        <v>#REF!</v>
      </c>
      <c r="AD329" s="31" t="e">
        <f t="shared" si="19"/>
        <v>#REF!</v>
      </c>
      <c r="AE329" s="31" t="e" cm="1">
        <f t="array" aca="1" ref="AE329" ca="1">INDEX(OFFSET('[1]S-box'!$A$2, (Z329-1)*6, 0, 4, 16), AC329+1, AD329+1)</f>
        <v>#VALUE!</v>
      </c>
      <c r="AF329" s="33" t="e">
        <f t="shared" ca="1" si="20"/>
        <v>#VALUE!</v>
      </c>
      <c r="AH329" s="9">
        <v>4</v>
      </c>
      <c r="AI329" s="4" t="e" cm="1">
        <f t="array" ref="AI329">MID(INDEX($AF$265:$AF$272,INT((ROW(A66)-1)/4)+1),MOD(ROW(A66)-1,4)+1,1)</f>
        <v>#REF!</v>
      </c>
      <c r="AK329" s="9">
        <v>4</v>
      </c>
      <c r="AL329" s="4" t="e" cm="1">
        <f t="array" ref="AL329">INDEX($AI$264:$AI$295, INDEX($H$15:$O$18, INT((ROW(A66)-1)/8)+1, MOD(ROW(A66)-1,8)+1))</f>
        <v>#REF!</v>
      </c>
      <c r="AN329" s="2" t="e">
        <f t="shared" ca="1" si="21"/>
        <v>#VALUE!</v>
      </c>
      <c r="AO329" s="2" t="e">
        <f t="shared" si="22"/>
        <v>#REF!</v>
      </c>
    </row>
    <row r="330" spans="2:41" x14ac:dyDescent="0.25">
      <c r="B330" s="9">
        <v>5</v>
      </c>
      <c r="C330" s="30">
        <v>0</v>
      </c>
      <c r="F330" s="15" cm="1">
        <f t="array" ref="F330">INDEX($C$326:$C$381, H45)</f>
        <v>1</v>
      </c>
      <c r="G330" s="15" cm="1">
        <f t="array" ref="G330">INDEX($C$326:$C$381, I45)</f>
        <v>0</v>
      </c>
      <c r="H330" s="15" cm="1">
        <f t="array" ref="H330">INDEX($C$326:$C$381, J45)</f>
        <v>1</v>
      </c>
      <c r="I330" s="15" cm="1">
        <f t="array" ref="I330">INDEX($C$326:$C$381, K45)</f>
        <v>0</v>
      </c>
      <c r="J330" s="15" cm="1">
        <f t="array" ref="J330">INDEX($C$326:$C$381, L45)</f>
        <v>1</v>
      </c>
      <c r="K330" s="15" cm="1">
        <f t="array" ref="K330">INDEX($C$326:$C$381, M45)</f>
        <v>1</v>
      </c>
      <c r="M330" s="9">
        <v>5</v>
      </c>
      <c r="N330" s="4" cm="1">
        <f t="array" ref="N330">INDEX($F$326:$K$333, INT((ROW(A5)-1)/6)+1, MOD(ROW(A129)-1,6)+1)</f>
        <v>1</v>
      </c>
      <c r="P330" s="15" t="e" cm="1" vm="1">
        <f t="array" aca="1" ref="P330" ca="1">INDEX($AO$204:$AO$235, H117)</f>
        <v>#VALUE!</v>
      </c>
      <c r="Q330" s="15" t="e" cm="1" vm="1">
        <f t="array" aca="1" ref="Q330" ca="1">INDEX($AO$204:$AO$235, I117)</f>
        <v>#VALUE!</v>
      </c>
      <c r="R330" s="15" t="e" cm="1">
        <f t="array" ref="R330">INDEX($AO$204:$AO$235, J117)</f>
        <v>#REF!</v>
      </c>
      <c r="S330" s="15" t="e" cm="1">
        <f t="array" aca="1" ref="S330" ca="1">INDEX($AO$204:$AO$235, K117)</f>
        <v>#VALUE!</v>
      </c>
      <c r="T330" s="15" t="e" cm="1" vm="1">
        <f t="array" aca="1" ref="T330" ca="1">INDEX($AO$204:$AO$235, L117)</f>
        <v>#VALUE!</v>
      </c>
      <c r="U330" s="15" t="e" cm="1" vm="1">
        <f t="array" aca="1" ref="U330" ca="1">INDEX($AO$204:$AO$235, M117)</f>
        <v>#VALUE!</v>
      </c>
      <c r="W330" s="9">
        <v>5</v>
      </c>
      <c r="X330" s="4" t="e">
        <f t="shared" si="17"/>
        <v>#REF!</v>
      </c>
      <c r="Z330" s="32">
        <v>4</v>
      </c>
      <c r="AA330" s="34" t="e">
        <f>_xlfn.TEXTJOIN("", TRUE, INDEX($X$264:$X$311, (ROW(A66)-1)*6+1) : INDEX($X$264:$X$311, (ROW(A66)-1)*6+6))</f>
        <v>#REF!</v>
      </c>
      <c r="AB330" s="35"/>
      <c r="AC330" s="32" t="e">
        <f t="shared" si="18"/>
        <v>#REF!</v>
      </c>
      <c r="AD330" s="31" t="e">
        <f t="shared" si="19"/>
        <v>#REF!</v>
      </c>
      <c r="AE330" s="31" t="e" cm="1">
        <f t="array" aca="1" ref="AE330" ca="1">INDEX(OFFSET('[1]S-box'!$A$2, (Z330-1)*6, 0, 4, 16), AC330+1, AD330+1)</f>
        <v>#VALUE!</v>
      </c>
      <c r="AF330" s="33" t="e">
        <f t="shared" ca="1" si="20"/>
        <v>#VALUE!</v>
      </c>
      <c r="AH330" s="9">
        <v>5</v>
      </c>
      <c r="AI330" s="4" t="e" cm="1">
        <f t="array" ref="AI330">MID(INDEX($AF$265:$AF$272,INT((ROW(A67)-1)/4)+1),MOD(ROW(A67)-1,4)+1,1)</f>
        <v>#REF!</v>
      </c>
      <c r="AK330" s="9">
        <v>5</v>
      </c>
      <c r="AL330" s="4" t="e" cm="1">
        <f t="array" ref="AL330">INDEX($AI$264:$AI$295, INDEX($H$15:$O$18, INT((ROW(A67)-1)/8)+1, MOD(ROW(A67)-1,8)+1))</f>
        <v>#REF!</v>
      </c>
      <c r="AN330" s="2" t="e">
        <f t="shared" ca="1" si="21"/>
        <v>#VALUE!</v>
      </c>
      <c r="AO330" s="2" t="e">
        <f t="shared" si="22"/>
        <v>#REF!</v>
      </c>
    </row>
    <row r="331" spans="2:41" x14ac:dyDescent="0.25">
      <c r="B331" s="9">
        <v>6</v>
      </c>
      <c r="C331" s="30">
        <v>0</v>
      </c>
      <c r="F331" s="15" cm="1">
        <f t="array" ref="F331">INDEX($C$326:$C$381, H46)</f>
        <v>0</v>
      </c>
      <c r="G331" s="15" cm="1">
        <f t="array" ref="G331">INDEX($C$326:$C$381, I46)</f>
        <v>1</v>
      </c>
      <c r="H331" s="15" cm="1">
        <f t="array" ref="H331">INDEX($C$326:$C$381, J46)</f>
        <v>1</v>
      </c>
      <c r="I331" s="15" cm="1">
        <f t="array" ref="I331">INDEX($C$326:$C$381, K46)</f>
        <v>0</v>
      </c>
      <c r="J331" s="15" cm="1">
        <f t="array" ref="J331">INDEX($C$326:$C$381, L46)</f>
        <v>0</v>
      </c>
      <c r="K331" s="15" cm="1">
        <f t="array" ref="K331">INDEX($C$326:$C$381, M46)</f>
        <v>0</v>
      </c>
      <c r="M331" s="9">
        <v>6</v>
      </c>
      <c r="N331" s="4" cm="1">
        <f t="array" ref="N331">INDEX($F$326:$K$333, INT((ROW(A6)-1)/6)+1, MOD(ROW(A130)-1,6)+1)</f>
        <v>1</v>
      </c>
      <c r="P331" s="15" t="e" cm="1" vm="1">
        <f t="array" aca="1" ref="P331" ca="1">INDEX($AO$204:$AO$235, H118)</f>
        <v>#VALUE!</v>
      </c>
      <c r="Q331" s="15" t="e" cm="1" vm="1">
        <f t="array" aca="1" ref="Q331" ca="1">INDEX($AO$204:$AO$235, I118)</f>
        <v>#VALUE!</v>
      </c>
      <c r="R331" s="15" t="e" cm="1">
        <f t="array" ref="R331">INDEX($AO$204:$AO$235, J118)</f>
        <v>#REF!</v>
      </c>
      <c r="S331" s="15" t="e" cm="1" vm="1">
        <f t="array" aca="1" ref="S331" ca="1">INDEX($AO$204:$AO$235, K118)</f>
        <v>#VALUE!</v>
      </c>
      <c r="T331" s="15" t="e" cm="1" vm="1">
        <f t="array" aca="1" ref="T331" ca="1">INDEX($AO$204:$AO$235, L118)</f>
        <v>#VALUE!</v>
      </c>
      <c r="U331" s="15" t="e" cm="1" vm="1">
        <f t="array" aca="1" ref="U331" ca="1">INDEX($AO$204:$AO$235, M118)</f>
        <v>#VALUE!</v>
      </c>
      <c r="W331" s="9">
        <v>6</v>
      </c>
      <c r="X331" s="4" t="e">
        <f t="shared" si="17"/>
        <v>#REF!</v>
      </c>
      <c r="Z331" s="32">
        <v>5</v>
      </c>
      <c r="AA331" s="34" t="e">
        <f>_xlfn.TEXTJOIN("", TRUE, INDEX($X$264:$X$311, (ROW(A67)-1)*6+1) : INDEX($X$264:$X$311, (ROW(A67)-1)*6+6))</f>
        <v>#REF!</v>
      </c>
      <c r="AB331" s="35"/>
      <c r="AC331" s="32" t="e">
        <f t="shared" si="18"/>
        <v>#REF!</v>
      </c>
      <c r="AD331" s="31" t="e">
        <f t="shared" si="19"/>
        <v>#REF!</v>
      </c>
      <c r="AE331" s="31" t="e" cm="1">
        <f t="array" aca="1" ref="AE331" ca="1">INDEX(OFFSET('[1]S-box'!$A$2, (Z331-1)*6, 0, 4, 16), AC331+1, AD331+1)</f>
        <v>#VALUE!</v>
      </c>
      <c r="AF331" s="33" t="e">
        <f t="shared" ca="1" si="20"/>
        <v>#VALUE!</v>
      </c>
      <c r="AH331" s="9">
        <v>6</v>
      </c>
      <c r="AI331" s="4" t="e" cm="1">
        <f t="array" ref="AI331">MID(INDEX($AF$265:$AF$272,INT((ROW(A68)-1)/4)+1),MOD(ROW(A68)-1,4)+1,1)</f>
        <v>#REF!</v>
      </c>
      <c r="AK331" s="9">
        <v>6</v>
      </c>
      <c r="AL331" s="4" t="e" cm="1">
        <f t="array" ref="AL331">INDEX($AI$264:$AI$295, INDEX($H$15:$O$18, INT((ROW(A68)-1)/8)+1, MOD(ROW(A68)-1,8)+1))</f>
        <v>#REF!</v>
      </c>
      <c r="AN331" s="2" t="e">
        <f t="shared" ca="1" si="21"/>
        <v>#VALUE!</v>
      </c>
      <c r="AO331" s="2" t="e">
        <f t="shared" si="22"/>
        <v>#REF!</v>
      </c>
    </row>
    <row r="332" spans="2:41" x14ac:dyDescent="0.25">
      <c r="B332" s="9">
        <v>7</v>
      </c>
      <c r="C332" s="30">
        <v>1</v>
      </c>
      <c r="F332" s="15" cm="1">
        <f t="array" ref="F332">INDEX($C$326:$C$381, H47)</f>
        <v>0</v>
      </c>
      <c r="G332" s="15" cm="1">
        <f t="array" ref="G332">INDEX($C$326:$C$381, I47)</f>
        <v>1</v>
      </c>
      <c r="H332" s="15" cm="1">
        <f t="array" ref="H332">INDEX($C$326:$C$381, J47)</f>
        <v>1</v>
      </c>
      <c r="I332" s="15" cm="1">
        <f t="array" ref="I332">INDEX($C$326:$C$381, K47)</f>
        <v>0</v>
      </c>
      <c r="J332" s="15" cm="1">
        <f t="array" ref="J332">INDEX($C$326:$C$381, L47)</f>
        <v>0</v>
      </c>
      <c r="K332" s="15" cm="1">
        <f t="array" ref="K332">INDEX($C$326:$C$381, M47)</f>
        <v>1</v>
      </c>
      <c r="M332" s="9">
        <v>7</v>
      </c>
      <c r="N332" s="4" cm="1">
        <f t="array" ref="N332">INDEX($F$326:$K$333, INT((ROW(A7)-1)/6)+1, MOD(ROW(A131)-1,6)+1)</f>
        <v>1</v>
      </c>
      <c r="P332" s="15" t="e" cm="1" vm="1">
        <f t="array" aca="1" ref="P332" ca="1">INDEX($AO$204:$AO$235, H119)</f>
        <v>#VALUE!</v>
      </c>
      <c r="Q332" s="15" t="e" cm="1" vm="1">
        <f t="array" aca="1" ref="Q332" ca="1">INDEX($AO$204:$AO$235, I119)</f>
        <v>#VALUE!</v>
      </c>
      <c r="R332" s="15" t="e" cm="1">
        <f t="array" ref="R332">INDEX($AO$204:$AO$235, J119)</f>
        <v>#REF!</v>
      </c>
      <c r="S332" s="15" t="e" cm="1">
        <f t="array" aca="1" ref="S332" ca="1">INDEX($AO$204:$AO$235, K119)</f>
        <v>#VALUE!</v>
      </c>
      <c r="T332" s="15" t="e" cm="1" vm="1">
        <f t="array" aca="1" ref="T332" ca="1">INDEX($AO$204:$AO$235, L119)</f>
        <v>#VALUE!</v>
      </c>
      <c r="U332" s="15" t="e" cm="1" vm="1">
        <f t="array" aca="1" ref="U332" ca="1">INDEX($AO$204:$AO$235, M119)</f>
        <v>#VALUE!</v>
      </c>
      <c r="W332" s="9">
        <v>7</v>
      </c>
      <c r="X332" s="4" t="e">
        <f t="shared" si="17"/>
        <v>#REF!</v>
      </c>
      <c r="Z332" s="32">
        <v>6</v>
      </c>
      <c r="AA332" s="34" t="e">
        <f>_xlfn.TEXTJOIN("", TRUE, INDEX($X$264:$X$311, (ROW(A68)-1)*6+1) : INDEX($X$264:$X$311, (ROW(A68)-1)*6+6))</f>
        <v>#REF!</v>
      </c>
      <c r="AB332" s="35"/>
      <c r="AC332" s="32" t="e">
        <f t="shared" si="18"/>
        <v>#REF!</v>
      </c>
      <c r="AD332" s="31" t="e">
        <f t="shared" si="19"/>
        <v>#REF!</v>
      </c>
      <c r="AE332" s="31" t="e" cm="1">
        <f t="array" aca="1" ref="AE332" ca="1">INDEX(OFFSET('[1]S-box'!$A$2, (Z332-1)*6, 0, 4, 16), AC332+1, AD332+1)</f>
        <v>#VALUE!</v>
      </c>
      <c r="AF332" s="33" t="e">
        <f t="shared" ca="1" si="20"/>
        <v>#VALUE!</v>
      </c>
      <c r="AH332" s="9">
        <v>7</v>
      </c>
      <c r="AI332" s="4" t="e" cm="1">
        <f t="array" ref="AI332">MID(INDEX($AF$265:$AF$272,INT((ROW(A69)-1)/4)+1),MOD(ROW(A69)-1,4)+1,1)</f>
        <v>#REF!</v>
      </c>
      <c r="AK332" s="9">
        <v>7</v>
      </c>
      <c r="AL332" s="4" t="e" cm="1">
        <f t="array" ref="AL332">INDEX($AI$264:$AI$295, INDEX($H$15:$O$18, INT((ROW(A69)-1)/8)+1, MOD(ROW(A69)-1,8)+1))</f>
        <v>#REF!</v>
      </c>
      <c r="AN332" s="2" t="e">
        <f t="shared" ca="1" si="21"/>
        <v>#VALUE!</v>
      </c>
      <c r="AO332" s="2" t="e">
        <f t="shared" si="22"/>
        <v>#REF!</v>
      </c>
    </row>
    <row r="333" spans="2:41" x14ac:dyDescent="0.25">
      <c r="B333" s="11">
        <v>8</v>
      </c>
      <c r="C333" s="30">
        <v>1</v>
      </c>
      <c r="F333" s="15" cm="1">
        <f t="array" ref="F333">INDEX($C$326:$C$381, H48)</f>
        <v>0</v>
      </c>
      <c r="G333" s="15" cm="1">
        <f t="array" ref="G333">INDEX($C$326:$C$381, I48)</f>
        <v>1</v>
      </c>
      <c r="H333" s="15" cm="1">
        <f t="array" ref="H333">INDEX($C$326:$C$381, J48)</f>
        <v>0</v>
      </c>
      <c r="I333" s="15" cm="1">
        <f t="array" ref="I333">INDEX($C$326:$C$381, K48)</f>
        <v>1</v>
      </c>
      <c r="J333" s="15" cm="1">
        <f t="array" ref="J333">INDEX($C$326:$C$381, L48)</f>
        <v>1</v>
      </c>
      <c r="K333" s="15" cm="1">
        <f t="array" ref="K333">INDEX($C$326:$C$381, M48)</f>
        <v>1</v>
      </c>
      <c r="M333" s="11">
        <v>8</v>
      </c>
      <c r="N333" s="4" cm="1">
        <f t="array" ref="N333">INDEX($F$326:$K$333, INT((ROW(A8)-1)/6)+1, MOD(ROW(A132)-1,6)+1)</f>
        <v>0</v>
      </c>
      <c r="P333" s="15" t="e" cm="1" vm="2">
        <f t="array" aca="1" ref="P333" ca="1">INDEX($AO$204:$AO$235, H120)</f>
        <v>#VALUE!</v>
      </c>
      <c r="Q333" s="15" t="e" cm="1" vm="2">
        <f t="array" aca="1" ref="Q333" ca="1">INDEX($AO$204:$AO$235, I120)</f>
        <v>#VALUE!</v>
      </c>
      <c r="R333" s="15" t="e" cm="1">
        <f t="array" ref="R333">INDEX($AO$204:$AO$235, J120)</f>
        <v>#REF!</v>
      </c>
      <c r="S333" s="15" t="e" cm="1">
        <f t="array" aca="1" ref="S333" ca="1">INDEX($AO$204:$AO$235, K120)</f>
        <v>#VALUE!</v>
      </c>
      <c r="T333" s="15" t="e" cm="1">
        <f t="array" aca="1" ref="T333:T364" ca="1">INDEX($AO$204:$AO$235, L120)</f>
        <v>#VALUE!</v>
      </c>
      <c r="U333" s="15" t="e" cm="1">
        <f t="array" aca="1" ref="U333:U364" ca="1">INDEX($AO$204:$AO$235, M120)</f>
        <v>#VALUE!</v>
      </c>
      <c r="W333" s="11">
        <v>8</v>
      </c>
      <c r="X333" s="4" t="e">
        <f t="shared" si="17"/>
        <v>#REF!</v>
      </c>
      <c r="Z333" s="32">
        <v>7</v>
      </c>
      <c r="AA333" s="34" t="e">
        <f>_xlfn.TEXTJOIN("", TRUE, INDEX($X$264:$X$311, (ROW(A69)-1)*6+1) : INDEX($X$264:$X$311, (ROW(A69)-1)*6+6))</f>
        <v>#REF!</v>
      </c>
      <c r="AB333" s="35"/>
      <c r="AC333" s="32" t="e">
        <f t="shared" si="18"/>
        <v>#REF!</v>
      </c>
      <c r="AD333" s="31" t="e">
        <f t="shared" si="19"/>
        <v>#REF!</v>
      </c>
      <c r="AE333" s="31" t="e" cm="1">
        <f t="array" aca="1" ref="AE333" ca="1">INDEX(OFFSET('[1]S-box'!$A$2, (Z333-1)*6, 0, 4, 16), AC333+1, AD333+1)</f>
        <v>#VALUE!</v>
      </c>
      <c r="AF333" s="33" t="e">
        <f t="shared" ca="1" si="20"/>
        <v>#VALUE!</v>
      </c>
      <c r="AH333" s="11">
        <v>8</v>
      </c>
      <c r="AI333" s="4" t="e" cm="1">
        <f t="array" ref="AI333">MID(INDEX($AF$265:$AF$272,INT((ROW(A70)-1)/4)+1),MOD(ROW(A70)-1,4)+1,1)</f>
        <v>#REF!</v>
      </c>
      <c r="AK333" s="11">
        <v>8</v>
      </c>
      <c r="AL333" s="4" t="e" cm="1">
        <f t="array" ref="AL333">INDEX($AI$264:$AI$295, INDEX($H$15:$O$18, INT((ROW(A70)-1)/8)+1, MOD(ROW(A70)-1,8)+1))</f>
        <v>#REF!</v>
      </c>
      <c r="AN333" s="2" t="e">
        <f t="shared" ca="1" si="21"/>
        <v>#VALUE!</v>
      </c>
      <c r="AO333" s="2" t="e">
        <f t="shared" si="22"/>
        <v>#REF!</v>
      </c>
    </row>
    <row r="334" spans="2:41" x14ac:dyDescent="0.25">
      <c r="B334" s="9">
        <v>9</v>
      </c>
      <c r="C334" s="30">
        <v>0</v>
      </c>
      <c r="M334" s="9">
        <v>9</v>
      </c>
      <c r="N334" s="4" cm="1">
        <f t="array" ref="N334">INDEX($F$326:$K$333, INT((ROW(A9)-1)/6)+1, MOD(ROW(A133)-1,6)+1)</f>
        <v>1</v>
      </c>
      <c r="T334" t="e">
        <f ca="1"/>
        <v>#VALUE!</v>
      </c>
      <c r="U334" t="e">
        <f ca="1"/>
        <v>#VALUE!</v>
      </c>
      <c r="W334" s="9">
        <v>9</v>
      </c>
      <c r="X334" s="4" t="e">
        <f t="shared" si="17"/>
        <v>#REF!</v>
      </c>
      <c r="Z334" s="32">
        <v>8</v>
      </c>
      <c r="AA334" s="34" t="e">
        <f>_xlfn.TEXTJOIN("", TRUE, INDEX($X$264:$X$311, (ROW(A70)-1)*6+1) : INDEX($X$264:$X$311, (ROW(A70)-1)*6+6))</f>
        <v>#REF!</v>
      </c>
      <c r="AB334" s="35"/>
      <c r="AC334" s="32" t="e">
        <f t="shared" si="18"/>
        <v>#REF!</v>
      </c>
      <c r="AD334" s="31" t="e">
        <f t="shared" si="19"/>
        <v>#REF!</v>
      </c>
      <c r="AE334" s="31" t="e" cm="1">
        <f t="array" aca="1" ref="AE334" ca="1">INDEX(OFFSET('[1]S-box'!$A$2, (Z334-1)*6, 0, 4, 16), AC334+1, AD334+1)</f>
        <v>#VALUE!</v>
      </c>
      <c r="AF334" s="33" t="e">
        <f t="shared" ca="1" si="20"/>
        <v>#VALUE!</v>
      </c>
      <c r="AH334" s="9">
        <v>9</v>
      </c>
      <c r="AI334" s="4" t="e" cm="1">
        <f t="array" ref="AI334">MID(INDEX($AF$265:$AF$272,INT((ROW(A71)-1)/4)+1),MOD(ROW(A71)-1,4)+1,1)</f>
        <v>#REF!</v>
      </c>
      <c r="AK334" s="9">
        <v>9</v>
      </c>
      <c r="AL334" s="4" t="e" cm="1">
        <f t="array" ref="AL334">INDEX($AI$264:$AI$295, INDEX($H$15:$O$18, INT((ROW(A71)-1)/8)+1, MOD(ROW(A71)-1,8)+1))</f>
        <v>#REF!</v>
      </c>
      <c r="AN334" s="2" t="e">
        <f t="shared" ca="1" si="21"/>
        <v>#VALUE!</v>
      </c>
      <c r="AO334" s="2" t="e">
        <f t="shared" si="22"/>
        <v>#REF!</v>
      </c>
    </row>
    <row r="335" spans="2:41" x14ac:dyDescent="0.25">
      <c r="B335" s="9">
        <v>10</v>
      </c>
      <c r="C335" s="30">
        <v>0</v>
      </c>
      <c r="M335" s="9">
        <v>10</v>
      </c>
      <c r="N335" s="4" cm="1">
        <f t="array" ref="N335">INDEX($F$326:$K$333, INT((ROW(A10)-1)/6)+1, MOD(ROW(A134)-1,6)+1)</f>
        <v>0</v>
      </c>
      <c r="P335" s="36" t="s">
        <v>94</v>
      </c>
      <c r="Q335" s="36"/>
      <c r="T335" t="e">
        <f ca="1"/>
        <v>#VALUE!</v>
      </c>
      <c r="U335" t="e">
        <f ca="1"/>
        <v>#VALUE!</v>
      </c>
      <c r="W335" s="9">
        <v>10</v>
      </c>
      <c r="X335" s="4" t="e">
        <f t="shared" si="17"/>
        <v>#REF!</v>
      </c>
      <c r="AH335" s="9">
        <v>10</v>
      </c>
      <c r="AI335" s="4" t="e" cm="1">
        <f t="array" ref="AI335">MID(INDEX($AF$265:$AF$272,INT((ROW(A72)-1)/4)+1),MOD(ROW(A72)-1,4)+1,1)</f>
        <v>#REF!</v>
      </c>
      <c r="AK335" s="9">
        <v>10</v>
      </c>
      <c r="AL335" s="4" t="e" cm="1">
        <f t="array" ref="AL335">INDEX($AI$264:$AI$295, INDEX($H$15:$O$18, INT((ROW(A72)-1)/8)+1, MOD(ROW(A72)-1,8)+1))</f>
        <v>#REF!</v>
      </c>
      <c r="AN335" s="2">
        <f t="shared" si="21"/>
        <v>10101</v>
      </c>
      <c r="AO335" s="2" t="e">
        <f t="shared" si="22"/>
        <v>#REF!</v>
      </c>
    </row>
    <row r="336" spans="2:41" x14ac:dyDescent="0.25">
      <c r="B336" s="9">
        <v>11</v>
      </c>
      <c r="C336" s="30">
        <v>1</v>
      </c>
      <c r="M336" s="9">
        <v>11</v>
      </c>
      <c r="N336" s="4" cm="1">
        <f t="array" ref="N336">INDEX($F$326:$K$333, INT((ROW(A11)-1)/6)+1, MOD(ROW(A135)-1,6)+1)</f>
        <v>1</v>
      </c>
      <c r="P336" s="9">
        <v>1</v>
      </c>
      <c r="Q336" s="4" t="e" cm="1">
        <f t="array" ref="Q336">INDEX($P$264:$U$271, INT((ROW(A63)-1)/6)+1, MOD(ROW(A63)-1,6)+1)</f>
        <v>#REF!</v>
      </c>
      <c r="T336" t="e">
        <f ca="1"/>
        <v>#VALUE!</v>
      </c>
      <c r="U336" t="e">
        <f ca="1"/>
        <v>#VALUE!</v>
      </c>
      <c r="W336" s="9">
        <v>11</v>
      </c>
      <c r="X336" s="4" t="e">
        <f t="shared" si="17"/>
        <v>#REF!</v>
      </c>
      <c r="AH336" s="9">
        <v>11</v>
      </c>
      <c r="AI336" s="4" t="e" cm="1">
        <f t="array" ref="AI336">MID(INDEX($AF$265:$AF$272,INT((ROW(A73)-1)/4)+1),MOD(ROW(A73)-1,4)+1,1)</f>
        <v>#REF!</v>
      </c>
      <c r="AK336" s="9">
        <v>11</v>
      </c>
      <c r="AL336" s="4" t="e" cm="1">
        <f t="array" ref="AL336">INDEX($AI$264:$AI$295, INDEX($H$15:$O$18, INT((ROW(A73)-1)/8)+1, MOD(ROW(A73)-1,8)+1))</f>
        <v>#REF!</v>
      </c>
      <c r="AN336" s="2">
        <f t="shared" si="21"/>
        <v>110011</v>
      </c>
      <c r="AO336" s="2" t="e">
        <f t="shared" si="22"/>
        <v>#REF!</v>
      </c>
    </row>
    <row r="337" spans="2:41" x14ac:dyDescent="0.25">
      <c r="B337" s="9">
        <v>12</v>
      </c>
      <c r="C337" s="30">
        <v>0</v>
      </c>
      <c r="M337" s="9">
        <v>12</v>
      </c>
      <c r="N337" s="4" cm="1">
        <f t="array" ref="N337">INDEX($F$326:$K$333, INT((ROW(A12)-1)/6)+1, MOD(ROW(A136)-1,6)+1)</f>
        <v>0</v>
      </c>
      <c r="P337" s="9">
        <v>2</v>
      </c>
      <c r="Q337" s="4" t="e" cm="1">
        <f t="array" ref="Q337">INDEX($P$264:$U$271, INT((ROW(A64)-1)/6)+1, MOD(ROW(A64)-1,6)+1)</f>
        <v>#REF!</v>
      </c>
      <c r="T337" t="e">
        <f ca="1"/>
        <v>#VALUE!</v>
      </c>
      <c r="U337" t="e">
        <f ca="1"/>
        <v>#VALUE!</v>
      </c>
      <c r="W337" s="9">
        <v>12</v>
      </c>
      <c r="X337" s="4" t="e">
        <f t="shared" si="17"/>
        <v>#REF!</v>
      </c>
      <c r="AH337" s="9">
        <v>12</v>
      </c>
      <c r="AI337" s="4" t="e" cm="1">
        <f t="array" ref="AI337">MID(INDEX($AF$265:$AF$272,INT((ROW(A74)-1)/4)+1),MOD(ROW(A74)-1,4)+1,1)</f>
        <v>#REF!</v>
      </c>
      <c r="AK337" s="9">
        <v>12</v>
      </c>
      <c r="AL337" s="4" t="e" cm="1">
        <f t="array" ref="AL337">INDEX($AI$264:$AI$295, INDEX($H$15:$O$18, INT((ROW(A74)-1)/8)+1, MOD(ROW(A74)-1,8)+1))</f>
        <v>#REF!</v>
      </c>
      <c r="AN337" s="2">
        <f t="shared" si="21"/>
        <v>110000</v>
      </c>
      <c r="AO337" s="2" t="e">
        <f t="shared" si="22"/>
        <v>#REF!</v>
      </c>
    </row>
    <row r="338" spans="2:41" x14ac:dyDescent="0.25">
      <c r="B338" s="9">
        <v>13</v>
      </c>
      <c r="C338" s="30">
        <v>1</v>
      </c>
      <c r="M338" s="9">
        <v>13</v>
      </c>
      <c r="N338" s="4" cm="1">
        <f t="array" ref="N338">INDEX($F$326:$K$333, INT((ROW(A13)-1)/6)+1, MOD(ROW(A137)-1,6)+1)</f>
        <v>1</v>
      </c>
      <c r="P338" s="9">
        <v>3</v>
      </c>
      <c r="Q338" s="4" t="e" cm="1">
        <f t="array" ref="Q338">INDEX($P$264:$U$271, INT((ROW(A65)-1)/6)+1, MOD(ROW(A65)-1,6)+1)</f>
        <v>#REF!</v>
      </c>
      <c r="T338" t="e">
        <f ca="1"/>
        <v>#VALUE!</v>
      </c>
      <c r="U338" t="e">
        <f ca="1"/>
        <v>#VALUE!</v>
      </c>
      <c r="W338" s="9">
        <v>13</v>
      </c>
      <c r="X338" s="4" t="e">
        <f t="shared" si="17"/>
        <v>#REF!</v>
      </c>
      <c r="AH338" s="9">
        <v>13</v>
      </c>
      <c r="AI338" s="4" t="e" cm="1">
        <f t="array" ref="AI338">MID(INDEX($AF$265:$AF$272,INT((ROW(A75)-1)/4)+1),MOD(ROW(A75)-1,4)+1,1)</f>
        <v>#REF!</v>
      </c>
      <c r="AK338" s="9">
        <v>13</v>
      </c>
      <c r="AL338" s="4" t="e" cm="1">
        <f t="array" ref="AL338">INDEX($AI$264:$AI$295, INDEX($H$15:$O$18, INT((ROW(A75)-1)/8)+1, MOD(ROW(A75)-1,8)+1))</f>
        <v>#REF!</v>
      </c>
      <c r="AN338" s="2">
        <f t="shared" si="21"/>
        <v>0</v>
      </c>
      <c r="AO338" s="2" t="e">
        <f t="shared" si="22"/>
        <v>#REF!</v>
      </c>
    </row>
    <row r="339" spans="2:41" x14ac:dyDescent="0.25">
      <c r="B339" s="9">
        <v>14</v>
      </c>
      <c r="C339" s="30">
        <v>0</v>
      </c>
      <c r="M339" s="9">
        <v>14</v>
      </c>
      <c r="N339" s="4" cm="1">
        <f t="array" ref="N339">INDEX($F$326:$K$333, INT((ROW(A14)-1)/6)+1, MOD(ROW(A138)-1,6)+1)</f>
        <v>1</v>
      </c>
      <c r="P339" s="9">
        <v>4</v>
      </c>
      <c r="Q339" s="4" t="e" cm="1">
        <f t="array" ref="Q339">INDEX($P$264:$U$271, INT((ROW(A66)-1)/6)+1, MOD(ROW(A66)-1,6)+1)</f>
        <v>#REF!</v>
      </c>
      <c r="T339" t="e">
        <f ca="1"/>
        <v>#VALUE!</v>
      </c>
      <c r="U339" t="e">
        <f ca="1"/>
        <v>#VALUE!</v>
      </c>
      <c r="W339" s="9">
        <v>14</v>
      </c>
      <c r="X339" s="4" t="e">
        <f t="shared" si="17"/>
        <v>#REF!</v>
      </c>
      <c r="AH339" s="9">
        <v>14</v>
      </c>
      <c r="AI339" s="4" t="e" cm="1">
        <f t="array" ref="AI339">MID(INDEX($AF$265:$AF$272,INT((ROW(A76)-1)/4)+1),MOD(ROW(A76)-1,4)+1,1)</f>
        <v>#REF!</v>
      </c>
      <c r="AK339" s="9">
        <v>14</v>
      </c>
      <c r="AL339" s="4" t="e" cm="1">
        <f t="array" ref="AL339">INDEX($AI$264:$AI$295, INDEX($H$15:$O$18, INT((ROW(A76)-1)/8)+1, MOD(ROW(A76)-1,8)+1))</f>
        <v>#REF!</v>
      </c>
      <c r="AN339" s="2">
        <f t="shared" si="21"/>
        <v>0</v>
      </c>
      <c r="AO339" s="2" t="e">
        <f t="shared" si="22"/>
        <v>#REF!</v>
      </c>
    </row>
    <row r="340" spans="2:41" x14ac:dyDescent="0.25">
      <c r="B340" s="9">
        <v>15</v>
      </c>
      <c r="C340" s="30">
        <v>1</v>
      </c>
      <c r="M340" s="9">
        <v>15</v>
      </c>
      <c r="N340" s="4" cm="1">
        <f t="array" ref="N340">INDEX($F$326:$K$333, INT((ROW(A15)-1)/6)+1, MOD(ROW(A139)-1,6)+1)</f>
        <v>1</v>
      </c>
      <c r="P340" s="9">
        <v>5</v>
      </c>
      <c r="Q340" s="4" t="e" cm="1">
        <f t="array" ref="Q340">INDEX($P$264:$U$271, INT((ROW(A67)-1)/6)+1, MOD(ROW(A67)-1,6)+1)</f>
        <v>#REF!</v>
      </c>
      <c r="T340" t="e">
        <f ca="1"/>
        <v>#VALUE!</v>
      </c>
      <c r="U340" t="e">
        <f ca="1"/>
        <v>#VALUE!</v>
      </c>
      <c r="W340" s="9">
        <v>15</v>
      </c>
      <c r="X340" s="4" t="e">
        <f t="shared" si="17"/>
        <v>#REF!</v>
      </c>
      <c r="AH340" s="9">
        <v>15</v>
      </c>
      <c r="AI340" s="4" t="e" cm="1">
        <f t="array" ref="AI340">MID(INDEX($AF$265:$AF$272,INT((ROW(A77)-1)/4)+1),MOD(ROW(A77)-1,4)+1,1)</f>
        <v>#REF!</v>
      </c>
      <c r="AK340" s="9">
        <v>15</v>
      </c>
      <c r="AL340" s="4" t="e" cm="1">
        <f t="array" ref="AL340">INDEX($AI$264:$AI$295, INDEX($H$15:$O$18, INT((ROW(A77)-1)/8)+1, MOD(ROW(A77)-1,8)+1))</f>
        <v>#REF!</v>
      </c>
      <c r="AN340" s="2">
        <f t="shared" si="21"/>
        <v>0</v>
      </c>
      <c r="AO340" s="2" t="e">
        <f t="shared" si="22"/>
        <v>#REF!</v>
      </c>
    </row>
    <row r="341" spans="2:41" x14ac:dyDescent="0.25">
      <c r="B341" s="11">
        <v>16</v>
      </c>
      <c r="C341" s="30">
        <v>0</v>
      </c>
      <c r="M341" s="11">
        <v>16</v>
      </c>
      <c r="N341" s="4" cm="1">
        <f t="array" ref="N341">INDEX($F$326:$K$333, INT((ROW(A16)-1)/6)+1, MOD(ROW(A140)-1,6)+1)</f>
        <v>1</v>
      </c>
      <c r="P341" s="9">
        <v>6</v>
      </c>
      <c r="Q341" s="4" t="e" cm="1">
        <f t="array" ref="Q341">INDEX($P$264:$U$271, INT((ROW(A68)-1)/6)+1, MOD(ROW(A68)-1,6)+1)</f>
        <v>#REF!</v>
      </c>
      <c r="T341" t="e">
        <f ca="1"/>
        <v>#VALUE!</v>
      </c>
      <c r="U341" t="e">
        <f ca="1"/>
        <v>#VALUE!</v>
      </c>
      <c r="W341" s="11">
        <v>16</v>
      </c>
      <c r="X341" s="4" t="e">
        <f t="shared" si="17"/>
        <v>#REF!</v>
      </c>
      <c r="AH341" s="11">
        <v>16</v>
      </c>
      <c r="AI341" s="4" t="e" cm="1">
        <f t="array" ref="AI341">MID(INDEX($AF$265:$AF$272,INT((ROW(A78)-1)/4)+1),MOD(ROW(A78)-1,4)+1,1)</f>
        <v>#REF!</v>
      </c>
      <c r="AK341" s="11">
        <v>16</v>
      </c>
      <c r="AL341" s="4" t="e" cm="1">
        <f t="array" ref="AL341">INDEX($AI$264:$AI$295, INDEX($H$15:$O$18, INT((ROW(A78)-1)/8)+1, MOD(ROW(A78)-1,8)+1))</f>
        <v>#REF!</v>
      </c>
      <c r="AN341" s="2">
        <f t="shared" si="21"/>
        <v>0</v>
      </c>
      <c r="AO341" s="2" t="e">
        <f t="shared" si="22"/>
        <v>#REF!</v>
      </c>
    </row>
    <row r="342" spans="2:41" x14ac:dyDescent="0.25">
      <c r="B342" s="7">
        <v>17</v>
      </c>
      <c r="C342" s="30">
        <v>1</v>
      </c>
      <c r="M342" s="7">
        <v>17</v>
      </c>
      <c r="N342" s="4" cm="1">
        <f t="array" ref="N342">INDEX($F$326:$K$333, INT((ROW(A17)-1)/6)+1, MOD(ROW(A141)-1,6)+1)</f>
        <v>0</v>
      </c>
      <c r="P342" s="9">
        <v>7</v>
      </c>
      <c r="Q342" s="4" t="e" cm="1">
        <f t="array" ref="Q342">INDEX($P$264:$U$271, INT((ROW(A69)-1)/6)+1, MOD(ROW(A69)-1,6)+1)</f>
        <v>#REF!</v>
      </c>
      <c r="T342" t="e">
        <f ca="1"/>
        <v>#VALUE!</v>
      </c>
      <c r="U342" t="e">
        <f ca="1"/>
        <v>#VALUE!</v>
      </c>
      <c r="W342" s="7">
        <v>17</v>
      </c>
      <c r="X342" s="4" t="e">
        <f t="shared" si="17"/>
        <v>#REF!</v>
      </c>
      <c r="AH342" s="7">
        <v>17</v>
      </c>
      <c r="AI342" s="4" t="e" cm="1">
        <f t="array" ref="AI342">MID(INDEX($AF$265:$AF$272,INT((ROW(A79)-1)/4)+1),MOD(ROW(A79)-1,4)+1,1)</f>
        <v>#REF!</v>
      </c>
      <c r="AK342" s="7">
        <v>17</v>
      </c>
      <c r="AL342" s="4" t="e" cm="1">
        <f t="array" ref="AL342">INDEX($AI$264:$AI$295, INDEX($H$15:$O$18, INT((ROW(A79)-1)/8)+1, MOD(ROW(A79)-1,8)+1))</f>
        <v>#REF!</v>
      </c>
      <c r="AN342" s="2">
        <f t="shared" si="21"/>
        <v>0</v>
      </c>
      <c r="AO342" s="2" t="e">
        <f t="shared" si="22"/>
        <v>#REF!</v>
      </c>
    </row>
    <row r="343" spans="2:41" x14ac:dyDescent="0.25">
      <c r="B343" s="9">
        <v>18</v>
      </c>
      <c r="C343" s="30">
        <v>0</v>
      </c>
      <c r="M343" s="9">
        <v>18</v>
      </c>
      <c r="N343" s="4" cm="1">
        <f t="array" ref="N343">INDEX($F$326:$K$333, INT((ROW(A18)-1)/6)+1, MOD(ROW(A142)-1,6)+1)</f>
        <v>1</v>
      </c>
      <c r="P343" s="11">
        <v>8</v>
      </c>
      <c r="Q343" s="4" t="e" cm="1">
        <f t="array" ref="Q343">INDEX($P$264:$U$271, INT((ROW(A70)-1)/6)+1, MOD(ROW(A70)-1,6)+1)</f>
        <v>#REF!</v>
      </c>
      <c r="T343" t="e">
        <f ca="1"/>
        <v>#VALUE!</v>
      </c>
      <c r="U343" t="e">
        <f ca="1"/>
        <v>#VALUE!</v>
      </c>
      <c r="W343" s="9">
        <v>18</v>
      </c>
      <c r="X343" s="4" t="e">
        <f t="shared" si="17"/>
        <v>#REF!</v>
      </c>
      <c r="AH343" s="9">
        <v>18</v>
      </c>
      <c r="AI343" s="4" t="e" cm="1">
        <f t="array" ref="AI343">MID(INDEX($AF$265:$AF$272,INT((ROW(A80)-1)/4)+1),MOD(ROW(A80)-1,4)+1,1)</f>
        <v>#REF!</v>
      </c>
      <c r="AK343" s="9">
        <v>18</v>
      </c>
      <c r="AL343" s="4" t="e" cm="1">
        <f t="array" ref="AL343">INDEX($AI$264:$AI$295, INDEX($H$15:$O$18, INT((ROW(A80)-1)/8)+1, MOD(ROW(A80)-1,8)+1))</f>
        <v>#REF!</v>
      </c>
      <c r="AN343" s="2">
        <f t="shared" si="21"/>
        <v>0</v>
      </c>
      <c r="AO343" s="2" t="e">
        <f t="shared" si="22"/>
        <v>#REF!</v>
      </c>
    </row>
    <row r="344" spans="2:41" x14ac:dyDescent="0.25">
      <c r="B344" s="9">
        <v>19</v>
      </c>
      <c r="C344" s="30">
        <v>1</v>
      </c>
      <c r="M344" s="9">
        <v>19</v>
      </c>
      <c r="N344" s="4" cm="1">
        <f t="array" ref="N344">INDEX($F$326:$K$333, INT((ROW(A19)-1)/6)+1, MOD(ROW(A143)-1,6)+1)</f>
        <v>1</v>
      </c>
      <c r="P344" s="7">
        <v>9</v>
      </c>
      <c r="Q344" s="4" t="e" cm="1">
        <f t="array" ref="Q344">INDEX($P$264:$U$271, INT((ROW(A71)-1)/6)+1, MOD(ROW(A71)-1,6)+1)</f>
        <v>#REF!</v>
      </c>
      <c r="T344" t="e">
        <f ca="1"/>
        <v>#VALUE!</v>
      </c>
      <c r="U344" t="e">
        <f ca="1"/>
        <v>#VALUE!</v>
      </c>
      <c r="W344" s="9">
        <v>19</v>
      </c>
      <c r="X344" s="4" t="e">
        <f t="shared" si="17"/>
        <v>#REF!</v>
      </c>
      <c r="AH344" s="9">
        <v>19</v>
      </c>
      <c r="AI344" s="4" t="e" cm="1">
        <f t="array" ref="AI344">MID(INDEX($AF$265:$AF$272,INT((ROW(A81)-1)/4)+1),MOD(ROW(A81)-1,4)+1,1)</f>
        <v>#REF!</v>
      </c>
      <c r="AK344" s="9">
        <v>19</v>
      </c>
      <c r="AL344" s="4" t="e" cm="1">
        <f t="array" ref="AL344">INDEX($AI$264:$AI$295, INDEX($H$15:$O$18, INT((ROW(A81)-1)/8)+1, MOD(ROW(A81)-1,8)+1))</f>
        <v>#REF!</v>
      </c>
      <c r="AN344" s="2">
        <f t="shared" si="21"/>
        <v>0</v>
      </c>
      <c r="AO344" s="2" t="e">
        <f t="shared" si="22"/>
        <v>#REF!</v>
      </c>
    </row>
    <row r="345" spans="2:41" x14ac:dyDescent="0.25">
      <c r="B345" s="9">
        <v>20</v>
      </c>
      <c r="C345" s="30">
        <v>0</v>
      </c>
      <c r="M345" s="9">
        <v>20</v>
      </c>
      <c r="N345" s="4" cm="1">
        <f t="array" ref="N345">INDEX($F$326:$K$333, INT((ROW(A20)-1)/6)+1, MOD(ROW(A144)-1,6)+1)</f>
        <v>0</v>
      </c>
      <c r="P345" s="9">
        <v>10</v>
      </c>
      <c r="Q345" s="4" t="e" cm="1">
        <f t="array" ref="Q345">INDEX($P$264:$U$271, INT((ROW(A72)-1)/6)+1, MOD(ROW(A72)-1,6)+1)</f>
        <v>#REF!</v>
      </c>
      <c r="T345" t="e">
        <f ca="1"/>
        <v>#VALUE!</v>
      </c>
      <c r="U345" t="e">
        <f ca="1"/>
        <v>#VALUE!</v>
      </c>
      <c r="W345" s="9">
        <v>20</v>
      </c>
      <c r="X345" s="4" t="e">
        <f t="shared" si="17"/>
        <v>#REF!</v>
      </c>
      <c r="AH345" s="9">
        <v>20</v>
      </c>
      <c r="AI345" s="4" t="e" cm="1">
        <f t="array" ref="AI345">MID(INDEX($AF$265:$AF$272,INT((ROW(A82)-1)/4)+1),MOD(ROW(A82)-1,4)+1,1)</f>
        <v>#REF!</v>
      </c>
      <c r="AK345" s="9">
        <v>20</v>
      </c>
      <c r="AL345" s="4" t="e" cm="1">
        <f t="array" ref="AL345">INDEX($AI$264:$AI$295, INDEX($H$15:$O$18, INT((ROW(A82)-1)/8)+1, MOD(ROW(A82)-1,8)+1))</f>
        <v>#REF!</v>
      </c>
      <c r="AN345" s="2">
        <f t="shared" si="21"/>
        <v>0</v>
      </c>
      <c r="AO345" s="2" t="e">
        <f t="shared" si="22"/>
        <v>#REF!</v>
      </c>
    </row>
    <row r="346" spans="2:41" x14ac:dyDescent="0.25">
      <c r="B346" s="9">
        <v>21</v>
      </c>
      <c r="C346" s="30">
        <v>1</v>
      </c>
      <c r="M346" s="9">
        <v>21</v>
      </c>
      <c r="N346" s="4" cm="1">
        <f t="array" ref="N346">INDEX($F$326:$K$333, INT((ROW(A21)-1)/6)+1, MOD(ROW(A145)-1,6)+1)</f>
        <v>0</v>
      </c>
      <c r="P346" s="9">
        <v>11</v>
      </c>
      <c r="Q346" s="4" t="e" cm="1">
        <f t="array" ref="Q346">INDEX($P$264:$U$271, INT((ROW(A73)-1)/6)+1, MOD(ROW(A73)-1,6)+1)</f>
        <v>#REF!</v>
      </c>
      <c r="T346" t="e">
        <f ca="1"/>
        <v>#VALUE!</v>
      </c>
      <c r="U346" t="e">
        <f ca="1"/>
        <v>#VALUE!</v>
      </c>
      <c r="W346" s="9">
        <v>21</v>
      </c>
      <c r="X346" s="4" t="e">
        <f t="shared" si="17"/>
        <v>#REF!</v>
      </c>
      <c r="AH346" s="9">
        <v>21</v>
      </c>
      <c r="AI346" s="4" t="e" cm="1">
        <f t="array" ref="AI346">MID(INDEX($AF$265:$AF$272,INT((ROW(A83)-1)/4)+1),MOD(ROW(A83)-1,4)+1,1)</f>
        <v>#REF!</v>
      </c>
      <c r="AK346" s="9">
        <v>21</v>
      </c>
      <c r="AL346" s="4" t="e" cm="1">
        <f t="array" ref="AL346">INDEX($AI$264:$AI$295, INDEX($H$15:$O$18, INT((ROW(A83)-1)/8)+1, MOD(ROW(A83)-1,8)+1))</f>
        <v>#REF!</v>
      </c>
      <c r="AN346" s="2">
        <f t="shared" si="21"/>
        <v>0</v>
      </c>
      <c r="AO346" s="2" t="e">
        <f t="shared" si="22"/>
        <v>#REF!</v>
      </c>
    </row>
    <row r="347" spans="2:41" x14ac:dyDescent="0.25">
      <c r="B347" s="9">
        <v>22</v>
      </c>
      <c r="C347" s="30">
        <v>1</v>
      </c>
      <c r="M347" s="9">
        <v>22</v>
      </c>
      <c r="N347" s="4" cm="1">
        <f t="array" ref="N347">INDEX($F$326:$K$333, INT((ROW(A22)-1)/6)+1, MOD(ROW(A146)-1,6)+1)</f>
        <v>1</v>
      </c>
      <c r="P347" s="9">
        <v>12</v>
      </c>
      <c r="Q347" s="4" t="e" cm="1">
        <f t="array" ref="Q347">INDEX($P$264:$U$271, INT((ROW(A74)-1)/6)+1, MOD(ROW(A74)-1,6)+1)</f>
        <v>#REF!</v>
      </c>
      <c r="T347" t="e">
        <f ca="1"/>
        <v>#VALUE!</v>
      </c>
      <c r="U347" t="e">
        <f ca="1"/>
        <v>#VALUE!</v>
      </c>
      <c r="W347" s="9">
        <v>22</v>
      </c>
      <c r="X347" s="4" t="e">
        <f t="shared" si="17"/>
        <v>#REF!</v>
      </c>
      <c r="AH347" s="9">
        <v>22</v>
      </c>
      <c r="AI347" s="4" t="e" cm="1">
        <f t="array" ref="AI347">MID(INDEX($AF$265:$AF$272,INT((ROW(A84)-1)/4)+1),MOD(ROW(A84)-1,4)+1,1)</f>
        <v>#REF!</v>
      </c>
      <c r="AK347" s="9">
        <v>22</v>
      </c>
      <c r="AL347" s="4" t="e" cm="1">
        <f t="array" ref="AL347">INDEX($AI$264:$AI$295, INDEX($H$15:$O$18, INT((ROW(A84)-1)/8)+1, MOD(ROW(A84)-1,8)+1))</f>
        <v>#REF!</v>
      </c>
      <c r="AN347" s="2">
        <f t="shared" si="21"/>
        <v>0</v>
      </c>
      <c r="AO347" s="2" t="e">
        <f t="shared" si="22"/>
        <v>#REF!</v>
      </c>
    </row>
    <row r="348" spans="2:41" x14ac:dyDescent="0.25">
      <c r="B348" s="9">
        <v>23</v>
      </c>
      <c r="C348" s="30">
        <v>1</v>
      </c>
      <c r="M348" s="9">
        <v>23</v>
      </c>
      <c r="N348" s="4" cm="1">
        <f t="array" ref="N348">INDEX($F$326:$K$333, INT((ROW(A23)-1)/6)+1, MOD(ROW(A147)-1,6)+1)</f>
        <v>0</v>
      </c>
      <c r="P348" s="9">
        <v>13</v>
      </c>
      <c r="Q348" s="4" t="e" cm="1">
        <f t="array" ref="Q348">INDEX($P$264:$U$271, INT((ROW(A75)-1)/6)+1, MOD(ROW(A75)-1,6)+1)</f>
        <v>#REF!</v>
      </c>
      <c r="T348" t="e">
        <f ca="1"/>
        <v>#VALUE!</v>
      </c>
      <c r="U348" t="e">
        <f ca="1"/>
        <v>#VALUE!</v>
      </c>
      <c r="W348" s="9">
        <v>23</v>
      </c>
      <c r="X348" s="4" t="e">
        <f t="shared" si="17"/>
        <v>#REF!</v>
      </c>
      <c r="AH348" s="9">
        <v>23</v>
      </c>
      <c r="AI348" s="4" t="e" cm="1">
        <f t="array" ref="AI348">MID(INDEX($AF$265:$AF$272,INT((ROW(A85)-1)/4)+1),MOD(ROW(A85)-1,4)+1,1)</f>
        <v>#REF!</v>
      </c>
      <c r="AK348" s="9">
        <v>23</v>
      </c>
      <c r="AL348" s="4" t="e" cm="1">
        <f t="array" ref="AL348">INDEX($AI$264:$AI$295, INDEX($H$15:$O$18, INT((ROW(A85)-1)/8)+1, MOD(ROW(A85)-1,8)+1))</f>
        <v>#REF!</v>
      </c>
      <c r="AN348" s="2">
        <f t="shared" si="21"/>
        <v>0</v>
      </c>
      <c r="AO348" s="2" t="e">
        <f t="shared" si="22"/>
        <v>#REF!</v>
      </c>
    </row>
    <row r="349" spans="2:41" x14ac:dyDescent="0.25">
      <c r="B349" s="11">
        <v>24</v>
      </c>
      <c r="C349" s="30">
        <v>1</v>
      </c>
      <c r="M349" s="11">
        <v>24</v>
      </c>
      <c r="N349" s="4" cm="1">
        <f t="array" ref="N349">INDEX($F$326:$K$333, INT((ROW(A24)-1)/6)+1, MOD(ROW(A148)-1,6)+1)</f>
        <v>0</v>
      </c>
      <c r="P349" s="9">
        <v>14</v>
      </c>
      <c r="Q349" s="4" t="e" cm="1">
        <f t="array" ref="Q349">INDEX($P$264:$U$271, INT((ROW(A76)-1)/6)+1, MOD(ROW(A76)-1,6)+1)</f>
        <v>#REF!</v>
      </c>
      <c r="T349" t="e">
        <f ca="1"/>
        <v>#VALUE!</v>
      </c>
      <c r="U349" t="e">
        <f ca="1"/>
        <v>#VALUE!</v>
      </c>
      <c r="W349" s="11">
        <v>24</v>
      </c>
      <c r="X349" s="4" t="e">
        <f t="shared" si="17"/>
        <v>#REF!</v>
      </c>
      <c r="AH349" s="11">
        <v>24</v>
      </c>
      <c r="AI349" s="4" t="e" cm="1">
        <f t="array" ref="AI349">MID(INDEX($AF$265:$AF$272,INT((ROW(A86)-1)/4)+1),MOD(ROW(A86)-1,4)+1,1)</f>
        <v>#REF!</v>
      </c>
      <c r="AK349" s="11">
        <v>24</v>
      </c>
      <c r="AL349" s="4" t="e" cm="1">
        <f t="array" ref="AL349">INDEX($AI$264:$AI$295, INDEX($H$15:$O$18, INT((ROW(A86)-1)/8)+1, MOD(ROW(A86)-1,8)+1))</f>
        <v>#REF!</v>
      </c>
      <c r="AN349" s="2">
        <f t="shared" si="21"/>
        <v>0</v>
      </c>
      <c r="AO349" s="2" t="e">
        <f t="shared" si="22"/>
        <v>#REF!</v>
      </c>
    </row>
    <row r="350" spans="2:41" x14ac:dyDescent="0.25">
      <c r="B350" s="7">
        <v>25</v>
      </c>
      <c r="C350" s="30">
        <v>1</v>
      </c>
      <c r="M350" s="7">
        <v>25</v>
      </c>
      <c r="N350" s="4" cm="1">
        <f t="array" ref="N350">INDEX($F$326:$K$333, INT((ROW(A25)-1)/6)+1, MOD(ROW(A149)-1,6)+1)</f>
        <v>1</v>
      </c>
      <c r="P350" s="9">
        <v>15</v>
      </c>
      <c r="Q350" s="4" t="e" cm="1">
        <f t="array" ref="Q350">INDEX($P$264:$U$271, INT((ROW(A77)-1)/6)+1, MOD(ROW(A77)-1,6)+1)</f>
        <v>#REF!</v>
      </c>
      <c r="T350" t="e">
        <f ca="1"/>
        <v>#VALUE!</v>
      </c>
      <c r="U350" t="e">
        <f ca="1"/>
        <v>#VALUE!</v>
      </c>
      <c r="W350" s="7">
        <v>25</v>
      </c>
      <c r="X350" s="4" t="e">
        <f t="shared" si="17"/>
        <v>#REF!</v>
      </c>
      <c r="AH350" s="7">
        <v>25</v>
      </c>
      <c r="AI350" s="4" t="e" cm="1">
        <f t="array" ref="AI350">MID(INDEX($AF$265:$AF$272,INT((ROW(A87)-1)/4)+1),MOD(ROW(A87)-1,4)+1,1)</f>
        <v>#REF!</v>
      </c>
      <c r="AK350" s="7">
        <v>25</v>
      </c>
      <c r="AL350" s="4" t="e" cm="1">
        <f t="array" ref="AL350">INDEX($AI$264:$AI$295, INDEX($H$15:$O$18, INT((ROW(A87)-1)/8)+1, MOD(ROW(A87)-1,8)+1))</f>
        <v>#REF!</v>
      </c>
      <c r="AN350" s="2">
        <f t="shared" si="21"/>
        <v>0</v>
      </c>
      <c r="AO350" s="2" t="e">
        <f t="shared" si="22"/>
        <v>#REF!</v>
      </c>
    </row>
    <row r="351" spans="2:41" x14ac:dyDescent="0.25">
      <c r="B351" s="9">
        <v>26</v>
      </c>
      <c r="C351" s="30">
        <v>1</v>
      </c>
      <c r="M351" s="9">
        <v>26</v>
      </c>
      <c r="N351" s="4" cm="1">
        <f t="array" ref="N351">INDEX($F$326:$K$333, INT((ROW(A26)-1)/6)+1, MOD(ROW(A150)-1,6)+1)</f>
        <v>1</v>
      </c>
      <c r="P351" s="11">
        <v>16</v>
      </c>
      <c r="Q351" s="4" t="e" cm="1">
        <f t="array" ref="Q351">INDEX($P$264:$U$271, INT((ROW(A78)-1)/6)+1, MOD(ROW(A78)-1,6)+1)</f>
        <v>#REF!</v>
      </c>
      <c r="T351" t="e">
        <f ca="1"/>
        <v>#VALUE!</v>
      </c>
      <c r="U351" t="e">
        <f ca="1"/>
        <v>#VALUE!</v>
      </c>
      <c r="W351" s="9">
        <v>26</v>
      </c>
      <c r="X351" s="4" t="e">
        <f t="shared" si="17"/>
        <v>#REF!</v>
      </c>
      <c r="AH351" s="9">
        <v>26</v>
      </c>
      <c r="AI351" s="4" t="e" cm="1">
        <f t="array" ref="AI351">MID(INDEX($AF$265:$AF$272,INT((ROW(A88)-1)/4)+1),MOD(ROW(A88)-1,4)+1,1)</f>
        <v>#REF!</v>
      </c>
      <c r="AK351" s="9">
        <v>26</v>
      </c>
      <c r="AL351" s="4" t="e" cm="1">
        <f t="array" ref="AL351">INDEX($AI$264:$AI$295, INDEX($H$15:$O$18, INT((ROW(A88)-1)/8)+1, MOD(ROW(A88)-1,8)+1))</f>
        <v>#REF!</v>
      </c>
      <c r="AN351" s="2">
        <f t="shared" si="21"/>
        <v>0</v>
      </c>
      <c r="AO351" s="2" t="e">
        <f t="shared" si="22"/>
        <v>#REF!</v>
      </c>
    </row>
    <row r="352" spans="2:41" x14ac:dyDescent="0.25">
      <c r="B352" s="9">
        <v>27</v>
      </c>
      <c r="C352" s="30">
        <v>0</v>
      </c>
      <c r="M352" s="9">
        <v>27</v>
      </c>
      <c r="N352" s="4" cm="1">
        <f t="array" ref="N352">INDEX($F$326:$K$333, INT((ROW(A27)-1)/6)+1, MOD(ROW(A151)-1,6)+1)</f>
        <v>1</v>
      </c>
      <c r="P352" s="7">
        <v>17</v>
      </c>
      <c r="Q352" s="4" t="e" cm="1">
        <f t="array" ref="Q352">INDEX($P$264:$U$271, INT((ROW(A79)-1)/6)+1, MOD(ROW(A79)-1,6)+1)</f>
        <v>#REF!</v>
      </c>
      <c r="T352" t="e">
        <f ca="1"/>
        <v>#VALUE!</v>
      </c>
      <c r="U352" t="e">
        <f ca="1"/>
        <v>#VALUE!</v>
      </c>
      <c r="W352" s="9">
        <v>27</v>
      </c>
      <c r="X352" s="4" t="e">
        <f t="shared" si="17"/>
        <v>#REF!</v>
      </c>
      <c r="AH352" s="9">
        <v>27</v>
      </c>
      <c r="AI352" s="4" t="e" cm="1">
        <f t="array" ref="AI352">MID(INDEX($AF$265:$AF$272,INT((ROW(A89)-1)/4)+1),MOD(ROW(A89)-1,4)+1,1)</f>
        <v>#REF!</v>
      </c>
      <c r="AK352" s="9">
        <v>27</v>
      </c>
      <c r="AL352" s="4" t="e" cm="1">
        <f t="array" ref="AL352">INDEX($AI$264:$AI$295, INDEX($H$15:$O$18, INT((ROW(A89)-1)/8)+1, MOD(ROW(A89)-1,8)+1))</f>
        <v>#REF!</v>
      </c>
      <c r="AN352" s="2">
        <f t="shared" si="21"/>
        <v>0</v>
      </c>
      <c r="AO352" s="2" t="e">
        <f t="shared" si="22"/>
        <v>#REF!</v>
      </c>
    </row>
    <row r="353" spans="2:41" x14ac:dyDescent="0.25">
      <c r="B353" s="9">
        <v>28</v>
      </c>
      <c r="C353" s="30">
        <v>0</v>
      </c>
      <c r="M353" s="9">
        <v>28</v>
      </c>
      <c r="N353" s="4" cm="1">
        <f t="array" ref="N353">INDEX($F$326:$K$333, INT((ROW(A28)-1)/6)+1, MOD(ROW(A152)-1,6)+1)</f>
        <v>0</v>
      </c>
      <c r="P353" s="9">
        <v>18</v>
      </c>
      <c r="Q353" s="4" t="e" cm="1">
        <f t="array" ref="Q353">INDEX($P$264:$U$271, INT((ROW(A80)-1)/6)+1, MOD(ROW(A80)-1,6)+1)</f>
        <v>#REF!</v>
      </c>
      <c r="T353" t="e">
        <f ca="1"/>
        <v>#VALUE!</v>
      </c>
      <c r="U353" t="e">
        <f ca="1"/>
        <v>#VALUE!</v>
      </c>
      <c r="W353" s="9">
        <v>28</v>
      </c>
      <c r="X353" s="4" t="e">
        <f t="shared" si="17"/>
        <v>#REF!</v>
      </c>
      <c r="AH353" s="9">
        <v>28</v>
      </c>
      <c r="AI353" s="4" t="e" cm="1">
        <f t="array" ref="AI353">MID(INDEX($AF$265:$AF$272,INT((ROW(A90)-1)/4)+1),MOD(ROW(A90)-1,4)+1,1)</f>
        <v>#REF!</v>
      </c>
      <c r="AK353" s="9">
        <v>28</v>
      </c>
      <c r="AL353" s="4" t="e" cm="1">
        <f t="array" ref="AL353">INDEX($AI$264:$AI$295, INDEX($H$15:$O$18, INT((ROW(A90)-1)/8)+1, MOD(ROW(A90)-1,8)+1))</f>
        <v>#REF!</v>
      </c>
      <c r="AN353" s="2">
        <f t="shared" si="21"/>
        <v>0</v>
      </c>
      <c r="AO353" s="2" t="e">
        <f t="shared" si="22"/>
        <v>#REF!</v>
      </c>
    </row>
    <row r="354" spans="2:41" x14ac:dyDescent="0.25">
      <c r="B354" s="9">
        <v>29</v>
      </c>
      <c r="C354" s="30">
        <v>1</v>
      </c>
      <c r="M354" s="9">
        <v>29</v>
      </c>
      <c r="N354" s="4" cm="1">
        <f t="array" ref="N354">INDEX($F$326:$K$333, INT((ROW(A29)-1)/6)+1, MOD(ROW(A153)-1,6)+1)</f>
        <v>1</v>
      </c>
      <c r="P354" s="9">
        <v>19</v>
      </c>
      <c r="Q354" s="4" t="e" cm="1">
        <f t="array" ref="Q354">INDEX($P$264:$U$271, INT((ROW(A81)-1)/6)+1, MOD(ROW(A81)-1,6)+1)</f>
        <v>#REF!</v>
      </c>
      <c r="T354" t="e">
        <f ca="1"/>
        <v>#VALUE!</v>
      </c>
      <c r="U354" t="e">
        <f ca="1"/>
        <v>#VALUE!</v>
      </c>
      <c r="W354" s="9">
        <v>29</v>
      </c>
      <c r="X354" s="4" t="e">
        <f t="shared" si="17"/>
        <v>#REF!</v>
      </c>
      <c r="AH354" s="9">
        <v>29</v>
      </c>
      <c r="AI354" s="4" t="e" cm="1">
        <f t="array" ref="AI354">MID(INDEX($AF$265:$AF$272,INT((ROW(A91)-1)/4)+1),MOD(ROW(A91)-1,4)+1,1)</f>
        <v>#REF!</v>
      </c>
      <c r="AK354" s="9">
        <v>29</v>
      </c>
      <c r="AL354" s="4" t="e" cm="1">
        <f t="array" ref="AL354">INDEX($AI$264:$AI$295, INDEX($H$15:$O$18, INT((ROW(A91)-1)/8)+1, MOD(ROW(A91)-1,8)+1))</f>
        <v>#REF!</v>
      </c>
      <c r="AN354" s="2">
        <f t="shared" si="21"/>
        <v>0</v>
      </c>
      <c r="AO354" s="2" t="e">
        <f t="shared" si="22"/>
        <v>#REF!</v>
      </c>
    </row>
    <row r="355" spans="2:41" x14ac:dyDescent="0.25">
      <c r="B355" s="9">
        <v>30</v>
      </c>
      <c r="C355" s="30">
        <v>0</v>
      </c>
      <c r="M355" s="9">
        <v>30</v>
      </c>
      <c r="N355" s="4" cm="1">
        <f t="array" ref="N355">INDEX($F$326:$K$333, INT((ROW(A30)-1)/6)+1, MOD(ROW(A154)-1,6)+1)</f>
        <v>0</v>
      </c>
      <c r="P355" s="9">
        <v>20</v>
      </c>
      <c r="Q355" s="4" t="e" cm="1">
        <f t="array" ref="Q355">INDEX($P$264:$U$271, INT((ROW(A82)-1)/6)+1, MOD(ROW(A82)-1,6)+1)</f>
        <v>#REF!</v>
      </c>
      <c r="T355" t="e">
        <f ca="1"/>
        <v>#VALUE!</v>
      </c>
      <c r="U355" t="e">
        <f ca="1"/>
        <v>#VALUE!</v>
      </c>
      <c r="W355" s="9">
        <v>30</v>
      </c>
      <c r="X355" s="4" t="e">
        <f t="shared" si="17"/>
        <v>#REF!</v>
      </c>
      <c r="AH355" s="9">
        <v>30</v>
      </c>
      <c r="AI355" s="4" t="e" cm="1">
        <f t="array" ref="AI355">MID(INDEX($AF$265:$AF$272,INT((ROW(A92)-1)/4)+1),MOD(ROW(A92)-1,4)+1,1)</f>
        <v>#REF!</v>
      </c>
      <c r="AK355" s="9">
        <v>30</v>
      </c>
      <c r="AL355" s="4" t="e" cm="1">
        <f t="array" ref="AL355">INDEX($AI$264:$AI$295, INDEX($H$15:$O$18, INT((ROW(A92)-1)/8)+1, MOD(ROW(A92)-1,8)+1))</f>
        <v>#REF!</v>
      </c>
      <c r="AN355" s="2">
        <f t="shared" si="21"/>
        <v>0</v>
      </c>
      <c r="AO355" s="2" t="e">
        <f t="shared" si="22"/>
        <v>#REF!</v>
      </c>
    </row>
    <row r="356" spans="2:41" x14ac:dyDescent="0.25">
      <c r="B356" s="9">
        <v>31</v>
      </c>
      <c r="C356" s="30">
        <v>1</v>
      </c>
      <c r="M356" s="9">
        <v>31</v>
      </c>
      <c r="N356" s="4" cm="1">
        <f t="array" ref="N356">INDEX($F$326:$K$333, INT((ROW(A31)-1)/6)+1, MOD(ROW(A155)-1,6)+1)</f>
        <v>0</v>
      </c>
      <c r="P356" s="9">
        <v>21</v>
      </c>
      <c r="Q356" s="4" t="e" cm="1">
        <f t="array" ref="Q356">INDEX($P$264:$U$271, INT((ROW(A83)-1)/6)+1, MOD(ROW(A83)-1,6)+1)</f>
        <v>#REF!</v>
      </c>
      <c r="T356" t="e">
        <f ca="1"/>
        <v>#VALUE!</v>
      </c>
      <c r="U356" t="e">
        <f ca="1"/>
        <v>#VALUE!</v>
      </c>
      <c r="W356" s="9">
        <v>31</v>
      </c>
      <c r="X356" s="4" t="e">
        <f t="shared" si="17"/>
        <v>#REF!</v>
      </c>
      <c r="AH356" s="9">
        <v>31</v>
      </c>
      <c r="AI356" s="4" t="e" cm="1">
        <f t="array" ref="AI356">MID(INDEX($AF$265:$AF$272,INT((ROW(A93)-1)/4)+1),MOD(ROW(A93)-1,4)+1,1)</f>
        <v>#REF!</v>
      </c>
      <c r="AK356" s="9">
        <v>31</v>
      </c>
      <c r="AL356" s="4" t="e" cm="1">
        <f t="array" ref="AL356">INDEX($AI$264:$AI$295, INDEX($H$15:$O$18, INT((ROW(A93)-1)/8)+1, MOD(ROW(A93)-1,8)+1))</f>
        <v>#REF!</v>
      </c>
      <c r="AN356" s="2">
        <f t="shared" si="21"/>
        <v>0</v>
      </c>
      <c r="AO356" s="2" t="e">
        <f t="shared" si="22"/>
        <v>#REF!</v>
      </c>
    </row>
    <row r="357" spans="2:41" x14ac:dyDescent="0.25">
      <c r="B357" s="11">
        <v>32</v>
      </c>
      <c r="C357" s="30">
        <v>1</v>
      </c>
      <c r="M357" s="11">
        <v>32</v>
      </c>
      <c r="N357" s="4" cm="1">
        <f t="array" ref="N357">INDEX($F$326:$K$333, INT((ROW(A32)-1)/6)+1, MOD(ROW(A156)-1,6)+1)</f>
        <v>0</v>
      </c>
      <c r="P357" s="9">
        <v>22</v>
      </c>
      <c r="Q357" s="4" t="e" cm="1">
        <f t="array" ref="Q357">INDEX($P$264:$U$271, INT((ROW(A84)-1)/6)+1, MOD(ROW(A84)-1,6)+1)</f>
        <v>#REF!</v>
      </c>
      <c r="T357" t="e">
        <f ca="1"/>
        <v>#VALUE!</v>
      </c>
      <c r="U357" t="e">
        <f ca="1"/>
        <v>#VALUE!</v>
      </c>
      <c r="W357" s="11">
        <v>32</v>
      </c>
      <c r="X357" s="4" t="e">
        <f t="shared" si="17"/>
        <v>#REF!</v>
      </c>
      <c r="AH357" s="11">
        <v>32</v>
      </c>
      <c r="AI357" s="4" t="e" cm="1">
        <f t="array" ref="AI357">MID(INDEX($AF$265:$AF$272,INT((ROW(A94)-1)/4)+1),MOD(ROW(A94)-1,4)+1,1)</f>
        <v>#REF!</v>
      </c>
      <c r="AK357" s="11">
        <v>32</v>
      </c>
      <c r="AL357" s="4" t="e" cm="1">
        <f t="array" ref="AL357">INDEX($AI$264:$AI$295, INDEX($H$15:$O$18, INT((ROW(A94)-1)/8)+1, MOD(ROW(A94)-1,8)+1))</f>
        <v>#REF!</v>
      </c>
      <c r="AN357" s="2">
        <f t="shared" si="21"/>
        <v>0</v>
      </c>
      <c r="AO357" s="2" t="e">
        <f t="shared" si="22"/>
        <v>#REF!</v>
      </c>
    </row>
    <row r="358" spans="2:41" x14ac:dyDescent="0.25">
      <c r="B358" s="7">
        <v>33</v>
      </c>
      <c r="C358" s="30">
        <v>0</v>
      </c>
      <c r="M358" s="7">
        <v>33</v>
      </c>
      <c r="N358" s="4" cm="1">
        <f t="array" ref="N358">INDEX($F$326:$K$333, INT((ROW(A33)-1)/6)+1, MOD(ROW(A157)-1,6)+1)</f>
        <v>0</v>
      </c>
      <c r="P358" s="9">
        <v>23</v>
      </c>
      <c r="Q358" s="4" t="e" cm="1">
        <f t="array" ref="Q358">INDEX($P$264:$U$271, INT((ROW(A85)-1)/6)+1, MOD(ROW(A85)-1,6)+1)</f>
        <v>#REF!</v>
      </c>
      <c r="T358" t="e">
        <f ca="1"/>
        <v>#VALUE!</v>
      </c>
      <c r="U358" t="e">
        <f ca="1"/>
        <v>#VALUE!</v>
      </c>
      <c r="W358" s="7">
        <v>33</v>
      </c>
      <c r="X358" s="4" t="e">
        <f t="shared" si="17"/>
        <v>#REF!</v>
      </c>
      <c r="AN358" s="2">
        <f t="shared" si="21"/>
        <v>0</v>
      </c>
      <c r="AO358" s="2" t="e">
        <f t="shared" si="22"/>
        <v>#REF!</v>
      </c>
    </row>
    <row r="359" spans="2:41" x14ac:dyDescent="0.25">
      <c r="B359" s="9">
        <v>34</v>
      </c>
      <c r="C359" s="30">
        <v>0</v>
      </c>
      <c r="M359" s="9">
        <v>34</v>
      </c>
      <c r="N359" s="4" cm="1">
        <f t="array" ref="N359">INDEX($F$326:$K$333, INT((ROW(A34)-1)/6)+1, MOD(ROW(A158)-1,6)+1)</f>
        <v>1</v>
      </c>
      <c r="P359" s="11">
        <v>24</v>
      </c>
      <c r="Q359" s="4" t="e" cm="1">
        <f t="array" ref="Q359">INDEX($P$264:$U$271, INT((ROW(A86)-1)/6)+1, MOD(ROW(A86)-1,6)+1)</f>
        <v>#REF!</v>
      </c>
      <c r="T359" t="e">
        <f ca="1"/>
        <v>#VALUE!</v>
      </c>
      <c r="U359" t="e">
        <f ca="1"/>
        <v>#VALUE!</v>
      </c>
      <c r="W359" s="9">
        <v>34</v>
      </c>
      <c r="X359" s="4" t="e">
        <f t="shared" si="17"/>
        <v>#REF!</v>
      </c>
    </row>
    <row r="360" spans="2:41" x14ac:dyDescent="0.25">
      <c r="B360" s="9">
        <v>35</v>
      </c>
      <c r="C360" s="30">
        <v>1</v>
      </c>
      <c r="M360" s="9">
        <v>35</v>
      </c>
      <c r="N360" s="4" cm="1">
        <f t="array" ref="N360">INDEX($F$326:$K$333, INT((ROW(A35)-1)/6)+1, MOD(ROW(A159)-1,6)+1)</f>
        <v>1</v>
      </c>
      <c r="P360" s="7">
        <v>25</v>
      </c>
      <c r="Q360" s="4" t="e" cm="1">
        <f t="array" ref="Q360">INDEX($P$264:$U$271, INT((ROW(A87)-1)/6)+1, MOD(ROW(A87)-1,6)+1)</f>
        <v>#REF!</v>
      </c>
      <c r="T360" t="e">
        <f ca="1"/>
        <v>#VALUE!</v>
      </c>
      <c r="U360" t="e">
        <f ca="1"/>
        <v>#VALUE!</v>
      </c>
      <c r="W360" s="9">
        <v>35</v>
      </c>
      <c r="X360" s="4" t="e">
        <f t="shared" si="17"/>
        <v>#REF!</v>
      </c>
    </row>
    <row r="361" spans="2:41" x14ac:dyDescent="0.25">
      <c r="B361" s="9">
        <v>36</v>
      </c>
      <c r="C361" s="30">
        <v>1</v>
      </c>
      <c r="M361" s="9">
        <v>36</v>
      </c>
      <c r="N361" s="4" cm="1">
        <f t="array" ref="N361">INDEX($F$326:$K$333, INT((ROW(A36)-1)/6)+1, MOD(ROW(A160)-1,6)+1)</f>
        <v>0</v>
      </c>
      <c r="P361" s="9">
        <v>26</v>
      </c>
      <c r="Q361" s="4" t="e" cm="1">
        <f t="array" ref="Q361">INDEX($P$264:$U$271, INT((ROW(A88)-1)/6)+1, MOD(ROW(A88)-1,6)+1)</f>
        <v>#REF!</v>
      </c>
      <c r="T361" t="e">
        <f ca="1"/>
        <v>#VALUE!</v>
      </c>
      <c r="U361" t="e">
        <f ca="1"/>
        <v>#VALUE!</v>
      </c>
      <c r="W361" s="9">
        <v>36</v>
      </c>
      <c r="X361" s="4" t="e">
        <f t="shared" si="17"/>
        <v>#REF!</v>
      </c>
    </row>
    <row r="362" spans="2:41" x14ac:dyDescent="0.25">
      <c r="B362" s="9">
        <v>37</v>
      </c>
      <c r="C362" s="30">
        <v>0</v>
      </c>
      <c r="M362" s="9">
        <v>37</v>
      </c>
      <c r="N362" s="4" cm="1">
        <f t="array" ref="N362">INDEX($F$326:$K$333, INT((ROW(A37)-1)/6)+1, MOD(ROW(A161)-1,6)+1)</f>
        <v>0</v>
      </c>
      <c r="P362" s="9">
        <v>27</v>
      </c>
      <c r="Q362" s="4" t="e" cm="1">
        <f t="array" ref="Q362">INDEX($P$264:$U$271, INT((ROW(A89)-1)/6)+1, MOD(ROW(A89)-1,6)+1)</f>
        <v>#REF!</v>
      </c>
      <c r="T362" t="e">
        <f ca="1"/>
        <v>#VALUE!</v>
      </c>
      <c r="U362" t="e">
        <f ca="1"/>
        <v>#VALUE!</v>
      </c>
      <c r="W362" s="9">
        <v>37</v>
      </c>
      <c r="X362" s="4" t="e">
        <f t="shared" si="17"/>
        <v>#REF!</v>
      </c>
    </row>
    <row r="363" spans="2:41" x14ac:dyDescent="0.25">
      <c r="B363" s="9">
        <v>38</v>
      </c>
      <c r="C363" s="30">
        <v>0</v>
      </c>
      <c r="M363" s="9">
        <v>38</v>
      </c>
      <c r="N363" s="4" cm="1">
        <f t="array" ref="N363">INDEX($F$326:$K$333, INT((ROW(A38)-1)/6)+1, MOD(ROW(A162)-1,6)+1)</f>
        <v>1</v>
      </c>
      <c r="P363" s="9">
        <v>28</v>
      </c>
      <c r="Q363" s="4" t="e" cm="1">
        <f t="array" ref="Q363">INDEX($P$264:$U$271, INT((ROW(A90)-1)/6)+1, MOD(ROW(A90)-1,6)+1)</f>
        <v>#REF!</v>
      </c>
      <c r="T363" t="e">
        <f ca="1"/>
        <v>#VALUE!</v>
      </c>
      <c r="U363" t="e">
        <f ca="1"/>
        <v>#VALUE!</v>
      </c>
      <c r="W363" s="9">
        <v>38</v>
      </c>
      <c r="X363" s="4" t="e">
        <f t="shared" si="17"/>
        <v>#REF!</v>
      </c>
    </row>
    <row r="364" spans="2:41" x14ac:dyDescent="0.25">
      <c r="B364" s="9">
        <v>39</v>
      </c>
      <c r="C364" s="30">
        <v>1</v>
      </c>
      <c r="M364" s="9">
        <v>39</v>
      </c>
      <c r="N364" s="4" cm="1">
        <f t="array" ref="N364">INDEX($F$326:$K$333, INT((ROW(A39)-1)/6)+1, MOD(ROW(A163)-1,6)+1)</f>
        <v>0</v>
      </c>
      <c r="P364" s="9">
        <v>29</v>
      </c>
      <c r="Q364" s="4" t="e" cm="1">
        <f t="array" ref="Q364">INDEX($P$264:$U$271, INT((ROW(A91)-1)/6)+1, MOD(ROW(A91)-1,6)+1)</f>
        <v>#REF!</v>
      </c>
      <c r="T364" t="e">
        <f ca="1"/>
        <v>#VALUE!</v>
      </c>
      <c r="U364" t="e">
        <f ca="1"/>
        <v>#VALUE!</v>
      </c>
      <c r="W364" s="9">
        <v>39</v>
      </c>
      <c r="X364" s="4" t="e">
        <f t="shared" si="17"/>
        <v>#REF!</v>
      </c>
    </row>
    <row r="365" spans="2:41" x14ac:dyDescent="0.25">
      <c r="B365" s="11">
        <v>40</v>
      </c>
      <c r="C365" s="30">
        <v>1</v>
      </c>
      <c r="M365" s="11">
        <v>40</v>
      </c>
      <c r="N365" s="4" cm="1">
        <f t="array" ref="N365">INDEX($F$326:$K$333, INT((ROW(A40)-1)/6)+1, MOD(ROW(A164)-1,6)+1)</f>
        <v>1</v>
      </c>
      <c r="P365" s="9">
        <v>30</v>
      </c>
      <c r="Q365" s="4" t="e" cm="1">
        <f t="array" ref="Q365">INDEX($P$264:$U$271, INT((ROW(A92)-1)/6)+1, MOD(ROW(A92)-1,6)+1)</f>
        <v>#REF!</v>
      </c>
      <c r="W365" s="11">
        <v>40</v>
      </c>
      <c r="X365" s="4" t="e">
        <f t="shared" si="17"/>
        <v>#REF!</v>
      </c>
    </row>
    <row r="366" spans="2:41" x14ac:dyDescent="0.25">
      <c r="B366" s="7">
        <v>41</v>
      </c>
      <c r="C366" s="30">
        <v>1</v>
      </c>
      <c r="M366" s="7">
        <v>41</v>
      </c>
      <c r="N366" s="4" cm="1">
        <f t="array" ref="N366">INDEX($F$326:$K$333, INT((ROW(A41)-1)/6)+1, MOD(ROW(A165)-1,6)+1)</f>
        <v>1</v>
      </c>
      <c r="P366" s="9">
        <v>31</v>
      </c>
      <c r="Q366" s="4" t="e" cm="1">
        <f t="array" ref="Q366">INDEX($P$264:$U$271, INT((ROW(A93)-1)/6)+1, MOD(ROW(A93)-1,6)+1)</f>
        <v>#REF!</v>
      </c>
      <c r="W366" s="7">
        <v>41</v>
      </c>
      <c r="X366" s="4" t="e">
        <f t="shared" si="17"/>
        <v>#REF!</v>
      </c>
    </row>
    <row r="367" spans="2:41" x14ac:dyDescent="0.25">
      <c r="B367" s="9">
        <v>42</v>
      </c>
      <c r="C367" s="30">
        <v>1</v>
      </c>
      <c r="M367" s="9">
        <v>42</v>
      </c>
      <c r="N367" s="4" cm="1">
        <f t="array" ref="N367">INDEX($F$326:$K$333, INT((ROW(A42)-1)/6)+1, MOD(ROW(A166)-1,6)+1)</f>
        <v>0</v>
      </c>
      <c r="P367" s="11">
        <v>32</v>
      </c>
      <c r="Q367" s="4" t="e" cm="1">
        <f t="array" ref="Q367">INDEX($P$264:$U$271, INT((ROW(A94)-1)/6)+1, MOD(ROW(A94)-1,6)+1)</f>
        <v>#REF!</v>
      </c>
      <c r="W367" s="9">
        <v>42</v>
      </c>
      <c r="X367" s="4" t="e">
        <f t="shared" si="17"/>
        <v>#REF!</v>
      </c>
    </row>
    <row r="368" spans="2:41" x14ac:dyDescent="0.25">
      <c r="B368" s="9">
        <v>43</v>
      </c>
      <c r="C368" s="30">
        <v>0</v>
      </c>
      <c r="M368" s="9">
        <v>43</v>
      </c>
      <c r="N368" s="4" cm="1">
        <f t="array" ref="N368">INDEX($F$326:$K$333, INT((ROW(A43)-1)/6)+1, MOD(ROW(A167)-1,6)+1)</f>
        <v>1</v>
      </c>
      <c r="P368" s="7">
        <v>33</v>
      </c>
      <c r="Q368" s="4" t="e" cm="1">
        <f t="array" ref="Q368">INDEX($P$264:$U$271, INT((ROW(A95)-1)/6)+1, MOD(ROW(A95)-1,6)+1)</f>
        <v>#REF!</v>
      </c>
      <c r="W368" s="9">
        <v>43</v>
      </c>
      <c r="X368" s="4" t="e">
        <f t="shared" si="17"/>
        <v>#REF!</v>
      </c>
    </row>
    <row r="369" spans="2:24" x14ac:dyDescent="0.25">
      <c r="B369" s="9">
        <v>44</v>
      </c>
      <c r="C369" s="30">
        <v>0</v>
      </c>
      <c r="M369" s="9">
        <v>44</v>
      </c>
      <c r="N369" s="4" cm="1">
        <f t="array" ref="N369">INDEX($F$326:$K$333, INT((ROW(A44)-1)/6)+1, MOD(ROW(A168)-1,6)+1)</f>
        <v>1</v>
      </c>
      <c r="P369" s="9">
        <v>34</v>
      </c>
      <c r="Q369" s="4" t="e" cm="1">
        <f t="array" ref="Q369">INDEX($P$264:$U$271, INT((ROW(A96)-1)/6)+1, MOD(ROW(A96)-1,6)+1)</f>
        <v>#REF!</v>
      </c>
      <c r="W369" s="9">
        <v>44</v>
      </c>
      <c r="X369" s="4" t="e">
        <f t="shared" si="17"/>
        <v>#REF!</v>
      </c>
    </row>
    <row r="370" spans="2:24" x14ac:dyDescent="0.25">
      <c r="B370" s="9">
        <v>45</v>
      </c>
      <c r="C370" s="30">
        <v>0</v>
      </c>
      <c r="M370" s="9">
        <v>45</v>
      </c>
      <c r="N370" s="4" cm="1">
        <f t="array" ref="N370">INDEX($F$326:$K$333, INT((ROW(A45)-1)/6)+1, MOD(ROW(A169)-1,6)+1)</f>
        <v>0</v>
      </c>
      <c r="P370" s="9">
        <v>35</v>
      </c>
      <c r="Q370" s="4" t="e" cm="1">
        <f t="array" ref="Q370">INDEX($P$264:$U$271, INT((ROW(A97)-1)/6)+1, MOD(ROW(A97)-1,6)+1)</f>
        <v>#REF!</v>
      </c>
      <c r="W370" s="9">
        <v>45</v>
      </c>
      <c r="X370" s="4" t="e">
        <f t="shared" si="17"/>
        <v>#REF!</v>
      </c>
    </row>
    <row r="371" spans="2:24" x14ac:dyDescent="0.25">
      <c r="B371" s="9">
        <v>46</v>
      </c>
      <c r="C371" s="30">
        <v>0</v>
      </c>
      <c r="M371" s="9">
        <v>46</v>
      </c>
      <c r="N371" s="4" cm="1">
        <f t="array" ref="N371">INDEX($F$326:$K$333, INT((ROW(A46)-1)/6)+1, MOD(ROW(A170)-1,6)+1)</f>
        <v>1</v>
      </c>
      <c r="P371" s="9">
        <v>36</v>
      </c>
      <c r="Q371" s="4" t="e" cm="1">
        <f t="array" ref="Q371">INDEX($P$264:$U$271, INT((ROW(A98)-1)/6)+1, MOD(ROW(A98)-1,6)+1)</f>
        <v>#REF!</v>
      </c>
      <c r="W371" s="9">
        <v>46</v>
      </c>
      <c r="X371" s="4" t="e">
        <f t="shared" si="17"/>
        <v>#REF!</v>
      </c>
    </row>
    <row r="372" spans="2:24" x14ac:dyDescent="0.25">
      <c r="B372" s="9">
        <v>47</v>
      </c>
      <c r="C372" s="30">
        <v>1</v>
      </c>
      <c r="M372" s="9">
        <v>47</v>
      </c>
      <c r="N372" s="4" cm="1">
        <f t="array" ref="N372">INDEX($F$326:$K$333, INT((ROW(A47)-1)/6)+1, MOD(ROW(A171)-1,6)+1)</f>
        <v>0</v>
      </c>
      <c r="P372" s="9">
        <v>37</v>
      </c>
      <c r="Q372" s="4" t="e" cm="1">
        <f t="array" ref="Q372">INDEX($P$264:$U$271, INT((ROW(A99)-1)/6)+1, MOD(ROW(A99)-1,6)+1)</f>
        <v>#REF!</v>
      </c>
      <c r="W372" s="9">
        <v>47</v>
      </c>
      <c r="X372" s="4" t="e">
        <f t="shared" si="17"/>
        <v>#REF!</v>
      </c>
    </row>
    <row r="373" spans="2:24" x14ac:dyDescent="0.25">
      <c r="B373" s="11">
        <v>48</v>
      </c>
      <c r="C373" s="30">
        <v>0</v>
      </c>
      <c r="M373" s="11">
        <v>48</v>
      </c>
      <c r="N373" s="2" cm="1">
        <f t="array" ref="N373">INDEX($F$326:$K$333, INT((ROW(A48)-1)/6)+1, MOD(ROW(A172)-1,6)+1)</f>
        <v>1</v>
      </c>
      <c r="P373" s="9">
        <v>38</v>
      </c>
      <c r="Q373" s="4" t="e" cm="1">
        <f t="array" ref="Q373">INDEX($P$264:$U$271, INT((ROW(A100)-1)/6)+1, MOD(ROW(A100)-1,6)+1)</f>
        <v>#REF!</v>
      </c>
      <c r="W373" s="11">
        <v>48</v>
      </c>
      <c r="X373" s="4" t="e">
        <f t="shared" si="17"/>
        <v>#REF!</v>
      </c>
    </row>
    <row r="374" spans="2:24" x14ac:dyDescent="0.25">
      <c r="B374" s="7">
        <v>49</v>
      </c>
      <c r="C374" s="30">
        <v>1</v>
      </c>
      <c r="P374" s="9">
        <v>39</v>
      </c>
      <c r="Q374" s="4" t="e" cm="1">
        <f t="array" ref="Q374">INDEX($P$264:$U$271, INT((ROW(A101)-1)/6)+1, MOD(ROW(A101)-1,6)+1)</f>
        <v>#REF!</v>
      </c>
    </row>
    <row r="375" spans="2:24" x14ac:dyDescent="0.25">
      <c r="B375" s="9">
        <v>50</v>
      </c>
      <c r="C375" s="30">
        <v>0</v>
      </c>
      <c r="P375" s="11">
        <v>40</v>
      </c>
      <c r="Q375" s="4" t="e" cm="1">
        <f t="array" ref="Q375">INDEX($P$264:$U$271, INT((ROW(A102)-1)/6)+1, MOD(ROW(A102)-1,6)+1)</f>
        <v>#REF!</v>
      </c>
    </row>
    <row r="376" spans="2:24" x14ac:dyDescent="0.25">
      <c r="B376" s="9">
        <v>51</v>
      </c>
      <c r="C376" s="30">
        <v>1</v>
      </c>
      <c r="P376" s="7">
        <v>41</v>
      </c>
      <c r="Q376" s="4" t="e" cm="1">
        <f t="array" ref="Q376">INDEX($P$264:$U$271, INT((ROW(A103)-1)/6)+1, MOD(ROW(A103)-1,6)+1)</f>
        <v>#REF!</v>
      </c>
    </row>
    <row r="377" spans="2:24" x14ac:dyDescent="0.25">
      <c r="B377" s="9">
        <v>52</v>
      </c>
      <c r="C377" s="30">
        <v>0</v>
      </c>
      <c r="P377" s="9">
        <v>42</v>
      </c>
      <c r="Q377" s="4" t="e" cm="1">
        <f t="array" ref="Q377">INDEX($P$264:$U$271, INT((ROW(A104)-1)/6)+1, MOD(ROW(A104)-1,6)+1)</f>
        <v>#REF!</v>
      </c>
    </row>
    <row r="378" spans="2:24" x14ac:dyDescent="0.25">
      <c r="B378" s="9">
        <v>53</v>
      </c>
      <c r="C378" s="30">
        <v>1</v>
      </c>
      <c r="P378" s="9">
        <v>43</v>
      </c>
      <c r="Q378" s="4" t="e" cm="1">
        <f t="array" ref="Q378">INDEX($P$264:$U$271, INT((ROW(A105)-1)/6)+1, MOD(ROW(A105)-1,6)+1)</f>
        <v>#REF!</v>
      </c>
    </row>
    <row r="379" spans="2:24" x14ac:dyDescent="0.25">
      <c r="B379" s="9">
        <v>54</v>
      </c>
      <c r="C379" s="30">
        <v>0</v>
      </c>
      <c r="P379" s="9">
        <v>44</v>
      </c>
      <c r="Q379" s="4" t="e" cm="1">
        <f t="array" ref="Q379">INDEX($P$264:$U$271, INT((ROW(A106)-1)/6)+1, MOD(ROW(A106)-1,6)+1)</f>
        <v>#REF!</v>
      </c>
    </row>
    <row r="380" spans="2:24" x14ac:dyDescent="0.25">
      <c r="B380" s="9">
        <v>55</v>
      </c>
      <c r="C380" s="30">
        <v>1</v>
      </c>
      <c r="P380" s="9">
        <v>45</v>
      </c>
      <c r="Q380" s="4" t="e" cm="1">
        <f t="array" ref="Q380">INDEX($P$264:$U$271, INT((ROW(A107)-1)/6)+1, MOD(ROW(A107)-1,6)+1)</f>
        <v>#REF!</v>
      </c>
    </row>
    <row r="381" spans="2:24" x14ac:dyDescent="0.25">
      <c r="B381" s="11">
        <v>56</v>
      </c>
      <c r="C381" s="30">
        <v>0</v>
      </c>
      <c r="P381" s="9">
        <v>46</v>
      </c>
      <c r="Q381" s="4" t="e" cm="1">
        <f t="array" ref="Q381">INDEX($P$264:$U$271, INT((ROW(A108)-1)/6)+1, MOD(ROW(A108)-1,6)+1)</f>
        <v>#REF!</v>
      </c>
    </row>
    <row r="382" spans="2:24" x14ac:dyDescent="0.25">
      <c r="P382" s="9">
        <v>47</v>
      </c>
      <c r="Q382" s="4" t="e" cm="1">
        <f t="array" ref="Q382">INDEX($P$264:$U$271, INT((ROW(A109)-1)/6)+1, MOD(ROW(A109)-1,6)+1)</f>
        <v>#REF!</v>
      </c>
    </row>
    <row r="383" spans="2:24" x14ac:dyDescent="0.25">
      <c r="P383" s="11">
        <v>48</v>
      </c>
      <c r="Q383" s="4" t="e" cm="1">
        <f t="array" ref="Q383">INDEX($P$264:$U$271, INT((ROW(A110)-1)/6)+1, MOD(ROW(A110)-1,6)+1)</f>
        <v>#REF!</v>
      </c>
    </row>
    <row r="384" spans="2:24" x14ac:dyDescent="0.25">
      <c r="B384" t="s">
        <v>38</v>
      </c>
    </row>
    <row r="386" spans="2:41" x14ac:dyDescent="0.25">
      <c r="B386" s="37" t="s">
        <v>39</v>
      </c>
      <c r="C386" s="38"/>
      <c r="F386" s="39" t="s">
        <v>23</v>
      </c>
      <c r="G386" s="40"/>
      <c r="H386" s="40"/>
      <c r="I386" s="40"/>
      <c r="J386" s="40"/>
      <c r="K386" s="41"/>
      <c r="M386" s="37" t="s">
        <v>40</v>
      </c>
      <c r="N386" s="43"/>
      <c r="P386" s="39" t="s">
        <v>93</v>
      </c>
      <c r="Q386" s="40"/>
      <c r="R386" s="40"/>
      <c r="S386" s="40"/>
      <c r="T386" s="40"/>
      <c r="U386" s="41"/>
      <c r="W386" s="2" t="s">
        <v>3</v>
      </c>
      <c r="X386" s="18" t="s">
        <v>95</v>
      </c>
      <c r="Z386" s="42" t="s">
        <v>77</v>
      </c>
      <c r="AA386" s="42" t="s">
        <v>74</v>
      </c>
      <c r="AB386" s="42"/>
      <c r="AC386" s="42" t="s">
        <v>75</v>
      </c>
      <c r="AD386" s="42" t="s">
        <v>76</v>
      </c>
      <c r="AE386" s="36" t="s">
        <v>78</v>
      </c>
      <c r="AF386" s="36" t="s">
        <v>79</v>
      </c>
      <c r="AH386" s="37" t="s">
        <v>96</v>
      </c>
      <c r="AI386" s="38"/>
      <c r="AK386" s="37" t="s">
        <v>97</v>
      </c>
      <c r="AL386" s="38"/>
      <c r="AN386" s="36" t="s">
        <v>98</v>
      </c>
      <c r="AO386" s="36"/>
    </row>
    <row r="387" spans="2:41" x14ac:dyDescent="0.25">
      <c r="B387" s="7">
        <v>1</v>
      </c>
      <c r="C387" s="2">
        <v>1</v>
      </c>
      <c r="F387" s="15" cm="1">
        <f t="array" ref="F387">INDEX($C$387:$C$442, H41)</f>
        <v>0</v>
      </c>
      <c r="G387" s="15" cm="1">
        <f t="array" ref="G387">INDEX($C$387:$C$442, I41)</f>
        <v>1</v>
      </c>
      <c r="H387" s="15" cm="1">
        <f t="array" ref="H387">INDEX($C$387:$C$442, J41)</f>
        <v>1</v>
      </c>
      <c r="I387" s="15" cm="1">
        <f t="array" ref="I387">INDEX($C$387:$C$442, K41)</f>
        <v>1</v>
      </c>
      <c r="J387" s="15" cm="1">
        <f t="array" ref="J387">INDEX($C$387:$C$442, L41)</f>
        <v>1</v>
      </c>
      <c r="K387" s="15" cm="1">
        <f t="array" ref="K387">INDEX($C$387:$C$442, M41)</f>
        <v>1</v>
      </c>
      <c r="M387" s="7">
        <v>1</v>
      </c>
      <c r="N387" s="4" cm="1">
        <f t="array" ref="N387">INDEX($F$387:$K$394, INT((ROW(A1)-1)/6)+1, MOD(ROW(A186)-1,6)+1)</f>
        <v>1</v>
      </c>
      <c r="P387" s="15" t="e" cm="1" vm="1">
        <f t="array" aca="1" ref="P387" ca="1">INDEX($AO$204:$AO$235, H174)</f>
        <v>#VALUE!</v>
      </c>
      <c r="Q387" s="15" t="e" cm="1" vm="1">
        <f t="array" aca="1" ref="Q387" ca="1">INDEX($AO$204:$AO$235, I174)</f>
        <v>#VALUE!</v>
      </c>
      <c r="R387" s="15" t="e" cm="1" vm="1">
        <f t="array" aca="1" ref="R387" ca="1">INDEX($AO$204:$AO$235, J174)</f>
        <v>#VALUE!</v>
      </c>
      <c r="S387" s="15" t="e" cm="1" vm="1">
        <f t="array" aca="1" ref="S387" ca="1">INDEX($AO$204:$AO$235, K174)</f>
        <v>#VALUE!</v>
      </c>
      <c r="T387" s="15" t="e" cm="1" vm="1">
        <f t="array" aca="1" ref="T387" ca="1">INDEX($AO$204:$AO$235, L174)</f>
        <v>#VALUE!</v>
      </c>
      <c r="U387" s="15" t="e" cm="1">
        <f t="array" ref="U387">INDEX($AO$204:$AO$235, M174)</f>
        <v>#REF!</v>
      </c>
      <c r="W387" s="7">
        <v>1</v>
      </c>
      <c r="X387" s="4" t="e">
        <f>_xlfn.BITXOR(Q397, N387)</f>
        <v>#REF!</v>
      </c>
      <c r="Z387" s="42"/>
      <c r="AA387" s="42"/>
      <c r="AB387" s="42"/>
      <c r="AC387" s="42"/>
      <c r="AD387" s="42"/>
      <c r="AE387" s="36"/>
      <c r="AF387" s="36"/>
      <c r="AH387" s="7">
        <v>1</v>
      </c>
      <c r="AI387" s="4" t="e" cm="1">
        <f t="array" ref="AI387">MID(INDEX($AF$265:$AF$272,INT((ROW(A124)-1)/4)+1),MOD(ROW(A124)-1,4)+1,1)</f>
        <v>#REF!</v>
      </c>
      <c r="AK387" s="7">
        <v>1</v>
      </c>
      <c r="AL387" s="4" t="e" cm="1">
        <f t="array" ref="AL387">INDEX($AI$264:$AI$295, INDEX($H$15:$O$18, INT((ROW(A124)-1)/8)+1, MOD(ROW(A124)-1,8)+1))</f>
        <v>#REF!</v>
      </c>
      <c r="AN387" s="2" t="s">
        <v>99</v>
      </c>
      <c r="AO387" s="31" t="s">
        <v>101</v>
      </c>
    </row>
    <row r="388" spans="2:41" x14ac:dyDescent="0.25">
      <c r="B388" s="9">
        <v>2</v>
      </c>
      <c r="C388" s="2">
        <v>1</v>
      </c>
      <c r="F388" s="15" cm="1">
        <f t="array" ref="F388">INDEX($C$387:$C$442, H42)</f>
        <v>0</v>
      </c>
      <c r="G388" s="15" cm="1">
        <f t="array" ref="G388">INDEX($C$387:$C$442, I42)</f>
        <v>0</v>
      </c>
      <c r="H388" s="15" cm="1">
        <f t="array" ref="H388">INDEX($C$387:$C$442, J42)</f>
        <v>1</v>
      </c>
      <c r="I388" s="15" cm="1">
        <f t="array" ref="I388">INDEX($C$387:$C$442, K42)</f>
        <v>1</v>
      </c>
      <c r="J388" s="15" cm="1">
        <f t="array" ref="J388">INDEX($C$387:$C$442, L42)</f>
        <v>1</v>
      </c>
      <c r="K388" s="15" cm="1">
        <f t="array" ref="K388">INDEX($C$387:$C$442, M42)</f>
        <v>0</v>
      </c>
      <c r="M388" s="9">
        <v>2</v>
      </c>
      <c r="N388" s="4" cm="1">
        <f t="array" ref="N388">INDEX($F$387:$K$394, INT((ROW(A2)-1)/6)+1, MOD(ROW(A187)-1,6)+1)</f>
        <v>0</v>
      </c>
      <c r="P388" s="15" t="e" cm="1" vm="1">
        <f t="array" aca="1" ref="P388" ca="1">INDEX($AO$204:$AO$235, H175)</f>
        <v>#VALUE!</v>
      </c>
      <c r="Q388" s="15" t="e" cm="1" vm="1">
        <f t="array" aca="1" ref="Q388" ca="1">INDEX($AO$204:$AO$235, I175)</f>
        <v>#VALUE!</v>
      </c>
      <c r="R388" s="15" t="e" cm="1" vm="1">
        <f t="array" aca="1" ref="R388" ca="1">INDEX($AO$204:$AO$235, J175)</f>
        <v>#VALUE!</v>
      </c>
      <c r="S388" s="15" t="e" cm="1" vm="1">
        <f t="array" aca="1" ref="S388" ca="1">INDEX($AO$204:$AO$235, K175)</f>
        <v>#VALUE!</v>
      </c>
      <c r="T388" s="15" t="e" cm="1" vm="1">
        <f t="array" aca="1" ref="T388" ca="1">INDEX($AO$204:$AO$235, L175)</f>
        <v>#VALUE!</v>
      </c>
      <c r="U388" s="15" t="e" cm="1">
        <f t="array" ref="U388">INDEX($AO$204:$AO$235, M175)</f>
        <v>#REF!</v>
      </c>
      <c r="W388" s="9">
        <v>2</v>
      </c>
      <c r="X388" s="4" t="e">
        <f t="shared" ref="X388:X434" si="23">_xlfn.BITXOR(Q398, N388)</f>
        <v>#REF!</v>
      </c>
      <c r="Z388" s="32">
        <v>1</v>
      </c>
      <c r="AA388" s="34" t="e">
        <f>_xlfn.TEXTJOIN("", TRUE, INDEX($X$264:$X$311, (ROW(A124)-1)*6+1) : INDEX($X$264:$X$311, (ROW(A124)-1)*6+6))</f>
        <v>#REF!</v>
      </c>
      <c r="AB388" s="35"/>
      <c r="AC388" s="32" t="e">
        <f>BIN2DEC(LEFT(AA388,1) &amp; RIGHT(AA388,1))</f>
        <v>#REF!</v>
      </c>
      <c r="AD388" s="31" t="e">
        <f>BIN2DEC(MID(AA388,2,4))</f>
        <v>#REF!</v>
      </c>
      <c r="AE388" s="31" t="e" cm="1">
        <f t="array" aca="1" ref="AE388" ca="1">INDEX(OFFSET('[1]S-box'!$A$2, (Z388-1)*6, 0, 4, 16), AC388+1, AD388+1)</f>
        <v>#VALUE!</v>
      </c>
      <c r="AF388" s="33" t="e">
        <f ca="1">DEC2BIN(AE388, 4)</f>
        <v>#VALUE!</v>
      </c>
      <c r="AH388" s="9">
        <v>2</v>
      </c>
      <c r="AI388" s="4" t="e" cm="1">
        <f t="array" ref="AI388">MID(INDEX($AF$265:$AF$272,INT((ROW(A125)-1)/4)+1),MOD(ROW(A125)-1,4)+1,1)</f>
        <v>#REF!</v>
      </c>
      <c r="AK388" s="9">
        <v>2</v>
      </c>
      <c r="AL388" s="4" t="e" cm="1">
        <f t="array" ref="AL388">INDEX($AI$264:$AI$295, INDEX($H$15:$O$18, INT((ROW(A125)-1)/8)+1, MOD(ROW(A125)-1,8)+1))</f>
        <v>#REF!</v>
      </c>
      <c r="AN388" s="2">
        <f>_xlfn.BITXOR(T201, AE326)</f>
        <v>0</v>
      </c>
      <c r="AO388" s="2" t="e">
        <f>_xlfn.BITXOR(N387, AL387)</f>
        <v>#REF!</v>
      </c>
    </row>
    <row r="389" spans="2:41" x14ac:dyDescent="0.25">
      <c r="B389" s="9">
        <v>3</v>
      </c>
      <c r="C389" s="2">
        <v>0</v>
      </c>
      <c r="F389" s="15" cm="1">
        <f t="array" ref="F389">INDEX($C$387:$C$442, H43)</f>
        <v>1</v>
      </c>
      <c r="G389" s="15" cm="1">
        <f t="array" ref="G389">INDEX($C$387:$C$442, I43)</f>
        <v>1</v>
      </c>
      <c r="H389" s="15" cm="1">
        <f t="array" ref="H389">INDEX($C$387:$C$442, J43)</f>
        <v>0</v>
      </c>
      <c r="I389" s="15" cm="1">
        <f t="array" ref="I389">INDEX($C$387:$C$442, K43)</f>
        <v>0</v>
      </c>
      <c r="J389" s="15" cm="1">
        <f t="array" ref="J389">INDEX($C$387:$C$442, L43)</f>
        <v>0</v>
      </c>
      <c r="K389" s="15" cm="1">
        <f t="array" ref="K389">INDEX($C$387:$C$442, M43)</f>
        <v>0</v>
      </c>
      <c r="M389" s="9">
        <v>3</v>
      </c>
      <c r="N389" s="4" cm="1">
        <f t="array" ref="N389">INDEX($F$387:$K$394, INT((ROW(A3)-1)/6)+1, MOD(ROW(A188)-1,6)+1)</f>
        <v>1</v>
      </c>
      <c r="P389" s="15" t="e" cm="1" vm="1">
        <f t="array" aca="1" ref="P389" ca="1">INDEX($AO$204:$AO$235, H176)</f>
        <v>#VALUE!</v>
      </c>
      <c r="Q389" s="15" t="e" cm="1" vm="1">
        <f t="array" aca="1" ref="Q389" ca="1">INDEX($AO$204:$AO$235, I176)</f>
        <v>#VALUE!</v>
      </c>
      <c r="R389" s="15" t="e" cm="1" vm="1">
        <f t="array" aca="1" ref="R389" ca="1">INDEX($AO$204:$AO$235, J176)</f>
        <v>#VALUE!</v>
      </c>
      <c r="S389" s="15" t="e" cm="1" vm="1">
        <f t="array" aca="1" ref="S389" ca="1">INDEX($AO$204:$AO$235, K176)</f>
        <v>#VALUE!</v>
      </c>
      <c r="T389" s="15" t="e" cm="1" vm="1">
        <f t="array" aca="1" ref="T389" ca="1">INDEX($AO$204:$AO$235, L176)</f>
        <v>#VALUE!</v>
      </c>
      <c r="U389" s="15" t="e" cm="1">
        <f t="array" ref="U389">INDEX($AO$204:$AO$235, M176)</f>
        <v>#REF!</v>
      </c>
      <c r="W389" s="9">
        <v>3</v>
      </c>
      <c r="X389" s="4" t="e">
        <f t="shared" si="23"/>
        <v>#REF!</v>
      </c>
      <c r="Z389" s="32">
        <v>2</v>
      </c>
      <c r="AA389" s="34" t="e">
        <f>_xlfn.TEXTJOIN("", TRUE, INDEX($X$264:$X$311, (ROW(A125)-1)*6+1) : INDEX($X$264:$X$311, (ROW(A125)-1)*6+6))</f>
        <v>#REF!</v>
      </c>
      <c r="AB389" s="35"/>
      <c r="AC389" s="32" t="e">
        <f t="shared" ref="AC389:AC395" si="24">BIN2DEC(LEFT(AA389,1) &amp; RIGHT(AA389,1))</f>
        <v>#REF!</v>
      </c>
      <c r="AD389" s="31" t="e">
        <f t="shared" ref="AD389:AD395" si="25">BIN2DEC(MID(AA389,2,4))</f>
        <v>#REF!</v>
      </c>
      <c r="AE389" s="31" t="e" cm="1">
        <f t="array" aca="1" ref="AE389" ca="1">INDEX(OFFSET('[1]S-box'!$A$2, (Z389-1)*6, 0, 4, 16), AC389+1, AD389+1)</f>
        <v>#VALUE!</v>
      </c>
      <c r="AF389" s="33" t="e">
        <f t="shared" ref="AF389:AF395" ca="1" si="26">DEC2BIN(AE389, 4)</f>
        <v>#VALUE!</v>
      </c>
      <c r="AH389" s="9">
        <v>3</v>
      </c>
      <c r="AI389" s="4" t="e" cm="1">
        <f t="array" ref="AI389">MID(INDEX($AF$265:$AF$272,INT((ROW(A126)-1)/4)+1),MOD(ROW(A126)-1,4)+1,1)</f>
        <v>#REF!</v>
      </c>
      <c r="AK389" s="9">
        <v>3</v>
      </c>
      <c r="AL389" s="4" t="e" cm="1">
        <f t="array" ref="AL389">INDEX($AI$264:$AI$295, INDEX($H$15:$O$18, INT((ROW(A126)-1)/8)+1, MOD(ROW(A126)-1,8)+1))</f>
        <v>#REF!</v>
      </c>
      <c r="AN389" s="2" t="e">
        <f t="shared" ref="AN389:AN419" ca="1" si="27">_xlfn.BITXOR(T202, AE327)</f>
        <v>#VALUE!</v>
      </c>
      <c r="AO389" s="2" t="e">
        <f t="shared" ref="AO389:AO419" si="28">_xlfn.BITXOR(N388, AL388)</f>
        <v>#REF!</v>
      </c>
    </row>
    <row r="390" spans="2:41" x14ac:dyDescent="0.25">
      <c r="B390" s="9">
        <v>4</v>
      </c>
      <c r="C390" s="2">
        <v>0</v>
      </c>
      <c r="F390" s="15" cm="1">
        <f t="array" ref="F390">INDEX($C$387:$C$442, H44)</f>
        <v>0</v>
      </c>
      <c r="G390" s="15" cm="1">
        <f t="array" ref="G390">INDEX($C$387:$C$442, I44)</f>
        <v>0</v>
      </c>
      <c r="H390" s="15" cm="1">
        <f t="array" ref="H390">INDEX($C$387:$C$442, J44)</f>
        <v>0</v>
      </c>
      <c r="I390" s="15" cm="1">
        <f t="array" ref="I390">INDEX($C$387:$C$442, K44)</f>
        <v>1</v>
      </c>
      <c r="J390" s="15" cm="1">
        <f t="array" ref="J390">INDEX($C$387:$C$442, L44)</f>
        <v>1</v>
      </c>
      <c r="K390" s="15" cm="1">
        <f t="array" ref="K390">INDEX($C$387:$C$442, M44)</f>
        <v>1</v>
      </c>
      <c r="M390" s="9">
        <v>4</v>
      </c>
      <c r="N390" s="4" cm="1">
        <f t="array" ref="N390">INDEX($F$387:$K$394, INT((ROW(A4)-1)/6)+1, MOD(ROW(A189)-1,6)+1)</f>
        <v>1</v>
      </c>
      <c r="P390" s="15" t="e" cm="1" vm="1">
        <f t="array" aca="1" ref="P390" ca="1">INDEX($AO$204:$AO$235, H177)</f>
        <v>#VALUE!</v>
      </c>
      <c r="Q390" s="15" t="e" cm="1" vm="1">
        <f t="array" aca="1" ref="Q390" ca="1">INDEX($AO$204:$AO$235, I177)</f>
        <v>#VALUE!</v>
      </c>
      <c r="R390" s="15" t="e" cm="1" vm="1">
        <f t="array" aca="1" ref="R390" ca="1">INDEX($AO$204:$AO$235, J177)</f>
        <v>#VALUE!</v>
      </c>
      <c r="S390" s="15" t="e" cm="1" vm="1">
        <f t="array" aca="1" ref="S390" ca="1">INDEX($AO$204:$AO$235, K177)</f>
        <v>#VALUE!</v>
      </c>
      <c r="T390" s="15" t="e" cm="1" vm="1">
        <f t="array" aca="1" ref="T390" ca="1">INDEX($AO$204:$AO$235, L177)</f>
        <v>#VALUE!</v>
      </c>
      <c r="U390" s="15" t="e" cm="1">
        <f t="array" ref="U390">INDEX($AO$204:$AO$235, M177)</f>
        <v>#REF!</v>
      </c>
      <c r="W390" s="9">
        <v>4</v>
      </c>
      <c r="X390" s="4" t="e">
        <f t="shared" si="23"/>
        <v>#REF!</v>
      </c>
      <c r="Z390" s="32">
        <v>3</v>
      </c>
      <c r="AA390" s="34" t="e">
        <f>_xlfn.TEXTJOIN("", TRUE, INDEX($X$264:$X$311, (ROW(A126)-1)*6+1) : INDEX($X$264:$X$311, (ROW(A126)-1)*6+6))</f>
        <v>#REF!</v>
      </c>
      <c r="AB390" s="35"/>
      <c r="AC390" s="32" t="e">
        <f t="shared" si="24"/>
        <v>#REF!</v>
      </c>
      <c r="AD390" s="31" t="e">
        <f t="shared" si="25"/>
        <v>#REF!</v>
      </c>
      <c r="AE390" s="31" t="e" cm="1">
        <f t="array" aca="1" ref="AE390" ca="1">INDEX(OFFSET('[1]S-box'!$A$2, (Z390-1)*6, 0, 4, 16), AC390+1, AD390+1)</f>
        <v>#VALUE!</v>
      </c>
      <c r="AF390" s="33" t="e">
        <f t="shared" ca="1" si="26"/>
        <v>#VALUE!</v>
      </c>
      <c r="AH390" s="9">
        <v>4</v>
      </c>
      <c r="AI390" s="4" t="e" cm="1">
        <f t="array" ref="AI390">MID(INDEX($AF$265:$AF$272,INT((ROW(A127)-1)/4)+1),MOD(ROW(A127)-1,4)+1,1)</f>
        <v>#REF!</v>
      </c>
      <c r="AK390" s="9">
        <v>4</v>
      </c>
      <c r="AL390" s="4" t="e" cm="1">
        <f t="array" ref="AL390">INDEX($AI$264:$AI$295, INDEX($H$15:$O$18, INT((ROW(A127)-1)/8)+1, MOD(ROW(A127)-1,8)+1))</f>
        <v>#REF!</v>
      </c>
      <c r="AN390" s="2" t="e">
        <f t="shared" ca="1" si="27"/>
        <v>#VALUE!</v>
      </c>
      <c r="AO390" s="2" t="e">
        <f t="shared" si="28"/>
        <v>#REF!</v>
      </c>
    </row>
    <row r="391" spans="2:41" x14ac:dyDescent="0.25">
      <c r="B391" s="9">
        <v>5</v>
      </c>
      <c r="C391" s="2">
        <v>1</v>
      </c>
      <c r="F391" s="15" cm="1">
        <f t="array" ref="F391">INDEX($C$387:$C$442, H45)</f>
        <v>0</v>
      </c>
      <c r="G391" s="15" cm="1">
        <f t="array" ref="G391">INDEX($C$387:$C$442, I45)</f>
        <v>0</v>
      </c>
      <c r="H391" s="15" cm="1">
        <f t="array" ref="H391">INDEX($C$387:$C$442, J45)</f>
        <v>0</v>
      </c>
      <c r="I391" s="15" cm="1">
        <f t="array" ref="I391">INDEX($C$387:$C$442, K45)</f>
        <v>1</v>
      </c>
      <c r="J391" s="15" cm="1">
        <f t="array" ref="J391">INDEX($C$387:$C$442, L45)</f>
        <v>1</v>
      </c>
      <c r="K391" s="15" cm="1">
        <f t="array" ref="K391">INDEX($C$387:$C$442, M45)</f>
        <v>1</v>
      </c>
      <c r="M391" s="9">
        <v>5</v>
      </c>
      <c r="N391" s="4" cm="1">
        <f t="array" ref="N391">INDEX($F$387:$K$394, INT((ROW(A5)-1)/6)+1, MOD(ROW(A190)-1,6)+1)</f>
        <v>1</v>
      </c>
      <c r="P391" s="15" t="e" cm="1" vm="1">
        <f t="array" aca="1" ref="P391" ca="1">INDEX($AO$204:$AO$235, H178)</f>
        <v>#VALUE!</v>
      </c>
      <c r="Q391" s="15" t="e" cm="1" vm="1">
        <f t="array" aca="1" ref="Q391" ca="1">INDEX($AO$204:$AO$235, I178)</f>
        <v>#VALUE!</v>
      </c>
      <c r="R391" s="15" t="e" cm="1" vm="1">
        <f t="array" aca="1" ref="R391" ca="1">INDEX($AO$204:$AO$235, J178)</f>
        <v>#VALUE!</v>
      </c>
      <c r="S391" s="15" t="e" cm="1" vm="1">
        <f t="array" aca="1" ref="S391" ca="1">INDEX($AO$204:$AO$235, K178)</f>
        <v>#VALUE!</v>
      </c>
      <c r="T391" s="15" t="e" cm="1" vm="1">
        <f t="array" aca="1" ref="T391" ca="1">INDEX($AO$204:$AO$235, L178)</f>
        <v>#VALUE!</v>
      </c>
      <c r="U391" s="15" t="e" cm="1">
        <f t="array" ref="U391">INDEX($AO$204:$AO$235, M178)</f>
        <v>#REF!</v>
      </c>
      <c r="W391" s="9">
        <v>5</v>
      </c>
      <c r="X391" s="4" t="e">
        <f t="shared" si="23"/>
        <v>#REF!</v>
      </c>
      <c r="Z391" s="32">
        <v>4</v>
      </c>
      <c r="AA391" s="34" t="e">
        <f>_xlfn.TEXTJOIN("", TRUE, INDEX($X$264:$X$311, (ROW(A127)-1)*6+1) : INDEX($X$264:$X$311, (ROW(A127)-1)*6+6))</f>
        <v>#REF!</v>
      </c>
      <c r="AB391" s="35"/>
      <c r="AC391" s="32" t="e">
        <f t="shared" si="24"/>
        <v>#REF!</v>
      </c>
      <c r="AD391" s="31" t="e">
        <f t="shared" si="25"/>
        <v>#REF!</v>
      </c>
      <c r="AE391" s="31" t="e" cm="1">
        <f t="array" aca="1" ref="AE391" ca="1">INDEX(OFFSET('[1]S-box'!$A$2, (Z391-1)*6, 0, 4, 16), AC391+1, AD391+1)</f>
        <v>#VALUE!</v>
      </c>
      <c r="AF391" s="33" t="e">
        <f t="shared" ca="1" si="26"/>
        <v>#VALUE!</v>
      </c>
      <c r="AH391" s="9">
        <v>5</v>
      </c>
      <c r="AI391" s="4" t="e" cm="1">
        <f t="array" ref="AI391">MID(INDEX($AF$265:$AF$272,INT((ROW(A128)-1)/4)+1),MOD(ROW(A128)-1,4)+1,1)</f>
        <v>#REF!</v>
      </c>
      <c r="AK391" s="9">
        <v>5</v>
      </c>
      <c r="AL391" s="4" t="e" cm="1">
        <f t="array" ref="AL391">INDEX($AI$264:$AI$295, INDEX($H$15:$O$18, INT((ROW(A128)-1)/8)+1, MOD(ROW(A128)-1,8)+1))</f>
        <v>#REF!</v>
      </c>
      <c r="AN391" s="2" t="e">
        <f t="shared" ca="1" si="27"/>
        <v>#VALUE!</v>
      </c>
      <c r="AO391" s="2" t="e">
        <f t="shared" si="28"/>
        <v>#REF!</v>
      </c>
    </row>
    <row r="392" spans="2:41" x14ac:dyDescent="0.25">
      <c r="B392" s="9">
        <v>6</v>
      </c>
      <c r="C392" s="2">
        <v>1</v>
      </c>
      <c r="F392" s="15" cm="1">
        <f t="array" ref="F392">INDEX($C$387:$C$442, H46)</f>
        <v>1</v>
      </c>
      <c r="G392" s="15" cm="1">
        <f t="array" ref="G392">INDEX($C$387:$C$442, I46)</f>
        <v>1</v>
      </c>
      <c r="H392" s="15" cm="1">
        <f t="array" ref="H392">INDEX($C$387:$C$442, J46)</f>
        <v>1</v>
      </c>
      <c r="I392" s="15" cm="1">
        <f t="array" ref="I392">INDEX($C$387:$C$442, K46)</f>
        <v>1</v>
      </c>
      <c r="J392" s="15" cm="1">
        <f t="array" ref="J392">INDEX($C$387:$C$442, L46)</f>
        <v>1</v>
      </c>
      <c r="K392" s="15" cm="1">
        <f t="array" ref="K392">INDEX($C$387:$C$442, M46)</f>
        <v>0</v>
      </c>
      <c r="M392" s="9">
        <v>6</v>
      </c>
      <c r="N392" s="4" cm="1">
        <f t="array" ref="N392">INDEX($F$387:$K$394, INT((ROW(A6)-1)/6)+1, MOD(ROW(A191)-1,6)+1)</f>
        <v>1</v>
      </c>
      <c r="P392" s="15" t="e" cm="1" vm="1">
        <f t="array" aca="1" ref="P392" ca="1">INDEX($AO$204:$AO$235, H179)</f>
        <v>#VALUE!</v>
      </c>
      <c r="Q392" s="15" t="e" cm="1" vm="1">
        <f t="array" aca="1" ref="Q392" ca="1">INDEX($AO$204:$AO$235, I179)</f>
        <v>#VALUE!</v>
      </c>
      <c r="R392" s="15" t="e" cm="1" vm="1">
        <f t="array" aca="1" ref="R392" ca="1">INDEX($AO$204:$AO$235, J179)</f>
        <v>#VALUE!</v>
      </c>
      <c r="S392" s="15" t="e" cm="1" vm="1">
        <f t="array" aca="1" ref="S392" ca="1">INDEX($AO$204:$AO$235, K179)</f>
        <v>#VALUE!</v>
      </c>
      <c r="T392" s="15" t="e" cm="1" vm="1">
        <f t="array" aca="1" ref="T392" ca="1">INDEX($AO$204:$AO$235, L179)</f>
        <v>#VALUE!</v>
      </c>
      <c r="U392" s="15" t="e" cm="1">
        <f t="array" ref="U392">INDEX($AO$204:$AO$235, M179)</f>
        <v>#REF!</v>
      </c>
      <c r="W392" s="9">
        <v>6</v>
      </c>
      <c r="X392" s="4" t="e">
        <f t="shared" si="23"/>
        <v>#REF!</v>
      </c>
      <c r="Z392" s="32">
        <v>5</v>
      </c>
      <c r="AA392" s="34" t="e">
        <f>_xlfn.TEXTJOIN("", TRUE, INDEX($X$264:$X$311, (ROW(A128)-1)*6+1) : INDEX($X$264:$X$311, (ROW(A128)-1)*6+6))</f>
        <v>#REF!</v>
      </c>
      <c r="AB392" s="35"/>
      <c r="AC392" s="32" t="e">
        <f t="shared" si="24"/>
        <v>#REF!</v>
      </c>
      <c r="AD392" s="31" t="e">
        <f t="shared" si="25"/>
        <v>#REF!</v>
      </c>
      <c r="AE392" s="31" t="e" cm="1">
        <f t="array" aca="1" ref="AE392" ca="1">INDEX(OFFSET('[1]S-box'!$A$2, (Z392-1)*6, 0, 4, 16), AC392+1, AD392+1)</f>
        <v>#VALUE!</v>
      </c>
      <c r="AF392" s="33" t="e">
        <f t="shared" ca="1" si="26"/>
        <v>#VALUE!</v>
      </c>
      <c r="AH392" s="9">
        <v>6</v>
      </c>
      <c r="AI392" s="4" t="e" cm="1">
        <f t="array" ref="AI392">MID(INDEX($AF$265:$AF$272,INT((ROW(A129)-1)/4)+1),MOD(ROW(A129)-1,4)+1,1)</f>
        <v>#REF!</v>
      </c>
      <c r="AK392" s="9">
        <v>6</v>
      </c>
      <c r="AL392" s="4" t="e" cm="1">
        <f t="array" ref="AL392">INDEX($AI$264:$AI$295, INDEX($H$15:$O$18, INT((ROW(A129)-1)/8)+1, MOD(ROW(A129)-1,8)+1))</f>
        <v>#REF!</v>
      </c>
      <c r="AN392" s="2" t="e">
        <f t="shared" ca="1" si="27"/>
        <v>#VALUE!</v>
      </c>
      <c r="AO392" s="2" t="e">
        <f t="shared" si="28"/>
        <v>#REF!</v>
      </c>
    </row>
    <row r="393" spans="2:41" x14ac:dyDescent="0.25">
      <c r="B393" s="9">
        <v>7</v>
      </c>
      <c r="C393" s="2">
        <v>0</v>
      </c>
      <c r="F393" s="15" cm="1">
        <f t="array" ref="F393">INDEX($C$387:$C$442, H47)</f>
        <v>0</v>
      </c>
      <c r="G393" s="15" cm="1">
        <f t="array" ref="G393">INDEX($C$387:$C$442, I47)</f>
        <v>1</v>
      </c>
      <c r="H393" s="15" cm="1">
        <f t="array" ref="H393">INDEX($C$387:$C$442, J47)</f>
        <v>1</v>
      </c>
      <c r="I393" s="15" cm="1">
        <f t="array" ref="I393">INDEX($C$387:$C$442, K47)</f>
        <v>0</v>
      </c>
      <c r="J393" s="15" cm="1">
        <f t="array" ref="J393">INDEX($C$387:$C$442, L47)</f>
        <v>1</v>
      </c>
      <c r="K393" s="15" cm="1">
        <f t="array" ref="K393">INDEX($C$387:$C$442, M47)</f>
        <v>1</v>
      </c>
      <c r="M393" s="9">
        <v>7</v>
      </c>
      <c r="N393" s="4" cm="1">
        <f t="array" ref="N393">INDEX($F$387:$K$394, INT((ROW(A7)-1)/6)+1, MOD(ROW(A192)-1,6)+1)</f>
        <v>0</v>
      </c>
      <c r="P393" s="15" t="e" cm="1" vm="1">
        <f t="array" aca="1" ref="P393" ca="1">INDEX($AO$204:$AO$235, H180)</f>
        <v>#VALUE!</v>
      </c>
      <c r="Q393" s="15" t="e" cm="1" vm="1">
        <f t="array" aca="1" ref="Q393" ca="1">INDEX($AO$204:$AO$235, I180)</f>
        <v>#VALUE!</v>
      </c>
      <c r="R393" s="15" t="e" cm="1" vm="1">
        <f t="array" aca="1" ref="R393" ca="1">INDEX($AO$204:$AO$235, J180)</f>
        <v>#VALUE!</v>
      </c>
      <c r="S393" s="15" t="e" cm="1" vm="1">
        <f t="array" aca="1" ref="S393" ca="1">INDEX($AO$204:$AO$235, K180)</f>
        <v>#VALUE!</v>
      </c>
      <c r="T393" s="15" t="e" cm="1" vm="1">
        <f t="array" aca="1" ref="T393" ca="1">INDEX($AO$204:$AO$235, L180)</f>
        <v>#VALUE!</v>
      </c>
      <c r="U393" s="15" t="e" cm="1">
        <f t="array" ref="U393">INDEX($AO$204:$AO$235, M180)</f>
        <v>#REF!</v>
      </c>
      <c r="W393" s="9">
        <v>7</v>
      </c>
      <c r="X393" s="4" t="e">
        <f t="shared" si="23"/>
        <v>#REF!</v>
      </c>
      <c r="Z393" s="32">
        <v>6</v>
      </c>
      <c r="AA393" s="34" t="e">
        <f>_xlfn.TEXTJOIN("", TRUE, INDEX($X$264:$X$311, (ROW(A129)-1)*6+1) : INDEX($X$264:$X$311, (ROW(A129)-1)*6+6))</f>
        <v>#REF!</v>
      </c>
      <c r="AB393" s="35"/>
      <c r="AC393" s="32" t="e">
        <f t="shared" si="24"/>
        <v>#REF!</v>
      </c>
      <c r="AD393" s="31" t="e">
        <f t="shared" si="25"/>
        <v>#REF!</v>
      </c>
      <c r="AE393" s="31" t="e" cm="1">
        <f t="array" aca="1" ref="AE393" ca="1">INDEX(OFFSET('[1]S-box'!$A$2, (Z393-1)*6, 0, 4, 16), AC393+1, AD393+1)</f>
        <v>#VALUE!</v>
      </c>
      <c r="AF393" s="33" t="e">
        <f t="shared" ca="1" si="26"/>
        <v>#VALUE!</v>
      </c>
      <c r="AH393" s="9">
        <v>7</v>
      </c>
      <c r="AI393" s="4" t="e" cm="1">
        <f t="array" ref="AI393">MID(INDEX($AF$265:$AF$272,INT((ROW(A130)-1)/4)+1),MOD(ROW(A130)-1,4)+1,1)</f>
        <v>#REF!</v>
      </c>
      <c r="AK393" s="9">
        <v>7</v>
      </c>
      <c r="AL393" s="4" t="e" cm="1">
        <f t="array" ref="AL393">INDEX($AI$264:$AI$295, INDEX($H$15:$O$18, INT((ROW(A130)-1)/8)+1, MOD(ROW(A130)-1,8)+1))</f>
        <v>#REF!</v>
      </c>
      <c r="AN393" s="2" t="e">
        <f t="shared" ca="1" si="27"/>
        <v>#VALUE!</v>
      </c>
      <c r="AO393" s="2" t="e">
        <f t="shared" si="28"/>
        <v>#REF!</v>
      </c>
    </row>
    <row r="394" spans="2:41" x14ac:dyDescent="0.25">
      <c r="B394" s="11">
        <v>8</v>
      </c>
      <c r="C394" s="2">
        <v>0</v>
      </c>
      <c r="F394" s="15" cm="1">
        <f t="array" ref="F394">INDEX($C$387:$C$442, H48)</f>
        <v>0</v>
      </c>
      <c r="G394" s="15" cm="1">
        <f t="array" ref="G394">INDEX($C$387:$C$442, I48)</f>
        <v>0</v>
      </c>
      <c r="H394" s="15" cm="1">
        <f t="array" ref="H394">INDEX($C$387:$C$442, J48)</f>
        <v>0</v>
      </c>
      <c r="I394" s="15" cm="1">
        <f t="array" ref="I394">INDEX($C$387:$C$442, K48)</f>
        <v>0</v>
      </c>
      <c r="J394" s="15" cm="1">
        <f t="array" ref="J394">INDEX($C$387:$C$442, L48)</f>
        <v>1</v>
      </c>
      <c r="K394" s="15" cm="1">
        <f t="array" ref="K394">INDEX($C$387:$C$442, M48)</f>
        <v>0</v>
      </c>
      <c r="M394" s="11">
        <v>8</v>
      </c>
      <c r="N394" s="4" cm="1">
        <f t="array" ref="N394">INDEX($F$387:$K$394, INT((ROW(A8)-1)/6)+1, MOD(ROW(A193)-1,6)+1)</f>
        <v>0</v>
      </c>
      <c r="P394" s="15" t="e" cm="1" vm="2">
        <f t="array" aca="1" ref="P394" ca="1">INDEX($AO$204:$AO$235, H181)</f>
        <v>#VALUE!</v>
      </c>
      <c r="Q394" s="15" t="e" cm="1" vm="2">
        <f t="array" aca="1" ref="Q394" ca="1">INDEX($AO$204:$AO$235, I181)</f>
        <v>#VALUE!</v>
      </c>
      <c r="R394" s="15" t="e" cm="1">
        <f t="array" aca="1" ref="R394:R425" ca="1">INDEX($AO$204:$AO$235, J181)</f>
        <v>#VALUE!</v>
      </c>
      <c r="S394" s="15" t="e" cm="1">
        <f t="array" aca="1" ref="S394:S425" ca="1">INDEX($AO$204:$AO$235, K181)</f>
        <v>#VALUE!</v>
      </c>
      <c r="T394" s="15" t="e" cm="1">
        <f t="array" aca="1" ref="T394:T425" ca="1">INDEX($AO$204:$AO$235, L181)</f>
        <v>#VALUE!</v>
      </c>
      <c r="U394" s="15" t="e" cm="1">
        <f t="array" ref="U394">INDEX($AO$204:$AO$235, M181)</f>
        <v>#REF!</v>
      </c>
      <c r="W394" s="11">
        <v>8</v>
      </c>
      <c r="X394" s="4" t="e">
        <f t="shared" si="23"/>
        <v>#REF!</v>
      </c>
      <c r="Z394" s="32">
        <v>7</v>
      </c>
      <c r="AA394" s="34" t="e">
        <f>_xlfn.TEXTJOIN("", TRUE, INDEX($X$264:$X$311, (ROW(A130)-1)*6+1) : INDEX($X$264:$X$311, (ROW(A130)-1)*6+6))</f>
        <v>#REF!</v>
      </c>
      <c r="AB394" s="35"/>
      <c r="AC394" s="32" t="e">
        <f t="shared" si="24"/>
        <v>#REF!</v>
      </c>
      <c r="AD394" s="31" t="e">
        <f t="shared" si="25"/>
        <v>#REF!</v>
      </c>
      <c r="AE394" s="31" t="e" cm="1">
        <f t="array" aca="1" ref="AE394" ca="1">INDEX(OFFSET('[1]S-box'!$A$2, (Z394-1)*6, 0, 4, 16), AC394+1, AD394+1)</f>
        <v>#VALUE!</v>
      </c>
      <c r="AF394" s="33" t="e">
        <f t="shared" ca="1" si="26"/>
        <v>#VALUE!</v>
      </c>
      <c r="AH394" s="11">
        <v>8</v>
      </c>
      <c r="AI394" s="4" t="e" cm="1">
        <f t="array" ref="AI394">MID(INDEX($AF$265:$AF$272,INT((ROW(A131)-1)/4)+1),MOD(ROW(A131)-1,4)+1,1)</f>
        <v>#REF!</v>
      </c>
      <c r="AK394" s="11">
        <v>8</v>
      </c>
      <c r="AL394" s="4" t="e" cm="1">
        <f t="array" ref="AL394">INDEX($AI$264:$AI$295, INDEX($H$15:$O$18, INT((ROW(A131)-1)/8)+1, MOD(ROW(A131)-1,8)+1))</f>
        <v>#REF!</v>
      </c>
      <c r="AN394" s="2" t="e">
        <f t="shared" ca="1" si="27"/>
        <v>#VALUE!</v>
      </c>
      <c r="AO394" s="2" t="e">
        <f t="shared" si="28"/>
        <v>#REF!</v>
      </c>
    </row>
    <row r="395" spans="2:41" x14ac:dyDescent="0.25">
      <c r="B395" s="9">
        <v>9</v>
      </c>
      <c r="C395" s="2">
        <v>1</v>
      </c>
      <c r="M395" s="9">
        <v>9</v>
      </c>
      <c r="N395" s="4" cm="1">
        <f t="array" ref="N395">INDEX($F$387:$K$394, INT((ROW(A9)-1)/6)+1, MOD(ROW(A194)-1,6)+1)</f>
        <v>0</v>
      </c>
      <c r="R395" t="e">
        <f ca="1"/>
        <v>#VALUE!</v>
      </c>
      <c r="S395" t="e">
        <f ca="1"/>
        <v>#VALUE!</v>
      </c>
      <c r="T395" t="e">
        <f ca="1"/>
        <v>#VALUE!</v>
      </c>
      <c r="W395" s="9">
        <v>9</v>
      </c>
      <c r="X395" s="4" t="e">
        <f t="shared" si="23"/>
        <v>#REF!</v>
      </c>
      <c r="Z395" s="32">
        <v>8</v>
      </c>
      <c r="AA395" s="34" t="e">
        <f>_xlfn.TEXTJOIN("", TRUE, INDEX($X$264:$X$311, (ROW(A131)-1)*6+1) : INDEX($X$264:$X$311, (ROW(A131)-1)*6+6))</f>
        <v>#REF!</v>
      </c>
      <c r="AB395" s="35"/>
      <c r="AC395" s="32" t="e">
        <f t="shared" si="24"/>
        <v>#REF!</v>
      </c>
      <c r="AD395" s="31" t="e">
        <f t="shared" si="25"/>
        <v>#REF!</v>
      </c>
      <c r="AE395" s="31" t="e" cm="1">
        <f t="array" aca="1" ref="AE395" ca="1">INDEX(OFFSET('[1]S-box'!$A$2, (Z395-1)*6, 0, 4, 16), AC395+1, AD395+1)</f>
        <v>#VALUE!</v>
      </c>
      <c r="AF395" s="33" t="e">
        <f t="shared" ca="1" si="26"/>
        <v>#VALUE!</v>
      </c>
      <c r="AH395" s="9">
        <v>9</v>
      </c>
      <c r="AI395" s="4" t="e" cm="1">
        <f t="array" ref="AI395">MID(INDEX($AF$265:$AF$272,INT((ROW(A132)-1)/4)+1),MOD(ROW(A132)-1,4)+1,1)</f>
        <v>#REF!</v>
      </c>
      <c r="AK395" s="9">
        <v>9</v>
      </c>
      <c r="AL395" s="4" t="e" cm="1">
        <f t="array" ref="AL395">INDEX($AI$264:$AI$295, INDEX($H$15:$O$18, INT((ROW(A132)-1)/8)+1, MOD(ROW(A132)-1,8)+1))</f>
        <v>#REF!</v>
      </c>
      <c r="AN395" s="2" t="e">
        <f t="shared" ca="1" si="27"/>
        <v>#VALUE!</v>
      </c>
      <c r="AO395" s="2" t="e">
        <f t="shared" si="28"/>
        <v>#REF!</v>
      </c>
    </row>
    <row r="396" spans="2:41" x14ac:dyDescent="0.25">
      <c r="B396" s="9">
        <v>10</v>
      </c>
      <c r="C396" s="2">
        <v>0</v>
      </c>
      <c r="M396" s="9">
        <v>10</v>
      </c>
      <c r="N396" s="4" cm="1">
        <f t="array" ref="N396">INDEX($F$387:$K$394, INT((ROW(A10)-1)/6)+1, MOD(ROW(A195)-1,6)+1)</f>
        <v>1</v>
      </c>
      <c r="P396" s="36" t="s">
        <v>94</v>
      </c>
      <c r="Q396" s="36"/>
      <c r="R396" t="e">
        <f ca="1"/>
        <v>#VALUE!</v>
      </c>
      <c r="S396" t="e">
        <f ca="1"/>
        <v>#VALUE!</v>
      </c>
      <c r="T396" t="e">
        <f ca="1"/>
        <v>#VALUE!</v>
      </c>
      <c r="W396" s="9">
        <v>10</v>
      </c>
      <c r="X396" s="4" t="e">
        <f t="shared" si="23"/>
        <v>#REF!</v>
      </c>
      <c r="AH396" s="9">
        <v>10</v>
      </c>
      <c r="AI396" s="4" t="e" cm="1">
        <f t="array" ref="AI396">MID(INDEX($AF$265:$AF$272,INT((ROW(A133)-1)/4)+1),MOD(ROW(A133)-1,4)+1,1)</f>
        <v>#REF!</v>
      </c>
      <c r="AK396" s="9">
        <v>10</v>
      </c>
      <c r="AL396" s="4" t="e" cm="1">
        <f t="array" ref="AL396">INDEX($AI$264:$AI$295, INDEX($H$15:$O$18, INT((ROW(A133)-1)/8)+1, MOD(ROW(A133)-1,8)+1))</f>
        <v>#REF!</v>
      </c>
      <c r="AN396" s="2" t="e">
        <f t="shared" ca="1" si="27"/>
        <v>#VALUE!</v>
      </c>
      <c r="AO396" s="2" t="e">
        <f t="shared" si="28"/>
        <v>#REF!</v>
      </c>
    </row>
    <row r="397" spans="2:41" x14ac:dyDescent="0.25">
      <c r="B397" s="9">
        <v>11</v>
      </c>
      <c r="C397" s="2">
        <v>1</v>
      </c>
      <c r="M397" s="9">
        <v>11</v>
      </c>
      <c r="N397" s="4" cm="1">
        <f t="array" ref="N397">INDEX($F$387:$K$394, INT((ROW(A11)-1)/6)+1, MOD(ROW(A196)-1,6)+1)</f>
        <v>1</v>
      </c>
      <c r="P397" s="9">
        <v>1</v>
      </c>
      <c r="Q397" s="4" t="e" cm="1">
        <f t="array" ref="Q397">INDEX($P$264:$U$271, INT((ROW(A124)-1)/6)+1, MOD(ROW(A124)-1,6)+1)</f>
        <v>#REF!</v>
      </c>
      <c r="R397" t="e">
        <f ca="1"/>
        <v>#VALUE!</v>
      </c>
      <c r="S397" t="e">
        <f ca="1"/>
        <v>#VALUE!</v>
      </c>
      <c r="T397" t="e">
        <f ca="1"/>
        <v>#VALUE!</v>
      </c>
      <c r="W397" s="9">
        <v>11</v>
      </c>
      <c r="X397" s="4" t="e">
        <f t="shared" si="23"/>
        <v>#REF!</v>
      </c>
      <c r="AH397" s="9">
        <v>11</v>
      </c>
      <c r="AI397" s="4" t="e" cm="1">
        <f t="array" ref="AI397">MID(INDEX($AF$265:$AF$272,INT((ROW(A134)-1)/4)+1),MOD(ROW(A134)-1,4)+1,1)</f>
        <v>#REF!</v>
      </c>
      <c r="AK397" s="9">
        <v>11</v>
      </c>
      <c r="AL397" s="4" t="e" cm="1">
        <f t="array" ref="AL397">INDEX($AI$264:$AI$295, INDEX($H$15:$O$18, INT((ROW(A134)-1)/8)+1, MOD(ROW(A134)-1,8)+1))</f>
        <v>#REF!</v>
      </c>
      <c r="AN397" s="2" t="e">
        <f t="shared" ca="1" si="27"/>
        <v>#VALUE!</v>
      </c>
      <c r="AO397" s="2" t="e">
        <f t="shared" si="28"/>
        <v>#REF!</v>
      </c>
    </row>
    <row r="398" spans="2:41" x14ac:dyDescent="0.25">
      <c r="B398" s="9">
        <v>12</v>
      </c>
      <c r="C398" s="2">
        <v>0</v>
      </c>
      <c r="M398" s="9">
        <v>12</v>
      </c>
      <c r="N398" s="4" cm="1">
        <f t="array" ref="N398">INDEX($F$387:$K$394, INT((ROW(A12)-1)/6)+1, MOD(ROW(A197)-1,6)+1)</f>
        <v>1</v>
      </c>
      <c r="P398" s="9">
        <v>2</v>
      </c>
      <c r="Q398" s="4" t="e" cm="1">
        <f t="array" ref="Q398">INDEX($P$264:$U$271, INT((ROW(A125)-1)/6)+1, MOD(ROW(A125)-1,6)+1)</f>
        <v>#REF!</v>
      </c>
      <c r="R398" t="e">
        <f ca="1"/>
        <v>#VALUE!</v>
      </c>
      <c r="S398" t="e">
        <f ca="1"/>
        <v>#VALUE!</v>
      </c>
      <c r="T398" t="e">
        <f ca="1"/>
        <v>#VALUE!</v>
      </c>
      <c r="W398" s="9">
        <v>12</v>
      </c>
      <c r="X398" s="4" t="e">
        <f t="shared" si="23"/>
        <v>#REF!</v>
      </c>
      <c r="AH398" s="9">
        <v>12</v>
      </c>
      <c r="AI398" s="4" t="e" cm="1">
        <f t="array" ref="AI398">MID(INDEX($AF$265:$AF$272,INT((ROW(A135)-1)/4)+1),MOD(ROW(A135)-1,4)+1,1)</f>
        <v>#REF!</v>
      </c>
      <c r="AK398" s="9">
        <v>12</v>
      </c>
      <c r="AL398" s="4" t="e" cm="1">
        <f t="array" ref="AL398">INDEX($AI$264:$AI$295, INDEX($H$15:$O$18, INT((ROW(A135)-1)/8)+1, MOD(ROW(A135)-1,8)+1))</f>
        <v>#REF!</v>
      </c>
      <c r="AN398" s="2">
        <f t="shared" si="27"/>
        <v>0</v>
      </c>
      <c r="AO398" s="2" t="e">
        <f t="shared" si="28"/>
        <v>#REF!</v>
      </c>
    </row>
    <row r="399" spans="2:41" x14ac:dyDescent="0.25">
      <c r="B399" s="9">
        <v>13</v>
      </c>
      <c r="C399" s="2">
        <v>1</v>
      </c>
      <c r="M399" s="9">
        <v>13</v>
      </c>
      <c r="N399" s="4" cm="1">
        <f t="array" ref="N399">INDEX($F$387:$K$394, INT((ROW(A13)-1)/6)+1, MOD(ROW(A198)-1,6)+1)</f>
        <v>0</v>
      </c>
      <c r="P399" s="9">
        <v>3</v>
      </c>
      <c r="Q399" s="4" t="e" cm="1">
        <f t="array" ref="Q399">INDEX($P$264:$U$271, INT((ROW(A126)-1)/6)+1, MOD(ROW(A126)-1,6)+1)</f>
        <v>#REF!</v>
      </c>
      <c r="R399" t="e">
        <f ca="1"/>
        <v>#VALUE!</v>
      </c>
      <c r="S399" t="e">
        <f ca="1"/>
        <v>#VALUE!</v>
      </c>
      <c r="T399" t="e">
        <f ca="1"/>
        <v>#VALUE!</v>
      </c>
      <c r="W399" s="9">
        <v>13</v>
      </c>
      <c r="X399" s="4" t="e">
        <f t="shared" si="23"/>
        <v>#REF!</v>
      </c>
      <c r="AH399" s="9">
        <v>13</v>
      </c>
      <c r="AI399" s="4" t="e" cm="1">
        <f t="array" ref="AI399">MID(INDEX($AF$265:$AF$272,INT((ROW(A136)-1)/4)+1),MOD(ROW(A136)-1,4)+1,1)</f>
        <v>#REF!</v>
      </c>
      <c r="AK399" s="9">
        <v>13</v>
      </c>
      <c r="AL399" s="4" t="e" cm="1">
        <f t="array" ref="AL399">INDEX($AI$264:$AI$295, INDEX($H$15:$O$18, INT((ROW(A136)-1)/8)+1, MOD(ROW(A136)-1,8)+1))</f>
        <v>#REF!</v>
      </c>
      <c r="AN399" s="2">
        <f t="shared" si="27"/>
        <v>0</v>
      </c>
      <c r="AO399" s="2" t="e">
        <f t="shared" si="28"/>
        <v>#REF!</v>
      </c>
    </row>
    <row r="400" spans="2:41" x14ac:dyDescent="0.25">
      <c r="B400" s="9">
        <v>14</v>
      </c>
      <c r="C400" s="2">
        <v>0</v>
      </c>
      <c r="M400" s="9">
        <v>14</v>
      </c>
      <c r="N400" s="4" cm="1">
        <f t="array" ref="N400">INDEX($F$387:$K$394, INT((ROW(A14)-1)/6)+1, MOD(ROW(A199)-1,6)+1)</f>
        <v>1</v>
      </c>
      <c r="P400" s="9">
        <v>4</v>
      </c>
      <c r="Q400" s="4" t="e" cm="1">
        <f t="array" ref="Q400">INDEX($P$264:$U$271, INT((ROW(A127)-1)/6)+1, MOD(ROW(A127)-1,6)+1)</f>
        <v>#REF!</v>
      </c>
      <c r="R400" t="e">
        <f ca="1"/>
        <v>#VALUE!</v>
      </c>
      <c r="S400" t="e">
        <f ca="1"/>
        <v>#VALUE!</v>
      </c>
      <c r="T400" t="e">
        <f ca="1"/>
        <v>#VALUE!</v>
      </c>
      <c r="W400" s="9">
        <v>14</v>
      </c>
      <c r="X400" s="4" t="e">
        <f t="shared" si="23"/>
        <v>#REF!</v>
      </c>
      <c r="AH400" s="9">
        <v>14</v>
      </c>
      <c r="AI400" s="4" t="e" cm="1">
        <f t="array" ref="AI400">MID(INDEX($AF$265:$AF$272,INT((ROW(A137)-1)/4)+1),MOD(ROW(A137)-1,4)+1,1)</f>
        <v>#REF!</v>
      </c>
      <c r="AK400" s="9">
        <v>14</v>
      </c>
      <c r="AL400" s="4" t="e" cm="1">
        <f t="array" ref="AL400">INDEX($AI$264:$AI$295, INDEX($H$15:$O$18, INT((ROW(A137)-1)/8)+1, MOD(ROW(A137)-1,8)+1))</f>
        <v>#REF!</v>
      </c>
      <c r="AN400" s="2">
        <f t="shared" si="27"/>
        <v>0</v>
      </c>
      <c r="AO400" s="2" t="e">
        <f t="shared" si="28"/>
        <v>#REF!</v>
      </c>
    </row>
    <row r="401" spans="2:41" x14ac:dyDescent="0.25">
      <c r="B401" s="9">
        <v>15</v>
      </c>
      <c r="C401" s="2">
        <v>1</v>
      </c>
      <c r="M401" s="9">
        <v>15</v>
      </c>
      <c r="N401" s="4" cm="1">
        <f t="array" ref="N401">INDEX($F$387:$K$394, INT((ROW(A15)-1)/6)+1, MOD(ROW(A200)-1,6)+1)</f>
        <v>1</v>
      </c>
      <c r="P401" s="9">
        <v>5</v>
      </c>
      <c r="Q401" s="4" t="e" cm="1">
        <f t="array" ref="Q401">INDEX($P$264:$U$271, INT((ROW(A128)-1)/6)+1, MOD(ROW(A128)-1,6)+1)</f>
        <v>#REF!</v>
      </c>
      <c r="R401" t="e">
        <f ca="1"/>
        <v>#VALUE!</v>
      </c>
      <c r="S401" t="e">
        <f ca="1"/>
        <v>#VALUE!</v>
      </c>
      <c r="T401" t="e">
        <f ca="1"/>
        <v>#VALUE!</v>
      </c>
      <c r="W401" s="9">
        <v>15</v>
      </c>
      <c r="X401" s="4" t="e">
        <f t="shared" si="23"/>
        <v>#REF!</v>
      </c>
      <c r="AH401" s="9">
        <v>15</v>
      </c>
      <c r="AI401" s="4" t="e" cm="1">
        <f t="array" ref="AI401">MID(INDEX($AF$265:$AF$272,INT((ROW(A138)-1)/4)+1),MOD(ROW(A138)-1,4)+1,1)</f>
        <v>#REF!</v>
      </c>
      <c r="AK401" s="9">
        <v>15</v>
      </c>
      <c r="AL401" s="4" t="e" cm="1">
        <f t="array" ref="AL401">INDEX($AI$264:$AI$295, INDEX($H$15:$O$18, INT((ROW(A138)-1)/8)+1, MOD(ROW(A138)-1,8)+1))</f>
        <v>#REF!</v>
      </c>
      <c r="AN401" s="2">
        <f t="shared" si="27"/>
        <v>0</v>
      </c>
      <c r="AO401" s="2" t="e">
        <f t="shared" si="28"/>
        <v>#REF!</v>
      </c>
    </row>
    <row r="402" spans="2:41" x14ac:dyDescent="0.25">
      <c r="B402" s="11">
        <v>16</v>
      </c>
      <c r="C402" s="2">
        <v>0</v>
      </c>
      <c r="M402" s="11">
        <v>16</v>
      </c>
      <c r="N402" s="4" cm="1">
        <f t="array" ref="N402">INDEX($F$387:$K$394, INT((ROW(A16)-1)/6)+1, MOD(ROW(A201)-1,6)+1)</f>
        <v>0</v>
      </c>
      <c r="P402" s="9">
        <v>6</v>
      </c>
      <c r="Q402" s="4" t="e" cm="1">
        <f t="array" ref="Q402">INDEX($P$264:$U$271, INT((ROW(A129)-1)/6)+1, MOD(ROW(A129)-1,6)+1)</f>
        <v>#REF!</v>
      </c>
      <c r="R402" t="e">
        <f ca="1"/>
        <v>#VALUE!</v>
      </c>
      <c r="S402" t="e">
        <f ca="1"/>
        <v>#VALUE!</v>
      </c>
      <c r="T402" t="e">
        <f ca="1"/>
        <v>#VALUE!</v>
      </c>
      <c r="W402" s="11">
        <v>16</v>
      </c>
      <c r="X402" s="4" t="e">
        <f t="shared" si="23"/>
        <v>#REF!</v>
      </c>
      <c r="AH402" s="11">
        <v>16</v>
      </c>
      <c r="AI402" s="4" t="e" cm="1">
        <f t="array" ref="AI402">MID(INDEX($AF$265:$AF$272,INT((ROW(A139)-1)/4)+1),MOD(ROW(A139)-1,4)+1,1)</f>
        <v>#REF!</v>
      </c>
      <c r="AK402" s="11">
        <v>16</v>
      </c>
      <c r="AL402" s="4" t="e" cm="1">
        <f t="array" ref="AL402">INDEX($AI$264:$AI$295, INDEX($H$15:$O$18, INT((ROW(A139)-1)/8)+1, MOD(ROW(A139)-1,8)+1))</f>
        <v>#REF!</v>
      </c>
      <c r="AN402" s="2">
        <f t="shared" si="27"/>
        <v>0</v>
      </c>
      <c r="AO402" s="2" t="e">
        <f t="shared" si="28"/>
        <v>#REF!</v>
      </c>
    </row>
    <row r="403" spans="2:41" x14ac:dyDescent="0.25">
      <c r="B403" s="7">
        <v>17</v>
      </c>
      <c r="C403" s="2">
        <v>1</v>
      </c>
      <c r="M403" s="7">
        <v>17</v>
      </c>
      <c r="N403" s="4" cm="1">
        <f t="array" ref="N403">INDEX($F$387:$K$394, INT((ROW(A17)-1)/6)+1, MOD(ROW(A202)-1,6)+1)</f>
        <v>0</v>
      </c>
      <c r="P403" s="9">
        <v>7</v>
      </c>
      <c r="Q403" s="4" t="e" cm="1">
        <f t="array" ref="Q403">INDEX($P$264:$U$271, INT((ROW(A130)-1)/6)+1, MOD(ROW(A130)-1,6)+1)</f>
        <v>#REF!</v>
      </c>
      <c r="R403" t="e">
        <f ca="1"/>
        <v>#VALUE!</v>
      </c>
      <c r="S403" t="e">
        <f ca="1"/>
        <v>#VALUE!</v>
      </c>
      <c r="T403" t="e">
        <f ca="1"/>
        <v>#VALUE!</v>
      </c>
      <c r="W403" s="7">
        <v>17</v>
      </c>
      <c r="X403" s="4" t="e">
        <f t="shared" si="23"/>
        <v>#REF!</v>
      </c>
      <c r="AH403" s="7">
        <v>17</v>
      </c>
      <c r="AI403" s="4" t="e" cm="1">
        <f t="array" ref="AI403">MID(INDEX($AF$265:$AF$272,INT((ROW(A140)-1)/4)+1),MOD(ROW(A140)-1,4)+1,1)</f>
        <v>#REF!</v>
      </c>
      <c r="AK403" s="7">
        <v>17</v>
      </c>
      <c r="AL403" s="4" t="e" cm="1">
        <f t="array" ref="AL403">INDEX($AI$264:$AI$295, INDEX($H$15:$O$18, INT((ROW(A140)-1)/8)+1, MOD(ROW(A140)-1,8)+1))</f>
        <v>#REF!</v>
      </c>
      <c r="AN403" s="2">
        <f t="shared" si="27"/>
        <v>0</v>
      </c>
      <c r="AO403" s="2" t="e">
        <f t="shared" si="28"/>
        <v>#REF!</v>
      </c>
    </row>
    <row r="404" spans="2:41" x14ac:dyDescent="0.25">
      <c r="B404" s="9">
        <v>18</v>
      </c>
      <c r="C404" s="2">
        <v>0</v>
      </c>
      <c r="M404" s="9">
        <v>18</v>
      </c>
      <c r="N404" s="4" cm="1">
        <f t="array" ref="N404">INDEX($F$387:$K$394, INT((ROW(A18)-1)/6)+1, MOD(ROW(A203)-1,6)+1)</f>
        <v>0</v>
      </c>
      <c r="P404" s="11">
        <v>8</v>
      </c>
      <c r="Q404" s="4" t="e" cm="1">
        <f t="array" ref="Q404">INDEX($P$264:$U$271, INT((ROW(A131)-1)/6)+1, MOD(ROW(A131)-1,6)+1)</f>
        <v>#REF!</v>
      </c>
      <c r="R404" t="e">
        <f ca="1"/>
        <v>#VALUE!</v>
      </c>
      <c r="S404" t="e">
        <f ca="1"/>
        <v>#VALUE!</v>
      </c>
      <c r="T404" t="e">
        <f ca="1"/>
        <v>#VALUE!</v>
      </c>
      <c r="W404" s="9">
        <v>18</v>
      </c>
      <c r="X404" s="4" t="e">
        <f t="shared" si="23"/>
        <v>#REF!</v>
      </c>
      <c r="AH404" s="9">
        <v>18</v>
      </c>
      <c r="AI404" s="4" t="e" cm="1">
        <f t="array" ref="AI404">MID(INDEX($AF$265:$AF$272,INT((ROW(A141)-1)/4)+1),MOD(ROW(A141)-1,4)+1,1)</f>
        <v>#REF!</v>
      </c>
      <c r="AK404" s="9">
        <v>18</v>
      </c>
      <c r="AL404" s="4" t="e" cm="1">
        <f t="array" ref="AL404">INDEX($AI$264:$AI$295, INDEX($H$15:$O$18, INT((ROW(A141)-1)/8)+1, MOD(ROW(A141)-1,8)+1))</f>
        <v>#REF!</v>
      </c>
      <c r="AN404" s="2">
        <f t="shared" si="27"/>
        <v>0</v>
      </c>
      <c r="AO404" s="2" t="e">
        <f t="shared" si="28"/>
        <v>#REF!</v>
      </c>
    </row>
    <row r="405" spans="2:41" x14ac:dyDescent="0.25">
      <c r="B405" s="9">
        <v>19</v>
      </c>
      <c r="C405" s="2">
        <v>1</v>
      </c>
      <c r="M405" s="9">
        <v>19</v>
      </c>
      <c r="N405" s="4" cm="1">
        <f t="array" ref="N405">INDEX($F$387:$K$394, INT((ROW(A19)-1)/6)+1, MOD(ROW(A204)-1,6)+1)</f>
        <v>1</v>
      </c>
      <c r="P405" s="7">
        <v>9</v>
      </c>
      <c r="Q405" s="4" t="e" cm="1">
        <f t="array" ref="Q405">INDEX($P$264:$U$271, INT((ROW(A132)-1)/6)+1, MOD(ROW(A132)-1,6)+1)</f>
        <v>#REF!</v>
      </c>
      <c r="R405" t="e">
        <f ca="1"/>
        <v>#VALUE!</v>
      </c>
      <c r="S405" t="e">
        <f ca="1"/>
        <v>#VALUE!</v>
      </c>
      <c r="T405" t="e">
        <f ca="1"/>
        <v>#VALUE!</v>
      </c>
      <c r="W405" s="9">
        <v>19</v>
      </c>
      <c r="X405" s="4" t="e">
        <f t="shared" si="23"/>
        <v>#REF!</v>
      </c>
      <c r="AH405" s="9">
        <v>19</v>
      </c>
      <c r="AI405" s="4" t="e" cm="1">
        <f t="array" ref="AI405">MID(INDEX($AF$265:$AF$272,INT((ROW(A142)-1)/4)+1),MOD(ROW(A142)-1,4)+1,1)</f>
        <v>#REF!</v>
      </c>
      <c r="AK405" s="9">
        <v>19</v>
      </c>
      <c r="AL405" s="4" t="e" cm="1">
        <f t="array" ref="AL405">INDEX($AI$264:$AI$295, INDEX($H$15:$O$18, INT((ROW(A142)-1)/8)+1, MOD(ROW(A142)-1,8)+1))</f>
        <v>#REF!</v>
      </c>
      <c r="AN405" s="2">
        <f t="shared" si="27"/>
        <v>0</v>
      </c>
      <c r="AO405" s="2" t="e">
        <f t="shared" si="28"/>
        <v>#REF!</v>
      </c>
    </row>
    <row r="406" spans="2:41" x14ac:dyDescent="0.25">
      <c r="B406" s="9">
        <v>20</v>
      </c>
      <c r="C406" s="2">
        <v>1</v>
      </c>
      <c r="M406" s="9">
        <v>20</v>
      </c>
      <c r="N406" s="4" cm="1">
        <f t="array" ref="N406">INDEX($F$387:$K$394, INT((ROW(A20)-1)/6)+1, MOD(ROW(A205)-1,6)+1)</f>
        <v>0</v>
      </c>
      <c r="P406" s="9">
        <v>10</v>
      </c>
      <c r="Q406" s="4" t="e" cm="1">
        <f t="array" ref="Q406">INDEX($P$264:$U$271, INT((ROW(A133)-1)/6)+1, MOD(ROW(A133)-1,6)+1)</f>
        <v>#REF!</v>
      </c>
      <c r="R406" t="e">
        <f ca="1"/>
        <v>#VALUE!</v>
      </c>
      <c r="S406" t="e">
        <f ca="1"/>
        <v>#VALUE!</v>
      </c>
      <c r="T406" t="e">
        <f ca="1"/>
        <v>#VALUE!</v>
      </c>
      <c r="W406" s="9">
        <v>20</v>
      </c>
      <c r="X406" s="4" t="e">
        <f t="shared" si="23"/>
        <v>#REF!</v>
      </c>
      <c r="AH406" s="9">
        <v>20</v>
      </c>
      <c r="AI406" s="4" t="e" cm="1">
        <f t="array" ref="AI406">MID(INDEX($AF$265:$AF$272,INT((ROW(A143)-1)/4)+1),MOD(ROW(A143)-1,4)+1,1)</f>
        <v>#REF!</v>
      </c>
      <c r="AK406" s="9">
        <v>20</v>
      </c>
      <c r="AL406" s="4" t="e" cm="1">
        <f t="array" ref="AL406">INDEX($AI$264:$AI$295, INDEX($H$15:$O$18, INT((ROW(A143)-1)/8)+1, MOD(ROW(A143)-1,8)+1))</f>
        <v>#REF!</v>
      </c>
      <c r="AN406" s="2">
        <f t="shared" si="27"/>
        <v>0</v>
      </c>
      <c r="AO406" s="2" t="e">
        <f t="shared" si="28"/>
        <v>#REF!</v>
      </c>
    </row>
    <row r="407" spans="2:41" x14ac:dyDescent="0.25">
      <c r="B407" s="9">
        <v>21</v>
      </c>
      <c r="C407" s="2">
        <v>1</v>
      </c>
      <c r="M407" s="9">
        <v>21</v>
      </c>
      <c r="N407" s="4" cm="1">
        <f t="array" ref="N407">INDEX($F$387:$K$394, INT((ROW(A21)-1)/6)+1, MOD(ROW(A206)-1,6)+1)</f>
        <v>0</v>
      </c>
      <c r="P407" s="9">
        <v>11</v>
      </c>
      <c r="Q407" s="4" t="e" cm="1">
        <f t="array" ref="Q407">INDEX($P$264:$U$271, INT((ROW(A134)-1)/6)+1, MOD(ROW(A134)-1,6)+1)</f>
        <v>#REF!</v>
      </c>
      <c r="R407" t="e">
        <f ca="1"/>
        <v>#VALUE!</v>
      </c>
      <c r="S407" t="e">
        <f ca="1"/>
        <v>#VALUE!</v>
      </c>
      <c r="T407" t="e">
        <f ca="1"/>
        <v>#VALUE!</v>
      </c>
      <c r="W407" s="9">
        <v>21</v>
      </c>
      <c r="X407" s="4" t="e">
        <f t="shared" si="23"/>
        <v>#REF!</v>
      </c>
      <c r="AH407" s="9">
        <v>21</v>
      </c>
      <c r="AI407" s="4" t="e" cm="1">
        <f t="array" ref="AI407">MID(INDEX($AF$265:$AF$272,INT((ROW(A144)-1)/4)+1),MOD(ROW(A144)-1,4)+1,1)</f>
        <v>#REF!</v>
      </c>
      <c r="AK407" s="9">
        <v>21</v>
      </c>
      <c r="AL407" s="4" t="e" cm="1">
        <f t="array" ref="AL407">INDEX($AI$264:$AI$295, INDEX($H$15:$O$18, INT((ROW(A144)-1)/8)+1, MOD(ROW(A144)-1,8)+1))</f>
        <v>#REF!</v>
      </c>
      <c r="AN407" s="2">
        <f t="shared" si="27"/>
        <v>0</v>
      </c>
      <c r="AO407" s="2" t="e">
        <f t="shared" si="28"/>
        <v>#REF!</v>
      </c>
    </row>
    <row r="408" spans="2:41" x14ac:dyDescent="0.25">
      <c r="B408" s="9">
        <v>22</v>
      </c>
      <c r="C408" s="2">
        <v>1</v>
      </c>
      <c r="M408" s="9">
        <v>22</v>
      </c>
      <c r="N408" s="4" cm="1">
        <f t="array" ref="N408">INDEX($F$387:$K$394, INT((ROW(A22)-1)/6)+1, MOD(ROW(A207)-1,6)+1)</f>
        <v>0</v>
      </c>
      <c r="P408" s="9">
        <v>12</v>
      </c>
      <c r="Q408" s="4" t="e" cm="1">
        <f t="array" ref="Q408">INDEX($P$264:$U$271, INT((ROW(A135)-1)/6)+1, MOD(ROW(A135)-1,6)+1)</f>
        <v>#REF!</v>
      </c>
      <c r="R408" t="e">
        <f ca="1"/>
        <v>#VALUE!</v>
      </c>
      <c r="S408" t="e">
        <f ca="1"/>
        <v>#VALUE!</v>
      </c>
      <c r="T408" t="e">
        <f ca="1"/>
        <v>#VALUE!</v>
      </c>
      <c r="W408" s="9">
        <v>22</v>
      </c>
      <c r="X408" s="4" t="e">
        <f t="shared" si="23"/>
        <v>#REF!</v>
      </c>
      <c r="AH408" s="9">
        <v>22</v>
      </c>
      <c r="AI408" s="4" t="e" cm="1">
        <f t="array" ref="AI408">MID(INDEX($AF$265:$AF$272,INT((ROW(A145)-1)/4)+1),MOD(ROW(A145)-1,4)+1,1)</f>
        <v>#REF!</v>
      </c>
      <c r="AK408" s="9">
        <v>22</v>
      </c>
      <c r="AL408" s="4" t="e" cm="1">
        <f t="array" ref="AL408">INDEX($AI$264:$AI$295, INDEX($H$15:$O$18, INT((ROW(A145)-1)/8)+1, MOD(ROW(A145)-1,8)+1))</f>
        <v>#REF!</v>
      </c>
      <c r="AN408" s="2">
        <f t="shared" si="27"/>
        <v>0</v>
      </c>
      <c r="AO408" s="2" t="e">
        <f t="shared" si="28"/>
        <v>#REF!</v>
      </c>
    </row>
    <row r="409" spans="2:41" x14ac:dyDescent="0.25">
      <c r="B409" s="9">
        <v>23</v>
      </c>
      <c r="C409" s="2">
        <v>1</v>
      </c>
      <c r="M409" s="9">
        <v>23</v>
      </c>
      <c r="N409" s="4" cm="1">
        <f t="array" ref="N409">INDEX($F$387:$K$394, INT((ROW(A23)-1)/6)+1, MOD(ROW(A208)-1,6)+1)</f>
        <v>1</v>
      </c>
      <c r="P409" s="9">
        <v>13</v>
      </c>
      <c r="Q409" s="4" t="e" cm="1">
        <f t="array" ref="Q409">INDEX($P$264:$U$271, INT((ROW(A136)-1)/6)+1, MOD(ROW(A136)-1,6)+1)</f>
        <v>#REF!</v>
      </c>
      <c r="R409" t="e">
        <f ca="1"/>
        <v>#VALUE!</v>
      </c>
      <c r="S409" t="e">
        <f ca="1"/>
        <v>#VALUE!</v>
      </c>
      <c r="T409" t="e">
        <f ca="1"/>
        <v>#VALUE!</v>
      </c>
      <c r="W409" s="9">
        <v>23</v>
      </c>
      <c r="X409" s="4" t="e">
        <f t="shared" si="23"/>
        <v>#REF!</v>
      </c>
      <c r="AH409" s="9">
        <v>23</v>
      </c>
      <c r="AI409" s="4" t="e" cm="1">
        <f t="array" ref="AI409">MID(INDEX($AF$265:$AF$272,INT((ROW(A146)-1)/4)+1),MOD(ROW(A146)-1,4)+1,1)</f>
        <v>#REF!</v>
      </c>
      <c r="AK409" s="9">
        <v>23</v>
      </c>
      <c r="AL409" s="4" t="e" cm="1">
        <f t="array" ref="AL409">INDEX($AI$264:$AI$295, INDEX($H$15:$O$18, INT((ROW(A146)-1)/8)+1, MOD(ROW(A146)-1,8)+1))</f>
        <v>#REF!</v>
      </c>
      <c r="AN409" s="2">
        <f t="shared" si="27"/>
        <v>0</v>
      </c>
      <c r="AO409" s="2" t="e">
        <f t="shared" si="28"/>
        <v>#REF!</v>
      </c>
    </row>
    <row r="410" spans="2:41" x14ac:dyDescent="0.25">
      <c r="B410" s="11">
        <v>24</v>
      </c>
      <c r="C410" s="2">
        <v>1</v>
      </c>
      <c r="M410" s="11">
        <v>24</v>
      </c>
      <c r="N410" s="4" cm="1">
        <f t="array" ref="N410">INDEX($F$387:$K$394, INT((ROW(A24)-1)/6)+1, MOD(ROW(A209)-1,6)+1)</f>
        <v>1</v>
      </c>
      <c r="P410" s="9">
        <v>14</v>
      </c>
      <c r="Q410" s="4" t="e" cm="1">
        <f t="array" ref="Q410">INDEX($P$264:$U$271, INT((ROW(A137)-1)/6)+1, MOD(ROW(A137)-1,6)+1)</f>
        <v>#REF!</v>
      </c>
      <c r="R410" t="e">
        <f ca="1"/>
        <v>#VALUE!</v>
      </c>
      <c r="S410" t="e">
        <f ca="1"/>
        <v>#VALUE!</v>
      </c>
      <c r="T410" t="e">
        <f ca="1"/>
        <v>#VALUE!</v>
      </c>
      <c r="W410" s="11">
        <v>24</v>
      </c>
      <c r="X410" s="4" t="e">
        <f t="shared" si="23"/>
        <v>#REF!</v>
      </c>
      <c r="AH410" s="11">
        <v>24</v>
      </c>
      <c r="AI410" s="4" t="e" cm="1">
        <f t="array" ref="AI410">MID(INDEX($AF$265:$AF$272,INT((ROW(A147)-1)/4)+1),MOD(ROW(A147)-1,4)+1,1)</f>
        <v>#REF!</v>
      </c>
      <c r="AK410" s="11">
        <v>24</v>
      </c>
      <c r="AL410" s="4" t="e" cm="1">
        <f t="array" ref="AL410">INDEX($AI$264:$AI$295, INDEX($H$15:$O$18, INT((ROW(A147)-1)/8)+1, MOD(ROW(A147)-1,8)+1))</f>
        <v>#REF!</v>
      </c>
      <c r="AN410" s="2">
        <f t="shared" si="27"/>
        <v>0</v>
      </c>
      <c r="AO410" s="2" t="e">
        <f t="shared" si="28"/>
        <v>#REF!</v>
      </c>
    </row>
    <row r="411" spans="2:41" x14ac:dyDescent="0.25">
      <c r="B411" s="7">
        <v>25</v>
      </c>
      <c r="C411" s="2">
        <v>0</v>
      </c>
      <c r="M411" s="7">
        <v>25</v>
      </c>
      <c r="N411" s="4" cm="1">
        <f t="array" ref="N411">INDEX($F$387:$K$394, INT((ROW(A25)-1)/6)+1, MOD(ROW(A210)-1,6)+1)</f>
        <v>1</v>
      </c>
      <c r="P411" s="9">
        <v>15</v>
      </c>
      <c r="Q411" s="4" t="e" cm="1">
        <f t="array" ref="Q411">INDEX($P$264:$U$271, INT((ROW(A138)-1)/6)+1, MOD(ROW(A138)-1,6)+1)</f>
        <v>#REF!</v>
      </c>
      <c r="R411" t="e">
        <f ca="1"/>
        <v>#VALUE!</v>
      </c>
      <c r="S411" t="e">
        <f ca="1"/>
        <v>#VALUE!</v>
      </c>
      <c r="T411" t="e">
        <f ca="1"/>
        <v>#VALUE!</v>
      </c>
      <c r="W411" s="7">
        <v>25</v>
      </c>
      <c r="X411" s="4" t="e">
        <f t="shared" si="23"/>
        <v>#REF!</v>
      </c>
      <c r="AH411" s="7">
        <v>25</v>
      </c>
      <c r="AI411" s="4" t="e" cm="1">
        <f t="array" ref="AI411">MID(INDEX($AF$265:$AF$272,INT((ROW(A148)-1)/4)+1),MOD(ROW(A148)-1,4)+1,1)</f>
        <v>#REF!</v>
      </c>
      <c r="AK411" s="7">
        <v>25</v>
      </c>
      <c r="AL411" s="4" t="e" cm="1">
        <f t="array" ref="AL411">INDEX($AI$264:$AI$295, INDEX($H$15:$O$18, INT((ROW(A148)-1)/8)+1, MOD(ROW(A148)-1,8)+1))</f>
        <v>#REF!</v>
      </c>
      <c r="AN411" s="2">
        <f t="shared" si="27"/>
        <v>0</v>
      </c>
      <c r="AO411" s="2" t="e">
        <f t="shared" si="28"/>
        <v>#REF!</v>
      </c>
    </row>
    <row r="412" spans="2:41" x14ac:dyDescent="0.25">
      <c r="B412" s="9">
        <v>26</v>
      </c>
      <c r="C412" s="2">
        <v>0</v>
      </c>
      <c r="M412" s="9">
        <v>26</v>
      </c>
      <c r="N412" s="4" cm="1">
        <f t="array" ref="N412">INDEX($F$387:$K$394, INT((ROW(A26)-1)/6)+1, MOD(ROW(A211)-1,6)+1)</f>
        <v>0</v>
      </c>
      <c r="P412" s="11">
        <v>16</v>
      </c>
      <c r="Q412" s="4" t="e" cm="1">
        <f t="array" ref="Q412">INDEX($P$264:$U$271, INT((ROW(A139)-1)/6)+1, MOD(ROW(A139)-1,6)+1)</f>
        <v>#REF!</v>
      </c>
      <c r="R412" t="e">
        <f ca="1"/>
        <v>#VALUE!</v>
      </c>
      <c r="S412" t="e">
        <f ca="1"/>
        <v>#VALUE!</v>
      </c>
      <c r="T412" t="e">
        <f ca="1"/>
        <v>#VALUE!</v>
      </c>
      <c r="W412" s="9">
        <v>26</v>
      </c>
      <c r="X412" s="4" t="e">
        <f t="shared" si="23"/>
        <v>#REF!</v>
      </c>
      <c r="AH412" s="9">
        <v>26</v>
      </c>
      <c r="AI412" s="4" t="e" cm="1">
        <f t="array" ref="AI412">MID(INDEX($AF$265:$AF$272,INT((ROW(A149)-1)/4)+1),MOD(ROW(A149)-1,4)+1,1)</f>
        <v>#REF!</v>
      </c>
      <c r="AK412" s="9">
        <v>26</v>
      </c>
      <c r="AL412" s="4" t="e" cm="1">
        <f t="array" ref="AL412">INDEX($AI$264:$AI$295, INDEX($H$15:$O$18, INT((ROW(A149)-1)/8)+1, MOD(ROW(A149)-1,8)+1))</f>
        <v>#REF!</v>
      </c>
      <c r="AN412" s="2">
        <f t="shared" si="27"/>
        <v>0</v>
      </c>
      <c r="AO412" s="2" t="e">
        <f t="shared" si="28"/>
        <v>#REF!</v>
      </c>
    </row>
    <row r="413" spans="2:41" x14ac:dyDescent="0.25">
      <c r="B413" s="9">
        <v>27</v>
      </c>
      <c r="C413" s="2">
        <v>0</v>
      </c>
      <c r="M413" s="9">
        <v>27</v>
      </c>
      <c r="N413" s="4" cm="1">
        <f t="array" ref="N413">INDEX($F$387:$K$394, INT((ROW(A27)-1)/6)+1, MOD(ROW(A212)-1,6)+1)</f>
        <v>0</v>
      </c>
      <c r="P413" s="7">
        <v>17</v>
      </c>
      <c r="Q413" s="4" t="e" cm="1">
        <f t="array" ref="Q413">INDEX($P$264:$U$271, INT((ROW(A140)-1)/6)+1, MOD(ROW(A140)-1,6)+1)</f>
        <v>#REF!</v>
      </c>
      <c r="R413" t="e">
        <f ca="1"/>
        <v>#VALUE!</v>
      </c>
      <c r="S413" t="e">
        <f ca="1"/>
        <v>#VALUE!</v>
      </c>
      <c r="T413" t="e">
        <f ca="1"/>
        <v>#VALUE!</v>
      </c>
      <c r="W413" s="9">
        <v>27</v>
      </c>
      <c r="X413" s="4" t="e">
        <f t="shared" si="23"/>
        <v>#REF!</v>
      </c>
      <c r="AH413" s="9">
        <v>27</v>
      </c>
      <c r="AI413" s="4" t="e" cm="1">
        <f t="array" ref="AI413">MID(INDEX($AF$265:$AF$272,INT((ROW(A150)-1)/4)+1),MOD(ROW(A150)-1,4)+1,1)</f>
        <v>#REF!</v>
      </c>
      <c r="AK413" s="9">
        <v>27</v>
      </c>
      <c r="AL413" s="4" t="e" cm="1">
        <f t="array" ref="AL413">INDEX($AI$264:$AI$295, INDEX($H$15:$O$18, INT((ROW(A150)-1)/8)+1, MOD(ROW(A150)-1,8)+1))</f>
        <v>#REF!</v>
      </c>
      <c r="AN413" s="2">
        <f t="shared" si="27"/>
        <v>0</v>
      </c>
      <c r="AO413" s="2" t="e">
        <f t="shared" si="28"/>
        <v>#REF!</v>
      </c>
    </row>
    <row r="414" spans="2:41" x14ac:dyDescent="0.25">
      <c r="B414" s="9">
        <v>28</v>
      </c>
      <c r="C414" s="2">
        <v>0</v>
      </c>
      <c r="M414" s="9">
        <v>28</v>
      </c>
      <c r="N414" s="4" cm="1">
        <f t="array" ref="N414">INDEX($F$387:$K$394, INT((ROW(A28)-1)/6)+1, MOD(ROW(A213)-1,6)+1)</f>
        <v>0</v>
      </c>
      <c r="P414" s="9">
        <v>18</v>
      </c>
      <c r="Q414" s="4" t="e" cm="1">
        <f t="array" ref="Q414">INDEX($P$264:$U$271, INT((ROW(A141)-1)/6)+1, MOD(ROW(A141)-1,6)+1)</f>
        <v>#REF!</v>
      </c>
      <c r="R414" t="e">
        <f ca="1"/>
        <v>#VALUE!</v>
      </c>
      <c r="S414" t="e">
        <f ca="1"/>
        <v>#VALUE!</v>
      </c>
      <c r="T414" t="e">
        <f ca="1"/>
        <v>#VALUE!</v>
      </c>
      <c r="W414" s="9">
        <v>28</v>
      </c>
      <c r="X414" s="4" t="e">
        <f t="shared" si="23"/>
        <v>#REF!</v>
      </c>
      <c r="AH414" s="9">
        <v>28</v>
      </c>
      <c r="AI414" s="4" t="e" cm="1">
        <f t="array" ref="AI414">MID(INDEX($AF$265:$AF$272,INT((ROW(A151)-1)/4)+1),MOD(ROW(A151)-1,4)+1,1)</f>
        <v>#REF!</v>
      </c>
      <c r="AK414" s="9">
        <v>28</v>
      </c>
      <c r="AL414" s="4" t="e" cm="1">
        <f t="array" ref="AL414">INDEX($AI$264:$AI$295, INDEX($H$15:$O$18, INT((ROW(A151)-1)/8)+1, MOD(ROW(A151)-1,8)+1))</f>
        <v>#REF!</v>
      </c>
      <c r="AN414" s="2">
        <f t="shared" si="27"/>
        <v>0</v>
      </c>
      <c r="AO414" s="2" t="e">
        <f t="shared" si="28"/>
        <v>#REF!</v>
      </c>
    </row>
    <row r="415" spans="2:41" x14ac:dyDescent="0.25">
      <c r="B415" s="9">
        <v>29</v>
      </c>
      <c r="C415" s="2">
        <v>1</v>
      </c>
      <c r="M415" s="9">
        <v>29</v>
      </c>
      <c r="N415" s="4" cm="1">
        <f t="array" ref="N415">INDEX($F$387:$K$394, INT((ROW(A29)-1)/6)+1, MOD(ROW(A214)-1,6)+1)</f>
        <v>1</v>
      </c>
      <c r="P415" s="9">
        <v>19</v>
      </c>
      <c r="Q415" s="4" t="e" cm="1">
        <f t="array" ref="Q415">INDEX($P$264:$U$271, INT((ROW(A142)-1)/6)+1, MOD(ROW(A142)-1,6)+1)</f>
        <v>#REF!</v>
      </c>
      <c r="R415" t="e">
        <f ca="1"/>
        <v>#VALUE!</v>
      </c>
      <c r="S415" t="e">
        <f ca="1"/>
        <v>#VALUE!</v>
      </c>
      <c r="T415" t="e">
        <f ca="1"/>
        <v>#VALUE!</v>
      </c>
      <c r="W415" s="9">
        <v>29</v>
      </c>
      <c r="X415" s="4" t="e">
        <f t="shared" si="23"/>
        <v>#REF!</v>
      </c>
      <c r="AH415" s="9">
        <v>29</v>
      </c>
      <c r="AI415" s="4" t="e" cm="1">
        <f t="array" ref="AI415">MID(INDEX($AF$265:$AF$272,INT((ROW(A152)-1)/4)+1),MOD(ROW(A152)-1,4)+1,1)</f>
        <v>#REF!</v>
      </c>
      <c r="AK415" s="9">
        <v>29</v>
      </c>
      <c r="AL415" s="4" t="e" cm="1">
        <f t="array" ref="AL415">INDEX($AI$264:$AI$295, INDEX($H$15:$O$18, INT((ROW(A152)-1)/8)+1, MOD(ROW(A152)-1,8)+1))</f>
        <v>#REF!</v>
      </c>
      <c r="AN415" s="2">
        <f t="shared" si="27"/>
        <v>0</v>
      </c>
      <c r="AO415" s="2" t="e">
        <f t="shared" si="28"/>
        <v>#REF!</v>
      </c>
    </row>
    <row r="416" spans="2:41" x14ac:dyDescent="0.25">
      <c r="B416" s="9">
        <v>30</v>
      </c>
      <c r="C416" s="2">
        <v>1</v>
      </c>
      <c r="M416" s="9">
        <v>30</v>
      </c>
      <c r="N416" s="4" cm="1">
        <f t="array" ref="N416">INDEX($F$387:$K$394, INT((ROW(A30)-1)/6)+1, MOD(ROW(A215)-1,6)+1)</f>
        <v>1</v>
      </c>
      <c r="P416" s="9">
        <v>20</v>
      </c>
      <c r="Q416" s="4" t="e" cm="1">
        <f t="array" ref="Q416">INDEX($P$264:$U$271, INT((ROW(A143)-1)/6)+1, MOD(ROW(A143)-1,6)+1)</f>
        <v>#REF!</v>
      </c>
      <c r="R416" t="e">
        <f ca="1"/>
        <v>#VALUE!</v>
      </c>
      <c r="S416" t="e">
        <f ca="1"/>
        <v>#VALUE!</v>
      </c>
      <c r="T416" t="e">
        <f ca="1"/>
        <v>#VALUE!</v>
      </c>
      <c r="W416" s="9">
        <v>30</v>
      </c>
      <c r="X416" s="4" t="e">
        <f t="shared" si="23"/>
        <v>#REF!</v>
      </c>
      <c r="AH416" s="9">
        <v>30</v>
      </c>
      <c r="AI416" s="4" t="e" cm="1">
        <f t="array" ref="AI416">MID(INDEX($AF$265:$AF$272,INT((ROW(A153)-1)/4)+1),MOD(ROW(A153)-1,4)+1,1)</f>
        <v>#REF!</v>
      </c>
      <c r="AK416" s="9">
        <v>30</v>
      </c>
      <c r="AL416" s="4" t="e" cm="1">
        <f t="array" ref="AL416">INDEX($AI$264:$AI$295, INDEX($H$15:$O$18, INT((ROW(A153)-1)/8)+1, MOD(ROW(A153)-1,8)+1))</f>
        <v>#REF!</v>
      </c>
      <c r="AN416" s="2">
        <f t="shared" si="27"/>
        <v>0</v>
      </c>
      <c r="AO416" s="2" t="e">
        <f t="shared" si="28"/>
        <v>#REF!</v>
      </c>
    </row>
    <row r="417" spans="2:41" x14ac:dyDescent="0.25">
      <c r="B417" s="9">
        <v>31</v>
      </c>
      <c r="C417" s="2">
        <v>0</v>
      </c>
      <c r="M417" s="9">
        <v>31</v>
      </c>
      <c r="N417" s="4" cm="1">
        <f t="array" ref="N417">INDEX($F$387:$K$394, INT((ROW(A31)-1)/6)+1, MOD(ROW(A216)-1,6)+1)</f>
        <v>0</v>
      </c>
      <c r="P417" s="9">
        <v>21</v>
      </c>
      <c r="Q417" s="4" t="e" cm="1">
        <f t="array" ref="Q417">INDEX($P$264:$U$271, INT((ROW(A144)-1)/6)+1, MOD(ROW(A144)-1,6)+1)</f>
        <v>#REF!</v>
      </c>
      <c r="R417" t="e">
        <f ca="1"/>
        <v>#VALUE!</v>
      </c>
      <c r="S417" t="e">
        <f ca="1"/>
        <v>#VALUE!</v>
      </c>
      <c r="T417" t="e">
        <f ca="1"/>
        <v>#VALUE!</v>
      </c>
      <c r="W417" s="9">
        <v>31</v>
      </c>
      <c r="X417" s="4" t="e">
        <f t="shared" si="23"/>
        <v>#REF!</v>
      </c>
      <c r="AH417" s="9">
        <v>31</v>
      </c>
      <c r="AI417" s="4" t="e" cm="1">
        <f t="array" ref="AI417">MID(INDEX($AF$265:$AF$272,INT((ROW(A154)-1)/4)+1),MOD(ROW(A154)-1,4)+1,1)</f>
        <v>#REF!</v>
      </c>
      <c r="AK417" s="9">
        <v>31</v>
      </c>
      <c r="AL417" s="4" t="e" cm="1">
        <f t="array" ref="AL417">INDEX($AI$264:$AI$295, INDEX($H$15:$O$18, INT((ROW(A154)-1)/8)+1, MOD(ROW(A154)-1,8)+1))</f>
        <v>#REF!</v>
      </c>
      <c r="AN417" s="2">
        <f t="shared" si="27"/>
        <v>0</v>
      </c>
      <c r="AO417" s="2" t="e">
        <f t="shared" si="28"/>
        <v>#REF!</v>
      </c>
    </row>
    <row r="418" spans="2:41" x14ac:dyDescent="0.25">
      <c r="B418" s="11">
        <v>32</v>
      </c>
      <c r="C418" s="2">
        <v>0</v>
      </c>
      <c r="M418" s="11">
        <v>32</v>
      </c>
      <c r="N418" s="4" cm="1">
        <f t="array" ref="N418">INDEX($F$387:$K$394, INT((ROW(A32)-1)/6)+1, MOD(ROW(A217)-1,6)+1)</f>
        <v>1</v>
      </c>
      <c r="P418" s="9">
        <v>22</v>
      </c>
      <c r="Q418" s="4" t="e" cm="1">
        <f t="array" ref="Q418">INDEX($P$264:$U$271, INT((ROW(A145)-1)/6)+1, MOD(ROW(A145)-1,6)+1)</f>
        <v>#REF!</v>
      </c>
      <c r="R418" t="e">
        <f ca="1"/>
        <v>#VALUE!</v>
      </c>
      <c r="S418" t="e">
        <f ca="1"/>
        <v>#VALUE!</v>
      </c>
      <c r="T418" t="e">
        <f ca="1"/>
        <v>#VALUE!</v>
      </c>
      <c r="W418" s="11">
        <v>32</v>
      </c>
      <c r="X418" s="4" t="e">
        <f t="shared" si="23"/>
        <v>#REF!</v>
      </c>
      <c r="AH418" s="11">
        <v>32</v>
      </c>
      <c r="AI418" s="4" t="e" cm="1">
        <f t="array" ref="AI418">MID(INDEX($AF$265:$AF$272,INT((ROW(A155)-1)/4)+1),MOD(ROW(A155)-1,4)+1,1)</f>
        <v>#REF!</v>
      </c>
      <c r="AK418" s="11">
        <v>32</v>
      </c>
      <c r="AL418" s="4" t="e" cm="1">
        <f t="array" ref="AL418">INDEX($AI$264:$AI$295, INDEX($H$15:$O$18, INT((ROW(A155)-1)/8)+1, MOD(ROW(A155)-1,8)+1))</f>
        <v>#REF!</v>
      </c>
      <c r="AN418" s="2">
        <f t="shared" si="27"/>
        <v>0</v>
      </c>
      <c r="AO418" s="2" t="e">
        <f t="shared" si="28"/>
        <v>#REF!</v>
      </c>
    </row>
    <row r="419" spans="2:41" x14ac:dyDescent="0.25">
      <c r="B419" s="7">
        <v>33</v>
      </c>
      <c r="C419" s="2">
        <v>1</v>
      </c>
      <c r="M419" s="7">
        <v>33</v>
      </c>
      <c r="N419" s="4" cm="1">
        <f t="array" ref="N419">INDEX($F$387:$K$394, INT((ROW(A33)-1)/6)+1, MOD(ROW(A218)-1,6)+1)</f>
        <v>1</v>
      </c>
      <c r="P419" s="9">
        <v>23</v>
      </c>
      <c r="Q419" s="4" t="e" cm="1">
        <f t="array" ref="Q419">INDEX($P$264:$U$271, INT((ROW(A146)-1)/6)+1, MOD(ROW(A146)-1,6)+1)</f>
        <v>#REF!</v>
      </c>
      <c r="R419" t="e">
        <f ca="1"/>
        <v>#VALUE!</v>
      </c>
      <c r="S419" t="e">
        <f ca="1"/>
        <v>#VALUE!</v>
      </c>
      <c r="T419" t="e">
        <f ca="1"/>
        <v>#VALUE!</v>
      </c>
      <c r="W419" s="7">
        <v>33</v>
      </c>
      <c r="X419" s="4" t="e">
        <f t="shared" si="23"/>
        <v>#REF!</v>
      </c>
      <c r="AN419" s="2">
        <f t="shared" si="27"/>
        <v>0</v>
      </c>
      <c r="AO419" s="2" t="e">
        <f t="shared" si="28"/>
        <v>#REF!</v>
      </c>
    </row>
    <row r="420" spans="2:41" x14ac:dyDescent="0.25">
      <c r="B420" s="9">
        <v>34</v>
      </c>
      <c r="C420" s="2">
        <v>1</v>
      </c>
      <c r="M420" s="9">
        <v>34</v>
      </c>
      <c r="N420" s="4" cm="1">
        <f t="array" ref="N420">INDEX($F$387:$K$394, INT((ROW(A34)-1)/6)+1, MOD(ROW(A219)-1,6)+1)</f>
        <v>1</v>
      </c>
      <c r="P420" s="11">
        <v>24</v>
      </c>
      <c r="Q420" s="4" t="e" cm="1">
        <f t="array" ref="Q420">INDEX($P$264:$U$271, INT((ROW(A147)-1)/6)+1, MOD(ROW(A147)-1,6)+1)</f>
        <v>#REF!</v>
      </c>
      <c r="R420" t="e">
        <f ca="1"/>
        <v>#VALUE!</v>
      </c>
      <c r="S420" t="e">
        <f ca="1"/>
        <v>#VALUE!</v>
      </c>
      <c r="T420" t="e">
        <f ca="1"/>
        <v>#VALUE!</v>
      </c>
      <c r="W420" s="9">
        <v>34</v>
      </c>
      <c r="X420" s="4" t="e">
        <f t="shared" si="23"/>
        <v>#REF!</v>
      </c>
    </row>
    <row r="421" spans="2:41" x14ac:dyDescent="0.25">
      <c r="B421" s="9">
        <v>35</v>
      </c>
      <c r="C421" s="2">
        <v>0</v>
      </c>
      <c r="M421" s="9">
        <v>35</v>
      </c>
      <c r="N421" s="4" cm="1">
        <f t="array" ref="N421">INDEX($F$387:$K$394, INT((ROW(A35)-1)/6)+1, MOD(ROW(A220)-1,6)+1)</f>
        <v>1</v>
      </c>
      <c r="P421" s="7">
        <v>25</v>
      </c>
      <c r="Q421" s="4" t="e" cm="1">
        <f t="array" ref="Q421">INDEX($P$264:$U$271, INT((ROW(A148)-1)/6)+1, MOD(ROW(A148)-1,6)+1)</f>
        <v>#REF!</v>
      </c>
      <c r="R421" t="e">
        <f ca="1"/>
        <v>#VALUE!</v>
      </c>
      <c r="S421" t="e">
        <f ca="1"/>
        <v>#VALUE!</v>
      </c>
      <c r="T421" t="e">
        <f ca="1"/>
        <v>#VALUE!</v>
      </c>
      <c r="W421" s="9">
        <v>35</v>
      </c>
      <c r="X421" s="4" t="e">
        <f t="shared" si="23"/>
        <v>#REF!</v>
      </c>
    </row>
    <row r="422" spans="2:41" x14ac:dyDescent="0.25">
      <c r="B422" s="9">
        <v>36</v>
      </c>
      <c r="C422" s="2">
        <v>0</v>
      </c>
      <c r="M422" s="9">
        <v>36</v>
      </c>
      <c r="N422" s="4" cm="1">
        <f t="array" ref="N422">INDEX($F$387:$K$394, INT((ROW(A36)-1)/6)+1, MOD(ROW(A221)-1,6)+1)</f>
        <v>1</v>
      </c>
      <c r="P422" s="9">
        <v>26</v>
      </c>
      <c r="Q422" s="4" t="e" cm="1">
        <f t="array" ref="Q422">INDEX($P$264:$U$271, INT((ROW(A149)-1)/6)+1, MOD(ROW(A149)-1,6)+1)</f>
        <v>#REF!</v>
      </c>
      <c r="R422" t="e">
        <f ca="1"/>
        <v>#VALUE!</v>
      </c>
      <c r="S422" t="e">
        <f ca="1"/>
        <v>#VALUE!</v>
      </c>
      <c r="T422" t="e">
        <f ca="1"/>
        <v>#VALUE!</v>
      </c>
      <c r="W422" s="9">
        <v>36</v>
      </c>
      <c r="X422" s="4" t="e">
        <f t="shared" si="23"/>
        <v>#REF!</v>
      </c>
    </row>
    <row r="423" spans="2:41" x14ac:dyDescent="0.25">
      <c r="B423" s="9">
        <v>37</v>
      </c>
      <c r="C423" s="2">
        <v>1</v>
      </c>
      <c r="M423" s="9">
        <v>37</v>
      </c>
      <c r="N423" s="4" cm="1">
        <f t="array" ref="N423">INDEX($F$387:$K$394, INT((ROW(A37)-1)/6)+1, MOD(ROW(A222)-1,6)+1)</f>
        <v>1</v>
      </c>
      <c r="P423" s="9">
        <v>27</v>
      </c>
      <c r="Q423" s="4" t="e" cm="1">
        <f t="array" ref="Q423">INDEX($P$264:$U$271, INT((ROW(A150)-1)/6)+1, MOD(ROW(A150)-1,6)+1)</f>
        <v>#REF!</v>
      </c>
      <c r="R423" t="e">
        <f ca="1"/>
        <v>#VALUE!</v>
      </c>
      <c r="S423" t="e">
        <f ca="1"/>
        <v>#VALUE!</v>
      </c>
      <c r="T423" t="e">
        <f ca="1"/>
        <v>#VALUE!</v>
      </c>
      <c r="W423" s="9">
        <v>37</v>
      </c>
      <c r="X423" s="4" t="e">
        <f t="shared" si="23"/>
        <v>#REF!</v>
      </c>
    </row>
    <row r="424" spans="2:41" x14ac:dyDescent="0.25">
      <c r="B424" s="9">
        <v>38</v>
      </c>
      <c r="C424" s="2">
        <v>1</v>
      </c>
      <c r="M424" s="9">
        <v>38</v>
      </c>
      <c r="N424" s="4" cm="1">
        <f t="array" ref="N424">INDEX($F$387:$K$394, INT((ROW(A38)-1)/6)+1, MOD(ROW(A223)-1,6)+1)</f>
        <v>0</v>
      </c>
      <c r="P424" s="9">
        <v>28</v>
      </c>
      <c r="Q424" s="4" t="e" cm="1">
        <f t="array" ref="Q424">INDEX($P$264:$U$271, INT((ROW(A151)-1)/6)+1, MOD(ROW(A151)-1,6)+1)</f>
        <v>#REF!</v>
      </c>
      <c r="R424" t="e">
        <f ca="1"/>
        <v>#VALUE!</v>
      </c>
      <c r="S424" t="e">
        <f ca="1"/>
        <v>#VALUE!</v>
      </c>
      <c r="T424" t="e">
        <f ca="1"/>
        <v>#VALUE!</v>
      </c>
      <c r="W424" s="9">
        <v>38</v>
      </c>
      <c r="X424" s="4" t="e">
        <f t="shared" si="23"/>
        <v>#REF!</v>
      </c>
    </row>
    <row r="425" spans="2:41" x14ac:dyDescent="0.25">
      <c r="B425" s="9">
        <v>39</v>
      </c>
      <c r="C425" s="2">
        <v>1</v>
      </c>
      <c r="M425" s="9">
        <v>39</v>
      </c>
      <c r="N425" s="4" cm="1">
        <f t="array" ref="N425">INDEX($F$387:$K$394, INT((ROW(A39)-1)/6)+1, MOD(ROW(A224)-1,6)+1)</f>
        <v>1</v>
      </c>
      <c r="P425" s="9">
        <v>29</v>
      </c>
      <c r="Q425" s="4" t="e" cm="1">
        <f t="array" ref="Q425">INDEX($P$264:$U$271, INT((ROW(A152)-1)/6)+1, MOD(ROW(A152)-1,6)+1)</f>
        <v>#REF!</v>
      </c>
      <c r="R425" t="e">
        <f ca="1"/>
        <v>#VALUE!</v>
      </c>
      <c r="S425" t="e">
        <f ca="1"/>
        <v>#VALUE!</v>
      </c>
      <c r="T425" t="e">
        <f ca="1"/>
        <v>#VALUE!</v>
      </c>
      <c r="W425" s="9">
        <v>39</v>
      </c>
      <c r="X425" s="4" t="e">
        <f t="shared" si="23"/>
        <v>#REF!</v>
      </c>
    </row>
    <row r="426" spans="2:41" x14ac:dyDescent="0.25">
      <c r="B426" s="11">
        <v>40</v>
      </c>
      <c r="C426" s="2">
        <v>1</v>
      </c>
      <c r="M426" s="11">
        <v>40</v>
      </c>
      <c r="N426" s="4" cm="1">
        <f t="array" ref="N426">INDEX($F$387:$K$394, INT((ROW(A40)-1)/6)+1, MOD(ROW(A225)-1,6)+1)</f>
        <v>1</v>
      </c>
      <c r="P426" s="9">
        <v>30</v>
      </c>
      <c r="Q426" s="4" t="e" cm="1">
        <f t="array" ref="Q426">INDEX($P$264:$U$271, INT((ROW(A153)-1)/6)+1, MOD(ROW(A153)-1,6)+1)</f>
        <v>#REF!</v>
      </c>
      <c r="W426" s="11">
        <v>40</v>
      </c>
      <c r="X426" s="4" t="e">
        <f t="shared" si="23"/>
        <v>#REF!</v>
      </c>
    </row>
    <row r="427" spans="2:41" x14ac:dyDescent="0.25">
      <c r="B427" s="7">
        <v>41</v>
      </c>
      <c r="C427" s="2">
        <v>0</v>
      </c>
      <c r="M427" s="7">
        <v>41</v>
      </c>
      <c r="N427" s="4" cm="1">
        <f t="array" ref="N427">INDEX($F$387:$K$394, INT((ROW(A41)-1)/6)+1, MOD(ROW(A226)-1,6)+1)</f>
        <v>0</v>
      </c>
      <c r="P427" s="9">
        <v>31</v>
      </c>
      <c r="Q427" s="4" t="e" cm="1">
        <f t="array" ref="Q427">INDEX($P$264:$U$271, INT((ROW(A154)-1)/6)+1, MOD(ROW(A154)-1,6)+1)</f>
        <v>#REF!</v>
      </c>
      <c r="W427" s="7">
        <v>41</v>
      </c>
      <c r="X427" s="4" t="e">
        <f t="shared" si="23"/>
        <v>#REF!</v>
      </c>
    </row>
    <row r="428" spans="2:41" x14ac:dyDescent="0.25">
      <c r="B428" s="9">
        <v>42</v>
      </c>
      <c r="C428" s="2">
        <v>0</v>
      </c>
      <c r="M428" s="9">
        <v>42</v>
      </c>
      <c r="N428" s="4" cm="1">
        <f t="array" ref="N428">INDEX($F$387:$K$394, INT((ROW(A42)-1)/6)+1, MOD(ROW(A227)-1,6)+1)</f>
        <v>1</v>
      </c>
      <c r="P428" s="11">
        <v>32</v>
      </c>
      <c r="Q428" s="4" t="e" cm="1">
        <f t="array" ref="Q428">INDEX($P$264:$U$271, INT((ROW(A155)-1)/6)+1, MOD(ROW(A155)-1,6)+1)</f>
        <v>#REF!</v>
      </c>
      <c r="W428" s="9">
        <v>42</v>
      </c>
      <c r="X428" s="4" t="e">
        <f t="shared" si="23"/>
        <v>#REF!</v>
      </c>
    </row>
    <row r="429" spans="2:41" x14ac:dyDescent="0.25">
      <c r="B429" s="9">
        <v>43</v>
      </c>
      <c r="C429" s="2">
        <v>0</v>
      </c>
      <c r="M429" s="9">
        <v>43</v>
      </c>
      <c r="N429" s="4" cm="1">
        <f t="array" ref="N429">INDEX($F$387:$K$394, INT((ROW(A43)-1)/6)+1, MOD(ROW(A228)-1,6)+1)</f>
        <v>0</v>
      </c>
      <c r="P429" s="7">
        <v>33</v>
      </c>
      <c r="Q429" s="4" t="e" cm="1">
        <f t="array" ref="Q429">INDEX($P$264:$U$271, INT((ROW(A156)-1)/6)+1, MOD(ROW(A156)-1,6)+1)</f>
        <v>#REF!</v>
      </c>
      <c r="W429" s="9">
        <v>43</v>
      </c>
      <c r="X429" s="4" t="e">
        <f t="shared" si="23"/>
        <v>#REF!</v>
      </c>
    </row>
    <row r="430" spans="2:41" x14ac:dyDescent="0.25">
      <c r="B430" s="9">
        <v>44</v>
      </c>
      <c r="C430" s="2">
        <v>0</v>
      </c>
      <c r="M430" s="9">
        <v>44</v>
      </c>
      <c r="N430" s="4" cm="1">
        <f t="array" ref="N430">INDEX($F$387:$K$394, INT((ROW(A44)-1)/6)+1, MOD(ROW(A229)-1,6)+1)</f>
        <v>0</v>
      </c>
      <c r="P430" s="9">
        <v>34</v>
      </c>
      <c r="Q430" s="4" t="e" cm="1">
        <f t="array" ref="Q430">INDEX($P$264:$U$271, INT((ROW(A157)-1)/6)+1, MOD(ROW(A157)-1,6)+1)</f>
        <v>#REF!</v>
      </c>
      <c r="W430" s="9">
        <v>44</v>
      </c>
      <c r="X430" s="4" t="e">
        <f t="shared" si="23"/>
        <v>#REF!</v>
      </c>
    </row>
    <row r="431" spans="2:41" x14ac:dyDescent="0.25">
      <c r="B431" s="9">
        <v>45</v>
      </c>
      <c r="C431" s="2">
        <v>1</v>
      </c>
      <c r="M431" s="9">
        <v>45</v>
      </c>
      <c r="N431" s="4" cm="1">
        <f t="array" ref="N431">INDEX($F$387:$K$394, INT((ROW(A45)-1)/6)+1, MOD(ROW(A230)-1,6)+1)</f>
        <v>0</v>
      </c>
      <c r="P431" s="9">
        <v>35</v>
      </c>
      <c r="Q431" s="4" t="e" cm="1">
        <f t="array" ref="Q431">INDEX($P$264:$U$271, INT((ROW(A158)-1)/6)+1, MOD(ROW(A158)-1,6)+1)</f>
        <v>#REF!</v>
      </c>
      <c r="W431" s="9">
        <v>45</v>
      </c>
      <c r="X431" s="4" t="e">
        <f t="shared" si="23"/>
        <v>#REF!</v>
      </c>
    </row>
    <row r="432" spans="2:41" x14ac:dyDescent="0.25">
      <c r="B432" s="9">
        <v>46</v>
      </c>
      <c r="C432" s="2">
        <v>0</v>
      </c>
      <c r="M432" s="9">
        <v>46</v>
      </c>
      <c r="N432" s="4" cm="1">
        <f t="array" ref="N432">INDEX($F$387:$K$394, INT((ROW(A46)-1)/6)+1, MOD(ROW(A231)-1,6)+1)</f>
        <v>0</v>
      </c>
      <c r="P432" s="9">
        <v>36</v>
      </c>
      <c r="Q432" s="4" t="e" cm="1">
        <f t="array" ref="Q432">INDEX($P$264:$U$271, INT((ROW(A159)-1)/6)+1, MOD(ROW(A159)-1,6)+1)</f>
        <v>#REF!</v>
      </c>
      <c r="W432" s="9">
        <v>46</v>
      </c>
      <c r="X432" s="4" t="e">
        <f t="shared" si="23"/>
        <v>#REF!</v>
      </c>
    </row>
    <row r="433" spans="2:41" x14ac:dyDescent="0.25">
      <c r="B433" s="9">
        <v>47</v>
      </c>
      <c r="C433" s="2">
        <v>1</v>
      </c>
      <c r="M433" s="9">
        <v>47</v>
      </c>
      <c r="N433" s="4" cm="1">
        <f t="array" ref="N433">INDEX($F$387:$K$394, INT((ROW(A47)-1)/6)+1, MOD(ROW(A232)-1,6)+1)</f>
        <v>0</v>
      </c>
      <c r="P433" s="9">
        <v>37</v>
      </c>
      <c r="Q433" s="4" t="e" cm="1">
        <f t="array" ref="Q433">INDEX($P$264:$U$271, INT((ROW(A160)-1)/6)+1, MOD(ROW(A160)-1,6)+1)</f>
        <v>#REF!</v>
      </c>
      <c r="W433" s="9">
        <v>47</v>
      </c>
      <c r="X433" s="4" t="e">
        <f t="shared" si="23"/>
        <v>#REF!</v>
      </c>
    </row>
    <row r="434" spans="2:41" x14ac:dyDescent="0.25">
      <c r="B434" s="11">
        <v>48</v>
      </c>
      <c r="C434" s="2">
        <v>0</v>
      </c>
      <c r="M434" s="11">
        <v>48</v>
      </c>
      <c r="N434" s="2" cm="1">
        <f t="array" ref="N434">INDEX($F$387:$K$394, INT((ROW(A48)-1)/6)+1, MOD(ROW(A233)-1,6)+1)</f>
        <v>1</v>
      </c>
      <c r="P434" s="9">
        <v>38</v>
      </c>
      <c r="Q434" s="4" t="e" cm="1">
        <f t="array" ref="Q434">INDEX($P$264:$U$271, INT((ROW(A161)-1)/6)+1, MOD(ROW(A161)-1,6)+1)</f>
        <v>#REF!</v>
      </c>
      <c r="W434" s="11">
        <v>48</v>
      </c>
      <c r="X434" s="4" t="e">
        <f t="shared" si="23"/>
        <v>#REF!</v>
      </c>
    </row>
    <row r="435" spans="2:41" x14ac:dyDescent="0.25">
      <c r="B435" s="7">
        <v>49</v>
      </c>
      <c r="C435" s="2">
        <v>1</v>
      </c>
      <c r="P435" s="9">
        <v>39</v>
      </c>
      <c r="Q435" s="4" t="e" cm="1">
        <f t="array" ref="Q435">INDEX($P$264:$U$271, INT((ROW(A162)-1)/6)+1, MOD(ROW(A162)-1,6)+1)</f>
        <v>#REF!</v>
      </c>
    </row>
    <row r="436" spans="2:41" x14ac:dyDescent="0.25">
      <c r="B436" s="9">
        <v>50</v>
      </c>
      <c r="C436" s="2">
        <v>0</v>
      </c>
      <c r="P436" s="11">
        <v>40</v>
      </c>
      <c r="Q436" s="4" t="e" cm="1">
        <f t="array" ref="Q436">INDEX($P$264:$U$271, INT((ROW(A163)-1)/6)+1, MOD(ROW(A163)-1,6)+1)</f>
        <v>#REF!</v>
      </c>
    </row>
    <row r="437" spans="2:41" x14ac:dyDescent="0.25">
      <c r="B437" s="9">
        <v>51</v>
      </c>
      <c r="C437" s="2">
        <v>1</v>
      </c>
      <c r="P437" s="7">
        <v>41</v>
      </c>
      <c r="Q437" s="4" t="e" cm="1">
        <f t="array" ref="Q437">INDEX($P$264:$U$271, INT((ROW(A164)-1)/6)+1, MOD(ROW(A164)-1,6)+1)</f>
        <v>#REF!</v>
      </c>
    </row>
    <row r="438" spans="2:41" x14ac:dyDescent="0.25">
      <c r="B438" s="9">
        <v>52</v>
      </c>
      <c r="C438" s="2">
        <v>0</v>
      </c>
      <c r="P438" s="9">
        <v>42</v>
      </c>
      <c r="Q438" s="4" t="e" cm="1">
        <f t="array" ref="Q438">INDEX($P$264:$U$271, INT((ROW(A165)-1)/6)+1, MOD(ROW(A165)-1,6)+1)</f>
        <v>#REF!</v>
      </c>
    </row>
    <row r="439" spans="2:41" x14ac:dyDescent="0.25">
      <c r="B439" s="9">
        <v>53</v>
      </c>
      <c r="C439" s="2">
        <v>1</v>
      </c>
      <c r="P439" s="9">
        <v>43</v>
      </c>
      <c r="Q439" s="4" t="e" cm="1">
        <f t="array" ref="Q439">INDEX($P$264:$U$271, INT((ROW(A166)-1)/6)+1, MOD(ROW(A166)-1,6)+1)</f>
        <v>#REF!</v>
      </c>
    </row>
    <row r="440" spans="2:41" x14ac:dyDescent="0.25">
      <c r="B440" s="9">
        <v>54</v>
      </c>
      <c r="C440" s="2">
        <v>0</v>
      </c>
      <c r="P440" s="9">
        <v>44</v>
      </c>
      <c r="Q440" s="4" t="e" cm="1">
        <f t="array" ref="Q440">INDEX($P$264:$U$271, INT((ROW(A167)-1)/6)+1, MOD(ROW(A167)-1,6)+1)</f>
        <v>#REF!</v>
      </c>
    </row>
    <row r="441" spans="2:41" x14ac:dyDescent="0.25">
      <c r="B441" s="9">
        <v>55</v>
      </c>
      <c r="C441" s="2">
        <v>1</v>
      </c>
      <c r="P441" s="9">
        <v>45</v>
      </c>
      <c r="Q441" s="4" t="e" cm="1">
        <f t="array" ref="Q441">INDEX($P$264:$U$271, INT((ROW(A168)-1)/6)+1, MOD(ROW(A168)-1,6)+1)</f>
        <v>#REF!</v>
      </c>
    </row>
    <row r="442" spans="2:41" x14ac:dyDescent="0.25">
      <c r="B442" s="11">
        <v>56</v>
      </c>
      <c r="C442" s="2">
        <v>0</v>
      </c>
      <c r="P442" s="9">
        <v>46</v>
      </c>
      <c r="Q442" s="4" t="e" cm="1">
        <f t="array" ref="Q442">INDEX($P$264:$U$271, INT((ROW(A169)-1)/6)+1, MOD(ROW(A169)-1,6)+1)</f>
        <v>#REF!</v>
      </c>
    </row>
    <row r="443" spans="2:41" x14ac:dyDescent="0.25">
      <c r="P443" s="9">
        <v>47</v>
      </c>
      <c r="Q443" s="4" t="e" cm="1">
        <f t="array" ref="Q443">INDEX($P$264:$U$271, INT((ROW(A170)-1)/6)+1, MOD(ROW(A170)-1,6)+1)</f>
        <v>#REF!</v>
      </c>
    </row>
    <row r="444" spans="2:41" x14ac:dyDescent="0.25">
      <c r="P444" s="11">
        <v>48</v>
      </c>
      <c r="Q444" s="4" t="e" cm="1">
        <f t="array" ref="Q444">INDEX($P$264:$U$271, INT((ROW(A171)-1)/6)+1, MOD(ROW(A171)-1,6)+1)</f>
        <v>#REF!</v>
      </c>
    </row>
    <row r="445" spans="2:41" x14ac:dyDescent="0.25">
      <c r="B445" t="s">
        <v>41</v>
      </c>
    </row>
    <row r="447" spans="2:41" x14ac:dyDescent="0.25">
      <c r="B447" s="37" t="s">
        <v>42</v>
      </c>
      <c r="C447" s="38"/>
      <c r="F447" s="39" t="s">
        <v>23</v>
      </c>
      <c r="G447" s="40"/>
      <c r="H447" s="40"/>
      <c r="I447" s="40"/>
      <c r="J447" s="40"/>
      <c r="K447" s="41"/>
      <c r="M447" s="37" t="s">
        <v>43</v>
      </c>
      <c r="N447" s="43"/>
      <c r="P447" s="39" t="s">
        <v>93</v>
      </c>
      <c r="Q447" s="40"/>
      <c r="R447" s="40"/>
      <c r="S447" s="40"/>
      <c r="T447" s="40"/>
      <c r="U447" s="41"/>
      <c r="W447" s="2" t="s">
        <v>3</v>
      </c>
      <c r="X447" s="18" t="s">
        <v>95</v>
      </c>
      <c r="Z447" s="42" t="s">
        <v>77</v>
      </c>
      <c r="AA447" s="42" t="s">
        <v>74</v>
      </c>
      <c r="AB447" s="42"/>
      <c r="AC447" s="42" t="s">
        <v>75</v>
      </c>
      <c r="AD447" s="42" t="s">
        <v>76</v>
      </c>
      <c r="AE447" s="36" t="s">
        <v>78</v>
      </c>
      <c r="AF447" s="36" t="s">
        <v>79</v>
      </c>
      <c r="AH447" s="37" t="s">
        <v>96</v>
      </c>
      <c r="AI447" s="38"/>
      <c r="AK447" s="37" t="s">
        <v>97</v>
      </c>
      <c r="AL447" s="38"/>
      <c r="AN447" s="36" t="s">
        <v>98</v>
      </c>
      <c r="AO447" s="36"/>
    </row>
    <row r="448" spans="2:41" x14ac:dyDescent="0.25">
      <c r="B448" s="7">
        <v>1</v>
      </c>
      <c r="C448" s="30">
        <v>0</v>
      </c>
      <c r="F448" s="15" cm="1">
        <f t="array" ref="F448">INDEX($C$448:$C$503, H41)</f>
        <v>0</v>
      </c>
      <c r="G448" s="15" cm="1">
        <f t="array" ref="G448">INDEX($C$448:$C$503, I41)</f>
        <v>1</v>
      </c>
      <c r="H448" s="15" cm="1">
        <f t="array" ref="H448">INDEX($C$448:$C$503, J41)</f>
        <v>1</v>
      </c>
      <c r="I448" s="15" cm="1">
        <f t="array" ref="I448">INDEX($C$448:$C$503, K41)</f>
        <v>0</v>
      </c>
      <c r="J448" s="15" cm="1">
        <f t="array" ref="J448">INDEX($C$448:$C$503, L41)</f>
        <v>0</v>
      </c>
      <c r="K448" s="15" cm="1">
        <f t="array" ref="K448">INDEX($C$448:$C$503, M41)</f>
        <v>0</v>
      </c>
      <c r="M448" s="7">
        <v>1</v>
      </c>
      <c r="N448" s="4" cm="1">
        <f t="array" ref="N448">INDEX($F$448:$K$455, INT((ROW(A1)-1)/6)+1, MOD(ROW(A247)-1,6)+1)</f>
        <v>0</v>
      </c>
      <c r="P448" s="15" t="e" cm="1" vm="1">
        <f t="array" aca="1" ref="P448" ca="1">INDEX($AO$204:$AO$235, H235)</f>
        <v>#VALUE!</v>
      </c>
      <c r="Q448" s="15" t="e" cm="1" vm="1">
        <f t="array" aca="1" ref="Q448" ca="1">INDEX($AO$204:$AO$235, I235)</f>
        <v>#VALUE!</v>
      </c>
      <c r="R448" s="15" t="e" cm="1" vm="1">
        <f t="array" aca="1" ref="R448" ca="1">INDEX($AO$204:$AO$235, J235)</f>
        <v>#VALUE!</v>
      </c>
      <c r="S448" s="15" t="e" cm="1" vm="1">
        <f t="array" aca="1" ref="S448" ca="1">INDEX($AO$204:$AO$235, K235)</f>
        <v>#VALUE!</v>
      </c>
      <c r="T448" s="15" t="e" cm="1" vm="1">
        <f t="array" aca="1" ref="T448" ca="1">INDEX($AO$204:$AO$235, L235)</f>
        <v>#VALUE!</v>
      </c>
      <c r="U448" s="15" t="e" cm="1">
        <f t="array" ref="U448">INDEX($AO$204:$AO$235, M235)</f>
        <v>#REF!</v>
      </c>
      <c r="W448" s="7">
        <v>1</v>
      </c>
      <c r="X448" s="4" t="e">
        <f>_xlfn.BITXOR(Q458, N448)</f>
        <v>#REF!</v>
      </c>
      <c r="Z448" s="42"/>
      <c r="AA448" s="42"/>
      <c r="AB448" s="42"/>
      <c r="AC448" s="42"/>
      <c r="AD448" s="42"/>
      <c r="AE448" s="36"/>
      <c r="AF448" s="36"/>
      <c r="AH448" s="7">
        <v>1</v>
      </c>
      <c r="AI448" s="4" t="e" cm="1">
        <f t="array" ref="AI448">MID(INDEX($AF$265:$AF$272,INT((ROW(A185)-1)/4)+1),MOD(ROW(A185)-1,4)+1,1)</f>
        <v>#REF!</v>
      </c>
      <c r="AK448" s="7">
        <v>1</v>
      </c>
      <c r="AL448" s="4" t="e" cm="1">
        <f t="array" ref="AL448">INDEX($AI$264:$AI$295, INDEX($H$15:$O$18, INT((ROW(A185)-1)/8)+1, MOD(ROW(A185)-1,8)+1))</f>
        <v>#REF!</v>
      </c>
      <c r="AN448" s="2" t="s">
        <v>99</v>
      </c>
      <c r="AO448" s="31" t="s">
        <v>101</v>
      </c>
    </row>
    <row r="449" spans="2:41" x14ac:dyDescent="0.25">
      <c r="B449" s="9">
        <v>2</v>
      </c>
      <c r="C449" s="30">
        <v>0</v>
      </c>
      <c r="F449" s="15" cm="1">
        <f t="array" ref="F449">INDEX($C$448:$C$503, H42)</f>
        <v>1</v>
      </c>
      <c r="G449" s="15" cm="1">
        <f t="array" ref="G449">INDEX($C$448:$C$503, I42)</f>
        <v>1</v>
      </c>
      <c r="H449" s="15" cm="1">
        <f t="array" ref="H449">INDEX($C$448:$C$503, J42)</f>
        <v>1</v>
      </c>
      <c r="I449" s="15" cm="1">
        <f t="array" ref="I449">INDEX($C$448:$C$503, K42)</f>
        <v>0</v>
      </c>
      <c r="J449" s="15" cm="1">
        <f t="array" ref="J449">INDEX($C$448:$C$503, L42)</f>
        <v>1</v>
      </c>
      <c r="K449" s="15" cm="1">
        <f t="array" ref="K449">INDEX($C$448:$C$503, M42)</f>
        <v>0</v>
      </c>
      <c r="M449" s="9">
        <v>2</v>
      </c>
      <c r="N449" s="4" cm="1">
        <f t="array" ref="N449">INDEX($F$448:$K$455, INT((ROW(A2)-1)/6)+1, MOD(ROW(A248)-1,6)+1)</f>
        <v>1</v>
      </c>
      <c r="P449" s="15" t="e" cm="1" vm="1">
        <f t="array" aca="1" ref="P449" ca="1">INDEX($AO$204:$AO$235, H236)</f>
        <v>#VALUE!</v>
      </c>
      <c r="Q449" s="15" t="e" cm="1" vm="1">
        <f t="array" aca="1" ref="Q449" ca="1">INDEX($AO$204:$AO$235, I236)</f>
        <v>#VALUE!</v>
      </c>
      <c r="R449" s="15" t="e" cm="1" vm="1">
        <f t="array" aca="1" ref="R449" ca="1">INDEX($AO$204:$AO$235, J236)</f>
        <v>#VALUE!</v>
      </c>
      <c r="S449" s="15" t="e" cm="1" vm="1">
        <f t="array" aca="1" ref="S449" ca="1">INDEX($AO$204:$AO$235, K236)</f>
        <v>#VALUE!</v>
      </c>
      <c r="T449" s="15" t="e" cm="1" vm="1">
        <f t="array" aca="1" ref="T449" ca="1">INDEX($AO$204:$AO$235, L236)</f>
        <v>#VALUE!</v>
      </c>
      <c r="U449" s="15" t="e" cm="1">
        <f t="array" ref="U449">INDEX($AO$204:$AO$235, M236)</f>
        <v>#REF!</v>
      </c>
      <c r="W449" s="9">
        <v>2</v>
      </c>
      <c r="X449" s="4" t="e">
        <f t="shared" ref="X449:X495" si="29">_xlfn.BITXOR(Q459, N449)</f>
        <v>#REF!</v>
      </c>
      <c r="Z449" s="32">
        <v>1</v>
      </c>
      <c r="AA449" s="34" t="e">
        <f>_xlfn.TEXTJOIN("", TRUE, INDEX($X$264:$X$311, (ROW(A185)-1)*6+1) : INDEX($X$264:$X$311, (ROW(A185)-1)*6+6))</f>
        <v>#REF!</v>
      </c>
      <c r="AB449" s="35"/>
      <c r="AC449" s="32" t="e">
        <f>BIN2DEC(LEFT(AA449,1) &amp; RIGHT(AA449,1))</f>
        <v>#REF!</v>
      </c>
      <c r="AD449" s="31" t="e">
        <f>BIN2DEC(MID(AA449,2,4))</f>
        <v>#REF!</v>
      </c>
      <c r="AE449" s="31" t="e" cm="1">
        <f t="array" aca="1" ref="AE449" ca="1">INDEX(OFFSET('[1]S-box'!$A$2, (Z449-1)*6, 0, 4, 16), AC449+1, AD449+1)</f>
        <v>#VALUE!</v>
      </c>
      <c r="AF449" s="33" t="e">
        <f ca="1">DEC2BIN(AE449, 4)</f>
        <v>#VALUE!</v>
      </c>
      <c r="AH449" s="9">
        <v>2</v>
      </c>
      <c r="AI449" s="4" t="e" cm="1">
        <f t="array" ref="AI449">MID(INDEX($AF$265:$AF$272,INT((ROW(A186)-1)/4)+1),MOD(ROW(A186)-1,4)+1,1)</f>
        <v>#REF!</v>
      </c>
      <c r="AK449" s="9">
        <v>2</v>
      </c>
      <c r="AL449" s="4" t="e" cm="1">
        <f t="array" ref="AL449">INDEX($AI$264:$AI$295, INDEX($H$15:$O$18, INT((ROW(A186)-1)/8)+1, MOD(ROW(A186)-1,8)+1))</f>
        <v>#REF!</v>
      </c>
      <c r="AN449" s="2">
        <f>_xlfn.BITXOR(T262, AE387)</f>
        <v>0</v>
      </c>
      <c r="AO449" s="2" t="e">
        <f>_xlfn.BITXOR(N448, AL448)</f>
        <v>#REF!</v>
      </c>
    </row>
    <row r="450" spans="2:41" x14ac:dyDescent="0.25">
      <c r="B450" s="9">
        <v>3</v>
      </c>
      <c r="C450" s="30">
        <v>1</v>
      </c>
      <c r="F450" s="15" cm="1">
        <f t="array" ref="F450">INDEX($C$448:$C$503, H43)</f>
        <v>0</v>
      </c>
      <c r="G450" s="15" cm="1">
        <f t="array" ref="G450">INDEX($C$448:$C$503, I43)</f>
        <v>1</v>
      </c>
      <c r="H450" s="15" cm="1">
        <f t="array" ref="H450">INDEX($C$448:$C$503, J43)</f>
        <v>0</v>
      </c>
      <c r="I450" s="15" cm="1">
        <f t="array" ref="I450">INDEX($C$448:$C$503, K43)</f>
        <v>1</v>
      </c>
      <c r="J450" s="15" cm="1">
        <f t="array" ref="J450">INDEX($C$448:$C$503, L43)</f>
        <v>0</v>
      </c>
      <c r="K450" s="15" cm="1">
        <f t="array" ref="K450">INDEX($C$448:$C$503, M43)</f>
        <v>0</v>
      </c>
      <c r="M450" s="9">
        <v>3</v>
      </c>
      <c r="N450" s="4" cm="1">
        <f t="array" ref="N450">INDEX($F$448:$K$455, INT((ROW(A3)-1)/6)+1, MOD(ROW(A249)-1,6)+1)</f>
        <v>1</v>
      </c>
      <c r="P450" s="15" t="e" cm="1" vm="1">
        <f t="array" aca="1" ref="P450" ca="1">INDEX($AO$204:$AO$235, H237)</f>
        <v>#VALUE!</v>
      </c>
      <c r="Q450" s="15" t="e" cm="1" vm="1">
        <f t="array" aca="1" ref="Q450" ca="1">INDEX($AO$204:$AO$235, I237)</f>
        <v>#VALUE!</v>
      </c>
      <c r="R450" s="15" t="e" cm="1" vm="1">
        <f t="array" aca="1" ref="R450" ca="1">INDEX($AO$204:$AO$235, J237)</f>
        <v>#VALUE!</v>
      </c>
      <c r="S450" s="15" t="e" cm="1" vm="1">
        <f t="array" aca="1" ref="S450" ca="1">INDEX($AO$204:$AO$235, K237)</f>
        <v>#VALUE!</v>
      </c>
      <c r="T450" s="15" t="e" cm="1" vm="1">
        <f t="array" aca="1" ref="T450" ca="1">INDEX($AO$204:$AO$235, L237)</f>
        <v>#VALUE!</v>
      </c>
      <c r="U450" s="15" t="e" cm="1">
        <f t="array" ref="U450">INDEX($AO$204:$AO$235, M237)</f>
        <v>#REF!</v>
      </c>
      <c r="W450" s="9">
        <v>3</v>
      </c>
      <c r="X450" s="4" t="e">
        <f t="shared" si="29"/>
        <v>#REF!</v>
      </c>
      <c r="Z450" s="32">
        <v>2</v>
      </c>
      <c r="AA450" s="34" t="e">
        <f>_xlfn.TEXTJOIN("", TRUE, INDEX($X$264:$X$311, (ROW(A186)-1)*6+1) : INDEX($X$264:$X$311, (ROW(A186)-1)*6+6))</f>
        <v>#REF!</v>
      </c>
      <c r="AB450" s="35"/>
      <c r="AC450" s="32" t="e">
        <f t="shared" ref="AC450:AC456" si="30">BIN2DEC(LEFT(AA450,1) &amp; RIGHT(AA450,1))</f>
        <v>#REF!</v>
      </c>
      <c r="AD450" s="31" t="e">
        <f t="shared" ref="AD450:AD456" si="31">BIN2DEC(MID(AA450,2,4))</f>
        <v>#REF!</v>
      </c>
      <c r="AE450" s="31" t="e" cm="1">
        <f t="array" aca="1" ref="AE450" ca="1">INDEX(OFFSET('[1]S-box'!$A$2, (Z450-1)*6, 0, 4, 16), AC450+1, AD450+1)</f>
        <v>#VALUE!</v>
      </c>
      <c r="AF450" s="33" t="e">
        <f t="shared" ref="AF450:AF456" ca="1" si="32">DEC2BIN(AE450, 4)</f>
        <v>#VALUE!</v>
      </c>
      <c r="AH450" s="9">
        <v>3</v>
      </c>
      <c r="AI450" s="4" t="e" cm="1">
        <f t="array" ref="AI450">MID(INDEX($AF$265:$AF$272,INT((ROW(A187)-1)/4)+1),MOD(ROW(A187)-1,4)+1,1)</f>
        <v>#REF!</v>
      </c>
      <c r="AK450" s="9">
        <v>3</v>
      </c>
      <c r="AL450" s="4" t="e" cm="1">
        <f t="array" ref="AL450">INDEX($AI$264:$AI$295, INDEX($H$15:$O$18, INT((ROW(A187)-1)/8)+1, MOD(ROW(A187)-1,8)+1))</f>
        <v>#REF!</v>
      </c>
      <c r="AN450" s="2" t="e">
        <f t="shared" ref="AN450:AN480" ca="1" si="33">_xlfn.BITXOR(T263, AE388)</f>
        <v>#VALUE!</v>
      </c>
      <c r="AO450" s="2" t="e">
        <f t="shared" ref="AO450:AO480" si="34">_xlfn.BITXOR(N449, AL449)</f>
        <v>#REF!</v>
      </c>
    </row>
    <row r="451" spans="2:41" x14ac:dyDescent="0.25">
      <c r="B451" s="9">
        <v>4</v>
      </c>
      <c r="C451" s="30">
        <v>1</v>
      </c>
      <c r="F451" s="15" cm="1">
        <f t="array" ref="F451">INDEX($C$448:$C$503, H44)</f>
        <v>0</v>
      </c>
      <c r="G451" s="15" cm="1">
        <f t="array" ref="G451">INDEX($C$448:$C$503, I44)</f>
        <v>1</v>
      </c>
      <c r="H451" s="15" cm="1">
        <f t="array" ref="H451">INDEX($C$448:$C$503, J44)</f>
        <v>1</v>
      </c>
      <c r="I451" s="15" cm="1">
        <f t="array" ref="I451">INDEX($C$448:$C$503, K44)</f>
        <v>1</v>
      </c>
      <c r="J451" s="15" cm="1">
        <f t="array" ref="J451">INDEX($C$448:$C$503, L44)</f>
        <v>1</v>
      </c>
      <c r="K451" s="15" cm="1">
        <f t="array" ref="K451">INDEX($C$448:$C$503, M44)</f>
        <v>0</v>
      </c>
      <c r="M451" s="9">
        <v>4</v>
      </c>
      <c r="N451" s="4" cm="1">
        <f t="array" ref="N451">INDEX($F$448:$K$455, INT((ROW(A4)-1)/6)+1, MOD(ROW(A250)-1,6)+1)</f>
        <v>0</v>
      </c>
      <c r="P451" s="15" t="e" cm="1" vm="1">
        <f t="array" aca="1" ref="P451" ca="1">INDEX($AO$204:$AO$235, H238)</f>
        <v>#VALUE!</v>
      </c>
      <c r="Q451" s="15" t="e" cm="1" vm="1">
        <f t="array" aca="1" ref="Q451" ca="1">INDEX($AO$204:$AO$235, I238)</f>
        <v>#VALUE!</v>
      </c>
      <c r="R451" s="15" t="e" cm="1" vm="1">
        <f t="array" aca="1" ref="R451" ca="1">INDEX($AO$204:$AO$235, J238)</f>
        <v>#VALUE!</v>
      </c>
      <c r="S451" s="15" t="e" cm="1" vm="1">
        <f t="array" aca="1" ref="S451" ca="1">INDEX($AO$204:$AO$235, K238)</f>
        <v>#VALUE!</v>
      </c>
      <c r="T451" s="15" t="e" cm="1" vm="1">
        <f t="array" aca="1" ref="T451" ca="1">INDEX($AO$204:$AO$235, L238)</f>
        <v>#VALUE!</v>
      </c>
      <c r="U451" s="15" t="e" cm="1">
        <f t="array" ref="U451">INDEX($AO$204:$AO$235, M238)</f>
        <v>#REF!</v>
      </c>
      <c r="W451" s="9">
        <v>4</v>
      </c>
      <c r="X451" s="4" t="e">
        <f t="shared" si="29"/>
        <v>#REF!</v>
      </c>
      <c r="Z451" s="32">
        <v>3</v>
      </c>
      <c r="AA451" s="34" t="e">
        <f>_xlfn.TEXTJOIN("", TRUE, INDEX($X$264:$X$311, (ROW(A187)-1)*6+1) : INDEX($X$264:$X$311, (ROW(A187)-1)*6+6))</f>
        <v>#REF!</v>
      </c>
      <c r="AB451" s="35"/>
      <c r="AC451" s="32" t="e">
        <f t="shared" si="30"/>
        <v>#REF!</v>
      </c>
      <c r="AD451" s="31" t="e">
        <f t="shared" si="31"/>
        <v>#REF!</v>
      </c>
      <c r="AE451" s="31" t="e" cm="1">
        <f t="array" aca="1" ref="AE451" ca="1">INDEX(OFFSET('[1]S-box'!$A$2, (Z451-1)*6, 0, 4, 16), AC451+1, AD451+1)</f>
        <v>#VALUE!</v>
      </c>
      <c r="AF451" s="33" t="e">
        <f t="shared" ca="1" si="32"/>
        <v>#VALUE!</v>
      </c>
      <c r="AH451" s="9">
        <v>4</v>
      </c>
      <c r="AI451" s="4" t="e" cm="1">
        <f t="array" ref="AI451">MID(INDEX($AF$265:$AF$272,INT((ROW(A188)-1)/4)+1),MOD(ROW(A188)-1,4)+1,1)</f>
        <v>#REF!</v>
      </c>
      <c r="AK451" s="9">
        <v>4</v>
      </c>
      <c r="AL451" s="4" t="e" cm="1">
        <f t="array" ref="AL451">INDEX($AI$264:$AI$295, INDEX($H$15:$O$18, INT((ROW(A188)-1)/8)+1, MOD(ROW(A188)-1,8)+1))</f>
        <v>#REF!</v>
      </c>
      <c r="AN451" s="2" t="e">
        <f t="shared" ca="1" si="33"/>
        <v>#VALUE!</v>
      </c>
      <c r="AO451" s="2" t="e">
        <f t="shared" si="34"/>
        <v>#REF!</v>
      </c>
    </row>
    <row r="452" spans="2:41" x14ac:dyDescent="0.25">
      <c r="B452" s="9">
        <v>5</v>
      </c>
      <c r="C452" s="30">
        <v>0</v>
      </c>
      <c r="F452" s="15" cm="1">
        <f t="array" ref="F452">INDEX($C$448:$C$503, H45)</f>
        <v>0</v>
      </c>
      <c r="G452" s="15" cm="1">
        <f t="array" ref="G452">INDEX($C$448:$C$503, I45)</f>
        <v>0</v>
      </c>
      <c r="H452" s="15" cm="1">
        <f t="array" ref="H452">INDEX($C$448:$C$503, J45)</f>
        <v>1</v>
      </c>
      <c r="I452" s="15" cm="1">
        <f t="array" ref="I452">INDEX($C$448:$C$503, K45)</f>
        <v>1</v>
      </c>
      <c r="J452" s="15" cm="1">
        <f t="array" ref="J452">INDEX($C$448:$C$503, L45)</f>
        <v>1</v>
      </c>
      <c r="K452" s="15" cm="1">
        <f t="array" ref="K452">INDEX($C$448:$C$503, M45)</f>
        <v>1</v>
      </c>
      <c r="M452" s="9">
        <v>5</v>
      </c>
      <c r="N452" s="4" cm="1">
        <f t="array" ref="N452">INDEX($F$448:$K$455, INT((ROW(A5)-1)/6)+1, MOD(ROW(A251)-1,6)+1)</f>
        <v>0</v>
      </c>
      <c r="P452" s="15" t="e" cm="1" vm="1">
        <f t="array" aca="1" ref="P452" ca="1">INDEX($AO$204:$AO$235, H239)</f>
        <v>#VALUE!</v>
      </c>
      <c r="Q452" s="15" t="e" cm="1" vm="1">
        <f t="array" aca="1" ref="Q452" ca="1">INDEX($AO$204:$AO$235, I239)</f>
        <v>#VALUE!</v>
      </c>
      <c r="R452" s="15" t="e" cm="1" vm="1">
        <f t="array" aca="1" ref="R452" ca="1">INDEX($AO$204:$AO$235, J239)</f>
        <v>#VALUE!</v>
      </c>
      <c r="S452" s="15" t="e" cm="1" vm="1">
        <f t="array" aca="1" ref="S452" ca="1">INDEX($AO$204:$AO$235, K239)</f>
        <v>#VALUE!</v>
      </c>
      <c r="T452" s="15" t="e" cm="1" vm="1">
        <f t="array" aca="1" ref="T452" ca="1">INDEX($AO$204:$AO$235, L239)</f>
        <v>#VALUE!</v>
      </c>
      <c r="U452" s="15" t="e" cm="1">
        <f t="array" ref="U452">INDEX($AO$204:$AO$235, M239)</f>
        <v>#REF!</v>
      </c>
      <c r="W452" s="9">
        <v>5</v>
      </c>
      <c r="X452" s="4" t="e">
        <f t="shared" si="29"/>
        <v>#REF!</v>
      </c>
      <c r="Z452" s="32">
        <v>4</v>
      </c>
      <c r="AA452" s="34" t="e">
        <f>_xlfn.TEXTJOIN("", TRUE, INDEX($X$264:$X$311, (ROW(A188)-1)*6+1) : INDEX($X$264:$X$311, (ROW(A188)-1)*6+6))</f>
        <v>#REF!</v>
      </c>
      <c r="AB452" s="35"/>
      <c r="AC452" s="32" t="e">
        <f t="shared" si="30"/>
        <v>#REF!</v>
      </c>
      <c r="AD452" s="31" t="e">
        <f t="shared" si="31"/>
        <v>#REF!</v>
      </c>
      <c r="AE452" s="31" t="e" cm="1">
        <f t="array" aca="1" ref="AE452" ca="1">INDEX(OFFSET('[1]S-box'!$A$2, (Z452-1)*6, 0, 4, 16), AC452+1, AD452+1)</f>
        <v>#VALUE!</v>
      </c>
      <c r="AF452" s="33" t="e">
        <f t="shared" ca="1" si="32"/>
        <v>#VALUE!</v>
      </c>
      <c r="AH452" s="9">
        <v>5</v>
      </c>
      <c r="AI452" s="4" t="e" cm="1">
        <f t="array" ref="AI452">MID(INDEX($AF$265:$AF$272,INT((ROW(A189)-1)/4)+1),MOD(ROW(A189)-1,4)+1,1)</f>
        <v>#REF!</v>
      </c>
      <c r="AK452" s="9">
        <v>5</v>
      </c>
      <c r="AL452" s="4" t="e" cm="1">
        <f t="array" ref="AL452">INDEX($AI$264:$AI$295, INDEX($H$15:$O$18, INT((ROW(A189)-1)/8)+1, MOD(ROW(A189)-1,8)+1))</f>
        <v>#REF!</v>
      </c>
      <c r="AN452" s="2" t="e">
        <f t="shared" ca="1" si="33"/>
        <v>#VALUE!</v>
      </c>
      <c r="AO452" s="2" t="e">
        <f t="shared" si="34"/>
        <v>#REF!</v>
      </c>
    </row>
    <row r="453" spans="2:41" x14ac:dyDescent="0.25">
      <c r="B453" s="9">
        <v>6</v>
      </c>
      <c r="C453" s="30">
        <v>0</v>
      </c>
      <c r="F453" s="15" cm="1">
        <f t="array" ref="F453">INDEX($C$448:$C$503, H46)</f>
        <v>0</v>
      </c>
      <c r="G453" s="15" cm="1">
        <f t="array" ref="G453">INDEX($C$448:$C$503, I46)</f>
        <v>0</v>
      </c>
      <c r="H453" s="15" cm="1">
        <f t="array" ref="H453">INDEX($C$448:$C$503, J46)</f>
        <v>1</v>
      </c>
      <c r="I453" s="15" cm="1">
        <f t="array" ref="I453">INDEX($C$448:$C$503, K46)</f>
        <v>1</v>
      </c>
      <c r="J453" s="15" cm="1">
        <f t="array" ref="J453">INDEX($C$448:$C$503, L46)</f>
        <v>0</v>
      </c>
      <c r="K453" s="15" cm="1">
        <f t="array" ref="K453">INDEX($C$448:$C$503, M46)</f>
        <v>0</v>
      </c>
      <c r="M453" s="9">
        <v>6</v>
      </c>
      <c r="N453" s="4" cm="1">
        <f t="array" ref="N453">INDEX($F$448:$K$455, INT((ROW(A6)-1)/6)+1, MOD(ROW(A252)-1,6)+1)</f>
        <v>0</v>
      </c>
      <c r="P453" s="15" t="e" cm="1" vm="1">
        <f t="array" aca="1" ref="P453" ca="1">INDEX($AO$204:$AO$235, H240)</f>
        <v>#VALUE!</v>
      </c>
      <c r="Q453" s="15" t="e" cm="1" vm="1">
        <f t="array" aca="1" ref="Q453" ca="1">INDEX($AO$204:$AO$235, I240)</f>
        <v>#VALUE!</v>
      </c>
      <c r="R453" s="15" t="e" cm="1" vm="1">
        <f t="array" aca="1" ref="R453" ca="1">INDEX($AO$204:$AO$235, J240)</f>
        <v>#VALUE!</v>
      </c>
      <c r="S453" s="15" t="e" cm="1" vm="1">
        <f t="array" aca="1" ref="S453" ca="1">INDEX($AO$204:$AO$235, K240)</f>
        <v>#VALUE!</v>
      </c>
      <c r="T453" s="15" t="e" cm="1" vm="1">
        <f t="array" aca="1" ref="T453" ca="1">INDEX($AO$204:$AO$235, L240)</f>
        <v>#VALUE!</v>
      </c>
      <c r="U453" s="15" t="e" cm="1">
        <f t="array" ref="U453">INDEX($AO$204:$AO$235, M240)</f>
        <v>#REF!</v>
      </c>
      <c r="W453" s="9">
        <v>6</v>
      </c>
      <c r="X453" s="4" t="e">
        <f t="shared" si="29"/>
        <v>#REF!</v>
      </c>
      <c r="Z453" s="32">
        <v>5</v>
      </c>
      <c r="AA453" s="34" t="e">
        <f>_xlfn.TEXTJOIN("", TRUE, INDEX($X$264:$X$311, (ROW(A189)-1)*6+1) : INDEX($X$264:$X$311, (ROW(A189)-1)*6+6))</f>
        <v>#REF!</v>
      </c>
      <c r="AB453" s="35"/>
      <c r="AC453" s="32" t="e">
        <f t="shared" si="30"/>
        <v>#REF!</v>
      </c>
      <c r="AD453" s="31" t="e">
        <f t="shared" si="31"/>
        <v>#REF!</v>
      </c>
      <c r="AE453" s="31" t="e" cm="1">
        <f t="array" aca="1" ref="AE453" ca="1">INDEX(OFFSET('[1]S-box'!$A$2, (Z453-1)*6, 0, 4, 16), AC453+1, AD453+1)</f>
        <v>#VALUE!</v>
      </c>
      <c r="AF453" s="33" t="e">
        <f t="shared" ca="1" si="32"/>
        <v>#VALUE!</v>
      </c>
      <c r="AH453" s="9">
        <v>6</v>
      </c>
      <c r="AI453" s="4" t="e" cm="1">
        <f t="array" ref="AI453">MID(INDEX($AF$265:$AF$272,INT((ROW(A190)-1)/4)+1),MOD(ROW(A190)-1,4)+1,1)</f>
        <v>#REF!</v>
      </c>
      <c r="AK453" s="9">
        <v>6</v>
      </c>
      <c r="AL453" s="4" t="e" cm="1">
        <f t="array" ref="AL453">INDEX($AI$264:$AI$295, INDEX($H$15:$O$18, INT((ROW(A190)-1)/8)+1, MOD(ROW(A190)-1,8)+1))</f>
        <v>#REF!</v>
      </c>
      <c r="AN453" s="2" t="e">
        <f t="shared" ca="1" si="33"/>
        <v>#VALUE!</v>
      </c>
      <c r="AO453" s="2" t="e">
        <f t="shared" si="34"/>
        <v>#REF!</v>
      </c>
    </row>
    <row r="454" spans="2:41" x14ac:dyDescent="0.25">
      <c r="B454" s="9">
        <v>7</v>
      </c>
      <c r="C454" s="30">
        <v>1</v>
      </c>
      <c r="F454" s="15" cm="1">
        <f t="array" ref="F454">INDEX($C$448:$C$503, H47)</f>
        <v>0</v>
      </c>
      <c r="G454" s="15" cm="1">
        <f t="array" ref="G454">INDEX($C$448:$C$503, I47)</f>
        <v>1</v>
      </c>
      <c r="H454" s="15" cm="1">
        <f t="array" ref="H454">INDEX($C$448:$C$503, J47)</f>
        <v>0</v>
      </c>
      <c r="I454" s="15" cm="1">
        <f t="array" ref="I454">INDEX($C$448:$C$503, K47)</f>
        <v>1</v>
      </c>
      <c r="J454" s="15" cm="1">
        <f t="array" ref="J454">INDEX($C$448:$C$503, L47)</f>
        <v>0</v>
      </c>
      <c r="K454" s="15" cm="1">
        <f t="array" ref="K454">INDEX($C$448:$C$503, M47)</f>
        <v>1</v>
      </c>
      <c r="M454" s="9">
        <v>7</v>
      </c>
      <c r="N454" s="4" cm="1">
        <f t="array" ref="N454">INDEX($F$448:$K$455, INT((ROW(A7)-1)/6)+1, MOD(ROW(A253)-1,6)+1)</f>
        <v>1</v>
      </c>
      <c r="P454" s="15" t="e" cm="1" vm="1">
        <f t="array" aca="1" ref="P454" ca="1">INDEX($AO$204:$AO$235, H241)</f>
        <v>#VALUE!</v>
      </c>
      <c r="Q454" s="15" t="e" cm="1" vm="1">
        <f t="array" aca="1" ref="Q454" ca="1">INDEX($AO$204:$AO$235, I241)</f>
        <v>#VALUE!</v>
      </c>
      <c r="R454" s="15" t="e" cm="1" vm="1">
        <f t="array" aca="1" ref="R454" ca="1">INDEX($AO$204:$AO$235, J241)</f>
        <v>#VALUE!</v>
      </c>
      <c r="S454" s="15" t="e" cm="1" vm="1">
        <f t="array" aca="1" ref="S454" ca="1">INDEX($AO$204:$AO$235, K241)</f>
        <v>#VALUE!</v>
      </c>
      <c r="T454" s="15" t="e" cm="1" vm="1">
        <f t="array" aca="1" ref="T454" ca="1">INDEX($AO$204:$AO$235, L241)</f>
        <v>#VALUE!</v>
      </c>
      <c r="U454" s="15" t="e" cm="1">
        <f t="array" ref="U454">INDEX($AO$204:$AO$235, M241)</f>
        <v>#REF!</v>
      </c>
      <c r="W454" s="9">
        <v>7</v>
      </c>
      <c r="X454" s="4" t="e">
        <f t="shared" si="29"/>
        <v>#REF!</v>
      </c>
      <c r="Z454" s="32">
        <v>6</v>
      </c>
      <c r="AA454" s="34" t="e">
        <f>_xlfn.TEXTJOIN("", TRUE, INDEX($X$264:$X$311, (ROW(A190)-1)*6+1) : INDEX($X$264:$X$311, (ROW(A190)-1)*6+6))</f>
        <v>#REF!</v>
      </c>
      <c r="AB454" s="35"/>
      <c r="AC454" s="32" t="e">
        <f t="shared" si="30"/>
        <v>#REF!</v>
      </c>
      <c r="AD454" s="31" t="e">
        <f t="shared" si="31"/>
        <v>#REF!</v>
      </c>
      <c r="AE454" s="31" t="e" cm="1">
        <f t="array" aca="1" ref="AE454" ca="1">INDEX(OFFSET('[1]S-box'!$A$2, (Z454-1)*6, 0, 4, 16), AC454+1, AD454+1)</f>
        <v>#VALUE!</v>
      </c>
      <c r="AF454" s="33" t="e">
        <f t="shared" ca="1" si="32"/>
        <v>#VALUE!</v>
      </c>
      <c r="AH454" s="9">
        <v>7</v>
      </c>
      <c r="AI454" s="4" t="e" cm="1">
        <f t="array" ref="AI454">MID(INDEX($AF$265:$AF$272,INT((ROW(A191)-1)/4)+1),MOD(ROW(A191)-1,4)+1,1)</f>
        <v>#REF!</v>
      </c>
      <c r="AK454" s="9">
        <v>7</v>
      </c>
      <c r="AL454" s="4" t="e" cm="1">
        <f t="array" ref="AL454">INDEX($AI$264:$AI$295, INDEX($H$15:$O$18, INT((ROW(A191)-1)/8)+1, MOD(ROW(A191)-1,8)+1))</f>
        <v>#REF!</v>
      </c>
      <c r="AN454" s="2" t="e">
        <f t="shared" ca="1" si="33"/>
        <v>#VALUE!</v>
      </c>
      <c r="AO454" s="2" t="e">
        <f t="shared" si="34"/>
        <v>#REF!</v>
      </c>
    </row>
    <row r="455" spans="2:41" x14ac:dyDescent="0.25">
      <c r="B455" s="11">
        <v>8</v>
      </c>
      <c r="C455" s="30">
        <v>0</v>
      </c>
      <c r="F455" s="15" cm="1">
        <f t="array" ref="F455">INDEX($C$448:$C$503, H48)</f>
        <v>0</v>
      </c>
      <c r="G455" s="15" cm="1">
        <f t="array" ref="G455">INDEX($C$448:$C$503, I48)</f>
        <v>0</v>
      </c>
      <c r="H455" s="15" cm="1">
        <f t="array" ref="H455">INDEX($C$448:$C$503, J48)</f>
        <v>0</v>
      </c>
      <c r="I455" s="15" cm="1">
        <f t="array" ref="I455">INDEX($C$448:$C$503, K48)</f>
        <v>1</v>
      </c>
      <c r="J455" s="15" cm="1">
        <f t="array" ref="J455">INDEX($C$448:$C$503, L48)</f>
        <v>0</v>
      </c>
      <c r="K455" s="15" cm="1">
        <f t="array" ref="K455">INDEX($C$448:$C$503, M48)</f>
        <v>1</v>
      </c>
      <c r="M455" s="11">
        <v>8</v>
      </c>
      <c r="N455" s="4" cm="1">
        <f t="array" ref="N455">INDEX($F$448:$K$455, INT((ROW(A8)-1)/6)+1, MOD(ROW(A254)-1,6)+1)</f>
        <v>1</v>
      </c>
      <c r="P455" s="15" t="e" cm="1" vm="2">
        <f t="array" aca="1" ref="P455" ca="1">INDEX($AO$204:$AO$235, H242)</f>
        <v>#VALUE!</v>
      </c>
      <c r="Q455" s="15" t="e" cm="1" vm="2">
        <f t="array" aca="1" ref="Q455" ca="1">INDEX($AO$204:$AO$235, I242)</f>
        <v>#VALUE!</v>
      </c>
      <c r="R455" s="15" t="e" cm="1">
        <f t="array" aca="1" ref="R455:R486" ca="1">INDEX($AO$204:$AO$235, J242)</f>
        <v>#VALUE!</v>
      </c>
      <c r="S455" s="15" t="e" cm="1">
        <f t="array" aca="1" ref="S455:S486" ca="1">INDEX($AO$204:$AO$235, K242)</f>
        <v>#VALUE!</v>
      </c>
      <c r="T455" s="15" t="e" cm="1">
        <f t="array" aca="1" ref="T455:T486" ca="1">INDEX($AO$204:$AO$235, L242)</f>
        <v>#VALUE!</v>
      </c>
      <c r="U455" s="15" t="e" cm="1">
        <f t="array" ref="U455">INDEX($AO$204:$AO$235, M242)</f>
        <v>#REF!</v>
      </c>
      <c r="W455" s="11">
        <v>8</v>
      </c>
      <c r="X455" s="4" t="e">
        <f t="shared" si="29"/>
        <v>#REF!</v>
      </c>
      <c r="Z455" s="32">
        <v>7</v>
      </c>
      <c r="AA455" s="34" t="e">
        <f>_xlfn.TEXTJOIN("", TRUE, INDEX($X$264:$X$311, (ROW(A191)-1)*6+1) : INDEX($X$264:$X$311, (ROW(A191)-1)*6+6))</f>
        <v>#REF!</v>
      </c>
      <c r="AB455" s="35"/>
      <c r="AC455" s="32" t="e">
        <f t="shared" si="30"/>
        <v>#REF!</v>
      </c>
      <c r="AD455" s="31" t="e">
        <f t="shared" si="31"/>
        <v>#REF!</v>
      </c>
      <c r="AE455" s="31" t="e" cm="1">
        <f t="array" aca="1" ref="AE455" ca="1">INDEX(OFFSET('[1]S-box'!$A$2, (Z455-1)*6, 0, 4, 16), AC455+1, AD455+1)</f>
        <v>#VALUE!</v>
      </c>
      <c r="AF455" s="33" t="e">
        <f t="shared" ca="1" si="32"/>
        <v>#VALUE!</v>
      </c>
      <c r="AH455" s="11">
        <v>8</v>
      </c>
      <c r="AI455" s="4" t="e" cm="1">
        <f t="array" ref="AI455">MID(INDEX($AF$265:$AF$272,INT((ROW(A192)-1)/4)+1),MOD(ROW(A192)-1,4)+1,1)</f>
        <v>#REF!</v>
      </c>
      <c r="AK455" s="11">
        <v>8</v>
      </c>
      <c r="AL455" s="4" t="e" cm="1">
        <f t="array" ref="AL455">INDEX($AI$264:$AI$295, INDEX($H$15:$O$18, INT((ROW(A192)-1)/8)+1, MOD(ROW(A192)-1,8)+1))</f>
        <v>#REF!</v>
      </c>
      <c r="AN455" s="2" t="e">
        <f t="shared" ca="1" si="33"/>
        <v>#VALUE!</v>
      </c>
      <c r="AO455" s="2" t="e">
        <f t="shared" si="34"/>
        <v>#REF!</v>
      </c>
    </row>
    <row r="456" spans="2:41" x14ac:dyDescent="0.25">
      <c r="B456" s="9">
        <v>9</v>
      </c>
      <c r="C456" s="30">
        <v>1</v>
      </c>
      <c r="M456" s="9">
        <v>9</v>
      </c>
      <c r="N456" s="4" cm="1">
        <f t="array" ref="N456">INDEX($F$448:$K$455, INT((ROW(A9)-1)/6)+1, MOD(ROW(A255)-1,6)+1)</f>
        <v>1</v>
      </c>
      <c r="R456" t="e">
        <f ca="1"/>
        <v>#VALUE!</v>
      </c>
      <c r="S456" t="e">
        <f ca="1"/>
        <v>#VALUE!</v>
      </c>
      <c r="T456" t="e">
        <f ca="1"/>
        <v>#VALUE!</v>
      </c>
      <c r="W456" s="9">
        <v>9</v>
      </c>
      <c r="X456" s="4" t="e">
        <f t="shared" si="29"/>
        <v>#REF!</v>
      </c>
      <c r="Z456" s="32">
        <v>8</v>
      </c>
      <c r="AA456" s="34" t="e">
        <f>_xlfn.TEXTJOIN("", TRUE, INDEX($X$264:$X$311, (ROW(A192)-1)*6+1) : INDEX($X$264:$X$311, (ROW(A192)-1)*6+6))</f>
        <v>#REF!</v>
      </c>
      <c r="AB456" s="35"/>
      <c r="AC456" s="32" t="e">
        <f t="shared" si="30"/>
        <v>#REF!</v>
      </c>
      <c r="AD456" s="31" t="e">
        <f t="shared" si="31"/>
        <v>#REF!</v>
      </c>
      <c r="AE456" s="31" t="e" cm="1">
        <f t="array" aca="1" ref="AE456" ca="1">INDEX(OFFSET('[1]S-box'!$A$2, (Z456-1)*6, 0, 4, 16), AC456+1, AD456+1)</f>
        <v>#VALUE!</v>
      </c>
      <c r="AF456" s="33" t="e">
        <f t="shared" ca="1" si="32"/>
        <v>#VALUE!</v>
      </c>
      <c r="AH456" s="9">
        <v>9</v>
      </c>
      <c r="AI456" s="4" t="e" cm="1">
        <f t="array" ref="AI456">MID(INDEX($AF$265:$AF$272,INT((ROW(A193)-1)/4)+1),MOD(ROW(A193)-1,4)+1,1)</f>
        <v>#REF!</v>
      </c>
      <c r="AK456" s="9">
        <v>9</v>
      </c>
      <c r="AL456" s="4" t="e" cm="1">
        <f t="array" ref="AL456">INDEX($AI$264:$AI$295, INDEX($H$15:$O$18, INT((ROW(A193)-1)/8)+1, MOD(ROW(A193)-1,8)+1))</f>
        <v>#REF!</v>
      </c>
      <c r="AN456" s="2" t="e">
        <f t="shared" ca="1" si="33"/>
        <v>#VALUE!</v>
      </c>
      <c r="AO456" s="2" t="e">
        <f t="shared" si="34"/>
        <v>#REF!</v>
      </c>
    </row>
    <row r="457" spans="2:41" x14ac:dyDescent="0.25">
      <c r="B457" s="9">
        <v>10</v>
      </c>
      <c r="C457" s="30">
        <v>0</v>
      </c>
      <c r="M457" s="9">
        <v>10</v>
      </c>
      <c r="N457" s="4" cm="1">
        <f t="array" ref="N457">INDEX($F$448:$K$455, INT((ROW(A10)-1)/6)+1, MOD(ROW(A256)-1,6)+1)</f>
        <v>0</v>
      </c>
      <c r="P457" s="36" t="s">
        <v>94</v>
      </c>
      <c r="Q457" s="36"/>
      <c r="R457" t="e">
        <f ca="1"/>
        <v>#VALUE!</v>
      </c>
      <c r="S457" t="e">
        <f ca="1"/>
        <v>#VALUE!</v>
      </c>
      <c r="T457" t="e">
        <f ca="1"/>
        <v>#VALUE!</v>
      </c>
      <c r="W457" s="9">
        <v>10</v>
      </c>
      <c r="X457" s="4" t="e">
        <f t="shared" si="29"/>
        <v>#REF!</v>
      </c>
      <c r="AH457" s="9">
        <v>10</v>
      </c>
      <c r="AI457" s="4" t="e" cm="1">
        <f t="array" ref="AI457">MID(INDEX($AF$265:$AF$272,INT((ROW(A194)-1)/4)+1),MOD(ROW(A194)-1,4)+1,1)</f>
        <v>#REF!</v>
      </c>
      <c r="AK457" s="9">
        <v>10</v>
      </c>
      <c r="AL457" s="4" t="e" cm="1">
        <f t="array" ref="AL457">INDEX($AI$264:$AI$295, INDEX($H$15:$O$18, INT((ROW(A194)-1)/8)+1, MOD(ROW(A194)-1,8)+1))</f>
        <v>#REF!</v>
      </c>
      <c r="AN457" s="2" t="e">
        <f t="shared" ca="1" si="33"/>
        <v>#VALUE!</v>
      </c>
      <c r="AO457" s="2" t="e">
        <f t="shared" si="34"/>
        <v>#REF!</v>
      </c>
    </row>
    <row r="458" spans="2:41" x14ac:dyDescent="0.25">
      <c r="B458" s="9">
        <v>11</v>
      </c>
      <c r="C458" s="30">
        <v>1</v>
      </c>
      <c r="M458" s="9">
        <v>11</v>
      </c>
      <c r="N458" s="4" cm="1">
        <f t="array" ref="N458">INDEX($F$448:$K$455, INT((ROW(A11)-1)/6)+1, MOD(ROW(A257)-1,6)+1)</f>
        <v>1</v>
      </c>
      <c r="P458" s="9">
        <v>1</v>
      </c>
      <c r="Q458" s="4" t="e" cm="1">
        <f t="array" ref="Q458">INDEX($P$264:$U$271, INT((ROW(A185)-1)/6)+1, MOD(ROW(A185)-1,6)+1)</f>
        <v>#REF!</v>
      </c>
      <c r="R458" t="e">
        <f ca="1"/>
        <v>#VALUE!</v>
      </c>
      <c r="S458" t="e">
        <f ca="1"/>
        <v>#VALUE!</v>
      </c>
      <c r="T458" t="e">
        <f ca="1"/>
        <v>#VALUE!</v>
      </c>
      <c r="W458" s="9">
        <v>11</v>
      </c>
      <c r="X458" s="4" t="e">
        <f t="shared" si="29"/>
        <v>#REF!</v>
      </c>
      <c r="AH458" s="9">
        <v>11</v>
      </c>
      <c r="AI458" s="4" t="e" cm="1">
        <f t="array" ref="AI458">MID(INDEX($AF$265:$AF$272,INT((ROW(A195)-1)/4)+1),MOD(ROW(A195)-1,4)+1,1)</f>
        <v>#REF!</v>
      </c>
      <c r="AK458" s="9">
        <v>11</v>
      </c>
      <c r="AL458" s="4" t="e" cm="1">
        <f t="array" ref="AL458">INDEX($AI$264:$AI$295, INDEX($H$15:$O$18, INT((ROW(A195)-1)/8)+1, MOD(ROW(A195)-1,8)+1))</f>
        <v>#REF!</v>
      </c>
      <c r="AN458" s="2" t="e">
        <f t="shared" ca="1" si="33"/>
        <v>#VALUE!</v>
      </c>
      <c r="AO458" s="2" t="e">
        <f t="shared" si="34"/>
        <v>#REF!</v>
      </c>
    </row>
    <row r="459" spans="2:41" x14ac:dyDescent="0.25">
      <c r="B459" s="9">
        <v>12</v>
      </c>
      <c r="C459" s="30">
        <v>0</v>
      </c>
      <c r="M459" s="9">
        <v>12</v>
      </c>
      <c r="N459" s="4" cm="1">
        <f t="array" ref="N459">INDEX($F$448:$K$455, INT((ROW(A12)-1)/6)+1, MOD(ROW(A258)-1,6)+1)</f>
        <v>0</v>
      </c>
      <c r="P459" s="9">
        <v>2</v>
      </c>
      <c r="Q459" s="4" t="e" cm="1">
        <f t="array" ref="Q459">INDEX($P$264:$U$271, INT((ROW(A186)-1)/6)+1, MOD(ROW(A186)-1,6)+1)</f>
        <v>#REF!</v>
      </c>
      <c r="R459" t="e">
        <f ca="1"/>
        <v>#VALUE!</v>
      </c>
      <c r="S459" t="e">
        <f ca="1"/>
        <v>#VALUE!</v>
      </c>
      <c r="T459" t="e">
        <f ca="1"/>
        <v>#VALUE!</v>
      </c>
      <c r="W459" s="9">
        <v>12</v>
      </c>
      <c r="X459" s="4" t="e">
        <f t="shared" si="29"/>
        <v>#REF!</v>
      </c>
      <c r="AH459" s="9">
        <v>12</v>
      </c>
      <c r="AI459" s="4" t="e" cm="1">
        <f t="array" ref="AI459">MID(INDEX($AF$265:$AF$272,INT((ROW(A196)-1)/4)+1),MOD(ROW(A196)-1,4)+1,1)</f>
        <v>#REF!</v>
      </c>
      <c r="AK459" s="9">
        <v>12</v>
      </c>
      <c r="AL459" s="4" t="e" cm="1">
        <f t="array" ref="AL459">INDEX($AI$264:$AI$295, INDEX($H$15:$O$18, INT((ROW(A196)-1)/8)+1, MOD(ROW(A196)-1,8)+1))</f>
        <v>#REF!</v>
      </c>
      <c r="AN459" s="2">
        <f t="shared" si="33"/>
        <v>0</v>
      </c>
      <c r="AO459" s="2" t="e">
        <f t="shared" si="34"/>
        <v>#REF!</v>
      </c>
    </row>
    <row r="460" spans="2:41" x14ac:dyDescent="0.25">
      <c r="B460" s="9">
        <v>13</v>
      </c>
      <c r="C460" s="30">
        <v>1</v>
      </c>
      <c r="M460" s="9">
        <v>13</v>
      </c>
      <c r="N460" s="4" cm="1">
        <f t="array" ref="N460">INDEX($F$448:$K$455, INT((ROW(A13)-1)/6)+1, MOD(ROW(A259)-1,6)+1)</f>
        <v>0</v>
      </c>
      <c r="P460" s="9">
        <v>3</v>
      </c>
      <c r="Q460" s="4" t="e" cm="1">
        <f t="array" ref="Q460">INDEX($P$264:$U$271, INT((ROW(A187)-1)/6)+1, MOD(ROW(A187)-1,6)+1)</f>
        <v>#REF!</v>
      </c>
      <c r="R460" t="e">
        <f ca="1"/>
        <v>#VALUE!</v>
      </c>
      <c r="S460" t="e">
        <f ca="1"/>
        <v>#VALUE!</v>
      </c>
      <c r="T460" t="e">
        <f ca="1"/>
        <v>#VALUE!</v>
      </c>
      <c r="W460" s="9">
        <v>13</v>
      </c>
      <c r="X460" s="4" t="e">
        <f t="shared" si="29"/>
        <v>#REF!</v>
      </c>
      <c r="AH460" s="9">
        <v>13</v>
      </c>
      <c r="AI460" s="4" t="e" cm="1">
        <f t="array" ref="AI460">MID(INDEX($AF$265:$AF$272,INT((ROW(A197)-1)/4)+1),MOD(ROW(A197)-1,4)+1,1)</f>
        <v>#REF!</v>
      </c>
      <c r="AK460" s="9">
        <v>13</v>
      </c>
      <c r="AL460" s="4" t="e" cm="1">
        <f t="array" ref="AL460">INDEX($AI$264:$AI$295, INDEX($H$15:$O$18, INT((ROW(A197)-1)/8)+1, MOD(ROW(A197)-1,8)+1))</f>
        <v>#REF!</v>
      </c>
      <c r="AN460" s="2">
        <f t="shared" si="33"/>
        <v>0</v>
      </c>
      <c r="AO460" s="2" t="e">
        <f t="shared" si="34"/>
        <v>#REF!</v>
      </c>
    </row>
    <row r="461" spans="2:41" x14ac:dyDescent="0.25">
      <c r="B461" s="9">
        <v>14</v>
      </c>
      <c r="C461" s="30">
        <v>0</v>
      </c>
      <c r="M461" s="9">
        <v>14</v>
      </c>
      <c r="N461" s="4" cm="1">
        <f t="array" ref="N461">INDEX($F$448:$K$455, INT((ROW(A14)-1)/6)+1, MOD(ROW(A260)-1,6)+1)</f>
        <v>1</v>
      </c>
      <c r="P461" s="9">
        <v>4</v>
      </c>
      <c r="Q461" s="4" t="e" cm="1">
        <f t="array" ref="Q461">INDEX($P$264:$U$271, INT((ROW(A188)-1)/6)+1, MOD(ROW(A188)-1,6)+1)</f>
        <v>#REF!</v>
      </c>
      <c r="R461" t="e">
        <f ca="1"/>
        <v>#VALUE!</v>
      </c>
      <c r="S461" t="e">
        <f ca="1"/>
        <v>#VALUE!</v>
      </c>
      <c r="T461" t="e">
        <f ca="1"/>
        <v>#VALUE!</v>
      </c>
      <c r="W461" s="9">
        <v>14</v>
      </c>
      <c r="X461" s="4" t="e">
        <f t="shared" si="29"/>
        <v>#REF!</v>
      </c>
      <c r="AH461" s="9">
        <v>14</v>
      </c>
      <c r="AI461" s="4" t="e" cm="1">
        <f t="array" ref="AI461">MID(INDEX($AF$265:$AF$272,INT((ROW(A198)-1)/4)+1),MOD(ROW(A198)-1,4)+1,1)</f>
        <v>#REF!</v>
      </c>
      <c r="AK461" s="9">
        <v>14</v>
      </c>
      <c r="AL461" s="4" t="e" cm="1">
        <f t="array" ref="AL461">INDEX($AI$264:$AI$295, INDEX($H$15:$O$18, INT((ROW(A198)-1)/8)+1, MOD(ROW(A198)-1,8)+1))</f>
        <v>#REF!</v>
      </c>
      <c r="AN461" s="2">
        <f t="shared" si="33"/>
        <v>0</v>
      </c>
      <c r="AO461" s="2" t="e">
        <f t="shared" si="34"/>
        <v>#REF!</v>
      </c>
    </row>
    <row r="462" spans="2:41" x14ac:dyDescent="0.25">
      <c r="B462" s="9">
        <v>15</v>
      </c>
      <c r="C462" s="30">
        <v>1</v>
      </c>
      <c r="M462" s="9">
        <v>15</v>
      </c>
      <c r="N462" s="4" cm="1">
        <f t="array" ref="N462">INDEX($F$448:$K$455, INT((ROW(A15)-1)/6)+1, MOD(ROW(A261)-1,6)+1)</f>
        <v>0</v>
      </c>
      <c r="P462" s="9">
        <v>5</v>
      </c>
      <c r="Q462" s="4" t="e" cm="1">
        <f t="array" ref="Q462">INDEX($P$264:$U$271, INT((ROW(A189)-1)/6)+1, MOD(ROW(A189)-1,6)+1)</f>
        <v>#REF!</v>
      </c>
      <c r="R462" t="e">
        <f ca="1"/>
        <v>#VALUE!</v>
      </c>
      <c r="S462" t="e">
        <f ca="1"/>
        <v>#VALUE!</v>
      </c>
      <c r="T462" t="e">
        <f ca="1"/>
        <v>#VALUE!</v>
      </c>
      <c r="W462" s="9">
        <v>15</v>
      </c>
      <c r="X462" s="4" t="e">
        <f t="shared" si="29"/>
        <v>#REF!</v>
      </c>
      <c r="AH462" s="9">
        <v>15</v>
      </c>
      <c r="AI462" s="4" t="e" cm="1">
        <f t="array" ref="AI462">MID(INDEX($AF$265:$AF$272,INT((ROW(A199)-1)/4)+1),MOD(ROW(A199)-1,4)+1,1)</f>
        <v>#REF!</v>
      </c>
      <c r="AK462" s="9">
        <v>15</v>
      </c>
      <c r="AL462" s="4" t="e" cm="1">
        <f t="array" ref="AL462">INDEX($AI$264:$AI$295, INDEX($H$15:$O$18, INT((ROW(A199)-1)/8)+1, MOD(ROW(A199)-1,8)+1))</f>
        <v>#REF!</v>
      </c>
      <c r="AN462" s="2">
        <f t="shared" si="33"/>
        <v>0</v>
      </c>
      <c r="AO462" s="2" t="e">
        <f t="shared" si="34"/>
        <v>#REF!</v>
      </c>
    </row>
    <row r="463" spans="2:41" x14ac:dyDescent="0.25">
      <c r="B463" s="11">
        <v>16</v>
      </c>
      <c r="C463" s="30">
        <v>0</v>
      </c>
      <c r="M463" s="11">
        <v>16</v>
      </c>
      <c r="N463" s="4" cm="1">
        <f t="array" ref="N463">INDEX($F$448:$K$455, INT((ROW(A16)-1)/6)+1, MOD(ROW(A262)-1,6)+1)</f>
        <v>1</v>
      </c>
      <c r="P463" s="9">
        <v>6</v>
      </c>
      <c r="Q463" s="4" t="e" cm="1">
        <f t="array" ref="Q463">INDEX($P$264:$U$271, INT((ROW(A190)-1)/6)+1, MOD(ROW(A190)-1,6)+1)</f>
        <v>#REF!</v>
      </c>
      <c r="R463" t="e">
        <f ca="1"/>
        <v>#VALUE!</v>
      </c>
      <c r="S463" t="e">
        <f ca="1"/>
        <v>#VALUE!</v>
      </c>
      <c r="T463" t="e">
        <f ca="1"/>
        <v>#VALUE!</v>
      </c>
      <c r="W463" s="11">
        <v>16</v>
      </c>
      <c r="X463" s="4" t="e">
        <f t="shared" si="29"/>
        <v>#REF!</v>
      </c>
      <c r="AH463" s="11">
        <v>16</v>
      </c>
      <c r="AI463" s="4" t="e" cm="1">
        <f t="array" ref="AI463">MID(INDEX($AF$265:$AF$272,INT((ROW(A200)-1)/4)+1),MOD(ROW(A200)-1,4)+1,1)</f>
        <v>#REF!</v>
      </c>
      <c r="AK463" s="11">
        <v>16</v>
      </c>
      <c r="AL463" s="4" t="e" cm="1">
        <f t="array" ref="AL463">INDEX($AI$264:$AI$295, INDEX($H$15:$O$18, INT((ROW(A200)-1)/8)+1, MOD(ROW(A200)-1,8)+1))</f>
        <v>#REF!</v>
      </c>
      <c r="AN463" s="2">
        <f t="shared" si="33"/>
        <v>0</v>
      </c>
      <c r="AO463" s="2" t="e">
        <f t="shared" si="34"/>
        <v>#REF!</v>
      </c>
    </row>
    <row r="464" spans="2:41" x14ac:dyDescent="0.25">
      <c r="B464" s="7">
        <v>17</v>
      </c>
      <c r="C464" s="30">
        <v>1</v>
      </c>
      <c r="M464" s="7">
        <v>17</v>
      </c>
      <c r="N464" s="4" cm="1">
        <f t="array" ref="N464">INDEX($F$448:$K$455, INT((ROW(A17)-1)/6)+1, MOD(ROW(A263)-1,6)+1)</f>
        <v>0</v>
      </c>
      <c r="P464" s="9">
        <v>7</v>
      </c>
      <c r="Q464" s="4" t="e" cm="1">
        <f t="array" ref="Q464">INDEX($P$264:$U$271, INT((ROW(A191)-1)/6)+1, MOD(ROW(A191)-1,6)+1)</f>
        <v>#REF!</v>
      </c>
      <c r="R464" t="e">
        <f ca="1"/>
        <v>#VALUE!</v>
      </c>
      <c r="S464" t="e">
        <f ca="1"/>
        <v>#VALUE!</v>
      </c>
      <c r="T464" t="e">
        <f ca="1"/>
        <v>#VALUE!</v>
      </c>
      <c r="W464" s="7">
        <v>17</v>
      </c>
      <c r="X464" s="4" t="e">
        <f t="shared" si="29"/>
        <v>#REF!</v>
      </c>
      <c r="AH464" s="7">
        <v>17</v>
      </c>
      <c r="AI464" s="4" t="e" cm="1">
        <f t="array" ref="AI464">MID(INDEX($AF$265:$AF$272,INT((ROW(A201)-1)/4)+1),MOD(ROW(A201)-1,4)+1,1)</f>
        <v>#REF!</v>
      </c>
      <c r="AK464" s="7">
        <v>17</v>
      </c>
      <c r="AL464" s="4" t="e" cm="1">
        <f t="array" ref="AL464">INDEX($AI$264:$AI$295, INDEX($H$15:$O$18, INT((ROW(A201)-1)/8)+1, MOD(ROW(A201)-1,8)+1))</f>
        <v>#REF!</v>
      </c>
      <c r="AN464" s="2">
        <f t="shared" si="33"/>
        <v>0</v>
      </c>
      <c r="AO464" s="2" t="e">
        <f t="shared" si="34"/>
        <v>#REF!</v>
      </c>
    </row>
    <row r="465" spans="2:41" x14ac:dyDescent="0.25">
      <c r="B465" s="9">
        <v>18</v>
      </c>
      <c r="C465" s="30">
        <v>1</v>
      </c>
      <c r="M465" s="9">
        <v>18</v>
      </c>
      <c r="N465" s="4" cm="1">
        <f t="array" ref="N465">INDEX($F$448:$K$455, INT((ROW(A18)-1)/6)+1, MOD(ROW(A264)-1,6)+1)</f>
        <v>0</v>
      </c>
      <c r="P465" s="11">
        <v>8</v>
      </c>
      <c r="Q465" s="4" t="e" cm="1">
        <f t="array" ref="Q465">INDEX($P$264:$U$271, INT((ROW(A192)-1)/6)+1, MOD(ROW(A192)-1,6)+1)</f>
        <v>#REF!</v>
      </c>
      <c r="R465" t="e">
        <f ca="1"/>
        <v>#VALUE!</v>
      </c>
      <c r="S465" t="e">
        <f ca="1"/>
        <v>#VALUE!</v>
      </c>
      <c r="T465" t="e">
        <f ca="1"/>
        <v>#VALUE!</v>
      </c>
      <c r="W465" s="9">
        <v>18</v>
      </c>
      <c r="X465" s="4" t="e">
        <f t="shared" si="29"/>
        <v>#REF!</v>
      </c>
      <c r="AH465" s="9">
        <v>18</v>
      </c>
      <c r="AI465" s="4" t="e" cm="1">
        <f t="array" ref="AI465">MID(INDEX($AF$265:$AF$272,INT((ROW(A202)-1)/4)+1),MOD(ROW(A202)-1,4)+1,1)</f>
        <v>#REF!</v>
      </c>
      <c r="AK465" s="9">
        <v>18</v>
      </c>
      <c r="AL465" s="4" t="e" cm="1">
        <f t="array" ref="AL465">INDEX($AI$264:$AI$295, INDEX($H$15:$O$18, INT((ROW(A202)-1)/8)+1, MOD(ROW(A202)-1,8)+1))</f>
        <v>#REF!</v>
      </c>
      <c r="AN465" s="2">
        <f t="shared" si="33"/>
        <v>0</v>
      </c>
      <c r="AO465" s="2" t="e">
        <f t="shared" si="34"/>
        <v>#REF!</v>
      </c>
    </row>
    <row r="466" spans="2:41" x14ac:dyDescent="0.25">
      <c r="B466" s="9">
        <v>19</v>
      </c>
      <c r="C466" s="30">
        <v>1</v>
      </c>
      <c r="M466" s="9">
        <v>19</v>
      </c>
      <c r="N466" s="4" cm="1">
        <f t="array" ref="N466">INDEX($F$448:$K$455, INT((ROW(A19)-1)/6)+1, MOD(ROW(A265)-1,6)+1)</f>
        <v>0</v>
      </c>
      <c r="P466" s="7">
        <v>9</v>
      </c>
      <c r="Q466" s="4" t="e" cm="1">
        <f t="array" ref="Q466">INDEX($P$264:$U$271, INT((ROW(A193)-1)/6)+1, MOD(ROW(A193)-1,6)+1)</f>
        <v>#REF!</v>
      </c>
      <c r="R466" t="e">
        <f ca="1"/>
        <v>#VALUE!</v>
      </c>
      <c r="S466" t="e">
        <f ca="1"/>
        <v>#VALUE!</v>
      </c>
      <c r="T466" t="e">
        <f ca="1"/>
        <v>#VALUE!</v>
      </c>
      <c r="W466" s="9">
        <v>19</v>
      </c>
      <c r="X466" s="4" t="e">
        <f t="shared" si="29"/>
        <v>#REF!</v>
      </c>
      <c r="AH466" s="9">
        <v>19</v>
      </c>
      <c r="AI466" s="4" t="e" cm="1">
        <f t="array" ref="AI466">MID(INDEX($AF$265:$AF$272,INT((ROW(A203)-1)/4)+1),MOD(ROW(A203)-1,4)+1,1)</f>
        <v>#REF!</v>
      </c>
      <c r="AK466" s="9">
        <v>19</v>
      </c>
      <c r="AL466" s="4" t="e" cm="1">
        <f t="array" ref="AL466">INDEX($AI$264:$AI$295, INDEX($H$15:$O$18, INT((ROW(A203)-1)/8)+1, MOD(ROW(A203)-1,8)+1))</f>
        <v>#REF!</v>
      </c>
      <c r="AN466" s="2">
        <f t="shared" si="33"/>
        <v>0</v>
      </c>
      <c r="AO466" s="2" t="e">
        <f t="shared" si="34"/>
        <v>#REF!</v>
      </c>
    </row>
    <row r="467" spans="2:41" x14ac:dyDescent="0.25">
      <c r="B467" s="9">
        <v>20</v>
      </c>
      <c r="C467" s="30">
        <v>1</v>
      </c>
      <c r="M467" s="9">
        <v>20</v>
      </c>
      <c r="N467" s="4" cm="1">
        <f t="array" ref="N467">INDEX($F$448:$K$455, INT((ROW(A20)-1)/6)+1, MOD(ROW(A266)-1,6)+1)</f>
        <v>1</v>
      </c>
      <c r="P467" s="9">
        <v>10</v>
      </c>
      <c r="Q467" s="4" t="e" cm="1">
        <f t="array" ref="Q467">INDEX($P$264:$U$271, INT((ROW(A194)-1)/6)+1, MOD(ROW(A194)-1,6)+1)</f>
        <v>#REF!</v>
      </c>
      <c r="R467" t="e">
        <f ca="1"/>
        <v>#VALUE!</v>
      </c>
      <c r="S467" t="e">
        <f ca="1"/>
        <v>#VALUE!</v>
      </c>
      <c r="T467" t="e">
        <f ca="1"/>
        <v>#VALUE!</v>
      </c>
      <c r="W467" s="9">
        <v>20</v>
      </c>
      <c r="X467" s="4" t="e">
        <f t="shared" si="29"/>
        <v>#REF!</v>
      </c>
      <c r="AH467" s="9">
        <v>20</v>
      </c>
      <c r="AI467" s="4" t="e" cm="1">
        <f t="array" ref="AI467">MID(INDEX($AF$265:$AF$272,INT((ROW(A204)-1)/4)+1),MOD(ROW(A204)-1,4)+1,1)</f>
        <v>#REF!</v>
      </c>
      <c r="AK467" s="9">
        <v>20</v>
      </c>
      <c r="AL467" s="4" t="e" cm="1">
        <f t="array" ref="AL467">INDEX($AI$264:$AI$295, INDEX($H$15:$O$18, INT((ROW(A204)-1)/8)+1, MOD(ROW(A204)-1,8)+1))</f>
        <v>#REF!</v>
      </c>
      <c r="AN467" s="2">
        <f t="shared" si="33"/>
        <v>0</v>
      </c>
      <c r="AO467" s="2" t="e">
        <f t="shared" si="34"/>
        <v>#REF!</v>
      </c>
    </row>
    <row r="468" spans="2:41" x14ac:dyDescent="0.25">
      <c r="B468" s="9">
        <v>21</v>
      </c>
      <c r="C468" s="30">
        <v>1</v>
      </c>
      <c r="M468" s="9">
        <v>21</v>
      </c>
      <c r="N468" s="4" cm="1">
        <f t="array" ref="N468">INDEX($F$448:$K$455, INT((ROW(A21)-1)/6)+1, MOD(ROW(A267)-1,6)+1)</f>
        <v>1</v>
      </c>
      <c r="P468" s="9">
        <v>11</v>
      </c>
      <c r="Q468" s="4" t="e" cm="1">
        <f t="array" ref="Q468">INDEX($P$264:$U$271, INT((ROW(A195)-1)/6)+1, MOD(ROW(A195)-1,6)+1)</f>
        <v>#REF!</v>
      </c>
      <c r="R468" t="e">
        <f ca="1"/>
        <v>#VALUE!</v>
      </c>
      <c r="S468" t="e">
        <f ca="1"/>
        <v>#VALUE!</v>
      </c>
      <c r="T468" t="e">
        <f ca="1"/>
        <v>#VALUE!</v>
      </c>
      <c r="W468" s="9">
        <v>21</v>
      </c>
      <c r="X468" s="4" t="e">
        <f t="shared" si="29"/>
        <v>#REF!</v>
      </c>
      <c r="AH468" s="9">
        <v>21</v>
      </c>
      <c r="AI468" s="4" t="e" cm="1">
        <f t="array" ref="AI468">MID(INDEX($AF$265:$AF$272,INT((ROW(A205)-1)/4)+1),MOD(ROW(A205)-1,4)+1,1)</f>
        <v>#REF!</v>
      </c>
      <c r="AK468" s="9">
        <v>21</v>
      </c>
      <c r="AL468" s="4" t="e" cm="1">
        <f t="array" ref="AL468">INDEX($AI$264:$AI$295, INDEX($H$15:$O$18, INT((ROW(A205)-1)/8)+1, MOD(ROW(A205)-1,8)+1))</f>
        <v>#REF!</v>
      </c>
      <c r="AN468" s="2">
        <f t="shared" si="33"/>
        <v>0</v>
      </c>
      <c r="AO468" s="2" t="e">
        <f t="shared" si="34"/>
        <v>#REF!</v>
      </c>
    </row>
    <row r="469" spans="2:41" x14ac:dyDescent="0.25">
      <c r="B469" s="9">
        <v>22</v>
      </c>
      <c r="C469" s="30">
        <v>1</v>
      </c>
      <c r="M469" s="9">
        <v>22</v>
      </c>
      <c r="N469" s="4" cm="1">
        <f t="array" ref="N469">INDEX($F$448:$K$455, INT((ROW(A22)-1)/6)+1, MOD(ROW(A268)-1,6)+1)</f>
        <v>1</v>
      </c>
      <c r="P469" s="9">
        <v>12</v>
      </c>
      <c r="Q469" s="4" t="e" cm="1">
        <f t="array" ref="Q469">INDEX($P$264:$U$271, INT((ROW(A196)-1)/6)+1, MOD(ROW(A196)-1,6)+1)</f>
        <v>#REF!</v>
      </c>
      <c r="R469" t="e">
        <f ca="1"/>
        <v>#VALUE!</v>
      </c>
      <c r="S469" t="e">
        <f ca="1"/>
        <v>#VALUE!</v>
      </c>
      <c r="T469" t="e">
        <f ca="1"/>
        <v>#VALUE!</v>
      </c>
      <c r="W469" s="9">
        <v>22</v>
      </c>
      <c r="X469" s="4" t="e">
        <f t="shared" si="29"/>
        <v>#REF!</v>
      </c>
      <c r="AH469" s="9">
        <v>22</v>
      </c>
      <c r="AI469" s="4" t="e" cm="1">
        <f t="array" ref="AI469">MID(INDEX($AF$265:$AF$272,INT((ROW(A206)-1)/4)+1),MOD(ROW(A206)-1,4)+1,1)</f>
        <v>#REF!</v>
      </c>
      <c r="AK469" s="9">
        <v>22</v>
      </c>
      <c r="AL469" s="4" t="e" cm="1">
        <f t="array" ref="AL469">INDEX($AI$264:$AI$295, INDEX($H$15:$O$18, INT((ROW(A206)-1)/8)+1, MOD(ROW(A206)-1,8)+1))</f>
        <v>#REF!</v>
      </c>
      <c r="AN469" s="2">
        <f t="shared" si="33"/>
        <v>0</v>
      </c>
      <c r="AO469" s="2" t="e">
        <f t="shared" si="34"/>
        <v>#REF!</v>
      </c>
    </row>
    <row r="470" spans="2:41" x14ac:dyDescent="0.25">
      <c r="B470" s="9">
        <v>23</v>
      </c>
      <c r="C470" s="30">
        <v>0</v>
      </c>
      <c r="M470" s="9">
        <v>23</v>
      </c>
      <c r="N470" s="4" cm="1">
        <f t="array" ref="N470">INDEX($F$448:$K$455, INT((ROW(A23)-1)/6)+1, MOD(ROW(A269)-1,6)+1)</f>
        <v>1</v>
      </c>
      <c r="P470" s="9">
        <v>13</v>
      </c>
      <c r="Q470" s="4" t="e" cm="1">
        <f t="array" ref="Q470">INDEX($P$264:$U$271, INT((ROW(A197)-1)/6)+1, MOD(ROW(A197)-1,6)+1)</f>
        <v>#REF!</v>
      </c>
      <c r="R470" t="e">
        <f ca="1"/>
        <v>#VALUE!</v>
      </c>
      <c r="S470" t="e">
        <f ca="1"/>
        <v>#VALUE!</v>
      </c>
      <c r="T470" t="e">
        <f ca="1"/>
        <v>#VALUE!</v>
      </c>
      <c r="W470" s="9">
        <v>23</v>
      </c>
      <c r="X470" s="4" t="e">
        <f t="shared" si="29"/>
        <v>#REF!</v>
      </c>
      <c r="AH470" s="9">
        <v>23</v>
      </c>
      <c r="AI470" s="4" t="e" cm="1">
        <f t="array" ref="AI470">MID(INDEX($AF$265:$AF$272,INT((ROW(A207)-1)/4)+1),MOD(ROW(A207)-1,4)+1,1)</f>
        <v>#REF!</v>
      </c>
      <c r="AK470" s="9">
        <v>23</v>
      </c>
      <c r="AL470" s="4" t="e" cm="1">
        <f t="array" ref="AL470">INDEX($AI$264:$AI$295, INDEX($H$15:$O$18, INT((ROW(A207)-1)/8)+1, MOD(ROW(A207)-1,8)+1))</f>
        <v>#REF!</v>
      </c>
      <c r="AN470" s="2">
        <f t="shared" si="33"/>
        <v>0</v>
      </c>
      <c r="AO470" s="2" t="e">
        <f t="shared" si="34"/>
        <v>#REF!</v>
      </c>
    </row>
    <row r="471" spans="2:41" x14ac:dyDescent="0.25">
      <c r="B471" s="11">
        <v>24</v>
      </c>
      <c r="C471" s="30">
        <v>0</v>
      </c>
      <c r="M471" s="11">
        <v>24</v>
      </c>
      <c r="N471" s="4" cm="1">
        <f t="array" ref="N471">INDEX($F$448:$K$455, INT((ROW(A24)-1)/6)+1, MOD(ROW(A270)-1,6)+1)</f>
        <v>0</v>
      </c>
      <c r="P471" s="9">
        <v>14</v>
      </c>
      <c r="Q471" s="4" t="e" cm="1">
        <f t="array" ref="Q471">INDEX($P$264:$U$271, INT((ROW(A198)-1)/6)+1, MOD(ROW(A198)-1,6)+1)</f>
        <v>#REF!</v>
      </c>
      <c r="R471" t="e">
        <f ca="1"/>
        <v>#VALUE!</v>
      </c>
      <c r="S471" t="e">
        <f ca="1"/>
        <v>#VALUE!</v>
      </c>
      <c r="T471" t="e">
        <f ca="1"/>
        <v>#VALUE!</v>
      </c>
      <c r="W471" s="11">
        <v>24</v>
      </c>
      <c r="X471" s="4" t="e">
        <f t="shared" si="29"/>
        <v>#REF!</v>
      </c>
      <c r="AH471" s="11">
        <v>24</v>
      </c>
      <c r="AI471" s="4" t="e" cm="1">
        <f t="array" ref="AI471">MID(INDEX($AF$265:$AF$272,INT((ROW(A208)-1)/4)+1),MOD(ROW(A208)-1,4)+1,1)</f>
        <v>#REF!</v>
      </c>
      <c r="AK471" s="11">
        <v>24</v>
      </c>
      <c r="AL471" s="4" t="e" cm="1">
        <f t="array" ref="AL471">INDEX($AI$264:$AI$295, INDEX($H$15:$O$18, INT((ROW(A208)-1)/8)+1, MOD(ROW(A208)-1,8)+1))</f>
        <v>#REF!</v>
      </c>
      <c r="AN471" s="2">
        <f t="shared" si="33"/>
        <v>0</v>
      </c>
      <c r="AO471" s="2" t="e">
        <f t="shared" si="34"/>
        <v>#REF!</v>
      </c>
    </row>
    <row r="472" spans="2:41" x14ac:dyDescent="0.25">
      <c r="B472" s="7">
        <v>25</v>
      </c>
      <c r="C472" s="30">
        <v>0</v>
      </c>
      <c r="M472" s="7">
        <v>25</v>
      </c>
      <c r="N472" s="4" cm="1">
        <f t="array" ref="N472">INDEX($F$448:$K$455, INT((ROW(A25)-1)/6)+1, MOD(ROW(A271)-1,6)+1)</f>
        <v>0</v>
      </c>
      <c r="P472" s="9">
        <v>15</v>
      </c>
      <c r="Q472" s="4" t="e" cm="1">
        <f t="array" ref="Q472">INDEX($P$264:$U$271, INT((ROW(A199)-1)/6)+1, MOD(ROW(A199)-1,6)+1)</f>
        <v>#REF!</v>
      </c>
      <c r="R472" t="e">
        <f ca="1"/>
        <v>#VALUE!</v>
      </c>
      <c r="S472" t="e">
        <f ca="1"/>
        <v>#VALUE!</v>
      </c>
      <c r="T472" t="e">
        <f ca="1"/>
        <v>#VALUE!</v>
      </c>
      <c r="W472" s="7">
        <v>25</v>
      </c>
      <c r="X472" s="4" t="e">
        <f t="shared" si="29"/>
        <v>#REF!</v>
      </c>
      <c r="AH472" s="7">
        <v>25</v>
      </c>
      <c r="AI472" s="4" t="e" cm="1">
        <f t="array" ref="AI472">MID(INDEX($AF$265:$AF$272,INT((ROW(A209)-1)/4)+1),MOD(ROW(A209)-1,4)+1,1)</f>
        <v>#REF!</v>
      </c>
      <c r="AK472" s="7">
        <v>25</v>
      </c>
      <c r="AL472" s="4" t="e" cm="1">
        <f t="array" ref="AL472">INDEX($AI$264:$AI$295, INDEX($H$15:$O$18, INT((ROW(A209)-1)/8)+1, MOD(ROW(A209)-1,8)+1))</f>
        <v>#REF!</v>
      </c>
      <c r="AN472" s="2">
        <f t="shared" si="33"/>
        <v>0</v>
      </c>
      <c r="AO472" s="2" t="e">
        <f t="shared" si="34"/>
        <v>#REF!</v>
      </c>
    </row>
    <row r="473" spans="2:41" x14ac:dyDescent="0.25">
      <c r="B473" s="9">
        <v>26</v>
      </c>
      <c r="C473" s="30">
        <v>0</v>
      </c>
      <c r="M473" s="9">
        <v>26</v>
      </c>
      <c r="N473" s="4" cm="1">
        <f t="array" ref="N473">INDEX($F$448:$K$455, INT((ROW(A26)-1)/6)+1, MOD(ROW(A272)-1,6)+1)</f>
        <v>0</v>
      </c>
      <c r="P473" s="11">
        <v>16</v>
      </c>
      <c r="Q473" s="4" t="e" cm="1">
        <f t="array" ref="Q473">INDEX($P$264:$U$271, INT((ROW(A200)-1)/6)+1, MOD(ROW(A200)-1,6)+1)</f>
        <v>#REF!</v>
      </c>
      <c r="R473" t="e">
        <f ca="1"/>
        <v>#VALUE!</v>
      </c>
      <c r="S473" t="e">
        <f ca="1"/>
        <v>#VALUE!</v>
      </c>
      <c r="T473" t="e">
        <f ca="1"/>
        <v>#VALUE!</v>
      </c>
      <c r="W473" s="9">
        <v>26</v>
      </c>
      <c r="X473" s="4" t="e">
        <f t="shared" si="29"/>
        <v>#REF!</v>
      </c>
      <c r="AH473" s="9">
        <v>26</v>
      </c>
      <c r="AI473" s="4" t="e" cm="1">
        <f t="array" ref="AI473">MID(INDEX($AF$265:$AF$272,INT((ROW(A210)-1)/4)+1),MOD(ROW(A210)-1,4)+1,1)</f>
        <v>#REF!</v>
      </c>
      <c r="AK473" s="9">
        <v>26</v>
      </c>
      <c r="AL473" s="4" t="e" cm="1">
        <f t="array" ref="AL473">INDEX($AI$264:$AI$295, INDEX($H$15:$O$18, INT((ROW(A210)-1)/8)+1, MOD(ROW(A210)-1,8)+1))</f>
        <v>#REF!</v>
      </c>
      <c r="AN473" s="2">
        <f t="shared" si="33"/>
        <v>0</v>
      </c>
      <c r="AO473" s="2" t="e">
        <f t="shared" si="34"/>
        <v>#REF!</v>
      </c>
    </row>
    <row r="474" spans="2:41" x14ac:dyDescent="0.25">
      <c r="B474" s="9">
        <v>27</v>
      </c>
      <c r="C474" s="30">
        <v>1</v>
      </c>
      <c r="M474" s="9">
        <v>27</v>
      </c>
      <c r="N474" s="4" cm="1">
        <f t="array" ref="N474">INDEX($F$448:$K$455, INT((ROW(A27)-1)/6)+1, MOD(ROW(A273)-1,6)+1)</f>
        <v>1</v>
      </c>
      <c r="P474" s="7">
        <v>17</v>
      </c>
      <c r="Q474" s="4" t="e" cm="1">
        <f t="array" ref="Q474">INDEX($P$264:$U$271, INT((ROW(A201)-1)/6)+1, MOD(ROW(A201)-1,6)+1)</f>
        <v>#REF!</v>
      </c>
      <c r="R474" t="e">
        <f ca="1"/>
        <v>#VALUE!</v>
      </c>
      <c r="S474" t="e">
        <f ca="1"/>
        <v>#VALUE!</v>
      </c>
      <c r="T474" t="e">
        <f ca="1"/>
        <v>#VALUE!</v>
      </c>
      <c r="W474" s="9">
        <v>27</v>
      </c>
      <c r="X474" s="4" t="e">
        <f t="shared" si="29"/>
        <v>#REF!</v>
      </c>
      <c r="AH474" s="9">
        <v>27</v>
      </c>
      <c r="AI474" s="4" t="e" cm="1">
        <f t="array" ref="AI474">MID(INDEX($AF$265:$AF$272,INT((ROW(A211)-1)/4)+1),MOD(ROW(A211)-1,4)+1,1)</f>
        <v>#REF!</v>
      </c>
      <c r="AK474" s="9">
        <v>27</v>
      </c>
      <c r="AL474" s="4" t="e" cm="1">
        <f t="array" ref="AL474">INDEX($AI$264:$AI$295, INDEX($H$15:$O$18, INT((ROW(A211)-1)/8)+1, MOD(ROW(A211)-1,8)+1))</f>
        <v>#REF!</v>
      </c>
      <c r="AN474" s="2">
        <f t="shared" si="33"/>
        <v>0</v>
      </c>
      <c r="AO474" s="2" t="e">
        <f t="shared" si="34"/>
        <v>#REF!</v>
      </c>
    </row>
    <row r="475" spans="2:41" x14ac:dyDescent="0.25">
      <c r="B475" s="9">
        <v>28</v>
      </c>
      <c r="C475" s="30">
        <v>1</v>
      </c>
      <c r="M475" s="9">
        <v>28</v>
      </c>
      <c r="N475" s="4" cm="1">
        <f t="array" ref="N475">INDEX($F$448:$K$455, INT((ROW(A28)-1)/6)+1, MOD(ROW(A274)-1,6)+1)</f>
        <v>1</v>
      </c>
      <c r="P475" s="9">
        <v>18</v>
      </c>
      <c r="Q475" s="4" t="e" cm="1">
        <f t="array" ref="Q475">INDEX($P$264:$U$271, INT((ROW(A202)-1)/6)+1, MOD(ROW(A202)-1,6)+1)</f>
        <v>#REF!</v>
      </c>
      <c r="R475" t="e">
        <f ca="1"/>
        <v>#VALUE!</v>
      </c>
      <c r="S475" t="e">
        <f ca="1"/>
        <v>#VALUE!</v>
      </c>
      <c r="T475" t="e">
        <f ca="1"/>
        <v>#VALUE!</v>
      </c>
      <c r="W475" s="9">
        <v>28</v>
      </c>
      <c r="X475" s="4" t="e">
        <f t="shared" si="29"/>
        <v>#REF!</v>
      </c>
      <c r="AH475" s="9">
        <v>28</v>
      </c>
      <c r="AI475" s="4" t="e" cm="1">
        <f t="array" ref="AI475">MID(INDEX($AF$265:$AF$272,INT((ROW(A212)-1)/4)+1),MOD(ROW(A212)-1,4)+1,1)</f>
        <v>#REF!</v>
      </c>
      <c r="AK475" s="9">
        <v>28</v>
      </c>
      <c r="AL475" s="4" t="e" cm="1">
        <f t="array" ref="AL475">INDEX($AI$264:$AI$295, INDEX($H$15:$O$18, INT((ROW(A212)-1)/8)+1, MOD(ROW(A212)-1,8)+1))</f>
        <v>#REF!</v>
      </c>
      <c r="AN475" s="2">
        <f t="shared" si="33"/>
        <v>0</v>
      </c>
      <c r="AO475" s="2" t="e">
        <f t="shared" si="34"/>
        <v>#REF!</v>
      </c>
    </row>
    <row r="476" spans="2:41" x14ac:dyDescent="0.25">
      <c r="B476" s="9">
        <v>29</v>
      </c>
      <c r="C476" s="30">
        <v>0</v>
      </c>
      <c r="M476" s="9">
        <v>29</v>
      </c>
      <c r="N476" s="4" cm="1">
        <f t="array" ref="N476">INDEX($F$448:$K$455, INT((ROW(A29)-1)/6)+1, MOD(ROW(A275)-1,6)+1)</f>
        <v>1</v>
      </c>
      <c r="P476" s="9">
        <v>19</v>
      </c>
      <c r="Q476" s="4" t="e" cm="1">
        <f t="array" ref="Q476">INDEX($P$264:$U$271, INT((ROW(A203)-1)/6)+1, MOD(ROW(A203)-1,6)+1)</f>
        <v>#REF!</v>
      </c>
      <c r="R476" t="e">
        <f ca="1"/>
        <v>#VALUE!</v>
      </c>
      <c r="S476" t="e">
        <f ca="1"/>
        <v>#VALUE!</v>
      </c>
      <c r="T476" t="e">
        <f ca="1"/>
        <v>#VALUE!</v>
      </c>
      <c r="W476" s="9">
        <v>29</v>
      </c>
      <c r="X476" s="4" t="e">
        <f t="shared" si="29"/>
        <v>#REF!</v>
      </c>
      <c r="AH476" s="9">
        <v>29</v>
      </c>
      <c r="AI476" s="4" t="e" cm="1">
        <f t="array" ref="AI476">MID(INDEX($AF$265:$AF$272,INT((ROW(A213)-1)/4)+1),MOD(ROW(A213)-1,4)+1,1)</f>
        <v>#REF!</v>
      </c>
      <c r="AK476" s="9">
        <v>29</v>
      </c>
      <c r="AL476" s="4" t="e" cm="1">
        <f t="array" ref="AL476">INDEX($AI$264:$AI$295, INDEX($H$15:$O$18, INT((ROW(A213)-1)/8)+1, MOD(ROW(A213)-1,8)+1))</f>
        <v>#REF!</v>
      </c>
      <c r="AN476" s="2">
        <f t="shared" si="33"/>
        <v>0</v>
      </c>
      <c r="AO476" s="2" t="e">
        <f t="shared" si="34"/>
        <v>#REF!</v>
      </c>
    </row>
    <row r="477" spans="2:41" x14ac:dyDescent="0.25">
      <c r="B477" s="9">
        <v>30</v>
      </c>
      <c r="C477" s="30">
        <v>0</v>
      </c>
      <c r="M477" s="9">
        <v>30</v>
      </c>
      <c r="N477" s="4" cm="1">
        <f t="array" ref="N477">INDEX($F$448:$K$455, INT((ROW(A30)-1)/6)+1, MOD(ROW(A276)-1,6)+1)</f>
        <v>1</v>
      </c>
      <c r="P477" s="9">
        <v>20</v>
      </c>
      <c r="Q477" s="4" t="e" cm="1">
        <f t="array" ref="Q477">INDEX($P$264:$U$271, INT((ROW(A204)-1)/6)+1, MOD(ROW(A204)-1,6)+1)</f>
        <v>#REF!</v>
      </c>
      <c r="R477" t="e">
        <f ca="1"/>
        <v>#VALUE!</v>
      </c>
      <c r="S477" t="e">
        <f ca="1"/>
        <v>#VALUE!</v>
      </c>
      <c r="T477" t="e">
        <f ca="1"/>
        <v>#VALUE!</v>
      </c>
      <c r="W477" s="9">
        <v>30</v>
      </c>
      <c r="X477" s="4" t="e">
        <f t="shared" si="29"/>
        <v>#REF!</v>
      </c>
      <c r="AH477" s="9">
        <v>30</v>
      </c>
      <c r="AI477" s="4" t="e" cm="1">
        <f t="array" ref="AI477">MID(INDEX($AF$265:$AF$272,INT((ROW(A214)-1)/4)+1),MOD(ROW(A214)-1,4)+1,1)</f>
        <v>#REF!</v>
      </c>
      <c r="AK477" s="9">
        <v>30</v>
      </c>
      <c r="AL477" s="4" t="e" cm="1">
        <f t="array" ref="AL477">INDEX($AI$264:$AI$295, INDEX($H$15:$O$18, INT((ROW(A214)-1)/8)+1, MOD(ROW(A214)-1,8)+1))</f>
        <v>#REF!</v>
      </c>
      <c r="AN477" s="2">
        <f t="shared" si="33"/>
        <v>0</v>
      </c>
      <c r="AO477" s="2" t="e">
        <f t="shared" si="34"/>
        <v>#REF!</v>
      </c>
    </row>
    <row r="478" spans="2:41" x14ac:dyDescent="0.25">
      <c r="B478" s="9">
        <v>31</v>
      </c>
      <c r="C478" s="30">
        <v>1</v>
      </c>
      <c r="M478" s="9">
        <v>31</v>
      </c>
      <c r="N478" s="4" cm="1">
        <f t="array" ref="N478">INDEX($F$448:$K$455, INT((ROW(A31)-1)/6)+1, MOD(ROW(A277)-1,6)+1)</f>
        <v>0</v>
      </c>
      <c r="P478" s="9">
        <v>21</v>
      </c>
      <c r="Q478" s="4" t="e" cm="1">
        <f t="array" ref="Q478">INDEX($P$264:$U$271, INT((ROW(A205)-1)/6)+1, MOD(ROW(A205)-1,6)+1)</f>
        <v>#REF!</v>
      </c>
      <c r="R478" t="e">
        <f ca="1"/>
        <v>#VALUE!</v>
      </c>
      <c r="S478" t="e">
        <f ca="1"/>
        <v>#VALUE!</v>
      </c>
      <c r="T478" t="e">
        <f ca="1"/>
        <v>#VALUE!</v>
      </c>
      <c r="W478" s="9">
        <v>31</v>
      </c>
      <c r="X478" s="4" t="e">
        <f t="shared" si="29"/>
        <v>#REF!</v>
      </c>
      <c r="AH478" s="9">
        <v>31</v>
      </c>
      <c r="AI478" s="4" t="e" cm="1">
        <f t="array" ref="AI478">MID(INDEX($AF$265:$AF$272,INT((ROW(A215)-1)/4)+1),MOD(ROW(A215)-1,4)+1,1)</f>
        <v>#REF!</v>
      </c>
      <c r="AK478" s="9">
        <v>31</v>
      </c>
      <c r="AL478" s="4" t="e" cm="1">
        <f t="array" ref="AL478">INDEX($AI$264:$AI$295, INDEX($H$15:$O$18, INT((ROW(A215)-1)/8)+1, MOD(ROW(A215)-1,8)+1))</f>
        <v>#REF!</v>
      </c>
      <c r="AN478" s="2">
        <f t="shared" si="33"/>
        <v>0</v>
      </c>
      <c r="AO478" s="2" t="e">
        <f t="shared" si="34"/>
        <v>#REF!</v>
      </c>
    </row>
    <row r="479" spans="2:41" x14ac:dyDescent="0.25">
      <c r="B479" s="11">
        <v>32</v>
      </c>
      <c r="C479" s="30">
        <v>1</v>
      </c>
      <c r="M479" s="11">
        <v>32</v>
      </c>
      <c r="N479" s="4" cm="1">
        <f t="array" ref="N479">INDEX($F$448:$K$455, INT((ROW(A32)-1)/6)+1, MOD(ROW(A278)-1,6)+1)</f>
        <v>0</v>
      </c>
      <c r="P479" s="9">
        <v>22</v>
      </c>
      <c r="Q479" s="4" t="e" cm="1">
        <f t="array" ref="Q479">INDEX($P$264:$U$271, INT((ROW(A206)-1)/6)+1, MOD(ROW(A206)-1,6)+1)</f>
        <v>#REF!</v>
      </c>
      <c r="R479" t="e">
        <f ca="1"/>
        <v>#VALUE!</v>
      </c>
      <c r="S479" t="e">
        <f ca="1"/>
        <v>#VALUE!</v>
      </c>
      <c r="T479" t="e">
        <f ca="1"/>
        <v>#VALUE!</v>
      </c>
      <c r="W479" s="11">
        <v>32</v>
      </c>
      <c r="X479" s="4" t="e">
        <f t="shared" si="29"/>
        <v>#REF!</v>
      </c>
      <c r="AH479" s="11">
        <v>32</v>
      </c>
      <c r="AI479" s="4" t="e" cm="1">
        <f t="array" ref="AI479">MID(INDEX($AF$265:$AF$272,INT((ROW(A216)-1)/4)+1),MOD(ROW(A216)-1,4)+1,1)</f>
        <v>#REF!</v>
      </c>
      <c r="AK479" s="11">
        <v>32</v>
      </c>
      <c r="AL479" s="4" t="e" cm="1">
        <f t="array" ref="AL479">INDEX($AI$264:$AI$295, INDEX($H$15:$O$18, INT((ROW(A216)-1)/8)+1, MOD(ROW(A216)-1,8)+1))</f>
        <v>#REF!</v>
      </c>
      <c r="AN479" s="2">
        <f t="shared" si="33"/>
        <v>0</v>
      </c>
      <c r="AO479" s="2" t="e">
        <f t="shared" si="34"/>
        <v>#REF!</v>
      </c>
    </row>
    <row r="480" spans="2:41" x14ac:dyDescent="0.25">
      <c r="B480" s="7">
        <v>33</v>
      </c>
      <c r="C480" s="30">
        <v>0</v>
      </c>
      <c r="M480" s="7">
        <v>33</v>
      </c>
      <c r="N480" s="4" cm="1">
        <f t="array" ref="N480">INDEX($F$448:$K$455, INT((ROW(A33)-1)/6)+1, MOD(ROW(A279)-1,6)+1)</f>
        <v>1</v>
      </c>
      <c r="P480" s="9">
        <v>23</v>
      </c>
      <c r="Q480" s="4" t="e" cm="1">
        <f t="array" ref="Q480">INDEX($P$264:$U$271, INT((ROW(A207)-1)/6)+1, MOD(ROW(A207)-1,6)+1)</f>
        <v>#REF!</v>
      </c>
      <c r="R480" t="e">
        <f ca="1"/>
        <v>#VALUE!</v>
      </c>
      <c r="S480" t="e">
        <f ca="1"/>
        <v>#VALUE!</v>
      </c>
      <c r="T480" t="e">
        <f ca="1"/>
        <v>#VALUE!</v>
      </c>
      <c r="W480" s="7">
        <v>33</v>
      </c>
      <c r="X480" s="4" t="e">
        <f t="shared" si="29"/>
        <v>#REF!</v>
      </c>
      <c r="AN480" s="2">
        <f t="shared" si="33"/>
        <v>0</v>
      </c>
      <c r="AO480" s="2" t="e">
        <f t="shared" si="34"/>
        <v>#REF!</v>
      </c>
    </row>
    <row r="481" spans="2:24" x14ac:dyDescent="0.25">
      <c r="B481" s="9">
        <v>34</v>
      </c>
      <c r="C481" s="30">
        <v>0</v>
      </c>
      <c r="M481" s="9">
        <v>34</v>
      </c>
      <c r="N481" s="4" cm="1">
        <f t="array" ref="N481">INDEX($F$448:$K$455, INT((ROW(A34)-1)/6)+1, MOD(ROW(A280)-1,6)+1)</f>
        <v>1</v>
      </c>
      <c r="P481" s="11">
        <v>24</v>
      </c>
      <c r="Q481" s="4" t="e" cm="1">
        <f t="array" ref="Q481">INDEX($P$264:$U$271, INT((ROW(A208)-1)/6)+1, MOD(ROW(A208)-1,6)+1)</f>
        <v>#REF!</v>
      </c>
      <c r="R481" t="e">
        <f ca="1"/>
        <v>#VALUE!</v>
      </c>
      <c r="S481" t="e">
        <f ca="1"/>
        <v>#VALUE!</v>
      </c>
      <c r="T481" t="e">
        <f ca="1"/>
        <v>#VALUE!</v>
      </c>
      <c r="W481" s="9">
        <v>34</v>
      </c>
      <c r="X481" s="4" t="e">
        <f t="shared" si="29"/>
        <v>#REF!</v>
      </c>
    </row>
    <row r="482" spans="2:24" x14ac:dyDescent="0.25">
      <c r="B482" s="9">
        <v>35</v>
      </c>
      <c r="C482" s="30">
        <v>1</v>
      </c>
      <c r="M482" s="9">
        <v>35</v>
      </c>
      <c r="N482" s="4" cm="1">
        <f t="array" ref="N482">INDEX($F$448:$K$455, INT((ROW(A35)-1)/6)+1, MOD(ROW(A281)-1,6)+1)</f>
        <v>0</v>
      </c>
      <c r="P482" s="7">
        <v>25</v>
      </c>
      <c r="Q482" s="4" t="e" cm="1">
        <f t="array" ref="Q482">INDEX($P$264:$U$271, INT((ROW(A209)-1)/6)+1, MOD(ROW(A209)-1,6)+1)</f>
        <v>#REF!</v>
      </c>
      <c r="R482" t="e">
        <f ca="1"/>
        <v>#VALUE!</v>
      </c>
      <c r="S482" t="e">
        <f ca="1"/>
        <v>#VALUE!</v>
      </c>
      <c r="T482" t="e">
        <f ca="1"/>
        <v>#VALUE!</v>
      </c>
      <c r="W482" s="9">
        <v>35</v>
      </c>
      <c r="X482" s="4" t="e">
        <f t="shared" si="29"/>
        <v>#REF!</v>
      </c>
    </row>
    <row r="483" spans="2:24" x14ac:dyDescent="0.25">
      <c r="B483" s="9">
        <v>36</v>
      </c>
      <c r="C483" s="30">
        <v>1</v>
      </c>
      <c r="M483" s="9">
        <v>36</v>
      </c>
      <c r="N483" s="4" cm="1">
        <f t="array" ref="N483">INDEX($F$448:$K$455, INT((ROW(A36)-1)/6)+1, MOD(ROW(A282)-1,6)+1)</f>
        <v>0</v>
      </c>
      <c r="P483" s="9">
        <v>26</v>
      </c>
      <c r="Q483" s="4" t="e" cm="1">
        <f t="array" ref="Q483">INDEX($P$264:$U$271, INT((ROW(A210)-1)/6)+1, MOD(ROW(A210)-1,6)+1)</f>
        <v>#REF!</v>
      </c>
      <c r="R483" t="e">
        <f ca="1"/>
        <v>#VALUE!</v>
      </c>
      <c r="S483" t="e">
        <f ca="1"/>
        <v>#VALUE!</v>
      </c>
      <c r="T483" t="e">
        <f ca="1"/>
        <v>#VALUE!</v>
      </c>
      <c r="W483" s="9">
        <v>36</v>
      </c>
      <c r="X483" s="4" t="e">
        <f t="shared" si="29"/>
        <v>#REF!</v>
      </c>
    </row>
    <row r="484" spans="2:24" x14ac:dyDescent="0.25">
      <c r="B484" s="9">
        <v>37</v>
      </c>
      <c r="C484" s="30">
        <v>1</v>
      </c>
      <c r="M484" s="9">
        <v>37</v>
      </c>
      <c r="N484" s="4" cm="1">
        <f t="array" ref="N484">INDEX($F$448:$K$455, INT((ROW(A37)-1)/6)+1, MOD(ROW(A283)-1,6)+1)</f>
        <v>0</v>
      </c>
      <c r="P484" s="9">
        <v>27</v>
      </c>
      <c r="Q484" s="4" t="e" cm="1">
        <f t="array" ref="Q484">INDEX($P$264:$U$271, INT((ROW(A211)-1)/6)+1, MOD(ROW(A211)-1,6)+1)</f>
        <v>#REF!</v>
      </c>
      <c r="R484" t="e">
        <f ca="1"/>
        <v>#VALUE!</v>
      </c>
      <c r="S484" t="e">
        <f ca="1"/>
        <v>#VALUE!</v>
      </c>
      <c r="T484" t="e">
        <f ca="1"/>
        <v>#VALUE!</v>
      </c>
      <c r="W484" s="9">
        <v>37</v>
      </c>
      <c r="X484" s="4" t="e">
        <f t="shared" si="29"/>
        <v>#REF!</v>
      </c>
    </row>
    <row r="485" spans="2:24" x14ac:dyDescent="0.25">
      <c r="B485" s="9">
        <v>38</v>
      </c>
      <c r="C485" s="30">
        <v>1</v>
      </c>
      <c r="M485" s="9">
        <v>38</v>
      </c>
      <c r="N485" s="4" cm="1">
        <f t="array" ref="N485">INDEX($F$448:$K$455, INT((ROW(A38)-1)/6)+1, MOD(ROW(A284)-1,6)+1)</f>
        <v>1</v>
      </c>
      <c r="P485" s="9">
        <v>28</v>
      </c>
      <c r="Q485" s="4" t="e" cm="1">
        <f t="array" ref="Q485">INDEX($P$264:$U$271, INT((ROW(A212)-1)/6)+1, MOD(ROW(A212)-1,6)+1)</f>
        <v>#REF!</v>
      </c>
      <c r="R485" t="e">
        <f ca="1"/>
        <v>#VALUE!</v>
      </c>
      <c r="S485" t="e">
        <f ca="1"/>
        <v>#VALUE!</v>
      </c>
      <c r="T485" t="e">
        <f ca="1"/>
        <v>#VALUE!</v>
      </c>
      <c r="W485" s="9">
        <v>38</v>
      </c>
      <c r="X485" s="4" t="e">
        <f t="shared" si="29"/>
        <v>#REF!</v>
      </c>
    </row>
    <row r="486" spans="2:24" x14ac:dyDescent="0.25">
      <c r="B486" s="9">
        <v>39</v>
      </c>
      <c r="C486" s="30">
        <v>0</v>
      </c>
      <c r="M486" s="9">
        <v>39</v>
      </c>
      <c r="N486" s="4" cm="1">
        <f t="array" ref="N486">INDEX($F$448:$K$455, INT((ROW(A39)-1)/6)+1, MOD(ROW(A285)-1,6)+1)</f>
        <v>0</v>
      </c>
      <c r="P486" s="9">
        <v>29</v>
      </c>
      <c r="Q486" s="4" t="e" cm="1">
        <f t="array" ref="Q486">INDEX($P$264:$U$271, INT((ROW(A213)-1)/6)+1, MOD(ROW(A213)-1,6)+1)</f>
        <v>#REF!</v>
      </c>
      <c r="R486" t="e">
        <f ca="1"/>
        <v>#VALUE!</v>
      </c>
      <c r="S486" t="e">
        <f ca="1"/>
        <v>#VALUE!</v>
      </c>
      <c r="T486" t="e">
        <f ca="1"/>
        <v>#VALUE!</v>
      </c>
      <c r="W486" s="9">
        <v>39</v>
      </c>
      <c r="X486" s="4" t="e">
        <f t="shared" si="29"/>
        <v>#REF!</v>
      </c>
    </row>
    <row r="487" spans="2:24" x14ac:dyDescent="0.25">
      <c r="B487" s="11">
        <v>40</v>
      </c>
      <c r="C487" s="30">
        <v>0</v>
      </c>
      <c r="M487" s="11">
        <v>40</v>
      </c>
      <c r="N487" s="4" cm="1">
        <f t="array" ref="N487">INDEX($F$448:$K$455, INT((ROW(A40)-1)/6)+1, MOD(ROW(A286)-1,6)+1)</f>
        <v>1</v>
      </c>
      <c r="P487" s="9">
        <v>30</v>
      </c>
      <c r="Q487" s="4" t="e" cm="1">
        <f t="array" ref="Q487">INDEX($P$264:$U$271, INT((ROW(A214)-1)/6)+1, MOD(ROW(A214)-1,6)+1)</f>
        <v>#REF!</v>
      </c>
      <c r="W487" s="11">
        <v>40</v>
      </c>
      <c r="X487" s="4" t="e">
        <f t="shared" si="29"/>
        <v>#REF!</v>
      </c>
    </row>
    <row r="488" spans="2:24" x14ac:dyDescent="0.25">
      <c r="B488" s="7">
        <v>41</v>
      </c>
      <c r="C488" s="30">
        <v>0</v>
      </c>
      <c r="M488" s="7">
        <v>41</v>
      </c>
      <c r="N488" s="4" cm="1">
        <f t="array" ref="N488">INDEX($F$448:$K$455, INT((ROW(A41)-1)/6)+1, MOD(ROW(A287)-1,6)+1)</f>
        <v>0</v>
      </c>
      <c r="P488" s="9">
        <v>31</v>
      </c>
      <c r="Q488" s="4" t="e" cm="1">
        <f t="array" ref="Q488">INDEX($P$264:$U$271, INT((ROW(A215)-1)/6)+1, MOD(ROW(A215)-1,6)+1)</f>
        <v>#REF!</v>
      </c>
      <c r="W488" s="7">
        <v>41</v>
      </c>
      <c r="X488" s="4" t="e">
        <f t="shared" si="29"/>
        <v>#REF!</v>
      </c>
    </row>
    <row r="489" spans="2:24" x14ac:dyDescent="0.25">
      <c r="B489" s="9">
        <v>42</v>
      </c>
      <c r="C489" s="30">
        <v>0</v>
      </c>
      <c r="M489" s="9">
        <v>42</v>
      </c>
      <c r="N489" s="4" cm="1">
        <f t="array" ref="N489">INDEX($F$448:$K$455, INT((ROW(A42)-1)/6)+1, MOD(ROW(A288)-1,6)+1)</f>
        <v>1</v>
      </c>
      <c r="P489" s="11">
        <v>32</v>
      </c>
      <c r="Q489" s="4" t="e" cm="1">
        <f t="array" ref="Q489">INDEX($P$264:$U$271, INT((ROW(A216)-1)/6)+1, MOD(ROW(A216)-1,6)+1)</f>
        <v>#REF!</v>
      </c>
      <c r="W489" s="9">
        <v>42</v>
      </c>
      <c r="X489" s="4" t="e">
        <f t="shared" si="29"/>
        <v>#REF!</v>
      </c>
    </row>
    <row r="490" spans="2:24" x14ac:dyDescent="0.25">
      <c r="B490" s="9">
        <v>43</v>
      </c>
      <c r="C490" s="30">
        <v>1</v>
      </c>
      <c r="M490" s="9">
        <v>43</v>
      </c>
      <c r="N490" s="4" cm="1">
        <f t="array" ref="N490">INDEX($F$448:$K$455, INT((ROW(A43)-1)/6)+1, MOD(ROW(A289)-1,6)+1)</f>
        <v>0</v>
      </c>
      <c r="P490" s="7">
        <v>33</v>
      </c>
      <c r="Q490" s="4" t="e" cm="1">
        <f t="array" ref="Q490">INDEX($P$264:$U$271, INT((ROW(A217)-1)/6)+1, MOD(ROW(A217)-1,6)+1)</f>
        <v>#REF!</v>
      </c>
      <c r="W490" s="9">
        <v>43</v>
      </c>
      <c r="X490" s="4" t="e">
        <f t="shared" si="29"/>
        <v>#REF!</v>
      </c>
    </row>
    <row r="491" spans="2:24" x14ac:dyDescent="0.25">
      <c r="B491" s="9">
        <v>44</v>
      </c>
      <c r="C491" s="30">
        <v>0</v>
      </c>
      <c r="M491" s="9">
        <v>44</v>
      </c>
      <c r="N491" s="4" cm="1">
        <f t="array" ref="N491">INDEX($F$448:$K$455, INT((ROW(A44)-1)/6)+1, MOD(ROW(A290)-1,6)+1)</f>
        <v>0</v>
      </c>
      <c r="P491" s="9">
        <v>34</v>
      </c>
      <c r="Q491" s="4" t="e" cm="1">
        <f t="array" ref="Q491">INDEX($P$264:$U$271, INT((ROW(A218)-1)/6)+1, MOD(ROW(A218)-1,6)+1)</f>
        <v>#REF!</v>
      </c>
      <c r="W491" s="9">
        <v>44</v>
      </c>
      <c r="X491" s="4" t="e">
        <f t="shared" si="29"/>
        <v>#REF!</v>
      </c>
    </row>
    <row r="492" spans="2:24" x14ac:dyDescent="0.25">
      <c r="B492" s="9">
        <v>45</v>
      </c>
      <c r="C492" s="30">
        <v>1</v>
      </c>
      <c r="M492" s="9">
        <v>45</v>
      </c>
      <c r="N492" s="4" cm="1">
        <f t="array" ref="N492">INDEX($F$448:$K$455, INT((ROW(A45)-1)/6)+1, MOD(ROW(A291)-1,6)+1)</f>
        <v>0</v>
      </c>
      <c r="P492" s="9">
        <v>35</v>
      </c>
      <c r="Q492" s="4" t="e" cm="1">
        <f t="array" ref="Q492">INDEX($P$264:$U$271, INT((ROW(A219)-1)/6)+1, MOD(ROW(A219)-1,6)+1)</f>
        <v>#REF!</v>
      </c>
      <c r="W492" s="9">
        <v>45</v>
      </c>
      <c r="X492" s="4" t="e">
        <f t="shared" si="29"/>
        <v>#REF!</v>
      </c>
    </row>
    <row r="493" spans="2:24" x14ac:dyDescent="0.25">
      <c r="B493" s="9">
        <v>46</v>
      </c>
      <c r="C493" s="30">
        <v>0</v>
      </c>
      <c r="M493" s="9">
        <v>46</v>
      </c>
      <c r="N493" s="4" cm="1">
        <f t="array" ref="N493">INDEX($F$448:$K$455, INT((ROW(A46)-1)/6)+1, MOD(ROW(A292)-1,6)+1)</f>
        <v>1</v>
      </c>
      <c r="P493" s="9">
        <v>36</v>
      </c>
      <c r="Q493" s="4" t="e" cm="1">
        <f t="array" ref="Q493">INDEX($P$264:$U$271, INT((ROW(A220)-1)/6)+1, MOD(ROW(A220)-1,6)+1)</f>
        <v>#REF!</v>
      </c>
      <c r="W493" s="9">
        <v>46</v>
      </c>
      <c r="X493" s="4" t="e">
        <f t="shared" si="29"/>
        <v>#REF!</v>
      </c>
    </row>
    <row r="494" spans="2:24" x14ac:dyDescent="0.25">
      <c r="B494" s="9">
        <v>47</v>
      </c>
      <c r="C494" s="30">
        <v>1</v>
      </c>
      <c r="M494" s="9">
        <v>47</v>
      </c>
      <c r="N494" s="4" cm="1">
        <f t="array" ref="N494">INDEX($F$448:$K$455, INT((ROW(A47)-1)/6)+1, MOD(ROW(A293)-1,6)+1)</f>
        <v>0</v>
      </c>
      <c r="P494" s="9">
        <v>37</v>
      </c>
      <c r="Q494" s="4" t="e" cm="1">
        <f t="array" ref="Q494">INDEX($P$264:$U$271, INT((ROW(A221)-1)/6)+1, MOD(ROW(A221)-1,6)+1)</f>
        <v>#REF!</v>
      </c>
      <c r="W494" s="9">
        <v>47</v>
      </c>
      <c r="X494" s="4" t="e">
        <f t="shared" si="29"/>
        <v>#REF!</v>
      </c>
    </row>
    <row r="495" spans="2:24" x14ac:dyDescent="0.25">
      <c r="B495" s="11">
        <v>48</v>
      </c>
      <c r="C495" s="30">
        <v>0</v>
      </c>
      <c r="M495" s="11">
        <v>48</v>
      </c>
      <c r="N495" s="2" cm="1">
        <f t="array" ref="N495">INDEX($F$448:$K$455, INT((ROW(A48)-1)/6)+1, MOD(ROW(A294)-1,6)+1)</f>
        <v>1</v>
      </c>
      <c r="P495" s="9">
        <v>38</v>
      </c>
      <c r="Q495" s="4" t="e" cm="1">
        <f t="array" ref="Q495">INDEX($P$264:$U$271, INT((ROW(A222)-1)/6)+1, MOD(ROW(A222)-1,6)+1)</f>
        <v>#REF!</v>
      </c>
      <c r="W495" s="11">
        <v>48</v>
      </c>
      <c r="X495" s="4" t="e">
        <f t="shared" si="29"/>
        <v>#REF!</v>
      </c>
    </row>
    <row r="496" spans="2:24" x14ac:dyDescent="0.25">
      <c r="B496" s="7">
        <v>49</v>
      </c>
      <c r="C496" s="30">
        <v>1</v>
      </c>
      <c r="P496" s="9">
        <v>39</v>
      </c>
      <c r="Q496" s="4" t="e" cm="1">
        <f t="array" ref="Q496">INDEX($P$264:$U$271, INT((ROW(A223)-1)/6)+1, MOD(ROW(A223)-1,6)+1)</f>
        <v>#REF!</v>
      </c>
    </row>
    <row r="497" spans="2:41" x14ac:dyDescent="0.25">
      <c r="B497" s="9">
        <v>50</v>
      </c>
      <c r="C497" s="30">
        <v>0</v>
      </c>
      <c r="P497" s="11">
        <v>40</v>
      </c>
      <c r="Q497" s="4" t="e" cm="1">
        <f t="array" ref="Q497">INDEX($P$264:$U$271, INT((ROW(A224)-1)/6)+1, MOD(ROW(A224)-1,6)+1)</f>
        <v>#REF!</v>
      </c>
    </row>
    <row r="498" spans="2:41" x14ac:dyDescent="0.25">
      <c r="B498" s="9">
        <v>51</v>
      </c>
      <c r="C498" s="30">
        <v>1</v>
      </c>
      <c r="P498" s="7">
        <v>41</v>
      </c>
      <c r="Q498" s="4" t="e" cm="1">
        <f t="array" ref="Q498">INDEX($P$264:$U$271, INT((ROW(A225)-1)/6)+1, MOD(ROW(A225)-1,6)+1)</f>
        <v>#REF!</v>
      </c>
    </row>
    <row r="499" spans="2:41" x14ac:dyDescent="0.25">
      <c r="B499" s="9">
        <v>52</v>
      </c>
      <c r="C499" s="30">
        <v>0</v>
      </c>
      <c r="P499" s="9">
        <v>42</v>
      </c>
      <c r="Q499" s="4" t="e" cm="1">
        <f t="array" ref="Q499">INDEX($P$264:$U$271, INT((ROW(A226)-1)/6)+1, MOD(ROW(A226)-1,6)+1)</f>
        <v>#REF!</v>
      </c>
    </row>
    <row r="500" spans="2:41" x14ac:dyDescent="0.25">
      <c r="B500" s="9">
        <v>53</v>
      </c>
      <c r="C500" s="30">
        <v>1</v>
      </c>
      <c r="P500" s="9">
        <v>43</v>
      </c>
      <c r="Q500" s="4" t="e" cm="1">
        <f t="array" ref="Q500">INDEX($P$264:$U$271, INT((ROW(A227)-1)/6)+1, MOD(ROW(A227)-1,6)+1)</f>
        <v>#REF!</v>
      </c>
    </row>
    <row r="501" spans="2:41" x14ac:dyDescent="0.25">
      <c r="B501" s="9">
        <v>54</v>
      </c>
      <c r="C501" s="30">
        <v>0</v>
      </c>
      <c r="P501" s="9">
        <v>44</v>
      </c>
      <c r="Q501" s="4" t="e" cm="1">
        <f t="array" ref="Q501">INDEX($P$264:$U$271, INT((ROW(A228)-1)/6)+1, MOD(ROW(A228)-1,6)+1)</f>
        <v>#REF!</v>
      </c>
    </row>
    <row r="502" spans="2:41" x14ac:dyDescent="0.25">
      <c r="B502" s="9">
        <v>55</v>
      </c>
      <c r="C502" s="30">
        <v>1</v>
      </c>
      <c r="P502" s="9">
        <v>45</v>
      </c>
      <c r="Q502" s="4" t="e" cm="1">
        <f t="array" ref="Q502">INDEX($P$264:$U$271, INT((ROW(A229)-1)/6)+1, MOD(ROW(A229)-1,6)+1)</f>
        <v>#REF!</v>
      </c>
    </row>
    <row r="503" spans="2:41" x14ac:dyDescent="0.25">
      <c r="B503" s="11">
        <v>56</v>
      </c>
      <c r="C503" s="30">
        <v>1</v>
      </c>
      <c r="P503" s="9">
        <v>46</v>
      </c>
      <c r="Q503" s="4" t="e" cm="1">
        <f t="array" ref="Q503">INDEX($P$264:$U$271, INT((ROW(A230)-1)/6)+1, MOD(ROW(A230)-1,6)+1)</f>
        <v>#REF!</v>
      </c>
    </row>
    <row r="504" spans="2:41" x14ac:dyDescent="0.25">
      <c r="P504" s="9">
        <v>47</v>
      </c>
      <c r="Q504" s="4" t="e" cm="1">
        <f t="array" ref="Q504">INDEX($P$264:$U$271, INT((ROW(A231)-1)/6)+1, MOD(ROW(A231)-1,6)+1)</f>
        <v>#REF!</v>
      </c>
    </row>
    <row r="505" spans="2:41" x14ac:dyDescent="0.25">
      <c r="P505" s="11">
        <v>48</v>
      </c>
      <c r="Q505" s="4" t="e" cm="1">
        <f t="array" ref="Q505">INDEX($P$264:$U$271, INT((ROW(A232)-1)/6)+1, MOD(ROW(A232)-1,6)+1)</f>
        <v>#REF!</v>
      </c>
    </row>
    <row r="507" spans="2:41" x14ac:dyDescent="0.25">
      <c r="B507" t="s">
        <v>44</v>
      </c>
    </row>
    <row r="509" spans="2:41" x14ac:dyDescent="0.25">
      <c r="B509" s="37" t="s">
        <v>45</v>
      </c>
      <c r="C509" s="38"/>
      <c r="F509" s="39" t="s">
        <v>23</v>
      </c>
      <c r="G509" s="40"/>
      <c r="H509" s="40"/>
      <c r="I509" s="40"/>
      <c r="J509" s="40"/>
      <c r="K509" s="41"/>
      <c r="M509" s="37" t="s">
        <v>46</v>
      </c>
      <c r="N509" s="43"/>
      <c r="P509" s="39" t="s">
        <v>93</v>
      </c>
      <c r="Q509" s="40"/>
      <c r="R509" s="40"/>
      <c r="S509" s="40"/>
      <c r="T509" s="40"/>
      <c r="U509" s="41"/>
      <c r="W509" s="2" t="s">
        <v>3</v>
      </c>
      <c r="X509" s="18" t="s">
        <v>95</v>
      </c>
      <c r="Z509" s="42" t="s">
        <v>77</v>
      </c>
      <c r="AA509" s="42" t="s">
        <v>74</v>
      </c>
      <c r="AB509" s="42"/>
      <c r="AC509" s="42" t="s">
        <v>75</v>
      </c>
      <c r="AD509" s="42" t="s">
        <v>76</v>
      </c>
      <c r="AE509" s="36" t="s">
        <v>78</v>
      </c>
      <c r="AF509" s="36" t="s">
        <v>79</v>
      </c>
      <c r="AH509" s="37" t="s">
        <v>96</v>
      </c>
      <c r="AI509" s="38"/>
      <c r="AK509" s="37" t="s">
        <v>97</v>
      </c>
      <c r="AL509" s="38"/>
      <c r="AN509" s="36" t="s">
        <v>98</v>
      </c>
      <c r="AO509" s="36"/>
    </row>
    <row r="510" spans="2:41" x14ac:dyDescent="0.25">
      <c r="B510" s="7">
        <v>1</v>
      </c>
      <c r="C510" s="2">
        <v>1</v>
      </c>
      <c r="F510" s="15" cm="1">
        <f t="array" ref="F510">INDEX($C$510:$C$565, H41)</f>
        <v>0</v>
      </c>
      <c r="G510" s="15" cm="1">
        <f t="array" ref="G510">INDEX($C$510:$C$565, I41)</f>
        <v>1</v>
      </c>
      <c r="H510" s="15" cm="1">
        <f t="array" ref="H510">INDEX($C$510:$C$565, J41)</f>
        <v>1</v>
      </c>
      <c r="I510" s="15" cm="1">
        <f t="array" ref="I510">INDEX($C$510:$C$565, K41)</f>
        <v>0</v>
      </c>
      <c r="J510" s="15" cm="1">
        <f t="array" ref="J510">INDEX($C$510:$C$565, L41)</f>
        <v>1</v>
      </c>
      <c r="K510" s="15" cm="1">
        <f t="array" ref="K510">INDEX($C$510:$C$565, M41)</f>
        <v>1</v>
      </c>
      <c r="M510" s="7">
        <v>1</v>
      </c>
      <c r="N510" s="4" cm="1">
        <f t="array" ref="N510">INDEX($F$510:$K$517, INT((ROW(A1)-1)/6)+1, MOD(ROW(A309)-1,6)+1)</f>
        <v>1</v>
      </c>
      <c r="P510" s="15" t="e" cm="1" vm="1">
        <f t="array" aca="1" ref="P510" ca="1">INDEX($AO$204:$AO$235, H297)</f>
        <v>#VALUE!</v>
      </c>
      <c r="Q510" s="15" t="e" cm="1" vm="1">
        <f t="array" aca="1" ref="Q510" ca="1">INDEX($AO$204:$AO$235, I297)</f>
        <v>#VALUE!</v>
      </c>
      <c r="R510" s="15" t="e" cm="1" vm="1">
        <f t="array" aca="1" ref="R510" ca="1">INDEX($AO$204:$AO$235, J297)</f>
        <v>#VALUE!</v>
      </c>
      <c r="S510" s="15" t="e" cm="1" vm="1">
        <f t="array" aca="1" ref="S510" ca="1">INDEX($AO$204:$AO$235, K297)</f>
        <v>#VALUE!</v>
      </c>
      <c r="T510" s="15" t="e" cm="1" vm="1">
        <f t="array" aca="1" ref="T510" ca="1">INDEX($AO$204:$AO$235, L297)</f>
        <v>#VALUE!</v>
      </c>
      <c r="U510" s="15" t="e" cm="1">
        <f t="array" ref="U510">INDEX($AO$204:$AO$235, M297)</f>
        <v>#REF!</v>
      </c>
      <c r="W510" s="7">
        <v>1</v>
      </c>
      <c r="X510" s="4" t="e">
        <f>_xlfn.BITXOR(Q520, N510)</f>
        <v>#REF!</v>
      </c>
      <c r="Z510" s="42"/>
      <c r="AA510" s="42"/>
      <c r="AB510" s="42"/>
      <c r="AC510" s="42"/>
      <c r="AD510" s="42"/>
      <c r="AE510" s="36"/>
      <c r="AF510" s="36"/>
      <c r="AH510" s="7">
        <v>1</v>
      </c>
      <c r="AI510" s="4" t="e" cm="1">
        <f t="array" ref="AI510">MID(INDEX($AF$265:$AF$272,INT((ROW(A247)-1)/4)+1),MOD(ROW(A247)-1,4)+1,1)</f>
        <v>#REF!</v>
      </c>
      <c r="AK510" s="7">
        <v>1</v>
      </c>
      <c r="AL510" s="4" t="e" cm="1">
        <f t="array" ref="AL510">INDEX($AI$264:$AI$295, INDEX($H$15:$O$18, INT((ROW(A247)-1)/8)+1, MOD(ROW(A247)-1,8)+1))</f>
        <v>#REF!</v>
      </c>
      <c r="AN510" s="2" t="s">
        <v>99</v>
      </c>
      <c r="AO510" s="31" t="s">
        <v>101</v>
      </c>
    </row>
    <row r="511" spans="2:41" x14ac:dyDescent="0.25">
      <c r="B511" s="9">
        <v>2</v>
      </c>
      <c r="C511" s="2">
        <v>1</v>
      </c>
      <c r="F511" s="15" cm="1">
        <f t="array" ref="F511">INDEX($C$510:$C$565, H42)</f>
        <v>0</v>
      </c>
      <c r="G511" s="15" cm="1">
        <f t="array" ref="G511">INDEX($C$510:$C$565, I42)</f>
        <v>0</v>
      </c>
      <c r="H511" s="15" cm="1">
        <f t="array" ref="H511">INDEX($C$510:$C$565, J42)</f>
        <v>1</v>
      </c>
      <c r="I511" s="15" cm="1">
        <f t="array" ref="I511">INDEX($C$510:$C$565, K42)</f>
        <v>0</v>
      </c>
      <c r="J511" s="15" cm="1">
        <f t="array" ref="J511">INDEX($C$510:$C$565, L42)</f>
        <v>0</v>
      </c>
      <c r="K511" s="15" cm="1">
        <f t="array" ref="K511">INDEX($C$510:$C$565, M42)</f>
        <v>0</v>
      </c>
      <c r="M511" s="9">
        <v>2</v>
      </c>
      <c r="N511" s="4" cm="1">
        <f t="array" ref="N511">INDEX($F$510:$K$517, INT((ROW(A2)-1)/6)+1, MOD(ROW(A310)-1,6)+1)</f>
        <v>0</v>
      </c>
      <c r="P511" s="15" t="e" cm="1" vm="1">
        <f t="array" aca="1" ref="P511" ca="1">INDEX($AO$204:$AO$235, H298)</f>
        <v>#VALUE!</v>
      </c>
      <c r="Q511" s="15" t="e" cm="1" vm="1">
        <f t="array" aca="1" ref="Q511" ca="1">INDEX($AO$204:$AO$235, I298)</f>
        <v>#VALUE!</v>
      </c>
      <c r="R511" s="15" t="e" cm="1" vm="1">
        <f t="array" aca="1" ref="R511" ca="1">INDEX($AO$204:$AO$235, J298)</f>
        <v>#VALUE!</v>
      </c>
      <c r="S511" s="15" t="e" cm="1" vm="1">
        <f t="array" aca="1" ref="S511" ca="1">INDEX($AO$204:$AO$235, K298)</f>
        <v>#VALUE!</v>
      </c>
      <c r="T511" s="15" t="e" cm="1" vm="1">
        <f t="array" aca="1" ref="T511" ca="1">INDEX($AO$204:$AO$235, L298)</f>
        <v>#VALUE!</v>
      </c>
      <c r="U511" s="15" t="e" cm="1">
        <f t="array" ref="U511">INDEX($AO$204:$AO$235, M298)</f>
        <v>#REF!</v>
      </c>
      <c r="W511" s="9">
        <v>2</v>
      </c>
      <c r="X511" s="4" t="e">
        <f t="shared" ref="X511:X557" si="35">_xlfn.BITXOR(Q521, N511)</f>
        <v>#REF!</v>
      </c>
      <c r="Z511" s="32">
        <v>1</v>
      </c>
      <c r="AA511" s="34" t="e">
        <f>_xlfn.TEXTJOIN("", TRUE, INDEX($X$264:$X$311, (ROW(A247)-1)*6+1) : INDEX($X$264:$X$311, (ROW(A247)-1)*6+6))</f>
        <v>#REF!</v>
      </c>
      <c r="AB511" s="35"/>
      <c r="AC511" s="32" t="e">
        <f>BIN2DEC(LEFT(AA511,1) &amp; RIGHT(AA511,1))</f>
        <v>#REF!</v>
      </c>
      <c r="AD511" s="31" t="e">
        <f>BIN2DEC(MID(AA511,2,4))</f>
        <v>#REF!</v>
      </c>
      <c r="AE511" s="31" t="e" cm="1">
        <f t="array" aca="1" ref="AE511" ca="1">INDEX(OFFSET('[1]S-box'!$A$2, (Z511-1)*6, 0, 4, 16), AC511+1, AD511+1)</f>
        <v>#VALUE!</v>
      </c>
      <c r="AF511" s="33" t="e">
        <f ca="1">DEC2BIN(AE511, 4)</f>
        <v>#VALUE!</v>
      </c>
      <c r="AH511" s="9">
        <v>2</v>
      </c>
      <c r="AI511" s="4" t="e" cm="1">
        <f t="array" ref="AI511">MID(INDEX($AF$265:$AF$272,INT((ROW(A248)-1)/4)+1),MOD(ROW(A248)-1,4)+1,1)</f>
        <v>#REF!</v>
      </c>
      <c r="AK511" s="9">
        <v>2</v>
      </c>
      <c r="AL511" s="4" t="e" cm="1">
        <f t="array" ref="AL511">INDEX($AI$264:$AI$295, INDEX($H$15:$O$18, INT((ROW(A248)-1)/8)+1, MOD(ROW(A248)-1,8)+1))</f>
        <v>#REF!</v>
      </c>
      <c r="AN511" s="2" t="e">
        <f ca="1">_xlfn.BITXOR(T324, AE449)</f>
        <v>#VALUE!</v>
      </c>
      <c r="AO511" s="2" t="e">
        <f>_xlfn.BITXOR(N510, AL510)</f>
        <v>#REF!</v>
      </c>
    </row>
    <row r="512" spans="2:41" x14ac:dyDescent="0.25">
      <c r="B512" s="9">
        <v>3</v>
      </c>
      <c r="C512" s="2">
        <v>0</v>
      </c>
      <c r="F512" s="15" cm="1">
        <f t="array" ref="F512">INDEX($C$510:$C$565, H43)</f>
        <v>0</v>
      </c>
      <c r="G512" s="15" cm="1">
        <f t="array" ref="G512">INDEX($C$510:$C$565, I43)</f>
        <v>1</v>
      </c>
      <c r="H512" s="15" cm="1">
        <f t="array" ref="H512">INDEX($C$510:$C$565, J43)</f>
        <v>0</v>
      </c>
      <c r="I512" s="15" cm="1">
        <f t="array" ref="I512">INDEX($C$510:$C$565, K43)</f>
        <v>0</v>
      </c>
      <c r="J512" s="15" cm="1">
        <f t="array" ref="J512">INDEX($C$510:$C$565, L43)</f>
        <v>1</v>
      </c>
      <c r="K512" s="15" cm="1">
        <f t="array" ref="K512">INDEX($C$510:$C$565, M43)</f>
        <v>0</v>
      </c>
      <c r="M512" s="9">
        <v>3</v>
      </c>
      <c r="N512" s="4" cm="1">
        <f t="array" ref="N512">INDEX($F$510:$K$517, INT((ROW(A3)-1)/6)+1, MOD(ROW(A311)-1,6)+1)</f>
        <v>1</v>
      </c>
      <c r="P512" s="15" t="e" cm="1" vm="1">
        <f t="array" aca="1" ref="P512" ca="1">INDEX($AO$204:$AO$235, H299)</f>
        <v>#VALUE!</v>
      </c>
      <c r="Q512" s="15" t="e" cm="1" vm="1">
        <f t="array" aca="1" ref="Q512" ca="1">INDEX($AO$204:$AO$235, I299)</f>
        <v>#VALUE!</v>
      </c>
      <c r="R512" s="15" t="e" cm="1" vm="1">
        <f t="array" aca="1" ref="R512" ca="1">INDEX($AO$204:$AO$235, J299)</f>
        <v>#VALUE!</v>
      </c>
      <c r="S512" s="15" t="e" cm="1" vm="1">
        <f t="array" aca="1" ref="S512" ca="1">INDEX($AO$204:$AO$235, K299)</f>
        <v>#VALUE!</v>
      </c>
      <c r="T512" s="15" t="e" cm="1" vm="1">
        <f t="array" aca="1" ref="T512" ca="1">INDEX($AO$204:$AO$235, L299)</f>
        <v>#VALUE!</v>
      </c>
      <c r="U512" s="15" t="e" cm="1">
        <f t="array" ref="U512">INDEX($AO$204:$AO$235, M299)</f>
        <v>#REF!</v>
      </c>
      <c r="W512" s="9">
        <v>3</v>
      </c>
      <c r="X512" s="4" t="e">
        <f t="shared" si="35"/>
        <v>#REF!</v>
      </c>
      <c r="Z512" s="32">
        <v>2</v>
      </c>
      <c r="AA512" s="34" t="e">
        <f>_xlfn.TEXTJOIN("", TRUE, INDEX($X$264:$X$311, (ROW(A248)-1)*6+1) : INDEX($X$264:$X$311, (ROW(A248)-1)*6+6))</f>
        <v>#REF!</v>
      </c>
      <c r="AB512" s="35"/>
      <c r="AC512" s="32" t="e">
        <f t="shared" ref="AC512:AC518" si="36">BIN2DEC(LEFT(AA512,1) &amp; RIGHT(AA512,1))</f>
        <v>#REF!</v>
      </c>
      <c r="AD512" s="31" t="e">
        <f t="shared" ref="AD512:AD518" si="37">BIN2DEC(MID(AA512,2,4))</f>
        <v>#REF!</v>
      </c>
      <c r="AE512" s="31" t="e" cm="1">
        <f t="array" aca="1" ref="AE512" ca="1">INDEX(OFFSET('[1]S-box'!$A$2, (Z512-1)*6, 0, 4, 16), AC512+1, AD512+1)</f>
        <v>#VALUE!</v>
      </c>
      <c r="AF512" s="33" t="e">
        <f t="shared" ref="AF512:AF518" ca="1" si="38">DEC2BIN(AE512, 4)</f>
        <v>#VALUE!</v>
      </c>
      <c r="AH512" s="9">
        <v>3</v>
      </c>
      <c r="AI512" s="4" t="e" cm="1">
        <f t="array" ref="AI512">MID(INDEX($AF$265:$AF$272,INT((ROW(A249)-1)/4)+1),MOD(ROW(A249)-1,4)+1,1)</f>
        <v>#REF!</v>
      </c>
      <c r="AK512" s="9">
        <v>3</v>
      </c>
      <c r="AL512" s="4" t="e" cm="1">
        <f t="array" ref="AL512">INDEX($AI$264:$AI$295, INDEX($H$15:$O$18, INT((ROW(A249)-1)/8)+1, MOD(ROW(A249)-1,8)+1))</f>
        <v>#REF!</v>
      </c>
      <c r="AN512" s="2" t="e">
        <f t="shared" ref="AN512:AN542" ca="1" si="39">_xlfn.BITXOR(T325, AE450)</f>
        <v>#VALUE!</v>
      </c>
      <c r="AO512" s="2" t="e">
        <f t="shared" ref="AO512:AO542" si="40">_xlfn.BITXOR(N511, AL511)</f>
        <v>#REF!</v>
      </c>
    </row>
    <row r="513" spans="2:41" x14ac:dyDescent="0.25">
      <c r="B513" s="9">
        <v>4</v>
      </c>
      <c r="C513" s="2">
        <v>0</v>
      </c>
      <c r="F513" s="15" cm="1">
        <f t="array" ref="F513">INDEX($C$510:$C$565, H44)</f>
        <v>1</v>
      </c>
      <c r="G513" s="15" cm="1">
        <f t="array" ref="G513">INDEX($C$510:$C$565, I44)</f>
        <v>1</v>
      </c>
      <c r="H513" s="15" cm="1">
        <f t="array" ref="H513">INDEX($C$510:$C$565, J44)</f>
        <v>0</v>
      </c>
      <c r="I513" s="15" cm="1">
        <f t="array" ref="I513">INDEX($C$510:$C$565, K44)</f>
        <v>1</v>
      </c>
      <c r="J513" s="15" cm="1">
        <f t="array" ref="J513">INDEX($C$510:$C$565, L44)</f>
        <v>1</v>
      </c>
      <c r="K513" s="15" cm="1">
        <f t="array" ref="K513">INDEX($C$510:$C$565, M44)</f>
        <v>1</v>
      </c>
      <c r="M513" s="9">
        <v>4</v>
      </c>
      <c r="N513" s="4" cm="1">
        <f t="array" ref="N513">INDEX($F$510:$K$517, INT((ROW(A4)-1)/6)+1, MOD(ROW(A312)-1,6)+1)</f>
        <v>1</v>
      </c>
      <c r="P513" s="15" t="e" cm="1" vm="1">
        <f t="array" aca="1" ref="P513" ca="1">INDEX($AO$204:$AO$235, H300)</f>
        <v>#VALUE!</v>
      </c>
      <c r="Q513" s="15" t="e" cm="1" vm="1">
        <f t="array" aca="1" ref="Q513" ca="1">INDEX($AO$204:$AO$235, I300)</f>
        <v>#VALUE!</v>
      </c>
      <c r="R513" s="15" t="e" cm="1" vm="1">
        <f t="array" aca="1" ref="R513" ca="1">INDEX($AO$204:$AO$235, J300)</f>
        <v>#VALUE!</v>
      </c>
      <c r="S513" s="15" t="e" cm="1" vm="1">
        <f t="array" aca="1" ref="S513" ca="1">INDEX($AO$204:$AO$235, K300)</f>
        <v>#VALUE!</v>
      </c>
      <c r="T513" s="15" t="e" cm="1" vm="1">
        <f t="array" aca="1" ref="T513" ca="1">INDEX($AO$204:$AO$235, L300)</f>
        <v>#VALUE!</v>
      </c>
      <c r="U513" s="15" t="e" cm="1">
        <f t="array" ref="U513">INDEX($AO$204:$AO$235, M300)</f>
        <v>#REF!</v>
      </c>
      <c r="W513" s="9">
        <v>4</v>
      </c>
      <c r="X513" s="4" t="e">
        <f t="shared" si="35"/>
        <v>#REF!</v>
      </c>
      <c r="Z513" s="32">
        <v>3</v>
      </c>
      <c r="AA513" s="34" t="e">
        <f>_xlfn.TEXTJOIN("", TRUE, INDEX($X$264:$X$311, (ROW(A249)-1)*6+1) : INDEX($X$264:$X$311, (ROW(A249)-1)*6+6))</f>
        <v>#REF!</v>
      </c>
      <c r="AB513" s="35"/>
      <c r="AC513" s="32" t="e">
        <f t="shared" si="36"/>
        <v>#REF!</v>
      </c>
      <c r="AD513" s="31" t="e">
        <f t="shared" si="37"/>
        <v>#REF!</v>
      </c>
      <c r="AE513" s="31" t="e" cm="1">
        <f t="array" aca="1" ref="AE513" ca="1">INDEX(OFFSET('[1]S-box'!$A$2, (Z513-1)*6, 0, 4, 16), AC513+1, AD513+1)</f>
        <v>#VALUE!</v>
      </c>
      <c r="AF513" s="33" t="e">
        <f t="shared" ca="1" si="38"/>
        <v>#VALUE!</v>
      </c>
      <c r="AH513" s="9">
        <v>4</v>
      </c>
      <c r="AI513" s="4" t="e" cm="1">
        <f t="array" ref="AI513">MID(INDEX($AF$265:$AF$272,INT((ROW(A250)-1)/4)+1),MOD(ROW(A250)-1,4)+1,1)</f>
        <v>#REF!</v>
      </c>
      <c r="AK513" s="9">
        <v>4</v>
      </c>
      <c r="AL513" s="4" t="e" cm="1">
        <f t="array" ref="AL513">INDEX($AI$264:$AI$295, INDEX($H$15:$O$18, INT((ROW(A250)-1)/8)+1, MOD(ROW(A250)-1,8)+1))</f>
        <v>#REF!</v>
      </c>
      <c r="AN513" s="2" t="e" vm="3">
        <f t="shared" ca="1" si="39"/>
        <v>#VALUE!</v>
      </c>
      <c r="AO513" s="2" t="e">
        <f t="shared" si="40"/>
        <v>#REF!</v>
      </c>
    </row>
    <row r="514" spans="2:41" x14ac:dyDescent="0.25">
      <c r="B514" s="9">
        <v>5</v>
      </c>
      <c r="C514" s="2">
        <v>1</v>
      </c>
      <c r="F514" s="15" cm="1">
        <f t="array" ref="F514">INDEX($C$510:$C$565, H45)</f>
        <v>1</v>
      </c>
      <c r="G514" s="15" cm="1">
        <f t="array" ref="G514">INDEX($C$510:$C$565, I45)</f>
        <v>0</v>
      </c>
      <c r="H514" s="15" cm="1">
        <f t="array" ref="H514">INDEX($C$510:$C$565, J45)</f>
        <v>0</v>
      </c>
      <c r="I514" s="15" cm="1">
        <f t="array" ref="I514">INDEX($C$510:$C$565, K45)</f>
        <v>0</v>
      </c>
      <c r="J514" s="15" cm="1">
        <f t="array" ref="J514">INDEX($C$510:$C$565, L45)</f>
        <v>1</v>
      </c>
      <c r="K514" s="15" cm="1">
        <f t="array" ref="K514">INDEX($C$510:$C$565, M45)</f>
        <v>0</v>
      </c>
      <c r="M514" s="9">
        <v>5</v>
      </c>
      <c r="N514" s="4" cm="1">
        <f t="array" ref="N514">INDEX($F$510:$K$517, INT((ROW(A5)-1)/6)+1, MOD(ROW(A313)-1,6)+1)</f>
        <v>0</v>
      </c>
      <c r="P514" s="15" t="e" cm="1" vm="1">
        <f t="array" aca="1" ref="P514" ca="1">INDEX($AO$204:$AO$235, H301)</f>
        <v>#VALUE!</v>
      </c>
      <c r="Q514" s="15" t="e" cm="1" vm="1">
        <f t="array" aca="1" ref="Q514" ca="1">INDEX($AO$204:$AO$235, I301)</f>
        <v>#VALUE!</v>
      </c>
      <c r="R514" s="15" t="e" cm="1" vm="1">
        <f t="array" aca="1" ref="R514" ca="1">INDEX($AO$204:$AO$235, J301)</f>
        <v>#VALUE!</v>
      </c>
      <c r="S514" s="15" t="e" cm="1" vm="1">
        <f t="array" aca="1" ref="S514" ca="1">INDEX($AO$204:$AO$235, K301)</f>
        <v>#VALUE!</v>
      </c>
      <c r="T514" s="15" t="e" cm="1" vm="1">
        <f t="array" aca="1" ref="T514" ca="1">INDEX($AO$204:$AO$235, L301)</f>
        <v>#VALUE!</v>
      </c>
      <c r="U514" s="15" t="e" cm="1">
        <f t="array" ref="U514">INDEX($AO$204:$AO$235, M301)</f>
        <v>#REF!</v>
      </c>
      <c r="W514" s="9">
        <v>5</v>
      </c>
      <c r="X514" s="4" t="e">
        <f t="shared" si="35"/>
        <v>#REF!</v>
      </c>
      <c r="Z514" s="32">
        <v>4</v>
      </c>
      <c r="AA514" s="34" t="e">
        <f>_xlfn.TEXTJOIN("", TRUE, INDEX($X$264:$X$311, (ROW(A250)-1)*6+1) : INDEX($X$264:$X$311, (ROW(A250)-1)*6+6))</f>
        <v>#REF!</v>
      </c>
      <c r="AB514" s="35"/>
      <c r="AC514" s="32" t="e">
        <f t="shared" si="36"/>
        <v>#REF!</v>
      </c>
      <c r="AD514" s="31" t="e">
        <f t="shared" si="37"/>
        <v>#REF!</v>
      </c>
      <c r="AE514" s="31" t="e" cm="1">
        <f t="array" aca="1" ref="AE514" ca="1">INDEX(OFFSET('[1]S-box'!$A$2, (Z514-1)*6, 0, 4, 16), AC514+1, AD514+1)</f>
        <v>#VALUE!</v>
      </c>
      <c r="AF514" s="33" t="e">
        <f t="shared" ca="1" si="38"/>
        <v>#VALUE!</v>
      </c>
      <c r="AH514" s="9">
        <v>5</v>
      </c>
      <c r="AI514" s="4" t="e" cm="1">
        <f t="array" ref="AI514">MID(INDEX($AF$265:$AF$272,INT((ROW(A251)-1)/4)+1),MOD(ROW(A251)-1,4)+1,1)</f>
        <v>#REF!</v>
      </c>
      <c r="AK514" s="9">
        <v>5</v>
      </c>
      <c r="AL514" s="4" t="e" cm="1">
        <f t="array" ref="AL514">INDEX($AI$264:$AI$295, INDEX($H$15:$O$18, INT((ROW(A251)-1)/8)+1, MOD(ROW(A251)-1,8)+1))</f>
        <v>#REF!</v>
      </c>
      <c r="AN514" s="2" t="e" vm="3">
        <f t="shared" ca="1" si="39"/>
        <v>#VALUE!</v>
      </c>
      <c r="AO514" s="2" t="e">
        <f t="shared" si="40"/>
        <v>#REF!</v>
      </c>
    </row>
    <row r="515" spans="2:41" x14ac:dyDescent="0.25">
      <c r="B515" s="9">
        <v>6</v>
      </c>
      <c r="C515" s="2">
        <v>0</v>
      </c>
      <c r="F515" s="15" cm="1">
        <f t="array" ref="F515">INDEX($C$510:$C$565, H46)</f>
        <v>1</v>
      </c>
      <c r="G515" s="15" cm="1">
        <f t="array" ref="G515">INDEX($C$510:$C$565, I46)</f>
        <v>0</v>
      </c>
      <c r="H515" s="15" cm="1">
        <f t="array" ref="H515">INDEX($C$510:$C$565, J46)</f>
        <v>1</v>
      </c>
      <c r="I515" s="15" cm="1">
        <f t="array" ref="I515">INDEX($C$510:$C$565, K46)</f>
        <v>1</v>
      </c>
      <c r="J515" s="15" cm="1">
        <f t="array" ref="J515">INDEX($C$510:$C$565, L46)</f>
        <v>1</v>
      </c>
      <c r="K515" s="15" cm="1">
        <f t="array" ref="K515">INDEX($C$510:$C$565, M46)</f>
        <v>0</v>
      </c>
      <c r="M515" s="9">
        <v>6</v>
      </c>
      <c r="N515" s="4" cm="1">
        <f t="array" ref="N515">INDEX($F$510:$K$517, INT((ROW(A6)-1)/6)+1, MOD(ROW(A314)-1,6)+1)</f>
        <v>1</v>
      </c>
      <c r="P515" s="15" t="e" cm="1" vm="1">
        <f t="array" aca="1" ref="P515" ca="1">INDEX($AO$204:$AO$235, H302)</f>
        <v>#VALUE!</v>
      </c>
      <c r="Q515" s="15" t="e" cm="1" vm="1">
        <f t="array" aca="1" ref="Q515" ca="1">INDEX($AO$204:$AO$235, I302)</f>
        <v>#VALUE!</v>
      </c>
      <c r="R515" s="15" t="e" cm="1" vm="1">
        <f t="array" aca="1" ref="R515" ca="1">INDEX($AO$204:$AO$235, J302)</f>
        <v>#VALUE!</v>
      </c>
      <c r="S515" s="15" t="e" cm="1" vm="1">
        <f t="array" aca="1" ref="S515" ca="1">INDEX($AO$204:$AO$235, K302)</f>
        <v>#VALUE!</v>
      </c>
      <c r="T515" s="15" t="e" cm="1" vm="1">
        <f t="array" aca="1" ref="T515" ca="1">INDEX($AO$204:$AO$235, L302)</f>
        <v>#VALUE!</v>
      </c>
      <c r="U515" s="15" t="e" cm="1">
        <f t="array" ref="U515">INDEX($AO$204:$AO$235, M302)</f>
        <v>#REF!</v>
      </c>
      <c r="W515" s="9">
        <v>6</v>
      </c>
      <c r="X515" s="4" t="e">
        <f t="shared" si="35"/>
        <v>#REF!</v>
      </c>
      <c r="Z515" s="32">
        <v>5</v>
      </c>
      <c r="AA515" s="34" t="e">
        <f>_xlfn.TEXTJOIN("", TRUE, INDEX($X$264:$X$311, (ROW(A251)-1)*6+1) : INDEX($X$264:$X$311, (ROW(A251)-1)*6+6))</f>
        <v>#REF!</v>
      </c>
      <c r="AB515" s="35"/>
      <c r="AC515" s="32" t="e">
        <f t="shared" si="36"/>
        <v>#REF!</v>
      </c>
      <c r="AD515" s="31" t="e">
        <f t="shared" si="37"/>
        <v>#REF!</v>
      </c>
      <c r="AE515" s="31" t="e" cm="1">
        <f t="array" aca="1" ref="AE515" ca="1">INDEX(OFFSET('[1]S-box'!$A$2, (Z515-1)*6, 0, 4, 16), AC515+1, AD515+1)</f>
        <v>#VALUE!</v>
      </c>
      <c r="AF515" s="33" t="e">
        <f t="shared" ca="1" si="38"/>
        <v>#VALUE!</v>
      </c>
      <c r="AH515" s="9">
        <v>6</v>
      </c>
      <c r="AI515" s="4" t="e" cm="1">
        <f t="array" ref="AI515">MID(INDEX($AF$265:$AF$272,INT((ROW(A252)-1)/4)+1),MOD(ROW(A252)-1,4)+1,1)</f>
        <v>#REF!</v>
      </c>
      <c r="AK515" s="9">
        <v>6</v>
      </c>
      <c r="AL515" s="4" t="e" cm="1">
        <f t="array" ref="AL515">INDEX($AI$264:$AI$295, INDEX($H$15:$O$18, INT((ROW(A252)-1)/8)+1, MOD(ROW(A252)-1,8)+1))</f>
        <v>#REF!</v>
      </c>
      <c r="AN515" s="2" t="e" vm="3">
        <f t="shared" ca="1" si="39"/>
        <v>#VALUE!</v>
      </c>
      <c r="AO515" s="2" t="e">
        <f t="shared" si="40"/>
        <v>#REF!</v>
      </c>
    </row>
    <row r="516" spans="2:41" x14ac:dyDescent="0.25">
      <c r="B516" s="9">
        <v>7</v>
      </c>
      <c r="C516" s="2">
        <v>1</v>
      </c>
      <c r="F516" s="15" cm="1">
        <f t="array" ref="F516">INDEX($C$510:$C$565, H47)</f>
        <v>0</v>
      </c>
      <c r="G516" s="15" cm="1">
        <f t="array" ref="G516">INDEX($C$510:$C$565, I47)</f>
        <v>1</v>
      </c>
      <c r="H516" s="15" cm="1">
        <f t="array" ref="H516">INDEX($C$510:$C$565, J47)</f>
        <v>0</v>
      </c>
      <c r="I516" s="15" cm="1">
        <f t="array" ref="I516">INDEX($C$510:$C$565, K47)</f>
        <v>0</v>
      </c>
      <c r="J516" s="15" cm="1">
        <f t="array" ref="J516">INDEX($C$510:$C$565, L47)</f>
        <v>1</v>
      </c>
      <c r="K516" s="15" cm="1">
        <f t="array" ref="K516">INDEX($C$510:$C$565, M47)</f>
        <v>1</v>
      </c>
      <c r="M516" s="9">
        <v>7</v>
      </c>
      <c r="N516" s="4" cm="1">
        <f t="array" ref="N516">INDEX($F$510:$K$517, INT((ROW(A7)-1)/6)+1, MOD(ROW(A315)-1,6)+1)</f>
        <v>1</v>
      </c>
      <c r="P516" s="15" t="e" cm="1" vm="1">
        <f t="array" aca="1" ref="P516" ca="1">INDEX($AO$204:$AO$235, H303)</f>
        <v>#VALUE!</v>
      </c>
      <c r="Q516" s="15" t="e" cm="1" vm="1">
        <f t="array" aca="1" ref="Q516" ca="1">INDEX($AO$204:$AO$235, I303)</f>
        <v>#VALUE!</v>
      </c>
      <c r="R516" s="15" t="e" cm="1" vm="1">
        <f t="array" aca="1" ref="R516" ca="1">INDEX($AO$204:$AO$235, J303)</f>
        <v>#VALUE!</v>
      </c>
      <c r="S516" s="15" t="e" cm="1" vm="1">
        <f t="array" aca="1" ref="S516" ca="1">INDEX($AO$204:$AO$235, K303)</f>
        <v>#VALUE!</v>
      </c>
      <c r="T516" s="15" t="e" cm="1" vm="1">
        <f t="array" aca="1" ref="T516" ca="1">INDEX($AO$204:$AO$235, L303)</f>
        <v>#VALUE!</v>
      </c>
      <c r="U516" s="15" t="e" cm="1">
        <f t="array" ref="U516">INDEX($AO$204:$AO$235, M303)</f>
        <v>#REF!</v>
      </c>
      <c r="W516" s="9">
        <v>7</v>
      </c>
      <c r="X516" s="4" t="e">
        <f t="shared" si="35"/>
        <v>#REF!</v>
      </c>
      <c r="Z516" s="32">
        <v>6</v>
      </c>
      <c r="AA516" s="34" t="e">
        <f>_xlfn.TEXTJOIN("", TRUE, INDEX($X$264:$X$311, (ROW(A252)-1)*6+1) : INDEX($X$264:$X$311, (ROW(A252)-1)*6+6))</f>
        <v>#REF!</v>
      </c>
      <c r="AB516" s="35"/>
      <c r="AC516" s="32" t="e">
        <f t="shared" si="36"/>
        <v>#REF!</v>
      </c>
      <c r="AD516" s="31" t="e">
        <f t="shared" si="37"/>
        <v>#REF!</v>
      </c>
      <c r="AE516" s="31" t="e" cm="1">
        <f t="array" aca="1" ref="AE516" ca="1">INDEX(OFFSET('[1]S-box'!$A$2, (Z516-1)*6, 0, 4, 16), AC516+1, AD516+1)</f>
        <v>#VALUE!</v>
      </c>
      <c r="AF516" s="33" t="e">
        <f t="shared" ca="1" si="38"/>
        <v>#VALUE!</v>
      </c>
      <c r="AH516" s="9">
        <v>7</v>
      </c>
      <c r="AI516" s="4" t="e" cm="1">
        <f t="array" ref="AI516">MID(INDEX($AF$265:$AF$272,INT((ROW(A253)-1)/4)+1),MOD(ROW(A253)-1,4)+1,1)</f>
        <v>#REF!</v>
      </c>
      <c r="AK516" s="9">
        <v>7</v>
      </c>
      <c r="AL516" s="4" t="e" cm="1">
        <f t="array" ref="AL516">INDEX($AI$264:$AI$295, INDEX($H$15:$O$18, INT((ROW(A253)-1)/8)+1, MOD(ROW(A253)-1,8)+1))</f>
        <v>#REF!</v>
      </c>
      <c r="AN516" s="2" t="e" vm="3">
        <f t="shared" ca="1" si="39"/>
        <v>#VALUE!</v>
      </c>
      <c r="AO516" s="2" t="e">
        <f t="shared" si="40"/>
        <v>#REF!</v>
      </c>
    </row>
    <row r="517" spans="2:41" x14ac:dyDescent="0.25">
      <c r="B517" s="11">
        <v>8</v>
      </c>
      <c r="C517" s="2">
        <v>0</v>
      </c>
      <c r="F517" s="15" cm="1">
        <f t="array" ref="F517">INDEX($C$510:$C$565, H48)</f>
        <v>0</v>
      </c>
      <c r="G517" s="15" cm="1">
        <f t="array" ref="G517">INDEX($C$510:$C$565, I48)</f>
        <v>0</v>
      </c>
      <c r="H517" s="15" cm="1">
        <f t="array" ref="H517">INDEX($C$510:$C$565, J48)</f>
        <v>0</v>
      </c>
      <c r="I517" s="15" cm="1">
        <f t="array" ref="I517">INDEX($C$510:$C$565, K48)</f>
        <v>1</v>
      </c>
      <c r="J517" s="15" cm="1">
        <f t="array" ref="J517">INDEX($C$510:$C$565, L48)</f>
        <v>1</v>
      </c>
      <c r="K517" s="15" cm="1">
        <f t="array" ref="K517">INDEX($C$510:$C$565, M48)</f>
        <v>0</v>
      </c>
      <c r="M517" s="11">
        <v>8</v>
      </c>
      <c r="N517" s="4" cm="1">
        <f t="array" ref="N517">INDEX($F$510:$K$517, INT((ROW(A8)-1)/6)+1, MOD(ROW(A316)-1,6)+1)</f>
        <v>0</v>
      </c>
      <c r="P517" s="15" t="e" cm="1" vm="2">
        <f t="array" aca="1" ref="P517" ca="1">INDEX($AO$204:$AO$235, H304)</f>
        <v>#VALUE!</v>
      </c>
      <c r="Q517" s="15" t="e" cm="1" vm="2">
        <f t="array" aca="1" ref="Q517" ca="1">INDEX($AO$204:$AO$235, I304)</f>
        <v>#VALUE!</v>
      </c>
      <c r="R517" s="15" t="e" cm="1">
        <f t="array" aca="1" ref="R517:R548" ca="1">INDEX($AO$204:$AO$235, J304)</f>
        <v>#VALUE!</v>
      </c>
      <c r="S517" s="15" t="e" cm="1">
        <f t="array" aca="1" ref="S517:S548" ca="1">INDEX($AO$204:$AO$235, K304)</f>
        <v>#VALUE!</v>
      </c>
      <c r="T517" s="15" t="e" cm="1">
        <f t="array" aca="1" ref="T517:T548" ca="1">INDEX($AO$204:$AO$235, L304)</f>
        <v>#VALUE!</v>
      </c>
      <c r="U517" s="15" t="e" cm="1">
        <f t="array" ref="U517">INDEX($AO$204:$AO$235, M304)</f>
        <v>#REF!</v>
      </c>
      <c r="W517" s="11">
        <v>8</v>
      </c>
      <c r="X517" s="4" t="e">
        <f t="shared" si="35"/>
        <v>#REF!</v>
      </c>
      <c r="Z517" s="32">
        <v>7</v>
      </c>
      <c r="AA517" s="34" t="e">
        <f>_xlfn.TEXTJOIN("", TRUE, INDEX($X$264:$X$311, (ROW(A253)-1)*6+1) : INDEX($X$264:$X$311, (ROW(A253)-1)*6+6))</f>
        <v>#REF!</v>
      </c>
      <c r="AB517" s="35"/>
      <c r="AC517" s="32" t="e">
        <f t="shared" si="36"/>
        <v>#REF!</v>
      </c>
      <c r="AD517" s="31" t="e">
        <f t="shared" si="37"/>
        <v>#REF!</v>
      </c>
      <c r="AE517" s="31" t="e" cm="1">
        <f t="array" aca="1" ref="AE517" ca="1">INDEX(OFFSET('[1]S-box'!$A$2, (Z517-1)*6, 0, 4, 16), AC517+1, AD517+1)</f>
        <v>#VALUE!</v>
      </c>
      <c r="AF517" s="33" t="e">
        <f t="shared" ca="1" si="38"/>
        <v>#VALUE!</v>
      </c>
      <c r="AH517" s="11">
        <v>8</v>
      </c>
      <c r="AI517" s="4" t="e" cm="1">
        <f t="array" ref="AI517">MID(INDEX($AF$265:$AF$272,INT((ROW(A254)-1)/4)+1),MOD(ROW(A254)-1,4)+1,1)</f>
        <v>#REF!</v>
      </c>
      <c r="AK517" s="11">
        <v>8</v>
      </c>
      <c r="AL517" s="4" t="e" cm="1">
        <f t="array" ref="AL517">INDEX($AI$264:$AI$295, INDEX($H$15:$O$18, INT((ROW(A254)-1)/8)+1, MOD(ROW(A254)-1,8)+1))</f>
        <v>#REF!</v>
      </c>
      <c r="AN517" s="2" t="e" vm="3">
        <f t="shared" ca="1" si="39"/>
        <v>#VALUE!</v>
      </c>
      <c r="AO517" s="2" t="e">
        <f t="shared" si="40"/>
        <v>#REF!</v>
      </c>
    </row>
    <row r="518" spans="2:41" x14ac:dyDescent="0.25">
      <c r="B518" s="9">
        <v>9</v>
      </c>
      <c r="C518" s="2">
        <v>1</v>
      </c>
      <c r="M518" s="9">
        <v>9</v>
      </c>
      <c r="N518" s="4" cm="1">
        <f t="array" ref="N518">INDEX($F$510:$K$517, INT((ROW(A9)-1)/6)+1, MOD(ROW(A317)-1,6)+1)</f>
        <v>0</v>
      </c>
      <c r="R518" t="e">
        <f ca="1"/>
        <v>#VALUE!</v>
      </c>
      <c r="S518" t="e">
        <f ca="1"/>
        <v>#VALUE!</v>
      </c>
      <c r="T518" t="e">
        <f ca="1"/>
        <v>#VALUE!</v>
      </c>
      <c r="W518" s="9">
        <v>9</v>
      </c>
      <c r="X518" s="4" t="e">
        <f t="shared" si="35"/>
        <v>#REF!</v>
      </c>
      <c r="Z518" s="32">
        <v>8</v>
      </c>
      <c r="AA518" s="34" t="e">
        <f>_xlfn.TEXTJOIN("", TRUE, INDEX($X$264:$X$311, (ROW(A254)-1)*6+1) : INDEX($X$264:$X$311, (ROW(A254)-1)*6+6))</f>
        <v>#REF!</v>
      </c>
      <c r="AB518" s="35"/>
      <c r="AC518" s="32" t="e">
        <f t="shared" si="36"/>
        <v>#REF!</v>
      </c>
      <c r="AD518" s="31" t="e">
        <f t="shared" si="37"/>
        <v>#REF!</v>
      </c>
      <c r="AE518" s="31" t="e" cm="1">
        <f t="array" aca="1" ref="AE518" ca="1">INDEX(OFFSET('[1]S-box'!$A$2, (Z518-1)*6, 0, 4, 16), AC518+1, AD518+1)</f>
        <v>#VALUE!</v>
      </c>
      <c r="AF518" s="33" t="e">
        <f t="shared" ca="1" si="38"/>
        <v>#VALUE!</v>
      </c>
      <c r="AH518" s="9">
        <v>9</v>
      </c>
      <c r="AI518" s="4" t="e" cm="1">
        <f t="array" ref="AI518">MID(INDEX($AF$265:$AF$272,INT((ROW(A255)-1)/4)+1),MOD(ROW(A255)-1,4)+1,1)</f>
        <v>#REF!</v>
      </c>
      <c r="AK518" s="9">
        <v>9</v>
      </c>
      <c r="AL518" s="4" t="e" cm="1">
        <f t="array" ref="AL518">INDEX($AI$264:$AI$295, INDEX($H$15:$O$18, INT((ROW(A255)-1)/8)+1, MOD(ROW(A255)-1,8)+1))</f>
        <v>#REF!</v>
      </c>
      <c r="AN518" s="2" t="e" vm="3">
        <f t="shared" ca="1" si="39"/>
        <v>#VALUE!</v>
      </c>
      <c r="AO518" s="2" t="e">
        <f t="shared" si="40"/>
        <v>#REF!</v>
      </c>
    </row>
    <row r="519" spans="2:41" x14ac:dyDescent="0.25">
      <c r="B519" s="9">
        <v>10</v>
      </c>
      <c r="C519" s="2">
        <v>0</v>
      </c>
      <c r="M519" s="9">
        <v>10</v>
      </c>
      <c r="N519" s="4" cm="1">
        <f t="array" ref="N519">INDEX($F$510:$K$517, INT((ROW(A10)-1)/6)+1, MOD(ROW(A318)-1,6)+1)</f>
        <v>0</v>
      </c>
      <c r="P519" s="36" t="s">
        <v>94</v>
      </c>
      <c r="Q519" s="36"/>
      <c r="R519" t="e">
        <f ca="1"/>
        <v>#VALUE!</v>
      </c>
      <c r="S519" t="e">
        <f ca="1"/>
        <v>#VALUE!</v>
      </c>
      <c r="T519" t="e">
        <f ca="1"/>
        <v>#VALUE!</v>
      </c>
      <c r="W519" s="9">
        <v>10</v>
      </c>
      <c r="X519" s="4" t="e">
        <f t="shared" si="35"/>
        <v>#REF!</v>
      </c>
      <c r="AH519" s="9">
        <v>10</v>
      </c>
      <c r="AI519" s="4" t="e" cm="1">
        <f t="array" ref="AI519">MID(INDEX($AF$265:$AF$272,INT((ROW(A256)-1)/4)+1),MOD(ROW(A256)-1,4)+1,1)</f>
        <v>#REF!</v>
      </c>
      <c r="AK519" s="9">
        <v>10</v>
      </c>
      <c r="AL519" s="4" t="e" cm="1">
        <f t="array" ref="AL519">INDEX($AI$264:$AI$295, INDEX($H$15:$O$18, INT((ROW(A256)-1)/8)+1, MOD(ROW(A256)-1,8)+1))</f>
        <v>#REF!</v>
      </c>
      <c r="AN519" s="2" t="e" vm="3">
        <f t="shared" ca="1" si="39"/>
        <v>#VALUE!</v>
      </c>
      <c r="AO519" s="2" t="e">
        <f t="shared" si="40"/>
        <v>#REF!</v>
      </c>
    </row>
    <row r="520" spans="2:41" x14ac:dyDescent="0.25">
      <c r="B520" s="9">
        <v>11</v>
      </c>
      <c r="C520" s="2">
        <v>1</v>
      </c>
      <c r="M520" s="9">
        <v>11</v>
      </c>
      <c r="N520" s="4" cm="1">
        <f t="array" ref="N520">INDEX($F$510:$K$517, INT((ROW(A11)-1)/6)+1, MOD(ROW(A319)-1,6)+1)</f>
        <v>0</v>
      </c>
      <c r="P520" s="9">
        <v>1</v>
      </c>
      <c r="Q520" s="4" t="e" cm="1">
        <f t="array" ref="Q520">INDEX($P$264:$U$271, INT((ROW(A247)-1)/6)+1, MOD(ROW(A247)-1,6)+1)</f>
        <v>#REF!</v>
      </c>
      <c r="R520" t="e">
        <f ca="1"/>
        <v>#VALUE!</v>
      </c>
      <c r="S520" t="e">
        <f ca="1"/>
        <v>#VALUE!</v>
      </c>
      <c r="T520" t="e">
        <f ca="1"/>
        <v>#VALUE!</v>
      </c>
      <c r="W520" s="9">
        <v>11</v>
      </c>
      <c r="X520" s="4" t="e">
        <f t="shared" si="35"/>
        <v>#REF!</v>
      </c>
      <c r="AH520" s="9">
        <v>11</v>
      </c>
      <c r="AI520" s="4" t="e" cm="1">
        <f t="array" ref="AI520">MID(INDEX($AF$265:$AF$272,INT((ROW(A257)-1)/4)+1),MOD(ROW(A257)-1,4)+1,1)</f>
        <v>#REF!</v>
      </c>
      <c r="AK520" s="9">
        <v>11</v>
      </c>
      <c r="AL520" s="4" t="e" cm="1">
        <f t="array" ref="AL520">INDEX($AI$264:$AI$295, INDEX($H$15:$O$18, INT((ROW(A257)-1)/8)+1, MOD(ROW(A257)-1,8)+1))</f>
        <v>#REF!</v>
      </c>
      <c r="AN520" s="2" t="e">
        <f t="shared" ca="1" si="39"/>
        <v>#VALUE!</v>
      </c>
      <c r="AO520" s="2" t="e">
        <f t="shared" si="40"/>
        <v>#REF!</v>
      </c>
    </row>
    <row r="521" spans="2:41" x14ac:dyDescent="0.25">
      <c r="B521" s="9">
        <v>12</v>
      </c>
      <c r="C521" s="2">
        <v>0</v>
      </c>
      <c r="M521" s="9">
        <v>12</v>
      </c>
      <c r="N521" s="4" cm="1">
        <f t="array" ref="N521">INDEX($F$510:$K$517, INT((ROW(A12)-1)/6)+1, MOD(ROW(A320)-1,6)+1)</f>
        <v>0</v>
      </c>
      <c r="P521" s="9">
        <v>2</v>
      </c>
      <c r="Q521" s="4" t="e" cm="1">
        <f t="array" ref="Q521">INDEX($P$264:$U$271, INT((ROW(A248)-1)/6)+1, MOD(ROW(A248)-1,6)+1)</f>
        <v>#REF!</v>
      </c>
      <c r="R521" t="e">
        <f ca="1"/>
        <v>#VALUE!</v>
      </c>
      <c r="S521" t="e">
        <f ca="1"/>
        <v>#VALUE!</v>
      </c>
      <c r="T521" t="e">
        <f ca="1"/>
        <v>#VALUE!</v>
      </c>
      <c r="W521" s="9">
        <v>12</v>
      </c>
      <c r="X521" s="4" t="e">
        <f t="shared" si="35"/>
        <v>#REF!</v>
      </c>
      <c r="AH521" s="9">
        <v>12</v>
      </c>
      <c r="AI521" s="4" t="e" cm="1">
        <f t="array" ref="AI521">MID(INDEX($AF$265:$AF$272,INT((ROW(A258)-1)/4)+1),MOD(ROW(A258)-1,4)+1,1)</f>
        <v>#REF!</v>
      </c>
      <c r="AK521" s="9">
        <v>12</v>
      </c>
      <c r="AL521" s="4" t="e" cm="1">
        <f t="array" ref="AL521">INDEX($AI$264:$AI$295, INDEX($H$15:$O$18, INT((ROW(A258)-1)/8)+1, MOD(ROW(A258)-1,8)+1))</f>
        <v>#REF!</v>
      </c>
      <c r="AN521" s="2" t="e">
        <f t="shared" ca="1" si="39"/>
        <v>#VALUE!</v>
      </c>
      <c r="AO521" s="2" t="e">
        <f t="shared" si="40"/>
        <v>#REF!</v>
      </c>
    </row>
    <row r="522" spans="2:41" x14ac:dyDescent="0.25">
      <c r="B522" s="9">
        <v>13</v>
      </c>
      <c r="C522" s="2">
        <v>1</v>
      </c>
      <c r="M522" s="9">
        <v>13</v>
      </c>
      <c r="N522" s="4" cm="1">
        <f t="array" ref="N522">INDEX($F$510:$K$517, INT((ROW(A13)-1)/6)+1, MOD(ROW(A321)-1,6)+1)</f>
        <v>0</v>
      </c>
      <c r="P522" s="9">
        <v>3</v>
      </c>
      <c r="Q522" s="4" t="e" cm="1">
        <f t="array" ref="Q522">INDEX($P$264:$U$271, INT((ROW(A249)-1)/6)+1, MOD(ROW(A249)-1,6)+1)</f>
        <v>#REF!</v>
      </c>
      <c r="R522" t="e">
        <f ca="1"/>
        <v>#VALUE!</v>
      </c>
      <c r="S522" t="e">
        <f ca="1"/>
        <v>#VALUE!</v>
      </c>
      <c r="T522" t="e">
        <f ca="1"/>
        <v>#VALUE!</v>
      </c>
      <c r="W522" s="9">
        <v>13</v>
      </c>
      <c r="X522" s="4" t="e">
        <f t="shared" si="35"/>
        <v>#REF!</v>
      </c>
      <c r="AH522" s="9">
        <v>13</v>
      </c>
      <c r="AI522" s="4" t="e" cm="1">
        <f t="array" ref="AI522">MID(INDEX($AF$265:$AF$272,INT((ROW(A259)-1)/4)+1),MOD(ROW(A259)-1,4)+1,1)</f>
        <v>#REF!</v>
      </c>
      <c r="AK522" s="9">
        <v>13</v>
      </c>
      <c r="AL522" s="4" t="e" cm="1">
        <f t="array" ref="AL522">INDEX($AI$264:$AI$295, INDEX($H$15:$O$18, INT((ROW(A259)-1)/8)+1, MOD(ROW(A259)-1,8)+1))</f>
        <v>#REF!</v>
      </c>
      <c r="AN522" s="2" t="e">
        <f t="shared" ca="1" si="39"/>
        <v>#VALUE!</v>
      </c>
      <c r="AO522" s="2" t="e">
        <f t="shared" si="40"/>
        <v>#REF!</v>
      </c>
    </row>
    <row r="523" spans="2:41" x14ac:dyDescent="0.25">
      <c r="B523" s="9">
        <v>14</v>
      </c>
      <c r="C523" s="2">
        <v>0</v>
      </c>
      <c r="M523" s="9">
        <v>14</v>
      </c>
      <c r="N523" s="4" cm="1">
        <f t="array" ref="N523">INDEX($F$510:$K$517, INT((ROW(A14)-1)/6)+1, MOD(ROW(A322)-1,6)+1)</f>
        <v>0</v>
      </c>
      <c r="P523" s="9">
        <v>4</v>
      </c>
      <c r="Q523" s="4" t="e" cm="1">
        <f t="array" ref="Q523">INDEX($P$264:$U$271, INT((ROW(A250)-1)/6)+1, MOD(ROW(A250)-1,6)+1)</f>
        <v>#REF!</v>
      </c>
      <c r="R523" t="e">
        <f ca="1"/>
        <v>#VALUE!</v>
      </c>
      <c r="S523" t="e">
        <f ca="1"/>
        <v>#VALUE!</v>
      </c>
      <c r="T523" t="e">
        <f ca="1"/>
        <v>#VALUE!</v>
      </c>
      <c r="W523" s="9">
        <v>14</v>
      </c>
      <c r="X523" s="4" t="e">
        <f t="shared" si="35"/>
        <v>#REF!</v>
      </c>
      <c r="AH523" s="9">
        <v>14</v>
      </c>
      <c r="AI523" s="4" t="e" cm="1">
        <f t="array" ref="AI523">MID(INDEX($AF$265:$AF$272,INT((ROW(A260)-1)/4)+1),MOD(ROW(A260)-1,4)+1,1)</f>
        <v>#REF!</v>
      </c>
      <c r="AK523" s="9">
        <v>14</v>
      </c>
      <c r="AL523" s="4" t="e" cm="1">
        <f t="array" ref="AL523">INDEX($AI$264:$AI$295, INDEX($H$15:$O$18, INT((ROW(A260)-1)/8)+1, MOD(ROW(A260)-1,8)+1))</f>
        <v>#REF!</v>
      </c>
      <c r="AN523" s="2" t="e">
        <f t="shared" ca="1" si="39"/>
        <v>#VALUE!</v>
      </c>
      <c r="AO523" s="2" t="e">
        <f t="shared" si="40"/>
        <v>#REF!</v>
      </c>
    </row>
    <row r="524" spans="2:41" x14ac:dyDescent="0.25">
      <c r="B524" s="9">
        <v>15</v>
      </c>
      <c r="C524" s="2">
        <v>1</v>
      </c>
      <c r="M524" s="9">
        <v>15</v>
      </c>
      <c r="N524" s="4" cm="1">
        <f t="array" ref="N524">INDEX($F$510:$K$517, INT((ROW(A15)-1)/6)+1, MOD(ROW(A323)-1,6)+1)</f>
        <v>1</v>
      </c>
      <c r="P524" s="9">
        <v>5</v>
      </c>
      <c r="Q524" s="4" t="e" cm="1">
        <f t="array" ref="Q524">INDEX($P$264:$U$271, INT((ROW(A251)-1)/6)+1, MOD(ROW(A251)-1,6)+1)</f>
        <v>#REF!</v>
      </c>
      <c r="R524" t="e">
        <f ca="1"/>
        <v>#VALUE!</v>
      </c>
      <c r="S524" t="e">
        <f ca="1"/>
        <v>#VALUE!</v>
      </c>
      <c r="T524" t="e">
        <f ca="1"/>
        <v>#VALUE!</v>
      </c>
      <c r="W524" s="9">
        <v>15</v>
      </c>
      <c r="X524" s="4" t="e">
        <f t="shared" si="35"/>
        <v>#REF!</v>
      </c>
      <c r="AH524" s="9">
        <v>15</v>
      </c>
      <c r="AI524" s="4" t="e" cm="1">
        <f t="array" ref="AI524">MID(INDEX($AF$265:$AF$272,INT((ROW(A261)-1)/4)+1),MOD(ROW(A261)-1,4)+1,1)</f>
        <v>#REF!</v>
      </c>
      <c r="AK524" s="9">
        <v>15</v>
      </c>
      <c r="AL524" s="4" t="e" cm="1">
        <f t="array" ref="AL524">INDEX($AI$264:$AI$295, INDEX($H$15:$O$18, INT((ROW(A261)-1)/8)+1, MOD(ROW(A261)-1,8)+1))</f>
        <v>#REF!</v>
      </c>
      <c r="AN524" s="2" t="e">
        <f t="shared" ca="1" si="39"/>
        <v>#VALUE!</v>
      </c>
      <c r="AO524" s="2" t="e">
        <f t="shared" si="40"/>
        <v>#REF!</v>
      </c>
    </row>
    <row r="525" spans="2:41" x14ac:dyDescent="0.25">
      <c r="B525" s="11">
        <v>16</v>
      </c>
      <c r="C525" s="2">
        <v>1</v>
      </c>
      <c r="M525" s="11">
        <v>16</v>
      </c>
      <c r="N525" s="4" cm="1">
        <f t="array" ref="N525">INDEX($F$510:$K$517, INT((ROW(A16)-1)/6)+1, MOD(ROW(A324)-1,6)+1)</f>
        <v>0</v>
      </c>
      <c r="P525" s="9">
        <v>6</v>
      </c>
      <c r="Q525" s="4" t="e" cm="1">
        <f t="array" ref="Q525">INDEX($P$264:$U$271, INT((ROW(A252)-1)/6)+1, MOD(ROW(A252)-1,6)+1)</f>
        <v>#REF!</v>
      </c>
      <c r="R525" t="e">
        <f ca="1"/>
        <v>#VALUE!</v>
      </c>
      <c r="S525" t="e">
        <f ca="1"/>
        <v>#VALUE!</v>
      </c>
      <c r="T525" t="e">
        <f ca="1"/>
        <v>#VALUE!</v>
      </c>
      <c r="W525" s="11">
        <v>16</v>
      </c>
      <c r="X525" s="4" t="e">
        <f t="shared" si="35"/>
        <v>#REF!</v>
      </c>
      <c r="AH525" s="11">
        <v>16</v>
      </c>
      <c r="AI525" s="4" t="e" cm="1">
        <f t="array" ref="AI525">MID(INDEX($AF$265:$AF$272,INT((ROW(A262)-1)/4)+1),MOD(ROW(A262)-1,4)+1,1)</f>
        <v>#REF!</v>
      </c>
      <c r="AK525" s="11">
        <v>16</v>
      </c>
      <c r="AL525" s="4" t="e" cm="1">
        <f t="array" ref="AL525">INDEX($AI$264:$AI$295, INDEX($H$15:$O$18, INT((ROW(A262)-1)/8)+1, MOD(ROW(A262)-1,8)+1))</f>
        <v>#REF!</v>
      </c>
      <c r="AN525" s="2" t="e">
        <f t="shared" ca="1" si="39"/>
        <v>#VALUE!</v>
      </c>
      <c r="AO525" s="2" t="e">
        <f t="shared" si="40"/>
        <v>#REF!</v>
      </c>
    </row>
    <row r="526" spans="2:41" x14ac:dyDescent="0.25">
      <c r="B526" s="7">
        <v>17</v>
      </c>
      <c r="C526" s="2">
        <v>1</v>
      </c>
      <c r="M526" s="7">
        <v>17</v>
      </c>
      <c r="N526" s="4" cm="1">
        <f t="array" ref="N526">INDEX($F$510:$K$517, INT((ROW(A17)-1)/6)+1, MOD(ROW(A325)-1,6)+1)</f>
        <v>0</v>
      </c>
      <c r="P526" s="9">
        <v>7</v>
      </c>
      <c r="Q526" s="4" t="e" cm="1">
        <f t="array" ref="Q526">INDEX($P$264:$U$271, INT((ROW(A253)-1)/6)+1, MOD(ROW(A253)-1,6)+1)</f>
        <v>#REF!</v>
      </c>
      <c r="R526" t="e">
        <f ca="1"/>
        <v>#VALUE!</v>
      </c>
      <c r="S526" t="e">
        <f ca="1"/>
        <v>#VALUE!</v>
      </c>
      <c r="T526" t="e">
        <f ca="1"/>
        <v>#VALUE!</v>
      </c>
      <c r="W526" s="7">
        <v>17</v>
      </c>
      <c r="X526" s="4" t="e">
        <f t="shared" si="35"/>
        <v>#REF!</v>
      </c>
      <c r="AH526" s="7">
        <v>17</v>
      </c>
      <c r="AI526" s="4" t="e" cm="1">
        <f t="array" ref="AI526">MID(INDEX($AF$265:$AF$272,INT((ROW(A263)-1)/4)+1),MOD(ROW(A263)-1,4)+1,1)</f>
        <v>#REF!</v>
      </c>
      <c r="AK526" s="7">
        <v>17</v>
      </c>
      <c r="AL526" s="4" t="e" cm="1">
        <f t="array" ref="AL526">INDEX($AI$264:$AI$295, INDEX($H$15:$O$18, INT((ROW(A263)-1)/8)+1, MOD(ROW(A263)-1,8)+1))</f>
        <v>#REF!</v>
      </c>
      <c r="AN526" s="2" t="e">
        <f t="shared" ca="1" si="39"/>
        <v>#VALUE!</v>
      </c>
      <c r="AO526" s="2" t="e">
        <f t="shared" si="40"/>
        <v>#REF!</v>
      </c>
    </row>
    <row r="527" spans="2:41" x14ac:dyDescent="0.25">
      <c r="B527" s="9">
        <v>18</v>
      </c>
      <c r="C527" s="2">
        <v>1</v>
      </c>
      <c r="M527" s="9">
        <v>18</v>
      </c>
      <c r="N527" s="4" cm="1">
        <f t="array" ref="N527">INDEX($F$510:$K$517, INT((ROW(A18)-1)/6)+1, MOD(ROW(A326)-1,6)+1)</f>
        <v>1</v>
      </c>
      <c r="P527" s="11">
        <v>8</v>
      </c>
      <c r="Q527" s="4" t="e" cm="1">
        <f t="array" ref="Q527">INDEX($P$264:$U$271, INT((ROW(A254)-1)/6)+1, MOD(ROW(A254)-1,6)+1)</f>
        <v>#REF!</v>
      </c>
      <c r="R527" t="e">
        <f ca="1"/>
        <v>#VALUE!</v>
      </c>
      <c r="S527" t="e">
        <f ca="1"/>
        <v>#VALUE!</v>
      </c>
      <c r="T527" t="e">
        <f ca="1"/>
        <v>#VALUE!</v>
      </c>
      <c r="W527" s="9">
        <v>18</v>
      </c>
      <c r="X527" s="4" t="e">
        <f t="shared" si="35"/>
        <v>#REF!</v>
      </c>
      <c r="AH527" s="9">
        <v>18</v>
      </c>
      <c r="AI527" s="4" t="e" cm="1">
        <f t="array" ref="AI527">MID(INDEX($AF$265:$AF$272,INT((ROW(A264)-1)/4)+1),MOD(ROW(A264)-1,4)+1,1)</f>
        <v>#REF!</v>
      </c>
      <c r="AK527" s="9">
        <v>18</v>
      </c>
      <c r="AL527" s="4" t="e" cm="1">
        <f t="array" ref="AL527">INDEX($AI$264:$AI$295, INDEX($H$15:$O$18, INT((ROW(A264)-1)/8)+1, MOD(ROW(A264)-1,8)+1))</f>
        <v>#REF!</v>
      </c>
      <c r="AN527" s="2" t="e">
        <f t="shared" ca="1" si="39"/>
        <v>#VALUE!</v>
      </c>
      <c r="AO527" s="2" t="e">
        <f t="shared" si="40"/>
        <v>#REF!</v>
      </c>
    </row>
    <row r="528" spans="2:41" x14ac:dyDescent="0.25">
      <c r="B528" s="9">
        <v>19</v>
      </c>
      <c r="C528" s="2">
        <v>1</v>
      </c>
      <c r="M528" s="9">
        <v>19</v>
      </c>
      <c r="N528" s="4" cm="1">
        <f t="array" ref="N528">INDEX($F$510:$K$517, INT((ROW(A19)-1)/6)+1, MOD(ROW(A327)-1,6)+1)</f>
        <v>0</v>
      </c>
      <c r="P528" s="7">
        <v>9</v>
      </c>
      <c r="Q528" s="4" t="e" cm="1">
        <f t="array" ref="Q528">INDEX($P$264:$U$271, INT((ROW(A255)-1)/6)+1, MOD(ROW(A255)-1,6)+1)</f>
        <v>#REF!</v>
      </c>
      <c r="R528" t="e">
        <f ca="1"/>
        <v>#VALUE!</v>
      </c>
      <c r="S528" t="e">
        <f ca="1"/>
        <v>#VALUE!</v>
      </c>
      <c r="T528" t="e">
        <f ca="1"/>
        <v>#VALUE!</v>
      </c>
      <c r="W528" s="9">
        <v>19</v>
      </c>
      <c r="X528" s="4" t="e">
        <f t="shared" si="35"/>
        <v>#REF!</v>
      </c>
      <c r="AH528" s="9">
        <v>19</v>
      </c>
      <c r="AI528" s="4" t="e" cm="1">
        <f t="array" ref="AI528">MID(INDEX($AF$265:$AF$272,INT((ROW(A265)-1)/4)+1),MOD(ROW(A265)-1,4)+1,1)</f>
        <v>#REF!</v>
      </c>
      <c r="AK528" s="9">
        <v>19</v>
      </c>
      <c r="AL528" s="4" t="e" cm="1">
        <f t="array" ref="AL528">INDEX($AI$264:$AI$295, INDEX($H$15:$O$18, INT((ROW(A265)-1)/8)+1, MOD(ROW(A265)-1,8)+1))</f>
        <v>#REF!</v>
      </c>
      <c r="AN528" s="2" t="e">
        <f t="shared" ca="1" si="39"/>
        <v>#VALUE!</v>
      </c>
      <c r="AO528" s="2" t="e">
        <f t="shared" si="40"/>
        <v>#REF!</v>
      </c>
    </row>
    <row r="529" spans="2:41" x14ac:dyDescent="0.25">
      <c r="B529" s="9">
        <v>20</v>
      </c>
      <c r="C529" s="2">
        <v>1</v>
      </c>
      <c r="M529" s="9">
        <v>20</v>
      </c>
      <c r="N529" s="4" cm="1">
        <f t="array" ref="N529">INDEX($F$510:$K$517, INT((ROW(A20)-1)/6)+1, MOD(ROW(A328)-1,6)+1)</f>
        <v>1</v>
      </c>
      <c r="P529" s="9">
        <v>10</v>
      </c>
      <c r="Q529" s="4" t="e" cm="1">
        <f t="array" ref="Q529">INDEX($P$264:$U$271, INT((ROW(A256)-1)/6)+1, MOD(ROW(A256)-1,6)+1)</f>
        <v>#REF!</v>
      </c>
      <c r="R529" t="e">
        <f ca="1"/>
        <v>#VALUE!</v>
      </c>
      <c r="S529" t="e">
        <f ca="1"/>
        <v>#VALUE!</v>
      </c>
      <c r="T529" t="e">
        <f ca="1"/>
        <v>#VALUE!</v>
      </c>
      <c r="W529" s="9">
        <v>20</v>
      </c>
      <c r="X529" s="4" t="e">
        <f t="shared" si="35"/>
        <v>#REF!</v>
      </c>
      <c r="AH529" s="9">
        <v>20</v>
      </c>
      <c r="AI529" s="4" t="e" cm="1">
        <f t="array" ref="AI529">MID(INDEX($AF$265:$AF$272,INT((ROW(A266)-1)/4)+1),MOD(ROW(A266)-1,4)+1,1)</f>
        <v>#REF!</v>
      </c>
      <c r="AK529" s="9">
        <v>20</v>
      </c>
      <c r="AL529" s="4" t="e" cm="1">
        <f t="array" ref="AL529">INDEX($AI$264:$AI$295, INDEX($H$15:$O$18, INT((ROW(A266)-1)/8)+1, MOD(ROW(A266)-1,8)+1))</f>
        <v>#REF!</v>
      </c>
      <c r="AN529" s="2" t="e">
        <f t="shared" ca="1" si="39"/>
        <v>#VALUE!</v>
      </c>
      <c r="AO529" s="2" t="e">
        <f t="shared" si="40"/>
        <v>#REF!</v>
      </c>
    </row>
    <row r="530" spans="2:41" x14ac:dyDescent="0.25">
      <c r="B530" s="9">
        <v>21</v>
      </c>
      <c r="C530" s="2">
        <v>0</v>
      </c>
      <c r="M530" s="9">
        <v>21</v>
      </c>
      <c r="N530" s="4" cm="1">
        <f t="array" ref="N530">INDEX($F$510:$K$517, INT((ROW(A21)-1)/6)+1, MOD(ROW(A329)-1,6)+1)</f>
        <v>1</v>
      </c>
      <c r="P530" s="9">
        <v>11</v>
      </c>
      <c r="Q530" s="4" t="e" cm="1">
        <f t="array" ref="Q530">INDEX($P$264:$U$271, INT((ROW(A257)-1)/6)+1, MOD(ROW(A257)-1,6)+1)</f>
        <v>#REF!</v>
      </c>
      <c r="R530" t="e">
        <f ca="1"/>
        <v>#VALUE!</v>
      </c>
      <c r="S530" t="e">
        <f ca="1"/>
        <v>#VALUE!</v>
      </c>
      <c r="T530" t="e">
        <f ca="1"/>
        <v>#VALUE!</v>
      </c>
      <c r="W530" s="9">
        <v>21</v>
      </c>
      <c r="X530" s="4" t="e">
        <f t="shared" si="35"/>
        <v>#REF!</v>
      </c>
      <c r="AH530" s="9">
        <v>21</v>
      </c>
      <c r="AI530" s="4" t="e" cm="1">
        <f t="array" ref="AI530">MID(INDEX($AF$265:$AF$272,INT((ROW(A267)-1)/4)+1),MOD(ROW(A267)-1,4)+1,1)</f>
        <v>#REF!</v>
      </c>
      <c r="AK530" s="9">
        <v>21</v>
      </c>
      <c r="AL530" s="4" t="e" cm="1">
        <f t="array" ref="AL530">INDEX($AI$264:$AI$295, INDEX($H$15:$O$18, INT((ROW(A267)-1)/8)+1, MOD(ROW(A267)-1,8)+1))</f>
        <v>#REF!</v>
      </c>
      <c r="AN530" s="2" t="e">
        <f t="shared" ca="1" si="39"/>
        <v>#VALUE!</v>
      </c>
      <c r="AO530" s="2" t="e">
        <f t="shared" si="40"/>
        <v>#REF!</v>
      </c>
    </row>
    <row r="531" spans="2:41" x14ac:dyDescent="0.25">
      <c r="B531" s="9">
        <v>22</v>
      </c>
      <c r="C531" s="2">
        <v>0</v>
      </c>
      <c r="M531" s="9">
        <v>22</v>
      </c>
      <c r="N531" s="4" cm="1">
        <f t="array" ref="N531">INDEX($F$510:$K$517, INT((ROW(A22)-1)/6)+1, MOD(ROW(A330)-1,6)+1)</f>
        <v>1</v>
      </c>
      <c r="P531" s="9">
        <v>12</v>
      </c>
      <c r="Q531" s="4" t="e" cm="1">
        <f t="array" ref="Q531">INDEX($P$264:$U$271, INT((ROW(A258)-1)/6)+1, MOD(ROW(A258)-1,6)+1)</f>
        <v>#REF!</v>
      </c>
      <c r="R531" t="e">
        <f ca="1"/>
        <v>#VALUE!</v>
      </c>
      <c r="S531" t="e">
        <f ca="1"/>
        <v>#VALUE!</v>
      </c>
      <c r="T531" t="e">
        <f ca="1"/>
        <v>#VALUE!</v>
      </c>
      <c r="W531" s="9">
        <v>22</v>
      </c>
      <c r="X531" s="4" t="e">
        <f t="shared" si="35"/>
        <v>#REF!</v>
      </c>
      <c r="AH531" s="9">
        <v>22</v>
      </c>
      <c r="AI531" s="4" t="e" cm="1">
        <f t="array" ref="AI531">MID(INDEX($AF$265:$AF$272,INT((ROW(A268)-1)/4)+1),MOD(ROW(A268)-1,4)+1,1)</f>
        <v>#REF!</v>
      </c>
      <c r="AK531" s="9">
        <v>22</v>
      </c>
      <c r="AL531" s="4" t="e" cm="1">
        <f t="array" ref="AL531">INDEX($AI$264:$AI$295, INDEX($H$15:$O$18, INT((ROW(A268)-1)/8)+1, MOD(ROW(A268)-1,8)+1))</f>
        <v>#REF!</v>
      </c>
      <c r="AN531" s="2" t="e">
        <f t="shared" ca="1" si="39"/>
        <v>#VALUE!</v>
      </c>
      <c r="AO531" s="2" t="e">
        <f t="shared" si="40"/>
        <v>#REF!</v>
      </c>
    </row>
    <row r="532" spans="2:41" x14ac:dyDescent="0.25">
      <c r="B532" s="9">
        <v>23</v>
      </c>
      <c r="C532" s="2">
        <v>0</v>
      </c>
      <c r="M532" s="9">
        <v>23</v>
      </c>
      <c r="N532" s="4" cm="1">
        <f t="array" ref="N532">INDEX($F$510:$K$517, INT((ROW(A23)-1)/6)+1, MOD(ROW(A331)-1,6)+1)</f>
        <v>1</v>
      </c>
      <c r="P532" s="9">
        <v>13</v>
      </c>
      <c r="Q532" s="4" t="e" cm="1">
        <f t="array" ref="Q532">INDEX($P$264:$U$271, INT((ROW(A259)-1)/6)+1, MOD(ROW(A259)-1,6)+1)</f>
        <v>#REF!</v>
      </c>
      <c r="R532" t="e">
        <f ca="1"/>
        <v>#VALUE!</v>
      </c>
      <c r="S532" t="e">
        <f ca="1"/>
        <v>#VALUE!</v>
      </c>
      <c r="T532" t="e">
        <f ca="1"/>
        <v>#VALUE!</v>
      </c>
      <c r="W532" s="9">
        <v>23</v>
      </c>
      <c r="X532" s="4" t="e">
        <f t="shared" si="35"/>
        <v>#REF!</v>
      </c>
      <c r="AH532" s="9">
        <v>23</v>
      </c>
      <c r="AI532" s="4" t="e" cm="1">
        <f t="array" ref="AI532">MID(INDEX($AF$265:$AF$272,INT((ROW(A269)-1)/4)+1),MOD(ROW(A269)-1,4)+1,1)</f>
        <v>#REF!</v>
      </c>
      <c r="AK532" s="9">
        <v>23</v>
      </c>
      <c r="AL532" s="4" t="e" cm="1">
        <f t="array" ref="AL532">INDEX($AI$264:$AI$295, INDEX($H$15:$O$18, INT((ROW(A269)-1)/8)+1, MOD(ROW(A269)-1,8)+1))</f>
        <v>#REF!</v>
      </c>
      <c r="AN532" s="2" t="e">
        <f t="shared" ca="1" si="39"/>
        <v>#VALUE!</v>
      </c>
      <c r="AO532" s="2" t="e">
        <f t="shared" si="40"/>
        <v>#REF!</v>
      </c>
    </row>
    <row r="533" spans="2:41" x14ac:dyDescent="0.25">
      <c r="B533" s="11">
        <v>24</v>
      </c>
      <c r="C533" s="2">
        <v>0</v>
      </c>
      <c r="M533" s="11">
        <v>24</v>
      </c>
      <c r="N533" s="4" cm="1">
        <f t="array" ref="N533">INDEX($F$510:$K$517, INT((ROW(A24)-1)/6)+1, MOD(ROW(A332)-1,6)+1)</f>
        <v>1</v>
      </c>
      <c r="P533" s="9">
        <v>14</v>
      </c>
      <c r="Q533" s="4" t="e" cm="1">
        <f t="array" ref="Q533">INDEX($P$264:$U$271, INT((ROW(A260)-1)/6)+1, MOD(ROW(A260)-1,6)+1)</f>
        <v>#REF!</v>
      </c>
      <c r="R533" t="e">
        <f ca="1"/>
        <v>#VALUE!</v>
      </c>
      <c r="S533" t="e">
        <f ca="1"/>
        <v>#VALUE!</v>
      </c>
      <c r="T533" t="e">
        <f ca="1"/>
        <v>#VALUE!</v>
      </c>
      <c r="W533" s="11">
        <v>24</v>
      </c>
      <c r="X533" s="4" t="e">
        <f t="shared" si="35"/>
        <v>#REF!</v>
      </c>
      <c r="AH533" s="11">
        <v>24</v>
      </c>
      <c r="AI533" s="4" t="e" cm="1">
        <f t="array" ref="AI533">MID(INDEX($AF$265:$AF$272,INT((ROW(A270)-1)/4)+1),MOD(ROW(A270)-1,4)+1,1)</f>
        <v>#REF!</v>
      </c>
      <c r="AK533" s="11">
        <v>24</v>
      </c>
      <c r="AL533" s="4" t="e" cm="1">
        <f t="array" ref="AL533">INDEX($AI$264:$AI$295, INDEX($H$15:$O$18, INT((ROW(A270)-1)/8)+1, MOD(ROW(A270)-1,8)+1))</f>
        <v>#REF!</v>
      </c>
      <c r="AN533" s="2" t="e">
        <f t="shared" ca="1" si="39"/>
        <v>#VALUE!</v>
      </c>
      <c r="AO533" s="2" t="e">
        <f t="shared" si="40"/>
        <v>#REF!</v>
      </c>
    </row>
    <row r="534" spans="2:41" x14ac:dyDescent="0.25">
      <c r="B534" s="7">
        <v>25</v>
      </c>
      <c r="C534" s="2">
        <v>1</v>
      </c>
      <c r="M534" s="7">
        <v>25</v>
      </c>
      <c r="N534" s="4" cm="1">
        <f t="array" ref="N534">INDEX($F$510:$K$517, INT((ROW(A25)-1)/6)+1, MOD(ROW(A333)-1,6)+1)</f>
        <v>0</v>
      </c>
      <c r="P534" s="9">
        <v>15</v>
      </c>
      <c r="Q534" s="4" t="e" cm="1">
        <f t="array" ref="Q534">INDEX($P$264:$U$271, INT((ROW(A261)-1)/6)+1, MOD(ROW(A261)-1,6)+1)</f>
        <v>#REF!</v>
      </c>
      <c r="R534" t="e">
        <f ca="1"/>
        <v>#VALUE!</v>
      </c>
      <c r="S534" t="e">
        <f ca="1"/>
        <v>#VALUE!</v>
      </c>
      <c r="T534" t="e">
        <f ca="1"/>
        <v>#VALUE!</v>
      </c>
      <c r="W534" s="7">
        <v>25</v>
      </c>
      <c r="X534" s="4" t="e">
        <f t="shared" si="35"/>
        <v>#REF!</v>
      </c>
      <c r="AH534" s="7">
        <v>25</v>
      </c>
      <c r="AI534" s="4" t="e" cm="1">
        <f t="array" ref="AI534">MID(INDEX($AF$265:$AF$272,INT((ROW(A271)-1)/4)+1),MOD(ROW(A271)-1,4)+1,1)</f>
        <v>#REF!</v>
      </c>
      <c r="AK534" s="7">
        <v>25</v>
      </c>
      <c r="AL534" s="4" t="e" cm="1">
        <f t="array" ref="AL534">INDEX($AI$264:$AI$295, INDEX($H$15:$O$18, INT((ROW(A271)-1)/8)+1, MOD(ROW(A271)-1,8)+1))</f>
        <v>#REF!</v>
      </c>
      <c r="AN534" s="2" t="e">
        <f t="shared" ca="1" si="39"/>
        <v>#VALUE!</v>
      </c>
      <c r="AO534" s="2" t="e">
        <f t="shared" si="40"/>
        <v>#REF!</v>
      </c>
    </row>
    <row r="535" spans="2:41" x14ac:dyDescent="0.25">
      <c r="B535" s="9">
        <v>26</v>
      </c>
      <c r="C535" s="2">
        <v>1</v>
      </c>
      <c r="M535" s="9">
        <v>26</v>
      </c>
      <c r="N535" s="4" cm="1">
        <f t="array" ref="N535">INDEX($F$510:$K$517, INT((ROW(A26)-1)/6)+1, MOD(ROW(A334)-1,6)+1)</f>
        <v>0</v>
      </c>
      <c r="P535" s="11">
        <v>16</v>
      </c>
      <c r="Q535" s="4" t="e" cm="1">
        <f t="array" ref="Q535">INDEX($P$264:$U$271, INT((ROW(A262)-1)/6)+1, MOD(ROW(A262)-1,6)+1)</f>
        <v>#REF!</v>
      </c>
      <c r="R535" t="e">
        <f ca="1"/>
        <v>#VALUE!</v>
      </c>
      <c r="S535" t="e">
        <f ca="1"/>
        <v>#VALUE!</v>
      </c>
      <c r="T535" t="e">
        <f ca="1"/>
        <v>#VALUE!</v>
      </c>
      <c r="W535" s="9">
        <v>26</v>
      </c>
      <c r="X535" s="4" t="e">
        <f t="shared" si="35"/>
        <v>#REF!</v>
      </c>
      <c r="AH535" s="9">
        <v>26</v>
      </c>
      <c r="AI535" s="4" t="e" cm="1">
        <f t="array" ref="AI535">MID(INDEX($AF$265:$AF$272,INT((ROW(A272)-1)/4)+1),MOD(ROW(A272)-1,4)+1,1)</f>
        <v>#REF!</v>
      </c>
      <c r="AK535" s="9">
        <v>26</v>
      </c>
      <c r="AL535" s="4" t="e" cm="1">
        <f t="array" ref="AL535">INDEX($AI$264:$AI$295, INDEX($H$15:$O$18, INT((ROW(A272)-1)/8)+1, MOD(ROW(A272)-1,8)+1))</f>
        <v>#REF!</v>
      </c>
      <c r="AN535" s="2" t="e">
        <f t="shared" ca="1" si="39"/>
        <v>#VALUE!</v>
      </c>
      <c r="AO535" s="2" t="e">
        <f t="shared" si="40"/>
        <v>#REF!</v>
      </c>
    </row>
    <row r="536" spans="2:41" x14ac:dyDescent="0.25">
      <c r="B536" s="9">
        <v>27</v>
      </c>
      <c r="C536" s="2">
        <v>0</v>
      </c>
      <c r="M536" s="9">
        <v>27</v>
      </c>
      <c r="N536" s="4" cm="1">
        <f t="array" ref="N536">INDEX($F$510:$K$517, INT((ROW(A27)-1)/6)+1, MOD(ROW(A335)-1,6)+1)</f>
        <v>1</v>
      </c>
      <c r="P536" s="7">
        <v>17</v>
      </c>
      <c r="Q536" s="4" t="e" cm="1">
        <f t="array" ref="Q536">INDEX($P$264:$U$271, INT((ROW(A263)-1)/6)+1, MOD(ROW(A263)-1,6)+1)</f>
        <v>#REF!</v>
      </c>
      <c r="R536" t="e">
        <f ca="1"/>
        <v>#VALUE!</v>
      </c>
      <c r="S536" t="e">
        <f ca="1"/>
        <v>#VALUE!</v>
      </c>
      <c r="T536" t="e">
        <f ca="1"/>
        <v>#VALUE!</v>
      </c>
      <c r="W536" s="9">
        <v>27</v>
      </c>
      <c r="X536" s="4" t="e">
        <f t="shared" si="35"/>
        <v>#REF!</v>
      </c>
      <c r="AH536" s="9">
        <v>27</v>
      </c>
      <c r="AI536" s="4" t="e" cm="1">
        <f t="array" ref="AI536">MID(INDEX($AF$265:$AF$272,INT((ROW(A273)-1)/4)+1),MOD(ROW(A273)-1,4)+1,1)</f>
        <v>#REF!</v>
      </c>
      <c r="AK536" s="9">
        <v>27</v>
      </c>
      <c r="AL536" s="4" t="e" cm="1">
        <f t="array" ref="AL536">INDEX($AI$264:$AI$295, INDEX($H$15:$O$18, INT((ROW(A273)-1)/8)+1, MOD(ROW(A273)-1,8)+1))</f>
        <v>#REF!</v>
      </c>
      <c r="AN536" s="2" t="e">
        <f t="shared" ca="1" si="39"/>
        <v>#VALUE!</v>
      </c>
      <c r="AO536" s="2" t="e">
        <f t="shared" si="40"/>
        <v>#REF!</v>
      </c>
    </row>
    <row r="537" spans="2:41" x14ac:dyDescent="0.25">
      <c r="B537" s="9">
        <v>28</v>
      </c>
      <c r="C537" s="2">
        <v>0</v>
      </c>
      <c r="M537" s="9">
        <v>28</v>
      </c>
      <c r="N537" s="4" cm="1">
        <f t="array" ref="N537">INDEX($F$510:$K$517, INT((ROW(A28)-1)/6)+1, MOD(ROW(A336)-1,6)+1)</f>
        <v>0</v>
      </c>
      <c r="P537" s="9">
        <v>18</v>
      </c>
      <c r="Q537" s="4" t="e" cm="1">
        <f t="array" ref="Q537">INDEX($P$264:$U$271, INT((ROW(A264)-1)/6)+1, MOD(ROW(A264)-1,6)+1)</f>
        <v>#REF!</v>
      </c>
      <c r="R537" t="e">
        <f ca="1"/>
        <v>#VALUE!</v>
      </c>
      <c r="S537" t="e">
        <f ca="1"/>
        <v>#VALUE!</v>
      </c>
      <c r="T537" t="e">
        <f ca="1"/>
        <v>#VALUE!</v>
      </c>
      <c r="W537" s="9">
        <v>28</v>
      </c>
      <c r="X537" s="4" t="e">
        <f t="shared" si="35"/>
        <v>#REF!</v>
      </c>
      <c r="AH537" s="9">
        <v>28</v>
      </c>
      <c r="AI537" s="4" t="e" cm="1">
        <f t="array" ref="AI537">MID(INDEX($AF$265:$AF$272,INT((ROW(A274)-1)/4)+1),MOD(ROW(A274)-1,4)+1,1)</f>
        <v>#REF!</v>
      </c>
      <c r="AK537" s="9">
        <v>28</v>
      </c>
      <c r="AL537" s="4" t="e" cm="1">
        <f t="array" ref="AL537">INDEX($AI$264:$AI$295, INDEX($H$15:$O$18, INT((ROW(A274)-1)/8)+1, MOD(ROW(A274)-1,8)+1))</f>
        <v>#REF!</v>
      </c>
      <c r="AN537" s="2" t="e">
        <f t="shared" ca="1" si="39"/>
        <v>#VALUE!</v>
      </c>
      <c r="AO537" s="2" t="e">
        <f t="shared" si="40"/>
        <v>#REF!</v>
      </c>
    </row>
    <row r="538" spans="2:41" x14ac:dyDescent="0.25">
      <c r="B538" s="9">
        <v>29</v>
      </c>
      <c r="C538" s="2">
        <v>1</v>
      </c>
      <c r="M538" s="9">
        <v>29</v>
      </c>
      <c r="N538" s="4" cm="1">
        <f t="array" ref="N538">INDEX($F$510:$K$517, INT((ROW(A29)-1)/6)+1, MOD(ROW(A337)-1,6)+1)</f>
        <v>1</v>
      </c>
      <c r="P538" s="9">
        <v>19</v>
      </c>
      <c r="Q538" s="4" t="e" cm="1">
        <f t="array" ref="Q538">INDEX($P$264:$U$271, INT((ROW(A265)-1)/6)+1, MOD(ROW(A265)-1,6)+1)</f>
        <v>#REF!</v>
      </c>
      <c r="R538" t="e">
        <f ca="1"/>
        <v>#VALUE!</v>
      </c>
      <c r="S538" t="e">
        <f ca="1"/>
        <v>#VALUE!</v>
      </c>
      <c r="T538" t="e">
        <f ca="1"/>
        <v>#VALUE!</v>
      </c>
      <c r="W538" s="9">
        <v>29</v>
      </c>
      <c r="X538" s="4" t="e">
        <f t="shared" si="35"/>
        <v>#REF!</v>
      </c>
      <c r="AH538" s="9">
        <v>29</v>
      </c>
      <c r="AI538" s="4" t="e" cm="1">
        <f t="array" ref="AI538">MID(INDEX($AF$265:$AF$272,INT((ROW(A275)-1)/4)+1),MOD(ROW(A275)-1,4)+1,1)</f>
        <v>#REF!</v>
      </c>
      <c r="AK538" s="9">
        <v>29</v>
      </c>
      <c r="AL538" s="4" t="e" cm="1">
        <f t="array" ref="AL538">INDEX($AI$264:$AI$295, INDEX($H$15:$O$18, INT((ROW(A275)-1)/8)+1, MOD(ROW(A275)-1,8)+1))</f>
        <v>#REF!</v>
      </c>
      <c r="AN538" s="2" t="e">
        <f t="shared" ca="1" si="39"/>
        <v>#VALUE!</v>
      </c>
      <c r="AO538" s="2" t="e">
        <f t="shared" si="40"/>
        <v>#REF!</v>
      </c>
    </row>
    <row r="539" spans="2:41" x14ac:dyDescent="0.25">
      <c r="B539" s="9">
        <v>30</v>
      </c>
      <c r="C539" s="2">
        <v>1</v>
      </c>
      <c r="M539" s="9">
        <v>30</v>
      </c>
      <c r="N539" s="4" cm="1">
        <f t="array" ref="N539">INDEX($F$510:$K$517, INT((ROW(A30)-1)/6)+1, MOD(ROW(A338)-1,6)+1)</f>
        <v>0</v>
      </c>
      <c r="P539" s="9">
        <v>20</v>
      </c>
      <c r="Q539" s="4" t="e" cm="1">
        <f t="array" ref="Q539">INDEX($P$264:$U$271, INT((ROW(A266)-1)/6)+1, MOD(ROW(A266)-1,6)+1)</f>
        <v>#REF!</v>
      </c>
      <c r="R539" t="e">
        <f ca="1"/>
        <v>#VALUE!</v>
      </c>
      <c r="S539" t="e">
        <f ca="1"/>
        <v>#VALUE!</v>
      </c>
      <c r="T539" t="e">
        <f ca="1"/>
        <v>#VALUE!</v>
      </c>
      <c r="W539" s="9">
        <v>30</v>
      </c>
      <c r="X539" s="4" t="e">
        <f t="shared" si="35"/>
        <v>#REF!</v>
      </c>
      <c r="AH539" s="9">
        <v>30</v>
      </c>
      <c r="AI539" s="4" t="e" cm="1">
        <f t="array" ref="AI539">MID(INDEX($AF$265:$AF$272,INT((ROW(A276)-1)/4)+1),MOD(ROW(A276)-1,4)+1,1)</f>
        <v>#REF!</v>
      </c>
      <c r="AK539" s="9">
        <v>30</v>
      </c>
      <c r="AL539" s="4" t="e" cm="1">
        <f t="array" ref="AL539">INDEX($AI$264:$AI$295, INDEX($H$15:$O$18, INT((ROW(A276)-1)/8)+1, MOD(ROW(A276)-1,8)+1))</f>
        <v>#REF!</v>
      </c>
      <c r="AN539" s="2" t="e">
        <f t="shared" ca="1" si="39"/>
        <v>#VALUE!</v>
      </c>
      <c r="AO539" s="2" t="e">
        <f t="shared" si="40"/>
        <v>#REF!</v>
      </c>
    </row>
    <row r="540" spans="2:41" x14ac:dyDescent="0.25">
      <c r="B540" s="9">
        <v>31</v>
      </c>
      <c r="C540" s="2">
        <v>0</v>
      </c>
      <c r="M540" s="9">
        <v>31</v>
      </c>
      <c r="N540" s="4" cm="1">
        <f t="array" ref="N540">INDEX($F$510:$K$517, INT((ROW(A31)-1)/6)+1, MOD(ROW(A339)-1,6)+1)</f>
        <v>1</v>
      </c>
      <c r="P540" s="9">
        <v>21</v>
      </c>
      <c r="Q540" s="4" t="e" cm="1">
        <f t="array" ref="Q540">INDEX($P$264:$U$271, INT((ROW(A267)-1)/6)+1, MOD(ROW(A267)-1,6)+1)</f>
        <v>#REF!</v>
      </c>
      <c r="R540" t="e">
        <f ca="1"/>
        <v>#VALUE!</v>
      </c>
      <c r="S540" t="e">
        <f ca="1"/>
        <v>#VALUE!</v>
      </c>
      <c r="T540" t="e">
        <f ca="1"/>
        <v>#VALUE!</v>
      </c>
      <c r="W540" s="9">
        <v>31</v>
      </c>
      <c r="X540" s="4" t="e">
        <f t="shared" si="35"/>
        <v>#REF!</v>
      </c>
      <c r="AH540" s="9">
        <v>31</v>
      </c>
      <c r="AI540" s="4" t="e" cm="1">
        <f t="array" ref="AI540">MID(INDEX($AF$265:$AF$272,INT((ROW(A277)-1)/4)+1),MOD(ROW(A277)-1,4)+1,1)</f>
        <v>#REF!</v>
      </c>
      <c r="AK540" s="9">
        <v>31</v>
      </c>
      <c r="AL540" s="4" t="e" cm="1">
        <f t="array" ref="AL540">INDEX($AI$264:$AI$295, INDEX($H$15:$O$18, INT((ROW(A277)-1)/8)+1, MOD(ROW(A277)-1,8)+1))</f>
        <v>#REF!</v>
      </c>
      <c r="AN540" s="2" t="e">
        <f t="shared" ca="1" si="39"/>
        <v>#VALUE!</v>
      </c>
      <c r="AO540" s="2" t="e">
        <f t="shared" si="40"/>
        <v>#REF!</v>
      </c>
    </row>
    <row r="541" spans="2:41" x14ac:dyDescent="0.25">
      <c r="B541" s="11">
        <v>32</v>
      </c>
      <c r="C541" s="2">
        <v>0</v>
      </c>
      <c r="M541" s="11">
        <v>32</v>
      </c>
      <c r="N541" s="4" cm="1">
        <f t="array" ref="N541">INDEX($F$510:$K$517, INT((ROW(A32)-1)/6)+1, MOD(ROW(A340)-1,6)+1)</f>
        <v>1</v>
      </c>
      <c r="P541" s="9">
        <v>22</v>
      </c>
      <c r="Q541" s="4" t="e" cm="1">
        <f t="array" ref="Q541">INDEX($P$264:$U$271, INT((ROW(A268)-1)/6)+1, MOD(ROW(A268)-1,6)+1)</f>
        <v>#REF!</v>
      </c>
      <c r="R541" t="e">
        <f ca="1"/>
        <v>#VALUE!</v>
      </c>
      <c r="S541" t="e">
        <f ca="1"/>
        <v>#VALUE!</v>
      </c>
      <c r="T541" t="e">
        <f ca="1"/>
        <v>#VALUE!</v>
      </c>
      <c r="W541" s="11">
        <v>32</v>
      </c>
      <c r="X541" s="4" t="e">
        <f t="shared" si="35"/>
        <v>#REF!</v>
      </c>
      <c r="AH541" s="11">
        <v>32</v>
      </c>
      <c r="AI541" s="4" t="e" cm="1">
        <f t="array" ref="AI541">MID(INDEX($AF$265:$AF$272,INT((ROW(A278)-1)/4)+1),MOD(ROW(A278)-1,4)+1,1)</f>
        <v>#REF!</v>
      </c>
      <c r="AK541" s="11">
        <v>32</v>
      </c>
      <c r="AL541" s="4" t="e" cm="1">
        <f t="array" ref="AL541">INDEX($AI$264:$AI$295, INDEX($H$15:$O$18, INT((ROW(A278)-1)/8)+1, MOD(ROW(A278)-1,8)+1))</f>
        <v>#REF!</v>
      </c>
      <c r="AN541" s="2" t="e">
        <f t="shared" ca="1" si="39"/>
        <v>#VALUE!</v>
      </c>
      <c r="AO541" s="2" t="e">
        <f t="shared" si="40"/>
        <v>#REF!</v>
      </c>
    </row>
    <row r="542" spans="2:41" x14ac:dyDescent="0.25">
      <c r="B542" s="7">
        <v>33</v>
      </c>
      <c r="C542" s="2">
        <v>1</v>
      </c>
      <c r="M542" s="7">
        <v>33</v>
      </c>
      <c r="N542" s="4" cm="1">
        <f t="array" ref="N542">INDEX($F$510:$K$517, INT((ROW(A33)-1)/6)+1, MOD(ROW(A341)-1,6)+1)</f>
        <v>1</v>
      </c>
      <c r="P542" s="9">
        <v>23</v>
      </c>
      <c r="Q542" s="4" t="e" cm="1">
        <f t="array" ref="Q542">INDEX($P$264:$U$271, INT((ROW(A269)-1)/6)+1, MOD(ROW(A269)-1,6)+1)</f>
        <v>#REF!</v>
      </c>
      <c r="R542" t="e">
        <f ca="1"/>
        <v>#VALUE!</v>
      </c>
      <c r="S542" t="e">
        <f ca="1"/>
        <v>#VALUE!</v>
      </c>
      <c r="T542" t="e">
        <f ca="1"/>
        <v>#VALUE!</v>
      </c>
      <c r="W542" s="7">
        <v>33</v>
      </c>
      <c r="X542" s="4" t="e">
        <f t="shared" si="35"/>
        <v>#REF!</v>
      </c>
      <c r="AN542" s="2" t="e">
        <f t="shared" ca="1" si="39"/>
        <v>#VALUE!</v>
      </c>
      <c r="AO542" s="2" t="e">
        <f t="shared" si="40"/>
        <v>#REF!</v>
      </c>
    </row>
    <row r="543" spans="2:41" x14ac:dyDescent="0.25">
      <c r="B543" s="9">
        <v>34</v>
      </c>
      <c r="C543" s="2">
        <v>1</v>
      </c>
      <c r="M543" s="9">
        <v>34</v>
      </c>
      <c r="N543" s="4" cm="1">
        <f t="array" ref="N543">INDEX($F$510:$K$517, INT((ROW(A34)-1)/6)+1, MOD(ROW(A342)-1,6)+1)</f>
        <v>0</v>
      </c>
      <c r="P543" s="11">
        <v>24</v>
      </c>
      <c r="Q543" s="4" t="e" cm="1">
        <f t="array" ref="Q543">INDEX($P$264:$U$271, INT((ROW(A270)-1)/6)+1, MOD(ROW(A270)-1,6)+1)</f>
        <v>#REF!</v>
      </c>
      <c r="R543" t="e">
        <f ca="1"/>
        <v>#VALUE!</v>
      </c>
      <c r="S543" t="e">
        <f ca="1"/>
        <v>#VALUE!</v>
      </c>
      <c r="T543" t="e">
        <f ca="1"/>
        <v>#VALUE!</v>
      </c>
      <c r="W543" s="9">
        <v>34</v>
      </c>
      <c r="X543" s="4" t="e">
        <f t="shared" si="35"/>
        <v>#REF!</v>
      </c>
    </row>
    <row r="544" spans="2:41" x14ac:dyDescent="0.25">
      <c r="B544" s="9">
        <v>35</v>
      </c>
      <c r="C544" s="2">
        <v>1</v>
      </c>
      <c r="M544" s="9">
        <v>35</v>
      </c>
      <c r="N544" s="4" cm="1">
        <f t="array" ref="N544">INDEX($F$510:$K$517, INT((ROW(A35)-1)/6)+1, MOD(ROW(A343)-1,6)+1)</f>
        <v>1</v>
      </c>
      <c r="P544" s="7">
        <v>25</v>
      </c>
      <c r="Q544" s="4" t="e" cm="1">
        <f t="array" ref="Q544">INDEX($P$264:$U$271, INT((ROW(A271)-1)/6)+1, MOD(ROW(A271)-1,6)+1)</f>
        <v>#REF!</v>
      </c>
      <c r="R544" t="e">
        <f ca="1"/>
        <v>#VALUE!</v>
      </c>
      <c r="S544" t="e">
        <f ca="1"/>
        <v>#VALUE!</v>
      </c>
      <c r="T544" t="e">
        <f ca="1"/>
        <v>#VALUE!</v>
      </c>
      <c r="W544" s="9">
        <v>35</v>
      </c>
      <c r="X544" s="4" t="e">
        <f t="shared" si="35"/>
        <v>#REF!</v>
      </c>
    </row>
    <row r="545" spans="2:24" x14ac:dyDescent="0.25">
      <c r="B545" s="9">
        <v>36</v>
      </c>
      <c r="C545" s="2">
        <v>1</v>
      </c>
      <c r="M545" s="9">
        <v>36</v>
      </c>
      <c r="N545" s="4" cm="1">
        <f t="array" ref="N545">INDEX($F$510:$K$517, INT((ROW(A36)-1)/6)+1, MOD(ROW(A344)-1,6)+1)</f>
        <v>0</v>
      </c>
      <c r="P545" s="9">
        <v>26</v>
      </c>
      <c r="Q545" s="4" t="e" cm="1">
        <f t="array" ref="Q545">INDEX($P$264:$U$271, INT((ROW(A272)-1)/6)+1, MOD(ROW(A272)-1,6)+1)</f>
        <v>#REF!</v>
      </c>
      <c r="R545" t="e">
        <f ca="1"/>
        <v>#VALUE!</v>
      </c>
      <c r="S545" t="e">
        <f ca="1"/>
        <v>#VALUE!</v>
      </c>
      <c r="T545" t="e">
        <f ca="1"/>
        <v>#VALUE!</v>
      </c>
      <c r="W545" s="9">
        <v>36</v>
      </c>
      <c r="X545" s="4" t="e">
        <f t="shared" si="35"/>
        <v>#REF!</v>
      </c>
    </row>
    <row r="546" spans="2:24" x14ac:dyDescent="0.25">
      <c r="B546" s="9">
        <v>37</v>
      </c>
      <c r="C546" s="2">
        <v>0</v>
      </c>
      <c r="M546" s="9">
        <v>37</v>
      </c>
      <c r="N546" s="4" cm="1">
        <f t="array" ref="N546">INDEX($F$510:$K$517, INT((ROW(A37)-1)/6)+1, MOD(ROW(A345)-1,6)+1)</f>
        <v>0</v>
      </c>
      <c r="P546" s="9">
        <v>27</v>
      </c>
      <c r="Q546" s="4" t="e" cm="1">
        <f t="array" ref="Q546">INDEX($P$264:$U$271, INT((ROW(A273)-1)/6)+1, MOD(ROW(A273)-1,6)+1)</f>
        <v>#REF!</v>
      </c>
      <c r="R546" t="e">
        <f ca="1"/>
        <v>#VALUE!</v>
      </c>
      <c r="S546" t="e">
        <f ca="1"/>
        <v>#VALUE!</v>
      </c>
      <c r="T546" t="e">
        <f ca="1"/>
        <v>#VALUE!</v>
      </c>
      <c r="W546" s="9">
        <v>37</v>
      </c>
      <c r="X546" s="4" t="e">
        <f t="shared" si="35"/>
        <v>#REF!</v>
      </c>
    </row>
    <row r="547" spans="2:24" x14ac:dyDescent="0.25">
      <c r="B547" s="9">
        <v>38</v>
      </c>
      <c r="C547" s="2">
        <v>0</v>
      </c>
      <c r="M547" s="9">
        <v>38</v>
      </c>
      <c r="N547" s="4" cm="1">
        <f t="array" ref="N547">INDEX($F$510:$K$517, INT((ROW(A38)-1)/6)+1, MOD(ROW(A346)-1,6)+1)</f>
        <v>0</v>
      </c>
      <c r="P547" s="9">
        <v>28</v>
      </c>
      <c r="Q547" s="4" t="e" cm="1">
        <f t="array" ref="Q547">INDEX($P$264:$U$271, INT((ROW(A274)-1)/6)+1, MOD(ROW(A274)-1,6)+1)</f>
        <v>#REF!</v>
      </c>
      <c r="R547" t="e">
        <f ca="1"/>
        <v>#VALUE!</v>
      </c>
      <c r="S547" t="e">
        <f ca="1"/>
        <v>#VALUE!</v>
      </c>
      <c r="T547" t="e">
        <f ca="1"/>
        <v>#VALUE!</v>
      </c>
      <c r="W547" s="9">
        <v>38</v>
      </c>
      <c r="X547" s="4" t="e">
        <f t="shared" si="35"/>
        <v>#REF!</v>
      </c>
    </row>
    <row r="548" spans="2:24" x14ac:dyDescent="0.25">
      <c r="B548" s="9">
        <v>39</v>
      </c>
      <c r="C548" s="2">
        <v>0</v>
      </c>
      <c r="M548" s="9">
        <v>39</v>
      </c>
      <c r="N548" s="4" cm="1">
        <f t="array" ref="N548">INDEX($F$510:$K$517, INT((ROW(A39)-1)/6)+1, MOD(ROW(A347)-1,6)+1)</f>
        <v>1</v>
      </c>
      <c r="P548" s="9">
        <v>29</v>
      </c>
      <c r="Q548" s="4" t="e" cm="1">
        <f t="array" ref="Q548">INDEX($P$264:$U$271, INT((ROW(A275)-1)/6)+1, MOD(ROW(A275)-1,6)+1)</f>
        <v>#REF!</v>
      </c>
      <c r="R548" t="e">
        <f ca="1"/>
        <v>#VALUE!</v>
      </c>
      <c r="S548" t="e">
        <f ca="1"/>
        <v>#VALUE!</v>
      </c>
      <c r="T548" t="e">
        <f ca="1"/>
        <v>#VALUE!</v>
      </c>
      <c r="W548" s="9">
        <v>39</v>
      </c>
      <c r="X548" s="4" t="e">
        <f t="shared" si="35"/>
        <v>#REF!</v>
      </c>
    </row>
    <row r="549" spans="2:24" x14ac:dyDescent="0.25">
      <c r="B549" s="11">
        <v>40</v>
      </c>
      <c r="C549" s="2">
        <v>0</v>
      </c>
      <c r="M549" s="11">
        <v>40</v>
      </c>
      <c r="N549" s="4" cm="1">
        <f t="array" ref="N549">INDEX($F$510:$K$517, INT((ROW(A40)-1)/6)+1, MOD(ROW(A348)-1,6)+1)</f>
        <v>1</v>
      </c>
      <c r="P549" s="9">
        <v>30</v>
      </c>
      <c r="Q549" s="4" t="e" cm="1">
        <f t="array" ref="Q549">INDEX($P$264:$U$271, INT((ROW(A276)-1)/6)+1, MOD(ROW(A276)-1,6)+1)</f>
        <v>#REF!</v>
      </c>
      <c r="W549" s="11">
        <v>40</v>
      </c>
      <c r="X549" s="4" t="e">
        <f t="shared" si="35"/>
        <v>#REF!</v>
      </c>
    </row>
    <row r="550" spans="2:24" x14ac:dyDescent="0.25">
      <c r="B550" s="7">
        <v>41</v>
      </c>
      <c r="C550" s="2">
        <v>1</v>
      </c>
      <c r="M550" s="7">
        <v>41</v>
      </c>
      <c r="N550" s="4" cm="1">
        <f t="array" ref="N550">INDEX($F$510:$K$517, INT((ROW(A41)-1)/6)+1, MOD(ROW(A349)-1,6)+1)</f>
        <v>0</v>
      </c>
      <c r="P550" s="9">
        <v>31</v>
      </c>
      <c r="Q550" s="4" t="e" cm="1">
        <f t="array" ref="Q550">INDEX($P$264:$U$271, INT((ROW(A277)-1)/6)+1, MOD(ROW(A277)-1,6)+1)</f>
        <v>#REF!</v>
      </c>
      <c r="W550" s="7">
        <v>41</v>
      </c>
      <c r="X550" s="4" t="e">
        <f t="shared" si="35"/>
        <v>#REF!</v>
      </c>
    </row>
    <row r="551" spans="2:24" x14ac:dyDescent="0.25">
      <c r="B551" s="9">
        <v>42</v>
      </c>
      <c r="C551" s="2">
        <v>0</v>
      </c>
      <c r="M551" s="9">
        <v>42</v>
      </c>
      <c r="N551" s="4" cm="1">
        <f t="array" ref="N551">INDEX($F$510:$K$517, INT((ROW(A42)-1)/6)+1, MOD(ROW(A350)-1,6)+1)</f>
        <v>1</v>
      </c>
      <c r="P551" s="11">
        <v>32</v>
      </c>
      <c r="Q551" s="4" t="e" cm="1">
        <f t="array" ref="Q551">INDEX($P$264:$U$271, INT((ROW(A278)-1)/6)+1, MOD(ROW(A278)-1,6)+1)</f>
        <v>#REF!</v>
      </c>
      <c r="W551" s="9">
        <v>42</v>
      </c>
      <c r="X551" s="4" t="e">
        <f t="shared" si="35"/>
        <v>#REF!</v>
      </c>
    </row>
    <row r="552" spans="2:24" x14ac:dyDescent="0.25">
      <c r="B552" s="9">
        <v>43</v>
      </c>
      <c r="C552" s="2">
        <v>1</v>
      </c>
      <c r="M552" s="9">
        <v>43</v>
      </c>
      <c r="N552" s="4" cm="1">
        <f t="array" ref="N552">INDEX($F$510:$K$517, INT((ROW(A43)-1)/6)+1, MOD(ROW(A351)-1,6)+1)</f>
        <v>0</v>
      </c>
      <c r="P552" s="7">
        <v>33</v>
      </c>
      <c r="Q552" s="4" t="e" cm="1">
        <f t="array" ref="Q552">INDEX($P$264:$U$271, INT((ROW(A279)-1)/6)+1, MOD(ROW(A279)-1,6)+1)</f>
        <v>#REF!</v>
      </c>
      <c r="W552" s="9">
        <v>43</v>
      </c>
      <c r="X552" s="4" t="e">
        <f t="shared" si="35"/>
        <v>#REF!</v>
      </c>
    </row>
    <row r="553" spans="2:24" x14ac:dyDescent="0.25">
      <c r="B553" s="9">
        <v>44</v>
      </c>
      <c r="C553" s="2">
        <v>0</v>
      </c>
      <c r="M553" s="9">
        <v>44</v>
      </c>
      <c r="N553" s="4" cm="1">
        <f t="array" ref="N553">INDEX($F$510:$K$517, INT((ROW(A44)-1)/6)+1, MOD(ROW(A352)-1,6)+1)</f>
        <v>1</v>
      </c>
      <c r="P553" s="9">
        <v>34</v>
      </c>
      <c r="Q553" s="4" t="e" cm="1">
        <f t="array" ref="Q553">INDEX($P$264:$U$271, INT((ROW(A280)-1)/6)+1, MOD(ROW(A280)-1,6)+1)</f>
        <v>#REF!</v>
      </c>
      <c r="W553" s="9">
        <v>44</v>
      </c>
      <c r="X553" s="4" t="e">
        <f t="shared" si="35"/>
        <v>#REF!</v>
      </c>
    </row>
    <row r="554" spans="2:24" x14ac:dyDescent="0.25">
      <c r="B554" s="9">
        <v>45</v>
      </c>
      <c r="C554" s="2">
        <v>1</v>
      </c>
      <c r="M554" s="9">
        <v>45</v>
      </c>
      <c r="N554" s="4" cm="1">
        <f t="array" ref="N554">INDEX($F$510:$K$517, INT((ROW(A45)-1)/6)+1, MOD(ROW(A353)-1,6)+1)</f>
        <v>1</v>
      </c>
      <c r="P554" s="9">
        <v>35</v>
      </c>
      <c r="Q554" s="4" t="e" cm="1">
        <f t="array" ref="Q554">INDEX($P$264:$U$271, INT((ROW(A281)-1)/6)+1, MOD(ROW(A281)-1,6)+1)</f>
        <v>#REF!</v>
      </c>
      <c r="W554" s="9">
        <v>45</v>
      </c>
      <c r="X554" s="4" t="e">
        <f t="shared" si="35"/>
        <v>#REF!</v>
      </c>
    </row>
    <row r="555" spans="2:24" x14ac:dyDescent="0.25">
      <c r="B555" s="9">
        <v>46</v>
      </c>
      <c r="C555" s="2">
        <v>0</v>
      </c>
      <c r="M555" s="9">
        <v>46</v>
      </c>
      <c r="N555" s="4" cm="1">
        <f t="array" ref="N555">INDEX($F$510:$K$517, INT((ROW(A46)-1)/6)+1, MOD(ROW(A354)-1,6)+1)</f>
        <v>0</v>
      </c>
      <c r="P555" s="9">
        <v>36</v>
      </c>
      <c r="Q555" s="4" t="e" cm="1">
        <f t="array" ref="Q555">INDEX($P$264:$U$271, INT((ROW(A282)-1)/6)+1, MOD(ROW(A282)-1,6)+1)</f>
        <v>#REF!</v>
      </c>
      <c r="W555" s="9">
        <v>46</v>
      </c>
      <c r="X555" s="4" t="e">
        <f t="shared" si="35"/>
        <v>#REF!</v>
      </c>
    </row>
    <row r="556" spans="2:24" x14ac:dyDescent="0.25">
      <c r="B556" s="9">
        <v>47</v>
      </c>
      <c r="C556" s="2">
        <v>1</v>
      </c>
      <c r="M556" s="9">
        <v>47</v>
      </c>
      <c r="N556" s="4" cm="1">
        <f t="array" ref="N556">INDEX($F$510:$K$517, INT((ROW(A47)-1)/6)+1, MOD(ROW(A355)-1,6)+1)</f>
        <v>0</v>
      </c>
      <c r="P556" s="9">
        <v>37</v>
      </c>
      <c r="Q556" s="4" t="e" cm="1">
        <f t="array" ref="Q556">INDEX($P$264:$U$271, INT((ROW(A283)-1)/6)+1, MOD(ROW(A283)-1,6)+1)</f>
        <v>#REF!</v>
      </c>
      <c r="W556" s="9">
        <v>47</v>
      </c>
      <c r="X556" s="4" t="e">
        <f t="shared" si="35"/>
        <v>#REF!</v>
      </c>
    </row>
    <row r="557" spans="2:24" x14ac:dyDescent="0.25">
      <c r="B557" s="11">
        <v>48</v>
      </c>
      <c r="C557" s="2">
        <v>0</v>
      </c>
      <c r="M557" s="11">
        <v>48</v>
      </c>
      <c r="N557" s="4" cm="1">
        <f t="array" ref="N557">INDEX($F$510:$K$517, INT((ROW(A48)-1)/6)+1, MOD(ROW(A356)-1,6)+1)</f>
        <v>0</v>
      </c>
      <c r="P557" s="9">
        <v>38</v>
      </c>
      <c r="Q557" s="4" t="e" cm="1">
        <f t="array" ref="Q557">INDEX($P$264:$U$271, INT((ROW(A284)-1)/6)+1, MOD(ROW(A284)-1,6)+1)</f>
        <v>#REF!</v>
      </c>
      <c r="W557" s="11">
        <v>48</v>
      </c>
      <c r="X557" s="4" t="e">
        <f t="shared" si="35"/>
        <v>#REF!</v>
      </c>
    </row>
    <row r="558" spans="2:24" x14ac:dyDescent="0.25">
      <c r="B558" s="7">
        <v>49</v>
      </c>
      <c r="C558" s="2">
        <v>1</v>
      </c>
      <c r="P558" s="9">
        <v>39</v>
      </c>
      <c r="Q558" s="4" t="e" cm="1">
        <f t="array" ref="Q558">INDEX($P$264:$U$271, INT((ROW(A285)-1)/6)+1, MOD(ROW(A285)-1,6)+1)</f>
        <v>#REF!</v>
      </c>
    </row>
    <row r="559" spans="2:24" x14ac:dyDescent="0.25">
      <c r="B559" s="9">
        <v>50</v>
      </c>
      <c r="C559" s="2">
        <v>0</v>
      </c>
      <c r="P559" s="11">
        <v>40</v>
      </c>
      <c r="Q559" s="4" t="e" cm="1">
        <f t="array" ref="Q559">INDEX($P$264:$U$271, INT((ROW(A286)-1)/6)+1, MOD(ROW(A286)-1,6)+1)</f>
        <v>#REF!</v>
      </c>
    </row>
    <row r="560" spans="2:24" x14ac:dyDescent="0.25">
      <c r="B560" s="9">
        <v>51</v>
      </c>
      <c r="C560" s="2">
        <v>1</v>
      </c>
      <c r="P560" s="7">
        <v>41</v>
      </c>
      <c r="Q560" s="4" t="e" cm="1">
        <f t="array" ref="Q560">INDEX($P$264:$U$271, INT((ROW(A287)-1)/6)+1, MOD(ROW(A287)-1,6)+1)</f>
        <v>#REF!</v>
      </c>
    </row>
    <row r="561" spans="2:41" x14ac:dyDescent="0.25">
      <c r="B561" s="9">
        <v>52</v>
      </c>
      <c r="C561" s="2">
        <v>0</v>
      </c>
      <c r="P561" s="9">
        <v>42</v>
      </c>
      <c r="Q561" s="4" t="e" cm="1">
        <f t="array" ref="Q561">INDEX($P$264:$U$271, INT((ROW(A288)-1)/6)+1, MOD(ROW(A288)-1,6)+1)</f>
        <v>#REF!</v>
      </c>
    </row>
    <row r="562" spans="2:41" x14ac:dyDescent="0.25">
      <c r="B562" s="9">
        <v>53</v>
      </c>
      <c r="C562" s="2">
        <v>1</v>
      </c>
      <c r="P562" s="9">
        <v>43</v>
      </c>
      <c r="Q562" s="4" t="e" cm="1">
        <f t="array" ref="Q562">INDEX($P$264:$U$271, INT((ROW(A289)-1)/6)+1, MOD(ROW(A289)-1,6)+1)</f>
        <v>#REF!</v>
      </c>
    </row>
    <row r="563" spans="2:41" x14ac:dyDescent="0.25">
      <c r="B563" s="9">
        <v>54</v>
      </c>
      <c r="C563" s="2">
        <v>1</v>
      </c>
      <c r="P563" s="9">
        <v>44</v>
      </c>
      <c r="Q563" s="4" t="e" cm="1">
        <f t="array" ref="Q563">INDEX($P$264:$U$271, INT((ROW(A290)-1)/6)+1, MOD(ROW(A290)-1,6)+1)</f>
        <v>#REF!</v>
      </c>
    </row>
    <row r="564" spans="2:41" x14ac:dyDescent="0.25">
      <c r="B564" s="9">
        <v>55</v>
      </c>
      <c r="C564" s="2">
        <v>0</v>
      </c>
      <c r="P564" s="9">
        <v>45</v>
      </c>
      <c r="Q564" s="4" t="e" cm="1">
        <f t="array" ref="Q564">INDEX($P$264:$U$271, INT((ROW(A291)-1)/6)+1, MOD(ROW(A291)-1,6)+1)</f>
        <v>#REF!</v>
      </c>
    </row>
    <row r="565" spans="2:41" x14ac:dyDescent="0.25">
      <c r="B565" s="11">
        <v>56</v>
      </c>
      <c r="C565" s="2">
        <v>0</v>
      </c>
      <c r="P565" s="9">
        <v>46</v>
      </c>
      <c r="Q565" s="4" t="e" cm="1">
        <f t="array" ref="Q565">INDEX($P$264:$U$271, INT((ROW(A292)-1)/6)+1, MOD(ROW(A292)-1,6)+1)</f>
        <v>#REF!</v>
      </c>
    </row>
    <row r="566" spans="2:41" x14ac:dyDescent="0.25">
      <c r="P566" s="9">
        <v>47</v>
      </c>
      <c r="Q566" s="4" t="e" cm="1">
        <f t="array" ref="Q566">INDEX($P$264:$U$271, INT((ROW(A293)-1)/6)+1, MOD(ROW(A293)-1,6)+1)</f>
        <v>#REF!</v>
      </c>
    </row>
    <row r="567" spans="2:41" x14ac:dyDescent="0.25">
      <c r="P567" s="11">
        <v>48</v>
      </c>
      <c r="Q567" s="4" t="e" cm="1">
        <f t="array" ref="Q567">INDEX($P$264:$U$271, INT((ROW(A294)-1)/6)+1, MOD(ROW(A294)-1,6)+1)</f>
        <v>#REF!</v>
      </c>
    </row>
    <row r="568" spans="2:41" x14ac:dyDescent="0.25">
      <c r="B568" t="s">
        <v>47</v>
      </c>
    </row>
    <row r="570" spans="2:41" x14ac:dyDescent="0.25">
      <c r="B570" s="37" t="s">
        <v>48</v>
      </c>
      <c r="C570" s="38"/>
      <c r="F570" s="39" t="s">
        <v>23</v>
      </c>
      <c r="G570" s="40"/>
      <c r="H570" s="40"/>
      <c r="I570" s="40"/>
      <c r="J570" s="40"/>
      <c r="K570" s="41"/>
      <c r="M570" s="37" t="s">
        <v>49</v>
      </c>
      <c r="N570" s="43"/>
      <c r="P570" s="39" t="s">
        <v>93</v>
      </c>
      <c r="Q570" s="40"/>
      <c r="R570" s="40"/>
      <c r="S570" s="40"/>
      <c r="T570" s="40"/>
      <c r="U570" s="41"/>
      <c r="W570" s="2" t="s">
        <v>3</v>
      </c>
      <c r="X570" s="18" t="s">
        <v>95</v>
      </c>
      <c r="Z570" s="42" t="s">
        <v>77</v>
      </c>
      <c r="AA570" s="42" t="s">
        <v>74</v>
      </c>
      <c r="AB570" s="42"/>
      <c r="AC570" s="42" t="s">
        <v>75</v>
      </c>
      <c r="AD570" s="42" t="s">
        <v>76</v>
      </c>
      <c r="AE570" s="36" t="s">
        <v>78</v>
      </c>
      <c r="AF570" s="36" t="s">
        <v>79</v>
      </c>
      <c r="AH570" s="37" t="s">
        <v>96</v>
      </c>
      <c r="AI570" s="38"/>
      <c r="AK570" s="37" t="s">
        <v>97</v>
      </c>
      <c r="AL570" s="38"/>
      <c r="AN570" s="36" t="s">
        <v>98</v>
      </c>
      <c r="AO570" s="36"/>
    </row>
    <row r="571" spans="2:41" x14ac:dyDescent="0.25">
      <c r="B571" s="7">
        <v>1</v>
      </c>
      <c r="C571" s="2">
        <v>0</v>
      </c>
      <c r="F571" s="15" cm="1">
        <f t="array" ref="F571">INDEX($C$571:$C$626, H41)</f>
        <v>1</v>
      </c>
      <c r="G571" s="15" cm="1">
        <f t="array" ref="G571">INDEX($C$571:$C$626, I41)</f>
        <v>1</v>
      </c>
      <c r="H571" s="15" cm="1">
        <f t="array" ref="H571">INDEX($C$571:$C$626, J41)</f>
        <v>1</v>
      </c>
      <c r="I571" s="15" cm="1">
        <f t="array" ref="I571">INDEX($C$571:$C$626, K41)</f>
        <v>1</v>
      </c>
      <c r="J571" s="15" cm="1">
        <f t="array" ref="J571">INDEX($C$571:$C$626, L41)</f>
        <v>0</v>
      </c>
      <c r="K571" s="15" cm="1">
        <f t="array" ref="K571">INDEX($C$571:$C$626, M41)</f>
        <v>1</v>
      </c>
      <c r="M571" s="7">
        <v>1</v>
      </c>
      <c r="N571" s="4" cm="1">
        <f t="array" ref="N571">INDEX($F$571:$K$578, INT((ROW(A1)-1)/6)+1, MOD(ROW(A370)-1,6)+1)</f>
        <v>1</v>
      </c>
      <c r="P571" s="15" t="e" cm="1" vm="1">
        <f t="array" aca="1" ref="P571" ca="1">INDEX($AO$204:$AO$235, H358)</f>
        <v>#VALUE!</v>
      </c>
      <c r="Q571" s="15" t="e" cm="1" vm="1">
        <f t="array" aca="1" ref="Q571" ca="1">INDEX($AO$204:$AO$235, I358)</f>
        <v>#VALUE!</v>
      </c>
      <c r="R571" s="15" t="e" cm="1" vm="1">
        <f t="array" aca="1" ref="R571" ca="1">INDEX($AO$204:$AO$235, J358)</f>
        <v>#VALUE!</v>
      </c>
      <c r="S571" s="15" t="e" cm="1" vm="1">
        <f t="array" aca="1" ref="S571" ca="1">INDEX($AO$204:$AO$235, K358)</f>
        <v>#VALUE!</v>
      </c>
      <c r="T571" s="15" t="e" cm="1" vm="1">
        <f t="array" aca="1" ref="T571" ca="1">INDEX($AO$204:$AO$235, L358)</f>
        <v>#VALUE!</v>
      </c>
      <c r="U571" s="15" t="e" cm="1">
        <f t="array" ref="U571">INDEX($AO$204:$AO$235, M358)</f>
        <v>#REF!</v>
      </c>
      <c r="W571" s="7">
        <v>1</v>
      </c>
      <c r="X571" s="4" t="e">
        <f>_xlfn.BITXOR(Q581, N571)</f>
        <v>#REF!</v>
      </c>
      <c r="Z571" s="42"/>
      <c r="AA571" s="42"/>
      <c r="AB571" s="42"/>
      <c r="AC571" s="42"/>
      <c r="AD571" s="42"/>
      <c r="AE571" s="36"/>
      <c r="AF571" s="36"/>
      <c r="AH571" s="7">
        <v>1</v>
      </c>
      <c r="AI571" s="4" t="e" cm="1">
        <f t="array" ref="AI571">MID(INDEX($AF$265:$AF$272,INT((ROW(A308)-1)/4)+1),MOD(ROW(A308)-1,4)+1,1)</f>
        <v>#REF!</v>
      </c>
      <c r="AK571" s="7">
        <v>1</v>
      </c>
      <c r="AL571" s="4" t="e" cm="1">
        <f t="array" ref="AL571">INDEX($AI$264:$AI$295, INDEX($H$15:$O$18, INT((ROW(A308)-1)/8)+1, MOD(ROW(A308)-1,8)+1))</f>
        <v>#REF!</v>
      </c>
      <c r="AN571" s="2" t="s">
        <v>99</v>
      </c>
      <c r="AO571" s="31" t="s">
        <v>101</v>
      </c>
    </row>
    <row r="572" spans="2:41" x14ac:dyDescent="0.25">
      <c r="B572" s="9">
        <v>2</v>
      </c>
      <c r="C572" s="2">
        <v>0</v>
      </c>
      <c r="F572" s="15" cm="1">
        <f t="array" ref="F572">INDEX($C$571:$C$626, H42)</f>
        <v>1</v>
      </c>
      <c r="G572" s="15" cm="1">
        <f t="array" ref="G572">INDEX($C$571:$C$626, I42)</f>
        <v>1</v>
      </c>
      <c r="H572" s="15" cm="1">
        <f t="array" ref="H572">INDEX($C$571:$C$626, J42)</f>
        <v>1</v>
      </c>
      <c r="I572" s="15" cm="1">
        <f t="array" ref="I572">INDEX($C$571:$C$626, K42)</f>
        <v>0</v>
      </c>
      <c r="J572" s="15" cm="1">
        <f t="array" ref="J572">INDEX($C$571:$C$626, L42)</f>
        <v>0</v>
      </c>
      <c r="K572" s="15" cm="1">
        <f t="array" ref="K572">INDEX($C$571:$C$626, M42)</f>
        <v>0</v>
      </c>
      <c r="M572" s="9">
        <v>2</v>
      </c>
      <c r="N572" s="4" cm="1">
        <f t="array" ref="N572">INDEX($F$571:$K$578, INT((ROW(A2)-1)/6)+1, MOD(ROW(A371)-1,6)+1)</f>
        <v>0</v>
      </c>
      <c r="P572" s="15" t="e" cm="1" vm="1">
        <f t="array" aca="1" ref="P572" ca="1">INDEX($AO$204:$AO$235, H359)</f>
        <v>#VALUE!</v>
      </c>
      <c r="Q572" s="15" t="e" cm="1" vm="1">
        <f t="array" aca="1" ref="Q572" ca="1">INDEX($AO$204:$AO$235, I359)</f>
        <v>#VALUE!</v>
      </c>
      <c r="R572" s="15" t="e" cm="1" vm="1">
        <f t="array" aca="1" ref="R572" ca="1">INDEX($AO$204:$AO$235, J359)</f>
        <v>#VALUE!</v>
      </c>
      <c r="S572" s="15" t="e" cm="1" vm="1">
        <f t="array" aca="1" ref="S572" ca="1">INDEX($AO$204:$AO$235, K359)</f>
        <v>#VALUE!</v>
      </c>
      <c r="T572" s="15" t="e" cm="1" vm="1">
        <f t="array" aca="1" ref="T572" ca="1">INDEX($AO$204:$AO$235, L359)</f>
        <v>#VALUE!</v>
      </c>
      <c r="U572" s="15" t="e" cm="1">
        <f t="array" ref="U572">INDEX($AO$204:$AO$235, M359)</f>
        <v>#REF!</v>
      </c>
      <c r="W572" s="9">
        <v>2</v>
      </c>
      <c r="X572" s="4" t="e">
        <f t="shared" ref="X572:X618" si="41">_xlfn.BITXOR(Q582, N572)</f>
        <v>#REF!</v>
      </c>
      <c r="Z572" s="32">
        <v>1</v>
      </c>
      <c r="AA572" s="34" t="e">
        <f>_xlfn.TEXTJOIN("", TRUE, INDEX($X$264:$X$311, (ROW(A308)-1)*6+1) : INDEX($X$264:$X$311, (ROW(A308)-1)*6+6))</f>
        <v>#REF!</v>
      </c>
      <c r="AB572" s="35"/>
      <c r="AC572" s="32" t="e">
        <f>BIN2DEC(LEFT(AA572,1) &amp; RIGHT(AA572,1))</f>
        <v>#REF!</v>
      </c>
      <c r="AD572" s="31" t="e">
        <f>BIN2DEC(MID(AA572,2,4))</f>
        <v>#REF!</v>
      </c>
      <c r="AE572" s="31" t="e" cm="1">
        <f t="array" aca="1" ref="AE572" ca="1">INDEX(OFFSET('[1]S-box'!$A$2, (Z572-1)*6, 0, 4, 16), AC572+1, AD572+1)</f>
        <v>#VALUE!</v>
      </c>
      <c r="AF572" s="33" t="e">
        <f ca="1">DEC2BIN(AE572, 4)</f>
        <v>#VALUE!</v>
      </c>
      <c r="AH572" s="9">
        <v>2</v>
      </c>
      <c r="AI572" s="4" t="e" cm="1">
        <f t="array" ref="AI572">MID(INDEX($AF$265:$AF$272,INT((ROW(A309)-1)/4)+1),MOD(ROW(A309)-1,4)+1,1)</f>
        <v>#REF!</v>
      </c>
      <c r="AK572" s="9">
        <v>2</v>
      </c>
      <c r="AL572" s="4" t="e" cm="1">
        <f t="array" ref="AL572">INDEX($AI$264:$AI$295, INDEX($H$15:$O$18, INT((ROW(A309)-1)/8)+1, MOD(ROW(A309)-1,8)+1))</f>
        <v>#REF!</v>
      </c>
      <c r="AN572" s="2">
        <f>_xlfn.BITXOR(T385, AE510)</f>
        <v>0</v>
      </c>
      <c r="AO572" s="2" t="e">
        <f>_xlfn.BITXOR(N571, AL571)</f>
        <v>#REF!</v>
      </c>
    </row>
    <row r="573" spans="2:41" x14ac:dyDescent="0.25">
      <c r="B573" s="9">
        <v>3</v>
      </c>
      <c r="C573" s="2">
        <v>1</v>
      </c>
      <c r="F573" s="15" cm="1">
        <f t="array" ref="F573">INDEX($C$571:$C$626, H43)</f>
        <v>1</v>
      </c>
      <c r="G573" s="15" cm="1">
        <f t="array" ref="G573">INDEX($C$571:$C$626, I43)</f>
        <v>0</v>
      </c>
      <c r="H573" s="15" cm="1">
        <f t="array" ref="H573">INDEX($C$571:$C$626, J43)</f>
        <v>0</v>
      </c>
      <c r="I573" s="15" cm="1">
        <f t="array" ref="I573">INDEX($C$571:$C$626, K43)</f>
        <v>0</v>
      </c>
      <c r="J573" s="15" cm="1">
        <f t="array" ref="J573">INDEX($C$571:$C$626, L43)</f>
        <v>0</v>
      </c>
      <c r="K573" s="15" cm="1">
        <f t="array" ref="K573">INDEX($C$571:$C$626, M43)</f>
        <v>0</v>
      </c>
      <c r="M573" s="9">
        <v>3</v>
      </c>
      <c r="N573" s="4" cm="1">
        <f t="array" ref="N573">INDEX($F$571:$K$578, INT((ROW(A3)-1)/6)+1, MOD(ROW(A372)-1,6)+1)</f>
        <v>1</v>
      </c>
      <c r="P573" s="15" t="e" cm="1" vm="1">
        <f t="array" aca="1" ref="P573" ca="1">INDEX($AO$204:$AO$235, H360)</f>
        <v>#VALUE!</v>
      </c>
      <c r="Q573" s="15" t="e" cm="1" vm="1">
        <f t="array" aca="1" ref="Q573" ca="1">INDEX($AO$204:$AO$235, I360)</f>
        <v>#VALUE!</v>
      </c>
      <c r="R573" s="15" t="e" cm="1" vm="1">
        <f t="array" aca="1" ref="R573" ca="1">INDEX($AO$204:$AO$235, J360)</f>
        <v>#VALUE!</v>
      </c>
      <c r="S573" s="15" t="e" cm="1" vm="1">
        <f t="array" aca="1" ref="S573" ca="1">INDEX($AO$204:$AO$235, K360)</f>
        <v>#VALUE!</v>
      </c>
      <c r="T573" s="15" t="e" cm="1" vm="1">
        <f t="array" aca="1" ref="T573" ca="1">INDEX($AO$204:$AO$235, L360)</f>
        <v>#VALUE!</v>
      </c>
      <c r="U573" s="15" t="e" cm="1">
        <f t="array" ref="U573">INDEX($AO$204:$AO$235, M360)</f>
        <v>#REF!</v>
      </c>
      <c r="W573" s="9">
        <v>3</v>
      </c>
      <c r="X573" s="4" t="e">
        <f t="shared" si="41"/>
        <v>#REF!</v>
      </c>
      <c r="Z573" s="32">
        <v>2</v>
      </c>
      <c r="AA573" s="34" t="e">
        <f>_xlfn.TEXTJOIN("", TRUE, INDEX($X$264:$X$311, (ROW(A309)-1)*6+1) : INDEX($X$264:$X$311, (ROW(A309)-1)*6+6))</f>
        <v>#REF!</v>
      </c>
      <c r="AB573" s="35"/>
      <c r="AC573" s="32" t="e">
        <f t="shared" ref="AC573:AC579" si="42">BIN2DEC(LEFT(AA573,1) &amp; RIGHT(AA573,1))</f>
        <v>#REF!</v>
      </c>
      <c r="AD573" s="31" t="e">
        <f t="shared" ref="AD573:AD579" si="43">BIN2DEC(MID(AA573,2,4))</f>
        <v>#REF!</v>
      </c>
      <c r="AE573" s="31" t="e" cm="1">
        <f t="array" aca="1" ref="AE573" ca="1">INDEX(OFFSET('[1]S-box'!$A$2, (Z573-1)*6, 0, 4, 16), AC573+1, AD573+1)</f>
        <v>#VALUE!</v>
      </c>
      <c r="AF573" s="33" t="e">
        <f t="shared" ref="AF573:AF579" ca="1" si="44">DEC2BIN(AE573, 4)</f>
        <v>#VALUE!</v>
      </c>
      <c r="AH573" s="9">
        <v>3</v>
      </c>
      <c r="AI573" s="4" t="e" cm="1">
        <f t="array" ref="AI573">MID(INDEX($AF$265:$AF$272,INT((ROW(A310)-1)/4)+1),MOD(ROW(A310)-1,4)+1,1)</f>
        <v>#REF!</v>
      </c>
      <c r="AK573" s="9">
        <v>3</v>
      </c>
      <c r="AL573" s="4" t="e" cm="1">
        <f t="array" ref="AL573">INDEX($AI$264:$AI$295, INDEX($H$15:$O$18, INT((ROW(A310)-1)/8)+1, MOD(ROW(A310)-1,8)+1))</f>
        <v>#REF!</v>
      </c>
      <c r="AN573" s="2" t="e">
        <f t="shared" ref="AN573:AN603" ca="1" si="45">_xlfn.BITXOR(T386, AE511)</f>
        <v>#VALUE!</v>
      </c>
      <c r="AO573" s="2" t="e">
        <f t="shared" ref="AO573:AO603" si="46">_xlfn.BITXOR(N572, AL572)</f>
        <v>#REF!</v>
      </c>
    </row>
    <row r="574" spans="2:41" x14ac:dyDescent="0.25">
      <c r="B574" s="9">
        <v>4</v>
      </c>
      <c r="C574" s="2">
        <v>0</v>
      </c>
      <c r="F574" s="15" cm="1">
        <f t="array" ref="F574">INDEX($C$571:$C$626, H44)</f>
        <v>1</v>
      </c>
      <c r="G574" s="15" cm="1">
        <f t="array" ref="G574">INDEX($C$571:$C$626, I44)</f>
        <v>1</v>
      </c>
      <c r="H574" s="15" cm="1">
        <f t="array" ref="H574">INDEX($C$571:$C$626, J44)</f>
        <v>1</v>
      </c>
      <c r="I574" s="15" cm="1">
        <f t="array" ref="I574">INDEX($C$571:$C$626, K44)</f>
        <v>0</v>
      </c>
      <c r="J574" s="15" cm="1">
        <f t="array" ref="J574">INDEX($C$571:$C$626, L44)</f>
        <v>1</v>
      </c>
      <c r="K574" s="15" cm="1">
        <f t="array" ref="K574">INDEX($C$571:$C$626, M44)</f>
        <v>0</v>
      </c>
      <c r="M574" s="9">
        <v>4</v>
      </c>
      <c r="N574" s="4" cm="1">
        <f t="array" ref="N574">INDEX($F$571:$K$578, INT((ROW(A4)-1)/6)+1, MOD(ROW(A373)-1,6)+1)</f>
        <v>1</v>
      </c>
      <c r="P574" s="15" t="e" cm="1" vm="1">
        <f t="array" aca="1" ref="P574" ca="1">INDEX($AO$204:$AO$235, H361)</f>
        <v>#VALUE!</v>
      </c>
      <c r="Q574" s="15" t="e" cm="1" vm="1">
        <f t="array" aca="1" ref="Q574" ca="1">INDEX($AO$204:$AO$235, I361)</f>
        <v>#VALUE!</v>
      </c>
      <c r="R574" s="15" t="e" cm="1" vm="1">
        <f t="array" aca="1" ref="R574" ca="1">INDEX($AO$204:$AO$235, J361)</f>
        <v>#VALUE!</v>
      </c>
      <c r="S574" s="15" t="e" cm="1" vm="1">
        <f t="array" aca="1" ref="S574" ca="1">INDEX($AO$204:$AO$235, K361)</f>
        <v>#VALUE!</v>
      </c>
      <c r="T574" s="15" t="e" cm="1" vm="1">
        <f t="array" aca="1" ref="T574" ca="1">INDEX($AO$204:$AO$235, L361)</f>
        <v>#VALUE!</v>
      </c>
      <c r="U574" s="15" t="e" cm="1">
        <f t="array" ref="U574">INDEX($AO$204:$AO$235, M361)</f>
        <v>#REF!</v>
      </c>
      <c r="W574" s="9">
        <v>4</v>
      </c>
      <c r="X574" s="4" t="e">
        <f t="shared" si="41"/>
        <v>#REF!</v>
      </c>
      <c r="Z574" s="32">
        <v>3</v>
      </c>
      <c r="AA574" s="34" t="e">
        <f>_xlfn.TEXTJOIN("", TRUE, INDEX($X$264:$X$311, (ROW(A310)-1)*6+1) : INDEX($X$264:$X$311, (ROW(A310)-1)*6+6))</f>
        <v>#REF!</v>
      </c>
      <c r="AB574" s="35"/>
      <c r="AC574" s="32" t="e">
        <f t="shared" si="42"/>
        <v>#REF!</v>
      </c>
      <c r="AD574" s="31" t="e">
        <f t="shared" si="43"/>
        <v>#REF!</v>
      </c>
      <c r="AE574" s="31" t="e" cm="1">
        <f t="array" aca="1" ref="AE574" ca="1">INDEX(OFFSET('[1]S-box'!$A$2, (Z574-1)*6, 0, 4, 16), AC574+1, AD574+1)</f>
        <v>#VALUE!</v>
      </c>
      <c r="AF574" s="33" t="e">
        <f t="shared" ca="1" si="44"/>
        <v>#VALUE!</v>
      </c>
      <c r="AH574" s="9">
        <v>4</v>
      </c>
      <c r="AI574" s="4" t="e" cm="1">
        <f t="array" ref="AI574">MID(INDEX($AF$265:$AF$272,INT((ROW(A311)-1)/4)+1),MOD(ROW(A311)-1,4)+1,1)</f>
        <v>#REF!</v>
      </c>
      <c r="AK574" s="9">
        <v>4</v>
      </c>
      <c r="AL574" s="4" t="e" cm="1">
        <f t="array" ref="AL574">INDEX($AI$264:$AI$295, INDEX($H$15:$O$18, INT((ROW(A311)-1)/8)+1, MOD(ROW(A311)-1,8)+1))</f>
        <v>#REF!</v>
      </c>
      <c r="AN574" s="2" t="e" vm="3">
        <f t="shared" ca="1" si="45"/>
        <v>#VALUE!</v>
      </c>
      <c r="AO574" s="2" t="e">
        <f t="shared" si="46"/>
        <v>#REF!</v>
      </c>
    </row>
    <row r="575" spans="2:41" x14ac:dyDescent="0.25">
      <c r="B575" s="9">
        <v>5</v>
      </c>
      <c r="C575" s="2">
        <v>1</v>
      </c>
      <c r="F575" s="15" cm="1">
        <f t="array" ref="F575">INDEX($C$571:$C$626, H45)</f>
        <v>1</v>
      </c>
      <c r="G575" s="15" cm="1">
        <f t="array" ref="G575">INDEX($C$571:$C$626, I45)</f>
        <v>1</v>
      </c>
      <c r="H575" s="15" cm="1">
        <f t="array" ref="H575">INDEX($C$571:$C$626, J45)</f>
        <v>1</v>
      </c>
      <c r="I575" s="15" cm="1">
        <f t="array" ref="I575">INDEX($C$571:$C$626, K45)</f>
        <v>0</v>
      </c>
      <c r="J575" s="15" cm="1">
        <f t="array" ref="J575">INDEX($C$571:$C$626, L45)</f>
        <v>1</v>
      </c>
      <c r="K575" s="15" cm="1">
        <f t="array" ref="K575">INDEX($C$571:$C$626, M45)</f>
        <v>1</v>
      </c>
      <c r="M575" s="9">
        <v>5</v>
      </c>
      <c r="N575" s="4" cm="1">
        <f t="array" ref="N575">INDEX($F$571:$K$578, INT((ROW(A5)-1)/6)+1, MOD(ROW(A374)-1,6)+1)</f>
        <v>1</v>
      </c>
      <c r="P575" s="15" t="e" cm="1" vm="1">
        <f t="array" aca="1" ref="P575" ca="1">INDEX($AO$204:$AO$235, H362)</f>
        <v>#VALUE!</v>
      </c>
      <c r="Q575" s="15" t="e" cm="1" vm="1">
        <f t="array" aca="1" ref="Q575" ca="1">INDEX($AO$204:$AO$235, I362)</f>
        <v>#VALUE!</v>
      </c>
      <c r="R575" s="15" t="e" cm="1" vm="1">
        <f t="array" aca="1" ref="R575" ca="1">INDEX($AO$204:$AO$235, J362)</f>
        <v>#VALUE!</v>
      </c>
      <c r="S575" s="15" t="e" cm="1" vm="1">
        <f t="array" aca="1" ref="S575" ca="1">INDEX($AO$204:$AO$235, K362)</f>
        <v>#VALUE!</v>
      </c>
      <c r="T575" s="15" t="e" cm="1" vm="1">
        <f t="array" aca="1" ref="T575" ca="1">INDEX($AO$204:$AO$235, L362)</f>
        <v>#VALUE!</v>
      </c>
      <c r="U575" s="15" t="e" cm="1">
        <f t="array" ref="U575">INDEX($AO$204:$AO$235, M362)</f>
        <v>#REF!</v>
      </c>
      <c r="W575" s="9">
        <v>5</v>
      </c>
      <c r="X575" s="4" t="e">
        <f t="shared" si="41"/>
        <v>#REF!</v>
      </c>
      <c r="Z575" s="32">
        <v>4</v>
      </c>
      <c r="AA575" s="34" t="e">
        <f>_xlfn.TEXTJOIN("", TRUE, INDEX($X$264:$X$311, (ROW(A311)-1)*6+1) : INDEX($X$264:$X$311, (ROW(A311)-1)*6+6))</f>
        <v>#REF!</v>
      </c>
      <c r="AB575" s="35"/>
      <c r="AC575" s="32" t="e">
        <f t="shared" si="42"/>
        <v>#REF!</v>
      </c>
      <c r="AD575" s="31" t="e">
        <f t="shared" si="43"/>
        <v>#REF!</v>
      </c>
      <c r="AE575" s="31" t="e" cm="1">
        <f t="array" aca="1" ref="AE575" ca="1">INDEX(OFFSET('[1]S-box'!$A$2, (Z575-1)*6, 0, 4, 16), AC575+1, AD575+1)</f>
        <v>#VALUE!</v>
      </c>
      <c r="AF575" s="33" t="e">
        <f t="shared" ca="1" si="44"/>
        <v>#VALUE!</v>
      </c>
      <c r="AH575" s="9">
        <v>5</v>
      </c>
      <c r="AI575" s="4" t="e" cm="1">
        <f t="array" ref="AI575">MID(INDEX($AF$265:$AF$272,INT((ROW(A312)-1)/4)+1),MOD(ROW(A312)-1,4)+1,1)</f>
        <v>#REF!</v>
      </c>
      <c r="AK575" s="9">
        <v>5</v>
      </c>
      <c r="AL575" s="4" t="e" cm="1">
        <f t="array" ref="AL575">INDEX($AI$264:$AI$295, INDEX($H$15:$O$18, INT((ROW(A312)-1)/8)+1, MOD(ROW(A312)-1,8)+1))</f>
        <v>#REF!</v>
      </c>
      <c r="AN575" s="2" t="e" vm="3">
        <f t="shared" ca="1" si="45"/>
        <v>#VALUE!</v>
      </c>
      <c r="AO575" s="2" t="e">
        <f t="shared" si="46"/>
        <v>#REF!</v>
      </c>
    </row>
    <row r="576" spans="2:41" x14ac:dyDescent="0.25">
      <c r="B576" s="9">
        <v>6</v>
      </c>
      <c r="C576" s="2">
        <v>0</v>
      </c>
      <c r="F576" s="15" cm="1">
        <f t="array" ref="F576">INDEX($C$571:$C$626, H46)</f>
        <v>0</v>
      </c>
      <c r="G576" s="15" cm="1">
        <f t="array" ref="G576">INDEX($C$571:$C$626, I46)</f>
        <v>0</v>
      </c>
      <c r="H576" s="15" cm="1">
        <f t="array" ref="H576">INDEX($C$571:$C$626, J46)</f>
        <v>1</v>
      </c>
      <c r="I576" s="15" cm="1">
        <f t="array" ref="I576">INDEX($C$571:$C$626, K46)</f>
        <v>1</v>
      </c>
      <c r="J576" s="15" cm="1">
        <f t="array" ref="J576">INDEX($C$571:$C$626, L46)</f>
        <v>1</v>
      </c>
      <c r="K576" s="15" cm="1">
        <f t="array" ref="K576">INDEX($C$571:$C$626, M46)</f>
        <v>0</v>
      </c>
      <c r="M576" s="9">
        <v>6</v>
      </c>
      <c r="N576" s="4" cm="1">
        <f t="array" ref="N576">INDEX($F$571:$K$578, INT((ROW(A6)-1)/6)+1, MOD(ROW(A375)-1,6)+1)</f>
        <v>1</v>
      </c>
      <c r="P576" s="15" t="e" cm="1" vm="1">
        <f t="array" aca="1" ref="P576" ca="1">INDEX($AO$204:$AO$235, H363)</f>
        <v>#VALUE!</v>
      </c>
      <c r="Q576" s="15" t="e" cm="1" vm="1">
        <f t="array" aca="1" ref="Q576" ca="1">INDEX($AO$204:$AO$235, I363)</f>
        <v>#VALUE!</v>
      </c>
      <c r="R576" s="15" t="e" cm="1" vm="1">
        <f t="array" aca="1" ref="R576" ca="1">INDEX($AO$204:$AO$235, J363)</f>
        <v>#VALUE!</v>
      </c>
      <c r="S576" s="15" t="e" cm="1" vm="1">
        <f t="array" aca="1" ref="S576" ca="1">INDEX($AO$204:$AO$235, K363)</f>
        <v>#VALUE!</v>
      </c>
      <c r="T576" s="15" t="e" cm="1" vm="1">
        <f t="array" aca="1" ref="T576" ca="1">INDEX($AO$204:$AO$235, L363)</f>
        <v>#VALUE!</v>
      </c>
      <c r="U576" s="15" t="e" cm="1">
        <f t="array" ref="U576">INDEX($AO$204:$AO$235, M363)</f>
        <v>#REF!</v>
      </c>
      <c r="W576" s="9">
        <v>6</v>
      </c>
      <c r="X576" s="4" t="e">
        <f t="shared" si="41"/>
        <v>#REF!</v>
      </c>
      <c r="Z576" s="32">
        <v>5</v>
      </c>
      <c r="AA576" s="34" t="e">
        <f>_xlfn.TEXTJOIN("", TRUE, INDEX($X$264:$X$311, (ROW(A312)-1)*6+1) : INDEX($X$264:$X$311, (ROW(A312)-1)*6+6))</f>
        <v>#REF!</v>
      </c>
      <c r="AB576" s="35"/>
      <c r="AC576" s="32" t="e">
        <f t="shared" si="42"/>
        <v>#REF!</v>
      </c>
      <c r="AD576" s="31" t="e">
        <f t="shared" si="43"/>
        <v>#REF!</v>
      </c>
      <c r="AE576" s="31" t="e" cm="1">
        <f t="array" aca="1" ref="AE576" ca="1">INDEX(OFFSET('[1]S-box'!$A$2, (Z576-1)*6, 0, 4, 16), AC576+1, AD576+1)</f>
        <v>#VALUE!</v>
      </c>
      <c r="AF576" s="33" t="e">
        <f t="shared" ca="1" si="44"/>
        <v>#VALUE!</v>
      </c>
      <c r="AH576" s="9">
        <v>6</v>
      </c>
      <c r="AI576" s="4" t="e" cm="1">
        <f t="array" ref="AI576">MID(INDEX($AF$265:$AF$272,INT((ROW(A313)-1)/4)+1),MOD(ROW(A313)-1,4)+1,1)</f>
        <v>#REF!</v>
      </c>
      <c r="AK576" s="9">
        <v>6</v>
      </c>
      <c r="AL576" s="4" t="e" cm="1">
        <f t="array" ref="AL576">INDEX($AI$264:$AI$295, INDEX($H$15:$O$18, INT((ROW(A313)-1)/8)+1, MOD(ROW(A313)-1,8)+1))</f>
        <v>#REF!</v>
      </c>
      <c r="AN576" s="2" t="e" vm="3">
        <f t="shared" ca="1" si="45"/>
        <v>#VALUE!</v>
      </c>
      <c r="AO576" s="2" t="e">
        <f t="shared" si="46"/>
        <v>#REF!</v>
      </c>
    </row>
    <row r="577" spans="2:41" x14ac:dyDescent="0.25">
      <c r="B577" s="9">
        <v>7</v>
      </c>
      <c r="C577" s="2">
        <v>1</v>
      </c>
      <c r="F577" s="15" cm="1">
        <f t="array" ref="F577">INDEX($C$571:$C$626, H47)</f>
        <v>0</v>
      </c>
      <c r="G577" s="15" cm="1">
        <f t="array" ref="G577">INDEX($C$571:$C$626, I47)</f>
        <v>1</v>
      </c>
      <c r="H577" s="15" cm="1">
        <f t="array" ref="H577">INDEX($C$571:$C$626, J47)</f>
        <v>1</v>
      </c>
      <c r="I577" s="15" cm="1">
        <f t="array" ref="I577">INDEX($C$571:$C$626, K47)</f>
        <v>1</v>
      </c>
      <c r="J577" s="15" cm="1">
        <f t="array" ref="J577">INDEX($C$571:$C$626, L47)</f>
        <v>1</v>
      </c>
      <c r="K577" s="15" cm="1">
        <f t="array" ref="K577">INDEX($C$571:$C$626, M47)</f>
        <v>0</v>
      </c>
      <c r="M577" s="9">
        <v>7</v>
      </c>
      <c r="N577" s="4" cm="1">
        <f t="array" ref="N577">INDEX($F$571:$K$578, INT((ROW(A7)-1)/6)+1, MOD(ROW(A376)-1,6)+1)</f>
        <v>0</v>
      </c>
      <c r="P577" s="15" t="e" cm="1" vm="1">
        <f t="array" aca="1" ref="P577" ca="1">INDEX($AO$204:$AO$235, H364)</f>
        <v>#VALUE!</v>
      </c>
      <c r="Q577" s="15" t="e" cm="1" vm="1">
        <f t="array" aca="1" ref="Q577" ca="1">INDEX($AO$204:$AO$235, I364)</f>
        <v>#VALUE!</v>
      </c>
      <c r="R577" s="15" t="e" cm="1" vm="1">
        <f t="array" aca="1" ref="R577" ca="1">INDEX($AO$204:$AO$235, J364)</f>
        <v>#VALUE!</v>
      </c>
      <c r="S577" s="15" t="e" cm="1" vm="1">
        <f t="array" aca="1" ref="S577" ca="1">INDEX($AO$204:$AO$235, K364)</f>
        <v>#VALUE!</v>
      </c>
      <c r="T577" s="15" t="e" cm="1" vm="1">
        <f t="array" aca="1" ref="T577" ca="1">INDEX($AO$204:$AO$235, L364)</f>
        <v>#VALUE!</v>
      </c>
      <c r="U577" s="15" t="e" cm="1">
        <f t="array" ref="U577">INDEX($AO$204:$AO$235, M364)</f>
        <v>#REF!</v>
      </c>
      <c r="W577" s="9">
        <v>7</v>
      </c>
      <c r="X577" s="4" t="e">
        <f t="shared" si="41"/>
        <v>#REF!</v>
      </c>
      <c r="Z577" s="32">
        <v>6</v>
      </c>
      <c r="AA577" s="34" t="e">
        <f>_xlfn.TEXTJOIN("", TRUE, INDEX($X$264:$X$311, (ROW(A313)-1)*6+1) : INDEX($X$264:$X$311, (ROW(A313)-1)*6+6))</f>
        <v>#REF!</v>
      </c>
      <c r="AB577" s="35"/>
      <c r="AC577" s="32" t="e">
        <f t="shared" si="42"/>
        <v>#REF!</v>
      </c>
      <c r="AD577" s="31" t="e">
        <f t="shared" si="43"/>
        <v>#REF!</v>
      </c>
      <c r="AE577" s="31" t="e" cm="1">
        <f t="array" aca="1" ref="AE577" ca="1">INDEX(OFFSET('[1]S-box'!$A$2, (Z577-1)*6, 0, 4, 16), AC577+1, AD577+1)</f>
        <v>#VALUE!</v>
      </c>
      <c r="AF577" s="33" t="e">
        <f t="shared" ca="1" si="44"/>
        <v>#VALUE!</v>
      </c>
      <c r="AH577" s="9">
        <v>7</v>
      </c>
      <c r="AI577" s="4" t="e" cm="1">
        <f t="array" ref="AI577">MID(INDEX($AF$265:$AF$272,INT((ROW(A314)-1)/4)+1),MOD(ROW(A314)-1,4)+1,1)</f>
        <v>#REF!</v>
      </c>
      <c r="AK577" s="9">
        <v>7</v>
      </c>
      <c r="AL577" s="4" t="e" cm="1">
        <f t="array" ref="AL577">INDEX($AI$264:$AI$295, INDEX($H$15:$O$18, INT((ROW(A314)-1)/8)+1, MOD(ROW(A314)-1,8)+1))</f>
        <v>#REF!</v>
      </c>
      <c r="AN577" s="2" t="e" vm="3">
        <f t="shared" ca="1" si="45"/>
        <v>#VALUE!</v>
      </c>
      <c r="AO577" s="2" t="e">
        <f t="shared" si="46"/>
        <v>#REF!</v>
      </c>
    </row>
    <row r="578" spans="2:41" x14ac:dyDescent="0.25">
      <c r="B578" s="11">
        <v>8</v>
      </c>
      <c r="C578" s="2">
        <v>0</v>
      </c>
      <c r="F578" s="15" cm="1">
        <f t="array" ref="F578">INDEX($C$571:$C$626, H48)</f>
        <v>0</v>
      </c>
      <c r="G578" s="15" cm="1">
        <f t="array" ref="G578">INDEX($C$571:$C$626, I48)</f>
        <v>0</v>
      </c>
      <c r="H578" s="15" cm="1">
        <f t="array" ref="H578">INDEX($C$571:$C$626, J48)</f>
        <v>0</v>
      </c>
      <c r="I578" s="15" cm="1">
        <f t="array" ref="I578">INDEX($C$571:$C$626, K48)</f>
        <v>0</v>
      </c>
      <c r="J578" s="15" cm="1">
        <f t="array" ref="J578">INDEX($C$571:$C$626, L48)</f>
        <v>0</v>
      </c>
      <c r="K578" s="15" cm="1">
        <f t="array" ref="K578">INDEX($C$571:$C$626, M48)</f>
        <v>1</v>
      </c>
      <c r="M578" s="11">
        <v>8</v>
      </c>
      <c r="N578" s="4" cm="1">
        <f t="array" ref="N578">INDEX($F$571:$K$578, INT((ROW(A8)-1)/6)+1, MOD(ROW(A377)-1,6)+1)</f>
        <v>0</v>
      </c>
      <c r="P578" s="15" t="e" cm="1" vm="2">
        <f t="array" aca="1" ref="P578" ca="1">INDEX($AO$204:$AO$235, H365)</f>
        <v>#VALUE!</v>
      </c>
      <c r="Q578" s="15" t="e" cm="1" vm="2">
        <f t="array" aca="1" ref="Q578" ca="1">INDEX($AO$204:$AO$235, I365)</f>
        <v>#VALUE!</v>
      </c>
      <c r="R578" s="15" t="e" cm="1">
        <f t="array" aca="1" ref="R578:R609" ca="1">INDEX($AO$204:$AO$235, J365)</f>
        <v>#VALUE!</v>
      </c>
      <c r="S578" s="15" t="e" cm="1">
        <f t="array" aca="1" ref="S578:S609" ca="1">INDEX($AO$204:$AO$235, K365)</f>
        <v>#VALUE!</v>
      </c>
      <c r="T578" s="15" t="e" cm="1">
        <f t="array" aca="1" ref="T578:T609" ca="1">INDEX($AO$204:$AO$235, L365)</f>
        <v>#VALUE!</v>
      </c>
      <c r="U578" s="15" t="e" cm="1">
        <f t="array" ref="U578">INDEX($AO$204:$AO$235, M365)</f>
        <v>#REF!</v>
      </c>
      <c r="W578" s="11">
        <v>8</v>
      </c>
      <c r="X578" s="4" t="e">
        <f t="shared" si="41"/>
        <v>#REF!</v>
      </c>
      <c r="Z578" s="32">
        <v>7</v>
      </c>
      <c r="AA578" s="34" t="e">
        <f>_xlfn.TEXTJOIN("", TRUE, INDEX($X$264:$X$311, (ROW(A314)-1)*6+1) : INDEX($X$264:$X$311, (ROW(A314)-1)*6+6))</f>
        <v>#REF!</v>
      </c>
      <c r="AB578" s="35"/>
      <c r="AC578" s="32" t="e">
        <f t="shared" si="42"/>
        <v>#REF!</v>
      </c>
      <c r="AD578" s="31" t="e">
        <f t="shared" si="43"/>
        <v>#REF!</v>
      </c>
      <c r="AE578" s="31" t="e" cm="1">
        <f t="array" aca="1" ref="AE578" ca="1">INDEX(OFFSET('[1]S-box'!$A$2, (Z578-1)*6, 0, 4, 16), AC578+1, AD578+1)</f>
        <v>#VALUE!</v>
      </c>
      <c r="AF578" s="33" t="e">
        <f t="shared" ca="1" si="44"/>
        <v>#VALUE!</v>
      </c>
      <c r="AH578" s="11">
        <v>8</v>
      </c>
      <c r="AI578" s="4" t="e" cm="1">
        <f t="array" ref="AI578">MID(INDEX($AF$265:$AF$272,INT((ROW(A315)-1)/4)+1),MOD(ROW(A315)-1,4)+1,1)</f>
        <v>#REF!</v>
      </c>
      <c r="AK578" s="11">
        <v>8</v>
      </c>
      <c r="AL578" s="4" t="e" cm="1">
        <f t="array" ref="AL578">INDEX($AI$264:$AI$295, INDEX($H$15:$O$18, INT((ROW(A315)-1)/8)+1, MOD(ROW(A315)-1,8)+1))</f>
        <v>#REF!</v>
      </c>
      <c r="AN578" s="2" t="e" vm="3">
        <f t="shared" ca="1" si="45"/>
        <v>#VALUE!</v>
      </c>
      <c r="AO578" s="2" t="e">
        <f t="shared" si="46"/>
        <v>#REF!</v>
      </c>
    </row>
    <row r="579" spans="2:41" x14ac:dyDescent="0.25">
      <c r="B579" s="9">
        <v>9</v>
      </c>
      <c r="C579" s="2">
        <v>1</v>
      </c>
      <c r="M579" s="9">
        <v>9</v>
      </c>
      <c r="N579" s="4" cm="1">
        <f t="array" ref="N579">INDEX($F$571:$K$578, INT((ROW(A9)-1)/6)+1, MOD(ROW(A378)-1,6)+1)</f>
        <v>0</v>
      </c>
      <c r="R579" t="e">
        <f ca="1"/>
        <v>#VALUE!</v>
      </c>
      <c r="S579" t="e">
        <f ca="1"/>
        <v>#VALUE!</v>
      </c>
      <c r="T579" t="e">
        <f ca="1"/>
        <v>#VALUE!</v>
      </c>
      <c r="W579" s="9">
        <v>9</v>
      </c>
      <c r="X579" s="4" t="e">
        <f t="shared" si="41"/>
        <v>#REF!</v>
      </c>
      <c r="Z579" s="32">
        <v>8</v>
      </c>
      <c r="AA579" s="34" t="e">
        <f>_xlfn.TEXTJOIN("", TRUE, INDEX($X$264:$X$311, (ROW(A315)-1)*6+1) : INDEX($X$264:$X$311, (ROW(A315)-1)*6+6))</f>
        <v>#REF!</v>
      </c>
      <c r="AB579" s="35"/>
      <c r="AC579" s="32" t="e">
        <f t="shared" si="42"/>
        <v>#REF!</v>
      </c>
      <c r="AD579" s="31" t="e">
        <f t="shared" si="43"/>
        <v>#REF!</v>
      </c>
      <c r="AE579" s="31" t="e" cm="1">
        <f t="array" aca="1" ref="AE579" ca="1">INDEX(OFFSET('[1]S-box'!$A$2, (Z579-1)*6, 0, 4, 16), AC579+1, AD579+1)</f>
        <v>#VALUE!</v>
      </c>
      <c r="AF579" s="33" t="e">
        <f t="shared" ca="1" si="44"/>
        <v>#VALUE!</v>
      </c>
      <c r="AH579" s="9">
        <v>9</v>
      </c>
      <c r="AI579" s="4" t="e" cm="1">
        <f t="array" ref="AI579">MID(INDEX($AF$265:$AF$272,INT((ROW(A316)-1)/4)+1),MOD(ROW(A316)-1,4)+1,1)</f>
        <v>#REF!</v>
      </c>
      <c r="AK579" s="9">
        <v>9</v>
      </c>
      <c r="AL579" s="4" t="e" cm="1">
        <f t="array" ref="AL579">INDEX($AI$264:$AI$295, INDEX($H$15:$O$18, INT((ROW(A316)-1)/8)+1, MOD(ROW(A316)-1,8)+1))</f>
        <v>#REF!</v>
      </c>
      <c r="AN579" s="2" t="e" vm="3">
        <f t="shared" ca="1" si="45"/>
        <v>#VALUE!</v>
      </c>
      <c r="AO579" s="2" t="e">
        <f t="shared" si="46"/>
        <v>#REF!</v>
      </c>
    </row>
    <row r="580" spans="2:41" x14ac:dyDescent="0.25">
      <c r="B580" s="9">
        <v>10</v>
      </c>
      <c r="C580" s="2">
        <v>0</v>
      </c>
      <c r="M580" s="9">
        <v>10</v>
      </c>
      <c r="N580" s="4" cm="1">
        <f t="array" ref="N580">INDEX($F$571:$K$578, INT((ROW(A10)-1)/6)+1, MOD(ROW(A379)-1,6)+1)</f>
        <v>1</v>
      </c>
      <c r="P580" s="36" t="s">
        <v>94</v>
      </c>
      <c r="Q580" s="36"/>
      <c r="R580" t="e">
        <f ca="1"/>
        <v>#VALUE!</v>
      </c>
      <c r="S580" t="e">
        <f ca="1"/>
        <v>#VALUE!</v>
      </c>
      <c r="T580" t="e">
        <f ca="1"/>
        <v>#VALUE!</v>
      </c>
      <c r="W580" s="9">
        <v>10</v>
      </c>
      <c r="X580" s="4" t="e">
        <f t="shared" si="41"/>
        <v>#REF!</v>
      </c>
      <c r="AH580" s="9">
        <v>10</v>
      </c>
      <c r="AI580" s="4" t="e" cm="1">
        <f t="array" ref="AI580">MID(INDEX($AF$265:$AF$272,INT((ROW(A317)-1)/4)+1),MOD(ROW(A317)-1,4)+1,1)</f>
        <v>#REF!</v>
      </c>
      <c r="AK580" s="9">
        <v>10</v>
      </c>
      <c r="AL580" s="4" t="e" cm="1">
        <f t="array" ref="AL580">INDEX($AI$264:$AI$295, INDEX($H$15:$O$18, INT((ROW(A317)-1)/8)+1, MOD(ROW(A317)-1,8)+1))</f>
        <v>#REF!</v>
      </c>
      <c r="AN580" s="2" t="e" vm="3">
        <f t="shared" ca="1" si="45"/>
        <v>#VALUE!</v>
      </c>
      <c r="AO580" s="2" t="e">
        <f t="shared" si="46"/>
        <v>#REF!</v>
      </c>
    </row>
    <row r="581" spans="2:41" x14ac:dyDescent="0.25">
      <c r="B581" s="9">
        <v>11</v>
      </c>
      <c r="C581" s="2">
        <v>1</v>
      </c>
      <c r="M581" s="9">
        <v>11</v>
      </c>
      <c r="N581" s="4" cm="1">
        <f t="array" ref="N581">INDEX($F$571:$K$578, INT((ROW(A11)-1)/6)+1, MOD(ROW(A380)-1,6)+1)</f>
        <v>1</v>
      </c>
      <c r="P581" s="9">
        <v>1</v>
      </c>
      <c r="Q581" s="4" t="e" cm="1">
        <f t="array" ref="Q581">INDEX($P$264:$U$271, INT((ROW(A308)-1)/6)+1, MOD(ROW(A308)-1,6)+1)</f>
        <v>#REF!</v>
      </c>
      <c r="R581" t="e">
        <f ca="1"/>
        <v>#VALUE!</v>
      </c>
      <c r="S581" t="e">
        <f ca="1"/>
        <v>#VALUE!</v>
      </c>
      <c r="T581" t="e">
        <f ca="1"/>
        <v>#VALUE!</v>
      </c>
      <c r="W581" s="9">
        <v>11</v>
      </c>
      <c r="X581" s="4" t="e">
        <f t="shared" si="41"/>
        <v>#REF!</v>
      </c>
      <c r="AH581" s="9">
        <v>11</v>
      </c>
      <c r="AI581" s="4" t="e" cm="1">
        <f t="array" ref="AI581">MID(INDEX($AF$265:$AF$272,INT((ROW(A318)-1)/4)+1),MOD(ROW(A318)-1,4)+1,1)</f>
        <v>#REF!</v>
      </c>
      <c r="AK581" s="9">
        <v>11</v>
      </c>
      <c r="AL581" s="4" t="e" cm="1">
        <f t="array" ref="AL581">INDEX($AI$264:$AI$295, INDEX($H$15:$O$18, INT((ROW(A318)-1)/8)+1, MOD(ROW(A318)-1,8)+1))</f>
        <v>#REF!</v>
      </c>
      <c r="AN581" s="2" t="e">
        <f t="shared" ca="1" si="45"/>
        <v>#VALUE!</v>
      </c>
      <c r="AO581" s="2" t="e">
        <f t="shared" si="46"/>
        <v>#REF!</v>
      </c>
    </row>
    <row r="582" spans="2:41" x14ac:dyDescent="0.25">
      <c r="B582" s="9">
        <v>12</v>
      </c>
      <c r="C582" s="2">
        <v>0</v>
      </c>
      <c r="M582" s="9">
        <v>12</v>
      </c>
      <c r="N582" s="4" cm="1">
        <f t="array" ref="N582">INDEX($F$571:$K$578, INT((ROW(A12)-1)/6)+1, MOD(ROW(A381)-1,6)+1)</f>
        <v>1</v>
      </c>
      <c r="P582" s="9">
        <v>2</v>
      </c>
      <c r="Q582" s="4" t="e" cm="1">
        <f t="array" ref="Q582">INDEX($P$264:$U$271, INT((ROW(A309)-1)/6)+1, MOD(ROW(A309)-1,6)+1)</f>
        <v>#REF!</v>
      </c>
      <c r="R582" t="e">
        <f ca="1"/>
        <v>#VALUE!</v>
      </c>
      <c r="S582" t="e">
        <f ca="1"/>
        <v>#VALUE!</v>
      </c>
      <c r="T582" t="e">
        <f ca="1"/>
        <v>#VALUE!</v>
      </c>
      <c r="W582" s="9">
        <v>12</v>
      </c>
      <c r="X582" s="4" t="e">
        <f t="shared" si="41"/>
        <v>#REF!</v>
      </c>
      <c r="AH582" s="9">
        <v>12</v>
      </c>
      <c r="AI582" s="4" t="e" cm="1">
        <f t="array" ref="AI582">MID(INDEX($AF$265:$AF$272,INT((ROW(A319)-1)/4)+1),MOD(ROW(A319)-1,4)+1,1)</f>
        <v>#REF!</v>
      </c>
      <c r="AK582" s="9">
        <v>12</v>
      </c>
      <c r="AL582" s="4" t="e" cm="1">
        <f t="array" ref="AL582">INDEX($AI$264:$AI$295, INDEX($H$15:$O$18, INT((ROW(A319)-1)/8)+1, MOD(ROW(A319)-1,8)+1))</f>
        <v>#REF!</v>
      </c>
      <c r="AN582" s="2" t="e">
        <f t="shared" ca="1" si="45"/>
        <v>#VALUE!</v>
      </c>
      <c r="AO582" s="2" t="e">
        <f t="shared" si="46"/>
        <v>#REF!</v>
      </c>
    </row>
    <row r="583" spans="2:41" x14ac:dyDescent="0.25">
      <c r="B583" s="9">
        <v>13</v>
      </c>
      <c r="C583" s="2">
        <v>1</v>
      </c>
      <c r="M583" s="9">
        <v>13</v>
      </c>
      <c r="N583" s="4" cm="1">
        <f t="array" ref="N583">INDEX($F$571:$K$578, INT((ROW(A13)-1)/6)+1, MOD(ROW(A382)-1,6)+1)</f>
        <v>0</v>
      </c>
      <c r="P583" s="9">
        <v>3</v>
      </c>
      <c r="Q583" s="4" t="e" cm="1">
        <f t="array" ref="Q583">INDEX($P$264:$U$271, INT((ROW(A310)-1)/6)+1, MOD(ROW(A310)-1,6)+1)</f>
        <v>#REF!</v>
      </c>
      <c r="R583" t="e">
        <f ca="1"/>
        <v>#VALUE!</v>
      </c>
      <c r="S583" t="e">
        <f ca="1"/>
        <v>#VALUE!</v>
      </c>
      <c r="T583" t="e">
        <f ca="1"/>
        <v>#VALUE!</v>
      </c>
      <c r="W583" s="9">
        <v>13</v>
      </c>
      <c r="X583" s="4" t="e">
        <f t="shared" si="41"/>
        <v>#REF!</v>
      </c>
      <c r="AH583" s="9">
        <v>13</v>
      </c>
      <c r="AI583" s="4" t="e" cm="1">
        <f t="array" ref="AI583">MID(INDEX($AF$265:$AF$272,INT((ROW(A320)-1)/4)+1),MOD(ROW(A320)-1,4)+1,1)</f>
        <v>#REF!</v>
      </c>
      <c r="AK583" s="9">
        <v>13</v>
      </c>
      <c r="AL583" s="4" t="e" cm="1">
        <f t="array" ref="AL583">INDEX($AI$264:$AI$295, INDEX($H$15:$O$18, INT((ROW(A320)-1)/8)+1, MOD(ROW(A320)-1,8)+1))</f>
        <v>#REF!</v>
      </c>
      <c r="AN583" s="2" t="e">
        <f t="shared" ca="1" si="45"/>
        <v>#VALUE!</v>
      </c>
      <c r="AO583" s="2" t="e">
        <f t="shared" si="46"/>
        <v>#REF!</v>
      </c>
    </row>
    <row r="584" spans="2:41" x14ac:dyDescent="0.25">
      <c r="B584" s="9">
        <v>14</v>
      </c>
      <c r="C584" s="2">
        <v>1</v>
      </c>
      <c r="M584" s="9">
        <v>14</v>
      </c>
      <c r="N584" s="4" cm="1">
        <f t="array" ref="N584">INDEX($F$571:$K$578, INT((ROW(A14)-1)/6)+1, MOD(ROW(A383)-1,6)+1)</f>
        <v>0</v>
      </c>
      <c r="P584" s="9">
        <v>4</v>
      </c>
      <c r="Q584" s="4" t="e" cm="1">
        <f t="array" ref="Q584">INDEX($P$264:$U$271, INT((ROW(A311)-1)/6)+1, MOD(ROW(A311)-1,6)+1)</f>
        <v>#REF!</v>
      </c>
      <c r="R584" t="e">
        <f ca="1"/>
        <v>#VALUE!</v>
      </c>
      <c r="S584" t="e">
        <f ca="1"/>
        <v>#VALUE!</v>
      </c>
      <c r="T584" t="e">
        <f ca="1"/>
        <v>#VALUE!</v>
      </c>
      <c r="W584" s="9">
        <v>14</v>
      </c>
      <c r="X584" s="4" t="e">
        <f t="shared" si="41"/>
        <v>#REF!</v>
      </c>
      <c r="AH584" s="9">
        <v>14</v>
      </c>
      <c r="AI584" s="4" t="e" cm="1">
        <f t="array" ref="AI584">MID(INDEX($AF$265:$AF$272,INT((ROW(A321)-1)/4)+1),MOD(ROW(A321)-1,4)+1,1)</f>
        <v>#REF!</v>
      </c>
      <c r="AK584" s="9">
        <v>14</v>
      </c>
      <c r="AL584" s="4" t="e" cm="1">
        <f t="array" ref="AL584">INDEX($AI$264:$AI$295, INDEX($H$15:$O$18, INT((ROW(A321)-1)/8)+1, MOD(ROW(A321)-1,8)+1))</f>
        <v>#REF!</v>
      </c>
      <c r="AN584" s="2" t="e">
        <f t="shared" ca="1" si="45"/>
        <v>#VALUE!</v>
      </c>
      <c r="AO584" s="2" t="e">
        <f t="shared" si="46"/>
        <v>#REF!</v>
      </c>
    </row>
    <row r="585" spans="2:41" x14ac:dyDescent="0.25">
      <c r="B585" s="9">
        <v>15</v>
      </c>
      <c r="C585" s="2">
        <v>1</v>
      </c>
      <c r="M585" s="9">
        <v>15</v>
      </c>
      <c r="N585" s="4" cm="1">
        <f t="array" ref="N585">INDEX($F$571:$K$578, INT((ROW(A15)-1)/6)+1, MOD(ROW(A384)-1,6)+1)</f>
        <v>0</v>
      </c>
      <c r="P585" s="9">
        <v>5</v>
      </c>
      <c r="Q585" s="4" t="e" cm="1">
        <f t="array" ref="Q585">INDEX($P$264:$U$271, INT((ROW(A312)-1)/6)+1, MOD(ROW(A312)-1,6)+1)</f>
        <v>#REF!</v>
      </c>
      <c r="R585" t="e">
        <f ca="1"/>
        <v>#VALUE!</v>
      </c>
      <c r="S585" t="e">
        <f ca="1"/>
        <v>#VALUE!</v>
      </c>
      <c r="T585" t="e">
        <f ca="1"/>
        <v>#VALUE!</v>
      </c>
      <c r="W585" s="9">
        <v>15</v>
      </c>
      <c r="X585" s="4" t="e">
        <f t="shared" si="41"/>
        <v>#REF!</v>
      </c>
      <c r="AH585" s="9">
        <v>15</v>
      </c>
      <c r="AI585" s="4" t="e" cm="1">
        <f t="array" ref="AI585">MID(INDEX($AF$265:$AF$272,INT((ROW(A322)-1)/4)+1),MOD(ROW(A322)-1,4)+1,1)</f>
        <v>#REF!</v>
      </c>
      <c r="AK585" s="9">
        <v>15</v>
      </c>
      <c r="AL585" s="4" t="e" cm="1">
        <f t="array" ref="AL585">INDEX($AI$264:$AI$295, INDEX($H$15:$O$18, INT((ROW(A322)-1)/8)+1, MOD(ROW(A322)-1,8)+1))</f>
        <v>#REF!</v>
      </c>
      <c r="AN585" s="2" t="e">
        <f t="shared" ca="1" si="45"/>
        <v>#VALUE!</v>
      </c>
      <c r="AO585" s="2" t="e">
        <f t="shared" si="46"/>
        <v>#REF!</v>
      </c>
    </row>
    <row r="586" spans="2:41" x14ac:dyDescent="0.25">
      <c r="B586" s="11">
        <v>16</v>
      </c>
      <c r="C586" s="2">
        <v>1</v>
      </c>
      <c r="M586" s="11">
        <v>16</v>
      </c>
      <c r="N586" s="4" cm="1">
        <f t="array" ref="N586">INDEX($F$571:$K$578, INT((ROW(A16)-1)/6)+1, MOD(ROW(A385)-1,6)+1)</f>
        <v>1</v>
      </c>
      <c r="P586" s="9">
        <v>6</v>
      </c>
      <c r="Q586" s="4" t="e" cm="1">
        <f t="array" ref="Q586">INDEX($P$264:$U$271, INT((ROW(A313)-1)/6)+1, MOD(ROW(A313)-1,6)+1)</f>
        <v>#REF!</v>
      </c>
      <c r="R586" t="e">
        <f ca="1"/>
        <v>#VALUE!</v>
      </c>
      <c r="S586" t="e">
        <f ca="1"/>
        <v>#VALUE!</v>
      </c>
      <c r="T586" t="e">
        <f ca="1"/>
        <v>#VALUE!</v>
      </c>
      <c r="W586" s="11">
        <v>16</v>
      </c>
      <c r="X586" s="4" t="e">
        <f t="shared" si="41"/>
        <v>#REF!</v>
      </c>
      <c r="AH586" s="11">
        <v>16</v>
      </c>
      <c r="AI586" s="4" t="e" cm="1">
        <f t="array" ref="AI586">MID(INDEX($AF$265:$AF$272,INT((ROW(A323)-1)/4)+1),MOD(ROW(A323)-1,4)+1,1)</f>
        <v>#REF!</v>
      </c>
      <c r="AK586" s="11">
        <v>16</v>
      </c>
      <c r="AL586" s="4" t="e" cm="1">
        <f t="array" ref="AL586">INDEX($AI$264:$AI$295, INDEX($H$15:$O$18, INT((ROW(A323)-1)/8)+1, MOD(ROW(A323)-1,8)+1))</f>
        <v>#REF!</v>
      </c>
      <c r="AN586" s="2" t="e">
        <f t="shared" ca="1" si="45"/>
        <v>#VALUE!</v>
      </c>
      <c r="AO586" s="2" t="e">
        <f t="shared" si="46"/>
        <v>#REF!</v>
      </c>
    </row>
    <row r="587" spans="2:41" x14ac:dyDescent="0.25">
      <c r="B587" s="7">
        <v>17</v>
      </c>
      <c r="C587" s="2">
        <v>1</v>
      </c>
      <c r="M587" s="7">
        <v>17</v>
      </c>
      <c r="N587" s="4" cm="1">
        <f t="array" ref="N587">INDEX($F$571:$K$578, INT((ROW(A17)-1)/6)+1, MOD(ROW(A386)-1,6)+1)</f>
        <v>0</v>
      </c>
      <c r="P587" s="9">
        <v>7</v>
      </c>
      <c r="Q587" s="4" t="e" cm="1">
        <f t="array" ref="Q587">INDEX($P$264:$U$271, INT((ROW(A314)-1)/6)+1, MOD(ROW(A314)-1,6)+1)</f>
        <v>#REF!</v>
      </c>
      <c r="R587" t="e">
        <f ca="1"/>
        <v>#VALUE!</v>
      </c>
      <c r="S587" t="e">
        <f ca="1"/>
        <v>#VALUE!</v>
      </c>
      <c r="T587" t="e">
        <f ca="1"/>
        <v>#VALUE!</v>
      </c>
      <c r="W587" s="7">
        <v>17</v>
      </c>
      <c r="X587" s="4" t="e">
        <f t="shared" si="41"/>
        <v>#REF!</v>
      </c>
      <c r="AH587" s="7">
        <v>17</v>
      </c>
      <c r="AI587" s="4" t="e" cm="1">
        <f t="array" ref="AI587">MID(INDEX($AF$265:$AF$272,INT((ROW(A324)-1)/4)+1),MOD(ROW(A324)-1,4)+1,1)</f>
        <v>#REF!</v>
      </c>
      <c r="AK587" s="7">
        <v>17</v>
      </c>
      <c r="AL587" s="4" t="e" cm="1">
        <f t="array" ref="AL587">INDEX($AI$264:$AI$295, INDEX($H$15:$O$18, INT((ROW(A324)-1)/8)+1, MOD(ROW(A324)-1,8)+1))</f>
        <v>#REF!</v>
      </c>
      <c r="AN587" s="2" t="e">
        <f t="shared" ca="1" si="45"/>
        <v>#VALUE!</v>
      </c>
      <c r="AO587" s="2" t="e">
        <f t="shared" si="46"/>
        <v>#REF!</v>
      </c>
    </row>
    <row r="588" spans="2:41" x14ac:dyDescent="0.25">
      <c r="B588" s="9">
        <v>18</v>
      </c>
      <c r="C588" s="2">
        <v>1</v>
      </c>
      <c r="M588" s="9">
        <v>18</v>
      </c>
      <c r="N588" s="4" cm="1">
        <f t="array" ref="N588">INDEX($F$571:$K$578, INT((ROW(A18)-1)/6)+1, MOD(ROW(A387)-1,6)+1)</f>
        <v>0</v>
      </c>
      <c r="P588" s="11">
        <v>8</v>
      </c>
      <c r="Q588" s="4" t="e" cm="1">
        <f t="array" ref="Q588">INDEX($P$264:$U$271, INT((ROW(A315)-1)/6)+1, MOD(ROW(A315)-1,6)+1)</f>
        <v>#REF!</v>
      </c>
      <c r="R588" t="e">
        <f ca="1"/>
        <v>#VALUE!</v>
      </c>
      <c r="S588" t="e">
        <f ca="1"/>
        <v>#VALUE!</v>
      </c>
      <c r="T588" t="e">
        <f ca="1"/>
        <v>#VALUE!</v>
      </c>
      <c r="W588" s="9">
        <v>18</v>
      </c>
      <c r="X588" s="4" t="e">
        <f t="shared" si="41"/>
        <v>#REF!</v>
      </c>
      <c r="AH588" s="9">
        <v>18</v>
      </c>
      <c r="AI588" s="4" t="e" cm="1">
        <f t="array" ref="AI588">MID(INDEX($AF$265:$AF$272,INT((ROW(A325)-1)/4)+1),MOD(ROW(A325)-1,4)+1,1)</f>
        <v>#REF!</v>
      </c>
      <c r="AK588" s="9">
        <v>18</v>
      </c>
      <c r="AL588" s="4" t="e" cm="1">
        <f t="array" ref="AL588">INDEX($AI$264:$AI$295, INDEX($H$15:$O$18, INT((ROW(A325)-1)/8)+1, MOD(ROW(A325)-1,8)+1))</f>
        <v>#REF!</v>
      </c>
      <c r="AN588" s="2" t="e">
        <f t="shared" ca="1" si="45"/>
        <v>#VALUE!</v>
      </c>
      <c r="AO588" s="2" t="e">
        <f t="shared" si="46"/>
        <v>#REF!</v>
      </c>
    </row>
    <row r="589" spans="2:41" x14ac:dyDescent="0.25">
      <c r="B589" s="9">
        <v>19</v>
      </c>
      <c r="C589" s="2">
        <v>0</v>
      </c>
      <c r="M589" s="9">
        <v>19</v>
      </c>
      <c r="N589" s="4" cm="1">
        <f t="array" ref="N589">INDEX($F$571:$K$578, INT((ROW(A19)-1)/6)+1, MOD(ROW(A388)-1,6)+1)</f>
        <v>0</v>
      </c>
      <c r="P589" s="7">
        <v>9</v>
      </c>
      <c r="Q589" s="4" t="e" cm="1">
        <f t="array" ref="Q589">INDEX($P$264:$U$271, INT((ROW(A316)-1)/6)+1, MOD(ROW(A316)-1,6)+1)</f>
        <v>#REF!</v>
      </c>
      <c r="R589" t="e">
        <f ca="1"/>
        <v>#VALUE!</v>
      </c>
      <c r="S589" t="e">
        <f ca="1"/>
        <v>#VALUE!</v>
      </c>
      <c r="T589" t="e">
        <f ca="1"/>
        <v>#VALUE!</v>
      </c>
      <c r="W589" s="9">
        <v>19</v>
      </c>
      <c r="X589" s="4" t="e">
        <f t="shared" si="41"/>
        <v>#REF!</v>
      </c>
      <c r="AH589" s="9">
        <v>19</v>
      </c>
      <c r="AI589" s="4" t="e" cm="1">
        <f t="array" ref="AI589">MID(INDEX($AF$265:$AF$272,INT((ROW(A326)-1)/4)+1),MOD(ROW(A326)-1,4)+1,1)</f>
        <v>#REF!</v>
      </c>
      <c r="AK589" s="9">
        <v>19</v>
      </c>
      <c r="AL589" s="4" t="e" cm="1">
        <f t="array" ref="AL589">INDEX($AI$264:$AI$295, INDEX($H$15:$O$18, INT((ROW(A326)-1)/8)+1, MOD(ROW(A326)-1,8)+1))</f>
        <v>#REF!</v>
      </c>
      <c r="AN589" s="2" t="e">
        <f t="shared" ca="1" si="45"/>
        <v>#VALUE!</v>
      </c>
      <c r="AO589" s="2" t="e">
        <f t="shared" si="46"/>
        <v>#REF!</v>
      </c>
    </row>
    <row r="590" spans="2:41" x14ac:dyDescent="0.25">
      <c r="B590" s="9">
        <v>20</v>
      </c>
      <c r="C590" s="2">
        <v>0</v>
      </c>
      <c r="M590" s="9">
        <v>20</v>
      </c>
      <c r="N590" s="4" cm="1">
        <f t="array" ref="N590">INDEX($F$571:$K$578, INT((ROW(A20)-1)/6)+1, MOD(ROW(A389)-1,6)+1)</f>
        <v>1</v>
      </c>
      <c r="P590" s="9">
        <v>10</v>
      </c>
      <c r="Q590" s="4" t="e" cm="1">
        <f t="array" ref="Q590">INDEX($P$264:$U$271, INT((ROW(A317)-1)/6)+1, MOD(ROW(A317)-1,6)+1)</f>
        <v>#REF!</v>
      </c>
      <c r="R590" t="e">
        <f ca="1"/>
        <v>#VALUE!</v>
      </c>
      <c r="S590" t="e">
        <f ca="1"/>
        <v>#VALUE!</v>
      </c>
      <c r="T590" t="e">
        <f ca="1"/>
        <v>#VALUE!</v>
      </c>
      <c r="W590" s="9">
        <v>20</v>
      </c>
      <c r="X590" s="4" t="e">
        <f t="shared" si="41"/>
        <v>#REF!</v>
      </c>
      <c r="AH590" s="9">
        <v>20</v>
      </c>
      <c r="AI590" s="4" t="e" cm="1">
        <f t="array" ref="AI590">MID(INDEX($AF$265:$AF$272,INT((ROW(A327)-1)/4)+1),MOD(ROW(A327)-1,4)+1,1)</f>
        <v>#REF!</v>
      </c>
      <c r="AK590" s="9">
        <v>20</v>
      </c>
      <c r="AL590" s="4" t="e" cm="1">
        <f t="array" ref="AL590">INDEX($AI$264:$AI$295, INDEX($H$15:$O$18, INT((ROW(A327)-1)/8)+1, MOD(ROW(A327)-1,8)+1))</f>
        <v>#REF!</v>
      </c>
      <c r="AN590" s="2" t="e">
        <f t="shared" ca="1" si="45"/>
        <v>#VALUE!</v>
      </c>
      <c r="AO590" s="2" t="e">
        <f t="shared" si="46"/>
        <v>#REF!</v>
      </c>
    </row>
    <row r="591" spans="2:41" x14ac:dyDescent="0.25">
      <c r="B591" s="9">
        <v>21</v>
      </c>
      <c r="C591" s="2">
        <v>0</v>
      </c>
      <c r="M591" s="9">
        <v>21</v>
      </c>
      <c r="N591" s="4" cm="1">
        <f t="array" ref="N591">INDEX($F$571:$K$578, INT((ROW(A21)-1)/6)+1, MOD(ROW(A390)-1,6)+1)</f>
        <v>0</v>
      </c>
      <c r="P591" s="9">
        <v>11</v>
      </c>
      <c r="Q591" s="4" t="e" cm="1">
        <f t="array" ref="Q591">INDEX($P$264:$U$271, INT((ROW(A318)-1)/6)+1, MOD(ROW(A318)-1,6)+1)</f>
        <v>#REF!</v>
      </c>
      <c r="R591" t="e">
        <f ca="1"/>
        <v>#VALUE!</v>
      </c>
      <c r="S591" t="e">
        <f ca="1"/>
        <v>#VALUE!</v>
      </c>
      <c r="T591" t="e">
        <f ca="1"/>
        <v>#VALUE!</v>
      </c>
      <c r="W591" s="9">
        <v>21</v>
      </c>
      <c r="X591" s="4" t="e">
        <f t="shared" si="41"/>
        <v>#REF!</v>
      </c>
      <c r="AH591" s="9">
        <v>21</v>
      </c>
      <c r="AI591" s="4" t="e" cm="1">
        <f t="array" ref="AI591">MID(INDEX($AF$265:$AF$272,INT((ROW(A328)-1)/4)+1),MOD(ROW(A328)-1,4)+1,1)</f>
        <v>#REF!</v>
      </c>
      <c r="AK591" s="9">
        <v>21</v>
      </c>
      <c r="AL591" s="4" t="e" cm="1">
        <f t="array" ref="AL591">INDEX($AI$264:$AI$295, INDEX($H$15:$O$18, INT((ROW(A328)-1)/8)+1, MOD(ROW(A328)-1,8)+1))</f>
        <v>#REF!</v>
      </c>
      <c r="AN591" s="2" t="e">
        <f t="shared" ca="1" si="45"/>
        <v>#VALUE!</v>
      </c>
      <c r="AO591" s="2" t="e">
        <f t="shared" si="46"/>
        <v>#REF!</v>
      </c>
    </row>
    <row r="592" spans="2:41" x14ac:dyDescent="0.25">
      <c r="B592" s="9">
        <v>22</v>
      </c>
      <c r="C592" s="2">
        <v>0</v>
      </c>
      <c r="M592" s="9">
        <v>22</v>
      </c>
      <c r="N592" s="4" cm="1">
        <f t="array" ref="N592">INDEX($F$571:$K$578, INT((ROW(A22)-1)/6)+1, MOD(ROW(A391)-1,6)+1)</f>
        <v>1</v>
      </c>
      <c r="P592" s="9">
        <v>12</v>
      </c>
      <c r="Q592" s="4" t="e" cm="1">
        <f t="array" ref="Q592">INDEX($P$264:$U$271, INT((ROW(A319)-1)/6)+1, MOD(ROW(A319)-1,6)+1)</f>
        <v>#REF!</v>
      </c>
      <c r="R592" t="e">
        <f ca="1"/>
        <v>#VALUE!</v>
      </c>
      <c r="S592" t="e">
        <f ca="1"/>
        <v>#VALUE!</v>
      </c>
      <c r="T592" t="e">
        <f ca="1"/>
        <v>#VALUE!</v>
      </c>
      <c r="W592" s="9">
        <v>22</v>
      </c>
      <c r="X592" s="4" t="e">
        <f t="shared" si="41"/>
        <v>#REF!</v>
      </c>
      <c r="AH592" s="9">
        <v>22</v>
      </c>
      <c r="AI592" s="4" t="e" cm="1">
        <f t="array" ref="AI592">MID(INDEX($AF$265:$AF$272,INT((ROW(A329)-1)/4)+1),MOD(ROW(A329)-1,4)+1,1)</f>
        <v>#REF!</v>
      </c>
      <c r="AK592" s="9">
        <v>22</v>
      </c>
      <c r="AL592" s="4" t="e" cm="1">
        <f t="array" ref="AL592">INDEX($AI$264:$AI$295, INDEX($H$15:$O$18, INT((ROW(A329)-1)/8)+1, MOD(ROW(A329)-1,8)+1))</f>
        <v>#REF!</v>
      </c>
      <c r="AN592" s="2" t="e">
        <f t="shared" ca="1" si="45"/>
        <v>#VALUE!</v>
      </c>
      <c r="AO592" s="2" t="e">
        <f t="shared" si="46"/>
        <v>#REF!</v>
      </c>
    </row>
    <row r="593" spans="2:41" x14ac:dyDescent="0.25">
      <c r="B593" s="9">
        <v>23</v>
      </c>
      <c r="C593" s="2">
        <v>1</v>
      </c>
      <c r="M593" s="9">
        <v>23</v>
      </c>
      <c r="N593" s="4" cm="1">
        <f t="array" ref="N593">INDEX($F$571:$K$578, INT((ROW(A23)-1)/6)+1, MOD(ROW(A392)-1,6)+1)</f>
        <v>1</v>
      </c>
      <c r="P593" s="9">
        <v>13</v>
      </c>
      <c r="Q593" s="4" t="e" cm="1">
        <f t="array" ref="Q593">INDEX($P$264:$U$271, INT((ROW(A320)-1)/6)+1, MOD(ROW(A320)-1,6)+1)</f>
        <v>#REF!</v>
      </c>
      <c r="R593" t="e">
        <f ca="1"/>
        <v>#VALUE!</v>
      </c>
      <c r="S593" t="e">
        <f ca="1"/>
        <v>#VALUE!</v>
      </c>
      <c r="T593" t="e">
        <f ca="1"/>
        <v>#VALUE!</v>
      </c>
      <c r="W593" s="9">
        <v>23</v>
      </c>
      <c r="X593" s="4" t="e">
        <f t="shared" si="41"/>
        <v>#REF!</v>
      </c>
      <c r="AH593" s="9">
        <v>23</v>
      </c>
      <c r="AI593" s="4" t="e" cm="1">
        <f t="array" ref="AI593">MID(INDEX($AF$265:$AF$272,INT((ROW(A330)-1)/4)+1),MOD(ROW(A330)-1,4)+1,1)</f>
        <v>#REF!</v>
      </c>
      <c r="AK593" s="9">
        <v>23</v>
      </c>
      <c r="AL593" s="4" t="e" cm="1">
        <f t="array" ref="AL593">INDEX($AI$264:$AI$295, INDEX($H$15:$O$18, INT((ROW(A330)-1)/8)+1, MOD(ROW(A330)-1,8)+1))</f>
        <v>#REF!</v>
      </c>
      <c r="AN593" s="2" t="e">
        <f t="shared" ca="1" si="45"/>
        <v>#VALUE!</v>
      </c>
      <c r="AO593" s="2" t="e">
        <f t="shared" si="46"/>
        <v>#REF!</v>
      </c>
    </row>
    <row r="594" spans="2:41" x14ac:dyDescent="0.25">
      <c r="B594" s="11">
        <v>24</v>
      </c>
      <c r="C594" s="2">
        <v>1</v>
      </c>
      <c r="M594" s="11">
        <v>24</v>
      </c>
      <c r="N594" s="4" cm="1">
        <f t="array" ref="N594">INDEX($F$571:$K$578, INT((ROW(A24)-1)/6)+1, MOD(ROW(A393)-1,6)+1)</f>
        <v>1</v>
      </c>
      <c r="P594" s="9">
        <v>14</v>
      </c>
      <c r="Q594" s="4" t="e" cm="1">
        <f t="array" ref="Q594">INDEX($P$264:$U$271, INT((ROW(A321)-1)/6)+1, MOD(ROW(A321)-1,6)+1)</f>
        <v>#REF!</v>
      </c>
      <c r="R594" t="e">
        <f ca="1"/>
        <v>#VALUE!</v>
      </c>
      <c r="S594" t="e">
        <f ca="1"/>
        <v>#VALUE!</v>
      </c>
      <c r="T594" t="e">
        <f ca="1"/>
        <v>#VALUE!</v>
      </c>
      <c r="W594" s="11">
        <v>24</v>
      </c>
      <c r="X594" s="4" t="e">
        <f t="shared" si="41"/>
        <v>#REF!</v>
      </c>
      <c r="AH594" s="11">
        <v>24</v>
      </c>
      <c r="AI594" s="4" t="e" cm="1">
        <f t="array" ref="AI594">MID(INDEX($AF$265:$AF$272,INT((ROW(A331)-1)/4)+1),MOD(ROW(A331)-1,4)+1,1)</f>
        <v>#REF!</v>
      </c>
      <c r="AK594" s="11">
        <v>24</v>
      </c>
      <c r="AL594" s="4" t="e" cm="1">
        <f t="array" ref="AL594">INDEX($AI$264:$AI$295, INDEX($H$15:$O$18, INT((ROW(A331)-1)/8)+1, MOD(ROW(A331)-1,8)+1))</f>
        <v>#REF!</v>
      </c>
      <c r="AN594" s="2" t="e">
        <f t="shared" ca="1" si="45"/>
        <v>#VALUE!</v>
      </c>
      <c r="AO594" s="2" t="e">
        <f t="shared" si="46"/>
        <v>#REF!</v>
      </c>
    </row>
    <row r="595" spans="2:41" x14ac:dyDescent="0.25">
      <c r="B595" s="7">
        <v>25</v>
      </c>
      <c r="C595" s="2">
        <v>0</v>
      </c>
      <c r="M595" s="7">
        <v>25</v>
      </c>
      <c r="N595" s="4" cm="1">
        <f t="array" ref="N595">INDEX($F$571:$K$578, INT((ROW(A25)-1)/6)+1, MOD(ROW(A394)-1,6)+1)</f>
        <v>0</v>
      </c>
      <c r="P595" s="9">
        <v>15</v>
      </c>
      <c r="Q595" s="4" t="e" cm="1">
        <f t="array" ref="Q595">INDEX($P$264:$U$271, INT((ROW(A322)-1)/6)+1, MOD(ROW(A322)-1,6)+1)</f>
        <v>#REF!</v>
      </c>
      <c r="R595" t="e">
        <f ca="1"/>
        <v>#VALUE!</v>
      </c>
      <c r="S595" t="e">
        <f ca="1"/>
        <v>#VALUE!</v>
      </c>
      <c r="T595" t="e">
        <f ca="1"/>
        <v>#VALUE!</v>
      </c>
      <c r="W595" s="7">
        <v>25</v>
      </c>
      <c r="X595" s="4" t="e">
        <f t="shared" si="41"/>
        <v>#REF!</v>
      </c>
      <c r="AH595" s="7">
        <v>25</v>
      </c>
      <c r="AI595" s="4" t="e" cm="1">
        <f t="array" ref="AI595">MID(INDEX($AF$265:$AF$272,INT((ROW(A332)-1)/4)+1),MOD(ROW(A332)-1,4)+1,1)</f>
        <v>#REF!</v>
      </c>
      <c r="AK595" s="7">
        <v>25</v>
      </c>
      <c r="AL595" s="4" t="e" cm="1">
        <f t="array" ref="AL595">INDEX($AI$264:$AI$295, INDEX($H$15:$O$18, INT((ROW(A332)-1)/8)+1, MOD(ROW(A332)-1,8)+1))</f>
        <v>#REF!</v>
      </c>
      <c r="AN595" s="2" t="e">
        <f t="shared" ca="1" si="45"/>
        <v>#VALUE!</v>
      </c>
      <c r="AO595" s="2" t="e">
        <f t="shared" si="46"/>
        <v>#REF!</v>
      </c>
    </row>
    <row r="596" spans="2:41" x14ac:dyDescent="0.25">
      <c r="B596" s="9">
        <v>26</v>
      </c>
      <c r="C596" s="2">
        <v>0</v>
      </c>
      <c r="M596" s="9">
        <v>26</v>
      </c>
      <c r="N596" s="4" cm="1">
        <f t="array" ref="N596">INDEX($F$571:$K$578, INT((ROW(A26)-1)/6)+1, MOD(ROW(A395)-1,6)+1)</f>
        <v>1</v>
      </c>
      <c r="P596" s="11">
        <v>16</v>
      </c>
      <c r="Q596" s="4" t="e" cm="1">
        <f t="array" ref="Q596">INDEX($P$264:$U$271, INT((ROW(A323)-1)/6)+1, MOD(ROW(A323)-1,6)+1)</f>
        <v>#REF!</v>
      </c>
      <c r="R596" t="e">
        <f ca="1"/>
        <v>#VALUE!</v>
      </c>
      <c r="S596" t="e">
        <f ca="1"/>
        <v>#VALUE!</v>
      </c>
      <c r="T596" t="e">
        <f ca="1"/>
        <v>#VALUE!</v>
      </c>
      <c r="W596" s="9">
        <v>26</v>
      </c>
      <c r="X596" s="4" t="e">
        <f t="shared" si="41"/>
        <v>#REF!</v>
      </c>
      <c r="AH596" s="9">
        <v>26</v>
      </c>
      <c r="AI596" s="4" t="e" cm="1">
        <f t="array" ref="AI596">MID(INDEX($AF$265:$AF$272,INT((ROW(A333)-1)/4)+1),MOD(ROW(A333)-1,4)+1,1)</f>
        <v>#REF!</v>
      </c>
      <c r="AK596" s="9">
        <v>26</v>
      </c>
      <c r="AL596" s="4" t="e" cm="1">
        <f t="array" ref="AL596">INDEX($AI$264:$AI$295, INDEX($H$15:$O$18, INT((ROW(A333)-1)/8)+1, MOD(ROW(A333)-1,8)+1))</f>
        <v>#REF!</v>
      </c>
      <c r="AN596" s="2" t="e">
        <f t="shared" ca="1" si="45"/>
        <v>#VALUE!</v>
      </c>
      <c r="AO596" s="2" t="e">
        <f t="shared" si="46"/>
        <v>#REF!</v>
      </c>
    </row>
    <row r="597" spans="2:41" x14ac:dyDescent="0.25">
      <c r="B597" s="9">
        <v>27</v>
      </c>
      <c r="C597" s="2">
        <v>1</v>
      </c>
      <c r="M597" s="9">
        <v>27</v>
      </c>
      <c r="N597" s="4" cm="1">
        <f t="array" ref="N597">INDEX($F$571:$K$578, INT((ROW(A27)-1)/6)+1, MOD(ROW(A396)-1,6)+1)</f>
        <v>1</v>
      </c>
      <c r="P597" s="7">
        <v>17</v>
      </c>
      <c r="Q597" s="4" t="e" cm="1">
        <f t="array" ref="Q597">INDEX($P$264:$U$271, INT((ROW(A324)-1)/6)+1, MOD(ROW(A324)-1,6)+1)</f>
        <v>#REF!</v>
      </c>
      <c r="R597" t="e">
        <f ca="1"/>
        <v>#VALUE!</v>
      </c>
      <c r="S597" t="e">
        <f ca="1"/>
        <v>#VALUE!</v>
      </c>
      <c r="T597" t="e">
        <f ca="1"/>
        <v>#VALUE!</v>
      </c>
      <c r="W597" s="9">
        <v>27</v>
      </c>
      <c r="X597" s="4" t="e">
        <f t="shared" si="41"/>
        <v>#REF!</v>
      </c>
      <c r="AH597" s="9">
        <v>27</v>
      </c>
      <c r="AI597" s="4" t="e" cm="1">
        <f t="array" ref="AI597">MID(INDEX($AF$265:$AF$272,INT((ROW(A334)-1)/4)+1),MOD(ROW(A334)-1,4)+1,1)</f>
        <v>#REF!</v>
      </c>
      <c r="AK597" s="9">
        <v>27</v>
      </c>
      <c r="AL597" s="4" t="e" cm="1">
        <f t="array" ref="AL597">INDEX($AI$264:$AI$295, INDEX($H$15:$O$18, INT((ROW(A334)-1)/8)+1, MOD(ROW(A334)-1,8)+1))</f>
        <v>#REF!</v>
      </c>
      <c r="AN597" s="2" t="e">
        <f t="shared" ca="1" si="45"/>
        <v>#VALUE!</v>
      </c>
      <c r="AO597" s="2" t="e">
        <f t="shared" si="46"/>
        <v>#REF!</v>
      </c>
    </row>
    <row r="598" spans="2:41" x14ac:dyDescent="0.25">
      <c r="B598" s="9">
        <v>28</v>
      </c>
      <c r="C598" s="2">
        <v>1</v>
      </c>
      <c r="M598" s="9">
        <v>28</v>
      </c>
      <c r="N598" s="4" cm="1">
        <f t="array" ref="N598">INDEX($F$571:$K$578, INT((ROW(A28)-1)/6)+1, MOD(ROW(A397)-1,6)+1)</f>
        <v>1</v>
      </c>
      <c r="P598" s="9">
        <v>18</v>
      </c>
      <c r="Q598" s="4" t="e" cm="1">
        <f t="array" ref="Q598">INDEX($P$264:$U$271, INT((ROW(A325)-1)/6)+1, MOD(ROW(A325)-1,6)+1)</f>
        <v>#REF!</v>
      </c>
      <c r="R598" t="e">
        <f ca="1"/>
        <v>#VALUE!</v>
      </c>
      <c r="S598" t="e">
        <f ca="1"/>
        <v>#VALUE!</v>
      </c>
      <c r="T598" t="e">
        <f ca="1"/>
        <v>#VALUE!</v>
      </c>
      <c r="W598" s="9">
        <v>28</v>
      </c>
      <c r="X598" s="4" t="e">
        <f t="shared" si="41"/>
        <v>#REF!</v>
      </c>
      <c r="AH598" s="9">
        <v>28</v>
      </c>
      <c r="AI598" s="4" t="e" cm="1">
        <f t="array" ref="AI598">MID(INDEX($AF$265:$AF$272,INT((ROW(A335)-1)/4)+1),MOD(ROW(A335)-1,4)+1,1)</f>
        <v>#REF!</v>
      </c>
      <c r="AK598" s="9">
        <v>28</v>
      </c>
      <c r="AL598" s="4" t="e" cm="1">
        <f t="array" ref="AL598">INDEX($AI$264:$AI$295, INDEX($H$15:$O$18, INT((ROW(A335)-1)/8)+1, MOD(ROW(A335)-1,8)+1))</f>
        <v>#REF!</v>
      </c>
      <c r="AN598" s="2" t="e">
        <f t="shared" ca="1" si="45"/>
        <v>#VALUE!</v>
      </c>
      <c r="AO598" s="2" t="e">
        <f t="shared" si="46"/>
        <v>#REF!</v>
      </c>
    </row>
    <row r="599" spans="2:41" x14ac:dyDescent="0.25">
      <c r="B599" s="9">
        <v>29</v>
      </c>
      <c r="C599" s="2">
        <v>0</v>
      </c>
      <c r="M599" s="9">
        <v>29</v>
      </c>
      <c r="N599" s="4" cm="1">
        <f t="array" ref="N599">INDEX($F$571:$K$578, INT((ROW(A29)-1)/6)+1, MOD(ROW(A398)-1,6)+1)</f>
        <v>1</v>
      </c>
      <c r="P599" s="9">
        <v>19</v>
      </c>
      <c r="Q599" s="4" t="e" cm="1">
        <f t="array" ref="Q599">INDEX($P$264:$U$271, INT((ROW(A326)-1)/6)+1, MOD(ROW(A326)-1,6)+1)</f>
        <v>#REF!</v>
      </c>
      <c r="R599" t="e">
        <f ca="1"/>
        <v>#VALUE!</v>
      </c>
      <c r="S599" t="e">
        <f ca="1"/>
        <v>#VALUE!</v>
      </c>
      <c r="T599" t="e">
        <f ca="1"/>
        <v>#VALUE!</v>
      </c>
      <c r="W599" s="9">
        <v>29</v>
      </c>
      <c r="X599" s="4" t="e">
        <f t="shared" si="41"/>
        <v>#REF!</v>
      </c>
      <c r="AH599" s="9">
        <v>29</v>
      </c>
      <c r="AI599" s="4" t="e" cm="1">
        <f t="array" ref="AI599">MID(INDEX($AF$265:$AF$272,INT((ROW(A336)-1)/4)+1),MOD(ROW(A336)-1,4)+1,1)</f>
        <v>#REF!</v>
      </c>
      <c r="AK599" s="9">
        <v>29</v>
      </c>
      <c r="AL599" s="4" t="e" cm="1">
        <f t="array" ref="AL599">INDEX($AI$264:$AI$295, INDEX($H$15:$O$18, INT((ROW(A336)-1)/8)+1, MOD(ROW(A336)-1,8)+1))</f>
        <v>#REF!</v>
      </c>
      <c r="AN599" s="2" t="e">
        <f t="shared" ca="1" si="45"/>
        <v>#VALUE!</v>
      </c>
      <c r="AO599" s="2" t="e">
        <f t="shared" si="46"/>
        <v>#REF!</v>
      </c>
    </row>
    <row r="600" spans="2:41" x14ac:dyDescent="0.25">
      <c r="B600" s="9">
        <v>30</v>
      </c>
      <c r="C600" s="2">
        <v>0</v>
      </c>
      <c r="M600" s="9">
        <v>30</v>
      </c>
      <c r="N600" s="4" cm="1">
        <f t="array" ref="N600">INDEX($F$571:$K$578, INT((ROW(A30)-1)/6)+1, MOD(ROW(A399)-1,6)+1)</f>
        <v>1</v>
      </c>
      <c r="P600" s="9">
        <v>20</v>
      </c>
      <c r="Q600" s="4" t="e" cm="1">
        <f t="array" ref="Q600">INDEX($P$264:$U$271, INT((ROW(A327)-1)/6)+1, MOD(ROW(A327)-1,6)+1)</f>
        <v>#REF!</v>
      </c>
      <c r="R600" t="e">
        <f ca="1"/>
        <v>#VALUE!</v>
      </c>
      <c r="S600" t="e">
        <f ca="1"/>
        <v>#VALUE!</v>
      </c>
      <c r="T600" t="e">
        <f ca="1"/>
        <v>#VALUE!</v>
      </c>
      <c r="W600" s="9">
        <v>30</v>
      </c>
      <c r="X600" s="4" t="e">
        <f t="shared" si="41"/>
        <v>#REF!</v>
      </c>
      <c r="AH600" s="9">
        <v>30</v>
      </c>
      <c r="AI600" s="4" t="e" cm="1">
        <f t="array" ref="AI600">MID(INDEX($AF$265:$AF$272,INT((ROW(A337)-1)/4)+1),MOD(ROW(A337)-1,4)+1,1)</f>
        <v>#REF!</v>
      </c>
      <c r="AK600" s="9">
        <v>30</v>
      </c>
      <c r="AL600" s="4" t="e" cm="1">
        <f t="array" ref="AL600">INDEX($AI$264:$AI$295, INDEX($H$15:$O$18, INT((ROW(A337)-1)/8)+1, MOD(ROW(A337)-1,8)+1))</f>
        <v>#REF!</v>
      </c>
      <c r="AN600" s="2" t="e">
        <f t="shared" ca="1" si="45"/>
        <v>#VALUE!</v>
      </c>
      <c r="AO600" s="2" t="e">
        <f t="shared" si="46"/>
        <v>#REF!</v>
      </c>
    </row>
    <row r="601" spans="2:41" x14ac:dyDescent="0.25">
      <c r="B601" s="9">
        <v>31</v>
      </c>
      <c r="C601" s="2">
        <v>1</v>
      </c>
      <c r="M601" s="9">
        <v>31</v>
      </c>
      <c r="N601" s="4" cm="1">
        <f t="array" ref="N601">INDEX($F$571:$K$578, INT((ROW(A31)-1)/6)+1, MOD(ROW(A400)-1,6)+1)</f>
        <v>1</v>
      </c>
      <c r="P601" s="9">
        <v>21</v>
      </c>
      <c r="Q601" s="4" t="e" cm="1">
        <f t="array" ref="Q601">INDEX($P$264:$U$271, INT((ROW(A328)-1)/6)+1, MOD(ROW(A328)-1,6)+1)</f>
        <v>#REF!</v>
      </c>
      <c r="R601" t="e">
        <f ca="1"/>
        <v>#VALUE!</v>
      </c>
      <c r="S601" t="e">
        <f ca="1"/>
        <v>#VALUE!</v>
      </c>
      <c r="T601" t="e">
        <f ca="1"/>
        <v>#VALUE!</v>
      </c>
      <c r="W601" s="9">
        <v>31</v>
      </c>
      <c r="X601" s="4" t="e">
        <f t="shared" si="41"/>
        <v>#REF!</v>
      </c>
      <c r="AH601" s="9">
        <v>31</v>
      </c>
      <c r="AI601" s="4" t="e" cm="1">
        <f t="array" ref="AI601">MID(INDEX($AF$265:$AF$272,INT((ROW(A338)-1)/4)+1),MOD(ROW(A338)-1,4)+1,1)</f>
        <v>#REF!</v>
      </c>
      <c r="AK601" s="9">
        <v>31</v>
      </c>
      <c r="AL601" s="4" t="e" cm="1">
        <f t="array" ref="AL601">INDEX($AI$264:$AI$295, INDEX($H$15:$O$18, INT((ROW(A338)-1)/8)+1, MOD(ROW(A338)-1,8)+1))</f>
        <v>#REF!</v>
      </c>
      <c r="AN601" s="2" t="e">
        <f t="shared" ca="1" si="45"/>
        <v>#VALUE!</v>
      </c>
      <c r="AO601" s="2" t="e">
        <f t="shared" si="46"/>
        <v>#REF!</v>
      </c>
    </row>
    <row r="602" spans="2:41" x14ac:dyDescent="0.25">
      <c r="B602" s="11">
        <v>32</v>
      </c>
      <c r="C602" s="2">
        <v>1</v>
      </c>
      <c r="M602" s="11">
        <v>32</v>
      </c>
      <c r="N602" s="4" cm="1">
        <f t="array" ref="N602">INDEX($F$571:$K$578, INT((ROW(A32)-1)/6)+1, MOD(ROW(A401)-1,6)+1)</f>
        <v>1</v>
      </c>
      <c r="P602" s="9">
        <v>22</v>
      </c>
      <c r="Q602" s="4" t="e" cm="1">
        <f t="array" ref="Q602">INDEX($P$264:$U$271, INT((ROW(A329)-1)/6)+1, MOD(ROW(A329)-1,6)+1)</f>
        <v>#REF!</v>
      </c>
      <c r="R602" t="e">
        <f ca="1"/>
        <v>#VALUE!</v>
      </c>
      <c r="S602" t="e">
        <f ca="1"/>
        <v>#VALUE!</v>
      </c>
      <c r="T602" t="e">
        <f ca="1"/>
        <v>#VALUE!</v>
      </c>
      <c r="W602" s="11">
        <v>32</v>
      </c>
      <c r="X602" s="4" t="e">
        <f t="shared" si="41"/>
        <v>#REF!</v>
      </c>
      <c r="AH602" s="11">
        <v>32</v>
      </c>
      <c r="AI602" s="4" t="e" cm="1">
        <f t="array" ref="AI602">MID(INDEX($AF$265:$AF$272,INT((ROW(A339)-1)/4)+1),MOD(ROW(A339)-1,4)+1,1)</f>
        <v>#REF!</v>
      </c>
      <c r="AK602" s="11">
        <v>32</v>
      </c>
      <c r="AL602" s="4" t="e" cm="1">
        <f t="array" ref="AL602">INDEX($AI$264:$AI$295, INDEX($H$15:$O$18, INT((ROW(A339)-1)/8)+1, MOD(ROW(A339)-1,8)+1))</f>
        <v>#REF!</v>
      </c>
      <c r="AN602" s="2" t="e">
        <f t="shared" ca="1" si="45"/>
        <v>#VALUE!</v>
      </c>
      <c r="AO602" s="2" t="e">
        <f t="shared" si="46"/>
        <v>#REF!</v>
      </c>
    </row>
    <row r="603" spans="2:41" x14ac:dyDescent="0.25">
      <c r="B603" s="7">
        <v>33</v>
      </c>
      <c r="C603" s="2">
        <v>1</v>
      </c>
      <c r="M603" s="7">
        <v>33</v>
      </c>
      <c r="N603" s="4" cm="1">
        <f t="array" ref="N603">INDEX($F$571:$K$578, INT((ROW(A33)-1)/6)+1, MOD(ROW(A402)-1,6)+1)</f>
        <v>0</v>
      </c>
      <c r="P603" s="9">
        <v>23</v>
      </c>
      <c r="Q603" s="4" t="e" cm="1">
        <f t="array" ref="Q603">INDEX($P$264:$U$271, INT((ROW(A330)-1)/6)+1, MOD(ROW(A330)-1,6)+1)</f>
        <v>#REF!</v>
      </c>
      <c r="R603" t="e">
        <f ca="1"/>
        <v>#VALUE!</v>
      </c>
      <c r="S603" t="e">
        <f ca="1"/>
        <v>#VALUE!</v>
      </c>
      <c r="T603" t="e">
        <f ca="1"/>
        <v>#VALUE!</v>
      </c>
      <c r="W603" s="7">
        <v>33</v>
      </c>
      <c r="X603" s="4" t="e">
        <f t="shared" si="41"/>
        <v>#REF!</v>
      </c>
      <c r="AN603" s="2" t="e">
        <f t="shared" ca="1" si="45"/>
        <v>#VALUE!</v>
      </c>
      <c r="AO603" s="2" t="e">
        <f t="shared" si="46"/>
        <v>#REF!</v>
      </c>
    </row>
    <row r="604" spans="2:41" x14ac:dyDescent="0.25">
      <c r="B604" s="9">
        <v>34</v>
      </c>
      <c r="C604" s="2">
        <v>1</v>
      </c>
      <c r="M604" s="9">
        <v>34</v>
      </c>
      <c r="N604" s="4" cm="1">
        <f t="array" ref="N604">INDEX($F$571:$K$578, INT((ROW(A34)-1)/6)+1, MOD(ROW(A403)-1,6)+1)</f>
        <v>0</v>
      </c>
      <c r="P604" s="11">
        <v>24</v>
      </c>
      <c r="Q604" s="4" t="e" cm="1">
        <f t="array" ref="Q604">INDEX($P$264:$U$271, INT((ROW(A331)-1)/6)+1, MOD(ROW(A331)-1,6)+1)</f>
        <v>#REF!</v>
      </c>
      <c r="R604" t="e">
        <f ca="1"/>
        <v>#VALUE!</v>
      </c>
      <c r="S604" t="e">
        <f ca="1"/>
        <v>#VALUE!</v>
      </c>
      <c r="T604" t="e">
        <f ca="1"/>
        <v>#VALUE!</v>
      </c>
      <c r="W604" s="9">
        <v>34</v>
      </c>
      <c r="X604" s="4" t="e">
        <f t="shared" si="41"/>
        <v>#REF!</v>
      </c>
    </row>
    <row r="605" spans="2:41" x14ac:dyDescent="0.25">
      <c r="B605" s="9">
        <v>35</v>
      </c>
      <c r="C605" s="2">
        <v>0</v>
      </c>
      <c r="M605" s="9">
        <v>35</v>
      </c>
      <c r="N605" s="4" cm="1">
        <f t="array" ref="N605">INDEX($F$571:$K$578, INT((ROW(A35)-1)/6)+1, MOD(ROW(A404)-1,6)+1)</f>
        <v>0</v>
      </c>
      <c r="P605" s="7">
        <v>25</v>
      </c>
      <c r="Q605" s="4" t="e" cm="1">
        <f t="array" ref="Q605">INDEX($P$264:$U$271, INT((ROW(A332)-1)/6)+1, MOD(ROW(A332)-1,6)+1)</f>
        <v>#REF!</v>
      </c>
      <c r="R605" t="e">
        <f ca="1"/>
        <v>#VALUE!</v>
      </c>
      <c r="S605" t="e">
        <f ca="1"/>
        <v>#VALUE!</v>
      </c>
      <c r="T605" t="e">
        <f ca="1"/>
        <v>#VALUE!</v>
      </c>
      <c r="W605" s="9">
        <v>35</v>
      </c>
      <c r="X605" s="4" t="e">
        <f t="shared" si="41"/>
        <v>#REF!</v>
      </c>
    </row>
    <row r="606" spans="2:41" x14ac:dyDescent="0.25">
      <c r="B606" s="9">
        <v>36</v>
      </c>
      <c r="C606" s="2">
        <v>0</v>
      </c>
      <c r="M606" s="9">
        <v>36</v>
      </c>
      <c r="N606" s="4" cm="1">
        <f t="array" ref="N606">INDEX($F$571:$K$578, INT((ROW(A36)-1)/6)+1, MOD(ROW(A405)-1,6)+1)</f>
        <v>1</v>
      </c>
      <c r="P606" s="9">
        <v>26</v>
      </c>
      <c r="Q606" s="4" t="e" cm="1">
        <f t="array" ref="Q606">INDEX($P$264:$U$271, INT((ROW(A333)-1)/6)+1, MOD(ROW(A333)-1,6)+1)</f>
        <v>#REF!</v>
      </c>
      <c r="R606" t="e">
        <f ca="1"/>
        <v>#VALUE!</v>
      </c>
      <c r="S606" t="e">
        <f ca="1"/>
        <v>#VALUE!</v>
      </c>
      <c r="T606" t="e">
        <f ca="1"/>
        <v>#VALUE!</v>
      </c>
      <c r="W606" s="9">
        <v>36</v>
      </c>
      <c r="X606" s="4" t="e">
        <f t="shared" si="41"/>
        <v>#REF!</v>
      </c>
    </row>
    <row r="607" spans="2:41" x14ac:dyDescent="0.25">
      <c r="B607" s="9">
        <v>37</v>
      </c>
      <c r="C607" s="2">
        <v>0</v>
      </c>
      <c r="M607" s="9">
        <v>37</v>
      </c>
      <c r="N607" s="4" cm="1">
        <f t="array" ref="N607">INDEX($F$571:$K$578, INT((ROW(A37)-1)/6)+1, MOD(ROW(A406)-1,6)+1)</f>
        <v>1</v>
      </c>
      <c r="P607" s="9">
        <v>27</v>
      </c>
      <c r="Q607" s="4" t="e" cm="1">
        <f t="array" ref="Q607">INDEX($P$264:$U$271, INT((ROW(A334)-1)/6)+1, MOD(ROW(A334)-1,6)+1)</f>
        <v>#REF!</v>
      </c>
      <c r="R607" t="e">
        <f ca="1"/>
        <v>#VALUE!</v>
      </c>
      <c r="S607" t="e">
        <f ca="1"/>
        <v>#VALUE!</v>
      </c>
      <c r="T607" t="e">
        <f ca="1"/>
        <v>#VALUE!</v>
      </c>
      <c r="W607" s="9">
        <v>37</v>
      </c>
      <c r="X607" s="4" t="e">
        <f t="shared" si="41"/>
        <v>#REF!</v>
      </c>
    </row>
    <row r="608" spans="2:41" x14ac:dyDescent="0.25">
      <c r="B608" s="9">
        <v>38</v>
      </c>
      <c r="C608" s="2">
        <v>0</v>
      </c>
      <c r="M608" s="9">
        <v>38</v>
      </c>
      <c r="N608" s="4" cm="1">
        <f t="array" ref="N608">INDEX($F$571:$K$578, INT((ROW(A38)-1)/6)+1, MOD(ROW(A407)-1,6)+1)</f>
        <v>1</v>
      </c>
      <c r="P608" s="9">
        <v>28</v>
      </c>
      <c r="Q608" s="4" t="e" cm="1">
        <f t="array" ref="Q608">INDEX($P$264:$U$271, INT((ROW(A335)-1)/6)+1, MOD(ROW(A335)-1,6)+1)</f>
        <v>#REF!</v>
      </c>
      <c r="R608" t="e">
        <f ca="1"/>
        <v>#VALUE!</v>
      </c>
      <c r="S608" t="e">
        <f ca="1"/>
        <v>#VALUE!</v>
      </c>
      <c r="T608" t="e">
        <f ca="1"/>
        <v>#VALUE!</v>
      </c>
      <c r="W608" s="9">
        <v>38</v>
      </c>
      <c r="X608" s="4" t="e">
        <f t="shared" si="41"/>
        <v>#REF!</v>
      </c>
    </row>
    <row r="609" spans="2:24" x14ac:dyDescent="0.25">
      <c r="B609" s="9">
        <v>39</v>
      </c>
      <c r="C609" s="2">
        <v>1</v>
      </c>
      <c r="M609" s="9">
        <v>39</v>
      </c>
      <c r="N609" s="4" cm="1">
        <f t="array" ref="N609">INDEX($F$571:$K$578, INT((ROW(A39)-1)/6)+1, MOD(ROW(A408)-1,6)+1)</f>
        <v>0</v>
      </c>
      <c r="P609" s="9">
        <v>29</v>
      </c>
      <c r="Q609" s="4" t="e" cm="1">
        <f t="array" ref="Q609">INDEX($P$264:$U$271, INT((ROW(A336)-1)/6)+1, MOD(ROW(A336)-1,6)+1)</f>
        <v>#REF!</v>
      </c>
      <c r="R609" t="e">
        <f ca="1"/>
        <v>#VALUE!</v>
      </c>
      <c r="S609" t="e">
        <f ca="1"/>
        <v>#VALUE!</v>
      </c>
      <c r="T609" t="e">
        <f ca="1"/>
        <v>#VALUE!</v>
      </c>
      <c r="W609" s="9">
        <v>39</v>
      </c>
      <c r="X609" s="4" t="e">
        <f t="shared" si="41"/>
        <v>#REF!</v>
      </c>
    </row>
    <row r="610" spans="2:24" x14ac:dyDescent="0.25">
      <c r="B610" s="11">
        <v>40</v>
      </c>
      <c r="C610" s="2">
        <v>0</v>
      </c>
      <c r="M610" s="11">
        <v>40</v>
      </c>
      <c r="N610" s="4" cm="1">
        <f t="array" ref="N610">INDEX($F$571:$K$578, INT((ROW(A40)-1)/6)+1, MOD(ROW(A409)-1,6)+1)</f>
        <v>0</v>
      </c>
      <c r="P610" s="9">
        <v>30</v>
      </c>
      <c r="Q610" s="4" t="e" cm="1">
        <f t="array" ref="Q610">INDEX($P$264:$U$271, INT((ROW(A337)-1)/6)+1, MOD(ROW(A337)-1,6)+1)</f>
        <v>#REF!</v>
      </c>
      <c r="W610" s="11">
        <v>40</v>
      </c>
      <c r="X610" s="4" t="e">
        <f t="shared" si="41"/>
        <v>#REF!</v>
      </c>
    </row>
    <row r="611" spans="2:24" x14ac:dyDescent="0.25">
      <c r="B611" s="7">
        <v>41</v>
      </c>
      <c r="C611" s="2">
        <v>1</v>
      </c>
      <c r="M611" s="7">
        <v>41</v>
      </c>
      <c r="N611" s="4" cm="1">
        <f t="array" ref="N611">INDEX($F$571:$K$578, INT((ROW(A41)-1)/6)+1, MOD(ROW(A410)-1,6)+1)</f>
        <v>1</v>
      </c>
      <c r="P611" s="9">
        <v>31</v>
      </c>
      <c r="Q611" s="4" t="e" cm="1">
        <f t="array" ref="Q611">INDEX($P$264:$U$271, INT((ROW(A338)-1)/6)+1, MOD(ROW(A338)-1,6)+1)</f>
        <v>#REF!</v>
      </c>
      <c r="W611" s="7">
        <v>41</v>
      </c>
      <c r="X611" s="4" t="e">
        <f t="shared" si="41"/>
        <v>#REF!</v>
      </c>
    </row>
    <row r="612" spans="2:24" x14ac:dyDescent="0.25">
      <c r="B612" s="9">
        <v>42</v>
      </c>
      <c r="C612" s="2">
        <v>0</v>
      </c>
      <c r="M612" s="9">
        <v>42</v>
      </c>
      <c r="N612" s="4" cm="1">
        <f t="array" ref="N612">INDEX($F$571:$K$578, INT((ROW(A42)-1)/6)+1, MOD(ROW(A411)-1,6)+1)</f>
        <v>1</v>
      </c>
      <c r="P612" s="11">
        <v>32</v>
      </c>
      <c r="Q612" s="4" t="e" cm="1">
        <f t="array" ref="Q612">INDEX($P$264:$U$271, INT((ROW(A339)-1)/6)+1, MOD(ROW(A339)-1,6)+1)</f>
        <v>#REF!</v>
      </c>
      <c r="W612" s="9">
        <v>42</v>
      </c>
      <c r="X612" s="4" t="e">
        <f t="shared" si="41"/>
        <v>#REF!</v>
      </c>
    </row>
    <row r="613" spans="2:24" x14ac:dyDescent="0.25">
      <c r="B613" s="9">
        <v>43</v>
      </c>
      <c r="C613" s="2">
        <v>1</v>
      </c>
      <c r="M613" s="9">
        <v>43</v>
      </c>
      <c r="N613" s="4" cm="1">
        <f t="array" ref="N613">INDEX($F$571:$K$578, INT((ROW(A43)-1)/6)+1, MOD(ROW(A412)-1,6)+1)</f>
        <v>0</v>
      </c>
      <c r="P613" s="7">
        <v>33</v>
      </c>
      <c r="Q613" s="4" t="e" cm="1">
        <f t="array" ref="Q613">INDEX($P$264:$U$271, INT((ROW(A340)-1)/6)+1, MOD(ROW(A340)-1,6)+1)</f>
        <v>#REF!</v>
      </c>
      <c r="W613" s="9">
        <v>43</v>
      </c>
      <c r="X613" s="4" t="e">
        <f t="shared" si="41"/>
        <v>#REF!</v>
      </c>
    </row>
    <row r="614" spans="2:24" x14ac:dyDescent="0.25">
      <c r="B614" s="9">
        <v>44</v>
      </c>
      <c r="C614" s="2">
        <v>0</v>
      </c>
      <c r="M614" s="9">
        <v>44</v>
      </c>
      <c r="N614" s="4" cm="1">
        <f t="array" ref="N614">INDEX($F$571:$K$578, INT((ROW(A44)-1)/6)+1, MOD(ROW(A413)-1,6)+1)</f>
        <v>0</v>
      </c>
      <c r="P614" s="9">
        <v>34</v>
      </c>
      <c r="Q614" s="4" t="e" cm="1">
        <f t="array" ref="Q614">INDEX($P$264:$U$271, INT((ROW(A341)-1)/6)+1, MOD(ROW(A341)-1,6)+1)</f>
        <v>#REF!</v>
      </c>
      <c r="W614" s="9">
        <v>44</v>
      </c>
      <c r="X614" s="4" t="e">
        <f t="shared" si="41"/>
        <v>#REF!</v>
      </c>
    </row>
    <row r="615" spans="2:24" x14ac:dyDescent="0.25">
      <c r="B615" s="9">
        <v>45</v>
      </c>
      <c r="C615" s="2">
        <v>1</v>
      </c>
      <c r="M615" s="9">
        <v>45</v>
      </c>
      <c r="N615" s="4" cm="1">
        <f t="array" ref="N615">INDEX($F$571:$K$578, INT((ROW(A45)-1)/6)+1, MOD(ROW(A414)-1,6)+1)</f>
        <v>1</v>
      </c>
      <c r="P615" s="9">
        <v>35</v>
      </c>
      <c r="Q615" s="4" t="e" cm="1">
        <f t="array" ref="Q615">INDEX($P$264:$U$271, INT((ROW(A342)-1)/6)+1, MOD(ROW(A342)-1,6)+1)</f>
        <v>#REF!</v>
      </c>
      <c r="W615" s="9">
        <v>45</v>
      </c>
      <c r="X615" s="4" t="e">
        <f t="shared" si="41"/>
        <v>#REF!</v>
      </c>
    </row>
    <row r="616" spans="2:24" x14ac:dyDescent="0.25">
      <c r="B616" s="9">
        <v>46</v>
      </c>
      <c r="C616" s="2">
        <v>0</v>
      </c>
      <c r="M616" s="9">
        <v>46</v>
      </c>
      <c r="N616" s="4" cm="1">
        <f t="array" ref="N616">INDEX($F$571:$K$578, INT((ROW(A46)-1)/6)+1, MOD(ROW(A415)-1,6)+1)</f>
        <v>0</v>
      </c>
      <c r="P616" s="9">
        <v>36</v>
      </c>
      <c r="Q616" s="4" t="e" cm="1">
        <f t="array" ref="Q616">INDEX($P$264:$U$271, INT((ROW(A343)-1)/6)+1, MOD(ROW(A343)-1,6)+1)</f>
        <v>#REF!</v>
      </c>
      <c r="W616" s="9">
        <v>46</v>
      </c>
      <c r="X616" s="4" t="e">
        <f t="shared" si="41"/>
        <v>#REF!</v>
      </c>
    </row>
    <row r="617" spans="2:24" x14ac:dyDescent="0.25">
      <c r="B617" s="9">
        <v>47</v>
      </c>
      <c r="C617" s="2">
        <v>1</v>
      </c>
      <c r="M617" s="9">
        <v>47</v>
      </c>
      <c r="N617" s="4" cm="1">
        <f t="array" ref="N617">INDEX($F$571:$K$578, INT((ROW(A47)-1)/6)+1, MOD(ROW(A416)-1,6)+1)</f>
        <v>0</v>
      </c>
      <c r="P617" s="9">
        <v>37</v>
      </c>
      <c r="Q617" s="4" t="e" cm="1">
        <f t="array" ref="Q617">INDEX($P$264:$U$271, INT((ROW(A344)-1)/6)+1, MOD(ROW(A344)-1,6)+1)</f>
        <v>#REF!</v>
      </c>
      <c r="W617" s="9">
        <v>47</v>
      </c>
      <c r="X617" s="4" t="e">
        <f t="shared" si="41"/>
        <v>#REF!</v>
      </c>
    </row>
    <row r="618" spans="2:24" x14ac:dyDescent="0.25">
      <c r="B618" s="11">
        <v>48</v>
      </c>
      <c r="C618" s="2">
        <v>0</v>
      </c>
      <c r="M618" s="11">
        <v>48</v>
      </c>
      <c r="N618" s="4" cm="1">
        <f t="array" ref="N618">INDEX($F$571:$K$578, INT((ROW(A48)-1)/6)+1, MOD(ROW(A417)-1,6)+1)</f>
        <v>0</v>
      </c>
      <c r="P618" s="9">
        <v>38</v>
      </c>
      <c r="Q618" s="4" t="e" cm="1">
        <f t="array" ref="Q618">INDEX($P$264:$U$271, INT((ROW(A345)-1)/6)+1, MOD(ROW(A345)-1,6)+1)</f>
        <v>#REF!</v>
      </c>
      <c r="W618" s="11">
        <v>48</v>
      </c>
      <c r="X618" s="4" t="e">
        <f t="shared" si="41"/>
        <v>#REF!</v>
      </c>
    </row>
    <row r="619" spans="2:24" x14ac:dyDescent="0.25">
      <c r="B619" s="7">
        <v>49</v>
      </c>
      <c r="C619" s="2">
        <v>1</v>
      </c>
      <c r="P619" s="9">
        <v>39</v>
      </c>
      <c r="Q619" s="4" t="e" cm="1">
        <f t="array" ref="Q619">INDEX($P$264:$U$271, INT((ROW(A346)-1)/6)+1, MOD(ROW(A346)-1,6)+1)</f>
        <v>#REF!</v>
      </c>
    </row>
    <row r="620" spans="2:24" x14ac:dyDescent="0.25">
      <c r="B620" s="9">
        <v>50</v>
      </c>
      <c r="C620" s="2">
        <v>0</v>
      </c>
      <c r="P620" s="11">
        <v>40</v>
      </c>
      <c r="Q620" s="4" t="e" cm="1">
        <f t="array" ref="Q620">INDEX($P$264:$U$271, INT((ROW(A347)-1)/6)+1, MOD(ROW(A347)-1,6)+1)</f>
        <v>#REF!</v>
      </c>
    </row>
    <row r="621" spans="2:24" x14ac:dyDescent="0.25">
      <c r="B621" s="9">
        <v>51</v>
      </c>
      <c r="C621" s="2">
        <v>1</v>
      </c>
      <c r="P621" s="7">
        <v>41</v>
      </c>
      <c r="Q621" s="4" t="e" cm="1">
        <f t="array" ref="Q621">INDEX($P$264:$U$271, INT((ROW(A348)-1)/6)+1, MOD(ROW(A348)-1,6)+1)</f>
        <v>#REF!</v>
      </c>
    </row>
    <row r="622" spans="2:24" x14ac:dyDescent="0.25">
      <c r="B622" s="9">
        <v>52</v>
      </c>
      <c r="C622" s="2">
        <v>1</v>
      </c>
      <c r="P622" s="9">
        <v>42</v>
      </c>
      <c r="Q622" s="4" t="e" cm="1">
        <f t="array" ref="Q622">INDEX($P$264:$U$271, INT((ROW(A349)-1)/6)+1, MOD(ROW(A349)-1,6)+1)</f>
        <v>#REF!</v>
      </c>
    </row>
    <row r="623" spans="2:24" x14ac:dyDescent="0.25">
      <c r="B623" s="9">
        <v>53</v>
      </c>
      <c r="C623" s="2">
        <v>0</v>
      </c>
      <c r="P623" s="9">
        <v>43</v>
      </c>
      <c r="Q623" s="4" t="e" cm="1">
        <f t="array" ref="Q623">INDEX($P$264:$U$271, INT((ROW(A350)-1)/6)+1, MOD(ROW(A350)-1,6)+1)</f>
        <v>#REF!</v>
      </c>
    </row>
    <row r="624" spans="2:24" x14ac:dyDescent="0.25">
      <c r="B624" s="9">
        <v>54</v>
      </c>
      <c r="C624" s="2">
        <v>0</v>
      </c>
      <c r="P624" s="9">
        <v>44</v>
      </c>
      <c r="Q624" s="4" t="e" cm="1">
        <f t="array" ref="Q624">INDEX($P$264:$U$271, INT((ROW(A351)-1)/6)+1, MOD(ROW(A351)-1,6)+1)</f>
        <v>#REF!</v>
      </c>
    </row>
    <row r="625" spans="2:41" x14ac:dyDescent="0.25">
      <c r="B625" s="9">
        <v>55</v>
      </c>
      <c r="C625" s="2">
        <v>1</v>
      </c>
      <c r="P625" s="9">
        <v>45</v>
      </c>
      <c r="Q625" s="4" t="e" cm="1">
        <f t="array" ref="Q625">INDEX($P$264:$U$271, INT((ROW(A352)-1)/6)+1, MOD(ROW(A352)-1,6)+1)</f>
        <v>#REF!</v>
      </c>
    </row>
    <row r="626" spans="2:41" x14ac:dyDescent="0.25">
      <c r="B626" s="11">
        <v>56</v>
      </c>
      <c r="C626" s="2">
        <v>1</v>
      </c>
      <c r="P626" s="9">
        <v>46</v>
      </c>
      <c r="Q626" s="4" t="e" cm="1">
        <f t="array" ref="Q626">INDEX($P$264:$U$271, INT((ROW(A353)-1)/6)+1, MOD(ROW(A353)-1,6)+1)</f>
        <v>#REF!</v>
      </c>
    </row>
    <row r="627" spans="2:41" x14ac:dyDescent="0.25">
      <c r="P627" s="9">
        <v>47</v>
      </c>
      <c r="Q627" s="4" t="e" cm="1">
        <f t="array" ref="Q627">INDEX($P$264:$U$271, INT((ROW(A354)-1)/6)+1, MOD(ROW(A354)-1,6)+1)</f>
        <v>#REF!</v>
      </c>
    </row>
    <row r="628" spans="2:41" x14ac:dyDescent="0.25">
      <c r="P628" s="11">
        <v>48</v>
      </c>
      <c r="Q628" s="4" t="e" cm="1">
        <f t="array" ref="Q628">INDEX($P$264:$U$271, INT((ROW(A355)-1)/6)+1, MOD(ROW(A355)-1,6)+1)</f>
        <v>#REF!</v>
      </c>
    </row>
    <row r="629" spans="2:41" x14ac:dyDescent="0.25">
      <c r="B629" t="s">
        <v>50</v>
      </c>
    </row>
    <row r="631" spans="2:41" x14ac:dyDescent="0.25">
      <c r="B631" s="37" t="s">
        <v>51</v>
      </c>
      <c r="C631" s="38"/>
      <c r="F631" s="39" t="s">
        <v>23</v>
      </c>
      <c r="G631" s="40"/>
      <c r="H631" s="40"/>
      <c r="I631" s="40"/>
      <c r="J631" s="40"/>
      <c r="K631" s="41"/>
      <c r="M631" s="37" t="s">
        <v>52</v>
      </c>
      <c r="N631" s="43"/>
      <c r="P631" s="39" t="s">
        <v>93</v>
      </c>
      <c r="Q631" s="40"/>
      <c r="R631" s="40"/>
      <c r="S631" s="40"/>
      <c r="T631" s="40"/>
      <c r="U631" s="41"/>
      <c r="W631" s="2" t="s">
        <v>3</v>
      </c>
      <c r="X631" s="18" t="s">
        <v>95</v>
      </c>
      <c r="Z631" s="42" t="s">
        <v>77</v>
      </c>
      <c r="AA631" s="42" t="s">
        <v>74</v>
      </c>
      <c r="AB631" s="42"/>
      <c r="AC631" s="42" t="s">
        <v>75</v>
      </c>
      <c r="AD631" s="42" t="s">
        <v>76</v>
      </c>
      <c r="AE631" s="36" t="s">
        <v>78</v>
      </c>
      <c r="AF631" s="36" t="s">
        <v>79</v>
      </c>
      <c r="AH631" s="37" t="s">
        <v>96</v>
      </c>
      <c r="AI631" s="38"/>
      <c r="AK631" s="37" t="s">
        <v>97</v>
      </c>
      <c r="AL631" s="38"/>
      <c r="AN631" s="36" t="s">
        <v>98</v>
      </c>
      <c r="AO631" s="36"/>
    </row>
    <row r="632" spans="2:41" x14ac:dyDescent="0.25">
      <c r="B632" s="7">
        <v>1</v>
      </c>
      <c r="C632" s="2">
        <v>0</v>
      </c>
      <c r="F632" s="15" cm="1">
        <f t="array" ref="F632">INDEX($C$632:$C$687, H41)</f>
        <v>1</v>
      </c>
      <c r="G632" s="15" cm="1">
        <f t="array" ref="G632">INDEX($C$632:$C$687, I41)</f>
        <v>1</v>
      </c>
      <c r="H632" s="15" cm="1">
        <f t="array" ref="H632">INDEX($C$632:$C$687, J41)</f>
        <v>0</v>
      </c>
      <c r="I632" s="15" cm="1">
        <f t="array" ref="I632">INDEX($C$632:$C$687, K41)</f>
        <v>0</v>
      </c>
      <c r="J632" s="15" cm="1">
        <f t="array" ref="J632">INDEX($C$632:$C$687, L41)</f>
        <v>0</v>
      </c>
      <c r="K632" s="15" cm="1">
        <f t="array" ref="K632">INDEX($C$632:$C$687, M41)</f>
        <v>0</v>
      </c>
      <c r="M632" s="7">
        <v>1</v>
      </c>
      <c r="N632" s="4" cm="1">
        <f t="array" ref="N632">INDEX($F$632:$K$639, INT((ROW(A1)-1)/6)+1, MOD(ROW(A431)-1,6)+1)</f>
        <v>0</v>
      </c>
      <c r="P632" s="15" t="e" cm="1" vm="1">
        <f t="array" aca="1" ref="P632" ca="1">INDEX($AO$204:$AO$235, H419)</f>
        <v>#VALUE!</v>
      </c>
      <c r="Q632" s="15" t="e" cm="1" vm="1">
        <f t="array" aca="1" ref="Q632" ca="1">INDEX($AO$204:$AO$235, I419)</f>
        <v>#VALUE!</v>
      </c>
      <c r="R632" s="15" t="e" cm="1" vm="1">
        <f t="array" aca="1" ref="R632" ca="1">INDEX($AO$204:$AO$235, J419)</f>
        <v>#VALUE!</v>
      </c>
      <c r="S632" s="15" t="e" cm="1" vm="1">
        <f t="array" aca="1" ref="S632" ca="1">INDEX($AO$204:$AO$235, K419)</f>
        <v>#VALUE!</v>
      </c>
      <c r="T632" s="15" t="e" cm="1" vm="1">
        <f t="array" aca="1" ref="T632" ca="1">INDEX($AO$204:$AO$235, L419)</f>
        <v>#VALUE!</v>
      </c>
      <c r="U632" s="15" t="e" cm="1">
        <f t="array" ref="U632">INDEX($AO$204:$AO$235, M419)</f>
        <v>#REF!</v>
      </c>
      <c r="W632" s="7">
        <v>1</v>
      </c>
      <c r="X632" s="4" t="e">
        <f>_xlfn.BITXOR(Q642, N632)</f>
        <v>#REF!</v>
      </c>
      <c r="Z632" s="42"/>
      <c r="AA632" s="42"/>
      <c r="AB632" s="42"/>
      <c r="AC632" s="42"/>
      <c r="AD632" s="42"/>
      <c r="AE632" s="36"/>
      <c r="AF632" s="36"/>
      <c r="AH632" s="7">
        <v>1</v>
      </c>
      <c r="AI632" s="4" t="e" cm="1">
        <f t="array" ref="AI632">MID(INDEX($AF$265:$AF$272,INT((ROW(A369)-1)/4)+1),MOD(ROW(A369)-1,4)+1,1)</f>
        <v>#REF!</v>
      </c>
      <c r="AK632" s="7">
        <v>1</v>
      </c>
      <c r="AL632" s="4" t="e" cm="1">
        <f t="array" ref="AL632">INDEX($AI$264:$AI$295, INDEX($H$15:$O$18, INT((ROW(A369)-1)/8)+1, MOD(ROW(A369)-1,8)+1))</f>
        <v>#REF!</v>
      </c>
      <c r="AN632" s="2" t="s">
        <v>99</v>
      </c>
      <c r="AO632" s="31" t="s">
        <v>101</v>
      </c>
    </row>
    <row r="633" spans="2:41" x14ac:dyDescent="0.25">
      <c r="B633" s="9">
        <v>2</v>
      </c>
      <c r="C633" s="2">
        <v>1</v>
      </c>
      <c r="F633" s="15" cm="1">
        <f t="array" ref="F633">INDEX($C$632:$C$687, H42)</f>
        <v>0</v>
      </c>
      <c r="G633" s="15" cm="1">
        <f t="array" ref="G633">INDEX($C$632:$C$687, I42)</f>
        <v>0</v>
      </c>
      <c r="H633" s="15" cm="1">
        <f t="array" ref="H633">INDEX($C$632:$C$687, J42)</f>
        <v>1</v>
      </c>
      <c r="I633" s="15" cm="1">
        <f t="array" ref="I633">INDEX($C$632:$C$687, K42)</f>
        <v>1</v>
      </c>
      <c r="J633" s="15" cm="1">
        <f t="array" ref="J633">INDEX($C$632:$C$687, L42)</f>
        <v>0</v>
      </c>
      <c r="K633" s="15" cm="1">
        <f t="array" ref="K633">INDEX($C$632:$C$687, M42)</f>
        <v>1</v>
      </c>
      <c r="M633" s="9">
        <v>2</v>
      </c>
      <c r="N633" s="4" cm="1">
        <f t="array" ref="N633">INDEX($F$632:$K$639, INT((ROW(A2)-1)/6)+1, MOD(ROW(A432)-1,6)+1)</f>
        <v>0</v>
      </c>
      <c r="P633" s="15" t="e" cm="1" vm="1">
        <f t="array" aca="1" ref="P633" ca="1">INDEX($AO$204:$AO$235, H420)</f>
        <v>#VALUE!</v>
      </c>
      <c r="Q633" s="15" t="e" cm="1" vm="1">
        <f t="array" aca="1" ref="Q633" ca="1">INDEX($AO$204:$AO$235, I420)</f>
        <v>#VALUE!</v>
      </c>
      <c r="R633" s="15" t="e" cm="1" vm="1">
        <f t="array" aca="1" ref="R633" ca="1">INDEX($AO$204:$AO$235, J420)</f>
        <v>#VALUE!</v>
      </c>
      <c r="S633" s="15" t="e" cm="1" vm="1">
        <f t="array" aca="1" ref="S633" ca="1">INDEX($AO$204:$AO$235, K420)</f>
        <v>#VALUE!</v>
      </c>
      <c r="T633" s="15" t="e" cm="1" vm="1">
        <f t="array" aca="1" ref="T633" ca="1">INDEX($AO$204:$AO$235, L420)</f>
        <v>#VALUE!</v>
      </c>
      <c r="U633" s="15" t="e" cm="1">
        <f t="array" ref="U633">INDEX($AO$204:$AO$235, M420)</f>
        <v>#REF!</v>
      </c>
      <c r="W633" s="9">
        <v>2</v>
      </c>
      <c r="X633" s="4" t="e">
        <f t="shared" ref="X633:X679" si="47">_xlfn.BITXOR(Q643, N633)</f>
        <v>#REF!</v>
      </c>
      <c r="Z633" s="32">
        <v>1</v>
      </c>
      <c r="AA633" s="34" t="e">
        <f>_xlfn.TEXTJOIN("", TRUE, INDEX($X$264:$X$311, (ROW(A369)-1)*6+1) : INDEX($X$264:$X$311, (ROW(A369)-1)*6+6))</f>
        <v>#REF!</v>
      </c>
      <c r="AB633" s="35"/>
      <c r="AC633" s="32" t="e">
        <f>BIN2DEC(LEFT(AA633,1) &amp; RIGHT(AA633,1))</f>
        <v>#REF!</v>
      </c>
      <c r="AD633" s="31" t="e">
        <f>BIN2DEC(MID(AA633,2,4))</f>
        <v>#REF!</v>
      </c>
      <c r="AE633" s="31" t="e" cm="1">
        <f t="array" aca="1" ref="AE633" ca="1">INDEX(OFFSET('[1]S-box'!$A$2, (Z633-1)*6, 0, 4, 16), AC633+1, AD633+1)</f>
        <v>#VALUE!</v>
      </c>
      <c r="AF633" s="33" t="e">
        <f ca="1">DEC2BIN(AE633, 4)</f>
        <v>#VALUE!</v>
      </c>
      <c r="AH633" s="9">
        <v>2</v>
      </c>
      <c r="AI633" s="4" t="e" cm="1">
        <f t="array" ref="AI633">MID(INDEX($AF$265:$AF$272,INT((ROW(A370)-1)/4)+1),MOD(ROW(A370)-1,4)+1,1)</f>
        <v>#REF!</v>
      </c>
      <c r="AK633" s="9">
        <v>2</v>
      </c>
      <c r="AL633" s="4" t="e" cm="1">
        <f t="array" ref="AL633">INDEX($AI$264:$AI$295, INDEX($H$15:$O$18, INT((ROW(A370)-1)/8)+1, MOD(ROW(A370)-1,8)+1))</f>
        <v>#REF!</v>
      </c>
      <c r="AN633" s="2">
        <f>_xlfn.BITXOR(T446, AE571)</f>
        <v>0</v>
      </c>
      <c r="AO633" s="2" t="e">
        <f>_xlfn.BITXOR(N632, AL632)</f>
        <v>#REF!</v>
      </c>
    </row>
    <row r="634" spans="2:41" x14ac:dyDescent="0.25">
      <c r="B634" s="9">
        <v>3</v>
      </c>
      <c r="C634" s="2">
        <v>0</v>
      </c>
      <c r="F634" s="15" cm="1">
        <f t="array" ref="F634">INDEX($C$632:$C$687, H43)</f>
        <v>1</v>
      </c>
      <c r="G634" s="15" cm="1">
        <f t="array" ref="G634">INDEX($C$632:$C$687, I43)</f>
        <v>0</v>
      </c>
      <c r="H634" s="15" cm="1">
        <f t="array" ref="H634">INDEX($C$632:$C$687, J43)</f>
        <v>1</v>
      </c>
      <c r="I634" s="15" cm="1">
        <f t="array" ref="I634">INDEX($C$632:$C$687, K43)</f>
        <v>1</v>
      </c>
      <c r="J634" s="15" cm="1">
        <f t="array" ref="J634">INDEX($C$632:$C$687, L43)</f>
        <v>1</v>
      </c>
      <c r="K634" s="15" cm="1">
        <f t="array" ref="K634">INDEX($C$632:$C$687, M43)</f>
        <v>1</v>
      </c>
      <c r="M634" s="9">
        <v>3</v>
      </c>
      <c r="N634" s="4" cm="1">
        <f t="array" ref="N634">INDEX($F$632:$K$639, INT((ROW(A3)-1)/6)+1, MOD(ROW(A433)-1,6)+1)</f>
        <v>1</v>
      </c>
      <c r="P634" s="15" t="e" cm="1" vm="1">
        <f t="array" aca="1" ref="P634" ca="1">INDEX($AO$204:$AO$235, H421)</f>
        <v>#VALUE!</v>
      </c>
      <c r="Q634" s="15" t="e" cm="1" vm="1">
        <f t="array" aca="1" ref="Q634" ca="1">INDEX($AO$204:$AO$235, I421)</f>
        <v>#VALUE!</v>
      </c>
      <c r="R634" s="15" t="e" cm="1" vm="1">
        <f t="array" aca="1" ref="R634" ca="1">INDEX($AO$204:$AO$235, J421)</f>
        <v>#VALUE!</v>
      </c>
      <c r="S634" s="15" t="e" cm="1" vm="1">
        <f t="array" aca="1" ref="S634" ca="1">INDEX($AO$204:$AO$235, K421)</f>
        <v>#VALUE!</v>
      </c>
      <c r="T634" s="15" t="e" cm="1" vm="1">
        <f t="array" aca="1" ref="T634" ca="1">INDEX($AO$204:$AO$235, L421)</f>
        <v>#VALUE!</v>
      </c>
      <c r="U634" s="15" t="e" cm="1">
        <f t="array" ref="U634">INDEX($AO$204:$AO$235, M421)</f>
        <v>#REF!</v>
      </c>
      <c r="W634" s="9">
        <v>3</v>
      </c>
      <c r="X634" s="4" t="e">
        <f t="shared" si="47"/>
        <v>#REF!</v>
      </c>
      <c r="Z634" s="32">
        <v>2</v>
      </c>
      <c r="AA634" s="34" t="e">
        <f>_xlfn.TEXTJOIN("", TRUE, INDEX($X$264:$X$311, (ROW(A370)-1)*6+1) : INDEX($X$264:$X$311, (ROW(A370)-1)*6+6))</f>
        <v>#REF!</v>
      </c>
      <c r="AB634" s="35"/>
      <c r="AC634" s="32" t="e">
        <f t="shared" ref="AC634:AC640" si="48">BIN2DEC(LEFT(AA634,1) &amp; RIGHT(AA634,1))</f>
        <v>#REF!</v>
      </c>
      <c r="AD634" s="31" t="e">
        <f t="shared" ref="AD634:AD640" si="49">BIN2DEC(MID(AA634,2,4))</f>
        <v>#REF!</v>
      </c>
      <c r="AE634" s="31" t="e" cm="1">
        <f t="array" aca="1" ref="AE634" ca="1">INDEX(OFFSET('[1]S-box'!$A$2, (Z634-1)*6, 0, 4, 16), AC634+1, AD634+1)</f>
        <v>#VALUE!</v>
      </c>
      <c r="AF634" s="33" t="e">
        <f t="shared" ref="AF634:AF640" ca="1" si="50">DEC2BIN(AE634, 4)</f>
        <v>#VALUE!</v>
      </c>
      <c r="AH634" s="9">
        <v>3</v>
      </c>
      <c r="AI634" s="4" t="e" cm="1">
        <f t="array" ref="AI634">MID(INDEX($AF$265:$AF$272,INT((ROW(A371)-1)/4)+1),MOD(ROW(A371)-1,4)+1,1)</f>
        <v>#REF!</v>
      </c>
      <c r="AK634" s="9">
        <v>3</v>
      </c>
      <c r="AL634" s="4" t="e" cm="1">
        <f t="array" ref="AL634">INDEX($AI$264:$AI$295, INDEX($H$15:$O$18, INT((ROW(A371)-1)/8)+1, MOD(ROW(A371)-1,8)+1))</f>
        <v>#REF!</v>
      </c>
      <c r="AN634" s="2" t="e">
        <f t="shared" ref="AN634:AN664" ca="1" si="51">_xlfn.BITXOR(T447, AE572)</f>
        <v>#VALUE!</v>
      </c>
      <c r="AO634" s="2" t="e">
        <f t="shared" ref="AO634:AO664" si="52">_xlfn.BITXOR(N633, AL633)</f>
        <v>#REF!</v>
      </c>
    </row>
    <row r="635" spans="2:41" x14ac:dyDescent="0.25">
      <c r="B635" s="9">
        <v>4</v>
      </c>
      <c r="C635" s="2">
        <v>1</v>
      </c>
      <c r="F635" s="15" cm="1">
        <f t="array" ref="F635">INDEX($C$632:$C$687, H44)</f>
        <v>1</v>
      </c>
      <c r="G635" s="15" cm="1">
        <f t="array" ref="G635">INDEX($C$632:$C$687, I44)</f>
        <v>0</v>
      </c>
      <c r="H635" s="15" cm="1">
        <f t="array" ref="H635">INDEX($C$632:$C$687, J44)</f>
        <v>1</v>
      </c>
      <c r="I635" s="15" cm="1">
        <f t="array" ref="I635">INDEX($C$632:$C$687, K44)</f>
        <v>0</v>
      </c>
      <c r="J635" s="15" cm="1">
        <f t="array" ref="J635">INDEX($C$632:$C$687, L44)</f>
        <v>1</v>
      </c>
      <c r="K635" s="15" cm="1">
        <f t="array" ref="K635">INDEX($C$632:$C$687, M44)</f>
        <v>1</v>
      </c>
      <c r="M635" s="9">
        <v>4</v>
      </c>
      <c r="N635" s="4" cm="1">
        <f t="array" ref="N635">INDEX($F$632:$K$639, INT((ROW(A4)-1)/6)+1, MOD(ROW(A434)-1,6)+1)</f>
        <v>1</v>
      </c>
      <c r="P635" s="15" t="e" cm="1" vm="1">
        <f t="array" aca="1" ref="P635" ca="1">INDEX($AO$204:$AO$235, H422)</f>
        <v>#VALUE!</v>
      </c>
      <c r="Q635" s="15" t="e" cm="1" vm="1">
        <f t="array" aca="1" ref="Q635" ca="1">INDEX($AO$204:$AO$235, I422)</f>
        <v>#VALUE!</v>
      </c>
      <c r="R635" s="15" t="e" cm="1" vm="1">
        <f t="array" aca="1" ref="R635" ca="1">INDEX($AO$204:$AO$235, J422)</f>
        <v>#VALUE!</v>
      </c>
      <c r="S635" s="15" t="e" cm="1" vm="1">
        <f t="array" aca="1" ref="S635" ca="1">INDEX($AO$204:$AO$235, K422)</f>
        <v>#VALUE!</v>
      </c>
      <c r="T635" s="15" t="e" cm="1" vm="1">
        <f t="array" aca="1" ref="T635" ca="1">INDEX($AO$204:$AO$235, L422)</f>
        <v>#VALUE!</v>
      </c>
      <c r="U635" s="15" t="e" cm="1">
        <f t="array" ref="U635">INDEX($AO$204:$AO$235, M422)</f>
        <v>#REF!</v>
      </c>
      <c r="W635" s="9">
        <v>4</v>
      </c>
      <c r="X635" s="4" t="e">
        <f t="shared" si="47"/>
        <v>#REF!</v>
      </c>
      <c r="Z635" s="32">
        <v>3</v>
      </c>
      <c r="AA635" s="34" t="e">
        <f>_xlfn.TEXTJOIN("", TRUE, INDEX($X$264:$X$311, (ROW(A371)-1)*6+1) : INDEX($X$264:$X$311, (ROW(A371)-1)*6+6))</f>
        <v>#REF!</v>
      </c>
      <c r="AB635" s="35"/>
      <c r="AC635" s="32" t="e">
        <f t="shared" si="48"/>
        <v>#REF!</v>
      </c>
      <c r="AD635" s="31" t="e">
        <f t="shared" si="49"/>
        <v>#REF!</v>
      </c>
      <c r="AE635" s="31" t="e" cm="1">
        <f t="array" aca="1" ref="AE635" ca="1">INDEX(OFFSET('[1]S-box'!$A$2, (Z635-1)*6, 0, 4, 16), AC635+1, AD635+1)</f>
        <v>#VALUE!</v>
      </c>
      <c r="AF635" s="33" t="e">
        <f t="shared" ca="1" si="50"/>
        <v>#VALUE!</v>
      </c>
      <c r="AH635" s="9">
        <v>4</v>
      </c>
      <c r="AI635" s="4" t="e" cm="1">
        <f t="array" ref="AI635">MID(INDEX($AF$265:$AF$272,INT((ROW(A372)-1)/4)+1),MOD(ROW(A372)-1,4)+1,1)</f>
        <v>#REF!</v>
      </c>
      <c r="AK635" s="9">
        <v>4</v>
      </c>
      <c r="AL635" s="4" t="e" cm="1">
        <f t="array" ref="AL635">INDEX($AI$264:$AI$295, INDEX($H$15:$O$18, INT((ROW(A372)-1)/8)+1, MOD(ROW(A372)-1,8)+1))</f>
        <v>#REF!</v>
      </c>
      <c r="AN635" s="2" t="e" vm="3">
        <f t="shared" ca="1" si="51"/>
        <v>#VALUE!</v>
      </c>
      <c r="AO635" s="2" t="e">
        <f t="shared" si="52"/>
        <v>#REF!</v>
      </c>
    </row>
    <row r="636" spans="2:41" x14ac:dyDescent="0.25">
      <c r="B636" s="9">
        <v>5</v>
      </c>
      <c r="C636" s="2">
        <v>0</v>
      </c>
      <c r="F636" s="15" cm="1">
        <f t="array" ref="F636">INDEX($C$632:$C$687, H45)</f>
        <v>0</v>
      </c>
      <c r="G636" s="15" cm="1">
        <f t="array" ref="G636">INDEX($C$632:$C$687, I45)</f>
        <v>0</v>
      </c>
      <c r="H636" s="15" cm="1">
        <f t="array" ref="H636">INDEX($C$632:$C$687, J45)</f>
        <v>1</v>
      </c>
      <c r="I636" s="15" cm="1">
        <f t="array" ref="I636">INDEX($C$632:$C$687, K45)</f>
        <v>0</v>
      </c>
      <c r="J636" s="15" cm="1">
        <f t="array" ref="J636">INDEX($C$632:$C$687, L45)</f>
        <v>0</v>
      </c>
      <c r="K636" s="15" cm="1">
        <f t="array" ref="K636">INDEX($C$632:$C$687, M45)</f>
        <v>1</v>
      </c>
      <c r="M636" s="9">
        <v>5</v>
      </c>
      <c r="N636" s="4" cm="1">
        <f t="array" ref="N636">INDEX($F$632:$K$639, INT((ROW(A5)-1)/6)+1, MOD(ROW(A435)-1,6)+1)</f>
        <v>0</v>
      </c>
      <c r="P636" s="15" t="e" cm="1" vm="1">
        <f t="array" aca="1" ref="P636" ca="1">INDEX($AO$204:$AO$235, H423)</f>
        <v>#VALUE!</v>
      </c>
      <c r="Q636" s="15" t="e" cm="1" vm="1">
        <f t="array" aca="1" ref="Q636" ca="1">INDEX($AO$204:$AO$235, I423)</f>
        <v>#VALUE!</v>
      </c>
      <c r="R636" s="15" t="e" cm="1" vm="1">
        <f t="array" aca="1" ref="R636" ca="1">INDEX($AO$204:$AO$235, J423)</f>
        <v>#VALUE!</v>
      </c>
      <c r="S636" s="15" t="e" cm="1" vm="1">
        <f t="array" aca="1" ref="S636" ca="1">INDEX($AO$204:$AO$235, K423)</f>
        <v>#VALUE!</v>
      </c>
      <c r="T636" s="15" t="e" cm="1" vm="1">
        <f t="array" aca="1" ref="T636" ca="1">INDEX($AO$204:$AO$235, L423)</f>
        <v>#VALUE!</v>
      </c>
      <c r="U636" s="15" t="e" cm="1">
        <f t="array" ref="U636">INDEX($AO$204:$AO$235, M423)</f>
        <v>#REF!</v>
      </c>
      <c r="W636" s="9">
        <v>5</v>
      </c>
      <c r="X636" s="4" t="e">
        <f t="shared" si="47"/>
        <v>#REF!</v>
      </c>
      <c r="Z636" s="32">
        <v>4</v>
      </c>
      <c r="AA636" s="34" t="e">
        <f>_xlfn.TEXTJOIN("", TRUE, INDEX($X$264:$X$311, (ROW(A372)-1)*6+1) : INDEX($X$264:$X$311, (ROW(A372)-1)*6+6))</f>
        <v>#REF!</v>
      </c>
      <c r="AB636" s="35"/>
      <c r="AC636" s="32" t="e">
        <f t="shared" si="48"/>
        <v>#REF!</v>
      </c>
      <c r="AD636" s="31" t="e">
        <f t="shared" si="49"/>
        <v>#REF!</v>
      </c>
      <c r="AE636" s="31" t="e" cm="1">
        <f t="array" aca="1" ref="AE636" ca="1">INDEX(OFFSET('[1]S-box'!$A$2, (Z636-1)*6, 0, 4, 16), AC636+1, AD636+1)</f>
        <v>#VALUE!</v>
      </c>
      <c r="AF636" s="33" t="e">
        <f t="shared" ca="1" si="50"/>
        <v>#VALUE!</v>
      </c>
      <c r="AH636" s="9">
        <v>5</v>
      </c>
      <c r="AI636" s="4" t="e" cm="1">
        <f t="array" ref="AI636">MID(INDEX($AF$265:$AF$272,INT((ROW(A373)-1)/4)+1),MOD(ROW(A373)-1,4)+1,1)</f>
        <v>#REF!</v>
      </c>
      <c r="AK636" s="9">
        <v>5</v>
      </c>
      <c r="AL636" s="4" t="e" cm="1">
        <f t="array" ref="AL636">INDEX($AI$264:$AI$295, INDEX($H$15:$O$18, INT((ROW(A373)-1)/8)+1, MOD(ROW(A373)-1,8)+1))</f>
        <v>#REF!</v>
      </c>
      <c r="AN636" s="2" t="e" vm="3">
        <f t="shared" ca="1" si="51"/>
        <v>#VALUE!</v>
      </c>
      <c r="AO636" s="2" t="e">
        <f t="shared" si="52"/>
        <v>#REF!</v>
      </c>
    </row>
    <row r="637" spans="2:41" x14ac:dyDescent="0.25">
      <c r="B637" s="9">
        <v>6</v>
      </c>
      <c r="C637" s="2">
        <v>1</v>
      </c>
      <c r="F637" s="15" cm="1">
        <f t="array" ref="F637">INDEX($C$632:$C$687, H46)</f>
        <v>1</v>
      </c>
      <c r="G637" s="15" cm="1">
        <f t="array" ref="G637">INDEX($C$632:$C$687, I46)</f>
        <v>1</v>
      </c>
      <c r="H637" s="15" cm="1">
        <f t="array" ref="H637">INDEX($C$632:$C$687, J46)</f>
        <v>1</v>
      </c>
      <c r="I637" s="15" cm="1">
        <f t="array" ref="I637">INDEX($C$632:$C$687, K46)</f>
        <v>0</v>
      </c>
      <c r="J637" s="15" cm="1">
        <f t="array" ref="J637">INDEX($C$632:$C$687, L46)</f>
        <v>1</v>
      </c>
      <c r="K637" s="15" cm="1">
        <f t="array" ref="K637">INDEX($C$632:$C$687, M46)</f>
        <v>1</v>
      </c>
      <c r="M637" s="9">
        <v>6</v>
      </c>
      <c r="N637" s="4" cm="1">
        <f t="array" ref="N637">INDEX($F$632:$K$639, INT((ROW(A6)-1)/6)+1, MOD(ROW(A436)-1,6)+1)</f>
        <v>0</v>
      </c>
      <c r="P637" s="15" t="e" cm="1" vm="1">
        <f t="array" aca="1" ref="P637" ca="1">INDEX($AO$204:$AO$235, H424)</f>
        <v>#VALUE!</v>
      </c>
      <c r="Q637" s="15" t="e" cm="1" vm="1">
        <f t="array" aca="1" ref="Q637" ca="1">INDEX($AO$204:$AO$235, I424)</f>
        <v>#VALUE!</v>
      </c>
      <c r="R637" s="15" t="e" cm="1" vm="1">
        <f t="array" aca="1" ref="R637" ca="1">INDEX($AO$204:$AO$235, J424)</f>
        <v>#VALUE!</v>
      </c>
      <c r="S637" s="15" t="e" cm="1" vm="1">
        <f t="array" aca="1" ref="S637" ca="1">INDEX($AO$204:$AO$235, K424)</f>
        <v>#VALUE!</v>
      </c>
      <c r="T637" s="15" t="e" cm="1" vm="1">
        <f t="array" aca="1" ref="T637" ca="1">INDEX($AO$204:$AO$235, L424)</f>
        <v>#VALUE!</v>
      </c>
      <c r="U637" s="15" t="e" cm="1">
        <f t="array" ref="U637">INDEX($AO$204:$AO$235, M424)</f>
        <v>#REF!</v>
      </c>
      <c r="W637" s="9">
        <v>6</v>
      </c>
      <c r="X637" s="4" t="e">
        <f t="shared" si="47"/>
        <v>#REF!</v>
      </c>
      <c r="Z637" s="32">
        <v>5</v>
      </c>
      <c r="AA637" s="34" t="e">
        <f>_xlfn.TEXTJOIN("", TRUE, INDEX($X$264:$X$311, (ROW(A373)-1)*6+1) : INDEX($X$264:$X$311, (ROW(A373)-1)*6+6))</f>
        <v>#REF!</v>
      </c>
      <c r="AB637" s="35"/>
      <c r="AC637" s="32" t="e">
        <f t="shared" si="48"/>
        <v>#REF!</v>
      </c>
      <c r="AD637" s="31" t="e">
        <f t="shared" si="49"/>
        <v>#REF!</v>
      </c>
      <c r="AE637" s="31" t="e" cm="1">
        <f t="array" aca="1" ref="AE637" ca="1">INDEX(OFFSET('[1]S-box'!$A$2, (Z637-1)*6, 0, 4, 16), AC637+1, AD637+1)</f>
        <v>#VALUE!</v>
      </c>
      <c r="AF637" s="33" t="e">
        <f t="shared" ca="1" si="50"/>
        <v>#VALUE!</v>
      </c>
      <c r="AH637" s="9">
        <v>6</v>
      </c>
      <c r="AI637" s="4" t="e" cm="1">
        <f t="array" ref="AI637">MID(INDEX($AF$265:$AF$272,INT((ROW(A374)-1)/4)+1),MOD(ROW(A374)-1,4)+1,1)</f>
        <v>#REF!</v>
      </c>
      <c r="AK637" s="9">
        <v>6</v>
      </c>
      <c r="AL637" s="4" t="e" cm="1">
        <f t="array" ref="AL637">INDEX($AI$264:$AI$295, INDEX($H$15:$O$18, INT((ROW(A374)-1)/8)+1, MOD(ROW(A374)-1,8)+1))</f>
        <v>#REF!</v>
      </c>
      <c r="AN637" s="2" t="e" vm="3">
        <f t="shared" ca="1" si="51"/>
        <v>#VALUE!</v>
      </c>
      <c r="AO637" s="2" t="e">
        <f t="shared" si="52"/>
        <v>#REF!</v>
      </c>
    </row>
    <row r="638" spans="2:41" x14ac:dyDescent="0.25">
      <c r="B638" s="9">
        <v>7</v>
      </c>
      <c r="C638" s="2">
        <v>0</v>
      </c>
      <c r="F638" s="15" cm="1">
        <f t="array" ref="F638">INDEX($C$632:$C$687, H47)</f>
        <v>1</v>
      </c>
      <c r="G638" s="15" cm="1">
        <f t="array" ref="G638">INDEX($C$632:$C$687, I47)</f>
        <v>0</v>
      </c>
      <c r="H638" s="15" cm="1">
        <f t="array" ref="H638">INDEX($C$632:$C$687, J47)</f>
        <v>0</v>
      </c>
      <c r="I638" s="15" cm="1">
        <f t="array" ref="I638">INDEX($C$632:$C$687, K47)</f>
        <v>0</v>
      </c>
      <c r="J638" s="15" cm="1">
        <f t="array" ref="J638">INDEX($C$632:$C$687, L47)</f>
        <v>0</v>
      </c>
      <c r="K638" s="15" cm="1">
        <f t="array" ref="K638">INDEX($C$632:$C$687, M47)</f>
        <v>0</v>
      </c>
      <c r="M638" s="9">
        <v>7</v>
      </c>
      <c r="N638" s="4" cm="1">
        <f t="array" ref="N638">INDEX($F$632:$K$639, INT((ROW(A7)-1)/6)+1, MOD(ROW(A437)-1,6)+1)</f>
        <v>0</v>
      </c>
      <c r="P638" s="15" t="e" cm="1" vm="1">
        <f t="array" aca="1" ref="P638" ca="1">INDEX($AO$204:$AO$235, H425)</f>
        <v>#VALUE!</v>
      </c>
      <c r="Q638" s="15" t="e" cm="1" vm="1">
        <f t="array" aca="1" ref="Q638" ca="1">INDEX($AO$204:$AO$235, I425)</f>
        <v>#VALUE!</v>
      </c>
      <c r="R638" s="15" t="e" cm="1" vm="1">
        <f t="array" aca="1" ref="R638" ca="1">INDEX($AO$204:$AO$235, J425)</f>
        <v>#VALUE!</v>
      </c>
      <c r="S638" s="15" t="e" cm="1" vm="1">
        <f t="array" aca="1" ref="S638" ca="1">INDEX($AO$204:$AO$235, K425)</f>
        <v>#VALUE!</v>
      </c>
      <c r="T638" s="15" t="e" cm="1" vm="1">
        <f t="array" aca="1" ref="T638" ca="1">INDEX($AO$204:$AO$235, L425)</f>
        <v>#VALUE!</v>
      </c>
      <c r="U638" s="15" t="e" cm="1">
        <f t="array" ref="U638">INDEX($AO$204:$AO$235, M425)</f>
        <v>#REF!</v>
      </c>
      <c r="W638" s="9">
        <v>7</v>
      </c>
      <c r="X638" s="4" t="e">
        <f t="shared" si="47"/>
        <v>#REF!</v>
      </c>
      <c r="Z638" s="32">
        <v>6</v>
      </c>
      <c r="AA638" s="34" t="e">
        <f>_xlfn.TEXTJOIN("", TRUE, INDEX($X$264:$X$311, (ROW(A374)-1)*6+1) : INDEX($X$264:$X$311, (ROW(A374)-1)*6+6))</f>
        <v>#REF!</v>
      </c>
      <c r="AB638" s="35"/>
      <c r="AC638" s="32" t="e">
        <f t="shared" si="48"/>
        <v>#REF!</v>
      </c>
      <c r="AD638" s="31" t="e">
        <f t="shared" si="49"/>
        <v>#REF!</v>
      </c>
      <c r="AE638" s="31" t="e" cm="1">
        <f t="array" aca="1" ref="AE638" ca="1">INDEX(OFFSET('[1]S-box'!$A$2, (Z638-1)*6, 0, 4, 16), AC638+1, AD638+1)</f>
        <v>#VALUE!</v>
      </c>
      <c r="AF638" s="33" t="e">
        <f t="shared" ca="1" si="50"/>
        <v>#VALUE!</v>
      </c>
      <c r="AH638" s="9">
        <v>7</v>
      </c>
      <c r="AI638" s="4" t="e" cm="1">
        <f t="array" ref="AI638">MID(INDEX($AF$265:$AF$272,INT((ROW(A375)-1)/4)+1),MOD(ROW(A375)-1,4)+1,1)</f>
        <v>#REF!</v>
      </c>
      <c r="AK638" s="9">
        <v>7</v>
      </c>
      <c r="AL638" s="4" t="e" cm="1">
        <f t="array" ref="AL638">INDEX($AI$264:$AI$295, INDEX($H$15:$O$18, INT((ROW(A375)-1)/8)+1, MOD(ROW(A375)-1,8)+1))</f>
        <v>#REF!</v>
      </c>
      <c r="AN638" s="2" t="e" vm="3">
        <f t="shared" ca="1" si="51"/>
        <v>#VALUE!</v>
      </c>
      <c r="AO638" s="2" t="e">
        <f t="shared" si="52"/>
        <v>#REF!</v>
      </c>
    </row>
    <row r="639" spans="2:41" x14ac:dyDescent="0.25">
      <c r="B639" s="11">
        <v>8</v>
      </c>
      <c r="C639" s="2">
        <v>1</v>
      </c>
      <c r="F639" s="15" cm="1">
        <f t="array" ref="F639">INDEX($C$632:$C$687, H48)</f>
        <v>1</v>
      </c>
      <c r="G639" s="15" cm="1">
        <f t="array" ref="G639">INDEX($C$632:$C$687, I48)</f>
        <v>1</v>
      </c>
      <c r="H639" s="15" cm="1">
        <f t="array" ref="H639">INDEX($C$632:$C$687, J48)</f>
        <v>1</v>
      </c>
      <c r="I639" s="15" cm="1">
        <f t="array" ref="I639">INDEX($C$632:$C$687, K48)</f>
        <v>0</v>
      </c>
      <c r="J639" s="15" cm="1">
        <f t="array" ref="J639">INDEX($C$632:$C$687, L48)</f>
        <v>0</v>
      </c>
      <c r="K639" s="15" cm="1">
        <f t="array" ref="K639">INDEX($C$632:$C$687, M48)</f>
        <v>1</v>
      </c>
      <c r="M639" s="11">
        <v>8</v>
      </c>
      <c r="N639" s="4" cm="1">
        <f t="array" ref="N639">INDEX($F$632:$K$639, INT((ROW(A8)-1)/6)+1, MOD(ROW(A438)-1,6)+1)</f>
        <v>1</v>
      </c>
      <c r="P639" s="15" t="e" cm="1" vm="2">
        <f t="array" aca="1" ref="P639" ca="1">INDEX($AO$204:$AO$235, H426)</f>
        <v>#VALUE!</v>
      </c>
      <c r="Q639" s="15" t="e" cm="1" vm="2">
        <f t="array" aca="1" ref="Q639" ca="1">INDEX($AO$204:$AO$235, I426)</f>
        <v>#VALUE!</v>
      </c>
      <c r="R639" s="15" t="e" cm="1">
        <f t="array" aca="1" ref="R639:R670" ca="1">INDEX($AO$204:$AO$235, J426)</f>
        <v>#VALUE!</v>
      </c>
      <c r="S639" s="15" t="e" cm="1">
        <f t="array" aca="1" ref="S639:S670" ca="1">INDEX($AO$204:$AO$235, K426)</f>
        <v>#VALUE!</v>
      </c>
      <c r="T639" s="15" t="e" cm="1">
        <f t="array" aca="1" ref="T639:T670" ca="1">INDEX($AO$204:$AO$235, L426)</f>
        <v>#VALUE!</v>
      </c>
      <c r="U639" s="15" t="e" cm="1">
        <f t="array" ref="U639">INDEX($AO$204:$AO$235, M426)</f>
        <v>#REF!</v>
      </c>
      <c r="W639" s="11">
        <v>8</v>
      </c>
      <c r="X639" s="4" t="e">
        <f t="shared" si="47"/>
        <v>#REF!</v>
      </c>
      <c r="Z639" s="32">
        <v>7</v>
      </c>
      <c r="AA639" s="34" t="e">
        <f>_xlfn.TEXTJOIN("", TRUE, INDEX($X$264:$X$311, (ROW(A375)-1)*6+1) : INDEX($X$264:$X$311, (ROW(A375)-1)*6+6))</f>
        <v>#REF!</v>
      </c>
      <c r="AB639" s="35"/>
      <c r="AC639" s="32" t="e">
        <f t="shared" si="48"/>
        <v>#REF!</v>
      </c>
      <c r="AD639" s="31" t="e">
        <f t="shared" si="49"/>
        <v>#REF!</v>
      </c>
      <c r="AE639" s="31" t="e" cm="1">
        <f t="array" aca="1" ref="AE639" ca="1">INDEX(OFFSET('[1]S-box'!$A$2, (Z639-1)*6, 0, 4, 16), AC639+1, AD639+1)</f>
        <v>#VALUE!</v>
      </c>
      <c r="AF639" s="33" t="e">
        <f t="shared" ca="1" si="50"/>
        <v>#VALUE!</v>
      </c>
      <c r="AH639" s="11">
        <v>8</v>
      </c>
      <c r="AI639" s="4" t="e" cm="1">
        <f t="array" ref="AI639">MID(INDEX($AF$265:$AF$272,INT((ROW(A376)-1)/4)+1),MOD(ROW(A376)-1,4)+1,1)</f>
        <v>#REF!</v>
      </c>
      <c r="AK639" s="11">
        <v>8</v>
      </c>
      <c r="AL639" s="4" t="e" cm="1">
        <f t="array" ref="AL639">INDEX($AI$264:$AI$295, INDEX($H$15:$O$18, INT((ROW(A376)-1)/8)+1, MOD(ROW(A376)-1,8)+1))</f>
        <v>#REF!</v>
      </c>
      <c r="AN639" s="2" t="e" vm="3">
        <f t="shared" ca="1" si="51"/>
        <v>#VALUE!</v>
      </c>
      <c r="AO639" s="2" t="e">
        <f t="shared" si="52"/>
        <v>#REF!</v>
      </c>
    </row>
    <row r="640" spans="2:41" x14ac:dyDescent="0.25">
      <c r="B640" s="9">
        <v>9</v>
      </c>
      <c r="C640" s="2">
        <v>0</v>
      </c>
      <c r="M640" s="9">
        <v>9</v>
      </c>
      <c r="N640" s="4" cm="1">
        <f t="array" ref="N640">INDEX($F$632:$K$639, INT((ROW(A9)-1)/6)+1, MOD(ROW(A439)-1,6)+1)</f>
        <v>0</v>
      </c>
      <c r="R640" t="e">
        <f ca="1"/>
        <v>#VALUE!</v>
      </c>
      <c r="S640" t="e">
        <f ca="1"/>
        <v>#VALUE!</v>
      </c>
      <c r="T640" t="e">
        <f ca="1"/>
        <v>#VALUE!</v>
      </c>
      <c r="W640" s="9">
        <v>9</v>
      </c>
      <c r="X640" s="4" t="e">
        <f t="shared" si="47"/>
        <v>#REF!</v>
      </c>
      <c r="Z640" s="32">
        <v>8</v>
      </c>
      <c r="AA640" s="34" t="e">
        <f>_xlfn.TEXTJOIN("", TRUE, INDEX($X$264:$X$311, (ROW(A376)-1)*6+1) : INDEX($X$264:$X$311, (ROW(A376)-1)*6+6))</f>
        <v>#REF!</v>
      </c>
      <c r="AB640" s="35"/>
      <c r="AC640" s="32" t="e">
        <f t="shared" si="48"/>
        <v>#REF!</v>
      </c>
      <c r="AD640" s="31" t="e">
        <f t="shared" si="49"/>
        <v>#REF!</v>
      </c>
      <c r="AE640" s="31" t="e" cm="1">
        <f t="array" aca="1" ref="AE640" ca="1">INDEX(OFFSET('[1]S-box'!$A$2, (Z640-1)*6, 0, 4, 16), AC640+1, AD640+1)</f>
        <v>#VALUE!</v>
      </c>
      <c r="AF640" s="33" t="e">
        <f t="shared" ca="1" si="50"/>
        <v>#VALUE!</v>
      </c>
      <c r="AH640" s="9">
        <v>9</v>
      </c>
      <c r="AI640" s="4" t="e" cm="1">
        <f t="array" ref="AI640">MID(INDEX($AF$265:$AF$272,INT((ROW(A377)-1)/4)+1),MOD(ROW(A377)-1,4)+1,1)</f>
        <v>#REF!</v>
      </c>
      <c r="AK640" s="9">
        <v>9</v>
      </c>
      <c r="AL640" s="4" t="e" cm="1">
        <f t="array" ref="AL640">INDEX($AI$264:$AI$295, INDEX($H$15:$O$18, INT((ROW(A377)-1)/8)+1, MOD(ROW(A377)-1,8)+1))</f>
        <v>#REF!</v>
      </c>
      <c r="AN640" s="2" t="e" vm="3">
        <f t="shared" ca="1" si="51"/>
        <v>#VALUE!</v>
      </c>
      <c r="AO640" s="2" t="e">
        <f t="shared" si="52"/>
        <v>#REF!</v>
      </c>
    </row>
    <row r="641" spans="2:41" x14ac:dyDescent="0.25">
      <c r="B641" s="9">
        <v>10</v>
      </c>
      <c r="C641" s="2">
        <v>1</v>
      </c>
      <c r="M641" s="9">
        <v>10</v>
      </c>
      <c r="N641" s="4" cm="1">
        <f t="array" ref="N641">INDEX($F$632:$K$639, INT((ROW(A10)-1)/6)+1, MOD(ROW(A440)-1,6)+1)</f>
        <v>0</v>
      </c>
      <c r="P641" s="36" t="s">
        <v>94</v>
      </c>
      <c r="Q641" s="36"/>
      <c r="R641" t="e">
        <f ca="1"/>
        <v>#VALUE!</v>
      </c>
      <c r="S641" t="e">
        <f ca="1"/>
        <v>#VALUE!</v>
      </c>
      <c r="T641" t="e">
        <f ca="1"/>
        <v>#VALUE!</v>
      </c>
      <c r="W641" s="9">
        <v>10</v>
      </c>
      <c r="X641" s="4" t="e">
        <f t="shared" si="47"/>
        <v>#REF!</v>
      </c>
      <c r="AH641" s="9">
        <v>10</v>
      </c>
      <c r="AI641" s="4" t="e" cm="1">
        <f t="array" ref="AI641">MID(INDEX($AF$265:$AF$272,INT((ROW(A378)-1)/4)+1),MOD(ROW(A378)-1,4)+1,1)</f>
        <v>#REF!</v>
      </c>
      <c r="AK641" s="9">
        <v>10</v>
      </c>
      <c r="AL641" s="4" t="e" cm="1">
        <f t="array" ref="AL641">INDEX($AI$264:$AI$295, INDEX($H$15:$O$18, INT((ROW(A378)-1)/8)+1, MOD(ROW(A378)-1,8)+1))</f>
        <v>#REF!</v>
      </c>
      <c r="AN641" s="2" t="e" vm="3">
        <f t="shared" ca="1" si="51"/>
        <v>#VALUE!</v>
      </c>
      <c r="AO641" s="2" t="e">
        <f t="shared" si="52"/>
        <v>#REF!</v>
      </c>
    </row>
    <row r="642" spans="2:41" x14ac:dyDescent="0.25">
      <c r="B642" s="9">
        <v>11</v>
      </c>
      <c r="C642" s="2">
        <v>0</v>
      </c>
      <c r="M642" s="9">
        <v>11</v>
      </c>
      <c r="N642" s="4" cm="1">
        <f t="array" ref="N642">INDEX($F$632:$K$639, INT((ROW(A11)-1)/6)+1, MOD(ROW(A441)-1,6)+1)</f>
        <v>1</v>
      </c>
      <c r="P642" s="9">
        <v>1</v>
      </c>
      <c r="Q642" s="4" t="e" cm="1">
        <f t="array" ref="Q642">INDEX($P$264:$U$271, INT((ROW(A369)-1)/6)+1, MOD(ROW(A369)-1,6)+1)</f>
        <v>#REF!</v>
      </c>
      <c r="R642" t="e">
        <f ca="1"/>
        <v>#VALUE!</v>
      </c>
      <c r="S642" t="e">
        <f ca="1"/>
        <v>#VALUE!</v>
      </c>
      <c r="T642" t="e">
        <f ca="1"/>
        <v>#VALUE!</v>
      </c>
      <c r="W642" s="9">
        <v>11</v>
      </c>
      <c r="X642" s="4" t="e">
        <f t="shared" si="47"/>
        <v>#REF!</v>
      </c>
      <c r="AH642" s="9">
        <v>11</v>
      </c>
      <c r="AI642" s="4" t="e" cm="1">
        <f t="array" ref="AI642">MID(INDEX($AF$265:$AF$272,INT((ROW(A379)-1)/4)+1),MOD(ROW(A379)-1,4)+1,1)</f>
        <v>#REF!</v>
      </c>
      <c r="AK642" s="9">
        <v>11</v>
      </c>
      <c r="AL642" s="4" t="e" cm="1">
        <f t="array" ref="AL642">INDEX($AI$264:$AI$295, INDEX($H$15:$O$18, INT((ROW(A379)-1)/8)+1, MOD(ROW(A379)-1,8)+1))</f>
        <v>#REF!</v>
      </c>
      <c r="AN642" s="2" t="e">
        <f t="shared" ca="1" si="51"/>
        <v>#VALUE!</v>
      </c>
      <c r="AO642" s="2" t="e">
        <f t="shared" si="52"/>
        <v>#REF!</v>
      </c>
    </row>
    <row r="643" spans="2:41" x14ac:dyDescent="0.25">
      <c r="B643" s="9">
        <v>12</v>
      </c>
      <c r="C643" s="2">
        <v>1</v>
      </c>
      <c r="M643" s="9">
        <v>12</v>
      </c>
      <c r="N643" s="4" cm="1">
        <f t="array" ref="N643">INDEX($F$632:$K$639, INT((ROW(A12)-1)/6)+1, MOD(ROW(A442)-1,6)+1)</f>
        <v>1</v>
      </c>
      <c r="P643" s="9">
        <v>2</v>
      </c>
      <c r="Q643" s="4" t="e" cm="1">
        <f t="array" ref="Q643">INDEX($P$264:$U$271, INT((ROW(A370)-1)/6)+1, MOD(ROW(A370)-1,6)+1)</f>
        <v>#REF!</v>
      </c>
      <c r="R643" t="e">
        <f ca="1"/>
        <v>#VALUE!</v>
      </c>
      <c r="S643" t="e">
        <f ca="1"/>
        <v>#VALUE!</v>
      </c>
      <c r="T643" t="e">
        <f ca="1"/>
        <v>#VALUE!</v>
      </c>
      <c r="W643" s="9">
        <v>12</v>
      </c>
      <c r="X643" s="4" t="e">
        <f t="shared" si="47"/>
        <v>#REF!</v>
      </c>
      <c r="AH643" s="9">
        <v>12</v>
      </c>
      <c r="AI643" s="4" t="e" cm="1">
        <f t="array" ref="AI643">MID(INDEX($AF$265:$AF$272,INT((ROW(A380)-1)/4)+1),MOD(ROW(A380)-1,4)+1,1)</f>
        <v>#REF!</v>
      </c>
      <c r="AK643" s="9">
        <v>12</v>
      </c>
      <c r="AL643" s="4" t="e" cm="1">
        <f t="array" ref="AL643">INDEX($AI$264:$AI$295, INDEX($H$15:$O$18, INT((ROW(A380)-1)/8)+1, MOD(ROW(A380)-1,8)+1))</f>
        <v>#REF!</v>
      </c>
      <c r="AN643" s="2" t="e">
        <f t="shared" ca="1" si="51"/>
        <v>#VALUE!</v>
      </c>
      <c r="AO643" s="2" t="e">
        <f t="shared" si="52"/>
        <v>#REF!</v>
      </c>
    </row>
    <row r="644" spans="2:41" x14ac:dyDescent="0.25">
      <c r="B644" s="9">
        <v>13</v>
      </c>
      <c r="C644" s="2">
        <v>1</v>
      </c>
      <c r="M644" s="9">
        <v>13</v>
      </c>
      <c r="N644" s="4" cm="1">
        <f t="array" ref="N644">INDEX($F$632:$K$639, INT((ROW(A13)-1)/6)+1, MOD(ROW(A443)-1,6)+1)</f>
        <v>1</v>
      </c>
      <c r="P644" s="9">
        <v>3</v>
      </c>
      <c r="Q644" s="4" t="e" cm="1">
        <f t="array" ref="Q644">INDEX($P$264:$U$271, INT((ROW(A371)-1)/6)+1, MOD(ROW(A371)-1,6)+1)</f>
        <v>#REF!</v>
      </c>
      <c r="R644" t="e">
        <f ca="1"/>
        <v>#VALUE!</v>
      </c>
      <c r="S644" t="e">
        <f ca="1"/>
        <v>#VALUE!</v>
      </c>
      <c r="T644" t="e">
        <f ca="1"/>
        <v>#VALUE!</v>
      </c>
      <c r="W644" s="9">
        <v>13</v>
      </c>
      <c r="X644" s="4" t="e">
        <f t="shared" si="47"/>
        <v>#REF!</v>
      </c>
      <c r="AH644" s="9">
        <v>13</v>
      </c>
      <c r="AI644" s="4" t="e" cm="1">
        <f t="array" ref="AI644">MID(INDEX($AF$265:$AF$272,INT((ROW(A381)-1)/4)+1),MOD(ROW(A381)-1,4)+1,1)</f>
        <v>#REF!</v>
      </c>
      <c r="AK644" s="9">
        <v>13</v>
      </c>
      <c r="AL644" s="4" t="e" cm="1">
        <f t="array" ref="AL644">INDEX($AI$264:$AI$295, INDEX($H$15:$O$18, INT((ROW(A381)-1)/8)+1, MOD(ROW(A381)-1,8)+1))</f>
        <v>#REF!</v>
      </c>
      <c r="AN644" s="2" t="e">
        <f t="shared" ca="1" si="51"/>
        <v>#VALUE!</v>
      </c>
      <c r="AO644" s="2" t="e">
        <f t="shared" si="52"/>
        <v>#REF!</v>
      </c>
    </row>
    <row r="645" spans="2:41" x14ac:dyDescent="0.25">
      <c r="B645" s="9">
        <v>14</v>
      </c>
      <c r="C645" s="2">
        <v>1</v>
      </c>
      <c r="M645" s="9">
        <v>14</v>
      </c>
      <c r="N645" s="4" cm="1">
        <f t="array" ref="N645">INDEX($F$632:$K$639, INT((ROW(A14)-1)/6)+1, MOD(ROW(A444)-1,6)+1)</f>
        <v>1</v>
      </c>
      <c r="P645" s="9">
        <v>4</v>
      </c>
      <c r="Q645" s="4" t="e" cm="1">
        <f t="array" ref="Q645">INDEX($P$264:$U$271, INT((ROW(A372)-1)/6)+1, MOD(ROW(A372)-1,6)+1)</f>
        <v>#REF!</v>
      </c>
      <c r="R645" t="e">
        <f ca="1"/>
        <v>#VALUE!</v>
      </c>
      <c r="S645" t="e">
        <f ca="1"/>
        <v>#VALUE!</v>
      </c>
      <c r="T645" t="e">
        <f ca="1"/>
        <v>#VALUE!</v>
      </c>
      <c r="W645" s="9">
        <v>14</v>
      </c>
      <c r="X645" s="4" t="e">
        <f t="shared" si="47"/>
        <v>#REF!</v>
      </c>
      <c r="AH645" s="9">
        <v>14</v>
      </c>
      <c r="AI645" s="4" t="e" cm="1">
        <f t="array" ref="AI645">MID(INDEX($AF$265:$AF$272,INT((ROW(A382)-1)/4)+1),MOD(ROW(A382)-1,4)+1,1)</f>
        <v>#REF!</v>
      </c>
      <c r="AK645" s="9">
        <v>14</v>
      </c>
      <c r="AL645" s="4" t="e" cm="1">
        <f t="array" ref="AL645">INDEX($AI$264:$AI$295, INDEX($H$15:$O$18, INT((ROW(A382)-1)/8)+1, MOD(ROW(A382)-1,8)+1))</f>
        <v>#REF!</v>
      </c>
      <c r="AN645" s="2" t="e">
        <f t="shared" ca="1" si="51"/>
        <v>#VALUE!</v>
      </c>
      <c r="AO645" s="2" t="e">
        <f t="shared" si="52"/>
        <v>#REF!</v>
      </c>
    </row>
    <row r="646" spans="2:41" x14ac:dyDescent="0.25">
      <c r="B646" s="9">
        <v>15</v>
      </c>
      <c r="C646" s="2">
        <v>1</v>
      </c>
      <c r="M646" s="9">
        <v>15</v>
      </c>
      <c r="N646" s="4" cm="1">
        <f t="array" ref="N646">INDEX($F$632:$K$639, INT((ROW(A15)-1)/6)+1, MOD(ROW(A445)-1,6)+1)</f>
        <v>1</v>
      </c>
      <c r="P646" s="9">
        <v>5</v>
      </c>
      <c r="Q646" s="4" t="e" cm="1">
        <f t="array" ref="Q646">INDEX($P$264:$U$271, INT((ROW(A373)-1)/6)+1, MOD(ROW(A373)-1,6)+1)</f>
        <v>#REF!</v>
      </c>
      <c r="R646" t="e">
        <f ca="1"/>
        <v>#VALUE!</v>
      </c>
      <c r="S646" t="e">
        <f ca="1"/>
        <v>#VALUE!</v>
      </c>
      <c r="T646" t="e">
        <f ca="1"/>
        <v>#VALUE!</v>
      </c>
      <c r="W646" s="9">
        <v>15</v>
      </c>
      <c r="X646" s="4" t="e">
        <f t="shared" si="47"/>
        <v>#REF!</v>
      </c>
      <c r="AH646" s="9">
        <v>15</v>
      </c>
      <c r="AI646" s="4" t="e" cm="1">
        <f t="array" ref="AI646">MID(INDEX($AF$265:$AF$272,INT((ROW(A383)-1)/4)+1),MOD(ROW(A383)-1,4)+1,1)</f>
        <v>#REF!</v>
      </c>
      <c r="AK646" s="9">
        <v>15</v>
      </c>
      <c r="AL646" s="4" t="e" cm="1">
        <f t="array" ref="AL646">INDEX($AI$264:$AI$295, INDEX($H$15:$O$18, INT((ROW(A383)-1)/8)+1, MOD(ROW(A383)-1,8)+1))</f>
        <v>#REF!</v>
      </c>
      <c r="AN646" s="2" t="e">
        <f t="shared" ca="1" si="51"/>
        <v>#VALUE!</v>
      </c>
      <c r="AO646" s="2" t="e">
        <f t="shared" si="52"/>
        <v>#REF!</v>
      </c>
    </row>
    <row r="647" spans="2:41" x14ac:dyDescent="0.25">
      <c r="B647" s="11">
        <v>16</v>
      </c>
      <c r="C647" s="2">
        <v>1</v>
      </c>
      <c r="M647" s="11">
        <v>16</v>
      </c>
      <c r="N647" s="4" cm="1">
        <f t="array" ref="N647">INDEX($F$632:$K$639, INT((ROW(A16)-1)/6)+1, MOD(ROW(A446)-1,6)+1)</f>
        <v>0</v>
      </c>
      <c r="P647" s="9">
        <v>6</v>
      </c>
      <c r="Q647" s="4" t="e" cm="1">
        <f t="array" ref="Q647">INDEX($P$264:$U$271, INT((ROW(A374)-1)/6)+1, MOD(ROW(A374)-1,6)+1)</f>
        <v>#REF!</v>
      </c>
      <c r="R647" t="e">
        <f ca="1"/>
        <v>#VALUE!</v>
      </c>
      <c r="S647" t="e">
        <f ca="1"/>
        <v>#VALUE!</v>
      </c>
      <c r="T647" t="e">
        <f ca="1"/>
        <v>#VALUE!</v>
      </c>
      <c r="W647" s="11">
        <v>16</v>
      </c>
      <c r="X647" s="4" t="e">
        <f t="shared" si="47"/>
        <v>#REF!</v>
      </c>
      <c r="AH647" s="11">
        <v>16</v>
      </c>
      <c r="AI647" s="4" t="e" cm="1">
        <f t="array" ref="AI647">MID(INDEX($AF$265:$AF$272,INT((ROW(A384)-1)/4)+1),MOD(ROW(A384)-1,4)+1,1)</f>
        <v>#REF!</v>
      </c>
      <c r="AK647" s="11">
        <v>16</v>
      </c>
      <c r="AL647" s="4" t="e" cm="1">
        <f t="array" ref="AL647">INDEX($AI$264:$AI$295, INDEX($H$15:$O$18, INT((ROW(A384)-1)/8)+1, MOD(ROW(A384)-1,8)+1))</f>
        <v>#REF!</v>
      </c>
      <c r="AN647" s="2" t="e">
        <f t="shared" ca="1" si="51"/>
        <v>#VALUE!</v>
      </c>
      <c r="AO647" s="2" t="e">
        <f t="shared" si="52"/>
        <v>#REF!</v>
      </c>
    </row>
    <row r="648" spans="2:41" x14ac:dyDescent="0.25">
      <c r="B648" s="7">
        <v>17</v>
      </c>
      <c r="C648" s="2">
        <v>1</v>
      </c>
      <c r="M648" s="7">
        <v>17</v>
      </c>
      <c r="N648" s="4" cm="1">
        <f t="array" ref="N648">INDEX($F$632:$K$639, INT((ROW(A17)-1)/6)+1, MOD(ROW(A447)-1,6)+1)</f>
        <v>1</v>
      </c>
      <c r="P648" s="9">
        <v>7</v>
      </c>
      <c r="Q648" s="4" t="e" cm="1">
        <f t="array" ref="Q648">INDEX($P$264:$U$271, INT((ROW(A375)-1)/6)+1, MOD(ROW(A375)-1,6)+1)</f>
        <v>#REF!</v>
      </c>
      <c r="R648" t="e">
        <f ca="1"/>
        <v>#VALUE!</v>
      </c>
      <c r="S648" t="e">
        <f ca="1"/>
        <v>#VALUE!</v>
      </c>
      <c r="T648" t="e">
        <f ca="1"/>
        <v>#VALUE!</v>
      </c>
      <c r="W648" s="7">
        <v>17</v>
      </c>
      <c r="X648" s="4" t="e">
        <f t="shared" si="47"/>
        <v>#REF!</v>
      </c>
      <c r="AH648" s="7">
        <v>17</v>
      </c>
      <c r="AI648" s="4" t="e" cm="1">
        <f t="array" ref="AI648">MID(INDEX($AF$265:$AF$272,INT((ROW(A385)-1)/4)+1),MOD(ROW(A385)-1,4)+1,1)</f>
        <v>#REF!</v>
      </c>
      <c r="AK648" s="7">
        <v>17</v>
      </c>
      <c r="AL648" s="4" t="e" cm="1">
        <f t="array" ref="AL648">INDEX($AI$264:$AI$295, INDEX($H$15:$O$18, INT((ROW(A385)-1)/8)+1, MOD(ROW(A385)-1,8)+1))</f>
        <v>#REF!</v>
      </c>
      <c r="AN648" s="2" t="e">
        <f t="shared" ca="1" si="51"/>
        <v>#VALUE!</v>
      </c>
      <c r="AO648" s="2" t="e">
        <f t="shared" si="52"/>
        <v>#REF!</v>
      </c>
    </row>
    <row r="649" spans="2:41" x14ac:dyDescent="0.25">
      <c r="B649" s="9">
        <v>18</v>
      </c>
      <c r="C649" s="2">
        <v>0</v>
      </c>
      <c r="M649" s="9">
        <v>18</v>
      </c>
      <c r="N649" s="4" cm="1">
        <f t="array" ref="N649">INDEX($F$632:$K$639, INT((ROW(A18)-1)/6)+1, MOD(ROW(A448)-1,6)+1)</f>
        <v>1</v>
      </c>
      <c r="P649" s="11">
        <v>8</v>
      </c>
      <c r="Q649" s="4" t="e" cm="1">
        <f t="array" ref="Q649">INDEX($P$264:$U$271, INT((ROW(A376)-1)/6)+1, MOD(ROW(A376)-1,6)+1)</f>
        <v>#REF!</v>
      </c>
      <c r="R649" t="e">
        <f ca="1"/>
        <v>#VALUE!</v>
      </c>
      <c r="S649" t="e">
        <f ca="1"/>
        <v>#VALUE!</v>
      </c>
      <c r="T649" t="e">
        <f ca="1"/>
        <v>#VALUE!</v>
      </c>
      <c r="W649" s="9">
        <v>18</v>
      </c>
      <c r="X649" s="4" t="e">
        <f t="shared" si="47"/>
        <v>#REF!</v>
      </c>
      <c r="AH649" s="9">
        <v>18</v>
      </c>
      <c r="AI649" s="4" t="e" cm="1">
        <f t="array" ref="AI649">MID(INDEX($AF$265:$AF$272,INT((ROW(A386)-1)/4)+1),MOD(ROW(A386)-1,4)+1,1)</f>
        <v>#REF!</v>
      </c>
      <c r="AK649" s="9">
        <v>18</v>
      </c>
      <c r="AL649" s="4" t="e" cm="1">
        <f t="array" ref="AL649">INDEX($AI$264:$AI$295, INDEX($H$15:$O$18, INT((ROW(A386)-1)/8)+1, MOD(ROW(A386)-1,8)+1))</f>
        <v>#REF!</v>
      </c>
      <c r="AN649" s="2" t="e">
        <f t="shared" ca="1" si="51"/>
        <v>#VALUE!</v>
      </c>
      <c r="AO649" s="2" t="e">
        <f t="shared" si="52"/>
        <v>#REF!</v>
      </c>
    </row>
    <row r="650" spans="2:41" x14ac:dyDescent="0.25">
      <c r="B650" s="9">
        <v>19</v>
      </c>
      <c r="C650" s="2">
        <v>0</v>
      </c>
      <c r="M650" s="9">
        <v>19</v>
      </c>
      <c r="N650" s="4" cm="1">
        <f t="array" ref="N650">INDEX($F$632:$K$639, INT((ROW(A19)-1)/6)+1, MOD(ROW(A449)-1,6)+1)</f>
        <v>1</v>
      </c>
      <c r="P650" s="7">
        <v>9</v>
      </c>
      <c r="Q650" s="4" t="e" cm="1">
        <f t="array" ref="Q650">INDEX($P$264:$U$271, INT((ROW(A377)-1)/6)+1, MOD(ROW(A377)-1,6)+1)</f>
        <v>#REF!</v>
      </c>
      <c r="R650" t="e">
        <f ca="1"/>
        <v>#VALUE!</v>
      </c>
      <c r="S650" t="e">
        <f ca="1"/>
        <v>#VALUE!</v>
      </c>
      <c r="T650" t="e">
        <f ca="1"/>
        <v>#VALUE!</v>
      </c>
      <c r="W650" s="9">
        <v>19</v>
      </c>
      <c r="X650" s="4" t="e">
        <f t="shared" si="47"/>
        <v>#REF!</v>
      </c>
      <c r="AH650" s="9">
        <v>19</v>
      </c>
      <c r="AI650" s="4" t="e" cm="1">
        <f t="array" ref="AI650">MID(INDEX($AF$265:$AF$272,INT((ROW(A387)-1)/4)+1),MOD(ROW(A387)-1,4)+1,1)</f>
        <v>#REF!</v>
      </c>
      <c r="AK650" s="9">
        <v>19</v>
      </c>
      <c r="AL650" s="4" t="e" cm="1">
        <f t="array" ref="AL650">INDEX($AI$264:$AI$295, INDEX($H$15:$O$18, INT((ROW(A387)-1)/8)+1, MOD(ROW(A387)-1,8)+1))</f>
        <v>#REF!</v>
      </c>
      <c r="AN650" s="2" t="e">
        <f t="shared" ca="1" si="51"/>
        <v>#VALUE!</v>
      </c>
      <c r="AO650" s="2" t="e">
        <f t="shared" si="52"/>
        <v>#REF!</v>
      </c>
    </row>
    <row r="651" spans="2:41" x14ac:dyDescent="0.25">
      <c r="B651" s="9">
        <v>20</v>
      </c>
      <c r="C651" s="2">
        <v>0</v>
      </c>
      <c r="M651" s="9">
        <v>20</v>
      </c>
      <c r="N651" s="4" cm="1">
        <f t="array" ref="N651">INDEX($F$632:$K$639, INT((ROW(A20)-1)/6)+1, MOD(ROW(A450)-1,6)+1)</f>
        <v>1</v>
      </c>
      <c r="P651" s="9">
        <v>10</v>
      </c>
      <c r="Q651" s="4" t="e" cm="1">
        <f t="array" ref="Q651">INDEX($P$264:$U$271, INT((ROW(A378)-1)/6)+1, MOD(ROW(A378)-1,6)+1)</f>
        <v>#REF!</v>
      </c>
      <c r="R651" t="e">
        <f ca="1"/>
        <v>#VALUE!</v>
      </c>
      <c r="S651" t="e">
        <f ca="1"/>
        <v>#VALUE!</v>
      </c>
      <c r="T651" t="e">
        <f ca="1"/>
        <v>#VALUE!</v>
      </c>
      <c r="W651" s="9">
        <v>20</v>
      </c>
      <c r="X651" s="4" t="e">
        <f t="shared" si="47"/>
        <v>#REF!</v>
      </c>
      <c r="AH651" s="9">
        <v>20</v>
      </c>
      <c r="AI651" s="4" t="e" cm="1">
        <f t="array" ref="AI651">MID(INDEX($AF$265:$AF$272,INT((ROW(A388)-1)/4)+1),MOD(ROW(A388)-1,4)+1,1)</f>
        <v>#REF!</v>
      </c>
      <c r="AK651" s="9">
        <v>20</v>
      </c>
      <c r="AL651" s="4" t="e" cm="1">
        <f t="array" ref="AL651">INDEX($AI$264:$AI$295, INDEX($H$15:$O$18, INT((ROW(A388)-1)/8)+1, MOD(ROW(A388)-1,8)+1))</f>
        <v>#REF!</v>
      </c>
      <c r="AN651" s="2" t="e">
        <f t="shared" ca="1" si="51"/>
        <v>#VALUE!</v>
      </c>
      <c r="AO651" s="2" t="e">
        <f t="shared" si="52"/>
        <v>#REF!</v>
      </c>
    </row>
    <row r="652" spans="2:41" x14ac:dyDescent="0.25">
      <c r="B652" s="9">
        <v>21</v>
      </c>
      <c r="C652" s="2">
        <v>0</v>
      </c>
      <c r="M652" s="9">
        <v>21</v>
      </c>
      <c r="N652" s="4" cm="1">
        <f t="array" ref="N652">INDEX($F$632:$K$639, INT((ROW(A21)-1)/6)+1, MOD(ROW(A451)-1,6)+1)</f>
        <v>1</v>
      </c>
      <c r="P652" s="9">
        <v>11</v>
      </c>
      <c r="Q652" s="4" t="e" cm="1">
        <f t="array" ref="Q652">INDEX($P$264:$U$271, INT((ROW(A379)-1)/6)+1, MOD(ROW(A379)-1,6)+1)</f>
        <v>#REF!</v>
      </c>
      <c r="R652" t="e">
        <f ca="1"/>
        <v>#VALUE!</v>
      </c>
      <c r="S652" t="e">
        <f ca="1"/>
        <v>#VALUE!</v>
      </c>
      <c r="T652" t="e">
        <f ca="1"/>
        <v>#VALUE!</v>
      </c>
      <c r="W652" s="9">
        <v>21</v>
      </c>
      <c r="X652" s="4" t="e">
        <f t="shared" si="47"/>
        <v>#REF!</v>
      </c>
      <c r="AH652" s="9">
        <v>21</v>
      </c>
      <c r="AI652" s="4" t="e" cm="1">
        <f t="array" ref="AI652">MID(INDEX($AF$265:$AF$272,INT((ROW(A389)-1)/4)+1),MOD(ROW(A389)-1,4)+1,1)</f>
        <v>#REF!</v>
      </c>
      <c r="AK652" s="9">
        <v>21</v>
      </c>
      <c r="AL652" s="4" t="e" cm="1">
        <f t="array" ref="AL652">INDEX($AI$264:$AI$295, INDEX($H$15:$O$18, INT((ROW(A389)-1)/8)+1, MOD(ROW(A389)-1,8)+1))</f>
        <v>#REF!</v>
      </c>
      <c r="AN652" s="2" t="e">
        <f t="shared" ca="1" si="51"/>
        <v>#VALUE!</v>
      </c>
      <c r="AO652" s="2" t="e">
        <f t="shared" si="52"/>
        <v>#REF!</v>
      </c>
    </row>
    <row r="653" spans="2:41" x14ac:dyDescent="0.25">
      <c r="B653" s="9">
        <v>22</v>
      </c>
      <c r="C653" s="2">
        <v>1</v>
      </c>
      <c r="M653" s="9">
        <v>22</v>
      </c>
      <c r="N653" s="4" cm="1">
        <f t="array" ref="N653">INDEX($F$632:$K$639, INT((ROW(A22)-1)/6)+1, MOD(ROW(A452)-1,6)+1)</f>
        <v>0</v>
      </c>
      <c r="P653" s="9">
        <v>12</v>
      </c>
      <c r="Q653" s="4" t="e" cm="1">
        <f t="array" ref="Q653">INDEX($P$264:$U$271, INT((ROW(A380)-1)/6)+1, MOD(ROW(A380)-1,6)+1)</f>
        <v>#REF!</v>
      </c>
      <c r="R653" t="e">
        <f ca="1"/>
        <v>#VALUE!</v>
      </c>
      <c r="S653" t="e">
        <f ca="1"/>
        <v>#VALUE!</v>
      </c>
      <c r="T653" t="e">
        <f ca="1"/>
        <v>#VALUE!</v>
      </c>
      <c r="W653" s="9">
        <v>22</v>
      </c>
      <c r="X653" s="4" t="e">
        <f t="shared" si="47"/>
        <v>#REF!</v>
      </c>
      <c r="AH653" s="9">
        <v>22</v>
      </c>
      <c r="AI653" s="4" t="e" cm="1">
        <f t="array" ref="AI653">MID(INDEX($AF$265:$AF$272,INT((ROW(A390)-1)/4)+1),MOD(ROW(A390)-1,4)+1,1)</f>
        <v>#REF!</v>
      </c>
      <c r="AK653" s="9">
        <v>22</v>
      </c>
      <c r="AL653" s="4" t="e" cm="1">
        <f t="array" ref="AL653">INDEX($AI$264:$AI$295, INDEX($H$15:$O$18, INT((ROW(A390)-1)/8)+1, MOD(ROW(A390)-1,8)+1))</f>
        <v>#REF!</v>
      </c>
      <c r="AN653" s="2" t="e">
        <f t="shared" ca="1" si="51"/>
        <v>#VALUE!</v>
      </c>
      <c r="AO653" s="2" t="e">
        <f t="shared" si="52"/>
        <v>#REF!</v>
      </c>
    </row>
    <row r="654" spans="2:41" x14ac:dyDescent="0.25">
      <c r="B654" s="9">
        <v>23</v>
      </c>
      <c r="C654" s="2">
        <v>1</v>
      </c>
      <c r="M654" s="9">
        <v>23</v>
      </c>
      <c r="N654" s="4" cm="1">
        <f t="array" ref="N654">INDEX($F$632:$K$639, INT((ROW(A23)-1)/6)+1, MOD(ROW(A453)-1,6)+1)</f>
        <v>1</v>
      </c>
      <c r="P654" s="9">
        <v>13</v>
      </c>
      <c r="Q654" s="4" t="e" cm="1">
        <f t="array" ref="Q654">INDEX($P$264:$U$271, INT((ROW(A381)-1)/6)+1, MOD(ROW(A381)-1,6)+1)</f>
        <v>#REF!</v>
      </c>
      <c r="R654" t="e">
        <f ca="1"/>
        <v>#VALUE!</v>
      </c>
      <c r="S654" t="e">
        <f ca="1"/>
        <v>#VALUE!</v>
      </c>
      <c r="T654" t="e">
        <f ca="1"/>
        <v>#VALUE!</v>
      </c>
      <c r="W654" s="9">
        <v>23</v>
      </c>
      <c r="X654" s="4" t="e">
        <f t="shared" si="47"/>
        <v>#REF!</v>
      </c>
      <c r="AH654" s="9">
        <v>23</v>
      </c>
      <c r="AI654" s="4" t="e" cm="1">
        <f t="array" ref="AI654">MID(INDEX($AF$265:$AF$272,INT((ROW(A391)-1)/4)+1),MOD(ROW(A391)-1,4)+1,1)</f>
        <v>#REF!</v>
      </c>
      <c r="AK654" s="9">
        <v>23</v>
      </c>
      <c r="AL654" s="4" t="e" cm="1">
        <f t="array" ref="AL654">INDEX($AI$264:$AI$295, INDEX($H$15:$O$18, INT((ROW(A391)-1)/8)+1, MOD(ROW(A391)-1,8)+1))</f>
        <v>#REF!</v>
      </c>
      <c r="AN654" s="2" t="e">
        <f t="shared" ca="1" si="51"/>
        <v>#VALUE!</v>
      </c>
      <c r="AO654" s="2" t="e">
        <f t="shared" si="52"/>
        <v>#REF!</v>
      </c>
    </row>
    <row r="655" spans="2:41" x14ac:dyDescent="0.25">
      <c r="B655" s="11">
        <v>24</v>
      </c>
      <c r="C655" s="2">
        <v>0</v>
      </c>
      <c r="M655" s="11">
        <v>24</v>
      </c>
      <c r="N655" s="4" cm="1">
        <f t="array" ref="N655">INDEX($F$632:$K$639, INT((ROW(A24)-1)/6)+1, MOD(ROW(A454)-1,6)+1)</f>
        <v>0</v>
      </c>
      <c r="P655" s="9">
        <v>14</v>
      </c>
      <c r="Q655" s="4" t="e" cm="1">
        <f t="array" ref="Q655">INDEX($P$264:$U$271, INT((ROW(A382)-1)/6)+1, MOD(ROW(A382)-1,6)+1)</f>
        <v>#REF!</v>
      </c>
      <c r="R655" t="e">
        <f ca="1"/>
        <v>#VALUE!</v>
      </c>
      <c r="S655" t="e">
        <f ca="1"/>
        <v>#VALUE!</v>
      </c>
      <c r="T655" t="e">
        <f ca="1"/>
        <v>#VALUE!</v>
      </c>
      <c r="W655" s="11">
        <v>24</v>
      </c>
      <c r="X655" s="4" t="e">
        <f t="shared" si="47"/>
        <v>#REF!</v>
      </c>
      <c r="AH655" s="11">
        <v>24</v>
      </c>
      <c r="AI655" s="4" t="e" cm="1">
        <f t="array" ref="AI655">MID(INDEX($AF$265:$AF$272,INT((ROW(A392)-1)/4)+1),MOD(ROW(A392)-1,4)+1,1)</f>
        <v>#REF!</v>
      </c>
      <c r="AK655" s="11">
        <v>24</v>
      </c>
      <c r="AL655" s="4" t="e" cm="1">
        <f t="array" ref="AL655">INDEX($AI$264:$AI$295, INDEX($H$15:$O$18, INT((ROW(A392)-1)/8)+1, MOD(ROW(A392)-1,8)+1))</f>
        <v>#REF!</v>
      </c>
      <c r="AN655" s="2" t="e">
        <f t="shared" ca="1" si="51"/>
        <v>#VALUE!</v>
      </c>
      <c r="AO655" s="2" t="e">
        <f t="shared" si="52"/>
        <v>#REF!</v>
      </c>
    </row>
    <row r="656" spans="2:41" x14ac:dyDescent="0.25">
      <c r="B656" s="7">
        <v>25</v>
      </c>
      <c r="C656" s="2">
        <v>0</v>
      </c>
      <c r="M656" s="7">
        <v>25</v>
      </c>
      <c r="N656" s="4" cm="1">
        <f t="array" ref="N656">INDEX($F$632:$K$639, INT((ROW(A25)-1)/6)+1, MOD(ROW(A455)-1,6)+1)</f>
        <v>0</v>
      </c>
      <c r="P656" s="9">
        <v>15</v>
      </c>
      <c r="Q656" s="4" t="e" cm="1">
        <f t="array" ref="Q656">INDEX($P$264:$U$271, INT((ROW(A383)-1)/6)+1, MOD(ROW(A383)-1,6)+1)</f>
        <v>#REF!</v>
      </c>
      <c r="R656" t="e">
        <f ca="1"/>
        <v>#VALUE!</v>
      </c>
      <c r="S656" t="e">
        <f ca="1"/>
        <v>#VALUE!</v>
      </c>
      <c r="T656" t="e">
        <f ca="1"/>
        <v>#VALUE!</v>
      </c>
      <c r="W656" s="7">
        <v>25</v>
      </c>
      <c r="X656" s="4" t="e">
        <f t="shared" si="47"/>
        <v>#REF!</v>
      </c>
      <c r="AH656" s="7">
        <v>25</v>
      </c>
      <c r="AI656" s="4" t="e" cm="1">
        <f t="array" ref="AI656">MID(INDEX($AF$265:$AF$272,INT((ROW(A393)-1)/4)+1),MOD(ROW(A393)-1,4)+1,1)</f>
        <v>#REF!</v>
      </c>
      <c r="AK656" s="7">
        <v>25</v>
      </c>
      <c r="AL656" s="4" t="e" cm="1">
        <f t="array" ref="AL656">INDEX($AI$264:$AI$295, INDEX($H$15:$O$18, INT((ROW(A393)-1)/8)+1, MOD(ROW(A393)-1,8)+1))</f>
        <v>#REF!</v>
      </c>
      <c r="AN656" s="2" t="e">
        <f t="shared" ca="1" si="51"/>
        <v>#VALUE!</v>
      </c>
      <c r="AO656" s="2" t="e">
        <f t="shared" si="52"/>
        <v>#REF!</v>
      </c>
    </row>
    <row r="657" spans="2:41" x14ac:dyDescent="0.25">
      <c r="B657" s="9">
        <v>26</v>
      </c>
      <c r="C657" s="2">
        <v>1</v>
      </c>
      <c r="M657" s="9">
        <v>26</v>
      </c>
      <c r="N657" s="4" cm="1">
        <f t="array" ref="N657">INDEX($F$632:$K$639, INT((ROW(A26)-1)/6)+1, MOD(ROW(A456)-1,6)+1)</f>
        <v>1</v>
      </c>
      <c r="P657" s="11">
        <v>16</v>
      </c>
      <c r="Q657" s="4" t="e" cm="1">
        <f t="array" ref="Q657">INDEX($P$264:$U$271, INT((ROW(A384)-1)/6)+1, MOD(ROW(A384)-1,6)+1)</f>
        <v>#REF!</v>
      </c>
      <c r="R657" t="e">
        <f ca="1"/>
        <v>#VALUE!</v>
      </c>
      <c r="S657" t="e">
        <f ca="1"/>
        <v>#VALUE!</v>
      </c>
      <c r="T657" t="e">
        <f ca="1"/>
        <v>#VALUE!</v>
      </c>
      <c r="W657" s="9">
        <v>26</v>
      </c>
      <c r="X657" s="4" t="e">
        <f t="shared" si="47"/>
        <v>#REF!</v>
      </c>
      <c r="AH657" s="9">
        <v>26</v>
      </c>
      <c r="AI657" s="4" t="e" cm="1">
        <f t="array" ref="AI657">MID(INDEX($AF$265:$AF$272,INT((ROW(A394)-1)/4)+1),MOD(ROW(A394)-1,4)+1,1)</f>
        <v>#REF!</v>
      </c>
      <c r="AK657" s="9">
        <v>26</v>
      </c>
      <c r="AL657" s="4" t="e" cm="1">
        <f t="array" ref="AL657">INDEX($AI$264:$AI$295, INDEX($H$15:$O$18, INT((ROW(A394)-1)/8)+1, MOD(ROW(A394)-1,8)+1))</f>
        <v>#REF!</v>
      </c>
      <c r="AN657" s="2" t="e">
        <f t="shared" ca="1" si="51"/>
        <v>#VALUE!</v>
      </c>
      <c r="AO657" s="2" t="e">
        <f t="shared" si="52"/>
        <v>#REF!</v>
      </c>
    </row>
    <row r="658" spans="2:41" x14ac:dyDescent="0.25">
      <c r="B658" s="9">
        <v>27</v>
      </c>
      <c r="C658" s="2">
        <v>1</v>
      </c>
      <c r="M658" s="9">
        <v>27</v>
      </c>
      <c r="N658" s="4" cm="1">
        <f t="array" ref="N658">INDEX($F$632:$K$639, INT((ROW(A27)-1)/6)+1, MOD(ROW(A457)-1,6)+1)</f>
        <v>0</v>
      </c>
      <c r="P658" s="7">
        <v>17</v>
      </c>
      <c r="Q658" s="4" t="e" cm="1">
        <f t="array" ref="Q658">INDEX($P$264:$U$271, INT((ROW(A385)-1)/6)+1, MOD(ROW(A385)-1,6)+1)</f>
        <v>#REF!</v>
      </c>
      <c r="R658" t="e">
        <f ca="1"/>
        <v>#VALUE!</v>
      </c>
      <c r="S658" t="e">
        <f ca="1"/>
        <v>#VALUE!</v>
      </c>
      <c r="T658" t="e">
        <f ca="1"/>
        <v>#VALUE!</v>
      </c>
      <c r="W658" s="9">
        <v>27</v>
      </c>
      <c r="X658" s="4" t="e">
        <f t="shared" si="47"/>
        <v>#REF!</v>
      </c>
      <c r="AH658" s="9">
        <v>27</v>
      </c>
      <c r="AI658" s="4" t="e" cm="1">
        <f t="array" ref="AI658">MID(INDEX($AF$265:$AF$272,INT((ROW(A395)-1)/4)+1),MOD(ROW(A395)-1,4)+1,1)</f>
        <v>#REF!</v>
      </c>
      <c r="AK658" s="9">
        <v>27</v>
      </c>
      <c r="AL658" s="4" t="e" cm="1">
        <f t="array" ref="AL658">INDEX($AI$264:$AI$295, INDEX($H$15:$O$18, INT((ROW(A395)-1)/8)+1, MOD(ROW(A395)-1,8)+1))</f>
        <v>#REF!</v>
      </c>
      <c r="AN658" s="2" t="e">
        <f t="shared" ca="1" si="51"/>
        <v>#VALUE!</v>
      </c>
      <c r="AO658" s="2" t="e">
        <f t="shared" si="52"/>
        <v>#REF!</v>
      </c>
    </row>
    <row r="659" spans="2:41" x14ac:dyDescent="0.25">
      <c r="B659" s="9">
        <v>28</v>
      </c>
      <c r="C659" s="2">
        <v>0</v>
      </c>
      <c r="M659" s="9">
        <v>28</v>
      </c>
      <c r="N659" s="4" cm="1">
        <f t="array" ref="N659">INDEX($F$632:$K$639, INT((ROW(A28)-1)/6)+1, MOD(ROW(A458)-1,6)+1)</f>
        <v>0</v>
      </c>
      <c r="P659" s="9">
        <v>18</v>
      </c>
      <c r="Q659" s="4" t="e" cm="1">
        <f t="array" ref="Q659">INDEX($P$264:$U$271, INT((ROW(A386)-1)/6)+1, MOD(ROW(A386)-1,6)+1)</f>
        <v>#REF!</v>
      </c>
      <c r="R659" t="e">
        <f ca="1"/>
        <v>#VALUE!</v>
      </c>
      <c r="S659" t="e">
        <f ca="1"/>
        <v>#VALUE!</v>
      </c>
      <c r="T659" t="e">
        <f ca="1"/>
        <v>#VALUE!</v>
      </c>
      <c r="W659" s="9">
        <v>28</v>
      </c>
      <c r="X659" s="4" t="e">
        <f t="shared" si="47"/>
        <v>#REF!</v>
      </c>
      <c r="AH659" s="9">
        <v>28</v>
      </c>
      <c r="AI659" s="4" t="e" cm="1">
        <f t="array" ref="AI659">MID(INDEX($AF$265:$AF$272,INT((ROW(A396)-1)/4)+1),MOD(ROW(A396)-1,4)+1,1)</f>
        <v>#REF!</v>
      </c>
      <c r="AK659" s="9">
        <v>28</v>
      </c>
      <c r="AL659" s="4" t="e" cm="1">
        <f t="array" ref="AL659">INDEX($AI$264:$AI$295, INDEX($H$15:$O$18, INT((ROW(A396)-1)/8)+1, MOD(ROW(A396)-1,8)+1))</f>
        <v>#REF!</v>
      </c>
      <c r="AN659" s="2" t="e">
        <f t="shared" ca="1" si="51"/>
        <v>#VALUE!</v>
      </c>
      <c r="AO659" s="2" t="e">
        <f t="shared" si="52"/>
        <v>#REF!</v>
      </c>
    </row>
    <row r="660" spans="2:41" x14ac:dyDescent="0.25">
      <c r="B660" s="9">
        <v>29</v>
      </c>
      <c r="C660" s="2">
        <v>0</v>
      </c>
      <c r="M660" s="9">
        <v>29</v>
      </c>
      <c r="N660" s="4" cm="1">
        <f t="array" ref="N660">INDEX($F$632:$K$639, INT((ROW(A29)-1)/6)+1, MOD(ROW(A459)-1,6)+1)</f>
        <v>1</v>
      </c>
      <c r="P660" s="9">
        <v>19</v>
      </c>
      <c r="Q660" s="4" t="e" cm="1">
        <f t="array" ref="Q660">INDEX($P$264:$U$271, INT((ROW(A387)-1)/6)+1, MOD(ROW(A387)-1,6)+1)</f>
        <v>#REF!</v>
      </c>
      <c r="R660" t="e">
        <f ca="1"/>
        <v>#VALUE!</v>
      </c>
      <c r="S660" t="e">
        <f ca="1"/>
        <v>#VALUE!</v>
      </c>
      <c r="T660" t="e">
        <f ca="1"/>
        <v>#VALUE!</v>
      </c>
      <c r="W660" s="9">
        <v>29</v>
      </c>
      <c r="X660" s="4" t="e">
        <f t="shared" si="47"/>
        <v>#REF!</v>
      </c>
      <c r="AH660" s="9">
        <v>29</v>
      </c>
      <c r="AI660" s="4" t="e" cm="1">
        <f t="array" ref="AI660">MID(INDEX($AF$265:$AF$272,INT((ROW(A397)-1)/4)+1),MOD(ROW(A397)-1,4)+1,1)</f>
        <v>#REF!</v>
      </c>
      <c r="AK660" s="9">
        <v>29</v>
      </c>
      <c r="AL660" s="4" t="e" cm="1">
        <f t="array" ref="AL660">INDEX($AI$264:$AI$295, INDEX($H$15:$O$18, INT((ROW(A397)-1)/8)+1, MOD(ROW(A397)-1,8)+1))</f>
        <v>#REF!</v>
      </c>
      <c r="AN660" s="2" t="e">
        <f t="shared" ca="1" si="51"/>
        <v>#VALUE!</v>
      </c>
      <c r="AO660" s="2" t="e">
        <f t="shared" si="52"/>
        <v>#REF!</v>
      </c>
    </row>
    <row r="661" spans="2:41" x14ac:dyDescent="0.25">
      <c r="B661" s="9">
        <v>30</v>
      </c>
      <c r="C661" s="2">
        <v>1</v>
      </c>
      <c r="M661" s="9">
        <v>30</v>
      </c>
      <c r="N661" s="4" cm="1">
        <f t="array" ref="N661">INDEX($F$632:$K$639, INT((ROW(A30)-1)/6)+1, MOD(ROW(A460)-1,6)+1)</f>
        <v>0</v>
      </c>
      <c r="P661" s="9">
        <v>20</v>
      </c>
      <c r="Q661" s="4" t="e" cm="1">
        <f t="array" ref="Q661">INDEX($P$264:$U$271, INT((ROW(A388)-1)/6)+1, MOD(ROW(A388)-1,6)+1)</f>
        <v>#REF!</v>
      </c>
      <c r="R661" t="e">
        <f ca="1"/>
        <v>#VALUE!</v>
      </c>
      <c r="S661" t="e">
        <f ca="1"/>
        <v>#VALUE!</v>
      </c>
      <c r="T661" t="e">
        <f ca="1"/>
        <v>#VALUE!</v>
      </c>
      <c r="W661" s="9">
        <v>30</v>
      </c>
      <c r="X661" s="4" t="e">
        <f t="shared" si="47"/>
        <v>#REF!</v>
      </c>
      <c r="AH661" s="9">
        <v>30</v>
      </c>
      <c r="AI661" s="4" t="e" cm="1">
        <f t="array" ref="AI661">MID(INDEX($AF$265:$AF$272,INT((ROW(A398)-1)/4)+1),MOD(ROW(A398)-1,4)+1,1)</f>
        <v>#REF!</v>
      </c>
      <c r="AK661" s="9">
        <v>30</v>
      </c>
      <c r="AL661" s="4" t="e" cm="1">
        <f t="array" ref="AL661">INDEX($AI$264:$AI$295, INDEX($H$15:$O$18, INT((ROW(A398)-1)/8)+1, MOD(ROW(A398)-1,8)+1))</f>
        <v>#REF!</v>
      </c>
      <c r="AN661" s="2" t="e">
        <f t="shared" ca="1" si="51"/>
        <v>#VALUE!</v>
      </c>
      <c r="AO661" s="2" t="e">
        <f t="shared" si="52"/>
        <v>#REF!</v>
      </c>
    </row>
    <row r="662" spans="2:41" x14ac:dyDescent="0.25">
      <c r="B662" s="9">
        <v>31</v>
      </c>
      <c r="C662" s="2">
        <v>1</v>
      </c>
      <c r="M662" s="9">
        <v>31</v>
      </c>
      <c r="N662" s="4" cm="1">
        <f t="array" ref="N662">INDEX($F$632:$K$639, INT((ROW(A31)-1)/6)+1, MOD(ROW(A461)-1,6)+1)</f>
        <v>1</v>
      </c>
      <c r="P662" s="9">
        <v>21</v>
      </c>
      <c r="Q662" s="4" t="e" cm="1">
        <f t="array" ref="Q662">INDEX($P$264:$U$271, INT((ROW(A389)-1)/6)+1, MOD(ROW(A389)-1,6)+1)</f>
        <v>#REF!</v>
      </c>
      <c r="R662" t="e">
        <f ca="1"/>
        <v>#VALUE!</v>
      </c>
      <c r="S662" t="e">
        <f ca="1"/>
        <v>#VALUE!</v>
      </c>
      <c r="T662" t="e">
        <f ca="1"/>
        <v>#VALUE!</v>
      </c>
      <c r="W662" s="9">
        <v>31</v>
      </c>
      <c r="X662" s="4" t="e">
        <f t="shared" si="47"/>
        <v>#REF!</v>
      </c>
      <c r="AH662" s="9">
        <v>31</v>
      </c>
      <c r="AI662" s="4" t="e" cm="1">
        <f t="array" ref="AI662">MID(INDEX($AF$265:$AF$272,INT((ROW(A399)-1)/4)+1),MOD(ROW(A399)-1,4)+1,1)</f>
        <v>#REF!</v>
      </c>
      <c r="AK662" s="9">
        <v>31</v>
      </c>
      <c r="AL662" s="4" t="e" cm="1">
        <f t="array" ref="AL662">INDEX($AI$264:$AI$295, INDEX($H$15:$O$18, INT((ROW(A399)-1)/8)+1, MOD(ROW(A399)-1,8)+1))</f>
        <v>#REF!</v>
      </c>
      <c r="AN662" s="2" t="e">
        <f t="shared" ca="1" si="51"/>
        <v>#VALUE!</v>
      </c>
      <c r="AO662" s="2" t="e">
        <f t="shared" si="52"/>
        <v>#REF!</v>
      </c>
    </row>
    <row r="663" spans="2:41" x14ac:dyDescent="0.25">
      <c r="B663" s="11">
        <v>32</v>
      </c>
      <c r="C663" s="2">
        <v>1</v>
      </c>
      <c r="M663" s="11">
        <v>32</v>
      </c>
      <c r="N663" s="4" cm="1">
        <f t="array" ref="N663">INDEX($F$632:$K$639, INT((ROW(A32)-1)/6)+1, MOD(ROW(A462)-1,6)+1)</f>
        <v>1</v>
      </c>
      <c r="P663" s="9">
        <v>22</v>
      </c>
      <c r="Q663" s="4" t="e" cm="1">
        <f t="array" ref="Q663">INDEX($P$264:$U$271, INT((ROW(A390)-1)/6)+1, MOD(ROW(A390)-1,6)+1)</f>
        <v>#REF!</v>
      </c>
      <c r="R663" t="e">
        <f ca="1"/>
        <v>#VALUE!</v>
      </c>
      <c r="S663" t="e">
        <f ca="1"/>
        <v>#VALUE!</v>
      </c>
      <c r="T663" t="e">
        <f ca="1"/>
        <v>#VALUE!</v>
      </c>
      <c r="W663" s="11">
        <v>32</v>
      </c>
      <c r="X663" s="4" t="e">
        <f t="shared" si="47"/>
        <v>#REF!</v>
      </c>
      <c r="AH663" s="11">
        <v>32</v>
      </c>
      <c r="AI663" s="4" t="e" cm="1">
        <f t="array" ref="AI663">MID(INDEX($AF$265:$AF$272,INT((ROW(A400)-1)/4)+1),MOD(ROW(A400)-1,4)+1,1)</f>
        <v>#REF!</v>
      </c>
      <c r="AK663" s="11">
        <v>32</v>
      </c>
      <c r="AL663" s="4" t="e" cm="1">
        <f t="array" ref="AL663">INDEX($AI$264:$AI$295, INDEX($H$15:$O$18, INT((ROW(A400)-1)/8)+1, MOD(ROW(A400)-1,8)+1))</f>
        <v>#REF!</v>
      </c>
      <c r="AN663" s="2" t="e">
        <f t="shared" ca="1" si="51"/>
        <v>#VALUE!</v>
      </c>
      <c r="AO663" s="2" t="e">
        <f t="shared" si="52"/>
        <v>#REF!</v>
      </c>
    </row>
    <row r="664" spans="2:41" x14ac:dyDescent="0.25">
      <c r="B664" s="7">
        <v>33</v>
      </c>
      <c r="C664" s="2">
        <v>1</v>
      </c>
      <c r="M664" s="7">
        <v>33</v>
      </c>
      <c r="N664" s="4" cm="1">
        <f t="array" ref="N664">INDEX($F$632:$K$639, INT((ROW(A33)-1)/6)+1, MOD(ROW(A463)-1,6)+1)</f>
        <v>1</v>
      </c>
      <c r="P664" s="9">
        <v>23</v>
      </c>
      <c r="Q664" s="4" t="e" cm="1">
        <f t="array" ref="Q664">INDEX($P$264:$U$271, INT((ROW(A391)-1)/6)+1, MOD(ROW(A391)-1,6)+1)</f>
        <v>#REF!</v>
      </c>
      <c r="R664" t="e">
        <f ca="1"/>
        <v>#VALUE!</v>
      </c>
      <c r="S664" t="e">
        <f ca="1"/>
        <v>#VALUE!</v>
      </c>
      <c r="T664" t="e">
        <f ca="1"/>
        <v>#VALUE!</v>
      </c>
      <c r="W664" s="7">
        <v>33</v>
      </c>
      <c r="X664" s="4" t="e">
        <f t="shared" si="47"/>
        <v>#REF!</v>
      </c>
      <c r="AN664" s="2" t="e">
        <f t="shared" ca="1" si="51"/>
        <v>#VALUE!</v>
      </c>
      <c r="AO664" s="2" t="e">
        <f t="shared" si="52"/>
        <v>#REF!</v>
      </c>
    </row>
    <row r="665" spans="2:41" x14ac:dyDescent="0.25">
      <c r="B665" s="9">
        <v>34</v>
      </c>
      <c r="C665" s="2">
        <v>0</v>
      </c>
      <c r="M665" s="9">
        <v>34</v>
      </c>
      <c r="N665" s="4" cm="1">
        <f t="array" ref="N665">INDEX($F$632:$K$639, INT((ROW(A34)-1)/6)+1, MOD(ROW(A464)-1,6)+1)</f>
        <v>1</v>
      </c>
      <c r="P665" s="11">
        <v>24</v>
      </c>
      <c r="Q665" s="4" t="e" cm="1">
        <f t="array" ref="Q665">INDEX($P$264:$U$271, INT((ROW(A392)-1)/6)+1, MOD(ROW(A392)-1,6)+1)</f>
        <v>#REF!</v>
      </c>
      <c r="R665" t="e">
        <f ca="1"/>
        <v>#VALUE!</v>
      </c>
      <c r="S665" t="e">
        <f ca="1"/>
        <v>#VALUE!</v>
      </c>
      <c r="T665" t="e">
        <f ca="1"/>
        <v>#VALUE!</v>
      </c>
      <c r="W665" s="9">
        <v>34</v>
      </c>
      <c r="X665" s="4" t="e">
        <f t="shared" si="47"/>
        <v>#REF!</v>
      </c>
    </row>
    <row r="666" spans="2:41" x14ac:dyDescent="0.25">
      <c r="B666" s="9">
        <v>35</v>
      </c>
      <c r="C666" s="2">
        <v>0</v>
      </c>
      <c r="M666" s="9">
        <v>35</v>
      </c>
      <c r="N666" s="4" cm="1">
        <f t="array" ref="N666">INDEX($F$632:$K$639, INT((ROW(A35)-1)/6)+1, MOD(ROW(A465)-1,6)+1)</f>
        <v>1</v>
      </c>
      <c r="P666" s="7">
        <v>25</v>
      </c>
      <c r="Q666" s="4" t="e" cm="1">
        <f t="array" ref="Q666">INDEX($P$264:$U$271, INT((ROW(A393)-1)/6)+1, MOD(ROW(A393)-1,6)+1)</f>
        <v>#REF!</v>
      </c>
      <c r="R666" t="e">
        <f ca="1"/>
        <v>#VALUE!</v>
      </c>
      <c r="S666" t="e">
        <f ca="1"/>
        <v>#VALUE!</v>
      </c>
      <c r="T666" t="e">
        <f ca="1"/>
        <v>#VALUE!</v>
      </c>
      <c r="W666" s="9">
        <v>35</v>
      </c>
      <c r="X666" s="4" t="e">
        <f t="shared" si="47"/>
        <v>#REF!</v>
      </c>
    </row>
    <row r="667" spans="2:41" x14ac:dyDescent="0.25">
      <c r="B667" s="9">
        <v>36</v>
      </c>
      <c r="C667" s="2">
        <v>0</v>
      </c>
      <c r="M667" s="9">
        <v>36</v>
      </c>
      <c r="N667" s="4" cm="1">
        <f t="array" ref="N667">INDEX($F$632:$K$639, INT((ROW(A36)-1)/6)+1, MOD(ROW(A466)-1,6)+1)</f>
        <v>0</v>
      </c>
      <c r="P667" s="9">
        <v>26</v>
      </c>
      <c r="Q667" s="4" t="e" cm="1">
        <f t="array" ref="Q667">INDEX($P$264:$U$271, INT((ROW(A394)-1)/6)+1, MOD(ROW(A394)-1,6)+1)</f>
        <v>#REF!</v>
      </c>
      <c r="R667" t="e">
        <f ca="1"/>
        <v>#VALUE!</v>
      </c>
      <c r="S667" t="e">
        <f ca="1"/>
        <v>#VALUE!</v>
      </c>
      <c r="T667" t="e">
        <f ca="1"/>
        <v>#VALUE!</v>
      </c>
      <c r="W667" s="9">
        <v>36</v>
      </c>
      <c r="X667" s="4" t="e">
        <f t="shared" si="47"/>
        <v>#REF!</v>
      </c>
    </row>
    <row r="668" spans="2:41" x14ac:dyDescent="0.25">
      <c r="B668" s="9">
        <v>37</v>
      </c>
      <c r="C668" s="2">
        <v>0</v>
      </c>
      <c r="M668" s="9">
        <v>37</v>
      </c>
      <c r="N668" s="4" cm="1">
        <f t="array" ref="N668">INDEX($F$632:$K$639, INT((ROW(A37)-1)/6)+1, MOD(ROW(A467)-1,6)+1)</f>
        <v>0</v>
      </c>
      <c r="P668" s="9">
        <v>27</v>
      </c>
      <c r="Q668" s="4" t="e" cm="1">
        <f t="array" ref="Q668">INDEX($P$264:$U$271, INT((ROW(A395)-1)/6)+1, MOD(ROW(A395)-1,6)+1)</f>
        <v>#REF!</v>
      </c>
      <c r="R668" t="e">
        <f ca="1"/>
        <v>#VALUE!</v>
      </c>
      <c r="S668" t="e">
        <f ca="1"/>
        <v>#VALUE!</v>
      </c>
      <c r="T668" t="e">
        <f ca="1"/>
        <v>#VALUE!</v>
      </c>
      <c r="W668" s="9">
        <v>37</v>
      </c>
      <c r="X668" s="4" t="e">
        <f t="shared" si="47"/>
        <v>#REF!</v>
      </c>
    </row>
    <row r="669" spans="2:41" x14ac:dyDescent="0.25">
      <c r="B669" s="9">
        <v>38</v>
      </c>
      <c r="C669" s="2">
        <v>1</v>
      </c>
      <c r="M669" s="9">
        <v>38</v>
      </c>
      <c r="N669" s="4" cm="1">
        <f t="array" ref="N669">INDEX($F$632:$K$639, INT((ROW(A38)-1)/6)+1, MOD(ROW(A468)-1,6)+1)</f>
        <v>0</v>
      </c>
      <c r="P669" s="9">
        <v>28</v>
      </c>
      <c r="Q669" s="4" t="e" cm="1">
        <f t="array" ref="Q669">INDEX($P$264:$U$271, INT((ROW(A396)-1)/6)+1, MOD(ROW(A396)-1,6)+1)</f>
        <v>#REF!</v>
      </c>
      <c r="R669" t="e">
        <f ca="1"/>
        <v>#VALUE!</v>
      </c>
      <c r="S669" t="e">
        <f ca="1"/>
        <v>#VALUE!</v>
      </c>
      <c r="T669" t="e">
        <f ca="1"/>
        <v>#VALUE!</v>
      </c>
      <c r="W669" s="9">
        <v>38</v>
      </c>
      <c r="X669" s="4" t="e">
        <f t="shared" si="47"/>
        <v>#REF!</v>
      </c>
    </row>
    <row r="670" spans="2:41" x14ac:dyDescent="0.25">
      <c r="B670" s="9">
        <v>39</v>
      </c>
      <c r="C670" s="2">
        <v>0</v>
      </c>
      <c r="M670" s="9">
        <v>39</v>
      </c>
      <c r="N670" s="4" cm="1">
        <f t="array" ref="N670">INDEX($F$632:$K$639, INT((ROW(A39)-1)/6)+1, MOD(ROW(A469)-1,6)+1)</f>
        <v>1</v>
      </c>
      <c r="P670" s="9">
        <v>29</v>
      </c>
      <c r="Q670" s="4" t="e" cm="1">
        <f t="array" ref="Q670">INDEX($P$264:$U$271, INT((ROW(A397)-1)/6)+1, MOD(ROW(A397)-1,6)+1)</f>
        <v>#REF!</v>
      </c>
      <c r="R670" t="e">
        <f ca="1"/>
        <v>#VALUE!</v>
      </c>
      <c r="S670" t="e">
        <f ca="1"/>
        <v>#VALUE!</v>
      </c>
      <c r="T670" t="e">
        <f ca="1"/>
        <v>#VALUE!</v>
      </c>
      <c r="W670" s="9">
        <v>39</v>
      </c>
      <c r="X670" s="4" t="e">
        <f t="shared" si="47"/>
        <v>#REF!</v>
      </c>
    </row>
    <row r="671" spans="2:41" x14ac:dyDescent="0.25">
      <c r="B671" s="11">
        <v>40</v>
      </c>
      <c r="C671" s="2">
        <v>1</v>
      </c>
      <c r="M671" s="11">
        <v>40</v>
      </c>
      <c r="N671" s="4" cm="1">
        <f t="array" ref="N671">INDEX($F$632:$K$639, INT((ROW(A40)-1)/6)+1, MOD(ROW(A470)-1,6)+1)</f>
        <v>0</v>
      </c>
      <c r="P671" s="9">
        <v>30</v>
      </c>
      <c r="Q671" s="4" t="e" cm="1">
        <f t="array" ref="Q671">INDEX($P$264:$U$271, INT((ROW(A398)-1)/6)+1, MOD(ROW(A398)-1,6)+1)</f>
        <v>#REF!</v>
      </c>
      <c r="W671" s="11">
        <v>40</v>
      </c>
      <c r="X671" s="4" t="e">
        <f t="shared" si="47"/>
        <v>#REF!</v>
      </c>
    </row>
    <row r="672" spans="2:41" x14ac:dyDescent="0.25">
      <c r="B672" s="7">
        <v>41</v>
      </c>
      <c r="C672" s="2">
        <v>0</v>
      </c>
      <c r="M672" s="7">
        <v>41</v>
      </c>
      <c r="N672" s="4" cm="1">
        <f t="array" ref="N672">INDEX($F$632:$K$639, INT((ROW(A41)-1)/6)+1, MOD(ROW(A471)-1,6)+1)</f>
        <v>0</v>
      </c>
      <c r="P672" s="9">
        <v>31</v>
      </c>
      <c r="Q672" s="4" t="e" cm="1">
        <f t="array" ref="Q672">INDEX($P$264:$U$271, INT((ROW(A399)-1)/6)+1, MOD(ROW(A399)-1,6)+1)</f>
        <v>#REF!</v>
      </c>
      <c r="W672" s="7">
        <v>41</v>
      </c>
      <c r="X672" s="4" t="e">
        <f t="shared" si="47"/>
        <v>#REF!</v>
      </c>
    </row>
    <row r="673" spans="2:24" x14ac:dyDescent="0.25">
      <c r="B673" s="9">
        <v>42</v>
      </c>
      <c r="C673" s="2">
        <v>1</v>
      </c>
      <c r="M673" s="9">
        <v>42</v>
      </c>
      <c r="N673" s="4" cm="1">
        <f t="array" ref="N673">INDEX($F$632:$K$639, INT((ROW(A42)-1)/6)+1, MOD(ROW(A472)-1,6)+1)</f>
        <v>0</v>
      </c>
      <c r="P673" s="11">
        <v>32</v>
      </c>
      <c r="Q673" s="4" t="e" cm="1">
        <f t="array" ref="Q673">INDEX($P$264:$U$271, INT((ROW(A400)-1)/6)+1, MOD(ROW(A400)-1,6)+1)</f>
        <v>#REF!</v>
      </c>
      <c r="W673" s="9">
        <v>42</v>
      </c>
      <c r="X673" s="4" t="e">
        <f t="shared" si="47"/>
        <v>#REF!</v>
      </c>
    </row>
    <row r="674" spans="2:24" x14ac:dyDescent="0.25">
      <c r="B674" s="9">
        <v>43</v>
      </c>
      <c r="C674" s="2">
        <v>0</v>
      </c>
      <c r="M674" s="9">
        <v>43</v>
      </c>
      <c r="N674" s="4" cm="1">
        <f t="array" ref="N674">INDEX($F$632:$K$639, INT((ROW(A43)-1)/6)+1, MOD(ROW(A473)-1,6)+1)</f>
        <v>0</v>
      </c>
      <c r="P674" s="7">
        <v>33</v>
      </c>
      <c r="Q674" s="4" t="e" cm="1">
        <f t="array" ref="Q674">INDEX($P$264:$U$271, INT((ROW(A401)-1)/6)+1, MOD(ROW(A401)-1,6)+1)</f>
        <v>#REF!</v>
      </c>
      <c r="W674" s="9">
        <v>43</v>
      </c>
      <c r="X674" s="4" t="e">
        <f t="shared" si="47"/>
        <v>#REF!</v>
      </c>
    </row>
    <row r="675" spans="2:24" x14ac:dyDescent="0.25">
      <c r="B675" s="9">
        <v>44</v>
      </c>
      <c r="C675" s="2">
        <v>1</v>
      </c>
      <c r="M675" s="9">
        <v>44</v>
      </c>
      <c r="N675" s="4" cm="1">
        <f t="array" ref="N675">INDEX($F$632:$K$639, INT((ROW(A44)-1)/6)+1, MOD(ROW(A474)-1,6)+1)</f>
        <v>1</v>
      </c>
      <c r="P675" s="9">
        <v>34</v>
      </c>
      <c r="Q675" s="4" t="e" cm="1">
        <f t="array" ref="Q675">INDEX($P$264:$U$271, INT((ROW(A402)-1)/6)+1, MOD(ROW(A402)-1,6)+1)</f>
        <v>#REF!</v>
      </c>
      <c r="W675" s="9">
        <v>44</v>
      </c>
      <c r="X675" s="4" t="e">
        <f t="shared" si="47"/>
        <v>#REF!</v>
      </c>
    </row>
    <row r="676" spans="2:24" x14ac:dyDescent="0.25">
      <c r="B676" s="9">
        <v>45</v>
      </c>
      <c r="C676" s="2">
        <v>0</v>
      </c>
      <c r="M676" s="9">
        <v>45</v>
      </c>
      <c r="N676" s="4" cm="1">
        <f t="array" ref="N676">INDEX($F$632:$K$639, INT((ROW(A45)-1)/6)+1, MOD(ROW(A475)-1,6)+1)</f>
        <v>1</v>
      </c>
      <c r="P676" s="9">
        <v>35</v>
      </c>
      <c r="Q676" s="4" t="e" cm="1">
        <f t="array" ref="Q676">INDEX($P$264:$U$271, INT((ROW(A403)-1)/6)+1, MOD(ROW(A403)-1,6)+1)</f>
        <v>#REF!</v>
      </c>
      <c r="W676" s="9">
        <v>45</v>
      </c>
      <c r="X676" s="4" t="e">
        <f t="shared" si="47"/>
        <v>#REF!</v>
      </c>
    </row>
    <row r="677" spans="2:24" x14ac:dyDescent="0.25">
      <c r="B677" s="9">
        <v>46</v>
      </c>
      <c r="C677" s="2">
        <v>1</v>
      </c>
      <c r="M677" s="9">
        <v>46</v>
      </c>
      <c r="N677" s="4" cm="1">
        <f t="array" ref="N677">INDEX($F$632:$K$639, INT((ROW(A46)-1)/6)+1, MOD(ROW(A476)-1,6)+1)</f>
        <v>1</v>
      </c>
      <c r="P677" s="9">
        <v>36</v>
      </c>
      <c r="Q677" s="4" t="e" cm="1">
        <f t="array" ref="Q677">INDEX($P$264:$U$271, INT((ROW(A404)-1)/6)+1, MOD(ROW(A404)-1,6)+1)</f>
        <v>#REF!</v>
      </c>
      <c r="W677" s="9">
        <v>46</v>
      </c>
      <c r="X677" s="4" t="e">
        <f t="shared" si="47"/>
        <v>#REF!</v>
      </c>
    </row>
    <row r="678" spans="2:24" x14ac:dyDescent="0.25">
      <c r="B678" s="9">
        <v>47</v>
      </c>
      <c r="C678" s="2">
        <v>0</v>
      </c>
      <c r="M678" s="9">
        <v>47</v>
      </c>
      <c r="N678" s="4" cm="1">
        <f t="array" ref="N678">INDEX($F$632:$K$639, INT((ROW(A47)-1)/6)+1, MOD(ROW(A477)-1,6)+1)</f>
        <v>1</v>
      </c>
      <c r="P678" s="9">
        <v>37</v>
      </c>
      <c r="Q678" s="4" t="e" cm="1">
        <f t="array" ref="Q678">INDEX($P$264:$U$271, INT((ROW(A405)-1)/6)+1, MOD(ROW(A405)-1,6)+1)</f>
        <v>#REF!</v>
      </c>
      <c r="W678" s="9">
        <v>47</v>
      </c>
      <c r="X678" s="4" t="e">
        <f t="shared" si="47"/>
        <v>#REF!</v>
      </c>
    </row>
    <row r="679" spans="2:24" x14ac:dyDescent="0.25">
      <c r="B679" s="11">
        <v>48</v>
      </c>
      <c r="C679" s="2">
        <v>1</v>
      </c>
      <c r="M679" s="11">
        <v>48</v>
      </c>
      <c r="N679" s="4" cm="1">
        <f t="array" ref="N679">INDEX($F$632:$K$639, INT((ROW(A48)-1)/6)+1, MOD(ROW(A478)-1,6)+1)</f>
        <v>0</v>
      </c>
      <c r="P679" s="9">
        <v>38</v>
      </c>
      <c r="Q679" s="4" t="e" cm="1">
        <f t="array" ref="Q679">INDEX($P$264:$U$271, INT((ROW(A406)-1)/6)+1, MOD(ROW(A406)-1,6)+1)</f>
        <v>#REF!</v>
      </c>
      <c r="W679" s="11">
        <v>48</v>
      </c>
      <c r="X679" s="4" t="e">
        <f t="shared" si="47"/>
        <v>#REF!</v>
      </c>
    </row>
    <row r="680" spans="2:24" x14ac:dyDescent="0.25">
      <c r="B680" s="7">
        <v>49</v>
      </c>
      <c r="C680" s="2">
        <v>0</v>
      </c>
      <c r="P680" s="9">
        <v>39</v>
      </c>
      <c r="Q680" s="4" t="e" cm="1">
        <f t="array" ref="Q680">INDEX($P$264:$U$271, INT((ROW(A407)-1)/6)+1, MOD(ROW(A407)-1,6)+1)</f>
        <v>#REF!</v>
      </c>
    </row>
    <row r="681" spans="2:24" x14ac:dyDescent="0.25">
      <c r="B681" s="9">
        <v>50</v>
      </c>
      <c r="C681" s="2">
        <v>1</v>
      </c>
      <c r="P681" s="11">
        <v>40</v>
      </c>
      <c r="Q681" s="4" t="e" cm="1">
        <f t="array" ref="Q681">INDEX($P$264:$U$271, INT((ROW(A408)-1)/6)+1, MOD(ROW(A408)-1,6)+1)</f>
        <v>#REF!</v>
      </c>
    </row>
    <row r="682" spans="2:24" x14ac:dyDescent="0.25">
      <c r="B682" s="9">
        <v>51</v>
      </c>
      <c r="C682" s="2">
        <v>1</v>
      </c>
      <c r="P682" s="7">
        <v>41</v>
      </c>
      <c r="Q682" s="4" t="e" cm="1">
        <f t="array" ref="Q682">INDEX($P$264:$U$271, INT((ROW(A409)-1)/6)+1, MOD(ROW(A409)-1,6)+1)</f>
        <v>#REF!</v>
      </c>
    </row>
    <row r="683" spans="2:24" x14ac:dyDescent="0.25">
      <c r="B683" s="9">
        <v>52</v>
      </c>
      <c r="C683" s="2">
        <v>0</v>
      </c>
      <c r="P683" s="9">
        <v>42</v>
      </c>
      <c r="Q683" s="4" t="e" cm="1">
        <f t="array" ref="Q683">INDEX($P$264:$U$271, INT((ROW(A410)-1)/6)+1, MOD(ROW(A410)-1,6)+1)</f>
        <v>#REF!</v>
      </c>
    </row>
    <row r="684" spans="2:24" x14ac:dyDescent="0.25">
      <c r="B684" s="9">
        <v>53</v>
      </c>
      <c r="C684" s="2">
        <v>0</v>
      </c>
      <c r="P684" s="9">
        <v>43</v>
      </c>
      <c r="Q684" s="4" t="e" cm="1">
        <f t="array" ref="Q684">INDEX($P$264:$U$271, INT((ROW(A411)-1)/6)+1, MOD(ROW(A411)-1,6)+1)</f>
        <v>#REF!</v>
      </c>
    </row>
    <row r="685" spans="2:24" x14ac:dyDescent="0.25">
      <c r="B685" s="9">
        <v>54</v>
      </c>
      <c r="C685" s="2">
        <v>1</v>
      </c>
      <c r="P685" s="9">
        <v>44</v>
      </c>
      <c r="Q685" s="4" t="e" cm="1">
        <f t="array" ref="Q685">INDEX($P$264:$U$271, INT((ROW(A412)-1)/6)+1, MOD(ROW(A412)-1,6)+1)</f>
        <v>#REF!</v>
      </c>
    </row>
    <row r="686" spans="2:24" x14ac:dyDescent="0.25">
      <c r="B686" s="9">
        <v>55</v>
      </c>
      <c r="C686" s="2">
        <v>1</v>
      </c>
      <c r="P686" s="9">
        <v>45</v>
      </c>
      <c r="Q686" s="4" t="e" cm="1">
        <f t="array" ref="Q686">INDEX($P$264:$U$271, INT((ROW(A413)-1)/6)+1, MOD(ROW(A413)-1,6)+1)</f>
        <v>#REF!</v>
      </c>
    </row>
    <row r="687" spans="2:24" x14ac:dyDescent="0.25">
      <c r="B687" s="11">
        <v>56</v>
      </c>
      <c r="C687" s="2">
        <v>0</v>
      </c>
      <c r="P687" s="9">
        <v>46</v>
      </c>
      <c r="Q687" s="4" t="e" cm="1">
        <f t="array" ref="Q687">INDEX($P$264:$U$271, INT((ROW(A414)-1)/6)+1, MOD(ROW(A414)-1,6)+1)</f>
        <v>#REF!</v>
      </c>
    </row>
    <row r="688" spans="2:24" x14ac:dyDescent="0.25">
      <c r="P688" s="9">
        <v>47</v>
      </c>
      <c r="Q688" s="4" t="e" cm="1">
        <f t="array" ref="Q688">INDEX($P$264:$U$271, INT((ROW(A415)-1)/6)+1, MOD(ROW(A415)-1,6)+1)</f>
        <v>#REF!</v>
      </c>
    </row>
    <row r="689" spans="2:41" x14ac:dyDescent="0.25">
      <c r="P689" s="11">
        <v>48</v>
      </c>
      <c r="Q689" s="4" t="e" cm="1">
        <f t="array" ref="Q689">INDEX($P$264:$U$271, INT((ROW(A416)-1)/6)+1, MOD(ROW(A416)-1,6)+1)</f>
        <v>#REF!</v>
      </c>
    </row>
    <row r="690" spans="2:41" x14ac:dyDescent="0.25">
      <c r="B690" t="s">
        <v>53</v>
      </c>
    </row>
    <row r="692" spans="2:41" x14ac:dyDescent="0.25">
      <c r="B692" s="37" t="s">
        <v>54</v>
      </c>
      <c r="C692" s="38"/>
      <c r="F692" s="39" t="s">
        <v>23</v>
      </c>
      <c r="G692" s="40"/>
      <c r="H692" s="40"/>
      <c r="I692" s="40"/>
      <c r="J692" s="40"/>
      <c r="K692" s="41"/>
      <c r="M692" s="37" t="s">
        <v>55</v>
      </c>
      <c r="N692" s="43"/>
      <c r="P692" s="39" t="s">
        <v>93</v>
      </c>
      <c r="Q692" s="40"/>
      <c r="R692" s="40"/>
      <c r="S692" s="40"/>
      <c r="T692" s="40"/>
      <c r="U692" s="41"/>
      <c r="W692" s="2" t="s">
        <v>3</v>
      </c>
      <c r="X692" s="18" t="s">
        <v>95</v>
      </c>
      <c r="Z692" s="42" t="s">
        <v>77</v>
      </c>
      <c r="AA692" s="42" t="s">
        <v>74</v>
      </c>
      <c r="AB692" s="42"/>
      <c r="AC692" s="42" t="s">
        <v>75</v>
      </c>
      <c r="AD692" s="42" t="s">
        <v>76</v>
      </c>
      <c r="AE692" s="36" t="s">
        <v>78</v>
      </c>
      <c r="AF692" s="36" t="s">
        <v>79</v>
      </c>
      <c r="AH692" s="37" t="s">
        <v>96</v>
      </c>
      <c r="AI692" s="38"/>
      <c r="AK692" s="37" t="s">
        <v>97</v>
      </c>
      <c r="AL692" s="38"/>
      <c r="AN692" s="36" t="s">
        <v>98</v>
      </c>
      <c r="AO692" s="36"/>
    </row>
    <row r="693" spans="2:41" x14ac:dyDescent="0.25">
      <c r="B693" s="7">
        <v>1</v>
      </c>
      <c r="C693" s="2">
        <v>0</v>
      </c>
      <c r="F693" s="15" cm="1">
        <f t="array" ref="F693">INDEX($C$693:$C$748, H41)</f>
        <v>1</v>
      </c>
      <c r="G693" s="15" cm="1">
        <f t="array" ref="G693">INDEX($C$693:$C$748, I41)</f>
        <v>0</v>
      </c>
      <c r="H693" s="15" cm="1">
        <f t="array" ref="H693">INDEX($C$693:$C$748, J41)</f>
        <v>1</v>
      </c>
      <c r="I693" s="15" cm="1">
        <f t="array" ref="I693">INDEX($C$693:$C$748, K41)</f>
        <v>1</v>
      </c>
      <c r="J693" s="15" cm="1">
        <f t="array" ref="J693">INDEX($C$693:$C$748, L41)</f>
        <v>0</v>
      </c>
      <c r="K693" s="15" cm="1">
        <f t="array" ref="K693">INDEX($C$693:$C$748, M41)</f>
        <v>0</v>
      </c>
      <c r="M693" s="7">
        <v>1</v>
      </c>
      <c r="N693" s="4" cm="1">
        <f t="array" ref="N693">INDEX($F$693:$K$700, INT((ROW(A1)-1)/6)+1, MOD(ROW(A492)-1,6)+1)</f>
        <v>0</v>
      </c>
      <c r="P693" s="15" t="e" cm="1" vm="1">
        <f t="array" aca="1" ref="P693" ca="1">INDEX($AO$204:$AO$235, H480)</f>
        <v>#VALUE!</v>
      </c>
      <c r="Q693" s="15" t="e" cm="1" vm="1">
        <f t="array" aca="1" ref="Q693" ca="1">INDEX($AO$204:$AO$235, I480)</f>
        <v>#VALUE!</v>
      </c>
      <c r="R693" s="15" t="e" cm="1" vm="1">
        <f t="array" aca="1" ref="R693" ca="1">INDEX($AO$204:$AO$235, J480)</f>
        <v>#VALUE!</v>
      </c>
      <c r="S693" s="15" t="e" cm="1" vm="1">
        <f t="array" aca="1" ref="S693" ca="1">INDEX($AO$204:$AO$235, K480)</f>
        <v>#VALUE!</v>
      </c>
      <c r="T693" s="15" t="e" cm="1" vm="1">
        <f t="array" aca="1" ref="T693" ca="1">INDEX($AO$204:$AO$235, L480)</f>
        <v>#VALUE!</v>
      </c>
      <c r="U693" s="15" t="e" cm="1">
        <f t="array" ref="U693">INDEX($AO$204:$AO$235, M480)</f>
        <v>#REF!</v>
      </c>
      <c r="W693" s="7">
        <v>1</v>
      </c>
      <c r="X693" s="4" t="e">
        <f>_xlfn.BITXOR(Q703, N693)</f>
        <v>#REF!</v>
      </c>
      <c r="Z693" s="42"/>
      <c r="AA693" s="42"/>
      <c r="AB693" s="42"/>
      <c r="AC693" s="42"/>
      <c r="AD693" s="42"/>
      <c r="AE693" s="36"/>
      <c r="AF693" s="36"/>
      <c r="AH693" s="7">
        <v>1</v>
      </c>
      <c r="AI693" s="4" t="e" cm="1">
        <f t="array" ref="AI693">MID(INDEX($AF$265:$AF$272,INT((ROW(A430)-1)/4)+1),MOD(ROW(A430)-1,4)+1,1)</f>
        <v>#REF!</v>
      </c>
      <c r="AK693" s="7">
        <v>1</v>
      </c>
      <c r="AL693" s="4" t="e" cm="1">
        <f t="array" ref="AL693">INDEX($AI$264:$AI$295, INDEX($H$15:$O$18, INT((ROW(A430)-1)/8)+1, MOD(ROW(A430)-1,8)+1))</f>
        <v>#REF!</v>
      </c>
      <c r="AN693" s="2" t="s">
        <v>99</v>
      </c>
      <c r="AO693" s="31" t="s">
        <v>101</v>
      </c>
    </row>
    <row r="694" spans="2:41" x14ac:dyDescent="0.25">
      <c r="B694" s="9">
        <v>2</v>
      </c>
      <c r="C694" s="2">
        <v>1</v>
      </c>
      <c r="F694" s="15" cm="1">
        <f t="array" ref="F694">INDEX($C$693:$C$748, H42)</f>
        <v>0</v>
      </c>
      <c r="G694" s="15" cm="1">
        <f t="array" ref="G694">INDEX($C$693:$C$748, I42)</f>
        <v>1</v>
      </c>
      <c r="H694" s="15" cm="1">
        <f t="array" ref="H694">INDEX($C$693:$C$748, J42)</f>
        <v>1</v>
      </c>
      <c r="I694" s="15" cm="1">
        <f t="array" ref="I694">INDEX($C$693:$C$748, K42)</f>
        <v>1</v>
      </c>
      <c r="J694" s="15" cm="1">
        <f t="array" ref="J694">INDEX($C$693:$C$748, L42)</f>
        <v>1</v>
      </c>
      <c r="K694" s="15" cm="1">
        <f t="array" ref="K694">INDEX($C$693:$C$748, M42)</f>
        <v>1</v>
      </c>
      <c r="M694" s="9">
        <v>2</v>
      </c>
      <c r="N694" s="4" cm="1">
        <f t="array" ref="N694">INDEX($F$693:$K$700, INT((ROW(A2)-1)/6)+1, MOD(ROW(A493)-1,6)+1)</f>
        <v>1</v>
      </c>
      <c r="P694" s="15" t="e" cm="1" vm="1">
        <f t="array" aca="1" ref="P694" ca="1">INDEX($AO$204:$AO$235, H481)</f>
        <v>#VALUE!</v>
      </c>
      <c r="Q694" s="15" t="e" cm="1" vm="1">
        <f t="array" aca="1" ref="Q694" ca="1">INDEX($AO$204:$AO$235, I481)</f>
        <v>#VALUE!</v>
      </c>
      <c r="R694" s="15" t="e" cm="1" vm="1">
        <f t="array" aca="1" ref="R694" ca="1">INDEX($AO$204:$AO$235, J481)</f>
        <v>#VALUE!</v>
      </c>
      <c r="S694" s="15" t="e" cm="1" vm="1">
        <f t="array" aca="1" ref="S694" ca="1">INDEX($AO$204:$AO$235, K481)</f>
        <v>#VALUE!</v>
      </c>
      <c r="T694" s="15" t="e" cm="1" vm="1">
        <f t="array" aca="1" ref="T694" ca="1">INDEX($AO$204:$AO$235, L481)</f>
        <v>#VALUE!</v>
      </c>
      <c r="U694" s="15" t="e" cm="1">
        <f t="array" ref="U694">INDEX($AO$204:$AO$235, M481)</f>
        <v>#REF!</v>
      </c>
      <c r="W694" s="9">
        <v>2</v>
      </c>
      <c r="X694" s="4" t="e">
        <f t="shared" ref="X694:X740" si="53">_xlfn.BITXOR(Q704, N694)</f>
        <v>#REF!</v>
      </c>
      <c r="Z694" s="32">
        <v>1</v>
      </c>
      <c r="AA694" s="34" t="e">
        <f>_xlfn.TEXTJOIN("", TRUE, INDEX($X$264:$X$311, (ROW(A430)-1)*6+1) : INDEX($X$264:$X$311, (ROW(A430)-1)*6+6))</f>
        <v>#REF!</v>
      </c>
      <c r="AB694" s="35"/>
      <c r="AC694" s="32" t="e">
        <f>BIN2DEC(LEFT(AA694,1) &amp; RIGHT(AA694,1))</f>
        <v>#REF!</v>
      </c>
      <c r="AD694" s="31" t="e">
        <f>BIN2DEC(MID(AA694,2,4))</f>
        <v>#REF!</v>
      </c>
      <c r="AE694" s="31" t="e" cm="1">
        <f t="array" aca="1" ref="AE694" ca="1">INDEX(OFFSET('[1]S-box'!$A$2, (Z694-1)*6, 0, 4, 16), AC694+1, AD694+1)</f>
        <v>#VALUE!</v>
      </c>
      <c r="AF694" s="33" t="e">
        <f ca="1">DEC2BIN(AE694, 4)</f>
        <v>#VALUE!</v>
      </c>
      <c r="AH694" s="9">
        <v>2</v>
      </c>
      <c r="AI694" s="4" t="e" cm="1">
        <f t="array" ref="AI694">MID(INDEX($AF$265:$AF$272,INT((ROW(A431)-1)/4)+1),MOD(ROW(A431)-1,4)+1,1)</f>
        <v>#REF!</v>
      </c>
      <c r="AK694" s="9">
        <v>2</v>
      </c>
      <c r="AL694" s="4" t="e" cm="1">
        <f t="array" ref="AL694">INDEX($AI$264:$AI$295, INDEX($H$15:$O$18, INT((ROW(A431)-1)/8)+1, MOD(ROW(A431)-1,8)+1))</f>
        <v>#REF!</v>
      </c>
      <c r="AN694" s="2">
        <f>_xlfn.BITXOR(T507, AE632)</f>
        <v>0</v>
      </c>
      <c r="AO694" s="2" t="e">
        <f>_xlfn.BITXOR(N693, AL693)</f>
        <v>#REF!</v>
      </c>
    </row>
    <row r="695" spans="2:41" x14ac:dyDescent="0.25">
      <c r="B695" s="9">
        <v>3</v>
      </c>
      <c r="C695" s="2">
        <v>0</v>
      </c>
      <c r="F695" s="15" cm="1">
        <f t="array" ref="F695">INDEX($C$693:$C$748, H43)</f>
        <v>0</v>
      </c>
      <c r="G695" s="15" cm="1">
        <f t="array" ref="G695">INDEX($C$693:$C$748, I43)</f>
        <v>0</v>
      </c>
      <c r="H695" s="15" cm="1">
        <f t="array" ref="H695">INDEX($C$693:$C$748, J43)</f>
        <v>1</v>
      </c>
      <c r="I695" s="15" cm="1">
        <f t="array" ref="I695">INDEX($C$693:$C$748, K43)</f>
        <v>1</v>
      </c>
      <c r="J695" s="15" cm="1">
        <f t="array" ref="J695">INDEX($C$693:$C$748, L43)</f>
        <v>0</v>
      </c>
      <c r="K695" s="15" cm="1">
        <f t="array" ref="K695">INDEX($C$693:$C$748, M43)</f>
        <v>1</v>
      </c>
      <c r="M695" s="9">
        <v>3</v>
      </c>
      <c r="N695" s="4" cm="1">
        <f t="array" ref="N695">INDEX($F$693:$K$700, INT((ROW(A3)-1)/6)+1, MOD(ROW(A494)-1,6)+1)</f>
        <v>0</v>
      </c>
      <c r="P695" s="15" t="e" cm="1" vm="1">
        <f t="array" aca="1" ref="P695" ca="1">INDEX($AO$204:$AO$235, H482)</f>
        <v>#VALUE!</v>
      </c>
      <c r="Q695" s="15" t="e" cm="1" vm="1">
        <f t="array" aca="1" ref="Q695" ca="1">INDEX($AO$204:$AO$235, I482)</f>
        <v>#VALUE!</v>
      </c>
      <c r="R695" s="15" t="e" cm="1" vm="1">
        <f t="array" aca="1" ref="R695" ca="1">INDEX($AO$204:$AO$235, J482)</f>
        <v>#VALUE!</v>
      </c>
      <c r="S695" s="15" t="e" cm="1" vm="1">
        <f t="array" aca="1" ref="S695" ca="1">INDEX($AO$204:$AO$235, K482)</f>
        <v>#VALUE!</v>
      </c>
      <c r="T695" s="15" t="e" cm="1" vm="1">
        <f t="array" aca="1" ref="T695" ca="1">INDEX($AO$204:$AO$235, L482)</f>
        <v>#VALUE!</v>
      </c>
      <c r="U695" s="15" t="e" cm="1">
        <f t="array" ref="U695">INDEX($AO$204:$AO$235, M482)</f>
        <v>#REF!</v>
      </c>
      <c r="W695" s="9">
        <v>3</v>
      </c>
      <c r="X695" s="4" t="e">
        <f t="shared" si="53"/>
        <v>#REF!</v>
      </c>
      <c r="Z695" s="32">
        <v>2</v>
      </c>
      <c r="AA695" s="34" t="e">
        <f>_xlfn.TEXTJOIN("", TRUE, INDEX($X$264:$X$311, (ROW(A431)-1)*6+1) : INDEX($X$264:$X$311, (ROW(A431)-1)*6+6))</f>
        <v>#REF!</v>
      </c>
      <c r="AB695" s="35"/>
      <c r="AC695" s="32" t="e">
        <f t="shared" ref="AC695:AC701" si="54">BIN2DEC(LEFT(AA695,1) &amp; RIGHT(AA695,1))</f>
        <v>#REF!</v>
      </c>
      <c r="AD695" s="31" t="e">
        <f t="shared" ref="AD695:AD701" si="55">BIN2DEC(MID(AA695,2,4))</f>
        <v>#REF!</v>
      </c>
      <c r="AE695" s="31" t="e" cm="1">
        <f t="array" aca="1" ref="AE695" ca="1">INDEX(OFFSET('[1]S-box'!$A$2, (Z695-1)*6, 0, 4, 16), AC695+1, AD695+1)</f>
        <v>#VALUE!</v>
      </c>
      <c r="AF695" s="33" t="e">
        <f t="shared" ref="AF695:AF701" ca="1" si="56">DEC2BIN(AE695, 4)</f>
        <v>#VALUE!</v>
      </c>
      <c r="AH695" s="9">
        <v>3</v>
      </c>
      <c r="AI695" s="4" t="e" cm="1">
        <f t="array" ref="AI695">MID(INDEX($AF$265:$AF$272,INT((ROW(A432)-1)/4)+1),MOD(ROW(A432)-1,4)+1,1)</f>
        <v>#REF!</v>
      </c>
      <c r="AK695" s="9">
        <v>3</v>
      </c>
      <c r="AL695" s="4" t="e" cm="1">
        <f t="array" ref="AL695">INDEX($AI$264:$AI$295, INDEX($H$15:$O$18, INT((ROW(A432)-1)/8)+1, MOD(ROW(A432)-1,8)+1))</f>
        <v>#REF!</v>
      </c>
      <c r="AN695" s="2" t="e">
        <f t="shared" ref="AN695:AN725" ca="1" si="57">_xlfn.BITXOR(T508, AE633)</f>
        <v>#VALUE!</v>
      </c>
      <c r="AO695" s="2" t="e">
        <f t="shared" ref="AO695:AO725" si="58">_xlfn.BITXOR(N694, AL694)</f>
        <v>#REF!</v>
      </c>
    </row>
    <row r="696" spans="2:41" x14ac:dyDescent="0.25">
      <c r="B696" s="9">
        <v>4</v>
      </c>
      <c r="C696" s="2">
        <v>1</v>
      </c>
      <c r="F696" s="15" cm="1">
        <f t="array" ref="F696">INDEX($C$693:$C$748, H44)</f>
        <v>0</v>
      </c>
      <c r="G696" s="15" cm="1">
        <f t="array" ref="G696">INDEX($C$693:$C$748, I44)</f>
        <v>0</v>
      </c>
      <c r="H696" s="15" cm="1">
        <f t="array" ref="H696">INDEX($C$693:$C$748, J44)</f>
        <v>0</v>
      </c>
      <c r="I696" s="15" cm="1">
        <f t="array" ref="I696">INDEX($C$693:$C$748, K44)</f>
        <v>1</v>
      </c>
      <c r="J696" s="15" cm="1">
        <f t="array" ref="J696">INDEX($C$693:$C$748, L44)</f>
        <v>1</v>
      </c>
      <c r="K696" s="15" cm="1">
        <f t="array" ref="K696">INDEX($C$693:$C$748, M44)</f>
        <v>1</v>
      </c>
      <c r="M696" s="9">
        <v>4</v>
      </c>
      <c r="N696" s="4" cm="1">
        <f t="array" ref="N696">INDEX($F$693:$K$700, INT((ROW(A4)-1)/6)+1, MOD(ROW(A495)-1,6)+1)</f>
        <v>1</v>
      </c>
      <c r="P696" s="15" t="e" cm="1" vm="1">
        <f t="array" aca="1" ref="P696" ca="1">INDEX($AO$204:$AO$235, H483)</f>
        <v>#VALUE!</v>
      </c>
      <c r="Q696" s="15" t="e" cm="1" vm="1">
        <f t="array" aca="1" ref="Q696" ca="1">INDEX($AO$204:$AO$235, I483)</f>
        <v>#VALUE!</v>
      </c>
      <c r="R696" s="15" t="e" cm="1" vm="1">
        <f t="array" aca="1" ref="R696" ca="1">INDEX($AO$204:$AO$235, J483)</f>
        <v>#VALUE!</v>
      </c>
      <c r="S696" s="15" t="e" cm="1" vm="1">
        <f t="array" aca="1" ref="S696" ca="1">INDEX($AO$204:$AO$235, K483)</f>
        <v>#VALUE!</v>
      </c>
      <c r="T696" s="15" t="e" cm="1" vm="1">
        <f t="array" aca="1" ref="T696" ca="1">INDEX($AO$204:$AO$235, L483)</f>
        <v>#VALUE!</v>
      </c>
      <c r="U696" s="15" t="e" cm="1">
        <f t="array" ref="U696">INDEX($AO$204:$AO$235, M483)</f>
        <v>#REF!</v>
      </c>
      <c r="W696" s="9">
        <v>4</v>
      </c>
      <c r="X696" s="4" t="e">
        <f t="shared" si="53"/>
        <v>#REF!</v>
      </c>
      <c r="Z696" s="32">
        <v>3</v>
      </c>
      <c r="AA696" s="34" t="e">
        <f>_xlfn.TEXTJOIN("", TRUE, INDEX($X$264:$X$311, (ROW(A432)-1)*6+1) : INDEX($X$264:$X$311, (ROW(A432)-1)*6+6))</f>
        <v>#REF!</v>
      </c>
      <c r="AB696" s="35"/>
      <c r="AC696" s="32" t="e">
        <f t="shared" si="54"/>
        <v>#REF!</v>
      </c>
      <c r="AD696" s="31" t="e">
        <f t="shared" si="55"/>
        <v>#REF!</v>
      </c>
      <c r="AE696" s="31" t="e" cm="1">
        <f t="array" aca="1" ref="AE696" ca="1">INDEX(OFFSET('[1]S-box'!$A$2, (Z696-1)*6, 0, 4, 16), AC696+1, AD696+1)</f>
        <v>#VALUE!</v>
      </c>
      <c r="AF696" s="33" t="e">
        <f t="shared" ca="1" si="56"/>
        <v>#VALUE!</v>
      </c>
      <c r="AH696" s="9">
        <v>4</v>
      </c>
      <c r="AI696" s="4" t="e" cm="1">
        <f t="array" ref="AI696">MID(INDEX($AF$265:$AF$272,INT((ROW(A433)-1)/4)+1),MOD(ROW(A433)-1,4)+1,1)</f>
        <v>#REF!</v>
      </c>
      <c r="AK696" s="9">
        <v>4</v>
      </c>
      <c r="AL696" s="4" t="e" cm="1">
        <f t="array" ref="AL696">INDEX($AI$264:$AI$295, INDEX($H$15:$O$18, INT((ROW(A433)-1)/8)+1, MOD(ROW(A433)-1,8)+1))</f>
        <v>#REF!</v>
      </c>
      <c r="AN696" s="2" t="e">
        <f t="shared" ca="1" si="57"/>
        <v>#VALUE!</v>
      </c>
      <c r="AO696" s="2" t="e">
        <f t="shared" si="58"/>
        <v>#REF!</v>
      </c>
    </row>
    <row r="697" spans="2:41" x14ac:dyDescent="0.25">
      <c r="B697" s="9">
        <v>5</v>
      </c>
      <c r="C697" s="2">
        <v>0</v>
      </c>
      <c r="F697" s="15" cm="1">
        <f t="array" ref="F697">INDEX($C$693:$C$748, H45)</f>
        <v>0</v>
      </c>
      <c r="G697" s="15" cm="1">
        <f t="array" ref="G697">INDEX($C$693:$C$748, I45)</f>
        <v>1</v>
      </c>
      <c r="H697" s="15" cm="1">
        <f t="array" ref="H697">INDEX($C$693:$C$748, J45)</f>
        <v>1</v>
      </c>
      <c r="I697" s="15" cm="1">
        <f t="array" ref="I697">INDEX($C$693:$C$748, K45)</f>
        <v>0</v>
      </c>
      <c r="J697" s="15" cm="1">
        <f t="array" ref="J697">INDEX($C$693:$C$748, L45)</f>
        <v>0</v>
      </c>
      <c r="K697" s="15" cm="1">
        <f t="array" ref="K697">INDEX($C$693:$C$748, M45)</f>
        <v>0</v>
      </c>
      <c r="M697" s="9">
        <v>5</v>
      </c>
      <c r="N697" s="4" cm="1">
        <f t="array" ref="N697">INDEX($F$693:$K$700, INT((ROW(A5)-1)/6)+1, MOD(ROW(A496)-1,6)+1)</f>
        <v>1</v>
      </c>
      <c r="P697" s="15" t="e" cm="1" vm="1">
        <f t="array" aca="1" ref="P697" ca="1">INDEX($AO$204:$AO$235, H484)</f>
        <v>#VALUE!</v>
      </c>
      <c r="Q697" s="15" t="e" cm="1" vm="1">
        <f t="array" aca="1" ref="Q697" ca="1">INDEX($AO$204:$AO$235, I484)</f>
        <v>#VALUE!</v>
      </c>
      <c r="R697" s="15" t="e" cm="1" vm="1">
        <f t="array" aca="1" ref="R697" ca="1">INDEX($AO$204:$AO$235, J484)</f>
        <v>#VALUE!</v>
      </c>
      <c r="S697" s="15" t="e" cm="1" vm="1">
        <f t="array" aca="1" ref="S697" ca="1">INDEX($AO$204:$AO$235, K484)</f>
        <v>#VALUE!</v>
      </c>
      <c r="T697" s="15" t="e" cm="1" vm="1">
        <f t="array" aca="1" ref="T697" ca="1">INDEX($AO$204:$AO$235, L484)</f>
        <v>#VALUE!</v>
      </c>
      <c r="U697" s="15" t="e" cm="1">
        <f t="array" ref="U697">INDEX($AO$204:$AO$235, M484)</f>
        <v>#REF!</v>
      </c>
      <c r="W697" s="9">
        <v>5</v>
      </c>
      <c r="X697" s="4" t="e">
        <f t="shared" si="53"/>
        <v>#REF!</v>
      </c>
      <c r="Z697" s="32">
        <v>4</v>
      </c>
      <c r="AA697" s="34" t="e">
        <f>_xlfn.TEXTJOIN("", TRUE, INDEX($X$264:$X$311, (ROW(A433)-1)*6+1) : INDEX($X$264:$X$311, (ROW(A433)-1)*6+6))</f>
        <v>#REF!</v>
      </c>
      <c r="AB697" s="35"/>
      <c r="AC697" s="32" t="e">
        <f t="shared" si="54"/>
        <v>#REF!</v>
      </c>
      <c r="AD697" s="31" t="e">
        <f t="shared" si="55"/>
        <v>#REF!</v>
      </c>
      <c r="AE697" s="31" t="e" cm="1">
        <f t="array" aca="1" ref="AE697" ca="1">INDEX(OFFSET('[1]S-box'!$A$2, (Z697-1)*6, 0, 4, 16), AC697+1, AD697+1)</f>
        <v>#VALUE!</v>
      </c>
      <c r="AF697" s="33" t="e">
        <f t="shared" ca="1" si="56"/>
        <v>#VALUE!</v>
      </c>
      <c r="AH697" s="9">
        <v>5</v>
      </c>
      <c r="AI697" s="4" t="e" cm="1">
        <f t="array" ref="AI697">MID(INDEX($AF$265:$AF$272,INT((ROW(A434)-1)/4)+1),MOD(ROW(A434)-1,4)+1,1)</f>
        <v>#REF!</v>
      </c>
      <c r="AK697" s="9">
        <v>5</v>
      </c>
      <c r="AL697" s="4" t="e" cm="1">
        <f t="array" ref="AL697">INDEX($AI$264:$AI$295, INDEX($H$15:$O$18, INT((ROW(A434)-1)/8)+1, MOD(ROW(A434)-1,8)+1))</f>
        <v>#REF!</v>
      </c>
      <c r="AN697" s="2" t="e" vm="3">
        <f t="shared" ca="1" si="57"/>
        <v>#VALUE!</v>
      </c>
      <c r="AO697" s="2" t="e">
        <f t="shared" si="58"/>
        <v>#REF!</v>
      </c>
    </row>
    <row r="698" spans="2:41" x14ac:dyDescent="0.25">
      <c r="B698" s="9">
        <v>6</v>
      </c>
      <c r="C698" s="2">
        <v>1</v>
      </c>
      <c r="F698" s="15" cm="1">
        <f t="array" ref="F698">INDEX($C$693:$C$748, H46)</f>
        <v>1</v>
      </c>
      <c r="G698" s="15" cm="1">
        <f t="array" ref="G698">INDEX($C$693:$C$748, I46)</f>
        <v>1</v>
      </c>
      <c r="H698" s="15" cm="1">
        <f t="array" ref="H698">INDEX($C$693:$C$748, J46)</f>
        <v>0</v>
      </c>
      <c r="I698" s="15" cm="1">
        <f t="array" ref="I698">INDEX($C$693:$C$748, K46)</f>
        <v>0</v>
      </c>
      <c r="J698" s="15" cm="1">
        <f t="array" ref="J698">INDEX($C$693:$C$748, L46)</f>
        <v>0</v>
      </c>
      <c r="K698" s="15" cm="1">
        <f t="array" ref="K698">INDEX($C$693:$C$748, M46)</f>
        <v>1</v>
      </c>
      <c r="M698" s="9">
        <v>6</v>
      </c>
      <c r="N698" s="4" cm="1">
        <f t="array" ref="N698">INDEX($F$693:$K$700, INT((ROW(A6)-1)/6)+1, MOD(ROW(A497)-1,6)+1)</f>
        <v>0</v>
      </c>
      <c r="P698" s="15" t="e" cm="1" vm="1">
        <f t="array" aca="1" ref="P698" ca="1">INDEX($AO$204:$AO$235, H485)</f>
        <v>#VALUE!</v>
      </c>
      <c r="Q698" s="15" t="e" cm="1" vm="1">
        <f t="array" aca="1" ref="Q698" ca="1">INDEX($AO$204:$AO$235, I485)</f>
        <v>#VALUE!</v>
      </c>
      <c r="R698" s="15" t="e" cm="1" vm="1">
        <f t="array" aca="1" ref="R698" ca="1">INDEX($AO$204:$AO$235, J485)</f>
        <v>#VALUE!</v>
      </c>
      <c r="S698" s="15" t="e" cm="1" vm="1">
        <f t="array" aca="1" ref="S698" ca="1">INDEX($AO$204:$AO$235, K485)</f>
        <v>#VALUE!</v>
      </c>
      <c r="T698" s="15" t="e" cm="1" vm="1">
        <f t="array" aca="1" ref="T698" ca="1">INDEX($AO$204:$AO$235, L485)</f>
        <v>#VALUE!</v>
      </c>
      <c r="U698" s="15" t="e" cm="1">
        <f t="array" ref="U698">INDEX($AO$204:$AO$235, M485)</f>
        <v>#REF!</v>
      </c>
      <c r="W698" s="9">
        <v>6</v>
      </c>
      <c r="X698" s="4" t="e">
        <f t="shared" si="53"/>
        <v>#REF!</v>
      </c>
      <c r="Z698" s="32">
        <v>5</v>
      </c>
      <c r="AA698" s="34" t="e">
        <f>_xlfn.TEXTJOIN("", TRUE, INDEX($X$264:$X$311, (ROW(A434)-1)*6+1) : INDEX($X$264:$X$311, (ROW(A434)-1)*6+6))</f>
        <v>#REF!</v>
      </c>
      <c r="AB698" s="35"/>
      <c r="AC698" s="32" t="e">
        <f t="shared" si="54"/>
        <v>#REF!</v>
      </c>
      <c r="AD698" s="31" t="e">
        <f t="shared" si="55"/>
        <v>#REF!</v>
      </c>
      <c r="AE698" s="31" t="e" cm="1">
        <f t="array" aca="1" ref="AE698" ca="1">INDEX(OFFSET('[1]S-box'!$A$2, (Z698-1)*6, 0, 4, 16), AC698+1, AD698+1)</f>
        <v>#VALUE!</v>
      </c>
      <c r="AF698" s="33" t="e">
        <f t="shared" ca="1" si="56"/>
        <v>#VALUE!</v>
      </c>
      <c r="AH698" s="9">
        <v>6</v>
      </c>
      <c r="AI698" s="4" t="e" cm="1">
        <f t="array" ref="AI698">MID(INDEX($AF$265:$AF$272,INT((ROW(A435)-1)/4)+1),MOD(ROW(A435)-1,4)+1,1)</f>
        <v>#REF!</v>
      </c>
      <c r="AK698" s="9">
        <v>6</v>
      </c>
      <c r="AL698" s="4" t="e" cm="1">
        <f t="array" ref="AL698">INDEX($AI$264:$AI$295, INDEX($H$15:$O$18, INT((ROW(A435)-1)/8)+1, MOD(ROW(A435)-1,8)+1))</f>
        <v>#REF!</v>
      </c>
      <c r="AN698" s="2" t="e" vm="3">
        <f t="shared" ca="1" si="57"/>
        <v>#VALUE!</v>
      </c>
      <c r="AO698" s="2" t="e">
        <f t="shared" si="58"/>
        <v>#REF!</v>
      </c>
    </row>
    <row r="699" spans="2:41" x14ac:dyDescent="0.25">
      <c r="B699" s="9">
        <v>7</v>
      </c>
      <c r="C699" s="2">
        <v>0</v>
      </c>
      <c r="F699" s="15" cm="1">
        <f t="array" ref="F699">INDEX($C$693:$C$748, H47)</f>
        <v>1</v>
      </c>
      <c r="G699" s="15" cm="1">
        <f t="array" ref="G699">INDEX($C$693:$C$748, I47)</f>
        <v>1</v>
      </c>
      <c r="H699" s="15" cm="1">
        <f t="array" ref="H699">INDEX($C$693:$C$748, J47)</f>
        <v>0</v>
      </c>
      <c r="I699" s="15" cm="1">
        <f t="array" ref="I699">INDEX($C$693:$C$748, K47)</f>
        <v>1</v>
      </c>
      <c r="J699" s="15" cm="1">
        <f t="array" ref="J699">INDEX($C$693:$C$748, L47)</f>
        <v>0</v>
      </c>
      <c r="K699" s="15" cm="1">
        <f t="array" ref="K699">INDEX($C$693:$C$748, M47)</f>
        <v>1</v>
      </c>
      <c r="M699" s="9">
        <v>7</v>
      </c>
      <c r="N699" s="4" cm="1">
        <f t="array" ref="N699">INDEX($F$693:$K$700, INT((ROW(A7)-1)/6)+1, MOD(ROW(A498)-1,6)+1)</f>
        <v>1</v>
      </c>
      <c r="P699" s="15" t="e" cm="1" vm="1">
        <f t="array" aca="1" ref="P699" ca="1">INDEX($AO$204:$AO$235, H486)</f>
        <v>#VALUE!</v>
      </c>
      <c r="Q699" s="15" t="e" cm="1" vm="1">
        <f t="array" aca="1" ref="Q699" ca="1">INDEX($AO$204:$AO$235, I486)</f>
        <v>#VALUE!</v>
      </c>
      <c r="R699" s="15" t="e" cm="1" vm="1">
        <f t="array" aca="1" ref="R699" ca="1">INDEX($AO$204:$AO$235, J486)</f>
        <v>#VALUE!</v>
      </c>
      <c r="S699" s="15" t="e" cm="1" vm="1">
        <f t="array" aca="1" ref="S699" ca="1">INDEX($AO$204:$AO$235, K486)</f>
        <v>#VALUE!</v>
      </c>
      <c r="T699" s="15" t="e" cm="1" vm="1">
        <f t="array" aca="1" ref="T699" ca="1">INDEX($AO$204:$AO$235, L486)</f>
        <v>#VALUE!</v>
      </c>
      <c r="U699" s="15" t="e" cm="1">
        <f t="array" ref="U699">INDEX($AO$204:$AO$235, M486)</f>
        <v>#REF!</v>
      </c>
      <c r="W699" s="9">
        <v>7</v>
      </c>
      <c r="X699" s="4" t="e">
        <f t="shared" si="53"/>
        <v>#REF!</v>
      </c>
      <c r="Z699" s="32">
        <v>6</v>
      </c>
      <c r="AA699" s="34" t="e">
        <f>_xlfn.TEXTJOIN("", TRUE, INDEX($X$264:$X$311, (ROW(A435)-1)*6+1) : INDEX($X$264:$X$311, (ROW(A435)-1)*6+6))</f>
        <v>#REF!</v>
      </c>
      <c r="AB699" s="35"/>
      <c r="AC699" s="32" t="e">
        <f t="shared" si="54"/>
        <v>#REF!</v>
      </c>
      <c r="AD699" s="31" t="e">
        <f t="shared" si="55"/>
        <v>#REF!</v>
      </c>
      <c r="AE699" s="31" t="e" cm="1">
        <f t="array" aca="1" ref="AE699" ca="1">INDEX(OFFSET('[1]S-box'!$A$2, (Z699-1)*6, 0, 4, 16), AC699+1, AD699+1)</f>
        <v>#VALUE!</v>
      </c>
      <c r="AF699" s="33" t="e">
        <f t="shared" ca="1" si="56"/>
        <v>#VALUE!</v>
      </c>
      <c r="AH699" s="9">
        <v>7</v>
      </c>
      <c r="AI699" s="4" t="e" cm="1">
        <f t="array" ref="AI699">MID(INDEX($AF$265:$AF$272,INT((ROW(A436)-1)/4)+1),MOD(ROW(A436)-1,4)+1,1)</f>
        <v>#REF!</v>
      </c>
      <c r="AK699" s="9">
        <v>7</v>
      </c>
      <c r="AL699" s="4" t="e" cm="1">
        <f t="array" ref="AL699">INDEX($AI$264:$AI$295, INDEX($H$15:$O$18, INT((ROW(A436)-1)/8)+1, MOD(ROW(A436)-1,8)+1))</f>
        <v>#REF!</v>
      </c>
      <c r="AN699" s="2" t="e" vm="3">
        <f t="shared" ca="1" si="57"/>
        <v>#VALUE!</v>
      </c>
      <c r="AO699" s="2" t="e">
        <f t="shared" si="58"/>
        <v>#REF!</v>
      </c>
    </row>
    <row r="700" spans="2:41" x14ac:dyDescent="0.25">
      <c r="B700" s="11">
        <v>8</v>
      </c>
      <c r="C700" s="2">
        <v>1</v>
      </c>
      <c r="F700" s="15" cm="1">
        <f t="array" ref="F700">INDEX($C$693:$C$748, H48)</f>
        <v>1</v>
      </c>
      <c r="G700" s="15" cm="1">
        <f t="array" ref="G700">INDEX($C$693:$C$748, I48)</f>
        <v>1</v>
      </c>
      <c r="H700" s="15" cm="1">
        <f t="array" ref="H700">INDEX($C$693:$C$748, J48)</f>
        <v>0</v>
      </c>
      <c r="I700" s="15" cm="1">
        <f t="array" ref="I700">INDEX($C$693:$C$748, K48)</f>
        <v>1</v>
      </c>
      <c r="J700" s="15" cm="1">
        <f t="array" ref="J700">INDEX($C$693:$C$748, L48)</f>
        <v>1</v>
      </c>
      <c r="K700" s="15" cm="1">
        <f t="array" ref="K700">INDEX($C$693:$C$748, M48)</f>
        <v>0</v>
      </c>
      <c r="M700" s="11">
        <v>8</v>
      </c>
      <c r="N700" s="4" cm="1">
        <f t="array" ref="N700">INDEX($F$693:$K$700, INT((ROW(A8)-1)/6)+1, MOD(ROW(A499)-1,6)+1)</f>
        <v>0</v>
      </c>
      <c r="P700" s="15" t="e" cm="1" vm="2">
        <f t="array" aca="1" ref="P700" ca="1">INDEX($AO$204:$AO$235, H487)</f>
        <v>#VALUE!</v>
      </c>
      <c r="Q700" s="15" t="e" cm="1" vm="2">
        <f t="array" aca="1" ref="Q700" ca="1">INDEX($AO$204:$AO$235, I487)</f>
        <v>#VALUE!</v>
      </c>
      <c r="R700" s="15" t="e" cm="1">
        <f t="array" aca="1" ref="R700:R731" ca="1">INDEX($AO$204:$AO$235, J487)</f>
        <v>#VALUE!</v>
      </c>
      <c r="S700" s="15" t="e" cm="1">
        <f t="array" aca="1" ref="S700:S731" ca="1">INDEX($AO$204:$AO$235, K487)</f>
        <v>#VALUE!</v>
      </c>
      <c r="T700" s="15" t="e" cm="1">
        <f t="array" aca="1" ref="T700:T731" ca="1">INDEX($AO$204:$AO$235, L487)</f>
        <v>#VALUE!</v>
      </c>
      <c r="U700" s="15" t="e" cm="1">
        <f t="array" ref="U700">INDEX($AO$204:$AO$235, M487)</f>
        <v>#REF!</v>
      </c>
      <c r="W700" s="11">
        <v>8</v>
      </c>
      <c r="X700" s="4" t="e">
        <f t="shared" si="53"/>
        <v>#REF!</v>
      </c>
      <c r="Z700" s="32">
        <v>7</v>
      </c>
      <c r="AA700" s="34" t="e">
        <f>_xlfn.TEXTJOIN("", TRUE, INDEX($X$264:$X$311, (ROW(A436)-1)*6+1) : INDEX($X$264:$X$311, (ROW(A436)-1)*6+6))</f>
        <v>#REF!</v>
      </c>
      <c r="AB700" s="35"/>
      <c r="AC700" s="32" t="e">
        <f t="shared" si="54"/>
        <v>#REF!</v>
      </c>
      <c r="AD700" s="31" t="e">
        <f t="shared" si="55"/>
        <v>#REF!</v>
      </c>
      <c r="AE700" s="31" t="e" cm="1">
        <f t="array" aca="1" ref="AE700" ca="1">INDEX(OFFSET('[1]S-box'!$A$2, (Z700-1)*6, 0, 4, 16), AC700+1, AD700+1)</f>
        <v>#VALUE!</v>
      </c>
      <c r="AF700" s="33" t="e">
        <f t="shared" ca="1" si="56"/>
        <v>#VALUE!</v>
      </c>
      <c r="AH700" s="11">
        <v>8</v>
      </c>
      <c r="AI700" s="4" t="e" cm="1">
        <f t="array" ref="AI700">MID(INDEX($AF$265:$AF$272,INT((ROW(A437)-1)/4)+1),MOD(ROW(A437)-1,4)+1,1)</f>
        <v>#REF!</v>
      </c>
      <c r="AK700" s="11">
        <v>8</v>
      </c>
      <c r="AL700" s="4" t="e" cm="1">
        <f t="array" ref="AL700">INDEX($AI$264:$AI$295, INDEX($H$15:$O$18, INT((ROW(A437)-1)/8)+1, MOD(ROW(A437)-1,8)+1))</f>
        <v>#REF!</v>
      </c>
      <c r="AN700" s="2" t="e" vm="3">
        <f t="shared" ca="1" si="57"/>
        <v>#VALUE!</v>
      </c>
      <c r="AO700" s="2" t="e">
        <f t="shared" si="58"/>
        <v>#REF!</v>
      </c>
    </row>
    <row r="701" spans="2:41" x14ac:dyDescent="0.25">
      <c r="B701" s="9">
        <v>9</v>
      </c>
      <c r="C701" s="2">
        <v>0</v>
      </c>
      <c r="M701" s="9">
        <v>9</v>
      </c>
      <c r="N701" s="4" cm="1">
        <f t="array" ref="N701">INDEX($F$693:$K$700, INT((ROW(A9)-1)/6)+1, MOD(ROW(A500)-1,6)+1)</f>
        <v>1</v>
      </c>
      <c r="R701" t="e">
        <f ca="1"/>
        <v>#VALUE!</v>
      </c>
      <c r="S701" t="e">
        <f ca="1"/>
        <v>#VALUE!</v>
      </c>
      <c r="T701" t="e">
        <f ca="1"/>
        <v>#VALUE!</v>
      </c>
      <c r="W701" s="9">
        <v>9</v>
      </c>
      <c r="X701" s="4" t="e">
        <f t="shared" si="53"/>
        <v>#REF!</v>
      </c>
      <c r="Z701" s="32">
        <v>8</v>
      </c>
      <c r="AA701" s="34" t="e">
        <f>_xlfn.TEXTJOIN("", TRUE, INDEX($X$264:$X$311, (ROW(A437)-1)*6+1) : INDEX($X$264:$X$311, (ROW(A437)-1)*6+6))</f>
        <v>#REF!</v>
      </c>
      <c r="AB701" s="35"/>
      <c r="AC701" s="32" t="e">
        <f t="shared" si="54"/>
        <v>#REF!</v>
      </c>
      <c r="AD701" s="31" t="e">
        <f t="shared" si="55"/>
        <v>#REF!</v>
      </c>
      <c r="AE701" s="31" t="e" cm="1">
        <f t="array" aca="1" ref="AE701" ca="1">INDEX(OFFSET('[1]S-box'!$A$2, (Z701-1)*6, 0, 4, 16), AC701+1, AD701+1)</f>
        <v>#VALUE!</v>
      </c>
      <c r="AF701" s="33" t="e">
        <f t="shared" ca="1" si="56"/>
        <v>#VALUE!</v>
      </c>
      <c r="AH701" s="9">
        <v>9</v>
      </c>
      <c r="AI701" s="4" t="e" cm="1">
        <f t="array" ref="AI701">MID(INDEX($AF$265:$AF$272,INT((ROW(A438)-1)/4)+1),MOD(ROW(A438)-1,4)+1,1)</f>
        <v>#REF!</v>
      </c>
      <c r="AK701" s="9">
        <v>9</v>
      </c>
      <c r="AL701" s="4" t="e" cm="1">
        <f t="array" ref="AL701">INDEX($AI$264:$AI$295, INDEX($H$15:$O$18, INT((ROW(A438)-1)/8)+1, MOD(ROW(A438)-1,8)+1))</f>
        <v>#REF!</v>
      </c>
      <c r="AN701" s="2" t="e" vm="3">
        <f t="shared" ca="1" si="57"/>
        <v>#VALUE!</v>
      </c>
      <c r="AO701" s="2" t="e">
        <f t="shared" si="58"/>
        <v>#REF!</v>
      </c>
    </row>
    <row r="702" spans="2:41" x14ac:dyDescent="0.25">
      <c r="B702" s="9">
        <v>10</v>
      </c>
      <c r="C702" s="2">
        <v>1</v>
      </c>
      <c r="M702" s="9">
        <v>10</v>
      </c>
      <c r="N702" s="4" cm="1">
        <f t="array" ref="N702">INDEX($F$693:$K$700, INT((ROW(A10)-1)/6)+1, MOD(ROW(A501)-1,6)+1)</f>
        <v>1</v>
      </c>
      <c r="P702" s="36" t="s">
        <v>94</v>
      </c>
      <c r="Q702" s="36"/>
      <c r="R702" t="e">
        <f ca="1"/>
        <v>#VALUE!</v>
      </c>
      <c r="S702" t="e">
        <f ca="1"/>
        <v>#VALUE!</v>
      </c>
      <c r="T702" t="e">
        <f ca="1"/>
        <v>#VALUE!</v>
      </c>
      <c r="W702" s="9">
        <v>10</v>
      </c>
      <c r="X702" s="4" t="e">
        <f t="shared" si="53"/>
        <v>#REF!</v>
      </c>
      <c r="AH702" s="9">
        <v>10</v>
      </c>
      <c r="AI702" s="4" t="e" cm="1">
        <f t="array" ref="AI702">MID(INDEX($AF$265:$AF$272,INT((ROW(A439)-1)/4)+1),MOD(ROW(A439)-1,4)+1,1)</f>
        <v>#REF!</v>
      </c>
      <c r="AK702" s="9">
        <v>10</v>
      </c>
      <c r="AL702" s="4" t="e" cm="1">
        <f t="array" ref="AL702">INDEX($AI$264:$AI$295, INDEX($H$15:$O$18, INT((ROW(A439)-1)/8)+1, MOD(ROW(A439)-1,8)+1))</f>
        <v>#REF!</v>
      </c>
      <c r="AN702" s="2" t="e" vm="3">
        <f t="shared" ca="1" si="57"/>
        <v>#VALUE!</v>
      </c>
      <c r="AO702" s="2" t="e">
        <f t="shared" si="58"/>
        <v>#REF!</v>
      </c>
    </row>
    <row r="703" spans="2:41" x14ac:dyDescent="0.25">
      <c r="B703" s="9">
        <v>11</v>
      </c>
      <c r="C703" s="2">
        <v>1</v>
      </c>
      <c r="M703" s="9">
        <v>11</v>
      </c>
      <c r="N703" s="4" cm="1">
        <f t="array" ref="N703">INDEX($F$693:$K$700, INT((ROW(A11)-1)/6)+1, MOD(ROW(A502)-1,6)+1)</f>
        <v>1</v>
      </c>
      <c r="P703" s="9">
        <v>1</v>
      </c>
      <c r="Q703" s="4" t="e" cm="1">
        <f t="array" ref="Q703">INDEX($P$264:$U$271, INT((ROW(A430)-1)/6)+1, MOD(ROW(A430)-1,6)+1)</f>
        <v>#REF!</v>
      </c>
      <c r="R703" t="e">
        <f ca="1"/>
        <v>#VALUE!</v>
      </c>
      <c r="S703" t="e">
        <f ca="1"/>
        <v>#VALUE!</v>
      </c>
      <c r="T703" t="e">
        <f ca="1"/>
        <v>#VALUE!</v>
      </c>
      <c r="W703" s="9">
        <v>11</v>
      </c>
      <c r="X703" s="4" t="e">
        <f t="shared" si="53"/>
        <v>#REF!</v>
      </c>
      <c r="AH703" s="9">
        <v>11</v>
      </c>
      <c r="AI703" s="4" t="e" cm="1">
        <f t="array" ref="AI703">MID(INDEX($AF$265:$AF$272,INT((ROW(A440)-1)/4)+1),MOD(ROW(A440)-1,4)+1,1)</f>
        <v>#REF!</v>
      </c>
      <c r="AK703" s="9">
        <v>11</v>
      </c>
      <c r="AL703" s="4" t="e" cm="1">
        <f t="array" ref="AL703">INDEX($AI$264:$AI$295, INDEX($H$15:$O$18, INT((ROW(A440)-1)/8)+1, MOD(ROW(A440)-1,8)+1))</f>
        <v>#REF!</v>
      </c>
      <c r="AN703" s="2" t="e" vm="3">
        <f t="shared" ca="1" si="57"/>
        <v>#VALUE!</v>
      </c>
      <c r="AO703" s="2" t="e">
        <f t="shared" si="58"/>
        <v>#REF!</v>
      </c>
    </row>
    <row r="704" spans="2:41" x14ac:dyDescent="0.25">
      <c r="B704" s="9">
        <v>12</v>
      </c>
      <c r="C704" s="2">
        <v>1</v>
      </c>
      <c r="M704" s="9">
        <v>12</v>
      </c>
      <c r="N704" s="4" cm="1">
        <f t="array" ref="N704">INDEX($F$693:$K$700, INT((ROW(A12)-1)/6)+1, MOD(ROW(A503)-1,6)+1)</f>
        <v>1</v>
      </c>
      <c r="P704" s="9">
        <v>2</v>
      </c>
      <c r="Q704" s="4" t="e" cm="1">
        <f t="array" ref="Q704">INDEX($P$264:$U$271, INT((ROW(A431)-1)/6)+1, MOD(ROW(A431)-1,6)+1)</f>
        <v>#REF!</v>
      </c>
      <c r="R704" t="e">
        <f ca="1"/>
        <v>#VALUE!</v>
      </c>
      <c r="S704" t="e">
        <f ca="1"/>
        <v>#VALUE!</v>
      </c>
      <c r="T704" t="e">
        <f ca="1"/>
        <v>#VALUE!</v>
      </c>
      <c r="W704" s="9">
        <v>12</v>
      </c>
      <c r="X704" s="4" t="e">
        <f t="shared" si="53"/>
        <v>#REF!</v>
      </c>
      <c r="AH704" s="9">
        <v>12</v>
      </c>
      <c r="AI704" s="4" t="e" cm="1">
        <f t="array" ref="AI704">MID(INDEX($AF$265:$AF$272,INT((ROW(A441)-1)/4)+1),MOD(ROW(A441)-1,4)+1,1)</f>
        <v>#REF!</v>
      </c>
      <c r="AK704" s="9">
        <v>12</v>
      </c>
      <c r="AL704" s="4" t="e" cm="1">
        <f t="array" ref="AL704">INDEX($AI$264:$AI$295, INDEX($H$15:$O$18, INT((ROW(A441)-1)/8)+1, MOD(ROW(A441)-1,8)+1))</f>
        <v>#REF!</v>
      </c>
      <c r="AN704" s="2" t="e">
        <f t="shared" ca="1" si="57"/>
        <v>#VALUE!</v>
      </c>
      <c r="AO704" s="2" t="e">
        <f t="shared" si="58"/>
        <v>#REF!</v>
      </c>
    </row>
    <row r="705" spans="2:41" x14ac:dyDescent="0.25">
      <c r="B705" s="9">
        <v>13</v>
      </c>
      <c r="C705" s="2">
        <v>1</v>
      </c>
      <c r="M705" s="9">
        <v>13</v>
      </c>
      <c r="N705" s="4" cm="1">
        <f t="array" ref="N705">INDEX($F$693:$K$700, INT((ROW(A13)-1)/6)+1, MOD(ROW(A504)-1,6)+1)</f>
        <v>1</v>
      </c>
      <c r="P705" s="9">
        <v>3</v>
      </c>
      <c r="Q705" s="4" t="e" cm="1">
        <f t="array" ref="Q705">INDEX($P$264:$U$271, INT((ROW(A432)-1)/6)+1, MOD(ROW(A432)-1,6)+1)</f>
        <v>#REF!</v>
      </c>
      <c r="R705" t="e">
        <f ca="1"/>
        <v>#VALUE!</v>
      </c>
      <c r="S705" t="e">
        <f ca="1"/>
        <v>#VALUE!</v>
      </c>
      <c r="T705" t="e">
        <f ca="1"/>
        <v>#VALUE!</v>
      </c>
      <c r="W705" s="9">
        <v>13</v>
      </c>
      <c r="X705" s="4" t="e">
        <f t="shared" si="53"/>
        <v>#REF!</v>
      </c>
      <c r="AH705" s="9">
        <v>13</v>
      </c>
      <c r="AI705" s="4" t="e" cm="1">
        <f t="array" ref="AI705">MID(INDEX($AF$265:$AF$272,INT((ROW(A442)-1)/4)+1),MOD(ROW(A442)-1,4)+1,1)</f>
        <v>#REF!</v>
      </c>
      <c r="AK705" s="9">
        <v>13</v>
      </c>
      <c r="AL705" s="4" t="e" cm="1">
        <f t="array" ref="AL705">INDEX($AI$264:$AI$295, INDEX($H$15:$O$18, INT((ROW(A442)-1)/8)+1, MOD(ROW(A442)-1,8)+1))</f>
        <v>#REF!</v>
      </c>
      <c r="AN705" s="2" t="e">
        <f t="shared" ca="1" si="57"/>
        <v>#VALUE!</v>
      </c>
      <c r="AO705" s="2" t="e">
        <f t="shared" si="58"/>
        <v>#REF!</v>
      </c>
    </row>
    <row r="706" spans="2:41" x14ac:dyDescent="0.25">
      <c r="B706" s="9">
        <v>14</v>
      </c>
      <c r="C706" s="2">
        <v>1</v>
      </c>
      <c r="M706" s="9">
        <v>14</v>
      </c>
      <c r="N706" s="4" cm="1">
        <f t="array" ref="N706">INDEX($F$693:$K$700, INT((ROW(A14)-1)/6)+1, MOD(ROW(A505)-1,6)+1)</f>
        <v>0</v>
      </c>
      <c r="P706" s="9">
        <v>4</v>
      </c>
      <c r="Q706" s="4" t="e" cm="1">
        <f t="array" ref="Q706">INDEX($P$264:$U$271, INT((ROW(A433)-1)/6)+1, MOD(ROW(A433)-1,6)+1)</f>
        <v>#REF!</v>
      </c>
      <c r="R706" t="e">
        <f ca="1"/>
        <v>#VALUE!</v>
      </c>
      <c r="S706" t="e">
        <f ca="1"/>
        <v>#VALUE!</v>
      </c>
      <c r="T706" t="e">
        <f ca="1"/>
        <v>#VALUE!</v>
      </c>
      <c r="W706" s="9">
        <v>14</v>
      </c>
      <c r="X706" s="4" t="e">
        <f t="shared" si="53"/>
        <v>#REF!</v>
      </c>
      <c r="AH706" s="9">
        <v>14</v>
      </c>
      <c r="AI706" s="4" t="e" cm="1">
        <f t="array" ref="AI706">MID(INDEX($AF$265:$AF$272,INT((ROW(A443)-1)/4)+1),MOD(ROW(A443)-1,4)+1,1)</f>
        <v>#REF!</v>
      </c>
      <c r="AK706" s="9">
        <v>14</v>
      </c>
      <c r="AL706" s="4" t="e" cm="1">
        <f t="array" ref="AL706">INDEX($AI$264:$AI$295, INDEX($H$15:$O$18, INT((ROW(A443)-1)/8)+1, MOD(ROW(A443)-1,8)+1))</f>
        <v>#REF!</v>
      </c>
      <c r="AN706" s="2" t="e">
        <f t="shared" ca="1" si="57"/>
        <v>#VALUE!</v>
      </c>
      <c r="AO706" s="2" t="e">
        <f t="shared" si="58"/>
        <v>#REF!</v>
      </c>
    </row>
    <row r="707" spans="2:41" x14ac:dyDescent="0.25">
      <c r="B707" s="9">
        <v>15</v>
      </c>
      <c r="C707" s="2">
        <v>1</v>
      </c>
      <c r="M707" s="9">
        <v>15</v>
      </c>
      <c r="N707" s="4" cm="1">
        <f t="array" ref="N707">INDEX($F$693:$K$700, INT((ROW(A15)-1)/6)+1, MOD(ROW(A506)-1,6)+1)</f>
        <v>0</v>
      </c>
      <c r="P707" s="9">
        <v>5</v>
      </c>
      <c r="Q707" s="4" t="e" cm="1">
        <f t="array" ref="Q707">INDEX($P$264:$U$271, INT((ROW(A434)-1)/6)+1, MOD(ROW(A434)-1,6)+1)</f>
        <v>#REF!</v>
      </c>
      <c r="R707" t="e">
        <f ca="1"/>
        <v>#VALUE!</v>
      </c>
      <c r="S707" t="e">
        <f ca="1"/>
        <v>#VALUE!</v>
      </c>
      <c r="T707" t="e">
        <f ca="1"/>
        <v>#VALUE!</v>
      </c>
      <c r="W707" s="9">
        <v>15</v>
      </c>
      <c r="X707" s="4" t="e">
        <f t="shared" si="53"/>
        <v>#REF!</v>
      </c>
      <c r="AH707" s="9">
        <v>15</v>
      </c>
      <c r="AI707" s="4" t="e" cm="1">
        <f t="array" ref="AI707">MID(INDEX($AF$265:$AF$272,INT((ROW(A444)-1)/4)+1),MOD(ROW(A444)-1,4)+1,1)</f>
        <v>#REF!</v>
      </c>
      <c r="AK707" s="9">
        <v>15</v>
      </c>
      <c r="AL707" s="4" t="e" cm="1">
        <f t="array" ref="AL707">INDEX($AI$264:$AI$295, INDEX($H$15:$O$18, INT((ROW(A444)-1)/8)+1, MOD(ROW(A444)-1,8)+1))</f>
        <v>#REF!</v>
      </c>
      <c r="AN707" s="2" t="e">
        <f t="shared" ca="1" si="57"/>
        <v>#VALUE!</v>
      </c>
      <c r="AO707" s="2" t="e">
        <f t="shared" si="58"/>
        <v>#REF!</v>
      </c>
    </row>
    <row r="708" spans="2:41" x14ac:dyDescent="0.25">
      <c r="B708" s="11">
        <v>16</v>
      </c>
      <c r="C708" s="2">
        <v>0</v>
      </c>
      <c r="M708" s="11">
        <v>16</v>
      </c>
      <c r="N708" s="4" cm="1">
        <f t="array" ref="N708">INDEX($F$693:$K$700, INT((ROW(A16)-1)/6)+1, MOD(ROW(A507)-1,6)+1)</f>
        <v>1</v>
      </c>
      <c r="P708" s="9">
        <v>6</v>
      </c>
      <c r="Q708" s="4" t="e" cm="1">
        <f t="array" ref="Q708">INDEX($P$264:$U$271, INT((ROW(A435)-1)/6)+1, MOD(ROW(A435)-1,6)+1)</f>
        <v>#REF!</v>
      </c>
      <c r="R708" t="e">
        <f ca="1"/>
        <v>#VALUE!</v>
      </c>
      <c r="S708" t="e">
        <f ca="1"/>
        <v>#VALUE!</v>
      </c>
      <c r="T708" t="e">
        <f ca="1"/>
        <v>#VALUE!</v>
      </c>
      <c r="W708" s="11">
        <v>16</v>
      </c>
      <c r="X708" s="4" t="e">
        <f t="shared" si="53"/>
        <v>#REF!</v>
      </c>
      <c r="AH708" s="11">
        <v>16</v>
      </c>
      <c r="AI708" s="4" t="e" cm="1">
        <f t="array" ref="AI708">MID(INDEX($AF$265:$AF$272,INT((ROW(A445)-1)/4)+1),MOD(ROW(A445)-1,4)+1,1)</f>
        <v>#REF!</v>
      </c>
      <c r="AK708" s="11">
        <v>16</v>
      </c>
      <c r="AL708" s="4" t="e" cm="1">
        <f t="array" ref="AL708">INDEX($AI$264:$AI$295, INDEX($H$15:$O$18, INT((ROW(A445)-1)/8)+1, MOD(ROW(A445)-1,8)+1))</f>
        <v>#REF!</v>
      </c>
      <c r="AN708" s="2" t="e">
        <f t="shared" ca="1" si="57"/>
        <v>#VALUE!</v>
      </c>
      <c r="AO708" s="2" t="e">
        <f t="shared" si="58"/>
        <v>#REF!</v>
      </c>
    </row>
    <row r="709" spans="2:41" x14ac:dyDescent="0.25">
      <c r="B709" s="7">
        <v>17</v>
      </c>
      <c r="C709" s="2">
        <v>0</v>
      </c>
      <c r="M709" s="7">
        <v>17</v>
      </c>
      <c r="N709" s="4" cm="1">
        <f t="array" ref="N709">INDEX($F$693:$K$700, INT((ROW(A17)-1)/6)+1, MOD(ROW(A508)-1,6)+1)</f>
        <v>1</v>
      </c>
      <c r="P709" s="9">
        <v>7</v>
      </c>
      <c r="Q709" s="4" t="e" cm="1">
        <f t="array" ref="Q709">INDEX($P$264:$U$271, INT((ROW(A436)-1)/6)+1, MOD(ROW(A436)-1,6)+1)</f>
        <v>#REF!</v>
      </c>
      <c r="R709" t="e">
        <f ca="1"/>
        <v>#VALUE!</v>
      </c>
      <c r="S709" t="e">
        <f ca="1"/>
        <v>#VALUE!</v>
      </c>
      <c r="T709" t="e">
        <f ca="1"/>
        <v>#VALUE!</v>
      </c>
      <c r="W709" s="7">
        <v>17</v>
      </c>
      <c r="X709" s="4" t="e">
        <f t="shared" si="53"/>
        <v>#REF!</v>
      </c>
      <c r="AH709" s="7">
        <v>17</v>
      </c>
      <c r="AI709" s="4" t="e" cm="1">
        <f t="array" ref="AI709">MID(INDEX($AF$265:$AF$272,INT((ROW(A446)-1)/4)+1),MOD(ROW(A446)-1,4)+1,1)</f>
        <v>#REF!</v>
      </c>
      <c r="AK709" s="7">
        <v>17</v>
      </c>
      <c r="AL709" s="4" t="e" cm="1">
        <f t="array" ref="AL709">INDEX($AI$264:$AI$295, INDEX($H$15:$O$18, INT((ROW(A446)-1)/8)+1, MOD(ROW(A446)-1,8)+1))</f>
        <v>#REF!</v>
      </c>
      <c r="AN709" s="2" t="e">
        <f t="shared" ca="1" si="57"/>
        <v>#VALUE!</v>
      </c>
      <c r="AO709" s="2" t="e">
        <f t="shared" si="58"/>
        <v>#REF!</v>
      </c>
    </row>
    <row r="710" spans="2:41" x14ac:dyDescent="0.25">
      <c r="B710" s="9">
        <v>18</v>
      </c>
      <c r="C710" s="2">
        <v>0</v>
      </c>
      <c r="M710" s="9">
        <v>18</v>
      </c>
      <c r="N710" s="4" cm="1">
        <f t="array" ref="N710">INDEX($F$693:$K$700, INT((ROW(A18)-1)/6)+1, MOD(ROW(A509)-1,6)+1)</f>
        <v>0</v>
      </c>
      <c r="P710" s="11">
        <v>8</v>
      </c>
      <c r="Q710" s="4" t="e" cm="1">
        <f t="array" ref="Q710">INDEX($P$264:$U$271, INT((ROW(A437)-1)/6)+1, MOD(ROW(A437)-1,6)+1)</f>
        <v>#REF!</v>
      </c>
      <c r="R710" t="e">
        <f ca="1"/>
        <v>#VALUE!</v>
      </c>
      <c r="S710" t="e">
        <f ca="1"/>
        <v>#VALUE!</v>
      </c>
      <c r="T710" t="e">
        <f ca="1"/>
        <v>#VALUE!</v>
      </c>
      <c r="W710" s="9">
        <v>18</v>
      </c>
      <c r="X710" s="4" t="e">
        <f t="shared" si="53"/>
        <v>#REF!</v>
      </c>
      <c r="AH710" s="9">
        <v>18</v>
      </c>
      <c r="AI710" s="4" t="e" cm="1">
        <f t="array" ref="AI710">MID(INDEX($AF$265:$AF$272,INT((ROW(A447)-1)/4)+1),MOD(ROW(A447)-1,4)+1,1)</f>
        <v>#REF!</v>
      </c>
      <c r="AK710" s="9">
        <v>18</v>
      </c>
      <c r="AL710" s="4" t="e" cm="1">
        <f t="array" ref="AL710">INDEX($AI$264:$AI$295, INDEX($H$15:$O$18, INT((ROW(A447)-1)/8)+1, MOD(ROW(A447)-1,8)+1))</f>
        <v>#REF!</v>
      </c>
      <c r="AN710" s="2" t="e">
        <f t="shared" ca="1" si="57"/>
        <v>#VALUE!</v>
      </c>
      <c r="AO710" s="2" t="e">
        <f t="shared" si="58"/>
        <v>#REF!</v>
      </c>
    </row>
    <row r="711" spans="2:41" x14ac:dyDescent="0.25">
      <c r="B711" s="9">
        <v>19</v>
      </c>
      <c r="C711" s="2">
        <v>0</v>
      </c>
      <c r="M711" s="9">
        <v>19</v>
      </c>
      <c r="N711" s="4" cm="1">
        <f t="array" ref="N711">INDEX($F$693:$K$700, INT((ROW(A19)-1)/6)+1, MOD(ROW(A510)-1,6)+1)</f>
        <v>1</v>
      </c>
      <c r="P711" s="7">
        <v>9</v>
      </c>
      <c r="Q711" s="4" t="e" cm="1">
        <f t="array" ref="Q711">INDEX($P$264:$U$271, INT((ROW(A438)-1)/6)+1, MOD(ROW(A438)-1,6)+1)</f>
        <v>#REF!</v>
      </c>
      <c r="R711" t="e">
        <f ca="1"/>
        <v>#VALUE!</v>
      </c>
      <c r="S711" t="e">
        <f ca="1"/>
        <v>#VALUE!</v>
      </c>
      <c r="T711" t="e">
        <f ca="1"/>
        <v>#VALUE!</v>
      </c>
      <c r="W711" s="9">
        <v>19</v>
      </c>
      <c r="X711" s="4" t="e">
        <f t="shared" si="53"/>
        <v>#REF!</v>
      </c>
      <c r="AH711" s="9">
        <v>19</v>
      </c>
      <c r="AI711" s="4" t="e" cm="1">
        <f t="array" ref="AI711">MID(INDEX($AF$265:$AF$272,INT((ROW(A448)-1)/4)+1),MOD(ROW(A448)-1,4)+1,1)</f>
        <v>#REF!</v>
      </c>
      <c r="AK711" s="9">
        <v>19</v>
      </c>
      <c r="AL711" s="4" t="e" cm="1">
        <f t="array" ref="AL711">INDEX($AI$264:$AI$295, INDEX($H$15:$O$18, INT((ROW(A448)-1)/8)+1, MOD(ROW(A448)-1,8)+1))</f>
        <v>#REF!</v>
      </c>
      <c r="AN711" s="2" t="e">
        <f t="shared" ca="1" si="57"/>
        <v>#VALUE!</v>
      </c>
      <c r="AO711" s="2" t="e">
        <f t="shared" si="58"/>
        <v>#REF!</v>
      </c>
    </row>
    <row r="712" spans="2:41" x14ac:dyDescent="0.25">
      <c r="B712" s="9">
        <v>20</v>
      </c>
      <c r="C712" s="2">
        <v>1</v>
      </c>
      <c r="M712" s="9">
        <v>20</v>
      </c>
      <c r="N712" s="4" cm="1">
        <f t="array" ref="N712">INDEX($F$693:$K$700, INT((ROW(A20)-1)/6)+1, MOD(ROW(A511)-1,6)+1)</f>
        <v>0</v>
      </c>
      <c r="P712" s="9">
        <v>10</v>
      </c>
      <c r="Q712" s="4" t="e" cm="1">
        <f t="array" ref="Q712">INDEX($P$264:$U$271, INT((ROW(A439)-1)/6)+1, MOD(ROW(A439)-1,6)+1)</f>
        <v>#REF!</v>
      </c>
      <c r="R712" t="e">
        <f ca="1"/>
        <v>#VALUE!</v>
      </c>
      <c r="S712" t="e">
        <f ca="1"/>
        <v>#VALUE!</v>
      </c>
      <c r="T712" t="e">
        <f ca="1"/>
        <v>#VALUE!</v>
      </c>
      <c r="W712" s="9">
        <v>20</v>
      </c>
      <c r="X712" s="4" t="e">
        <f t="shared" si="53"/>
        <v>#REF!</v>
      </c>
      <c r="AH712" s="9">
        <v>20</v>
      </c>
      <c r="AI712" s="4" t="e" cm="1">
        <f t="array" ref="AI712">MID(INDEX($AF$265:$AF$272,INT((ROW(A449)-1)/4)+1),MOD(ROW(A449)-1,4)+1,1)</f>
        <v>#REF!</v>
      </c>
      <c r="AK712" s="9">
        <v>20</v>
      </c>
      <c r="AL712" s="4" t="e" cm="1">
        <f t="array" ref="AL712">INDEX($AI$264:$AI$295, INDEX($H$15:$O$18, INT((ROW(A449)-1)/8)+1, MOD(ROW(A449)-1,8)+1))</f>
        <v>#REF!</v>
      </c>
      <c r="AN712" s="2" t="e">
        <f t="shared" ca="1" si="57"/>
        <v>#VALUE!</v>
      </c>
      <c r="AO712" s="2" t="e">
        <f t="shared" si="58"/>
        <v>#REF!</v>
      </c>
    </row>
    <row r="713" spans="2:41" x14ac:dyDescent="0.25">
      <c r="B713" s="9">
        <v>21</v>
      </c>
      <c r="C713" s="2">
        <v>1</v>
      </c>
      <c r="M713" s="9">
        <v>21</v>
      </c>
      <c r="N713" s="4" cm="1">
        <f t="array" ref="N713">INDEX($F$693:$K$700, INT((ROW(A21)-1)/6)+1, MOD(ROW(A512)-1,6)+1)</f>
        <v>0</v>
      </c>
      <c r="P713" s="9">
        <v>11</v>
      </c>
      <c r="Q713" s="4" t="e" cm="1">
        <f t="array" ref="Q713">INDEX($P$264:$U$271, INT((ROW(A440)-1)/6)+1, MOD(ROW(A440)-1,6)+1)</f>
        <v>#REF!</v>
      </c>
      <c r="R713" t="e">
        <f ca="1"/>
        <v>#VALUE!</v>
      </c>
      <c r="S713" t="e">
        <f ca="1"/>
        <v>#VALUE!</v>
      </c>
      <c r="T713" t="e">
        <f ca="1"/>
        <v>#VALUE!</v>
      </c>
      <c r="W713" s="9">
        <v>21</v>
      </c>
      <c r="X713" s="4" t="e">
        <f t="shared" si="53"/>
        <v>#REF!</v>
      </c>
      <c r="AH713" s="9">
        <v>21</v>
      </c>
      <c r="AI713" s="4" t="e" cm="1">
        <f t="array" ref="AI713">MID(INDEX($AF$265:$AF$272,INT((ROW(A450)-1)/4)+1),MOD(ROW(A450)-1,4)+1,1)</f>
        <v>#REF!</v>
      </c>
      <c r="AK713" s="9">
        <v>21</v>
      </c>
      <c r="AL713" s="4" t="e" cm="1">
        <f t="array" ref="AL713">INDEX($AI$264:$AI$295, INDEX($H$15:$O$18, INT((ROW(A450)-1)/8)+1, MOD(ROW(A450)-1,8)+1))</f>
        <v>#REF!</v>
      </c>
      <c r="AN713" s="2" t="e">
        <f t="shared" ca="1" si="57"/>
        <v>#VALUE!</v>
      </c>
      <c r="AO713" s="2" t="e">
        <f t="shared" si="58"/>
        <v>#REF!</v>
      </c>
    </row>
    <row r="714" spans="2:41" x14ac:dyDescent="0.25">
      <c r="B714" s="9">
        <v>22</v>
      </c>
      <c r="C714" s="2">
        <v>0</v>
      </c>
      <c r="M714" s="9">
        <v>22</v>
      </c>
      <c r="N714" s="4" cm="1">
        <f t="array" ref="N714">INDEX($F$693:$K$700, INT((ROW(A22)-1)/6)+1, MOD(ROW(A513)-1,6)+1)</f>
        <v>0</v>
      </c>
      <c r="P714" s="9">
        <v>12</v>
      </c>
      <c r="Q714" s="4" t="e" cm="1">
        <f t="array" ref="Q714">INDEX($P$264:$U$271, INT((ROW(A441)-1)/6)+1, MOD(ROW(A441)-1,6)+1)</f>
        <v>#REF!</v>
      </c>
      <c r="R714" t="e">
        <f ca="1"/>
        <v>#VALUE!</v>
      </c>
      <c r="S714" t="e">
        <f ca="1"/>
        <v>#VALUE!</v>
      </c>
      <c r="T714" t="e">
        <f ca="1"/>
        <v>#VALUE!</v>
      </c>
      <c r="W714" s="9">
        <v>22</v>
      </c>
      <c r="X714" s="4" t="e">
        <f t="shared" si="53"/>
        <v>#REF!</v>
      </c>
      <c r="AH714" s="9">
        <v>22</v>
      </c>
      <c r="AI714" s="4" t="e" cm="1">
        <f t="array" ref="AI714">MID(INDEX($AF$265:$AF$272,INT((ROW(A451)-1)/4)+1),MOD(ROW(A451)-1,4)+1,1)</f>
        <v>#REF!</v>
      </c>
      <c r="AK714" s="9">
        <v>22</v>
      </c>
      <c r="AL714" s="4" t="e" cm="1">
        <f t="array" ref="AL714">INDEX($AI$264:$AI$295, INDEX($H$15:$O$18, INT((ROW(A451)-1)/8)+1, MOD(ROW(A451)-1,8)+1))</f>
        <v>#REF!</v>
      </c>
      <c r="AN714" s="2" t="e">
        <f t="shared" ca="1" si="57"/>
        <v>#VALUE!</v>
      </c>
      <c r="AO714" s="2" t="e">
        <f t="shared" si="58"/>
        <v>#REF!</v>
      </c>
    </row>
    <row r="715" spans="2:41" x14ac:dyDescent="0.25">
      <c r="B715" s="9">
        <v>23</v>
      </c>
      <c r="C715" s="2">
        <v>0</v>
      </c>
      <c r="M715" s="9">
        <v>23</v>
      </c>
      <c r="N715" s="4" cm="1">
        <f t="array" ref="N715">INDEX($F$693:$K$700, INT((ROW(A23)-1)/6)+1, MOD(ROW(A514)-1,6)+1)</f>
        <v>1</v>
      </c>
      <c r="P715" s="9">
        <v>13</v>
      </c>
      <c r="Q715" s="4" t="e" cm="1">
        <f t="array" ref="Q715">INDEX($P$264:$U$271, INT((ROW(A442)-1)/6)+1, MOD(ROW(A442)-1,6)+1)</f>
        <v>#REF!</v>
      </c>
      <c r="R715" t="e">
        <f ca="1"/>
        <v>#VALUE!</v>
      </c>
      <c r="S715" t="e">
        <f ca="1"/>
        <v>#VALUE!</v>
      </c>
      <c r="T715" t="e">
        <f ca="1"/>
        <v>#VALUE!</v>
      </c>
      <c r="W715" s="9">
        <v>23</v>
      </c>
      <c r="X715" s="4" t="e">
        <f t="shared" si="53"/>
        <v>#REF!</v>
      </c>
      <c r="AH715" s="9">
        <v>23</v>
      </c>
      <c r="AI715" s="4" t="e" cm="1">
        <f t="array" ref="AI715">MID(INDEX($AF$265:$AF$272,INT((ROW(A452)-1)/4)+1),MOD(ROW(A452)-1,4)+1,1)</f>
        <v>#REF!</v>
      </c>
      <c r="AK715" s="9">
        <v>23</v>
      </c>
      <c r="AL715" s="4" t="e" cm="1">
        <f t="array" ref="AL715">INDEX($AI$264:$AI$295, INDEX($H$15:$O$18, INT((ROW(A452)-1)/8)+1, MOD(ROW(A452)-1,8)+1))</f>
        <v>#REF!</v>
      </c>
      <c r="AN715" s="2" t="e">
        <f t="shared" ca="1" si="57"/>
        <v>#VALUE!</v>
      </c>
      <c r="AO715" s="2" t="e">
        <f t="shared" si="58"/>
        <v>#REF!</v>
      </c>
    </row>
    <row r="716" spans="2:41" x14ac:dyDescent="0.25">
      <c r="B716" s="11">
        <v>24</v>
      </c>
      <c r="C716" s="2">
        <v>1</v>
      </c>
      <c r="M716" s="11">
        <v>24</v>
      </c>
      <c r="N716" s="4" cm="1">
        <f t="array" ref="N716">INDEX($F$693:$K$700, INT((ROW(A24)-1)/6)+1, MOD(ROW(A515)-1,6)+1)</f>
        <v>1</v>
      </c>
      <c r="P716" s="9">
        <v>14</v>
      </c>
      <c r="Q716" s="4" t="e" cm="1">
        <f t="array" ref="Q716">INDEX($P$264:$U$271, INT((ROW(A443)-1)/6)+1, MOD(ROW(A443)-1,6)+1)</f>
        <v>#REF!</v>
      </c>
      <c r="R716" t="e">
        <f ca="1"/>
        <v>#VALUE!</v>
      </c>
      <c r="S716" t="e">
        <f ca="1"/>
        <v>#VALUE!</v>
      </c>
      <c r="T716" t="e">
        <f ca="1"/>
        <v>#VALUE!</v>
      </c>
      <c r="W716" s="11">
        <v>24</v>
      </c>
      <c r="X716" s="4" t="e">
        <f t="shared" si="53"/>
        <v>#REF!</v>
      </c>
      <c r="AH716" s="11">
        <v>24</v>
      </c>
      <c r="AI716" s="4" t="e" cm="1">
        <f t="array" ref="AI716">MID(INDEX($AF$265:$AF$272,INT((ROW(A453)-1)/4)+1),MOD(ROW(A453)-1,4)+1,1)</f>
        <v>#REF!</v>
      </c>
      <c r="AK716" s="11">
        <v>24</v>
      </c>
      <c r="AL716" s="4" t="e" cm="1">
        <f t="array" ref="AL716">INDEX($AI$264:$AI$295, INDEX($H$15:$O$18, INT((ROW(A453)-1)/8)+1, MOD(ROW(A453)-1,8)+1))</f>
        <v>#REF!</v>
      </c>
      <c r="AN716" s="2" t="e">
        <f t="shared" ca="1" si="57"/>
        <v>#VALUE!</v>
      </c>
      <c r="AO716" s="2" t="e">
        <f t="shared" si="58"/>
        <v>#REF!</v>
      </c>
    </row>
    <row r="717" spans="2:41" x14ac:dyDescent="0.25">
      <c r="B717" s="7">
        <v>25</v>
      </c>
      <c r="C717" s="2">
        <v>1</v>
      </c>
      <c r="M717" s="7">
        <v>25</v>
      </c>
      <c r="N717" s="4" cm="1">
        <f t="array" ref="N717">INDEX($F$693:$K$700, INT((ROW(A25)-1)/6)+1, MOD(ROW(A516)-1,6)+1)</f>
        <v>0</v>
      </c>
      <c r="P717" s="9">
        <v>15</v>
      </c>
      <c r="Q717" s="4" t="e" cm="1">
        <f t="array" ref="Q717">INDEX($P$264:$U$271, INT((ROW(A444)-1)/6)+1, MOD(ROW(A444)-1,6)+1)</f>
        <v>#REF!</v>
      </c>
      <c r="R717" t="e">
        <f ca="1"/>
        <v>#VALUE!</v>
      </c>
      <c r="S717" t="e">
        <f ca="1"/>
        <v>#VALUE!</v>
      </c>
      <c r="T717" t="e">
        <f ca="1"/>
        <v>#VALUE!</v>
      </c>
      <c r="W717" s="7">
        <v>25</v>
      </c>
      <c r="X717" s="4" t="e">
        <f t="shared" si="53"/>
        <v>#REF!</v>
      </c>
      <c r="AH717" s="7">
        <v>25</v>
      </c>
      <c r="AI717" s="4" t="e" cm="1">
        <f t="array" ref="AI717">MID(INDEX($AF$265:$AF$272,INT((ROW(A454)-1)/4)+1),MOD(ROW(A454)-1,4)+1,1)</f>
        <v>#REF!</v>
      </c>
      <c r="AK717" s="7">
        <v>25</v>
      </c>
      <c r="AL717" s="4" t="e" cm="1">
        <f t="array" ref="AL717">INDEX($AI$264:$AI$295, INDEX($H$15:$O$18, INT((ROW(A454)-1)/8)+1, MOD(ROW(A454)-1,8)+1))</f>
        <v>#REF!</v>
      </c>
      <c r="AN717" s="2" t="e">
        <f t="shared" ca="1" si="57"/>
        <v>#VALUE!</v>
      </c>
      <c r="AO717" s="2" t="e">
        <f t="shared" si="58"/>
        <v>#REF!</v>
      </c>
    </row>
    <row r="718" spans="2:41" x14ac:dyDescent="0.25">
      <c r="B718" s="9">
        <v>26</v>
      </c>
      <c r="C718" s="2">
        <v>0</v>
      </c>
      <c r="M718" s="9">
        <v>26</v>
      </c>
      <c r="N718" s="4" cm="1">
        <f t="array" ref="N718">INDEX($F$693:$K$700, INT((ROW(A26)-1)/6)+1, MOD(ROW(A517)-1,6)+1)</f>
        <v>0</v>
      </c>
      <c r="P718" s="11">
        <v>16</v>
      </c>
      <c r="Q718" s="4" t="e" cm="1">
        <f t="array" ref="Q718">INDEX($P$264:$U$271, INT((ROW(A445)-1)/6)+1, MOD(ROW(A445)-1,6)+1)</f>
        <v>#REF!</v>
      </c>
      <c r="R718" t="e">
        <f ca="1"/>
        <v>#VALUE!</v>
      </c>
      <c r="S718" t="e">
        <f ca="1"/>
        <v>#VALUE!</v>
      </c>
      <c r="T718" t="e">
        <f ca="1"/>
        <v>#VALUE!</v>
      </c>
      <c r="W718" s="9">
        <v>26</v>
      </c>
      <c r="X718" s="4" t="e">
        <f t="shared" si="53"/>
        <v>#REF!</v>
      </c>
      <c r="AH718" s="9">
        <v>26</v>
      </c>
      <c r="AI718" s="4" t="e" cm="1">
        <f t="array" ref="AI718">MID(INDEX($AF$265:$AF$272,INT((ROW(A455)-1)/4)+1),MOD(ROW(A455)-1,4)+1,1)</f>
        <v>#REF!</v>
      </c>
      <c r="AK718" s="9">
        <v>26</v>
      </c>
      <c r="AL718" s="4" t="e" cm="1">
        <f t="array" ref="AL718">INDEX($AI$264:$AI$295, INDEX($H$15:$O$18, INT((ROW(A455)-1)/8)+1, MOD(ROW(A455)-1,8)+1))</f>
        <v>#REF!</v>
      </c>
      <c r="AN718" s="2" t="e">
        <f t="shared" ca="1" si="57"/>
        <v>#VALUE!</v>
      </c>
      <c r="AO718" s="2" t="e">
        <f t="shared" si="58"/>
        <v>#REF!</v>
      </c>
    </row>
    <row r="719" spans="2:41" x14ac:dyDescent="0.25">
      <c r="B719" s="9">
        <v>27</v>
      </c>
      <c r="C719" s="2">
        <v>0</v>
      </c>
      <c r="M719" s="9">
        <v>27</v>
      </c>
      <c r="N719" s="4" cm="1">
        <f t="array" ref="N719">INDEX($F$693:$K$700, INT((ROW(A27)-1)/6)+1, MOD(ROW(A518)-1,6)+1)</f>
        <v>1</v>
      </c>
      <c r="P719" s="7">
        <v>17</v>
      </c>
      <c r="Q719" s="4" t="e" cm="1">
        <f t="array" ref="Q719">INDEX($P$264:$U$271, INT((ROW(A446)-1)/6)+1, MOD(ROW(A446)-1,6)+1)</f>
        <v>#REF!</v>
      </c>
      <c r="R719" t="e">
        <f ca="1"/>
        <v>#VALUE!</v>
      </c>
      <c r="S719" t="e">
        <f ca="1"/>
        <v>#VALUE!</v>
      </c>
      <c r="T719" t="e">
        <f ca="1"/>
        <v>#VALUE!</v>
      </c>
      <c r="W719" s="9">
        <v>27</v>
      </c>
      <c r="X719" s="4" t="e">
        <f t="shared" si="53"/>
        <v>#REF!</v>
      </c>
      <c r="AH719" s="9">
        <v>27</v>
      </c>
      <c r="AI719" s="4" t="e" cm="1">
        <f t="array" ref="AI719">MID(INDEX($AF$265:$AF$272,INT((ROW(A456)-1)/4)+1),MOD(ROW(A456)-1,4)+1,1)</f>
        <v>#REF!</v>
      </c>
      <c r="AK719" s="9">
        <v>27</v>
      </c>
      <c r="AL719" s="4" t="e" cm="1">
        <f t="array" ref="AL719">INDEX($AI$264:$AI$295, INDEX($H$15:$O$18, INT((ROW(A456)-1)/8)+1, MOD(ROW(A456)-1,8)+1))</f>
        <v>#REF!</v>
      </c>
      <c r="AN719" s="2" t="e">
        <f t="shared" ca="1" si="57"/>
        <v>#VALUE!</v>
      </c>
      <c r="AO719" s="2" t="e">
        <f t="shared" si="58"/>
        <v>#REF!</v>
      </c>
    </row>
    <row r="720" spans="2:41" x14ac:dyDescent="0.25">
      <c r="B720" s="9">
        <v>28</v>
      </c>
      <c r="C720" s="2">
        <v>1</v>
      </c>
      <c r="M720" s="9">
        <v>28</v>
      </c>
      <c r="N720" s="4" cm="1">
        <f t="array" ref="N720">INDEX($F$693:$K$700, INT((ROW(A28)-1)/6)+1, MOD(ROW(A519)-1,6)+1)</f>
        <v>1</v>
      </c>
      <c r="P720" s="9">
        <v>18</v>
      </c>
      <c r="Q720" s="4" t="e" cm="1">
        <f t="array" ref="Q720">INDEX($P$264:$U$271, INT((ROW(A447)-1)/6)+1, MOD(ROW(A447)-1,6)+1)</f>
        <v>#REF!</v>
      </c>
      <c r="R720" t="e">
        <f ca="1"/>
        <v>#VALUE!</v>
      </c>
      <c r="S720" t="e">
        <f ca="1"/>
        <v>#VALUE!</v>
      </c>
      <c r="T720" t="e">
        <f ca="1"/>
        <v>#VALUE!</v>
      </c>
      <c r="W720" s="9">
        <v>28</v>
      </c>
      <c r="X720" s="4" t="e">
        <f t="shared" si="53"/>
        <v>#REF!</v>
      </c>
      <c r="AH720" s="9">
        <v>28</v>
      </c>
      <c r="AI720" s="4" t="e" cm="1">
        <f t="array" ref="AI720">MID(INDEX($AF$265:$AF$272,INT((ROW(A457)-1)/4)+1),MOD(ROW(A457)-1,4)+1,1)</f>
        <v>#REF!</v>
      </c>
      <c r="AK720" s="9">
        <v>28</v>
      </c>
      <c r="AL720" s="4" t="e" cm="1">
        <f t="array" ref="AL720">INDEX($AI$264:$AI$295, INDEX($H$15:$O$18, INT((ROW(A457)-1)/8)+1, MOD(ROW(A457)-1,8)+1))</f>
        <v>#REF!</v>
      </c>
      <c r="AN720" s="2" t="e">
        <f t="shared" ca="1" si="57"/>
        <v>#VALUE!</v>
      </c>
      <c r="AO720" s="2" t="e">
        <f t="shared" si="58"/>
        <v>#REF!</v>
      </c>
    </row>
    <row r="721" spans="2:41" x14ac:dyDescent="0.25">
      <c r="B721" s="9">
        <v>29</v>
      </c>
      <c r="C721" s="2">
        <v>1</v>
      </c>
      <c r="M721" s="9">
        <v>29</v>
      </c>
      <c r="N721" s="4" cm="1">
        <f t="array" ref="N721">INDEX($F$693:$K$700, INT((ROW(A29)-1)/6)+1, MOD(ROW(A520)-1,6)+1)</f>
        <v>0</v>
      </c>
      <c r="P721" s="9">
        <v>19</v>
      </c>
      <c r="Q721" s="4" t="e" cm="1">
        <f t="array" ref="Q721">INDEX($P$264:$U$271, INT((ROW(A448)-1)/6)+1, MOD(ROW(A448)-1,6)+1)</f>
        <v>#REF!</v>
      </c>
      <c r="R721" t="e">
        <f ca="1"/>
        <v>#VALUE!</v>
      </c>
      <c r="S721" t="e">
        <f ca="1"/>
        <v>#VALUE!</v>
      </c>
      <c r="T721" t="e">
        <f ca="1"/>
        <v>#VALUE!</v>
      </c>
      <c r="W721" s="9">
        <v>29</v>
      </c>
      <c r="X721" s="4" t="e">
        <f t="shared" si="53"/>
        <v>#REF!</v>
      </c>
      <c r="AH721" s="9">
        <v>29</v>
      </c>
      <c r="AI721" s="4" t="e" cm="1">
        <f t="array" ref="AI721">MID(INDEX($AF$265:$AF$272,INT((ROW(A458)-1)/4)+1),MOD(ROW(A458)-1,4)+1,1)</f>
        <v>#REF!</v>
      </c>
      <c r="AK721" s="9">
        <v>29</v>
      </c>
      <c r="AL721" s="4" t="e" cm="1">
        <f t="array" ref="AL721">INDEX($AI$264:$AI$295, INDEX($H$15:$O$18, INT((ROW(A458)-1)/8)+1, MOD(ROW(A458)-1,8)+1))</f>
        <v>#REF!</v>
      </c>
      <c r="AN721" s="2" t="e">
        <f t="shared" ca="1" si="57"/>
        <v>#VALUE!</v>
      </c>
      <c r="AO721" s="2" t="e">
        <f t="shared" si="58"/>
        <v>#REF!</v>
      </c>
    </row>
    <row r="722" spans="2:41" x14ac:dyDescent="0.25">
      <c r="B722" s="9">
        <v>30</v>
      </c>
      <c r="C722" s="2">
        <v>1</v>
      </c>
      <c r="M722" s="9">
        <v>30</v>
      </c>
      <c r="N722" s="4" cm="1">
        <f t="array" ref="N722">INDEX($F$693:$K$700, INT((ROW(A30)-1)/6)+1, MOD(ROW(A521)-1,6)+1)</f>
        <v>0</v>
      </c>
      <c r="P722" s="9">
        <v>20</v>
      </c>
      <c r="Q722" s="4" t="e" cm="1">
        <f t="array" ref="Q722">INDEX($P$264:$U$271, INT((ROW(A449)-1)/6)+1, MOD(ROW(A449)-1,6)+1)</f>
        <v>#REF!</v>
      </c>
      <c r="R722" t="e">
        <f ca="1"/>
        <v>#VALUE!</v>
      </c>
      <c r="S722" t="e">
        <f ca="1"/>
        <v>#VALUE!</v>
      </c>
      <c r="T722" t="e">
        <f ca="1"/>
        <v>#VALUE!</v>
      </c>
      <c r="W722" s="9">
        <v>30</v>
      </c>
      <c r="X722" s="4" t="e">
        <f t="shared" si="53"/>
        <v>#REF!</v>
      </c>
      <c r="AH722" s="9">
        <v>30</v>
      </c>
      <c r="AI722" s="4" t="e" cm="1">
        <f t="array" ref="AI722">MID(INDEX($AF$265:$AF$272,INT((ROW(A459)-1)/4)+1),MOD(ROW(A459)-1,4)+1,1)</f>
        <v>#REF!</v>
      </c>
      <c r="AK722" s="9">
        <v>30</v>
      </c>
      <c r="AL722" s="4" t="e" cm="1">
        <f t="array" ref="AL722">INDEX($AI$264:$AI$295, INDEX($H$15:$O$18, INT((ROW(A459)-1)/8)+1, MOD(ROW(A459)-1,8)+1))</f>
        <v>#REF!</v>
      </c>
      <c r="AN722" s="2" t="e">
        <f t="shared" ca="1" si="57"/>
        <v>#VALUE!</v>
      </c>
      <c r="AO722" s="2" t="e">
        <f t="shared" si="58"/>
        <v>#REF!</v>
      </c>
    </row>
    <row r="723" spans="2:41" x14ac:dyDescent="0.25">
      <c r="B723" s="9">
        <v>31</v>
      </c>
      <c r="C723" s="2">
        <v>1</v>
      </c>
      <c r="M723" s="9">
        <v>31</v>
      </c>
      <c r="N723" s="4" cm="1">
        <f t="array" ref="N723">INDEX($F$693:$K$700, INT((ROW(A31)-1)/6)+1, MOD(ROW(A522)-1,6)+1)</f>
        <v>1</v>
      </c>
      <c r="P723" s="9">
        <v>21</v>
      </c>
      <c r="Q723" s="4" t="e" cm="1">
        <f t="array" ref="Q723">INDEX($P$264:$U$271, INT((ROW(A450)-1)/6)+1, MOD(ROW(A450)-1,6)+1)</f>
        <v>#REF!</v>
      </c>
      <c r="R723" t="e">
        <f ca="1"/>
        <v>#VALUE!</v>
      </c>
      <c r="S723" t="e">
        <f ca="1"/>
        <v>#VALUE!</v>
      </c>
      <c r="T723" t="e">
        <f ca="1"/>
        <v>#VALUE!</v>
      </c>
      <c r="W723" s="9">
        <v>31</v>
      </c>
      <c r="X723" s="4" t="e">
        <f t="shared" si="53"/>
        <v>#REF!</v>
      </c>
      <c r="AH723" s="9">
        <v>31</v>
      </c>
      <c r="AI723" s="4" t="e" cm="1">
        <f t="array" ref="AI723">MID(INDEX($AF$265:$AF$272,INT((ROW(A460)-1)/4)+1),MOD(ROW(A460)-1,4)+1,1)</f>
        <v>#REF!</v>
      </c>
      <c r="AK723" s="9">
        <v>31</v>
      </c>
      <c r="AL723" s="4" t="e" cm="1">
        <f t="array" ref="AL723">INDEX($AI$264:$AI$295, INDEX($H$15:$O$18, INT((ROW(A460)-1)/8)+1, MOD(ROW(A460)-1,8)+1))</f>
        <v>#REF!</v>
      </c>
      <c r="AN723" s="2" t="e">
        <f t="shared" ca="1" si="57"/>
        <v>#VALUE!</v>
      </c>
      <c r="AO723" s="2" t="e">
        <f t="shared" si="58"/>
        <v>#REF!</v>
      </c>
    </row>
    <row r="724" spans="2:41" x14ac:dyDescent="0.25">
      <c r="B724" s="11">
        <v>32</v>
      </c>
      <c r="C724" s="2">
        <v>0</v>
      </c>
      <c r="M724" s="11">
        <v>32</v>
      </c>
      <c r="N724" s="4" cm="1">
        <f t="array" ref="N724">INDEX($F$693:$K$700, INT((ROW(A32)-1)/6)+1, MOD(ROW(A523)-1,6)+1)</f>
        <v>1</v>
      </c>
      <c r="P724" s="9">
        <v>22</v>
      </c>
      <c r="Q724" s="4" t="e" cm="1">
        <f t="array" ref="Q724">INDEX($P$264:$U$271, INT((ROW(A451)-1)/6)+1, MOD(ROW(A451)-1,6)+1)</f>
        <v>#REF!</v>
      </c>
      <c r="R724" t="e">
        <f ca="1"/>
        <v>#VALUE!</v>
      </c>
      <c r="S724" t="e">
        <f ca="1"/>
        <v>#VALUE!</v>
      </c>
      <c r="T724" t="e">
        <f ca="1"/>
        <v>#VALUE!</v>
      </c>
      <c r="W724" s="11">
        <v>32</v>
      </c>
      <c r="X724" s="4" t="e">
        <f t="shared" si="53"/>
        <v>#REF!</v>
      </c>
      <c r="AH724" s="11">
        <v>32</v>
      </c>
      <c r="AI724" s="4" t="e" cm="1">
        <f t="array" ref="AI724">MID(INDEX($AF$265:$AF$272,INT((ROW(A461)-1)/4)+1),MOD(ROW(A461)-1,4)+1,1)</f>
        <v>#REF!</v>
      </c>
      <c r="AK724" s="11">
        <v>32</v>
      </c>
      <c r="AL724" s="4" t="e" cm="1">
        <f t="array" ref="AL724">INDEX($AI$264:$AI$295, INDEX($H$15:$O$18, INT((ROW(A461)-1)/8)+1, MOD(ROW(A461)-1,8)+1))</f>
        <v>#REF!</v>
      </c>
      <c r="AN724" s="2" t="e">
        <f t="shared" ca="1" si="57"/>
        <v>#VALUE!</v>
      </c>
      <c r="AO724" s="2" t="e">
        <f t="shared" si="58"/>
        <v>#REF!</v>
      </c>
    </row>
    <row r="725" spans="2:41" x14ac:dyDescent="0.25">
      <c r="B725" s="7">
        <v>33</v>
      </c>
      <c r="C725" s="2">
        <v>0</v>
      </c>
      <c r="M725" s="7">
        <v>33</v>
      </c>
      <c r="N725" s="4" cm="1">
        <f t="array" ref="N725">INDEX($F$693:$K$700, INT((ROW(A33)-1)/6)+1, MOD(ROW(A524)-1,6)+1)</f>
        <v>1</v>
      </c>
      <c r="P725" s="9">
        <v>23</v>
      </c>
      <c r="Q725" s="4" t="e" cm="1">
        <f t="array" ref="Q725">INDEX($P$264:$U$271, INT((ROW(A452)-1)/6)+1, MOD(ROW(A452)-1,6)+1)</f>
        <v>#REF!</v>
      </c>
      <c r="R725" t="e">
        <f ca="1"/>
        <v>#VALUE!</v>
      </c>
      <c r="S725" t="e">
        <f ca="1"/>
        <v>#VALUE!</v>
      </c>
      <c r="T725" t="e">
        <f ca="1"/>
        <v>#VALUE!</v>
      </c>
      <c r="W725" s="7">
        <v>33</v>
      </c>
      <c r="X725" s="4" t="e">
        <f t="shared" si="53"/>
        <v>#REF!</v>
      </c>
      <c r="AN725" s="2" t="e">
        <f t="shared" ca="1" si="57"/>
        <v>#VALUE!</v>
      </c>
      <c r="AO725" s="2" t="e">
        <f t="shared" si="58"/>
        <v>#REF!</v>
      </c>
    </row>
    <row r="726" spans="2:41" x14ac:dyDescent="0.25">
      <c r="B726" s="9">
        <v>34</v>
      </c>
      <c r="C726" s="2">
        <v>0</v>
      </c>
      <c r="M726" s="9">
        <v>34</v>
      </c>
      <c r="N726" s="4" cm="1">
        <f t="array" ref="N726">INDEX($F$693:$K$700, INT((ROW(A34)-1)/6)+1, MOD(ROW(A525)-1,6)+1)</f>
        <v>0</v>
      </c>
      <c r="P726" s="11">
        <v>24</v>
      </c>
      <c r="Q726" s="4" t="e" cm="1">
        <f t="array" ref="Q726">INDEX($P$264:$U$271, INT((ROW(A453)-1)/6)+1, MOD(ROW(A453)-1,6)+1)</f>
        <v>#REF!</v>
      </c>
      <c r="R726" t="e">
        <f ca="1"/>
        <v>#VALUE!</v>
      </c>
      <c r="S726" t="e">
        <f ca="1"/>
        <v>#VALUE!</v>
      </c>
      <c r="T726" t="e">
        <f ca="1"/>
        <v>#VALUE!</v>
      </c>
      <c r="W726" s="9">
        <v>34</v>
      </c>
      <c r="X726" s="4" t="e">
        <f t="shared" si="53"/>
        <v>#REF!</v>
      </c>
    </row>
    <row r="727" spans="2:41" x14ac:dyDescent="0.25">
      <c r="B727" s="9">
        <v>35</v>
      </c>
      <c r="C727" s="2">
        <v>0</v>
      </c>
      <c r="M727" s="9">
        <v>35</v>
      </c>
      <c r="N727" s="4" cm="1">
        <f t="array" ref="N727">INDEX($F$693:$K$700, INT((ROW(A35)-1)/6)+1, MOD(ROW(A526)-1,6)+1)</f>
        <v>0</v>
      </c>
      <c r="P727" s="7">
        <v>25</v>
      </c>
      <c r="Q727" s="4" t="e" cm="1">
        <f t="array" ref="Q727">INDEX($P$264:$U$271, INT((ROW(A454)-1)/6)+1, MOD(ROW(A454)-1,6)+1)</f>
        <v>#REF!</v>
      </c>
      <c r="R727" t="e">
        <f ca="1"/>
        <v>#VALUE!</v>
      </c>
      <c r="S727" t="e">
        <f ca="1"/>
        <v>#VALUE!</v>
      </c>
      <c r="T727" t="e">
        <f ca="1"/>
        <v>#VALUE!</v>
      </c>
      <c r="W727" s="9">
        <v>35</v>
      </c>
      <c r="X727" s="4" t="e">
        <f t="shared" si="53"/>
        <v>#REF!</v>
      </c>
    </row>
    <row r="728" spans="2:41" x14ac:dyDescent="0.25">
      <c r="B728" s="9">
        <v>36</v>
      </c>
      <c r="C728" s="2">
        <v>1</v>
      </c>
      <c r="M728" s="9">
        <v>36</v>
      </c>
      <c r="N728" s="4" cm="1">
        <f t="array" ref="N728">INDEX($F$693:$K$700, INT((ROW(A36)-1)/6)+1, MOD(ROW(A527)-1,6)+1)</f>
        <v>0</v>
      </c>
      <c r="P728" s="9">
        <v>26</v>
      </c>
      <c r="Q728" s="4" t="e" cm="1">
        <f t="array" ref="Q728">INDEX($P$264:$U$271, INT((ROW(A455)-1)/6)+1, MOD(ROW(A455)-1,6)+1)</f>
        <v>#REF!</v>
      </c>
      <c r="R728" t="e">
        <f ca="1"/>
        <v>#VALUE!</v>
      </c>
      <c r="S728" t="e">
        <f ca="1"/>
        <v>#VALUE!</v>
      </c>
      <c r="T728" t="e">
        <f ca="1"/>
        <v>#VALUE!</v>
      </c>
      <c r="W728" s="9">
        <v>36</v>
      </c>
      <c r="X728" s="4" t="e">
        <f t="shared" si="53"/>
        <v>#REF!</v>
      </c>
    </row>
    <row r="729" spans="2:41" x14ac:dyDescent="0.25">
      <c r="B729" s="9">
        <v>37</v>
      </c>
      <c r="C729" s="2">
        <v>0</v>
      </c>
      <c r="M729" s="9">
        <v>37</v>
      </c>
      <c r="N729" s="4" cm="1">
        <f t="array" ref="N729">INDEX($F$693:$K$700, INT((ROW(A37)-1)/6)+1, MOD(ROW(A528)-1,6)+1)</f>
        <v>1</v>
      </c>
      <c r="P729" s="9">
        <v>27</v>
      </c>
      <c r="Q729" s="4" t="e" cm="1">
        <f t="array" ref="Q729">INDEX($P$264:$U$271, INT((ROW(A456)-1)/6)+1, MOD(ROW(A456)-1,6)+1)</f>
        <v>#REF!</v>
      </c>
      <c r="R729" t="e">
        <f ca="1"/>
        <v>#VALUE!</v>
      </c>
      <c r="S729" t="e">
        <f ca="1"/>
        <v>#VALUE!</v>
      </c>
      <c r="T729" t="e">
        <f ca="1"/>
        <v>#VALUE!</v>
      </c>
      <c r="W729" s="9">
        <v>37</v>
      </c>
      <c r="X729" s="4" t="e">
        <f t="shared" si="53"/>
        <v>#REF!</v>
      </c>
    </row>
    <row r="730" spans="2:41" x14ac:dyDescent="0.25">
      <c r="B730" s="9">
        <v>38</v>
      </c>
      <c r="C730" s="2">
        <v>1</v>
      </c>
      <c r="M730" s="9">
        <v>38</v>
      </c>
      <c r="N730" s="4" cm="1">
        <f t="array" ref="N730">INDEX($F$693:$K$700, INT((ROW(A38)-1)/6)+1, MOD(ROW(A529)-1,6)+1)</f>
        <v>1</v>
      </c>
      <c r="P730" s="9">
        <v>28</v>
      </c>
      <c r="Q730" s="4" t="e" cm="1">
        <f t="array" ref="Q730">INDEX($P$264:$U$271, INT((ROW(A457)-1)/6)+1, MOD(ROW(A457)-1,6)+1)</f>
        <v>#REF!</v>
      </c>
      <c r="R730" t="e">
        <f ca="1"/>
        <v>#VALUE!</v>
      </c>
      <c r="S730" t="e">
        <f ca="1"/>
        <v>#VALUE!</v>
      </c>
      <c r="T730" t="e">
        <f ca="1"/>
        <v>#VALUE!</v>
      </c>
      <c r="W730" s="9">
        <v>38</v>
      </c>
      <c r="X730" s="4" t="e">
        <f t="shared" si="53"/>
        <v>#REF!</v>
      </c>
    </row>
    <row r="731" spans="2:41" x14ac:dyDescent="0.25">
      <c r="B731" s="9">
        <v>39</v>
      </c>
      <c r="C731" s="2">
        <v>0</v>
      </c>
      <c r="M731" s="9">
        <v>39</v>
      </c>
      <c r="N731" s="4" cm="1">
        <f t="array" ref="N731">INDEX($F$693:$K$700, INT((ROW(A39)-1)/6)+1, MOD(ROW(A530)-1,6)+1)</f>
        <v>1</v>
      </c>
      <c r="P731" s="9">
        <v>29</v>
      </c>
      <c r="Q731" s="4" t="e" cm="1">
        <f t="array" ref="Q731">INDEX($P$264:$U$271, INT((ROW(A458)-1)/6)+1, MOD(ROW(A458)-1,6)+1)</f>
        <v>#REF!</v>
      </c>
      <c r="R731" t="e">
        <f ca="1"/>
        <v>#VALUE!</v>
      </c>
      <c r="S731" t="e">
        <f ca="1"/>
        <v>#VALUE!</v>
      </c>
      <c r="T731" t="e">
        <f ca="1"/>
        <v>#VALUE!</v>
      </c>
      <c r="W731" s="9">
        <v>39</v>
      </c>
      <c r="X731" s="4" t="e">
        <f t="shared" si="53"/>
        <v>#REF!</v>
      </c>
    </row>
    <row r="732" spans="2:41" x14ac:dyDescent="0.25">
      <c r="B732" s="11">
        <v>40</v>
      </c>
      <c r="C732" s="2">
        <v>1</v>
      </c>
      <c r="M732" s="11">
        <v>40</v>
      </c>
      <c r="N732" s="4" cm="1">
        <f t="array" ref="N732">INDEX($F$693:$K$700, INT((ROW(A40)-1)/6)+1, MOD(ROW(A531)-1,6)+1)</f>
        <v>0</v>
      </c>
      <c r="P732" s="9">
        <v>30</v>
      </c>
      <c r="Q732" s="4" t="e" cm="1">
        <f t="array" ref="Q732">INDEX($P$264:$U$271, INT((ROW(A459)-1)/6)+1, MOD(ROW(A459)-1,6)+1)</f>
        <v>#REF!</v>
      </c>
      <c r="W732" s="11">
        <v>40</v>
      </c>
      <c r="X732" s="4" t="e">
        <f t="shared" si="53"/>
        <v>#REF!</v>
      </c>
    </row>
    <row r="733" spans="2:41" x14ac:dyDescent="0.25">
      <c r="B733" s="7">
        <v>41</v>
      </c>
      <c r="C733" s="2">
        <v>0</v>
      </c>
      <c r="M733" s="7">
        <v>41</v>
      </c>
      <c r="N733" s="4" cm="1">
        <f t="array" ref="N733">INDEX($F$693:$K$700, INT((ROW(A41)-1)/6)+1, MOD(ROW(A532)-1,6)+1)</f>
        <v>1</v>
      </c>
      <c r="P733" s="9">
        <v>31</v>
      </c>
      <c r="Q733" s="4" t="e" cm="1">
        <f t="array" ref="Q733">INDEX($P$264:$U$271, INT((ROW(A460)-1)/6)+1, MOD(ROW(A460)-1,6)+1)</f>
        <v>#REF!</v>
      </c>
      <c r="W733" s="7">
        <v>41</v>
      </c>
      <c r="X733" s="4" t="e">
        <f t="shared" si="53"/>
        <v>#REF!</v>
      </c>
    </row>
    <row r="734" spans="2:41" x14ac:dyDescent="0.25">
      <c r="B734" s="9">
        <v>42</v>
      </c>
      <c r="C734" s="2">
        <v>1</v>
      </c>
      <c r="M734" s="9">
        <v>42</v>
      </c>
      <c r="N734" s="4" cm="1">
        <f t="array" ref="N734">INDEX($F$693:$K$700, INT((ROW(A42)-1)/6)+1, MOD(ROW(A533)-1,6)+1)</f>
        <v>0</v>
      </c>
      <c r="P734" s="11">
        <v>32</v>
      </c>
      <c r="Q734" s="4" t="e" cm="1">
        <f t="array" ref="Q734">INDEX($P$264:$U$271, INT((ROW(A461)-1)/6)+1, MOD(ROW(A461)-1,6)+1)</f>
        <v>#REF!</v>
      </c>
      <c r="W734" s="9">
        <v>42</v>
      </c>
      <c r="X734" s="4" t="e">
        <f t="shared" si="53"/>
        <v>#REF!</v>
      </c>
    </row>
    <row r="735" spans="2:41" x14ac:dyDescent="0.25">
      <c r="B735" s="9">
        <v>43</v>
      </c>
      <c r="C735" s="2">
        <v>0</v>
      </c>
      <c r="M735" s="9">
        <v>43</v>
      </c>
      <c r="N735" s="4" cm="1">
        <f t="array" ref="N735">INDEX($F$693:$K$700, INT((ROW(A43)-1)/6)+1, MOD(ROW(A534)-1,6)+1)</f>
        <v>0</v>
      </c>
      <c r="P735" s="7">
        <v>33</v>
      </c>
      <c r="Q735" s="4" t="e" cm="1">
        <f t="array" ref="Q735">INDEX($P$264:$U$271, INT((ROW(A462)-1)/6)+1, MOD(ROW(A462)-1,6)+1)</f>
        <v>#REF!</v>
      </c>
      <c r="W735" s="9">
        <v>43</v>
      </c>
      <c r="X735" s="4" t="e">
        <f t="shared" si="53"/>
        <v>#REF!</v>
      </c>
    </row>
    <row r="736" spans="2:41" x14ac:dyDescent="0.25">
      <c r="B736" s="9">
        <v>44</v>
      </c>
      <c r="C736" s="2">
        <v>1</v>
      </c>
      <c r="M736" s="9">
        <v>44</v>
      </c>
      <c r="N736" s="4" cm="1">
        <f t="array" ref="N736">INDEX($F$693:$K$700, INT((ROW(A44)-1)/6)+1, MOD(ROW(A535)-1,6)+1)</f>
        <v>1</v>
      </c>
      <c r="P736" s="9">
        <v>34</v>
      </c>
      <c r="Q736" s="4" t="e" cm="1">
        <f t="array" ref="Q736">INDEX($P$264:$U$271, INT((ROW(A463)-1)/6)+1, MOD(ROW(A463)-1,6)+1)</f>
        <v>#REF!</v>
      </c>
      <c r="W736" s="9">
        <v>44</v>
      </c>
      <c r="X736" s="4" t="e">
        <f t="shared" si="53"/>
        <v>#REF!</v>
      </c>
    </row>
    <row r="737" spans="2:24" x14ac:dyDescent="0.25">
      <c r="B737" s="9">
        <v>45</v>
      </c>
      <c r="C737" s="2">
        <v>0</v>
      </c>
      <c r="M737" s="9">
        <v>45</v>
      </c>
      <c r="N737" s="4" cm="1">
        <f t="array" ref="N737">INDEX($F$693:$K$700, INT((ROW(A45)-1)/6)+1, MOD(ROW(A536)-1,6)+1)</f>
        <v>1</v>
      </c>
      <c r="P737" s="9">
        <v>35</v>
      </c>
      <c r="Q737" s="4" t="e" cm="1">
        <f t="array" ref="Q737">INDEX($P$264:$U$271, INT((ROW(A464)-1)/6)+1, MOD(ROW(A464)-1,6)+1)</f>
        <v>#REF!</v>
      </c>
      <c r="W737" s="9">
        <v>45</v>
      </c>
      <c r="X737" s="4" t="e">
        <f t="shared" si="53"/>
        <v>#REF!</v>
      </c>
    </row>
    <row r="738" spans="2:24" x14ac:dyDescent="0.25">
      <c r="B738" s="9">
        <v>46</v>
      </c>
      <c r="C738" s="2">
        <v>1</v>
      </c>
      <c r="M738" s="9">
        <v>46</v>
      </c>
      <c r="N738" s="4" cm="1">
        <f t="array" ref="N738">INDEX($F$693:$K$700, INT((ROW(A46)-1)/6)+1, MOD(ROW(A537)-1,6)+1)</f>
        <v>0</v>
      </c>
      <c r="P738" s="9">
        <v>36</v>
      </c>
      <c r="Q738" s="4" t="e" cm="1">
        <f t="array" ref="Q738">INDEX($P$264:$U$271, INT((ROW(A465)-1)/6)+1, MOD(ROW(A465)-1,6)+1)</f>
        <v>#REF!</v>
      </c>
      <c r="W738" s="9">
        <v>46</v>
      </c>
      <c r="X738" s="4" t="e">
        <f t="shared" si="53"/>
        <v>#REF!</v>
      </c>
    </row>
    <row r="739" spans="2:24" x14ac:dyDescent="0.25">
      <c r="B739" s="9">
        <v>47</v>
      </c>
      <c r="C739" s="2">
        <v>0</v>
      </c>
      <c r="M739" s="9">
        <v>47</v>
      </c>
      <c r="N739" s="4" cm="1">
        <f t="array" ref="N739">INDEX($F$693:$K$700, INT((ROW(A47)-1)/6)+1, MOD(ROW(A538)-1,6)+1)</f>
        <v>1</v>
      </c>
      <c r="P739" s="9">
        <v>37</v>
      </c>
      <c r="Q739" s="4" t="e" cm="1">
        <f t="array" ref="Q739">INDEX($P$264:$U$271, INT((ROW(A466)-1)/6)+1, MOD(ROW(A466)-1,6)+1)</f>
        <v>#REF!</v>
      </c>
      <c r="W739" s="9">
        <v>47</v>
      </c>
      <c r="X739" s="4" t="e">
        <f t="shared" si="53"/>
        <v>#REF!</v>
      </c>
    </row>
    <row r="740" spans="2:24" x14ac:dyDescent="0.25">
      <c r="B740" s="11">
        <v>48</v>
      </c>
      <c r="C740" s="2">
        <v>1</v>
      </c>
      <c r="M740" s="11">
        <v>48</v>
      </c>
      <c r="N740" s="4" cm="1">
        <f t="array" ref="N740">INDEX($F$693:$K$700, INT((ROW(A48)-1)/6)+1, MOD(ROW(A539)-1,6)+1)</f>
        <v>1</v>
      </c>
      <c r="P740" s="9">
        <v>38</v>
      </c>
      <c r="Q740" s="4" t="e" cm="1">
        <f t="array" ref="Q740">INDEX($P$264:$U$271, INT((ROW(A467)-1)/6)+1, MOD(ROW(A467)-1,6)+1)</f>
        <v>#REF!</v>
      </c>
      <c r="W740" s="11">
        <v>48</v>
      </c>
      <c r="X740" s="4" t="e">
        <f t="shared" si="53"/>
        <v>#REF!</v>
      </c>
    </row>
    <row r="741" spans="2:24" x14ac:dyDescent="0.25">
      <c r="B741" s="7">
        <v>49</v>
      </c>
      <c r="C741" s="2">
        <v>1</v>
      </c>
      <c r="P741" s="9">
        <v>39</v>
      </c>
      <c r="Q741" s="4" t="e" cm="1">
        <f t="array" ref="Q741">INDEX($P$264:$U$271, INT((ROW(A468)-1)/6)+1, MOD(ROW(A468)-1,6)+1)</f>
        <v>#REF!</v>
      </c>
    </row>
    <row r="742" spans="2:24" x14ac:dyDescent="0.25">
      <c r="B742" s="9">
        <v>50</v>
      </c>
      <c r="C742" s="2">
        <v>0</v>
      </c>
      <c r="P742" s="11">
        <v>40</v>
      </c>
      <c r="Q742" s="4" t="e" cm="1">
        <f t="array" ref="Q742">INDEX($P$264:$U$271, INT((ROW(A469)-1)/6)+1, MOD(ROW(A469)-1,6)+1)</f>
        <v>#REF!</v>
      </c>
    </row>
    <row r="743" spans="2:24" x14ac:dyDescent="0.25">
      <c r="B743" s="9">
        <v>51</v>
      </c>
      <c r="C743" s="2">
        <v>0</v>
      </c>
      <c r="P743" s="7">
        <v>41</v>
      </c>
      <c r="Q743" s="4" t="e" cm="1">
        <f t="array" ref="Q743">INDEX($P$264:$U$271, INT((ROW(A470)-1)/6)+1, MOD(ROW(A470)-1,6)+1)</f>
        <v>#REF!</v>
      </c>
    </row>
    <row r="744" spans="2:24" x14ac:dyDescent="0.25">
      <c r="B744" s="9">
        <v>52</v>
      </c>
      <c r="C744" s="2">
        <v>1</v>
      </c>
      <c r="P744" s="9">
        <v>42</v>
      </c>
      <c r="Q744" s="4" t="e" cm="1">
        <f t="array" ref="Q744">INDEX($P$264:$U$271, INT((ROW(A471)-1)/6)+1, MOD(ROW(A471)-1,6)+1)</f>
        <v>#REF!</v>
      </c>
    </row>
    <row r="745" spans="2:24" x14ac:dyDescent="0.25">
      <c r="B745" s="9">
        <v>53</v>
      </c>
      <c r="C745" s="2">
        <v>1</v>
      </c>
      <c r="P745" s="9">
        <v>43</v>
      </c>
      <c r="Q745" s="4" t="e" cm="1">
        <f t="array" ref="Q745">INDEX($P$264:$U$271, INT((ROW(A472)-1)/6)+1, MOD(ROW(A472)-1,6)+1)</f>
        <v>#REF!</v>
      </c>
    </row>
    <row r="746" spans="2:24" x14ac:dyDescent="0.25">
      <c r="B746" s="9">
        <v>54</v>
      </c>
      <c r="C746" s="2">
        <v>0</v>
      </c>
      <c r="P746" s="9">
        <v>44</v>
      </c>
      <c r="Q746" s="4" t="e" cm="1">
        <f t="array" ref="Q746">INDEX($P$264:$U$271, INT((ROW(A473)-1)/6)+1, MOD(ROW(A473)-1,6)+1)</f>
        <v>#REF!</v>
      </c>
    </row>
    <row r="747" spans="2:24" x14ac:dyDescent="0.25">
      <c r="B747" s="9">
        <v>55</v>
      </c>
      <c r="C747" s="2">
        <v>0</v>
      </c>
      <c r="P747" s="9">
        <v>45</v>
      </c>
      <c r="Q747" s="4" t="e" cm="1">
        <f t="array" ref="Q747">INDEX($P$264:$U$271, INT((ROW(A474)-1)/6)+1, MOD(ROW(A474)-1,6)+1)</f>
        <v>#REF!</v>
      </c>
    </row>
    <row r="748" spans="2:24" x14ac:dyDescent="0.25">
      <c r="B748" s="11">
        <v>56</v>
      </c>
      <c r="C748" s="2">
        <v>1</v>
      </c>
      <c r="P748" s="9">
        <v>46</v>
      </c>
      <c r="Q748" s="4" t="e" cm="1">
        <f t="array" ref="Q748">INDEX($P$264:$U$271, INT((ROW(A475)-1)/6)+1, MOD(ROW(A475)-1,6)+1)</f>
        <v>#REF!</v>
      </c>
    </row>
    <row r="749" spans="2:24" x14ac:dyDescent="0.25">
      <c r="P749" s="9">
        <v>47</v>
      </c>
      <c r="Q749" s="4" t="e" cm="1">
        <f t="array" ref="Q749">INDEX($P$264:$U$271, INT((ROW(A476)-1)/6)+1, MOD(ROW(A476)-1,6)+1)</f>
        <v>#REF!</v>
      </c>
    </row>
    <row r="750" spans="2:24" x14ac:dyDescent="0.25">
      <c r="P750" s="11">
        <v>48</v>
      </c>
      <c r="Q750" s="4" t="e" cm="1">
        <f t="array" ref="Q750">INDEX($P$264:$U$271, INT((ROW(A477)-1)/6)+1, MOD(ROW(A477)-1,6)+1)</f>
        <v>#REF!</v>
      </c>
    </row>
    <row r="751" spans="2:24" x14ac:dyDescent="0.25">
      <c r="B751" t="s">
        <v>56</v>
      </c>
    </row>
    <row r="753" spans="2:41" x14ac:dyDescent="0.25">
      <c r="B753" s="2" t="s">
        <v>3</v>
      </c>
      <c r="C753" s="2" t="s">
        <v>57</v>
      </c>
      <c r="F753" s="39" t="s">
        <v>23</v>
      </c>
      <c r="G753" s="40"/>
      <c r="H753" s="40"/>
      <c r="I753" s="40"/>
      <c r="J753" s="40"/>
      <c r="K753" s="41"/>
      <c r="M753" s="37" t="s">
        <v>58</v>
      </c>
      <c r="N753" s="43"/>
      <c r="P753" s="39" t="s">
        <v>93</v>
      </c>
      <c r="Q753" s="40"/>
      <c r="R753" s="40"/>
      <c r="S753" s="40"/>
      <c r="T753" s="40"/>
      <c r="U753" s="41"/>
      <c r="W753" s="2" t="s">
        <v>3</v>
      </c>
      <c r="X753" s="18" t="s">
        <v>95</v>
      </c>
      <c r="Z753" s="42" t="s">
        <v>77</v>
      </c>
      <c r="AA753" s="42" t="s">
        <v>74</v>
      </c>
      <c r="AB753" s="42"/>
      <c r="AC753" s="42" t="s">
        <v>75</v>
      </c>
      <c r="AD753" s="42" t="s">
        <v>76</v>
      </c>
      <c r="AE753" s="36" t="s">
        <v>78</v>
      </c>
      <c r="AF753" s="36" t="s">
        <v>79</v>
      </c>
      <c r="AH753" s="37" t="s">
        <v>96</v>
      </c>
      <c r="AI753" s="38"/>
      <c r="AK753" s="37" t="s">
        <v>97</v>
      </c>
      <c r="AL753" s="38"/>
      <c r="AN753" s="36" t="s">
        <v>98</v>
      </c>
      <c r="AO753" s="36"/>
    </row>
    <row r="754" spans="2:41" x14ac:dyDescent="0.25">
      <c r="B754" s="2">
        <v>1</v>
      </c>
      <c r="C754" s="2">
        <v>0</v>
      </c>
      <c r="F754" s="15" cm="1">
        <f t="array" ref="F754">INDEX($C$754:$C$809, H41)</f>
        <v>0</v>
      </c>
      <c r="G754" s="15" cm="1">
        <f t="array" ref="G754">INDEX($C$754:$C$809, I41)</f>
        <v>0</v>
      </c>
      <c r="H754" s="15" cm="1">
        <f t="array" ref="H754">INDEX($C$754:$C$809, J41)</f>
        <v>1</v>
      </c>
      <c r="I754" s="15" cm="1">
        <f t="array" ref="I754">INDEX($C$754:$C$809, K41)</f>
        <v>0</v>
      </c>
      <c r="J754" s="15" cm="1">
        <f t="array" ref="J754">INDEX($C$754:$C$809, L41)</f>
        <v>0</v>
      </c>
      <c r="K754" s="15" cm="1">
        <f t="array" ref="K754">INDEX($C$754:$C$809, M41)</f>
        <v>0</v>
      </c>
      <c r="M754" s="7">
        <v>1</v>
      </c>
      <c r="N754" s="4" cm="1">
        <f t="array" ref="N754">INDEX($F$754:$K$761, INT((ROW(A1)-1)/6)+1, MOD(ROW(A553)-1,6)+1)</f>
        <v>0</v>
      </c>
      <c r="P754" s="15" t="e" cm="1" vm="1">
        <f t="array" aca="1" ref="P754" ca="1">INDEX($AO$204:$AO$235, H541)</f>
        <v>#VALUE!</v>
      </c>
      <c r="Q754" s="15" t="e" cm="1" vm="1">
        <f t="array" aca="1" ref="Q754" ca="1">INDEX($AO$204:$AO$235, I541)</f>
        <v>#VALUE!</v>
      </c>
      <c r="R754" s="15" t="e" cm="1" vm="1">
        <f t="array" aca="1" ref="R754" ca="1">INDEX($AO$204:$AO$235, J541)</f>
        <v>#VALUE!</v>
      </c>
      <c r="S754" s="15" t="e" cm="1" vm="1">
        <f t="array" aca="1" ref="S754" ca="1">INDEX($AO$204:$AO$235, K541)</f>
        <v>#VALUE!</v>
      </c>
      <c r="T754" s="15" t="e" cm="1" vm="1">
        <f t="array" aca="1" ref="T754" ca="1">INDEX($AO$204:$AO$235, L541)</f>
        <v>#VALUE!</v>
      </c>
      <c r="U754" s="15" t="e" cm="1">
        <f t="array" aca="1" ref="U754" ca="1">INDEX($AO$204:$AO$235, M541)</f>
        <v>#VALUE!</v>
      </c>
      <c r="W754" s="7">
        <v>1</v>
      </c>
      <c r="X754" s="4" t="e">
        <f>_xlfn.BITXOR(Q764, N754)</f>
        <v>#REF!</v>
      </c>
      <c r="Z754" s="42"/>
      <c r="AA754" s="42"/>
      <c r="AB754" s="42"/>
      <c r="AC754" s="42"/>
      <c r="AD754" s="42"/>
      <c r="AE754" s="36"/>
      <c r="AF754" s="36"/>
      <c r="AH754" s="7">
        <v>1</v>
      </c>
      <c r="AI754" s="4" t="e" cm="1">
        <f t="array" ref="AI754">MID(INDEX($AF$265:$AF$272,INT((ROW(A491)-1)/4)+1),MOD(ROW(A491)-1,4)+1,1)</f>
        <v>#REF!</v>
      </c>
      <c r="AK754" s="7">
        <v>1</v>
      </c>
      <c r="AL754" s="4" t="e" cm="1">
        <f t="array" ref="AL754">INDEX($AI$264:$AI$295, INDEX($H$15:$O$18, INT((ROW(A491)-1)/8)+1, MOD(ROW(A491)-1,8)+1))</f>
        <v>#REF!</v>
      </c>
      <c r="AN754" s="2" t="s">
        <v>99</v>
      </c>
      <c r="AO754" s="31" t="s">
        <v>101</v>
      </c>
    </row>
    <row r="755" spans="2:41" x14ac:dyDescent="0.25">
      <c r="B755" s="2">
        <v>2</v>
      </c>
      <c r="C755" s="2">
        <v>1</v>
      </c>
      <c r="F755" s="15" cm="1">
        <f t="array" ref="F755">INDEX($C$754:$C$809, H42)</f>
        <v>0</v>
      </c>
      <c r="G755" s="15" cm="1">
        <f t="array" ref="G755">INDEX($C$754:$C$809, I42)</f>
        <v>1</v>
      </c>
      <c r="H755" s="15" cm="1">
        <f t="array" ref="H755">INDEX($C$754:$C$809, J42)</f>
        <v>0</v>
      </c>
      <c r="I755" s="15" cm="1">
        <f t="array" ref="I755">INDEX($C$754:$C$809, K42)</f>
        <v>1</v>
      </c>
      <c r="J755" s="15" cm="1">
        <f t="array" ref="J755">INDEX($C$754:$C$809, L42)</f>
        <v>0</v>
      </c>
      <c r="K755" s="15" cm="1">
        <f t="array" ref="K755">INDEX($C$754:$C$809, M42)</f>
        <v>1</v>
      </c>
      <c r="M755" s="9">
        <v>2</v>
      </c>
      <c r="N755" s="4" cm="1">
        <f t="array" ref="N755">INDEX($F$754:$K$761, INT((ROW(A2)-1)/6)+1, MOD(ROW(A554)-1,6)+1)</f>
        <v>0</v>
      </c>
      <c r="P755" s="15" t="e" cm="1" vm="1">
        <f t="array" aca="1" ref="P755" ca="1">INDEX($AO$204:$AO$235, H542)</f>
        <v>#VALUE!</v>
      </c>
      <c r="Q755" s="15" t="e" cm="1" vm="1">
        <f t="array" aca="1" ref="Q755" ca="1">INDEX($AO$204:$AO$235, I542)</f>
        <v>#VALUE!</v>
      </c>
      <c r="R755" s="15" t="e" cm="1" vm="1">
        <f t="array" aca="1" ref="R755" ca="1">INDEX($AO$204:$AO$235, J542)</f>
        <v>#VALUE!</v>
      </c>
      <c r="S755" s="15" t="e" cm="1" vm="1">
        <f t="array" aca="1" ref="S755" ca="1">INDEX($AO$204:$AO$235, K542)</f>
        <v>#VALUE!</v>
      </c>
      <c r="T755" s="15" t="e" cm="1" vm="1">
        <f t="array" aca="1" ref="T755" ca="1">INDEX($AO$204:$AO$235, L542)</f>
        <v>#VALUE!</v>
      </c>
      <c r="U755" s="15" t="e" cm="1">
        <f t="array" ref="U755">INDEX($AO$204:$AO$235, M542)</f>
        <v>#REF!</v>
      </c>
      <c r="W755" s="9">
        <v>2</v>
      </c>
      <c r="X755" s="4" t="e">
        <f t="shared" ref="X755:X801" si="59">_xlfn.BITXOR(Q765, N755)</f>
        <v>#REF!</v>
      </c>
      <c r="Z755" s="32">
        <v>1</v>
      </c>
      <c r="AA755" s="34" t="e">
        <f>_xlfn.TEXTJOIN("", TRUE, INDEX($X$264:$X$311, (ROW(A491)-1)*6+1) : INDEX($X$264:$X$311, (ROW(A491)-1)*6+6))</f>
        <v>#REF!</v>
      </c>
      <c r="AB755" s="35"/>
      <c r="AC755" s="32" t="e">
        <f>BIN2DEC(LEFT(AA755,1) &amp; RIGHT(AA755,1))</f>
        <v>#REF!</v>
      </c>
      <c r="AD755" s="31" t="e">
        <f>BIN2DEC(MID(AA755,2,4))</f>
        <v>#REF!</v>
      </c>
      <c r="AE755" s="31" t="e" cm="1">
        <f t="array" aca="1" ref="AE755" ca="1">INDEX(OFFSET('[1]S-box'!$A$2, (Z755-1)*6, 0, 4, 16), AC755+1, AD755+1)</f>
        <v>#VALUE!</v>
      </c>
      <c r="AF755" s="33" t="e">
        <f ca="1">DEC2BIN(AE755, 4)</f>
        <v>#VALUE!</v>
      </c>
      <c r="AH755" s="9">
        <v>2</v>
      </c>
      <c r="AI755" s="4" t="e" cm="1">
        <f t="array" ref="AI755">MID(INDEX($AF$265:$AF$272,INT((ROW(A492)-1)/4)+1),MOD(ROW(A492)-1,4)+1,1)</f>
        <v>#REF!</v>
      </c>
      <c r="AK755" s="9">
        <v>2</v>
      </c>
      <c r="AL755" s="4" t="e" cm="1">
        <f t="array" ref="AL755">INDEX($AI$264:$AI$295, INDEX($H$15:$O$18, INT((ROW(A492)-1)/8)+1, MOD(ROW(A492)-1,8)+1))</f>
        <v>#REF!</v>
      </c>
      <c r="AN755" s="2">
        <f>_xlfn.BITXOR(T568, AE693)</f>
        <v>0</v>
      </c>
      <c r="AO755" s="2" t="e">
        <f>_xlfn.BITXOR(N754, AL754)</f>
        <v>#REF!</v>
      </c>
    </row>
    <row r="756" spans="2:41" x14ac:dyDescent="0.25">
      <c r="B756" s="2">
        <v>3</v>
      </c>
      <c r="C756" s="2">
        <v>0</v>
      </c>
      <c r="F756" s="15" cm="1">
        <f t="array" ref="F756">INDEX($C$754:$C$809, H43)</f>
        <v>1</v>
      </c>
      <c r="G756" s="15" cm="1">
        <f t="array" ref="G756">INDEX($C$754:$C$809, I43)</f>
        <v>1</v>
      </c>
      <c r="H756" s="15" cm="1">
        <f t="array" ref="H756">INDEX($C$754:$C$809, J43)</f>
        <v>1</v>
      </c>
      <c r="I756" s="15" cm="1">
        <f t="array" ref="I756">INDEX($C$754:$C$809, K43)</f>
        <v>1</v>
      </c>
      <c r="J756" s="15" cm="1">
        <f t="array" ref="J756">INDEX($C$754:$C$809, L43)</f>
        <v>1</v>
      </c>
      <c r="K756" s="15" cm="1">
        <f t="array" ref="K756">INDEX($C$754:$C$809, M43)</f>
        <v>1</v>
      </c>
      <c r="M756" s="9">
        <v>3</v>
      </c>
      <c r="N756" s="4" cm="1">
        <f t="array" ref="N756">INDEX($F$754:$K$761, INT((ROW(A3)-1)/6)+1, MOD(ROW(A555)-1,6)+1)</f>
        <v>1</v>
      </c>
      <c r="P756" s="15" t="e" cm="1" vm="1">
        <f t="array" aca="1" ref="P756" ca="1">INDEX($AO$204:$AO$235, H543)</f>
        <v>#VALUE!</v>
      </c>
      <c r="Q756" s="15" t="e" cm="1" vm="1">
        <f t="array" aca="1" ref="Q756" ca="1">INDEX($AO$204:$AO$235, I543)</f>
        <v>#VALUE!</v>
      </c>
      <c r="R756" s="15" t="e" cm="1" vm="1">
        <f t="array" aca="1" ref="R756" ca="1">INDEX($AO$204:$AO$235, J543)</f>
        <v>#VALUE!</v>
      </c>
      <c r="S756" s="15" t="e" cm="1" vm="1">
        <f t="array" aca="1" ref="S756" ca="1">INDEX($AO$204:$AO$235, K543)</f>
        <v>#VALUE!</v>
      </c>
      <c r="T756" s="15" t="e" cm="1" vm="1">
        <f t="array" aca="1" ref="T756" ca="1">INDEX($AO$204:$AO$235, L543)</f>
        <v>#VALUE!</v>
      </c>
      <c r="U756" s="15" t="e" cm="1">
        <f t="array" ref="U756">INDEX($AO$204:$AO$235, M543)</f>
        <v>#REF!</v>
      </c>
      <c r="W756" s="9">
        <v>3</v>
      </c>
      <c r="X756" s="4" t="e">
        <f t="shared" si="59"/>
        <v>#REF!</v>
      </c>
      <c r="Z756" s="32">
        <v>2</v>
      </c>
      <c r="AA756" s="34" t="e">
        <f>_xlfn.TEXTJOIN("", TRUE, INDEX($X$264:$X$311, (ROW(A492)-1)*6+1) : INDEX($X$264:$X$311, (ROW(A492)-1)*6+6))</f>
        <v>#REF!</v>
      </c>
      <c r="AB756" s="35"/>
      <c r="AC756" s="32" t="e">
        <f t="shared" ref="AC756:AC762" si="60">BIN2DEC(LEFT(AA756,1) &amp; RIGHT(AA756,1))</f>
        <v>#REF!</v>
      </c>
      <c r="AD756" s="31" t="e">
        <f t="shared" ref="AD756:AD762" si="61">BIN2DEC(MID(AA756,2,4))</f>
        <v>#REF!</v>
      </c>
      <c r="AE756" s="31" t="e" cm="1">
        <f t="array" aca="1" ref="AE756" ca="1">INDEX(OFFSET('[1]S-box'!$A$2, (Z756-1)*6, 0, 4, 16), AC756+1, AD756+1)</f>
        <v>#VALUE!</v>
      </c>
      <c r="AF756" s="33" t="e">
        <f t="shared" ref="AF756:AF762" ca="1" si="62">DEC2BIN(AE756, 4)</f>
        <v>#VALUE!</v>
      </c>
      <c r="AH756" s="9">
        <v>3</v>
      </c>
      <c r="AI756" s="4" t="e" cm="1">
        <f t="array" ref="AI756">MID(INDEX($AF$265:$AF$272,INT((ROW(A493)-1)/4)+1),MOD(ROW(A493)-1,4)+1,1)</f>
        <v>#REF!</v>
      </c>
      <c r="AK756" s="9">
        <v>3</v>
      </c>
      <c r="AL756" s="4" t="e" cm="1">
        <f t="array" ref="AL756">INDEX($AI$264:$AI$295, INDEX($H$15:$O$18, INT((ROW(A493)-1)/8)+1, MOD(ROW(A493)-1,8)+1))</f>
        <v>#REF!</v>
      </c>
      <c r="AN756" s="2" t="e">
        <f t="shared" ref="AN756:AN786" ca="1" si="63">_xlfn.BITXOR(T569, AE694)</f>
        <v>#VALUE!</v>
      </c>
      <c r="AO756" s="2" t="e">
        <f t="shared" ref="AO756:AO786" si="64">_xlfn.BITXOR(N755, AL755)</f>
        <v>#REF!</v>
      </c>
    </row>
    <row r="757" spans="2:41" x14ac:dyDescent="0.25">
      <c r="B757" s="2">
        <v>4</v>
      </c>
      <c r="C757" s="2">
        <v>1</v>
      </c>
      <c r="F757" s="15" cm="1">
        <f t="array" ref="F757">INDEX($C$754:$C$809, H44)</f>
        <v>0</v>
      </c>
      <c r="G757" s="15" cm="1">
        <f t="array" ref="G757">INDEX($C$754:$C$809, I44)</f>
        <v>0</v>
      </c>
      <c r="H757" s="15" cm="1">
        <f t="array" ref="H757">INDEX($C$754:$C$809, J44)</f>
        <v>0</v>
      </c>
      <c r="I757" s="15" cm="1">
        <f t="array" ref="I757">INDEX($C$754:$C$809, K44)</f>
        <v>0</v>
      </c>
      <c r="J757" s="15" cm="1">
        <f t="array" ref="J757">INDEX($C$754:$C$809, L44)</f>
        <v>1</v>
      </c>
      <c r="K757" s="15" cm="1">
        <f t="array" ref="K757">INDEX($C$754:$C$809, M44)</f>
        <v>1</v>
      </c>
      <c r="M757" s="9">
        <v>4</v>
      </c>
      <c r="N757" s="4" cm="1">
        <f t="array" ref="N757">INDEX($F$754:$K$761, INT((ROW(A4)-1)/6)+1, MOD(ROW(A556)-1,6)+1)</f>
        <v>0</v>
      </c>
      <c r="P757" s="15" t="e" cm="1" vm="1">
        <f t="array" aca="1" ref="P757" ca="1">INDEX($AO$204:$AO$235, H544)</f>
        <v>#VALUE!</v>
      </c>
      <c r="Q757" s="15" t="e" cm="1" vm="1">
        <f t="array" aca="1" ref="Q757" ca="1">INDEX($AO$204:$AO$235, I544)</f>
        <v>#VALUE!</v>
      </c>
      <c r="R757" s="15" t="e" cm="1" vm="1">
        <f t="array" aca="1" ref="R757" ca="1">INDEX($AO$204:$AO$235, J544)</f>
        <v>#VALUE!</v>
      </c>
      <c r="S757" s="15" t="e" cm="1" vm="1">
        <f t="array" aca="1" ref="S757" ca="1">INDEX($AO$204:$AO$235, K544)</f>
        <v>#VALUE!</v>
      </c>
      <c r="T757" s="15" t="e" cm="1" vm="1">
        <f t="array" aca="1" ref="T757" ca="1">INDEX($AO$204:$AO$235, L544)</f>
        <v>#VALUE!</v>
      </c>
      <c r="U757" s="15" t="e" cm="1">
        <f t="array" ref="U757">INDEX($AO$204:$AO$235, M544)</f>
        <v>#REF!</v>
      </c>
      <c r="W757" s="9">
        <v>4</v>
      </c>
      <c r="X757" s="4" t="e">
        <f t="shared" si="59"/>
        <v>#REF!</v>
      </c>
      <c r="Z757" s="32">
        <v>3</v>
      </c>
      <c r="AA757" s="34" t="e">
        <f>_xlfn.TEXTJOIN("", TRUE, INDEX($X$264:$X$311, (ROW(A493)-1)*6+1) : INDEX($X$264:$X$311, (ROW(A493)-1)*6+6))</f>
        <v>#REF!</v>
      </c>
      <c r="AB757" s="35"/>
      <c r="AC757" s="32" t="e">
        <f t="shared" si="60"/>
        <v>#REF!</v>
      </c>
      <c r="AD757" s="31" t="e">
        <f t="shared" si="61"/>
        <v>#REF!</v>
      </c>
      <c r="AE757" s="31" t="e" cm="1">
        <f t="array" aca="1" ref="AE757" ca="1">INDEX(OFFSET('[1]S-box'!$A$2, (Z757-1)*6, 0, 4, 16), AC757+1, AD757+1)</f>
        <v>#VALUE!</v>
      </c>
      <c r="AF757" s="33" t="e">
        <f t="shared" ca="1" si="62"/>
        <v>#VALUE!</v>
      </c>
      <c r="AH757" s="9">
        <v>4</v>
      </c>
      <c r="AI757" s="4" t="e" cm="1">
        <f t="array" ref="AI757">MID(INDEX($AF$265:$AF$272,INT((ROW(A494)-1)/4)+1),MOD(ROW(A494)-1,4)+1,1)</f>
        <v>#REF!</v>
      </c>
      <c r="AK757" s="9">
        <v>4</v>
      </c>
      <c r="AL757" s="4" t="e" cm="1">
        <f t="array" ref="AL757">INDEX($AI$264:$AI$295, INDEX($H$15:$O$18, INT((ROW(A494)-1)/8)+1, MOD(ROW(A494)-1,8)+1))</f>
        <v>#REF!</v>
      </c>
      <c r="AN757" s="2" t="e">
        <f t="shared" ca="1" si="63"/>
        <v>#VALUE!</v>
      </c>
      <c r="AO757" s="2" t="e">
        <f t="shared" si="64"/>
        <v>#REF!</v>
      </c>
    </row>
    <row r="758" spans="2:41" x14ac:dyDescent="0.25">
      <c r="B758" s="2">
        <v>5</v>
      </c>
      <c r="C758" s="2">
        <v>0</v>
      </c>
      <c r="F758" s="15" cm="1">
        <f t="array" ref="F758">INDEX($C$754:$C$809, H45)</f>
        <v>0</v>
      </c>
      <c r="G758" s="15" cm="1">
        <f t="array" ref="G758">INDEX($C$754:$C$809, I45)</f>
        <v>0</v>
      </c>
      <c r="H758" s="15" cm="1">
        <f t="array" ref="H758">INDEX($C$754:$C$809, J45)</f>
        <v>0</v>
      </c>
      <c r="I758" s="15" cm="1">
        <f t="array" ref="I758">INDEX($C$754:$C$809, K45)</f>
        <v>0</v>
      </c>
      <c r="J758" s="15" cm="1">
        <f t="array" ref="J758">INDEX($C$754:$C$809, L45)</f>
        <v>1</v>
      </c>
      <c r="K758" s="15" cm="1">
        <f t="array" ref="K758">INDEX($C$754:$C$809, M45)</f>
        <v>1</v>
      </c>
      <c r="M758" s="9">
        <v>5</v>
      </c>
      <c r="N758" s="4" cm="1">
        <f t="array" ref="N758">INDEX($F$754:$K$761, INT((ROW(A5)-1)/6)+1, MOD(ROW(A557)-1,6)+1)</f>
        <v>0</v>
      </c>
      <c r="P758" s="15" t="e" cm="1" vm="1">
        <f t="array" aca="1" ref="P758" ca="1">INDEX($AO$204:$AO$235, H545)</f>
        <v>#VALUE!</v>
      </c>
      <c r="Q758" s="15" t="e" cm="1" vm="1">
        <f t="array" aca="1" ref="Q758" ca="1">INDEX($AO$204:$AO$235, I545)</f>
        <v>#VALUE!</v>
      </c>
      <c r="R758" s="15" t="e" cm="1" vm="1">
        <f t="array" aca="1" ref="R758" ca="1">INDEX($AO$204:$AO$235, J545)</f>
        <v>#VALUE!</v>
      </c>
      <c r="S758" s="15" t="e" cm="1" vm="1">
        <f t="array" aca="1" ref="S758" ca="1">INDEX($AO$204:$AO$235, K545)</f>
        <v>#VALUE!</v>
      </c>
      <c r="T758" s="15" t="e" cm="1" vm="1">
        <f t="array" aca="1" ref="T758" ca="1">INDEX($AO$204:$AO$235, L545)</f>
        <v>#VALUE!</v>
      </c>
      <c r="U758" s="15" t="e" cm="1">
        <f t="array" ref="U758">INDEX($AO$204:$AO$235, M545)</f>
        <v>#REF!</v>
      </c>
      <c r="W758" s="9">
        <v>5</v>
      </c>
      <c r="X758" s="4" t="e">
        <f t="shared" si="59"/>
        <v>#REF!</v>
      </c>
      <c r="Z758" s="32">
        <v>4</v>
      </c>
      <c r="AA758" s="34" t="e">
        <f>_xlfn.TEXTJOIN("", TRUE, INDEX($X$264:$X$311, (ROW(A494)-1)*6+1) : INDEX($X$264:$X$311, (ROW(A494)-1)*6+6))</f>
        <v>#REF!</v>
      </c>
      <c r="AB758" s="35"/>
      <c r="AC758" s="32" t="e">
        <f t="shared" si="60"/>
        <v>#REF!</v>
      </c>
      <c r="AD758" s="31" t="e">
        <f t="shared" si="61"/>
        <v>#REF!</v>
      </c>
      <c r="AE758" s="31" t="e" cm="1">
        <f t="array" aca="1" ref="AE758" ca="1">INDEX(OFFSET('[1]S-box'!$A$2, (Z758-1)*6, 0, 4, 16), AC758+1, AD758+1)</f>
        <v>#VALUE!</v>
      </c>
      <c r="AF758" s="33" t="e">
        <f t="shared" ca="1" si="62"/>
        <v>#VALUE!</v>
      </c>
      <c r="AH758" s="9">
        <v>5</v>
      </c>
      <c r="AI758" s="4" t="e" cm="1">
        <f t="array" ref="AI758">MID(INDEX($AF$265:$AF$272,INT((ROW(A495)-1)/4)+1),MOD(ROW(A495)-1,4)+1,1)</f>
        <v>#REF!</v>
      </c>
      <c r="AK758" s="9">
        <v>5</v>
      </c>
      <c r="AL758" s="4" t="e" cm="1">
        <f t="array" ref="AL758">INDEX($AI$264:$AI$295, INDEX($H$15:$O$18, INT((ROW(A495)-1)/8)+1, MOD(ROW(A495)-1,8)+1))</f>
        <v>#REF!</v>
      </c>
      <c r="AN758" s="2" t="e" vm="3">
        <f t="shared" ca="1" si="63"/>
        <v>#VALUE!</v>
      </c>
      <c r="AO758" s="2" t="e">
        <f t="shared" si="64"/>
        <v>#REF!</v>
      </c>
    </row>
    <row r="759" spans="2:41" x14ac:dyDescent="0.25">
      <c r="B759" s="2">
        <v>6</v>
      </c>
      <c r="C759" s="2">
        <v>1</v>
      </c>
      <c r="F759" s="15" cm="1">
        <f t="array" ref="F759">INDEX($C$754:$C$809, H46)</f>
        <v>0</v>
      </c>
      <c r="G759" s="15" cm="1">
        <f t="array" ref="G759">INDEX($C$754:$C$809, I46)</f>
        <v>1</v>
      </c>
      <c r="H759" s="15" cm="1">
        <f t="array" ref="H759">INDEX($C$754:$C$809, J46)</f>
        <v>1</v>
      </c>
      <c r="I759" s="15" cm="1">
        <f t="array" ref="I759">INDEX($C$754:$C$809, K46)</f>
        <v>0</v>
      </c>
      <c r="J759" s="15" cm="1">
        <f t="array" ref="J759">INDEX($C$754:$C$809, L46)</f>
        <v>0</v>
      </c>
      <c r="K759" s="15" cm="1">
        <f t="array" ref="K759">INDEX($C$754:$C$809, M46)</f>
        <v>0</v>
      </c>
      <c r="M759" s="9">
        <v>6</v>
      </c>
      <c r="N759" s="4" cm="1">
        <f t="array" ref="N759">INDEX($F$754:$K$761, INT((ROW(A6)-1)/6)+1, MOD(ROW(A558)-1,6)+1)</f>
        <v>0</v>
      </c>
      <c r="P759" s="15" t="e" cm="1" vm="1">
        <f t="array" aca="1" ref="P759" ca="1">INDEX($AO$204:$AO$235, H546)</f>
        <v>#VALUE!</v>
      </c>
      <c r="Q759" s="15" t="e" cm="1" vm="1">
        <f t="array" aca="1" ref="Q759" ca="1">INDEX($AO$204:$AO$235, I546)</f>
        <v>#VALUE!</v>
      </c>
      <c r="R759" s="15" t="e" cm="1" vm="1">
        <f t="array" aca="1" ref="R759" ca="1">INDEX($AO$204:$AO$235, J546)</f>
        <v>#VALUE!</v>
      </c>
      <c r="S759" s="15" t="e" cm="1" vm="1">
        <f t="array" aca="1" ref="S759" ca="1">INDEX($AO$204:$AO$235, K546)</f>
        <v>#VALUE!</v>
      </c>
      <c r="T759" s="15" t="e" cm="1" vm="1">
        <f t="array" aca="1" ref="T759" ca="1">INDEX($AO$204:$AO$235, L546)</f>
        <v>#VALUE!</v>
      </c>
      <c r="U759" s="15" t="e" cm="1">
        <f t="array" ref="U759">INDEX($AO$204:$AO$235, M546)</f>
        <v>#REF!</v>
      </c>
      <c r="W759" s="9">
        <v>6</v>
      </c>
      <c r="X759" s="4" t="e">
        <f t="shared" si="59"/>
        <v>#REF!</v>
      </c>
      <c r="Z759" s="32">
        <v>5</v>
      </c>
      <c r="AA759" s="34" t="e">
        <f>_xlfn.TEXTJOIN("", TRUE, INDEX($X$264:$X$311, (ROW(A495)-1)*6+1) : INDEX($X$264:$X$311, (ROW(A495)-1)*6+6))</f>
        <v>#REF!</v>
      </c>
      <c r="AB759" s="35"/>
      <c r="AC759" s="32" t="e">
        <f t="shared" si="60"/>
        <v>#REF!</v>
      </c>
      <c r="AD759" s="31" t="e">
        <f t="shared" si="61"/>
        <v>#REF!</v>
      </c>
      <c r="AE759" s="31" t="e" cm="1">
        <f t="array" aca="1" ref="AE759" ca="1">INDEX(OFFSET('[1]S-box'!$A$2, (Z759-1)*6, 0, 4, 16), AC759+1, AD759+1)</f>
        <v>#VALUE!</v>
      </c>
      <c r="AF759" s="33" t="e">
        <f t="shared" ca="1" si="62"/>
        <v>#VALUE!</v>
      </c>
      <c r="AH759" s="9">
        <v>6</v>
      </c>
      <c r="AI759" s="4" t="e" cm="1">
        <f t="array" ref="AI759">MID(INDEX($AF$265:$AF$272,INT((ROW(A496)-1)/4)+1),MOD(ROW(A496)-1,4)+1,1)</f>
        <v>#REF!</v>
      </c>
      <c r="AK759" s="9">
        <v>6</v>
      </c>
      <c r="AL759" s="4" t="e" cm="1">
        <f t="array" ref="AL759">INDEX($AI$264:$AI$295, INDEX($H$15:$O$18, INT((ROW(A496)-1)/8)+1, MOD(ROW(A496)-1,8)+1))</f>
        <v>#REF!</v>
      </c>
      <c r="AN759" s="2" t="e" vm="3">
        <f t="shared" ca="1" si="63"/>
        <v>#VALUE!</v>
      </c>
      <c r="AO759" s="2" t="e">
        <f t="shared" si="64"/>
        <v>#REF!</v>
      </c>
    </row>
    <row r="760" spans="2:41" x14ac:dyDescent="0.25">
      <c r="B760" s="2">
        <v>7</v>
      </c>
      <c r="C760" s="2">
        <v>0</v>
      </c>
      <c r="F760" s="15" cm="1">
        <f t="array" ref="F760">INDEX($C$754:$C$809, H47)</f>
        <v>1</v>
      </c>
      <c r="G760" s="15" cm="1">
        <f t="array" ref="G760">INDEX($C$754:$C$809, I47)</f>
        <v>0</v>
      </c>
      <c r="H760" s="15" cm="1">
        <f t="array" ref="H760">INDEX($C$754:$C$809, J47)</f>
        <v>0</v>
      </c>
      <c r="I760" s="15" cm="1">
        <f t="array" ref="I760">INDEX($C$754:$C$809, K47)</f>
        <v>1</v>
      </c>
      <c r="J760" s="15" cm="1">
        <f t="array" ref="J760">INDEX($C$754:$C$809, L47)</f>
        <v>1</v>
      </c>
      <c r="K760" s="15" cm="1">
        <f t="array" ref="K760">INDEX($C$754:$C$809, M47)</f>
        <v>0</v>
      </c>
      <c r="M760" s="9">
        <v>7</v>
      </c>
      <c r="N760" s="4" cm="1">
        <f t="array" ref="N760">INDEX($F$754:$K$761, INT((ROW(A7)-1)/6)+1, MOD(ROW(A559)-1,6)+1)</f>
        <v>0</v>
      </c>
      <c r="P760" s="15" t="e" cm="1" vm="1">
        <f t="array" aca="1" ref="P760" ca="1">INDEX($AO$204:$AO$235, H547)</f>
        <v>#VALUE!</v>
      </c>
      <c r="Q760" s="15" t="e" cm="1" vm="1">
        <f t="array" aca="1" ref="Q760" ca="1">INDEX($AO$204:$AO$235, I547)</f>
        <v>#VALUE!</v>
      </c>
      <c r="R760" s="15" t="e" cm="1" vm="1">
        <f t="array" aca="1" ref="R760" ca="1">INDEX($AO$204:$AO$235, J547)</f>
        <v>#VALUE!</v>
      </c>
      <c r="S760" s="15" t="e" cm="1" vm="1">
        <f t="array" aca="1" ref="S760" ca="1">INDEX($AO$204:$AO$235, K547)</f>
        <v>#VALUE!</v>
      </c>
      <c r="T760" s="15" t="e" cm="1" vm="1">
        <f t="array" aca="1" ref="T760" ca="1">INDEX($AO$204:$AO$235, L547)</f>
        <v>#VALUE!</v>
      </c>
      <c r="U760" s="15" t="e" cm="1">
        <f t="array" ref="U760">INDEX($AO$204:$AO$235, M547)</f>
        <v>#REF!</v>
      </c>
      <c r="W760" s="9">
        <v>7</v>
      </c>
      <c r="X760" s="4" t="e">
        <f t="shared" si="59"/>
        <v>#REF!</v>
      </c>
      <c r="Z760" s="32">
        <v>6</v>
      </c>
      <c r="AA760" s="34" t="e">
        <f>_xlfn.TEXTJOIN("", TRUE, INDEX($X$264:$X$311, (ROW(A496)-1)*6+1) : INDEX($X$264:$X$311, (ROW(A496)-1)*6+6))</f>
        <v>#REF!</v>
      </c>
      <c r="AB760" s="35"/>
      <c r="AC760" s="32" t="e">
        <f t="shared" si="60"/>
        <v>#REF!</v>
      </c>
      <c r="AD760" s="31" t="e">
        <f t="shared" si="61"/>
        <v>#REF!</v>
      </c>
      <c r="AE760" s="31" t="e" cm="1">
        <f t="array" aca="1" ref="AE760" ca="1">INDEX(OFFSET('[1]S-box'!$A$2, (Z760-1)*6, 0, 4, 16), AC760+1, AD760+1)</f>
        <v>#VALUE!</v>
      </c>
      <c r="AF760" s="33" t="e">
        <f t="shared" ca="1" si="62"/>
        <v>#VALUE!</v>
      </c>
      <c r="AH760" s="9">
        <v>7</v>
      </c>
      <c r="AI760" s="4" t="e" cm="1">
        <f t="array" ref="AI760">MID(INDEX($AF$265:$AF$272,INT((ROW(A497)-1)/4)+1),MOD(ROW(A497)-1,4)+1,1)</f>
        <v>#REF!</v>
      </c>
      <c r="AK760" s="9">
        <v>7</v>
      </c>
      <c r="AL760" s="4" t="e" cm="1">
        <f t="array" ref="AL760">INDEX($AI$264:$AI$295, INDEX($H$15:$O$18, INT((ROW(A497)-1)/8)+1, MOD(ROW(A497)-1,8)+1))</f>
        <v>#REF!</v>
      </c>
      <c r="AN760" s="2" t="e" vm="3">
        <f t="shared" ca="1" si="63"/>
        <v>#VALUE!</v>
      </c>
      <c r="AO760" s="2" t="e">
        <f t="shared" si="64"/>
        <v>#REF!</v>
      </c>
    </row>
    <row r="761" spans="2:41" x14ac:dyDescent="0.25">
      <c r="B761" s="2">
        <v>8</v>
      </c>
      <c r="C761" s="2">
        <v>1</v>
      </c>
      <c r="F761" s="15" cm="1">
        <f t="array" ref="F761">INDEX($C$754:$C$809, H48)</f>
        <v>1</v>
      </c>
      <c r="G761" s="15" cm="1">
        <f t="array" ref="G761">INDEX($C$754:$C$809, I48)</f>
        <v>1</v>
      </c>
      <c r="H761" s="15" cm="1">
        <f t="array" ref="H761">INDEX($C$754:$C$809, J48)</f>
        <v>1</v>
      </c>
      <c r="I761" s="15" cm="1">
        <f t="array" ref="I761">INDEX($C$754:$C$809, K48)</f>
        <v>1</v>
      </c>
      <c r="J761" s="15" cm="1">
        <f t="array" ref="J761">INDEX($C$754:$C$809, L48)</f>
        <v>1</v>
      </c>
      <c r="K761" s="15" cm="1">
        <f t="array" ref="K761">INDEX($C$754:$C$809, M48)</f>
        <v>0</v>
      </c>
      <c r="M761" s="11">
        <v>8</v>
      </c>
      <c r="N761" s="4" cm="1">
        <f t="array" ref="N761">INDEX($F$754:$K$761, INT((ROW(A8)-1)/6)+1, MOD(ROW(A560)-1,6)+1)</f>
        <v>1</v>
      </c>
      <c r="P761" s="15" t="e" cm="1" vm="2">
        <f t="array" aca="1" ref="P761" ca="1">INDEX($AO$204:$AO$235, H548)</f>
        <v>#VALUE!</v>
      </c>
      <c r="Q761" s="15" t="e" cm="1" vm="2">
        <f t="array" aca="1" ref="Q761" ca="1">INDEX($AO$204:$AO$235, I548)</f>
        <v>#VALUE!</v>
      </c>
      <c r="R761" s="15" t="e" cm="1">
        <f t="array" aca="1" ref="R761:R792" ca="1">INDEX($AO$204:$AO$235, J548)</f>
        <v>#VALUE!</v>
      </c>
      <c r="S761" s="15" t="e" cm="1">
        <f t="array" aca="1" ref="S761:S792" ca="1">INDEX($AO$204:$AO$235, K548)</f>
        <v>#VALUE!</v>
      </c>
      <c r="T761" s="15" t="e" cm="1">
        <f t="array" aca="1" ref="T761:T792" ca="1">INDEX($AO$204:$AO$235, L548)</f>
        <v>#VALUE!</v>
      </c>
      <c r="U761" s="15" t="e" cm="1">
        <f t="array" ref="U761">INDEX($AO$204:$AO$235, M548)</f>
        <v>#REF!</v>
      </c>
      <c r="W761" s="11">
        <v>8</v>
      </c>
      <c r="X761" s="4" t="e">
        <f t="shared" si="59"/>
        <v>#REF!</v>
      </c>
      <c r="Z761" s="32">
        <v>7</v>
      </c>
      <c r="AA761" s="34" t="e">
        <f>_xlfn.TEXTJOIN("", TRUE, INDEX($X$264:$X$311, (ROW(A497)-1)*6+1) : INDEX($X$264:$X$311, (ROW(A497)-1)*6+6))</f>
        <v>#REF!</v>
      </c>
      <c r="AB761" s="35"/>
      <c r="AC761" s="32" t="e">
        <f t="shared" si="60"/>
        <v>#REF!</v>
      </c>
      <c r="AD761" s="31" t="e">
        <f t="shared" si="61"/>
        <v>#REF!</v>
      </c>
      <c r="AE761" s="31" t="e" cm="1">
        <f t="array" aca="1" ref="AE761" ca="1">INDEX(OFFSET('[1]S-box'!$A$2, (Z761-1)*6, 0, 4, 16), AC761+1, AD761+1)</f>
        <v>#VALUE!</v>
      </c>
      <c r="AF761" s="33" t="e">
        <f t="shared" ca="1" si="62"/>
        <v>#VALUE!</v>
      </c>
      <c r="AH761" s="11">
        <v>8</v>
      </c>
      <c r="AI761" s="4" t="e" cm="1">
        <f t="array" ref="AI761">MID(INDEX($AF$265:$AF$272,INT((ROW(A498)-1)/4)+1),MOD(ROW(A498)-1,4)+1,1)</f>
        <v>#REF!</v>
      </c>
      <c r="AK761" s="11">
        <v>8</v>
      </c>
      <c r="AL761" s="4" t="e" cm="1">
        <f t="array" ref="AL761">INDEX($AI$264:$AI$295, INDEX($H$15:$O$18, INT((ROW(A498)-1)/8)+1, MOD(ROW(A498)-1,8)+1))</f>
        <v>#REF!</v>
      </c>
      <c r="AN761" s="2" t="e" vm="3">
        <f t="shared" ca="1" si="63"/>
        <v>#VALUE!</v>
      </c>
      <c r="AO761" s="2" t="e">
        <f t="shared" si="64"/>
        <v>#REF!</v>
      </c>
    </row>
    <row r="762" spans="2:41" x14ac:dyDescent="0.25">
      <c r="B762" s="2">
        <v>9</v>
      </c>
      <c r="C762" s="2">
        <v>1</v>
      </c>
      <c r="M762" s="9">
        <v>9</v>
      </c>
      <c r="N762" s="4" cm="1">
        <f t="array" ref="N762">INDEX($F$754:$K$761, INT((ROW(A9)-1)/6)+1, MOD(ROW(A561)-1,6)+1)</f>
        <v>0</v>
      </c>
      <c r="R762" t="e">
        <f ca="1"/>
        <v>#VALUE!</v>
      </c>
      <c r="S762" t="e">
        <f ca="1"/>
        <v>#VALUE!</v>
      </c>
      <c r="T762" t="e">
        <f ca="1"/>
        <v>#VALUE!</v>
      </c>
      <c r="W762" s="9">
        <v>9</v>
      </c>
      <c r="X762" s="4" t="e">
        <f t="shared" si="59"/>
        <v>#REF!</v>
      </c>
      <c r="Z762" s="32">
        <v>8</v>
      </c>
      <c r="AA762" s="34" t="e">
        <f>_xlfn.TEXTJOIN("", TRUE, INDEX($X$264:$X$311, (ROW(A498)-1)*6+1) : INDEX($X$264:$X$311, (ROW(A498)-1)*6+6))</f>
        <v>#REF!</v>
      </c>
      <c r="AB762" s="35"/>
      <c r="AC762" s="32" t="e">
        <f t="shared" si="60"/>
        <v>#REF!</v>
      </c>
      <c r="AD762" s="31" t="e">
        <f t="shared" si="61"/>
        <v>#REF!</v>
      </c>
      <c r="AE762" s="31" t="e" cm="1">
        <f t="array" aca="1" ref="AE762" ca="1">INDEX(OFFSET('[1]S-box'!$A$2, (Z762-1)*6, 0, 4, 16), AC762+1, AD762+1)</f>
        <v>#VALUE!</v>
      </c>
      <c r="AF762" s="33" t="e">
        <f t="shared" ca="1" si="62"/>
        <v>#VALUE!</v>
      </c>
      <c r="AH762" s="9">
        <v>9</v>
      </c>
      <c r="AI762" s="4" t="e" cm="1">
        <f t="array" ref="AI762">MID(INDEX($AF$265:$AF$272,INT((ROW(A499)-1)/4)+1),MOD(ROW(A499)-1,4)+1,1)</f>
        <v>#REF!</v>
      </c>
      <c r="AK762" s="9">
        <v>9</v>
      </c>
      <c r="AL762" s="4" t="e" cm="1">
        <f t="array" ref="AL762">INDEX($AI$264:$AI$295, INDEX($H$15:$O$18, INT((ROW(A499)-1)/8)+1, MOD(ROW(A499)-1,8)+1))</f>
        <v>#REF!</v>
      </c>
      <c r="AN762" s="2" t="e" vm="3">
        <f t="shared" ca="1" si="63"/>
        <v>#VALUE!</v>
      </c>
      <c r="AO762" s="2" t="e">
        <f t="shared" si="64"/>
        <v>#REF!</v>
      </c>
    </row>
    <row r="763" spans="2:41" x14ac:dyDescent="0.25">
      <c r="B763" s="2">
        <v>10</v>
      </c>
      <c r="C763" s="2">
        <v>1</v>
      </c>
      <c r="M763" s="9">
        <v>10</v>
      </c>
      <c r="N763" s="4" cm="1">
        <f t="array" ref="N763">INDEX($F$754:$K$761, INT((ROW(A10)-1)/6)+1, MOD(ROW(A562)-1,6)+1)</f>
        <v>1</v>
      </c>
      <c r="P763" s="36" t="s">
        <v>94</v>
      </c>
      <c r="Q763" s="36"/>
      <c r="R763" t="e">
        <f ca="1"/>
        <v>#VALUE!</v>
      </c>
      <c r="S763" t="e">
        <f ca="1"/>
        <v>#VALUE!</v>
      </c>
      <c r="T763" t="e">
        <f ca="1"/>
        <v>#VALUE!</v>
      </c>
      <c r="W763" s="9">
        <v>10</v>
      </c>
      <c r="X763" s="4" t="e">
        <f t="shared" si="59"/>
        <v>#REF!</v>
      </c>
      <c r="AH763" s="9">
        <v>10</v>
      </c>
      <c r="AI763" s="4" t="e" cm="1">
        <f t="array" ref="AI763">MID(INDEX($AF$265:$AF$272,INT((ROW(A500)-1)/4)+1),MOD(ROW(A500)-1,4)+1,1)</f>
        <v>#REF!</v>
      </c>
      <c r="AK763" s="9">
        <v>10</v>
      </c>
      <c r="AL763" s="4" t="e" cm="1">
        <f t="array" ref="AL763">INDEX($AI$264:$AI$295, INDEX($H$15:$O$18, INT((ROW(A500)-1)/8)+1, MOD(ROW(A500)-1,8)+1))</f>
        <v>#REF!</v>
      </c>
      <c r="AN763" s="2" t="e" vm="3">
        <f t="shared" ca="1" si="63"/>
        <v>#VALUE!</v>
      </c>
      <c r="AO763" s="2" t="e">
        <f t="shared" si="64"/>
        <v>#REF!</v>
      </c>
    </row>
    <row r="764" spans="2:41" x14ac:dyDescent="0.25">
      <c r="B764" s="2">
        <v>11</v>
      </c>
      <c r="C764" s="2">
        <v>1</v>
      </c>
      <c r="M764" s="9">
        <v>11</v>
      </c>
      <c r="N764" s="4" cm="1">
        <f t="array" ref="N764">INDEX($F$754:$K$761, INT((ROW(A11)-1)/6)+1, MOD(ROW(A563)-1,6)+1)</f>
        <v>0</v>
      </c>
      <c r="P764" s="9">
        <v>1</v>
      </c>
      <c r="Q764" s="4" t="e" cm="1">
        <f t="array" ref="Q764">INDEX($P$264:$U$271, INT((ROW(A491)-1)/6)+1, MOD(ROW(A491)-1,6)+1)</f>
        <v>#REF!</v>
      </c>
      <c r="R764" t="e">
        <f ca="1"/>
        <v>#VALUE!</v>
      </c>
      <c r="S764" t="e">
        <f ca="1"/>
        <v>#VALUE!</v>
      </c>
      <c r="T764" t="e">
        <f ca="1"/>
        <v>#VALUE!</v>
      </c>
      <c r="W764" s="9">
        <v>11</v>
      </c>
      <c r="X764" s="4" t="e">
        <f t="shared" si="59"/>
        <v>#REF!</v>
      </c>
      <c r="AH764" s="9">
        <v>11</v>
      </c>
      <c r="AI764" s="4" t="e" cm="1">
        <f t="array" ref="AI764">MID(INDEX($AF$265:$AF$272,INT((ROW(A501)-1)/4)+1),MOD(ROW(A501)-1,4)+1,1)</f>
        <v>#REF!</v>
      </c>
      <c r="AK764" s="9">
        <v>11</v>
      </c>
      <c r="AL764" s="4" t="e" cm="1">
        <f t="array" ref="AL764">INDEX($AI$264:$AI$295, INDEX($H$15:$O$18, INT((ROW(A501)-1)/8)+1, MOD(ROW(A501)-1,8)+1))</f>
        <v>#REF!</v>
      </c>
      <c r="AN764" s="2" t="e" vm="3">
        <f t="shared" ca="1" si="63"/>
        <v>#VALUE!</v>
      </c>
      <c r="AO764" s="2" t="e">
        <f t="shared" si="64"/>
        <v>#REF!</v>
      </c>
    </row>
    <row r="765" spans="2:41" x14ac:dyDescent="0.25">
      <c r="B765" s="2">
        <v>12</v>
      </c>
      <c r="C765" s="2">
        <v>1</v>
      </c>
      <c r="M765" s="9">
        <v>12</v>
      </c>
      <c r="N765" s="4" cm="1">
        <f t="array" ref="N765">INDEX($F$754:$K$761, INT((ROW(A12)-1)/6)+1, MOD(ROW(A564)-1,6)+1)</f>
        <v>1</v>
      </c>
      <c r="P765" s="9">
        <v>2</v>
      </c>
      <c r="Q765" s="4" t="e" cm="1">
        <f t="array" ref="Q765">INDEX($P$264:$U$271, INT((ROW(A492)-1)/6)+1, MOD(ROW(A492)-1,6)+1)</f>
        <v>#REF!</v>
      </c>
      <c r="R765" t="e">
        <f ca="1"/>
        <v>#VALUE!</v>
      </c>
      <c r="S765" t="e">
        <f ca="1"/>
        <v>#VALUE!</v>
      </c>
      <c r="T765" t="e">
        <f ca="1"/>
        <v>#VALUE!</v>
      </c>
      <c r="W765" s="9">
        <v>12</v>
      </c>
      <c r="X765" s="4" t="e">
        <f t="shared" si="59"/>
        <v>#REF!</v>
      </c>
      <c r="AH765" s="9">
        <v>12</v>
      </c>
      <c r="AI765" s="4" t="e" cm="1">
        <f t="array" ref="AI765">MID(INDEX($AF$265:$AF$272,INT((ROW(A502)-1)/4)+1),MOD(ROW(A502)-1,4)+1,1)</f>
        <v>#REF!</v>
      </c>
      <c r="AK765" s="9">
        <v>12</v>
      </c>
      <c r="AL765" s="4" t="e" cm="1">
        <f t="array" ref="AL765">INDEX($AI$264:$AI$295, INDEX($H$15:$O$18, INT((ROW(A502)-1)/8)+1, MOD(ROW(A502)-1,8)+1))</f>
        <v>#REF!</v>
      </c>
      <c r="AN765" s="2" t="e">
        <f t="shared" ca="1" si="63"/>
        <v>#VALUE!</v>
      </c>
      <c r="AO765" s="2" t="e">
        <f t="shared" si="64"/>
        <v>#REF!</v>
      </c>
    </row>
    <row r="766" spans="2:41" x14ac:dyDescent="0.25">
      <c r="B766" s="2">
        <v>13</v>
      </c>
      <c r="C766" s="2">
        <v>1</v>
      </c>
      <c r="M766" s="9">
        <v>13</v>
      </c>
      <c r="N766" s="4" cm="1">
        <f t="array" ref="N766">INDEX($F$754:$K$761, INT((ROW(A13)-1)/6)+1, MOD(ROW(A565)-1,6)+1)</f>
        <v>1</v>
      </c>
      <c r="P766" s="9">
        <v>3</v>
      </c>
      <c r="Q766" s="4" t="e" cm="1">
        <f t="array" ref="Q766">INDEX($P$264:$U$271, INT((ROW(A493)-1)/6)+1, MOD(ROW(A493)-1,6)+1)</f>
        <v>#REF!</v>
      </c>
      <c r="R766" t="e">
        <f ca="1"/>
        <v>#VALUE!</v>
      </c>
      <c r="S766" t="e">
        <f ca="1"/>
        <v>#VALUE!</v>
      </c>
      <c r="T766" t="e">
        <f ca="1"/>
        <v>#VALUE!</v>
      </c>
      <c r="W766" s="9">
        <v>13</v>
      </c>
      <c r="X766" s="4" t="e">
        <f t="shared" si="59"/>
        <v>#REF!</v>
      </c>
      <c r="AH766" s="9">
        <v>13</v>
      </c>
      <c r="AI766" s="4" t="e" cm="1">
        <f t="array" ref="AI766">MID(INDEX($AF$265:$AF$272,INT((ROW(A503)-1)/4)+1),MOD(ROW(A503)-1,4)+1,1)</f>
        <v>#REF!</v>
      </c>
      <c r="AK766" s="9">
        <v>13</v>
      </c>
      <c r="AL766" s="4" t="e" cm="1">
        <f t="array" ref="AL766">INDEX($AI$264:$AI$295, INDEX($H$15:$O$18, INT((ROW(A503)-1)/8)+1, MOD(ROW(A503)-1,8)+1))</f>
        <v>#REF!</v>
      </c>
      <c r="AN766" s="2" t="e">
        <f t="shared" ca="1" si="63"/>
        <v>#VALUE!</v>
      </c>
      <c r="AO766" s="2" t="e">
        <f t="shared" si="64"/>
        <v>#REF!</v>
      </c>
    </row>
    <row r="767" spans="2:41" x14ac:dyDescent="0.25">
      <c r="B767" s="2">
        <v>14</v>
      </c>
      <c r="C767" s="2">
        <v>0</v>
      </c>
      <c r="M767" s="9">
        <v>14</v>
      </c>
      <c r="N767" s="4" cm="1">
        <f t="array" ref="N767">INDEX($F$754:$K$761, INT((ROW(A14)-1)/6)+1, MOD(ROW(A566)-1,6)+1)</f>
        <v>1</v>
      </c>
      <c r="P767" s="9">
        <v>4</v>
      </c>
      <c r="Q767" s="4" t="e" cm="1">
        <f t="array" ref="Q767">INDEX($P$264:$U$271, INT((ROW(A494)-1)/6)+1, MOD(ROW(A494)-1,6)+1)</f>
        <v>#REF!</v>
      </c>
      <c r="R767" t="e">
        <f ca="1"/>
        <v>#VALUE!</v>
      </c>
      <c r="S767" t="e">
        <f ca="1"/>
        <v>#VALUE!</v>
      </c>
      <c r="T767" t="e">
        <f ca="1"/>
        <v>#VALUE!</v>
      </c>
      <c r="W767" s="9">
        <v>14</v>
      </c>
      <c r="X767" s="4" t="e">
        <f t="shared" si="59"/>
        <v>#REF!</v>
      </c>
      <c r="AH767" s="9">
        <v>14</v>
      </c>
      <c r="AI767" s="4" t="e" cm="1">
        <f t="array" ref="AI767">MID(INDEX($AF$265:$AF$272,INT((ROW(A504)-1)/4)+1),MOD(ROW(A504)-1,4)+1,1)</f>
        <v>#REF!</v>
      </c>
      <c r="AK767" s="9">
        <v>14</v>
      </c>
      <c r="AL767" s="4" t="e" cm="1">
        <f t="array" ref="AL767">INDEX($AI$264:$AI$295, INDEX($H$15:$O$18, INT((ROW(A504)-1)/8)+1, MOD(ROW(A504)-1,8)+1))</f>
        <v>#REF!</v>
      </c>
      <c r="AN767" s="2" t="e">
        <f t="shared" ca="1" si="63"/>
        <v>#VALUE!</v>
      </c>
      <c r="AO767" s="2" t="e">
        <f t="shared" si="64"/>
        <v>#REF!</v>
      </c>
    </row>
    <row r="768" spans="2:41" x14ac:dyDescent="0.25">
      <c r="B768" s="2">
        <v>15</v>
      </c>
      <c r="C768" s="2">
        <v>0</v>
      </c>
      <c r="M768" s="9">
        <v>15</v>
      </c>
      <c r="N768" s="4" cm="1">
        <f t="array" ref="N768">INDEX($F$754:$K$761, INT((ROW(A15)-1)/6)+1, MOD(ROW(A567)-1,6)+1)</f>
        <v>1</v>
      </c>
      <c r="P768" s="9">
        <v>5</v>
      </c>
      <c r="Q768" s="4" t="e" cm="1">
        <f t="array" ref="Q768">INDEX($P$264:$U$271, INT((ROW(A495)-1)/6)+1, MOD(ROW(A495)-1,6)+1)</f>
        <v>#REF!</v>
      </c>
      <c r="R768" t="e">
        <f ca="1"/>
        <v>#VALUE!</v>
      </c>
      <c r="S768" t="e">
        <f ca="1"/>
        <v>#VALUE!</v>
      </c>
      <c r="T768" t="e">
        <f ca="1"/>
        <v>#VALUE!</v>
      </c>
      <c r="W768" s="9">
        <v>15</v>
      </c>
      <c r="X768" s="4" t="e">
        <f t="shared" si="59"/>
        <v>#REF!</v>
      </c>
      <c r="AH768" s="9">
        <v>15</v>
      </c>
      <c r="AI768" s="4" t="e" cm="1">
        <f t="array" ref="AI768">MID(INDEX($AF$265:$AF$272,INT((ROW(A505)-1)/4)+1),MOD(ROW(A505)-1,4)+1,1)</f>
        <v>#REF!</v>
      </c>
      <c r="AK768" s="9">
        <v>15</v>
      </c>
      <c r="AL768" s="4" t="e" cm="1">
        <f t="array" ref="AL768">INDEX($AI$264:$AI$295, INDEX($H$15:$O$18, INT((ROW(A505)-1)/8)+1, MOD(ROW(A505)-1,8)+1))</f>
        <v>#REF!</v>
      </c>
      <c r="AN768" s="2" t="e">
        <f t="shared" ca="1" si="63"/>
        <v>#VALUE!</v>
      </c>
      <c r="AO768" s="2" t="e">
        <f t="shared" si="64"/>
        <v>#REF!</v>
      </c>
    </row>
    <row r="769" spans="2:41" x14ac:dyDescent="0.25">
      <c r="B769" s="2">
        <v>16</v>
      </c>
      <c r="C769" s="2">
        <v>0</v>
      </c>
      <c r="M769" s="11">
        <v>16</v>
      </c>
      <c r="N769" s="4" cm="1">
        <f t="array" ref="N769">INDEX($F$754:$K$761, INT((ROW(A16)-1)/6)+1, MOD(ROW(A568)-1,6)+1)</f>
        <v>1</v>
      </c>
      <c r="P769" s="9">
        <v>6</v>
      </c>
      <c r="Q769" s="4" t="e" cm="1">
        <f t="array" ref="Q769">INDEX($P$264:$U$271, INT((ROW(A496)-1)/6)+1, MOD(ROW(A496)-1,6)+1)</f>
        <v>#REF!</v>
      </c>
      <c r="R769" t="e">
        <f ca="1"/>
        <v>#VALUE!</v>
      </c>
      <c r="S769" t="e">
        <f ca="1"/>
        <v>#VALUE!</v>
      </c>
      <c r="T769" t="e">
        <f ca="1"/>
        <v>#VALUE!</v>
      </c>
      <c r="W769" s="11">
        <v>16</v>
      </c>
      <c r="X769" s="4" t="e">
        <f t="shared" si="59"/>
        <v>#REF!</v>
      </c>
      <c r="AH769" s="11">
        <v>16</v>
      </c>
      <c r="AI769" s="4" t="e" cm="1">
        <f t="array" ref="AI769">MID(INDEX($AF$265:$AF$272,INT((ROW(A506)-1)/4)+1),MOD(ROW(A506)-1,4)+1,1)</f>
        <v>#REF!</v>
      </c>
      <c r="AK769" s="11">
        <v>16</v>
      </c>
      <c r="AL769" s="4" t="e" cm="1">
        <f t="array" ref="AL769">INDEX($AI$264:$AI$295, INDEX($H$15:$O$18, INT((ROW(A506)-1)/8)+1, MOD(ROW(A506)-1,8)+1))</f>
        <v>#REF!</v>
      </c>
      <c r="AN769" s="2" t="e">
        <f t="shared" ca="1" si="63"/>
        <v>#VALUE!</v>
      </c>
      <c r="AO769" s="2" t="e">
        <f t="shared" si="64"/>
        <v>#REF!</v>
      </c>
    </row>
    <row r="770" spans="2:41" x14ac:dyDescent="0.25">
      <c r="B770" s="2">
        <v>17</v>
      </c>
      <c r="C770" s="2">
        <v>0</v>
      </c>
      <c r="M770" s="7">
        <v>17</v>
      </c>
      <c r="N770" s="4" cm="1">
        <f t="array" ref="N770">INDEX($F$754:$K$761, INT((ROW(A17)-1)/6)+1, MOD(ROW(A569)-1,6)+1)</f>
        <v>1</v>
      </c>
      <c r="P770" s="9">
        <v>7</v>
      </c>
      <c r="Q770" s="4" t="e" cm="1">
        <f t="array" ref="Q770">INDEX($P$264:$U$271, INT((ROW(A497)-1)/6)+1, MOD(ROW(A497)-1,6)+1)</f>
        <v>#REF!</v>
      </c>
      <c r="R770" t="e">
        <f ca="1"/>
        <v>#VALUE!</v>
      </c>
      <c r="S770" t="e">
        <f ca="1"/>
        <v>#VALUE!</v>
      </c>
      <c r="T770" t="e">
        <f ca="1"/>
        <v>#VALUE!</v>
      </c>
      <c r="W770" s="7">
        <v>17</v>
      </c>
      <c r="X770" s="4" t="e">
        <f t="shared" si="59"/>
        <v>#REF!</v>
      </c>
      <c r="AH770" s="7">
        <v>17</v>
      </c>
      <c r="AI770" s="4" t="e" cm="1">
        <f t="array" ref="AI770">MID(INDEX($AF$265:$AF$272,INT((ROW(A507)-1)/4)+1),MOD(ROW(A507)-1,4)+1,1)</f>
        <v>#REF!</v>
      </c>
      <c r="AK770" s="7">
        <v>17</v>
      </c>
      <c r="AL770" s="4" t="e" cm="1">
        <f t="array" ref="AL770">INDEX($AI$264:$AI$295, INDEX($H$15:$O$18, INT((ROW(A507)-1)/8)+1, MOD(ROW(A507)-1,8)+1))</f>
        <v>#REF!</v>
      </c>
      <c r="AN770" s="2" t="e">
        <f t="shared" ca="1" si="63"/>
        <v>#VALUE!</v>
      </c>
      <c r="AO770" s="2" t="e">
        <f t="shared" si="64"/>
        <v>#REF!</v>
      </c>
    </row>
    <row r="771" spans="2:41" x14ac:dyDescent="0.25">
      <c r="B771" s="2">
        <v>18</v>
      </c>
      <c r="C771" s="2">
        <v>1</v>
      </c>
      <c r="M771" s="9">
        <v>18</v>
      </c>
      <c r="N771" s="4" cm="1">
        <f t="array" ref="N771">INDEX($F$754:$K$761, INT((ROW(A18)-1)/6)+1, MOD(ROW(A570)-1,6)+1)</f>
        <v>1</v>
      </c>
      <c r="P771" s="11">
        <v>8</v>
      </c>
      <c r="Q771" s="4" t="e" cm="1">
        <f t="array" ref="Q771">INDEX($P$264:$U$271, INT((ROW(A498)-1)/6)+1, MOD(ROW(A498)-1,6)+1)</f>
        <v>#REF!</v>
      </c>
      <c r="R771" t="e">
        <f ca="1"/>
        <v>#VALUE!</v>
      </c>
      <c r="S771" t="e">
        <f ca="1"/>
        <v>#VALUE!</v>
      </c>
      <c r="T771" t="e">
        <f ca="1"/>
        <v>#VALUE!</v>
      </c>
      <c r="W771" s="9">
        <v>18</v>
      </c>
      <c r="X771" s="4" t="e">
        <f t="shared" si="59"/>
        <v>#REF!</v>
      </c>
      <c r="AH771" s="9">
        <v>18</v>
      </c>
      <c r="AI771" s="4" t="e" cm="1">
        <f t="array" ref="AI771">MID(INDEX($AF$265:$AF$272,INT((ROW(A508)-1)/4)+1),MOD(ROW(A508)-1,4)+1,1)</f>
        <v>#REF!</v>
      </c>
      <c r="AK771" s="9">
        <v>18</v>
      </c>
      <c r="AL771" s="4" t="e" cm="1">
        <f t="array" ref="AL771">INDEX($AI$264:$AI$295, INDEX($H$15:$O$18, INT((ROW(A508)-1)/8)+1, MOD(ROW(A508)-1,8)+1))</f>
        <v>#REF!</v>
      </c>
      <c r="AN771" s="2" t="e">
        <f t="shared" ca="1" si="63"/>
        <v>#VALUE!</v>
      </c>
      <c r="AO771" s="2" t="e">
        <f t="shared" si="64"/>
        <v>#REF!</v>
      </c>
    </row>
    <row r="772" spans="2:41" x14ac:dyDescent="0.25">
      <c r="B772" s="2">
        <v>19</v>
      </c>
      <c r="C772" s="2">
        <v>1</v>
      </c>
      <c r="M772" s="9">
        <v>19</v>
      </c>
      <c r="N772" s="4" cm="1">
        <f t="array" ref="N772">INDEX($F$754:$K$761, INT((ROW(A19)-1)/6)+1, MOD(ROW(A571)-1,6)+1)</f>
        <v>0</v>
      </c>
      <c r="P772" s="7">
        <v>9</v>
      </c>
      <c r="Q772" s="4" t="e" cm="1">
        <f t="array" ref="Q772">INDEX($P$264:$U$271, INT((ROW(A499)-1)/6)+1, MOD(ROW(A499)-1,6)+1)</f>
        <v>#REF!</v>
      </c>
      <c r="R772" t="e">
        <f ca="1"/>
        <v>#VALUE!</v>
      </c>
      <c r="S772" t="e">
        <f ca="1"/>
        <v>#VALUE!</v>
      </c>
      <c r="T772" t="e">
        <f ca="1"/>
        <v>#VALUE!</v>
      </c>
      <c r="W772" s="9">
        <v>19</v>
      </c>
      <c r="X772" s="4" t="e">
        <f t="shared" si="59"/>
        <v>#REF!</v>
      </c>
      <c r="AH772" s="9">
        <v>19</v>
      </c>
      <c r="AI772" s="4" t="e" cm="1">
        <f t="array" ref="AI772">MID(INDEX($AF$265:$AF$272,INT((ROW(A509)-1)/4)+1),MOD(ROW(A509)-1,4)+1,1)</f>
        <v>#REF!</v>
      </c>
      <c r="AK772" s="9">
        <v>19</v>
      </c>
      <c r="AL772" s="4" t="e" cm="1">
        <f t="array" ref="AL772">INDEX($AI$264:$AI$295, INDEX($H$15:$O$18, INT((ROW(A509)-1)/8)+1, MOD(ROW(A509)-1,8)+1))</f>
        <v>#REF!</v>
      </c>
      <c r="AN772" s="2" t="e">
        <f t="shared" ca="1" si="63"/>
        <v>#VALUE!</v>
      </c>
      <c r="AO772" s="2" t="e">
        <f t="shared" si="64"/>
        <v>#REF!</v>
      </c>
    </row>
    <row r="773" spans="2:41" x14ac:dyDescent="0.25">
      <c r="B773" s="2">
        <v>20</v>
      </c>
      <c r="C773" s="2">
        <v>0</v>
      </c>
      <c r="M773" s="9">
        <v>20</v>
      </c>
      <c r="N773" s="4" cm="1">
        <f t="array" ref="N773">INDEX($F$754:$K$761, INT((ROW(A20)-1)/6)+1, MOD(ROW(A572)-1,6)+1)</f>
        <v>0</v>
      </c>
      <c r="P773" s="9">
        <v>10</v>
      </c>
      <c r="Q773" s="4" t="e" cm="1">
        <f t="array" ref="Q773">INDEX($P$264:$U$271, INT((ROW(A500)-1)/6)+1, MOD(ROW(A500)-1,6)+1)</f>
        <v>#REF!</v>
      </c>
      <c r="R773" t="e">
        <f ca="1"/>
        <v>#VALUE!</v>
      </c>
      <c r="S773" t="e">
        <f ca="1"/>
        <v>#VALUE!</v>
      </c>
      <c r="T773" t="e">
        <f ca="1"/>
        <v>#VALUE!</v>
      </c>
      <c r="W773" s="9">
        <v>20</v>
      </c>
      <c r="X773" s="4" t="e">
        <f t="shared" si="59"/>
        <v>#REF!</v>
      </c>
      <c r="AH773" s="9">
        <v>20</v>
      </c>
      <c r="AI773" s="4" t="e" cm="1">
        <f t="array" ref="AI773">MID(INDEX($AF$265:$AF$272,INT((ROW(A510)-1)/4)+1),MOD(ROW(A510)-1,4)+1,1)</f>
        <v>#REF!</v>
      </c>
      <c r="AK773" s="9">
        <v>20</v>
      </c>
      <c r="AL773" s="4" t="e" cm="1">
        <f t="array" ref="AL773">INDEX($AI$264:$AI$295, INDEX($H$15:$O$18, INT((ROW(A510)-1)/8)+1, MOD(ROW(A510)-1,8)+1))</f>
        <v>#REF!</v>
      </c>
      <c r="AN773" s="2" t="e">
        <f t="shared" ca="1" si="63"/>
        <v>#VALUE!</v>
      </c>
      <c r="AO773" s="2" t="e">
        <f t="shared" si="64"/>
        <v>#REF!</v>
      </c>
    </row>
    <row r="774" spans="2:41" x14ac:dyDescent="0.25">
      <c r="B774" s="2">
        <v>21</v>
      </c>
      <c r="C774" s="2">
        <v>0</v>
      </c>
      <c r="M774" s="9">
        <v>21</v>
      </c>
      <c r="N774" s="4" cm="1">
        <f t="array" ref="N774">INDEX($F$754:$K$761, INT((ROW(A21)-1)/6)+1, MOD(ROW(A573)-1,6)+1)</f>
        <v>0</v>
      </c>
      <c r="P774" s="9">
        <v>11</v>
      </c>
      <c r="Q774" s="4" t="e" cm="1">
        <f t="array" ref="Q774">INDEX($P$264:$U$271, INT((ROW(A501)-1)/6)+1, MOD(ROW(A501)-1,6)+1)</f>
        <v>#REF!</v>
      </c>
      <c r="R774" t="e">
        <f ca="1"/>
        <v>#VALUE!</v>
      </c>
      <c r="S774" t="e">
        <f ca="1"/>
        <v>#VALUE!</v>
      </c>
      <c r="T774" t="e">
        <f ca="1"/>
        <v>#VALUE!</v>
      </c>
      <c r="W774" s="9">
        <v>21</v>
      </c>
      <c r="X774" s="4" t="e">
        <f t="shared" si="59"/>
        <v>#REF!</v>
      </c>
      <c r="AH774" s="9">
        <v>21</v>
      </c>
      <c r="AI774" s="4" t="e" cm="1">
        <f t="array" ref="AI774">MID(INDEX($AF$265:$AF$272,INT((ROW(A511)-1)/4)+1),MOD(ROW(A511)-1,4)+1,1)</f>
        <v>#REF!</v>
      </c>
      <c r="AK774" s="9">
        <v>21</v>
      </c>
      <c r="AL774" s="4" t="e" cm="1">
        <f t="array" ref="AL774">INDEX($AI$264:$AI$295, INDEX($H$15:$O$18, INT((ROW(A511)-1)/8)+1, MOD(ROW(A511)-1,8)+1))</f>
        <v>#REF!</v>
      </c>
      <c r="AN774" s="2" t="e">
        <f t="shared" ca="1" si="63"/>
        <v>#VALUE!</v>
      </c>
      <c r="AO774" s="2" t="e">
        <f t="shared" si="64"/>
        <v>#REF!</v>
      </c>
    </row>
    <row r="775" spans="2:41" x14ac:dyDescent="0.25">
      <c r="B775" s="2">
        <v>22</v>
      </c>
      <c r="C775" s="2">
        <v>1</v>
      </c>
      <c r="M775" s="9">
        <v>22</v>
      </c>
      <c r="N775" s="4" cm="1">
        <f t="array" ref="N775">INDEX($F$754:$K$761, INT((ROW(A22)-1)/6)+1, MOD(ROW(A574)-1,6)+1)</f>
        <v>0</v>
      </c>
      <c r="P775" s="9">
        <v>12</v>
      </c>
      <c r="Q775" s="4" t="e" cm="1">
        <f t="array" ref="Q775">INDEX($P$264:$U$271, INT((ROW(A502)-1)/6)+1, MOD(ROW(A502)-1,6)+1)</f>
        <v>#REF!</v>
      </c>
      <c r="R775" t="e">
        <f ca="1"/>
        <v>#VALUE!</v>
      </c>
      <c r="S775" t="e">
        <f ca="1"/>
        <v>#VALUE!</v>
      </c>
      <c r="T775" t="e">
        <f ca="1"/>
        <v>#VALUE!</v>
      </c>
      <c r="W775" s="9">
        <v>22</v>
      </c>
      <c r="X775" s="4" t="e">
        <f t="shared" si="59"/>
        <v>#REF!</v>
      </c>
      <c r="AH775" s="9">
        <v>22</v>
      </c>
      <c r="AI775" s="4" t="e" cm="1">
        <f t="array" ref="AI775">MID(INDEX($AF$265:$AF$272,INT((ROW(A512)-1)/4)+1),MOD(ROW(A512)-1,4)+1,1)</f>
        <v>#REF!</v>
      </c>
      <c r="AK775" s="9">
        <v>22</v>
      </c>
      <c r="AL775" s="4" t="e" cm="1">
        <f t="array" ref="AL775">INDEX($AI$264:$AI$295, INDEX($H$15:$O$18, INT((ROW(A512)-1)/8)+1, MOD(ROW(A512)-1,8)+1))</f>
        <v>#REF!</v>
      </c>
      <c r="AN775" s="2" t="e">
        <f t="shared" ca="1" si="63"/>
        <v>#VALUE!</v>
      </c>
      <c r="AO775" s="2" t="e">
        <f t="shared" si="64"/>
        <v>#REF!</v>
      </c>
    </row>
    <row r="776" spans="2:41" x14ac:dyDescent="0.25">
      <c r="B776" s="2">
        <v>23</v>
      </c>
      <c r="C776" s="2">
        <v>1</v>
      </c>
      <c r="M776" s="9">
        <v>23</v>
      </c>
      <c r="N776" s="4" cm="1">
        <f t="array" ref="N776">INDEX($F$754:$K$761, INT((ROW(A23)-1)/6)+1, MOD(ROW(A575)-1,6)+1)</f>
        <v>1</v>
      </c>
      <c r="P776" s="9">
        <v>13</v>
      </c>
      <c r="Q776" s="4" t="e" cm="1">
        <f t="array" ref="Q776">INDEX($P$264:$U$271, INT((ROW(A503)-1)/6)+1, MOD(ROW(A503)-1,6)+1)</f>
        <v>#REF!</v>
      </c>
      <c r="R776" t="e">
        <f ca="1"/>
        <v>#VALUE!</v>
      </c>
      <c r="S776" t="e">
        <f ca="1"/>
        <v>#VALUE!</v>
      </c>
      <c r="T776" t="e">
        <f ca="1"/>
        <v>#VALUE!</v>
      </c>
      <c r="W776" s="9">
        <v>23</v>
      </c>
      <c r="X776" s="4" t="e">
        <f t="shared" si="59"/>
        <v>#REF!</v>
      </c>
      <c r="AH776" s="9">
        <v>23</v>
      </c>
      <c r="AI776" s="4" t="e" cm="1">
        <f t="array" ref="AI776">MID(INDEX($AF$265:$AF$272,INT((ROW(A513)-1)/4)+1),MOD(ROW(A513)-1,4)+1,1)</f>
        <v>#REF!</v>
      </c>
      <c r="AK776" s="9">
        <v>23</v>
      </c>
      <c r="AL776" s="4" t="e" cm="1">
        <f t="array" ref="AL776">INDEX($AI$264:$AI$295, INDEX($H$15:$O$18, INT((ROW(A513)-1)/8)+1, MOD(ROW(A513)-1,8)+1))</f>
        <v>#REF!</v>
      </c>
      <c r="AN776" s="2" t="e">
        <f t="shared" ca="1" si="63"/>
        <v>#VALUE!</v>
      </c>
      <c r="AO776" s="2" t="e">
        <f t="shared" si="64"/>
        <v>#REF!</v>
      </c>
    </row>
    <row r="777" spans="2:41" x14ac:dyDescent="0.25">
      <c r="B777" s="2">
        <v>24</v>
      </c>
      <c r="C777" s="2">
        <v>0</v>
      </c>
      <c r="M777" s="11">
        <v>24</v>
      </c>
      <c r="N777" s="4" cm="1">
        <f t="array" ref="N777">INDEX($F$754:$K$761, INT((ROW(A24)-1)/6)+1, MOD(ROW(A576)-1,6)+1)</f>
        <v>1</v>
      </c>
      <c r="P777" s="9">
        <v>14</v>
      </c>
      <c r="Q777" s="4" t="e" cm="1">
        <f t="array" ref="Q777">INDEX($P$264:$U$271, INT((ROW(A504)-1)/6)+1, MOD(ROW(A504)-1,6)+1)</f>
        <v>#REF!</v>
      </c>
      <c r="R777" t="e">
        <f ca="1"/>
        <v>#VALUE!</v>
      </c>
      <c r="S777" t="e">
        <f ca="1"/>
        <v>#VALUE!</v>
      </c>
      <c r="T777" t="e">
        <f ca="1"/>
        <v>#VALUE!</v>
      </c>
      <c r="W777" s="11">
        <v>24</v>
      </c>
      <c r="X777" s="4" t="e">
        <f t="shared" si="59"/>
        <v>#REF!</v>
      </c>
      <c r="AH777" s="11">
        <v>24</v>
      </c>
      <c r="AI777" s="4" t="e" cm="1">
        <f t="array" ref="AI777">MID(INDEX($AF$265:$AF$272,INT((ROW(A514)-1)/4)+1),MOD(ROW(A514)-1,4)+1,1)</f>
        <v>#REF!</v>
      </c>
      <c r="AK777" s="11">
        <v>24</v>
      </c>
      <c r="AL777" s="4" t="e" cm="1">
        <f t="array" ref="AL777">INDEX($AI$264:$AI$295, INDEX($H$15:$O$18, INT((ROW(A514)-1)/8)+1, MOD(ROW(A514)-1,8)+1))</f>
        <v>#REF!</v>
      </c>
      <c r="AN777" s="2" t="e">
        <f t="shared" ca="1" si="63"/>
        <v>#VALUE!</v>
      </c>
      <c r="AO777" s="2" t="e">
        <f t="shared" si="64"/>
        <v>#REF!</v>
      </c>
    </row>
    <row r="778" spans="2:41" x14ac:dyDescent="0.25">
      <c r="B778" s="2">
        <v>25</v>
      </c>
      <c r="C778" s="2">
        <v>0</v>
      </c>
      <c r="M778" s="7">
        <v>25</v>
      </c>
      <c r="N778" s="4" cm="1">
        <f t="array" ref="N778">INDEX($F$754:$K$761, INT((ROW(A25)-1)/6)+1, MOD(ROW(A577)-1,6)+1)</f>
        <v>0</v>
      </c>
      <c r="P778" s="9">
        <v>15</v>
      </c>
      <c r="Q778" s="4" t="e" cm="1">
        <f t="array" ref="Q778">INDEX($P$264:$U$271, INT((ROW(A505)-1)/6)+1, MOD(ROW(A505)-1,6)+1)</f>
        <v>#REF!</v>
      </c>
      <c r="R778" t="e">
        <f ca="1"/>
        <v>#VALUE!</v>
      </c>
      <c r="S778" t="e">
        <f ca="1"/>
        <v>#VALUE!</v>
      </c>
      <c r="T778" t="e">
        <f ca="1"/>
        <v>#VALUE!</v>
      </c>
      <c r="W778" s="7">
        <v>25</v>
      </c>
      <c r="X778" s="4" t="e">
        <f t="shared" si="59"/>
        <v>#REF!</v>
      </c>
      <c r="AH778" s="7">
        <v>25</v>
      </c>
      <c r="AI778" s="4" t="e" cm="1">
        <f t="array" ref="AI778">MID(INDEX($AF$265:$AF$272,INT((ROW(A515)-1)/4)+1),MOD(ROW(A515)-1,4)+1,1)</f>
        <v>#REF!</v>
      </c>
      <c r="AK778" s="7">
        <v>25</v>
      </c>
      <c r="AL778" s="4" t="e" cm="1">
        <f t="array" ref="AL778">INDEX($AI$264:$AI$295, INDEX($H$15:$O$18, INT((ROW(A515)-1)/8)+1, MOD(ROW(A515)-1,8)+1))</f>
        <v>#REF!</v>
      </c>
      <c r="AN778" s="2" t="e">
        <f t="shared" ca="1" si="63"/>
        <v>#VALUE!</v>
      </c>
      <c r="AO778" s="2" t="e">
        <f t="shared" si="64"/>
        <v>#REF!</v>
      </c>
    </row>
    <row r="779" spans="2:41" x14ac:dyDescent="0.25">
      <c r="B779" s="2">
        <v>26</v>
      </c>
      <c r="C779" s="2">
        <v>1</v>
      </c>
      <c r="M779" s="9">
        <v>26</v>
      </c>
      <c r="N779" s="4" cm="1">
        <f t="array" ref="N779">INDEX($F$754:$K$761, INT((ROW(A26)-1)/6)+1, MOD(ROW(A578)-1,6)+1)</f>
        <v>0</v>
      </c>
      <c r="P779" s="11">
        <v>16</v>
      </c>
      <c r="Q779" s="4" t="e" cm="1">
        <f t="array" ref="Q779">INDEX($P$264:$U$271, INT((ROW(A506)-1)/6)+1, MOD(ROW(A506)-1,6)+1)</f>
        <v>#REF!</v>
      </c>
      <c r="R779" t="e">
        <f ca="1"/>
        <v>#VALUE!</v>
      </c>
      <c r="S779" t="e">
        <f ca="1"/>
        <v>#VALUE!</v>
      </c>
      <c r="T779" t="e">
        <f ca="1"/>
        <v>#VALUE!</v>
      </c>
      <c r="W779" s="9">
        <v>26</v>
      </c>
      <c r="X779" s="4" t="e">
        <f t="shared" si="59"/>
        <v>#REF!</v>
      </c>
      <c r="AH779" s="9">
        <v>26</v>
      </c>
      <c r="AI779" s="4" t="e" cm="1">
        <f t="array" ref="AI779">MID(INDEX($AF$265:$AF$272,INT((ROW(A516)-1)/4)+1),MOD(ROW(A516)-1,4)+1,1)</f>
        <v>#REF!</v>
      </c>
      <c r="AK779" s="9">
        <v>26</v>
      </c>
      <c r="AL779" s="4" t="e" cm="1">
        <f t="array" ref="AL779">INDEX($AI$264:$AI$295, INDEX($H$15:$O$18, INT((ROW(A516)-1)/8)+1, MOD(ROW(A516)-1,8)+1))</f>
        <v>#REF!</v>
      </c>
      <c r="AN779" s="2" t="e">
        <f t="shared" ca="1" si="63"/>
        <v>#VALUE!</v>
      </c>
      <c r="AO779" s="2" t="e">
        <f t="shared" si="64"/>
        <v>#REF!</v>
      </c>
    </row>
    <row r="780" spans="2:41" x14ac:dyDescent="0.25">
      <c r="B780" s="2">
        <v>27</v>
      </c>
      <c r="C780" s="2">
        <v>0</v>
      </c>
      <c r="M780" s="9">
        <v>27</v>
      </c>
      <c r="N780" s="4" cm="1">
        <f t="array" ref="N780">INDEX($F$754:$K$761, INT((ROW(A27)-1)/6)+1, MOD(ROW(A579)-1,6)+1)</f>
        <v>0</v>
      </c>
      <c r="P780" s="7">
        <v>17</v>
      </c>
      <c r="Q780" s="4" t="e" cm="1">
        <f t="array" ref="Q780">INDEX($P$264:$U$271, INT((ROW(A507)-1)/6)+1, MOD(ROW(A507)-1,6)+1)</f>
        <v>#REF!</v>
      </c>
      <c r="R780" t="e">
        <f ca="1"/>
        <v>#VALUE!</v>
      </c>
      <c r="S780" t="e">
        <f ca="1"/>
        <v>#VALUE!</v>
      </c>
      <c r="T780" t="e">
        <f ca="1"/>
        <v>#VALUE!</v>
      </c>
      <c r="W780" s="9">
        <v>27</v>
      </c>
      <c r="X780" s="4" t="e">
        <f t="shared" si="59"/>
        <v>#REF!</v>
      </c>
      <c r="AH780" s="9">
        <v>27</v>
      </c>
      <c r="AI780" s="4" t="e" cm="1">
        <f t="array" ref="AI780">MID(INDEX($AF$265:$AF$272,INT((ROW(A517)-1)/4)+1),MOD(ROW(A517)-1,4)+1,1)</f>
        <v>#REF!</v>
      </c>
      <c r="AK780" s="9">
        <v>27</v>
      </c>
      <c r="AL780" s="4" t="e" cm="1">
        <f t="array" ref="AL780">INDEX($AI$264:$AI$295, INDEX($H$15:$O$18, INT((ROW(A517)-1)/8)+1, MOD(ROW(A517)-1,8)+1))</f>
        <v>#REF!</v>
      </c>
      <c r="AN780" s="2" t="e">
        <f t="shared" ca="1" si="63"/>
        <v>#VALUE!</v>
      </c>
      <c r="AO780" s="2" t="e">
        <f t="shared" si="64"/>
        <v>#REF!</v>
      </c>
    </row>
    <row r="781" spans="2:41" x14ac:dyDescent="0.25">
      <c r="B781" s="2">
        <v>28</v>
      </c>
      <c r="C781" s="2">
        <v>1</v>
      </c>
      <c r="M781" s="9">
        <v>28</v>
      </c>
      <c r="N781" s="4" cm="1">
        <f t="array" ref="N781">INDEX($F$754:$K$761, INT((ROW(A28)-1)/6)+1, MOD(ROW(A580)-1,6)+1)</f>
        <v>0</v>
      </c>
      <c r="P781" s="9">
        <v>18</v>
      </c>
      <c r="Q781" s="4" t="e" cm="1">
        <f t="array" ref="Q781">INDEX($P$264:$U$271, INT((ROW(A508)-1)/6)+1, MOD(ROW(A508)-1,6)+1)</f>
        <v>#REF!</v>
      </c>
      <c r="R781" t="e">
        <f ca="1"/>
        <v>#VALUE!</v>
      </c>
      <c r="S781" t="e">
        <f ca="1"/>
        <v>#VALUE!</v>
      </c>
      <c r="T781" t="e">
        <f ca="1"/>
        <v>#VALUE!</v>
      </c>
      <c r="W781" s="9">
        <v>28</v>
      </c>
      <c r="X781" s="4" t="e">
        <f t="shared" si="59"/>
        <v>#REF!</v>
      </c>
      <c r="AH781" s="9">
        <v>28</v>
      </c>
      <c r="AI781" s="4" t="e" cm="1">
        <f t="array" ref="AI781">MID(INDEX($AF$265:$AF$272,INT((ROW(A518)-1)/4)+1),MOD(ROW(A518)-1,4)+1,1)</f>
        <v>#REF!</v>
      </c>
      <c r="AK781" s="9">
        <v>28</v>
      </c>
      <c r="AL781" s="4" t="e" cm="1">
        <f t="array" ref="AL781">INDEX($AI$264:$AI$295, INDEX($H$15:$O$18, INT((ROW(A518)-1)/8)+1, MOD(ROW(A518)-1,8)+1))</f>
        <v>#REF!</v>
      </c>
      <c r="AN781" s="2" t="e">
        <f t="shared" ca="1" si="63"/>
        <v>#VALUE!</v>
      </c>
      <c r="AO781" s="2" t="e">
        <f t="shared" si="64"/>
        <v>#REF!</v>
      </c>
    </row>
    <row r="782" spans="2:41" x14ac:dyDescent="0.25">
      <c r="B782" s="2">
        <v>29</v>
      </c>
      <c r="C782" s="2">
        <v>1</v>
      </c>
      <c r="M782" s="9">
        <v>29</v>
      </c>
      <c r="N782" s="4" cm="1">
        <f t="array" ref="N782">INDEX($F$754:$K$761, INT((ROW(A29)-1)/6)+1, MOD(ROW(A581)-1,6)+1)</f>
        <v>1</v>
      </c>
      <c r="P782" s="9">
        <v>19</v>
      </c>
      <c r="Q782" s="4" t="e" cm="1">
        <f t="array" ref="Q782">INDEX($P$264:$U$271, INT((ROW(A509)-1)/6)+1, MOD(ROW(A509)-1,6)+1)</f>
        <v>#REF!</v>
      </c>
      <c r="R782" t="e">
        <f ca="1"/>
        <v>#VALUE!</v>
      </c>
      <c r="S782" t="e">
        <f ca="1"/>
        <v>#VALUE!</v>
      </c>
      <c r="T782" t="e">
        <f ca="1"/>
        <v>#VALUE!</v>
      </c>
      <c r="W782" s="9">
        <v>29</v>
      </c>
      <c r="X782" s="4" t="e">
        <f t="shared" si="59"/>
        <v>#REF!</v>
      </c>
      <c r="AH782" s="9">
        <v>29</v>
      </c>
      <c r="AI782" s="4" t="e" cm="1">
        <f t="array" ref="AI782">MID(INDEX($AF$265:$AF$272,INT((ROW(A519)-1)/4)+1),MOD(ROW(A519)-1,4)+1,1)</f>
        <v>#REF!</v>
      </c>
      <c r="AK782" s="9">
        <v>29</v>
      </c>
      <c r="AL782" s="4" t="e" cm="1">
        <f t="array" ref="AL782">INDEX($AI$264:$AI$295, INDEX($H$15:$O$18, INT((ROW(A519)-1)/8)+1, MOD(ROW(A519)-1,8)+1))</f>
        <v>#REF!</v>
      </c>
      <c r="AN782" s="2" t="e">
        <f t="shared" ca="1" si="63"/>
        <v>#VALUE!</v>
      </c>
      <c r="AO782" s="2" t="e">
        <f t="shared" si="64"/>
        <v>#REF!</v>
      </c>
    </row>
    <row r="783" spans="2:41" x14ac:dyDescent="0.25">
      <c r="B783" s="2">
        <v>30</v>
      </c>
      <c r="C783" s="2">
        <v>0</v>
      </c>
      <c r="M783" s="9">
        <v>30</v>
      </c>
      <c r="N783" s="4" cm="1">
        <f t="array" ref="N783">INDEX($F$754:$K$761, INT((ROW(A30)-1)/6)+1, MOD(ROW(A582)-1,6)+1)</f>
        <v>1</v>
      </c>
      <c r="P783" s="9">
        <v>20</v>
      </c>
      <c r="Q783" s="4" t="e" cm="1">
        <f t="array" ref="Q783">INDEX($P$264:$U$271, INT((ROW(A510)-1)/6)+1, MOD(ROW(A510)-1,6)+1)</f>
        <v>#REF!</v>
      </c>
      <c r="R783" t="e">
        <f ca="1"/>
        <v>#VALUE!</v>
      </c>
      <c r="S783" t="e">
        <f ca="1"/>
        <v>#VALUE!</v>
      </c>
      <c r="T783" t="e">
        <f ca="1"/>
        <v>#VALUE!</v>
      </c>
      <c r="W783" s="9">
        <v>30</v>
      </c>
      <c r="X783" s="4" t="e">
        <f t="shared" si="59"/>
        <v>#REF!</v>
      </c>
      <c r="AH783" s="9">
        <v>30</v>
      </c>
      <c r="AI783" s="4" t="e" cm="1">
        <f t="array" ref="AI783">MID(INDEX($AF$265:$AF$272,INT((ROW(A520)-1)/4)+1),MOD(ROW(A520)-1,4)+1,1)</f>
        <v>#REF!</v>
      </c>
      <c r="AK783" s="9">
        <v>30</v>
      </c>
      <c r="AL783" s="4" t="e" cm="1">
        <f t="array" ref="AL783">INDEX($AI$264:$AI$295, INDEX($H$15:$O$18, INT((ROW(A520)-1)/8)+1, MOD(ROW(A520)-1,8)+1))</f>
        <v>#REF!</v>
      </c>
      <c r="AN783" s="2" t="e">
        <f t="shared" ca="1" si="63"/>
        <v>#VALUE!</v>
      </c>
      <c r="AO783" s="2" t="e">
        <f t="shared" si="64"/>
        <v>#REF!</v>
      </c>
    </row>
    <row r="784" spans="2:41" x14ac:dyDescent="0.25">
      <c r="B784" s="2">
        <v>31</v>
      </c>
      <c r="C784" s="2">
        <v>0</v>
      </c>
      <c r="M784" s="9">
        <v>31</v>
      </c>
      <c r="N784" s="4" cm="1">
        <f t="array" ref="N784">INDEX($F$754:$K$761, INT((ROW(A31)-1)/6)+1, MOD(ROW(A583)-1,6)+1)</f>
        <v>0</v>
      </c>
      <c r="P784" s="9">
        <v>21</v>
      </c>
      <c r="Q784" s="4" t="e" cm="1">
        <f t="array" ref="Q784">INDEX($P$264:$U$271, INT((ROW(A511)-1)/6)+1, MOD(ROW(A511)-1,6)+1)</f>
        <v>#REF!</v>
      </c>
      <c r="R784" t="e">
        <f ca="1"/>
        <v>#VALUE!</v>
      </c>
      <c r="S784" t="e">
        <f ca="1"/>
        <v>#VALUE!</v>
      </c>
      <c r="T784" t="e">
        <f ca="1"/>
        <v>#VALUE!</v>
      </c>
      <c r="W784" s="9">
        <v>31</v>
      </c>
      <c r="X784" s="4" t="e">
        <f t="shared" si="59"/>
        <v>#REF!</v>
      </c>
      <c r="AH784" s="9">
        <v>31</v>
      </c>
      <c r="AI784" s="4" t="e" cm="1">
        <f t="array" ref="AI784">MID(INDEX($AF$265:$AF$272,INT((ROW(A521)-1)/4)+1),MOD(ROW(A521)-1,4)+1,1)</f>
        <v>#REF!</v>
      </c>
      <c r="AK784" s="9">
        <v>31</v>
      </c>
      <c r="AL784" s="4" t="e" cm="1">
        <f t="array" ref="AL784">INDEX($AI$264:$AI$295, INDEX($H$15:$O$18, INT((ROW(A521)-1)/8)+1, MOD(ROW(A521)-1,8)+1))</f>
        <v>#REF!</v>
      </c>
      <c r="AN784" s="2" t="e">
        <f t="shared" ca="1" si="63"/>
        <v>#VALUE!</v>
      </c>
      <c r="AO784" s="2" t="e">
        <f t="shared" si="64"/>
        <v>#REF!</v>
      </c>
    </row>
    <row r="785" spans="2:41" x14ac:dyDescent="0.25">
      <c r="B785" s="2">
        <v>32</v>
      </c>
      <c r="C785" s="2">
        <v>0</v>
      </c>
      <c r="M785" s="11">
        <v>32</v>
      </c>
      <c r="N785" s="4" cm="1">
        <f t="array" ref="N785">INDEX($F$754:$K$761, INT((ROW(A32)-1)/6)+1, MOD(ROW(A584)-1,6)+1)</f>
        <v>1</v>
      </c>
      <c r="P785" s="9">
        <v>22</v>
      </c>
      <c r="Q785" s="4" t="e" cm="1">
        <f t="array" ref="Q785">INDEX($P$264:$U$271, INT((ROW(A512)-1)/6)+1, MOD(ROW(A512)-1,6)+1)</f>
        <v>#REF!</v>
      </c>
      <c r="R785" t="e">
        <f ca="1"/>
        <v>#VALUE!</v>
      </c>
      <c r="S785" t="e">
        <f ca="1"/>
        <v>#VALUE!</v>
      </c>
      <c r="T785" t="e">
        <f ca="1"/>
        <v>#VALUE!</v>
      </c>
      <c r="W785" s="11">
        <v>32</v>
      </c>
      <c r="X785" s="4" t="e">
        <f t="shared" si="59"/>
        <v>#REF!</v>
      </c>
      <c r="AH785" s="11">
        <v>32</v>
      </c>
      <c r="AI785" s="4" t="e" cm="1">
        <f t="array" ref="AI785">MID(INDEX($AF$265:$AF$272,INT((ROW(A522)-1)/4)+1),MOD(ROW(A522)-1,4)+1,1)</f>
        <v>#REF!</v>
      </c>
      <c r="AK785" s="11">
        <v>32</v>
      </c>
      <c r="AL785" s="4" t="e" cm="1">
        <f t="array" ref="AL785">INDEX($AI$264:$AI$295, INDEX($H$15:$O$18, INT((ROW(A522)-1)/8)+1, MOD(ROW(A522)-1,8)+1))</f>
        <v>#REF!</v>
      </c>
      <c r="AN785" s="2" t="e">
        <f t="shared" ca="1" si="63"/>
        <v>#VALUE!</v>
      </c>
      <c r="AO785" s="2" t="e">
        <f t="shared" si="64"/>
        <v>#REF!</v>
      </c>
    </row>
    <row r="786" spans="2:41" x14ac:dyDescent="0.25">
      <c r="B786" s="2">
        <v>33</v>
      </c>
      <c r="C786" s="2">
        <v>0</v>
      </c>
      <c r="M786" s="7">
        <v>33</v>
      </c>
      <c r="N786" s="4" cm="1">
        <f t="array" ref="N786">INDEX($F$754:$K$761, INT((ROW(A33)-1)/6)+1, MOD(ROW(A585)-1,6)+1)</f>
        <v>1</v>
      </c>
      <c r="P786" s="9">
        <v>23</v>
      </c>
      <c r="Q786" s="4" t="e" cm="1">
        <f t="array" ref="Q786">INDEX($P$264:$U$271, INT((ROW(A513)-1)/6)+1, MOD(ROW(A513)-1,6)+1)</f>
        <v>#REF!</v>
      </c>
      <c r="R786" t="e">
        <f ca="1"/>
        <v>#VALUE!</v>
      </c>
      <c r="S786" t="e">
        <f ca="1"/>
        <v>#VALUE!</v>
      </c>
      <c r="T786" t="e">
        <f ca="1"/>
        <v>#VALUE!</v>
      </c>
      <c r="W786" s="7">
        <v>33</v>
      </c>
      <c r="X786" s="4" t="e">
        <f t="shared" si="59"/>
        <v>#REF!</v>
      </c>
      <c r="AN786" s="2" t="e">
        <f t="shared" ca="1" si="63"/>
        <v>#VALUE!</v>
      </c>
      <c r="AO786" s="2" t="e">
        <f t="shared" si="64"/>
        <v>#REF!</v>
      </c>
    </row>
    <row r="787" spans="2:41" x14ac:dyDescent="0.25">
      <c r="B787" s="2">
        <v>34</v>
      </c>
      <c r="C787" s="2">
        <v>1</v>
      </c>
      <c r="M787" s="9">
        <v>34</v>
      </c>
      <c r="N787" s="4" cm="1">
        <f t="array" ref="N787">INDEX($F$754:$K$761, INT((ROW(A34)-1)/6)+1, MOD(ROW(A586)-1,6)+1)</f>
        <v>0</v>
      </c>
      <c r="P787" s="11">
        <v>24</v>
      </c>
      <c r="Q787" s="4" t="e" cm="1">
        <f t="array" ref="Q787">INDEX($P$264:$U$271, INT((ROW(A514)-1)/6)+1, MOD(ROW(A514)-1,6)+1)</f>
        <v>#REF!</v>
      </c>
      <c r="R787" t="e">
        <f ca="1"/>
        <v>#VALUE!</v>
      </c>
      <c r="S787" t="e">
        <f ca="1"/>
        <v>#VALUE!</v>
      </c>
      <c r="T787" t="e">
        <f ca="1"/>
        <v>#VALUE!</v>
      </c>
      <c r="W787" s="9">
        <v>34</v>
      </c>
      <c r="X787" s="4" t="e">
        <f t="shared" si="59"/>
        <v>#REF!</v>
      </c>
    </row>
    <row r="788" spans="2:41" x14ac:dyDescent="0.25">
      <c r="B788" s="2">
        <v>35</v>
      </c>
      <c r="C788" s="2">
        <v>0</v>
      </c>
      <c r="M788" s="9">
        <v>35</v>
      </c>
      <c r="N788" s="4" cm="1">
        <f t="array" ref="N788">INDEX($F$754:$K$761, INT((ROW(A35)-1)/6)+1, MOD(ROW(A587)-1,6)+1)</f>
        <v>0</v>
      </c>
      <c r="P788" s="7">
        <v>25</v>
      </c>
      <c r="Q788" s="4" t="e" cm="1">
        <f t="array" ref="Q788">INDEX($P$264:$U$271, INT((ROW(A515)-1)/6)+1, MOD(ROW(A515)-1,6)+1)</f>
        <v>#REF!</v>
      </c>
      <c r="R788" t="e">
        <f ca="1"/>
        <v>#VALUE!</v>
      </c>
      <c r="S788" t="e">
        <f ca="1"/>
        <v>#VALUE!</v>
      </c>
      <c r="T788" t="e">
        <f ca="1"/>
        <v>#VALUE!</v>
      </c>
      <c r="W788" s="9">
        <v>35</v>
      </c>
      <c r="X788" s="4" t="e">
        <f t="shared" si="59"/>
        <v>#REF!</v>
      </c>
    </row>
    <row r="789" spans="2:41" x14ac:dyDescent="0.25">
      <c r="B789" s="2">
        <v>36</v>
      </c>
      <c r="C789" s="2">
        <v>1</v>
      </c>
      <c r="M789" s="9">
        <v>36</v>
      </c>
      <c r="N789" s="4" cm="1">
        <f t="array" ref="N789">INDEX($F$754:$K$761, INT((ROW(A36)-1)/6)+1, MOD(ROW(A588)-1,6)+1)</f>
        <v>0</v>
      </c>
      <c r="P789" s="9">
        <v>26</v>
      </c>
      <c r="Q789" s="4" t="e" cm="1">
        <f t="array" ref="Q789">INDEX($P$264:$U$271, INT((ROW(A516)-1)/6)+1, MOD(ROW(A516)-1,6)+1)</f>
        <v>#REF!</v>
      </c>
      <c r="R789" t="e">
        <f ca="1"/>
        <v>#VALUE!</v>
      </c>
      <c r="S789" t="e">
        <f ca="1"/>
        <v>#VALUE!</v>
      </c>
      <c r="T789" t="e">
        <f ca="1"/>
        <v>#VALUE!</v>
      </c>
      <c r="W789" s="9">
        <v>36</v>
      </c>
      <c r="X789" s="4" t="e">
        <f t="shared" si="59"/>
        <v>#REF!</v>
      </c>
    </row>
    <row r="790" spans="2:41" x14ac:dyDescent="0.25">
      <c r="B790" s="2">
        <v>37</v>
      </c>
      <c r="C790" s="2">
        <v>0</v>
      </c>
      <c r="M790" s="9">
        <v>37</v>
      </c>
      <c r="N790" s="4" cm="1">
        <f t="array" ref="N790">INDEX($F$754:$K$761, INT((ROW(A37)-1)/6)+1, MOD(ROW(A589)-1,6)+1)</f>
        <v>1</v>
      </c>
      <c r="P790" s="9">
        <v>27</v>
      </c>
      <c r="Q790" s="4" t="e" cm="1">
        <f t="array" ref="Q790">INDEX($P$264:$U$271, INT((ROW(A517)-1)/6)+1, MOD(ROW(A517)-1,6)+1)</f>
        <v>#REF!</v>
      </c>
      <c r="R790" t="e">
        <f ca="1"/>
        <v>#VALUE!</v>
      </c>
      <c r="S790" t="e">
        <f ca="1"/>
        <v>#VALUE!</v>
      </c>
      <c r="T790" t="e">
        <f ca="1"/>
        <v>#VALUE!</v>
      </c>
      <c r="W790" s="9">
        <v>37</v>
      </c>
      <c r="X790" s="4" t="e">
        <f t="shared" si="59"/>
        <v>#REF!</v>
      </c>
    </row>
    <row r="791" spans="2:41" x14ac:dyDescent="0.25">
      <c r="B791" s="2">
        <v>38</v>
      </c>
      <c r="C791" s="2">
        <v>1</v>
      </c>
      <c r="M791" s="9">
        <v>38</v>
      </c>
      <c r="N791" s="4" cm="1">
        <f t="array" ref="N791">INDEX($F$754:$K$761, INT((ROW(A38)-1)/6)+1, MOD(ROW(A590)-1,6)+1)</f>
        <v>0</v>
      </c>
      <c r="P791" s="9">
        <v>28</v>
      </c>
      <c r="Q791" s="4" t="e" cm="1">
        <f t="array" ref="Q791">INDEX($P$264:$U$271, INT((ROW(A518)-1)/6)+1, MOD(ROW(A518)-1,6)+1)</f>
        <v>#REF!</v>
      </c>
      <c r="R791" t="e">
        <f ca="1"/>
        <v>#VALUE!</v>
      </c>
      <c r="S791" t="e">
        <f ca="1"/>
        <v>#VALUE!</v>
      </c>
      <c r="T791" t="e">
        <f ca="1"/>
        <v>#VALUE!</v>
      </c>
      <c r="W791" s="9">
        <v>38</v>
      </c>
      <c r="X791" s="4" t="e">
        <f t="shared" si="59"/>
        <v>#REF!</v>
      </c>
    </row>
    <row r="792" spans="2:41" x14ac:dyDescent="0.25">
      <c r="B792" s="2">
        <v>39</v>
      </c>
      <c r="C792" s="2">
        <v>0</v>
      </c>
      <c r="M792" s="9">
        <v>39</v>
      </c>
      <c r="N792" s="4" cm="1">
        <f t="array" ref="N792">INDEX($F$754:$K$761, INT((ROW(A39)-1)/6)+1, MOD(ROW(A591)-1,6)+1)</f>
        <v>0</v>
      </c>
      <c r="P792" s="9">
        <v>29</v>
      </c>
      <c r="Q792" s="4" t="e" cm="1">
        <f t="array" ref="Q792">INDEX($P$264:$U$271, INT((ROW(A519)-1)/6)+1, MOD(ROW(A519)-1,6)+1)</f>
        <v>#REF!</v>
      </c>
      <c r="R792" t="e">
        <f ca="1"/>
        <v>#VALUE!</v>
      </c>
      <c r="S792" t="e">
        <f ca="1"/>
        <v>#VALUE!</v>
      </c>
      <c r="T792" t="e">
        <f ca="1"/>
        <v>#VALUE!</v>
      </c>
      <c r="W792" s="9">
        <v>39</v>
      </c>
      <c r="X792" s="4" t="e">
        <f t="shared" si="59"/>
        <v>#REF!</v>
      </c>
    </row>
    <row r="793" spans="2:41" x14ac:dyDescent="0.25">
      <c r="B793" s="2">
        <v>40</v>
      </c>
      <c r="C793" s="2">
        <v>1</v>
      </c>
      <c r="M793" s="11">
        <v>40</v>
      </c>
      <c r="N793" s="4" cm="1">
        <f t="array" ref="N793">INDEX($F$754:$K$761, INT((ROW(A40)-1)/6)+1, MOD(ROW(A592)-1,6)+1)</f>
        <v>1</v>
      </c>
      <c r="P793" s="9">
        <v>30</v>
      </c>
      <c r="Q793" s="4" t="e" cm="1">
        <f t="array" ref="Q793">INDEX($P$264:$U$271, INT((ROW(A520)-1)/6)+1, MOD(ROW(A520)-1,6)+1)</f>
        <v>#REF!</v>
      </c>
      <c r="W793" s="11">
        <v>40</v>
      </c>
      <c r="X793" s="4" t="e">
        <f t="shared" si="59"/>
        <v>#REF!</v>
      </c>
    </row>
    <row r="794" spans="2:41" x14ac:dyDescent="0.25">
      <c r="B794" s="2">
        <v>41</v>
      </c>
      <c r="C794" s="2">
        <v>0</v>
      </c>
      <c r="M794" s="7">
        <v>41</v>
      </c>
      <c r="N794" s="4" cm="1">
        <f t="array" ref="N794">INDEX($F$754:$K$761, INT((ROW(A41)-1)/6)+1, MOD(ROW(A593)-1,6)+1)</f>
        <v>1</v>
      </c>
      <c r="P794" s="9">
        <v>31</v>
      </c>
      <c r="Q794" s="4" t="e" cm="1">
        <f t="array" ref="Q794">INDEX($P$264:$U$271, INT((ROW(A521)-1)/6)+1, MOD(ROW(A521)-1,6)+1)</f>
        <v>#REF!</v>
      </c>
      <c r="W794" s="7">
        <v>41</v>
      </c>
      <c r="X794" s="4" t="e">
        <f t="shared" si="59"/>
        <v>#REF!</v>
      </c>
    </row>
    <row r="795" spans="2:41" x14ac:dyDescent="0.25">
      <c r="B795" s="2">
        <v>42</v>
      </c>
      <c r="C795" s="2">
        <v>1</v>
      </c>
      <c r="M795" s="9">
        <v>42</v>
      </c>
      <c r="N795" s="4" cm="1">
        <f t="array" ref="N795">INDEX($F$754:$K$761, INT((ROW(A42)-1)/6)+1, MOD(ROW(A594)-1,6)+1)</f>
        <v>0</v>
      </c>
      <c r="P795" s="11">
        <v>32</v>
      </c>
      <c r="Q795" s="4" t="e" cm="1">
        <f t="array" ref="Q795">INDEX($P$264:$U$271, INT((ROW(A522)-1)/6)+1, MOD(ROW(A522)-1,6)+1)</f>
        <v>#REF!</v>
      </c>
      <c r="W795" s="9">
        <v>42</v>
      </c>
      <c r="X795" s="4" t="e">
        <f t="shared" si="59"/>
        <v>#REF!</v>
      </c>
    </row>
    <row r="796" spans="2:41" x14ac:dyDescent="0.25">
      <c r="B796" s="2">
        <v>43</v>
      </c>
      <c r="C796" s="2">
        <v>0</v>
      </c>
      <c r="M796" s="9">
        <v>43</v>
      </c>
      <c r="N796" s="4" cm="1">
        <f t="array" ref="N796">INDEX($F$754:$K$761, INT((ROW(A43)-1)/6)+1, MOD(ROW(A595)-1,6)+1)</f>
        <v>1</v>
      </c>
      <c r="P796" s="7">
        <v>33</v>
      </c>
      <c r="Q796" s="4" t="e" cm="1">
        <f t="array" ref="Q796">INDEX($P$264:$U$271, INT((ROW(A523)-1)/6)+1, MOD(ROW(A523)-1,6)+1)</f>
        <v>#REF!</v>
      </c>
      <c r="W796" s="9">
        <v>43</v>
      </c>
      <c r="X796" s="4" t="e">
        <f t="shared" si="59"/>
        <v>#REF!</v>
      </c>
    </row>
    <row r="797" spans="2:41" x14ac:dyDescent="0.25">
      <c r="B797" s="2">
        <v>44</v>
      </c>
      <c r="C797" s="2">
        <v>1</v>
      </c>
      <c r="M797" s="9">
        <v>44</v>
      </c>
      <c r="N797" s="4" cm="1">
        <f t="array" ref="N797">INDEX($F$754:$K$761, INT((ROW(A44)-1)/6)+1, MOD(ROW(A596)-1,6)+1)</f>
        <v>1</v>
      </c>
      <c r="P797" s="9">
        <v>34</v>
      </c>
      <c r="Q797" s="4" t="e" cm="1">
        <f t="array" ref="Q797">INDEX($P$264:$U$271, INT((ROW(A524)-1)/6)+1, MOD(ROW(A524)-1,6)+1)</f>
        <v>#REF!</v>
      </c>
      <c r="W797" s="9">
        <v>44</v>
      </c>
      <c r="X797" s="4" t="e">
        <f t="shared" si="59"/>
        <v>#REF!</v>
      </c>
    </row>
    <row r="798" spans="2:41" x14ac:dyDescent="0.25">
      <c r="B798" s="2">
        <v>45</v>
      </c>
      <c r="C798" s="2">
        <v>0</v>
      </c>
      <c r="M798" s="9">
        <v>45</v>
      </c>
      <c r="N798" s="4" cm="1">
        <f t="array" ref="N798">INDEX($F$754:$K$761, INT((ROW(A45)-1)/6)+1, MOD(ROW(A597)-1,6)+1)</f>
        <v>1</v>
      </c>
      <c r="P798" s="9">
        <v>35</v>
      </c>
      <c r="Q798" s="4" t="e" cm="1">
        <f t="array" ref="Q798">INDEX($P$264:$U$271, INT((ROW(A525)-1)/6)+1, MOD(ROW(A525)-1,6)+1)</f>
        <v>#REF!</v>
      </c>
      <c r="W798" s="9">
        <v>45</v>
      </c>
      <c r="X798" s="4" t="e">
        <f t="shared" si="59"/>
        <v>#REF!</v>
      </c>
    </row>
    <row r="799" spans="2:41" x14ac:dyDescent="0.25">
      <c r="B799" s="2">
        <v>46</v>
      </c>
      <c r="C799" s="2">
        <v>1</v>
      </c>
      <c r="M799" s="9">
        <v>46</v>
      </c>
      <c r="N799" s="4" cm="1">
        <f t="array" ref="N799">INDEX($F$754:$K$761, INT((ROW(A46)-1)/6)+1, MOD(ROW(A598)-1,6)+1)</f>
        <v>1</v>
      </c>
      <c r="P799" s="9">
        <v>36</v>
      </c>
      <c r="Q799" s="4" t="e" cm="1">
        <f t="array" ref="Q799">INDEX($P$264:$U$271, INT((ROW(A526)-1)/6)+1, MOD(ROW(A526)-1,6)+1)</f>
        <v>#REF!</v>
      </c>
      <c r="W799" s="9">
        <v>46</v>
      </c>
      <c r="X799" s="4" t="e">
        <f t="shared" si="59"/>
        <v>#REF!</v>
      </c>
    </row>
    <row r="800" spans="2:41" x14ac:dyDescent="0.25">
      <c r="B800" s="2">
        <v>47</v>
      </c>
      <c r="C800" s="2">
        <v>1</v>
      </c>
      <c r="M800" s="9">
        <v>47</v>
      </c>
      <c r="N800" s="4" cm="1">
        <f t="array" ref="N800">INDEX($F$754:$K$761, INT((ROW(A47)-1)/6)+1, MOD(ROW(A599)-1,6)+1)</f>
        <v>1</v>
      </c>
      <c r="P800" s="9">
        <v>37</v>
      </c>
      <c r="Q800" s="4" t="e" cm="1">
        <f t="array" ref="Q800">INDEX($P$264:$U$271, INT((ROW(A527)-1)/6)+1, MOD(ROW(A527)-1,6)+1)</f>
        <v>#REF!</v>
      </c>
      <c r="W800" s="9">
        <v>47</v>
      </c>
      <c r="X800" s="4" t="e">
        <f t="shared" si="59"/>
        <v>#REF!</v>
      </c>
    </row>
    <row r="801" spans="2:41" x14ac:dyDescent="0.25">
      <c r="B801" s="2">
        <v>48</v>
      </c>
      <c r="C801" s="2">
        <v>0</v>
      </c>
      <c r="M801" s="11">
        <v>48</v>
      </c>
      <c r="N801" s="4" cm="1">
        <f t="array" ref="N801">INDEX($F$754:$K$761, INT((ROW(A48)-1)/6)+1, MOD(ROW(A600)-1,6)+1)</f>
        <v>0</v>
      </c>
      <c r="P801" s="9">
        <v>38</v>
      </c>
      <c r="Q801" s="4" t="e" cm="1">
        <f t="array" ref="Q801">INDEX($P$264:$U$271, INT((ROW(A528)-1)/6)+1, MOD(ROW(A528)-1,6)+1)</f>
        <v>#REF!</v>
      </c>
      <c r="W801" s="11">
        <v>48</v>
      </c>
      <c r="X801" s="4" t="e">
        <f t="shared" si="59"/>
        <v>#REF!</v>
      </c>
    </row>
    <row r="802" spans="2:41" x14ac:dyDescent="0.25">
      <c r="B802" s="2">
        <v>49</v>
      </c>
      <c r="C802" s="2">
        <v>0</v>
      </c>
      <c r="P802" s="9">
        <v>39</v>
      </c>
      <c r="Q802" s="4" t="e" cm="1">
        <f t="array" ref="Q802">INDEX($P$264:$U$271, INT((ROW(A529)-1)/6)+1, MOD(ROW(A529)-1,6)+1)</f>
        <v>#REF!</v>
      </c>
    </row>
    <row r="803" spans="2:41" x14ac:dyDescent="0.25">
      <c r="B803" s="2">
        <v>50</v>
      </c>
      <c r="C803" s="2">
        <v>1</v>
      </c>
      <c r="P803" s="11">
        <v>40</v>
      </c>
      <c r="Q803" s="4" t="e" cm="1">
        <f t="array" ref="Q803">INDEX($P$264:$U$271, INT((ROW(A530)-1)/6)+1, MOD(ROW(A530)-1,6)+1)</f>
        <v>#REF!</v>
      </c>
    </row>
    <row r="804" spans="2:41" x14ac:dyDescent="0.25">
      <c r="B804" s="2">
        <v>51</v>
      </c>
      <c r="C804" s="2">
        <v>1</v>
      </c>
      <c r="P804" s="7">
        <v>41</v>
      </c>
      <c r="Q804" s="4" t="e" cm="1">
        <f t="array" ref="Q804">INDEX($P$264:$U$271, INT((ROW(A531)-1)/6)+1, MOD(ROW(A531)-1,6)+1)</f>
        <v>#REF!</v>
      </c>
    </row>
    <row r="805" spans="2:41" x14ac:dyDescent="0.25">
      <c r="B805" s="2">
        <v>52</v>
      </c>
      <c r="C805" s="2">
        <v>0</v>
      </c>
      <c r="P805" s="9">
        <v>42</v>
      </c>
      <c r="Q805" s="4" t="e" cm="1">
        <f t="array" ref="Q805">INDEX($P$264:$U$271, INT((ROW(A532)-1)/6)+1, MOD(ROW(A532)-1,6)+1)</f>
        <v>#REF!</v>
      </c>
    </row>
    <row r="806" spans="2:41" x14ac:dyDescent="0.25">
      <c r="B806" s="2">
        <v>53</v>
      </c>
      <c r="C806" s="2">
        <v>0</v>
      </c>
      <c r="P806" s="9">
        <v>43</v>
      </c>
      <c r="Q806" s="4" t="e" cm="1">
        <f t="array" ref="Q806">INDEX($P$264:$U$271, INT((ROW(A533)-1)/6)+1, MOD(ROW(A533)-1,6)+1)</f>
        <v>#REF!</v>
      </c>
    </row>
    <row r="807" spans="2:41" x14ac:dyDescent="0.25">
      <c r="B807" s="2">
        <v>54</v>
      </c>
      <c r="C807" s="2">
        <v>1</v>
      </c>
      <c r="P807" s="9">
        <v>44</v>
      </c>
      <c r="Q807" s="4" t="e" cm="1">
        <f t="array" ref="Q807">INDEX($P$264:$U$271, INT((ROW(A534)-1)/6)+1, MOD(ROW(A534)-1,6)+1)</f>
        <v>#REF!</v>
      </c>
    </row>
    <row r="808" spans="2:41" x14ac:dyDescent="0.25">
      <c r="B808" s="2">
        <v>55</v>
      </c>
      <c r="C808" s="2">
        <v>1</v>
      </c>
      <c r="P808" s="9">
        <v>45</v>
      </c>
      <c r="Q808" s="4" t="e" cm="1">
        <f t="array" ref="Q808">INDEX($P$264:$U$271, INT((ROW(A535)-1)/6)+1, MOD(ROW(A535)-1,6)+1)</f>
        <v>#REF!</v>
      </c>
    </row>
    <row r="809" spans="2:41" x14ac:dyDescent="0.25">
      <c r="B809" s="2">
        <v>56</v>
      </c>
      <c r="C809" s="2">
        <v>1</v>
      </c>
      <c r="P809" s="9">
        <v>46</v>
      </c>
      <c r="Q809" s="4" t="e" cm="1">
        <f t="array" ref="Q809">INDEX($P$264:$U$271, INT((ROW(A536)-1)/6)+1, MOD(ROW(A536)-1,6)+1)</f>
        <v>#REF!</v>
      </c>
    </row>
    <row r="810" spans="2:41" x14ac:dyDescent="0.25">
      <c r="P810" s="9">
        <v>47</v>
      </c>
      <c r="Q810" s="4" t="e" cm="1">
        <f t="array" ref="Q810">INDEX($P$264:$U$271, INT((ROW(A537)-1)/6)+1, MOD(ROW(A537)-1,6)+1)</f>
        <v>#REF!</v>
      </c>
    </row>
    <row r="811" spans="2:41" x14ac:dyDescent="0.25">
      <c r="P811" s="11">
        <v>48</v>
      </c>
      <c r="Q811" s="4" t="e" cm="1">
        <f t="array" ref="Q811">INDEX($P$264:$U$271, INT((ROW(A538)-1)/6)+1, MOD(ROW(A538)-1,6)+1)</f>
        <v>#REF!</v>
      </c>
    </row>
    <row r="812" spans="2:41" x14ac:dyDescent="0.25">
      <c r="B812" t="s">
        <v>59</v>
      </c>
    </row>
    <row r="815" spans="2:41" x14ac:dyDescent="0.25">
      <c r="B815" s="2" t="s">
        <v>3</v>
      </c>
      <c r="C815" s="2" t="s">
        <v>60</v>
      </c>
      <c r="F815" s="39" t="s">
        <v>23</v>
      </c>
      <c r="G815" s="40"/>
      <c r="H815" s="40"/>
      <c r="I815" s="40"/>
      <c r="J815" s="40"/>
      <c r="K815" s="41"/>
      <c r="M815" s="37" t="s">
        <v>61</v>
      </c>
      <c r="N815" s="43"/>
      <c r="P815" s="39" t="s">
        <v>93</v>
      </c>
      <c r="Q815" s="40"/>
      <c r="R815" s="40"/>
      <c r="S815" s="40"/>
      <c r="T815" s="40"/>
      <c r="U815" s="41"/>
      <c r="W815" s="2" t="s">
        <v>3</v>
      </c>
      <c r="X815" s="18" t="s">
        <v>95</v>
      </c>
      <c r="Z815" s="42" t="s">
        <v>77</v>
      </c>
      <c r="AA815" s="42" t="s">
        <v>74</v>
      </c>
      <c r="AB815" s="42"/>
      <c r="AC815" s="42" t="s">
        <v>75</v>
      </c>
      <c r="AD815" s="42" t="s">
        <v>76</v>
      </c>
      <c r="AE815" s="36" t="s">
        <v>78</v>
      </c>
      <c r="AF815" s="36" t="s">
        <v>79</v>
      </c>
      <c r="AH815" s="37" t="s">
        <v>96</v>
      </c>
      <c r="AI815" s="38"/>
      <c r="AK815" s="37" t="s">
        <v>97</v>
      </c>
      <c r="AL815" s="38"/>
      <c r="AN815" s="36" t="s">
        <v>98</v>
      </c>
      <c r="AO815" s="36"/>
    </row>
    <row r="816" spans="2:41" x14ac:dyDescent="0.25">
      <c r="B816" s="2">
        <v>1</v>
      </c>
      <c r="C816" s="2">
        <v>0</v>
      </c>
      <c r="F816" s="15" cm="1">
        <f t="array" ref="F816">INDEX($C$816:$C$871, H41)</f>
        <v>0</v>
      </c>
      <c r="G816" s="15" cm="1">
        <f t="array" ref="G816">INDEX($C$816:$C$871, I41)</f>
        <v>1</v>
      </c>
      <c r="H816" s="15" cm="1">
        <f t="array" ref="H816">INDEX($C$816:$C$871, J41)</f>
        <v>1</v>
      </c>
      <c r="I816" s="15" cm="1">
        <f t="array" ref="I816">INDEX($C$816:$C$871, K41)</f>
        <v>1</v>
      </c>
      <c r="J816" s="15" cm="1">
        <f t="array" ref="J816">INDEX($C$816:$C$871, L41)</f>
        <v>0</v>
      </c>
      <c r="K816" s="15" cm="1">
        <f t="array" ref="K816">INDEX($C$816:$C$871, M41)</f>
        <v>0</v>
      </c>
      <c r="M816" s="7">
        <v>1</v>
      </c>
      <c r="N816" s="4" cm="1">
        <f t="array" ref="N816">INDEX($F$816:$K$823, INT((ROW(A1)-1)/6)+1, MOD(ROW(A615)-1,6)+1)</f>
        <v>1</v>
      </c>
      <c r="P816" s="15" t="e" cm="1" vm="1">
        <f t="array" aca="1" ref="P816" ca="1">INDEX($AO$204:$AO$235, H603)</f>
        <v>#VALUE!</v>
      </c>
      <c r="Q816" s="15" t="e" cm="1" vm="1">
        <f t="array" aca="1" ref="Q816" ca="1">INDEX($AO$204:$AO$235, I603)</f>
        <v>#VALUE!</v>
      </c>
      <c r="R816" s="15" t="e" cm="1" vm="1">
        <f t="array" aca="1" ref="R816" ca="1">INDEX($AO$204:$AO$235, J603)</f>
        <v>#VALUE!</v>
      </c>
      <c r="S816" s="15" t="e" cm="1" vm="1">
        <f t="array" aca="1" ref="S816" ca="1">INDEX($AO$204:$AO$235, K603)</f>
        <v>#VALUE!</v>
      </c>
      <c r="T816" s="15" t="e" cm="1" vm="1">
        <f t="array" aca="1" ref="T816" ca="1">INDEX($AO$204:$AO$235, L603)</f>
        <v>#VALUE!</v>
      </c>
      <c r="U816" s="15" t="e" cm="1">
        <f t="array" ref="U816">INDEX($AO$204:$AO$235, M603)</f>
        <v>#REF!</v>
      </c>
      <c r="W816" s="7">
        <v>1</v>
      </c>
      <c r="X816" s="4" t="e">
        <f>_xlfn.BITXOR(Q826, N816)</f>
        <v>#REF!</v>
      </c>
      <c r="Z816" s="42"/>
      <c r="AA816" s="42"/>
      <c r="AB816" s="42"/>
      <c r="AC816" s="42"/>
      <c r="AD816" s="42"/>
      <c r="AE816" s="36"/>
      <c r="AF816" s="36"/>
      <c r="AH816" s="7">
        <v>1</v>
      </c>
      <c r="AI816" s="4" t="e" cm="1">
        <f t="array" ref="AI816">MID(INDEX($AF$265:$AF$272,INT((ROW(A553)-1)/4)+1),MOD(ROW(A553)-1,4)+1,1)</f>
        <v>#REF!</v>
      </c>
      <c r="AK816" s="7">
        <v>1</v>
      </c>
      <c r="AL816" s="4" t="e" cm="1">
        <f t="array" ref="AL816">INDEX($AI$264:$AI$295, INDEX($H$15:$O$18, INT((ROW(A553)-1)/8)+1, MOD(ROW(A553)-1,8)+1))</f>
        <v>#REF!</v>
      </c>
      <c r="AN816" s="2" t="s">
        <v>99</v>
      </c>
      <c r="AO816" s="31" t="s">
        <v>101</v>
      </c>
    </row>
    <row r="817" spans="2:41" x14ac:dyDescent="0.25">
      <c r="B817" s="2">
        <v>2</v>
      </c>
      <c r="C817" s="2">
        <v>1</v>
      </c>
      <c r="F817" s="15" cm="1">
        <f t="array" ref="F817">INDEX($C$816:$C$871, H42)</f>
        <v>0</v>
      </c>
      <c r="G817" s="15" cm="1">
        <f t="array" ref="G817">INDEX($C$816:$C$871, I42)</f>
        <v>1</v>
      </c>
      <c r="H817" s="15" cm="1">
        <f t="array" ref="H817">INDEX($C$816:$C$871, J42)</f>
        <v>0</v>
      </c>
      <c r="I817" s="15" cm="1">
        <f t="array" ref="I817">INDEX($C$816:$C$871, K42)</f>
        <v>1</v>
      </c>
      <c r="J817" s="15" cm="1">
        <f t="array" ref="J817">INDEX($C$816:$C$871, L42)</f>
        <v>1</v>
      </c>
      <c r="K817" s="15" cm="1">
        <f t="array" ref="K817">INDEX($C$816:$C$871, M42)</f>
        <v>1</v>
      </c>
      <c r="M817" s="9">
        <v>2</v>
      </c>
      <c r="N817" s="4" cm="1">
        <f t="array" ref="N817">INDEX($F$816:$K$823, INT((ROW(A2)-1)/6)+1, MOD(ROW(A616)-1,6)+1)</f>
        <v>1</v>
      </c>
      <c r="P817" s="15" t="e" cm="1" vm="1">
        <f t="array" aca="1" ref="P817" ca="1">INDEX($AO$204:$AO$235, H604)</f>
        <v>#VALUE!</v>
      </c>
      <c r="Q817" s="15" t="e" cm="1" vm="1">
        <f t="array" aca="1" ref="Q817" ca="1">INDEX($AO$204:$AO$235, I604)</f>
        <v>#VALUE!</v>
      </c>
      <c r="R817" s="15" t="e" cm="1" vm="1">
        <f t="array" aca="1" ref="R817" ca="1">INDEX($AO$204:$AO$235, J604)</f>
        <v>#VALUE!</v>
      </c>
      <c r="S817" s="15" t="e" cm="1" vm="1">
        <f t="array" aca="1" ref="S817" ca="1">INDEX($AO$204:$AO$235, K604)</f>
        <v>#VALUE!</v>
      </c>
      <c r="T817" s="15" t="e" cm="1" vm="1">
        <f t="array" aca="1" ref="T817" ca="1">INDEX($AO$204:$AO$235, L604)</f>
        <v>#VALUE!</v>
      </c>
      <c r="U817" s="15" t="e" cm="1">
        <f t="array" ref="U817">INDEX($AO$204:$AO$235, M604)</f>
        <v>#REF!</v>
      </c>
      <c r="W817" s="9">
        <v>2</v>
      </c>
      <c r="X817" s="4" t="e">
        <f t="shared" ref="X817:X863" si="65">_xlfn.BITXOR(Q827, N817)</f>
        <v>#REF!</v>
      </c>
      <c r="Z817" s="32">
        <v>1</v>
      </c>
      <c r="AA817" s="34" t="e">
        <f>_xlfn.TEXTJOIN("", TRUE, INDEX($X$264:$X$311, (ROW(A553)-1)*6+1) : INDEX($X$264:$X$311, (ROW(A553)-1)*6+6))</f>
        <v>#REF!</v>
      </c>
      <c r="AB817" s="35"/>
      <c r="AC817" s="32" t="e">
        <f>BIN2DEC(LEFT(AA817,1) &amp; RIGHT(AA817,1))</f>
        <v>#REF!</v>
      </c>
      <c r="AD817" s="31" t="e">
        <f>BIN2DEC(MID(AA817,2,4))</f>
        <v>#REF!</v>
      </c>
      <c r="AE817" s="31" t="e" cm="1">
        <f t="array" aca="1" ref="AE817" ca="1">INDEX(OFFSET('[1]S-box'!$A$2, (Z817-1)*6, 0, 4, 16), AC817+1, AD817+1)</f>
        <v>#VALUE!</v>
      </c>
      <c r="AF817" s="33" t="e">
        <f ca="1">DEC2BIN(AE817, 4)</f>
        <v>#VALUE!</v>
      </c>
      <c r="AH817" s="9">
        <v>2</v>
      </c>
      <c r="AI817" s="4" t="e" cm="1">
        <f t="array" ref="AI817">MID(INDEX($AF$265:$AF$272,INT((ROW(A554)-1)/4)+1),MOD(ROW(A554)-1,4)+1,1)</f>
        <v>#REF!</v>
      </c>
      <c r="AK817" s="9">
        <v>2</v>
      </c>
      <c r="AL817" s="4" t="e" cm="1">
        <f t="array" ref="AL817">INDEX($AI$264:$AI$295, INDEX($H$15:$O$18, INT((ROW(A554)-1)/8)+1, MOD(ROW(A554)-1,8)+1))</f>
        <v>#REF!</v>
      </c>
      <c r="AN817" s="2" t="e">
        <f ca="1">_xlfn.BITXOR(T630, AE755)</f>
        <v>#VALUE!</v>
      </c>
      <c r="AO817" s="2" t="e">
        <f>_xlfn.BITXOR(N816, AL816)</f>
        <v>#REF!</v>
      </c>
    </row>
    <row r="818" spans="2:41" x14ac:dyDescent="0.25">
      <c r="B818" s="2">
        <v>3</v>
      </c>
      <c r="C818" s="2">
        <v>0</v>
      </c>
      <c r="F818" s="15" cm="1">
        <f t="array" ref="F818">INDEX($C$816:$C$871, H43)</f>
        <v>0</v>
      </c>
      <c r="G818" s="15" cm="1">
        <f t="array" ref="G818">INDEX($C$816:$C$871, I43)</f>
        <v>0</v>
      </c>
      <c r="H818" s="15" cm="1">
        <f t="array" ref="H818">INDEX($C$816:$C$871, J43)</f>
        <v>0</v>
      </c>
      <c r="I818" s="15" cm="1">
        <f t="array" ref="I818">INDEX($C$816:$C$871, K43)</f>
        <v>1</v>
      </c>
      <c r="J818" s="15" cm="1">
        <f t="array" ref="J818">INDEX($C$816:$C$871, L43)</f>
        <v>1</v>
      </c>
      <c r="K818" s="15" cm="1">
        <f t="array" ref="K818">INDEX($C$816:$C$871, M43)</f>
        <v>1</v>
      </c>
      <c r="M818" s="9">
        <v>3</v>
      </c>
      <c r="N818" s="4" cm="1">
        <f t="array" ref="N818">INDEX($F$816:$K$823, INT((ROW(A3)-1)/6)+1, MOD(ROW(A617)-1,6)+1)</f>
        <v>0</v>
      </c>
      <c r="P818" s="15" t="e" cm="1" vm="1">
        <f t="array" aca="1" ref="P818" ca="1">INDEX($AO$204:$AO$235, H605)</f>
        <v>#VALUE!</v>
      </c>
      <c r="Q818" s="15" t="e" cm="1" vm="1">
        <f t="array" aca="1" ref="Q818" ca="1">INDEX($AO$204:$AO$235, I605)</f>
        <v>#VALUE!</v>
      </c>
      <c r="R818" s="15" t="e" cm="1" vm="1">
        <f t="array" aca="1" ref="R818" ca="1">INDEX($AO$204:$AO$235, J605)</f>
        <v>#VALUE!</v>
      </c>
      <c r="S818" s="15" t="e" cm="1" vm="1">
        <f t="array" aca="1" ref="S818" ca="1">INDEX($AO$204:$AO$235, K605)</f>
        <v>#VALUE!</v>
      </c>
      <c r="T818" s="15" t="e" cm="1" vm="1">
        <f t="array" aca="1" ref="T818" ca="1">INDEX($AO$204:$AO$235, L605)</f>
        <v>#VALUE!</v>
      </c>
      <c r="U818" s="15" t="e" cm="1">
        <f t="array" ref="U818">INDEX($AO$204:$AO$235, M605)</f>
        <v>#REF!</v>
      </c>
      <c r="W818" s="9">
        <v>3</v>
      </c>
      <c r="X818" s="4" t="e">
        <f t="shared" si="65"/>
        <v>#REF!</v>
      </c>
      <c r="Z818" s="32">
        <v>2</v>
      </c>
      <c r="AA818" s="34" t="e">
        <f>_xlfn.TEXTJOIN("", TRUE, INDEX($X$264:$X$311, (ROW(A554)-1)*6+1) : INDEX($X$264:$X$311, (ROW(A554)-1)*6+6))</f>
        <v>#REF!</v>
      </c>
      <c r="AB818" s="35"/>
      <c r="AC818" s="32" t="e">
        <f t="shared" ref="AC818:AC824" si="66">BIN2DEC(LEFT(AA818,1) &amp; RIGHT(AA818,1))</f>
        <v>#REF!</v>
      </c>
      <c r="AD818" s="31" t="e">
        <f t="shared" ref="AD818:AD824" si="67">BIN2DEC(MID(AA818,2,4))</f>
        <v>#REF!</v>
      </c>
      <c r="AE818" s="31" t="e" cm="1">
        <f t="array" aca="1" ref="AE818" ca="1">INDEX(OFFSET('[1]S-box'!$A$2, (Z818-1)*6, 0, 4, 16), AC818+1, AD818+1)</f>
        <v>#VALUE!</v>
      </c>
      <c r="AF818" s="33" t="e">
        <f t="shared" ref="AF818:AF824" ca="1" si="68">DEC2BIN(AE818, 4)</f>
        <v>#VALUE!</v>
      </c>
      <c r="AH818" s="9">
        <v>3</v>
      </c>
      <c r="AI818" s="4" t="e" cm="1">
        <f t="array" ref="AI818">MID(INDEX($AF$265:$AF$272,INT((ROW(A555)-1)/4)+1),MOD(ROW(A555)-1,4)+1,1)</f>
        <v>#REF!</v>
      </c>
      <c r="AK818" s="9">
        <v>3</v>
      </c>
      <c r="AL818" s="4" t="e" cm="1">
        <f t="array" ref="AL818">INDEX($AI$264:$AI$295, INDEX($H$15:$O$18, INT((ROW(A555)-1)/8)+1, MOD(ROW(A555)-1,8)+1))</f>
        <v>#REF!</v>
      </c>
      <c r="AN818" s="2" t="e">
        <f t="shared" ref="AN818:AN848" ca="1" si="69">_xlfn.BITXOR(T631, AE756)</f>
        <v>#VALUE!</v>
      </c>
      <c r="AO818" s="2" t="e">
        <f t="shared" ref="AO818:AO848" si="70">_xlfn.BITXOR(N817, AL817)</f>
        <v>#REF!</v>
      </c>
    </row>
    <row r="819" spans="2:41" x14ac:dyDescent="0.25">
      <c r="B819" s="2">
        <v>4</v>
      </c>
      <c r="C819" s="2">
        <v>1</v>
      </c>
      <c r="F819" s="15" cm="1">
        <f t="array" ref="F819">INDEX($C$816:$C$871, H44)</f>
        <v>1</v>
      </c>
      <c r="G819" s="15" cm="1">
        <f t="array" ref="G819">INDEX($C$816:$C$871, I44)</f>
        <v>1</v>
      </c>
      <c r="H819" s="15" cm="1">
        <f t="array" ref="H819">INDEX($C$816:$C$871, J44)</f>
        <v>0</v>
      </c>
      <c r="I819" s="15" cm="1">
        <f t="array" ref="I819">INDEX($C$816:$C$871, K44)</f>
        <v>1</v>
      </c>
      <c r="J819" s="15" cm="1">
        <f t="array" ref="J819">INDEX($C$816:$C$871, L44)</f>
        <v>0</v>
      </c>
      <c r="K819" s="15" cm="1">
        <f t="array" ref="K819">INDEX($C$816:$C$871, M44)</f>
        <v>1</v>
      </c>
      <c r="M819" s="9">
        <v>4</v>
      </c>
      <c r="N819" s="4" cm="1">
        <f t="array" ref="N819">INDEX($F$816:$K$823, INT((ROW(A4)-1)/6)+1, MOD(ROW(A618)-1,6)+1)</f>
        <v>0</v>
      </c>
      <c r="P819" s="15" t="e" cm="1" vm="1">
        <f t="array" aca="1" ref="P819" ca="1">INDEX($AO$204:$AO$235, H606)</f>
        <v>#VALUE!</v>
      </c>
      <c r="Q819" s="15" t="e" cm="1" vm="1">
        <f t="array" aca="1" ref="Q819" ca="1">INDEX($AO$204:$AO$235, I606)</f>
        <v>#VALUE!</v>
      </c>
      <c r="R819" s="15" t="e" cm="1" vm="1">
        <f t="array" aca="1" ref="R819" ca="1">INDEX($AO$204:$AO$235, J606)</f>
        <v>#VALUE!</v>
      </c>
      <c r="S819" s="15" t="e" cm="1" vm="1">
        <f t="array" aca="1" ref="S819" ca="1">INDEX($AO$204:$AO$235, K606)</f>
        <v>#VALUE!</v>
      </c>
      <c r="T819" s="15" t="e" cm="1" vm="1">
        <f t="array" aca="1" ref="T819" ca="1">INDEX($AO$204:$AO$235, L606)</f>
        <v>#VALUE!</v>
      </c>
      <c r="U819" s="15" t="e" cm="1">
        <f t="array" ref="U819">INDEX($AO$204:$AO$235, M606)</f>
        <v>#REF!</v>
      </c>
      <c r="W819" s="9">
        <v>4</v>
      </c>
      <c r="X819" s="4" t="e">
        <f t="shared" si="65"/>
        <v>#REF!</v>
      </c>
      <c r="Z819" s="32">
        <v>3</v>
      </c>
      <c r="AA819" s="34" t="e">
        <f>_xlfn.TEXTJOIN("", TRUE, INDEX($X$264:$X$311, (ROW(A555)-1)*6+1) : INDEX($X$264:$X$311, (ROW(A555)-1)*6+6))</f>
        <v>#REF!</v>
      </c>
      <c r="AB819" s="35"/>
      <c r="AC819" s="32" t="e">
        <f t="shared" si="66"/>
        <v>#REF!</v>
      </c>
      <c r="AD819" s="31" t="e">
        <f t="shared" si="67"/>
        <v>#REF!</v>
      </c>
      <c r="AE819" s="31" t="e" cm="1">
        <f t="array" aca="1" ref="AE819" ca="1">INDEX(OFFSET('[1]S-box'!$A$2, (Z819-1)*6, 0, 4, 16), AC819+1, AD819+1)</f>
        <v>#VALUE!</v>
      </c>
      <c r="AF819" s="33" t="e">
        <f t="shared" ca="1" si="68"/>
        <v>#VALUE!</v>
      </c>
      <c r="AH819" s="9">
        <v>4</v>
      </c>
      <c r="AI819" s="4" t="e" cm="1">
        <f t="array" ref="AI819">MID(INDEX($AF$265:$AF$272,INT((ROW(A556)-1)/4)+1),MOD(ROW(A556)-1,4)+1,1)</f>
        <v>#REF!</v>
      </c>
      <c r="AK819" s="9">
        <v>4</v>
      </c>
      <c r="AL819" s="4" t="e" cm="1">
        <f t="array" ref="AL819">INDEX($AI$264:$AI$295, INDEX($H$15:$O$18, INT((ROW(A556)-1)/8)+1, MOD(ROW(A556)-1,8)+1))</f>
        <v>#REF!</v>
      </c>
      <c r="AN819" s="2" t="e" vm="3">
        <f t="shared" ca="1" si="69"/>
        <v>#VALUE!</v>
      </c>
      <c r="AO819" s="2" t="e">
        <f t="shared" si="70"/>
        <v>#REF!</v>
      </c>
    </row>
    <row r="820" spans="2:41" x14ac:dyDescent="0.25">
      <c r="B820" s="2">
        <v>5</v>
      </c>
      <c r="C820" s="2">
        <v>0</v>
      </c>
      <c r="F820" s="15" cm="1">
        <f t="array" ref="F820">INDEX($C$816:$C$871, H45)</f>
        <v>0</v>
      </c>
      <c r="G820" s="15" cm="1">
        <f t="array" ref="G820">INDEX($C$816:$C$871, I45)</f>
        <v>1</v>
      </c>
      <c r="H820" s="15" cm="1">
        <f t="array" ref="H820">INDEX($C$816:$C$871, J45)</f>
        <v>0</v>
      </c>
      <c r="I820" s="15" cm="1">
        <f t="array" ref="I820">INDEX($C$816:$C$871, K45)</f>
        <v>0</v>
      </c>
      <c r="J820" s="15" cm="1">
        <f t="array" ref="J820">INDEX($C$816:$C$871, L45)</f>
        <v>0</v>
      </c>
      <c r="K820" s="15" cm="1">
        <f t="array" ref="K820">INDEX($C$816:$C$871, M45)</f>
        <v>1</v>
      </c>
      <c r="M820" s="9">
        <v>5</v>
      </c>
      <c r="N820" s="4" cm="1">
        <f t="array" ref="N820">INDEX($F$816:$K$823, INT((ROW(A5)-1)/6)+1, MOD(ROW(A619)-1,6)+1)</f>
        <v>0</v>
      </c>
      <c r="P820" s="15" t="e" cm="1" vm="1">
        <f t="array" aca="1" ref="P820" ca="1">INDEX($AO$204:$AO$235, H607)</f>
        <v>#VALUE!</v>
      </c>
      <c r="Q820" s="15" t="e" cm="1" vm="1">
        <f t="array" aca="1" ref="Q820" ca="1">INDEX($AO$204:$AO$235, I607)</f>
        <v>#VALUE!</v>
      </c>
      <c r="R820" s="15" t="e" cm="1" vm="1">
        <f t="array" aca="1" ref="R820" ca="1">INDEX($AO$204:$AO$235, J607)</f>
        <v>#VALUE!</v>
      </c>
      <c r="S820" s="15" t="e" cm="1" vm="1">
        <f t="array" aca="1" ref="S820" ca="1">INDEX($AO$204:$AO$235, K607)</f>
        <v>#VALUE!</v>
      </c>
      <c r="T820" s="15" t="e" cm="1" vm="1">
        <f t="array" aca="1" ref="T820" ca="1">INDEX($AO$204:$AO$235, L607)</f>
        <v>#VALUE!</v>
      </c>
      <c r="U820" s="15" t="e" cm="1">
        <f t="array" ref="U820">INDEX($AO$204:$AO$235, M607)</f>
        <v>#REF!</v>
      </c>
      <c r="W820" s="9">
        <v>5</v>
      </c>
      <c r="X820" s="4" t="e">
        <f t="shared" si="65"/>
        <v>#REF!</v>
      </c>
      <c r="Z820" s="32">
        <v>4</v>
      </c>
      <c r="AA820" s="34" t="e">
        <f>_xlfn.TEXTJOIN("", TRUE, INDEX($X$264:$X$311, (ROW(A556)-1)*6+1) : INDEX($X$264:$X$311, (ROW(A556)-1)*6+6))</f>
        <v>#REF!</v>
      </c>
      <c r="AB820" s="35"/>
      <c r="AC820" s="32" t="e">
        <f t="shared" si="66"/>
        <v>#REF!</v>
      </c>
      <c r="AD820" s="31" t="e">
        <f t="shared" si="67"/>
        <v>#REF!</v>
      </c>
      <c r="AE820" s="31" t="e" cm="1">
        <f t="array" aca="1" ref="AE820" ca="1">INDEX(OFFSET('[1]S-box'!$A$2, (Z820-1)*6, 0, 4, 16), AC820+1, AD820+1)</f>
        <v>#VALUE!</v>
      </c>
      <c r="AF820" s="33" t="e">
        <f t="shared" ca="1" si="68"/>
        <v>#VALUE!</v>
      </c>
      <c r="AH820" s="9">
        <v>5</v>
      </c>
      <c r="AI820" s="4" t="e" cm="1">
        <f t="array" ref="AI820">MID(INDEX($AF$265:$AF$272,INT((ROW(A557)-1)/4)+1),MOD(ROW(A557)-1,4)+1,1)</f>
        <v>#REF!</v>
      </c>
      <c r="AK820" s="9">
        <v>5</v>
      </c>
      <c r="AL820" s="4" t="e" cm="1">
        <f t="array" ref="AL820">INDEX($AI$264:$AI$295, INDEX($H$15:$O$18, INT((ROW(A557)-1)/8)+1, MOD(ROW(A557)-1,8)+1))</f>
        <v>#REF!</v>
      </c>
      <c r="AN820" s="2" t="e" vm="3">
        <f t="shared" ca="1" si="69"/>
        <v>#VALUE!</v>
      </c>
      <c r="AO820" s="2" t="e">
        <f t="shared" si="70"/>
        <v>#REF!</v>
      </c>
    </row>
    <row r="821" spans="2:41" x14ac:dyDescent="0.25">
      <c r="B821" s="2">
        <v>6</v>
      </c>
      <c r="C821" s="2">
        <v>1</v>
      </c>
      <c r="F821" s="15" cm="1">
        <f t="array" ref="F821">INDEX($C$816:$C$871, H46)</f>
        <v>0</v>
      </c>
      <c r="G821" s="15" cm="1">
        <f t="array" ref="G821">INDEX($C$816:$C$871, I46)</f>
        <v>1</v>
      </c>
      <c r="H821" s="15" cm="1">
        <f t="array" ref="H821">INDEX($C$816:$C$871, J46)</f>
        <v>0</v>
      </c>
      <c r="I821" s="15" cm="1">
        <f t="array" ref="I821">INDEX($C$816:$C$871, K46)</f>
        <v>1</v>
      </c>
      <c r="J821" s="15" cm="1">
        <f t="array" ref="J821">INDEX($C$816:$C$871, L46)</f>
        <v>0</v>
      </c>
      <c r="K821" s="15" cm="1">
        <f t="array" ref="K821">INDEX($C$816:$C$871, M46)</f>
        <v>1</v>
      </c>
      <c r="M821" s="9">
        <v>6</v>
      </c>
      <c r="N821" s="4" cm="1">
        <f t="array" ref="N821">INDEX($F$816:$K$823, INT((ROW(A6)-1)/6)+1, MOD(ROW(A620)-1,6)+1)</f>
        <v>1</v>
      </c>
      <c r="P821" s="15" t="e" cm="1" vm="1">
        <f t="array" aca="1" ref="P821" ca="1">INDEX($AO$204:$AO$235, H608)</f>
        <v>#VALUE!</v>
      </c>
      <c r="Q821" s="15" t="e" cm="1" vm="1">
        <f t="array" aca="1" ref="Q821" ca="1">INDEX($AO$204:$AO$235, I608)</f>
        <v>#VALUE!</v>
      </c>
      <c r="R821" s="15" t="e" cm="1" vm="1">
        <f t="array" aca="1" ref="R821" ca="1">INDEX($AO$204:$AO$235, J608)</f>
        <v>#VALUE!</v>
      </c>
      <c r="S821" s="15" t="e" cm="1" vm="1">
        <f t="array" aca="1" ref="S821" ca="1">INDEX($AO$204:$AO$235, K608)</f>
        <v>#VALUE!</v>
      </c>
      <c r="T821" s="15" t="e" cm="1" vm="1">
        <f t="array" aca="1" ref="T821" ca="1">INDEX($AO$204:$AO$235, L608)</f>
        <v>#VALUE!</v>
      </c>
      <c r="U821" s="15" t="e" cm="1">
        <f t="array" ref="U821">INDEX($AO$204:$AO$235, M608)</f>
        <v>#REF!</v>
      </c>
      <c r="W821" s="9">
        <v>6</v>
      </c>
      <c r="X821" s="4" t="e">
        <f t="shared" si="65"/>
        <v>#REF!</v>
      </c>
      <c r="Z821" s="32">
        <v>5</v>
      </c>
      <c r="AA821" s="34" t="e">
        <f>_xlfn.TEXTJOIN("", TRUE, INDEX($X$264:$X$311, (ROW(A557)-1)*6+1) : INDEX($X$264:$X$311, (ROW(A557)-1)*6+6))</f>
        <v>#REF!</v>
      </c>
      <c r="AB821" s="35"/>
      <c r="AC821" s="32" t="e">
        <f t="shared" si="66"/>
        <v>#REF!</v>
      </c>
      <c r="AD821" s="31" t="e">
        <f t="shared" si="67"/>
        <v>#REF!</v>
      </c>
      <c r="AE821" s="31" t="e" cm="1">
        <f t="array" aca="1" ref="AE821" ca="1">INDEX(OFFSET('[1]S-box'!$A$2, (Z821-1)*6, 0, 4, 16), AC821+1, AD821+1)</f>
        <v>#VALUE!</v>
      </c>
      <c r="AF821" s="33" t="e">
        <f t="shared" ca="1" si="68"/>
        <v>#VALUE!</v>
      </c>
      <c r="AH821" s="9">
        <v>6</v>
      </c>
      <c r="AI821" s="4" t="e" cm="1">
        <f t="array" ref="AI821">MID(INDEX($AF$265:$AF$272,INT((ROW(A558)-1)/4)+1),MOD(ROW(A558)-1,4)+1,1)</f>
        <v>#REF!</v>
      </c>
      <c r="AK821" s="9">
        <v>6</v>
      </c>
      <c r="AL821" s="4" t="e" cm="1">
        <f t="array" ref="AL821">INDEX($AI$264:$AI$295, INDEX($H$15:$O$18, INT((ROW(A558)-1)/8)+1, MOD(ROW(A558)-1,8)+1))</f>
        <v>#REF!</v>
      </c>
      <c r="AN821" s="2" t="e" vm="3">
        <f t="shared" ca="1" si="69"/>
        <v>#VALUE!</v>
      </c>
      <c r="AO821" s="2" t="e">
        <f t="shared" si="70"/>
        <v>#REF!</v>
      </c>
    </row>
    <row r="822" spans="2:41" x14ac:dyDescent="0.25">
      <c r="B822" s="2">
        <v>7</v>
      </c>
      <c r="C822" s="2">
        <v>1</v>
      </c>
      <c r="F822" s="15" cm="1">
        <f t="array" ref="F822">INDEX($C$816:$C$871, H47)</f>
        <v>1</v>
      </c>
      <c r="G822" s="15" cm="1">
        <f t="array" ref="G822">INDEX($C$816:$C$871, I47)</f>
        <v>1</v>
      </c>
      <c r="H822" s="15" cm="1">
        <f t="array" ref="H822">INDEX($C$816:$C$871, J47)</f>
        <v>0</v>
      </c>
      <c r="I822" s="15" cm="1">
        <f t="array" ref="I822">INDEX($C$816:$C$871, K47)</f>
        <v>0</v>
      </c>
      <c r="J822" s="15" cm="1">
        <f t="array" ref="J822">INDEX($C$816:$C$871, L47)</f>
        <v>1</v>
      </c>
      <c r="K822" s="15" cm="1">
        <f t="array" ref="K822">INDEX($C$816:$C$871, M47)</f>
        <v>1</v>
      </c>
      <c r="M822" s="9">
        <v>7</v>
      </c>
      <c r="N822" s="4" cm="1">
        <f t="array" ref="N822">INDEX($F$816:$K$823, INT((ROW(A7)-1)/6)+1, MOD(ROW(A621)-1,6)+1)</f>
        <v>0</v>
      </c>
      <c r="P822" s="15" t="e" cm="1" vm="1">
        <f t="array" aca="1" ref="P822" ca="1">INDEX($AO$204:$AO$235, H609)</f>
        <v>#VALUE!</v>
      </c>
      <c r="Q822" s="15" t="e" cm="1" vm="1">
        <f t="array" aca="1" ref="Q822" ca="1">INDEX($AO$204:$AO$235, I609)</f>
        <v>#VALUE!</v>
      </c>
      <c r="R822" s="15" t="e" cm="1" vm="1">
        <f t="array" aca="1" ref="R822" ca="1">INDEX($AO$204:$AO$235, J609)</f>
        <v>#VALUE!</v>
      </c>
      <c r="S822" s="15" t="e" cm="1" vm="1">
        <f t="array" aca="1" ref="S822" ca="1">INDEX($AO$204:$AO$235, K609)</f>
        <v>#VALUE!</v>
      </c>
      <c r="T822" s="15" t="e" cm="1" vm="1">
        <f t="array" aca="1" ref="T822" ca="1">INDEX($AO$204:$AO$235, L609)</f>
        <v>#VALUE!</v>
      </c>
      <c r="U822" s="15" t="e" cm="1">
        <f t="array" ref="U822">INDEX($AO$204:$AO$235, M609)</f>
        <v>#REF!</v>
      </c>
      <c r="W822" s="9">
        <v>7</v>
      </c>
      <c r="X822" s="4" t="e">
        <f t="shared" si="65"/>
        <v>#REF!</v>
      </c>
      <c r="Z822" s="32">
        <v>6</v>
      </c>
      <c r="AA822" s="34" t="e">
        <f>_xlfn.TEXTJOIN("", TRUE, INDEX($X$264:$X$311, (ROW(A558)-1)*6+1) : INDEX($X$264:$X$311, (ROW(A558)-1)*6+6))</f>
        <v>#REF!</v>
      </c>
      <c r="AB822" s="35"/>
      <c r="AC822" s="32" t="e">
        <f t="shared" si="66"/>
        <v>#REF!</v>
      </c>
      <c r="AD822" s="31" t="e">
        <f t="shared" si="67"/>
        <v>#REF!</v>
      </c>
      <c r="AE822" s="31" t="e" cm="1">
        <f t="array" aca="1" ref="AE822" ca="1">INDEX(OFFSET('[1]S-box'!$A$2, (Z822-1)*6, 0, 4, 16), AC822+1, AD822+1)</f>
        <v>#VALUE!</v>
      </c>
      <c r="AF822" s="33" t="e">
        <f t="shared" ca="1" si="68"/>
        <v>#VALUE!</v>
      </c>
      <c r="AH822" s="9">
        <v>7</v>
      </c>
      <c r="AI822" s="4" t="e" cm="1">
        <f t="array" ref="AI822">MID(INDEX($AF$265:$AF$272,INT((ROW(A559)-1)/4)+1),MOD(ROW(A559)-1,4)+1,1)</f>
        <v>#REF!</v>
      </c>
      <c r="AK822" s="9">
        <v>7</v>
      </c>
      <c r="AL822" s="4" t="e" cm="1">
        <f t="array" ref="AL822">INDEX($AI$264:$AI$295, INDEX($H$15:$O$18, INT((ROW(A559)-1)/8)+1, MOD(ROW(A559)-1,8)+1))</f>
        <v>#REF!</v>
      </c>
      <c r="AN822" s="2" t="e" vm="3">
        <f t="shared" ca="1" si="69"/>
        <v>#VALUE!</v>
      </c>
      <c r="AO822" s="2" t="e">
        <f t="shared" si="70"/>
        <v>#REF!</v>
      </c>
    </row>
    <row r="823" spans="2:41" x14ac:dyDescent="0.25">
      <c r="B823" s="2">
        <v>8</v>
      </c>
      <c r="C823" s="2">
        <v>1</v>
      </c>
      <c r="F823" s="15" cm="1">
        <f t="array" ref="F823">INDEX($C$816:$C$871, H48)</f>
        <v>0</v>
      </c>
      <c r="G823" s="15" cm="1">
        <f t="array" ref="G823">INDEX($C$816:$C$871, I48)</f>
        <v>1</v>
      </c>
      <c r="H823" s="15" cm="1">
        <f t="array" ref="H823">INDEX($C$816:$C$871, J48)</f>
        <v>0</v>
      </c>
      <c r="I823" s="15" cm="1">
        <f t="array" ref="I823">INDEX($C$816:$C$871, K48)</f>
        <v>1</v>
      </c>
      <c r="J823" s="15" cm="1">
        <f t="array" ref="J823">INDEX($C$816:$C$871, L48)</f>
        <v>0</v>
      </c>
      <c r="K823" s="15" cm="1">
        <f t="array" ref="K823">INDEX($C$816:$C$871, M48)</f>
        <v>1</v>
      </c>
      <c r="M823" s="11">
        <v>8</v>
      </c>
      <c r="N823" s="4" cm="1">
        <f t="array" ref="N823">INDEX($F$816:$K$823, INT((ROW(A8)-1)/6)+1, MOD(ROW(A622)-1,6)+1)</f>
        <v>1</v>
      </c>
      <c r="P823" s="15" t="e" cm="1" vm="2">
        <f t="array" aca="1" ref="P823" ca="1">INDEX($AO$204:$AO$235, H610)</f>
        <v>#VALUE!</v>
      </c>
      <c r="Q823" s="15" t="e" cm="1" vm="2">
        <f t="array" aca="1" ref="Q823" ca="1">INDEX($AO$204:$AO$235, I610)</f>
        <v>#VALUE!</v>
      </c>
      <c r="R823" s="15" t="e" cm="1">
        <f t="array" aca="1" ref="R823:R854" ca="1">INDEX($AO$204:$AO$235, J610)</f>
        <v>#VALUE!</v>
      </c>
      <c r="S823" s="15" t="e" cm="1">
        <f t="array" aca="1" ref="S823:S854" ca="1">INDEX($AO$204:$AO$235, K610)</f>
        <v>#VALUE!</v>
      </c>
      <c r="T823" s="15" t="e" cm="1">
        <f t="array" aca="1" ref="T823:T854" ca="1">INDEX($AO$204:$AO$235, L610)</f>
        <v>#VALUE!</v>
      </c>
      <c r="U823" s="15" t="e" cm="1">
        <f t="array" ref="U823">INDEX($AO$204:$AO$235, M610)</f>
        <v>#REF!</v>
      </c>
      <c r="W823" s="11">
        <v>8</v>
      </c>
      <c r="X823" s="4" t="e">
        <f t="shared" si="65"/>
        <v>#REF!</v>
      </c>
      <c r="Z823" s="32">
        <v>7</v>
      </c>
      <c r="AA823" s="34" t="e">
        <f>_xlfn.TEXTJOIN("", TRUE, INDEX($X$264:$X$311, (ROW(A559)-1)*6+1) : INDEX($X$264:$X$311, (ROW(A559)-1)*6+6))</f>
        <v>#REF!</v>
      </c>
      <c r="AB823" s="35"/>
      <c r="AC823" s="32" t="e">
        <f t="shared" si="66"/>
        <v>#REF!</v>
      </c>
      <c r="AD823" s="31" t="e">
        <f t="shared" si="67"/>
        <v>#REF!</v>
      </c>
      <c r="AE823" s="31" t="e" cm="1">
        <f t="array" aca="1" ref="AE823" ca="1">INDEX(OFFSET('[1]S-box'!$A$2, (Z823-1)*6, 0, 4, 16), AC823+1, AD823+1)</f>
        <v>#VALUE!</v>
      </c>
      <c r="AF823" s="33" t="e">
        <f t="shared" ca="1" si="68"/>
        <v>#VALUE!</v>
      </c>
      <c r="AH823" s="11">
        <v>8</v>
      </c>
      <c r="AI823" s="4" t="e" cm="1">
        <f t="array" ref="AI823">MID(INDEX($AF$265:$AF$272,INT((ROW(A560)-1)/4)+1),MOD(ROW(A560)-1,4)+1,1)</f>
        <v>#REF!</v>
      </c>
      <c r="AK823" s="11">
        <v>8</v>
      </c>
      <c r="AL823" s="4" t="e" cm="1">
        <f t="array" ref="AL823">INDEX($AI$264:$AI$295, INDEX($H$15:$O$18, INT((ROW(A560)-1)/8)+1, MOD(ROW(A560)-1,8)+1))</f>
        <v>#REF!</v>
      </c>
      <c r="AN823" s="2" t="e" vm="3">
        <f t="shared" ca="1" si="69"/>
        <v>#VALUE!</v>
      </c>
      <c r="AO823" s="2" t="e">
        <f t="shared" si="70"/>
        <v>#REF!</v>
      </c>
    </row>
    <row r="824" spans="2:41" x14ac:dyDescent="0.25">
      <c r="B824" s="2">
        <v>9</v>
      </c>
      <c r="C824" s="2">
        <v>1</v>
      </c>
      <c r="M824" s="9">
        <v>9</v>
      </c>
      <c r="N824" s="4" cm="1">
        <f t="array" ref="N824">INDEX($F$816:$K$823, INT((ROW(A9)-1)/6)+1, MOD(ROW(A623)-1,6)+1)</f>
        <v>1</v>
      </c>
      <c r="R824" t="e">
        <f ca="1"/>
        <v>#VALUE!</v>
      </c>
      <c r="S824" t="e">
        <f ca="1"/>
        <v>#VALUE!</v>
      </c>
      <c r="T824" t="e">
        <f ca="1"/>
        <v>#VALUE!</v>
      </c>
      <c r="W824" s="9">
        <v>9</v>
      </c>
      <c r="X824" s="4" t="e">
        <f t="shared" si="65"/>
        <v>#REF!</v>
      </c>
      <c r="Z824" s="32">
        <v>8</v>
      </c>
      <c r="AA824" s="34" t="e">
        <f>_xlfn.TEXTJOIN("", TRUE, INDEX($X$264:$X$311, (ROW(A560)-1)*6+1) : INDEX($X$264:$X$311, (ROW(A560)-1)*6+6))</f>
        <v>#REF!</v>
      </c>
      <c r="AB824" s="35"/>
      <c r="AC824" s="32" t="e">
        <f t="shared" si="66"/>
        <v>#REF!</v>
      </c>
      <c r="AD824" s="31" t="e">
        <f t="shared" si="67"/>
        <v>#REF!</v>
      </c>
      <c r="AE824" s="31" t="e" cm="1">
        <f t="array" aca="1" ref="AE824" ca="1">INDEX(OFFSET('[1]S-box'!$A$2, (Z824-1)*6, 0, 4, 16), AC824+1, AD824+1)</f>
        <v>#VALUE!</v>
      </c>
      <c r="AF824" s="33" t="e">
        <f t="shared" ca="1" si="68"/>
        <v>#VALUE!</v>
      </c>
      <c r="AH824" s="9">
        <v>9</v>
      </c>
      <c r="AI824" s="4" t="e" cm="1">
        <f t="array" ref="AI824">MID(INDEX($AF$265:$AF$272,INT((ROW(A561)-1)/4)+1),MOD(ROW(A561)-1,4)+1,1)</f>
        <v>#REF!</v>
      </c>
      <c r="AK824" s="9">
        <v>9</v>
      </c>
      <c r="AL824" s="4" t="e" cm="1">
        <f t="array" ref="AL824">INDEX($AI$264:$AI$295, INDEX($H$15:$O$18, INT((ROW(A561)-1)/8)+1, MOD(ROW(A561)-1,8)+1))</f>
        <v>#REF!</v>
      </c>
      <c r="AN824" s="2" t="e" vm="3">
        <f t="shared" ca="1" si="69"/>
        <v>#VALUE!</v>
      </c>
      <c r="AO824" s="2" t="e">
        <f t="shared" si="70"/>
        <v>#REF!</v>
      </c>
    </row>
    <row r="825" spans="2:41" x14ac:dyDescent="0.25">
      <c r="B825" s="2">
        <v>10</v>
      </c>
      <c r="C825" s="2">
        <v>1</v>
      </c>
      <c r="M825" s="9">
        <v>10</v>
      </c>
      <c r="N825" s="4" cm="1">
        <f t="array" ref="N825">INDEX($F$816:$K$823, INT((ROW(A10)-1)/6)+1, MOD(ROW(A624)-1,6)+1)</f>
        <v>1</v>
      </c>
      <c r="P825" s="36" t="s">
        <v>94</v>
      </c>
      <c r="Q825" s="36"/>
      <c r="R825" t="e">
        <f ca="1"/>
        <v>#VALUE!</v>
      </c>
      <c r="S825" t="e">
        <f ca="1"/>
        <v>#VALUE!</v>
      </c>
      <c r="T825" t="e">
        <f ca="1"/>
        <v>#VALUE!</v>
      </c>
      <c r="W825" s="9">
        <v>10</v>
      </c>
      <c r="X825" s="4" t="e">
        <f t="shared" si="65"/>
        <v>#REF!</v>
      </c>
      <c r="AH825" s="9">
        <v>10</v>
      </c>
      <c r="AI825" s="4" t="e" cm="1">
        <f t="array" ref="AI825">MID(INDEX($AF$265:$AF$272,INT((ROW(A562)-1)/4)+1),MOD(ROW(A562)-1,4)+1,1)</f>
        <v>#REF!</v>
      </c>
      <c r="AK825" s="9">
        <v>10</v>
      </c>
      <c r="AL825" s="4" t="e" cm="1">
        <f t="array" ref="AL825">INDEX($AI$264:$AI$295, INDEX($H$15:$O$18, INT((ROW(A562)-1)/8)+1, MOD(ROW(A562)-1,8)+1))</f>
        <v>#REF!</v>
      </c>
      <c r="AN825" s="2" t="e" vm="3">
        <f t="shared" ca="1" si="69"/>
        <v>#VALUE!</v>
      </c>
      <c r="AO825" s="2" t="e">
        <f t="shared" si="70"/>
        <v>#REF!</v>
      </c>
    </row>
    <row r="826" spans="2:41" x14ac:dyDescent="0.25">
      <c r="B826" s="2">
        <v>11</v>
      </c>
      <c r="C826" s="2">
        <v>1</v>
      </c>
      <c r="M826" s="9">
        <v>11</v>
      </c>
      <c r="N826" s="4" cm="1">
        <f t="array" ref="N826">INDEX($F$816:$K$823, INT((ROW(A11)-1)/6)+1, MOD(ROW(A625)-1,6)+1)</f>
        <v>0</v>
      </c>
      <c r="P826" s="9">
        <v>1</v>
      </c>
      <c r="Q826" s="4" t="e" cm="1">
        <f t="array" ref="Q826">INDEX($P$264:$U$271, INT((ROW(A553)-1)/6)+1, MOD(ROW(A553)-1,6)+1)</f>
        <v>#REF!</v>
      </c>
      <c r="R826" t="e">
        <f ca="1"/>
        <v>#VALUE!</v>
      </c>
      <c r="S826" t="e">
        <f ca="1"/>
        <v>#VALUE!</v>
      </c>
      <c r="T826" t="e">
        <f ca="1"/>
        <v>#VALUE!</v>
      </c>
      <c r="W826" s="9">
        <v>11</v>
      </c>
      <c r="X826" s="4" t="e">
        <f t="shared" si="65"/>
        <v>#REF!</v>
      </c>
      <c r="AH826" s="9">
        <v>11</v>
      </c>
      <c r="AI826" s="4" t="e" cm="1">
        <f t="array" ref="AI826">MID(INDEX($AF$265:$AF$272,INT((ROW(A563)-1)/4)+1),MOD(ROW(A563)-1,4)+1,1)</f>
        <v>#REF!</v>
      </c>
      <c r="AK826" s="9">
        <v>11</v>
      </c>
      <c r="AL826" s="4" t="e" cm="1">
        <f t="array" ref="AL826">INDEX($AI$264:$AI$295, INDEX($H$15:$O$18, INT((ROW(A563)-1)/8)+1, MOD(ROW(A563)-1,8)+1))</f>
        <v>#REF!</v>
      </c>
      <c r="AN826" s="2" t="e">
        <f t="shared" ca="1" si="69"/>
        <v>#VALUE!</v>
      </c>
      <c r="AO826" s="2" t="e">
        <f t="shared" si="70"/>
        <v>#REF!</v>
      </c>
    </row>
    <row r="827" spans="2:41" x14ac:dyDescent="0.25">
      <c r="B827" s="2">
        <v>12</v>
      </c>
      <c r="C827" s="2">
        <v>0</v>
      </c>
      <c r="M827" s="9">
        <v>12</v>
      </c>
      <c r="N827" s="4" cm="1">
        <f t="array" ref="N827">INDEX($F$816:$K$823, INT((ROW(A12)-1)/6)+1, MOD(ROW(A626)-1,6)+1)</f>
        <v>1</v>
      </c>
      <c r="P827" s="9">
        <v>2</v>
      </c>
      <c r="Q827" s="4" t="e" cm="1">
        <f t="array" ref="Q827">INDEX($P$264:$U$271, INT((ROW(A554)-1)/6)+1, MOD(ROW(A554)-1,6)+1)</f>
        <v>#REF!</v>
      </c>
      <c r="R827" t="e">
        <f ca="1"/>
        <v>#VALUE!</v>
      </c>
      <c r="S827" t="e">
        <f ca="1"/>
        <v>#VALUE!</v>
      </c>
      <c r="T827" t="e">
        <f ca="1"/>
        <v>#VALUE!</v>
      </c>
      <c r="W827" s="9">
        <v>12</v>
      </c>
      <c r="X827" s="4" t="e">
        <f t="shared" si="65"/>
        <v>#REF!</v>
      </c>
      <c r="AH827" s="9">
        <v>12</v>
      </c>
      <c r="AI827" s="4" t="e" cm="1">
        <f t="array" ref="AI827">MID(INDEX($AF$265:$AF$272,INT((ROW(A564)-1)/4)+1),MOD(ROW(A564)-1,4)+1,1)</f>
        <v>#REF!</v>
      </c>
      <c r="AK827" s="9">
        <v>12</v>
      </c>
      <c r="AL827" s="4" t="e" cm="1">
        <f t="array" ref="AL827">INDEX($AI$264:$AI$295, INDEX($H$15:$O$18, INT((ROW(A564)-1)/8)+1, MOD(ROW(A564)-1,8)+1))</f>
        <v>#REF!</v>
      </c>
      <c r="AN827" s="2" t="e">
        <f t="shared" ca="1" si="69"/>
        <v>#VALUE!</v>
      </c>
      <c r="AO827" s="2" t="e">
        <f t="shared" si="70"/>
        <v>#REF!</v>
      </c>
    </row>
    <row r="828" spans="2:41" x14ac:dyDescent="0.25">
      <c r="B828" s="2">
        <v>13</v>
      </c>
      <c r="C828" s="2">
        <v>0</v>
      </c>
      <c r="M828" s="9">
        <v>13</v>
      </c>
      <c r="N828" s="4" cm="1">
        <f t="array" ref="N828">INDEX($F$816:$K$823, INT((ROW(A13)-1)/6)+1, MOD(ROW(A627)-1,6)+1)</f>
        <v>0</v>
      </c>
      <c r="P828" s="9">
        <v>3</v>
      </c>
      <c r="Q828" s="4" t="e" cm="1">
        <f t="array" ref="Q828">INDEX($P$264:$U$271, INT((ROW(A555)-1)/6)+1, MOD(ROW(A555)-1,6)+1)</f>
        <v>#REF!</v>
      </c>
      <c r="R828" t="e">
        <f ca="1"/>
        <v>#VALUE!</v>
      </c>
      <c r="S828" t="e">
        <f ca="1"/>
        <v>#VALUE!</v>
      </c>
      <c r="T828" t="e">
        <f ca="1"/>
        <v>#VALUE!</v>
      </c>
      <c r="W828" s="9">
        <v>13</v>
      </c>
      <c r="X828" s="4" t="e">
        <f t="shared" si="65"/>
        <v>#REF!</v>
      </c>
      <c r="AH828" s="9">
        <v>13</v>
      </c>
      <c r="AI828" s="4" t="e" cm="1">
        <f t="array" ref="AI828">MID(INDEX($AF$265:$AF$272,INT((ROW(A565)-1)/4)+1),MOD(ROW(A565)-1,4)+1,1)</f>
        <v>#REF!</v>
      </c>
      <c r="AK828" s="9">
        <v>13</v>
      </c>
      <c r="AL828" s="4" t="e" cm="1">
        <f t="array" ref="AL828">INDEX($AI$264:$AI$295, INDEX($H$15:$O$18, INT((ROW(A565)-1)/8)+1, MOD(ROW(A565)-1,8)+1))</f>
        <v>#REF!</v>
      </c>
      <c r="AN828" s="2" t="e">
        <f t="shared" ca="1" si="69"/>
        <v>#VALUE!</v>
      </c>
      <c r="AO828" s="2" t="e">
        <f t="shared" si="70"/>
        <v>#REF!</v>
      </c>
    </row>
    <row r="829" spans="2:41" x14ac:dyDescent="0.25">
      <c r="B829" s="2">
        <v>14</v>
      </c>
      <c r="C829" s="2">
        <v>0</v>
      </c>
      <c r="M829" s="9">
        <v>14</v>
      </c>
      <c r="N829" s="4" cm="1">
        <f t="array" ref="N829">INDEX($F$816:$K$823, INT((ROW(A14)-1)/6)+1, MOD(ROW(A628)-1,6)+1)</f>
        <v>1</v>
      </c>
      <c r="P829" s="9">
        <v>4</v>
      </c>
      <c r="Q829" s="4" t="e" cm="1">
        <f t="array" ref="Q829">INDEX($P$264:$U$271, INT((ROW(A556)-1)/6)+1, MOD(ROW(A556)-1,6)+1)</f>
        <v>#REF!</v>
      </c>
      <c r="R829" t="e">
        <f ca="1"/>
        <v>#VALUE!</v>
      </c>
      <c r="S829" t="e">
        <f ca="1"/>
        <v>#VALUE!</v>
      </c>
      <c r="T829" t="e">
        <f ca="1"/>
        <v>#VALUE!</v>
      </c>
      <c r="W829" s="9">
        <v>14</v>
      </c>
      <c r="X829" s="4" t="e">
        <f t="shared" si="65"/>
        <v>#REF!</v>
      </c>
      <c r="AH829" s="9">
        <v>14</v>
      </c>
      <c r="AI829" s="4" t="e" cm="1">
        <f t="array" ref="AI829">MID(INDEX($AF$265:$AF$272,INT((ROW(A566)-1)/4)+1),MOD(ROW(A566)-1,4)+1,1)</f>
        <v>#REF!</v>
      </c>
      <c r="AK829" s="9">
        <v>14</v>
      </c>
      <c r="AL829" s="4" t="e" cm="1">
        <f t="array" ref="AL829">INDEX($AI$264:$AI$295, INDEX($H$15:$O$18, INT((ROW(A566)-1)/8)+1, MOD(ROW(A566)-1,8)+1))</f>
        <v>#REF!</v>
      </c>
      <c r="AN829" s="2" t="e">
        <f t="shared" ca="1" si="69"/>
        <v>#VALUE!</v>
      </c>
      <c r="AO829" s="2" t="e">
        <f t="shared" si="70"/>
        <v>#REF!</v>
      </c>
    </row>
    <row r="830" spans="2:41" x14ac:dyDescent="0.25">
      <c r="B830" s="2">
        <v>15</v>
      </c>
      <c r="C830" s="2">
        <v>0</v>
      </c>
      <c r="M830" s="9">
        <v>15</v>
      </c>
      <c r="N830" s="4" cm="1">
        <f t="array" ref="N830">INDEX($F$816:$K$823, INT((ROW(A15)-1)/6)+1, MOD(ROW(A629)-1,6)+1)</f>
        <v>1</v>
      </c>
      <c r="P830" s="9">
        <v>5</v>
      </c>
      <c r="Q830" s="4" t="e" cm="1">
        <f t="array" ref="Q830">INDEX($P$264:$U$271, INT((ROW(A557)-1)/6)+1, MOD(ROW(A557)-1,6)+1)</f>
        <v>#REF!</v>
      </c>
      <c r="R830" t="e">
        <f ca="1"/>
        <v>#VALUE!</v>
      </c>
      <c r="S830" t="e">
        <f ca="1"/>
        <v>#VALUE!</v>
      </c>
      <c r="T830" t="e">
        <f ca="1"/>
        <v>#VALUE!</v>
      </c>
      <c r="W830" s="9">
        <v>15</v>
      </c>
      <c r="X830" s="4" t="e">
        <f t="shared" si="65"/>
        <v>#REF!</v>
      </c>
      <c r="AH830" s="9">
        <v>15</v>
      </c>
      <c r="AI830" s="4" t="e" cm="1">
        <f t="array" ref="AI830">MID(INDEX($AF$265:$AF$272,INT((ROW(A567)-1)/4)+1),MOD(ROW(A567)-1,4)+1,1)</f>
        <v>#REF!</v>
      </c>
      <c r="AK830" s="9">
        <v>15</v>
      </c>
      <c r="AL830" s="4" t="e" cm="1">
        <f t="array" ref="AL830">INDEX($AI$264:$AI$295, INDEX($H$15:$O$18, INT((ROW(A567)-1)/8)+1, MOD(ROW(A567)-1,8)+1))</f>
        <v>#REF!</v>
      </c>
      <c r="AN830" s="2" t="e">
        <f t="shared" ca="1" si="69"/>
        <v>#VALUE!</v>
      </c>
      <c r="AO830" s="2" t="e">
        <f t="shared" si="70"/>
        <v>#REF!</v>
      </c>
    </row>
    <row r="831" spans="2:41" x14ac:dyDescent="0.25">
      <c r="B831" s="2">
        <v>16</v>
      </c>
      <c r="C831" s="2">
        <v>1</v>
      </c>
      <c r="M831" s="11">
        <v>16</v>
      </c>
      <c r="N831" s="4" cm="1">
        <f t="array" ref="N831">INDEX($F$816:$K$823, INT((ROW(A16)-1)/6)+1, MOD(ROW(A630)-1,6)+1)</f>
        <v>1</v>
      </c>
      <c r="P831" s="9">
        <v>6</v>
      </c>
      <c r="Q831" s="4" t="e" cm="1">
        <f t="array" ref="Q831">INDEX($P$264:$U$271, INT((ROW(A558)-1)/6)+1, MOD(ROW(A558)-1,6)+1)</f>
        <v>#REF!</v>
      </c>
      <c r="R831" t="e">
        <f ca="1"/>
        <v>#VALUE!</v>
      </c>
      <c r="S831" t="e">
        <f ca="1"/>
        <v>#VALUE!</v>
      </c>
      <c r="T831" t="e">
        <f ca="1"/>
        <v>#VALUE!</v>
      </c>
      <c r="W831" s="11">
        <v>16</v>
      </c>
      <c r="X831" s="4" t="e">
        <f t="shared" si="65"/>
        <v>#REF!</v>
      </c>
      <c r="AH831" s="11">
        <v>16</v>
      </c>
      <c r="AI831" s="4" t="e" cm="1">
        <f t="array" ref="AI831">MID(INDEX($AF$265:$AF$272,INT((ROW(A568)-1)/4)+1),MOD(ROW(A568)-1,4)+1,1)</f>
        <v>#REF!</v>
      </c>
      <c r="AK831" s="11">
        <v>16</v>
      </c>
      <c r="AL831" s="4" t="e" cm="1">
        <f t="array" ref="AL831">INDEX($AI$264:$AI$295, INDEX($H$15:$O$18, INT((ROW(A568)-1)/8)+1, MOD(ROW(A568)-1,8)+1))</f>
        <v>#REF!</v>
      </c>
      <c r="AN831" s="2" t="e">
        <f t="shared" ca="1" si="69"/>
        <v>#VALUE!</v>
      </c>
      <c r="AO831" s="2" t="e">
        <f t="shared" si="70"/>
        <v>#REF!</v>
      </c>
    </row>
    <row r="832" spans="2:41" x14ac:dyDescent="0.25">
      <c r="B832" s="2">
        <v>17</v>
      </c>
      <c r="C832" s="2">
        <v>1</v>
      </c>
      <c r="M832" s="7">
        <v>17</v>
      </c>
      <c r="N832" s="4" cm="1">
        <f t="array" ref="N832">INDEX($F$816:$K$823, INT((ROW(A17)-1)/6)+1, MOD(ROW(A631)-1,6)+1)</f>
        <v>0</v>
      </c>
      <c r="P832" s="9">
        <v>7</v>
      </c>
      <c r="Q832" s="4" t="e" cm="1">
        <f t="array" ref="Q832">INDEX($P$264:$U$271, INT((ROW(A559)-1)/6)+1, MOD(ROW(A559)-1,6)+1)</f>
        <v>#REF!</v>
      </c>
      <c r="R832" t="e">
        <f ca="1"/>
        <v>#VALUE!</v>
      </c>
      <c r="S832" t="e">
        <f ca="1"/>
        <v>#VALUE!</v>
      </c>
      <c r="T832" t="e">
        <f ca="1"/>
        <v>#VALUE!</v>
      </c>
      <c r="W832" s="7">
        <v>17</v>
      </c>
      <c r="X832" s="4" t="e">
        <f t="shared" si="65"/>
        <v>#REF!</v>
      </c>
      <c r="AH832" s="7">
        <v>17</v>
      </c>
      <c r="AI832" s="4" t="e" cm="1">
        <f t="array" ref="AI832">MID(INDEX($AF$265:$AF$272,INT((ROW(A569)-1)/4)+1),MOD(ROW(A569)-1,4)+1,1)</f>
        <v>#REF!</v>
      </c>
      <c r="AK832" s="7">
        <v>17</v>
      </c>
      <c r="AL832" s="4" t="e" cm="1">
        <f t="array" ref="AL832">INDEX($AI$264:$AI$295, INDEX($H$15:$O$18, INT((ROW(A569)-1)/8)+1, MOD(ROW(A569)-1,8)+1))</f>
        <v>#REF!</v>
      </c>
      <c r="AN832" s="2" t="e">
        <f t="shared" ca="1" si="69"/>
        <v>#VALUE!</v>
      </c>
      <c r="AO832" s="2" t="e">
        <f t="shared" si="70"/>
        <v>#REF!</v>
      </c>
    </row>
    <row r="833" spans="2:41" x14ac:dyDescent="0.25">
      <c r="B833" s="2">
        <v>18</v>
      </c>
      <c r="C833" s="2">
        <v>0</v>
      </c>
      <c r="M833" s="9">
        <v>18</v>
      </c>
      <c r="N833" s="4" cm="1">
        <f t="array" ref="N833">INDEX($F$816:$K$823, INT((ROW(A18)-1)/6)+1, MOD(ROW(A632)-1,6)+1)</f>
        <v>0</v>
      </c>
      <c r="P833" s="11">
        <v>8</v>
      </c>
      <c r="Q833" s="4" t="e" cm="1">
        <f t="array" ref="Q833">INDEX($P$264:$U$271, INT((ROW(A560)-1)/6)+1, MOD(ROW(A560)-1,6)+1)</f>
        <v>#REF!</v>
      </c>
      <c r="R833" t="e">
        <f ca="1"/>
        <v>#VALUE!</v>
      </c>
      <c r="S833" t="e">
        <f ca="1"/>
        <v>#VALUE!</v>
      </c>
      <c r="T833" t="e">
        <f ca="1"/>
        <v>#VALUE!</v>
      </c>
      <c r="W833" s="9">
        <v>18</v>
      </c>
      <c r="X833" s="4" t="e">
        <f t="shared" si="65"/>
        <v>#REF!</v>
      </c>
      <c r="AH833" s="9">
        <v>18</v>
      </c>
      <c r="AI833" s="4" t="e" cm="1">
        <f t="array" ref="AI833">MID(INDEX($AF$265:$AF$272,INT((ROW(A570)-1)/4)+1),MOD(ROW(A570)-1,4)+1,1)</f>
        <v>#REF!</v>
      </c>
      <c r="AK833" s="9">
        <v>18</v>
      </c>
      <c r="AL833" s="4" t="e" cm="1">
        <f t="array" ref="AL833">INDEX($AI$264:$AI$295, INDEX($H$15:$O$18, INT((ROW(A570)-1)/8)+1, MOD(ROW(A570)-1,8)+1))</f>
        <v>#REF!</v>
      </c>
      <c r="AN833" s="2" t="e">
        <f t="shared" ca="1" si="69"/>
        <v>#VALUE!</v>
      </c>
      <c r="AO833" s="2" t="e">
        <f t="shared" si="70"/>
        <v>#REF!</v>
      </c>
    </row>
    <row r="834" spans="2:41" x14ac:dyDescent="0.25">
      <c r="B834" s="2">
        <v>19</v>
      </c>
      <c r="C834" s="2">
        <v>0</v>
      </c>
      <c r="M834" s="9">
        <v>19</v>
      </c>
      <c r="N834" s="4" cm="1">
        <f t="array" ref="N834">INDEX($F$816:$K$823, INT((ROW(A19)-1)/6)+1, MOD(ROW(A633)-1,6)+1)</f>
        <v>0</v>
      </c>
      <c r="P834" s="7">
        <v>9</v>
      </c>
      <c r="Q834" s="4" t="e" cm="1">
        <f t="array" ref="Q834">INDEX($P$264:$U$271, INT((ROW(A561)-1)/6)+1, MOD(ROW(A561)-1,6)+1)</f>
        <v>#REF!</v>
      </c>
      <c r="R834" t="e">
        <f ca="1"/>
        <v>#VALUE!</v>
      </c>
      <c r="S834" t="e">
        <f ca="1"/>
        <v>#VALUE!</v>
      </c>
      <c r="T834" t="e">
        <f ca="1"/>
        <v>#VALUE!</v>
      </c>
      <c r="W834" s="9">
        <v>19</v>
      </c>
      <c r="X834" s="4" t="e">
        <f t="shared" si="65"/>
        <v>#REF!</v>
      </c>
      <c r="AH834" s="9">
        <v>19</v>
      </c>
      <c r="AI834" s="4" t="e" cm="1">
        <f t="array" ref="AI834">MID(INDEX($AF$265:$AF$272,INT((ROW(A571)-1)/4)+1),MOD(ROW(A571)-1,4)+1,1)</f>
        <v>#REF!</v>
      </c>
      <c r="AK834" s="9">
        <v>19</v>
      </c>
      <c r="AL834" s="4" t="e" cm="1">
        <f t="array" ref="AL834">INDEX($AI$264:$AI$295, INDEX($H$15:$O$18, INT((ROW(A571)-1)/8)+1, MOD(ROW(A571)-1,8)+1))</f>
        <v>#REF!</v>
      </c>
      <c r="AN834" s="2" t="e">
        <f t="shared" ca="1" si="69"/>
        <v>#VALUE!</v>
      </c>
      <c r="AO834" s="2" t="e">
        <f t="shared" si="70"/>
        <v>#REF!</v>
      </c>
    </row>
    <row r="835" spans="2:41" x14ac:dyDescent="0.25">
      <c r="B835" s="2">
        <v>20</v>
      </c>
      <c r="C835" s="2">
        <v>1</v>
      </c>
      <c r="M835" s="9">
        <v>20</v>
      </c>
      <c r="N835" s="4" cm="1">
        <f t="array" ref="N835">INDEX($F$816:$K$823, INT((ROW(A20)-1)/6)+1, MOD(ROW(A634)-1,6)+1)</f>
        <v>1</v>
      </c>
      <c r="P835" s="9">
        <v>10</v>
      </c>
      <c r="Q835" s="4" t="e" cm="1">
        <f t="array" ref="Q835">INDEX($P$264:$U$271, INT((ROW(A562)-1)/6)+1, MOD(ROW(A562)-1,6)+1)</f>
        <v>#REF!</v>
      </c>
      <c r="R835" t="e">
        <f ca="1"/>
        <v>#VALUE!</v>
      </c>
      <c r="S835" t="e">
        <f ca="1"/>
        <v>#VALUE!</v>
      </c>
      <c r="T835" t="e">
        <f ca="1"/>
        <v>#VALUE!</v>
      </c>
      <c r="W835" s="9">
        <v>20</v>
      </c>
      <c r="X835" s="4" t="e">
        <f t="shared" si="65"/>
        <v>#REF!</v>
      </c>
      <c r="AH835" s="9">
        <v>20</v>
      </c>
      <c r="AI835" s="4" t="e" cm="1">
        <f t="array" ref="AI835">MID(INDEX($AF$265:$AF$272,INT((ROW(A572)-1)/4)+1),MOD(ROW(A572)-1,4)+1,1)</f>
        <v>#REF!</v>
      </c>
      <c r="AK835" s="9">
        <v>20</v>
      </c>
      <c r="AL835" s="4" t="e" cm="1">
        <f t="array" ref="AL835">INDEX($AI$264:$AI$295, INDEX($H$15:$O$18, INT((ROW(A572)-1)/8)+1, MOD(ROW(A572)-1,8)+1))</f>
        <v>#REF!</v>
      </c>
      <c r="AN835" s="2" t="e">
        <f t="shared" ca="1" si="69"/>
        <v>#VALUE!</v>
      </c>
      <c r="AO835" s="2" t="e">
        <f t="shared" si="70"/>
        <v>#REF!</v>
      </c>
    </row>
    <row r="836" spans="2:41" x14ac:dyDescent="0.25">
      <c r="B836" s="2">
        <v>21</v>
      </c>
      <c r="C836" s="2">
        <v>1</v>
      </c>
      <c r="M836" s="9">
        <v>21</v>
      </c>
      <c r="N836" s="4" cm="1">
        <f t="array" ref="N836">INDEX($F$816:$K$823, INT((ROW(A21)-1)/6)+1, MOD(ROW(A635)-1,6)+1)</f>
        <v>0</v>
      </c>
      <c r="P836" s="9">
        <v>11</v>
      </c>
      <c r="Q836" s="4" t="e" cm="1">
        <f t="array" ref="Q836">INDEX($P$264:$U$271, INT((ROW(A563)-1)/6)+1, MOD(ROW(A563)-1,6)+1)</f>
        <v>#REF!</v>
      </c>
      <c r="R836" t="e">
        <f ca="1"/>
        <v>#VALUE!</v>
      </c>
      <c r="S836" t="e">
        <f ca="1"/>
        <v>#VALUE!</v>
      </c>
      <c r="T836" t="e">
        <f ca="1"/>
        <v>#VALUE!</v>
      </c>
      <c r="W836" s="9">
        <v>21</v>
      </c>
      <c r="X836" s="4" t="e">
        <f t="shared" si="65"/>
        <v>#REF!</v>
      </c>
      <c r="AH836" s="9">
        <v>21</v>
      </c>
      <c r="AI836" s="4" t="e" cm="1">
        <f t="array" ref="AI836">MID(INDEX($AF$265:$AF$272,INT((ROW(A573)-1)/4)+1),MOD(ROW(A573)-1,4)+1,1)</f>
        <v>#REF!</v>
      </c>
      <c r="AK836" s="9">
        <v>21</v>
      </c>
      <c r="AL836" s="4" t="e" cm="1">
        <f t="array" ref="AL836">INDEX($AI$264:$AI$295, INDEX($H$15:$O$18, INT((ROW(A573)-1)/8)+1, MOD(ROW(A573)-1,8)+1))</f>
        <v>#REF!</v>
      </c>
      <c r="AN836" s="2" t="e">
        <f t="shared" ca="1" si="69"/>
        <v>#VALUE!</v>
      </c>
      <c r="AO836" s="2" t="e">
        <f t="shared" si="70"/>
        <v>#REF!</v>
      </c>
    </row>
    <row r="837" spans="2:41" x14ac:dyDescent="0.25">
      <c r="B837" s="2">
        <v>22</v>
      </c>
      <c r="C837" s="2">
        <v>0</v>
      </c>
      <c r="M837" s="9">
        <v>22</v>
      </c>
      <c r="N837" s="4" cm="1">
        <f t="array" ref="N837">INDEX($F$816:$K$823, INT((ROW(A22)-1)/6)+1, MOD(ROW(A636)-1,6)+1)</f>
        <v>1</v>
      </c>
      <c r="P837" s="9">
        <v>12</v>
      </c>
      <c r="Q837" s="4" t="e" cm="1">
        <f t="array" ref="Q837">INDEX($P$264:$U$271, INT((ROW(A564)-1)/6)+1, MOD(ROW(A564)-1,6)+1)</f>
        <v>#REF!</v>
      </c>
      <c r="R837" t="e">
        <f ca="1"/>
        <v>#VALUE!</v>
      </c>
      <c r="S837" t="e">
        <f ca="1"/>
        <v>#VALUE!</v>
      </c>
      <c r="T837" t="e">
        <f ca="1"/>
        <v>#VALUE!</v>
      </c>
      <c r="W837" s="9">
        <v>22</v>
      </c>
      <c r="X837" s="4" t="e">
        <f t="shared" si="65"/>
        <v>#REF!</v>
      </c>
      <c r="AH837" s="9">
        <v>22</v>
      </c>
      <c r="AI837" s="4" t="e" cm="1">
        <f t="array" ref="AI837">MID(INDEX($AF$265:$AF$272,INT((ROW(A574)-1)/4)+1),MOD(ROW(A574)-1,4)+1,1)</f>
        <v>#REF!</v>
      </c>
      <c r="AK837" s="9">
        <v>22</v>
      </c>
      <c r="AL837" s="4" t="e" cm="1">
        <f t="array" ref="AL837">INDEX($AI$264:$AI$295, INDEX($H$15:$O$18, INT((ROW(A574)-1)/8)+1, MOD(ROW(A574)-1,8)+1))</f>
        <v>#REF!</v>
      </c>
      <c r="AN837" s="2" t="e">
        <f t="shared" ca="1" si="69"/>
        <v>#VALUE!</v>
      </c>
      <c r="AO837" s="2" t="e">
        <f t="shared" si="70"/>
        <v>#REF!</v>
      </c>
    </row>
    <row r="838" spans="2:41" x14ac:dyDescent="0.25">
      <c r="B838" s="2">
        <v>23</v>
      </c>
      <c r="C838" s="2">
        <v>0</v>
      </c>
      <c r="M838" s="9">
        <v>23</v>
      </c>
      <c r="N838" s="4" cm="1">
        <f t="array" ref="N838">INDEX($F$816:$K$823, INT((ROW(A23)-1)/6)+1, MOD(ROW(A637)-1,6)+1)</f>
        <v>1</v>
      </c>
      <c r="P838" s="9">
        <v>13</v>
      </c>
      <c r="Q838" s="4" t="e" cm="1">
        <f t="array" ref="Q838">INDEX($P$264:$U$271, INT((ROW(A565)-1)/6)+1, MOD(ROW(A565)-1,6)+1)</f>
        <v>#REF!</v>
      </c>
      <c r="R838" t="e">
        <f ca="1"/>
        <v>#VALUE!</v>
      </c>
      <c r="S838" t="e">
        <f ca="1"/>
        <v>#VALUE!</v>
      </c>
      <c r="T838" t="e">
        <f ca="1"/>
        <v>#VALUE!</v>
      </c>
      <c r="W838" s="9">
        <v>23</v>
      </c>
      <c r="X838" s="4" t="e">
        <f t="shared" si="65"/>
        <v>#REF!</v>
      </c>
      <c r="AH838" s="9">
        <v>23</v>
      </c>
      <c r="AI838" s="4" t="e" cm="1">
        <f t="array" ref="AI838">MID(INDEX($AF$265:$AF$272,INT((ROW(A575)-1)/4)+1),MOD(ROW(A575)-1,4)+1,1)</f>
        <v>#REF!</v>
      </c>
      <c r="AK838" s="9">
        <v>23</v>
      </c>
      <c r="AL838" s="4" t="e" cm="1">
        <f t="array" ref="AL838">INDEX($AI$264:$AI$295, INDEX($H$15:$O$18, INT((ROW(A575)-1)/8)+1, MOD(ROW(A575)-1,8)+1))</f>
        <v>#REF!</v>
      </c>
      <c r="AN838" s="2" t="e">
        <f t="shared" ca="1" si="69"/>
        <v>#VALUE!</v>
      </c>
      <c r="AO838" s="2" t="e">
        <f t="shared" si="70"/>
        <v>#REF!</v>
      </c>
    </row>
    <row r="839" spans="2:41" x14ac:dyDescent="0.25">
      <c r="B839" s="2">
        <v>24</v>
      </c>
      <c r="C839" s="2">
        <v>1</v>
      </c>
      <c r="M839" s="11">
        <v>24</v>
      </c>
      <c r="N839" s="4" cm="1">
        <f t="array" ref="N839">INDEX($F$816:$K$823, INT((ROW(A24)-1)/6)+1, MOD(ROW(A638)-1,6)+1)</f>
        <v>1</v>
      </c>
      <c r="P839" s="9">
        <v>14</v>
      </c>
      <c r="Q839" s="4" t="e" cm="1">
        <f t="array" ref="Q839">INDEX($P$264:$U$271, INT((ROW(A566)-1)/6)+1, MOD(ROW(A566)-1,6)+1)</f>
        <v>#REF!</v>
      </c>
      <c r="R839" t="e">
        <f ca="1"/>
        <v>#VALUE!</v>
      </c>
      <c r="S839" t="e">
        <f ca="1"/>
        <v>#VALUE!</v>
      </c>
      <c r="T839" t="e">
        <f ca="1"/>
        <v>#VALUE!</v>
      </c>
      <c r="W839" s="11">
        <v>24</v>
      </c>
      <c r="X839" s="4" t="e">
        <f t="shared" si="65"/>
        <v>#REF!</v>
      </c>
      <c r="AH839" s="11">
        <v>24</v>
      </c>
      <c r="AI839" s="4" t="e" cm="1">
        <f t="array" ref="AI839">MID(INDEX($AF$265:$AF$272,INT((ROW(A576)-1)/4)+1),MOD(ROW(A576)-1,4)+1,1)</f>
        <v>#REF!</v>
      </c>
      <c r="AK839" s="11">
        <v>24</v>
      </c>
      <c r="AL839" s="4" t="e" cm="1">
        <f t="array" ref="AL839">INDEX($AI$264:$AI$295, INDEX($H$15:$O$18, INT((ROW(A576)-1)/8)+1, MOD(ROW(A576)-1,8)+1))</f>
        <v>#REF!</v>
      </c>
      <c r="AN839" s="2" t="e">
        <f t="shared" ca="1" si="69"/>
        <v>#VALUE!</v>
      </c>
      <c r="AO839" s="2" t="e">
        <f t="shared" si="70"/>
        <v>#REF!</v>
      </c>
    </row>
    <row r="840" spans="2:41" x14ac:dyDescent="0.25">
      <c r="B840" s="2">
        <v>25</v>
      </c>
      <c r="C840" s="2">
        <v>0</v>
      </c>
      <c r="M840" s="7">
        <v>25</v>
      </c>
      <c r="N840" s="4" cm="1">
        <f t="array" ref="N840">INDEX($F$816:$K$823, INT((ROW(A25)-1)/6)+1, MOD(ROW(A639)-1,6)+1)</f>
        <v>0</v>
      </c>
      <c r="P840" s="9">
        <v>15</v>
      </c>
      <c r="Q840" s="4" t="e" cm="1">
        <f t="array" ref="Q840">INDEX($P$264:$U$271, INT((ROW(A567)-1)/6)+1, MOD(ROW(A567)-1,6)+1)</f>
        <v>#REF!</v>
      </c>
      <c r="R840" t="e">
        <f ca="1"/>
        <v>#VALUE!</v>
      </c>
      <c r="S840" t="e">
        <f ca="1"/>
        <v>#VALUE!</v>
      </c>
      <c r="T840" t="e">
        <f ca="1"/>
        <v>#VALUE!</v>
      </c>
      <c r="W840" s="7">
        <v>25</v>
      </c>
      <c r="X840" s="4" t="e">
        <f t="shared" si="65"/>
        <v>#REF!</v>
      </c>
      <c r="AH840" s="7">
        <v>25</v>
      </c>
      <c r="AI840" s="4" t="e" cm="1">
        <f t="array" ref="AI840">MID(INDEX($AF$265:$AF$272,INT((ROW(A577)-1)/4)+1),MOD(ROW(A577)-1,4)+1,1)</f>
        <v>#REF!</v>
      </c>
      <c r="AK840" s="7">
        <v>25</v>
      </c>
      <c r="AL840" s="4" t="e" cm="1">
        <f t="array" ref="AL840">INDEX($AI$264:$AI$295, INDEX($H$15:$O$18, INT((ROW(A577)-1)/8)+1, MOD(ROW(A577)-1,8)+1))</f>
        <v>#REF!</v>
      </c>
      <c r="AN840" s="2" t="e">
        <f t="shared" ca="1" si="69"/>
        <v>#VALUE!</v>
      </c>
      <c r="AO840" s="2" t="e">
        <f t="shared" si="70"/>
        <v>#REF!</v>
      </c>
    </row>
    <row r="841" spans="2:41" x14ac:dyDescent="0.25">
      <c r="B841" s="2">
        <v>26</v>
      </c>
      <c r="C841" s="2">
        <v>1</v>
      </c>
      <c r="M841" s="9">
        <v>26</v>
      </c>
      <c r="N841" s="4" cm="1">
        <f t="array" ref="N841">INDEX($F$816:$K$823, INT((ROW(A26)-1)/6)+1, MOD(ROW(A640)-1,6)+1)</f>
        <v>0</v>
      </c>
      <c r="P841" s="11">
        <v>16</v>
      </c>
      <c r="Q841" s="4" t="e" cm="1">
        <f t="array" ref="Q841">INDEX($P$264:$U$271, INT((ROW(A568)-1)/6)+1, MOD(ROW(A568)-1,6)+1)</f>
        <v>#REF!</v>
      </c>
      <c r="R841" t="e">
        <f ca="1"/>
        <v>#VALUE!</v>
      </c>
      <c r="S841" t="e">
        <f ca="1"/>
        <v>#VALUE!</v>
      </c>
      <c r="T841" t="e">
        <f ca="1"/>
        <v>#VALUE!</v>
      </c>
      <c r="W841" s="9">
        <v>26</v>
      </c>
      <c r="X841" s="4" t="e">
        <f t="shared" si="65"/>
        <v>#REF!</v>
      </c>
      <c r="AH841" s="9">
        <v>26</v>
      </c>
      <c r="AI841" s="4" t="e" cm="1">
        <f t="array" ref="AI841">MID(INDEX($AF$265:$AF$272,INT((ROW(A578)-1)/4)+1),MOD(ROW(A578)-1,4)+1,1)</f>
        <v>#REF!</v>
      </c>
      <c r="AK841" s="9">
        <v>26</v>
      </c>
      <c r="AL841" s="4" t="e" cm="1">
        <f t="array" ref="AL841">INDEX($AI$264:$AI$295, INDEX($H$15:$O$18, INT((ROW(A578)-1)/8)+1, MOD(ROW(A578)-1,8)+1))</f>
        <v>#REF!</v>
      </c>
      <c r="AN841" s="2" t="e">
        <f t="shared" ca="1" si="69"/>
        <v>#VALUE!</v>
      </c>
      <c r="AO841" s="2" t="e">
        <f t="shared" si="70"/>
        <v>#REF!</v>
      </c>
    </row>
    <row r="842" spans="2:41" x14ac:dyDescent="0.25">
      <c r="B842" s="2">
        <v>27</v>
      </c>
      <c r="C842" s="2">
        <v>0</v>
      </c>
      <c r="M842" s="9">
        <v>27</v>
      </c>
      <c r="N842" s="4" cm="1">
        <f t="array" ref="N842">INDEX($F$816:$K$823, INT((ROW(A27)-1)/6)+1, MOD(ROW(A641)-1,6)+1)</f>
        <v>0</v>
      </c>
      <c r="P842" s="7">
        <v>17</v>
      </c>
      <c r="Q842" s="4" t="e" cm="1">
        <f t="array" ref="Q842">INDEX($P$264:$U$271, INT((ROW(A569)-1)/6)+1, MOD(ROW(A569)-1,6)+1)</f>
        <v>#REF!</v>
      </c>
      <c r="R842" t="e">
        <f ca="1"/>
        <v>#VALUE!</v>
      </c>
      <c r="S842" t="e">
        <f ca="1"/>
        <v>#VALUE!</v>
      </c>
      <c r="T842" t="e">
        <f ca="1"/>
        <v>#VALUE!</v>
      </c>
      <c r="W842" s="9">
        <v>27</v>
      </c>
      <c r="X842" s="4" t="e">
        <f t="shared" si="65"/>
        <v>#REF!</v>
      </c>
      <c r="AH842" s="9">
        <v>27</v>
      </c>
      <c r="AI842" s="4" t="e" cm="1">
        <f t="array" ref="AI842">MID(INDEX($AF$265:$AF$272,INT((ROW(A579)-1)/4)+1),MOD(ROW(A579)-1,4)+1,1)</f>
        <v>#REF!</v>
      </c>
      <c r="AK842" s="9">
        <v>27</v>
      </c>
      <c r="AL842" s="4" t="e" cm="1">
        <f t="array" ref="AL842">INDEX($AI$264:$AI$295, INDEX($H$15:$O$18, INT((ROW(A579)-1)/8)+1, MOD(ROW(A579)-1,8)+1))</f>
        <v>#REF!</v>
      </c>
      <c r="AN842" s="2" t="e">
        <f t="shared" ca="1" si="69"/>
        <v>#VALUE!</v>
      </c>
      <c r="AO842" s="2" t="e">
        <f t="shared" si="70"/>
        <v>#REF!</v>
      </c>
    </row>
    <row r="843" spans="2:41" x14ac:dyDescent="0.25">
      <c r="B843" s="2">
        <v>28</v>
      </c>
      <c r="C843" s="2">
        <v>1</v>
      </c>
      <c r="M843" s="9">
        <v>28</v>
      </c>
      <c r="N843" s="4" cm="1">
        <f t="array" ref="N843">INDEX($F$816:$K$823, INT((ROW(A28)-1)/6)+1, MOD(ROW(A642)-1,6)+1)</f>
        <v>1</v>
      </c>
      <c r="P843" s="9">
        <v>18</v>
      </c>
      <c r="Q843" s="4" t="e" cm="1">
        <f t="array" ref="Q843">INDEX($P$264:$U$271, INT((ROW(A570)-1)/6)+1, MOD(ROW(A570)-1,6)+1)</f>
        <v>#REF!</v>
      </c>
      <c r="R843" t="e">
        <f ca="1"/>
        <v>#VALUE!</v>
      </c>
      <c r="S843" t="e">
        <f ca="1"/>
        <v>#VALUE!</v>
      </c>
      <c r="T843" t="e">
        <f ca="1"/>
        <v>#VALUE!</v>
      </c>
      <c r="W843" s="9">
        <v>28</v>
      </c>
      <c r="X843" s="4" t="e">
        <f t="shared" si="65"/>
        <v>#REF!</v>
      </c>
      <c r="AH843" s="9">
        <v>28</v>
      </c>
      <c r="AI843" s="4" t="e" cm="1">
        <f t="array" ref="AI843">MID(INDEX($AF$265:$AF$272,INT((ROW(A580)-1)/4)+1),MOD(ROW(A580)-1,4)+1,1)</f>
        <v>#REF!</v>
      </c>
      <c r="AK843" s="9">
        <v>28</v>
      </c>
      <c r="AL843" s="4" t="e" cm="1">
        <f t="array" ref="AL843">INDEX($AI$264:$AI$295, INDEX($H$15:$O$18, INT((ROW(A580)-1)/8)+1, MOD(ROW(A580)-1,8)+1))</f>
        <v>#REF!</v>
      </c>
      <c r="AN843" s="2" t="e">
        <f t="shared" ca="1" si="69"/>
        <v>#VALUE!</v>
      </c>
      <c r="AO843" s="2" t="e">
        <f t="shared" si="70"/>
        <v>#REF!</v>
      </c>
    </row>
    <row r="844" spans="2:41" x14ac:dyDescent="0.25">
      <c r="B844" s="2">
        <v>29</v>
      </c>
      <c r="C844" s="2">
        <v>0</v>
      </c>
      <c r="M844" s="9">
        <v>29</v>
      </c>
      <c r="N844" s="4" cm="1">
        <f t="array" ref="N844">INDEX($F$816:$K$823, INT((ROW(A29)-1)/6)+1, MOD(ROW(A643)-1,6)+1)</f>
        <v>0</v>
      </c>
      <c r="P844" s="9">
        <v>19</v>
      </c>
      <c r="Q844" s="4" t="e" cm="1">
        <f t="array" ref="Q844">INDEX($P$264:$U$271, INT((ROW(A571)-1)/6)+1, MOD(ROW(A571)-1,6)+1)</f>
        <v>#REF!</v>
      </c>
      <c r="R844" t="e">
        <f ca="1"/>
        <v>#VALUE!</v>
      </c>
      <c r="S844" t="e">
        <f ca="1"/>
        <v>#VALUE!</v>
      </c>
      <c r="T844" t="e">
        <f ca="1"/>
        <v>#VALUE!</v>
      </c>
      <c r="W844" s="9">
        <v>29</v>
      </c>
      <c r="X844" s="4" t="e">
        <f t="shared" si="65"/>
        <v>#REF!</v>
      </c>
      <c r="AH844" s="9">
        <v>29</v>
      </c>
      <c r="AI844" s="4" t="e" cm="1">
        <f t="array" ref="AI844">MID(INDEX($AF$265:$AF$272,INT((ROW(A581)-1)/4)+1),MOD(ROW(A581)-1,4)+1,1)</f>
        <v>#REF!</v>
      </c>
      <c r="AK844" s="9">
        <v>29</v>
      </c>
      <c r="AL844" s="4" t="e" cm="1">
        <f t="array" ref="AL844">INDEX($AI$264:$AI$295, INDEX($H$15:$O$18, INT((ROW(A581)-1)/8)+1, MOD(ROW(A581)-1,8)+1))</f>
        <v>#REF!</v>
      </c>
      <c r="AN844" s="2" t="e">
        <f t="shared" ca="1" si="69"/>
        <v>#VALUE!</v>
      </c>
      <c r="AO844" s="2" t="e">
        <f t="shared" si="70"/>
        <v>#REF!</v>
      </c>
    </row>
    <row r="845" spans="2:41" x14ac:dyDescent="0.25">
      <c r="B845" s="2">
        <v>30</v>
      </c>
      <c r="C845" s="2">
        <v>0</v>
      </c>
      <c r="M845" s="9">
        <v>30</v>
      </c>
      <c r="N845" s="4" cm="1">
        <f t="array" ref="N845">INDEX($F$816:$K$823, INT((ROW(A30)-1)/6)+1, MOD(ROW(A644)-1,6)+1)</f>
        <v>1</v>
      </c>
      <c r="P845" s="9">
        <v>20</v>
      </c>
      <c r="Q845" s="4" t="e" cm="1">
        <f t="array" ref="Q845">INDEX($P$264:$U$271, INT((ROW(A572)-1)/6)+1, MOD(ROW(A572)-1,6)+1)</f>
        <v>#REF!</v>
      </c>
      <c r="R845" t="e">
        <f ca="1"/>
        <v>#VALUE!</v>
      </c>
      <c r="S845" t="e">
        <f ca="1"/>
        <v>#VALUE!</v>
      </c>
      <c r="T845" t="e">
        <f ca="1"/>
        <v>#VALUE!</v>
      </c>
      <c r="W845" s="9">
        <v>30</v>
      </c>
      <c r="X845" s="4" t="e">
        <f t="shared" si="65"/>
        <v>#REF!</v>
      </c>
      <c r="AH845" s="9">
        <v>30</v>
      </c>
      <c r="AI845" s="4" t="e" cm="1">
        <f t="array" ref="AI845">MID(INDEX($AF$265:$AF$272,INT((ROW(A582)-1)/4)+1),MOD(ROW(A582)-1,4)+1,1)</f>
        <v>#REF!</v>
      </c>
      <c r="AK845" s="9">
        <v>30</v>
      </c>
      <c r="AL845" s="4" t="e" cm="1">
        <f t="array" ref="AL845">INDEX($AI$264:$AI$295, INDEX($H$15:$O$18, INT((ROW(A582)-1)/8)+1, MOD(ROW(A582)-1,8)+1))</f>
        <v>#REF!</v>
      </c>
      <c r="AN845" s="2" t="e">
        <f t="shared" ca="1" si="69"/>
        <v>#VALUE!</v>
      </c>
      <c r="AO845" s="2" t="e">
        <f t="shared" si="70"/>
        <v>#REF!</v>
      </c>
    </row>
    <row r="846" spans="2:41" x14ac:dyDescent="0.25">
      <c r="B846" s="2">
        <v>31</v>
      </c>
      <c r="C846" s="2">
        <v>0</v>
      </c>
      <c r="M846" s="9">
        <v>31</v>
      </c>
      <c r="N846" s="4" cm="1">
        <f t="array" ref="N846">INDEX($F$816:$K$823, INT((ROW(A31)-1)/6)+1, MOD(ROW(A645)-1,6)+1)</f>
        <v>0</v>
      </c>
      <c r="P846" s="9">
        <v>21</v>
      </c>
      <c r="Q846" s="4" t="e" cm="1">
        <f t="array" ref="Q846">INDEX($P$264:$U$271, INT((ROW(A573)-1)/6)+1, MOD(ROW(A573)-1,6)+1)</f>
        <v>#REF!</v>
      </c>
      <c r="R846" t="e">
        <f ca="1"/>
        <v>#VALUE!</v>
      </c>
      <c r="S846" t="e">
        <f ca="1"/>
        <v>#VALUE!</v>
      </c>
      <c r="T846" t="e">
        <f ca="1"/>
        <v>#VALUE!</v>
      </c>
      <c r="W846" s="9">
        <v>31</v>
      </c>
      <c r="X846" s="4" t="e">
        <f t="shared" si="65"/>
        <v>#REF!</v>
      </c>
      <c r="AH846" s="9">
        <v>31</v>
      </c>
      <c r="AI846" s="4" t="e" cm="1">
        <f t="array" ref="AI846">MID(INDEX($AF$265:$AF$272,INT((ROW(A583)-1)/4)+1),MOD(ROW(A583)-1,4)+1,1)</f>
        <v>#REF!</v>
      </c>
      <c r="AK846" s="9">
        <v>31</v>
      </c>
      <c r="AL846" s="4" t="e" cm="1">
        <f t="array" ref="AL846">INDEX($AI$264:$AI$295, INDEX($H$15:$O$18, INT((ROW(A583)-1)/8)+1, MOD(ROW(A583)-1,8)+1))</f>
        <v>#REF!</v>
      </c>
      <c r="AN846" s="2" t="e">
        <f t="shared" ca="1" si="69"/>
        <v>#VALUE!</v>
      </c>
      <c r="AO846" s="2" t="e">
        <f t="shared" si="70"/>
        <v>#REF!</v>
      </c>
    </row>
    <row r="847" spans="2:41" x14ac:dyDescent="0.25">
      <c r="B847" s="2">
        <v>32</v>
      </c>
      <c r="C847" s="2">
        <v>1</v>
      </c>
      <c r="M847" s="11">
        <v>32</v>
      </c>
      <c r="N847" s="4" cm="1">
        <f t="array" ref="N847">INDEX($F$816:$K$823, INT((ROW(A32)-1)/6)+1, MOD(ROW(A646)-1,6)+1)</f>
        <v>1</v>
      </c>
      <c r="P847" s="9">
        <v>22</v>
      </c>
      <c r="Q847" s="4" t="e" cm="1">
        <f t="array" ref="Q847">INDEX($P$264:$U$271, INT((ROW(A574)-1)/6)+1, MOD(ROW(A574)-1,6)+1)</f>
        <v>#REF!</v>
      </c>
      <c r="R847" t="e">
        <f ca="1"/>
        <v>#VALUE!</v>
      </c>
      <c r="S847" t="e">
        <f ca="1"/>
        <v>#VALUE!</v>
      </c>
      <c r="T847" t="e">
        <f ca="1"/>
        <v>#VALUE!</v>
      </c>
      <c r="W847" s="11">
        <v>32</v>
      </c>
      <c r="X847" s="4" t="e">
        <f t="shared" si="65"/>
        <v>#REF!</v>
      </c>
      <c r="AH847" s="11">
        <v>32</v>
      </c>
      <c r="AI847" s="4" t="e" cm="1">
        <f t="array" ref="AI847">MID(INDEX($AF$265:$AF$272,INT((ROW(A584)-1)/4)+1),MOD(ROW(A584)-1,4)+1,1)</f>
        <v>#REF!</v>
      </c>
      <c r="AK847" s="11">
        <v>32</v>
      </c>
      <c r="AL847" s="4" t="e" cm="1">
        <f t="array" ref="AL847">INDEX($AI$264:$AI$295, INDEX($H$15:$O$18, INT((ROW(A584)-1)/8)+1, MOD(ROW(A584)-1,8)+1))</f>
        <v>#REF!</v>
      </c>
      <c r="AN847" s="2" t="e">
        <f t="shared" ca="1" si="69"/>
        <v>#VALUE!</v>
      </c>
      <c r="AO847" s="2" t="e">
        <f t="shared" si="70"/>
        <v>#REF!</v>
      </c>
    </row>
    <row r="848" spans="2:41" x14ac:dyDescent="0.25">
      <c r="B848" s="2">
        <v>33</v>
      </c>
      <c r="C848" s="2">
        <v>0</v>
      </c>
      <c r="M848" s="7">
        <v>33</v>
      </c>
      <c r="N848" s="4" cm="1">
        <f t="array" ref="N848">INDEX($F$816:$K$823, INT((ROW(A33)-1)/6)+1, MOD(ROW(A647)-1,6)+1)</f>
        <v>0</v>
      </c>
      <c r="P848" s="9">
        <v>23</v>
      </c>
      <c r="Q848" s="4" t="e" cm="1">
        <f t="array" ref="Q848">INDEX($P$264:$U$271, INT((ROW(A575)-1)/6)+1, MOD(ROW(A575)-1,6)+1)</f>
        <v>#REF!</v>
      </c>
      <c r="R848" t="e">
        <f ca="1"/>
        <v>#VALUE!</v>
      </c>
      <c r="S848" t="e">
        <f ca="1"/>
        <v>#VALUE!</v>
      </c>
      <c r="T848" t="e">
        <f ca="1"/>
        <v>#VALUE!</v>
      </c>
      <c r="W848" s="7">
        <v>33</v>
      </c>
      <c r="X848" s="4" t="e">
        <f t="shared" si="65"/>
        <v>#REF!</v>
      </c>
      <c r="AN848" s="2" t="e">
        <f t="shared" ca="1" si="69"/>
        <v>#VALUE!</v>
      </c>
      <c r="AO848" s="2" t="e">
        <f t="shared" si="70"/>
        <v>#REF!</v>
      </c>
    </row>
    <row r="849" spans="2:24" x14ac:dyDescent="0.25">
      <c r="B849" s="2">
        <v>34</v>
      </c>
      <c r="C849" s="2">
        <v>1</v>
      </c>
      <c r="M849" s="9">
        <v>34</v>
      </c>
      <c r="N849" s="4" cm="1">
        <f t="array" ref="N849">INDEX($F$816:$K$823, INT((ROW(A34)-1)/6)+1, MOD(ROW(A648)-1,6)+1)</f>
        <v>1</v>
      </c>
      <c r="P849" s="11">
        <v>24</v>
      </c>
      <c r="Q849" s="4" t="e" cm="1">
        <f t="array" ref="Q849">INDEX($P$264:$U$271, INT((ROW(A576)-1)/6)+1, MOD(ROW(A576)-1,6)+1)</f>
        <v>#REF!</v>
      </c>
      <c r="R849" t="e">
        <f ca="1"/>
        <v>#VALUE!</v>
      </c>
      <c r="S849" t="e">
        <f ca="1"/>
        <v>#VALUE!</v>
      </c>
      <c r="T849" t="e">
        <f ca="1"/>
        <v>#VALUE!</v>
      </c>
      <c r="W849" s="9">
        <v>34</v>
      </c>
      <c r="X849" s="4" t="e">
        <f t="shared" si="65"/>
        <v>#REF!</v>
      </c>
    </row>
    <row r="850" spans="2:24" x14ac:dyDescent="0.25">
      <c r="B850" s="2">
        <v>35</v>
      </c>
      <c r="C850" s="2">
        <v>0</v>
      </c>
      <c r="M850" s="9">
        <v>35</v>
      </c>
      <c r="N850" s="4" cm="1">
        <f t="array" ref="N850">INDEX($F$816:$K$823, INT((ROW(A35)-1)/6)+1, MOD(ROW(A649)-1,6)+1)</f>
        <v>0</v>
      </c>
      <c r="P850" s="7">
        <v>25</v>
      </c>
      <c r="Q850" s="4" t="e" cm="1">
        <f t="array" ref="Q850">INDEX($P$264:$U$271, INT((ROW(A577)-1)/6)+1, MOD(ROW(A577)-1,6)+1)</f>
        <v>#REF!</v>
      </c>
      <c r="R850" t="e">
        <f ca="1"/>
        <v>#VALUE!</v>
      </c>
      <c r="S850" t="e">
        <f ca="1"/>
        <v>#VALUE!</v>
      </c>
      <c r="T850" t="e">
        <f ca="1"/>
        <v>#VALUE!</v>
      </c>
      <c r="W850" s="9">
        <v>35</v>
      </c>
      <c r="X850" s="4" t="e">
        <f t="shared" si="65"/>
        <v>#REF!</v>
      </c>
    </row>
    <row r="851" spans="2:24" x14ac:dyDescent="0.25">
      <c r="B851" s="2">
        <v>36</v>
      </c>
      <c r="C851" s="2">
        <v>1</v>
      </c>
      <c r="M851" s="9">
        <v>36</v>
      </c>
      <c r="N851" s="4" cm="1">
        <f t="array" ref="N851">INDEX($F$816:$K$823, INT((ROW(A36)-1)/6)+1, MOD(ROW(A650)-1,6)+1)</f>
        <v>1</v>
      </c>
      <c r="P851" s="9">
        <v>26</v>
      </c>
      <c r="Q851" s="4" t="e" cm="1">
        <f t="array" ref="Q851">INDEX($P$264:$U$271, INT((ROW(A578)-1)/6)+1, MOD(ROW(A578)-1,6)+1)</f>
        <v>#REF!</v>
      </c>
      <c r="R851" t="e">
        <f ca="1"/>
        <v>#VALUE!</v>
      </c>
      <c r="S851" t="e">
        <f ca="1"/>
        <v>#VALUE!</v>
      </c>
      <c r="T851" t="e">
        <f ca="1"/>
        <v>#VALUE!</v>
      </c>
      <c r="W851" s="9">
        <v>36</v>
      </c>
      <c r="X851" s="4" t="e">
        <f t="shared" si="65"/>
        <v>#REF!</v>
      </c>
    </row>
    <row r="852" spans="2:24" x14ac:dyDescent="0.25">
      <c r="B852" s="2">
        <v>37</v>
      </c>
      <c r="C852" s="2">
        <v>0</v>
      </c>
      <c r="M852" s="9">
        <v>37</v>
      </c>
      <c r="N852" s="4" cm="1">
        <f t="array" ref="N852">INDEX($F$816:$K$823, INT((ROW(A37)-1)/6)+1, MOD(ROW(A651)-1,6)+1)</f>
        <v>0</v>
      </c>
      <c r="P852" s="9">
        <v>27</v>
      </c>
      <c r="Q852" s="4" t="e" cm="1">
        <f t="array" ref="Q852">INDEX($P$264:$U$271, INT((ROW(A579)-1)/6)+1, MOD(ROW(A579)-1,6)+1)</f>
        <v>#REF!</v>
      </c>
      <c r="R852" t="e">
        <f ca="1"/>
        <v>#VALUE!</v>
      </c>
      <c r="S852" t="e">
        <f ca="1"/>
        <v>#VALUE!</v>
      </c>
      <c r="T852" t="e">
        <f ca="1"/>
        <v>#VALUE!</v>
      </c>
      <c r="W852" s="9">
        <v>37</v>
      </c>
      <c r="X852" s="4" t="e">
        <f t="shared" si="65"/>
        <v>#REF!</v>
      </c>
    </row>
    <row r="853" spans="2:24" x14ac:dyDescent="0.25">
      <c r="B853" s="2">
        <v>38</v>
      </c>
      <c r="C853" s="2">
        <v>1</v>
      </c>
      <c r="M853" s="9">
        <v>38</v>
      </c>
      <c r="N853" s="4" cm="1">
        <f t="array" ref="N853">INDEX($F$816:$K$823, INT((ROW(A38)-1)/6)+1, MOD(ROW(A652)-1,6)+1)</f>
        <v>0</v>
      </c>
      <c r="P853" s="9">
        <v>28</v>
      </c>
      <c r="Q853" s="4" t="e" cm="1">
        <f t="array" ref="Q853">INDEX($P$264:$U$271, INT((ROW(A580)-1)/6)+1, MOD(ROW(A580)-1,6)+1)</f>
        <v>#REF!</v>
      </c>
      <c r="R853" t="e">
        <f ca="1"/>
        <v>#VALUE!</v>
      </c>
      <c r="S853" t="e">
        <f ca="1"/>
        <v>#VALUE!</v>
      </c>
      <c r="T853" t="e">
        <f ca="1"/>
        <v>#VALUE!</v>
      </c>
      <c r="W853" s="9">
        <v>38</v>
      </c>
      <c r="X853" s="4" t="e">
        <f t="shared" si="65"/>
        <v>#REF!</v>
      </c>
    </row>
    <row r="854" spans="2:24" x14ac:dyDescent="0.25">
      <c r="B854" s="2">
        <v>39</v>
      </c>
      <c r="C854" s="2">
        <v>0</v>
      </c>
      <c r="M854" s="9">
        <v>39</v>
      </c>
      <c r="N854" s="4" cm="1">
        <f t="array" ref="N854">INDEX($F$816:$K$823, INT((ROW(A39)-1)/6)+1, MOD(ROW(A653)-1,6)+1)</f>
        <v>1</v>
      </c>
      <c r="P854" s="9">
        <v>29</v>
      </c>
      <c r="Q854" s="4" t="e" cm="1">
        <f t="array" ref="Q854">INDEX($P$264:$U$271, INT((ROW(A581)-1)/6)+1, MOD(ROW(A581)-1,6)+1)</f>
        <v>#REF!</v>
      </c>
      <c r="R854" t="e">
        <f ca="1"/>
        <v>#VALUE!</v>
      </c>
      <c r="S854" t="e">
        <f ca="1"/>
        <v>#VALUE!</v>
      </c>
      <c r="T854" t="e">
        <f ca="1"/>
        <v>#VALUE!</v>
      </c>
      <c r="W854" s="9">
        <v>39</v>
      </c>
      <c r="X854" s="4" t="e">
        <f t="shared" si="65"/>
        <v>#REF!</v>
      </c>
    </row>
    <row r="855" spans="2:24" x14ac:dyDescent="0.25">
      <c r="B855" s="2">
        <v>40</v>
      </c>
      <c r="C855" s="2">
        <v>1</v>
      </c>
      <c r="M855" s="11">
        <v>40</v>
      </c>
      <c r="N855" s="4" cm="1">
        <f t="array" ref="N855">INDEX($F$816:$K$823, INT((ROW(A40)-1)/6)+1, MOD(ROW(A654)-1,6)+1)</f>
        <v>1</v>
      </c>
      <c r="P855" s="9">
        <v>30</v>
      </c>
      <c r="Q855" s="4" t="e" cm="1">
        <f t="array" ref="Q855">INDEX($P$264:$U$271, INT((ROW(A582)-1)/6)+1, MOD(ROW(A582)-1,6)+1)</f>
        <v>#REF!</v>
      </c>
      <c r="W855" s="11">
        <v>40</v>
      </c>
      <c r="X855" s="4" t="e">
        <f t="shared" si="65"/>
        <v>#REF!</v>
      </c>
    </row>
    <row r="856" spans="2:24" x14ac:dyDescent="0.25">
      <c r="B856" s="2">
        <v>41</v>
      </c>
      <c r="C856" s="2">
        <v>0</v>
      </c>
      <c r="M856" s="7">
        <v>41</v>
      </c>
      <c r="N856" s="4" cm="1">
        <f t="array" ref="N856">INDEX($F$816:$K$823, INT((ROW(A41)-1)/6)+1, MOD(ROW(A655)-1,6)+1)</f>
        <v>1</v>
      </c>
      <c r="P856" s="9">
        <v>31</v>
      </c>
      <c r="Q856" s="4" t="e" cm="1">
        <f t="array" ref="Q856">INDEX($P$264:$U$271, INT((ROW(A583)-1)/6)+1, MOD(ROW(A583)-1,6)+1)</f>
        <v>#REF!</v>
      </c>
      <c r="W856" s="7">
        <v>41</v>
      </c>
      <c r="X856" s="4" t="e">
        <f t="shared" si="65"/>
        <v>#REF!</v>
      </c>
    </row>
    <row r="857" spans="2:24" x14ac:dyDescent="0.25">
      <c r="B857" s="2">
        <v>42</v>
      </c>
      <c r="C857" s="2">
        <v>1</v>
      </c>
      <c r="M857" s="9">
        <v>42</v>
      </c>
      <c r="N857" s="4" cm="1">
        <f t="array" ref="N857">INDEX($F$816:$K$823, INT((ROW(A42)-1)/6)+1, MOD(ROW(A656)-1,6)+1)</f>
        <v>1</v>
      </c>
      <c r="P857" s="11">
        <v>32</v>
      </c>
      <c r="Q857" s="4" t="e" cm="1">
        <f t="array" ref="Q857">INDEX($P$264:$U$271, INT((ROW(A584)-1)/6)+1, MOD(ROW(A584)-1,6)+1)</f>
        <v>#REF!</v>
      </c>
      <c r="W857" s="9">
        <v>42</v>
      </c>
      <c r="X857" s="4" t="e">
        <f t="shared" si="65"/>
        <v>#REF!</v>
      </c>
    </row>
    <row r="858" spans="2:24" x14ac:dyDescent="0.25">
      <c r="B858" s="2">
        <v>43</v>
      </c>
      <c r="C858" s="2">
        <v>0</v>
      </c>
      <c r="M858" s="9">
        <v>43</v>
      </c>
      <c r="N858" s="4" cm="1">
        <f t="array" ref="N858">INDEX($F$816:$K$823, INT((ROW(A43)-1)/6)+1, MOD(ROW(A657)-1,6)+1)</f>
        <v>0</v>
      </c>
      <c r="P858" s="7">
        <v>33</v>
      </c>
      <c r="Q858" s="4" t="e" cm="1">
        <f t="array" ref="Q858">INDEX($P$264:$U$271, INT((ROW(A585)-1)/6)+1, MOD(ROW(A585)-1,6)+1)</f>
        <v>#REF!</v>
      </c>
      <c r="W858" s="9">
        <v>43</v>
      </c>
      <c r="X858" s="4" t="e">
        <f t="shared" si="65"/>
        <v>#REF!</v>
      </c>
    </row>
    <row r="859" spans="2:24" x14ac:dyDescent="0.25">
      <c r="B859" s="2">
        <v>44</v>
      </c>
      <c r="C859" s="2">
        <v>1</v>
      </c>
      <c r="M859" s="9">
        <v>44</v>
      </c>
      <c r="N859" s="4" cm="1">
        <f t="array" ref="N859">INDEX($F$816:$K$823, INT((ROW(A44)-1)/6)+1, MOD(ROW(A658)-1,6)+1)</f>
        <v>1</v>
      </c>
      <c r="P859" s="9">
        <v>34</v>
      </c>
      <c r="Q859" s="4" t="e" cm="1">
        <f t="array" ref="Q859">INDEX($P$264:$U$271, INT((ROW(A586)-1)/6)+1, MOD(ROW(A586)-1,6)+1)</f>
        <v>#REF!</v>
      </c>
      <c r="W859" s="9">
        <v>44</v>
      </c>
      <c r="X859" s="4" t="e">
        <f t="shared" si="65"/>
        <v>#REF!</v>
      </c>
    </row>
    <row r="860" spans="2:24" x14ac:dyDescent="0.25">
      <c r="B860" s="2">
        <v>45</v>
      </c>
      <c r="C860" s="2">
        <v>1</v>
      </c>
      <c r="M860" s="9">
        <v>45</v>
      </c>
      <c r="N860" s="4" cm="1">
        <f t="array" ref="N860">INDEX($F$816:$K$823, INT((ROW(A45)-1)/6)+1, MOD(ROW(A659)-1,6)+1)</f>
        <v>0</v>
      </c>
      <c r="P860" s="9">
        <v>35</v>
      </c>
      <c r="Q860" s="4" t="e" cm="1">
        <f t="array" ref="Q860">INDEX($P$264:$U$271, INT((ROW(A587)-1)/6)+1, MOD(ROW(A587)-1,6)+1)</f>
        <v>#REF!</v>
      </c>
      <c r="W860" s="9">
        <v>45</v>
      </c>
      <c r="X860" s="4" t="e">
        <f t="shared" si="65"/>
        <v>#REF!</v>
      </c>
    </row>
    <row r="861" spans="2:24" x14ac:dyDescent="0.25">
      <c r="B861" s="2">
        <v>46</v>
      </c>
      <c r="C861" s="2">
        <v>0</v>
      </c>
      <c r="M861" s="9">
        <v>46</v>
      </c>
      <c r="N861" s="4" cm="1">
        <f t="array" ref="N861">INDEX($F$816:$K$823, INT((ROW(A46)-1)/6)+1, MOD(ROW(A660)-1,6)+1)</f>
        <v>1</v>
      </c>
      <c r="P861" s="9">
        <v>36</v>
      </c>
      <c r="Q861" s="4" t="e" cm="1">
        <f t="array" ref="Q861">INDEX($P$264:$U$271, INT((ROW(A588)-1)/6)+1, MOD(ROW(A588)-1,6)+1)</f>
        <v>#REF!</v>
      </c>
      <c r="W861" s="9">
        <v>46</v>
      </c>
      <c r="X861" s="4" t="e">
        <f t="shared" si="65"/>
        <v>#REF!</v>
      </c>
    </row>
    <row r="862" spans="2:24" x14ac:dyDescent="0.25">
      <c r="B862" s="2">
        <v>47</v>
      </c>
      <c r="C862" s="2">
        <v>0</v>
      </c>
      <c r="M862" s="9">
        <v>47</v>
      </c>
      <c r="N862" s="4" cm="1">
        <f t="array" ref="N862">INDEX($F$816:$K$823, INT((ROW(A47)-1)/6)+1, MOD(ROW(A661)-1,6)+1)</f>
        <v>0</v>
      </c>
      <c r="P862" s="9">
        <v>37</v>
      </c>
      <c r="Q862" s="4" t="e" cm="1">
        <f t="array" ref="Q862">INDEX($P$264:$U$271, INT((ROW(A589)-1)/6)+1, MOD(ROW(A589)-1,6)+1)</f>
        <v>#REF!</v>
      </c>
      <c r="W862" s="9">
        <v>47</v>
      </c>
      <c r="X862" s="4" t="e">
        <f t="shared" si="65"/>
        <v>#REF!</v>
      </c>
    </row>
    <row r="863" spans="2:24" x14ac:dyDescent="0.25">
      <c r="B863" s="2">
        <v>48</v>
      </c>
      <c r="C863" s="2">
        <v>1</v>
      </c>
      <c r="M863" s="11">
        <v>48</v>
      </c>
      <c r="N863" s="4" cm="1">
        <f t="array" ref="N863">INDEX($F$816:$K$823, INT((ROW(A48)-1)/6)+1, MOD(ROW(A662)-1,6)+1)</f>
        <v>1</v>
      </c>
      <c r="P863" s="9">
        <v>38</v>
      </c>
      <c r="Q863" s="4" t="e" cm="1">
        <f t="array" ref="Q863">INDEX($P$264:$U$271, INT((ROW(A590)-1)/6)+1, MOD(ROW(A590)-1,6)+1)</f>
        <v>#REF!</v>
      </c>
      <c r="W863" s="11">
        <v>48</v>
      </c>
      <c r="X863" s="4" t="e">
        <f t="shared" si="65"/>
        <v>#REF!</v>
      </c>
    </row>
    <row r="864" spans="2:24" x14ac:dyDescent="0.25">
      <c r="B864" s="2">
        <v>49</v>
      </c>
      <c r="C864" s="2">
        <v>1</v>
      </c>
      <c r="P864" s="9">
        <v>39</v>
      </c>
      <c r="Q864" s="4" t="e" cm="1">
        <f t="array" ref="Q864">INDEX($P$264:$U$271, INT((ROW(A591)-1)/6)+1, MOD(ROW(A591)-1,6)+1)</f>
        <v>#REF!</v>
      </c>
    </row>
    <row r="865" spans="2:41" x14ac:dyDescent="0.25">
      <c r="B865" s="2">
        <v>50</v>
      </c>
      <c r="C865" s="2">
        <v>0</v>
      </c>
      <c r="P865" s="11">
        <v>40</v>
      </c>
      <c r="Q865" s="4" t="e" cm="1">
        <f t="array" ref="Q865">INDEX($P$264:$U$271, INT((ROW(A592)-1)/6)+1, MOD(ROW(A592)-1,6)+1)</f>
        <v>#REF!</v>
      </c>
    </row>
    <row r="866" spans="2:41" x14ac:dyDescent="0.25">
      <c r="B866" s="2">
        <v>51</v>
      </c>
      <c r="C866" s="2">
        <v>0</v>
      </c>
      <c r="P866" s="7">
        <v>41</v>
      </c>
      <c r="Q866" s="4" t="e" cm="1">
        <f t="array" ref="Q866">INDEX($P$264:$U$271, INT((ROW(A593)-1)/6)+1, MOD(ROW(A593)-1,6)+1)</f>
        <v>#REF!</v>
      </c>
    </row>
    <row r="867" spans="2:41" x14ac:dyDescent="0.25">
      <c r="B867" s="2">
        <v>52</v>
      </c>
      <c r="C867" s="2">
        <v>1</v>
      </c>
      <c r="P867" s="9">
        <v>42</v>
      </c>
      <c r="Q867" s="4" t="e" cm="1">
        <f t="array" ref="Q867">INDEX($P$264:$U$271, INT((ROW(A594)-1)/6)+1, MOD(ROW(A594)-1,6)+1)</f>
        <v>#REF!</v>
      </c>
    </row>
    <row r="868" spans="2:41" x14ac:dyDescent="0.25">
      <c r="B868" s="2">
        <v>53</v>
      </c>
      <c r="C868" s="2">
        <v>1</v>
      </c>
      <c r="P868" s="9">
        <v>43</v>
      </c>
      <c r="Q868" s="4" t="e" cm="1">
        <f t="array" ref="Q868">INDEX($P$264:$U$271, INT((ROW(A595)-1)/6)+1, MOD(ROW(A595)-1,6)+1)</f>
        <v>#REF!</v>
      </c>
    </row>
    <row r="869" spans="2:41" x14ac:dyDescent="0.25">
      <c r="B869" s="2">
        <v>54</v>
      </c>
      <c r="C869" s="2">
        <v>1</v>
      </c>
      <c r="P869" s="9">
        <v>44</v>
      </c>
      <c r="Q869" s="4" t="e" cm="1">
        <f t="array" ref="Q869">INDEX($P$264:$U$271, INT((ROW(A596)-1)/6)+1, MOD(ROW(A596)-1,6)+1)</f>
        <v>#REF!</v>
      </c>
    </row>
    <row r="870" spans="2:41" x14ac:dyDescent="0.25">
      <c r="B870" s="2">
        <v>55</v>
      </c>
      <c r="C870" s="2">
        <v>1</v>
      </c>
      <c r="P870" s="9">
        <v>45</v>
      </c>
      <c r="Q870" s="4" t="e" cm="1">
        <f t="array" ref="Q870">INDEX($P$264:$U$271, INT((ROW(A597)-1)/6)+1, MOD(ROW(A597)-1,6)+1)</f>
        <v>#REF!</v>
      </c>
    </row>
    <row r="871" spans="2:41" x14ac:dyDescent="0.25">
      <c r="B871" s="2">
        <v>56</v>
      </c>
      <c r="C871" s="2">
        <v>0</v>
      </c>
      <c r="P871" s="9">
        <v>46</v>
      </c>
      <c r="Q871" s="4" t="e" cm="1">
        <f t="array" ref="Q871">INDEX($P$264:$U$271, INT((ROW(A598)-1)/6)+1, MOD(ROW(A598)-1,6)+1)</f>
        <v>#REF!</v>
      </c>
    </row>
    <row r="872" spans="2:41" x14ac:dyDescent="0.25">
      <c r="P872" s="9">
        <v>47</v>
      </c>
      <c r="Q872" s="4" t="e" cm="1">
        <f t="array" ref="Q872">INDEX($P$264:$U$271, INT((ROW(A599)-1)/6)+1, MOD(ROW(A599)-1,6)+1)</f>
        <v>#REF!</v>
      </c>
    </row>
    <row r="873" spans="2:41" x14ac:dyDescent="0.25">
      <c r="P873" s="11">
        <v>48</v>
      </c>
      <c r="Q873" s="4" t="e" cm="1">
        <f t="array" ref="Q873">INDEX($P$264:$U$271, INT((ROW(A600)-1)/6)+1, MOD(ROW(A600)-1,6)+1)</f>
        <v>#REF!</v>
      </c>
    </row>
    <row r="874" spans="2:41" x14ac:dyDescent="0.25">
      <c r="B874" t="s">
        <v>62</v>
      </c>
    </row>
    <row r="876" spans="2:41" x14ac:dyDescent="0.25">
      <c r="B876" s="2" t="s">
        <v>3</v>
      </c>
      <c r="C876" s="2" t="s">
        <v>63</v>
      </c>
      <c r="F876" s="39" t="s">
        <v>23</v>
      </c>
      <c r="G876" s="40"/>
      <c r="H876" s="40"/>
      <c r="I876" s="40"/>
      <c r="J876" s="40"/>
      <c r="K876" s="41"/>
      <c r="M876" s="37" t="s">
        <v>64</v>
      </c>
      <c r="N876" s="43"/>
      <c r="P876" s="39" t="s">
        <v>93</v>
      </c>
      <c r="Q876" s="40"/>
      <c r="R876" s="40"/>
      <c r="S876" s="40"/>
      <c r="T876" s="40"/>
      <c r="U876" s="41"/>
      <c r="W876" s="2" t="s">
        <v>3</v>
      </c>
      <c r="X876" s="18" t="s">
        <v>95</v>
      </c>
      <c r="Z876" s="42" t="s">
        <v>77</v>
      </c>
      <c r="AA876" s="42" t="s">
        <v>74</v>
      </c>
      <c r="AB876" s="42"/>
      <c r="AC876" s="42" t="s">
        <v>75</v>
      </c>
      <c r="AD876" s="42" t="s">
        <v>76</v>
      </c>
      <c r="AE876" s="36" t="s">
        <v>78</v>
      </c>
      <c r="AF876" s="36" t="s">
        <v>79</v>
      </c>
      <c r="AH876" s="37" t="s">
        <v>96</v>
      </c>
      <c r="AI876" s="38"/>
      <c r="AK876" s="37" t="s">
        <v>97</v>
      </c>
      <c r="AL876" s="38"/>
      <c r="AN876" s="36" t="s">
        <v>98</v>
      </c>
      <c r="AO876" s="36"/>
    </row>
    <row r="877" spans="2:41" x14ac:dyDescent="0.25">
      <c r="B877" s="2">
        <v>1</v>
      </c>
      <c r="C877" s="2">
        <v>0</v>
      </c>
      <c r="F877" s="15" cm="1">
        <f t="array" ref="F877">INDEX($C$877:$C$932, H41)</f>
        <v>1</v>
      </c>
      <c r="G877" s="15" cm="1">
        <f t="array" ref="G877">INDEX($C$877:$C$932, I41)</f>
        <v>0</v>
      </c>
      <c r="H877" s="15" cm="1">
        <f t="array" ref="H877">INDEX($C$877:$C$932, J41)</f>
        <v>0</v>
      </c>
      <c r="I877" s="15" cm="1">
        <f t="array" ref="I877">INDEX($C$877:$C$932, K41)</f>
        <v>1</v>
      </c>
      <c r="J877" s="15" cm="1">
        <f t="array" ref="J877">INDEX($C$877:$C$932, L41)</f>
        <v>0</v>
      </c>
      <c r="K877" s="15" cm="1">
        <f t="array" ref="K877">INDEX($C$877:$C$932, M41)</f>
        <v>1</v>
      </c>
      <c r="M877" s="7">
        <v>1</v>
      </c>
      <c r="N877" s="4" cm="1">
        <f t="array" ref="N877">INDEX($F$877:$K$884, INT((ROW(A1)-1)/6)+1, MOD(ROW(A676)-1,6)+1)</f>
        <v>1</v>
      </c>
      <c r="P877" s="15" t="e" cm="1" vm="1">
        <f t="array" aca="1" ref="P877" ca="1">INDEX($AO$204:$AO$235, H664)</f>
        <v>#VALUE!</v>
      </c>
      <c r="Q877" s="15" t="e" cm="1" vm="1">
        <f t="array" aca="1" ref="Q877" ca="1">INDEX($AO$204:$AO$235, I664)</f>
        <v>#VALUE!</v>
      </c>
      <c r="R877" s="15" t="e" cm="1" vm="1">
        <f t="array" aca="1" ref="R877" ca="1">INDEX($AO$204:$AO$235, J664)</f>
        <v>#VALUE!</v>
      </c>
      <c r="S877" s="15" t="e" cm="1" vm="1">
        <f t="array" aca="1" ref="S877" ca="1">INDEX($AO$204:$AO$235, K664)</f>
        <v>#VALUE!</v>
      </c>
      <c r="T877" s="15" t="e" cm="1" vm="1">
        <f t="array" aca="1" ref="T877" ca="1">INDEX($AO$204:$AO$235, L664)</f>
        <v>#VALUE!</v>
      </c>
      <c r="U877" s="15" t="e" cm="1">
        <f t="array" ref="U877">INDEX($AO$204:$AO$235, M664)</f>
        <v>#REF!</v>
      </c>
      <c r="W877" s="7">
        <v>1</v>
      </c>
      <c r="X877" s="4" t="e">
        <f>_xlfn.BITXOR(Q887, N877)</f>
        <v>#REF!</v>
      </c>
      <c r="Z877" s="42"/>
      <c r="AA877" s="42"/>
      <c r="AB877" s="42"/>
      <c r="AC877" s="42"/>
      <c r="AD877" s="42"/>
      <c r="AE877" s="36"/>
      <c r="AF877" s="36"/>
      <c r="AH877" s="7">
        <v>1</v>
      </c>
      <c r="AI877" s="4" t="e" cm="1">
        <f t="array" ref="AI877">MID(INDEX($AF$265:$AF$272,INT((ROW(A614)-1)/4)+1),MOD(ROW(A614)-1,4)+1,1)</f>
        <v>#REF!</v>
      </c>
      <c r="AK877" s="7">
        <v>1</v>
      </c>
      <c r="AL877" s="4" t="e" cm="1">
        <f t="array" ref="AL877">INDEX($AI$264:$AI$295, INDEX($H$15:$O$18, INT((ROW(A614)-1)/8)+1, MOD(ROW(A614)-1,8)+1))</f>
        <v>#REF!</v>
      </c>
      <c r="AN877" s="2" t="s">
        <v>99</v>
      </c>
      <c r="AO877" s="31" t="s">
        <v>101</v>
      </c>
    </row>
    <row r="878" spans="2:41" x14ac:dyDescent="0.25">
      <c r="B878" s="2">
        <v>2</v>
      </c>
      <c r="C878" s="2">
        <v>1</v>
      </c>
      <c r="F878" s="15" cm="1">
        <f t="array" ref="F878">INDEX($C$877:$C$932, H42)</f>
        <v>0</v>
      </c>
      <c r="G878" s="15" cm="1">
        <f t="array" ref="G878">INDEX($C$877:$C$932, I42)</f>
        <v>1</v>
      </c>
      <c r="H878" s="15" cm="1">
        <f t="array" ref="H878">INDEX($C$877:$C$932, J42)</f>
        <v>1</v>
      </c>
      <c r="I878" s="15" cm="1">
        <f t="array" ref="I878">INDEX($C$877:$C$932, K42)</f>
        <v>1</v>
      </c>
      <c r="J878" s="15" cm="1">
        <f t="array" ref="J878">INDEX($C$877:$C$932, L42)</f>
        <v>0</v>
      </c>
      <c r="K878" s="15" cm="1">
        <f t="array" ref="K878">INDEX($C$877:$C$932, M42)</f>
        <v>0</v>
      </c>
      <c r="M878" s="9">
        <v>2</v>
      </c>
      <c r="N878" s="4" cm="1">
        <f t="array" ref="N878">INDEX($F$877:$K$884, INT((ROW(A2)-1)/6)+1, MOD(ROW(A677)-1,6)+1)</f>
        <v>0</v>
      </c>
      <c r="P878" s="15" t="e" cm="1" vm="1">
        <f t="array" aca="1" ref="P878" ca="1">INDEX($AO$204:$AO$235, H665)</f>
        <v>#VALUE!</v>
      </c>
      <c r="Q878" s="15" t="e" cm="1" vm="1">
        <f t="array" aca="1" ref="Q878" ca="1">INDEX($AO$204:$AO$235, I665)</f>
        <v>#VALUE!</v>
      </c>
      <c r="R878" s="15" t="e" cm="1" vm="1">
        <f t="array" aca="1" ref="R878" ca="1">INDEX($AO$204:$AO$235, J665)</f>
        <v>#VALUE!</v>
      </c>
      <c r="S878" s="15" t="e" cm="1" vm="1">
        <f t="array" aca="1" ref="S878" ca="1">INDEX($AO$204:$AO$235, K665)</f>
        <v>#VALUE!</v>
      </c>
      <c r="T878" s="15" t="e" cm="1" vm="1">
        <f t="array" aca="1" ref="T878" ca="1">INDEX($AO$204:$AO$235, L665)</f>
        <v>#VALUE!</v>
      </c>
      <c r="U878" s="15" t="e" cm="1">
        <f t="array" ref="U878">INDEX($AO$204:$AO$235, M665)</f>
        <v>#REF!</v>
      </c>
      <c r="W878" s="9">
        <v>2</v>
      </c>
      <c r="X878" s="4" t="e">
        <f t="shared" ref="X878:X924" si="71">_xlfn.BITXOR(Q888, N878)</f>
        <v>#REF!</v>
      </c>
      <c r="Z878" s="32">
        <v>1</v>
      </c>
      <c r="AA878" s="34" t="e">
        <f>_xlfn.TEXTJOIN("", TRUE, INDEX($X$264:$X$311, (ROW(A614)-1)*6+1) : INDEX($X$264:$X$311, (ROW(A614)-1)*6+6))</f>
        <v>#REF!</v>
      </c>
      <c r="AB878" s="35"/>
      <c r="AC878" s="32" t="e">
        <f>BIN2DEC(LEFT(AA878,1) &amp; RIGHT(AA878,1))</f>
        <v>#REF!</v>
      </c>
      <c r="AD878" s="31" t="e">
        <f>BIN2DEC(MID(AA878,2,4))</f>
        <v>#REF!</v>
      </c>
      <c r="AE878" s="31" t="e" cm="1">
        <f t="array" aca="1" ref="AE878" ca="1">INDEX(OFFSET('[1]S-box'!$A$2, (Z878-1)*6, 0, 4, 16), AC878+1, AD878+1)</f>
        <v>#VALUE!</v>
      </c>
      <c r="AF878" s="33" t="e">
        <f ca="1">DEC2BIN(AE878, 4)</f>
        <v>#VALUE!</v>
      </c>
      <c r="AH878" s="9">
        <v>2</v>
      </c>
      <c r="AI878" s="4" t="e" cm="1">
        <f t="array" ref="AI878">MID(INDEX($AF$265:$AF$272,INT((ROW(A615)-1)/4)+1),MOD(ROW(A615)-1,4)+1,1)</f>
        <v>#REF!</v>
      </c>
      <c r="AK878" s="9">
        <v>2</v>
      </c>
      <c r="AL878" s="4" t="e" cm="1">
        <f t="array" ref="AL878">INDEX($AI$264:$AI$295, INDEX($H$15:$O$18, INT((ROW(A615)-1)/8)+1, MOD(ROW(A615)-1,8)+1))</f>
        <v>#REF!</v>
      </c>
      <c r="AN878" s="2">
        <f>_xlfn.BITXOR(T691, AE816)</f>
        <v>0</v>
      </c>
      <c r="AO878" s="2" t="e">
        <f>_xlfn.BITXOR(N877, AL877)</f>
        <v>#REF!</v>
      </c>
    </row>
    <row r="879" spans="2:41" x14ac:dyDescent="0.25">
      <c r="B879" s="2">
        <v>3</v>
      </c>
      <c r="C879" s="2">
        <v>0</v>
      </c>
      <c r="F879" s="15" cm="1">
        <f t="array" ref="F879">INDEX($C$877:$C$932, H43)</f>
        <v>0</v>
      </c>
      <c r="G879" s="15" cm="1">
        <f t="array" ref="G879">INDEX($C$877:$C$932, I43)</f>
        <v>1</v>
      </c>
      <c r="H879" s="15" cm="1">
        <f t="array" ref="H879">INDEX($C$877:$C$932, J43)</f>
        <v>0</v>
      </c>
      <c r="I879" s="15" cm="1">
        <f t="array" ref="I879">INDEX($C$877:$C$932, K43)</f>
        <v>1</v>
      </c>
      <c r="J879" s="15" cm="1">
        <f t="array" ref="J879">INDEX($C$877:$C$932, L43)</f>
        <v>1</v>
      </c>
      <c r="K879" s="15" cm="1">
        <f t="array" ref="K879">INDEX($C$877:$C$932, M43)</f>
        <v>1</v>
      </c>
      <c r="M879" s="9">
        <v>3</v>
      </c>
      <c r="N879" s="4" cm="1">
        <f t="array" ref="N879">INDEX($F$877:$K$884, INT((ROW(A3)-1)/6)+1, MOD(ROW(A678)-1,6)+1)</f>
        <v>1</v>
      </c>
      <c r="P879" s="15" t="e" cm="1" vm="1">
        <f t="array" aca="1" ref="P879" ca="1">INDEX($AO$204:$AO$235, H666)</f>
        <v>#VALUE!</v>
      </c>
      <c r="Q879" s="15" t="e" cm="1" vm="1">
        <f t="array" aca="1" ref="Q879" ca="1">INDEX($AO$204:$AO$235, I666)</f>
        <v>#VALUE!</v>
      </c>
      <c r="R879" s="15" t="e" cm="1" vm="1">
        <f t="array" aca="1" ref="R879" ca="1">INDEX($AO$204:$AO$235, J666)</f>
        <v>#VALUE!</v>
      </c>
      <c r="S879" s="15" t="e" cm="1" vm="1">
        <f t="array" aca="1" ref="S879" ca="1">INDEX($AO$204:$AO$235, K666)</f>
        <v>#VALUE!</v>
      </c>
      <c r="T879" s="15" t="e" cm="1" vm="1">
        <f t="array" aca="1" ref="T879" ca="1">INDEX($AO$204:$AO$235, L666)</f>
        <v>#VALUE!</v>
      </c>
      <c r="U879" s="15" t="e" cm="1">
        <f t="array" ref="U879">INDEX($AO$204:$AO$235, M666)</f>
        <v>#REF!</v>
      </c>
      <c r="W879" s="9">
        <v>3</v>
      </c>
      <c r="X879" s="4" t="e">
        <f t="shared" si="71"/>
        <v>#REF!</v>
      </c>
      <c r="Z879" s="32">
        <v>2</v>
      </c>
      <c r="AA879" s="34" t="e">
        <f>_xlfn.TEXTJOIN("", TRUE, INDEX($X$264:$X$311, (ROW(A615)-1)*6+1) : INDEX($X$264:$X$311, (ROW(A615)-1)*6+6))</f>
        <v>#REF!</v>
      </c>
      <c r="AB879" s="35"/>
      <c r="AC879" s="32" t="e">
        <f t="shared" ref="AC879:AC885" si="72">BIN2DEC(LEFT(AA879,1) &amp; RIGHT(AA879,1))</f>
        <v>#REF!</v>
      </c>
      <c r="AD879" s="31" t="e">
        <f t="shared" ref="AD879:AD885" si="73">BIN2DEC(MID(AA879,2,4))</f>
        <v>#REF!</v>
      </c>
      <c r="AE879" s="31" t="e" cm="1">
        <f t="array" aca="1" ref="AE879" ca="1">INDEX(OFFSET('[1]S-box'!$A$2, (Z879-1)*6, 0, 4, 16), AC879+1, AD879+1)</f>
        <v>#VALUE!</v>
      </c>
      <c r="AF879" s="33" t="e">
        <f t="shared" ref="AF879:AF885" ca="1" si="74">DEC2BIN(AE879, 4)</f>
        <v>#VALUE!</v>
      </c>
      <c r="AH879" s="9">
        <v>3</v>
      </c>
      <c r="AI879" s="4" t="e" cm="1">
        <f t="array" ref="AI879">MID(INDEX($AF$265:$AF$272,INT((ROW(A616)-1)/4)+1),MOD(ROW(A616)-1,4)+1,1)</f>
        <v>#REF!</v>
      </c>
      <c r="AK879" s="9">
        <v>3</v>
      </c>
      <c r="AL879" s="4" t="e" cm="1">
        <f t="array" ref="AL879">INDEX($AI$264:$AI$295, INDEX($H$15:$O$18, INT((ROW(A616)-1)/8)+1, MOD(ROW(A616)-1,8)+1))</f>
        <v>#REF!</v>
      </c>
      <c r="AN879" s="2" t="e">
        <f t="shared" ref="AN879:AN909" ca="1" si="75">_xlfn.BITXOR(T692, AE817)</f>
        <v>#VALUE!</v>
      </c>
      <c r="AO879" s="2" t="e">
        <f t="shared" ref="AO879:AO909" si="76">_xlfn.BITXOR(N878, AL878)</f>
        <v>#REF!</v>
      </c>
    </row>
    <row r="880" spans="2:41" x14ac:dyDescent="0.25">
      <c r="B880" s="2">
        <v>4</v>
      </c>
      <c r="C880" s="2">
        <v>1</v>
      </c>
      <c r="F880" s="15" cm="1">
        <f t="array" ref="F880">INDEX($C$877:$C$932, H44)</f>
        <v>0</v>
      </c>
      <c r="G880" s="15" cm="1">
        <f t="array" ref="G880">INDEX($C$877:$C$932, I44)</f>
        <v>1</v>
      </c>
      <c r="H880" s="15" cm="1">
        <f t="array" ref="H880">INDEX($C$877:$C$932, J44)</f>
        <v>0</v>
      </c>
      <c r="I880" s="15" cm="1">
        <f t="array" ref="I880">INDEX($C$877:$C$932, K44)</f>
        <v>0</v>
      </c>
      <c r="J880" s="15" cm="1">
        <f t="array" ref="J880">INDEX($C$877:$C$932, L44)</f>
        <v>0</v>
      </c>
      <c r="K880" s="15" cm="1">
        <f t="array" ref="K880">INDEX($C$877:$C$932, M44)</f>
        <v>1</v>
      </c>
      <c r="M880" s="9">
        <v>4</v>
      </c>
      <c r="N880" s="4" cm="1">
        <f t="array" ref="N880">INDEX($F$877:$K$884, INT((ROW(A4)-1)/6)+1, MOD(ROW(A679)-1,6)+1)</f>
        <v>1</v>
      </c>
      <c r="P880" s="15" t="e" cm="1" vm="1">
        <f t="array" aca="1" ref="P880" ca="1">INDEX($AO$204:$AO$235, H667)</f>
        <v>#VALUE!</v>
      </c>
      <c r="Q880" s="15" t="e" cm="1" vm="1">
        <f t="array" aca="1" ref="Q880" ca="1">INDEX($AO$204:$AO$235, I667)</f>
        <v>#VALUE!</v>
      </c>
      <c r="R880" s="15" t="e" cm="1" vm="1">
        <f t="array" aca="1" ref="R880" ca="1">INDEX($AO$204:$AO$235, J667)</f>
        <v>#VALUE!</v>
      </c>
      <c r="S880" s="15" t="e" cm="1" vm="1">
        <f t="array" aca="1" ref="S880" ca="1">INDEX($AO$204:$AO$235, K667)</f>
        <v>#VALUE!</v>
      </c>
      <c r="T880" s="15" t="e" cm="1" vm="1">
        <f t="array" aca="1" ref="T880" ca="1">INDEX($AO$204:$AO$235, L667)</f>
        <v>#VALUE!</v>
      </c>
      <c r="U880" s="15" t="e" cm="1">
        <f t="array" ref="U880">INDEX($AO$204:$AO$235, M667)</f>
        <v>#REF!</v>
      </c>
      <c r="W880" s="9">
        <v>4</v>
      </c>
      <c r="X880" s="4" t="e">
        <f t="shared" si="71"/>
        <v>#REF!</v>
      </c>
      <c r="Z880" s="32">
        <v>3</v>
      </c>
      <c r="AA880" s="34" t="e">
        <f>_xlfn.TEXTJOIN("", TRUE, INDEX($X$264:$X$311, (ROW(A616)-1)*6+1) : INDEX($X$264:$X$311, (ROW(A616)-1)*6+6))</f>
        <v>#REF!</v>
      </c>
      <c r="AB880" s="35"/>
      <c r="AC880" s="32" t="e">
        <f t="shared" si="72"/>
        <v>#REF!</v>
      </c>
      <c r="AD880" s="31" t="e">
        <f t="shared" si="73"/>
        <v>#REF!</v>
      </c>
      <c r="AE880" s="31" t="e" cm="1">
        <f t="array" aca="1" ref="AE880" ca="1">INDEX(OFFSET('[1]S-box'!$A$2, (Z880-1)*6, 0, 4, 16), AC880+1, AD880+1)</f>
        <v>#VALUE!</v>
      </c>
      <c r="AF880" s="33" t="e">
        <f t="shared" ca="1" si="74"/>
        <v>#VALUE!</v>
      </c>
      <c r="AH880" s="9">
        <v>4</v>
      </c>
      <c r="AI880" s="4" t="e" cm="1">
        <f t="array" ref="AI880">MID(INDEX($AF$265:$AF$272,INT((ROW(A617)-1)/4)+1),MOD(ROW(A617)-1,4)+1,1)</f>
        <v>#REF!</v>
      </c>
      <c r="AK880" s="9">
        <v>4</v>
      </c>
      <c r="AL880" s="4" t="e" cm="1">
        <f t="array" ref="AL880">INDEX($AI$264:$AI$295, INDEX($H$15:$O$18, INT((ROW(A617)-1)/8)+1, MOD(ROW(A617)-1,8)+1))</f>
        <v>#REF!</v>
      </c>
      <c r="AN880" s="2" t="e" vm="3">
        <f t="shared" ca="1" si="75"/>
        <v>#VALUE!</v>
      </c>
      <c r="AO880" s="2" t="e">
        <f t="shared" si="76"/>
        <v>#REF!</v>
      </c>
    </row>
    <row r="881" spans="2:41" x14ac:dyDescent="0.25">
      <c r="B881" s="2">
        <v>5</v>
      </c>
      <c r="C881" s="2">
        <v>1</v>
      </c>
      <c r="F881" s="15" cm="1">
        <f t="array" ref="F881">INDEX($C$877:$C$932, H45)</f>
        <v>0</v>
      </c>
      <c r="G881" s="15" cm="1">
        <f t="array" ref="G881">INDEX($C$877:$C$932, I45)</f>
        <v>1</v>
      </c>
      <c r="H881" s="15" cm="1">
        <f t="array" ref="H881">INDEX($C$877:$C$932, J45)</f>
        <v>0</v>
      </c>
      <c r="I881" s="15" cm="1">
        <f t="array" ref="I881">INDEX($C$877:$C$932, K45)</f>
        <v>0</v>
      </c>
      <c r="J881" s="15" cm="1">
        <f t="array" ref="J881">INDEX($C$877:$C$932, L45)</f>
        <v>1</v>
      </c>
      <c r="K881" s="15" cm="1">
        <f t="array" ref="K881">INDEX($C$877:$C$932, M45)</f>
        <v>0</v>
      </c>
      <c r="M881" s="9">
        <v>5</v>
      </c>
      <c r="N881" s="4" cm="1">
        <f t="array" ref="N881">INDEX($F$877:$K$884, INT((ROW(A5)-1)/6)+1, MOD(ROW(A680)-1,6)+1)</f>
        <v>0</v>
      </c>
      <c r="P881" s="15" t="e" cm="1" vm="1">
        <f t="array" aca="1" ref="P881" ca="1">INDEX($AO$204:$AO$235, H668)</f>
        <v>#VALUE!</v>
      </c>
      <c r="Q881" s="15" t="e" cm="1" vm="1">
        <f t="array" aca="1" ref="Q881" ca="1">INDEX($AO$204:$AO$235, I668)</f>
        <v>#VALUE!</v>
      </c>
      <c r="R881" s="15" t="e" cm="1" vm="1">
        <f t="array" aca="1" ref="R881" ca="1">INDEX($AO$204:$AO$235, J668)</f>
        <v>#VALUE!</v>
      </c>
      <c r="S881" s="15" t="e" cm="1" vm="1">
        <f t="array" aca="1" ref="S881" ca="1">INDEX($AO$204:$AO$235, K668)</f>
        <v>#VALUE!</v>
      </c>
      <c r="T881" s="15" t="e" cm="1" vm="1">
        <f t="array" aca="1" ref="T881" ca="1">INDEX($AO$204:$AO$235, L668)</f>
        <v>#VALUE!</v>
      </c>
      <c r="U881" s="15" t="e" cm="1">
        <f t="array" ref="U881">INDEX($AO$204:$AO$235, M668)</f>
        <v>#REF!</v>
      </c>
      <c r="W881" s="9">
        <v>5</v>
      </c>
      <c r="X881" s="4" t="e">
        <f t="shared" si="71"/>
        <v>#REF!</v>
      </c>
      <c r="Z881" s="32">
        <v>4</v>
      </c>
      <c r="AA881" s="34" t="e">
        <f>_xlfn.TEXTJOIN("", TRUE, INDEX($X$264:$X$311, (ROW(A617)-1)*6+1) : INDEX($X$264:$X$311, (ROW(A617)-1)*6+6))</f>
        <v>#REF!</v>
      </c>
      <c r="AB881" s="35"/>
      <c r="AC881" s="32" t="e">
        <f t="shared" si="72"/>
        <v>#REF!</v>
      </c>
      <c r="AD881" s="31" t="e">
        <f t="shared" si="73"/>
        <v>#REF!</v>
      </c>
      <c r="AE881" s="31" t="e" cm="1">
        <f t="array" aca="1" ref="AE881" ca="1">INDEX(OFFSET('[1]S-box'!$A$2, (Z881-1)*6, 0, 4, 16), AC881+1, AD881+1)</f>
        <v>#VALUE!</v>
      </c>
      <c r="AF881" s="33" t="e">
        <f t="shared" ca="1" si="74"/>
        <v>#VALUE!</v>
      </c>
      <c r="AH881" s="9">
        <v>5</v>
      </c>
      <c r="AI881" s="4" t="e" cm="1">
        <f t="array" ref="AI881">MID(INDEX($AF$265:$AF$272,INT((ROW(A618)-1)/4)+1),MOD(ROW(A618)-1,4)+1,1)</f>
        <v>#REF!</v>
      </c>
      <c r="AK881" s="9">
        <v>5</v>
      </c>
      <c r="AL881" s="4" t="e" cm="1">
        <f t="array" ref="AL881">INDEX($AI$264:$AI$295, INDEX($H$15:$O$18, INT((ROW(A618)-1)/8)+1, MOD(ROW(A618)-1,8)+1))</f>
        <v>#REF!</v>
      </c>
      <c r="AN881" s="2" t="e" vm="3">
        <f t="shared" ca="1" si="75"/>
        <v>#VALUE!</v>
      </c>
      <c r="AO881" s="2" t="e">
        <f t="shared" si="76"/>
        <v>#REF!</v>
      </c>
    </row>
    <row r="882" spans="2:41" x14ac:dyDescent="0.25">
      <c r="B882" s="2">
        <v>6</v>
      </c>
      <c r="C882" s="2">
        <v>1</v>
      </c>
      <c r="F882" s="15" cm="1">
        <f t="array" ref="F882">INDEX($C$877:$C$932, H46)</f>
        <v>1</v>
      </c>
      <c r="G882" s="15" cm="1">
        <f t="array" ref="G882">INDEX($C$877:$C$932, I46)</f>
        <v>1</v>
      </c>
      <c r="H882" s="15" cm="1">
        <f t="array" ref="H882">INDEX($C$877:$C$932, J46)</f>
        <v>1</v>
      </c>
      <c r="I882" s="15" cm="1">
        <f t="array" ref="I882">INDEX($C$877:$C$932, K46)</f>
        <v>0</v>
      </c>
      <c r="J882" s="15" cm="1">
        <f t="array" ref="J882">INDEX($C$877:$C$932, L46)</f>
        <v>0</v>
      </c>
      <c r="K882" s="15" cm="1">
        <f t="array" ref="K882">INDEX($C$877:$C$932, M46)</f>
        <v>0</v>
      </c>
      <c r="M882" s="9">
        <v>6</v>
      </c>
      <c r="N882" s="4" cm="1">
        <f t="array" ref="N882">INDEX($F$877:$K$884, INT((ROW(A6)-1)/6)+1, MOD(ROW(A681)-1,6)+1)</f>
        <v>0</v>
      </c>
      <c r="P882" s="15" t="e" cm="1" vm="1">
        <f t="array" aca="1" ref="P882" ca="1">INDEX($AO$204:$AO$235, H669)</f>
        <v>#VALUE!</v>
      </c>
      <c r="Q882" s="15" t="e" cm="1" vm="1">
        <f t="array" aca="1" ref="Q882" ca="1">INDEX($AO$204:$AO$235, I669)</f>
        <v>#VALUE!</v>
      </c>
      <c r="R882" s="15" t="e" cm="1" vm="1">
        <f t="array" aca="1" ref="R882" ca="1">INDEX($AO$204:$AO$235, J669)</f>
        <v>#VALUE!</v>
      </c>
      <c r="S882" s="15" t="e" cm="1" vm="1">
        <f t="array" aca="1" ref="S882" ca="1">INDEX($AO$204:$AO$235, K669)</f>
        <v>#VALUE!</v>
      </c>
      <c r="T882" s="15" t="e" cm="1" vm="1">
        <f t="array" aca="1" ref="T882" ca="1">INDEX($AO$204:$AO$235, L669)</f>
        <v>#VALUE!</v>
      </c>
      <c r="U882" s="15" t="e" cm="1">
        <f t="array" ref="U882">INDEX($AO$204:$AO$235, M669)</f>
        <v>#REF!</v>
      </c>
      <c r="W882" s="9">
        <v>6</v>
      </c>
      <c r="X882" s="4" t="e">
        <f t="shared" si="71"/>
        <v>#REF!</v>
      </c>
      <c r="Z882" s="32">
        <v>5</v>
      </c>
      <c r="AA882" s="34" t="e">
        <f>_xlfn.TEXTJOIN("", TRUE, INDEX($X$264:$X$311, (ROW(A618)-1)*6+1) : INDEX($X$264:$X$311, (ROW(A618)-1)*6+6))</f>
        <v>#REF!</v>
      </c>
      <c r="AB882" s="35"/>
      <c r="AC882" s="32" t="e">
        <f t="shared" si="72"/>
        <v>#REF!</v>
      </c>
      <c r="AD882" s="31" t="e">
        <f t="shared" si="73"/>
        <v>#REF!</v>
      </c>
      <c r="AE882" s="31" t="e" cm="1">
        <f t="array" aca="1" ref="AE882" ca="1">INDEX(OFFSET('[1]S-box'!$A$2, (Z882-1)*6, 0, 4, 16), AC882+1, AD882+1)</f>
        <v>#VALUE!</v>
      </c>
      <c r="AF882" s="33" t="e">
        <f t="shared" ca="1" si="74"/>
        <v>#VALUE!</v>
      </c>
      <c r="AH882" s="9">
        <v>6</v>
      </c>
      <c r="AI882" s="4" t="e" cm="1">
        <f t="array" ref="AI882">MID(INDEX($AF$265:$AF$272,INT((ROW(A619)-1)/4)+1),MOD(ROW(A619)-1,4)+1,1)</f>
        <v>#REF!</v>
      </c>
      <c r="AK882" s="9">
        <v>6</v>
      </c>
      <c r="AL882" s="4" t="e" cm="1">
        <f t="array" ref="AL882">INDEX($AI$264:$AI$295, INDEX($H$15:$O$18, INT((ROW(A619)-1)/8)+1, MOD(ROW(A619)-1,8)+1))</f>
        <v>#REF!</v>
      </c>
      <c r="AN882" s="2" t="e" vm="3">
        <f t="shared" ca="1" si="75"/>
        <v>#VALUE!</v>
      </c>
      <c r="AO882" s="2" t="e">
        <f t="shared" si="76"/>
        <v>#REF!</v>
      </c>
    </row>
    <row r="883" spans="2:41" x14ac:dyDescent="0.25">
      <c r="B883" s="2">
        <v>7</v>
      </c>
      <c r="C883" s="2">
        <v>1</v>
      </c>
      <c r="F883" s="15" cm="1">
        <f t="array" ref="F883">INDEX($C$877:$C$932, H47)</f>
        <v>0</v>
      </c>
      <c r="G883" s="15" cm="1">
        <f t="array" ref="G883">INDEX($C$877:$C$932, I47)</f>
        <v>0</v>
      </c>
      <c r="H883" s="15" cm="1">
        <f t="array" ref="H883">INDEX($C$877:$C$932, J47)</f>
        <v>0</v>
      </c>
      <c r="I883" s="15" cm="1">
        <f t="array" ref="I883">INDEX($C$877:$C$932, K47)</f>
        <v>0</v>
      </c>
      <c r="J883" s="15" cm="1">
        <f t="array" ref="J883">INDEX($C$877:$C$932, L47)</f>
        <v>1</v>
      </c>
      <c r="K883" s="15" cm="1">
        <f t="array" ref="K883">INDEX($C$877:$C$932, M47)</f>
        <v>1</v>
      </c>
      <c r="M883" s="9">
        <v>7</v>
      </c>
      <c r="N883" s="4" cm="1">
        <f t="array" ref="N883">INDEX($F$877:$K$884, INT((ROW(A7)-1)/6)+1, MOD(ROW(A682)-1,6)+1)</f>
        <v>1</v>
      </c>
      <c r="P883" s="15" t="e" cm="1" vm="1">
        <f t="array" aca="1" ref="P883" ca="1">INDEX($AO$204:$AO$235, H670)</f>
        <v>#VALUE!</v>
      </c>
      <c r="Q883" s="15" t="e" cm="1" vm="1">
        <f t="array" aca="1" ref="Q883" ca="1">INDEX($AO$204:$AO$235, I670)</f>
        <v>#VALUE!</v>
      </c>
      <c r="R883" s="15" t="e" cm="1" vm="1">
        <f t="array" aca="1" ref="R883" ca="1">INDEX($AO$204:$AO$235, J670)</f>
        <v>#VALUE!</v>
      </c>
      <c r="S883" s="15" t="e" cm="1" vm="1">
        <f t="array" aca="1" ref="S883" ca="1">INDEX($AO$204:$AO$235, K670)</f>
        <v>#VALUE!</v>
      </c>
      <c r="T883" s="15" t="e" cm="1" vm="1">
        <f t="array" aca="1" ref="T883" ca="1">INDEX($AO$204:$AO$235, L670)</f>
        <v>#VALUE!</v>
      </c>
      <c r="U883" s="15" t="e" cm="1">
        <f t="array" ref="U883">INDEX($AO$204:$AO$235, M670)</f>
        <v>#REF!</v>
      </c>
      <c r="W883" s="9">
        <v>7</v>
      </c>
      <c r="X883" s="4" t="e">
        <f t="shared" si="71"/>
        <v>#REF!</v>
      </c>
      <c r="Z883" s="32">
        <v>6</v>
      </c>
      <c r="AA883" s="34" t="e">
        <f>_xlfn.TEXTJOIN("", TRUE, INDEX($X$264:$X$311, (ROW(A619)-1)*6+1) : INDEX($X$264:$X$311, (ROW(A619)-1)*6+6))</f>
        <v>#REF!</v>
      </c>
      <c r="AB883" s="35"/>
      <c r="AC883" s="32" t="e">
        <f t="shared" si="72"/>
        <v>#REF!</v>
      </c>
      <c r="AD883" s="31" t="e">
        <f t="shared" si="73"/>
        <v>#REF!</v>
      </c>
      <c r="AE883" s="31" t="e" cm="1">
        <f t="array" aca="1" ref="AE883" ca="1">INDEX(OFFSET('[1]S-box'!$A$2, (Z883-1)*6, 0, 4, 16), AC883+1, AD883+1)</f>
        <v>#VALUE!</v>
      </c>
      <c r="AF883" s="33" t="e">
        <f t="shared" ca="1" si="74"/>
        <v>#VALUE!</v>
      </c>
      <c r="AH883" s="9">
        <v>7</v>
      </c>
      <c r="AI883" s="4" t="e" cm="1">
        <f t="array" ref="AI883">MID(INDEX($AF$265:$AF$272,INT((ROW(A620)-1)/4)+1),MOD(ROW(A620)-1,4)+1,1)</f>
        <v>#REF!</v>
      </c>
      <c r="AK883" s="9">
        <v>7</v>
      </c>
      <c r="AL883" s="4" t="e" cm="1">
        <f t="array" ref="AL883">INDEX($AI$264:$AI$295, INDEX($H$15:$O$18, INT((ROW(A620)-1)/8)+1, MOD(ROW(A620)-1,8)+1))</f>
        <v>#REF!</v>
      </c>
      <c r="AN883" s="2" t="e" vm="3">
        <f t="shared" ca="1" si="75"/>
        <v>#VALUE!</v>
      </c>
      <c r="AO883" s="2" t="e">
        <f t="shared" si="76"/>
        <v>#REF!</v>
      </c>
    </row>
    <row r="884" spans="2:41" x14ac:dyDescent="0.25">
      <c r="B884" s="2">
        <v>8</v>
      </c>
      <c r="C884" s="2">
        <v>1</v>
      </c>
      <c r="F884" s="15" cm="1">
        <f t="array" ref="F884">INDEX($C$877:$C$932, H48)</f>
        <v>1</v>
      </c>
      <c r="G884" s="15" cm="1">
        <f t="array" ref="G884">INDEX($C$877:$C$932, I48)</f>
        <v>1</v>
      </c>
      <c r="H884" s="15" cm="1">
        <f t="array" ref="H884">INDEX($C$877:$C$932, J48)</f>
        <v>1</v>
      </c>
      <c r="I884" s="15" cm="1">
        <f t="array" ref="I884">INDEX($C$877:$C$932, K48)</f>
        <v>1</v>
      </c>
      <c r="J884" s="15" cm="1">
        <f t="array" ref="J884">INDEX($C$877:$C$932, L48)</f>
        <v>0</v>
      </c>
      <c r="K884" s="15" cm="1">
        <f t="array" ref="K884">INDEX($C$877:$C$932, M48)</f>
        <v>1</v>
      </c>
      <c r="M884" s="11">
        <v>8</v>
      </c>
      <c r="N884" s="4" cm="1">
        <f t="array" ref="N884">INDEX($F$877:$K$884, INT((ROW(A8)-1)/6)+1, MOD(ROW(A683)-1,6)+1)</f>
        <v>0</v>
      </c>
      <c r="P884" s="15" t="e" cm="1" vm="2">
        <f t="array" aca="1" ref="P884" ca="1">INDEX($AO$204:$AO$235, H671)</f>
        <v>#VALUE!</v>
      </c>
      <c r="Q884" s="15" t="e" cm="1" vm="2">
        <f t="array" aca="1" ref="Q884" ca="1">INDEX($AO$204:$AO$235, I671)</f>
        <v>#VALUE!</v>
      </c>
      <c r="R884" s="15" t="e" cm="1">
        <f t="array" aca="1" ref="R884:R915" ca="1">INDEX($AO$204:$AO$235, J671)</f>
        <v>#VALUE!</v>
      </c>
      <c r="S884" s="15" t="e" cm="1">
        <f t="array" aca="1" ref="S884:S915" ca="1">INDEX($AO$204:$AO$235, K671)</f>
        <v>#VALUE!</v>
      </c>
      <c r="T884" s="15" t="e" cm="1">
        <f t="array" aca="1" ref="T884:T915" ca="1">INDEX($AO$204:$AO$235, L671)</f>
        <v>#VALUE!</v>
      </c>
      <c r="U884" s="15" t="e" cm="1">
        <f t="array" ref="U884">INDEX($AO$204:$AO$235, M671)</f>
        <v>#REF!</v>
      </c>
      <c r="W884" s="11">
        <v>8</v>
      </c>
      <c r="X884" s="4" t="e">
        <f t="shared" si="71"/>
        <v>#REF!</v>
      </c>
      <c r="Z884" s="32">
        <v>7</v>
      </c>
      <c r="AA884" s="34" t="e">
        <f>_xlfn.TEXTJOIN("", TRUE, INDEX($X$264:$X$311, (ROW(A620)-1)*6+1) : INDEX($X$264:$X$311, (ROW(A620)-1)*6+6))</f>
        <v>#REF!</v>
      </c>
      <c r="AB884" s="35"/>
      <c r="AC884" s="32" t="e">
        <f t="shared" si="72"/>
        <v>#REF!</v>
      </c>
      <c r="AD884" s="31" t="e">
        <f t="shared" si="73"/>
        <v>#REF!</v>
      </c>
      <c r="AE884" s="31" t="e" cm="1">
        <f t="array" aca="1" ref="AE884" ca="1">INDEX(OFFSET('[1]S-box'!$A$2, (Z884-1)*6, 0, 4, 16), AC884+1, AD884+1)</f>
        <v>#VALUE!</v>
      </c>
      <c r="AF884" s="33" t="e">
        <f t="shared" ca="1" si="74"/>
        <v>#VALUE!</v>
      </c>
      <c r="AH884" s="11">
        <v>8</v>
      </c>
      <c r="AI884" s="4" t="e" cm="1">
        <f t="array" ref="AI884">MID(INDEX($AF$265:$AF$272,INT((ROW(A621)-1)/4)+1),MOD(ROW(A621)-1,4)+1,1)</f>
        <v>#REF!</v>
      </c>
      <c r="AK884" s="11">
        <v>8</v>
      </c>
      <c r="AL884" s="4" t="e" cm="1">
        <f t="array" ref="AL884">INDEX($AI$264:$AI$295, INDEX($H$15:$O$18, INT((ROW(A621)-1)/8)+1, MOD(ROW(A621)-1,8)+1))</f>
        <v>#REF!</v>
      </c>
      <c r="AN884" s="2" t="e" vm="3">
        <f t="shared" ca="1" si="75"/>
        <v>#VALUE!</v>
      </c>
      <c r="AO884" s="2" t="e">
        <f t="shared" si="76"/>
        <v>#REF!</v>
      </c>
    </row>
    <row r="885" spans="2:41" x14ac:dyDescent="0.25">
      <c r="B885" s="2">
        <v>9</v>
      </c>
      <c r="C885" s="2">
        <v>1</v>
      </c>
      <c r="M885" s="9">
        <v>9</v>
      </c>
      <c r="N885" s="4" cm="1">
        <f t="array" ref="N885">INDEX($F$877:$K$884, INT((ROW(A9)-1)/6)+1, MOD(ROW(A684)-1,6)+1)</f>
        <v>0</v>
      </c>
      <c r="R885" t="e">
        <f ca="1"/>
        <v>#VALUE!</v>
      </c>
      <c r="S885" t="e">
        <f ca="1"/>
        <v>#VALUE!</v>
      </c>
      <c r="T885" t="e">
        <f ca="1"/>
        <v>#VALUE!</v>
      </c>
      <c r="W885" s="9">
        <v>9</v>
      </c>
      <c r="X885" s="4" t="e">
        <f t="shared" si="71"/>
        <v>#REF!</v>
      </c>
      <c r="Z885" s="32">
        <v>8</v>
      </c>
      <c r="AA885" s="34" t="e">
        <f>_xlfn.TEXTJOIN("", TRUE, INDEX($X$264:$X$311, (ROW(A621)-1)*6+1) : INDEX($X$264:$X$311, (ROW(A621)-1)*6+6))</f>
        <v>#REF!</v>
      </c>
      <c r="AB885" s="35"/>
      <c r="AC885" s="32" t="e">
        <f t="shared" si="72"/>
        <v>#REF!</v>
      </c>
      <c r="AD885" s="31" t="e">
        <f t="shared" si="73"/>
        <v>#REF!</v>
      </c>
      <c r="AE885" s="31" t="e" cm="1">
        <f t="array" aca="1" ref="AE885" ca="1">INDEX(OFFSET('[1]S-box'!$A$2, (Z885-1)*6, 0, 4, 16), AC885+1, AD885+1)</f>
        <v>#VALUE!</v>
      </c>
      <c r="AF885" s="33" t="e">
        <f t="shared" ca="1" si="74"/>
        <v>#VALUE!</v>
      </c>
      <c r="AH885" s="9">
        <v>9</v>
      </c>
      <c r="AI885" s="4" t="e" cm="1">
        <f t="array" ref="AI885">MID(INDEX($AF$265:$AF$272,INT((ROW(A622)-1)/4)+1),MOD(ROW(A622)-1,4)+1,1)</f>
        <v>#REF!</v>
      </c>
      <c r="AK885" s="9">
        <v>9</v>
      </c>
      <c r="AL885" s="4" t="e" cm="1">
        <f t="array" ref="AL885">INDEX($AI$264:$AI$295, INDEX($H$15:$O$18, INT((ROW(A622)-1)/8)+1, MOD(ROW(A622)-1,8)+1))</f>
        <v>#REF!</v>
      </c>
      <c r="AN885" s="2" t="e" vm="3">
        <f t="shared" ca="1" si="75"/>
        <v>#VALUE!</v>
      </c>
      <c r="AO885" s="2" t="e">
        <f t="shared" si="76"/>
        <v>#REF!</v>
      </c>
    </row>
    <row r="886" spans="2:41" x14ac:dyDescent="0.25">
      <c r="B886" s="2">
        <v>10</v>
      </c>
      <c r="C886" s="2">
        <v>0</v>
      </c>
      <c r="M886" s="9">
        <v>10</v>
      </c>
      <c r="N886" s="4" cm="1">
        <f t="array" ref="N886">INDEX($F$877:$K$884, INT((ROW(A10)-1)/6)+1, MOD(ROW(A685)-1,6)+1)</f>
        <v>0</v>
      </c>
      <c r="P886" s="36" t="s">
        <v>94</v>
      </c>
      <c r="Q886" s="36"/>
      <c r="R886" t="e">
        <f ca="1"/>
        <v>#VALUE!</v>
      </c>
      <c r="S886" t="e">
        <f ca="1"/>
        <v>#VALUE!</v>
      </c>
      <c r="T886" t="e">
        <f ca="1"/>
        <v>#VALUE!</v>
      </c>
      <c r="W886" s="9">
        <v>10</v>
      </c>
      <c r="X886" s="4" t="e">
        <f t="shared" si="71"/>
        <v>#REF!</v>
      </c>
      <c r="AH886" s="9">
        <v>10</v>
      </c>
      <c r="AI886" s="4" t="e" cm="1">
        <f t="array" ref="AI886">MID(INDEX($AF$265:$AF$272,INT((ROW(A623)-1)/4)+1),MOD(ROW(A623)-1,4)+1,1)</f>
        <v>#REF!</v>
      </c>
      <c r="AK886" s="9">
        <v>10</v>
      </c>
      <c r="AL886" s="4" t="e" cm="1">
        <f t="array" ref="AL886">INDEX($AI$264:$AI$295, INDEX($H$15:$O$18, INT((ROW(A623)-1)/8)+1, MOD(ROW(A623)-1,8)+1))</f>
        <v>#REF!</v>
      </c>
      <c r="AN886" s="2" t="e" vm="3">
        <f t="shared" ca="1" si="75"/>
        <v>#VALUE!</v>
      </c>
      <c r="AO886" s="2" t="e">
        <f t="shared" si="76"/>
        <v>#REF!</v>
      </c>
    </row>
    <row r="887" spans="2:41" x14ac:dyDescent="0.25">
      <c r="B887" s="2">
        <v>11</v>
      </c>
      <c r="C887" s="2">
        <v>0</v>
      </c>
      <c r="M887" s="9">
        <v>11</v>
      </c>
      <c r="N887" s="4" cm="1">
        <f t="array" ref="N887">INDEX($F$877:$K$884, INT((ROW(A11)-1)/6)+1, MOD(ROW(A686)-1,6)+1)</f>
        <v>1</v>
      </c>
      <c r="P887" s="9">
        <v>1</v>
      </c>
      <c r="Q887" s="4" t="e" cm="1">
        <f t="array" ref="Q887">INDEX($P$264:$U$271, INT((ROW(A614)-1)/6)+1, MOD(ROW(A614)-1,6)+1)</f>
        <v>#REF!</v>
      </c>
      <c r="R887" t="e">
        <f ca="1"/>
        <v>#VALUE!</v>
      </c>
      <c r="S887" t="e">
        <f ca="1"/>
        <v>#VALUE!</v>
      </c>
      <c r="T887" t="e">
        <f ca="1"/>
        <v>#VALUE!</v>
      </c>
      <c r="W887" s="9">
        <v>11</v>
      </c>
      <c r="X887" s="4" t="e">
        <f t="shared" si="71"/>
        <v>#REF!</v>
      </c>
      <c r="AH887" s="9">
        <v>11</v>
      </c>
      <c r="AI887" s="4" t="e" cm="1">
        <f t="array" ref="AI887">MID(INDEX($AF$265:$AF$272,INT((ROW(A624)-1)/4)+1),MOD(ROW(A624)-1,4)+1,1)</f>
        <v>#REF!</v>
      </c>
      <c r="AK887" s="9">
        <v>11</v>
      </c>
      <c r="AL887" s="4" t="e" cm="1">
        <f t="array" ref="AL887">INDEX($AI$264:$AI$295, INDEX($H$15:$O$18, INT((ROW(A624)-1)/8)+1, MOD(ROW(A624)-1,8)+1))</f>
        <v>#REF!</v>
      </c>
      <c r="AN887" s="2" t="e">
        <f t="shared" ca="1" si="75"/>
        <v>#VALUE!</v>
      </c>
      <c r="AO887" s="2" t="e">
        <f t="shared" si="76"/>
        <v>#REF!</v>
      </c>
    </row>
    <row r="888" spans="2:41" x14ac:dyDescent="0.25">
      <c r="B888" s="2">
        <v>12</v>
      </c>
      <c r="C888" s="2">
        <v>0</v>
      </c>
      <c r="M888" s="9">
        <v>12</v>
      </c>
      <c r="N888" s="4" cm="1">
        <f t="array" ref="N888">INDEX($F$877:$K$884, INT((ROW(A12)-1)/6)+1, MOD(ROW(A687)-1,6)+1)</f>
        <v>1</v>
      </c>
      <c r="P888" s="9">
        <v>2</v>
      </c>
      <c r="Q888" s="4" t="e" cm="1">
        <f t="array" ref="Q888">INDEX($P$264:$U$271, INT((ROW(A615)-1)/6)+1, MOD(ROW(A615)-1,6)+1)</f>
        <v>#REF!</v>
      </c>
      <c r="R888" t="e">
        <f ca="1"/>
        <v>#VALUE!</v>
      </c>
      <c r="S888" t="e">
        <f ca="1"/>
        <v>#VALUE!</v>
      </c>
      <c r="T888" t="e">
        <f ca="1"/>
        <v>#VALUE!</v>
      </c>
      <c r="W888" s="9">
        <v>12</v>
      </c>
      <c r="X888" s="4" t="e">
        <f t="shared" si="71"/>
        <v>#REF!</v>
      </c>
      <c r="AH888" s="9">
        <v>12</v>
      </c>
      <c r="AI888" s="4" t="e" cm="1">
        <f t="array" ref="AI888">MID(INDEX($AF$265:$AF$272,INT((ROW(A625)-1)/4)+1),MOD(ROW(A625)-1,4)+1,1)</f>
        <v>#REF!</v>
      </c>
      <c r="AK888" s="9">
        <v>12</v>
      </c>
      <c r="AL888" s="4" t="e" cm="1">
        <f t="array" ref="AL888">INDEX($AI$264:$AI$295, INDEX($H$15:$O$18, INT((ROW(A625)-1)/8)+1, MOD(ROW(A625)-1,8)+1))</f>
        <v>#REF!</v>
      </c>
      <c r="AN888" s="2" t="e">
        <f t="shared" ca="1" si="75"/>
        <v>#VALUE!</v>
      </c>
      <c r="AO888" s="2" t="e">
        <f t="shared" si="76"/>
        <v>#REF!</v>
      </c>
    </row>
    <row r="889" spans="2:41" x14ac:dyDescent="0.25">
      <c r="B889" s="2">
        <v>13</v>
      </c>
      <c r="C889" s="2">
        <v>0</v>
      </c>
      <c r="M889" s="9">
        <v>13</v>
      </c>
      <c r="N889" s="4" cm="1">
        <f t="array" ref="N889">INDEX($F$877:$K$884, INT((ROW(A13)-1)/6)+1, MOD(ROW(A688)-1,6)+1)</f>
        <v>1</v>
      </c>
      <c r="P889" s="9">
        <v>3</v>
      </c>
      <c r="Q889" s="4" t="e" cm="1">
        <f t="array" ref="Q889">INDEX($P$264:$U$271, INT((ROW(A616)-1)/6)+1, MOD(ROW(A616)-1,6)+1)</f>
        <v>#REF!</v>
      </c>
      <c r="R889" t="e">
        <f ca="1"/>
        <v>#VALUE!</v>
      </c>
      <c r="S889" t="e">
        <f ca="1"/>
        <v>#VALUE!</v>
      </c>
      <c r="T889" t="e">
        <f ca="1"/>
        <v>#VALUE!</v>
      </c>
      <c r="W889" s="9">
        <v>13</v>
      </c>
      <c r="X889" s="4" t="e">
        <f t="shared" si="71"/>
        <v>#REF!</v>
      </c>
      <c r="AH889" s="9">
        <v>13</v>
      </c>
      <c r="AI889" s="4" t="e" cm="1">
        <f t="array" ref="AI889">MID(INDEX($AF$265:$AF$272,INT((ROW(A626)-1)/4)+1),MOD(ROW(A626)-1,4)+1,1)</f>
        <v>#REF!</v>
      </c>
      <c r="AK889" s="9">
        <v>13</v>
      </c>
      <c r="AL889" s="4" t="e" cm="1">
        <f t="array" ref="AL889">INDEX($AI$264:$AI$295, INDEX($H$15:$O$18, INT((ROW(A626)-1)/8)+1, MOD(ROW(A626)-1,8)+1))</f>
        <v>#REF!</v>
      </c>
      <c r="AN889" s="2" t="e">
        <f t="shared" ca="1" si="75"/>
        <v>#VALUE!</v>
      </c>
      <c r="AO889" s="2" t="e">
        <f t="shared" si="76"/>
        <v>#REF!</v>
      </c>
    </row>
    <row r="890" spans="2:41" x14ac:dyDescent="0.25">
      <c r="B890" s="2">
        <v>14</v>
      </c>
      <c r="C890" s="2">
        <v>1</v>
      </c>
      <c r="M890" s="9">
        <v>14</v>
      </c>
      <c r="N890" s="4" cm="1">
        <f t="array" ref="N890">INDEX($F$877:$K$884, INT((ROW(A14)-1)/6)+1, MOD(ROW(A689)-1,6)+1)</f>
        <v>1</v>
      </c>
      <c r="P890" s="9">
        <v>4</v>
      </c>
      <c r="Q890" s="4" t="e" cm="1">
        <f t="array" ref="Q890">INDEX($P$264:$U$271, INT((ROW(A617)-1)/6)+1, MOD(ROW(A617)-1,6)+1)</f>
        <v>#REF!</v>
      </c>
      <c r="R890" t="e">
        <f ca="1"/>
        <v>#VALUE!</v>
      </c>
      <c r="S890" t="e">
        <f ca="1"/>
        <v>#VALUE!</v>
      </c>
      <c r="T890" t="e">
        <f ca="1"/>
        <v>#VALUE!</v>
      </c>
      <c r="W890" s="9">
        <v>14</v>
      </c>
      <c r="X890" s="4" t="e">
        <f t="shared" si="71"/>
        <v>#REF!</v>
      </c>
      <c r="AH890" s="9">
        <v>14</v>
      </c>
      <c r="AI890" s="4" t="e" cm="1">
        <f t="array" ref="AI890">MID(INDEX($AF$265:$AF$272,INT((ROW(A627)-1)/4)+1),MOD(ROW(A627)-1,4)+1,1)</f>
        <v>#REF!</v>
      </c>
      <c r="AK890" s="9">
        <v>14</v>
      </c>
      <c r="AL890" s="4" t="e" cm="1">
        <f t="array" ref="AL890">INDEX($AI$264:$AI$295, INDEX($H$15:$O$18, INT((ROW(A627)-1)/8)+1, MOD(ROW(A627)-1,8)+1))</f>
        <v>#REF!</v>
      </c>
      <c r="AN890" s="2" t="e">
        <f t="shared" ca="1" si="75"/>
        <v>#VALUE!</v>
      </c>
      <c r="AO890" s="2" t="e">
        <f t="shared" si="76"/>
        <v>#REF!</v>
      </c>
    </row>
    <row r="891" spans="2:41" x14ac:dyDescent="0.25">
      <c r="B891" s="2">
        <v>15</v>
      </c>
      <c r="C891" s="2">
        <v>1</v>
      </c>
      <c r="M891" s="9">
        <v>15</v>
      </c>
      <c r="N891" s="4" cm="1">
        <f t="array" ref="N891">INDEX($F$877:$K$884, INT((ROW(A15)-1)/6)+1, MOD(ROW(A690)-1,6)+1)</f>
        <v>1</v>
      </c>
      <c r="P891" s="9">
        <v>5</v>
      </c>
      <c r="Q891" s="4" t="e" cm="1">
        <f t="array" ref="Q891">INDEX($P$264:$U$271, INT((ROW(A618)-1)/6)+1, MOD(ROW(A618)-1,6)+1)</f>
        <v>#REF!</v>
      </c>
      <c r="R891" t="e">
        <f ca="1"/>
        <v>#VALUE!</v>
      </c>
      <c r="S891" t="e">
        <f ca="1"/>
        <v>#VALUE!</v>
      </c>
      <c r="T891" t="e">
        <f ca="1"/>
        <v>#VALUE!</v>
      </c>
      <c r="W891" s="9">
        <v>15</v>
      </c>
      <c r="X891" s="4" t="e">
        <f t="shared" si="71"/>
        <v>#REF!</v>
      </c>
      <c r="AH891" s="9">
        <v>15</v>
      </c>
      <c r="AI891" s="4" t="e" cm="1">
        <f t="array" ref="AI891">MID(INDEX($AF$265:$AF$272,INT((ROW(A628)-1)/4)+1),MOD(ROW(A628)-1,4)+1,1)</f>
        <v>#REF!</v>
      </c>
      <c r="AK891" s="9">
        <v>15</v>
      </c>
      <c r="AL891" s="4" t="e" cm="1">
        <f t="array" ref="AL891">INDEX($AI$264:$AI$295, INDEX($H$15:$O$18, INT((ROW(A628)-1)/8)+1, MOD(ROW(A628)-1,8)+1))</f>
        <v>#REF!</v>
      </c>
      <c r="AN891" s="2" t="e">
        <f t="shared" ca="1" si="75"/>
        <v>#VALUE!</v>
      </c>
      <c r="AO891" s="2" t="e">
        <f t="shared" si="76"/>
        <v>#REF!</v>
      </c>
    </row>
    <row r="892" spans="2:41" x14ac:dyDescent="0.25">
      <c r="B892" s="2">
        <v>16</v>
      </c>
      <c r="C892" s="2">
        <v>0</v>
      </c>
      <c r="M892" s="11">
        <v>16</v>
      </c>
      <c r="N892" s="4" cm="1">
        <f t="array" ref="N892">INDEX($F$877:$K$884, INT((ROW(A16)-1)/6)+1, MOD(ROW(A691)-1,6)+1)</f>
        <v>0</v>
      </c>
      <c r="P892" s="9">
        <v>6</v>
      </c>
      <c r="Q892" s="4" t="e" cm="1">
        <f t="array" ref="Q892">INDEX($P$264:$U$271, INT((ROW(A619)-1)/6)+1, MOD(ROW(A619)-1,6)+1)</f>
        <v>#REF!</v>
      </c>
      <c r="R892" t="e">
        <f ca="1"/>
        <v>#VALUE!</v>
      </c>
      <c r="S892" t="e">
        <f ca="1"/>
        <v>#VALUE!</v>
      </c>
      <c r="T892" t="e">
        <f ca="1"/>
        <v>#VALUE!</v>
      </c>
      <c r="W892" s="11">
        <v>16</v>
      </c>
      <c r="X892" s="4" t="e">
        <f t="shared" si="71"/>
        <v>#REF!</v>
      </c>
      <c r="AH892" s="11">
        <v>16</v>
      </c>
      <c r="AI892" s="4" t="e" cm="1">
        <f t="array" ref="AI892">MID(INDEX($AF$265:$AF$272,INT((ROW(A629)-1)/4)+1),MOD(ROW(A629)-1,4)+1,1)</f>
        <v>#REF!</v>
      </c>
      <c r="AK892" s="11">
        <v>16</v>
      </c>
      <c r="AL892" s="4" t="e" cm="1">
        <f t="array" ref="AL892">INDEX($AI$264:$AI$295, INDEX($H$15:$O$18, INT((ROW(A629)-1)/8)+1, MOD(ROW(A629)-1,8)+1))</f>
        <v>#REF!</v>
      </c>
      <c r="AN892" s="2" t="e">
        <f t="shared" ca="1" si="75"/>
        <v>#VALUE!</v>
      </c>
      <c r="AO892" s="2" t="e">
        <f t="shared" si="76"/>
        <v>#REF!</v>
      </c>
    </row>
    <row r="893" spans="2:41" x14ac:dyDescent="0.25">
      <c r="B893" s="2">
        <v>17</v>
      </c>
      <c r="C893" s="2">
        <v>0</v>
      </c>
      <c r="M893" s="7">
        <v>17</v>
      </c>
      <c r="N893" s="4" cm="1">
        <f t="array" ref="N893">INDEX($F$877:$K$884, INT((ROW(A17)-1)/6)+1, MOD(ROW(A692)-1,6)+1)</f>
        <v>1</v>
      </c>
      <c r="P893" s="9">
        <v>7</v>
      </c>
      <c r="Q893" s="4" t="e" cm="1">
        <f t="array" ref="Q893">INDEX($P$264:$U$271, INT((ROW(A620)-1)/6)+1, MOD(ROW(A620)-1,6)+1)</f>
        <v>#REF!</v>
      </c>
      <c r="R893" t="e">
        <f ca="1"/>
        <v>#VALUE!</v>
      </c>
      <c r="S893" t="e">
        <f ca="1"/>
        <v>#VALUE!</v>
      </c>
      <c r="T893" t="e">
        <f ca="1"/>
        <v>#VALUE!</v>
      </c>
      <c r="W893" s="7">
        <v>17</v>
      </c>
      <c r="X893" s="4" t="e">
        <f t="shared" si="71"/>
        <v>#REF!</v>
      </c>
      <c r="AH893" s="7">
        <v>17</v>
      </c>
      <c r="AI893" s="4" t="e" cm="1">
        <f t="array" ref="AI893">MID(INDEX($AF$265:$AF$272,INT((ROW(A630)-1)/4)+1),MOD(ROW(A630)-1,4)+1,1)</f>
        <v>#REF!</v>
      </c>
      <c r="AK893" s="7">
        <v>17</v>
      </c>
      <c r="AL893" s="4" t="e" cm="1">
        <f t="array" ref="AL893">INDEX($AI$264:$AI$295, INDEX($H$15:$O$18, INT((ROW(A630)-1)/8)+1, MOD(ROW(A630)-1,8)+1))</f>
        <v>#REF!</v>
      </c>
      <c r="AN893" s="2" t="e">
        <f t="shared" ca="1" si="75"/>
        <v>#VALUE!</v>
      </c>
      <c r="AO893" s="2" t="e">
        <f t="shared" si="76"/>
        <v>#REF!</v>
      </c>
    </row>
    <row r="894" spans="2:41" x14ac:dyDescent="0.25">
      <c r="B894" s="2">
        <v>18</v>
      </c>
      <c r="C894" s="2">
        <v>1</v>
      </c>
      <c r="M894" s="9">
        <v>18</v>
      </c>
      <c r="N894" s="4" cm="1">
        <f t="array" ref="N894">INDEX($F$877:$K$884, INT((ROW(A18)-1)/6)+1, MOD(ROW(A693)-1,6)+1)</f>
        <v>0</v>
      </c>
      <c r="P894" s="11">
        <v>8</v>
      </c>
      <c r="Q894" s="4" t="e" cm="1">
        <f t="array" ref="Q894">INDEX($P$264:$U$271, INT((ROW(A621)-1)/6)+1, MOD(ROW(A621)-1,6)+1)</f>
        <v>#REF!</v>
      </c>
      <c r="R894" t="e">
        <f ca="1"/>
        <v>#VALUE!</v>
      </c>
      <c r="S894" t="e">
        <f ca="1"/>
        <v>#VALUE!</v>
      </c>
      <c r="T894" t="e">
        <f ca="1"/>
        <v>#VALUE!</v>
      </c>
      <c r="W894" s="9">
        <v>18</v>
      </c>
      <c r="X894" s="4" t="e">
        <f t="shared" si="71"/>
        <v>#REF!</v>
      </c>
      <c r="AH894" s="9">
        <v>18</v>
      </c>
      <c r="AI894" s="4" t="e" cm="1">
        <f t="array" ref="AI894">MID(INDEX($AF$265:$AF$272,INT((ROW(A631)-1)/4)+1),MOD(ROW(A631)-1,4)+1,1)</f>
        <v>#REF!</v>
      </c>
      <c r="AK894" s="9">
        <v>18</v>
      </c>
      <c r="AL894" s="4" t="e" cm="1">
        <f t="array" ref="AL894">INDEX($AI$264:$AI$295, INDEX($H$15:$O$18, INT((ROW(A631)-1)/8)+1, MOD(ROW(A631)-1,8)+1))</f>
        <v>#REF!</v>
      </c>
      <c r="AN894" s="2" t="e">
        <f t="shared" ca="1" si="75"/>
        <v>#VALUE!</v>
      </c>
      <c r="AO894" s="2" t="e">
        <f t="shared" si="76"/>
        <v>#REF!</v>
      </c>
    </row>
    <row r="895" spans="2:41" x14ac:dyDescent="0.25">
      <c r="B895" s="2">
        <v>19</v>
      </c>
      <c r="C895" s="2">
        <v>1</v>
      </c>
      <c r="M895" s="9">
        <v>19</v>
      </c>
      <c r="N895" s="4" cm="1">
        <f t="array" ref="N895">INDEX($F$877:$K$884, INT((ROW(A19)-1)/6)+1, MOD(ROW(A694)-1,6)+1)</f>
        <v>0</v>
      </c>
      <c r="P895" s="7">
        <v>9</v>
      </c>
      <c r="Q895" s="4" t="e" cm="1">
        <f t="array" ref="Q895">INDEX($P$264:$U$271, INT((ROW(A622)-1)/6)+1, MOD(ROW(A622)-1,6)+1)</f>
        <v>#REF!</v>
      </c>
      <c r="R895" t="e">
        <f ca="1"/>
        <v>#VALUE!</v>
      </c>
      <c r="S895" t="e">
        <f ca="1"/>
        <v>#VALUE!</v>
      </c>
      <c r="T895" t="e">
        <f ca="1"/>
        <v>#VALUE!</v>
      </c>
      <c r="W895" s="9">
        <v>19</v>
      </c>
      <c r="X895" s="4" t="e">
        <f t="shared" si="71"/>
        <v>#REF!</v>
      </c>
      <c r="AH895" s="9">
        <v>19</v>
      </c>
      <c r="AI895" s="4" t="e" cm="1">
        <f t="array" ref="AI895">MID(INDEX($AF$265:$AF$272,INT((ROW(A632)-1)/4)+1),MOD(ROW(A632)-1,4)+1,1)</f>
        <v>#REF!</v>
      </c>
      <c r="AK895" s="9">
        <v>19</v>
      </c>
      <c r="AL895" s="4" t="e" cm="1">
        <f t="array" ref="AL895">INDEX($AI$264:$AI$295, INDEX($H$15:$O$18, INT((ROW(A632)-1)/8)+1, MOD(ROW(A632)-1,8)+1))</f>
        <v>#REF!</v>
      </c>
      <c r="AN895" s="2" t="e">
        <f t="shared" ca="1" si="75"/>
        <v>#VALUE!</v>
      </c>
      <c r="AO895" s="2" t="e">
        <f t="shared" si="76"/>
        <v>#REF!</v>
      </c>
    </row>
    <row r="896" spans="2:41" x14ac:dyDescent="0.25">
      <c r="B896" s="2">
        <v>20</v>
      </c>
      <c r="C896" s="2">
        <v>0</v>
      </c>
      <c r="M896" s="9">
        <v>20</v>
      </c>
      <c r="N896" s="4" cm="1">
        <f t="array" ref="N896">INDEX($F$877:$K$884, INT((ROW(A20)-1)/6)+1, MOD(ROW(A695)-1,6)+1)</f>
        <v>0</v>
      </c>
      <c r="P896" s="9">
        <v>10</v>
      </c>
      <c r="Q896" s="4" t="e" cm="1">
        <f t="array" ref="Q896">INDEX($P$264:$U$271, INT((ROW(A623)-1)/6)+1, MOD(ROW(A623)-1,6)+1)</f>
        <v>#REF!</v>
      </c>
      <c r="R896" t="e">
        <f ca="1"/>
        <v>#VALUE!</v>
      </c>
      <c r="S896" t="e">
        <f ca="1"/>
        <v>#VALUE!</v>
      </c>
      <c r="T896" t="e">
        <f ca="1"/>
        <v>#VALUE!</v>
      </c>
      <c r="W896" s="9">
        <v>20</v>
      </c>
      <c r="X896" s="4" t="e">
        <f t="shared" si="71"/>
        <v>#REF!</v>
      </c>
      <c r="AH896" s="9">
        <v>20</v>
      </c>
      <c r="AI896" s="4" t="e" cm="1">
        <f t="array" ref="AI896">MID(INDEX($AF$265:$AF$272,INT((ROW(A633)-1)/4)+1),MOD(ROW(A633)-1,4)+1,1)</f>
        <v>#REF!</v>
      </c>
      <c r="AK896" s="9">
        <v>20</v>
      </c>
      <c r="AL896" s="4" t="e" cm="1">
        <f t="array" ref="AL896">INDEX($AI$264:$AI$295, INDEX($H$15:$O$18, INT((ROW(A633)-1)/8)+1, MOD(ROW(A633)-1,8)+1))</f>
        <v>#REF!</v>
      </c>
      <c r="AN896" s="2" t="e">
        <f t="shared" ca="1" si="75"/>
        <v>#VALUE!</v>
      </c>
      <c r="AO896" s="2" t="e">
        <f t="shared" si="76"/>
        <v>#REF!</v>
      </c>
    </row>
    <row r="897" spans="2:41" x14ac:dyDescent="0.25">
      <c r="B897" s="2">
        <v>21</v>
      </c>
      <c r="C897" s="2">
        <v>0</v>
      </c>
      <c r="M897" s="9">
        <v>21</v>
      </c>
      <c r="N897" s="4" cm="1">
        <f t="array" ref="N897">INDEX($F$877:$K$884, INT((ROW(A21)-1)/6)+1, MOD(ROW(A696)-1,6)+1)</f>
        <v>1</v>
      </c>
      <c r="P897" s="9">
        <v>11</v>
      </c>
      <c r="Q897" s="4" t="e" cm="1">
        <f t="array" ref="Q897">INDEX($P$264:$U$271, INT((ROW(A624)-1)/6)+1, MOD(ROW(A624)-1,6)+1)</f>
        <v>#REF!</v>
      </c>
      <c r="R897" t="e">
        <f ca="1"/>
        <v>#VALUE!</v>
      </c>
      <c r="S897" t="e">
        <f ca="1"/>
        <v>#VALUE!</v>
      </c>
      <c r="T897" t="e">
        <f ca="1"/>
        <v>#VALUE!</v>
      </c>
      <c r="W897" s="9">
        <v>21</v>
      </c>
      <c r="X897" s="4" t="e">
        <f t="shared" si="71"/>
        <v>#REF!</v>
      </c>
      <c r="AH897" s="9">
        <v>21</v>
      </c>
      <c r="AI897" s="4" t="e" cm="1">
        <f t="array" ref="AI897">MID(INDEX($AF$265:$AF$272,INT((ROW(A634)-1)/4)+1),MOD(ROW(A634)-1,4)+1,1)</f>
        <v>#REF!</v>
      </c>
      <c r="AK897" s="9">
        <v>21</v>
      </c>
      <c r="AL897" s="4" t="e" cm="1">
        <f t="array" ref="AL897">INDEX($AI$264:$AI$295, INDEX($H$15:$O$18, INT((ROW(A634)-1)/8)+1, MOD(ROW(A634)-1,8)+1))</f>
        <v>#REF!</v>
      </c>
      <c r="AN897" s="2" t="e">
        <f t="shared" ca="1" si="75"/>
        <v>#VALUE!</v>
      </c>
      <c r="AO897" s="2" t="e">
        <f t="shared" si="76"/>
        <v>#REF!</v>
      </c>
    </row>
    <row r="898" spans="2:41" x14ac:dyDescent="0.25">
      <c r="B898" s="2">
        <v>22</v>
      </c>
      <c r="C898" s="2">
        <v>1</v>
      </c>
      <c r="M898" s="9">
        <v>22</v>
      </c>
      <c r="N898" s="4" cm="1">
        <f t="array" ref="N898">INDEX($F$877:$K$884, INT((ROW(A22)-1)/6)+1, MOD(ROW(A697)-1,6)+1)</f>
        <v>0</v>
      </c>
      <c r="P898" s="9">
        <v>12</v>
      </c>
      <c r="Q898" s="4" t="e" cm="1">
        <f t="array" ref="Q898">INDEX($P$264:$U$271, INT((ROW(A625)-1)/6)+1, MOD(ROW(A625)-1,6)+1)</f>
        <v>#REF!</v>
      </c>
      <c r="R898" t="e">
        <f ca="1"/>
        <v>#VALUE!</v>
      </c>
      <c r="S898" t="e">
        <f ca="1"/>
        <v>#VALUE!</v>
      </c>
      <c r="T898" t="e">
        <f ca="1"/>
        <v>#VALUE!</v>
      </c>
      <c r="W898" s="9">
        <v>22</v>
      </c>
      <c r="X898" s="4" t="e">
        <f t="shared" si="71"/>
        <v>#REF!</v>
      </c>
      <c r="AH898" s="9">
        <v>22</v>
      </c>
      <c r="AI898" s="4" t="e" cm="1">
        <f t="array" ref="AI898">MID(INDEX($AF$265:$AF$272,INT((ROW(A635)-1)/4)+1),MOD(ROW(A635)-1,4)+1,1)</f>
        <v>#REF!</v>
      </c>
      <c r="AK898" s="9">
        <v>22</v>
      </c>
      <c r="AL898" s="4" t="e" cm="1">
        <f t="array" ref="AL898">INDEX($AI$264:$AI$295, INDEX($H$15:$O$18, INT((ROW(A635)-1)/8)+1, MOD(ROW(A635)-1,8)+1))</f>
        <v>#REF!</v>
      </c>
      <c r="AN898" s="2" t="e">
        <f t="shared" ca="1" si="75"/>
        <v>#VALUE!</v>
      </c>
      <c r="AO898" s="2" t="e">
        <f t="shared" si="76"/>
        <v>#REF!</v>
      </c>
    </row>
    <row r="899" spans="2:41" x14ac:dyDescent="0.25">
      <c r="B899" s="2">
        <v>23</v>
      </c>
      <c r="C899" s="2">
        <v>0</v>
      </c>
      <c r="M899" s="9">
        <v>23</v>
      </c>
      <c r="N899" s="4" cm="1">
        <f t="array" ref="N899">INDEX($F$877:$K$884, INT((ROW(A23)-1)/6)+1, MOD(ROW(A698)-1,6)+1)</f>
        <v>1</v>
      </c>
      <c r="P899" s="9">
        <v>13</v>
      </c>
      <c r="Q899" s="4" t="e" cm="1">
        <f t="array" ref="Q899">INDEX($P$264:$U$271, INT((ROW(A626)-1)/6)+1, MOD(ROW(A626)-1,6)+1)</f>
        <v>#REF!</v>
      </c>
      <c r="R899" t="e">
        <f ca="1"/>
        <v>#VALUE!</v>
      </c>
      <c r="S899" t="e">
        <f ca="1"/>
        <v>#VALUE!</v>
      </c>
      <c r="T899" t="e">
        <f ca="1"/>
        <v>#VALUE!</v>
      </c>
      <c r="W899" s="9">
        <v>23</v>
      </c>
      <c r="X899" s="4" t="e">
        <f t="shared" si="71"/>
        <v>#REF!</v>
      </c>
      <c r="AH899" s="9">
        <v>23</v>
      </c>
      <c r="AI899" s="4" t="e" cm="1">
        <f t="array" ref="AI899">MID(INDEX($AF$265:$AF$272,INT((ROW(A636)-1)/4)+1),MOD(ROW(A636)-1,4)+1,1)</f>
        <v>#REF!</v>
      </c>
      <c r="AK899" s="9">
        <v>23</v>
      </c>
      <c r="AL899" s="4" t="e" cm="1">
        <f t="array" ref="AL899">INDEX($AI$264:$AI$295, INDEX($H$15:$O$18, INT((ROW(A636)-1)/8)+1, MOD(ROW(A636)-1,8)+1))</f>
        <v>#REF!</v>
      </c>
      <c r="AN899" s="2" t="e">
        <f t="shared" ca="1" si="75"/>
        <v>#VALUE!</v>
      </c>
      <c r="AO899" s="2" t="e">
        <f t="shared" si="76"/>
        <v>#REF!</v>
      </c>
    </row>
    <row r="900" spans="2:41" x14ac:dyDescent="0.25">
      <c r="B900" s="2">
        <v>24</v>
      </c>
      <c r="C900" s="2">
        <v>1</v>
      </c>
      <c r="M900" s="11">
        <v>24</v>
      </c>
      <c r="N900" s="4" cm="1">
        <f t="array" ref="N900">INDEX($F$877:$K$884, INT((ROW(A24)-1)/6)+1, MOD(ROW(A699)-1,6)+1)</f>
        <v>0</v>
      </c>
      <c r="P900" s="9">
        <v>14</v>
      </c>
      <c r="Q900" s="4" t="e" cm="1">
        <f t="array" ref="Q900">INDEX($P$264:$U$271, INT((ROW(A627)-1)/6)+1, MOD(ROW(A627)-1,6)+1)</f>
        <v>#REF!</v>
      </c>
      <c r="R900" t="e">
        <f ca="1"/>
        <v>#VALUE!</v>
      </c>
      <c r="S900" t="e">
        <f ca="1"/>
        <v>#VALUE!</v>
      </c>
      <c r="T900" t="e">
        <f ca="1"/>
        <v>#VALUE!</v>
      </c>
      <c r="W900" s="11">
        <v>24</v>
      </c>
      <c r="X900" s="4" t="e">
        <f t="shared" si="71"/>
        <v>#REF!</v>
      </c>
      <c r="AH900" s="11">
        <v>24</v>
      </c>
      <c r="AI900" s="4" t="e" cm="1">
        <f t="array" ref="AI900">MID(INDEX($AF$265:$AF$272,INT((ROW(A637)-1)/4)+1),MOD(ROW(A637)-1,4)+1,1)</f>
        <v>#REF!</v>
      </c>
      <c r="AK900" s="11">
        <v>24</v>
      </c>
      <c r="AL900" s="4" t="e" cm="1">
        <f t="array" ref="AL900">INDEX($AI$264:$AI$295, INDEX($H$15:$O$18, INT((ROW(A637)-1)/8)+1, MOD(ROW(A637)-1,8)+1))</f>
        <v>#REF!</v>
      </c>
      <c r="AN900" s="2" t="e">
        <f t="shared" ca="1" si="75"/>
        <v>#VALUE!</v>
      </c>
      <c r="AO900" s="2" t="e">
        <f t="shared" si="76"/>
        <v>#REF!</v>
      </c>
    </row>
    <row r="901" spans="2:41" x14ac:dyDescent="0.25">
      <c r="B901" s="2">
        <v>25</v>
      </c>
      <c r="C901" s="2">
        <v>0</v>
      </c>
      <c r="M901" s="7">
        <v>25</v>
      </c>
      <c r="N901" s="4" cm="1">
        <f t="array" ref="N901">INDEX($F$877:$K$884, INT((ROW(A25)-1)/6)+1, MOD(ROW(A700)-1,6)+1)</f>
        <v>0</v>
      </c>
      <c r="P901" s="9">
        <v>15</v>
      </c>
      <c r="Q901" s="4" t="e" cm="1">
        <f t="array" ref="Q901">INDEX($P$264:$U$271, INT((ROW(A628)-1)/6)+1, MOD(ROW(A628)-1,6)+1)</f>
        <v>#REF!</v>
      </c>
      <c r="R901" t="e">
        <f ca="1"/>
        <v>#VALUE!</v>
      </c>
      <c r="S901" t="e">
        <f ca="1"/>
        <v>#VALUE!</v>
      </c>
      <c r="T901" t="e">
        <f ca="1"/>
        <v>#VALUE!</v>
      </c>
      <c r="W901" s="7">
        <v>25</v>
      </c>
      <c r="X901" s="4" t="e">
        <f t="shared" si="71"/>
        <v>#REF!</v>
      </c>
      <c r="AH901" s="7">
        <v>25</v>
      </c>
      <c r="AI901" s="4" t="e" cm="1">
        <f t="array" ref="AI901">MID(INDEX($AF$265:$AF$272,INT((ROW(A638)-1)/4)+1),MOD(ROW(A638)-1,4)+1,1)</f>
        <v>#REF!</v>
      </c>
      <c r="AK901" s="7">
        <v>25</v>
      </c>
      <c r="AL901" s="4" t="e" cm="1">
        <f t="array" ref="AL901">INDEX($AI$264:$AI$295, INDEX($H$15:$O$18, INT((ROW(A638)-1)/8)+1, MOD(ROW(A638)-1,8)+1))</f>
        <v>#REF!</v>
      </c>
      <c r="AN901" s="2" t="e">
        <f t="shared" ca="1" si="75"/>
        <v>#VALUE!</v>
      </c>
      <c r="AO901" s="2" t="e">
        <f t="shared" si="76"/>
        <v>#REF!</v>
      </c>
    </row>
    <row r="902" spans="2:41" x14ac:dyDescent="0.25">
      <c r="B902" s="2">
        <v>26</v>
      </c>
      <c r="C902" s="2">
        <v>1</v>
      </c>
      <c r="M902" s="9">
        <v>26</v>
      </c>
      <c r="N902" s="4" cm="1">
        <f t="array" ref="N902">INDEX($F$877:$K$884, INT((ROW(A26)-1)/6)+1, MOD(ROW(A701)-1,6)+1)</f>
        <v>1</v>
      </c>
      <c r="P902" s="11">
        <v>16</v>
      </c>
      <c r="Q902" s="4" t="e" cm="1">
        <f t="array" ref="Q902">INDEX($P$264:$U$271, INT((ROW(A629)-1)/6)+1, MOD(ROW(A629)-1,6)+1)</f>
        <v>#REF!</v>
      </c>
      <c r="R902" t="e">
        <f ca="1"/>
        <v>#VALUE!</v>
      </c>
      <c r="S902" t="e">
        <f ca="1"/>
        <v>#VALUE!</v>
      </c>
      <c r="T902" t="e">
        <f ca="1"/>
        <v>#VALUE!</v>
      </c>
      <c r="W902" s="9">
        <v>26</v>
      </c>
      <c r="X902" s="4" t="e">
        <f t="shared" si="71"/>
        <v>#REF!</v>
      </c>
      <c r="AH902" s="9">
        <v>26</v>
      </c>
      <c r="AI902" s="4" t="e" cm="1">
        <f t="array" ref="AI902">MID(INDEX($AF$265:$AF$272,INT((ROW(A639)-1)/4)+1),MOD(ROW(A639)-1,4)+1,1)</f>
        <v>#REF!</v>
      </c>
      <c r="AK902" s="9">
        <v>26</v>
      </c>
      <c r="AL902" s="4" t="e" cm="1">
        <f t="array" ref="AL902">INDEX($AI$264:$AI$295, INDEX($H$15:$O$18, INT((ROW(A639)-1)/8)+1, MOD(ROW(A639)-1,8)+1))</f>
        <v>#REF!</v>
      </c>
      <c r="AN902" s="2" t="e">
        <f t="shared" ca="1" si="75"/>
        <v>#VALUE!</v>
      </c>
      <c r="AO902" s="2" t="e">
        <f t="shared" si="76"/>
        <v>#REF!</v>
      </c>
    </row>
    <row r="903" spans="2:41" x14ac:dyDescent="0.25">
      <c r="B903" s="2">
        <v>27</v>
      </c>
      <c r="C903" s="2">
        <v>0</v>
      </c>
      <c r="M903" s="9">
        <v>27</v>
      </c>
      <c r="N903" s="4" cm="1">
        <f t="array" ref="N903">INDEX($F$877:$K$884, INT((ROW(A27)-1)/6)+1, MOD(ROW(A702)-1,6)+1)</f>
        <v>0</v>
      </c>
      <c r="P903" s="7">
        <v>17</v>
      </c>
      <c r="Q903" s="4" t="e" cm="1">
        <f t="array" ref="Q903">INDEX($P$264:$U$271, INT((ROW(A630)-1)/6)+1, MOD(ROW(A630)-1,6)+1)</f>
        <v>#REF!</v>
      </c>
      <c r="R903" t="e">
        <f ca="1"/>
        <v>#VALUE!</v>
      </c>
      <c r="S903" t="e">
        <f ca="1"/>
        <v>#VALUE!</v>
      </c>
      <c r="T903" t="e">
        <f ca="1"/>
        <v>#VALUE!</v>
      </c>
      <c r="W903" s="9">
        <v>27</v>
      </c>
      <c r="X903" s="4" t="e">
        <f t="shared" si="71"/>
        <v>#REF!</v>
      </c>
      <c r="AH903" s="9">
        <v>27</v>
      </c>
      <c r="AI903" s="4" t="e" cm="1">
        <f t="array" ref="AI903">MID(INDEX($AF$265:$AF$272,INT((ROW(A640)-1)/4)+1),MOD(ROW(A640)-1,4)+1,1)</f>
        <v>#REF!</v>
      </c>
      <c r="AK903" s="9">
        <v>27</v>
      </c>
      <c r="AL903" s="4" t="e" cm="1">
        <f t="array" ref="AL903">INDEX($AI$264:$AI$295, INDEX($H$15:$O$18, INT((ROW(A640)-1)/8)+1, MOD(ROW(A640)-1,8)+1))</f>
        <v>#REF!</v>
      </c>
      <c r="AN903" s="2" t="e">
        <f t="shared" ca="1" si="75"/>
        <v>#VALUE!</v>
      </c>
      <c r="AO903" s="2" t="e">
        <f t="shared" si="76"/>
        <v>#REF!</v>
      </c>
    </row>
    <row r="904" spans="2:41" x14ac:dyDescent="0.25">
      <c r="B904" s="2">
        <v>28</v>
      </c>
      <c r="C904" s="2">
        <v>1</v>
      </c>
      <c r="M904" s="9">
        <v>28</v>
      </c>
      <c r="N904" s="4" cm="1">
        <f t="array" ref="N904">INDEX($F$877:$K$884, INT((ROW(A28)-1)/6)+1, MOD(ROW(A703)-1,6)+1)</f>
        <v>0</v>
      </c>
      <c r="P904" s="9">
        <v>18</v>
      </c>
      <c r="Q904" s="4" t="e" cm="1">
        <f t="array" ref="Q904">INDEX($P$264:$U$271, INT((ROW(A631)-1)/6)+1, MOD(ROW(A631)-1,6)+1)</f>
        <v>#REF!</v>
      </c>
      <c r="R904" t="e">
        <f ca="1"/>
        <v>#VALUE!</v>
      </c>
      <c r="S904" t="e">
        <f ca="1"/>
        <v>#VALUE!</v>
      </c>
      <c r="T904" t="e">
        <f ca="1"/>
        <v>#VALUE!</v>
      </c>
      <c r="W904" s="9">
        <v>28</v>
      </c>
      <c r="X904" s="4" t="e">
        <f t="shared" si="71"/>
        <v>#REF!</v>
      </c>
      <c r="AH904" s="9">
        <v>28</v>
      </c>
      <c r="AI904" s="4" t="e" cm="1">
        <f t="array" ref="AI904">MID(INDEX($AF$265:$AF$272,INT((ROW(A641)-1)/4)+1),MOD(ROW(A641)-1,4)+1,1)</f>
        <v>#REF!</v>
      </c>
      <c r="AK904" s="9">
        <v>28</v>
      </c>
      <c r="AL904" s="4" t="e" cm="1">
        <f t="array" ref="AL904">INDEX($AI$264:$AI$295, INDEX($H$15:$O$18, INT((ROW(A641)-1)/8)+1, MOD(ROW(A641)-1,8)+1))</f>
        <v>#REF!</v>
      </c>
      <c r="AN904" s="2" t="e">
        <f t="shared" ca="1" si="75"/>
        <v>#VALUE!</v>
      </c>
      <c r="AO904" s="2" t="e">
        <f t="shared" si="76"/>
        <v>#REF!</v>
      </c>
    </row>
    <row r="905" spans="2:41" x14ac:dyDescent="0.25">
      <c r="B905" s="2">
        <v>29</v>
      </c>
      <c r="C905" s="2">
        <v>0</v>
      </c>
      <c r="M905" s="9">
        <v>29</v>
      </c>
      <c r="N905" s="4" cm="1">
        <f t="array" ref="N905">INDEX($F$877:$K$884, INT((ROW(A29)-1)/6)+1, MOD(ROW(A704)-1,6)+1)</f>
        <v>1</v>
      </c>
      <c r="P905" s="9">
        <v>19</v>
      </c>
      <c r="Q905" s="4" t="e" cm="1">
        <f t="array" ref="Q905">INDEX($P$264:$U$271, INT((ROW(A632)-1)/6)+1, MOD(ROW(A632)-1,6)+1)</f>
        <v>#REF!</v>
      </c>
      <c r="R905" t="e">
        <f ca="1"/>
        <v>#VALUE!</v>
      </c>
      <c r="S905" t="e">
        <f ca="1"/>
        <v>#VALUE!</v>
      </c>
      <c r="T905" t="e">
        <f ca="1"/>
        <v>#VALUE!</v>
      </c>
      <c r="W905" s="9">
        <v>29</v>
      </c>
      <c r="X905" s="4" t="e">
        <f t="shared" si="71"/>
        <v>#REF!</v>
      </c>
      <c r="AH905" s="9">
        <v>29</v>
      </c>
      <c r="AI905" s="4" t="e" cm="1">
        <f t="array" ref="AI905">MID(INDEX($AF$265:$AF$272,INT((ROW(A642)-1)/4)+1),MOD(ROW(A642)-1,4)+1,1)</f>
        <v>#REF!</v>
      </c>
      <c r="AK905" s="9">
        <v>29</v>
      </c>
      <c r="AL905" s="4" t="e" cm="1">
        <f t="array" ref="AL905">INDEX($AI$264:$AI$295, INDEX($H$15:$O$18, INT((ROW(A642)-1)/8)+1, MOD(ROW(A642)-1,8)+1))</f>
        <v>#REF!</v>
      </c>
      <c r="AN905" s="2" t="e">
        <f t="shared" ca="1" si="75"/>
        <v>#VALUE!</v>
      </c>
      <c r="AO905" s="2" t="e">
        <f t="shared" si="76"/>
        <v>#REF!</v>
      </c>
    </row>
    <row r="906" spans="2:41" x14ac:dyDescent="0.25">
      <c r="B906" s="2">
        <v>30</v>
      </c>
      <c r="C906" s="2">
        <v>1</v>
      </c>
      <c r="M906" s="9">
        <v>30</v>
      </c>
      <c r="N906" s="4" cm="1">
        <f t="array" ref="N906">INDEX($F$877:$K$884, INT((ROW(A30)-1)/6)+1, MOD(ROW(A705)-1,6)+1)</f>
        <v>0</v>
      </c>
      <c r="P906" s="9">
        <v>20</v>
      </c>
      <c r="Q906" s="4" t="e" cm="1">
        <f t="array" ref="Q906">INDEX($P$264:$U$271, INT((ROW(A633)-1)/6)+1, MOD(ROW(A633)-1,6)+1)</f>
        <v>#REF!</v>
      </c>
      <c r="R906" t="e">
        <f ca="1"/>
        <v>#VALUE!</v>
      </c>
      <c r="S906" t="e">
        <f ca="1"/>
        <v>#VALUE!</v>
      </c>
      <c r="T906" t="e">
        <f ca="1"/>
        <v>#VALUE!</v>
      </c>
      <c r="W906" s="9">
        <v>30</v>
      </c>
      <c r="X906" s="4" t="e">
        <f t="shared" si="71"/>
        <v>#REF!</v>
      </c>
      <c r="AH906" s="9">
        <v>30</v>
      </c>
      <c r="AI906" s="4" t="e" cm="1">
        <f t="array" ref="AI906">MID(INDEX($AF$265:$AF$272,INT((ROW(A643)-1)/4)+1),MOD(ROW(A643)-1,4)+1,1)</f>
        <v>#REF!</v>
      </c>
      <c r="AK906" s="9">
        <v>30</v>
      </c>
      <c r="AL906" s="4" t="e" cm="1">
        <f t="array" ref="AL906">INDEX($AI$264:$AI$295, INDEX($H$15:$O$18, INT((ROW(A643)-1)/8)+1, MOD(ROW(A643)-1,8)+1))</f>
        <v>#REF!</v>
      </c>
      <c r="AN906" s="2" t="e">
        <f t="shared" ca="1" si="75"/>
        <v>#VALUE!</v>
      </c>
      <c r="AO906" s="2" t="e">
        <f t="shared" si="76"/>
        <v>#REF!</v>
      </c>
    </row>
    <row r="907" spans="2:41" x14ac:dyDescent="0.25">
      <c r="B907" s="2">
        <v>31</v>
      </c>
      <c r="C907" s="2">
        <v>0</v>
      </c>
      <c r="M907" s="9">
        <v>31</v>
      </c>
      <c r="N907" s="4" cm="1">
        <f t="array" ref="N907">INDEX($F$877:$K$884, INT((ROW(A31)-1)/6)+1, MOD(ROW(A706)-1,6)+1)</f>
        <v>0</v>
      </c>
      <c r="P907" s="9">
        <v>21</v>
      </c>
      <c r="Q907" s="4" t="e" cm="1">
        <f t="array" ref="Q907">INDEX($P$264:$U$271, INT((ROW(A634)-1)/6)+1, MOD(ROW(A634)-1,6)+1)</f>
        <v>#REF!</v>
      </c>
      <c r="R907" t="e">
        <f ca="1"/>
        <v>#VALUE!</v>
      </c>
      <c r="S907" t="e">
        <f ca="1"/>
        <v>#VALUE!</v>
      </c>
      <c r="T907" t="e">
        <f ca="1"/>
        <v>#VALUE!</v>
      </c>
      <c r="W907" s="9">
        <v>31</v>
      </c>
      <c r="X907" s="4" t="e">
        <f t="shared" si="71"/>
        <v>#REF!</v>
      </c>
      <c r="AH907" s="9">
        <v>31</v>
      </c>
      <c r="AI907" s="4" t="e" cm="1">
        <f t="array" ref="AI907">MID(INDEX($AF$265:$AF$272,INT((ROW(A644)-1)/4)+1),MOD(ROW(A644)-1,4)+1,1)</f>
        <v>#REF!</v>
      </c>
      <c r="AK907" s="9">
        <v>31</v>
      </c>
      <c r="AL907" s="4" t="e" cm="1">
        <f t="array" ref="AL907">INDEX($AI$264:$AI$295, INDEX($H$15:$O$18, INT((ROW(A644)-1)/8)+1, MOD(ROW(A644)-1,8)+1))</f>
        <v>#REF!</v>
      </c>
      <c r="AN907" s="2" t="e">
        <f t="shared" ca="1" si="75"/>
        <v>#VALUE!</v>
      </c>
      <c r="AO907" s="2" t="e">
        <f t="shared" si="76"/>
        <v>#REF!</v>
      </c>
    </row>
    <row r="908" spans="2:41" x14ac:dyDescent="0.25">
      <c r="B908" s="2">
        <v>32</v>
      </c>
      <c r="C908" s="2">
        <v>1</v>
      </c>
      <c r="M908" s="11">
        <v>32</v>
      </c>
      <c r="N908" s="4" cm="1">
        <f t="array" ref="N908">INDEX($F$877:$K$884, INT((ROW(A32)-1)/6)+1, MOD(ROW(A707)-1,6)+1)</f>
        <v>0</v>
      </c>
      <c r="P908" s="9">
        <v>22</v>
      </c>
      <c r="Q908" s="4" t="e" cm="1">
        <f t="array" ref="Q908">INDEX($P$264:$U$271, INT((ROW(A635)-1)/6)+1, MOD(ROW(A635)-1,6)+1)</f>
        <v>#REF!</v>
      </c>
      <c r="R908" t="e">
        <f ca="1"/>
        <v>#VALUE!</v>
      </c>
      <c r="S908" t="e">
        <f ca="1"/>
        <v>#VALUE!</v>
      </c>
      <c r="T908" t="e">
        <f ca="1"/>
        <v>#VALUE!</v>
      </c>
      <c r="W908" s="11">
        <v>32</v>
      </c>
      <c r="X908" s="4" t="e">
        <f t="shared" si="71"/>
        <v>#REF!</v>
      </c>
      <c r="AH908" s="11">
        <v>32</v>
      </c>
      <c r="AI908" s="4" t="e" cm="1">
        <f t="array" ref="AI908">MID(INDEX($AF$265:$AF$272,INT((ROW(A645)-1)/4)+1),MOD(ROW(A645)-1,4)+1,1)</f>
        <v>#REF!</v>
      </c>
      <c r="AK908" s="11">
        <v>32</v>
      </c>
      <c r="AL908" s="4" t="e" cm="1">
        <f t="array" ref="AL908">INDEX($AI$264:$AI$295, INDEX($H$15:$O$18, INT((ROW(A645)-1)/8)+1, MOD(ROW(A645)-1,8)+1))</f>
        <v>#REF!</v>
      </c>
      <c r="AN908" s="2" t="e">
        <f t="shared" ca="1" si="75"/>
        <v>#VALUE!</v>
      </c>
      <c r="AO908" s="2" t="e">
        <f t="shared" si="76"/>
        <v>#REF!</v>
      </c>
    </row>
    <row r="909" spans="2:41" x14ac:dyDescent="0.25">
      <c r="B909" s="2">
        <v>33</v>
      </c>
      <c r="C909" s="2">
        <v>0</v>
      </c>
      <c r="M909" s="7">
        <v>33</v>
      </c>
      <c r="N909" s="4" cm="1">
        <f t="array" ref="N909">INDEX($F$877:$K$884, INT((ROW(A33)-1)/6)+1, MOD(ROW(A708)-1,6)+1)</f>
        <v>0</v>
      </c>
      <c r="P909" s="9">
        <v>23</v>
      </c>
      <c r="Q909" s="4" t="e" cm="1">
        <f t="array" ref="Q909">INDEX($P$264:$U$271, INT((ROW(A636)-1)/6)+1, MOD(ROW(A636)-1,6)+1)</f>
        <v>#REF!</v>
      </c>
      <c r="R909" t="e">
        <f ca="1"/>
        <v>#VALUE!</v>
      </c>
      <c r="S909" t="e">
        <f ca="1"/>
        <v>#VALUE!</v>
      </c>
      <c r="T909" t="e">
        <f ca="1"/>
        <v>#VALUE!</v>
      </c>
      <c r="W909" s="7">
        <v>33</v>
      </c>
      <c r="X909" s="4" t="e">
        <f t="shared" si="71"/>
        <v>#REF!</v>
      </c>
      <c r="AN909" s="2" t="e">
        <f t="shared" ca="1" si="75"/>
        <v>#VALUE!</v>
      </c>
      <c r="AO909" s="2" t="e">
        <f t="shared" si="76"/>
        <v>#REF!</v>
      </c>
    </row>
    <row r="910" spans="2:41" x14ac:dyDescent="0.25">
      <c r="B910" s="2">
        <v>34</v>
      </c>
      <c r="C910" s="2">
        <v>1</v>
      </c>
      <c r="M910" s="9">
        <v>34</v>
      </c>
      <c r="N910" s="4" cm="1">
        <f t="array" ref="N910">INDEX($F$877:$K$884, INT((ROW(A34)-1)/6)+1, MOD(ROW(A709)-1,6)+1)</f>
        <v>1</v>
      </c>
      <c r="P910" s="11">
        <v>24</v>
      </c>
      <c r="Q910" s="4" t="e" cm="1">
        <f t="array" ref="Q910">INDEX($P$264:$U$271, INT((ROW(A637)-1)/6)+1, MOD(ROW(A637)-1,6)+1)</f>
        <v>#REF!</v>
      </c>
      <c r="R910" t="e">
        <f ca="1"/>
        <v>#VALUE!</v>
      </c>
      <c r="S910" t="e">
        <f ca="1"/>
        <v>#VALUE!</v>
      </c>
      <c r="T910" t="e">
        <f ca="1"/>
        <v>#VALUE!</v>
      </c>
      <c r="W910" s="9">
        <v>34</v>
      </c>
      <c r="X910" s="4" t="e">
        <f t="shared" si="71"/>
        <v>#REF!</v>
      </c>
    </row>
    <row r="911" spans="2:41" x14ac:dyDescent="0.25">
      <c r="B911" s="2">
        <v>35</v>
      </c>
      <c r="C911" s="2">
        <v>0</v>
      </c>
      <c r="M911" s="9">
        <v>35</v>
      </c>
      <c r="N911" s="4" cm="1">
        <f t="array" ref="N911">INDEX($F$877:$K$884, INT((ROW(A35)-1)/6)+1, MOD(ROW(A710)-1,6)+1)</f>
        <v>1</v>
      </c>
      <c r="P911" s="7">
        <v>25</v>
      </c>
      <c r="Q911" s="4" t="e" cm="1">
        <f t="array" ref="Q911">INDEX($P$264:$U$271, INT((ROW(A638)-1)/6)+1, MOD(ROW(A638)-1,6)+1)</f>
        <v>#REF!</v>
      </c>
      <c r="R911" t="e">
        <f ca="1"/>
        <v>#VALUE!</v>
      </c>
      <c r="S911" t="e">
        <f ca="1"/>
        <v>#VALUE!</v>
      </c>
      <c r="T911" t="e">
        <f ca="1"/>
        <v>#VALUE!</v>
      </c>
      <c r="W911" s="9">
        <v>35</v>
      </c>
      <c r="X911" s="4" t="e">
        <f t="shared" si="71"/>
        <v>#REF!</v>
      </c>
    </row>
    <row r="912" spans="2:41" x14ac:dyDescent="0.25">
      <c r="B912" s="2">
        <v>36</v>
      </c>
      <c r="C912" s="2">
        <v>1</v>
      </c>
      <c r="M912" s="9">
        <v>36</v>
      </c>
      <c r="N912" s="4" cm="1">
        <f t="array" ref="N912">INDEX($F$877:$K$884, INT((ROW(A36)-1)/6)+1, MOD(ROW(A711)-1,6)+1)</f>
        <v>1</v>
      </c>
      <c r="P912" s="9">
        <v>26</v>
      </c>
      <c r="Q912" s="4" t="e" cm="1">
        <f t="array" ref="Q912">INDEX($P$264:$U$271, INT((ROW(A639)-1)/6)+1, MOD(ROW(A639)-1,6)+1)</f>
        <v>#REF!</v>
      </c>
      <c r="R912" t="e">
        <f ca="1"/>
        <v>#VALUE!</v>
      </c>
      <c r="S912" t="e">
        <f ca="1"/>
        <v>#VALUE!</v>
      </c>
      <c r="T912" t="e">
        <f ca="1"/>
        <v>#VALUE!</v>
      </c>
      <c r="W912" s="9">
        <v>36</v>
      </c>
      <c r="X912" s="4" t="e">
        <f t="shared" si="71"/>
        <v>#REF!</v>
      </c>
    </row>
    <row r="913" spans="2:24" x14ac:dyDescent="0.25">
      <c r="B913" s="2">
        <v>37</v>
      </c>
      <c r="C913" s="2">
        <v>0</v>
      </c>
      <c r="M913" s="9">
        <v>37</v>
      </c>
      <c r="N913" s="4" cm="1">
        <f t="array" ref="N913">INDEX($F$877:$K$884, INT((ROW(A37)-1)/6)+1, MOD(ROW(A712)-1,6)+1)</f>
        <v>0</v>
      </c>
      <c r="P913" s="9">
        <v>27</v>
      </c>
      <c r="Q913" s="4" t="e" cm="1">
        <f t="array" ref="Q913">INDEX($P$264:$U$271, INT((ROW(A640)-1)/6)+1, MOD(ROW(A640)-1,6)+1)</f>
        <v>#REF!</v>
      </c>
      <c r="R913" t="e">
        <f ca="1"/>
        <v>#VALUE!</v>
      </c>
      <c r="S913" t="e">
        <f ca="1"/>
        <v>#VALUE!</v>
      </c>
      <c r="T913" t="e">
        <f ca="1"/>
        <v>#VALUE!</v>
      </c>
      <c r="W913" s="9">
        <v>37</v>
      </c>
      <c r="X913" s="4" t="e">
        <f t="shared" si="71"/>
        <v>#REF!</v>
      </c>
    </row>
    <row r="914" spans="2:24" x14ac:dyDescent="0.25">
      <c r="B914" s="2">
        <v>38</v>
      </c>
      <c r="C914" s="2">
        <v>1</v>
      </c>
      <c r="M914" s="9">
        <v>38</v>
      </c>
      <c r="N914" s="4" cm="1">
        <f t="array" ref="N914">INDEX($F$877:$K$884, INT((ROW(A38)-1)/6)+1, MOD(ROW(A713)-1,6)+1)</f>
        <v>1</v>
      </c>
      <c r="P914" s="9">
        <v>28</v>
      </c>
      <c r="Q914" s="4" t="e" cm="1">
        <f t="array" ref="Q914">INDEX($P$264:$U$271, INT((ROW(A641)-1)/6)+1, MOD(ROW(A641)-1,6)+1)</f>
        <v>#REF!</v>
      </c>
      <c r="R914" t="e">
        <f ca="1"/>
        <v>#VALUE!</v>
      </c>
      <c r="S914" t="e">
        <f ca="1"/>
        <v>#VALUE!</v>
      </c>
      <c r="T914" t="e">
        <f ca="1"/>
        <v>#VALUE!</v>
      </c>
      <c r="W914" s="9">
        <v>38</v>
      </c>
      <c r="X914" s="4" t="e">
        <f t="shared" si="71"/>
        <v>#REF!</v>
      </c>
    </row>
    <row r="915" spans="2:24" x14ac:dyDescent="0.25">
      <c r="B915" s="2">
        <v>39</v>
      </c>
      <c r="C915" s="2">
        <v>0</v>
      </c>
      <c r="M915" s="9">
        <v>39</v>
      </c>
      <c r="N915" s="4" cm="1">
        <f t="array" ref="N915">INDEX($F$877:$K$884, INT((ROW(A39)-1)/6)+1, MOD(ROW(A714)-1,6)+1)</f>
        <v>1</v>
      </c>
      <c r="P915" s="9">
        <v>29</v>
      </c>
      <c r="Q915" s="4" t="e" cm="1">
        <f t="array" ref="Q915">INDEX($P$264:$U$271, INT((ROW(A642)-1)/6)+1, MOD(ROW(A642)-1,6)+1)</f>
        <v>#REF!</v>
      </c>
      <c r="R915" t="e">
        <f ca="1"/>
        <v>#VALUE!</v>
      </c>
      <c r="S915" t="e">
        <f ca="1"/>
        <v>#VALUE!</v>
      </c>
      <c r="T915" t="e">
        <f ca="1"/>
        <v>#VALUE!</v>
      </c>
      <c r="W915" s="9">
        <v>39</v>
      </c>
      <c r="X915" s="4" t="e">
        <f t="shared" si="71"/>
        <v>#REF!</v>
      </c>
    </row>
    <row r="916" spans="2:24" x14ac:dyDescent="0.25">
      <c r="B916" s="2">
        <v>40</v>
      </c>
      <c r="C916" s="2">
        <v>1</v>
      </c>
      <c r="M916" s="11">
        <v>40</v>
      </c>
      <c r="N916" s="4" cm="1">
        <f t="array" ref="N916">INDEX($F$877:$K$884, INT((ROW(A40)-1)/6)+1, MOD(ROW(A715)-1,6)+1)</f>
        <v>0</v>
      </c>
      <c r="P916" s="9">
        <v>30</v>
      </c>
      <c r="Q916" s="4" t="e" cm="1">
        <f t="array" ref="Q916">INDEX($P$264:$U$271, INT((ROW(A643)-1)/6)+1, MOD(ROW(A643)-1,6)+1)</f>
        <v>#REF!</v>
      </c>
      <c r="W916" s="11">
        <v>40</v>
      </c>
      <c r="X916" s="4" t="e">
        <f t="shared" si="71"/>
        <v>#REF!</v>
      </c>
    </row>
    <row r="917" spans="2:24" x14ac:dyDescent="0.25">
      <c r="B917" s="2">
        <v>41</v>
      </c>
      <c r="C917" s="2">
        <v>0</v>
      </c>
      <c r="M917" s="7">
        <v>41</v>
      </c>
      <c r="N917" s="4" cm="1">
        <f t="array" ref="N917">INDEX($F$877:$K$884, INT((ROW(A41)-1)/6)+1, MOD(ROW(A716)-1,6)+1)</f>
        <v>0</v>
      </c>
      <c r="P917" s="9">
        <v>31</v>
      </c>
      <c r="Q917" s="4" t="e" cm="1">
        <f t="array" ref="Q917">INDEX($P$264:$U$271, INT((ROW(A644)-1)/6)+1, MOD(ROW(A644)-1,6)+1)</f>
        <v>#REF!</v>
      </c>
      <c r="W917" s="7">
        <v>41</v>
      </c>
      <c r="X917" s="4" t="e">
        <f t="shared" si="71"/>
        <v>#REF!</v>
      </c>
    </row>
    <row r="918" spans="2:24" x14ac:dyDescent="0.25">
      <c r="B918" s="2">
        <v>42</v>
      </c>
      <c r="C918" s="2">
        <v>1</v>
      </c>
      <c r="M918" s="9">
        <v>42</v>
      </c>
      <c r="N918" s="4" cm="1">
        <f t="array" ref="N918">INDEX($F$877:$K$884, INT((ROW(A42)-1)/6)+1, MOD(ROW(A717)-1,6)+1)</f>
        <v>0</v>
      </c>
      <c r="P918" s="11">
        <v>32</v>
      </c>
      <c r="Q918" s="4" t="e" cm="1">
        <f t="array" ref="Q918">INDEX($P$264:$U$271, INT((ROW(A645)-1)/6)+1, MOD(ROW(A645)-1,6)+1)</f>
        <v>#REF!</v>
      </c>
      <c r="W918" s="9">
        <v>42</v>
      </c>
      <c r="X918" s="4" t="e">
        <f t="shared" si="71"/>
        <v>#REF!</v>
      </c>
    </row>
    <row r="919" spans="2:24" x14ac:dyDescent="0.25">
      <c r="B919" s="2">
        <v>43</v>
      </c>
      <c r="C919" s="2">
        <v>1</v>
      </c>
      <c r="M919" s="9">
        <v>43</v>
      </c>
      <c r="N919" s="4" cm="1">
        <f t="array" ref="N919">INDEX($F$877:$K$884, INT((ROW(A43)-1)/6)+1, MOD(ROW(A718)-1,6)+1)</f>
        <v>1</v>
      </c>
      <c r="P919" s="7">
        <v>33</v>
      </c>
      <c r="Q919" s="4" t="e" cm="1">
        <f t="array" ref="Q919">INDEX($P$264:$U$271, INT((ROW(A646)-1)/6)+1, MOD(ROW(A646)-1,6)+1)</f>
        <v>#REF!</v>
      </c>
      <c r="W919" s="9">
        <v>43</v>
      </c>
      <c r="X919" s="4" t="e">
        <f t="shared" si="71"/>
        <v>#REF!</v>
      </c>
    </row>
    <row r="920" spans="2:24" x14ac:dyDescent="0.25">
      <c r="B920" s="2">
        <v>44</v>
      </c>
      <c r="C920" s="2">
        <v>0</v>
      </c>
      <c r="M920" s="9">
        <v>44</v>
      </c>
      <c r="N920" s="4" cm="1">
        <f t="array" ref="N920">INDEX($F$877:$K$884, INT((ROW(A44)-1)/6)+1, MOD(ROW(A719)-1,6)+1)</f>
        <v>0</v>
      </c>
      <c r="P920" s="9">
        <v>34</v>
      </c>
      <c r="Q920" s="4" t="e" cm="1">
        <f t="array" ref="Q920">INDEX($P$264:$U$271, INT((ROW(A647)-1)/6)+1, MOD(ROW(A647)-1,6)+1)</f>
        <v>#REF!</v>
      </c>
      <c r="W920" s="9">
        <v>44</v>
      </c>
      <c r="X920" s="4" t="e">
        <f t="shared" si="71"/>
        <v>#REF!</v>
      </c>
    </row>
    <row r="921" spans="2:24" x14ac:dyDescent="0.25">
      <c r="B921" s="2">
        <v>45</v>
      </c>
      <c r="C921" s="2">
        <v>0</v>
      </c>
      <c r="M921" s="9">
        <v>45</v>
      </c>
      <c r="N921" s="4" cm="1">
        <f t="array" ref="N921">INDEX($F$877:$K$884, INT((ROW(A45)-1)/6)+1, MOD(ROW(A720)-1,6)+1)</f>
        <v>1</v>
      </c>
      <c r="P921" s="9">
        <v>35</v>
      </c>
      <c r="Q921" s="4" t="e" cm="1">
        <f t="array" ref="Q921">INDEX($P$264:$U$271, INT((ROW(A648)-1)/6)+1, MOD(ROW(A648)-1,6)+1)</f>
        <v>#REF!</v>
      </c>
      <c r="W921" s="9">
        <v>45</v>
      </c>
      <c r="X921" s="4" t="e">
        <f t="shared" si="71"/>
        <v>#REF!</v>
      </c>
    </row>
    <row r="922" spans="2:24" x14ac:dyDescent="0.25">
      <c r="B922" s="2">
        <v>46</v>
      </c>
      <c r="C922" s="2">
        <v>1</v>
      </c>
      <c r="M922" s="9">
        <v>46</v>
      </c>
      <c r="N922" s="4" cm="1">
        <f t="array" ref="N922">INDEX($F$877:$K$884, INT((ROW(A46)-1)/6)+1, MOD(ROW(A721)-1,6)+1)</f>
        <v>1</v>
      </c>
      <c r="P922" s="9">
        <v>36</v>
      </c>
      <c r="Q922" s="4" t="e" cm="1">
        <f t="array" ref="Q922">INDEX($P$264:$U$271, INT((ROW(A649)-1)/6)+1, MOD(ROW(A649)-1,6)+1)</f>
        <v>#REF!</v>
      </c>
      <c r="W922" s="9">
        <v>46</v>
      </c>
      <c r="X922" s="4" t="e">
        <f t="shared" si="71"/>
        <v>#REF!</v>
      </c>
    </row>
    <row r="923" spans="2:24" x14ac:dyDescent="0.25">
      <c r="B923" s="2">
        <v>47</v>
      </c>
      <c r="C923" s="2">
        <v>1</v>
      </c>
      <c r="M923" s="9">
        <v>47</v>
      </c>
      <c r="N923" s="4" cm="1">
        <f t="array" ref="N923">INDEX($F$877:$K$884, INT((ROW(A47)-1)/6)+1, MOD(ROW(A722)-1,6)+1)</f>
        <v>1</v>
      </c>
      <c r="P923" s="9">
        <v>37</v>
      </c>
      <c r="Q923" s="4" t="e" cm="1">
        <f t="array" ref="Q923">INDEX($P$264:$U$271, INT((ROW(A650)-1)/6)+1, MOD(ROW(A650)-1,6)+1)</f>
        <v>#REF!</v>
      </c>
      <c r="W923" s="9">
        <v>47</v>
      </c>
      <c r="X923" s="4" t="e">
        <f t="shared" si="71"/>
        <v>#REF!</v>
      </c>
    </row>
    <row r="924" spans="2:24" x14ac:dyDescent="0.25">
      <c r="B924" s="2">
        <v>48</v>
      </c>
      <c r="C924" s="2">
        <v>0</v>
      </c>
      <c r="M924" s="11">
        <v>48</v>
      </c>
      <c r="N924" s="4" cm="1">
        <f t="array" ref="N924">INDEX($F$877:$K$884, INT((ROW(A48)-1)/6)+1, MOD(ROW(A723)-1,6)+1)</f>
        <v>1</v>
      </c>
      <c r="P924" s="9">
        <v>38</v>
      </c>
      <c r="Q924" s="4" t="e" cm="1">
        <f t="array" ref="Q924">INDEX($P$264:$U$271, INT((ROW(A651)-1)/6)+1, MOD(ROW(A651)-1,6)+1)</f>
        <v>#REF!</v>
      </c>
      <c r="W924" s="11">
        <v>48</v>
      </c>
      <c r="X924" s="4" t="e">
        <f t="shared" si="71"/>
        <v>#REF!</v>
      </c>
    </row>
    <row r="925" spans="2:24" x14ac:dyDescent="0.25">
      <c r="B925" s="2">
        <v>49</v>
      </c>
      <c r="C925" s="2">
        <v>0</v>
      </c>
      <c r="P925" s="9">
        <v>39</v>
      </c>
      <c r="Q925" s="4" t="e" cm="1">
        <f t="array" ref="Q925">INDEX($P$264:$U$271, INT((ROW(A652)-1)/6)+1, MOD(ROW(A652)-1,6)+1)</f>
        <v>#REF!</v>
      </c>
    </row>
    <row r="926" spans="2:24" x14ac:dyDescent="0.25">
      <c r="B926" s="2">
        <v>50</v>
      </c>
      <c r="C926" s="2">
        <v>1</v>
      </c>
      <c r="P926" s="11">
        <v>40</v>
      </c>
      <c r="Q926" s="4" t="e" cm="1">
        <f t="array" ref="Q926">INDEX($P$264:$U$271, INT((ROW(A653)-1)/6)+1, MOD(ROW(A653)-1,6)+1)</f>
        <v>#REF!</v>
      </c>
    </row>
    <row r="927" spans="2:24" x14ac:dyDescent="0.25">
      <c r="B927" s="2">
        <v>51</v>
      </c>
      <c r="C927" s="2">
        <v>1</v>
      </c>
      <c r="P927" s="7">
        <v>41</v>
      </c>
      <c r="Q927" s="4" t="e" cm="1">
        <f t="array" ref="Q927">INDEX($P$264:$U$271, INT((ROW(A654)-1)/6)+1, MOD(ROW(A654)-1,6)+1)</f>
        <v>#REF!</v>
      </c>
    </row>
    <row r="928" spans="2:24" x14ac:dyDescent="0.25">
      <c r="B928" s="2">
        <v>52</v>
      </c>
      <c r="C928" s="2">
        <v>1</v>
      </c>
      <c r="P928" s="9">
        <v>42</v>
      </c>
      <c r="Q928" s="4" t="e" cm="1">
        <f t="array" ref="Q928">INDEX($P$264:$U$271, INT((ROW(A655)-1)/6)+1, MOD(ROW(A655)-1,6)+1)</f>
        <v>#REF!</v>
      </c>
    </row>
    <row r="929" spans="2:41" x14ac:dyDescent="0.25">
      <c r="B929" s="2">
        <v>53</v>
      </c>
      <c r="C929" s="2">
        <v>1</v>
      </c>
      <c r="P929" s="9">
        <v>43</v>
      </c>
      <c r="Q929" s="4" t="e" cm="1">
        <f t="array" ref="Q929">INDEX($P$264:$U$271, INT((ROW(A656)-1)/6)+1, MOD(ROW(A656)-1,6)+1)</f>
        <v>#REF!</v>
      </c>
    </row>
    <row r="930" spans="2:41" x14ac:dyDescent="0.25">
      <c r="B930" s="2">
        <v>54</v>
      </c>
      <c r="C930" s="2">
        <v>0</v>
      </c>
      <c r="P930" s="9">
        <v>44</v>
      </c>
      <c r="Q930" s="4" t="e" cm="1">
        <f t="array" ref="Q930">INDEX($P$264:$U$271, INT((ROW(A657)-1)/6)+1, MOD(ROW(A657)-1,6)+1)</f>
        <v>#REF!</v>
      </c>
    </row>
    <row r="931" spans="2:41" x14ac:dyDescent="0.25">
      <c r="B931" s="2">
        <v>55</v>
      </c>
      <c r="C931" s="2">
        <v>0</v>
      </c>
      <c r="P931" s="9">
        <v>45</v>
      </c>
      <c r="Q931" s="4" t="e" cm="1">
        <f t="array" ref="Q931">INDEX($P$264:$U$271, INT((ROW(A658)-1)/6)+1, MOD(ROW(A658)-1,6)+1)</f>
        <v>#REF!</v>
      </c>
    </row>
    <row r="932" spans="2:41" x14ac:dyDescent="0.25">
      <c r="B932" s="2">
        <v>56</v>
      </c>
      <c r="C932" s="2">
        <v>0</v>
      </c>
      <c r="P932" s="9">
        <v>46</v>
      </c>
      <c r="Q932" s="4" t="e" cm="1">
        <f t="array" ref="Q932">INDEX($P$264:$U$271, INT((ROW(A659)-1)/6)+1, MOD(ROW(A659)-1,6)+1)</f>
        <v>#REF!</v>
      </c>
    </row>
    <row r="933" spans="2:41" x14ac:dyDescent="0.25">
      <c r="P933" s="9">
        <v>47</v>
      </c>
      <c r="Q933" s="4" t="e" cm="1">
        <f t="array" ref="Q933">INDEX($P$264:$U$271, INT((ROW(A660)-1)/6)+1, MOD(ROW(A660)-1,6)+1)</f>
        <v>#REF!</v>
      </c>
    </row>
    <row r="934" spans="2:41" x14ac:dyDescent="0.25">
      <c r="P934" s="11">
        <v>48</v>
      </c>
      <c r="Q934" s="4" t="e" cm="1">
        <f t="array" ref="Q934">INDEX($P$264:$U$271, INT((ROW(A661)-1)/6)+1, MOD(ROW(A661)-1,6)+1)</f>
        <v>#REF!</v>
      </c>
    </row>
    <row r="935" spans="2:41" x14ac:dyDescent="0.25">
      <c r="B935" t="s">
        <v>65</v>
      </c>
    </row>
    <row r="937" spans="2:41" x14ac:dyDescent="0.25">
      <c r="B937" s="2" t="s">
        <v>3</v>
      </c>
      <c r="C937" s="2" t="s">
        <v>66</v>
      </c>
      <c r="F937" s="39" t="s">
        <v>23</v>
      </c>
      <c r="G937" s="40"/>
      <c r="H937" s="40"/>
      <c r="I937" s="40"/>
      <c r="J937" s="40"/>
      <c r="K937" s="41"/>
      <c r="M937" s="37" t="s">
        <v>67</v>
      </c>
      <c r="N937" s="43"/>
      <c r="P937" s="39" t="s">
        <v>93</v>
      </c>
      <c r="Q937" s="40"/>
      <c r="R937" s="40"/>
      <c r="S937" s="40"/>
      <c r="T937" s="40"/>
      <c r="U937" s="41"/>
      <c r="W937" s="2" t="s">
        <v>3</v>
      </c>
      <c r="X937" s="18" t="s">
        <v>95</v>
      </c>
      <c r="Z937" s="42" t="s">
        <v>77</v>
      </c>
      <c r="AA937" s="42" t="s">
        <v>74</v>
      </c>
      <c r="AB937" s="42"/>
      <c r="AC937" s="42" t="s">
        <v>75</v>
      </c>
      <c r="AD937" s="42" t="s">
        <v>76</v>
      </c>
      <c r="AE937" s="36" t="s">
        <v>78</v>
      </c>
      <c r="AF937" s="36" t="s">
        <v>79</v>
      </c>
      <c r="AH937" s="37" t="s">
        <v>96</v>
      </c>
      <c r="AI937" s="38"/>
      <c r="AK937" s="37" t="s">
        <v>97</v>
      </c>
      <c r="AL937" s="38"/>
      <c r="AN937" s="36" t="s">
        <v>98</v>
      </c>
      <c r="AO937" s="36"/>
    </row>
    <row r="938" spans="2:41" x14ac:dyDescent="0.25">
      <c r="B938" s="2">
        <v>1</v>
      </c>
      <c r="C938" s="2">
        <v>0</v>
      </c>
      <c r="F938" s="15" cm="1">
        <f t="array" ref="F938">INDEX($C$938:$C$993, H41)</f>
        <v>0</v>
      </c>
      <c r="G938" s="15" cm="1">
        <f t="array" ref="G938">INDEX($C$938:$C$993, I41)</f>
        <v>1</v>
      </c>
      <c r="H938" s="15" cm="1">
        <f t="array" ref="H938">INDEX($C$938:$C$993, J41)</f>
        <v>0</v>
      </c>
      <c r="I938" s="15" cm="1">
        <f t="array" ref="I938">INDEX($C$938:$C$993, K41)</f>
        <v>1</v>
      </c>
      <c r="J938" s="15" cm="1">
        <f t="array" ref="J938">INDEX($C$938:$C$993, L41)</f>
        <v>0</v>
      </c>
      <c r="K938" s="15" cm="1">
        <f t="array" ref="K938">INDEX($C$938:$C$993, M41)</f>
        <v>1</v>
      </c>
      <c r="M938" s="7">
        <v>1</v>
      </c>
      <c r="N938" s="4" cm="1">
        <f t="array" ref="N938">INDEX($F$938:$K$945, INT((ROW(A1)-1)/6)+1, MOD(ROW(A737)-1,6)+1)</f>
        <v>0</v>
      </c>
      <c r="P938" s="15" t="e" cm="1" vm="1">
        <f t="array" aca="1" ref="P938" ca="1">INDEX($AO$204:$AO$235, H725)</f>
        <v>#VALUE!</v>
      </c>
      <c r="Q938" s="15" t="e" cm="1" vm="1">
        <f t="array" aca="1" ref="Q938" ca="1">INDEX($AO$204:$AO$235, I725)</f>
        <v>#VALUE!</v>
      </c>
      <c r="R938" s="15" t="e" cm="1" vm="1">
        <f t="array" aca="1" ref="R938" ca="1">INDEX($AO$204:$AO$235, J725)</f>
        <v>#VALUE!</v>
      </c>
      <c r="S938" s="15" t="e" cm="1" vm="1">
        <f t="array" aca="1" ref="S938" ca="1">INDEX($AO$204:$AO$235, K725)</f>
        <v>#VALUE!</v>
      </c>
      <c r="T938" s="15" t="e" cm="1" vm="1">
        <f t="array" aca="1" ref="T938" ca="1">INDEX($AO$204:$AO$235, L725)</f>
        <v>#VALUE!</v>
      </c>
      <c r="U938" s="15" t="e" cm="1">
        <f t="array" ref="U938">INDEX($AO$204:$AO$235, M725)</f>
        <v>#REF!</v>
      </c>
      <c r="W938" s="7">
        <v>1</v>
      </c>
      <c r="X938" s="4" t="e">
        <f>_xlfn.BITXOR(Q948, N938)</f>
        <v>#REF!</v>
      </c>
      <c r="Z938" s="42"/>
      <c r="AA938" s="42"/>
      <c r="AB938" s="42"/>
      <c r="AC938" s="42"/>
      <c r="AD938" s="42"/>
      <c r="AE938" s="36"/>
      <c r="AF938" s="36"/>
      <c r="AH938" s="7">
        <v>1</v>
      </c>
      <c r="AI938" s="4" t="e" cm="1">
        <f t="array" ref="AI938">MID(INDEX($AF$265:$AF$272,INT((ROW(A675)-1)/4)+1),MOD(ROW(A675)-1,4)+1,1)</f>
        <v>#REF!</v>
      </c>
      <c r="AK938" s="7">
        <v>1</v>
      </c>
      <c r="AL938" s="4" t="e" cm="1">
        <f t="array" ref="AL938">INDEX($AI$264:$AI$295, INDEX($H$15:$O$18, INT((ROW(A675)-1)/8)+1, MOD(ROW(A675)-1,8)+1))</f>
        <v>#REF!</v>
      </c>
      <c r="AN938" s="2" t="s">
        <v>99</v>
      </c>
      <c r="AO938" s="31" t="s">
        <v>101</v>
      </c>
    </row>
    <row r="939" spans="2:41" x14ac:dyDescent="0.25">
      <c r="B939" s="2">
        <v>2</v>
      </c>
      <c r="C939" s="2">
        <v>1</v>
      </c>
      <c r="F939" s="15" cm="1">
        <f t="array" ref="F939">INDEX($C$938:$C$993, H42)</f>
        <v>1</v>
      </c>
      <c r="G939" s="15" cm="1">
        <f t="array" ref="G939">INDEX($C$938:$C$993, I42)</f>
        <v>1</v>
      </c>
      <c r="H939" s="15" cm="1">
        <f t="array" ref="H939">INDEX($C$938:$C$993, J42)</f>
        <v>0</v>
      </c>
      <c r="I939" s="15" cm="1">
        <f t="array" ref="I939">INDEX($C$938:$C$993, K42)</f>
        <v>1</v>
      </c>
      <c r="J939" s="15" cm="1">
        <f t="array" ref="J939">INDEX($C$938:$C$993, L42)</f>
        <v>0</v>
      </c>
      <c r="K939" s="15" cm="1">
        <f t="array" ref="K939">INDEX($C$938:$C$993, M42)</f>
        <v>0</v>
      </c>
      <c r="M939" s="9">
        <v>2</v>
      </c>
      <c r="N939" s="4" cm="1">
        <f t="array" ref="N939">INDEX($F$938:$K$945, INT((ROW(A2)-1)/6)+1, MOD(ROW(A738)-1,6)+1)</f>
        <v>1</v>
      </c>
      <c r="P939" s="15" t="e" cm="1" vm="1">
        <f t="array" aca="1" ref="P939" ca="1">INDEX($AO$204:$AO$235, H726)</f>
        <v>#VALUE!</v>
      </c>
      <c r="Q939" s="15" t="e" cm="1" vm="1">
        <f t="array" aca="1" ref="Q939" ca="1">INDEX($AO$204:$AO$235, I726)</f>
        <v>#VALUE!</v>
      </c>
      <c r="R939" s="15" t="e" cm="1" vm="1">
        <f t="array" aca="1" ref="R939" ca="1">INDEX($AO$204:$AO$235, J726)</f>
        <v>#VALUE!</v>
      </c>
      <c r="S939" s="15" t="e" cm="1" vm="1">
        <f t="array" aca="1" ref="S939" ca="1">INDEX($AO$204:$AO$235, K726)</f>
        <v>#VALUE!</v>
      </c>
      <c r="T939" s="15" t="e" cm="1" vm="1">
        <f t="array" aca="1" ref="T939" ca="1">INDEX($AO$204:$AO$235, L726)</f>
        <v>#VALUE!</v>
      </c>
      <c r="U939" s="15" t="e" cm="1">
        <f t="array" ref="U939">INDEX($AO$204:$AO$235, M726)</f>
        <v>#REF!</v>
      </c>
      <c r="W939" s="9">
        <v>2</v>
      </c>
      <c r="X939" s="4" t="e">
        <f t="shared" ref="X939:X985" si="77">_xlfn.BITXOR(Q949, N939)</f>
        <v>#REF!</v>
      </c>
      <c r="Z939" s="32">
        <v>1</v>
      </c>
      <c r="AA939" s="34" t="e">
        <f>_xlfn.TEXTJOIN("", TRUE, INDEX($X$264:$X$311, (ROW(A675)-1)*6+1) : INDEX($X$264:$X$311, (ROW(A675)-1)*6+6))</f>
        <v>#REF!</v>
      </c>
      <c r="AB939" s="35"/>
      <c r="AC939" s="32" t="e">
        <f>BIN2DEC(LEFT(AA939,1) &amp; RIGHT(AA939,1))</f>
        <v>#REF!</v>
      </c>
      <c r="AD939" s="31" t="e">
        <f>BIN2DEC(MID(AA939,2,4))</f>
        <v>#REF!</v>
      </c>
      <c r="AE939" s="31" t="e" cm="1">
        <f t="array" aca="1" ref="AE939" ca="1">INDEX(OFFSET('[1]S-box'!$A$2, (Z939-1)*6, 0, 4, 16), AC939+1, AD939+1)</f>
        <v>#VALUE!</v>
      </c>
      <c r="AF939" s="33" t="e">
        <f ca="1">DEC2BIN(AE939, 4)</f>
        <v>#VALUE!</v>
      </c>
      <c r="AH939" s="9">
        <v>2</v>
      </c>
      <c r="AI939" s="4" t="e" cm="1">
        <f t="array" ref="AI939">MID(INDEX($AF$265:$AF$272,INT((ROW(A676)-1)/4)+1),MOD(ROW(A676)-1,4)+1,1)</f>
        <v>#REF!</v>
      </c>
      <c r="AK939" s="9">
        <v>2</v>
      </c>
      <c r="AL939" s="4" t="e" cm="1">
        <f t="array" ref="AL939">INDEX($AI$264:$AI$295, INDEX($H$15:$O$18, INT((ROW(A676)-1)/8)+1, MOD(ROW(A676)-1,8)+1))</f>
        <v>#REF!</v>
      </c>
      <c r="AN939" s="2">
        <f>_xlfn.BITXOR(T752, AE877)</f>
        <v>0</v>
      </c>
      <c r="AO939" s="2" t="e">
        <f>_xlfn.BITXOR(N938, AL938)</f>
        <v>#REF!</v>
      </c>
    </row>
    <row r="940" spans="2:41" x14ac:dyDescent="0.25">
      <c r="B940" s="2">
        <v>3</v>
      </c>
      <c r="C940" s="2">
        <v>1</v>
      </c>
      <c r="F940" s="15" cm="1">
        <f t="array" ref="F940">INDEX($C$938:$C$993, H43)</f>
        <v>0</v>
      </c>
      <c r="G940" s="15" cm="1">
        <f t="array" ref="G940">INDEX($C$938:$C$993, I43)</f>
        <v>0</v>
      </c>
      <c r="H940" s="15" cm="1">
        <f t="array" ref="H940">INDEX($C$938:$C$993, J43)</f>
        <v>1</v>
      </c>
      <c r="I940" s="15" cm="1">
        <f t="array" ref="I940">INDEX($C$938:$C$993, K43)</f>
        <v>1</v>
      </c>
      <c r="J940" s="15" cm="1">
        <f t="array" ref="J940">INDEX($C$938:$C$993, L43)</f>
        <v>1</v>
      </c>
      <c r="K940" s="15" cm="1">
        <f t="array" ref="K940">INDEX($C$938:$C$993, M43)</f>
        <v>0</v>
      </c>
      <c r="M940" s="9">
        <v>3</v>
      </c>
      <c r="N940" s="4" cm="1">
        <f t="array" ref="N940">INDEX($F$938:$K$945, INT((ROW(A3)-1)/6)+1, MOD(ROW(A739)-1,6)+1)</f>
        <v>0</v>
      </c>
      <c r="P940" s="15" t="e" cm="1" vm="1">
        <f t="array" aca="1" ref="P940" ca="1">INDEX($AO$204:$AO$235, H727)</f>
        <v>#VALUE!</v>
      </c>
      <c r="Q940" s="15" t="e" cm="1" vm="1">
        <f t="array" aca="1" ref="Q940" ca="1">INDEX($AO$204:$AO$235, I727)</f>
        <v>#VALUE!</v>
      </c>
      <c r="R940" s="15" t="e" cm="1" vm="1">
        <f t="array" aca="1" ref="R940" ca="1">INDEX($AO$204:$AO$235, J727)</f>
        <v>#VALUE!</v>
      </c>
      <c r="S940" s="15" t="e" cm="1" vm="1">
        <f t="array" aca="1" ref="S940" ca="1">INDEX($AO$204:$AO$235, K727)</f>
        <v>#VALUE!</v>
      </c>
      <c r="T940" s="15" t="e" cm="1" vm="1">
        <f t="array" aca="1" ref="T940" ca="1">INDEX($AO$204:$AO$235, L727)</f>
        <v>#VALUE!</v>
      </c>
      <c r="U940" s="15" t="e" cm="1">
        <f t="array" ref="U940">INDEX($AO$204:$AO$235, M727)</f>
        <v>#REF!</v>
      </c>
      <c r="W940" s="9">
        <v>3</v>
      </c>
      <c r="X940" s="4" t="e">
        <f t="shared" si="77"/>
        <v>#REF!</v>
      </c>
      <c r="Z940" s="32">
        <v>2</v>
      </c>
      <c r="AA940" s="34" t="e">
        <f>_xlfn.TEXTJOIN("", TRUE, INDEX($X$264:$X$311, (ROW(A676)-1)*6+1) : INDEX($X$264:$X$311, (ROW(A676)-1)*6+6))</f>
        <v>#REF!</v>
      </c>
      <c r="AB940" s="35"/>
      <c r="AC940" s="32" t="e">
        <f t="shared" ref="AC940:AC946" si="78">BIN2DEC(LEFT(AA940,1) &amp; RIGHT(AA940,1))</f>
        <v>#REF!</v>
      </c>
      <c r="AD940" s="31" t="e">
        <f t="shared" ref="AD940:AD946" si="79">BIN2DEC(MID(AA940,2,4))</f>
        <v>#REF!</v>
      </c>
      <c r="AE940" s="31" t="e" cm="1">
        <f t="array" aca="1" ref="AE940" ca="1">INDEX(OFFSET('[1]S-box'!$A$2, (Z940-1)*6, 0, 4, 16), AC940+1, AD940+1)</f>
        <v>#VALUE!</v>
      </c>
      <c r="AF940" s="33" t="e">
        <f t="shared" ref="AF940:AF946" ca="1" si="80">DEC2BIN(AE940, 4)</f>
        <v>#VALUE!</v>
      </c>
      <c r="AH940" s="9">
        <v>3</v>
      </c>
      <c r="AI940" s="4" t="e" cm="1">
        <f t="array" ref="AI940">MID(INDEX($AF$265:$AF$272,INT((ROW(A677)-1)/4)+1),MOD(ROW(A677)-1,4)+1,1)</f>
        <v>#REF!</v>
      </c>
      <c r="AK940" s="9">
        <v>3</v>
      </c>
      <c r="AL940" s="4" t="e" cm="1">
        <f t="array" ref="AL940">INDEX($AI$264:$AI$295, INDEX($H$15:$O$18, INT((ROW(A677)-1)/8)+1, MOD(ROW(A677)-1,8)+1))</f>
        <v>#REF!</v>
      </c>
      <c r="AN940" s="2" t="e">
        <f t="shared" ref="AN940:AN970" ca="1" si="81">_xlfn.BITXOR(T753, AE878)</f>
        <v>#VALUE!</v>
      </c>
      <c r="AO940" s="2" t="e">
        <f t="shared" ref="AO940:AO970" si="82">_xlfn.BITXOR(N939, AL939)</f>
        <v>#REF!</v>
      </c>
    </row>
    <row r="941" spans="2:41" x14ac:dyDescent="0.25">
      <c r="B941" s="2">
        <v>4</v>
      </c>
      <c r="C941" s="2">
        <v>1</v>
      </c>
      <c r="F941" s="15" cm="1">
        <f t="array" ref="F941">INDEX($C$938:$C$993, H44)</f>
        <v>1</v>
      </c>
      <c r="G941" s="15" cm="1">
        <f t="array" ref="G941">INDEX($C$938:$C$993, I44)</f>
        <v>1</v>
      </c>
      <c r="H941" s="15" cm="1">
        <f t="array" ref="H941">INDEX($C$938:$C$993, J44)</f>
        <v>0</v>
      </c>
      <c r="I941" s="15" cm="1">
        <f t="array" ref="I941">INDEX($C$938:$C$993, K44)</f>
        <v>1</v>
      </c>
      <c r="J941" s="15" cm="1">
        <f t="array" ref="J941">INDEX($C$938:$C$993, L44)</f>
        <v>1</v>
      </c>
      <c r="K941" s="15" cm="1">
        <f t="array" ref="K941">INDEX($C$938:$C$993, M44)</f>
        <v>1</v>
      </c>
      <c r="M941" s="9">
        <v>4</v>
      </c>
      <c r="N941" s="4" cm="1">
        <f t="array" ref="N941">INDEX($F$938:$K$945, INT((ROW(A4)-1)/6)+1, MOD(ROW(A740)-1,6)+1)</f>
        <v>1</v>
      </c>
      <c r="P941" s="15" t="e" cm="1" vm="1">
        <f t="array" aca="1" ref="P941" ca="1">INDEX($AO$204:$AO$235, H728)</f>
        <v>#VALUE!</v>
      </c>
      <c r="Q941" s="15" t="e" cm="1" vm="1">
        <f t="array" aca="1" ref="Q941" ca="1">INDEX($AO$204:$AO$235, I728)</f>
        <v>#VALUE!</v>
      </c>
      <c r="R941" s="15" t="e" cm="1" vm="1">
        <f t="array" aca="1" ref="R941" ca="1">INDEX($AO$204:$AO$235, J728)</f>
        <v>#VALUE!</v>
      </c>
      <c r="S941" s="15" t="e" cm="1" vm="1">
        <f t="array" aca="1" ref="S941" ca="1">INDEX($AO$204:$AO$235, K728)</f>
        <v>#VALUE!</v>
      </c>
      <c r="T941" s="15" t="e" cm="1" vm="1">
        <f t="array" aca="1" ref="T941" ca="1">INDEX($AO$204:$AO$235, L728)</f>
        <v>#VALUE!</v>
      </c>
      <c r="U941" s="15" t="e" cm="1">
        <f t="array" ref="U941">INDEX($AO$204:$AO$235, M728)</f>
        <v>#REF!</v>
      </c>
      <c r="W941" s="9">
        <v>4</v>
      </c>
      <c r="X941" s="4" t="e">
        <f t="shared" si="77"/>
        <v>#REF!</v>
      </c>
      <c r="Z941" s="32">
        <v>3</v>
      </c>
      <c r="AA941" s="34" t="e">
        <f>_xlfn.TEXTJOIN("", TRUE, INDEX($X$264:$X$311, (ROW(A677)-1)*6+1) : INDEX($X$264:$X$311, (ROW(A677)-1)*6+6))</f>
        <v>#REF!</v>
      </c>
      <c r="AB941" s="35"/>
      <c r="AC941" s="32" t="e">
        <f t="shared" si="78"/>
        <v>#REF!</v>
      </c>
      <c r="AD941" s="31" t="e">
        <f t="shared" si="79"/>
        <v>#REF!</v>
      </c>
      <c r="AE941" s="31" t="e" cm="1">
        <f t="array" aca="1" ref="AE941" ca="1">INDEX(OFFSET('[1]S-box'!$A$2, (Z941-1)*6, 0, 4, 16), AC941+1, AD941+1)</f>
        <v>#VALUE!</v>
      </c>
      <c r="AF941" s="33" t="e">
        <f t="shared" ca="1" si="80"/>
        <v>#VALUE!</v>
      </c>
      <c r="AH941" s="9">
        <v>4</v>
      </c>
      <c r="AI941" s="4" t="e" cm="1">
        <f t="array" ref="AI941">MID(INDEX($AF$265:$AF$272,INT((ROW(A678)-1)/4)+1),MOD(ROW(A678)-1,4)+1,1)</f>
        <v>#REF!</v>
      </c>
      <c r="AK941" s="9">
        <v>4</v>
      </c>
      <c r="AL941" s="4" t="e" cm="1">
        <f t="array" ref="AL941">INDEX($AI$264:$AI$295, INDEX($H$15:$O$18, INT((ROW(A678)-1)/8)+1, MOD(ROW(A678)-1,8)+1))</f>
        <v>#REF!</v>
      </c>
      <c r="AN941" s="2" t="e" vm="3">
        <f t="shared" ca="1" si="81"/>
        <v>#VALUE!</v>
      </c>
      <c r="AO941" s="2" t="e">
        <f t="shared" si="82"/>
        <v>#REF!</v>
      </c>
    </row>
    <row r="942" spans="2:41" x14ac:dyDescent="0.25">
      <c r="B942" s="2">
        <v>5</v>
      </c>
      <c r="C942" s="2">
        <v>1</v>
      </c>
      <c r="F942" s="15" cm="1">
        <f t="array" ref="F942">INDEX($C$938:$C$993, H45)</f>
        <v>1</v>
      </c>
      <c r="G942" s="15" cm="1">
        <f t="array" ref="G942">INDEX($C$938:$C$993, I45)</f>
        <v>0</v>
      </c>
      <c r="H942" s="15" cm="1">
        <f t="array" ref="H942">INDEX($C$938:$C$993, J45)</f>
        <v>0</v>
      </c>
      <c r="I942" s="15" cm="1">
        <f t="array" ref="I942">INDEX($C$938:$C$993, K45)</f>
        <v>0</v>
      </c>
      <c r="J942" s="15" cm="1">
        <f t="array" ref="J942">INDEX($C$938:$C$993, L45)</f>
        <v>0</v>
      </c>
      <c r="K942" s="15" cm="1">
        <f t="array" ref="K942">INDEX($C$938:$C$993, M45)</f>
        <v>0</v>
      </c>
      <c r="M942" s="9">
        <v>5</v>
      </c>
      <c r="N942" s="4" cm="1">
        <f t="array" ref="N942">INDEX($F$938:$K$945, INT((ROW(A5)-1)/6)+1, MOD(ROW(A741)-1,6)+1)</f>
        <v>0</v>
      </c>
      <c r="P942" s="15" t="e" cm="1" vm="1">
        <f t="array" aca="1" ref="P942" ca="1">INDEX($AO$204:$AO$235, H729)</f>
        <v>#VALUE!</v>
      </c>
      <c r="Q942" s="15" t="e" cm="1" vm="1">
        <f t="array" aca="1" ref="Q942" ca="1">INDEX($AO$204:$AO$235, I729)</f>
        <v>#VALUE!</v>
      </c>
      <c r="R942" s="15" t="e" cm="1" vm="1">
        <f t="array" aca="1" ref="R942" ca="1">INDEX($AO$204:$AO$235, J729)</f>
        <v>#VALUE!</v>
      </c>
      <c r="S942" s="15" t="e" cm="1" vm="1">
        <f t="array" aca="1" ref="S942" ca="1">INDEX($AO$204:$AO$235, K729)</f>
        <v>#VALUE!</v>
      </c>
      <c r="T942" s="15" t="e" cm="1" vm="1">
        <f t="array" aca="1" ref="T942" ca="1">INDEX($AO$204:$AO$235, L729)</f>
        <v>#VALUE!</v>
      </c>
      <c r="U942" s="15" t="e" cm="1">
        <f t="array" ref="U942">INDEX($AO$204:$AO$235, M729)</f>
        <v>#REF!</v>
      </c>
      <c r="W942" s="9">
        <v>5</v>
      </c>
      <c r="X942" s="4" t="e">
        <f t="shared" si="77"/>
        <v>#REF!</v>
      </c>
      <c r="Z942" s="32">
        <v>4</v>
      </c>
      <c r="AA942" s="34" t="e">
        <f>_xlfn.TEXTJOIN("", TRUE, INDEX($X$264:$X$311, (ROW(A678)-1)*6+1) : INDEX($X$264:$X$311, (ROW(A678)-1)*6+6))</f>
        <v>#REF!</v>
      </c>
      <c r="AB942" s="35"/>
      <c r="AC942" s="32" t="e">
        <f t="shared" si="78"/>
        <v>#REF!</v>
      </c>
      <c r="AD942" s="31" t="e">
        <f t="shared" si="79"/>
        <v>#REF!</v>
      </c>
      <c r="AE942" s="31" t="e" cm="1">
        <f t="array" aca="1" ref="AE942" ca="1">INDEX(OFFSET('[1]S-box'!$A$2, (Z942-1)*6, 0, 4, 16), AC942+1, AD942+1)</f>
        <v>#VALUE!</v>
      </c>
      <c r="AF942" s="33" t="e">
        <f t="shared" ca="1" si="80"/>
        <v>#VALUE!</v>
      </c>
      <c r="AH942" s="9">
        <v>5</v>
      </c>
      <c r="AI942" s="4" t="e" cm="1">
        <f t="array" ref="AI942">MID(INDEX($AF$265:$AF$272,INT((ROW(A679)-1)/4)+1),MOD(ROW(A679)-1,4)+1,1)</f>
        <v>#REF!</v>
      </c>
      <c r="AK942" s="9">
        <v>5</v>
      </c>
      <c r="AL942" s="4" t="e" cm="1">
        <f t="array" ref="AL942">INDEX($AI$264:$AI$295, INDEX($H$15:$O$18, INT((ROW(A679)-1)/8)+1, MOD(ROW(A679)-1,8)+1))</f>
        <v>#REF!</v>
      </c>
      <c r="AN942" s="2" t="e" vm="3">
        <f t="shared" ca="1" si="81"/>
        <v>#VALUE!</v>
      </c>
      <c r="AO942" s="2" t="e">
        <f t="shared" si="82"/>
        <v>#REF!</v>
      </c>
    </row>
    <row r="943" spans="2:41" x14ac:dyDescent="0.25">
      <c r="B943" s="2">
        <v>6</v>
      </c>
      <c r="C943" s="2">
        <v>1</v>
      </c>
      <c r="F943" s="15" cm="1">
        <f t="array" ref="F943">INDEX($C$938:$C$993, H46)</f>
        <v>1</v>
      </c>
      <c r="G943" s="15" cm="1">
        <f t="array" ref="G943">INDEX($C$938:$C$993, I46)</f>
        <v>1</v>
      </c>
      <c r="H943" s="15" cm="1">
        <f t="array" ref="H943">INDEX($C$938:$C$993, J46)</f>
        <v>1</v>
      </c>
      <c r="I943" s="15" cm="1">
        <f t="array" ref="I943">INDEX($C$938:$C$993, K46)</f>
        <v>1</v>
      </c>
      <c r="J943" s="15" cm="1">
        <f t="array" ref="J943">INDEX($C$938:$C$993, L46)</f>
        <v>0</v>
      </c>
      <c r="K943" s="15" cm="1">
        <f t="array" ref="K943">INDEX($C$938:$C$993, M46)</f>
        <v>1</v>
      </c>
      <c r="M943" s="9">
        <v>6</v>
      </c>
      <c r="N943" s="4" cm="1">
        <f t="array" ref="N943">INDEX($F$938:$K$945, INT((ROW(A6)-1)/6)+1, MOD(ROW(A742)-1,6)+1)</f>
        <v>1</v>
      </c>
      <c r="P943" s="15" t="e" cm="1" vm="1">
        <f t="array" aca="1" ref="P943" ca="1">INDEX($AO$204:$AO$235, H730)</f>
        <v>#VALUE!</v>
      </c>
      <c r="Q943" s="15" t="e" cm="1" vm="1">
        <f t="array" aca="1" ref="Q943" ca="1">INDEX($AO$204:$AO$235, I730)</f>
        <v>#VALUE!</v>
      </c>
      <c r="R943" s="15" t="e" cm="1" vm="1">
        <f t="array" aca="1" ref="R943" ca="1">INDEX($AO$204:$AO$235, J730)</f>
        <v>#VALUE!</v>
      </c>
      <c r="S943" s="15" t="e" cm="1" vm="1">
        <f t="array" aca="1" ref="S943" ca="1">INDEX($AO$204:$AO$235, K730)</f>
        <v>#VALUE!</v>
      </c>
      <c r="T943" s="15" t="e" cm="1" vm="1">
        <f t="array" aca="1" ref="T943" ca="1">INDEX($AO$204:$AO$235, L730)</f>
        <v>#VALUE!</v>
      </c>
      <c r="U943" s="15" t="e" cm="1">
        <f t="array" ref="U943">INDEX($AO$204:$AO$235, M730)</f>
        <v>#REF!</v>
      </c>
      <c r="W943" s="9">
        <v>6</v>
      </c>
      <c r="X943" s="4" t="e">
        <f t="shared" si="77"/>
        <v>#REF!</v>
      </c>
      <c r="Z943" s="32">
        <v>5</v>
      </c>
      <c r="AA943" s="34" t="e">
        <f>_xlfn.TEXTJOIN("", TRUE, INDEX($X$264:$X$311, (ROW(A679)-1)*6+1) : INDEX($X$264:$X$311, (ROW(A679)-1)*6+6))</f>
        <v>#REF!</v>
      </c>
      <c r="AB943" s="35"/>
      <c r="AC943" s="32" t="e">
        <f t="shared" si="78"/>
        <v>#REF!</v>
      </c>
      <c r="AD943" s="31" t="e">
        <f t="shared" si="79"/>
        <v>#REF!</v>
      </c>
      <c r="AE943" s="31" t="e" cm="1">
        <f t="array" aca="1" ref="AE943" ca="1">INDEX(OFFSET('[1]S-box'!$A$2, (Z943-1)*6, 0, 4, 16), AC943+1, AD943+1)</f>
        <v>#VALUE!</v>
      </c>
      <c r="AF943" s="33" t="e">
        <f t="shared" ca="1" si="80"/>
        <v>#VALUE!</v>
      </c>
      <c r="AH943" s="9">
        <v>6</v>
      </c>
      <c r="AI943" s="4" t="e" cm="1">
        <f t="array" ref="AI943">MID(INDEX($AF$265:$AF$272,INT((ROW(A680)-1)/4)+1),MOD(ROW(A680)-1,4)+1,1)</f>
        <v>#REF!</v>
      </c>
      <c r="AK943" s="9">
        <v>6</v>
      </c>
      <c r="AL943" s="4" t="e" cm="1">
        <f t="array" ref="AL943">INDEX($AI$264:$AI$295, INDEX($H$15:$O$18, INT((ROW(A680)-1)/8)+1, MOD(ROW(A680)-1,8)+1))</f>
        <v>#REF!</v>
      </c>
      <c r="AN943" s="2" t="e" vm="3">
        <f t="shared" ca="1" si="81"/>
        <v>#VALUE!</v>
      </c>
      <c r="AO943" s="2" t="e">
        <f t="shared" si="82"/>
        <v>#REF!</v>
      </c>
    </row>
    <row r="944" spans="2:41" x14ac:dyDescent="0.25">
      <c r="B944" s="2">
        <v>7</v>
      </c>
      <c r="C944" s="2">
        <v>1</v>
      </c>
      <c r="F944" s="15" cm="1">
        <f t="array" ref="F944">INDEX($C$938:$C$993, H47)</f>
        <v>1</v>
      </c>
      <c r="G944" s="15" cm="1">
        <f t="array" ref="G944">INDEX($C$938:$C$993, I47)</f>
        <v>1</v>
      </c>
      <c r="H944" s="15" cm="1">
        <f t="array" ref="H944">INDEX($C$938:$C$993, J47)</f>
        <v>0</v>
      </c>
      <c r="I944" s="15" cm="1">
        <f t="array" ref="I944">INDEX($C$938:$C$993, K47)</f>
        <v>1</v>
      </c>
      <c r="J944" s="15" cm="1">
        <f t="array" ref="J944">INDEX($C$938:$C$993, L47)</f>
        <v>1</v>
      </c>
      <c r="K944" s="15" cm="1">
        <f t="array" ref="K944">INDEX($C$938:$C$993, M47)</f>
        <v>0</v>
      </c>
      <c r="M944" s="9">
        <v>7</v>
      </c>
      <c r="N944" s="4" cm="1">
        <f t="array" ref="N944">INDEX($F$938:$K$945, INT((ROW(A7)-1)/6)+1, MOD(ROW(A743)-1,6)+1)</f>
        <v>0</v>
      </c>
      <c r="P944" s="15" t="e" cm="1" vm="1">
        <f t="array" aca="1" ref="P944" ca="1">INDEX($AO$204:$AO$235, H731)</f>
        <v>#VALUE!</v>
      </c>
      <c r="Q944" s="15" t="e" cm="1" vm="1">
        <f t="array" aca="1" ref="Q944" ca="1">INDEX($AO$204:$AO$235, I731)</f>
        <v>#VALUE!</v>
      </c>
      <c r="R944" s="15" t="e" cm="1" vm="1">
        <f t="array" aca="1" ref="R944" ca="1">INDEX($AO$204:$AO$235, J731)</f>
        <v>#VALUE!</v>
      </c>
      <c r="S944" s="15" t="e" cm="1" vm="1">
        <f t="array" aca="1" ref="S944" ca="1">INDEX($AO$204:$AO$235, K731)</f>
        <v>#VALUE!</v>
      </c>
      <c r="T944" s="15" t="e" cm="1" vm="1">
        <f t="array" aca="1" ref="T944" ca="1">INDEX($AO$204:$AO$235, L731)</f>
        <v>#VALUE!</v>
      </c>
      <c r="U944" s="15" t="e" cm="1">
        <f t="array" ref="U944">INDEX($AO$204:$AO$235, M731)</f>
        <v>#REF!</v>
      </c>
      <c r="W944" s="9">
        <v>7</v>
      </c>
      <c r="X944" s="4" t="e">
        <f t="shared" si="77"/>
        <v>#REF!</v>
      </c>
      <c r="Z944" s="32">
        <v>6</v>
      </c>
      <c r="AA944" s="34" t="e">
        <f>_xlfn.TEXTJOIN("", TRUE, INDEX($X$264:$X$311, (ROW(A680)-1)*6+1) : INDEX($X$264:$X$311, (ROW(A680)-1)*6+6))</f>
        <v>#REF!</v>
      </c>
      <c r="AB944" s="35"/>
      <c r="AC944" s="32" t="e">
        <f t="shared" si="78"/>
        <v>#REF!</v>
      </c>
      <c r="AD944" s="31" t="e">
        <f t="shared" si="79"/>
        <v>#REF!</v>
      </c>
      <c r="AE944" s="31" t="e" cm="1">
        <f t="array" aca="1" ref="AE944" ca="1">INDEX(OFFSET('[1]S-box'!$A$2, (Z944-1)*6, 0, 4, 16), AC944+1, AD944+1)</f>
        <v>#VALUE!</v>
      </c>
      <c r="AF944" s="33" t="e">
        <f t="shared" ca="1" si="80"/>
        <v>#VALUE!</v>
      </c>
      <c r="AH944" s="9">
        <v>7</v>
      </c>
      <c r="AI944" s="4" t="e" cm="1">
        <f t="array" ref="AI944">MID(INDEX($AF$265:$AF$272,INT((ROW(A681)-1)/4)+1),MOD(ROW(A681)-1,4)+1,1)</f>
        <v>#REF!</v>
      </c>
      <c r="AK944" s="9">
        <v>7</v>
      </c>
      <c r="AL944" s="4" t="e" cm="1">
        <f t="array" ref="AL944">INDEX($AI$264:$AI$295, INDEX($H$15:$O$18, INT((ROW(A681)-1)/8)+1, MOD(ROW(A681)-1,8)+1))</f>
        <v>#REF!</v>
      </c>
      <c r="AN944" s="2" t="e" vm="3">
        <f t="shared" ca="1" si="81"/>
        <v>#VALUE!</v>
      </c>
      <c r="AO944" s="2" t="e">
        <f t="shared" si="82"/>
        <v>#REF!</v>
      </c>
    </row>
    <row r="945" spans="2:41" x14ac:dyDescent="0.25">
      <c r="B945" s="2">
        <v>8</v>
      </c>
      <c r="C945" s="2">
        <v>0</v>
      </c>
      <c r="F945" s="15" cm="1">
        <f t="array" ref="F945">INDEX($C$938:$C$993, H48)</f>
        <v>0</v>
      </c>
      <c r="G945" s="15" cm="1">
        <f t="array" ref="G945">INDEX($C$938:$C$993, I48)</f>
        <v>0</v>
      </c>
      <c r="H945" s="15" cm="1">
        <f t="array" ref="H945">INDEX($C$938:$C$993, J48)</f>
        <v>1</v>
      </c>
      <c r="I945" s="15" cm="1">
        <f t="array" ref="I945">INDEX($C$938:$C$993, K48)</f>
        <v>1</v>
      </c>
      <c r="J945" s="15" cm="1">
        <f t="array" ref="J945">INDEX($C$938:$C$993, L48)</f>
        <v>0</v>
      </c>
      <c r="K945" s="15" cm="1">
        <f t="array" ref="K945">INDEX($C$938:$C$993, M48)</f>
        <v>1</v>
      </c>
      <c r="M945" s="11">
        <v>8</v>
      </c>
      <c r="N945" s="4" cm="1">
        <f t="array" ref="N945">INDEX($F$938:$K$945, INT((ROW(A8)-1)/6)+1, MOD(ROW(A744)-1,6)+1)</f>
        <v>0</v>
      </c>
      <c r="P945" s="15" t="e" cm="1" vm="2">
        <f t="array" aca="1" ref="P945" ca="1">INDEX($AO$204:$AO$235, H732)</f>
        <v>#VALUE!</v>
      </c>
      <c r="Q945" s="15" t="e" cm="1" vm="2">
        <f t="array" aca="1" ref="Q945" ca="1">INDEX($AO$204:$AO$235, I732)</f>
        <v>#VALUE!</v>
      </c>
      <c r="R945" s="15" t="e" cm="1">
        <f t="array" aca="1" ref="R945:R976" ca="1">INDEX($AO$204:$AO$235, J732)</f>
        <v>#VALUE!</v>
      </c>
      <c r="S945" s="15" t="e" cm="1">
        <f t="array" aca="1" ref="S945:S976" ca="1">INDEX($AO$204:$AO$235, K732)</f>
        <v>#VALUE!</v>
      </c>
      <c r="T945" s="15" t="e" cm="1">
        <f t="array" aca="1" ref="T945:T976" ca="1">INDEX($AO$204:$AO$235, L732)</f>
        <v>#VALUE!</v>
      </c>
      <c r="U945" s="15" t="e" cm="1">
        <f t="array" ref="U945">INDEX($AO$204:$AO$235, M732)</f>
        <v>#REF!</v>
      </c>
      <c r="W945" s="11">
        <v>8</v>
      </c>
      <c r="X945" s="4" t="e">
        <f t="shared" si="77"/>
        <v>#REF!</v>
      </c>
      <c r="Z945" s="32">
        <v>7</v>
      </c>
      <c r="AA945" s="34" t="e">
        <f>_xlfn.TEXTJOIN("", TRUE, INDEX($X$264:$X$311, (ROW(A681)-1)*6+1) : INDEX($X$264:$X$311, (ROW(A681)-1)*6+6))</f>
        <v>#REF!</v>
      </c>
      <c r="AB945" s="35"/>
      <c r="AC945" s="32" t="e">
        <f t="shared" si="78"/>
        <v>#REF!</v>
      </c>
      <c r="AD945" s="31" t="e">
        <f t="shared" si="79"/>
        <v>#REF!</v>
      </c>
      <c r="AE945" s="31" t="e" cm="1">
        <f t="array" aca="1" ref="AE945" ca="1">INDEX(OFFSET('[1]S-box'!$A$2, (Z945-1)*6, 0, 4, 16), AC945+1, AD945+1)</f>
        <v>#VALUE!</v>
      </c>
      <c r="AF945" s="33" t="e">
        <f t="shared" ca="1" si="80"/>
        <v>#VALUE!</v>
      </c>
      <c r="AH945" s="11">
        <v>8</v>
      </c>
      <c r="AI945" s="4" t="e" cm="1">
        <f t="array" ref="AI945">MID(INDEX($AF$265:$AF$272,INT((ROW(A682)-1)/4)+1),MOD(ROW(A682)-1,4)+1,1)</f>
        <v>#REF!</v>
      </c>
      <c r="AK945" s="11">
        <v>8</v>
      </c>
      <c r="AL945" s="4" t="e" cm="1">
        <f t="array" ref="AL945">INDEX($AI$264:$AI$295, INDEX($H$15:$O$18, INT((ROW(A682)-1)/8)+1, MOD(ROW(A682)-1,8)+1))</f>
        <v>#REF!</v>
      </c>
      <c r="AN945" s="2" t="e" vm="3">
        <f t="shared" ca="1" si="81"/>
        <v>#VALUE!</v>
      </c>
      <c r="AO945" s="2" t="e">
        <f t="shared" si="82"/>
        <v>#REF!</v>
      </c>
    </row>
    <row r="946" spans="2:41" x14ac:dyDescent="0.25">
      <c r="B946" s="2">
        <v>9</v>
      </c>
      <c r="C946" s="2">
        <v>0</v>
      </c>
      <c r="M946" s="9">
        <v>9</v>
      </c>
      <c r="N946" s="4" cm="1">
        <f t="array" ref="N946">INDEX($F$938:$K$945, INT((ROW(A9)-1)/6)+1, MOD(ROW(A745)-1,6)+1)</f>
        <v>1</v>
      </c>
      <c r="R946" t="e">
        <f ca="1"/>
        <v>#VALUE!</v>
      </c>
      <c r="S946" t="e">
        <f ca="1"/>
        <v>#VALUE!</v>
      </c>
      <c r="T946" t="e">
        <f ca="1"/>
        <v>#VALUE!</v>
      </c>
      <c r="W946" s="9">
        <v>9</v>
      </c>
      <c r="X946" s="4" t="e">
        <f t="shared" si="77"/>
        <v>#REF!</v>
      </c>
      <c r="Z946" s="32">
        <v>8</v>
      </c>
      <c r="AA946" s="34" t="e">
        <f>_xlfn.TEXTJOIN("", TRUE, INDEX($X$264:$X$311, (ROW(A682)-1)*6+1) : INDEX($X$264:$X$311, (ROW(A682)-1)*6+6))</f>
        <v>#REF!</v>
      </c>
      <c r="AB946" s="35"/>
      <c r="AC946" s="32" t="e">
        <f t="shared" si="78"/>
        <v>#REF!</v>
      </c>
      <c r="AD946" s="31" t="e">
        <f t="shared" si="79"/>
        <v>#REF!</v>
      </c>
      <c r="AE946" s="31" t="e" cm="1">
        <f t="array" aca="1" ref="AE946" ca="1">INDEX(OFFSET('[1]S-box'!$A$2, (Z946-1)*6, 0, 4, 16), AC946+1, AD946+1)</f>
        <v>#VALUE!</v>
      </c>
      <c r="AF946" s="33" t="e">
        <f t="shared" ca="1" si="80"/>
        <v>#VALUE!</v>
      </c>
      <c r="AH946" s="9">
        <v>9</v>
      </c>
      <c r="AI946" s="4" t="e" cm="1">
        <f t="array" ref="AI946">MID(INDEX($AF$265:$AF$272,INT((ROW(A683)-1)/4)+1),MOD(ROW(A683)-1,4)+1,1)</f>
        <v>#REF!</v>
      </c>
      <c r="AK946" s="9">
        <v>9</v>
      </c>
      <c r="AL946" s="4" t="e" cm="1">
        <f t="array" ref="AL946">INDEX($AI$264:$AI$295, INDEX($H$15:$O$18, INT((ROW(A683)-1)/8)+1, MOD(ROW(A683)-1,8)+1))</f>
        <v>#REF!</v>
      </c>
      <c r="AN946" s="2" t="e" vm="3">
        <f t="shared" ca="1" si="81"/>
        <v>#VALUE!</v>
      </c>
      <c r="AO946" s="2" t="e">
        <f t="shared" si="82"/>
        <v>#REF!</v>
      </c>
    </row>
    <row r="947" spans="2:41" x14ac:dyDescent="0.25">
      <c r="B947" s="2">
        <v>10</v>
      </c>
      <c r="C947" s="2">
        <v>0</v>
      </c>
      <c r="M947" s="9">
        <v>10</v>
      </c>
      <c r="N947" s="4" cm="1">
        <f t="array" ref="N947">INDEX($F$938:$K$945, INT((ROW(A10)-1)/6)+1, MOD(ROW(A746)-1,6)+1)</f>
        <v>1</v>
      </c>
      <c r="P947" s="36" t="s">
        <v>94</v>
      </c>
      <c r="Q947" s="36"/>
      <c r="R947" t="e">
        <f ca="1"/>
        <v>#VALUE!</v>
      </c>
      <c r="S947" t="e">
        <f ca="1"/>
        <v>#VALUE!</v>
      </c>
      <c r="T947" t="e">
        <f ca="1"/>
        <v>#VALUE!</v>
      </c>
      <c r="W947" s="9">
        <v>10</v>
      </c>
      <c r="X947" s="4" t="e">
        <f t="shared" si="77"/>
        <v>#REF!</v>
      </c>
      <c r="AH947" s="9">
        <v>10</v>
      </c>
      <c r="AI947" s="4" t="e" cm="1">
        <f t="array" ref="AI947">MID(INDEX($AF$265:$AF$272,INT((ROW(A684)-1)/4)+1),MOD(ROW(A684)-1,4)+1,1)</f>
        <v>#REF!</v>
      </c>
      <c r="AK947" s="9">
        <v>10</v>
      </c>
      <c r="AL947" s="4" t="e" cm="1">
        <f t="array" ref="AL947">INDEX($AI$264:$AI$295, INDEX($H$15:$O$18, INT((ROW(A684)-1)/8)+1, MOD(ROW(A684)-1,8)+1))</f>
        <v>#REF!</v>
      </c>
      <c r="AN947" s="2" t="e" vm="3">
        <f t="shared" ca="1" si="81"/>
        <v>#VALUE!</v>
      </c>
      <c r="AO947" s="2" t="e">
        <f t="shared" si="82"/>
        <v>#REF!</v>
      </c>
    </row>
    <row r="948" spans="2:41" x14ac:dyDescent="0.25">
      <c r="B948" s="2">
        <v>11</v>
      </c>
      <c r="C948" s="2">
        <v>0</v>
      </c>
      <c r="M948" s="9">
        <v>11</v>
      </c>
      <c r="N948" s="4" cm="1">
        <f t="array" ref="N948">INDEX($F$938:$K$945, INT((ROW(A11)-1)/6)+1, MOD(ROW(A747)-1,6)+1)</f>
        <v>0</v>
      </c>
      <c r="P948" s="9">
        <v>1</v>
      </c>
      <c r="Q948" s="4" t="e" cm="1">
        <f t="array" ref="Q948">INDEX($P$264:$U$271, INT((ROW(A675)-1)/6)+1, MOD(ROW(A675)-1,6)+1)</f>
        <v>#REF!</v>
      </c>
      <c r="R948" t="e">
        <f ca="1"/>
        <v>#VALUE!</v>
      </c>
      <c r="S948" t="e">
        <f ca="1"/>
        <v>#VALUE!</v>
      </c>
      <c r="T948" t="e">
        <f ca="1"/>
        <v>#VALUE!</v>
      </c>
      <c r="W948" s="9">
        <v>11</v>
      </c>
      <c r="X948" s="4" t="e">
        <f t="shared" si="77"/>
        <v>#REF!</v>
      </c>
      <c r="AH948" s="9">
        <v>11</v>
      </c>
      <c r="AI948" s="4" t="e" cm="1">
        <f t="array" ref="AI948">MID(INDEX($AF$265:$AF$272,INT((ROW(A685)-1)/4)+1),MOD(ROW(A685)-1,4)+1,1)</f>
        <v>#REF!</v>
      </c>
      <c r="AK948" s="9">
        <v>11</v>
      </c>
      <c r="AL948" s="4" t="e" cm="1">
        <f t="array" ref="AL948">INDEX($AI$264:$AI$295, INDEX($H$15:$O$18, INT((ROW(A685)-1)/8)+1, MOD(ROW(A685)-1,8)+1))</f>
        <v>#REF!</v>
      </c>
      <c r="AN948" s="2" t="e">
        <f t="shared" ca="1" si="81"/>
        <v>#VALUE!</v>
      </c>
      <c r="AO948" s="2" t="e">
        <f t="shared" si="82"/>
        <v>#REF!</v>
      </c>
    </row>
    <row r="949" spans="2:41" x14ac:dyDescent="0.25">
      <c r="B949" s="2">
        <v>12</v>
      </c>
      <c r="C949" s="2">
        <v>1</v>
      </c>
      <c r="M949" s="9">
        <v>12</v>
      </c>
      <c r="N949" s="4" cm="1">
        <f t="array" ref="N949">INDEX($F$938:$K$945, INT((ROW(A12)-1)/6)+1, MOD(ROW(A748)-1,6)+1)</f>
        <v>1</v>
      </c>
      <c r="P949" s="9">
        <v>2</v>
      </c>
      <c r="Q949" s="4" t="e" cm="1">
        <f t="array" ref="Q949">INDEX($P$264:$U$271, INT((ROW(A676)-1)/6)+1, MOD(ROW(A676)-1,6)+1)</f>
        <v>#REF!</v>
      </c>
      <c r="R949" t="e">
        <f ca="1"/>
        <v>#VALUE!</v>
      </c>
      <c r="S949" t="e">
        <f ca="1"/>
        <v>#VALUE!</v>
      </c>
      <c r="T949" t="e">
        <f ca="1"/>
        <v>#VALUE!</v>
      </c>
      <c r="W949" s="9">
        <v>12</v>
      </c>
      <c r="X949" s="4" t="e">
        <f t="shared" si="77"/>
        <v>#REF!</v>
      </c>
      <c r="AH949" s="9">
        <v>12</v>
      </c>
      <c r="AI949" s="4" t="e" cm="1">
        <f t="array" ref="AI949">MID(INDEX($AF$265:$AF$272,INT((ROW(A686)-1)/4)+1),MOD(ROW(A686)-1,4)+1,1)</f>
        <v>#REF!</v>
      </c>
      <c r="AK949" s="9">
        <v>12</v>
      </c>
      <c r="AL949" s="4" t="e" cm="1">
        <f t="array" ref="AL949">INDEX($AI$264:$AI$295, INDEX($H$15:$O$18, INT((ROW(A686)-1)/8)+1, MOD(ROW(A686)-1,8)+1))</f>
        <v>#REF!</v>
      </c>
      <c r="AN949" s="2" t="e">
        <f t="shared" ca="1" si="81"/>
        <v>#VALUE!</v>
      </c>
      <c r="AO949" s="2" t="e">
        <f t="shared" si="82"/>
        <v>#REF!</v>
      </c>
    </row>
    <row r="950" spans="2:41" x14ac:dyDescent="0.25">
      <c r="B950" s="2">
        <v>13</v>
      </c>
      <c r="C950" s="2">
        <v>1</v>
      </c>
      <c r="M950" s="9">
        <v>13</v>
      </c>
      <c r="N950" s="4" cm="1">
        <f t="array" ref="N950">INDEX($F$938:$K$945, INT((ROW(A13)-1)/6)+1, MOD(ROW(A749)-1,6)+1)</f>
        <v>1</v>
      </c>
      <c r="P950" s="9">
        <v>3</v>
      </c>
      <c r="Q950" s="4" t="e" cm="1">
        <f t="array" ref="Q950">INDEX($P$264:$U$271, INT((ROW(A677)-1)/6)+1, MOD(ROW(A677)-1,6)+1)</f>
        <v>#REF!</v>
      </c>
      <c r="R950" t="e">
        <f ca="1"/>
        <v>#VALUE!</v>
      </c>
      <c r="S950" t="e">
        <f ca="1"/>
        <v>#VALUE!</v>
      </c>
      <c r="T950" t="e">
        <f ca="1"/>
        <v>#VALUE!</v>
      </c>
      <c r="W950" s="9">
        <v>13</v>
      </c>
      <c r="X950" s="4" t="e">
        <f t="shared" si="77"/>
        <v>#REF!</v>
      </c>
      <c r="AH950" s="9">
        <v>13</v>
      </c>
      <c r="AI950" s="4" t="e" cm="1">
        <f t="array" ref="AI950">MID(INDEX($AF$265:$AF$272,INT((ROW(A687)-1)/4)+1),MOD(ROW(A687)-1,4)+1,1)</f>
        <v>#REF!</v>
      </c>
      <c r="AK950" s="9">
        <v>13</v>
      </c>
      <c r="AL950" s="4" t="e" cm="1">
        <f t="array" ref="AL950">INDEX($AI$264:$AI$295, INDEX($H$15:$O$18, INT((ROW(A687)-1)/8)+1, MOD(ROW(A687)-1,8)+1))</f>
        <v>#REF!</v>
      </c>
      <c r="AN950" s="2" t="e">
        <f t="shared" ca="1" si="81"/>
        <v>#VALUE!</v>
      </c>
      <c r="AO950" s="2" t="e">
        <f t="shared" si="82"/>
        <v>#REF!</v>
      </c>
    </row>
    <row r="951" spans="2:41" x14ac:dyDescent="0.25">
      <c r="B951" s="2">
        <v>14</v>
      </c>
      <c r="C951" s="2">
        <v>0</v>
      </c>
      <c r="M951" s="9">
        <v>14</v>
      </c>
      <c r="N951" s="4" cm="1">
        <f t="array" ref="N951">INDEX($F$938:$K$945, INT((ROW(A14)-1)/6)+1, MOD(ROW(A750)-1,6)+1)</f>
        <v>0</v>
      </c>
      <c r="P951" s="9">
        <v>4</v>
      </c>
      <c r="Q951" s="4" t="e" cm="1">
        <f t="array" ref="Q951">INDEX($P$264:$U$271, INT((ROW(A678)-1)/6)+1, MOD(ROW(A678)-1,6)+1)</f>
        <v>#REF!</v>
      </c>
      <c r="R951" t="e">
        <f ca="1"/>
        <v>#VALUE!</v>
      </c>
      <c r="S951" t="e">
        <f ca="1"/>
        <v>#VALUE!</v>
      </c>
      <c r="T951" t="e">
        <f ca="1"/>
        <v>#VALUE!</v>
      </c>
      <c r="W951" s="9">
        <v>14</v>
      </c>
      <c r="X951" s="4" t="e">
        <f t="shared" si="77"/>
        <v>#REF!</v>
      </c>
      <c r="AH951" s="9">
        <v>14</v>
      </c>
      <c r="AI951" s="4" t="e" cm="1">
        <f t="array" ref="AI951">MID(INDEX($AF$265:$AF$272,INT((ROW(A688)-1)/4)+1),MOD(ROW(A688)-1,4)+1,1)</f>
        <v>#REF!</v>
      </c>
      <c r="AK951" s="9">
        <v>14</v>
      </c>
      <c r="AL951" s="4" t="e" cm="1">
        <f t="array" ref="AL951">INDEX($AI$264:$AI$295, INDEX($H$15:$O$18, INT((ROW(A688)-1)/8)+1, MOD(ROW(A688)-1,8)+1))</f>
        <v>#REF!</v>
      </c>
      <c r="AN951" s="2" t="e">
        <f t="shared" ca="1" si="81"/>
        <v>#VALUE!</v>
      </c>
      <c r="AO951" s="2" t="e">
        <f t="shared" si="82"/>
        <v>#REF!</v>
      </c>
    </row>
    <row r="952" spans="2:41" x14ac:dyDescent="0.25">
      <c r="B952" s="2">
        <v>15</v>
      </c>
      <c r="C952" s="2">
        <v>0</v>
      </c>
      <c r="M952" s="9">
        <v>15</v>
      </c>
      <c r="N952" s="4" cm="1">
        <f t="array" ref="N952">INDEX($F$938:$K$945, INT((ROW(A15)-1)/6)+1, MOD(ROW(A751)-1,6)+1)</f>
        <v>0</v>
      </c>
      <c r="P952" s="9">
        <v>5</v>
      </c>
      <c r="Q952" s="4" t="e" cm="1">
        <f t="array" ref="Q952">INDEX($P$264:$U$271, INT((ROW(A679)-1)/6)+1, MOD(ROW(A679)-1,6)+1)</f>
        <v>#REF!</v>
      </c>
      <c r="R952" t="e">
        <f ca="1"/>
        <v>#VALUE!</v>
      </c>
      <c r="S952" t="e">
        <f ca="1"/>
        <v>#VALUE!</v>
      </c>
      <c r="T952" t="e">
        <f ca="1"/>
        <v>#VALUE!</v>
      </c>
      <c r="W952" s="9">
        <v>15</v>
      </c>
      <c r="X952" s="4" t="e">
        <f t="shared" si="77"/>
        <v>#REF!</v>
      </c>
      <c r="AH952" s="9">
        <v>15</v>
      </c>
      <c r="AI952" s="4" t="e" cm="1">
        <f t="array" ref="AI952">MID(INDEX($AF$265:$AF$272,INT((ROW(A689)-1)/4)+1),MOD(ROW(A689)-1,4)+1,1)</f>
        <v>#REF!</v>
      </c>
      <c r="AK952" s="9">
        <v>15</v>
      </c>
      <c r="AL952" s="4" t="e" cm="1">
        <f t="array" ref="AL952">INDEX($AI$264:$AI$295, INDEX($H$15:$O$18, INT((ROW(A689)-1)/8)+1, MOD(ROW(A689)-1,8)+1))</f>
        <v>#REF!</v>
      </c>
      <c r="AN952" s="2" t="e">
        <f t="shared" ca="1" si="81"/>
        <v>#VALUE!</v>
      </c>
      <c r="AO952" s="2" t="e">
        <f t="shared" si="82"/>
        <v>#REF!</v>
      </c>
    </row>
    <row r="953" spans="2:41" x14ac:dyDescent="0.25">
      <c r="B953" s="2">
        <v>16</v>
      </c>
      <c r="C953" s="2">
        <v>1</v>
      </c>
      <c r="M953" s="11">
        <v>16</v>
      </c>
      <c r="N953" s="4" cm="1">
        <f t="array" ref="N953">INDEX($F$938:$K$945, INT((ROW(A16)-1)/6)+1, MOD(ROW(A752)-1,6)+1)</f>
        <v>0</v>
      </c>
      <c r="P953" s="9">
        <v>6</v>
      </c>
      <c r="Q953" s="4" t="e" cm="1">
        <f t="array" ref="Q953">INDEX($P$264:$U$271, INT((ROW(A680)-1)/6)+1, MOD(ROW(A680)-1,6)+1)</f>
        <v>#REF!</v>
      </c>
      <c r="R953" t="e">
        <f ca="1"/>
        <v>#VALUE!</v>
      </c>
      <c r="S953" t="e">
        <f ca="1"/>
        <v>#VALUE!</v>
      </c>
      <c r="T953" t="e">
        <f ca="1"/>
        <v>#VALUE!</v>
      </c>
      <c r="W953" s="11">
        <v>16</v>
      </c>
      <c r="X953" s="4" t="e">
        <f t="shared" si="77"/>
        <v>#REF!</v>
      </c>
      <c r="AH953" s="11">
        <v>16</v>
      </c>
      <c r="AI953" s="4" t="e" cm="1">
        <f t="array" ref="AI953">MID(INDEX($AF$265:$AF$272,INT((ROW(A690)-1)/4)+1),MOD(ROW(A690)-1,4)+1,1)</f>
        <v>#REF!</v>
      </c>
      <c r="AK953" s="11">
        <v>16</v>
      </c>
      <c r="AL953" s="4" t="e" cm="1">
        <f t="array" ref="AL953">INDEX($AI$264:$AI$295, INDEX($H$15:$O$18, INT((ROW(A690)-1)/8)+1, MOD(ROW(A690)-1,8)+1))</f>
        <v>#REF!</v>
      </c>
      <c r="AN953" s="2" t="e">
        <f t="shared" ca="1" si="81"/>
        <v>#VALUE!</v>
      </c>
      <c r="AO953" s="2" t="e">
        <f t="shared" si="82"/>
        <v>#REF!</v>
      </c>
    </row>
    <row r="954" spans="2:41" x14ac:dyDescent="0.25">
      <c r="B954" s="2">
        <v>17</v>
      </c>
      <c r="C954" s="2">
        <v>1</v>
      </c>
      <c r="M954" s="7">
        <v>17</v>
      </c>
      <c r="N954" s="4" cm="1">
        <f t="array" ref="N954">INDEX($F$938:$K$945, INT((ROW(A17)-1)/6)+1, MOD(ROW(A753)-1,6)+1)</f>
        <v>1</v>
      </c>
      <c r="P954" s="9">
        <v>7</v>
      </c>
      <c r="Q954" s="4" t="e" cm="1">
        <f t="array" ref="Q954">INDEX($P$264:$U$271, INT((ROW(A681)-1)/6)+1, MOD(ROW(A681)-1,6)+1)</f>
        <v>#REF!</v>
      </c>
      <c r="R954" t="e">
        <f ca="1"/>
        <v>#VALUE!</v>
      </c>
      <c r="S954" t="e">
        <f ca="1"/>
        <v>#VALUE!</v>
      </c>
      <c r="T954" t="e">
        <f ca="1"/>
        <v>#VALUE!</v>
      </c>
      <c r="W954" s="7">
        <v>17</v>
      </c>
      <c r="X954" s="4" t="e">
        <f t="shared" si="77"/>
        <v>#REF!</v>
      </c>
      <c r="AH954" s="7">
        <v>17</v>
      </c>
      <c r="AI954" s="4" t="e" cm="1">
        <f t="array" ref="AI954">MID(INDEX($AF$265:$AF$272,INT((ROW(A691)-1)/4)+1),MOD(ROW(A691)-1,4)+1,1)</f>
        <v>#REF!</v>
      </c>
      <c r="AK954" s="7">
        <v>17</v>
      </c>
      <c r="AL954" s="4" t="e" cm="1">
        <f t="array" ref="AL954">INDEX($AI$264:$AI$295, INDEX($H$15:$O$18, INT((ROW(A691)-1)/8)+1, MOD(ROW(A691)-1,8)+1))</f>
        <v>#REF!</v>
      </c>
      <c r="AN954" s="2" t="e">
        <f t="shared" ca="1" si="81"/>
        <v>#VALUE!</v>
      </c>
      <c r="AO954" s="2" t="e">
        <f t="shared" si="82"/>
        <v>#REF!</v>
      </c>
    </row>
    <row r="955" spans="2:41" x14ac:dyDescent="0.25">
      <c r="B955" s="2">
        <v>18</v>
      </c>
      <c r="C955" s="2">
        <v>0</v>
      </c>
      <c r="M955" s="9">
        <v>18</v>
      </c>
      <c r="N955" s="4" cm="1">
        <f t="array" ref="N955">INDEX($F$938:$K$945, INT((ROW(A18)-1)/6)+1, MOD(ROW(A754)-1,6)+1)</f>
        <v>1</v>
      </c>
      <c r="P955" s="11">
        <v>8</v>
      </c>
      <c r="Q955" s="4" t="e" cm="1">
        <f t="array" ref="Q955">INDEX($P$264:$U$271, INT((ROW(A682)-1)/6)+1, MOD(ROW(A682)-1,6)+1)</f>
        <v>#REF!</v>
      </c>
      <c r="R955" t="e">
        <f ca="1"/>
        <v>#VALUE!</v>
      </c>
      <c r="S955" t="e">
        <f ca="1"/>
        <v>#VALUE!</v>
      </c>
      <c r="T955" t="e">
        <f ca="1"/>
        <v>#VALUE!</v>
      </c>
      <c r="W955" s="9">
        <v>18</v>
      </c>
      <c r="X955" s="4" t="e">
        <f t="shared" si="77"/>
        <v>#REF!</v>
      </c>
      <c r="AH955" s="9">
        <v>18</v>
      </c>
      <c r="AI955" s="4" t="e" cm="1">
        <f t="array" ref="AI955">MID(INDEX($AF$265:$AF$272,INT((ROW(A692)-1)/4)+1),MOD(ROW(A692)-1,4)+1,1)</f>
        <v>#REF!</v>
      </c>
      <c r="AK955" s="9">
        <v>18</v>
      </c>
      <c r="AL955" s="4" t="e" cm="1">
        <f t="array" ref="AL955">INDEX($AI$264:$AI$295, INDEX($H$15:$O$18, INT((ROW(A692)-1)/8)+1, MOD(ROW(A692)-1,8)+1))</f>
        <v>#REF!</v>
      </c>
      <c r="AN955" s="2" t="e">
        <f t="shared" ca="1" si="81"/>
        <v>#VALUE!</v>
      </c>
      <c r="AO955" s="2" t="e">
        <f t="shared" si="82"/>
        <v>#REF!</v>
      </c>
    </row>
    <row r="956" spans="2:41" x14ac:dyDescent="0.25">
      <c r="B956" s="2">
        <v>19</v>
      </c>
      <c r="C956" s="2">
        <v>0</v>
      </c>
      <c r="M956" s="9">
        <v>19</v>
      </c>
      <c r="N956" s="4" cm="1">
        <f t="array" ref="N956">INDEX($F$938:$K$945, INT((ROW(A19)-1)/6)+1, MOD(ROW(A755)-1,6)+1)</f>
        <v>1</v>
      </c>
      <c r="P956" s="7">
        <v>9</v>
      </c>
      <c r="Q956" s="4" t="e" cm="1">
        <f t="array" ref="Q956">INDEX($P$264:$U$271, INT((ROW(A683)-1)/6)+1, MOD(ROW(A683)-1,6)+1)</f>
        <v>#REF!</v>
      </c>
      <c r="R956" t="e">
        <f ca="1"/>
        <v>#VALUE!</v>
      </c>
      <c r="S956" t="e">
        <f ca="1"/>
        <v>#VALUE!</v>
      </c>
      <c r="T956" t="e">
        <f ca="1"/>
        <v>#VALUE!</v>
      </c>
      <c r="W956" s="9">
        <v>19</v>
      </c>
      <c r="X956" s="4" t="e">
        <f t="shared" si="77"/>
        <v>#REF!</v>
      </c>
      <c r="AH956" s="9">
        <v>19</v>
      </c>
      <c r="AI956" s="4" t="e" cm="1">
        <f t="array" ref="AI956">MID(INDEX($AF$265:$AF$272,INT((ROW(A693)-1)/4)+1),MOD(ROW(A693)-1,4)+1,1)</f>
        <v>#REF!</v>
      </c>
      <c r="AK956" s="9">
        <v>19</v>
      </c>
      <c r="AL956" s="4" t="e" cm="1">
        <f t="array" ref="AL956">INDEX($AI$264:$AI$295, INDEX($H$15:$O$18, INT((ROW(A693)-1)/8)+1, MOD(ROW(A693)-1,8)+1))</f>
        <v>#REF!</v>
      </c>
      <c r="AN956" s="2" t="e">
        <f t="shared" ca="1" si="81"/>
        <v>#VALUE!</v>
      </c>
      <c r="AO956" s="2" t="e">
        <f t="shared" si="82"/>
        <v>#REF!</v>
      </c>
    </row>
    <row r="957" spans="2:41" x14ac:dyDescent="0.25">
      <c r="B957" s="2">
        <v>20</v>
      </c>
      <c r="C957" s="2">
        <v>1</v>
      </c>
      <c r="M957" s="9">
        <v>20</v>
      </c>
      <c r="N957" s="4" cm="1">
        <f t="array" ref="N957">INDEX($F$938:$K$945, INT((ROW(A20)-1)/6)+1, MOD(ROW(A756)-1,6)+1)</f>
        <v>1</v>
      </c>
      <c r="P957" s="9">
        <v>10</v>
      </c>
      <c r="Q957" s="4" t="e" cm="1">
        <f t="array" ref="Q957">INDEX($P$264:$U$271, INT((ROW(A684)-1)/6)+1, MOD(ROW(A684)-1,6)+1)</f>
        <v>#REF!</v>
      </c>
      <c r="R957" t="e">
        <f ca="1"/>
        <v>#VALUE!</v>
      </c>
      <c r="S957" t="e">
        <f ca="1"/>
        <v>#VALUE!</v>
      </c>
      <c r="T957" t="e">
        <f ca="1"/>
        <v>#VALUE!</v>
      </c>
      <c r="W957" s="9">
        <v>20</v>
      </c>
      <c r="X957" s="4" t="e">
        <f t="shared" si="77"/>
        <v>#REF!</v>
      </c>
      <c r="AH957" s="9">
        <v>20</v>
      </c>
      <c r="AI957" s="4" t="e" cm="1">
        <f t="array" ref="AI957">MID(INDEX($AF$265:$AF$272,INT((ROW(A694)-1)/4)+1),MOD(ROW(A694)-1,4)+1,1)</f>
        <v>#REF!</v>
      </c>
      <c r="AK957" s="9">
        <v>20</v>
      </c>
      <c r="AL957" s="4" t="e" cm="1">
        <f t="array" ref="AL957">INDEX($AI$264:$AI$295, INDEX($H$15:$O$18, INT((ROW(A694)-1)/8)+1, MOD(ROW(A694)-1,8)+1))</f>
        <v>#REF!</v>
      </c>
      <c r="AN957" s="2" t="e">
        <f t="shared" ca="1" si="81"/>
        <v>#VALUE!</v>
      </c>
      <c r="AO957" s="2" t="e">
        <f t="shared" si="82"/>
        <v>#REF!</v>
      </c>
    </row>
    <row r="958" spans="2:41" x14ac:dyDescent="0.25">
      <c r="B958" s="2">
        <v>21</v>
      </c>
      <c r="C958" s="2">
        <v>0</v>
      </c>
      <c r="M958" s="9">
        <v>21</v>
      </c>
      <c r="N958" s="4" cm="1">
        <f t="array" ref="N958">INDEX($F$938:$K$945, INT((ROW(A21)-1)/6)+1, MOD(ROW(A757)-1,6)+1)</f>
        <v>1</v>
      </c>
      <c r="P958" s="9">
        <v>11</v>
      </c>
      <c r="Q958" s="4" t="e" cm="1">
        <f t="array" ref="Q958">INDEX($P$264:$U$271, INT((ROW(A685)-1)/6)+1, MOD(ROW(A685)-1,6)+1)</f>
        <v>#REF!</v>
      </c>
      <c r="R958" t="e">
        <f ca="1"/>
        <v>#VALUE!</v>
      </c>
      <c r="S958" t="e">
        <f ca="1"/>
        <v>#VALUE!</v>
      </c>
      <c r="T958" t="e">
        <f ca="1"/>
        <v>#VALUE!</v>
      </c>
      <c r="W958" s="9">
        <v>21</v>
      </c>
      <c r="X958" s="4" t="e">
        <f t="shared" si="77"/>
        <v>#REF!</v>
      </c>
      <c r="AH958" s="9">
        <v>21</v>
      </c>
      <c r="AI958" s="4" t="e" cm="1">
        <f t="array" ref="AI958">MID(INDEX($AF$265:$AF$272,INT((ROW(A695)-1)/4)+1),MOD(ROW(A695)-1,4)+1,1)</f>
        <v>#REF!</v>
      </c>
      <c r="AK958" s="9">
        <v>21</v>
      </c>
      <c r="AL958" s="4" t="e" cm="1">
        <f t="array" ref="AL958">INDEX($AI$264:$AI$295, INDEX($H$15:$O$18, INT((ROW(A695)-1)/8)+1, MOD(ROW(A695)-1,8)+1))</f>
        <v>#REF!</v>
      </c>
      <c r="AN958" s="2" t="e">
        <f t="shared" ca="1" si="81"/>
        <v>#VALUE!</v>
      </c>
      <c r="AO958" s="2" t="e">
        <f t="shared" si="82"/>
        <v>#REF!</v>
      </c>
    </row>
    <row r="959" spans="2:41" x14ac:dyDescent="0.25">
      <c r="B959" s="2">
        <v>22</v>
      </c>
      <c r="C959" s="2">
        <v>1</v>
      </c>
      <c r="M959" s="9">
        <v>22</v>
      </c>
      <c r="N959" s="4" cm="1">
        <f t="array" ref="N959">INDEX($F$938:$K$945, INT((ROW(A22)-1)/6)+1, MOD(ROW(A758)-1,6)+1)</f>
        <v>1</v>
      </c>
      <c r="P959" s="9">
        <v>12</v>
      </c>
      <c r="Q959" s="4" t="e" cm="1">
        <f t="array" ref="Q959">INDEX($P$264:$U$271, INT((ROW(A686)-1)/6)+1, MOD(ROW(A686)-1,6)+1)</f>
        <v>#REF!</v>
      </c>
      <c r="R959" t="e">
        <f ca="1"/>
        <v>#VALUE!</v>
      </c>
      <c r="S959" t="e">
        <f ca="1"/>
        <v>#VALUE!</v>
      </c>
      <c r="T959" t="e">
        <f ca="1"/>
        <v>#VALUE!</v>
      </c>
      <c r="W959" s="9">
        <v>22</v>
      </c>
      <c r="X959" s="4" t="e">
        <f t="shared" si="77"/>
        <v>#REF!</v>
      </c>
      <c r="AH959" s="9">
        <v>22</v>
      </c>
      <c r="AI959" s="4" t="e" cm="1">
        <f t="array" ref="AI959">MID(INDEX($AF$265:$AF$272,INT((ROW(A696)-1)/4)+1),MOD(ROW(A696)-1,4)+1,1)</f>
        <v>#REF!</v>
      </c>
      <c r="AK959" s="9">
        <v>22</v>
      </c>
      <c r="AL959" s="4" t="e" cm="1">
        <f t="array" ref="AL959">INDEX($AI$264:$AI$295, INDEX($H$15:$O$18, INT((ROW(A696)-1)/8)+1, MOD(ROW(A696)-1,8)+1))</f>
        <v>#REF!</v>
      </c>
      <c r="AN959" s="2" t="e">
        <f t="shared" ca="1" si="81"/>
        <v>#VALUE!</v>
      </c>
      <c r="AO959" s="2" t="e">
        <f t="shared" si="82"/>
        <v>#REF!</v>
      </c>
    </row>
    <row r="960" spans="2:41" x14ac:dyDescent="0.25">
      <c r="B960" s="2">
        <v>23</v>
      </c>
      <c r="C960" s="2">
        <v>0</v>
      </c>
      <c r="M960" s="9">
        <v>23</v>
      </c>
      <c r="N960" s="4" cm="1">
        <f t="array" ref="N960">INDEX($F$938:$K$945, INT((ROW(A23)-1)/6)+1, MOD(ROW(A759)-1,6)+1)</f>
        <v>0</v>
      </c>
      <c r="P960" s="9">
        <v>13</v>
      </c>
      <c r="Q960" s="4" t="e" cm="1">
        <f t="array" ref="Q960">INDEX($P$264:$U$271, INT((ROW(A687)-1)/6)+1, MOD(ROW(A687)-1,6)+1)</f>
        <v>#REF!</v>
      </c>
      <c r="R960" t="e">
        <f ca="1"/>
        <v>#VALUE!</v>
      </c>
      <c r="S960" t="e">
        <f ca="1"/>
        <v>#VALUE!</v>
      </c>
      <c r="T960" t="e">
        <f ca="1"/>
        <v>#VALUE!</v>
      </c>
      <c r="W960" s="9">
        <v>23</v>
      </c>
      <c r="X960" s="4" t="e">
        <f t="shared" si="77"/>
        <v>#REF!</v>
      </c>
      <c r="AH960" s="9">
        <v>23</v>
      </c>
      <c r="AI960" s="4" t="e" cm="1">
        <f t="array" ref="AI960">MID(INDEX($AF$265:$AF$272,INT((ROW(A697)-1)/4)+1),MOD(ROW(A697)-1,4)+1,1)</f>
        <v>#REF!</v>
      </c>
      <c r="AK960" s="9">
        <v>23</v>
      </c>
      <c r="AL960" s="4" t="e" cm="1">
        <f t="array" ref="AL960">INDEX($AI$264:$AI$295, INDEX($H$15:$O$18, INT((ROW(A697)-1)/8)+1, MOD(ROW(A697)-1,8)+1))</f>
        <v>#REF!</v>
      </c>
      <c r="AN960" s="2" t="e">
        <f t="shared" ca="1" si="81"/>
        <v>#VALUE!</v>
      </c>
      <c r="AO960" s="2" t="e">
        <f t="shared" si="82"/>
        <v>#REF!</v>
      </c>
    </row>
    <row r="961" spans="2:41" x14ac:dyDescent="0.25">
      <c r="B961" s="2">
        <v>24</v>
      </c>
      <c r="C961" s="2">
        <v>1</v>
      </c>
      <c r="M961" s="11">
        <v>24</v>
      </c>
      <c r="N961" s="4" cm="1">
        <f t="array" ref="N961">INDEX($F$938:$K$945, INT((ROW(A24)-1)/6)+1, MOD(ROW(A760)-1,6)+1)</f>
        <v>1</v>
      </c>
      <c r="P961" s="9">
        <v>14</v>
      </c>
      <c r="Q961" s="4" t="e" cm="1">
        <f t="array" ref="Q961">INDEX($P$264:$U$271, INT((ROW(A688)-1)/6)+1, MOD(ROW(A688)-1,6)+1)</f>
        <v>#REF!</v>
      </c>
      <c r="R961" t="e">
        <f ca="1"/>
        <v>#VALUE!</v>
      </c>
      <c r="S961" t="e">
        <f ca="1"/>
        <v>#VALUE!</v>
      </c>
      <c r="T961" t="e">
        <f ca="1"/>
        <v>#VALUE!</v>
      </c>
      <c r="W961" s="11">
        <v>24</v>
      </c>
      <c r="X961" s="4" t="e">
        <f t="shared" si="77"/>
        <v>#REF!</v>
      </c>
      <c r="AH961" s="11">
        <v>24</v>
      </c>
      <c r="AI961" s="4" t="e" cm="1">
        <f t="array" ref="AI961">MID(INDEX($AF$265:$AF$272,INT((ROW(A698)-1)/4)+1),MOD(ROW(A698)-1,4)+1,1)</f>
        <v>#REF!</v>
      </c>
      <c r="AK961" s="11">
        <v>24</v>
      </c>
      <c r="AL961" s="4" t="e" cm="1">
        <f t="array" ref="AL961">INDEX($AI$264:$AI$295, INDEX($H$15:$O$18, INT((ROW(A698)-1)/8)+1, MOD(ROW(A698)-1,8)+1))</f>
        <v>#REF!</v>
      </c>
      <c r="AN961" s="2" t="e">
        <f t="shared" ca="1" si="81"/>
        <v>#VALUE!</v>
      </c>
      <c r="AO961" s="2" t="e">
        <f t="shared" si="82"/>
        <v>#REF!</v>
      </c>
    </row>
    <row r="962" spans="2:41" x14ac:dyDescent="0.25">
      <c r="B962" s="2">
        <v>25</v>
      </c>
      <c r="C962" s="2">
        <v>0</v>
      </c>
      <c r="M962" s="7">
        <v>25</v>
      </c>
      <c r="N962" s="4" cm="1">
        <f t="array" ref="N962">INDEX($F$938:$K$945, INT((ROW(A25)-1)/6)+1, MOD(ROW(A761)-1,6)+1)</f>
        <v>0</v>
      </c>
      <c r="P962" s="9">
        <v>15</v>
      </c>
      <c r="Q962" s="4" t="e" cm="1">
        <f t="array" ref="Q962">INDEX($P$264:$U$271, INT((ROW(A689)-1)/6)+1, MOD(ROW(A689)-1,6)+1)</f>
        <v>#REF!</v>
      </c>
      <c r="R962" t="e">
        <f ca="1"/>
        <v>#VALUE!</v>
      </c>
      <c r="S962" t="e">
        <f ca="1"/>
        <v>#VALUE!</v>
      </c>
      <c r="T962" t="e">
        <f ca="1"/>
        <v>#VALUE!</v>
      </c>
      <c r="W962" s="7">
        <v>25</v>
      </c>
      <c r="X962" s="4" t="e">
        <f t="shared" si="77"/>
        <v>#REF!</v>
      </c>
      <c r="AH962" s="7">
        <v>25</v>
      </c>
      <c r="AI962" s="4" t="e" cm="1">
        <f t="array" ref="AI962">MID(INDEX($AF$265:$AF$272,INT((ROW(A699)-1)/4)+1),MOD(ROW(A699)-1,4)+1,1)</f>
        <v>#REF!</v>
      </c>
      <c r="AK962" s="7">
        <v>25</v>
      </c>
      <c r="AL962" s="4" t="e" cm="1">
        <f t="array" ref="AL962">INDEX($AI$264:$AI$295, INDEX($H$15:$O$18, INT((ROW(A699)-1)/8)+1, MOD(ROW(A699)-1,8)+1))</f>
        <v>#REF!</v>
      </c>
      <c r="AN962" s="2" t="e">
        <f t="shared" ca="1" si="81"/>
        <v>#VALUE!</v>
      </c>
      <c r="AO962" s="2" t="e">
        <f t="shared" si="82"/>
        <v>#REF!</v>
      </c>
    </row>
    <row r="963" spans="2:41" x14ac:dyDescent="0.25">
      <c r="B963" s="2">
        <v>26</v>
      </c>
      <c r="C963" s="2">
        <v>1</v>
      </c>
      <c r="M963" s="9">
        <v>26</v>
      </c>
      <c r="N963" s="4" cm="1">
        <f t="array" ref="N963">INDEX($F$938:$K$945, INT((ROW(A26)-1)/6)+1, MOD(ROW(A762)-1,6)+1)</f>
        <v>0</v>
      </c>
      <c r="P963" s="11">
        <v>16</v>
      </c>
      <c r="Q963" s="4" t="e" cm="1">
        <f t="array" ref="Q963">INDEX($P$264:$U$271, INT((ROW(A690)-1)/6)+1, MOD(ROW(A690)-1,6)+1)</f>
        <v>#REF!</v>
      </c>
      <c r="R963" t="e">
        <f ca="1"/>
        <v>#VALUE!</v>
      </c>
      <c r="S963" t="e">
        <f ca="1"/>
        <v>#VALUE!</v>
      </c>
      <c r="T963" t="e">
        <f ca="1"/>
        <v>#VALUE!</v>
      </c>
      <c r="W963" s="9">
        <v>26</v>
      </c>
      <c r="X963" s="4" t="e">
        <f t="shared" si="77"/>
        <v>#REF!</v>
      </c>
      <c r="AH963" s="9">
        <v>26</v>
      </c>
      <c r="AI963" s="4" t="e" cm="1">
        <f t="array" ref="AI963">MID(INDEX($AF$265:$AF$272,INT((ROW(A700)-1)/4)+1),MOD(ROW(A700)-1,4)+1,1)</f>
        <v>#REF!</v>
      </c>
      <c r="AK963" s="9">
        <v>26</v>
      </c>
      <c r="AL963" s="4" t="e" cm="1">
        <f t="array" ref="AL963">INDEX($AI$264:$AI$295, INDEX($H$15:$O$18, INT((ROW(A700)-1)/8)+1, MOD(ROW(A700)-1,8)+1))</f>
        <v>#REF!</v>
      </c>
      <c r="AN963" s="2" t="e">
        <f t="shared" ca="1" si="81"/>
        <v>#VALUE!</v>
      </c>
      <c r="AO963" s="2" t="e">
        <f t="shared" si="82"/>
        <v>#REF!</v>
      </c>
    </row>
    <row r="964" spans="2:41" x14ac:dyDescent="0.25">
      <c r="B964" s="2">
        <v>27</v>
      </c>
      <c r="C964" s="2">
        <v>0</v>
      </c>
      <c r="M964" s="9">
        <v>27</v>
      </c>
      <c r="N964" s="4" cm="1">
        <f t="array" ref="N964">INDEX($F$938:$K$945, INT((ROW(A27)-1)/6)+1, MOD(ROW(A763)-1,6)+1)</f>
        <v>1</v>
      </c>
      <c r="P964" s="7">
        <v>17</v>
      </c>
      <c r="Q964" s="4" t="e" cm="1">
        <f t="array" ref="Q964">INDEX($P$264:$U$271, INT((ROW(A691)-1)/6)+1, MOD(ROW(A691)-1,6)+1)</f>
        <v>#REF!</v>
      </c>
      <c r="R964" t="e">
        <f ca="1"/>
        <v>#VALUE!</v>
      </c>
      <c r="S964" t="e">
        <f ca="1"/>
        <v>#VALUE!</v>
      </c>
      <c r="T964" t="e">
        <f ca="1"/>
        <v>#VALUE!</v>
      </c>
      <c r="W964" s="9">
        <v>27</v>
      </c>
      <c r="X964" s="4" t="e">
        <f t="shared" si="77"/>
        <v>#REF!</v>
      </c>
      <c r="AH964" s="9">
        <v>27</v>
      </c>
      <c r="AI964" s="4" t="e" cm="1">
        <f t="array" ref="AI964">MID(INDEX($AF$265:$AF$272,INT((ROW(A701)-1)/4)+1),MOD(ROW(A701)-1,4)+1,1)</f>
        <v>#REF!</v>
      </c>
      <c r="AK964" s="9">
        <v>27</v>
      </c>
      <c r="AL964" s="4" t="e" cm="1">
        <f t="array" ref="AL964">INDEX($AI$264:$AI$295, INDEX($H$15:$O$18, INT((ROW(A701)-1)/8)+1, MOD(ROW(A701)-1,8)+1))</f>
        <v>#REF!</v>
      </c>
      <c r="AN964" s="2" t="e">
        <f t="shared" ca="1" si="81"/>
        <v>#VALUE!</v>
      </c>
      <c r="AO964" s="2" t="e">
        <f t="shared" si="82"/>
        <v>#REF!</v>
      </c>
    </row>
    <row r="965" spans="2:41" x14ac:dyDescent="0.25">
      <c r="B965" s="2">
        <v>28</v>
      </c>
      <c r="C965" s="2">
        <v>1</v>
      </c>
      <c r="M965" s="9">
        <v>28</v>
      </c>
      <c r="N965" s="4" cm="1">
        <f t="array" ref="N965">INDEX($F$938:$K$945, INT((ROW(A28)-1)/6)+1, MOD(ROW(A764)-1,6)+1)</f>
        <v>0</v>
      </c>
      <c r="P965" s="9">
        <v>18</v>
      </c>
      <c r="Q965" s="4" t="e" cm="1">
        <f t="array" ref="Q965">INDEX($P$264:$U$271, INT((ROW(A692)-1)/6)+1, MOD(ROW(A692)-1,6)+1)</f>
        <v>#REF!</v>
      </c>
      <c r="R965" t="e">
        <f ca="1"/>
        <v>#VALUE!</v>
      </c>
      <c r="S965" t="e">
        <f ca="1"/>
        <v>#VALUE!</v>
      </c>
      <c r="T965" t="e">
        <f ca="1"/>
        <v>#VALUE!</v>
      </c>
      <c r="W965" s="9">
        <v>28</v>
      </c>
      <c r="X965" s="4" t="e">
        <f t="shared" si="77"/>
        <v>#REF!</v>
      </c>
      <c r="AH965" s="9">
        <v>28</v>
      </c>
      <c r="AI965" s="4" t="e" cm="1">
        <f t="array" ref="AI965">MID(INDEX($AF$265:$AF$272,INT((ROW(A702)-1)/4)+1),MOD(ROW(A702)-1,4)+1,1)</f>
        <v>#REF!</v>
      </c>
      <c r="AK965" s="9">
        <v>28</v>
      </c>
      <c r="AL965" s="4" t="e" cm="1">
        <f t="array" ref="AL965">INDEX($AI$264:$AI$295, INDEX($H$15:$O$18, INT((ROW(A702)-1)/8)+1, MOD(ROW(A702)-1,8)+1))</f>
        <v>#REF!</v>
      </c>
      <c r="AN965" s="2" t="e">
        <f t="shared" ca="1" si="81"/>
        <v>#VALUE!</v>
      </c>
      <c r="AO965" s="2" t="e">
        <f t="shared" si="82"/>
        <v>#REF!</v>
      </c>
    </row>
    <row r="966" spans="2:41" x14ac:dyDescent="0.25">
      <c r="B966" s="2">
        <v>29</v>
      </c>
      <c r="C966" s="2">
        <v>0</v>
      </c>
      <c r="M966" s="9">
        <v>29</v>
      </c>
      <c r="N966" s="4" cm="1">
        <f t="array" ref="N966">INDEX($F$938:$K$945, INT((ROW(A29)-1)/6)+1, MOD(ROW(A765)-1,6)+1)</f>
        <v>0</v>
      </c>
      <c r="P966" s="9">
        <v>19</v>
      </c>
      <c r="Q966" s="4" t="e" cm="1">
        <f t="array" ref="Q966">INDEX($P$264:$U$271, INT((ROW(A693)-1)/6)+1, MOD(ROW(A693)-1,6)+1)</f>
        <v>#REF!</v>
      </c>
      <c r="R966" t="e">
        <f ca="1"/>
        <v>#VALUE!</v>
      </c>
      <c r="S966" t="e">
        <f ca="1"/>
        <v>#VALUE!</v>
      </c>
      <c r="T966" t="e">
        <f ca="1"/>
        <v>#VALUE!</v>
      </c>
      <c r="W966" s="9">
        <v>29</v>
      </c>
      <c r="X966" s="4" t="e">
        <f t="shared" si="77"/>
        <v>#REF!</v>
      </c>
      <c r="AH966" s="9">
        <v>29</v>
      </c>
      <c r="AI966" s="4" t="e" cm="1">
        <f t="array" ref="AI966">MID(INDEX($AF$265:$AF$272,INT((ROW(A703)-1)/4)+1),MOD(ROW(A703)-1,4)+1,1)</f>
        <v>#REF!</v>
      </c>
      <c r="AK966" s="9">
        <v>29</v>
      </c>
      <c r="AL966" s="4" t="e" cm="1">
        <f t="array" ref="AL966">INDEX($AI$264:$AI$295, INDEX($H$15:$O$18, INT((ROW(A703)-1)/8)+1, MOD(ROW(A703)-1,8)+1))</f>
        <v>#REF!</v>
      </c>
      <c r="AN966" s="2" t="e">
        <f t="shared" ca="1" si="81"/>
        <v>#VALUE!</v>
      </c>
      <c r="AO966" s="2" t="e">
        <f t="shared" si="82"/>
        <v>#REF!</v>
      </c>
    </row>
    <row r="967" spans="2:41" x14ac:dyDescent="0.25">
      <c r="B967" s="2">
        <v>30</v>
      </c>
      <c r="C967" s="2">
        <v>1</v>
      </c>
      <c r="M967" s="9">
        <v>30</v>
      </c>
      <c r="N967" s="4" cm="1">
        <f t="array" ref="N967">INDEX($F$938:$K$945, INT((ROW(A30)-1)/6)+1, MOD(ROW(A766)-1,6)+1)</f>
        <v>0</v>
      </c>
      <c r="P967" s="9">
        <v>20</v>
      </c>
      <c r="Q967" s="4" t="e" cm="1">
        <f t="array" ref="Q967">INDEX($P$264:$U$271, INT((ROW(A694)-1)/6)+1, MOD(ROW(A694)-1,6)+1)</f>
        <v>#REF!</v>
      </c>
      <c r="R967" t="e">
        <f ca="1"/>
        <v>#VALUE!</v>
      </c>
      <c r="S967" t="e">
        <f ca="1"/>
        <v>#VALUE!</v>
      </c>
      <c r="T967" t="e">
        <f ca="1"/>
        <v>#VALUE!</v>
      </c>
      <c r="W967" s="9">
        <v>30</v>
      </c>
      <c r="X967" s="4" t="e">
        <f t="shared" si="77"/>
        <v>#REF!</v>
      </c>
      <c r="AH967" s="9">
        <v>30</v>
      </c>
      <c r="AI967" s="4" t="e" cm="1">
        <f t="array" ref="AI967">MID(INDEX($AF$265:$AF$272,INT((ROW(A704)-1)/4)+1),MOD(ROW(A704)-1,4)+1,1)</f>
        <v>#REF!</v>
      </c>
      <c r="AK967" s="9">
        <v>30</v>
      </c>
      <c r="AL967" s="4" t="e" cm="1">
        <f t="array" ref="AL967">INDEX($AI$264:$AI$295, INDEX($H$15:$O$18, INT((ROW(A704)-1)/8)+1, MOD(ROW(A704)-1,8)+1))</f>
        <v>#REF!</v>
      </c>
      <c r="AN967" s="2" t="e">
        <f t="shared" ca="1" si="81"/>
        <v>#VALUE!</v>
      </c>
      <c r="AO967" s="2" t="e">
        <f t="shared" si="82"/>
        <v>#REF!</v>
      </c>
    </row>
    <row r="968" spans="2:41" x14ac:dyDescent="0.25">
      <c r="B968" s="2">
        <v>31</v>
      </c>
      <c r="C968" s="2">
        <v>0</v>
      </c>
      <c r="M968" s="9">
        <v>31</v>
      </c>
      <c r="N968" s="4" cm="1">
        <f t="array" ref="N968">INDEX($F$938:$K$945, INT((ROW(A31)-1)/6)+1, MOD(ROW(A767)-1,6)+1)</f>
        <v>0</v>
      </c>
      <c r="P968" s="9">
        <v>21</v>
      </c>
      <c r="Q968" s="4" t="e" cm="1">
        <f t="array" ref="Q968">INDEX($P$264:$U$271, INT((ROW(A695)-1)/6)+1, MOD(ROW(A695)-1,6)+1)</f>
        <v>#REF!</v>
      </c>
      <c r="R968" t="e">
        <f ca="1"/>
        <v>#VALUE!</v>
      </c>
      <c r="S968" t="e">
        <f ca="1"/>
        <v>#VALUE!</v>
      </c>
      <c r="T968" t="e">
        <f ca="1"/>
        <v>#VALUE!</v>
      </c>
      <c r="W968" s="9">
        <v>31</v>
      </c>
      <c r="X968" s="4" t="e">
        <f t="shared" si="77"/>
        <v>#REF!</v>
      </c>
      <c r="AH968" s="9">
        <v>31</v>
      </c>
      <c r="AI968" s="4" t="e" cm="1">
        <f t="array" ref="AI968">MID(INDEX($AF$265:$AF$272,INT((ROW(A705)-1)/4)+1),MOD(ROW(A705)-1,4)+1,1)</f>
        <v>#REF!</v>
      </c>
      <c r="AK968" s="9">
        <v>31</v>
      </c>
      <c r="AL968" s="4" t="e" cm="1">
        <f t="array" ref="AL968">INDEX($AI$264:$AI$295, INDEX($H$15:$O$18, INT((ROW(A705)-1)/8)+1, MOD(ROW(A705)-1,8)+1))</f>
        <v>#REF!</v>
      </c>
      <c r="AN968" s="2" t="e">
        <f t="shared" ca="1" si="81"/>
        <v>#VALUE!</v>
      </c>
      <c r="AO968" s="2" t="e">
        <f t="shared" si="82"/>
        <v>#REF!</v>
      </c>
    </row>
    <row r="969" spans="2:41" x14ac:dyDescent="0.25">
      <c r="B969" s="2">
        <v>32</v>
      </c>
      <c r="C969" s="2">
        <v>1</v>
      </c>
      <c r="M969" s="11">
        <v>32</v>
      </c>
      <c r="N969" s="4" cm="1">
        <f t="array" ref="N969">INDEX($F$938:$K$945, INT((ROW(A32)-1)/6)+1, MOD(ROW(A768)-1,6)+1)</f>
        <v>1</v>
      </c>
      <c r="P969" s="9">
        <v>22</v>
      </c>
      <c r="Q969" s="4" t="e" cm="1">
        <f t="array" ref="Q969">INDEX($P$264:$U$271, INT((ROW(A696)-1)/6)+1, MOD(ROW(A696)-1,6)+1)</f>
        <v>#REF!</v>
      </c>
      <c r="R969" t="e">
        <f ca="1"/>
        <v>#VALUE!</v>
      </c>
      <c r="S969" t="e">
        <f ca="1"/>
        <v>#VALUE!</v>
      </c>
      <c r="T969" t="e">
        <f ca="1"/>
        <v>#VALUE!</v>
      </c>
      <c r="W969" s="11">
        <v>32</v>
      </c>
      <c r="X969" s="4" t="e">
        <f t="shared" si="77"/>
        <v>#REF!</v>
      </c>
      <c r="AH969" s="11">
        <v>32</v>
      </c>
      <c r="AI969" s="4" t="e" cm="1">
        <f t="array" ref="AI969">MID(INDEX($AF$265:$AF$272,INT((ROW(A706)-1)/4)+1),MOD(ROW(A706)-1,4)+1,1)</f>
        <v>#REF!</v>
      </c>
      <c r="AK969" s="11">
        <v>32</v>
      </c>
      <c r="AL969" s="4" t="e" cm="1">
        <f t="array" ref="AL969">INDEX($AI$264:$AI$295, INDEX($H$15:$O$18, INT((ROW(A706)-1)/8)+1, MOD(ROW(A706)-1,8)+1))</f>
        <v>#REF!</v>
      </c>
      <c r="AN969" s="2" t="e">
        <f t="shared" ca="1" si="81"/>
        <v>#VALUE!</v>
      </c>
      <c r="AO969" s="2" t="e">
        <f t="shared" si="82"/>
        <v>#REF!</v>
      </c>
    </row>
    <row r="970" spans="2:41" x14ac:dyDescent="0.25">
      <c r="B970" s="2">
        <v>33</v>
      </c>
      <c r="C970" s="2">
        <v>0</v>
      </c>
      <c r="M970" s="7">
        <v>33</v>
      </c>
      <c r="N970" s="4" cm="1">
        <f t="array" ref="N970">INDEX($F$938:$K$945, INT((ROW(A33)-1)/6)+1, MOD(ROW(A769)-1,6)+1)</f>
        <v>1</v>
      </c>
      <c r="P970" s="9">
        <v>23</v>
      </c>
      <c r="Q970" s="4" t="e" cm="1">
        <f t="array" ref="Q970">INDEX($P$264:$U$271, INT((ROW(A697)-1)/6)+1, MOD(ROW(A697)-1,6)+1)</f>
        <v>#REF!</v>
      </c>
      <c r="R970" t="e">
        <f ca="1"/>
        <v>#VALUE!</v>
      </c>
      <c r="S970" t="e">
        <f ca="1"/>
        <v>#VALUE!</v>
      </c>
      <c r="T970" t="e">
        <f ca="1"/>
        <v>#VALUE!</v>
      </c>
      <c r="W970" s="7">
        <v>33</v>
      </c>
      <c r="X970" s="4" t="e">
        <f t="shared" si="77"/>
        <v>#REF!</v>
      </c>
      <c r="AN970" s="2" t="e">
        <f t="shared" ca="1" si="81"/>
        <v>#VALUE!</v>
      </c>
      <c r="AO970" s="2" t="e">
        <f t="shared" si="82"/>
        <v>#REF!</v>
      </c>
    </row>
    <row r="971" spans="2:41" x14ac:dyDescent="0.25">
      <c r="B971" s="2">
        <v>34</v>
      </c>
      <c r="C971" s="2">
        <v>1</v>
      </c>
      <c r="M971" s="9">
        <v>34</v>
      </c>
      <c r="N971" s="4" cm="1">
        <f t="array" ref="N971">INDEX($F$938:$K$945, INT((ROW(A34)-1)/6)+1, MOD(ROW(A770)-1,6)+1)</f>
        <v>1</v>
      </c>
      <c r="P971" s="11">
        <v>24</v>
      </c>
      <c r="Q971" s="4" t="e" cm="1">
        <f t="array" ref="Q971">INDEX($P$264:$U$271, INT((ROW(A698)-1)/6)+1, MOD(ROW(A698)-1,6)+1)</f>
        <v>#REF!</v>
      </c>
      <c r="R971" t="e">
        <f ca="1"/>
        <v>#VALUE!</v>
      </c>
      <c r="S971" t="e">
        <f ca="1"/>
        <v>#VALUE!</v>
      </c>
      <c r="T971" t="e">
        <f ca="1"/>
        <v>#VALUE!</v>
      </c>
      <c r="W971" s="9">
        <v>34</v>
      </c>
      <c r="X971" s="4" t="e">
        <f t="shared" si="77"/>
        <v>#REF!</v>
      </c>
    </row>
    <row r="972" spans="2:41" x14ac:dyDescent="0.25">
      <c r="B972" s="2">
        <v>35</v>
      </c>
      <c r="C972" s="2">
        <v>0</v>
      </c>
      <c r="M972" s="9">
        <v>35</v>
      </c>
      <c r="N972" s="4" cm="1">
        <f t="array" ref="N972">INDEX($F$938:$K$945, INT((ROW(A35)-1)/6)+1, MOD(ROW(A771)-1,6)+1)</f>
        <v>1</v>
      </c>
      <c r="P972" s="7">
        <v>25</v>
      </c>
      <c r="Q972" s="4" t="e" cm="1">
        <f t="array" ref="Q972">INDEX($P$264:$U$271, INT((ROW(A699)-1)/6)+1, MOD(ROW(A699)-1,6)+1)</f>
        <v>#REF!</v>
      </c>
      <c r="R972" t="e">
        <f ca="1"/>
        <v>#VALUE!</v>
      </c>
      <c r="S972" t="e">
        <f ca="1"/>
        <v>#VALUE!</v>
      </c>
      <c r="T972" t="e">
        <f ca="1"/>
        <v>#VALUE!</v>
      </c>
      <c r="W972" s="9">
        <v>35</v>
      </c>
      <c r="X972" s="4" t="e">
        <f t="shared" si="77"/>
        <v>#REF!</v>
      </c>
    </row>
    <row r="973" spans="2:41" x14ac:dyDescent="0.25">
      <c r="B973" s="2">
        <v>36</v>
      </c>
      <c r="C973" s="2">
        <v>1</v>
      </c>
      <c r="M973" s="9">
        <v>36</v>
      </c>
      <c r="N973" s="4" cm="1">
        <f t="array" ref="N973">INDEX($F$938:$K$945, INT((ROW(A36)-1)/6)+1, MOD(ROW(A772)-1,6)+1)</f>
        <v>1</v>
      </c>
      <c r="P973" s="9">
        <v>26</v>
      </c>
      <c r="Q973" s="4" t="e" cm="1">
        <f t="array" ref="Q973">INDEX($P$264:$U$271, INT((ROW(A700)-1)/6)+1, MOD(ROW(A700)-1,6)+1)</f>
        <v>#REF!</v>
      </c>
      <c r="R973" t="e">
        <f ca="1"/>
        <v>#VALUE!</v>
      </c>
      <c r="S973" t="e">
        <f ca="1"/>
        <v>#VALUE!</v>
      </c>
      <c r="T973" t="e">
        <f ca="1"/>
        <v>#VALUE!</v>
      </c>
      <c r="W973" s="9">
        <v>36</v>
      </c>
      <c r="X973" s="4" t="e">
        <f t="shared" si="77"/>
        <v>#REF!</v>
      </c>
    </row>
    <row r="974" spans="2:41" x14ac:dyDescent="0.25">
      <c r="B974" s="2">
        <v>37</v>
      </c>
      <c r="C974" s="2">
        <v>0</v>
      </c>
      <c r="M974" s="9">
        <v>37</v>
      </c>
      <c r="N974" s="4" cm="1">
        <f t="array" ref="N974">INDEX($F$938:$K$945, INT((ROW(A37)-1)/6)+1, MOD(ROW(A773)-1,6)+1)</f>
        <v>1</v>
      </c>
      <c r="P974" s="9">
        <v>27</v>
      </c>
      <c r="Q974" s="4" t="e" cm="1">
        <f t="array" ref="Q974">INDEX($P$264:$U$271, INT((ROW(A701)-1)/6)+1, MOD(ROW(A701)-1,6)+1)</f>
        <v>#REF!</v>
      </c>
      <c r="R974" t="e">
        <f ca="1"/>
        <v>#VALUE!</v>
      </c>
      <c r="S974" t="e">
        <f ca="1"/>
        <v>#VALUE!</v>
      </c>
      <c r="T974" t="e">
        <f ca="1"/>
        <v>#VALUE!</v>
      </c>
      <c r="W974" s="9">
        <v>37</v>
      </c>
      <c r="X974" s="4" t="e">
        <f t="shared" si="77"/>
        <v>#REF!</v>
      </c>
    </row>
    <row r="975" spans="2:41" x14ac:dyDescent="0.25">
      <c r="B975" s="2">
        <v>38</v>
      </c>
      <c r="C975" s="2">
        <v>1</v>
      </c>
      <c r="M975" s="9">
        <v>38</v>
      </c>
      <c r="N975" s="4" cm="1">
        <f t="array" ref="N975">INDEX($F$938:$K$945, INT((ROW(A38)-1)/6)+1, MOD(ROW(A774)-1,6)+1)</f>
        <v>0</v>
      </c>
      <c r="P975" s="9">
        <v>28</v>
      </c>
      <c r="Q975" s="4" t="e" cm="1">
        <f t="array" ref="Q975">INDEX($P$264:$U$271, INT((ROW(A702)-1)/6)+1, MOD(ROW(A702)-1,6)+1)</f>
        <v>#REF!</v>
      </c>
      <c r="R975" t="e">
        <f ca="1"/>
        <v>#VALUE!</v>
      </c>
      <c r="S975" t="e">
        <f ca="1"/>
        <v>#VALUE!</v>
      </c>
      <c r="T975" t="e">
        <f ca="1"/>
        <v>#VALUE!</v>
      </c>
      <c r="W975" s="9">
        <v>38</v>
      </c>
      <c r="X975" s="4" t="e">
        <f t="shared" si="77"/>
        <v>#REF!</v>
      </c>
    </row>
    <row r="976" spans="2:41" x14ac:dyDescent="0.25">
      <c r="B976" s="2">
        <v>39</v>
      </c>
      <c r="C976" s="2">
        <v>0</v>
      </c>
      <c r="M976" s="9">
        <v>39</v>
      </c>
      <c r="N976" s="4" cm="1">
        <f t="array" ref="N976">INDEX($F$938:$K$945, INT((ROW(A39)-1)/6)+1, MOD(ROW(A775)-1,6)+1)</f>
        <v>1</v>
      </c>
      <c r="P976" s="9">
        <v>29</v>
      </c>
      <c r="Q976" s="4" t="e" cm="1">
        <f t="array" ref="Q976">INDEX($P$264:$U$271, INT((ROW(A703)-1)/6)+1, MOD(ROW(A703)-1,6)+1)</f>
        <v>#REF!</v>
      </c>
      <c r="R976" t="e">
        <f ca="1"/>
        <v>#VALUE!</v>
      </c>
      <c r="S976" t="e">
        <f ca="1"/>
        <v>#VALUE!</v>
      </c>
      <c r="T976" t="e">
        <f ca="1"/>
        <v>#VALUE!</v>
      </c>
      <c r="W976" s="9">
        <v>39</v>
      </c>
      <c r="X976" s="4" t="e">
        <f t="shared" si="77"/>
        <v>#REF!</v>
      </c>
    </row>
    <row r="977" spans="2:24" x14ac:dyDescent="0.25">
      <c r="B977" s="2">
        <v>40</v>
      </c>
      <c r="C977" s="2">
        <v>1</v>
      </c>
      <c r="M977" s="11">
        <v>40</v>
      </c>
      <c r="N977" s="4" cm="1">
        <f t="array" ref="N977">INDEX($F$938:$K$945, INT((ROW(A40)-1)/6)+1, MOD(ROW(A776)-1,6)+1)</f>
        <v>1</v>
      </c>
      <c r="P977" s="9">
        <v>30</v>
      </c>
      <c r="Q977" s="4" t="e" cm="1">
        <f t="array" ref="Q977">INDEX($P$264:$U$271, INT((ROW(A704)-1)/6)+1, MOD(ROW(A704)-1,6)+1)</f>
        <v>#REF!</v>
      </c>
      <c r="W977" s="11">
        <v>40</v>
      </c>
      <c r="X977" s="4" t="e">
        <f t="shared" si="77"/>
        <v>#REF!</v>
      </c>
    </row>
    <row r="978" spans="2:24" x14ac:dyDescent="0.25">
      <c r="B978" s="2">
        <v>41</v>
      </c>
      <c r="C978" s="2">
        <v>1</v>
      </c>
      <c r="M978" s="7">
        <v>41</v>
      </c>
      <c r="N978" s="4" cm="1">
        <f t="array" ref="N978">INDEX($F$938:$K$945, INT((ROW(A41)-1)/6)+1, MOD(ROW(A777)-1,6)+1)</f>
        <v>0</v>
      </c>
      <c r="P978" s="9">
        <v>31</v>
      </c>
      <c r="Q978" s="4" t="e" cm="1">
        <f t="array" ref="Q978">INDEX($P$264:$U$271, INT((ROW(A705)-1)/6)+1, MOD(ROW(A705)-1,6)+1)</f>
        <v>#REF!</v>
      </c>
      <c r="W978" s="7">
        <v>41</v>
      </c>
      <c r="X978" s="4" t="e">
        <f t="shared" si="77"/>
        <v>#REF!</v>
      </c>
    </row>
    <row r="979" spans="2:24" x14ac:dyDescent="0.25">
      <c r="B979" s="2">
        <v>42</v>
      </c>
      <c r="C979" s="2">
        <v>0</v>
      </c>
      <c r="M979" s="9">
        <v>42</v>
      </c>
      <c r="N979" s="4" cm="1">
        <f t="array" ref="N979">INDEX($F$938:$K$945, INT((ROW(A42)-1)/6)+1, MOD(ROW(A778)-1,6)+1)</f>
        <v>1</v>
      </c>
      <c r="P979" s="11">
        <v>32</v>
      </c>
      <c r="Q979" s="4" t="e" cm="1">
        <f t="array" ref="Q979">INDEX($P$264:$U$271, INT((ROW(A706)-1)/6)+1, MOD(ROW(A706)-1,6)+1)</f>
        <v>#REF!</v>
      </c>
      <c r="W979" s="9">
        <v>42</v>
      </c>
      <c r="X979" s="4" t="e">
        <f t="shared" si="77"/>
        <v>#REF!</v>
      </c>
    </row>
    <row r="980" spans="2:24" x14ac:dyDescent="0.25">
      <c r="B980" s="2">
        <v>43</v>
      </c>
      <c r="C980" s="2">
        <v>0</v>
      </c>
      <c r="M980" s="9">
        <v>43</v>
      </c>
      <c r="N980" s="4" cm="1">
        <f t="array" ref="N980">INDEX($F$938:$K$945, INT((ROW(A43)-1)/6)+1, MOD(ROW(A779)-1,6)+1)</f>
        <v>0</v>
      </c>
      <c r="P980" s="7">
        <v>33</v>
      </c>
      <c r="Q980" s="4" t="e" cm="1">
        <f t="array" ref="Q980">INDEX($P$264:$U$271, INT((ROW(A707)-1)/6)+1, MOD(ROW(A707)-1,6)+1)</f>
        <v>#REF!</v>
      </c>
      <c r="W980" s="9">
        <v>43</v>
      </c>
      <c r="X980" s="4" t="e">
        <f t="shared" si="77"/>
        <v>#REF!</v>
      </c>
    </row>
    <row r="981" spans="2:24" x14ac:dyDescent="0.25">
      <c r="B981" s="2">
        <v>44</v>
      </c>
      <c r="C981" s="2">
        <v>1</v>
      </c>
      <c r="M981" s="9">
        <v>44</v>
      </c>
      <c r="N981" s="4" cm="1">
        <f t="array" ref="N981">INDEX($F$938:$K$945, INT((ROW(A44)-1)/6)+1, MOD(ROW(A780)-1,6)+1)</f>
        <v>1</v>
      </c>
      <c r="P981" s="9">
        <v>34</v>
      </c>
      <c r="Q981" s="4" t="e" cm="1">
        <f t="array" ref="Q981">INDEX($P$264:$U$271, INT((ROW(A708)-1)/6)+1, MOD(ROW(A708)-1,6)+1)</f>
        <v>#REF!</v>
      </c>
      <c r="W981" s="9">
        <v>44</v>
      </c>
      <c r="X981" s="4" t="e">
        <f t="shared" si="77"/>
        <v>#REF!</v>
      </c>
    </row>
    <row r="982" spans="2:24" x14ac:dyDescent="0.25">
      <c r="B982" s="2">
        <v>45</v>
      </c>
      <c r="C982" s="2">
        <v>1</v>
      </c>
      <c r="M982" s="9">
        <v>45</v>
      </c>
      <c r="N982" s="4" cm="1">
        <f t="array" ref="N982">INDEX($F$938:$K$945, INT((ROW(A45)-1)/6)+1, MOD(ROW(A781)-1,6)+1)</f>
        <v>0</v>
      </c>
      <c r="P982" s="9">
        <v>35</v>
      </c>
      <c r="Q982" s="4" t="e" cm="1">
        <f t="array" ref="Q982">INDEX($P$264:$U$271, INT((ROW(A709)-1)/6)+1, MOD(ROW(A709)-1,6)+1)</f>
        <v>#REF!</v>
      </c>
      <c r="W982" s="9">
        <v>45</v>
      </c>
      <c r="X982" s="4" t="e">
        <f t="shared" si="77"/>
        <v>#REF!</v>
      </c>
    </row>
    <row r="983" spans="2:24" x14ac:dyDescent="0.25">
      <c r="B983" s="2">
        <v>46</v>
      </c>
      <c r="C983" s="2">
        <v>0</v>
      </c>
      <c r="M983" s="9">
        <v>46</v>
      </c>
      <c r="N983" s="4" cm="1">
        <f t="array" ref="N983">INDEX($F$938:$K$945, INT((ROW(A46)-1)/6)+1, MOD(ROW(A782)-1,6)+1)</f>
        <v>0</v>
      </c>
      <c r="P983" s="9">
        <v>36</v>
      </c>
      <c r="Q983" s="4" t="e" cm="1">
        <f t="array" ref="Q983">INDEX($P$264:$U$271, INT((ROW(A710)-1)/6)+1, MOD(ROW(A710)-1,6)+1)</f>
        <v>#REF!</v>
      </c>
      <c r="W983" s="9">
        <v>46</v>
      </c>
      <c r="X983" s="4" t="e">
        <f t="shared" si="77"/>
        <v>#REF!</v>
      </c>
    </row>
    <row r="984" spans="2:24" x14ac:dyDescent="0.25">
      <c r="B984" s="2">
        <v>47</v>
      </c>
      <c r="C984" s="2">
        <v>0</v>
      </c>
      <c r="M984" s="9">
        <v>47</v>
      </c>
      <c r="N984" s="4" cm="1">
        <f t="array" ref="N984">INDEX($F$938:$K$945, INT((ROW(A47)-1)/6)+1, MOD(ROW(A783)-1,6)+1)</f>
        <v>1</v>
      </c>
      <c r="P984" s="9">
        <v>37</v>
      </c>
      <c r="Q984" s="4" t="e" cm="1">
        <f t="array" ref="Q984">INDEX($P$264:$U$271, INT((ROW(A711)-1)/6)+1, MOD(ROW(A711)-1,6)+1)</f>
        <v>#REF!</v>
      </c>
      <c r="W984" s="9">
        <v>47</v>
      </c>
      <c r="X984" s="4" t="e">
        <f t="shared" si="77"/>
        <v>#REF!</v>
      </c>
    </row>
    <row r="985" spans="2:24" x14ac:dyDescent="0.25">
      <c r="B985" s="2">
        <v>48</v>
      </c>
      <c r="C985" s="2">
        <v>1</v>
      </c>
      <c r="M985" s="11">
        <v>48</v>
      </c>
      <c r="N985" s="4" cm="1">
        <f t="array" ref="N985">INDEX($F$938:$K$945, INT((ROW(A48)-1)/6)+1, MOD(ROW(A784)-1,6)+1)</f>
        <v>1</v>
      </c>
      <c r="P985" s="9">
        <v>38</v>
      </c>
      <c r="Q985" s="4" t="e" cm="1">
        <f t="array" ref="Q985">INDEX($P$264:$U$271, INT((ROW(A712)-1)/6)+1, MOD(ROW(A712)-1,6)+1)</f>
        <v>#REF!</v>
      </c>
      <c r="W985" s="11">
        <v>48</v>
      </c>
      <c r="X985" s="4" t="e">
        <f t="shared" si="77"/>
        <v>#REF!</v>
      </c>
    </row>
    <row r="986" spans="2:24" x14ac:dyDescent="0.25">
      <c r="B986" s="2">
        <v>49</v>
      </c>
      <c r="C986" s="2">
        <v>1</v>
      </c>
      <c r="P986" s="9">
        <v>39</v>
      </c>
      <c r="Q986" s="4" t="e" cm="1">
        <f t="array" ref="Q986">INDEX($P$264:$U$271, INT((ROW(A713)-1)/6)+1, MOD(ROW(A713)-1,6)+1)</f>
        <v>#REF!</v>
      </c>
    </row>
    <row r="987" spans="2:24" x14ac:dyDescent="0.25">
      <c r="B987" s="2">
        <v>50</v>
      </c>
      <c r="C987" s="2">
        <v>1</v>
      </c>
      <c r="P987" s="11">
        <v>40</v>
      </c>
      <c r="Q987" s="4" t="e" cm="1">
        <f t="array" ref="Q987">INDEX($P$264:$U$271, INT((ROW(A714)-1)/6)+1, MOD(ROW(A714)-1,6)+1)</f>
        <v>#REF!</v>
      </c>
    </row>
    <row r="988" spans="2:24" x14ac:dyDescent="0.25">
      <c r="B988" s="2">
        <v>51</v>
      </c>
      <c r="C988" s="2">
        <v>1</v>
      </c>
      <c r="P988" s="7">
        <v>41</v>
      </c>
      <c r="Q988" s="4" t="e" cm="1">
        <f t="array" ref="Q988">INDEX($P$264:$U$271, INT((ROW(A715)-1)/6)+1, MOD(ROW(A715)-1,6)+1)</f>
        <v>#REF!</v>
      </c>
    </row>
    <row r="989" spans="2:24" x14ac:dyDescent="0.25">
      <c r="B989" s="2">
        <v>52</v>
      </c>
      <c r="C989" s="2">
        <v>0</v>
      </c>
      <c r="P989" s="9">
        <v>42</v>
      </c>
      <c r="Q989" s="4" t="e" cm="1">
        <f t="array" ref="Q989">INDEX($P$264:$U$271, INT((ROW(A716)-1)/6)+1, MOD(ROW(A716)-1,6)+1)</f>
        <v>#REF!</v>
      </c>
    </row>
    <row r="990" spans="2:24" x14ac:dyDescent="0.25">
      <c r="B990" s="2">
        <v>53</v>
      </c>
      <c r="C990" s="2">
        <v>0</v>
      </c>
      <c r="P990" s="9">
        <v>43</v>
      </c>
      <c r="Q990" s="4" t="e" cm="1">
        <f t="array" ref="Q990">INDEX($P$264:$U$271, INT((ROW(A717)-1)/6)+1, MOD(ROW(A717)-1,6)+1)</f>
        <v>#REF!</v>
      </c>
    </row>
    <row r="991" spans="2:24" x14ac:dyDescent="0.25">
      <c r="B991" s="2">
        <v>54</v>
      </c>
      <c r="C991" s="2">
        <v>0</v>
      </c>
      <c r="P991" s="9">
        <v>44</v>
      </c>
      <c r="Q991" s="4" t="e" cm="1">
        <f t="array" ref="Q991">INDEX($P$264:$U$271, INT((ROW(A718)-1)/6)+1, MOD(ROW(A718)-1,6)+1)</f>
        <v>#REF!</v>
      </c>
    </row>
    <row r="992" spans="2:24" x14ac:dyDescent="0.25">
      <c r="B992" s="2">
        <v>55</v>
      </c>
      <c r="C992" s="2">
        <v>0</v>
      </c>
      <c r="P992" s="9">
        <v>45</v>
      </c>
      <c r="Q992" s="4" t="e" cm="1">
        <f t="array" ref="Q992">INDEX($P$264:$U$271, INT((ROW(A719)-1)/6)+1, MOD(ROW(A719)-1,6)+1)</f>
        <v>#REF!</v>
      </c>
    </row>
    <row r="993" spans="2:41" x14ac:dyDescent="0.25">
      <c r="B993" s="2">
        <v>56</v>
      </c>
      <c r="C993" s="2">
        <v>1</v>
      </c>
      <c r="P993" s="9">
        <v>46</v>
      </c>
      <c r="Q993" s="4" t="e" cm="1">
        <f t="array" ref="Q993">INDEX($P$264:$U$271, INT((ROW(A720)-1)/6)+1, MOD(ROW(A720)-1,6)+1)</f>
        <v>#REF!</v>
      </c>
    </row>
    <row r="994" spans="2:41" x14ac:dyDescent="0.25">
      <c r="P994" s="9">
        <v>47</v>
      </c>
      <c r="Q994" s="4" t="e" cm="1">
        <f t="array" ref="Q994">INDEX($P$264:$U$271, INT((ROW(A721)-1)/6)+1, MOD(ROW(A721)-1,6)+1)</f>
        <v>#REF!</v>
      </c>
    </row>
    <row r="995" spans="2:41" x14ac:dyDescent="0.25">
      <c r="P995" s="11">
        <v>48</v>
      </c>
      <c r="Q995" s="4" t="e" cm="1">
        <f t="array" ref="Q995">INDEX($P$264:$U$271, INT((ROW(A722)-1)/6)+1, MOD(ROW(A722)-1,6)+1)</f>
        <v>#REF!</v>
      </c>
    </row>
    <row r="996" spans="2:41" x14ac:dyDescent="0.25">
      <c r="B996" t="s">
        <v>68</v>
      </c>
    </row>
    <row r="998" spans="2:41" x14ac:dyDescent="0.25">
      <c r="B998" s="2" t="s">
        <v>3</v>
      </c>
      <c r="C998" s="2" t="s">
        <v>69</v>
      </c>
      <c r="F998" s="39" t="s">
        <v>23</v>
      </c>
      <c r="G998" s="40"/>
      <c r="H998" s="40"/>
      <c r="I998" s="40"/>
      <c r="J998" s="40"/>
      <c r="K998" s="41"/>
      <c r="M998" s="37" t="s">
        <v>70</v>
      </c>
      <c r="N998" s="43"/>
      <c r="P998" s="39" t="s">
        <v>93</v>
      </c>
      <c r="Q998" s="40"/>
      <c r="R998" s="40"/>
      <c r="S998" s="40"/>
      <c r="T998" s="40"/>
      <c r="U998" s="41"/>
      <c r="W998" s="2" t="s">
        <v>3</v>
      </c>
      <c r="X998" s="18" t="s">
        <v>95</v>
      </c>
      <c r="Z998" s="42" t="s">
        <v>77</v>
      </c>
      <c r="AA998" s="42" t="s">
        <v>74</v>
      </c>
      <c r="AB998" s="42"/>
      <c r="AC998" s="42" t="s">
        <v>75</v>
      </c>
      <c r="AD998" s="42" t="s">
        <v>76</v>
      </c>
      <c r="AE998" s="36" t="s">
        <v>78</v>
      </c>
      <c r="AF998" s="36" t="s">
        <v>79</v>
      </c>
      <c r="AH998" s="37" t="s">
        <v>96</v>
      </c>
      <c r="AI998" s="38"/>
      <c r="AK998" s="37" t="s">
        <v>97</v>
      </c>
      <c r="AL998" s="38"/>
      <c r="AN998" s="36" t="s">
        <v>98</v>
      </c>
      <c r="AO998" s="36"/>
    </row>
    <row r="999" spans="2:41" x14ac:dyDescent="0.25">
      <c r="B999" s="2">
        <v>1</v>
      </c>
      <c r="C999" s="2">
        <v>1</v>
      </c>
      <c r="F999" s="15" cm="1">
        <f t="array" ref="F999">INDEX($C$999:$C$1054, H41)</f>
        <v>1</v>
      </c>
      <c r="G999" s="15" cm="1">
        <f t="array" ref="G999">INDEX($C$999:$C$1054, I41)</f>
        <v>0</v>
      </c>
      <c r="H999" s="15" cm="1">
        <f t="array" ref="H999">INDEX($C$999:$C$1054, J41)</f>
        <v>1</v>
      </c>
      <c r="I999" s="15" cm="1">
        <f t="array" ref="I999">INDEX($C$999:$C$1054, K41)</f>
        <v>1</v>
      </c>
      <c r="J999" s="15" cm="1">
        <f t="array" ref="J999">INDEX($C$999:$C$1054, L41)</f>
        <v>1</v>
      </c>
      <c r="K999" s="15" cm="1">
        <f t="array" ref="K999">INDEX($C$999:$C$1054, M41)</f>
        <v>1</v>
      </c>
      <c r="M999" s="7">
        <v>1</v>
      </c>
      <c r="N999" s="4" cm="1">
        <f t="array" ref="N999">INDEX($F$999:$K$1006, INT((ROW(A1)-1)/6)+1, MOD(ROW(A798)-1,6)+1)</f>
        <v>1</v>
      </c>
      <c r="P999" s="15" t="e" cm="1" vm="1">
        <f t="array" aca="1" ref="P999" ca="1">INDEX($AO$204:$AO$235, H786)</f>
        <v>#VALUE!</v>
      </c>
      <c r="Q999" s="15" t="e" cm="1" vm="1">
        <f t="array" aca="1" ref="Q999" ca="1">INDEX($AO$204:$AO$235, I786)</f>
        <v>#VALUE!</v>
      </c>
      <c r="R999" s="15" t="e" cm="1" vm="1">
        <f t="array" aca="1" ref="R999" ca="1">INDEX($AO$204:$AO$235, J786)</f>
        <v>#VALUE!</v>
      </c>
      <c r="S999" s="15" t="e" cm="1" vm="1">
        <f t="array" aca="1" ref="S999" ca="1">INDEX($AO$204:$AO$235, K786)</f>
        <v>#VALUE!</v>
      </c>
      <c r="T999" s="15" t="e" cm="1" vm="1">
        <f t="array" aca="1" ref="T999" ca="1">INDEX($AO$204:$AO$235, L786)</f>
        <v>#VALUE!</v>
      </c>
      <c r="U999" s="15" t="e" cm="1">
        <f t="array" ref="U999">INDEX($AO$204:$AO$235, M786)</f>
        <v>#REF!</v>
      </c>
      <c r="W999" s="7">
        <v>1</v>
      </c>
      <c r="X999" s="4" t="e">
        <f>_xlfn.BITXOR(Q1009, N999)</f>
        <v>#REF!</v>
      </c>
      <c r="Z999" s="42"/>
      <c r="AA999" s="42"/>
      <c r="AB999" s="42"/>
      <c r="AC999" s="42"/>
      <c r="AD999" s="42"/>
      <c r="AE999" s="36"/>
      <c r="AF999" s="36"/>
      <c r="AH999" s="7">
        <v>1</v>
      </c>
      <c r="AI999" s="4" t="e" cm="1">
        <f t="array" ref="AI999">MID(INDEX($AF$265:$AF$272,INT((ROW(A736)-1)/4)+1),MOD(ROW(A736)-1,4)+1,1)</f>
        <v>#REF!</v>
      </c>
      <c r="AK999" s="7">
        <v>1</v>
      </c>
      <c r="AL999" s="4" t="e" cm="1">
        <f t="array" ref="AL999">INDEX($AI$264:$AI$295, INDEX($H$15:$O$18, INT((ROW(A736)-1)/8)+1, MOD(ROW(A736)-1,8)+1))</f>
        <v>#REF!</v>
      </c>
      <c r="AN999" s="2" t="s">
        <v>99</v>
      </c>
      <c r="AO999" s="31" t="s">
        <v>101</v>
      </c>
    </row>
    <row r="1000" spans="2:41" x14ac:dyDescent="0.25">
      <c r="B1000" s="2">
        <v>2</v>
      </c>
      <c r="C1000" s="2">
        <v>1</v>
      </c>
      <c r="F1000" s="15" cm="1">
        <f t="array" ref="F1000">INDEX($C$999:$C$1054, H42)</f>
        <v>1</v>
      </c>
      <c r="G1000" s="15" cm="1">
        <f t="array" ref="G1000">INDEX($C$999:$C$1054, I42)</f>
        <v>1</v>
      </c>
      <c r="H1000" s="15" cm="1">
        <f t="array" ref="H1000">INDEX($C$999:$C$1054, J42)</f>
        <v>1</v>
      </c>
      <c r="I1000" s="15" cm="1">
        <f t="array" ref="I1000">INDEX($C$999:$C$1054, K42)</f>
        <v>0</v>
      </c>
      <c r="J1000" s="15" cm="1">
        <f t="array" ref="J1000">INDEX($C$999:$C$1054, L42)</f>
        <v>0</v>
      </c>
      <c r="K1000" s="15" cm="1">
        <f t="array" ref="K1000">INDEX($C$999:$C$1054, M42)</f>
        <v>1</v>
      </c>
      <c r="M1000" s="9">
        <v>2</v>
      </c>
      <c r="N1000" s="4" cm="1">
        <f t="array" ref="N1000">INDEX($F$999:$K$1006, INT((ROW(A2)-1)/6)+1, MOD(ROW(A799)-1,6)+1)</f>
        <v>1</v>
      </c>
      <c r="P1000" s="15" t="e" cm="1" vm="1">
        <f t="array" aca="1" ref="P1000" ca="1">INDEX($AO$204:$AO$235, H787)</f>
        <v>#VALUE!</v>
      </c>
      <c r="Q1000" s="15" t="e" cm="1" vm="1">
        <f t="array" aca="1" ref="Q1000" ca="1">INDEX($AO$204:$AO$235, I787)</f>
        <v>#VALUE!</v>
      </c>
      <c r="R1000" s="15" t="e" cm="1" vm="1">
        <f t="array" aca="1" ref="R1000" ca="1">INDEX($AO$204:$AO$235, J787)</f>
        <v>#VALUE!</v>
      </c>
      <c r="S1000" s="15" t="e" cm="1" vm="1">
        <f t="array" aca="1" ref="S1000" ca="1">INDEX($AO$204:$AO$235, K787)</f>
        <v>#VALUE!</v>
      </c>
      <c r="T1000" s="15" t="e" cm="1" vm="1">
        <f t="array" aca="1" ref="T1000" ca="1">INDEX($AO$204:$AO$235, L787)</f>
        <v>#VALUE!</v>
      </c>
      <c r="U1000" s="15" t="e" cm="1">
        <f t="array" ref="U1000">INDEX($AO$204:$AO$235, M787)</f>
        <v>#REF!</v>
      </c>
      <c r="W1000" s="9">
        <v>2</v>
      </c>
      <c r="X1000" s="4" t="e">
        <f t="shared" ref="X1000:X1046" si="83">_xlfn.BITXOR(Q1010, N1000)</f>
        <v>#REF!</v>
      </c>
      <c r="Z1000" s="32">
        <v>1</v>
      </c>
      <c r="AA1000" s="34" t="e">
        <f>_xlfn.TEXTJOIN("", TRUE, INDEX($X$264:$X$311, (ROW(A736)-1)*6+1) : INDEX($X$264:$X$311, (ROW(A736)-1)*6+6))</f>
        <v>#REF!</v>
      </c>
      <c r="AB1000" s="35"/>
      <c r="AC1000" s="32" t="e">
        <f>BIN2DEC(LEFT(AA1000,1) &amp; RIGHT(AA1000,1))</f>
        <v>#REF!</v>
      </c>
      <c r="AD1000" s="31" t="e">
        <f>BIN2DEC(MID(AA1000,2,4))</f>
        <v>#REF!</v>
      </c>
      <c r="AE1000" s="31" t="e" cm="1">
        <f t="array" aca="1" ref="AE1000" ca="1">INDEX(OFFSET('[1]S-box'!$A$2, (Z1000-1)*6, 0, 4, 16), AC1000+1, AD1000+1)</f>
        <v>#VALUE!</v>
      </c>
      <c r="AF1000" s="33" t="e">
        <f ca="1">DEC2BIN(AE1000, 4)</f>
        <v>#VALUE!</v>
      </c>
      <c r="AH1000" s="9">
        <v>2</v>
      </c>
      <c r="AI1000" s="4" t="e" cm="1">
        <f t="array" ref="AI1000">MID(INDEX($AF$265:$AF$272,INT((ROW(A737)-1)/4)+1),MOD(ROW(A737)-1,4)+1,1)</f>
        <v>#REF!</v>
      </c>
      <c r="AK1000" s="9">
        <v>2</v>
      </c>
      <c r="AL1000" s="4" t="e" cm="1">
        <f t="array" ref="AL1000">INDEX($AI$264:$AI$295, INDEX($H$15:$O$18, INT((ROW(A737)-1)/8)+1, MOD(ROW(A737)-1,8)+1))</f>
        <v>#REF!</v>
      </c>
      <c r="AN1000" s="2">
        <f>_xlfn.BITXOR(T813, AE938)</f>
        <v>0</v>
      </c>
      <c r="AO1000" s="2" t="e">
        <f>_xlfn.BITXOR(N999, AL999)</f>
        <v>#REF!</v>
      </c>
    </row>
    <row r="1001" spans="2:41" x14ac:dyDescent="0.25">
      <c r="B1001" s="2">
        <v>3</v>
      </c>
      <c r="C1001" s="2">
        <v>1</v>
      </c>
      <c r="F1001" s="15" cm="1">
        <f t="array" ref="F1001">INDEX($C$999:$C$1054, H43)</f>
        <v>0</v>
      </c>
      <c r="G1001" s="15" cm="1">
        <f t="array" ref="G1001">INDEX($C$999:$C$1054, I43)</f>
        <v>0</v>
      </c>
      <c r="H1001" s="15" cm="1">
        <f t="array" ref="H1001">INDEX($C$999:$C$1054, J43)</f>
        <v>0</v>
      </c>
      <c r="I1001" s="15" cm="1">
        <f t="array" ref="I1001">INDEX($C$999:$C$1054, K43)</f>
        <v>1</v>
      </c>
      <c r="J1001" s="15" cm="1">
        <f t="array" ref="J1001">INDEX($C$999:$C$1054, L43)</f>
        <v>1</v>
      </c>
      <c r="K1001" s="15" cm="1">
        <f t="array" ref="K1001">INDEX($C$999:$C$1054, M43)</f>
        <v>0</v>
      </c>
      <c r="M1001" s="9">
        <v>3</v>
      </c>
      <c r="N1001" s="4" cm="1">
        <f t="array" ref="N1001">INDEX($F$999:$K$1006, INT((ROW(A3)-1)/6)+1, MOD(ROW(A800)-1,6)+1)</f>
        <v>0</v>
      </c>
      <c r="P1001" s="15" t="e" cm="1" vm="1">
        <f t="array" aca="1" ref="P1001" ca="1">INDEX($AO$204:$AO$235, H788)</f>
        <v>#VALUE!</v>
      </c>
      <c r="Q1001" s="15" t="e" cm="1" vm="1">
        <f t="array" aca="1" ref="Q1001" ca="1">INDEX($AO$204:$AO$235, I788)</f>
        <v>#VALUE!</v>
      </c>
      <c r="R1001" s="15" t="e" cm="1" vm="1">
        <f t="array" aca="1" ref="R1001" ca="1">INDEX($AO$204:$AO$235, J788)</f>
        <v>#VALUE!</v>
      </c>
      <c r="S1001" s="15" t="e" cm="1" vm="1">
        <f t="array" aca="1" ref="S1001" ca="1">INDEX($AO$204:$AO$235, K788)</f>
        <v>#VALUE!</v>
      </c>
      <c r="T1001" s="15" t="e" cm="1" vm="1">
        <f t="array" aca="1" ref="T1001" ca="1">INDEX($AO$204:$AO$235, L788)</f>
        <v>#VALUE!</v>
      </c>
      <c r="U1001" s="15" t="e" cm="1">
        <f t="array" ref="U1001">INDEX($AO$204:$AO$235, M788)</f>
        <v>#REF!</v>
      </c>
      <c r="W1001" s="9">
        <v>3</v>
      </c>
      <c r="X1001" s="4" t="e">
        <f t="shared" si="83"/>
        <v>#REF!</v>
      </c>
      <c r="Z1001" s="32">
        <v>2</v>
      </c>
      <c r="AA1001" s="34" t="e">
        <f>_xlfn.TEXTJOIN("", TRUE, INDEX($X$264:$X$311, (ROW(A737)-1)*6+1) : INDEX($X$264:$X$311, (ROW(A737)-1)*6+6))</f>
        <v>#REF!</v>
      </c>
      <c r="AB1001" s="35"/>
      <c r="AC1001" s="32" t="e">
        <f t="shared" ref="AC1001:AC1007" si="84">BIN2DEC(LEFT(AA1001,1) &amp; RIGHT(AA1001,1))</f>
        <v>#REF!</v>
      </c>
      <c r="AD1001" s="31" t="e">
        <f t="shared" ref="AD1001:AD1007" si="85">BIN2DEC(MID(AA1001,2,4))</f>
        <v>#REF!</v>
      </c>
      <c r="AE1001" s="31" t="e" cm="1">
        <f t="array" aca="1" ref="AE1001" ca="1">INDEX(OFFSET('[1]S-box'!$A$2, (Z1001-1)*6, 0, 4, 16), AC1001+1, AD1001+1)</f>
        <v>#VALUE!</v>
      </c>
      <c r="AF1001" s="33" t="e">
        <f t="shared" ref="AF1001:AF1007" ca="1" si="86">DEC2BIN(AE1001, 4)</f>
        <v>#VALUE!</v>
      </c>
      <c r="AH1001" s="9">
        <v>3</v>
      </c>
      <c r="AI1001" s="4" t="e" cm="1">
        <f t="array" ref="AI1001">MID(INDEX($AF$265:$AF$272,INT((ROW(A738)-1)/4)+1),MOD(ROW(A738)-1,4)+1,1)</f>
        <v>#REF!</v>
      </c>
      <c r="AK1001" s="9">
        <v>3</v>
      </c>
      <c r="AL1001" s="4" t="e" cm="1">
        <f t="array" ref="AL1001">INDEX($AI$264:$AI$295, INDEX($H$15:$O$18, INT((ROW(A738)-1)/8)+1, MOD(ROW(A738)-1,8)+1))</f>
        <v>#REF!</v>
      </c>
      <c r="AN1001" s="2" t="e">
        <f t="shared" ref="AN1001:AN1031" ca="1" si="87">_xlfn.BITXOR(T814, AE939)</f>
        <v>#VALUE!</v>
      </c>
      <c r="AO1001" s="2" t="e">
        <f t="shared" ref="AO1001:AO1031" si="88">_xlfn.BITXOR(N1000, AL1000)</f>
        <v>#REF!</v>
      </c>
    </row>
    <row r="1002" spans="2:41" x14ac:dyDescent="0.25">
      <c r="B1002" s="2">
        <v>4</v>
      </c>
      <c r="C1002" s="2">
        <v>1</v>
      </c>
      <c r="F1002" s="15" cm="1">
        <f t="array" ref="F1002">INDEX($C$999:$C$1054, H44)</f>
        <v>0</v>
      </c>
      <c r="G1002" s="15" cm="1">
        <f t="array" ref="G1002">INDEX($C$999:$C$1054, I44)</f>
        <v>0</v>
      </c>
      <c r="H1002" s="15" cm="1">
        <f t="array" ref="H1002">INDEX($C$999:$C$1054, J44)</f>
        <v>0</v>
      </c>
      <c r="I1002" s="15" cm="1">
        <f t="array" ref="I1002">INDEX($C$999:$C$1054, K44)</f>
        <v>1</v>
      </c>
      <c r="J1002" s="15" cm="1">
        <f t="array" ref="J1002">INDEX($C$999:$C$1054, L44)</f>
        <v>0</v>
      </c>
      <c r="K1002" s="15" cm="1">
        <f t="array" ref="K1002">INDEX($C$999:$C$1054, M44)</f>
        <v>1</v>
      </c>
      <c r="M1002" s="9">
        <v>4</v>
      </c>
      <c r="N1002" s="4" cm="1">
        <f t="array" ref="N1002">INDEX($F$999:$K$1006, INT((ROW(A4)-1)/6)+1, MOD(ROW(A801)-1,6)+1)</f>
        <v>1</v>
      </c>
      <c r="P1002" s="15" t="e" cm="1" vm="1">
        <f t="array" aca="1" ref="P1002" ca="1">INDEX($AO$204:$AO$235, H789)</f>
        <v>#VALUE!</v>
      </c>
      <c r="Q1002" s="15" t="e" cm="1" vm="1">
        <f t="array" aca="1" ref="Q1002" ca="1">INDEX($AO$204:$AO$235, I789)</f>
        <v>#VALUE!</v>
      </c>
      <c r="R1002" s="15" t="e" cm="1" vm="1">
        <f t="array" aca="1" ref="R1002" ca="1">INDEX($AO$204:$AO$235, J789)</f>
        <v>#VALUE!</v>
      </c>
      <c r="S1002" s="15" t="e" cm="1" vm="1">
        <f t="array" aca="1" ref="S1002" ca="1">INDEX($AO$204:$AO$235, K789)</f>
        <v>#VALUE!</v>
      </c>
      <c r="T1002" s="15" t="e" cm="1" vm="1">
        <f t="array" aca="1" ref="T1002" ca="1">INDEX($AO$204:$AO$235, L789)</f>
        <v>#VALUE!</v>
      </c>
      <c r="U1002" s="15" t="e" cm="1">
        <f t="array" ref="U1002">INDEX($AO$204:$AO$235, M789)</f>
        <v>#REF!</v>
      </c>
      <c r="W1002" s="9">
        <v>4</v>
      </c>
      <c r="X1002" s="4" t="e">
        <f t="shared" si="83"/>
        <v>#REF!</v>
      </c>
      <c r="Z1002" s="32">
        <v>3</v>
      </c>
      <c r="AA1002" s="34" t="e">
        <f>_xlfn.TEXTJOIN("", TRUE, INDEX($X$264:$X$311, (ROW(A738)-1)*6+1) : INDEX($X$264:$X$311, (ROW(A738)-1)*6+6))</f>
        <v>#REF!</v>
      </c>
      <c r="AB1002" s="35"/>
      <c r="AC1002" s="32" t="e">
        <f t="shared" si="84"/>
        <v>#REF!</v>
      </c>
      <c r="AD1002" s="31" t="e">
        <f t="shared" si="85"/>
        <v>#REF!</v>
      </c>
      <c r="AE1002" s="31" t="e" cm="1">
        <f t="array" aca="1" ref="AE1002" ca="1">INDEX(OFFSET('[1]S-box'!$A$2, (Z1002-1)*6, 0, 4, 16), AC1002+1, AD1002+1)</f>
        <v>#VALUE!</v>
      </c>
      <c r="AF1002" s="33" t="e">
        <f t="shared" ca="1" si="86"/>
        <v>#VALUE!</v>
      </c>
      <c r="AH1002" s="9">
        <v>4</v>
      </c>
      <c r="AI1002" s="4" t="e" cm="1">
        <f t="array" ref="AI1002">MID(INDEX($AF$265:$AF$272,INT((ROW(A739)-1)/4)+1),MOD(ROW(A739)-1,4)+1,1)</f>
        <v>#REF!</v>
      </c>
      <c r="AK1002" s="9">
        <v>4</v>
      </c>
      <c r="AL1002" s="4" t="e" cm="1">
        <f t="array" ref="AL1002">INDEX($AI$264:$AI$295, INDEX($H$15:$O$18, INT((ROW(A739)-1)/8)+1, MOD(ROW(A739)-1,8)+1))</f>
        <v>#REF!</v>
      </c>
      <c r="AN1002" s="2" t="e">
        <f t="shared" ca="1" si="87"/>
        <v>#VALUE!</v>
      </c>
      <c r="AO1002" s="2" t="e">
        <f t="shared" si="88"/>
        <v>#REF!</v>
      </c>
    </row>
    <row r="1003" spans="2:41" x14ac:dyDescent="0.25">
      <c r="B1003" s="2">
        <v>5</v>
      </c>
      <c r="C1003" s="2">
        <v>1</v>
      </c>
      <c r="F1003" s="15" cm="1">
        <f t="array" ref="F1003">INDEX($C$999:$C$1054, H45)</f>
        <v>0</v>
      </c>
      <c r="G1003" s="15" cm="1">
        <f t="array" ref="G1003">INDEX($C$999:$C$1054, I45)</f>
        <v>0</v>
      </c>
      <c r="H1003" s="15" cm="1">
        <f t="array" ref="H1003">INDEX($C$999:$C$1054, J45)</f>
        <v>0</v>
      </c>
      <c r="I1003" s="15" cm="1">
        <f t="array" ref="I1003">INDEX($C$999:$C$1054, K45)</f>
        <v>0</v>
      </c>
      <c r="J1003" s="15" cm="1">
        <f t="array" ref="J1003">INDEX($C$999:$C$1054, L45)</f>
        <v>1</v>
      </c>
      <c r="K1003" s="15" cm="1">
        <f t="array" ref="K1003">INDEX($C$999:$C$1054, M45)</f>
        <v>0</v>
      </c>
      <c r="M1003" s="9">
        <v>5</v>
      </c>
      <c r="N1003" s="4" cm="1">
        <f t="array" ref="N1003">INDEX($F$999:$K$1006, INT((ROW(A5)-1)/6)+1, MOD(ROW(A802)-1,6)+1)</f>
        <v>1</v>
      </c>
      <c r="P1003" s="15" t="e" cm="1" vm="1">
        <f t="array" aca="1" ref="P1003" ca="1">INDEX($AO$204:$AO$235, H790)</f>
        <v>#VALUE!</v>
      </c>
      <c r="Q1003" s="15" t="e" cm="1" vm="1">
        <f t="array" aca="1" ref="Q1003" ca="1">INDEX($AO$204:$AO$235, I790)</f>
        <v>#VALUE!</v>
      </c>
      <c r="R1003" s="15" t="e" cm="1" vm="1">
        <f t="array" aca="1" ref="R1003" ca="1">INDEX($AO$204:$AO$235, J790)</f>
        <v>#VALUE!</v>
      </c>
      <c r="S1003" s="15" t="e" cm="1" vm="1">
        <f t="array" aca="1" ref="S1003" ca="1">INDEX($AO$204:$AO$235, K790)</f>
        <v>#VALUE!</v>
      </c>
      <c r="T1003" s="15" t="e" cm="1" vm="1">
        <f t="array" aca="1" ref="T1003" ca="1">INDEX($AO$204:$AO$235, L790)</f>
        <v>#VALUE!</v>
      </c>
      <c r="U1003" s="15" t="e" cm="1">
        <f t="array" ref="U1003">INDEX($AO$204:$AO$235, M790)</f>
        <v>#REF!</v>
      </c>
      <c r="W1003" s="9">
        <v>5</v>
      </c>
      <c r="X1003" s="4" t="e">
        <f t="shared" si="83"/>
        <v>#REF!</v>
      </c>
      <c r="Z1003" s="32">
        <v>4</v>
      </c>
      <c r="AA1003" s="34" t="e">
        <f>_xlfn.TEXTJOIN("", TRUE, INDEX($X$264:$X$311, (ROW(A739)-1)*6+1) : INDEX($X$264:$X$311, (ROW(A739)-1)*6+6))</f>
        <v>#REF!</v>
      </c>
      <c r="AB1003" s="35"/>
      <c r="AC1003" s="32" t="e">
        <f t="shared" si="84"/>
        <v>#REF!</v>
      </c>
      <c r="AD1003" s="31" t="e">
        <f t="shared" si="85"/>
        <v>#REF!</v>
      </c>
      <c r="AE1003" s="31" t="e" cm="1">
        <f t="array" aca="1" ref="AE1003" ca="1">INDEX(OFFSET('[1]S-box'!$A$2, (Z1003-1)*6, 0, 4, 16), AC1003+1, AD1003+1)</f>
        <v>#VALUE!</v>
      </c>
      <c r="AF1003" s="33" t="e">
        <f t="shared" ca="1" si="86"/>
        <v>#VALUE!</v>
      </c>
      <c r="AH1003" s="9">
        <v>5</v>
      </c>
      <c r="AI1003" s="4" t="e" cm="1">
        <f t="array" ref="AI1003">MID(INDEX($AF$265:$AF$272,INT((ROW(A740)-1)/4)+1),MOD(ROW(A740)-1,4)+1,1)</f>
        <v>#REF!</v>
      </c>
      <c r="AK1003" s="9">
        <v>5</v>
      </c>
      <c r="AL1003" s="4" t="e" cm="1">
        <f t="array" ref="AL1003">INDEX($AI$264:$AI$295, INDEX($H$15:$O$18, INT((ROW(A740)-1)/8)+1, MOD(ROW(A740)-1,8)+1))</f>
        <v>#REF!</v>
      </c>
      <c r="AN1003" s="2" t="e" vm="3">
        <f t="shared" ca="1" si="87"/>
        <v>#VALUE!</v>
      </c>
      <c r="AO1003" s="2" t="e">
        <f t="shared" si="88"/>
        <v>#REF!</v>
      </c>
    </row>
    <row r="1004" spans="2:41" x14ac:dyDescent="0.25">
      <c r="B1004" s="2">
        <v>6</v>
      </c>
      <c r="C1004" s="2">
        <v>0</v>
      </c>
      <c r="F1004" s="15" cm="1">
        <f t="array" ref="F1004">INDEX($C$999:$C$1054, H46)</f>
        <v>1</v>
      </c>
      <c r="G1004" s="15" cm="1">
        <f t="array" ref="G1004">INDEX($C$999:$C$1054, I46)</f>
        <v>0</v>
      </c>
      <c r="H1004" s="15" cm="1">
        <f t="array" ref="H1004">INDEX($C$999:$C$1054, J46)</f>
        <v>0</v>
      </c>
      <c r="I1004" s="15" cm="1">
        <f t="array" ref="I1004">INDEX($C$999:$C$1054, K46)</f>
        <v>0</v>
      </c>
      <c r="J1004" s="15" cm="1">
        <f t="array" ref="J1004">INDEX($C$999:$C$1054, L46)</f>
        <v>0</v>
      </c>
      <c r="K1004" s="15" cm="1">
        <f t="array" ref="K1004">INDEX($C$999:$C$1054, M46)</f>
        <v>1</v>
      </c>
      <c r="M1004" s="9">
        <v>6</v>
      </c>
      <c r="N1004" s="4" cm="1">
        <f t="array" ref="N1004">INDEX($F$999:$K$1006, INT((ROW(A6)-1)/6)+1, MOD(ROW(A803)-1,6)+1)</f>
        <v>1</v>
      </c>
      <c r="P1004" s="15" t="e" cm="1" vm="1">
        <f t="array" aca="1" ref="P1004" ca="1">INDEX($AO$204:$AO$235, H791)</f>
        <v>#VALUE!</v>
      </c>
      <c r="Q1004" s="15" t="e" cm="1" vm="1">
        <f t="array" aca="1" ref="Q1004" ca="1">INDEX($AO$204:$AO$235, I791)</f>
        <v>#VALUE!</v>
      </c>
      <c r="R1004" s="15" t="e" cm="1" vm="1">
        <f t="array" aca="1" ref="R1004" ca="1">INDEX($AO$204:$AO$235, J791)</f>
        <v>#VALUE!</v>
      </c>
      <c r="S1004" s="15" t="e" cm="1" vm="1">
        <f t="array" aca="1" ref="S1004" ca="1">INDEX($AO$204:$AO$235, K791)</f>
        <v>#VALUE!</v>
      </c>
      <c r="T1004" s="15" t="e" cm="1" vm="1">
        <f t="array" aca="1" ref="T1004" ca="1">INDEX($AO$204:$AO$235, L791)</f>
        <v>#VALUE!</v>
      </c>
      <c r="U1004" s="15" t="e" cm="1">
        <f t="array" ref="U1004">INDEX($AO$204:$AO$235, M791)</f>
        <v>#REF!</v>
      </c>
      <c r="W1004" s="9">
        <v>6</v>
      </c>
      <c r="X1004" s="4" t="e">
        <f t="shared" si="83"/>
        <v>#REF!</v>
      </c>
      <c r="Z1004" s="32">
        <v>5</v>
      </c>
      <c r="AA1004" s="34" t="e">
        <f>_xlfn.TEXTJOIN("", TRUE, INDEX($X$264:$X$311, (ROW(A740)-1)*6+1) : INDEX($X$264:$X$311, (ROW(A740)-1)*6+6))</f>
        <v>#REF!</v>
      </c>
      <c r="AB1004" s="35"/>
      <c r="AC1004" s="32" t="e">
        <f t="shared" si="84"/>
        <v>#REF!</v>
      </c>
      <c r="AD1004" s="31" t="e">
        <f t="shared" si="85"/>
        <v>#REF!</v>
      </c>
      <c r="AE1004" s="31" t="e" cm="1">
        <f t="array" aca="1" ref="AE1004" ca="1">INDEX(OFFSET('[1]S-box'!$A$2, (Z1004-1)*6, 0, 4, 16), AC1004+1, AD1004+1)</f>
        <v>#VALUE!</v>
      </c>
      <c r="AF1004" s="33" t="e">
        <f t="shared" ca="1" si="86"/>
        <v>#VALUE!</v>
      </c>
      <c r="AH1004" s="9">
        <v>6</v>
      </c>
      <c r="AI1004" s="4" t="e" cm="1">
        <f t="array" ref="AI1004">MID(INDEX($AF$265:$AF$272,INT((ROW(A741)-1)/4)+1),MOD(ROW(A741)-1,4)+1,1)</f>
        <v>#REF!</v>
      </c>
      <c r="AK1004" s="9">
        <v>6</v>
      </c>
      <c r="AL1004" s="4" t="e" cm="1">
        <f t="array" ref="AL1004">INDEX($AI$264:$AI$295, INDEX($H$15:$O$18, INT((ROW(A741)-1)/8)+1, MOD(ROW(A741)-1,8)+1))</f>
        <v>#REF!</v>
      </c>
      <c r="AN1004" s="2" t="e" vm="3">
        <f t="shared" ca="1" si="87"/>
        <v>#VALUE!</v>
      </c>
      <c r="AO1004" s="2" t="e">
        <f t="shared" si="88"/>
        <v>#REF!</v>
      </c>
    </row>
    <row r="1005" spans="2:41" x14ac:dyDescent="0.25">
      <c r="B1005" s="2">
        <v>7</v>
      </c>
      <c r="C1005" s="2">
        <v>0</v>
      </c>
      <c r="F1005" s="15" cm="1">
        <f t="array" ref="F1005">INDEX($C$999:$C$1054, H47)</f>
        <v>0</v>
      </c>
      <c r="G1005" s="15" cm="1">
        <f t="array" ref="G1005">INDEX($C$999:$C$1054, I47)</f>
        <v>1</v>
      </c>
      <c r="H1005" s="15" cm="1">
        <f t="array" ref="H1005">INDEX($C$999:$C$1054, J47)</f>
        <v>1</v>
      </c>
      <c r="I1005" s="15" cm="1">
        <f t="array" ref="I1005">INDEX($C$999:$C$1054, K47)</f>
        <v>1</v>
      </c>
      <c r="J1005" s="15" cm="1">
        <f t="array" ref="J1005">INDEX($C$999:$C$1054, L47)</f>
        <v>1</v>
      </c>
      <c r="K1005" s="15" cm="1">
        <f t="array" ref="K1005">INDEX($C$999:$C$1054, M47)</f>
        <v>0</v>
      </c>
      <c r="M1005" s="9">
        <v>7</v>
      </c>
      <c r="N1005" s="4" cm="1">
        <f t="array" ref="N1005">INDEX($F$999:$K$1006, INT((ROW(A7)-1)/6)+1, MOD(ROW(A804)-1,6)+1)</f>
        <v>1</v>
      </c>
      <c r="P1005" s="15" t="e" cm="1" vm="1">
        <f t="array" aca="1" ref="P1005" ca="1">INDEX($AO$204:$AO$235, H792)</f>
        <v>#VALUE!</v>
      </c>
      <c r="Q1005" s="15" t="e" cm="1" vm="1">
        <f t="array" aca="1" ref="Q1005" ca="1">INDEX($AO$204:$AO$235, I792)</f>
        <v>#VALUE!</v>
      </c>
      <c r="R1005" s="15" t="e" cm="1" vm="1">
        <f t="array" aca="1" ref="R1005" ca="1">INDEX($AO$204:$AO$235, J792)</f>
        <v>#VALUE!</v>
      </c>
      <c r="S1005" s="15" t="e" cm="1" vm="1">
        <f t="array" aca="1" ref="S1005" ca="1">INDEX($AO$204:$AO$235, K792)</f>
        <v>#VALUE!</v>
      </c>
      <c r="T1005" s="15" t="e" cm="1" vm="1">
        <f t="array" aca="1" ref="T1005" ca="1">INDEX($AO$204:$AO$235, L792)</f>
        <v>#VALUE!</v>
      </c>
      <c r="U1005" s="15" t="e" cm="1">
        <f t="array" ref="U1005">INDEX($AO$204:$AO$235, M792)</f>
        <v>#REF!</v>
      </c>
      <c r="W1005" s="9">
        <v>7</v>
      </c>
      <c r="X1005" s="4" t="e">
        <f t="shared" si="83"/>
        <v>#REF!</v>
      </c>
      <c r="Z1005" s="32">
        <v>6</v>
      </c>
      <c r="AA1005" s="34" t="e">
        <f>_xlfn.TEXTJOIN("", TRUE, INDEX($X$264:$X$311, (ROW(A741)-1)*6+1) : INDEX($X$264:$X$311, (ROW(A741)-1)*6+6))</f>
        <v>#REF!</v>
      </c>
      <c r="AB1005" s="35"/>
      <c r="AC1005" s="32" t="e">
        <f t="shared" si="84"/>
        <v>#REF!</v>
      </c>
      <c r="AD1005" s="31" t="e">
        <f t="shared" si="85"/>
        <v>#REF!</v>
      </c>
      <c r="AE1005" s="31" t="e" cm="1">
        <f t="array" aca="1" ref="AE1005" ca="1">INDEX(OFFSET('[1]S-box'!$A$2, (Z1005-1)*6, 0, 4, 16), AC1005+1, AD1005+1)</f>
        <v>#VALUE!</v>
      </c>
      <c r="AF1005" s="33" t="e">
        <f t="shared" ca="1" si="86"/>
        <v>#VALUE!</v>
      </c>
      <c r="AH1005" s="9">
        <v>7</v>
      </c>
      <c r="AI1005" s="4" t="e" cm="1">
        <f t="array" ref="AI1005">MID(INDEX($AF$265:$AF$272,INT((ROW(A742)-1)/4)+1),MOD(ROW(A742)-1,4)+1,1)</f>
        <v>#REF!</v>
      </c>
      <c r="AK1005" s="9">
        <v>7</v>
      </c>
      <c r="AL1005" s="4" t="e" cm="1">
        <f t="array" ref="AL1005">INDEX($AI$264:$AI$295, INDEX($H$15:$O$18, INT((ROW(A742)-1)/8)+1, MOD(ROW(A742)-1,8)+1))</f>
        <v>#REF!</v>
      </c>
      <c r="AN1005" s="2" t="e" vm="3">
        <f t="shared" ca="1" si="87"/>
        <v>#VALUE!</v>
      </c>
      <c r="AO1005" s="2" t="e">
        <f t="shared" si="88"/>
        <v>#REF!</v>
      </c>
    </row>
    <row r="1006" spans="2:41" x14ac:dyDescent="0.25">
      <c r="B1006" s="2">
        <v>8</v>
      </c>
      <c r="C1006" s="2">
        <v>0</v>
      </c>
      <c r="F1006" s="15" cm="1">
        <f t="array" ref="F1006">INDEX($C$999:$C$1054, H48)</f>
        <v>1</v>
      </c>
      <c r="G1006" s="15" cm="1">
        <f t="array" ref="G1006">INDEX($C$999:$C$1054, I48)</f>
        <v>1</v>
      </c>
      <c r="H1006" s="15" cm="1">
        <f t="array" ref="H1006">INDEX($C$999:$C$1054, J48)</f>
        <v>0</v>
      </c>
      <c r="I1006" s="15" cm="1">
        <f t="array" ref="I1006">INDEX($C$999:$C$1054, K48)</f>
        <v>1</v>
      </c>
      <c r="J1006" s="15" cm="1">
        <f t="array" ref="J1006">INDEX($C$999:$C$1054, L48)</f>
        <v>0</v>
      </c>
      <c r="K1006" s="15" cm="1">
        <f t="array" ref="K1006">INDEX($C$999:$C$1054, M48)</f>
        <v>1</v>
      </c>
      <c r="M1006" s="11">
        <v>8</v>
      </c>
      <c r="N1006" s="4" cm="1">
        <f t="array" ref="N1006">INDEX($F$999:$K$1006, INT((ROW(A8)-1)/6)+1, MOD(ROW(A805)-1,6)+1)</f>
        <v>1</v>
      </c>
      <c r="P1006" s="15" t="e" cm="1" vm="2">
        <f t="array" aca="1" ref="P1006" ca="1">INDEX($AO$204:$AO$235, H793)</f>
        <v>#VALUE!</v>
      </c>
      <c r="Q1006" s="15" t="e" cm="1" vm="2">
        <f t="array" aca="1" ref="Q1006" ca="1">INDEX($AO$204:$AO$235, I793)</f>
        <v>#VALUE!</v>
      </c>
      <c r="R1006" s="15" t="e" cm="1">
        <f t="array" aca="1" ref="R1006:R1037" ca="1">INDEX($AO$204:$AO$235, J793)</f>
        <v>#VALUE!</v>
      </c>
      <c r="S1006" s="15" t="e" cm="1">
        <f t="array" aca="1" ref="S1006:S1037" ca="1">INDEX($AO$204:$AO$235, K793)</f>
        <v>#VALUE!</v>
      </c>
      <c r="T1006" s="15" t="e" cm="1">
        <f t="array" aca="1" ref="T1006:T1037" ca="1">INDEX($AO$204:$AO$235, L793)</f>
        <v>#VALUE!</v>
      </c>
      <c r="U1006" s="15" t="e" cm="1">
        <f t="array" ref="U1006">INDEX($AO$204:$AO$235, M793)</f>
        <v>#REF!</v>
      </c>
      <c r="W1006" s="11">
        <v>8</v>
      </c>
      <c r="X1006" s="4" t="e">
        <f t="shared" si="83"/>
        <v>#REF!</v>
      </c>
      <c r="Z1006" s="32">
        <v>7</v>
      </c>
      <c r="AA1006" s="34" t="e">
        <f>_xlfn.TEXTJOIN("", TRUE, INDEX($X$264:$X$311, (ROW(A742)-1)*6+1) : INDEX($X$264:$X$311, (ROW(A742)-1)*6+6))</f>
        <v>#REF!</v>
      </c>
      <c r="AB1006" s="35"/>
      <c r="AC1006" s="32" t="e">
        <f t="shared" si="84"/>
        <v>#REF!</v>
      </c>
      <c r="AD1006" s="31" t="e">
        <f t="shared" si="85"/>
        <v>#REF!</v>
      </c>
      <c r="AE1006" s="31" t="e" cm="1">
        <f t="array" aca="1" ref="AE1006" ca="1">INDEX(OFFSET('[1]S-box'!$A$2, (Z1006-1)*6, 0, 4, 16), AC1006+1, AD1006+1)</f>
        <v>#VALUE!</v>
      </c>
      <c r="AF1006" s="33" t="e">
        <f t="shared" ca="1" si="86"/>
        <v>#VALUE!</v>
      </c>
      <c r="AH1006" s="11">
        <v>8</v>
      </c>
      <c r="AI1006" s="4" t="e" cm="1">
        <f t="array" ref="AI1006">MID(INDEX($AF$265:$AF$272,INT((ROW(A743)-1)/4)+1),MOD(ROW(A743)-1,4)+1,1)</f>
        <v>#REF!</v>
      </c>
      <c r="AK1006" s="11">
        <v>8</v>
      </c>
      <c r="AL1006" s="4" t="e" cm="1">
        <f t="array" ref="AL1006">INDEX($AI$264:$AI$295, INDEX($H$15:$O$18, INT((ROW(A743)-1)/8)+1, MOD(ROW(A743)-1,8)+1))</f>
        <v>#REF!</v>
      </c>
      <c r="AN1006" s="2" t="e" vm="3">
        <f t="shared" ca="1" si="87"/>
        <v>#VALUE!</v>
      </c>
      <c r="AO1006" s="2" t="e">
        <f t="shared" si="88"/>
        <v>#REF!</v>
      </c>
    </row>
    <row r="1007" spans="2:41" x14ac:dyDescent="0.25">
      <c r="B1007" s="2">
        <v>9</v>
      </c>
      <c r="C1007" s="2">
        <v>0</v>
      </c>
      <c r="M1007" s="9">
        <v>9</v>
      </c>
      <c r="N1007" s="4" cm="1">
        <f t="array" ref="N1007">INDEX($F$999:$K$1006, INT((ROW(A9)-1)/6)+1, MOD(ROW(A806)-1,6)+1)</f>
        <v>1</v>
      </c>
      <c r="R1007" t="e">
        <f ca="1"/>
        <v>#VALUE!</v>
      </c>
      <c r="S1007" t="e">
        <f ca="1"/>
        <v>#VALUE!</v>
      </c>
      <c r="T1007" t="e">
        <f ca="1"/>
        <v>#VALUE!</v>
      </c>
      <c r="W1007" s="9">
        <v>9</v>
      </c>
      <c r="X1007" s="4" t="e">
        <f t="shared" si="83"/>
        <v>#REF!</v>
      </c>
      <c r="Z1007" s="32">
        <v>8</v>
      </c>
      <c r="AA1007" s="34" t="e">
        <f>_xlfn.TEXTJOIN("", TRUE, INDEX($X$264:$X$311, (ROW(A743)-1)*6+1) : INDEX($X$264:$X$311, (ROW(A743)-1)*6+6))</f>
        <v>#REF!</v>
      </c>
      <c r="AB1007" s="35"/>
      <c r="AC1007" s="32" t="e">
        <f t="shared" si="84"/>
        <v>#REF!</v>
      </c>
      <c r="AD1007" s="31" t="e">
        <f t="shared" si="85"/>
        <v>#REF!</v>
      </c>
      <c r="AE1007" s="31" t="e" cm="1">
        <f t="array" aca="1" ref="AE1007" ca="1">INDEX(OFFSET('[1]S-box'!$A$2, (Z1007-1)*6, 0, 4, 16), AC1007+1, AD1007+1)</f>
        <v>#VALUE!</v>
      </c>
      <c r="AF1007" s="33" t="e">
        <f t="shared" ca="1" si="86"/>
        <v>#VALUE!</v>
      </c>
      <c r="AH1007" s="9">
        <v>9</v>
      </c>
      <c r="AI1007" s="4" t="e" cm="1">
        <f t="array" ref="AI1007">MID(INDEX($AF$265:$AF$272,INT((ROW(A744)-1)/4)+1),MOD(ROW(A744)-1,4)+1,1)</f>
        <v>#REF!</v>
      </c>
      <c r="AK1007" s="9">
        <v>9</v>
      </c>
      <c r="AL1007" s="4" t="e" cm="1">
        <f t="array" ref="AL1007">INDEX($AI$264:$AI$295, INDEX($H$15:$O$18, INT((ROW(A744)-1)/8)+1, MOD(ROW(A744)-1,8)+1))</f>
        <v>#REF!</v>
      </c>
      <c r="AN1007" s="2" t="e" vm="3">
        <f t="shared" ca="1" si="87"/>
        <v>#VALUE!</v>
      </c>
      <c r="AO1007" s="2" t="e">
        <f t="shared" si="88"/>
        <v>#REF!</v>
      </c>
    </row>
    <row r="1008" spans="2:41" x14ac:dyDescent="0.25">
      <c r="B1008" s="2">
        <v>10</v>
      </c>
      <c r="C1008" s="2">
        <v>1</v>
      </c>
      <c r="M1008" s="9">
        <v>10</v>
      </c>
      <c r="N1008" s="4" cm="1">
        <f t="array" ref="N1008">INDEX($F$999:$K$1006, INT((ROW(A10)-1)/6)+1, MOD(ROW(A807)-1,6)+1)</f>
        <v>1</v>
      </c>
      <c r="P1008" s="36" t="s">
        <v>94</v>
      </c>
      <c r="Q1008" s="36"/>
      <c r="R1008" t="e">
        <f ca="1"/>
        <v>#VALUE!</v>
      </c>
      <c r="S1008" t="e">
        <f ca="1"/>
        <v>#VALUE!</v>
      </c>
      <c r="T1008" t="e">
        <f ca="1"/>
        <v>#VALUE!</v>
      </c>
      <c r="W1008" s="9">
        <v>10</v>
      </c>
      <c r="X1008" s="4" t="e">
        <f t="shared" si="83"/>
        <v>#REF!</v>
      </c>
      <c r="AH1008" s="9">
        <v>10</v>
      </c>
      <c r="AI1008" s="4" t="e" cm="1">
        <f t="array" ref="AI1008">MID(INDEX($AF$265:$AF$272,INT((ROW(A745)-1)/4)+1),MOD(ROW(A745)-1,4)+1,1)</f>
        <v>#REF!</v>
      </c>
      <c r="AK1008" s="9">
        <v>10</v>
      </c>
      <c r="AL1008" s="4" t="e" cm="1">
        <f t="array" ref="AL1008">INDEX($AI$264:$AI$295, INDEX($H$15:$O$18, INT((ROW(A745)-1)/8)+1, MOD(ROW(A745)-1,8)+1))</f>
        <v>#REF!</v>
      </c>
      <c r="AN1008" s="2" t="e" vm="3">
        <f t="shared" ca="1" si="87"/>
        <v>#VALUE!</v>
      </c>
      <c r="AO1008" s="2" t="e">
        <f t="shared" si="88"/>
        <v>#REF!</v>
      </c>
    </row>
    <row r="1009" spans="2:41" x14ac:dyDescent="0.25">
      <c r="B1009" s="2">
        <v>11</v>
      </c>
      <c r="C1009" s="2">
        <v>1</v>
      </c>
      <c r="M1009" s="9">
        <v>11</v>
      </c>
      <c r="N1009" s="4" cm="1">
        <f t="array" ref="N1009">INDEX($F$999:$K$1006, INT((ROW(A11)-1)/6)+1, MOD(ROW(A808)-1,6)+1)</f>
        <v>0</v>
      </c>
      <c r="P1009" s="9">
        <v>1</v>
      </c>
      <c r="Q1009" s="4" t="e" cm="1">
        <f t="array" ref="Q1009">INDEX($P$264:$U$271, INT((ROW(A736)-1)/6)+1, MOD(ROW(A736)-1,6)+1)</f>
        <v>#REF!</v>
      </c>
      <c r="R1009" t="e">
        <f ca="1"/>
        <v>#VALUE!</v>
      </c>
      <c r="S1009" t="e">
        <f ca="1"/>
        <v>#VALUE!</v>
      </c>
      <c r="T1009" t="e">
        <f ca="1"/>
        <v>#VALUE!</v>
      </c>
      <c r="W1009" s="9">
        <v>11</v>
      </c>
      <c r="X1009" s="4" t="e">
        <f t="shared" si="83"/>
        <v>#REF!</v>
      </c>
      <c r="AH1009" s="9">
        <v>11</v>
      </c>
      <c r="AI1009" s="4" t="e" cm="1">
        <f t="array" ref="AI1009">MID(INDEX($AF$265:$AF$272,INT((ROW(A746)-1)/4)+1),MOD(ROW(A746)-1,4)+1,1)</f>
        <v>#REF!</v>
      </c>
      <c r="AK1009" s="9">
        <v>11</v>
      </c>
      <c r="AL1009" s="4" t="e" cm="1">
        <f t="array" ref="AL1009">INDEX($AI$264:$AI$295, INDEX($H$15:$O$18, INT((ROW(A746)-1)/8)+1, MOD(ROW(A746)-1,8)+1))</f>
        <v>#REF!</v>
      </c>
      <c r="AN1009" s="2" t="e" vm="3">
        <f t="shared" ca="1" si="87"/>
        <v>#VALUE!</v>
      </c>
      <c r="AO1009" s="2" t="e">
        <f t="shared" si="88"/>
        <v>#REF!</v>
      </c>
    </row>
    <row r="1010" spans="2:41" x14ac:dyDescent="0.25">
      <c r="B1010" s="2">
        <v>12</v>
      </c>
      <c r="C1010" s="2">
        <v>0</v>
      </c>
      <c r="M1010" s="9">
        <v>12</v>
      </c>
      <c r="N1010" s="4" cm="1">
        <f t="array" ref="N1010">INDEX($F$999:$K$1006, INT((ROW(A12)-1)/6)+1, MOD(ROW(A809)-1,6)+1)</f>
        <v>0</v>
      </c>
      <c r="P1010" s="9">
        <v>2</v>
      </c>
      <c r="Q1010" s="4" t="e" cm="1">
        <f t="array" ref="Q1010">INDEX($P$264:$U$271, INT((ROW(A737)-1)/6)+1, MOD(ROW(A737)-1,6)+1)</f>
        <v>#REF!</v>
      </c>
      <c r="R1010" t="e">
        <f ca="1"/>
        <v>#VALUE!</v>
      </c>
      <c r="S1010" t="e">
        <f ca="1"/>
        <v>#VALUE!</v>
      </c>
      <c r="T1010" t="e">
        <f ca="1"/>
        <v>#VALUE!</v>
      </c>
      <c r="W1010" s="9">
        <v>12</v>
      </c>
      <c r="X1010" s="4" t="e">
        <f t="shared" si="83"/>
        <v>#REF!</v>
      </c>
      <c r="AH1010" s="9">
        <v>12</v>
      </c>
      <c r="AI1010" s="4" t="e" cm="1">
        <f t="array" ref="AI1010">MID(INDEX($AF$265:$AF$272,INT((ROW(A747)-1)/4)+1),MOD(ROW(A747)-1,4)+1,1)</f>
        <v>#REF!</v>
      </c>
      <c r="AK1010" s="9">
        <v>12</v>
      </c>
      <c r="AL1010" s="4" t="e" cm="1">
        <f t="array" ref="AL1010">INDEX($AI$264:$AI$295, INDEX($H$15:$O$18, INT((ROW(A747)-1)/8)+1, MOD(ROW(A747)-1,8)+1))</f>
        <v>#REF!</v>
      </c>
      <c r="AN1010" s="2" t="e">
        <f t="shared" ca="1" si="87"/>
        <v>#VALUE!</v>
      </c>
      <c r="AO1010" s="2" t="e">
        <f t="shared" si="88"/>
        <v>#REF!</v>
      </c>
    </row>
    <row r="1011" spans="2:41" x14ac:dyDescent="0.25">
      <c r="B1011" s="2">
        <v>13</v>
      </c>
      <c r="C1011" s="2">
        <v>0</v>
      </c>
      <c r="M1011" s="9">
        <v>13</v>
      </c>
      <c r="N1011" s="4" cm="1">
        <f t="array" ref="N1011">INDEX($F$999:$K$1006, INT((ROW(A13)-1)/6)+1, MOD(ROW(A810)-1,6)+1)</f>
        <v>0</v>
      </c>
      <c r="P1011" s="9">
        <v>3</v>
      </c>
      <c r="Q1011" s="4" t="e" cm="1">
        <f t="array" ref="Q1011">INDEX($P$264:$U$271, INT((ROW(A738)-1)/6)+1, MOD(ROW(A738)-1,6)+1)</f>
        <v>#REF!</v>
      </c>
      <c r="R1011" t="e">
        <f ca="1"/>
        <v>#VALUE!</v>
      </c>
      <c r="S1011" t="e">
        <f ca="1"/>
        <v>#VALUE!</v>
      </c>
      <c r="T1011" t="e">
        <f ca="1"/>
        <v>#VALUE!</v>
      </c>
      <c r="W1011" s="9">
        <v>13</v>
      </c>
      <c r="X1011" s="4" t="e">
        <f t="shared" si="83"/>
        <v>#REF!</v>
      </c>
      <c r="AH1011" s="9">
        <v>13</v>
      </c>
      <c r="AI1011" s="4" t="e" cm="1">
        <f t="array" ref="AI1011">MID(INDEX($AF$265:$AF$272,INT((ROW(A748)-1)/4)+1),MOD(ROW(A748)-1,4)+1,1)</f>
        <v>#REF!</v>
      </c>
      <c r="AK1011" s="9">
        <v>13</v>
      </c>
      <c r="AL1011" s="4" t="e" cm="1">
        <f t="array" ref="AL1011">INDEX($AI$264:$AI$295, INDEX($H$15:$O$18, INT((ROW(A748)-1)/8)+1, MOD(ROW(A748)-1,8)+1))</f>
        <v>#REF!</v>
      </c>
      <c r="AN1011" s="2" t="e">
        <f t="shared" ca="1" si="87"/>
        <v>#VALUE!</v>
      </c>
      <c r="AO1011" s="2" t="e">
        <f t="shared" si="88"/>
        <v>#REF!</v>
      </c>
    </row>
    <row r="1012" spans="2:41" x14ac:dyDescent="0.25">
      <c r="B1012" s="2">
        <v>14</v>
      </c>
      <c r="C1012" s="2">
        <v>1</v>
      </c>
      <c r="M1012" s="9">
        <v>14</v>
      </c>
      <c r="N1012" s="4" cm="1">
        <f t="array" ref="N1012">INDEX($F$999:$K$1006, INT((ROW(A14)-1)/6)+1, MOD(ROW(A811)-1,6)+1)</f>
        <v>0</v>
      </c>
      <c r="P1012" s="9">
        <v>4</v>
      </c>
      <c r="Q1012" s="4" t="e" cm="1">
        <f t="array" ref="Q1012">INDEX($P$264:$U$271, INT((ROW(A739)-1)/6)+1, MOD(ROW(A739)-1,6)+1)</f>
        <v>#REF!</v>
      </c>
      <c r="R1012" t="e">
        <f ca="1"/>
        <v>#VALUE!</v>
      </c>
      <c r="S1012" t="e">
        <f ca="1"/>
        <v>#VALUE!</v>
      </c>
      <c r="T1012" t="e">
        <f ca="1"/>
        <v>#VALUE!</v>
      </c>
      <c r="W1012" s="9">
        <v>14</v>
      </c>
      <c r="X1012" s="4" t="e">
        <f t="shared" si="83"/>
        <v>#REF!</v>
      </c>
      <c r="AH1012" s="9">
        <v>14</v>
      </c>
      <c r="AI1012" s="4" t="e" cm="1">
        <f t="array" ref="AI1012">MID(INDEX($AF$265:$AF$272,INT((ROW(A749)-1)/4)+1),MOD(ROW(A749)-1,4)+1,1)</f>
        <v>#REF!</v>
      </c>
      <c r="AK1012" s="9">
        <v>14</v>
      </c>
      <c r="AL1012" s="4" t="e" cm="1">
        <f t="array" ref="AL1012">INDEX($AI$264:$AI$295, INDEX($H$15:$O$18, INT((ROW(A749)-1)/8)+1, MOD(ROW(A749)-1,8)+1))</f>
        <v>#REF!</v>
      </c>
      <c r="AN1012" s="2" t="e">
        <f t="shared" ca="1" si="87"/>
        <v>#VALUE!</v>
      </c>
      <c r="AO1012" s="2" t="e">
        <f t="shared" si="88"/>
        <v>#REF!</v>
      </c>
    </row>
    <row r="1013" spans="2:41" x14ac:dyDescent="0.25">
      <c r="B1013" s="2">
        <v>15</v>
      </c>
      <c r="C1013" s="2">
        <v>1</v>
      </c>
      <c r="M1013" s="9">
        <v>15</v>
      </c>
      <c r="N1013" s="4" cm="1">
        <f t="array" ref="N1013">INDEX($F$999:$K$1006, INT((ROW(A15)-1)/6)+1, MOD(ROW(A812)-1,6)+1)</f>
        <v>0</v>
      </c>
      <c r="P1013" s="9">
        <v>5</v>
      </c>
      <c r="Q1013" s="4" t="e" cm="1">
        <f t="array" ref="Q1013">INDEX($P$264:$U$271, INT((ROW(A740)-1)/6)+1, MOD(ROW(A740)-1,6)+1)</f>
        <v>#REF!</v>
      </c>
      <c r="R1013" t="e">
        <f ca="1"/>
        <v>#VALUE!</v>
      </c>
      <c r="S1013" t="e">
        <f ca="1"/>
        <v>#VALUE!</v>
      </c>
      <c r="T1013" t="e">
        <f ca="1"/>
        <v>#VALUE!</v>
      </c>
      <c r="W1013" s="9">
        <v>15</v>
      </c>
      <c r="X1013" s="4" t="e">
        <f t="shared" si="83"/>
        <v>#REF!</v>
      </c>
      <c r="AH1013" s="9">
        <v>15</v>
      </c>
      <c r="AI1013" s="4" t="e" cm="1">
        <f t="array" ref="AI1013">MID(INDEX($AF$265:$AF$272,INT((ROW(A750)-1)/4)+1),MOD(ROW(A750)-1,4)+1,1)</f>
        <v>#REF!</v>
      </c>
      <c r="AK1013" s="9">
        <v>15</v>
      </c>
      <c r="AL1013" s="4" t="e" cm="1">
        <f t="array" ref="AL1013">INDEX($AI$264:$AI$295, INDEX($H$15:$O$18, INT((ROW(A750)-1)/8)+1, MOD(ROW(A750)-1,8)+1))</f>
        <v>#REF!</v>
      </c>
      <c r="AN1013" s="2" t="e">
        <f t="shared" ca="1" si="87"/>
        <v>#VALUE!</v>
      </c>
      <c r="AO1013" s="2" t="e">
        <f t="shared" si="88"/>
        <v>#REF!</v>
      </c>
    </row>
    <row r="1014" spans="2:41" x14ac:dyDescent="0.25">
      <c r="B1014" s="2">
        <v>16</v>
      </c>
      <c r="C1014" s="2">
        <v>0</v>
      </c>
      <c r="M1014" s="11">
        <v>16</v>
      </c>
      <c r="N1014" s="4" cm="1">
        <f t="array" ref="N1014">INDEX($F$999:$K$1006, INT((ROW(A16)-1)/6)+1, MOD(ROW(A813)-1,6)+1)</f>
        <v>0</v>
      </c>
      <c r="P1014" s="9">
        <v>6</v>
      </c>
      <c r="Q1014" s="4" t="e" cm="1">
        <f t="array" ref="Q1014">INDEX($P$264:$U$271, INT((ROW(A741)-1)/6)+1, MOD(ROW(A741)-1,6)+1)</f>
        <v>#REF!</v>
      </c>
      <c r="R1014" t="e">
        <f ca="1"/>
        <v>#VALUE!</v>
      </c>
      <c r="S1014" t="e">
        <f ca="1"/>
        <v>#VALUE!</v>
      </c>
      <c r="T1014" t="e">
        <f ca="1"/>
        <v>#VALUE!</v>
      </c>
      <c r="W1014" s="11">
        <v>16</v>
      </c>
      <c r="X1014" s="4" t="e">
        <f t="shared" si="83"/>
        <v>#REF!</v>
      </c>
      <c r="AH1014" s="11">
        <v>16</v>
      </c>
      <c r="AI1014" s="4" t="e" cm="1">
        <f t="array" ref="AI1014">MID(INDEX($AF$265:$AF$272,INT((ROW(A751)-1)/4)+1),MOD(ROW(A751)-1,4)+1,1)</f>
        <v>#REF!</v>
      </c>
      <c r="AK1014" s="11">
        <v>16</v>
      </c>
      <c r="AL1014" s="4" t="e" cm="1">
        <f t="array" ref="AL1014">INDEX($AI$264:$AI$295, INDEX($H$15:$O$18, INT((ROW(A751)-1)/8)+1, MOD(ROW(A751)-1,8)+1))</f>
        <v>#REF!</v>
      </c>
      <c r="AN1014" s="2" t="e">
        <f t="shared" ca="1" si="87"/>
        <v>#VALUE!</v>
      </c>
      <c r="AO1014" s="2" t="e">
        <f t="shared" si="88"/>
        <v>#REF!</v>
      </c>
    </row>
    <row r="1015" spans="2:41" x14ac:dyDescent="0.25">
      <c r="B1015" s="2">
        <v>17</v>
      </c>
      <c r="C1015" s="2">
        <v>0</v>
      </c>
      <c r="M1015" s="7">
        <v>17</v>
      </c>
      <c r="N1015" s="4" cm="1">
        <f t="array" ref="N1015">INDEX($F$999:$K$1006, INT((ROW(A17)-1)/6)+1, MOD(ROW(A814)-1,6)+1)</f>
        <v>1</v>
      </c>
      <c r="P1015" s="9">
        <v>7</v>
      </c>
      <c r="Q1015" s="4" t="e" cm="1">
        <f t="array" ref="Q1015">INDEX($P$264:$U$271, INT((ROW(A742)-1)/6)+1, MOD(ROW(A742)-1,6)+1)</f>
        <v>#REF!</v>
      </c>
      <c r="R1015" t="e">
        <f ca="1"/>
        <v>#VALUE!</v>
      </c>
      <c r="S1015" t="e">
        <f ca="1"/>
        <v>#VALUE!</v>
      </c>
      <c r="T1015" t="e">
        <f ca="1"/>
        <v>#VALUE!</v>
      </c>
      <c r="W1015" s="7">
        <v>17</v>
      </c>
      <c r="X1015" s="4" t="e">
        <f t="shared" si="83"/>
        <v>#REF!</v>
      </c>
      <c r="AH1015" s="7">
        <v>17</v>
      </c>
      <c r="AI1015" s="4" t="e" cm="1">
        <f t="array" ref="AI1015">MID(INDEX($AF$265:$AF$272,INT((ROW(A752)-1)/4)+1),MOD(ROW(A752)-1,4)+1,1)</f>
        <v>#REF!</v>
      </c>
      <c r="AK1015" s="7">
        <v>17</v>
      </c>
      <c r="AL1015" s="4" t="e" cm="1">
        <f t="array" ref="AL1015">INDEX($AI$264:$AI$295, INDEX($H$15:$O$18, INT((ROW(A752)-1)/8)+1, MOD(ROW(A752)-1,8)+1))</f>
        <v>#REF!</v>
      </c>
      <c r="AN1015" s="2" t="e">
        <f t="shared" ca="1" si="87"/>
        <v>#VALUE!</v>
      </c>
      <c r="AO1015" s="2" t="e">
        <f t="shared" si="88"/>
        <v>#REF!</v>
      </c>
    </row>
    <row r="1016" spans="2:41" x14ac:dyDescent="0.25">
      <c r="B1016" s="2">
        <v>18</v>
      </c>
      <c r="C1016" s="2">
        <v>1</v>
      </c>
      <c r="M1016" s="9">
        <v>18</v>
      </c>
      <c r="N1016" s="4" cm="1">
        <f t="array" ref="N1016">INDEX($F$999:$K$1006, INT((ROW(A18)-1)/6)+1, MOD(ROW(A815)-1,6)+1)</f>
        <v>1</v>
      </c>
      <c r="P1016" s="11">
        <v>8</v>
      </c>
      <c r="Q1016" s="4" t="e" cm="1">
        <f t="array" ref="Q1016">INDEX($P$264:$U$271, INT((ROW(A743)-1)/6)+1, MOD(ROW(A743)-1,6)+1)</f>
        <v>#REF!</v>
      </c>
      <c r="R1016" t="e">
        <f ca="1"/>
        <v>#VALUE!</v>
      </c>
      <c r="S1016" t="e">
        <f ca="1"/>
        <v>#VALUE!</v>
      </c>
      <c r="T1016" t="e">
        <f ca="1"/>
        <v>#VALUE!</v>
      </c>
      <c r="W1016" s="9">
        <v>18</v>
      </c>
      <c r="X1016" s="4" t="e">
        <f t="shared" si="83"/>
        <v>#REF!</v>
      </c>
      <c r="AH1016" s="9">
        <v>18</v>
      </c>
      <c r="AI1016" s="4" t="e" cm="1">
        <f t="array" ref="AI1016">MID(INDEX($AF$265:$AF$272,INT((ROW(A753)-1)/4)+1),MOD(ROW(A753)-1,4)+1,1)</f>
        <v>#REF!</v>
      </c>
      <c r="AK1016" s="9">
        <v>18</v>
      </c>
      <c r="AL1016" s="4" t="e" cm="1">
        <f t="array" ref="AL1016">INDEX($AI$264:$AI$295, INDEX($H$15:$O$18, INT((ROW(A753)-1)/8)+1, MOD(ROW(A753)-1,8)+1))</f>
        <v>#REF!</v>
      </c>
      <c r="AN1016" s="2" t="e">
        <f t="shared" ca="1" si="87"/>
        <v>#VALUE!</v>
      </c>
      <c r="AO1016" s="2" t="e">
        <f t="shared" si="88"/>
        <v>#REF!</v>
      </c>
    </row>
    <row r="1017" spans="2:41" x14ac:dyDescent="0.25">
      <c r="B1017" s="2">
        <v>19</v>
      </c>
      <c r="C1017" s="2">
        <v>0</v>
      </c>
      <c r="M1017" s="9">
        <v>19</v>
      </c>
      <c r="N1017" s="4" cm="1">
        <f t="array" ref="N1017">INDEX($F$999:$K$1006, INT((ROW(A19)-1)/6)+1, MOD(ROW(A816)-1,6)+1)</f>
        <v>1</v>
      </c>
      <c r="P1017" s="7">
        <v>9</v>
      </c>
      <c r="Q1017" s="4" t="e" cm="1">
        <f t="array" ref="Q1017">INDEX($P$264:$U$271, INT((ROW(A744)-1)/6)+1, MOD(ROW(A744)-1,6)+1)</f>
        <v>#REF!</v>
      </c>
      <c r="R1017" t="e">
        <f ca="1"/>
        <v>#VALUE!</v>
      </c>
      <c r="S1017" t="e">
        <f ca="1"/>
        <v>#VALUE!</v>
      </c>
      <c r="T1017" t="e">
        <f ca="1"/>
        <v>#VALUE!</v>
      </c>
      <c r="W1017" s="9">
        <v>19</v>
      </c>
      <c r="X1017" s="4" t="e">
        <f t="shared" si="83"/>
        <v>#REF!</v>
      </c>
      <c r="AH1017" s="9">
        <v>19</v>
      </c>
      <c r="AI1017" s="4" t="e" cm="1">
        <f t="array" ref="AI1017">MID(INDEX($AF$265:$AF$272,INT((ROW(A754)-1)/4)+1),MOD(ROW(A754)-1,4)+1,1)</f>
        <v>#REF!</v>
      </c>
      <c r="AK1017" s="9">
        <v>19</v>
      </c>
      <c r="AL1017" s="4" t="e" cm="1">
        <f t="array" ref="AL1017">INDEX($AI$264:$AI$295, INDEX($H$15:$O$18, INT((ROW(A754)-1)/8)+1, MOD(ROW(A754)-1,8)+1))</f>
        <v>#REF!</v>
      </c>
      <c r="AN1017" s="2" t="e">
        <f t="shared" ca="1" si="87"/>
        <v>#VALUE!</v>
      </c>
      <c r="AO1017" s="2" t="e">
        <f t="shared" si="88"/>
        <v>#REF!</v>
      </c>
    </row>
    <row r="1018" spans="2:41" x14ac:dyDescent="0.25">
      <c r="B1018" s="2">
        <v>20</v>
      </c>
      <c r="C1018" s="2">
        <v>1</v>
      </c>
      <c r="M1018" s="9">
        <v>20</v>
      </c>
      <c r="N1018" s="4" cm="1">
        <f t="array" ref="N1018">INDEX($F$999:$K$1006, INT((ROW(A20)-1)/6)+1, MOD(ROW(A817)-1,6)+1)</f>
        <v>0</v>
      </c>
      <c r="P1018" s="9">
        <v>10</v>
      </c>
      <c r="Q1018" s="4" t="e" cm="1">
        <f t="array" ref="Q1018">INDEX($P$264:$U$271, INT((ROW(A745)-1)/6)+1, MOD(ROW(A745)-1,6)+1)</f>
        <v>#REF!</v>
      </c>
      <c r="R1018" t="e">
        <f ca="1"/>
        <v>#VALUE!</v>
      </c>
      <c r="S1018" t="e">
        <f ca="1"/>
        <v>#VALUE!</v>
      </c>
      <c r="T1018" t="e">
        <f ca="1"/>
        <v>#VALUE!</v>
      </c>
      <c r="W1018" s="9">
        <v>20</v>
      </c>
      <c r="X1018" s="4" t="e">
        <f t="shared" si="83"/>
        <v>#REF!</v>
      </c>
      <c r="AH1018" s="9">
        <v>20</v>
      </c>
      <c r="AI1018" s="4" t="e" cm="1">
        <f t="array" ref="AI1018">MID(INDEX($AF$265:$AF$272,INT((ROW(A755)-1)/4)+1),MOD(ROW(A755)-1,4)+1,1)</f>
        <v>#REF!</v>
      </c>
      <c r="AK1018" s="9">
        <v>20</v>
      </c>
      <c r="AL1018" s="4" t="e" cm="1">
        <f t="array" ref="AL1018">INDEX($AI$264:$AI$295, INDEX($H$15:$O$18, INT((ROW(A755)-1)/8)+1, MOD(ROW(A755)-1,8)+1))</f>
        <v>#REF!</v>
      </c>
      <c r="AN1018" s="2" t="e">
        <f t="shared" ca="1" si="87"/>
        <v>#VALUE!</v>
      </c>
      <c r="AO1018" s="2" t="e">
        <f t="shared" si="88"/>
        <v>#REF!</v>
      </c>
    </row>
    <row r="1019" spans="2:41" x14ac:dyDescent="0.25">
      <c r="B1019" s="2">
        <v>21</v>
      </c>
      <c r="C1019" s="2">
        <v>0</v>
      </c>
      <c r="M1019" s="9">
        <v>21</v>
      </c>
      <c r="N1019" s="4" cm="1">
        <f t="array" ref="N1019">INDEX($F$999:$K$1006, INT((ROW(A21)-1)/6)+1, MOD(ROW(A818)-1,6)+1)</f>
        <v>0</v>
      </c>
      <c r="P1019" s="9">
        <v>11</v>
      </c>
      <c r="Q1019" s="4" t="e" cm="1">
        <f t="array" ref="Q1019">INDEX($P$264:$U$271, INT((ROW(A746)-1)/6)+1, MOD(ROW(A746)-1,6)+1)</f>
        <v>#REF!</v>
      </c>
      <c r="R1019" t="e">
        <f ca="1"/>
        <v>#VALUE!</v>
      </c>
      <c r="S1019" t="e">
        <f ca="1"/>
        <v>#VALUE!</v>
      </c>
      <c r="T1019" t="e">
        <f ca="1"/>
        <v>#VALUE!</v>
      </c>
      <c r="W1019" s="9">
        <v>21</v>
      </c>
      <c r="X1019" s="4" t="e">
        <f t="shared" si="83"/>
        <v>#REF!</v>
      </c>
      <c r="AH1019" s="9">
        <v>21</v>
      </c>
      <c r="AI1019" s="4" t="e" cm="1">
        <f t="array" ref="AI1019">MID(INDEX($AF$265:$AF$272,INT((ROW(A756)-1)/4)+1),MOD(ROW(A756)-1,4)+1,1)</f>
        <v>#REF!</v>
      </c>
      <c r="AK1019" s="9">
        <v>21</v>
      </c>
      <c r="AL1019" s="4" t="e" cm="1">
        <f t="array" ref="AL1019">INDEX($AI$264:$AI$295, INDEX($H$15:$O$18, INT((ROW(A756)-1)/8)+1, MOD(ROW(A756)-1,8)+1))</f>
        <v>#REF!</v>
      </c>
      <c r="AN1019" s="2" t="e">
        <f t="shared" ca="1" si="87"/>
        <v>#VALUE!</v>
      </c>
      <c r="AO1019" s="2" t="e">
        <f t="shared" si="88"/>
        <v>#REF!</v>
      </c>
    </row>
    <row r="1020" spans="2:41" x14ac:dyDescent="0.25">
      <c r="B1020" s="2">
        <v>22</v>
      </c>
      <c r="C1020" s="2">
        <v>1</v>
      </c>
      <c r="M1020" s="9">
        <v>22</v>
      </c>
      <c r="N1020" s="4" cm="1">
        <f t="array" ref="N1020">INDEX($F$999:$K$1006, INT((ROW(A22)-1)/6)+1, MOD(ROW(A819)-1,6)+1)</f>
        <v>0</v>
      </c>
      <c r="P1020" s="9">
        <v>12</v>
      </c>
      <c r="Q1020" s="4" t="e" cm="1">
        <f t="array" ref="Q1020">INDEX($P$264:$U$271, INT((ROW(A747)-1)/6)+1, MOD(ROW(A747)-1,6)+1)</f>
        <v>#REF!</v>
      </c>
      <c r="R1020" t="e">
        <f ca="1"/>
        <v>#VALUE!</v>
      </c>
      <c r="S1020" t="e">
        <f ca="1"/>
        <v>#VALUE!</v>
      </c>
      <c r="T1020" t="e">
        <f ca="1"/>
        <v>#VALUE!</v>
      </c>
      <c r="W1020" s="9">
        <v>22</v>
      </c>
      <c r="X1020" s="4" t="e">
        <f t="shared" si="83"/>
        <v>#REF!</v>
      </c>
      <c r="AH1020" s="9">
        <v>22</v>
      </c>
      <c r="AI1020" s="4" t="e" cm="1">
        <f t="array" ref="AI1020">MID(INDEX($AF$265:$AF$272,INT((ROW(A757)-1)/4)+1),MOD(ROW(A757)-1,4)+1,1)</f>
        <v>#REF!</v>
      </c>
      <c r="AK1020" s="9">
        <v>22</v>
      </c>
      <c r="AL1020" s="4" t="e" cm="1">
        <f t="array" ref="AL1020">INDEX($AI$264:$AI$295, INDEX($H$15:$O$18, INT((ROW(A757)-1)/8)+1, MOD(ROW(A757)-1,8)+1))</f>
        <v>#REF!</v>
      </c>
      <c r="AN1020" s="2" t="e">
        <f t="shared" ca="1" si="87"/>
        <v>#VALUE!</v>
      </c>
      <c r="AO1020" s="2" t="e">
        <f t="shared" si="88"/>
        <v>#REF!</v>
      </c>
    </row>
    <row r="1021" spans="2:41" x14ac:dyDescent="0.25">
      <c r="B1021" s="2">
        <v>23</v>
      </c>
      <c r="C1021" s="2">
        <v>0</v>
      </c>
      <c r="M1021" s="9">
        <v>23</v>
      </c>
      <c r="N1021" s="4" cm="1">
        <f t="array" ref="N1021">INDEX($F$999:$K$1006, INT((ROW(A23)-1)/6)+1, MOD(ROW(A820)-1,6)+1)</f>
        <v>1</v>
      </c>
      <c r="P1021" s="9">
        <v>13</v>
      </c>
      <c r="Q1021" s="4" t="e" cm="1">
        <f t="array" ref="Q1021">INDEX($P$264:$U$271, INT((ROW(A748)-1)/6)+1, MOD(ROW(A748)-1,6)+1)</f>
        <v>#REF!</v>
      </c>
      <c r="R1021" t="e">
        <f ca="1"/>
        <v>#VALUE!</v>
      </c>
      <c r="S1021" t="e">
        <f ca="1"/>
        <v>#VALUE!</v>
      </c>
      <c r="T1021" t="e">
        <f ca="1"/>
        <v>#VALUE!</v>
      </c>
      <c r="W1021" s="9">
        <v>23</v>
      </c>
      <c r="X1021" s="4" t="e">
        <f t="shared" si="83"/>
        <v>#REF!</v>
      </c>
      <c r="AH1021" s="9">
        <v>23</v>
      </c>
      <c r="AI1021" s="4" t="e" cm="1">
        <f t="array" ref="AI1021">MID(INDEX($AF$265:$AF$272,INT((ROW(A758)-1)/4)+1),MOD(ROW(A758)-1,4)+1,1)</f>
        <v>#REF!</v>
      </c>
      <c r="AK1021" s="9">
        <v>23</v>
      </c>
      <c r="AL1021" s="4" t="e" cm="1">
        <f t="array" ref="AL1021">INDEX($AI$264:$AI$295, INDEX($H$15:$O$18, INT((ROW(A758)-1)/8)+1, MOD(ROW(A758)-1,8)+1))</f>
        <v>#REF!</v>
      </c>
      <c r="AN1021" s="2" t="e">
        <f t="shared" ca="1" si="87"/>
        <v>#VALUE!</v>
      </c>
      <c r="AO1021" s="2" t="e">
        <f t="shared" si="88"/>
        <v>#REF!</v>
      </c>
    </row>
    <row r="1022" spans="2:41" x14ac:dyDescent="0.25">
      <c r="B1022" s="2">
        <v>24</v>
      </c>
      <c r="C1022" s="2">
        <v>1</v>
      </c>
      <c r="M1022" s="11">
        <v>24</v>
      </c>
      <c r="N1022" s="4" cm="1">
        <f t="array" ref="N1022">INDEX($F$999:$K$1006, INT((ROW(A24)-1)/6)+1, MOD(ROW(A821)-1,6)+1)</f>
        <v>0</v>
      </c>
      <c r="P1022" s="9">
        <v>14</v>
      </c>
      <c r="Q1022" s="4" t="e" cm="1">
        <f t="array" ref="Q1022">INDEX($P$264:$U$271, INT((ROW(A749)-1)/6)+1, MOD(ROW(A749)-1,6)+1)</f>
        <v>#REF!</v>
      </c>
      <c r="R1022" t="e">
        <f ca="1"/>
        <v>#VALUE!</v>
      </c>
      <c r="S1022" t="e">
        <f ca="1"/>
        <v>#VALUE!</v>
      </c>
      <c r="T1022" t="e">
        <f ca="1"/>
        <v>#VALUE!</v>
      </c>
      <c r="W1022" s="11">
        <v>24</v>
      </c>
      <c r="X1022" s="4" t="e">
        <f t="shared" si="83"/>
        <v>#REF!</v>
      </c>
      <c r="AH1022" s="11">
        <v>24</v>
      </c>
      <c r="AI1022" s="4" t="e" cm="1">
        <f t="array" ref="AI1022">MID(INDEX($AF$265:$AF$272,INT((ROW(A759)-1)/4)+1),MOD(ROW(A759)-1,4)+1,1)</f>
        <v>#REF!</v>
      </c>
      <c r="AK1022" s="11">
        <v>24</v>
      </c>
      <c r="AL1022" s="4" t="e" cm="1">
        <f t="array" ref="AL1022">INDEX($AI$264:$AI$295, INDEX($H$15:$O$18, INT((ROW(A759)-1)/8)+1, MOD(ROW(A759)-1,8)+1))</f>
        <v>#REF!</v>
      </c>
      <c r="AN1022" s="2" t="e">
        <f t="shared" ca="1" si="87"/>
        <v>#VALUE!</v>
      </c>
      <c r="AO1022" s="2" t="e">
        <f t="shared" si="88"/>
        <v>#REF!</v>
      </c>
    </row>
    <row r="1023" spans="2:41" x14ac:dyDescent="0.25">
      <c r="B1023" s="2">
        <v>25</v>
      </c>
      <c r="C1023" s="2">
        <v>0</v>
      </c>
      <c r="M1023" s="7">
        <v>25</v>
      </c>
      <c r="N1023" s="4" cm="1">
        <f t="array" ref="N1023">INDEX($F$999:$K$1006, INT((ROW(A25)-1)/6)+1, MOD(ROW(A822)-1,6)+1)</f>
        <v>0</v>
      </c>
      <c r="P1023" s="9">
        <v>15</v>
      </c>
      <c r="Q1023" s="4" t="e" cm="1">
        <f t="array" ref="Q1023">INDEX($P$264:$U$271, INT((ROW(A750)-1)/6)+1, MOD(ROW(A750)-1,6)+1)</f>
        <v>#REF!</v>
      </c>
      <c r="R1023" t="e">
        <f ca="1"/>
        <v>#VALUE!</v>
      </c>
      <c r="S1023" t="e">
        <f ca="1"/>
        <v>#VALUE!</v>
      </c>
      <c r="T1023" t="e">
        <f ca="1"/>
        <v>#VALUE!</v>
      </c>
      <c r="W1023" s="7">
        <v>25</v>
      </c>
      <c r="X1023" s="4" t="e">
        <f t="shared" si="83"/>
        <v>#REF!</v>
      </c>
      <c r="AH1023" s="7">
        <v>25</v>
      </c>
      <c r="AI1023" s="4" t="e" cm="1">
        <f t="array" ref="AI1023">MID(INDEX($AF$265:$AF$272,INT((ROW(A760)-1)/4)+1),MOD(ROW(A760)-1,4)+1,1)</f>
        <v>#REF!</v>
      </c>
      <c r="AK1023" s="7">
        <v>25</v>
      </c>
      <c r="AL1023" s="4" t="e" cm="1">
        <f t="array" ref="AL1023">INDEX($AI$264:$AI$295, INDEX($H$15:$O$18, INT((ROW(A760)-1)/8)+1, MOD(ROW(A760)-1,8)+1))</f>
        <v>#REF!</v>
      </c>
      <c r="AN1023" s="2" t="e">
        <f t="shared" ca="1" si="87"/>
        <v>#VALUE!</v>
      </c>
      <c r="AO1023" s="2" t="e">
        <f t="shared" si="88"/>
        <v>#REF!</v>
      </c>
    </row>
    <row r="1024" spans="2:41" x14ac:dyDescent="0.25">
      <c r="B1024" s="2">
        <v>26</v>
      </c>
      <c r="C1024" s="2">
        <v>1</v>
      </c>
      <c r="M1024" s="9">
        <v>26</v>
      </c>
      <c r="N1024" s="4" cm="1">
        <f t="array" ref="N1024">INDEX($F$999:$K$1006, INT((ROW(A26)-1)/6)+1, MOD(ROW(A823)-1,6)+1)</f>
        <v>0</v>
      </c>
      <c r="P1024" s="11">
        <v>16</v>
      </c>
      <c r="Q1024" s="4" t="e" cm="1">
        <f t="array" ref="Q1024">INDEX($P$264:$U$271, INT((ROW(A751)-1)/6)+1, MOD(ROW(A751)-1,6)+1)</f>
        <v>#REF!</v>
      </c>
      <c r="R1024" t="e">
        <f ca="1"/>
        <v>#VALUE!</v>
      </c>
      <c r="S1024" t="e">
        <f ca="1"/>
        <v>#VALUE!</v>
      </c>
      <c r="T1024" t="e">
        <f ca="1"/>
        <v>#VALUE!</v>
      </c>
      <c r="W1024" s="9">
        <v>26</v>
      </c>
      <c r="X1024" s="4" t="e">
        <f t="shared" si="83"/>
        <v>#REF!</v>
      </c>
      <c r="AH1024" s="9">
        <v>26</v>
      </c>
      <c r="AI1024" s="4" t="e" cm="1">
        <f t="array" ref="AI1024">MID(INDEX($AF$265:$AF$272,INT((ROW(A761)-1)/4)+1),MOD(ROW(A761)-1,4)+1,1)</f>
        <v>#REF!</v>
      </c>
      <c r="AK1024" s="9">
        <v>26</v>
      </c>
      <c r="AL1024" s="4" t="e" cm="1">
        <f t="array" ref="AL1024">INDEX($AI$264:$AI$295, INDEX($H$15:$O$18, INT((ROW(A761)-1)/8)+1, MOD(ROW(A761)-1,8)+1))</f>
        <v>#REF!</v>
      </c>
      <c r="AN1024" s="2" t="e">
        <f t="shared" ca="1" si="87"/>
        <v>#VALUE!</v>
      </c>
      <c r="AO1024" s="2" t="e">
        <f t="shared" si="88"/>
        <v>#REF!</v>
      </c>
    </row>
    <row r="1025" spans="2:41" x14ac:dyDescent="0.25">
      <c r="B1025" s="2">
        <v>27</v>
      </c>
      <c r="C1025" s="2">
        <v>0</v>
      </c>
      <c r="M1025" s="9">
        <v>27</v>
      </c>
      <c r="N1025" s="4" cm="1">
        <f t="array" ref="N1025">INDEX($F$999:$K$1006, INT((ROW(A27)-1)/6)+1, MOD(ROW(A824)-1,6)+1)</f>
        <v>0</v>
      </c>
      <c r="P1025" s="7">
        <v>17</v>
      </c>
      <c r="Q1025" s="4" t="e" cm="1">
        <f t="array" ref="Q1025">INDEX($P$264:$U$271, INT((ROW(A752)-1)/6)+1, MOD(ROW(A752)-1,6)+1)</f>
        <v>#REF!</v>
      </c>
      <c r="R1025" t="e">
        <f ca="1"/>
        <v>#VALUE!</v>
      </c>
      <c r="S1025" t="e">
        <f ca="1"/>
        <v>#VALUE!</v>
      </c>
      <c r="T1025" t="e">
        <f ca="1"/>
        <v>#VALUE!</v>
      </c>
      <c r="W1025" s="9">
        <v>27</v>
      </c>
      <c r="X1025" s="4" t="e">
        <f t="shared" si="83"/>
        <v>#REF!</v>
      </c>
      <c r="AH1025" s="9">
        <v>27</v>
      </c>
      <c r="AI1025" s="4" t="e" cm="1">
        <f t="array" ref="AI1025">MID(INDEX($AF$265:$AF$272,INT((ROW(A762)-1)/4)+1),MOD(ROW(A762)-1,4)+1,1)</f>
        <v>#REF!</v>
      </c>
      <c r="AK1025" s="9">
        <v>27</v>
      </c>
      <c r="AL1025" s="4" t="e" cm="1">
        <f t="array" ref="AL1025">INDEX($AI$264:$AI$295, INDEX($H$15:$O$18, INT((ROW(A762)-1)/8)+1, MOD(ROW(A762)-1,8)+1))</f>
        <v>#REF!</v>
      </c>
      <c r="AN1025" s="2" t="e">
        <f t="shared" ca="1" si="87"/>
        <v>#VALUE!</v>
      </c>
      <c r="AO1025" s="2" t="e">
        <f t="shared" si="88"/>
        <v>#REF!</v>
      </c>
    </row>
    <row r="1026" spans="2:41" x14ac:dyDescent="0.25">
      <c r="B1026" s="2">
        <v>28</v>
      </c>
      <c r="C1026" s="2">
        <v>1</v>
      </c>
      <c r="M1026" s="9">
        <v>28</v>
      </c>
      <c r="N1026" s="4" cm="1">
        <f t="array" ref="N1026">INDEX($F$999:$K$1006, INT((ROW(A28)-1)/6)+1, MOD(ROW(A825)-1,6)+1)</f>
        <v>0</v>
      </c>
      <c r="P1026" s="9">
        <v>18</v>
      </c>
      <c r="Q1026" s="4" t="e" cm="1">
        <f t="array" ref="Q1026">INDEX($P$264:$U$271, INT((ROW(A753)-1)/6)+1, MOD(ROW(A753)-1,6)+1)</f>
        <v>#REF!</v>
      </c>
      <c r="R1026" t="e">
        <f ca="1"/>
        <v>#VALUE!</v>
      </c>
      <c r="S1026" t="e">
        <f ca="1"/>
        <v>#VALUE!</v>
      </c>
      <c r="T1026" t="e">
        <f ca="1"/>
        <v>#VALUE!</v>
      </c>
      <c r="W1026" s="9">
        <v>28</v>
      </c>
      <c r="X1026" s="4" t="e">
        <f t="shared" si="83"/>
        <v>#REF!</v>
      </c>
      <c r="AH1026" s="9">
        <v>28</v>
      </c>
      <c r="AI1026" s="4" t="e" cm="1">
        <f t="array" ref="AI1026">MID(INDEX($AF$265:$AF$272,INT((ROW(A763)-1)/4)+1),MOD(ROW(A763)-1,4)+1,1)</f>
        <v>#REF!</v>
      </c>
      <c r="AK1026" s="9">
        <v>28</v>
      </c>
      <c r="AL1026" s="4" t="e" cm="1">
        <f t="array" ref="AL1026">INDEX($AI$264:$AI$295, INDEX($H$15:$O$18, INT((ROW(A763)-1)/8)+1, MOD(ROW(A763)-1,8)+1))</f>
        <v>#REF!</v>
      </c>
      <c r="AN1026" s="2" t="e">
        <f t="shared" ca="1" si="87"/>
        <v>#VALUE!</v>
      </c>
      <c r="AO1026" s="2" t="e">
        <f t="shared" si="88"/>
        <v>#REF!</v>
      </c>
    </row>
    <row r="1027" spans="2:41" x14ac:dyDescent="0.25">
      <c r="B1027" s="2">
        <v>29</v>
      </c>
      <c r="C1027" s="2">
        <v>0</v>
      </c>
      <c r="M1027" s="9">
        <v>29</v>
      </c>
      <c r="N1027" s="4" cm="1">
        <f t="array" ref="N1027">INDEX($F$999:$K$1006, INT((ROW(A29)-1)/6)+1, MOD(ROW(A826)-1,6)+1)</f>
        <v>0</v>
      </c>
      <c r="P1027" s="9">
        <v>19</v>
      </c>
      <c r="Q1027" s="4" t="e" cm="1">
        <f t="array" ref="Q1027">INDEX($P$264:$U$271, INT((ROW(A754)-1)/6)+1, MOD(ROW(A754)-1,6)+1)</f>
        <v>#REF!</v>
      </c>
      <c r="R1027" t="e">
        <f ca="1"/>
        <v>#VALUE!</v>
      </c>
      <c r="S1027" t="e">
        <f ca="1"/>
        <v>#VALUE!</v>
      </c>
      <c r="T1027" t="e">
        <f ca="1"/>
        <v>#VALUE!</v>
      </c>
      <c r="W1027" s="9">
        <v>29</v>
      </c>
      <c r="X1027" s="4" t="e">
        <f t="shared" si="83"/>
        <v>#REF!</v>
      </c>
      <c r="AH1027" s="9">
        <v>29</v>
      </c>
      <c r="AI1027" s="4" t="e" cm="1">
        <f t="array" ref="AI1027">MID(INDEX($AF$265:$AF$272,INT((ROW(A764)-1)/4)+1),MOD(ROW(A764)-1,4)+1,1)</f>
        <v>#REF!</v>
      </c>
      <c r="AK1027" s="9">
        <v>29</v>
      </c>
      <c r="AL1027" s="4" t="e" cm="1">
        <f t="array" ref="AL1027">INDEX($AI$264:$AI$295, INDEX($H$15:$O$18, INT((ROW(A764)-1)/8)+1, MOD(ROW(A764)-1,8)+1))</f>
        <v>#REF!</v>
      </c>
      <c r="AN1027" s="2" t="e">
        <f t="shared" ca="1" si="87"/>
        <v>#VALUE!</v>
      </c>
      <c r="AO1027" s="2" t="e">
        <f t="shared" si="88"/>
        <v>#REF!</v>
      </c>
    </row>
    <row r="1028" spans="2:41" x14ac:dyDescent="0.25">
      <c r="B1028" s="2">
        <v>30</v>
      </c>
      <c r="C1028" s="2">
        <v>1</v>
      </c>
      <c r="M1028" s="9">
        <v>30</v>
      </c>
      <c r="N1028" s="4" cm="1">
        <f t="array" ref="N1028">INDEX($F$999:$K$1006, INT((ROW(A30)-1)/6)+1, MOD(ROW(A827)-1,6)+1)</f>
        <v>1</v>
      </c>
      <c r="P1028" s="9">
        <v>20</v>
      </c>
      <c r="Q1028" s="4" t="e" cm="1">
        <f t="array" ref="Q1028">INDEX($P$264:$U$271, INT((ROW(A755)-1)/6)+1, MOD(ROW(A755)-1,6)+1)</f>
        <v>#REF!</v>
      </c>
      <c r="R1028" t="e">
        <f ca="1"/>
        <v>#VALUE!</v>
      </c>
      <c r="S1028" t="e">
        <f ca="1"/>
        <v>#VALUE!</v>
      </c>
      <c r="T1028" t="e">
        <f ca="1"/>
        <v>#VALUE!</v>
      </c>
      <c r="W1028" s="9">
        <v>30</v>
      </c>
      <c r="X1028" s="4" t="e">
        <f t="shared" si="83"/>
        <v>#REF!</v>
      </c>
      <c r="AH1028" s="9">
        <v>30</v>
      </c>
      <c r="AI1028" s="4" t="e" cm="1">
        <f t="array" ref="AI1028">MID(INDEX($AF$265:$AF$272,INT((ROW(A765)-1)/4)+1),MOD(ROW(A765)-1,4)+1,1)</f>
        <v>#REF!</v>
      </c>
      <c r="AK1028" s="9">
        <v>30</v>
      </c>
      <c r="AL1028" s="4" t="e" cm="1">
        <f t="array" ref="AL1028">INDEX($AI$264:$AI$295, INDEX($H$15:$O$18, INT((ROW(A765)-1)/8)+1, MOD(ROW(A765)-1,8)+1))</f>
        <v>#REF!</v>
      </c>
      <c r="AN1028" s="2" t="e">
        <f t="shared" ca="1" si="87"/>
        <v>#VALUE!</v>
      </c>
      <c r="AO1028" s="2" t="e">
        <f t="shared" si="88"/>
        <v>#REF!</v>
      </c>
    </row>
    <row r="1029" spans="2:41" x14ac:dyDescent="0.25">
      <c r="B1029" s="2">
        <v>31</v>
      </c>
      <c r="C1029" s="2">
        <v>0</v>
      </c>
      <c r="M1029" s="9">
        <v>31</v>
      </c>
      <c r="N1029" s="4" cm="1">
        <f t="array" ref="N1029">INDEX($F$999:$K$1006, INT((ROW(A31)-1)/6)+1, MOD(ROW(A828)-1,6)+1)</f>
        <v>1</v>
      </c>
      <c r="P1029" s="9">
        <v>21</v>
      </c>
      <c r="Q1029" s="4" t="e" cm="1">
        <f t="array" ref="Q1029">INDEX($P$264:$U$271, INT((ROW(A756)-1)/6)+1, MOD(ROW(A756)-1,6)+1)</f>
        <v>#REF!</v>
      </c>
      <c r="R1029" t="e">
        <f ca="1"/>
        <v>#VALUE!</v>
      </c>
      <c r="S1029" t="e">
        <f ca="1"/>
        <v>#VALUE!</v>
      </c>
      <c r="T1029" t="e">
        <f ca="1"/>
        <v>#VALUE!</v>
      </c>
      <c r="W1029" s="9">
        <v>31</v>
      </c>
      <c r="X1029" s="4" t="e">
        <f t="shared" si="83"/>
        <v>#REF!</v>
      </c>
      <c r="AH1029" s="9">
        <v>31</v>
      </c>
      <c r="AI1029" s="4" t="e" cm="1">
        <f t="array" ref="AI1029">MID(INDEX($AF$265:$AF$272,INT((ROW(A766)-1)/4)+1),MOD(ROW(A766)-1,4)+1,1)</f>
        <v>#REF!</v>
      </c>
      <c r="AK1029" s="9">
        <v>31</v>
      </c>
      <c r="AL1029" s="4" t="e" cm="1">
        <f t="array" ref="AL1029">INDEX($AI$264:$AI$295, INDEX($H$15:$O$18, INT((ROW(A766)-1)/8)+1, MOD(ROW(A766)-1,8)+1))</f>
        <v>#REF!</v>
      </c>
      <c r="AN1029" s="2" t="e">
        <f t="shared" ca="1" si="87"/>
        <v>#VALUE!</v>
      </c>
      <c r="AO1029" s="2" t="e">
        <f t="shared" si="88"/>
        <v>#REF!</v>
      </c>
    </row>
    <row r="1030" spans="2:41" x14ac:dyDescent="0.25">
      <c r="B1030" s="2">
        <v>32</v>
      </c>
      <c r="C1030" s="2">
        <v>1</v>
      </c>
      <c r="M1030" s="11">
        <v>32</v>
      </c>
      <c r="N1030" s="4" cm="1">
        <f t="array" ref="N1030">INDEX($F$999:$K$1006, INT((ROW(A32)-1)/6)+1, MOD(ROW(A829)-1,6)+1)</f>
        <v>1</v>
      </c>
      <c r="P1030" s="9">
        <v>22</v>
      </c>
      <c r="Q1030" s="4" t="e" cm="1">
        <f t="array" ref="Q1030">INDEX($P$264:$U$271, INT((ROW(A757)-1)/6)+1, MOD(ROW(A757)-1,6)+1)</f>
        <v>#REF!</v>
      </c>
      <c r="R1030" t="e">
        <f ca="1"/>
        <v>#VALUE!</v>
      </c>
      <c r="S1030" t="e">
        <f ca="1"/>
        <v>#VALUE!</v>
      </c>
      <c r="T1030" t="e">
        <f ca="1"/>
        <v>#VALUE!</v>
      </c>
      <c r="W1030" s="11">
        <v>32</v>
      </c>
      <c r="X1030" s="4" t="e">
        <f t="shared" si="83"/>
        <v>#REF!</v>
      </c>
      <c r="AH1030" s="11">
        <v>32</v>
      </c>
      <c r="AI1030" s="4" t="e" cm="1">
        <f t="array" ref="AI1030">MID(INDEX($AF$265:$AF$272,INT((ROW(A767)-1)/4)+1),MOD(ROW(A767)-1,4)+1,1)</f>
        <v>#REF!</v>
      </c>
      <c r="AK1030" s="11">
        <v>32</v>
      </c>
      <c r="AL1030" s="4" t="e" cm="1">
        <f t="array" ref="AL1030">INDEX($AI$264:$AI$295, INDEX($H$15:$O$18, INT((ROW(A767)-1)/8)+1, MOD(ROW(A767)-1,8)+1))</f>
        <v>#REF!</v>
      </c>
      <c r="AN1030" s="2" t="e">
        <f t="shared" ca="1" si="87"/>
        <v>#VALUE!</v>
      </c>
      <c r="AO1030" s="2" t="e">
        <f t="shared" si="88"/>
        <v>#REF!</v>
      </c>
    </row>
    <row r="1031" spans="2:41" x14ac:dyDescent="0.25">
      <c r="B1031" s="2">
        <v>33</v>
      </c>
      <c r="C1031" s="2">
        <v>0</v>
      </c>
      <c r="M1031" s="7">
        <v>33</v>
      </c>
      <c r="N1031" s="4" cm="1">
        <f t="array" ref="N1031">INDEX($F$999:$K$1006, INT((ROW(A33)-1)/6)+1, MOD(ROW(A830)-1,6)+1)</f>
        <v>0</v>
      </c>
      <c r="P1031" s="9">
        <v>23</v>
      </c>
      <c r="Q1031" s="4" t="e" cm="1">
        <f t="array" ref="Q1031">INDEX($P$264:$U$271, INT((ROW(A758)-1)/6)+1, MOD(ROW(A758)-1,6)+1)</f>
        <v>#REF!</v>
      </c>
      <c r="R1031" t="e">
        <f ca="1"/>
        <v>#VALUE!</v>
      </c>
      <c r="S1031" t="e">
        <f ca="1"/>
        <v>#VALUE!</v>
      </c>
      <c r="T1031" t="e">
        <f ca="1"/>
        <v>#VALUE!</v>
      </c>
      <c r="W1031" s="7">
        <v>33</v>
      </c>
      <c r="X1031" s="4" t="e">
        <f t="shared" si="83"/>
        <v>#REF!</v>
      </c>
      <c r="AN1031" s="2" t="e">
        <f t="shared" ca="1" si="87"/>
        <v>#VALUE!</v>
      </c>
      <c r="AO1031" s="2" t="e">
        <f t="shared" si="88"/>
        <v>#REF!</v>
      </c>
    </row>
    <row r="1032" spans="2:41" x14ac:dyDescent="0.25">
      <c r="B1032" s="2">
        <v>34</v>
      </c>
      <c r="C1032" s="2">
        <v>1</v>
      </c>
      <c r="M1032" s="9">
        <v>34</v>
      </c>
      <c r="N1032" s="4" cm="1">
        <f t="array" ref="N1032">INDEX($F$999:$K$1006, INT((ROW(A34)-1)/6)+1, MOD(ROW(A831)-1,6)+1)</f>
        <v>0</v>
      </c>
      <c r="P1032" s="11">
        <v>24</v>
      </c>
      <c r="Q1032" s="4" t="e" cm="1">
        <f t="array" ref="Q1032">INDEX($P$264:$U$271, INT((ROW(A759)-1)/6)+1, MOD(ROW(A759)-1,6)+1)</f>
        <v>#REF!</v>
      </c>
      <c r="R1032" t="e">
        <f ca="1"/>
        <v>#VALUE!</v>
      </c>
      <c r="S1032" t="e">
        <f ca="1"/>
        <v>#VALUE!</v>
      </c>
      <c r="T1032" t="e">
        <f ca="1"/>
        <v>#VALUE!</v>
      </c>
      <c r="W1032" s="9">
        <v>34</v>
      </c>
      <c r="X1032" s="4" t="e">
        <f t="shared" si="83"/>
        <v>#REF!</v>
      </c>
    </row>
    <row r="1033" spans="2:41" x14ac:dyDescent="0.25">
      <c r="B1033" s="2">
        <v>35</v>
      </c>
      <c r="C1033" s="2">
        <v>0</v>
      </c>
      <c r="M1033" s="9">
        <v>35</v>
      </c>
      <c r="N1033" s="4" cm="1">
        <f t="array" ref="N1033">INDEX($F$999:$K$1006, INT((ROW(A35)-1)/6)+1, MOD(ROW(A832)-1,6)+1)</f>
        <v>0</v>
      </c>
      <c r="P1033" s="7">
        <v>25</v>
      </c>
      <c r="Q1033" s="4" t="e" cm="1">
        <f t="array" ref="Q1033">INDEX($P$264:$U$271, INT((ROW(A760)-1)/6)+1, MOD(ROW(A760)-1,6)+1)</f>
        <v>#REF!</v>
      </c>
      <c r="R1033" t="e">
        <f ca="1"/>
        <v>#VALUE!</v>
      </c>
      <c r="S1033" t="e">
        <f ca="1"/>
        <v>#VALUE!</v>
      </c>
      <c r="T1033" t="e">
        <f ca="1"/>
        <v>#VALUE!</v>
      </c>
      <c r="W1033" s="9">
        <v>35</v>
      </c>
      <c r="X1033" s="4" t="e">
        <f t="shared" si="83"/>
        <v>#REF!</v>
      </c>
    </row>
    <row r="1034" spans="2:41" x14ac:dyDescent="0.25">
      <c r="B1034" s="2">
        <v>36</v>
      </c>
      <c r="C1034" s="2">
        <v>1</v>
      </c>
      <c r="M1034" s="9">
        <v>36</v>
      </c>
      <c r="N1034" s="4" cm="1">
        <f t="array" ref="N1034">INDEX($F$999:$K$1006, INT((ROW(A36)-1)/6)+1, MOD(ROW(A833)-1,6)+1)</f>
        <v>0</v>
      </c>
      <c r="P1034" s="9">
        <v>26</v>
      </c>
      <c r="Q1034" s="4" t="e" cm="1">
        <f t="array" ref="Q1034">INDEX($P$264:$U$271, INT((ROW(A761)-1)/6)+1, MOD(ROW(A761)-1,6)+1)</f>
        <v>#REF!</v>
      </c>
      <c r="R1034" t="e">
        <f ca="1"/>
        <v>#VALUE!</v>
      </c>
      <c r="S1034" t="e">
        <f ca="1"/>
        <v>#VALUE!</v>
      </c>
      <c r="T1034" t="e">
        <f ca="1"/>
        <v>#VALUE!</v>
      </c>
      <c r="W1034" s="9">
        <v>36</v>
      </c>
      <c r="X1034" s="4" t="e">
        <f t="shared" si="83"/>
        <v>#REF!</v>
      </c>
    </row>
    <row r="1035" spans="2:41" x14ac:dyDescent="0.25">
      <c r="B1035" s="2">
        <v>37</v>
      </c>
      <c r="C1035" s="2">
        <v>0</v>
      </c>
      <c r="M1035" s="9">
        <v>37</v>
      </c>
      <c r="N1035" s="4" cm="1">
        <f t="array" ref="N1035">INDEX($F$999:$K$1006, INT((ROW(A37)-1)/6)+1, MOD(ROW(A834)-1,6)+1)</f>
        <v>0</v>
      </c>
      <c r="P1035" s="9">
        <v>27</v>
      </c>
      <c r="Q1035" s="4" t="e" cm="1">
        <f t="array" ref="Q1035">INDEX($P$264:$U$271, INT((ROW(A762)-1)/6)+1, MOD(ROW(A762)-1,6)+1)</f>
        <v>#REF!</v>
      </c>
      <c r="R1035" t="e">
        <f ca="1"/>
        <v>#VALUE!</v>
      </c>
      <c r="S1035" t="e">
        <f ca="1"/>
        <v>#VALUE!</v>
      </c>
      <c r="T1035" t="e">
        <f ca="1"/>
        <v>#VALUE!</v>
      </c>
      <c r="W1035" s="9">
        <v>37</v>
      </c>
      <c r="X1035" s="4" t="e">
        <f t="shared" si="83"/>
        <v>#REF!</v>
      </c>
    </row>
    <row r="1036" spans="2:41" x14ac:dyDescent="0.25">
      <c r="B1036" s="2">
        <v>38</v>
      </c>
      <c r="C1036" s="2">
        <v>1</v>
      </c>
      <c r="M1036" s="9">
        <v>38</v>
      </c>
      <c r="N1036" s="4" cm="1">
        <f t="array" ref="N1036">INDEX($F$999:$K$1006, INT((ROW(A38)-1)/6)+1, MOD(ROW(A835)-1,6)+1)</f>
        <v>0</v>
      </c>
      <c r="P1036" s="9">
        <v>28</v>
      </c>
      <c r="Q1036" s="4" t="e" cm="1">
        <f t="array" ref="Q1036">INDEX($P$264:$U$271, INT((ROW(A763)-1)/6)+1, MOD(ROW(A763)-1,6)+1)</f>
        <v>#REF!</v>
      </c>
      <c r="R1036" t="e">
        <f ca="1"/>
        <v>#VALUE!</v>
      </c>
      <c r="S1036" t="e">
        <f ca="1"/>
        <v>#VALUE!</v>
      </c>
      <c r="T1036" t="e">
        <f ca="1"/>
        <v>#VALUE!</v>
      </c>
      <c r="W1036" s="9">
        <v>38</v>
      </c>
      <c r="X1036" s="4" t="e">
        <f t="shared" si="83"/>
        <v>#REF!</v>
      </c>
    </row>
    <row r="1037" spans="2:41" x14ac:dyDescent="0.25">
      <c r="B1037" s="2">
        <v>39</v>
      </c>
      <c r="C1037" s="2">
        <v>1</v>
      </c>
      <c r="M1037" s="9">
        <v>39</v>
      </c>
      <c r="N1037" s="4" cm="1">
        <f t="array" ref="N1037">INDEX($F$999:$K$1006, INT((ROW(A39)-1)/6)+1, MOD(ROW(A836)-1,6)+1)</f>
        <v>1</v>
      </c>
      <c r="P1037" s="9">
        <v>29</v>
      </c>
      <c r="Q1037" s="4" t="e" cm="1">
        <f t="array" ref="Q1037">INDEX($P$264:$U$271, INT((ROW(A764)-1)/6)+1, MOD(ROW(A764)-1,6)+1)</f>
        <v>#REF!</v>
      </c>
      <c r="R1037" t="e">
        <f ca="1"/>
        <v>#VALUE!</v>
      </c>
      <c r="S1037" t="e">
        <f ca="1"/>
        <v>#VALUE!</v>
      </c>
      <c r="T1037" t="e">
        <f ca="1"/>
        <v>#VALUE!</v>
      </c>
      <c r="W1037" s="9">
        <v>39</v>
      </c>
      <c r="X1037" s="4" t="e">
        <f t="shared" si="83"/>
        <v>#REF!</v>
      </c>
    </row>
    <row r="1038" spans="2:41" x14ac:dyDescent="0.25">
      <c r="B1038" s="2">
        <v>40</v>
      </c>
      <c r="C1038" s="2">
        <v>0</v>
      </c>
      <c r="M1038" s="11">
        <v>40</v>
      </c>
      <c r="N1038" s="4" cm="1">
        <f t="array" ref="N1038">INDEX($F$999:$K$1006, INT((ROW(A40)-1)/6)+1, MOD(ROW(A837)-1,6)+1)</f>
        <v>1</v>
      </c>
      <c r="P1038" s="9">
        <v>30</v>
      </c>
      <c r="Q1038" s="4" t="e" cm="1">
        <f t="array" ref="Q1038">INDEX($P$264:$U$271, INT((ROW(A765)-1)/6)+1, MOD(ROW(A765)-1,6)+1)</f>
        <v>#REF!</v>
      </c>
      <c r="W1038" s="11">
        <v>40</v>
      </c>
      <c r="X1038" s="4" t="e">
        <f t="shared" si="83"/>
        <v>#REF!</v>
      </c>
    </row>
    <row r="1039" spans="2:41" x14ac:dyDescent="0.25">
      <c r="B1039" s="2">
        <v>41</v>
      </c>
      <c r="C1039" s="2">
        <v>0</v>
      </c>
      <c r="M1039" s="7">
        <v>41</v>
      </c>
      <c r="N1039" s="4" cm="1">
        <f t="array" ref="N1039">INDEX($F$999:$K$1006, INT((ROW(A41)-1)/6)+1, MOD(ROW(A838)-1,6)+1)</f>
        <v>1</v>
      </c>
      <c r="P1039" s="9">
        <v>31</v>
      </c>
      <c r="Q1039" s="4" t="e" cm="1">
        <f t="array" ref="Q1039">INDEX($P$264:$U$271, INT((ROW(A766)-1)/6)+1, MOD(ROW(A766)-1,6)+1)</f>
        <v>#REF!</v>
      </c>
      <c r="W1039" s="7">
        <v>41</v>
      </c>
      <c r="X1039" s="4" t="e">
        <f t="shared" si="83"/>
        <v>#REF!</v>
      </c>
    </row>
    <row r="1040" spans="2:41" x14ac:dyDescent="0.25">
      <c r="B1040" s="2">
        <v>42</v>
      </c>
      <c r="C1040" s="2">
        <v>1</v>
      </c>
      <c r="M1040" s="9">
        <v>42</v>
      </c>
      <c r="N1040" s="4" cm="1">
        <f t="array" ref="N1040">INDEX($F$999:$K$1006, INT((ROW(A42)-1)/6)+1, MOD(ROW(A839)-1,6)+1)</f>
        <v>1</v>
      </c>
      <c r="P1040" s="11">
        <v>32</v>
      </c>
      <c r="Q1040" s="4" t="e" cm="1">
        <f t="array" ref="Q1040">INDEX($P$264:$U$271, INT((ROW(A767)-1)/6)+1, MOD(ROW(A767)-1,6)+1)</f>
        <v>#REF!</v>
      </c>
      <c r="W1040" s="9">
        <v>42</v>
      </c>
      <c r="X1040" s="4" t="e">
        <f t="shared" si="83"/>
        <v>#REF!</v>
      </c>
    </row>
    <row r="1041" spans="2:24" x14ac:dyDescent="0.25">
      <c r="B1041" s="2">
        <v>43</v>
      </c>
      <c r="C1041" s="2">
        <v>1</v>
      </c>
      <c r="M1041" s="9">
        <v>43</v>
      </c>
      <c r="N1041" s="4" cm="1">
        <f t="array" ref="N1041">INDEX($F$999:$K$1006, INT((ROW(A43)-1)/6)+1, MOD(ROW(A840)-1,6)+1)</f>
        <v>1</v>
      </c>
      <c r="P1041" s="7">
        <v>33</v>
      </c>
      <c r="Q1041" s="4" t="e" cm="1">
        <f t="array" ref="Q1041">INDEX($P$264:$U$271, INT((ROW(A768)-1)/6)+1, MOD(ROW(A768)-1,6)+1)</f>
        <v>#REF!</v>
      </c>
      <c r="W1041" s="9">
        <v>43</v>
      </c>
      <c r="X1041" s="4" t="e">
        <f t="shared" si="83"/>
        <v>#REF!</v>
      </c>
    </row>
    <row r="1042" spans="2:24" x14ac:dyDescent="0.25">
      <c r="B1042" s="2">
        <v>44</v>
      </c>
      <c r="C1042" s="2">
        <v>0</v>
      </c>
      <c r="M1042" s="9">
        <v>44</v>
      </c>
      <c r="N1042" s="4" cm="1">
        <f t="array" ref="N1042">INDEX($F$999:$K$1006, INT((ROW(A44)-1)/6)+1, MOD(ROW(A841)-1,6)+1)</f>
        <v>1</v>
      </c>
      <c r="P1042" s="9">
        <v>34</v>
      </c>
      <c r="Q1042" s="4" t="e" cm="1">
        <f t="array" ref="Q1042">INDEX($P$264:$U$271, INT((ROW(A769)-1)/6)+1, MOD(ROW(A769)-1,6)+1)</f>
        <v>#REF!</v>
      </c>
      <c r="W1042" s="9">
        <v>44</v>
      </c>
      <c r="X1042" s="4" t="e">
        <f t="shared" si="83"/>
        <v>#REF!</v>
      </c>
    </row>
    <row r="1043" spans="2:24" x14ac:dyDescent="0.25">
      <c r="B1043" s="2">
        <v>45</v>
      </c>
      <c r="C1043" s="2">
        <v>0</v>
      </c>
      <c r="M1043" s="9">
        <v>45</v>
      </c>
      <c r="N1043" s="4" cm="1">
        <f t="array" ref="N1043">INDEX($F$999:$K$1006, INT((ROW(A45)-1)/6)+1, MOD(ROW(A842)-1,6)+1)</f>
        <v>1</v>
      </c>
      <c r="P1043" s="9">
        <v>35</v>
      </c>
      <c r="Q1043" s="4" t="e" cm="1">
        <f t="array" ref="Q1043">INDEX($P$264:$U$271, INT((ROW(A770)-1)/6)+1, MOD(ROW(A770)-1,6)+1)</f>
        <v>#REF!</v>
      </c>
      <c r="W1043" s="9">
        <v>45</v>
      </c>
      <c r="X1043" s="4" t="e">
        <f t="shared" si="83"/>
        <v>#REF!</v>
      </c>
    </row>
    <row r="1044" spans="2:24" x14ac:dyDescent="0.25">
      <c r="B1044" s="2">
        <v>46</v>
      </c>
      <c r="C1044" s="2">
        <v>1</v>
      </c>
      <c r="M1044" s="9">
        <v>46</v>
      </c>
      <c r="N1044" s="4" cm="1">
        <f t="array" ref="N1044">INDEX($F$999:$K$1006, INT((ROW(A46)-1)/6)+1, MOD(ROW(A843)-1,6)+1)</f>
        <v>0</v>
      </c>
      <c r="P1044" s="9">
        <v>36</v>
      </c>
      <c r="Q1044" s="4" t="e" cm="1">
        <f t="array" ref="Q1044">INDEX($P$264:$U$271, INT((ROW(A771)-1)/6)+1, MOD(ROW(A771)-1,6)+1)</f>
        <v>#REF!</v>
      </c>
      <c r="W1044" s="9">
        <v>46</v>
      </c>
      <c r="X1044" s="4" t="e">
        <f t="shared" si="83"/>
        <v>#REF!</v>
      </c>
    </row>
    <row r="1045" spans="2:24" x14ac:dyDescent="0.25">
      <c r="B1045" s="2">
        <v>47</v>
      </c>
      <c r="C1045" s="2">
        <v>1</v>
      </c>
      <c r="M1045" s="9">
        <v>47</v>
      </c>
      <c r="N1045" s="4" cm="1">
        <f t="array" ref="N1045">INDEX($F$999:$K$1006, INT((ROW(A47)-1)/6)+1, MOD(ROW(A844)-1,6)+1)</f>
        <v>1</v>
      </c>
      <c r="P1045" s="9">
        <v>37</v>
      </c>
      <c r="Q1045" s="4" t="e" cm="1">
        <f t="array" ref="Q1045">INDEX($P$264:$U$271, INT((ROW(A772)-1)/6)+1, MOD(ROW(A772)-1,6)+1)</f>
        <v>#REF!</v>
      </c>
      <c r="W1045" s="9">
        <v>47</v>
      </c>
      <c r="X1045" s="4" t="e">
        <f t="shared" si="83"/>
        <v>#REF!</v>
      </c>
    </row>
    <row r="1046" spans="2:24" x14ac:dyDescent="0.25">
      <c r="B1046" s="2">
        <v>48</v>
      </c>
      <c r="C1046" s="2">
        <v>1</v>
      </c>
      <c r="M1046" s="11">
        <v>48</v>
      </c>
      <c r="N1046" s="4" cm="1">
        <f t="array" ref="N1046">INDEX($F$999:$K$1006, INT((ROW(A48)-1)/6)+1, MOD(ROW(A845)-1,6)+1)</f>
        <v>0</v>
      </c>
      <c r="P1046" s="9">
        <v>38</v>
      </c>
      <c r="Q1046" s="4" t="e" cm="1">
        <f t="array" ref="Q1046">INDEX($P$264:$U$271, INT((ROW(A773)-1)/6)+1, MOD(ROW(A773)-1,6)+1)</f>
        <v>#REF!</v>
      </c>
      <c r="W1046" s="11">
        <v>48</v>
      </c>
      <c r="X1046" s="4" t="e">
        <f t="shared" si="83"/>
        <v>#REF!</v>
      </c>
    </row>
    <row r="1047" spans="2:24" x14ac:dyDescent="0.25">
      <c r="B1047" s="2">
        <v>49</v>
      </c>
      <c r="C1047" s="2">
        <v>1</v>
      </c>
      <c r="P1047" s="9">
        <v>39</v>
      </c>
      <c r="Q1047" s="4" t="e" cm="1">
        <f t="array" ref="Q1047">INDEX($P$264:$U$271, INT((ROW(A774)-1)/6)+1, MOD(ROW(A774)-1,6)+1)</f>
        <v>#REF!</v>
      </c>
    </row>
    <row r="1048" spans="2:24" x14ac:dyDescent="0.25">
      <c r="B1048" s="2">
        <v>50</v>
      </c>
      <c r="C1048" s="2">
        <v>0</v>
      </c>
      <c r="P1048" s="11">
        <v>40</v>
      </c>
      <c r="Q1048" s="4" t="e" cm="1">
        <f t="array" ref="Q1048">INDEX($P$264:$U$271, INT((ROW(A775)-1)/6)+1, MOD(ROW(A775)-1,6)+1)</f>
        <v>#REF!</v>
      </c>
    </row>
    <row r="1049" spans="2:24" x14ac:dyDescent="0.25">
      <c r="B1049" s="2">
        <v>51</v>
      </c>
      <c r="C1049" s="2">
        <v>0</v>
      </c>
      <c r="P1049" s="7">
        <v>41</v>
      </c>
      <c r="Q1049" s="4" t="e" cm="1">
        <f t="array" ref="Q1049">INDEX($P$264:$U$271, INT((ROW(A776)-1)/6)+1, MOD(ROW(A776)-1,6)+1)</f>
        <v>#REF!</v>
      </c>
    </row>
    <row r="1050" spans="2:24" x14ac:dyDescent="0.25">
      <c r="B1050" s="2">
        <v>52</v>
      </c>
      <c r="C1050" s="2">
        <v>0</v>
      </c>
      <c r="P1050" s="9">
        <v>42</v>
      </c>
      <c r="Q1050" s="4" t="e" cm="1">
        <f t="array" ref="Q1050">INDEX($P$264:$U$271, INT((ROW(A777)-1)/6)+1, MOD(ROW(A777)-1,6)+1)</f>
        <v>#REF!</v>
      </c>
    </row>
    <row r="1051" spans="2:24" x14ac:dyDescent="0.25">
      <c r="B1051" s="2">
        <v>53</v>
      </c>
      <c r="C1051" s="2">
        <v>0</v>
      </c>
      <c r="P1051" s="9">
        <v>43</v>
      </c>
      <c r="Q1051" s="4" t="e" cm="1">
        <f t="array" ref="Q1051">INDEX($P$264:$U$271, INT((ROW(A778)-1)/6)+1, MOD(ROW(A778)-1,6)+1)</f>
        <v>#REF!</v>
      </c>
    </row>
    <row r="1052" spans="2:24" x14ac:dyDescent="0.25">
      <c r="B1052" s="2">
        <v>54</v>
      </c>
      <c r="C1052" s="2">
        <v>1</v>
      </c>
      <c r="P1052" s="9">
        <v>44</v>
      </c>
      <c r="Q1052" s="4" t="e" cm="1">
        <f t="array" ref="Q1052">INDEX($P$264:$U$271, INT((ROW(A779)-1)/6)+1, MOD(ROW(A779)-1,6)+1)</f>
        <v>#REF!</v>
      </c>
    </row>
    <row r="1053" spans="2:24" x14ac:dyDescent="0.25">
      <c r="B1053" s="2">
        <v>55</v>
      </c>
      <c r="C1053" s="2">
        <v>0</v>
      </c>
      <c r="P1053" s="9">
        <v>45</v>
      </c>
      <c r="Q1053" s="4" t="e" cm="1">
        <f t="array" ref="Q1053">INDEX($P$264:$U$271, INT((ROW(A780)-1)/6)+1, MOD(ROW(A780)-1,6)+1)</f>
        <v>#REF!</v>
      </c>
    </row>
    <row r="1054" spans="2:24" x14ac:dyDescent="0.25">
      <c r="B1054" s="2">
        <v>56</v>
      </c>
      <c r="C1054" s="2">
        <v>1</v>
      </c>
      <c r="P1054" s="9">
        <v>46</v>
      </c>
      <c r="Q1054" s="4" t="e" cm="1">
        <f t="array" ref="Q1054">INDEX($P$264:$U$271, INT((ROW(A781)-1)/6)+1, MOD(ROW(A781)-1,6)+1)</f>
        <v>#REF!</v>
      </c>
    </row>
    <row r="1055" spans="2:24" x14ac:dyDescent="0.25">
      <c r="P1055" s="9">
        <v>47</v>
      </c>
      <c r="Q1055" s="4" t="e" cm="1">
        <f t="array" ref="Q1055">INDEX($P$264:$U$271, INT((ROW(A782)-1)/6)+1, MOD(ROW(A782)-1,6)+1)</f>
        <v>#REF!</v>
      </c>
    </row>
    <row r="1056" spans="2:24" x14ac:dyDescent="0.25">
      <c r="P1056" s="11">
        <v>48</v>
      </c>
      <c r="Q1056" s="4" t="e" cm="1">
        <f t="array" ref="Q1056">INDEX($P$264:$U$271, INT((ROW(A783)-1)/6)+1, MOD(ROW(A783)-1,6)+1)</f>
        <v>#REF!</v>
      </c>
    </row>
    <row r="1057" spans="2:41" x14ac:dyDescent="0.25">
      <c r="B1057" t="s">
        <v>71</v>
      </c>
    </row>
    <row r="1059" spans="2:41" x14ac:dyDescent="0.25">
      <c r="B1059" s="2" t="s">
        <v>3</v>
      </c>
      <c r="C1059" s="2" t="s">
        <v>72</v>
      </c>
      <c r="F1059" s="39" t="s">
        <v>23</v>
      </c>
      <c r="G1059" s="40"/>
      <c r="H1059" s="40"/>
      <c r="I1059" s="40"/>
      <c r="J1059" s="40"/>
      <c r="K1059" s="41"/>
      <c r="M1059" s="37" t="s">
        <v>73</v>
      </c>
      <c r="N1059" s="43"/>
      <c r="P1059" s="39" t="s">
        <v>93</v>
      </c>
      <c r="Q1059" s="40"/>
      <c r="R1059" s="40"/>
      <c r="S1059" s="40"/>
      <c r="T1059" s="40"/>
      <c r="U1059" s="41"/>
      <c r="W1059" s="2" t="s">
        <v>3</v>
      </c>
      <c r="X1059" s="18" t="s">
        <v>95</v>
      </c>
      <c r="Z1059" s="42" t="s">
        <v>77</v>
      </c>
      <c r="AA1059" s="42" t="s">
        <v>74</v>
      </c>
      <c r="AB1059" s="42"/>
      <c r="AC1059" s="42" t="s">
        <v>75</v>
      </c>
      <c r="AD1059" s="42" t="s">
        <v>76</v>
      </c>
      <c r="AE1059" s="36" t="s">
        <v>78</v>
      </c>
      <c r="AF1059" s="36" t="s">
        <v>79</v>
      </c>
      <c r="AH1059" s="37" t="s">
        <v>96</v>
      </c>
      <c r="AI1059" s="38"/>
      <c r="AK1059" s="37" t="s">
        <v>97</v>
      </c>
      <c r="AL1059" s="38"/>
      <c r="AN1059" s="36" t="s">
        <v>98</v>
      </c>
      <c r="AO1059" s="36"/>
    </row>
    <row r="1060" spans="2:41" x14ac:dyDescent="0.25">
      <c r="B1060" s="2">
        <v>1</v>
      </c>
      <c r="C1060" s="2">
        <v>1</v>
      </c>
      <c r="F1060" s="15" cm="1">
        <f t="array" ref="F1060">INDEX($C$1060:$C$1115, H41)</f>
        <v>1</v>
      </c>
      <c r="G1060" s="15" cm="1">
        <f t="array" ref="G1060">INDEX($C$1060:$C$1115, I41)</f>
        <v>1</v>
      </c>
      <c r="H1060" s="15" cm="1">
        <f t="array" ref="H1060">INDEX($C$1060:$C$1115, J41)</f>
        <v>0</v>
      </c>
      <c r="I1060" s="15" cm="1">
        <f t="array" ref="I1060">INDEX($C$1060:$C$1115, K41)</f>
        <v>0</v>
      </c>
      <c r="J1060" s="15" cm="1">
        <f t="array" ref="J1060">INDEX($C$1060:$C$1115, L41)</f>
        <v>1</v>
      </c>
      <c r="K1060" s="15" cm="1">
        <f t="array" ref="K1060">INDEX($C$1060:$C$1115, M41)</f>
        <v>0</v>
      </c>
      <c r="M1060" s="7">
        <v>1</v>
      </c>
      <c r="N1060" s="4" cm="1">
        <f t="array" ref="N1060">INDEX($F$1060:$K$1067, INT((ROW(A1)-1)/6)+1, MOD(ROW(A859)-1,6)+1)</f>
        <v>1</v>
      </c>
      <c r="P1060" s="15" t="e" cm="1" vm="1">
        <f t="array" aca="1" ref="P1060" ca="1">INDEX($AO$204:$AO$235, H847)</f>
        <v>#VALUE!</v>
      </c>
      <c r="Q1060" s="15" t="e" cm="1" vm="1">
        <f t="array" aca="1" ref="Q1060" ca="1">INDEX($AO$204:$AO$235, I847)</f>
        <v>#VALUE!</v>
      </c>
      <c r="R1060" s="15" t="e" cm="1" vm="1">
        <f t="array" aca="1" ref="R1060" ca="1">INDEX($AO$204:$AO$235, J847)</f>
        <v>#VALUE!</v>
      </c>
      <c r="S1060" s="15" t="e" cm="1" vm="1">
        <f t="array" aca="1" ref="S1060" ca="1">INDEX($AO$204:$AO$235, K847)</f>
        <v>#VALUE!</v>
      </c>
      <c r="T1060" s="15" t="e" cm="1" vm="1">
        <f t="array" aca="1" ref="T1060" ca="1">INDEX($AO$204:$AO$235, L847)</f>
        <v>#VALUE!</v>
      </c>
      <c r="U1060" s="15" t="e" cm="1">
        <f t="array" aca="1" ref="U1060" ca="1">INDEX($AO$204:$AO$235, M847)</f>
        <v>#VALUE!</v>
      </c>
      <c r="W1060" s="7">
        <v>1</v>
      </c>
      <c r="X1060" s="4" t="e">
        <f>_xlfn.BITXOR(Q1070, N1060)</f>
        <v>#REF!</v>
      </c>
      <c r="Z1060" s="42"/>
      <c r="AA1060" s="42"/>
      <c r="AB1060" s="42"/>
      <c r="AC1060" s="42"/>
      <c r="AD1060" s="42"/>
      <c r="AE1060" s="36"/>
      <c r="AF1060" s="36"/>
      <c r="AH1060" s="7">
        <v>1</v>
      </c>
      <c r="AI1060" s="4" t="e" cm="1">
        <f t="array" ref="AI1060">MID(INDEX($AF$265:$AF$272,INT((ROW(A797)-1)/4)+1),MOD(ROW(A797)-1,4)+1,1)</f>
        <v>#REF!</v>
      </c>
      <c r="AK1060" s="7">
        <v>1</v>
      </c>
      <c r="AL1060" s="4" t="e" cm="1">
        <f t="array" ref="AL1060">INDEX($AI$264:$AI$295, INDEX($H$15:$O$18, INT((ROW(A797)-1)/8)+1, MOD(ROW(A797)-1,8)+1))</f>
        <v>#REF!</v>
      </c>
      <c r="AN1060" s="2" t="s">
        <v>99</v>
      </c>
      <c r="AO1060" s="31" t="s">
        <v>101</v>
      </c>
    </row>
    <row r="1061" spans="2:41" x14ac:dyDescent="0.25">
      <c r="B1061" s="2">
        <v>2</v>
      </c>
      <c r="C1061" s="2">
        <v>1</v>
      </c>
      <c r="F1061" s="15" cm="1">
        <f t="array" ref="F1061">INDEX($C$1060:$C$1115, H42)</f>
        <v>1</v>
      </c>
      <c r="G1061" s="15" cm="1">
        <f t="array" ref="G1061">INDEX($C$1060:$C$1115, I42)</f>
        <v>1</v>
      </c>
      <c r="H1061" s="15" cm="1">
        <f t="array" ref="H1061">INDEX($C$1060:$C$1115, J42)</f>
        <v>0</v>
      </c>
      <c r="I1061" s="15" cm="1">
        <f t="array" ref="I1061">INDEX($C$1060:$C$1115, K42)</f>
        <v>0</v>
      </c>
      <c r="J1061" s="15" cm="1">
        <f t="array" ref="J1061">INDEX($C$1060:$C$1115, L42)</f>
        <v>1</v>
      </c>
      <c r="K1061" s="15" cm="1">
        <f t="array" ref="K1061">INDEX($C$1060:$C$1115, M42)</f>
        <v>1</v>
      </c>
      <c r="M1061" s="9">
        <v>2</v>
      </c>
      <c r="N1061" s="4" cm="1">
        <f t="array" ref="N1061">INDEX($F$1060:$K$1067, INT((ROW(A2)-1)/6)+1, MOD(ROW(A860)-1,6)+1)</f>
        <v>1</v>
      </c>
      <c r="P1061" s="15" t="e" cm="1" vm="1">
        <f t="array" aca="1" ref="P1061" ca="1">INDEX($AO$204:$AO$235, H848)</f>
        <v>#VALUE!</v>
      </c>
      <c r="Q1061" s="15" t="e" cm="1" vm="1">
        <f t="array" aca="1" ref="Q1061" ca="1">INDEX($AO$204:$AO$235, I848)</f>
        <v>#VALUE!</v>
      </c>
      <c r="R1061" s="15" t="e" cm="1" vm="1">
        <f t="array" aca="1" ref="R1061" ca="1">INDEX($AO$204:$AO$235, J848)</f>
        <v>#VALUE!</v>
      </c>
      <c r="S1061" s="15" t="e" cm="1" vm="1">
        <f t="array" aca="1" ref="S1061" ca="1">INDEX($AO$204:$AO$235, K848)</f>
        <v>#VALUE!</v>
      </c>
      <c r="T1061" s="15" t="e" cm="1" vm="1">
        <f t="array" aca="1" ref="T1061" ca="1">INDEX($AO$204:$AO$235, L848)</f>
        <v>#VALUE!</v>
      </c>
      <c r="U1061" s="15" t="e" cm="1">
        <f t="array" ref="U1061">INDEX($AO$204:$AO$235, M848)</f>
        <v>#REF!</v>
      </c>
      <c r="W1061" s="9">
        <v>2</v>
      </c>
      <c r="X1061" s="4" t="e">
        <f t="shared" ref="X1061:X1107" si="89">_xlfn.BITXOR(Q1071, N1061)</f>
        <v>#REF!</v>
      </c>
      <c r="Z1061" s="32">
        <v>1</v>
      </c>
      <c r="AA1061" s="34" t="e">
        <f>_xlfn.TEXTJOIN("", TRUE, INDEX($X$264:$X$311, (ROW(A797)-1)*6+1) : INDEX($X$264:$X$311, (ROW(A797)-1)*6+6))</f>
        <v>#REF!</v>
      </c>
      <c r="AB1061" s="35"/>
      <c r="AC1061" s="32" t="e">
        <f>BIN2DEC(LEFT(AA1061,1) &amp; RIGHT(AA1061,1))</f>
        <v>#REF!</v>
      </c>
      <c r="AD1061" s="31" t="e">
        <f>BIN2DEC(MID(AA1061,2,4))</f>
        <v>#REF!</v>
      </c>
      <c r="AE1061" s="31" t="e" cm="1">
        <f t="array" aca="1" ref="AE1061" ca="1">INDEX(OFFSET('[1]S-box'!$A$2, (Z1061-1)*6, 0, 4, 16), AC1061+1, AD1061+1)</f>
        <v>#VALUE!</v>
      </c>
      <c r="AF1061" s="33" t="e">
        <f ca="1">DEC2BIN(AE1061, 4)</f>
        <v>#VALUE!</v>
      </c>
      <c r="AH1061" s="9">
        <v>2</v>
      </c>
      <c r="AI1061" s="4" t="e" cm="1">
        <f t="array" ref="AI1061">MID(INDEX($AF$265:$AF$272,INT((ROW(A798)-1)/4)+1),MOD(ROW(A798)-1,4)+1,1)</f>
        <v>#REF!</v>
      </c>
      <c r="AK1061" s="9">
        <v>2</v>
      </c>
      <c r="AL1061" s="4" t="e" cm="1">
        <f t="array" ref="AL1061">INDEX($AI$264:$AI$295, INDEX($H$15:$O$18, INT((ROW(A798)-1)/8)+1, MOD(ROW(A798)-1,8)+1))</f>
        <v>#REF!</v>
      </c>
      <c r="AN1061" s="2">
        <f>_xlfn.BITXOR(T874, AE999)</f>
        <v>0</v>
      </c>
      <c r="AO1061" s="2" t="e">
        <f>_xlfn.BITXOR(N1060, AL1060)</f>
        <v>#REF!</v>
      </c>
    </row>
    <row r="1062" spans="2:41" x14ac:dyDescent="0.25">
      <c r="B1062" s="2">
        <v>3</v>
      </c>
      <c r="C1062" s="2">
        <v>1</v>
      </c>
      <c r="F1062" s="15" cm="1">
        <f t="array" ref="F1062">INDEX($C$1060:$C$1115, H43)</f>
        <v>1</v>
      </c>
      <c r="G1062" s="15" cm="1">
        <f t="array" ref="G1062">INDEX($C$1060:$C$1115, I43)</f>
        <v>1</v>
      </c>
      <c r="H1062" s="15" cm="1">
        <f t="array" ref="H1062">INDEX($C$1060:$C$1115, J43)</f>
        <v>0</v>
      </c>
      <c r="I1062" s="15" cm="1">
        <f t="array" ref="I1062">INDEX($C$1060:$C$1115, K43)</f>
        <v>1</v>
      </c>
      <c r="J1062" s="15" cm="1">
        <f t="array" ref="J1062">INDEX($C$1060:$C$1115, L43)</f>
        <v>0</v>
      </c>
      <c r="K1062" s="15" cm="1">
        <f t="array" ref="K1062">INDEX($C$1060:$C$1115, M43)</f>
        <v>0</v>
      </c>
      <c r="M1062" s="9">
        <v>3</v>
      </c>
      <c r="N1062" s="4" cm="1">
        <f t="array" ref="N1062">INDEX($F$1060:$K$1067, INT((ROW(A3)-1)/6)+1, MOD(ROW(A861)-1,6)+1)</f>
        <v>0</v>
      </c>
      <c r="P1062" s="15" t="e" cm="1" vm="1">
        <f t="array" aca="1" ref="P1062" ca="1">INDEX($AO$204:$AO$235, H849)</f>
        <v>#VALUE!</v>
      </c>
      <c r="Q1062" s="15" t="e" cm="1" vm="1">
        <f t="array" aca="1" ref="Q1062" ca="1">INDEX($AO$204:$AO$235, I849)</f>
        <v>#VALUE!</v>
      </c>
      <c r="R1062" s="15" t="e" cm="1" vm="1">
        <f t="array" aca="1" ref="R1062" ca="1">INDEX($AO$204:$AO$235, J849)</f>
        <v>#VALUE!</v>
      </c>
      <c r="S1062" s="15" t="e" cm="1" vm="1">
        <f t="array" aca="1" ref="S1062" ca="1">INDEX($AO$204:$AO$235, K849)</f>
        <v>#VALUE!</v>
      </c>
      <c r="T1062" s="15" t="e" cm="1" vm="1">
        <f t="array" aca="1" ref="T1062" ca="1">INDEX($AO$204:$AO$235, L849)</f>
        <v>#VALUE!</v>
      </c>
      <c r="U1062" s="15" t="e" cm="1">
        <f t="array" ref="U1062">INDEX($AO$204:$AO$235, M849)</f>
        <v>#REF!</v>
      </c>
      <c r="W1062" s="9">
        <v>3</v>
      </c>
      <c r="X1062" s="4" t="e">
        <f t="shared" si="89"/>
        <v>#REF!</v>
      </c>
      <c r="Z1062" s="32">
        <v>2</v>
      </c>
      <c r="AA1062" s="34" t="e">
        <f>_xlfn.TEXTJOIN("", TRUE, INDEX($X$264:$X$311, (ROW(A798)-1)*6+1) : INDEX($X$264:$X$311, (ROW(A798)-1)*6+6))</f>
        <v>#REF!</v>
      </c>
      <c r="AB1062" s="35"/>
      <c r="AC1062" s="32" t="e">
        <f t="shared" ref="AC1062:AC1068" si="90">BIN2DEC(LEFT(AA1062,1) &amp; RIGHT(AA1062,1))</f>
        <v>#REF!</v>
      </c>
      <c r="AD1062" s="31" t="e">
        <f t="shared" ref="AD1062:AD1068" si="91">BIN2DEC(MID(AA1062,2,4))</f>
        <v>#REF!</v>
      </c>
      <c r="AE1062" s="31" t="e" cm="1">
        <f t="array" aca="1" ref="AE1062" ca="1">INDEX(OFFSET('[1]S-box'!$A$2, (Z1062-1)*6, 0, 4, 16), AC1062+1, AD1062+1)</f>
        <v>#VALUE!</v>
      </c>
      <c r="AF1062" s="33" t="e">
        <f t="shared" ref="AF1062:AF1068" ca="1" si="92">DEC2BIN(AE1062, 4)</f>
        <v>#VALUE!</v>
      </c>
      <c r="AH1062" s="9">
        <v>3</v>
      </c>
      <c r="AI1062" s="4" t="e" cm="1">
        <f t="array" ref="AI1062">MID(INDEX($AF$265:$AF$272,INT((ROW(A799)-1)/4)+1),MOD(ROW(A799)-1,4)+1,1)</f>
        <v>#REF!</v>
      </c>
      <c r="AK1062" s="9">
        <v>3</v>
      </c>
      <c r="AL1062" s="4" t="e" cm="1">
        <f t="array" ref="AL1062">INDEX($AI$264:$AI$295, INDEX($H$15:$O$18, INT((ROW(A799)-1)/8)+1, MOD(ROW(A799)-1,8)+1))</f>
        <v>#REF!</v>
      </c>
      <c r="AN1062" s="2" t="e">
        <f t="shared" ref="AN1062:AN1092" ca="1" si="93">_xlfn.BITXOR(T875, AE1000)</f>
        <v>#VALUE!</v>
      </c>
      <c r="AO1062" s="2" t="e">
        <f t="shared" ref="AO1062:AO1092" si="94">_xlfn.BITXOR(N1061, AL1061)</f>
        <v>#REF!</v>
      </c>
    </row>
    <row r="1063" spans="2:41" x14ac:dyDescent="0.25">
      <c r="B1063" s="2">
        <v>4</v>
      </c>
      <c r="C1063" s="2">
        <v>1</v>
      </c>
      <c r="F1063" s="15" cm="1">
        <f t="array" ref="F1063">INDEX($C$1060:$C$1115, H44)</f>
        <v>0</v>
      </c>
      <c r="G1063" s="15" cm="1">
        <f t="array" ref="G1063">INDEX($C$1060:$C$1115, I44)</f>
        <v>0</v>
      </c>
      <c r="H1063" s="15" cm="1">
        <f t="array" ref="H1063">INDEX($C$1060:$C$1115, J44)</f>
        <v>1</v>
      </c>
      <c r="I1063" s="15" cm="1">
        <f t="array" ref="I1063">INDEX($C$1060:$C$1115, K44)</f>
        <v>0</v>
      </c>
      <c r="J1063" s="15" cm="1">
        <f t="array" ref="J1063">INDEX($C$1060:$C$1115, L44)</f>
        <v>1</v>
      </c>
      <c r="K1063" s="15" cm="1">
        <f t="array" ref="K1063">INDEX($C$1060:$C$1115, M44)</f>
        <v>1</v>
      </c>
      <c r="M1063" s="9">
        <v>4</v>
      </c>
      <c r="N1063" s="4" cm="1">
        <f t="array" ref="N1063">INDEX($F$1060:$K$1067, INT((ROW(A4)-1)/6)+1, MOD(ROW(A862)-1,6)+1)</f>
        <v>0</v>
      </c>
      <c r="P1063" s="15" t="e" cm="1" vm="1">
        <f t="array" aca="1" ref="P1063" ca="1">INDEX($AO$204:$AO$235, H850)</f>
        <v>#VALUE!</v>
      </c>
      <c r="Q1063" s="15" t="e" cm="1" vm="1">
        <f t="array" aca="1" ref="Q1063" ca="1">INDEX($AO$204:$AO$235, I850)</f>
        <v>#VALUE!</v>
      </c>
      <c r="R1063" s="15" t="e" cm="1" vm="1">
        <f t="array" aca="1" ref="R1063" ca="1">INDEX($AO$204:$AO$235, J850)</f>
        <v>#VALUE!</v>
      </c>
      <c r="S1063" s="15" t="e" cm="1" vm="1">
        <f t="array" aca="1" ref="S1063" ca="1">INDEX($AO$204:$AO$235, K850)</f>
        <v>#VALUE!</v>
      </c>
      <c r="T1063" s="15" t="e" cm="1" vm="1">
        <f t="array" aca="1" ref="T1063" ca="1">INDEX($AO$204:$AO$235, L850)</f>
        <v>#VALUE!</v>
      </c>
      <c r="U1063" s="15" t="e" cm="1">
        <f t="array" ref="U1063">INDEX($AO$204:$AO$235, M850)</f>
        <v>#REF!</v>
      </c>
      <c r="W1063" s="9">
        <v>4</v>
      </c>
      <c r="X1063" s="4" t="e">
        <f t="shared" si="89"/>
        <v>#REF!</v>
      </c>
      <c r="Z1063" s="32">
        <v>3</v>
      </c>
      <c r="AA1063" s="34" t="e">
        <f>_xlfn.TEXTJOIN("", TRUE, INDEX($X$264:$X$311, (ROW(A799)-1)*6+1) : INDEX($X$264:$X$311, (ROW(A799)-1)*6+6))</f>
        <v>#REF!</v>
      </c>
      <c r="AB1063" s="35"/>
      <c r="AC1063" s="32" t="e">
        <f t="shared" si="90"/>
        <v>#REF!</v>
      </c>
      <c r="AD1063" s="31" t="e">
        <f t="shared" si="91"/>
        <v>#REF!</v>
      </c>
      <c r="AE1063" s="31" t="e" cm="1">
        <f t="array" aca="1" ref="AE1063" ca="1">INDEX(OFFSET('[1]S-box'!$A$2, (Z1063-1)*6, 0, 4, 16), AC1063+1, AD1063+1)</f>
        <v>#VALUE!</v>
      </c>
      <c r="AF1063" s="33" t="e">
        <f t="shared" ca="1" si="92"/>
        <v>#VALUE!</v>
      </c>
      <c r="AH1063" s="9">
        <v>4</v>
      </c>
      <c r="AI1063" s="4" t="e" cm="1">
        <f t="array" ref="AI1063">MID(INDEX($AF$265:$AF$272,INT((ROW(A800)-1)/4)+1),MOD(ROW(A800)-1,4)+1,1)</f>
        <v>#REF!</v>
      </c>
      <c r="AK1063" s="9">
        <v>4</v>
      </c>
      <c r="AL1063" s="4" t="e" cm="1">
        <f t="array" ref="AL1063">INDEX($AI$264:$AI$295, INDEX($H$15:$O$18, INT((ROW(A800)-1)/8)+1, MOD(ROW(A800)-1,8)+1))</f>
        <v>#REF!</v>
      </c>
      <c r="AN1063" s="2" t="e">
        <f t="shared" ca="1" si="93"/>
        <v>#VALUE!</v>
      </c>
      <c r="AO1063" s="2" t="e">
        <f t="shared" si="94"/>
        <v>#REF!</v>
      </c>
    </row>
    <row r="1064" spans="2:41" x14ac:dyDescent="0.25">
      <c r="B1064" s="2">
        <v>5</v>
      </c>
      <c r="C1064" s="2">
        <v>0</v>
      </c>
      <c r="F1064" s="15" cm="1">
        <f t="array" ref="F1064">INDEX($C$1060:$C$1115, H45)</f>
        <v>1</v>
      </c>
      <c r="G1064" s="15" cm="1">
        <f t="array" ref="G1064">INDEX($C$1060:$C$1115, I45)</f>
        <v>0</v>
      </c>
      <c r="H1064" s="15" cm="1">
        <f t="array" ref="H1064">INDEX($C$1060:$C$1115, J45)</f>
        <v>1</v>
      </c>
      <c r="I1064" s="15" cm="1">
        <f t="array" ref="I1064">INDEX($C$1060:$C$1115, K45)</f>
        <v>1</v>
      </c>
      <c r="J1064" s="15" cm="1">
        <f t="array" ref="J1064">INDEX($C$1060:$C$1115, L45)</f>
        <v>1</v>
      </c>
      <c r="K1064" s="15" cm="1">
        <f t="array" ref="K1064">INDEX($C$1060:$C$1115, M45)</f>
        <v>1</v>
      </c>
      <c r="M1064" s="9">
        <v>5</v>
      </c>
      <c r="N1064" s="4" cm="1">
        <f t="array" ref="N1064">INDEX($F$1060:$K$1067, INT((ROW(A5)-1)/6)+1, MOD(ROW(A863)-1,6)+1)</f>
        <v>1</v>
      </c>
      <c r="P1064" s="15" t="e" cm="1" vm="1">
        <f t="array" aca="1" ref="P1064" ca="1">INDEX($AO$204:$AO$235, H851)</f>
        <v>#VALUE!</v>
      </c>
      <c r="Q1064" s="15" t="e" cm="1" vm="1">
        <f t="array" aca="1" ref="Q1064" ca="1">INDEX($AO$204:$AO$235, I851)</f>
        <v>#VALUE!</v>
      </c>
      <c r="R1064" s="15" t="e" cm="1" vm="1">
        <f t="array" aca="1" ref="R1064" ca="1">INDEX($AO$204:$AO$235, J851)</f>
        <v>#VALUE!</v>
      </c>
      <c r="S1064" s="15" t="e" cm="1" vm="1">
        <f t="array" aca="1" ref="S1064" ca="1">INDEX($AO$204:$AO$235, K851)</f>
        <v>#VALUE!</v>
      </c>
      <c r="T1064" s="15" t="e" cm="1" vm="1">
        <f t="array" aca="1" ref="T1064" ca="1">INDEX($AO$204:$AO$235, L851)</f>
        <v>#VALUE!</v>
      </c>
      <c r="U1064" s="15" t="e" cm="1">
        <f t="array" ref="U1064">INDEX($AO$204:$AO$235, M851)</f>
        <v>#REF!</v>
      </c>
      <c r="W1064" s="9">
        <v>5</v>
      </c>
      <c r="X1064" s="4" t="e">
        <f t="shared" si="89"/>
        <v>#REF!</v>
      </c>
      <c r="Z1064" s="32">
        <v>4</v>
      </c>
      <c r="AA1064" s="34" t="e">
        <f>_xlfn.TEXTJOIN("", TRUE, INDEX($X$264:$X$311, (ROW(A800)-1)*6+1) : INDEX($X$264:$X$311, (ROW(A800)-1)*6+6))</f>
        <v>#REF!</v>
      </c>
      <c r="AB1064" s="35"/>
      <c r="AC1064" s="32" t="e">
        <f t="shared" si="90"/>
        <v>#REF!</v>
      </c>
      <c r="AD1064" s="31" t="e">
        <f t="shared" si="91"/>
        <v>#REF!</v>
      </c>
      <c r="AE1064" s="31" t="e" cm="1">
        <f t="array" aca="1" ref="AE1064" ca="1">INDEX(OFFSET('[1]S-box'!$A$2, (Z1064-1)*6, 0, 4, 16), AC1064+1, AD1064+1)</f>
        <v>#VALUE!</v>
      </c>
      <c r="AF1064" s="33" t="e">
        <f t="shared" ca="1" si="92"/>
        <v>#VALUE!</v>
      </c>
      <c r="AH1064" s="9">
        <v>5</v>
      </c>
      <c r="AI1064" s="4" t="e" cm="1">
        <f t="array" ref="AI1064">MID(INDEX($AF$265:$AF$272,INT((ROW(A801)-1)/4)+1),MOD(ROW(A801)-1,4)+1,1)</f>
        <v>#REF!</v>
      </c>
      <c r="AK1064" s="9">
        <v>5</v>
      </c>
      <c r="AL1064" s="4" t="e" cm="1">
        <f t="array" ref="AL1064">INDEX($AI$264:$AI$295, INDEX($H$15:$O$18, INT((ROW(A801)-1)/8)+1, MOD(ROW(A801)-1,8)+1))</f>
        <v>#REF!</v>
      </c>
      <c r="AN1064" s="2" t="e" vm="3">
        <f t="shared" ca="1" si="93"/>
        <v>#VALUE!</v>
      </c>
      <c r="AO1064" s="2" t="e">
        <f t="shared" si="94"/>
        <v>#REF!</v>
      </c>
    </row>
    <row r="1065" spans="2:41" x14ac:dyDescent="0.25">
      <c r="B1065" s="2">
        <v>6</v>
      </c>
      <c r="C1065" s="2">
        <v>0</v>
      </c>
      <c r="F1065" s="15" cm="1">
        <f t="array" ref="F1065">INDEX($C$1060:$C$1115, H46)</f>
        <v>0</v>
      </c>
      <c r="G1065" s="15" cm="1">
        <f t="array" ref="G1065">INDEX($C$1060:$C$1115, I46)</f>
        <v>0</v>
      </c>
      <c r="H1065" s="15" cm="1">
        <f t="array" ref="H1065">INDEX($C$1060:$C$1115, J46)</f>
        <v>0</v>
      </c>
      <c r="I1065" s="15" cm="1">
        <f t="array" ref="I1065">INDEX($C$1060:$C$1115, K46)</f>
        <v>1</v>
      </c>
      <c r="J1065" s="15" cm="1">
        <f t="array" ref="J1065">INDEX($C$1060:$C$1115, L46)</f>
        <v>1</v>
      </c>
      <c r="K1065" s="15" cm="1">
        <f t="array" ref="K1065">INDEX($C$1060:$C$1115, M46)</f>
        <v>1</v>
      </c>
      <c r="M1065" s="9">
        <v>6</v>
      </c>
      <c r="N1065" s="4" cm="1">
        <f t="array" ref="N1065">INDEX($F$1060:$K$1067, INT((ROW(A6)-1)/6)+1, MOD(ROW(A864)-1,6)+1)</f>
        <v>0</v>
      </c>
      <c r="P1065" s="15" t="e" cm="1" vm="1">
        <f t="array" aca="1" ref="P1065" ca="1">INDEX($AO$204:$AO$235, H852)</f>
        <v>#VALUE!</v>
      </c>
      <c r="Q1065" s="15" t="e" cm="1" vm="1">
        <f t="array" aca="1" ref="Q1065" ca="1">INDEX($AO$204:$AO$235, I852)</f>
        <v>#VALUE!</v>
      </c>
      <c r="R1065" s="15" t="e" cm="1" vm="1">
        <f t="array" aca="1" ref="R1065" ca="1">INDEX($AO$204:$AO$235, J852)</f>
        <v>#VALUE!</v>
      </c>
      <c r="S1065" s="15" t="e" cm="1" vm="1">
        <f t="array" aca="1" ref="S1065" ca="1">INDEX($AO$204:$AO$235, K852)</f>
        <v>#VALUE!</v>
      </c>
      <c r="T1065" s="15" t="e" cm="1" vm="1">
        <f t="array" aca="1" ref="T1065" ca="1">INDEX($AO$204:$AO$235, L852)</f>
        <v>#VALUE!</v>
      </c>
      <c r="U1065" s="15" t="e" cm="1">
        <f t="array" ref="U1065">INDEX($AO$204:$AO$235, M852)</f>
        <v>#REF!</v>
      </c>
      <c r="W1065" s="9">
        <v>6</v>
      </c>
      <c r="X1065" s="4" t="e">
        <f t="shared" si="89"/>
        <v>#REF!</v>
      </c>
      <c r="Z1065" s="32">
        <v>5</v>
      </c>
      <c r="AA1065" s="34" t="e">
        <f>_xlfn.TEXTJOIN("", TRUE, INDEX($X$264:$X$311, (ROW(A801)-1)*6+1) : INDEX($X$264:$X$311, (ROW(A801)-1)*6+6))</f>
        <v>#REF!</v>
      </c>
      <c r="AB1065" s="35"/>
      <c r="AC1065" s="32" t="e">
        <f t="shared" si="90"/>
        <v>#REF!</v>
      </c>
      <c r="AD1065" s="31" t="e">
        <f t="shared" si="91"/>
        <v>#REF!</v>
      </c>
      <c r="AE1065" s="31" t="e" cm="1">
        <f t="array" aca="1" ref="AE1065" ca="1">INDEX(OFFSET('[1]S-box'!$A$2, (Z1065-1)*6, 0, 4, 16), AC1065+1, AD1065+1)</f>
        <v>#VALUE!</v>
      </c>
      <c r="AF1065" s="33" t="e">
        <f t="shared" ca="1" si="92"/>
        <v>#VALUE!</v>
      </c>
      <c r="AH1065" s="9">
        <v>6</v>
      </c>
      <c r="AI1065" s="4" t="e" cm="1">
        <f t="array" ref="AI1065">MID(INDEX($AF$265:$AF$272,INT((ROW(A802)-1)/4)+1),MOD(ROW(A802)-1,4)+1,1)</f>
        <v>#REF!</v>
      </c>
      <c r="AK1065" s="9">
        <v>6</v>
      </c>
      <c r="AL1065" s="4" t="e" cm="1">
        <f t="array" ref="AL1065">INDEX($AI$264:$AI$295, INDEX($H$15:$O$18, INT((ROW(A802)-1)/8)+1, MOD(ROW(A802)-1,8)+1))</f>
        <v>#REF!</v>
      </c>
      <c r="AN1065" s="2" t="e" vm="3">
        <f t="shared" ca="1" si="93"/>
        <v>#VALUE!</v>
      </c>
      <c r="AO1065" s="2" t="e">
        <f t="shared" si="94"/>
        <v>#REF!</v>
      </c>
    </row>
    <row r="1066" spans="2:41" x14ac:dyDescent="0.25">
      <c r="B1066" s="2">
        <v>7</v>
      </c>
      <c r="C1066" s="2">
        <v>0</v>
      </c>
      <c r="F1066" s="15" cm="1">
        <f t="array" ref="F1066">INDEX($C$1060:$C$1115, H47)</f>
        <v>0</v>
      </c>
      <c r="G1066" s="15" cm="1">
        <f t="array" ref="G1066">INDEX($C$1060:$C$1115, I47)</f>
        <v>0</v>
      </c>
      <c r="H1066" s="15" cm="1">
        <f t="array" ref="H1066">INDEX($C$1060:$C$1115, J47)</f>
        <v>0</v>
      </c>
      <c r="I1066" s="15" cm="1">
        <f t="array" ref="I1066">INDEX($C$1060:$C$1115, K47)</f>
        <v>0</v>
      </c>
      <c r="J1066" s="15" cm="1">
        <f t="array" ref="J1066">INDEX($C$1060:$C$1115, L47)</f>
        <v>0</v>
      </c>
      <c r="K1066" s="15" cm="1">
        <f t="array" ref="K1066">INDEX($C$1060:$C$1115, M47)</f>
        <v>1</v>
      </c>
      <c r="M1066" s="9">
        <v>7</v>
      </c>
      <c r="N1066" s="4" cm="1">
        <f t="array" ref="N1066">INDEX($F$1060:$K$1067, INT((ROW(A7)-1)/6)+1, MOD(ROW(A865)-1,6)+1)</f>
        <v>1</v>
      </c>
      <c r="P1066" s="15" t="e" cm="1" vm="1">
        <f t="array" aca="1" ref="P1066" ca="1">INDEX($AO$204:$AO$235, H853)</f>
        <v>#VALUE!</v>
      </c>
      <c r="Q1066" s="15" t="e" cm="1" vm="1">
        <f t="array" aca="1" ref="Q1066" ca="1">INDEX($AO$204:$AO$235, I853)</f>
        <v>#VALUE!</v>
      </c>
      <c r="R1066" s="15" t="e" cm="1" vm="1">
        <f t="array" aca="1" ref="R1066" ca="1">INDEX($AO$204:$AO$235, J853)</f>
        <v>#VALUE!</v>
      </c>
      <c r="S1066" s="15" t="e" cm="1" vm="1">
        <f t="array" aca="1" ref="S1066" ca="1">INDEX($AO$204:$AO$235, K853)</f>
        <v>#VALUE!</v>
      </c>
      <c r="T1066" s="15" t="e" cm="1" vm="1">
        <f t="array" aca="1" ref="T1066" ca="1">INDEX($AO$204:$AO$235, L853)</f>
        <v>#VALUE!</v>
      </c>
      <c r="U1066" s="15" t="e" cm="1">
        <f t="array" ref="U1066">INDEX($AO$204:$AO$235, M853)</f>
        <v>#REF!</v>
      </c>
      <c r="W1066" s="9">
        <v>7</v>
      </c>
      <c r="X1066" s="4" t="e">
        <f t="shared" si="89"/>
        <v>#REF!</v>
      </c>
      <c r="Z1066" s="32">
        <v>6</v>
      </c>
      <c r="AA1066" s="34" t="e">
        <f>_xlfn.TEXTJOIN("", TRUE, INDEX($X$264:$X$311, (ROW(A802)-1)*6+1) : INDEX($X$264:$X$311, (ROW(A802)-1)*6+6))</f>
        <v>#REF!</v>
      </c>
      <c r="AB1066" s="35"/>
      <c r="AC1066" s="32" t="e">
        <f t="shared" si="90"/>
        <v>#REF!</v>
      </c>
      <c r="AD1066" s="31" t="e">
        <f t="shared" si="91"/>
        <v>#REF!</v>
      </c>
      <c r="AE1066" s="31" t="e" cm="1">
        <f t="array" aca="1" ref="AE1066" ca="1">INDEX(OFFSET('[1]S-box'!$A$2, (Z1066-1)*6, 0, 4, 16), AC1066+1, AD1066+1)</f>
        <v>#VALUE!</v>
      </c>
      <c r="AF1066" s="33" t="e">
        <f t="shared" ca="1" si="92"/>
        <v>#VALUE!</v>
      </c>
      <c r="AH1066" s="9">
        <v>7</v>
      </c>
      <c r="AI1066" s="4" t="e" cm="1">
        <f t="array" ref="AI1066">MID(INDEX($AF$265:$AF$272,INT((ROW(A803)-1)/4)+1),MOD(ROW(A803)-1,4)+1,1)</f>
        <v>#REF!</v>
      </c>
      <c r="AK1066" s="9">
        <v>7</v>
      </c>
      <c r="AL1066" s="4" t="e" cm="1">
        <f t="array" ref="AL1066">INDEX($AI$264:$AI$295, INDEX($H$15:$O$18, INT((ROW(A803)-1)/8)+1, MOD(ROW(A803)-1,8)+1))</f>
        <v>#REF!</v>
      </c>
      <c r="AN1066" s="2" t="e" vm="3">
        <f t="shared" ca="1" si="93"/>
        <v>#VALUE!</v>
      </c>
      <c r="AO1066" s="2" t="e">
        <f t="shared" si="94"/>
        <v>#REF!</v>
      </c>
    </row>
    <row r="1067" spans="2:41" x14ac:dyDescent="0.25">
      <c r="B1067" s="2">
        <v>8</v>
      </c>
      <c r="C1067" s="2">
        <v>0</v>
      </c>
      <c r="F1067" s="15" cm="1">
        <f t="array" ref="F1067">INDEX($C$1060:$C$1115, H48)</f>
        <v>1</v>
      </c>
      <c r="G1067" s="15" cm="1">
        <f t="array" ref="G1067">INDEX($C$1060:$C$1115, I48)</f>
        <v>1</v>
      </c>
      <c r="H1067" s="15" cm="1">
        <f t="array" ref="H1067">INDEX($C$1060:$C$1115, J48)</f>
        <v>0</v>
      </c>
      <c r="I1067" s="15" cm="1">
        <f t="array" ref="I1067">INDEX($C$1060:$C$1115, K48)</f>
        <v>0</v>
      </c>
      <c r="J1067" s="15" cm="1">
        <f t="array" ref="J1067">INDEX($C$1060:$C$1115, L48)</f>
        <v>1</v>
      </c>
      <c r="K1067" s="15" cm="1">
        <f t="array" ref="K1067">INDEX($C$1060:$C$1115, M48)</f>
        <v>0</v>
      </c>
      <c r="M1067" s="11">
        <v>8</v>
      </c>
      <c r="N1067" s="4" cm="1">
        <f t="array" ref="N1067">INDEX($F$1060:$K$1067, INT((ROW(A8)-1)/6)+1, MOD(ROW(A866)-1,6)+1)</f>
        <v>1</v>
      </c>
      <c r="P1067" s="15" t="e" cm="1" vm="2">
        <f t="array" aca="1" ref="P1067" ca="1">INDEX($AO$204:$AO$235, H854)</f>
        <v>#VALUE!</v>
      </c>
      <c r="Q1067" s="15" t="e" cm="1" vm="2">
        <f t="array" aca="1" ref="Q1067" ca="1">INDEX($AO$204:$AO$235, I854)</f>
        <v>#VALUE!</v>
      </c>
      <c r="R1067" s="15" t="e" cm="1">
        <f t="array" aca="1" ref="R1067:R1098" ca="1">INDEX($AO$204:$AO$235, J854)</f>
        <v>#VALUE!</v>
      </c>
      <c r="S1067" s="15" t="e" cm="1">
        <f t="array" aca="1" ref="S1067:S1098" ca="1">INDEX($AO$204:$AO$235, K854)</f>
        <v>#VALUE!</v>
      </c>
      <c r="T1067" s="15" t="e" cm="1">
        <f t="array" aca="1" ref="T1067:T1098" ca="1">INDEX($AO$204:$AO$235, L854)</f>
        <v>#VALUE!</v>
      </c>
      <c r="U1067" s="15" t="e" cm="1">
        <f t="array" ref="U1067">INDEX($AO$204:$AO$235, M854)</f>
        <v>#REF!</v>
      </c>
      <c r="W1067" s="11">
        <v>8</v>
      </c>
      <c r="X1067" s="4" t="e">
        <f t="shared" si="89"/>
        <v>#REF!</v>
      </c>
      <c r="Z1067" s="32">
        <v>7</v>
      </c>
      <c r="AA1067" s="34" t="e">
        <f>_xlfn.TEXTJOIN("", TRUE, INDEX($X$264:$X$311, (ROW(A803)-1)*6+1) : INDEX($X$264:$X$311, (ROW(A803)-1)*6+6))</f>
        <v>#REF!</v>
      </c>
      <c r="AB1067" s="35"/>
      <c r="AC1067" s="32" t="e">
        <f t="shared" si="90"/>
        <v>#REF!</v>
      </c>
      <c r="AD1067" s="31" t="e">
        <f t="shared" si="91"/>
        <v>#REF!</v>
      </c>
      <c r="AE1067" s="31" t="e" cm="1">
        <f t="array" aca="1" ref="AE1067" ca="1">INDEX(OFFSET('[1]S-box'!$A$2, (Z1067-1)*6, 0, 4, 16), AC1067+1, AD1067+1)</f>
        <v>#VALUE!</v>
      </c>
      <c r="AF1067" s="33" t="e">
        <f t="shared" ca="1" si="92"/>
        <v>#VALUE!</v>
      </c>
      <c r="AH1067" s="11">
        <v>8</v>
      </c>
      <c r="AI1067" s="4" t="e" cm="1">
        <f t="array" ref="AI1067">MID(INDEX($AF$265:$AF$272,INT((ROW(A804)-1)/4)+1),MOD(ROW(A804)-1,4)+1,1)</f>
        <v>#REF!</v>
      </c>
      <c r="AK1067" s="11">
        <v>8</v>
      </c>
      <c r="AL1067" s="4" t="e" cm="1">
        <f t="array" ref="AL1067">INDEX($AI$264:$AI$295, INDEX($H$15:$O$18, INT((ROW(A804)-1)/8)+1, MOD(ROW(A804)-1,8)+1))</f>
        <v>#REF!</v>
      </c>
      <c r="AN1067" s="2" t="e" vm="3">
        <f t="shared" ca="1" si="93"/>
        <v>#VALUE!</v>
      </c>
      <c r="AO1067" s="2" t="e">
        <f t="shared" si="94"/>
        <v>#REF!</v>
      </c>
    </row>
    <row r="1068" spans="2:41" x14ac:dyDescent="0.25">
      <c r="B1068" s="2">
        <v>9</v>
      </c>
      <c r="C1068" s="2">
        <v>1</v>
      </c>
      <c r="M1068" s="9">
        <v>9</v>
      </c>
      <c r="N1068" s="4" cm="1">
        <f t="array" ref="N1068">INDEX($F$1060:$K$1067, INT((ROW(A9)-1)/6)+1, MOD(ROW(A867)-1,6)+1)</f>
        <v>0</v>
      </c>
      <c r="R1068" t="e">
        <f ca="1"/>
        <v>#VALUE!</v>
      </c>
      <c r="S1068" t="e">
        <f ca="1"/>
        <v>#VALUE!</v>
      </c>
      <c r="T1068" t="e">
        <f ca="1"/>
        <v>#VALUE!</v>
      </c>
      <c r="W1068" s="9">
        <v>9</v>
      </c>
      <c r="X1068" s="4" t="e">
        <f t="shared" si="89"/>
        <v>#REF!</v>
      </c>
      <c r="Z1068" s="32">
        <v>8</v>
      </c>
      <c r="AA1068" s="34" t="e">
        <f>_xlfn.TEXTJOIN("", TRUE, INDEX($X$264:$X$311, (ROW(A804)-1)*6+1) : INDEX($X$264:$X$311, (ROW(A804)-1)*6+6))</f>
        <v>#REF!</v>
      </c>
      <c r="AB1068" s="35"/>
      <c r="AC1068" s="32" t="e">
        <f t="shared" si="90"/>
        <v>#REF!</v>
      </c>
      <c r="AD1068" s="31" t="e">
        <f t="shared" si="91"/>
        <v>#REF!</v>
      </c>
      <c r="AE1068" s="31" t="e" cm="1">
        <f t="array" aca="1" ref="AE1068" ca="1">INDEX(OFFSET('[1]S-box'!$A$2, (Z1068-1)*6, 0, 4, 16), AC1068+1, AD1068+1)</f>
        <v>#VALUE!</v>
      </c>
      <c r="AF1068" s="33" t="e">
        <f t="shared" ca="1" si="92"/>
        <v>#VALUE!</v>
      </c>
      <c r="AH1068" s="9">
        <v>9</v>
      </c>
      <c r="AI1068" s="4" t="e" cm="1">
        <f t="array" ref="AI1068">MID(INDEX($AF$265:$AF$272,INT((ROW(A805)-1)/4)+1),MOD(ROW(A805)-1,4)+1,1)</f>
        <v>#REF!</v>
      </c>
      <c r="AK1068" s="9">
        <v>9</v>
      </c>
      <c r="AL1068" s="4" t="e" cm="1">
        <f t="array" ref="AL1068">INDEX($AI$264:$AI$295, INDEX($H$15:$O$18, INT((ROW(A805)-1)/8)+1, MOD(ROW(A805)-1,8)+1))</f>
        <v>#REF!</v>
      </c>
      <c r="AN1068" s="2" t="e" vm="3">
        <f t="shared" ca="1" si="93"/>
        <v>#VALUE!</v>
      </c>
      <c r="AO1068" s="2" t="e">
        <f t="shared" si="94"/>
        <v>#REF!</v>
      </c>
    </row>
    <row r="1069" spans="2:41" x14ac:dyDescent="0.25">
      <c r="B1069" s="2">
        <v>10</v>
      </c>
      <c r="C1069" s="2">
        <v>1</v>
      </c>
      <c r="M1069" s="9">
        <v>10</v>
      </c>
      <c r="N1069" s="4" cm="1">
        <f t="array" ref="N1069">INDEX($F$1060:$K$1067, INT((ROW(A10)-1)/6)+1, MOD(ROW(A868)-1,6)+1)</f>
        <v>0</v>
      </c>
      <c r="P1069" s="36" t="s">
        <v>94</v>
      </c>
      <c r="Q1069" s="36"/>
      <c r="R1069" t="e">
        <f ca="1"/>
        <v>#VALUE!</v>
      </c>
      <c r="S1069" t="e">
        <f ca="1"/>
        <v>#VALUE!</v>
      </c>
      <c r="T1069" t="e">
        <f ca="1"/>
        <v>#VALUE!</v>
      </c>
      <c r="W1069" s="9">
        <v>10</v>
      </c>
      <c r="X1069" s="4" t="e">
        <f t="shared" si="89"/>
        <v>#REF!</v>
      </c>
      <c r="AH1069" s="9">
        <v>10</v>
      </c>
      <c r="AI1069" s="4" t="e" cm="1">
        <f t="array" ref="AI1069">MID(INDEX($AF$265:$AF$272,INT((ROW(A806)-1)/4)+1),MOD(ROW(A806)-1,4)+1,1)</f>
        <v>#REF!</v>
      </c>
      <c r="AK1069" s="9">
        <v>10</v>
      </c>
      <c r="AL1069" s="4" t="e" cm="1">
        <f t="array" ref="AL1069">INDEX($AI$264:$AI$295, INDEX($H$15:$O$18, INT((ROW(A806)-1)/8)+1, MOD(ROW(A806)-1,8)+1))</f>
        <v>#REF!</v>
      </c>
      <c r="AN1069" s="2" t="e" vm="3">
        <f t="shared" ca="1" si="93"/>
        <v>#VALUE!</v>
      </c>
      <c r="AO1069" s="2" t="e">
        <f t="shared" si="94"/>
        <v>#REF!</v>
      </c>
    </row>
    <row r="1070" spans="2:41" x14ac:dyDescent="0.25">
      <c r="B1070" s="2">
        <v>11</v>
      </c>
      <c r="C1070" s="2">
        <v>0</v>
      </c>
      <c r="M1070" s="9">
        <v>11</v>
      </c>
      <c r="N1070" s="4" cm="1">
        <f t="array" ref="N1070">INDEX($F$1060:$K$1067, INT((ROW(A11)-1)/6)+1, MOD(ROW(A869)-1,6)+1)</f>
        <v>1</v>
      </c>
      <c r="P1070" s="9">
        <v>1</v>
      </c>
      <c r="Q1070" s="4" t="e" cm="1">
        <f t="array" ref="Q1070">INDEX($P$264:$U$271, INT((ROW(A797)-1)/6)+1, MOD(ROW(A797)-1,6)+1)</f>
        <v>#REF!</v>
      </c>
      <c r="R1070" t="e">
        <f ca="1"/>
        <v>#VALUE!</v>
      </c>
      <c r="S1070" t="e">
        <f ca="1"/>
        <v>#VALUE!</v>
      </c>
      <c r="T1070" t="e">
        <f ca="1"/>
        <v>#VALUE!</v>
      </c>
      <c r="W1070" s="9">
        <v>11</v>
      </c>
      <c r="X1070" s="4" t="e">
        <f t="shared" si="89"/>
        <v>#REF!</v>
      </c>
      <c r="AH1070" s="9">
        <v>11</v>
      </c>
      <c r="AI1070" s="4" t="e" cm="1">
        <f t="array" ref="AI1070">MID(INDEX($AF$265:$AF$272,INT((ROW(A807)-1)/4)+1),MOD(ROW(A807)-1,4)+1,1)</f>
        <v>#REF!</v>
      </c>
      <c r="AK1070" s="9">
        <v>11</v>
      </c>
      <c r="AL1070" s="4" t="e" cm="1">
        <f t="array" ref="AL1070">INDEX($AI$264:$AI$295, INDEX($H$15:$O$18, INT((ROW(A807)-1)/8)+1, MOD(ROW(A807)-1,8)+1))</f>
        <v>#REF!</v>
      </c>
      <c r="AN1070" s="2" t="e" vm="3">
        <f t="shared" ca="1" si="93"/>
        <v>#VALUE!</v>
      </c>
      <c r="AO1070" s="2" t="e">
        <f t="shared" si="94"/>
        <v>#REF!</v>
      </c>
    </row>
    <row r="1071" spans="2:41" x14ac:dyDescent="0.25">
      <c r="B1071" s="2">
        <v>12</v>
      </c>
      <c r="C1071" s="2">
        <v>0</v>
      </c>
      <c r="M1071" s="9">
        <v>12</v>
      </c>
      <c r="N1071" s="4" cm="1">
        <f t="array" ref="N1071">INDEX($F$1060:$K$1067, INT((ROW(A12)-1)/6)+1, MOD(ROW(A870)-1,6)+1)</f>
        <v>1</v>
      </c>
      <c r="P1071" s="9">
        <v>2</v>
      </c>
      <c r="Q1071" s="4" t="e" cm="1">
        <f t="array" ref="Q1071">INDEX($P$264:$U$271, INT((ROW(A798)-1)/6)+1, MOD(ROW(A798)-1,6)+1)</f>
        <v>#REF!</v>
      </c>
      <c r="R1071" t="e">
        <f ca="1"/>
        <v>#VALUE!</v>
      </c>
      <c r="S1071" t="e">
        <f ca="1"/>
        <v>#VALUE!</v>
      </c>
      <c r="T1071" t="e">
        <f ca="1"/>
        <v>#VALUE!</v>
      </c>
      <c r="W1071" s="9">
        <v>12</v>
      </c>
      <c r="X1071" s="4" t="e">
        <f t="shared" si="89"/>
        <v>#REF!</v>
      </c>
      <c r="AH1071" s="9">
        <v>12</v>
      </c>
      <c r="AI1071" s="4" t="e" cm="1">
        <f t="array" ref="AI1071">MID(INDEX($AF$265:$AF$272,INT((ROW(A808)-1)/4)+1),MOD(ROW(A808)-1,4)+1,1)</f>
        <v>#REF!</v>
      </c>
      <c r="AK1071" s="9">
        <v>12</v>
      </c>
      <c r="AL1071" s="4" t="e" cm="1">
        <f t="array" ref="AL1071">INDEX($AI$264:$AI$295, INDEX($H$15:$O$18, INT((ROW(A808)-1)/8)+1, MOD(ROW(A808)-1,8)+1))</f>
        <v>#REF!</v>
      </c>
      <c r="AN1071" s="2" t="e">
        <f t="shared" ca="1" si="93"/>
        <v>#VALUE!</v>
      </c>
      <c r="AO1071" s="2" t="e">
        <f t="shared" si="94"/>
        <v>#REF!</v>
      </c>
    </row>
    <row r="1072" spans="2:41" x14ac:dyDescent="0.25">
      <c r="B1072" s="2">
        <v>13</v>
      </c>
      <c r="C1072" s="2">
        <v>1</v>
      </c>
      <c r="M1072" s="9">
        <v>13</v>
      </c>
      <c r="N1072" s="4" cm="1">
        <f t="array" ref="N1072">INDEX($F$1060:$K$1067, INT((ROW(A13)-1)/6)+1, MOD(ROW(A871)-1,6)+1)</f>
        <v>1</v>
      </c>
      <c r="P1072" s="9">
        <v>3</v>
      </c>
      <c r="Q1072" s="4" t="e" cm="1">
        <f t="array" ref="Q1072">INDEX($P$264:$U$271, INT((ROW(A799)-1)/6)+1, MOD(ROW(A799)-1,6)+1)</f>
        <v>#REF!</v>
      </c>
      <c r="R1072" t="e">
        <f ca="1"/>
        <v>#VALUE!</v>
      </c>
      <c r="S1072" t="e">
        <f ca="1"/>
        <v>#VALUE!</v>
      </c>
      <c r="T1072" t="e">
        <f ca="1"/>
        <v>#VALUE!</v>
      </c>
      <c r="W1072" s="9">
        <v>13</v>
      </c>
      <c r="X1072" s="4" t="e">
        <f t="shared" si="89"/>
        <v>#REF!</v>
      </c>
      <c r="AH1072" s="9">
        <v>13</v>
      </c>
      <c r="AI1072" s="4" t="e" cm="1">
        <f t="array" ref="AI1072">MID(INDEX($AF$265:$AF$272,INT((ROW(A809)-1)/4)+1),MOD(ROW(A809)-1,4)+1,1)</f>
        <v>#REF!</v>
      </c>
      <c r="AK1072" s="9">
        <v>13</v>
      </c>
      <c r="AL1072" s="4" t="e" cm="1">
        <f t="array" ref="AL1072">INDEX($AI$264:$AI$295, INDEX($H$15:$O$18, INT((ROW(A809)-1)/8)+1, MOD(ROW(A809)-1,8)+1))</f>
        <v>#REF!</v>
      </c>
      <c r="AN1072" s="2" t="e">
        <f t="shared" ca="1" si="93"/>
        <v>#VALUE!</v>
      </c>
      <c r="AO1072" s="2" t="e">
        <f t="shared" si="94"/>
        <v>#REF!</v>
      </c>
    </row>
    <row r="1073" spans="2:41" x14ac:dyDescent="0.25">
      <c r="B1073" s="2">
        <v>14</v>
      </c>
      <c r="C1073" s="2">
        <v>1</v>
      </c>
      <c r="M1073" s="9">
        <v>14</v>
      </c>
      <c r="N1073" s="4" cm="1">
        <f t="array" ref="N1073">INDEX($F$1060:$K$1067, INT((ROW(A14)-1)/6)+1, MOD(ROW(A872)-1,6)+1)</f>
        <v>1</v>
      </c>
      <c r="P1073" s="9">
        <v>4</v>
      </c>
      <c r="Q1073" s="4" t="e" cm="1">
        <f t="array" ref="Q1073">INDEX($P$264:$U$271, INT((ROW(A800)-1)/6)+1, MOD(ROW(A800)-1,6)+1)</f>
        <v>#REF!</v>
      </c>
      <c r="R1073" t="e">
        <f ca="1"/>
        <v>#VALUE!</v>
      </c>
      <c r="S1073" t="e">
        <f ca="1"/>
        <v>#VALUE!</v>
      </c>
      <c r="T1073" t="e">
        <f ca="1"/>
        <v>#VALUE!</v>
      </c>
      <c r="W1073" s="9">
        <v>14</v>
      </c>
      <c r="X1073" s="4" t="e">
        <f t="shared" si="89"/>
        <v>#REF!</v>
      </c>
      <c r="AH1073" s="9">
        <v>14</v>
      </c>
      <c r="AI1073" s="4" t="e" cm="1">
        <f t="array" ref="AI1073">MID(INDEX($AF$265:$AF$272,INT((ROW(A810)-1)/4)+1),MOD(ROW(A810)-1,4)+1,1)</f>
        <v>#REF!</v>
      </c>
      <c r="AK1073" s="9">
        <v>14</v>
      </c>
      <c r="AL1073" s="4" t="e" cm="1">
        <f t="array" ref="AL1073">INDEX($AI$264:$AI$295, INDEX($H$15:$O$18, INT((ROW(A810)-1)/8)+1, MOD(ROW(A810)-1,8)+1))</f>
        <v>#REF!</v>
      </c>
      <c r="AN1073" s="2" t="e">
        <f t="shared" ca="1" si="93"/>
        <v>#VALUE!</v>
      </c>
      <c r="AO1073" s="2" t="e">
        <f t="shared" si="94"/>
        <v>#REF!</v>
      </c>
    </row>
    <row r="1074" spans="2:41" x14ac:dyDescent="0.25">
      <c r="B1074" s="2">
        <v>15</v>
      </c>
      <c r="C1074" s="2">
        <v>0</v>
      </c>
      <c r="M1074" s="9">
        <v>15</v>
      </c>
      <c r="N1074" s="4" cm="1">
        <f t="array" ref="N1074">INDEX($F$1060:$K$1067, INT((ROW(A15)-1)/6)+1, MOD(ROW(A873)-1,6)+1)</f>
        <v>0</v>
      </c>
      <c r="P1074" s="9">
        <v>5</v>
      </c>
      <c r="Q1074" s="4" t="e" cm="1">
        <f t="array" ref="Q1074">INDEX($P$264:$U$271, INT((ROW(A801)-1)/6)+1, MOD(ROW(A801)-1,6)+1)</f>
        <v>#REF!</v>
      </c>
      <c r="R1074" t="e">
        <f ca="1"/>
        <v>#VALUE!</v>
      </c>
      <c r="S1074" t="e">
        <f ca="1"/>
        <v>#VALUE!</v>
      </c>
      <c r="T1074" t="e">
        <f ca="1"/>
        <v>#VALUE!</v>
      </c>
      <c r="W1074" s="9">
        <v>15</v>
      </c>
      <c r="X1074" s="4" t="e">
        <f t="shared" si="89"/>
        <v>#REF!</v>
      </c>
      <c r="AH1074" s="9">
        <v>15</v>
      </c>
      <c r="AI1074" s="4" t="e" cm="1">
        <f t="array" ref="AI1074">MID(INDEX($AF$265:$AF$272,INT((ROW(A811)-1)/4)+1),MOD(ROW(A811)-1,4)+1,1)</f>
        <v>#REF!</v>
      </c>
      <c r="AK1074" s="9">
        <v>15</v>
      </c>
      <c r="AL1074" s="4" t="e" cm="1">
        <f t="array" ref="AL1074">INDEX($AI$264:$AI$295, INDEX($H$15:$O$18, INT((ROW(A811)-1)/8)+1, MOD(ROW(A811)-1,8)+1))</f>
        <v>#REF!</v>
      </c>
      <c r="AN1074" s="2" t="e">
        <f t="shared" ca="1" si="93"/>
        <v>#VALUE!</v>
      </c>
      <c r="AO1074" s="2" t="e">
        <f t="shared" si="94"/>
        <v>#REF!</v>
      </c>
    </row>
    <row r="1075" spans="2:41" x14ac:dyDescent="0.25">
      <c r="B1075" s="2">
        <v>16</v>
      </c>
      <c r="C1075" s="2">
        <v>0</v>
      </c>
      <c r="M1075" s="11">
        <v>16</v>
      </c>
      <c r="N1075" s="4" cm="1">
        <f t="array" ref="N1075">INDEX($F$1060:$K$1067, INT((ROW(A16)-1)/6)+1, MOD(ROW(A874)-1,6)+1)</f>
        <v>1</v>
      </c>
      <c r="P1075" s="9">
        <v>6</v>
      </c>
      <c r="Q1075" s="4" t="e" cm="1">
        <f t="array" ref="Q1075">INDEX($P$264:$U$271, INT((ROW(A802)-1)/6)+1, MOD(ROW(A802)-1,6)+1)</f>
        <v>#REF!</v>
      </c>
      <c r="R1075" t="e">
        <f ca="1"/>
        <v>#VALUE!</v>
      </c>
      <c r="S1075" t="e">
        <f ca="1"/>
        <v>#VALUE!</v>
      </c>
      <c r="T1075" t="e">
        <f ca="1"/>
        <v>#VALUE!</v>
      </c>
      <c r="W1075" s="11">
        <v>16</v>
      </c>
      <c r="X1075" s="4" t="e">
        <f t="shared" si="89"/>
        <v>#REF!</v>
      </c>
      <c r="AH1075" s="11">
        <v>16</v>
      </c>
      <c r="AI1075" s="4" t="e" cm="1">
        <f t="array" ref="AI1075">MID(INDEX($AF$265:$AF$272,INT((ROW(A812)-1)/4)+1),MOD(ROW(A812)-1,4)+1,1)</f>
        <v>#REF!</v>
      </c>
      <c r="AK1075" s="11">
        <v>16</v>
      </c>
      <c r="AL1075" s="4" t="e" cm="1">
        <f t="array" ref="AL1075">INDEX($AI$264:$AI$295, INDEX($H$15:$O$18, INT((ROW(A812)-1)/8)+1, MOD(ROW(A812)-1,8)+1))</f>
        <v>#REF!</v>
      </c>
      <c r="AN1075" s="2" t="e">
        <f t="shared" ca="1" si="93"/>
        <v>#VALUE!</v>
      </c>
      <c r="AO1075" s="2" t="e">
        <f t="shared" si="94"/>
        <v>#REF!</v>
      </c>
    </row>
    <row r="1076" spans="2:41" x14ac:dyDescent="0.25">
      <c r="B1076" s="2">
        <v>17</v>
      </c>
      <c r="C1076" s="2">
        <v>1</v>
      </c>
      <c r="M1076" s="7">
        <v>17</v>
      </c>
      <c r="N1076" s="4" cm="1">
        <f t="array" ref="N1076">INDEX($F$1060:$K$1067, INT((ROW(A17)-1)/6)+1, MOD(ROW(A875)-1,6)+1)</f>
        <v>0</v>
      </c>
      <c r="P1076" s="9">
        <v>7</v>
      </c>
      <c r="Q1076" s="4" t="e" cm="1">
        <f t="array" ref="Q1076">INDEX($P$264:$U$271, INT((ROW(A803)-1)/6)+1, MOD(ROW(A803)-1,6)+1)</f>
        <v>#REF!</v>
      </c>
      <c r="R1076" t="e">
        <f ca="1"/>
        <v>#VALUE!</v>
      </c>
      <c r="S1076" t="e">
        <f ca="1"/>
        <v>#VALUE!</v>
      </c>
      <c r="T1076" t="e">
        <f ca="1"/>
        <v>#VALUE!</v>
      </c>
      <c r="W1076" s="7">
        <v>17</v>
      </c>
      <c r="X1076" s="4" t="e">
        <f t="shared" si="89"/>
        <v>#REF!</v>
      </c>
      <c r="AH1076" s="7">
        <v>17</v>
      </c>
      <c r="AI1076" s="4" t="e" cm="1">
        <f t="array" ref="AI1076">MID(INDEX($AF$265:$AF$272,INT((ROW(A813)-1)/4)+1),MOD(ROW(A813)-1,4)+1,1)</f>
        <v>#REF!</v>
      </c>
      <c r="AK1076" s="7">
        <v>17</v>
      </c>
      <c r="AL1076" s="4" t="e" cm="1">
        <f t="array" ref="AL1076">INDEX($AI$264:$AI$295, INDEX($H$15:$O$18, INT((ROW(A813)-1)/8)+1, MOD(ROW(A813)-1,8)+1))</f>
        <v>#REF!</v>
      </c>
      <c r="AN1076" s="2" t="e">
        <f t="shared" ca="1" si="93"/>
        <v>#VALUE!</v>
      </c>
      <c r="AO1076" s="2" t="e">
        <f t="shared" si="94"/>
        <v>#REF!</v>
      </c>
    </row>
    <row r="1077" spans="2:41" x14ac:dyDescent="0.25">
      <c r="B1077" s="2">
        <v>18</v>
      </c>
      <c r="C1077" s="2">
        <v>0</v>
      </c>
      <c r="M1077" s="9">
        <v>18</v>
      </c>
      <c r="N1077" s="4" cm="1">
        <f t="array" ref="N1077">INDEX($F$1060:$K$1067, INT((ROW(A18)-1)/6)+1, MOD(ROW(A876)-1,6)+1)</f>
        <v>0</v>
      </c>
      <c r="P1077" s="11">
        <v>8</v>
      </c>
      <c r="Q1077" s="4" t="e" cm="1">
        <f t="array" ref="Q1077">INDEX($P$264:$U$271, INT((ROW(A804)-1)/6)+1, MOD(ROW(A804)-1,6)+1)</f>
        <v>#REF!</v>
      </c>
      <c r="R1077" t="e">
        <f ca="1"/>
        <v>#VALUE!</v>
      </c>
      <c r="S1077" t="e">
        <f ca="1"/>
        <v>#VALUE!</v>
      </c>
      <c r="T1077" t="e">
        <f ca="1"/>
        <v>#VALUE!</v>
      </c>
      <c r="W1077" s="9">
        <v>18</v>
      </c>
      <c r="X1077" s="4" t="e">
        <f t="shared" si="89"/>
        <v>#REF!</v>
      </c>
      <c r="AH1077" s="9">
        <v>18</v>
      </c>
      <c r="AI1077" s="4" t="e" cm="1">
        <f t="array" ref="AI1077">MID(INDEX($AF$265:$AF$272,INT((ROW(A814)-1)/4)+1),MOD(ROW(A814)-1,4)+1,1)</f>
        <v>#REF!</v>
      </c>
      <c r="AK1077" s="9">
        <v>18</v>
      </c>
      <c r="AL1077" s="4" t="e" cm="1">
        <f t="array" ref="AL1077">INDEX($AI$264:$AI$295, INDEX($H$15:$O$18, INT((ROW(A814)-1)/8)+1, MOD(ROW(A814)-1,8)+1))</f>
        <v>#REF!</v>
      </c>
      <c r="AN1077" s="2" t="e">
        <f t="shared" ca="1" si="93"/>
        <v>#VALUE!</v>
      </c>
      <c r="AO1077" s="2" t="e">
        <f t="shared" si="94"/>
        <v>#REF!</v>
      </c>
    </row>
    <row r="1078" spans="2:41" x14ac:dyDescent="0.25">
      <c r="B1078" s="2">
        <v>19</v>
      </c>
      <c r="C1078" s="2">
        <v>1</v>
      </c>
      <c r="M1078" s="9">
        <v>19</v>
      </c>
      <c r="N1078" s="4" cm="1">
        <f t="array" ref="N1078">INDEX($F$1060:$K$1067, INT((ROW(A19)-1)/6)+1, MOD(ROW(A877)-1,6)+1)</f>
        <v>0</v>
      </c>
      <c r="P1078" s="7">
        <v>9</v>
      </c>
      <c r="Q1078" s="4" t="e" cm="1">
        <f t="array" ref="Q1078">INDEX($P$264:$U$271, INT((ROW(A805)-1)/6)+1, MOD(ROW(A805)-1,6)+1)</f>
        <v>#REF!</v>
      </c>
      <c r="R1078" t="e">
        <f ca="1"/>
        <v>#VALUE!</v>
      </c>
      <c r="S1078" t="e">
        <f ca="1"/>
        <v>#VALUE!</v>
      </c>
      <c r="T1078" t="e">
        <f ca="1"/>
        <v>#VALUE!</v>
      </c>
      <c r="W1078" s="9">
        <v>19</v>
      </c>
      <c r="X1078" s="4" t="e">
        <f t="shared" si="89"/>
        <v>#REF!</v>
      </c>
      <c r="AH1078" s="9">
        <v>19</v>
      </c>
      <c r="AI1078" s="4" t="e" cm="1">
        <f t="array" ref="AI1078">MID(INDEX($AF$265:$AF$272,INT((ROW(A815)-1)/4)+1),MOD(ROW(A815)-1,4)+1,1)</f>
        <v>#REF!</v>
      </c>
      <c r="AK1078" s="9">
        <v>19</v>
      </c>
      <c r="AL1078" s="4" t="e" cm="1">
        <f t="array" ref="AL1078">INDEX($AI$264:$AI$295, INDEX($H$15:$O$18, INT((ROW(A815)-1)/8)+1, MOD(ROW(A815)-1,8)+1))</f>
        <v>#REF!</v>
      </c>
      <c r="AN1078" s="2" t="e">
        <f t="shared" ca="1" si="93"/>
        <v>#VALUE!</v>
      </c>
      <c r="AO1078" s="2" t="e">
        <f t="shared" si="94"/>
        <v>#REF!</v>
      </c>
    </row>
    <row r="1079" spans="2:41" x14ac:dyDescent="0.25">
      <c r="B1079" s="2">
        <v>20</v>
      </c>
      <c r="C1079" s="2">
        <v>0</v>
      </c>
      <c r="M1079" s="9">
        <v>20</v>
      </c>
      <c r="N1079" s="4" cm="1">
        <f t="array" ref="N1079">INDEX($F$1060:$K$1067, INT((ROW(A20)-1)/6)+1, MOD(ROW(A878)-1,6)+1)</f>
        <v>0</v>
      </c>
      <c r="P1079" s="9">
        <v>10</v>
      </c>
      <c r="Q1079" s="4" t="e" cm="1">
        <f t="array" ref="Q1079">INDEX($P$264:$U$271, INT((ROW(A806)-1)/6)+1, MOD(ROW(A806)-1,6)+1)</f>
        <v>#REF!</v>
      </c>
      <c r="R1079" t="e">
        <f ca="1"/>
        <v>#VALUE!</v>
      </c>
      <c r="S1079" t="e">
        <f ca="1"/>
        <v>#VALUE!</v>
      </c>
      <c r="T1079" t="e">
        <f ca="1"/>
        <v>#VALUE!</v>
      </c>
      <c r="W1079" s="9">
        <v>20</v>
      </c>
      <c r="X1079" s="4" t="e">
        <f t="shared" si="89"/>
        <v>#REF!</v>
      </c>
      <c r="AH1079" s="9">
        <v>20</v>
      </c>
      <c r="AI1079" s="4" t="e" cm="1">
        <f t="array" ref="AI1079">MID(INDEX($AF$265:$AF$272,INT((ROW(A816)-1)/4)+1),MOD(ROW(A816)-1,4)+1,1)</f>
        <v>#REF!</v>
      </c>
      <c r="AK1079" s="9">
        <v>20</v>
      </c>
      <c r="AL1079" s="4" t="e" cm="1">
        <f t="array" ref="AL1079">INDEX($AI$264:$AI$295, INDEX($H$15:$O$18, INT((ROW(A816)-1)/8)+1, MOD(ROW(A816)-1,8)+1))</f>
        <v>#REF!</v>
      </c>
      <c r="AN1079" s="2" t="e">
        <f t="shared" ca="1" si="93"/>
        <v>#VALUE!</v>
      </c>
      <c r="AO1079" s="2" t="e">
        <f t="shared" si="94"/>
        <v>#REF!</v>
      </c>
    </row>
    <row r="1080" spans="2:41" x14ac:dyDescent="0.25">
      <c r="B1080" s="2">
        <v>21</v>
      </c>
      <c r="C1080" s="2">
        <v>1</v>
      </c>
      <c r="M1080" s="9">
        <v>21</v>
      </c>
      <c r="N1080" s="4" cm="1">
        <f t="array" ref="N1080">INDEX($F$1060:$K$1067, INT((ROW(A21)-1)/6)+1, MOD(ROW(A879)-1,6)+1)</f>
        <v>1</v>
      </c>
      <c r="P1080" s="9">
        <v>11</v>
      </c>
      <c r="Q1080" s="4" t="e" cm="1">
        <f t="array" ref="Q1080">INDEX($P$264:$U$271, INT((ROW(A807)-1)/6)+1, MOD(ROW(A807)-1,6)+1)</f>
        <v>#REF!</v>
      </c>
      <c r="R1080" t="e">
        <f ca="1"/>
        <v>#VALUE!</v>
      </c>
      <c r="S1080" t="e">
        <f ca="1"/>
        <v>#VALUE!</v>
      </c>
      <c r="T1080" t="e">
        <f ca="1"/>
        <v>#VALUE!</v>
      </c>
      <c r="W1080" s="9">
        <v>21</v>
      </c>
      <c r="X1080" s="4" t="e">
        <f t="shared" si="89"/>
        <v>#REF!</v>
      </c>
      <c r="AH1080" s="9">
        <v>21</v>
      </c>
      <c r="AI1080" s="4" t="e" cm="1">
        <f t="array" ref="AI1080">MID(INDEX($AF$265:$AF$272,INT((ROW(A817)-1)/4)+1),MOD(ROW(A817)-1,4)+1,1)</f>
        <v>#REF!</v>
      </c>
      <c r="AK1080" s="9">
        <v>21</v>
      </c>
      <c r="AL1080" s="4" t="e" cm="1">
        <f t="array" ref="AL1080">INDEX($AI$264:$AI$295, INDEX($H$15:$O$18, INT((ROW(A817)-1)/8)+1, MOD(ROW(A817)-1,8)+1))</f>
        <v>#REF!</v>
      </c>
      <c r="AN1080" s="2" t="e">
        <f t="shared" ca="1" si="93"/>
        <v>#VALUE!</v>
      </c>
      <c r="AO1080" s="2" t="e">
        <f t="shared" si="94"/>
        <v>#REF!</v>
      </c>
    </row>
    <row r="1081" spans="2:41" x14ac:dyDescent="0.25">
      <c r="B1081" s="2">
        <v>22</v>
      </c>
      <c r="C1081" s="2">
        <v>0</v>
      </c>
      <c r="M1081" s="9">
        <v>22</v>
      </c>
      <c r="N1081" s="4" cm="1">
        <f t="array" ref="N1081">INDEX($F$1060:$K$1067, INT((ROW(A22)-1)/6)+1, MOD(ROW(A880)-1,6)+1)</f>
        <v>0</v>
      </c>
      <c r="P1081" s="9">
        <v>12</v>
      </c>
      <c r="Q1081" s="4" t="e" cm="1">
        <f t="array" ref="Q1081">INDEX($P$264:$U$271, INT((ROW(A808)-1)/6)+1, MOD(ROW(A808)-1,6)+1)</f>
        <v>#REF!</v>
      </c>
      <c r="R1081" t="e">
        <f ca="1"/>
        <v>#VALUE!</v>
      </c>
      <c r="S1081" t="e">
        <f ca="1"/>
        <v>#VALUE!</v>
      </c>
      <c r="T1081" t="e">
        <f ca="1"/>
        <v>#VALUE!</v>
      </c>
      <c r="W1081" s="9">
        <v>22</v>
      </c>
      <c r="X1081" s="4" t="e">
        <f t="shared" si="89"/>
        <v>#REF!</v>
      </c>
      <c r="AH1081" s="9">
        <v>22</v>
      </c>
      <c r="AI1081" s="4" t="e" cm="1">
        <f t="array" ref="AI1081">MID(INDEX($AF$265:$AF$272,INT((ROW(A818)-1)/4)+1),MOD(ROW(A818)-1,4)+1,1)</f>
        <v>#REF!</v>
      </c>
      <c r="AK1081" s="9">
        <v>22</v>
      </c>
      <c r="AL1081" s="4" t="e" cm="1">
        <f t="array" ref="AL1081">INDEX($AI$264:$AI$295, INDEX($H$15:$O$18, INT((ROW(A818)-1)/8)+1, MOD(ROW(A818)-1,8)+1))</f>
        <v>#REF!</v>
      </c>
      <c r="AN1081" s="2" t="e">
        <f t="shared" ca="1" si="93"/>
        <v>#VALUE!</v>
      </c>
      <c r="AO1081" s="2" t="e">
        <f t="shared" si="94"/>
        <v>#REF!</v>
      </c>
    </row>
    <row r="1082" spans="2:41" x14ac:dyDescent="0.25">
      <c r="B1082" s="2">
        <v>23</v>
      </c>
      <c r="C1082" s="2">
        <v>1</v>
      </c>
      <c r="M1082" s="9">
        <v>23</v>
      </c>
      <c r="N1082" s="4" cm="1">
        <f t="array" ref="N1082">INDEX($F$1060:$K$1067, INT((ROW(A23)-1)/6)+1, MOD(ROW(A881)-1,6)+1)</f>
        <v>1</v>
      </c>
      <c r="P1082" s="9">
        <v>13</v>
      </c>
      <c r="Q1082" s="4" t="e" cm="1">
        <f t="array" ref="Q1082">INDEX($P$264:$U$271, INT((ROW(A809)-1)/6)+1, MOD(ROW(A809)-1,6)+1)</f>
        <v>#REF!</v>
      </c>
      <c r="R1082" t="e">
        <f ca="1"/>
        <v>#VALUE!</v>
      </c>
      <c r="S1082" t="e">
        <f ca="1"/>
        <v>#VALUE!</v>
      </c>
      <c r="T1082" t="e">
        <f ca="1"/>
        <v>#VALUE!</v>
      </c>
      <c r="W1082" s="9">
        <v>23</v>
      </c>
      <c r="X1082" s="4" t="e">
        <f t="shared" si="89"/>
        <v>#REF!</v>
      </c>
      <c r="AH1082" s="9">
        <v>23</v>
      </c>
      <c r="AI1082" s="4" t="e" cm="1">
        <f t="array" ref="AI1082">MID(INDEX($AF$265:$AF$272,INT((ROW(A819)-1)/4)+1),MOD(ROW(A819)-1,4)+1,1)</f>
        <v>#REF!</v>
      </c>
      <c r="AK1082" s="9">
        <v>23</v>
      </c>
      <c r="AL1082" s="4" t="e" cm="1">
        <f t="array" ref="AL1082">INDEX($AI$264:$AI$295, INDEX($H$15:$O$18, INT((ROW(A819)-1)/8)+1, MOD(ROW(A819)-1,8)+1))</f>
        <v>#REF!</v>
      </c>
      <c r="AN1082" s="2" t="e">
        <f t="shared" ca="1" si="93"/>
        <v>#VALUE!</v>
      </c>
      <c r="AO1082" s="2" t="e">
        <f t="shared" si="94"/>
        <v>#REF!</v>
      </c>
    </row>
    <row r="1083" spans="2:41" x14ac:dyDescent="0.25">
      <c r="B1083" s="2">
        <v>24</v>
      </c>
      <c r="C1083" s="2">
        <v>0</v>
      </c>
      <c r="M1083" s="11">
        <v>24</v>
      </c>
      <c r="N1083" s="4" cm="1">
        <f t="array" ref="N1083">INDEX($F$1060:$K$1067, INT((ROW(A24)-1)/6)+1, MOD(ROW(A882)-1,6)+1)</f>
        <v>1</v>
      </c>
      <c r="P1083" s="9">
        <v>14</v>
      </c>
      <c r="Q1083" s="4" t="e" cm="1">
        <f t="array" ref="Q1083">INDEX($P$264:$U$271, INT((ROW(A810)-1)/6)+1, MOD(ROW(A810)-1,6)+1)</f>
        <v>#REF!</v>
      </c>
      <c r="R1083" t="e">
        <f ca="1"/>
        <v>#VALUE!</v>
      </c>
      <c r="S1083" t="e">
        <f ca="1"/>
        <v>#VALUE!</v>
      </c>
      <c r="T1083" t="e">
        <f ca="1"/>
        <v>#VALUE!</v>
      </c>
      <c r="W1083" s="11">
        <v>24</v>
      </c>
      <c r="X1083" s="4" t="e">
        <f t="shared" si="89"/>
        <v>#REF!</v>
      </c>
      <c r="AH1083" s="11">
        <v>24</v>
      </c>
      <c r="AI1083" s="4" t="e" cm="1">
        <f t="array" ref="AI1083">MID(INDEX($AF$265:$AF$272,INT((ROW(A820)-1)/4)+1),MOD(ROW(A820)-1,4)+1,1)</f>
        <v>#REF!</v>
      </c>
      <c r="AK1083" s="11">
        <v>24</v>
      </c>
      <c r="AL1083" s="4" t="e" cm="1">
        <f t="array" ref="AL1083">INDEX($AI$264:$AI$295, INDEX($H$15:$O$18, INT((ROW(A820)-1)/8)+1, MOD(ROW(A820)-1,8)+1))</f>
        <v>#REF!</v>
      </c>
      <c r="AN1083" s="2" t="e">
        <f t="shared" ca="1" si="93"/>
        <v>#VALUE!</v>
      </c>
      <c r="AO1083" s="2" t="e">
        <f t="shared" si="94"/>
        <v>#REF!</v>
      </c>
    </row>
    <row r="1084" spans="2:41" x14ac:dyDescent="0.25">
      <c r="B1084" s="2">
        <v>25</v>
      </c>
      <c r="C1084" s="2">
        <v>1</v>
      </c>
      <c r="M1084" s="7">
        <v>25</v>
      </c>
      <c r="N1084" s="4" cm="1">
        <f t="array" ref="N1084">INDEX($F$1060:$K$1067, INT((ROW(A25)-1)/6)+1, MOD(ROW(A883)-1,6)+1)</f>
        <v>1</v>
      </c>
      <c r="P1084" s="9">
        <v>15</v>
      </c>
      <c r="Q1084" s="4" t="e" cm="1">
        <f t="array" ref="Q1084">INDEX($P$264:$U$271, INT((ROW(A811)-1)/6)+1, MOD(ROW(A811)-1,6)+1)</f>
        <v>#REF!</v>
      </c>
      <c r="R1084" t="e">
        <f ca="1"/>
        <v>#VALUE!</v>
      </c>
      <c r="S1084" t="e">
        <f ca="1"/>
        <v>#VALUE!</v>
      </c>
      <c r="T1084" t="e">
        <f ca="1"/>
        <v>#VALUE!</v>
      </c>
      <c r="W1084" s="7">
        <v>25</v>
      </c>
      <c r="X1084" s="4" t="e">
        <f t="shared" si="89"/>
        <v>#REF!</v>
      </c>
      <c r="AH1084" s="7">
        <v>25</v>
      </c>
      <c r="AI1084" s="4" t="e" cm="1">
        <f t="array" ref="AI1084">MID(INDEX($AF$265:$AF$272,INT((ROW(A821)-1)/4)+1),MOD(ROW(A821)-1,4)+1,1)</f>
        <v>#REF!</v>
      </c>
      <c r="AK1084" s="7">
        <v>25</v>
      </c>
      <c r="AL1084" s="4" t="e" cm="1">
        <f t="array" ref="AL1084">INDEX($AI$264:$AI$295, INDEX($H$15:$O$18, INT((ROW(A821)-1)/8)+1, MOD(ROW(A821)-1,8)+1))</f>
        <v>#REF!</v>
      </c>
      <c r="AN1084" s="2" t="e">
        <f t="shared" ca="1" si="93"/>
        <v>#VALUE!</v>
      </c>
      <c r="AO1084" s="2" t="e">
        <f t="shared" si="94"/>
        <v>#REF!</v>
      </c>
    </row>
    <row r="1085" spans="2:41" x14ac:dyDescent="0.25">
      <c r="B1085" s="2">
        <v>26</v>
      </c>
      <c r="C1085" s="2">
        <v>0</v>
      </c>
      <c r="M1085" s="9">
        <v>26</v>
      </c>
      <c r="N1085" s="4" cm="1">
        <f t="array" ref="N1085">INDEX($F$1060:$K$1067, INT((ROW(A26)-1)/6)+1, MOD(ROW(A884)-1,6)+1)</f>
        <v>0</v>
      </c>
      <c r="P1085" s="11">
        <v>16</v>
      </c>
      <c r="Q1085" s="4" t="e" cm="1">
        <f t="array" ref="Q1085">INDEX($P$264:$U$271, INT((ROW(A812)-1)/6)+1, MOD(ROW(A812)-1,6)+1)</f>
        <v>#REF!</v>
      </c>
      <c r="R1085" t="e">
        <f ca="1"/>
        <v>#VALUE!</v>
      </c>
      <c r="S1085" t="e">
        <f ca="1"/>
        <v>#VALUE!</v>
      </c>
      <c r="T1085" t="e">
        <f ca="1"/>
        <v>#VALUE!</v>
      </c>
      <c r="W1085" s="9">
        <v>26</v>
      </c>
      <c r="X1085" s="4" t="e">
        <f t="shared" si="89"/>
        <v>#REF!</v>
      </c>
      <c r="AH1085" s="9">
        <v>26</v>
      </c>
      <c r="AI1085" s="4" t="e" cm="1">
        <f t="array" ref="AI1085">MID(INDEX($AF$265:$AF$272,INT((ROW(A822)-1)/4)+1),MOD(ROW(A822)-1,4)+1,1)</f>
        <v>#REF!</v>
      </c>
      <c r="AK1085" s="9">
        <v>26</v>
      </c>
      <c r="AL1085" s="4" t="e" cm="1">
        <f t="array" ref="AL1085">INDEX($AI$264:$AI$295, INDEX($H$15:$O$18, INT((ROW(A822)-1)/8)+1, MOD(ROW(A822)-1,8)+1))</f>
        <v>#REF!</v>
      </c>
      <c r="AN1085" s="2" t="e">
        <f t="shared" ca="1" si="93"/>
        <v>#VALUE!</v>
      </c>
      <c r="AO1085" s="2" t="e">
        <f t="shared" si="94"/>
        <v>#REF!</v>
      </c>
    </row>
    <row r="1086" spans="2:41" x14ac:dyDescent="0.25">
      <c r="B1086" s="2">
        <v>27</v>
      </c>
      <c r="C1086" s="2">
        <v>1</v>
      </c>
      <c r="M1086" s="9">
        <v>27</v>
      </c>
      <c r="N1086" s="4" cm="1">
        <f t="array" ref="N1086">INDEX($F$1060:$K$1067, INT((ROW(A27)-1)/6)+1, MOD(ROW(A885)-1,6)+1)</f>
        <v>1</v>
      </c>
      <c r="P1086" s="7">
        <v>17</v>
      </c>
      <c r="Q1086" s="4" t="e" cm="1">
        <f t="array" ref="Q1086">INDEX($P$264:$U$271, INT((ROW(A813)-1)/6)+1, MOD(ROW(A813)-1,6)+1)</f>
        <v>#REF!</v>
      </c>
      <c r="R1086" t="e">
        <f ca="1"/>
        <v>#VALUE!</v>
      </c>
      <c r="S1086" t="e">
        <f ca="1"/>
        <v>#VALUE!</v>
      </c>
      <c r="T1086" t="e">
        <f ca="1"/>
        <v>#VALUE!</v>
      </c>
      <c r="W1086" s="9">
        <v>27</v>
      </c>
      <c r="X1086" s="4" t="e">
        <f t="shared" si="89"/>
        <v>#REF!</v>
      </c>
      <c r="AH1086" s="9">
        <v>27</v>
      </c>
      <c r="AI1086" s="4" t="e" cm="1">
        <f t="array" ref="AI1086">MID(INDEX($AF$265:$AF$272,INT((ROW(A823)-1)/4)+1),MOD(ROW(A823)-1,4)+1,1)</f>
        <v>#REF!</v>
      </c>
      <c r="AK1086" s="9">
        <v>27</v>
      </c>
      <c r="AL1086" s="4" t="e" cm="1">
        <f t="array" ref="AL1086">INDEX($AI$264:$AI$295, INDEX($H$15:$O$18, INT((ROW(A823)-1)/8)+1, MOD(ROW(A823)-1,8)+1))</f>
        <v>#REF!</v>
      </c>
      <c r="AN1086" s="2" t="e">
        <f t="shared" ca="1" si="93"/>
        <v>#VALUE!</v>
      </c>
      <c r="AO1086" s="2" t="e">
        <f t="shared" si="94"/>
        <v>#REF!</v>
      </c>
    </row>
    <row r="1087" spans="2:41" x14ac:dyDescent="0.25">
      <c r="B1087" s="2">
        <v>28</v>
      </c>
      <c r="C1087" s="2">
        <v>1</v>
      </c>
      <c r="M1087" s="9">
        <v>28</v>
      </c>
      <c r="N1087" s="4" cm="1">
        <f t="array" ref="N1087">INDEX($F$1060:$K$1067, INT((ROW(A28)-1)/6)+1, MOD(ROW(A886)-1,6)+1)</f>
        <v>1</v>
      </c>
      <c r="P1087" s="9">
        <v>18</v>
      </c>
      <c r="Q1087" s="4" t="e" cm="1">
        <f t="array" ref="Q1087">INDEX($P$264:$U$271, INT((ROW(A814)-1)/6)+1, MOD(ROW(A814)-1,6)+1)</f>
        <v>#REF!</v>
      </c>
      <c r="R1087" t="e">
        <f ca="1"/>
        <v>#VALUE!</v>
      </c>
      <c r="S1087" t="e">
        <f ca="1"/>
        <v>#VALUE!</v>
      </c>
      <c r="T1087" t="e">
        <f ca="1"/>
        <v>#VALUE!</v>
      </c>
      <c r="W1087" s="9">
        <v>28</v>
      </c>
      <c r="X1087" s="4" t="e">
        <f t="shared" si="89"/>
        <v>#REF!</v>
      </c>
      <c r="AH1087" s="9">
        <v>28</v>
      </c>
      <c r="AI1087" s="4" t="e" cm="1">
        <f t="array" ref="AI1087">MID(INDEX($AF$265:$AF$272,INT((ROW(A824)-1)/4)+1),MOD(ROW(A824)-1,4)+1,1)</f>
        <v>#REF!</v>
      </c>
      <c r="AK1087" s="9">
        <v>28</v>
      </c>
      <c r="AL1087" s="4" t="e" cm="1">
        <f t="array" ref="AL1087">INDEX($AI$264:$AI$295, INDEX($H$15:$O$18, INT((ROW(A824)-1)/8)+1, MOD(ROW(A824)-1,8)+1))</f>
        <v>#REF!</v>
      </c>
      <c r="AN1087" s="2" t="e">
        <f t="shared" ca="1" si="93"/>
        <v>#VALUE!</v>
      </c>
      <c r="AO1087" s="2" t="e">
        <f t="shared" si="94"/>
        <v>#REF!</v>
      </c>
    </row>
    <row r="1088" spans="2:41" x14ac:dyDescent="0.25">
      <c r="B1088" s="2">
        <v>29</v>
      </c>
      <c r="C1088" s="2">
        <v>1</v>
      </c>
      <c r="M1088" s="9">
        <v>29</v>
      </c>
      <c r="N1088" s="4" cm="1">
        <f t="array" ref="N1088">INDEX($F$1060:$K$1067, INT((ROW(A29)-1)/6)+1, MOD(ROW(A887)-1,6)+1)</f>
        <v>1</v>
      </c>
      <c r="P1088" s="9">
        <v>19</v>
      </c>
      <c r="Q1088" s="4" t="e" cm="1">
        <f t="array" ref="Q1088">INDEX($P$264:$U$271, INT((ROW(A815)-1)/6)+1, MOD(ROW(A815)-1,6)+1)</f>
        <v>#REF!</v>
      </c>
      <c r="R1088" t="e">
        <f ca="1"/>
        <v>#VALUE!</v>
      </c>
      <c r="S1088" t="e">
        <f ca="1"/>
        <v>#VALUE!</v>
      </c>
      <c r="T1088" t="e">
        <f ca="1"/>
        <v>#VALUE!</v>
      </c>
      <c r="W1088" s="9">
        <v>29</v>
      </c>
      <c r="X1088" s="4" t="e">
        <f t="shared" si="89"/>
        <v>#REF!</v>
      </c>
      <c r="AH1088" s="9">
        <v>29</v>
      </c>
      <c r="AI1088" s="4" t="e" cm="1">
        <f t="array" ref="AI1088">MID(INDEX($AF$265:$AF$272,INT((ROW(A825)-1)/4)+1),MOD(ROW(A825)-1,4)+1,1)</f>
        <v>#REF!</v>
      </c>
      <c r="AK1088" s="9">
        <v>29</v>
      </c>
      <c r="AL1088" s="4" t="e" cm="1">
        <f t="array" ref="AL1088">INDEX($AI$264:$AI$295, INDEX($H$15:$O$18, INT((ROW(A825)-1)/8)+1, MOD(ROW(A825)-1,8)+1))</f>
        <v>#REF!</v>
      </c>
      <c r="AN1088" s="2" t="e">
        <f t="shared" ca="1" si="93"/>
        <v>#VALUE!</v>
      </c>
      <c r="AO1088" s="2" t="e">
        <f t="shared" si="94"/>
        <v>#REF!</v>
      </c>
    </row>
    <row r="1089" spans="2:41" x14ac:dyDescent="0.25">
      <c r="B1089" s="2">
        <v>30</v>
      </c>
      <c r="C1089" s="2">
        <v>0</v>
      </c>
      <c r="M1089" s="9">
        <v>30</v>
      </c>
      <c r="N1089" s="4" cm="1">
        <f t="array" ref="N1089">INDEX($F$1060:$K$1067, INT((ROW(A30)-1)/6)+1, MOD(ROW(A888)-1,6)+1)</f>
        <v>1</v>
      </c>
      <c r="P1089" s="9">
        <v>20</v>
      </c>
      <c r="Q1089" s="4" t="e" cm="1">
        <f t="array" ref="Q1089">INDEX($P$264:$U$271, INT((ROW(A816)-1)/6)+1, MOD(ROW(A816)-1,6)+1)</f>
        <v>#REF!</v>
      </c>
      <c r="R1089" t="e">
        <f ca="1"/>
        <v>#VALUE!</v>
      </c>
      <c r="S1089" t="e">
        <f ca="1"/>
        <v>#VALUE!</v>
      </c>
      <c r="T1089" t="e">
        <f ca="1"/>
        <v>#VALUE!</v>
      </c>
      <c r="W1089" s="9">
        <v>30</v>
      </c>
      <c r="X1089" s="4" t="e">
        <f t="shared" si="89"/>
        <v>#REF!</v>
      </c>
      <c r="AH1089" s="9">
        <v>30</v>
      </c>
      <c r="AI1089" s="4" t="e" cm="1">
        <f t="array" ref="AI1089">MID(INDEX($AF$265:$AF$272,INT((ROW(A826)-1)/4)+1),MOD(ROW(A826)-1,4)+1,1)</f>
        <v>#REF!</v>
      </c>
      <c r="AK1089" s="9">
        <v>30</v>
      </c>
      <c r="AL1089" s="4" t="e" cm="1">
        <f t="array" ref="AL1089">INDEX($AI$264:$AI$295, INDEX($H$15:$O$18, INT((ROW(A826)-1)/8)+1, MOD(ROW(A826)-1,8)+1))</f>
        <v>#REF!</v>
      </c>
      <c r="AN1089" s="2" t="e">
        <f t="shared" ca="1" si="93"/>
        <v>#VALUE!</v>
      </c>
      <c r="AO1089" s="2" t="e">
        <f t="shared" si="94"/>
        <v>#REF!</v>
      </c>
    </row>
    <row r="1090" spans="2:41" x14ac:dyDescent="0.25">
      <c r="B1090" s="2">
        <v>31</v>
      </c>
      <c r="C1090" s="2">
        <v>1</v>
      </c>
      <c r="M1090" s="9">
        <v>31</v>
      </c>
      <c r="N1090" s="4" cm="1">
        <f t="array" ref="N1090">INDEX($F$1060:$K$1067, INT((ROW(A31)-1)/6)+1, MOD(ROW(A889)-1,6)+1)</f>
        <v>0</v>
      </c>
      <c r="P1090" s="9">
        <v>21</v>
      </c>
      <c r="Q1090" s="4" t="e" cm="1">
        <f t="array" ref="Q1090">INDEX($P$264:$U$271, INT((ROW(A817)-1)/6)+1, MOD(ROW(A817)-1,6)+1)</f>
        <v>#REF!</v>
      </c>
      <c r="R1090" t="e">
        <f ca="1"/>
        <v>#VALUE!</v>
      </c>
      <c r="S1090" t="e">
        <f ca="1"/>
        <v>#VALUE!</v>
      </c>
      <c r="T1090" t="e">
        <f ca="1"/>
        <v>#VALUE!</v>
      </c>
      <c r="W1090" s="9">
        <v>31</v>
      </c>
      <c r="X1090" s="4" t="e">
        <f t="shared" si="89"/>
        <v>#REF!</v>
      </c>
      <c r="AH1090" s="9">
        <v>31</v>
      </c>
      <c r="AI1090" s="4" t="e" cm="1">
        <f t="array" ref="AI1090">MID(INDEX($AF$265:$AF$272,INT((ROW(A827)-1)/4)+1),MOD(ROW(A827)-1,4)+1,1)</f>
        <v>#REF!</v>
      </c>
      <c r="AK1090" s="9">
        <v>31</v>
      </c>
      <c r="AL1090" s="4" t="e" cm="1">
        <f t="array" ref="AL1090">INDEX($AI$264:$AI$295, INDEX($H$15:$O$18, INT((ROW(A827)-1)/8)+1, MOD(ROW(A827)-1,8)+1))</f>
        <v>#REF!</v>
      </c>
      <c r="AN1090" s="2" t="e">
        <f t="shared" ca="1" si="93"/>
        <v>#VALUE!</v>
      </c>
      <c r="AO1090" s="2" t="e">
        <f t="shared" si="94"/>
        <v>#REF!</v>
      </c>
    </row>
    <row r="1091" spans="2:41" x14ac:dyDescent="0.25">
      <c r="B1091" s="2">
        <v>32</v>
      </c>
      <c r="C1091" s="2">
        <v>0</v>
      </c>
      <c r="M1091" s="11">
        <v>32</v>
      </c>
      <c r="N1091" s="4" cm="1">
        <f t="array" ref="N1091">INDEX($F$1060:$K$1067, INT((ROW(A32)-1)/6)+1, MOD(ROW(A890)-1,6)+1)</f>
        <v>0</v>
      </c>
      <c r="P1091" s="9">
        <v>22</v>
      </c>
      <c r="Q1091" s="4" t="e" cm="1">
        <f t="array" ref="Q1091">INDEX($P$264:$U$271, INT((ROW(A818)-1)/6)+1, MOD(ROW(A818)-1,6)+1)</f>
        <v>#REF!</v>
      </c>
      <c r="R1091" t="e">
        <f ca="1"/>
        <v>#VALUE!</v>
      </c>
      <c r="S1091" t="e">
        <f ca="1"/>
        <v>#VALUE!</v>
      </c>
      <c r="T1091" t="e">
        <f ca="1"/>
        <v>#VALUE!</v>
      </c>
      <c r="W1091" s="11">
        <v>32</v>
      </c>
      <c r="X1091" s="4" t="e">
        <f t="shared" si="89"/>
        <v>#REF!</v>
      </c>
      <c r="AH1091" s="11">
        <v>32</v>
      </c>
      <c r="AI1091" s="4" t="e" cm="1">
        <f t="array" ref="AI1091">MID(INDEX($AF$265:$AF$272,INT((ROW(A828)-1)/4)+1),MOD(ROW(A828)-1,4)+1,1)</f>
        <v>#REF!</v>
      </c>
      <c r="AK1091" s="11">
        <v>32</v>
      </c>
      <c r="AL1091" s="4" t="e" cm="1">
        <f t="array" ref="AL1091">INDEX($AI$264:$AI$295, INDEX($H$15:$O$18, INT((ROW(A828)-1)/8)+1, MOD(ROW(A828)-1,8)+1))</f>
        <v>#REF!</v>
      </c>
      <c r="AN1091" s="2" t="e">
        <f t="shared" ca="1" si="93"/>
        <v>#VALUE!</v>
      </c>
      <c r="AO1091" s="2" t="e">
        <f t="shared" si="94"/>
        <v>#REF!</v>
      </c>
    </row>
    <row r="1092" spans="2:41" x14ac:dyDescent="0.25">
      <c r="B1092" s="2">
        <v>33</v>
      </c>
      <c r="C1092" s="2">
        <v>1</v>
      </c>
      <c r="M1092" s="7">
        <v>33</v>
      </c>
      <c r="N1092" s="4" cm="1">
        <f t="array" ref="N1092">INDEX($F$1060:$K$1067, INT((ROW(A33)-1)/6)+1, MOD(ROW(A891)-1,6)+1)</f>
        <v>0</v>
      </c>
      <c r="P1092" s="9">
        <v>23</v>
      </c>
      <c r="Q1092" s="4" t="e" cm="1">
        <f t="array" ref="Q1092">INDEX($P$264:$U$271, INT((ROW(A819)-1)/6)+1, MOD(ROW(A819)-1,6)+1)</f>
        <v>#REF!</v>
      </c>
      <c r="R1092" t="e">
        <f ca="1"/>
        <v>#VALUE!</v>
      </c>
      <c r="S1092" t="e">
        <f ca="1"/>
        <v>#VALUE!</v>
      </c>
      <c r="T1092" t="e">
        <f ca="1"/>
        <v>#VALUE!</v>
      </c>
      <c r="W1092" s="7">
        <v>33</v>
      </c>
      <c r="X1092" s="4" t="e">
        <f t="shared" si="89"/>
        <v>#REF!</v>
      </c>
      <c r="AN1092" s="2" t="e">
        <f t="shared" ca="1" si="93"/>
        <v>#VALUE!</v>
      </c>
      <c r="AO1092" s="2" t="e">
        <f t="shared" si="94"/>
        <v>#REF!</v>
      </c>
    </row>
    <row r="1093" spans="2:41" x14ac:dyDescent="0.25">
      <c r="B1093" s="2">
        <v>34</v>
      </c>
      <c r="C1093" s="2">
        <v>0</v>
      </c>
      <c r="M1093" s="9">
        <v>34</v>
      </c>
      <c r="N1093" s="4" cm="1">
        <f t="array" ref="N1093">INDEX($F$1060:$K$1067, INT((ROW(A34)-1)/6)+1, MOD(ROW(A892)-1,6)+1)</f>
        <v>1</v>
      </c>
      <c r="P1093" s="11">
        <v>24</v>
      </c>
      <c r="Q1093" s="4" t="e" cm="1">
        <f t="array" ref="Q1093">INDEX($P$264:$U$271, INT((ROW(A820)-1)/6)+1, MOD(ROW(A820)-1,6)+1)</f>
        <v>#REF!</v>
      </c>
      <c r="R1093" t="e">
        <f ca="1"/>
        <v>#VALUE!</v>
      </c>
      <c r="S1093" t="e">
        <f ca="1"/>
        <v>#VALUE!</v>
      </c>
      <c r="T1093" t="e">
        <f ca="1"/>
        <v>#VALUE!</v>
      </c>
      <c r="W1093" s="9">
        <v>34</v>
      </c>
      <c r="X1093" s="4" t="e">
        <f t="shared" si="89"/>
        <v>#REF!</v>
      </c>
    </row>
    <row r="1094" spans="2:41" x14ac:dyDescent="0.25">
      <c r="B1094" s="2">
        <v>35</v>
      </c>
      <c r="C1094" s="2">
        <v>1</v>
      </c>
      <c r="M1094" s="9">
        <v>35</v>
      </c>
      <c r="N1094" s="4" cm="1">
        <f t="array" ref="N1094">INDEX($F$1060:$K$1067, INT((ROW(A35)-1)/6)+1, MOD(ROW(A893)-1,6)+1)</f>
        <v>1</v>
      </c>
      <c r="P1094" s="7">
        <v>25</v>
      </c>
      <c r="Q1094" s="4" t="e" cm="1">
        <f t="array" ref="Q1094">INDEX($P$264:$U$271, INT((ROW(A821)-1)/6)+1, MOD(ROW(A821)-1,6)+1)</f>
        <v>#REF!</v>
      </c>
      <c r="R1094" t="e">
        <f ca="1"/>
        <v>#VALUE!</v>
      </c>
      <c r="S1094" t="e">
        <f ca="1"/>
        <v>#VALUE!</v>
      </c>
      <c r="T1094" t="e">
        <f ca="1"/>
        <v>#VALUE!</v>
      </c>
      <c r="W1094" s="9">
        <v>35</v>
      </c>
      <c r="X1094" s="4" t="e">
        <f t="shared" si="89"/>
        <v>#REF!</v>
      </c>
    </row>
    <row r="1095" spans="2:41" x14ac:dyDescent="0.25">
      <c r="B1095" s="2">
        <v>36</v>
      </c>
      <c r="C1095" s="2">
        <v>0</v>
      </c>
      <c r="M1095" s="9">
        <v>36</v>
      </c>
      <c r="N1095" s="4" cm="1">
        <f t="array" ref="N1095">INDEX($F$1060:$K$1067, INT((ROW(A36)-1)/6)+1, MOD(ROW(A894)-1,6)+1)</f>
        <v>1</v>
      </c>
      <c r="P1095" s="9">
        <v>26</v>
      </c>
      <c r="Q1095" s="4" t="e" cm="1">
        <f t="array" ref="Q1095">INDEX($P$264:$U$271, INT((ROW(A822)-1)/6)+1, MOD(ROW(A822)-1,6)+1)</f>
        <v>#REF!</v>
      </c>
      <c r="R1095" t="e">
        <f ca="1"/>
        <v>#VALUE!</v>
      </c>
      <c r="S1095" t="e">
        <f ca="1"/>
        <v>#VALUE!</v>
      </c>
      <c r="T1095" t="e">
        <f ca="1"/>
        <v>#VALUE!</v>
      </c>
      <c r="W1095" s="9">
        <v>36</v>
      </c>
      <c r="X1095" s="4" t="e">
        <f t="shared" si="89"/>
        <v>#REF!</v>
      </c>
    </row>
    <row r="1096" spans="2:41" x14ac:dyDescent="0.25">
      <c r="B1096" s="2">
        <v>37</v>
      </c>
      <c r="C1096" s="2">
        <v>1</v>
      </c>
      <c r="M1096" s="9">
        <v>37</v>
      </c>
      <c r="N1096" s="4" cm="1">
        <f t="array" ref="N1096">INDEX($F$1060:$K$1067, INT((ROW(A37)-1)/6)+1, MOD(ROW(A895)-1,6)+1)</f>
        <v>0</v>
      </c>
      <c r="P1096" s="9">
        <v>27</v>
      </c>
      <c r="Q1096" s="4" t="e" cm="1">
        <f t="array" ref="Q1096">INDEX($P$264:$U$271, INT((ROW(A823)-1)/6)+1, MOD(ROW(A823)-1,6)+1)</f>
        <v>#REF!</v>
      </c>
      <c r="R1096" t="e">
        <f ca="1"/>
        <v>#VALUE!</v>
      </c>
      <c r="S1096" t="e">
        <f ca="1"/>
        <v>#VALUE!</v>
      </c>
      <c r="T1096" t="e">
        <f ca="1"/>
        <v>#VALUE!</v>
      </c>
      <c r="W1096" s="9">
        <v>37</v>
      </c>
      <c r="X1096" s="4" t="e">
        <f t="shared" si="89"/>
        <v>#REF!</v>
      </c>
    </row>
    <row r="1097" spans="2:41" x14ac:dyDescent="0.25">
      <c r="B1097" s="2">
        <v>38</v>
      </c>
      <c r="C1097" s="2">
        <v>1</v>
      </c>
      <c r="M1097" s="9">
        <v>38</v>
      </c>
      <c r="N1097" s="4" cm="1">
        <f t="array" ref="N1097">INDEX($F$1060:$K$1067, INT((ROW(A38)-1)/6)+1, MOD(ROW(A896)-1,6)+1)</f>
        <v>0</v>
      </c>
      <c r="P1097" s="9">
        <v>28</v>
      </c>
      <c r="Q1097" s="4" t="e" cm="1">
        <f t="array" ref="Q1097">INDEX($P$264:$U$271, INT((ROW(A824)-1)/6)+1, MOD(ROW(A824)-1,6)+1)</f>
        <v>#REF!</v>
      </c>
      <c r="R1097" t="e">
        <f ca="1"/>
        <v>#VALUE!</v>
      </c>
      <c r="S1097" t="e">
        <f ca="1"/>
        <v>#VALUE!</v>
      </c>
      <c r="T1097" t="e">
        <f ca="1"/>
        <v>#VALUE!</v>
      </c>
      <c r="W1097" s="9">
        <v>38</v>
      </c>
      <c r="X1097" s="4" t="e">
        <f t="shared" si="89"/>
        <v>#REF!</v>
      </c>
    </row>
    <row r="1098" spans="2:41" x14ac:dyDescent="0.25">
      <c r="B1098" s="2">
        <v>39</v>
      </c>
      <c r="C1098" s="2">
        <v>0</v>
      </c>
      <c r="M1098" s="9">
        <v>39</v>
      </c>
      <c r="N1098" s="4" cm="1">
        <f t="array" ref="N1098">INDEX($F$1060:$K$1067, INT((ROW(A39)-1)/6)+1, MOD(ROW(A897)-1,6)+1)</f>
        <v>0</v>
      </c>
      <c r="P1098" s="9">
        <v>29</v>
      </c>
      <c r="Q1098" s="4" t="e" cm="1">
        <f t="array" ref="Q1098">INDEX($P$264:$U$271, INT((ROW(A825)-1)/6)+1, MOD(ROW(A825)-1,6)+1)</f>
        <v>#REF!</v>
      </c>
      <c r="R1098" t="e">
        <f ca="1"/>
        <v>#VALUE!</v>
      </c>
      <c r="S1098" t="e">
        <f ca="1"/>
        <v>#VALUE!</v>
      </c>
      <c r="T1098" t="e">
        <f ca="1"/>
        <v>#VALUE!</v>
      </c>
      <c r="W1098" s="9">
        <v>39</v>
      </c>
      <c r="X1098" s="4" t="e">
        <f t="shared" si="89"/>
        <v>#REF!</v>
      </c>
    </row>
    <row r="1099" spans="2:41" x14ac:dyDescent="0.25">
      <c r="B1099" s="2">
        <v>40</v>
      </c>
      <c r="C1099" s="2">
        <v>0</v>
      </c>
      <c r="M1099" s="11">
        <v>40</v>
      </c>
      <c r="N1099" s="4" cm="1">
        <f t="array" ref="N1099">INDEX($F$1060:$K$1067, INT((ROW(A40)-1)/6)+1, MOD(ROW(A898)-1,6)+1)</f>
        <v>0</v>
      </c>
      <c r="P1099" s="9">
        <v>30</v>
      </c>
      <c r="Q1099" s="4" t="e" cm="1">
        <f t="array" ref="Q1099">INDEX($P$264:$U$271, INT((ROW(A826)-1)/6)+1, MOD(ROW(A826)-1,6)+1)</f>
        <v>#REF!</v>
      </c>
      <c r="W1099" s="11">
        <v>40</v>
      </c>
      <c r="X1099" s="4" t="e">
        <f t="shared" si="89"/>
        <v>#REF!</v>
      </c>
    </row>
    <row r="1100" spans="2:41" x14ac:dyDescent="0.25">
      <c r="B1100" s="2">
        <v>41</v>
      </c>
      <c r="C1100" s="2">
        <v>1</v>
      </c>
      <c r="M1100" s="7">
        <v>41</v>
      </c>
      <c r="N1100" s="4" cm="1">
        <f t="array" ref="N1100">INDEX($F$1060:$K$1067, INT((ROW(A41)-1)/6)+1, MOD(ROW(A899)-1,6)+1)</f>
        <v>0</v>
      </c>
      <c r="P1100" s="9">
        <v>31</v>
      </c>
      <c r="Q1100" s="4" t="e" cm="1">
        <f t="array" ref="Q1100">INDEX($P$264:$U$271, INT((ROW(A827)-1)/6)+1, MOD(ROW(A827)-1,6)+1)</f>
        <v>#REF!</v>
      </c>
      <c r="W1100" s="7">
        <v>41</v>
      </c>
      <c r="X1100" s="4" t="e">
        <f t="shared" si="89"/>
        <v>#REF!</v>
      </c>
    </row>
    <row r="1101" spans="2:41" x14ac:dyDescent="0.25">
      <c r="B1101" s="2">
        <v>42</v>
      </c>
      <c r="C1101" s="2">
        <v>1</v>
      </c>
      <c r="M1101" s="9">
        <v>42</v>
      </c>
      <c r="N1101" s="4" cm="1">
        <f t="array" ref="N1101">INDEX($F$1060:$K$1067, INT((ROW(A42)-1)/6)+1, MOD(ROW(A900)-1,6)+1)</f>
        <v>1</v>
      </c>
      <c r="P1101" s="11">
        <v>32</v>
      </c>
      <c r="Q1101" s="4" t="e" cm="1">
        <f t="array" ref="Q1101">INDEX($P$264:$U$271, INT((ROW(A828)-1)/6)+1, MOD(ROW(A828)-1,6)+1)</f>
        <v>#REF!</v>
      </c>
      <c r="W1101" s="9">
        <v>42</v>
      </c>
      <c r="X1101" s="4" t="e">
        <f t="shared" si="89"/>
        <v>#REF!</v>
      </c>
    </row>
    <row r="1102" spans="2:41" x14ac:dyDescent="0.25">
      <c r="B1102" s="2">
        <v>43</v>
      </c>
      <c r="C1102" s="2">
        <v>0</v>
      </c>
      <c r="M1102" s="9">
        <v>43</v>
      </c>
      <c r="N1102" s="4" cm="1">
        <f t="array" ref="N1102">INDEX($F$1060:$K$1067, INT((ROW(A43)-1)/6)+1, MOD(ROW(A901)-1,6)+1)</f>
        <v>1</v>
      </c>
      <c r="P1102" s="7">
        <v>33</v>
      </c>
      <c r="Q1102" s="4" t="e" cm="1">
        <f t="array" ref="Q1102">INDEX($P$264:$U$271, INT((ROW(A829)-1)/6)+1, MOD(ROW(A829)-1,6)+1)</f>
        <v>#REF!</v>
      </c>
      <c r="W1102" s="9">
        <v>43</v>
      </c>
      <c r="X1102" s="4" t="e">
        <f t="shared" si="89"/>
        <v>#REF!</v>
      </c>
    </row>
    <row r="1103" spans="2:41" x14ac:dyDescent="0.25">
      <c r="B1103" s="2">
        <v>44</v>
      </c>
      <c r="C1103" s="2">
        <v>0</v>
      </c>
      <c r="M1103" s="9">
        <v>44</v>
      </c>
      <c r="N1103" s="4" cm="1">
        <f t="array" ref="N1103">INDEX($F$1060:$K$1067, INT((ROW(A44)-1)/6)+1, MOD(ROW(A902)-1,6)+1)</f>
        <v>1</v>
      </c>
      <c r="P1103" s="9">
        <v>34</v>
      </c>
      <c r="Q1103" s="4" t="e" cm="1">
        <f t="array" ref="Q1103">INDEX($P$264:$U$271, INT((ROW(A830)-1)/6)+1, MOD(ROW(A830)-1,6)+1)</f>
        <v>#REF!</v>
      </c>
      <c r="W1103" s="9">
        <v>44</v>
      </c>
      <c r="X1103" s="4" t="e">
        <f t="shared" si="89"/>
        <v>#REF!</v>
      </c>
    </row>
    <row r="1104" spans="2:41" x14ac:dyDescent="0.25">
      <c r="B1104" s="2">
        <v>45</v>
      </c>
      <c r="C1104" s="2">
        <v>1</v>
      </c>
      <c r="M1104" s="9">
        <v>45</v>
      </c>
      <c r="N1104" s="4" cm="1">
        <f t="array" ref="N1104">INDEX($F$1060:$K$1067, INT((ROW(A45)-1)/6)+1, MOD(ROW(A903)-1,6)+1)</f>
        <v>0</v>
      </c>
      <c r="P1104" s="9">
        <v>35</v>
      </c>
      <c r="Q1104" s="4" t="e" cm="1">
        <f t="array" ref="Q1104">INDEX($P$264:$U$271, INT((ROW(A831)-1)/6)+1, MOD(ROW(A831)-1,6)+1)</f>
        <v>#REF!</v>
      </c>
      <c r="W1104" s="9">
        <v>45</v>
      </c>
      <c r="X1104" s="4" t="e">
        <f t="shared" si="89"/>
        <v>#REF!</v>
      </c>
    </row>
    <row r="1105" spans="2:24" x14ac:dyDescent="0.25">
      <c r="B1105" s="2">
        <v>46</v>
      </c>
      <c r="C1105" s="2">
        <v>1</v>
      </c>
      <c r="M1105" s="9">
        <v>46</v>
      </c>
      <c r="N1105" s="4" cm="1">
        <f t="array" ref="N1105">INDEX($F$1060:$K$1067, INT((ROW(A46)-1)/6)+1, MOD(ROW(A904)-1,6)+1)</f>
        <v>0</v>
      </c>
      <c r="P1105" s="9">
        <v>36</v>
      </c>
      <c r="Q1105" s="4" t="e" cm="1">
        <f t="array" ref="Q1105">INDEX($P$264:$U$271, INT((ROW(A832)-1)/6)+1, MOD(ROW(A832)-1,6)+1)</f>
        <v>#REF!</v>
      </c>
      <c r="W1105" s="9">
        <v>46</v>
      </c>
      <c r="X1105" s="4" t="e">
        <f t="shared" si="89"/>
        <v>#REF!</v>
      </c>
    </row>
    <row r="1106" spans="2:24" x14ac:dyDescent="0.25">
      <c r="B1106" s="2">
        <v>47</v>
      </c>
      <c r="C1106" s="2">
        <v>1</v>
      </c>
      <c r="M1106" s="9">
        <v>47</v>
      </c>
      <c r="N1106" s="4" cm="1">
        <f t="array" ref="N1106">INDEX($F$1060:$K$1067, INT((ROW(A47)-1)/6)+1, MOD(ROW(A905)-1,6)+1)</f>
        <v>1</v>
      </c>
      <c r="P1106" s="9">
        <v>37</v>
      </c>
      <c r="Q1106" s="4" t="e" cm="1">
        <f t="array" ref="Q1106">INDEX($P$264:$U$271, INT((ROW(A833)-1)/6)+1, MOD(ROW(A833)-1,6)+1)</f>
        <v>#REF!</v>
      </c>
      <c r="W1106" s="9">
        <v>47</v>
      </c>
      <c r="X1106" s="4" t="e">
        <f t="shared" si="89"/>
        <v>#REF!</v>
      </c>
    </row>
    <row r="1107" spans="2:24" x14ac:dyDescent="0.25">
      <c r="B1107" s="2">
        <v>48</v>
      </c>
      <c r="C1107" s="2">
        <v>1</v>
      </c>
      <c r="M1107" s="11">
        <v>48</v>
      </c>
      <c r="N1107" s="4" cm="1">
        <f t="array" ref="N1107">INDEX($F$1060:$K$1067, INT((ROW(A48)-1)/6)+1, MOD(ROW(A906)-1,6)+1)</f>
        <v>0</v>
      </c>
      <c r="P1107" s="9">
        <v>38</v>
      </c>
      <c r="Q1107" s="4" t="e" cm="1">
        <f t="array" ref="Q1107">INDEX($P$264:$U$271, INT((ROW(A834)-1)/6)+1, MOD(ROW(A834)-1,6)+1)</f>
        <v>#REF!</v>
      </c>
      <c r="W1107" s="11">
        <v>48</v>
      </c>
      <c r="X1107" s="4" t="e">
        <f t="shared" si="89"/>
        <v>#REF!</v>
      </c>
    </row>
    <row r="1108" spans="2:24" x14ac:dyDescent="0.25">
      <c r="B1108" s="2">
        <v>49</v>
      </c>
      <c r="C1108" s="2">
        <v>0</v>
      </c>
      <c r="P1108" s="9">
        <v>39</v>
      </c>
      <c r="Q1108" s="4" t="e" cm="1">
        <f t="array" ref="Q1108">INDEX($P$264:$U$271, INT((ROW(A835)-1)/6)+1, MOD(ROW(A835)-1,6)+1)</f>
        <v>#REF!</v>
      </c>
    </row>
    <row r="1109" spans="2:24" x14ac:dyDescent="0.25">
      <c r="B1109" s="2">
        <v>50</v>
      </c>
      <c r="C1109" s="2">
        <v>0</v>
      </c>
      <c r="P1109" s="11">
        <v>40</v>
      </c>
      <c r="Q1109" s="4" t="e" cm="1">
        <f t="array" ref="Q1109">INDEX($P$264:$U$271, INT((ROW(A836)-1)/6)+1, MOD(ROW(A836)-1,6)+1)</f>
        <v>#REF!</v>
      </c>
    </row>
    <row r="1110" spans="2:24" x14ac:dyDescent="0.25">
      <c r="B1110" s="2">
        <v>51</v>
      </c>
      <c r="C1110" s="2">
        <v>0</v>
      </c>
      <c r="P1110" s="7">
        <v>41</v>
      </c>
      <c r="Q1110" s="4" t="e" cm="1">
        <f t="array" ref="Q1110">INDEX($P$264:$U$271, INT((ROW(A837)-1)/6)+1, MOD(ROW(A837)-1,6)+1)</f>
        <v>#REF!</v>
      </c>
    </row>
    <row r="1111" spans="2:24" x14ac:dyDescent="0.25">
      <c r="B1111" s="2">
        <v>52</v>
      </c>
      <c r="C1111" s="2">
        <v>0</v>
      </c>
      <c r="P1111" s="9">
        <v>42</v>
      </c>
      <c r="Q1111" s="4" t="e" cm="1">
        <f t="array" ref="Q1111">INDEX($P$264:$U$271, INT((ROW(A838)-1)/6)+1, MOD(ROW(A838)-1,6)+1)</f>
        <v>#REF!</v>
      </c>
    </row>
    <row r="1112" spans="2:24" x14ac:dyDescent="0.25">
      <c r="B1112" s="2">
        <v>53</v>
      </c>
      <c r="C1112" s="2">
        <v>1</v>
      </c>
      <c r="P1112" s="9">
        <v>43</v>
      </c>
      <c r="Q1112" s="4" t="e" cm="1">
        <f t="array" ref="Q1112">INDEX($P$264:$U$271, INT((ROW(A839)-1)/6)+1, MOD(ROW(A839)-1,6)+1)</f>
        <v>#REF!</v>
      </c>
    </row>
    <row r="1113" spans="2:24" x14ac:dyDescent="0.25">
      <c r="B1113" s="2">
        <v>54</v>
      </c>
      <c r="C1113" s="2">
        <v>0</v>
      </c>
      <c r="P1113" s="9">
        <v>44</v>
      </c>
      <c r="Q1113" s="4" t="e" cm="1">
        <f t="array" ref="Q1113">INDEX($P$264:$U$271, INT((ROW(A840)-1)/6)+1, MOD(ROW(A840)-1,6)+1)</f>
        <v>#REF!</v>
      </c>
    </row>
    <row r="1114" spans="2:24" x14ac:dyDescent="0.25">
      <c r="B1114" s="2">
        <v>55</v>
      </c>
      <c r="C1114" s="2">
        <v>1</v>
      </c>
      <c r="P1114" s="9">
        <v>45</v>
      </c>
      <c r="Q1114" s="4" t="e" cm="1">
        <f t="array" ref="Q1114">INDEX($P$264:$U$271, INT((ROW(A841)-1)/6)+1, MOD(ROW(A841)-1,6)+1)</f>
        <v>#REF!</v>
      </c>
    </row>
    <row r="1115" spans="2:24" x14ac:dyDescent="0.25">
      <c r="B1115" s="2">
        <v>56</v>
      </c>
      <c r="C1115" s="2">
        <v>0</v>
      </c>
      <c r="P1115" s="9">
        <v>46</v>
      </c>
      <c r="Q1115" s="4" t="e" cm="1">
        <f t="array" ref="Q1115">INDEX($P$264:$U$271, INT((ROW(A842)-1)/6)+1, MOD(ROW(A842)-1,6)+1)</f>
        <v>#REF!</v>
      </c>
    </row>
    <row r="1116" spans="2:24" x14ac:dyDescent="0.25">
      <c r="P1116" s="9">
        <v>47</v>
      </c>
      <c r="Q1116" s="4" t="e" cm="1">
        <f t="array" ref="Q1116">INDEX($P$264:$U$271, INT((ROW(A843)-1)/6)+1, MOD(ROW(A843)-1,6)+1)</f>
        <v>#REF!</v>
      </c>
    </row>
    <row r="1117" spans="2:24" x14ac:dyDescent="0.25">
      <c r="P1117" s="11">
        <v>48</v>
      </c>
      <c r="Q1117" s="4" t="e" cm="1">
        <f t="array" ref="Q1117">INDEX($P$264:$U$271, INT((ROW(A844)-1)/6)+1, MOD(ROW(A844)-1,6)+1)</f>
        <v>#REF!</v>
      </c>
    </row>
  </sheetData>
  <mergeCells count="359">
    <mergeCell ref="J82:K82"/>
    <mergeCell ref="M82:N82"/>
    <mergeCell ref="S82:T82"/>
    <mergeCell ref="V82:W82"/>
    <mergeCell ref="B141:C141"/>
    <mergeCell ref="F141:K141"/>
    <mergeCell ref="M141:N141"/>
    <mergeCell ref="W16:AB16"/>
    <mergeCell ref="W26:X26"/>
    <mergeCell ref="H4:O4"/>
    <mergeCell ref="H30:O30"/>
    <mergeCell ref="H14:O14"/>
    <mergeCell ref="H20:N20"/>
    <mergeCell ref="H40:M40"/>
    <mergeCell ref="H50:M50"/>
    <mergeCell ref="B4:C4"/>
    <mergeCell ref="E4:F4"/>
    <mergeCell ref="Q16:R16"/>
    <mergeCell ref="B509:C509"/>
    <mergeCell ref="F509:K509"/>
    <mergeCell ref="M509:N509"/>
    <mergeCell ref="B570:C570"/>
    <mergeCell ref="F570:K570"/>
    <mergeCell ref="M570:N570"/>
    <mergeCell ref="M201:N201"/>
    <mergeCell ref="B202:C202"/>
    <mergeCell ref="F202:K202"/>
    <mergeCell ref="B263:C263"/>
    <mergeCell ref="F263:K263"/>
    <mergeCell ref="M263:N263"/>
    <mergeCell ref="B325:C325"/>
    <mergeCell ref="F325:K325"/>
    <mergeCell ref="M325:N325"/>
    <mergeCell ref="B386:C386"/>
    <mergeCell ref="F386:K386"/>
    <mergeCell ref="M386:N386"/>
    <mergeCell ref="B447:C447"/>
    <mergeCell ref="F447:K447"/>
    <mergeCell ref="F1059:K1059"/>
    <mergeCell ref="M1059:N1059"/>
    <mergeCell ref="F753:K753"/>
    <mergeCell ref="M753:N753"/>
    <mergeCell ref="F815:K815"/>
    <mergeCell ref="M815:N815"/>
    <mergeCell ref="F876:K876"/>
    <mergeCell ref="M876:N876"/>
    <mergeCell ref="B631:C631"/>
    <mergeCell ref="F631:K631"/>
    <mergeCell ref="M631:N631"/>
    <mergeCell ref="B692:C692"/>
    <mergeCell ref="F692:K692"/>
    <mergeCell ref="M692:N692"/>
    <mergeCell ref="T146:U146"/>
    <mergeCell ref="T147:U147"/>
    <mergeCell ref="S141:S142"/>
    <mergeCell ref="T141:U142"/>
    <mergeCell ref="V141:V142"/>
    <mergeCell ref="W141:W142"/>
    <mergeCell ref="F937:K937"/>
    <mergeCell ref="M937:N937"/>
    <mergeCell ref="F998:K998"/>
    <mergeCell ref="M998:N998"/>
    <mergeCell ref="M447:N447"/>
    <mergeCell ref="AA141:AB141"/>
    <mergeCell ref="AD141:AE141"/>
    <mergeCell ref="AG141:AH141"/>
    <mergeCell ref="P202:U202"/>
    <mergeCell ref="P212:Q212"/>
    <mergeCell ref="Z202:Z203"/>
    <mergeCell ref="AA202:AB203"/>
    <mergeCell ref="AC202:AC203"/>
    <mergeCell ref="AD202:AD203"/>
    <mergeCell ref="AE202:AE203"/>
    <mergeCell ref="AF202:AF203"/>
    <mergeCell ref="AA204:AB204"/>
    <mergeCell ref="AA205:AB205"/>
    <mergeCell ref="AA206:AB206"/>
    <mergeCell ref="AA207:AB207"/>
    <mergeCell ref="AA208:AB208"/>
    <mergeCell ref="T148:U148"/>
    <mergeCell ref="T149:U149"/>
    <mergeCell ref="T150:U150"/>
    <mergeCell ref="X141:X142"/>
    <mergeCell ref="Y141:Y142"/>
    <mergeCell ref="T143:U143"/>
    <mergeCell ref="T144:U144"/>
    <mergeCell ref="T145:U145"/>
    <mergeCell ref="AN202:AO202"/>
    <mergeCell ref="P263:U263"/>
    <mergeCell ref="Z263:Z264"/>
    <mergeCell ref="AA263:AB264"/>
    <mergeCell ref="AC263:AC264"/>
    <mergeCell ref="AD263:AD264"/>
    <mergeCell ref="AE263:AE264"/>
    <mergeCell ref="AF263:AF264"/>
    <mergeCell ref="AH263:AI263"/>
    <mergeCell ref="AK263:AL263"/>
    <mergeCell ref="AN263:AO263"/>
    <mergeCell ref="AA209:AB209"/>
    <mergeCell ref="AA210:AB210"/>
    <mergeCell ref="AA211:AB211"/>
    <mergeCell ref="AH202:AI202"/>
    <mergeCell ref="AK202:AL202"/>
    <mergeCell ref="AA270:AB270"/>
    <mergeCell ref="AA271:AB271"/>
    <mergeCell ref="AA272:AB272"/>
    <mergeCell ref="P273:Q273"/>
    <mergeCell ref="AA265:AB265"/>
    <mergeCell ref="AA266:AB266"/>
    <mergeCell ref="AA267:AB267"/>
    <mergeCell ref="AA268:AB268"/>
    <mergeCell ref="AA269:AB269"/>
    <mergeCell ref="AA331:AB331"/>
    <mergeCell ref="AA332:AB332"/>
    <mergeCell ref="AA333:AB333"/>
    <mergeCell ref="AA334:AB334"/>
    <mergeCell ref="P335:Q335"/>
    <mergeCell ref="AF325:AF326"/>
    <mergeCell ref="AH325:AI325"/>
    <mergeCell ref="AK325:AL325"/>
    <mergeCell ref="AN325:AO325"/>
    <mergeCell ref="AA327:AB327"/>
    <mergeCell ref="P325:U325"/>
    <mergeCell ref="Z325:Z326"/>
    <mergeCell ref="AA325:AB326"/>
    <mergeCell ref="AC325:AC326"/>
    <mergeCell ref="AD325:AD326"/>
    <mergeCell ref="AE325:AE326"/>
    <mergeCell ref="AA328:AB328"/>
    <mergeCell ref="AA329:AB329"/>
    <mergeCell ref="AA330:AB330"/>
    <mergeCell ref="AA392:AB392"/>
    <mergeCell ref="AA393:AB393"/>
    <mergeCell ref="AA394:AB394"/>
    <mergeCell ref="AA395:AB395"/>
    <mergeCell ref="P396:Q396"/>
    <mergeCell ref="AF386:AF387"/>
    <mergeCell ref="AH386:AI386"/>
    <mergeCell ref="AK386:AL386"/>
    <mergeCell ref="AN386:AO386"/>
    <mergeCell ref="AA388:AB388"/>
    <mergeCell ref="P386:U386"/>
    <mergeCell ref="Z386:Z387"/>
    <mergeCell ref="AA386:AB387"/>
    <mergeCell ref="AC386:AC387"/>
    <mergeCell ref="AD386:AD387"/>
    <mergeCell ref="AE386:AE387"/>
    <mergeCell ref="AA389:AB389"/>
    <mergeCell ref="AA390:AB390"/>
    <mergeCell ref="AA391:AB391"/>
    <mergeCell ref="AA453:AB453"/>
    <mergeCell ref="AA454:AB454"/>
    <mergeCell ref="AA455:AB455"/>
    <mergeCell ref="AA456:AB456"/>
    <mergeCell ref="P457:Q457"/>
    <mergeCell ref="AF447:AF448"/>
    <mergeCell ref="AH447:AI447"/>
    <mergeCell ref="AK447:AL447"/>
    <mergeCell ref="AN447:AO447"/>
    <mergeCell ref="AA449:AB449"/>
    <mergeCell ref="P447:U447"/>
    <mergeCell ref="Z447:Z448"/>
    <mergeCell ref="AA447:AB448"/>
    <mergeCell ref="AC447:AC448"/>
    <mergeCell ref="AD447:AD448"/>
    <mergeCell ref="AE447:AE448"/>
    <mergeCell ref="AA450:AB450"/>
    <mergeCell ref="AA451:AB451"/>
    <mergeCell ref="AA452:AB452"/>
    <mergeCell ref="AA515:AB515"/>
    <mergeCell ref="AA516:AB516"/>
    <mergeCell ref="AA517:AB517"/>
    <mergeCell ref="AA518:AB518"/>
    <mergeCell ref="P519:Q519"/>
    <mergeCell ref="AF509:AF510"/>
    <mergeCell ref="AH509:AI509"/>
    <mergeCell ref="AK509:AL509"/>
    <mergeCell ref="AN509:AO509"/>
    <mergeCell ref="AA511:AB511"/>
    <mergeCell ref="P509:U509"/>
    <mergeCell ref="Z509:Z510"/>
    <mergeCell ref="AA509:AB510"/>
    <mergeCell ref="AC509:AC510"/>
    <mergeCell ref="AD509:AD510"/>
    <mergeCell ref="AE509:AE510"/>
    <mergeCell ref="AA512:AB512"/>
    <mergeCell ref="AA513:AB513"/>
    <mergeCell ref="AA514:AB514"/>
    <mergeCell ref="AA576:AB576"/>
    <mergeCell ref="AA577:AB577"/>
    <mergeCell ref="AA578:AB578"/>
    <mergeCell ref="AA579:AB579"/>
    <mergeCell ref="P580:Q580"/>
    <mergeCell ref="AF570:AF571"/>
    <mergeCell ref="AH570:AI570"/>
    <mergeCell ref="AK570:AL570"/>
    <mergeCell ref="AN570:AO570"/>
    <mergeCell ref="AA572:AB572"/>
    <mergeCell ref="P570:U570"/>
    <mergeCell ref="Z570:Z571"/>
    <mergeCell ref="AA570:AB571"/>
    <mergeCell ref="AC570:AC571"/>
    <mergeCell ref="AD570:AD571"/>
    <mergeCell ref="AE570:AE571"/>
    <mergeCell ref="AA573:AB573"/>
    <mergeCell ref="AA574:AB574"/>
    <mergeCell ref="AA575:AB575"/>
    <mergeCell ref="AA637:AB637"/>
    <mergeCell ref="AA638:AB638"/>
    <mergeCell ref="AA639:AB639"/>
    <mergeCell ref="AA640:AB640"/>
    <mergeCell ref="P641:Q641"/>
    <mergeCell ref="AF631:AF632"/>
    <mergeCell ref="AH631:AI631"/>
    <mergeCell ref="AK631:AL631"/>
    <mergeCell ref="AN631:AO631"/>
    <mergeCell ref="AA633:AB633"/>
    <mergeCell ref="P631:U631"/>
    <mergeCell ref="Z631:Z632"/>
    <mergeCell ref="AA631:AB632"/>
    <mergeCell ref="AC631:AC632"/>
    <mergeCell ref="AD631:AD632"/>
    <mergeCell ref="AE631:AE632"/>
    <mergeCell ref="AA634:AB634"/>
    <mergeCell ref="AA635:AB635"/>
    <mergeCell ref="AA636:AB636"/>
    <mergeCell ref="AA698:AB698"/>
    <mergeCell ref="AA699:AB699"/>
    <mergeCell ref="AA700:AB700"/>
    <mergeCell ref="AA701:AB701"/>
    <mergeCell ref="P702:Q702"/>
    <mergeCell ref="AF692:AF693"/>
    <mergeCell ref="AH692:AI692"/>
    <mergeCell ref="AK692:AL692"/>
    <mergeCell ref="AN692:AO692"/>
    <mergeCell ref="AA694:AB694"/>
    <mergeCell ref="P692:U692"/>
    <mergeCell ref="Z692:Z693"/>
    <mergeCell ref="AA692:AB693"/>
    <mergeCell ref="AC692:AC693"/>
    <mergeCell ref="AD692:AD693"/>
    <mergeCell ref="AE692:AE693"/>
    <mergeCell ref="AA695:AB695"/>
    <mergeCell ref="AA696:AB696"/>
    <mergeCell ref="AA697:AB697"/>
    <mergeCell ref="AA759:AB759"/>
    <mergeCell ref="AA760:AB760"/>
    <mergeCell ref="AA761:AB761"/>
    <mergeCell ref="AA762:AB762"/>
    <mergeCell ref="P763:Q763"/>
    <mergeCell ref="AF753:AF754"/>
    <mergeCell ref="AH753:AI753"/>
    <mergeCell ref="AK753:AL753"/>
    <mergeCell ref="AN753:AO753"/>
    <mergeCell ref="AA755:AB755"/>
    <mergeCell ref="P753:U753"/>
    <mergeCell ref="Z753:Z754"/>
    <mergeCell ref="AA753:AB754"/>
    <mergeCell ref="AC753:AC754"/>
    <mergeCell ref="AD753:AD754"/>
    <mergeCell ref="AE753:AE754"/>
    <mergeCell ref="AA756:AB756"/>
    <mergeCell ref="AA757:AB757"/>
    <mergeCell ref="AA758:AB758"/>
    <mergeCell ref="AA821:AB821"/>
    <mergeCell ref="AA822:AB822"/>
    <mergeCell ref="AA823:AB823"/>
    <mergeCell ref="AA824:AB824"/>
    <mergeCell ref="P825:Q825"/>
    <mergeCell ref="AF815:AF816"/>
    <mergeCell ref="AH815:AI815"/>
    <mergeCell ref="AK815:AL815"/>
    <mergeCell ref="AN815:AO815"/>
    <mergeCell ref="AA817:AB817"/>
    <mergeCell ref="P815:U815"/>
    <mergeCell ref="Z815:Z816"/>
    <mergeCell ref="AA815:AB816"/>
    <mergeCell ref="AC815:AC816"/>
    <mergeCell ref="AD815:AD816"/>
    <mergeCell ref="AE815:AE816"/>
    <mergeCell ref="AA818:AB818"/>
    <mergeCell ref="AA819:AB819"/>
    <mergeCell ref="AA820:AB820"/>
    <mergeCell ref="AA882:AB882"/>
    <mergeCell ref="AA883:AB883"/>
    <mergeCell ref="AA884:AB884"/>
    <mergeCell ref="AA885:AB885"/>
    <mergeCell ref="P886:Q886"/>
    <mergeCell ref="AF876:AF877"/>
    <mergeCell ref="AH876:AI876"/>
    <mergeCell ref="AK876:AL876"/>
    <mergeCell ref="AN876:AO876"/>
    <mergeCell ref="AA878:AB878"/>
    <mergeCell ref="P876:U876"/>
    <mergeCell ref="Z876:Z877"/>
    <mergeCell ref="AA876:AB877"/>
    <mergeCell ref="AC876:AC877"/>
    <mergeCell ref="AD876:AD877"/>
    <mergeCell ref="AE876:AE877"/>
    <mergeCell ref="AA879:AB879"/>
    <mergeCell ref="AA880:AB880"/>
    <mergeCell ref="AA881:AB881"/>
    <mergeCell ref="AA943:AB943"/>
    <mergeCell ref="AA944:AB944"/>
    <mergeCell ref="AA945:AB945"/>
    <mergeCell ref="AA946:AB946"/>
    <mergeCell ref="P947:Q947"/>
    <mergeCell ref="AF937:AF938"/>
    <mergeCell ref="AH937:AI937"/>
    <mergeCell ref="AK937:AL937"/>
    <mergeCell ref="AN937:AO937"/>
    <mergeCell ref="AA939:AB939"/>
    <mergeCell ref="P937:U937"/>
    <mergeCell ref="Z937:Z938"/>
    <mergeCell ref="AA937:AB938"/>
    <mergeCell ref="AC937:AC938"/>
    <mergeCell ref="AD937:AD938"/>
    <mergeCell ref="AE937:AE938"/>
    <mergeCell ref="AA940:AB940"/>
    <mergeCell ref="AA941:AB941"/>
    <mergeCell ref="AA942:AB942"/>
    <mergeCell ref="AA1004:AB1004"/>
    <mergeCell ref="AA1005:AB1005"/>
    <mergeCell ref="AA1006:AB1006"/>
    <mergeCell ref="AA1007:AB1007"/>
    <mergeCell ref="P1008:Q1008"/>
    <mergeCell ref="AF998:AF999"/>
    <mergeCell ref="AH998:AI998"/>
    <mergeCell ref="AK998:AL998"/>
    <mergeCell ref="AN998:AO998"/>
    <mergeCell ref="AA1000:AB1000"/>
    <mergeCell ref="P998:U998"/>
    <mergeCell ref="Z998:Z999"/>
    <mergeCell ref="AA998:AB999"/>
    <mergeCell ref="AC998:AC999"/>
    <mergeCell ref="AD998:AD999"/>
    <mergeCell ref="AE998:AE999"/>
    <mergeCell ref="AA1001:AB1001"/>
    <mergeCell ref="AA1002:AB1002"/>
    <mergeCell ref="AA1003:AB1003"/>
    <mergeCell ref="AA1065:AB1065"/>
    <mergeCell ref="AA1066:AB1066"/>
    <mergeCell ref="AA1067:AB1067"/>
    <mergeCell ref="AA1068:AB1068"/>
    <mergeCell ref="P1069:Q1069"/>
    <mergeCell ref="AF1059:AF1060"/>
    <mergeCell ref="AH1059:AI1059"/>
    <mergeCell ref="AK1059:AL1059"/>
    <mergeCell ref="AN1059:AO1059"/>
    <mergeCell ref="AA1061:AB1061"/>
    <mergeCell ref="P1059:U1059"/>
    <mergeCell ref="Z1059:Z1060"/>
    <mergeCell ref="AA1059:AB1060"/>
    <mergeCell ref="AC1059:AC1060"/>
    <mergeCell ref="AD1059:AD1060"/>
    <mergeCell ref="AE1059:AE1060"/>
    <mergeCell ref="AA1062:AB1062"/>
    <mergeCell ref="AA1063:AB1063"/>
    <mergeCell ref="AA1064:AB10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Duy Hiếu - 67CS2</dc:creator>
  <cp:lastModifiedBy>Phạm Ngọc Minh - 67CS2</cp:lastModifiedBy>
  <dcterms:created xsi:type="dcterms:W3CDTF">2025-08-27T08:54:01Z</dcterms:created>
  <dcterms:modified xsi:type="dcterms:W3CDTF">2025-08-27T15:17:24Z</dcterms:modified>
</cp:coreProperties>
</file>