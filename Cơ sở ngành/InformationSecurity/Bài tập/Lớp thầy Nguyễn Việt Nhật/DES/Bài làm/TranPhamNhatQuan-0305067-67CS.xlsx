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ởi tạo" sheetId="1" r:id="rId4"/>
    <sheet state="visible" name="Tính toán" sheetId="2" r:id="rId5"/>
  </sheets>
  <definedNames>
    <definedName name="khoaK11">'Tính toán'!$U$76:$Z$83</definedName>
    <definedName name="khoa9">'Tính toán'!$C$23:$I$30</definedName>
    <definedName name="K_9">'Tính toán'!$AM$64</definedName>
    <definedName name="K_16">'Tính toán'!$AM$71</definedName>
    <definedName name="K_13">'Tính toán'!$AM$68</definedName>
    <definedName name="khoaK10">'Tính toán'!$L$76:$Q$83</definedName>
    <definedName name="E_BIT">#REF!</definedName>
    <definedName name="K_8">'Tính toán'!$AM$63</definedName>
    <definedName name="khoa4">'Tính toán'!$AG$3:$AM$10</definedName>
    <definedName name="khoaK2">'Tính toán'!$L$56:$Q$63</definedName>
    <definedName name="khoa12">'Tính toán'!$AG$23:$AM$30</definedName>
    <definedName name="khoaK4">'Tính toán'!$AD$56:$AI$63</definedName>
    <definedName name="K_15">'Tính toán'!$AM$70</definedName>
    <definedName name="khoa8">'Tính toán'!$AG$13:$AM$20</definedName>
    <definedName name="khoaK1">'Tính toán'!$C$56:$H$63</definedName>
    <definedName name="khoa11">'Tính toán'!$W$23:$AC$30</definedName>
    <definedName name="khoaK15">'Tính toán'!$U$86:$Z$93</definedName>
    <definedName name="khoa13">'Tính toán'!$C$33:$I$40</definedName>
    <definedName name="K_14">'Tính toán'!$AM$69</definedName>
    <definedName name="E">'Tính toán'!$AM$100:$AR$107</definedName>
    <definedName name="khoaK5">'Tính toán'!$C$66:$H$73</definedName>
    <definedName name="khoa5">'Tính toán'!$C$13:$I$20</definedName>
    <definedName name="khoaK3">'Tính toán'!$U$56:$Z$63</definedName>
    <definedName name="khoaK6">'Tính toán'!$L$66:$Q$73</definedName>
    <definedName name="khoa3">'Tính toán'!$W$3:$AC$10</definedName>
    <definedName name="khoa14">'Tính toán'!$M$33:$S$40</definedName>
    <definedName name="K_2">'Tính toán'!$AM$57</definedName>
    <definedName name="khoa16">'Tính toán'!$AG$33:$AM$40</definedName>
    <definedName name="khoa1">'Tính toán'!$C$3:$I$10</definedName>
    <definedName name="khoa10">'Tính toán'!$M$23:$S$30</definedName>
    <definedName name="khoaK14">'Tính toán'!$L$86:$Q$93</definedName>
    <definedName name="khoaK7">'Tính toán'!$U$66:$Z$73</definedName>
    <definedName name="K_3">'Tính toán'!$AM$58</definedName>
    <definedName name="khoaK9">'Tính toán'!$C$76:$H$83</definedName>
    <definedName name="khoa2">'Tính toán'!$M$3:$S$10</definedName>
    <definedName name="K_7">'Tính toán'!$AM$62</definedName>
    <definedName name="K_12">'Tính toán'!$AM$67</definedName>
    <definedName name="K_5">'Tính toán'!$AM$60</definedName>
    <definedName name="khoaK12">'Tính toán'!$AD$76:$AI$83</definedName>
    <definedName name="khoa6">'Tính toán'!$M$13:$S$20</definedName>
    <definedName name="khoa7">'Tính toán'!$W$13:$AC$20</definedName>
    <definedName name="khoaK16">'Tính toán'!$AD$86:$AI$93</definedName>
    <definedName name="K_11">'Tính toán'!$AM$66</definedName>
    <definedName name="K_4">'Tính toán'!$AM$59</definedName>
    <definedName name="khoaK8">'Tính toán'!$AD$66:$AI$73</definedName>
    <definedName name="khoaK13">'Tính toán'!$C$86:$H$93</definedName>
    <definedName name="khoa15">'Tính toán'!$W$33:$AC$40</definedName>
    <definedName name="K_10">'Tính toán'!$AM$65</definedName>
    <definedName name="K_1">'Tính toán'!$AM$56</definedName>
    <definedName name="K_6">'Tính toán'!$AM$61</definedName>
  </definedNames>
  <calcPr/>
  <extLst>
    <ext uri="GoogleSheetsCustomDataVersion2">
      <go:sheetsCustomData xmlns:go="http://customooxmlschemas.google.com/" r:id="rId6" roundtripDataChecksum="KpKWCWnH6xi6LbnSD2gXOIPlmnC/N8zQjMZ50TIYQfs="/>
    </ext>
  </extLst>
</workbook>
</file>

<file path=xl/sharedStrings.xml><?xml version="1.0" encoding="utf-8"?>
<sst xmlns="http://schemas.openxmlformats.org/spreadsheetml/2006/main" count="224" uniqueCount="129">
  <si>
    <t>INPUT:</t>
  </si>
  <si>
    <t>ĐỔI BẢN TIN M VÀ KHÓA K SANG NHỊ PHÂN</t>
  </si>
  <si>
    <t>Bản tin M = 00123456789abcde</t>
  </si>
  <si>
    <t>Bản tin M:</t>
  </si>
  <si>
    <t>a</t>
  </si>
  <si>
    <t>b</t>
  </si>
  <si>
    <t>c</t>
  </si>
  <si>
    <t>d</t>
  </si>
  <si>
    <t>e</t>
  </si>
  <si>
    <t>Khóa K = 0133457799bbcdff</t>
  </si>
  <si>
    <t>OUTPUT:</t>
  </si>
  <si>
    <t>Khóa K:</t>
  </si>
  <si>
    <t>f</t>
  </si>
  <si>
    <t>Bản mã C = 1abff69d5a93e80b</t>
  </si>
  <si>
    <t>Bản tin M</t>
  </si>
  <si>
    <t xml:space="preserve">STT bit </t>
  </si>
  <si>
    <t>BẢN TIN M ĐI QUA IP TA CÓ BẢNG IP (M)</t>
  </si>
  <si>
    <t>IP(M)</t>
  </si>
  <si>
    <t>1001</t>
  </si>
  <si>
    <t>1000</t>
  </si>
  <si>
    <t>1111</t>
  </si>
  <si>
    <t>1110</t>
  </si>
  <si>
    <t>1100</t>
  </si>
  <si>
    <t>0000</t>
  </si>
  <si>
    <t>0101</t>
  </si>
  <si>
    <t>0100</t>
  </si>
  <si>
    <t>1010</t>
  </si>
  <si>
    <t>TỪ IP(M) CHIA THÀNH LO VÀ RO VỚI LO LÀ 32 BIT ĐẦU VÀ RO LÀ 32 BIT SAU</t>
  </si>
  <si>
    <t>L0</t>
  </si>
  <si>
    <t>R0</t>
  </si>
  <si>
    <t>Khóa K</t>
  </si>
  <si>
    <r>
      <rPr>
        <rFont val="Play"/>
        <b/>
        <color theme="0"/>
        <sz val="20.0"/>
      </rPr>
      <t>KHÓA K ĐI QUA PC-1 (Permutation Choice 1)</t>
    </r>
    <r>
      <rPr>
        <rFont val="Aptos Display"/>
        <b val="0"/>
        <color theme="0"/>
        <sz val="20.0"/>
      </rPr>
      <t xml:space="preserve"> – bỏ 8 bit chẵn lẻ và xếp lại thứ tự để lấy 56 bit: tách thành</t>
    </r>
    <r>
      <rPr>
        <rFont val="Aptos Display"/>
        <b/>
        <color theme="0"/>
        <sz val="20.0"/>
      </rPr>
      <t xml:space="preserve"> C0 ( 28 bit ) và D0 ( 28 bit )</t>
    </r>
  </si>
  <si>
    <t>BẢNG C0 VÀ LS(C) - DỊCH TRÁI</t>
  </si>
  <si>
    <t>C0</t>
  </si>
  <si>
    <t>STT bit</t>
  </si>
  <si>
    <t>LS1(dịch 1)</t>
  </si>
  <si>
    <t>LS2(dịch 1)</t>
  </si>
  <si>
    <t>LS3</t>
  </si>
  <si>
    <t>LS4</t>
  </si>
  <si>
    <t>LS5</t>
  </si>
  <si>
    <t>LS6</t>
  </si>
  <si>
    <t>LS7</t>
  </si>
  <si>
    <t>LS8</t>
  </si>
  <si>
    <t>LS9(dịch 1)</t>
  </si>
  <si>
    <t>LS10</t>
  </si>
  <si>
    <t>LS11</t>
  </si>
  <si>
    <t>LS12</t>
  </si>
  <si>
    <t>LS13</t>
  </si>
  <si>
    <t>LS14</t>
  </si>
  <si>
    <t>LS15</t>
  </si>
  <si>
    <t>LS16(dịch 1)</t>
  </si>
  <si>
    <t>BẢNG DO VÀ LS(D) - DỊCH TRÁI</t>
  </si>
  <si>
    <t>D0</t>
  </si>
  <si>
    <t>Nối Ci và Di ta được 16 bảng CiDi</t>
  </si>
  <si>
    <t>C1D1</t>
  </si>
  <si>
    <t>C2D2</t>
  </si>
  <si>
    <t>C3C3</t>
  </si>
  <si>
    <t>C4D4</t>
  </si>
  <si>
    <t>C5D5</t>
  </si>
  <si>
    <t>C6D6</t>
  </si>
  <si>
    <t>C7D7</t>
  </si>
  <si>
    <t>C8D8</t>
  </si>
  <si>
    <t>C9D9</t>
  </si>
  <si>
    <t>C10D10</t>
  </si>
  <si>
    <t>C11D11</t>
  </si>
  <si>
    <t>C12D12</t>
  </si>
  <si>
    <t>C13D13</t>
  </si>
  <si>
    <t>C14D14</t>
  </si>
  <si>
    <t>C15D15</t>
  </si>
  <si>
    <t>C16D16</t>
  </si>
  <si>
    <t>PC - 2: Biến từ 56 bit thành 48 bit từ đó sinh 16 bảng K</t>
  </si>
  <si>
    <t>16 BẢNG K</t>
  </si>
  <si>
    <t>VIẾT LẠI KHÓA K THÀNH 1 HÀNG ĐỂ DỄ TÍNH TOÁN</t>
  </si>
  <si>
    <t>K1</t>
  </si>
  <si>
    <t>K2</t>
  </si>
  <si>
    <t>K3</t>
  </si>
  <si>
    <t>K4</t>
  </si>
  <si>
    <t>Khóa đã FORMAT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</si>
  <si>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</si>
  <si>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</si>
  <si>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</si>
  <si>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</si>
  <si>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</si>
  <si>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</si>
  <si>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</si>
  <si>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</si>
  <si>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</si>
  <si>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</si>
  <si>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</si>
  <si>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</si>
  <si>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 xml:space="preserve"> Li = Ri - 1</t>
  </si>
  <si>
    <t>Ri = Li-1 XOR F( Ri-1, K )</t>
  </si>
  <si>
    <t>Hàm mở rộng E để biến R từ 32 bit thành 48 bit ( vì K đang là 48 bit )</t>
  </si>
  <si>
    <t>Hàm F = XOR ( E(R) , Kn+1 )</t>
  </si>
  <si>
    <t>Hàm F đi qua SBOX để thu gọn còn 32 bit (Vì L đang là 32 bit)</t>
  </si>
  <si>
    <t>Hoán vị P của SBOX(F)</t>
  </si>
  <si>
    <t>TÍNH TOÁN</t>
  </si>
  <si>
    <t>L</t>
  </si>
  <si>
    <t>R ( Li-1 XOR F )</t>
  </si>
  <si>
    <t>E(R)</t>
  </si>
  <si>
    <t>F = XOR(E(R), K(n+1)</t>
  </si>
  <si>
    <t>SBOX(F)</t>
  </si>
  <si>
    <t>P</t>
  </si>
  <si>
    <t>EBIT</t>
  </si>
  <si>
    <t>10011000111111101100110000000000</t>
  </si>
  <si>
    <t>11100000010101001111000010101010</t>
  </si>
  <si>
    <t>10010101110100111010110101010000</t>
  </si>
  <si>
    <t>01011000100000110000010010101001</t>
  </si>
  <si>
    <t>00111110010000010010101101111010</t>
  </si>
  <si>
    <t>00011111010101110011100000000100</t>
  </si>
  <si>
    <t>00100110101011010010111111101110</t>
  </si>
  <si>
    <t>10100000101101111101000110011101</t>
  </si>
  <si>
    <t>00110010110100100010000101011100</t>
  </si>
  <si>
    <t>11001111010100100111011101101101</t>
  </si>
  <si>
    <t>00000110000000011111100010011110</t>
  </si>
  <si>
    <t>00000010011110011110100001000101</t>
  </si>
  <si>
    <t>10010011101111110101101101001010</t>
  </si>
  <si>
    <t>01101010111000100111100110000110</t>
  </si>
  <si>
    <t>10011010001000101101101101011011</t>
  </si>
  <si>
    <t>10101011000111101101011101000001</t>
  </si>
  <si>
    <t>00001110110001001100101011100011</t>
  </si>
  <si>
    <t>10000010111000111100011111111100</t>
  </si>
  <si>
    <t>8 HỘP SBOX THEO THỨ TỰ TỪ TRÊN XUỐNG DƯỚI LÀ TỪ 1 ĐẾN 8</t>
  </si>
  <si>
    <t>GHÉP R16-L16 VÀ ĐI QUA PC-1, SAU ĐÓ ĐỔI TỪ NHỊ PHÂN VỀ HỆ 16 TA ĐƯỢC BẢN MÃ ( KẾT QUẢ CUỐI CÙNG )</t>
  </si>
  <si>
    <t>0001</t>
  </si>
  <si>
    <t>1011</t>
  </si>
  <si>
    <t>0110</t>
  </si>
  <si>
    <t>1101</t>
  </si>
  <si>
    <t>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</si>
</sst>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sz val="18.0"/>
      <color rgb="FF9C5700"/>
      <name val="Aptos Narrow"/>
    </font>
    <font>
      <sz val="20.0"/>
      <color theme="0"/>
      <name val="Aptos Narrow"/>
    </font>
    <font/>
    <font>
      <sz val="16.0"/>
      <color rgb="FF006100"/>
      <name val="Aptos Narrow"/>
    </font>
    <font>
      <sz val="11.0"/>
      <color theme="1"/>
      <name val="Aptos Narrow"/>
    </font>
    <font>
      <b/>
      <sz val="20.0"/>
      <color theme="0"/>
      <name val="Play"/>
    </font>
    <font>
      <sz val="28.0"/>
      <color theme="0"/>
      <name val="Aptos Narrow"/>
    </font>
    <font>
      <sz val="11.0"/>
      <color theme="0"/>
      <name val="Aptos Narrow"/>
    </font>
    <font>
      <sz val="11.0"/>
      <color rgb="FF006100"/>
      <name val="Aptos Narrow"/>
    </font>
    <font>
      <sz val="14.0"/>
      <color theme="0"/>
      <name val="Aptos Narrow"/>
    </font>
    <font>
      <sz val="11.0"/>
      <color rgb="FF000000"/>
      <name val="&quot;Aptos Narrow&quot;"/>
    </font>
    <font>
      <sz val="11.0"/>
      <color rgb="FF9C5700"/>
      <name val="Aptos Narrow"/>
    </font>
    <font>
      <sz val="18.0"/>
      <color theme="1"/>
      <name val="Aptos Narrow"/>
    </font>
    <font>
      <sz val="18.0"/>
      <color theme="0"/>
      <name val="Aptos Narrow"/>
    </font>
    <font>
      <sz val="11.0"/>
      <color rgb="FF9C0006"/>
      <name val="Aptos Narrow"/>
    </font>
    <font>
      <color theme="1"/>
      <name val="Aptos Narrow"/>
      <scheme val="minor"/>
    </font>
    <font>
      <sz val="20.0"/>
      <color rgb="FFFFFF00"/>
      <name val="Aptos Narrow"/>
    </font>
    <font>
      <sz val="28.0"/>
      <color rgb="FFFFFF00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7030A0"/>
        <bgColor rgb="FF7030A0"/>
      </patternFill>
    </fill>
    <fill>
      <patternFill patternType="solid">
        <fgColor rgb="FFC6EFCE"/>
        <bgColor rgb="FFC6EFCE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CAEDFB"/>
        <bgColor rgb="FFCAEDFB"/>
      </patternFill>
    </fill>
    <fill>
      <patternFill patternType="solid">
        <fgColor rgb="FF00FFFF"/>
        <bgColor rgb="FF00FFFF"/>
      </patternFill>
    </fill>
    <fill>
      <patternFill patternType="solid">
        <fgColor rgb="FFC1F0C8"/>
        <bgColor rgb="FFC1F0C8"/>
      </patternFill>
    </fill>
    <fill>
      <patternFill patternType="solid">
        <fgColor rgb="FFF6C6AC"/>
        <bgColor rgb="FFF6C6A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8ED873"/>
        <bgColor rgb="FF8ED873"/>
      </patternFill>
    </fill>
  </fills>
  <borders count="24">
    <border/>
    <border>
      <left/>
      <right/>
      <top/>
      <bottom/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4" fontId="4" numFmtId="0" xfId="0" applyBorder="1" applyFill="1" applyFont="1"/>
    <xf borderId="1" fillId="4" fontId="4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7" fontId="5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quotePrefix="1" borderId="1" fillId="4" fontId="4" numFmtId="0" xfId="0" applyAlignment="1" applyBorder="1" applyFont="1">
      <alignment horizontal="center"/>
    </xf>
    <xf borderId="11" fillId="3" fontId="6" numFmtId="0" xfId="0" applyAlignment="1" applyBorder="1" applyFont="1">
      <alignment horizontal="left"/>
    </xf>
    <xf borderId="12" fillId="0" fontId="3" numFmtId="0" xfId="0" applyBorder="1" applyFont="1"/>
    <xf borderId="13" fillId="0" fontId="3" numFmtId="0" xfId="0" applyBorder="1" applyFont="1"/>
    <xf borderId="11" fillId="3" fontId="2" numFmtId="0" xfId="0" applyAlignment="1" applyBorder="1" applyFont="1">
      <alignment horizontal="left"/>
    </xf>
    <xf borderId="1" fillId="5" fontId="5" numFmtId="0" xfId="0" applyBorder="1" applyFont="1"/>
    <xf borderId="1" fillId="6" fontId="5" numFmtId="0" xfId="0" applyBorder="1" applyFont="1"/>
    <xf borderId="1" fillId="7" fontId="5" numFmtId="0" xfId="0" applyBorder="1" applyFont="1"/>
    <xf borderId="11" fillId="3" fontId="7" numFmtId="0" xfId="0" applyAlignment="1" applyBorder="1" applyFont="1">
      <alignment horizontal="left"/>
    </xf>
    <xf borderId="1" fillId="3" fontId="7" numFmtId="0" xfId="0" applyBorder="1" applyFont="1"/>
    <xf borderId="1" fillId="3" fontId="8" numFmtId="0" xfId="0" applyBorder="1" applyFont="1"/>
    <xf borderId="1" fillId="4" fontId="9" numFmtId="0" xfId="0" applyBorder="1" applyFont="1"/>
    <xf borderId="11" fillId="3" fontId="10" numFmtId="0" xfId="0" applyAlignment="1" applyBorder="1" applyFont="1">
      <alignment horizontal="center" shrinkToFit="0" vertical="center" wrapText="1"/>
    </xf>
    <xf borderId="0" fillId="8" fontId="11" numFmtId="0" xfId="0" applyAlignment="1" applyFill="1" applyFont="1">
      <alignment readingOrder="0" shrinkToFit="0" vertical="bottom" wrapText="0"/>
    </xf>
    <xf borderId="0" fillId="9" fontId="11" numFmtId="0" xfId="0" applyAlignment="1" applyFill="1" applyFont="1">
      <alignment readingOrder="0" shrinkToFit="0" vertical="bottom" wrapText="0"/>
    </xf>
    <xf borderId="0" fillId="9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1" fillId="2" fontId="12" numFmtId="0" xfId="0" applyBorder="1" applyFont="1"/>
    <xf borderId="0" fillId="8" fontId="11" numFmtId="0" xfId="0" applyAlignment="1" applyFont="1">
      <alignment shrinkToFit="0" vertical="bottom" wrapText="0"/>
    </xf>
    <xf borderId="0" fillId="9" fontId="11" numFmtId="0" xfId="0" applyAlignment="1" applyFont="1">
      <alignment shrinkToFit="0" vertical="bottom" wrapText="0"/>
    </xf>
    <xf borderId="0" fillId="10" fontId="11" numFmtId="0" xfId="0" applyAlignment="1" applyFill="1" applyFont="1">
      <alignment horizontal="right" readingOrder="0" shrinkToFit="0" vertical="bottom" wrapText="0"/>
    </xf>
    <xf borderId="0" fillId="11" fontId="11" numFmtId="0" xfId="0" applyAlignment="1" applyFill="1" applyFont="1">
      <alignment horizontal="right" readingOrder="0" shrinkToFit="0" vertical="bottom" wrapText="0"/>
    </xf>
    <xf borderId="0" fillId="9" fontId="11" numFmtId="0" xfId="0" applyAlignment="1" applyFont="1">
      <alignment horizontal="right" readingOrder="0" shrinkToFit="0" vertical="bottom" wrapText="0"/>
    </xf>
    <xf borderId="0" fillId="0" fontId="13" numFmtId="0" xfId="0" applyFont="1"/>
    <xf borderId="14" fillId="3" fontId="14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4" fillId="3" fontId="14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5" fillId="3" fontId="7" numFmtId="0" xfId="0" applyAlignment="1" applyBorder="1" applyFont="1">
      <alignment horizontal="center" shrinkToFit="0" vertical="center" wrapText="1"/>
    </xf>
    <xf borderId="11" fillId="12" fontId="13" numFmtId="0" xfId="0" applyAlignment="1" applyBorder="1" applyFill="1" applyFont="1">
      <alignment horizontal="center"/>
    </xf>
    <xf borderId="11" fillId="6" fontId="13" numFmtId="0" xfId="0" applyAlignment="1" applyBorder="1" applyFont="1">
      <alignment horizontal="center"/>
    </xf>
    <xf borderId="11" fillId="13" fontId="13" numFmtId="0" xfId="0" applyAlignment="1" applyBorder="1" applyFill="1" applyFont="1">
      <alignment horizontal="center"/>
    </xf>
    <xf borderId="1" fillId="13" fontId="5" numFmtId="0" xfId="0" applyBorder="1" applyFont="1"/>
    <xf borderId="11" fillId="5" fontId="13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1" fillId="14" fontId="13" numFmtId="0" xfId="0" applyAlignment="1" applyBorder="1" applyFill="1" applyFont="1">
      <alignment horizontal="center"/>
    </xf>
    <xf borderId="1" fillId="15" fontId="15" numFmtId="0" xfId="0" applyBorder="1" applyFill="1" applyFont="1"/>
    <xf borderId="0" fillId="0" fontId="16" numFmtId="0" xfId="0" applyFont="1"/>
    <xf quotePrefix="1" borderId="1" fillId="12" fontId="5" numFmtId="0" xfId="0" applyBorder="1" applyFont="1"/>
    <xf borderId="1" fillId="12" fontId="5" numFmtId="0" xfId="0" applyBorder="1" applyFont="1"/>
    <xf quotePrefix="1" borderId="1" fillId="6" fontId="5" numFmtId="0" xfId="0" applyBorder="1" applyFont="1"/>
    <xf borderId="1" fillId="14" fontId="5" numFmtId="0" xfId="0" applyBorder="1" applyFont="1"/>
    <xf borderId="5" fillId="3" fontId="2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5" fillId="16" fontId="17" numFmtId="0" xfId="0" applyAlignment="1" applyBorder="1" applyFill="1" applyFont="1">
      <alignment horizontal="center" shrinkToFit="0" vertical="center" wrapText="1"/>
    </xf>
    <xf quotePrefix="1" borderId="1" fillId="17" fontId="5" numFmtId="0" xfId="0" applyBorder="1" applyFill="1" applyFont="1"/>
    <xf borderId="1" fillId="17" fontId="5" numFmtId="0" xfId="0" applyBorder="1" applyFont="1"/>
    <xf borderId="5" fillId="16" fontId="1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0"/>
    <col customWidth="1" min="2" max="2" width="5.38"/>
    <col customWidth="1" min="3" max="3" width="15.63"/>
    <col customWidth="1" min="4" max="33" width="8.6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4"/>
    </row>
    <row r="2">
      <c r="A2" s="1" t="s">
        <v>2</v>
      </c>
      <c r="C2" s="5" t="s">
        <v>3</v>
      </c>
      <c r="D2" s="6">
        <v>0.0</v>
      </c>
      <c r="E2" s="6">
        <v>0.0</v>
      </c>
      <c r="F2" s="6">
        <v>1.0</v>
      </c>
      <c r="G2" s="6">
        <v>2.0</v>
      </c>
      <c r="H2" s="6">
        <v>3.0</v>
      </c>
      <c r="I2" s="6">
        <v>4.0</v>
      </c>
      <c r="J2" s="6">
        <v>5.0</v>
      </c>
      <c r="K2" s="6">
        <v>6.0</v>
      </c>
      <c r="L2" s="6">
        <v>7.0</v>
      </c>
      <c r="M2" s="6">
        <v>8.0</v>
      </c>
      <c r="N2" s="6">
        <v>9.0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8</v>
      </c>
    </row>
    <row r="3">
      <c r="A3" s="1" t="s">
        <v>9</v>
      </c>
      <c r="C3" s="5"/>
      <c r="D3" s="6" t="str">
        <f t="shared" ref="D3:N3" si="1">TEXT(DEC2BIN(D2),"0000")</f>
        <v>0000</v>
      </c>
      <c r="E3" s="6" t="str">
        <f t="shared" si="1"/>
        <v>0000</v>
      </c>
      <c r="F3" s="6" t="str">
        <f t="shared" si="1"/>
        <v>0001</v>
      </c>
      <c r="G3" s="6" t="str">
        <f t="shared" si="1"/>
        <v>0010</v>
      </c>
      <c r="H3" s="6" t="str">
        <f t="shared" si="1"/>
        <v>0011</v>
      </c>
      <c r="I3" s="6" t="str">
        <f t="shared" si="1"/>
        <v>0100</v>
      </c>
      <c r="J3" s="6" t="str">
        <f t="shared" si="1"/>
        <v>0101</v>
      </c>
      <c r="K3" s="6" t="str">
        <f t="shared" si="1"/>
        <v>0110</v>
      </c>
      <c r="L3" s="6" t="str">
        <f t="shared" si="1"/>
        <v>0111</v>
      </c>
      <c r="M3" s="6" t="str">
        <f t="shared" si="1"/>
        <v>1000</v>
      </c>
      <c r="N3" s="6" t="str">
        <f t="shared" si="1"/>
        <v>1001</v>
      </c>
      <c r="O3" s="6" t="str">
        <f t="shared" ref="O3:S3" si="2">TEXT(HEX2BIN(O2),"0000")</f>
        <v>1010</v>
      </c>
      <c r="P3" s="6" t="str">
        <f t="shared" si="2"/>
        <v>1011</v>
      </c>
      <c r="Q3" s="6" t="str">
        <f t="shared" si="2"/>
        <v>1100</v>
      </c>
      <c r="R3" s="6" t="str">
        <f t="shared" si="2"/>
        <v>1101</v>
      </c>
      <c r="S3" s="6" t="str">
        <f t="shared" si="2"/>
        <v>1110</v>
      </c>
    </row>
    <row r="4">
      <c r="A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1" t="s">
        <v>10</v>
      </c>
      <c r="C5" s="5" t="s">
        <v>11</v>
      </c>
      <c r="D5" s="6">
        <v>0.0</v>
      </c>
      <c r="E5" s="6">
        <v>1.0</v>
      </c>
      <c r="F5" s="6">
        <v>3.0</v>
      </c>
      <c r="G5" s="6">
        <v>3.0</v>
      </c>
      <c r="H5" s="6">
        <v>4.0</v>
      </c>
      <c r="I5" s="6">
        <v>5.0</v>
      </c>
      <c r="J5" s="6">
        <v>7.0</v>
      </c>
      <c r="K5" s="6">
        <v>7.0</v>
      </c>
      <c r="L5" s="6">
        <v>9.0</v>
      </c>
      <c r="M5" s="6">
        <v>9.0</v>
      </c>
      <c r="N5" s="6" t="s">
        <v>5</v>
      </c>
      <c r="O5" s="6" t="s">
        <v>5</v>
      </c>
      <c r="P5" s="6" t="s">
        <v>6</v>
      </c>
      <c r="Q5" s="6" t="s">
        <v>7</v>
      </c>
      <c r="R5" s="6" t="s">
        <v>12</v>
      </c>
      <c r="S5" s="6" t="s">
        <v>12</v>
      </c>
    </row>
    <row r="6">
      <c r="A6" s="1" t="s">
        <v>13</v>
      </c>
      <c r="C6" s="5"/>
      <c r="D6" s="6" t="str">
        <f t="shared" ref="D6:M6" si="3">TEXT(DEC2BIN(D5),"0000")</f>
        <v>0000</v>
      </c>
      <c r="E6" s="6" t="str">
        <f t="shared" si="3"/>
        <v>0001</v>
      </c>
      <c r="F6" s="6" t="str">
        <f t="shared" si="3"/>
        <v>0011</v>
      </c>
      <c r="G6" s="6" t="str">
        <f t="shared" si="3"/>
        <v>0011</v>
      </c>
      <c r="H6" s="6" t="str">
        <f t="shared" si="3"/>
        <v>0100</v>
      </c>
      <c r="I6" s="6" t="str">
        <f t="shared" si="3"/>
        <v>0101</v>
      </c>
      <c r="J6" s="6" t="str">
        <f t="shared" si="3"/>
        <v>0111</v>
      </c>
      <c r="K6" s="6" t="str">
        <f t="shared" si="3"/>
        <v>0111</v>
      </c>
      <c r="L6" s="6" t="str">
        <f t="shared" si="3"/>
        <v>1001</v>
      </c>
      <c r="M6" s="6" t="str">
        <f t="shared" si="3"/>
        <v>1001</v>
      </c>
      <c r="N6" s="6" t="str">
        <f t="shared" ref="N6:S6" si="4">TEXT(HEX2BIN(N5),"0000")</f>
        <v>1011</v>
      </c>
      <c r="O6" s="6" t="str">
        <f t="shared" si="4"/>
        <v>1011</v>
      </c>
      <c r="P6" s="6" t="str">
        <f t="shared" si="4"/>
        <v>1100</v>
      </c>
      <c r="Q6" s="6" t="str">
        <f t="shared" si="4"/>
        <v>1101</v>
      </c>
      <c r="R6" s="6" t="str">
        <f t="shared" si="4"/>
        <v>1111</v>
      </c>
      <c r="S6" s="6" t="str">
        <f t="shared" si="4"/>
        <v>1111</v>
      </c>
    </row>
    <row r="9" ht="15.0" customHeight="1">
      <c r="C9" s="7" t="s">
        <v>14</v>
      </c>
      <c r="D9" s="8" t="s">
        <v>15</v>
      </c>
      <c r="E9" s="8">
        <v>1.0</v>
      </c>
      <c r="F9" s="8">
        <v>2.0</v>
      </c>
      <c r="G9" s="8">
        <v>3.0</v>
      </c>
      <c r="H9" s="8">
        <v>4.0</v>
      </c>
      <c r="I9" s="8">
        <v>5.0</v>
      </c>
      <c r="J9" s="8">
        <v>6.0</v>
      </c>
      <c r="K9" s="8">
        <v>7.0</v>
      </c>
      <c r="L9" s="8">
        <v>8.0</v>
      </c>
      <c r="N9" s="9" t="s">
        <v>16</v>
      </c>
      <c r="O9" s="10"/>
      <c r="Q9" s="7" t="s">
        <v>17</v>
      </c>
      <c r="R9" s="8" t="s">
        <v>15</v>
      </c>
      <c r="S9" s="8">
        <v>1.0</v>
      </c>
      <c r="T9" s="8">
        <v>2.0</v>
      </c>
      <c r="U9" s="8">
        <v>3.0</v>
      </c>
      <c r="V9" s="8">
        <v>4.0</v>
      </c>
      <c r="W9" s="8">
        <v>5.0</v>
      </c>
      <c r="X9" s="8">
        <v>6.0</v>
      </c>
      <c r="Y9" s="8">
        <v>7.0</v>
      </c>
      <c r="Z9" s="8">
        <v>8.0</v>
      </c>
    </row>
    <row r="10">
      <c r="C10" s="7"/>
      <c r="D10" s="8"/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N10" s="12"/>
      <c r="O10" s="13"/>
      <c r="Q10" s="7"/>
      <c r="R10" s="8"/>
      <c r="S10" s="11">
        <v>1.0</v>
      </c>
      <c r="T10" s="11">
        <v>0.0</v>
      </c>
      <c r="U10" s="11">
        <v>0.0</v>
      </c>
      <c r="V10" s="11">
        <v>1.0</v>
      </c>
      <c r="W10" s="11">
        <v>1.0</v>
      </c>
      <c r="X10" s="11">
        <v>0.0</v>
      </c>
      <c r="Y10" s="11">
        <v>0.0</v>
      </c>
      <c r="Z10" s="11">
        <v>0.0</v>
      </c>
    </row>
    <row r="11">
      <c r="C11" s="7"/>
      <c r="D11" s="8">
        <v>9.0</v>
      </c>
      <c r="E11" s="11">
        <v>0.0</v>
      </c>
      <c r="F11" s="11">
        <v>0.0</v>
      </c>
      <c r="G11" s="11">
        <v>0.0</v>
      </c>
      <c r="H11" s="11">
        <v>1.0</v>
      </c>
      <c r="I11" s="11">
        <v>0.0</v>
      </c>
      <c r="J11" s="11">
        <v>0.0</v>
      </c>
      <c r="K11" s="11">
        <v>1.0</v>
      </c>
      <c r="L11" s="11">
        <v>0.0</v>
      </c>
      <c r="N11" s="12"/>
      <c r="O11" s="13"/>
      <c r="Q11" s="7"/>
      <c r="R11" s="8">
        <v>9.0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0.0</v>
      </c>
    </row>
    <row r="12">
      <c r="C12" s="7"/>
      <c r="D12" s="8">
        <v>17.0</v>
      </c>
      <c r="E12" s="11">
        <v>0.0</v>
      </c>
      <c r="F12" s="11">
        <v>0.0</v>
      </c>
      <c r="G12" s="11">
        <v>1.0</v>
      </c>
      <c r="H12" s="11">
        <v>1.0</v>
      </c>
      <c r="I12" s="11">
        <v>0.0</v>
      </c>
      <c r="J12" s="11">
        <v>1.0</v>
      </c>
      <c r="K12" s="11">
        <v>0.0</v>
      </c>
      <c r="L12" s="11">
        <v>0.0</v>
      </c>
      <c r="N12" s="12"/>
      <c r="O12" s="13"/>
      <c r="Q12" s="7"/>
      <c r="R12" s="8">
        <v>17.0</v>
      </c>
      <c r="S12" s="11">
        <v>1.0</v>
      </c>
      <c r="T12" s="11">
        <v>1.0</v>
      </c>
      <c r="U12" s="11">
        <v>0.0</v>
      </c>
      <c r="V12" s="11">
        <v>0.0</v>
      </c>
      <c r="W12" s="11">
        <v>1.0</v>
      </c>
      <c r="X12" s="11">
        <v>1.0</v>
      </c>
      <c r="Y12" s="11">
        <v>0.0</v>
      </c>
      <c r="Z12" s="11">
        <v>0.0</v>
      </c>
    </row>
    <row r="13">
      <c r="C13" s="7"/>
      <c r="D13" s="8">
        <v>25.0</v>
      </c>
      <c r="E13" s="11">
        <v>0.0</v>
      </c>
      <c r="F13" s="11">
        <v>1.0</v>
      </c>
      <c r="G13" s="11">
        <v>0.0</v>
      </c>
      <c r="H13" s="11">
        <v>1.0</v>
      </c>
      <c r="I13" s="11">
        <v>0.0</v>
      </c>
      <c r="J13" s="11">
        <v>1.0</v>
      </c>
      <c r="K13" s="11">
        <v>1.0</v>
      </c>
      <c r="L13" s="11">
        <v>0.0</v>
      </c>
      <c r="N13" s="12"/>
      <c r="O13" s="13"/>
      <c r="Q13" s="7"/>
      <c r="R13" s="8">
        <v>25.0</v>
      </c>
      <c r="S13" s="11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</row>
    <row r="14">
      <c r="C14" s="7"/>
      <c r="D14" s="8">
        <v>33.0</v>
      </c>
      <c r="E14" s="11">
        <v>0.0</v>
      </c>
      <c r="F14" s="11">
        <v>1.0</v>
      </c>
      <c r="G14" s="11">
        <v>1.0</v>
      </c>
      <c r="H14" s="11">
        <v>1.0</v>
      </c>
      <c r="I14" s="11">
        <v>1.0</v>
      </c>
      <c r="J14" s="11">
        <v>0.0</v>
      </c>
      <c r="K14" s="11">
        <v>0.0</v>
      </c>
      <c r="L14" s="11">
        <v>0.0</v>
      </c>
      <c r="N14" s="12"/>
      <c r="O14" s="13"/>
      <c r="Q14" s="7"/>
      <c r="R14" s="8">
        <v>33.0</v>
      </c>
      <c r="S14" s="11">
        <v>1.0</v>
      </c>
      <c r="T14" s="11">
        <v>1.0</v>
      </c>
      <c r="U14" s="11">
        <v>1.0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</row>
    <row r="15">
      <c r="C15" s="7"/>
      <c r="D15" s="8">
        <v>41.0</v>
      </c>
      <c r="E15" s="11">
        <v>1.0</v>
      </c>
      <c r="F15" s="11">
        <v>0.0</v>
      </c>
      <c r="G15" s="11">
        <v>0.0</v>
      </c>
      <c r="H15" s="11">
        <v>1.0</v>
      </c>
      <c r="I15" s="11">
        <v>1.0</v>
      </c>
      <c r="J15" s="11">
        <v>0.0</v>
      </c>
      <c r="K15" s="11">
        <v>1.0</v>
      </c>
      <c r="L15" s="11">
        <v>0.0</v>
      </c>
      <c r="N15" s="12"/>
      <c r="O15" s="13"/>
      <c r="Q15" s="7"/>
      <c r="R15" s="8">
        <v>41.0</v>
      </c>
      <c r="S15" s="11">
        <v>0.0</v>
      </c>
      <c r="T15" s="11">
        <v>1.0</v>
      </c>
      <c r="U15" s="11">
        <v>0.0</v>
      </c>
      <c r="V15" s="11">
        <v>1.0</v>
      </c>
      <c r="W15" s="11">
        <v>0.0</v>
      </c>
      <c r="X15" s="11">
        <v>1.0</v>
      </c>
      <c r="Y15" s="11">
        <v>0.0</v>
      </c>
      <c r="Z15" s="11">
        <v>0.0</v>
      </c>
    </row>
    <row r="16">
      <c r="C16" s="7"/>
      <c r="D16" s="8">
        <v>49.0</v>
      </c>
      <c r="E16" s="11">
        <v>1.0</v>
      </c>
      <c r="F16" s="11">
        <v>0.0</v>
      </c>
      <c r="G16" s="11">
        <v>1.0</v>
      </c>
      <c r="H16" s="11">
        <v>1.0</v>
      </c>
      <c r="I16" s="11">
        <v>1.0</v>
      </c>
      <c r="J16" s="11">
        <v>1.0</v>
      </c>
      <c r="K16" s="11">
        <v>0.0</v>
      </c>
      <c r="L16" s="11">
        <v>0.0</v>
      </c>
      <c r="N16" s="12"/>
      <c r="O16" s="13"/>
      <c r="Q16" s="7"/>
      <c r="R16" s="8">
        <v>49.0</v>
      </c>
      <c r="S16" s="11">
        <v>1.0</v>
      </c>
      <c r="T16" s="11">
        <v>1.0</v>
      </c>
      <c r="U16" s="11">
        <v>1.0</v>
      </c>
      <c r="V16" s="11">
        <v>1.0</v>
      </c>
      <c r="W16" s="11">
        <v>0.0</v>
      </c>
      <c r="X16" s="11">
        <v>0.0</v>
      </c>
      <c r="Y16" s="11">
        <v>0.0</v>
      </c>
      <c r="Z16" s="11">
        <v>0.0</v>
      </c>
    </row>
    <row r="17">
      <c r="C17" s="7"/>
      <c r="D17" s="8">
        <v>57.0</v>
      </c>
      <c r="E17" s="11">
        <v>1.0</v>
      </c>
      <c r="F17" s="11">
        <v>1.0</v>
      </c>
      <c r="G17" s="11">
        <v>0.0</v>
      </c>
      <c r="H17" s="11">
        <v>1.0</v>
      </c>
      <c r="I17" s="11">
        <v>1.0</v>
      </c>
      <c r="J17" s="11">
        <v>1.0</v>
      </c>
      <c r="K17" s="11">
        <v>1.0</v>
      </c>
      <c r="L17" s="11">
        <v>0.0</v>
      </c>
      <c r="N17" s="14"/>
      <c r="O17" s="15"/>
      <c r="Q17" s="7"/>
      <c r="R17" s="8">
        <v>57.0</v>
      </c>
      <c r="S17" s="11">
        <v>1.0</v>
      </c>
      <c r="T17" s="11">
        <v>0.0</v>
      </c>
      <c r="U17" s="11">
        <v>1.0</v>
      </c>
      <c r="V17" s="11">
        <v>0.0</v>
      </c>
      <c r="W17" s="11">
        <v>1.0</v>
      </c>
      <c r="X17" s="11">
        <v>0.0</v>
      </c>
      <c r="Y17" s="11">
        <v>1.0</v>
      </c>
      <c r="Z17" s="11">
        <v>0.0</v>
      </c>
    </row>
    <row r="19" ht="22.5" customHeight="1">
      <c r="Q19" s="5" t="s">
        <v>17</v>
      </c>
      <c r="R19" s="16" t="s">
        <v>18</v>
      </c>
      <c r="S19" s="16" t="s">
        <v>19</v>
      </c>
      <c r="T19" s="16" t="s">
        <v>20</v>
      </c>
      <c r="U19" s="16" t="s">
        <v>21</v>
      </c>
      <c r="V19" s="16" t="s">
        <v>22</v>
      </c>
      <c r="W19" s="16" t="s">
        <v>22</v>
      </c>
      <c r="X19" s="16" t="s">
        <v>23</v>
      </c>
      <c r="Y19" s="16" t="s">
        <v>23</v>
      </c>
      <c r="Z19" s="16" t="s">
        <v>21</v>
      </c>
      <c r="AA19" s="16" t="s">
        <v>23</v>
      </c>
      <c r="AB19" s="16" t="s">
        <v>24</v>
      </c>
      <c r="AC19" s="16" t="s">
        <v>25</v>
      </c>
      <c r="AD19" s="16" t="s">
        <v>20</v>
      </c>
      <c r="AE19" s="16" t="s">
        <v>23</v>
      </c>
      <c r="AF19" s="16" t="s">
        <v>26</v>
      </c>
      <c r="AG19" s="16" t="s">
        <v>26</v>
      </c>
    </row>
    <row r="20" ht="27.0" customHeight="1">
      <c r="Q20" s="5"/>
      <c r="R20" s="5" t="str">
        <f t="shared" ref="R20:AG20" si="5">BIN2HEX(R19)</f>
        <v>9</v>
      </c>
      <c r="S20" s="5" t="str">
        <f t="shared" si="5"/>
        <v>8</v>
      </c>
      <c r="T20" s="5" t="str">
        <f t="shared" si="5"/>
        <v>F</v>
      </c>
      <c r="U20" s="5" t="str">
        <f t="shared" si="5"/>
        <v>E</v>
      </c>
      <c r="V20" s="5" t="str">
        <f t="shared" si="5"/>
        <v>C</v>
      </c>
      <c r="W20" s="5" t="str">
        <f t="shared" si="5"/>
        <v>C</v>
      </c>
      <c r="X20" s="5" t="str">
        <f t="shared" si="5"/>
        <v>0</v>
      </c>
      <c r="Y20" s="5" t="str">
        <f t="shared" si="5"/>
        <v>0</v>
      </c>
      <c r="Z20" s="5" t="str">
        <f t="shared" si="5"/>
        <v>E</v>
      </c>
      <c r="AA20" s="5" t="str">
        <f t="shared" si="5"/>
        <v>0</v>
      </c>
      <c r="AB20" s="5" t="str">
        <f t="shared" si="5"/>
        <v>5</v>
      </c>
      <c r="AC20" s="5" t="str">
        <f t="shared" si="5"/>
        <v>4</v>
      </c>
      <c r="AD20" s="5" t="str">
        <f t="shared" si="5"/>
        <v>F</v>
      </c>
      <c r="AE20" s="5" t="str">
        <f t="shared" si="5"/>
        <v>0</v>
      </c>
      <c r="AF20" s="5" t="str">
        <f t="shared" si="5"/>
        <v>A</v>
      </c>
      <c r="AG20" s="5" t="str">
        <f t="shared" si="5"/>
        <v>A</v>
      </c>
    </row>
    <row r="21" ht="15.0" customHeight="1"/>
    <row r="22" ht="15.0" customHeight="1">
      <c r="C22" s="9" t="s">
        <v>27</v>
      </c>
      <c r="D22" s="10"/>
      <c r="F22" s="7" t="s">
        <v>28</v>
      </c>
      <c r="G22" s="8" t="s">
        <v>15</v>
      </c>
      <c r="H22" s="8">
        <v>1.0</v>
      </c>
      <c r="I22" s="8">
        <v>2.0</v>
      </c>
      <c r="J22" s="8">
        <v>3.0</v>
      </c>
      <c r="K22" s="8">
        <v>4.0</v>
      </c>
      <c r="L22" s="8">
        <v>5.0</v>
      </c>
      <c r="M22" s="8">
        <v>6.0</v>
      </c>
      <c r="N22" s="8">
        <v>7.0</v>
      </c>
      <c r="O22" s="8">
        <v>8.0</v>
      </c>
    </row>
    <row r="23" ht="15.0" customHeight="1">
      <c r="C23" s="12"/>
      <c r="D23" s="13"/>
      <c r="F23" s="7"/>
      <c r="G23" s="8"/>
      <c r="H23" s="11">
        <v>1.0</v>
      </c>
      <c r="I23" s="11">
        <v>0.0</v>
      </c>
      <c r="J23" s="11">
        <v>0.0</v>
      </c>
      <c r="K23" s="11">
        <v>1.0</v>
      </c>
      <c r="L23" s="11">
        <v>1.0</v>
      </c>
      <c r="M23" s="11">
        <v>0.0</v>
      </c>
      <c r="N23" s="11">
        <v>0.0</v>
      </c>
      <c r="O23" s="11">
        <v>0.0</v>
      </c>
    </row>
    <row r="24" ht="15.0" customHeight="1">
      <c r="C24" s="12"/>
      <c r="D24" s="13"/>
      <c r="F24" s="7"/>
      <c r="G24" s="8">
        <v>9.0</v>
      </c>
      <c r="H24" s="11">
        <v>1.0</v>
      </c>
      <c r="I24" s="11">
        <v>1.0</v>
      </c>
      <c r="J24" s="11">
        <v>1.0</v>
      </c>
      <c r="K24" s="11">
        <v>1.0</v>
      </c>
      <c r="L24" s="11">
        <v>1.0</v>
      </c>
      <c r="M24" s="11">
        <v>1.0</v>
      </c>
      <c r="N24" s="11">
        <v>1.0</v>
      </c>
      <c r="O24" s="11">
        <v>0.0</v>
      </c>
    </row>
    <row r="25" ht="15.0" customHeight="1">
      <c r="C25" s="12"/>
      <c r="D25" s="13"/>
      <c r="F25" s="7"/>
      <c r="G25" s="8">
        <v>17.0</v>
      </c>
      <c r="H25" s="11">
        <v>1.0</v>
      </c>
      <c r="I25" s="11">
        <v>1.0</v>
      </c>
      <c r="J25" s="11">
        <v>0.0</v>
      </c>
      <c r="K25" s="11">
        <v>0.0</v>
      </c>
      <c r="L25" s="11">
        <v>1.0</v>
      </c>
      <c r="M25" s="11">
        <v>1.0</v>
      </c>
      <c r="N25" s="11">
        <v>0.0</v>
      </c>
      <c r="O25" s="11">
        <v>0.0</v>
      </c>
    </row>
    <row r="26" ht="15.0" customHeight="1">
      <c r="C26" s="12"/>
      <c r="D26" s="13"/>
      <c r="F26" s="7"/>
      <c r="G26" s="8">
        <v>25.0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</row>
    <row r="27" ht="15.0" customHeight="1">
      <c r="C27" s="12"/>
      <c r="D27" s="13"/>
    </row>
    <row r="28" ht="15.0" customHeight="1">
      <c r="C28" s="12"/>
      <c r="D28" s="13"/>
      <c r="F28" s="7" t="s">
        <v>29</v>
      </c>
      <c r="G28" s="8" t="s">
        <v>15</v>
      </c>
      <c r="H28" s="8">
        <v>1.0</v>
      </c>
      <c r="I28" s="8">
        <v>2.0</v>
      </c>
      <c r="J28" s="8">
        <v>3.0</v>
      </c>
      <c r="K28" s="8">
        <v>4.0</v>
      </c>
      <c r="L28" s="8">
        <v>5.0</v>
      </c>
      <c r="M28" s="8">
        <v>6.0</v>
      </c>
      <c r="N28" s="8">
        <v>7.0</v>
      </c>
      <c r="O28" s="8">
        <v>8.0</v>
      </c>
    </row>
    <row r="29" ht="15.75" customHeight="1">
      <c r="C29" s="12"/>
      <c r="D29" s="13"/>
      <c r="F29" s="7"/>
      <c r="G29" s="8"/>
      <c r="H29" s="11">
        <v>1.0</v>
      </c>
      <c r="I29" s="11">
        <v>1.0</v>
      </c>
      <c r="J29" s="11">
        <v>1.0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</row>
    <row r="30" ht="15.75" customHeight="1">
      <c r="C30" s="12"/>
      <c r="D30" s="13"/>
      <c r="F30" s="7"/>
      <c r="G30" s="8">
        <v>9.0</v>
      </c>
      <c r="H30" s="11">
        <v>0.0</v>
      </c>
      <c r="I30" s="11">
        <v>1.0</v>
      </c>
      <c r="J30" s="11">
        <v>0.0</v>
      </c>
      <c r="K30" s="11">
        <v>1.0</v>
      </c>
      <c r="L30" s="11">
        <v>0.0</v>
      </c>
      <c r="M30" s="11">
        <v>1.0</v>
      </c>
      <c r="N30" s="11">
        <v>0.0</v>
      </c>
      <c r="O30" s="11">
        <v>0.0</v>
      </c>
    </row>
    <row r="31" ht="15.75" customHeight="1">
      <c r="C31" s="12"/>
      <c r="D31" s="13"/>
      <c r="F31" s="7"/>
      <c r="G31" s="8">
        <v>17.0</v>
      </c>
      <c r="H31" s="11">
        <v>1.0</v>
      </c>
      <c r="I31" s="11">
        <v>1.0</v>
      </c>
      <c r="J31" s="11">
        <v>1.0</v>
      </c>
      <c r="K31" s="11">
        <v>1.0</v>
      </c>
      <c r="L31" s="11">
        <v>0.0</v>
      </c>
      <c r="M31" s="11">
        <v>0.0</v>
      </c>
      <c r="N31" s="11">
        <v>0.0</v>
      </c>
      <c r="O31" s="11">
        <v>0.0</v>
      </c>
    </row>
    <row r="32" ht="15.75" customHeight="1">
      <c r="C32" s="14"/>
      <c r="D32" s="15"/>
      <c r="F32" s="7"/>
      <c r="G32" s="8">
        <v>25.0</v>
      </c>
      <c r="H32" s="11">
        <v>1.0</v>
      </c>
      <c r="I32" s="11">
        <v>0.0</v>
      </c>
      <c r="J32" s="11">
        <v>1.0</v>
      </c>
      <c r="K32" s="11">
        <v>0.0</v>
      </c>
      <c r="L32" s="11">
        <v>1.0</v>
      </c>
      <c r="M32" s="11">
        <v>0.0</v>
      </c>
      <c r="N32" s="11">
        <v>1.0</v>
      </c>
      <c r="O32" s="11">
        <v>0.0</v>
      </c>
    </row>
    <row r="33" ht="15.75" customHeight="1"/>
    <row r="34" ht="15.75" customHeight="1">
      <c r="C34" s="7" t="s">
        <v>30</v>
      </c>
      <c r="D34" s="8" t="s">
        <v>15</v>
      </c>
      <c r="E34" s="8">
        <v>1.0</v>
      </c>
      <c r="F34" s="8">
        <v>2.0</v>
      </c>
      <c r="G34" s="8">
        <v>3.0</v>
      </c>
      <c r="H34" s="8">
        <v>4.0</v>
      </c>
      <c r="I34" s="8">
        <v>5.0</v>
      </c>
      <c r="J34" s="8">
        <v>6.0</v>
      </c>
      <c r="K34" s="8">
        <v>7.0</v>
      </c>
      <c r="L34" s="8">
        <v>8.0</v>
      </c>
    </row>
    <row r="35" ht="15.75" customHeight="1">
      <c r="C35" s="7"/>
      <c r="D35" s="8"/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  <c r="L35" s="11">
        <v>1.0</v>
      </c>
    </row>
    <row r="36" ht="15.75" customHeight="1">
      <c r="C36" s="7"/>
      <c r="D36" s="8">
        <v>9.0</v>
      </c>
      <c r="E36" s="11">
        <v>0.0</v>
      </c>
      <c r="F36" s="11">
        <v>0.0</v>
      </c>
      <c r="G36" s="11">
        <v>1.0</v>
      </c>
      <c r="H36" s="11">
        <v>1.0</v>
      </c>
      <c r="I36" s="11">
        <v>0.0</v>
      </c>
      <c r="J36" s="11">
        <v>0.0</v>
      </c>
      <c r="K36" s="11">
        <v>1.0</v>
      </c>
      <c r="L36" s="11">
        <v>1.0</v>
      </c>
    </row>
    <row r="37" ht="15.75" customHeight="1">
      <c r="C37" s="7"/>
      <c r="D37" s="8">
        <v>17.0</v>
      </c>
      <c r="E37" s="11">
        <v>0.0</v>
      </c>
      <c r="F37" s="11">
        <v>1.0</v>
      </c>
      <c r="G37" s="11">
        <v>0.0</v>
      </c>
      <c r="H37" s="11">
        <v>0.0</v>
      </c>
      <c r="I37" s="11">
        <v>0.0</v>
      </c>
      <c r="J37" s="11">
        <v>1.0</v>
      </c>
      <c r="K37" s="11">
        <v>0.0</v>
      </c>
      <c r="L37" s="11">
        <v>1.0</v>
      </c>
    </row>
    <row r="38" ht="15.75" customHeight="1">
      <c r="C38" s="7"/>
      <c r="D38" s="8">
        <v>25.0</v>
      </c>
      <c r="E38" s="11">
        <v>0.0</v>
      </c>
      <c r="F38" s="11">
        <v>1.0</v>
      </c>
      <c r="G38" s="11">
        <v>1.0</v>
      </c>
      <c r="H38" s="11">
        <v>1.0</v>
      </c>
      <c r="I38" s="11">
        <v>0.0</v>
      </c>
      <c r="J38" s="11">
        <v>1.0</v>
      </c>
      <c r="K38" s="11">
        <v>1.0</v>
      </c>
      <c r="L38" s="11">
        <v>1.0</v>
      </c>
    </row>
    <row r="39" ht="15.75" customHeight="1">
      <c r="C39" s="7"/>
      <c r="D39" s="8">
        <v>33.0</v>
      </c>
      <c r="E39" s="11">
        <v>1.0</v>
      </c>
      <c r="F39" s="11">
        <v>0.0</v>
      </c>
      <c r="G39" s="11">
        <v>0.0</v>
      </c>
      <c r="H39" s="11">
        <v>1.0</v>
      </c>
      <c r="I39" s="11">
        <v>1.0</v>
      </c>
      <c r="J39" s="11">
        <v>0.0</v>
      </c>
      <c r="K39" s="11">
        <v>0.0</v>
      </c>
      <c r="L39" s="11">
        <v>1.0</v>
      </c>
    </row>
    <row r="40" ht="15.75" customHeight="1">
      <c r="C40" s="7"/>
      <c r="D40" s="8">
        <v>41.0</v>
      </c>
      <c r="E40" s="11">
        <v>1.0</v>
      </c>
      <c r="F40" s="11">
        <v>0.0</v>
      </c>
      <c r="G40" s="11">
        <v>1.0</v>
      </c>
      <c r="H40" s="11">
        <v>1.0</v>
      </c>
      <c r="I40" s="11">
        <v>1.0</v>
      </c>
      <c r="J40" s="11">
        <v>0.0</v>
      </c>
      <c r="K40" s="11">
        <v>1.0</v>
      </c>
      <c r="L40" s="11">
        <v>1.0</v>
      </c>
    </row>
    <row r="41" ht="15.75" customHeight="1">
      <c r="C41" s="7"/>
      <c r="D41" s="8">
        <v>49.0</v>
      </c>
      <c r="E41" s="11">
        <v>1.0</v>
      </c>
      <c r="F41" s="11">
        <v>1.0</v>
      </c>
      <c r="G41" s="11">
        <v>0.0</v>
      </c>
      <c r="H41" s="11">
        <v>0.0</v>
      </c>
      <c r="I41" s="11">
        <v>1.0</v>
      </c>
      <c r="J41" s="11">
        <v>1.0</v>
      </c>
      <c r="K41" s="11">
        <v>0.0</v>
      </c>
      <c r="L41" s="11">
        <v>1.0</v>
      </c>
    </row>
    <row r="42" ht="15.75" customHeight="1">
      <c r="C42" s="7"/>
      <c r="D42" s="8">
        <v>57.0</v>
      </c>
      <c r="E42" s="11">
        <v>1.0</v>
      </c>
      <c r="F42" s="11">
        <v>1.0</v>
      </c>
      <c r="G42" s="11">
        <v>1.0</v>
      </c>
      <c r="H42" s="11">
        <v>1.0</v>
      </c>
      <c r="I42" s="11">
        <v>1.0</v>
      </c>
      <c r="J42" s="11">
        <v>1.0</v>
      </c>
      <c r="K42" s="11">
        <v>1.0</v>
      </c>
      <c r="L42" s="11">
        <v>1.0</v>
      </c>
    </row>
    <row r="43" ht="15.75" customHeight="1"/>
    <row r="44" ht="15.75" customHeight="1">
      <c r="C44" s="17" t="s">
        <v>31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9"/>
    </row>
    <row r="45" ht="15.75" customHeight="1">
      <c r="C45" s="20" t="s">
        <v>32</v>
      </c>
      <c r="D45" s="18"/>
      <c r="E45" s="18"/>
      <c r="F45" s="18"/>
      <c r="G45" s="18"/>
      <c r="H45" s="18"/>
      <c r="I45" s="19"/>
    </row>
    <row r="46" ht="15.75" customHeight="1">
      <c r="C46" s="21" t="s">
        <v>33</v>
      </c>
      <c r="D46" s="22" t="s">
        <v>34</v>
      </c>
      <c r="E46" s="8">
        <v>1.0</v>
      </c>
      <c r="F46" s="8">
        <v>2.0</v>
      </c>
      <c r="G46" s="8">
        <v>3.0</v>
      </c>
      <c r="H46" s="8">
        <v>4.0</v>
      </c>
      <c r="I46" s="8">
        <v>5.0</v>
      </c>
      <c r="J46" s="8">
        <v>6.0</v>
      </c>
      <c r="K46" s="8">
        <v>7.0</v>
      </c>
      <c r="L46" s="8">
        <v>8.0</v>
      </c>
      <c r="M46" s="8">
        <v>9.0</v>
      </c>
      <c r="N46" s="8">
        <v>10.0</v>
      </c>
      <c r="O46" s="8">
        <v>11.0</v>
      </c>
      <c r="P46" s="8">
        <v>12.0</v>
      </c>
      <c r="Q46" s="8">
        <v>13.0</v>
      </c>
      <c r="R46" s="8">
        <v>14.0</v>
      </c>
      <c r="S46" s="8">
        <v>15.0</v>
      </c>
      <c r="T46" s="8">
        <v>16.0</v>
      </c>
      <c r="U46" s="8">
        <v>17.0</v>
      </c>
      <c r="V46" s="8">
        <v>18.0</v>
      </c>
      <c r="W46" s="8">
        <v>19.0</v>
      </c>
      <c r="X46" s="8">
        <v>20.0</v>
      </c>
      <c r="Y46" s="8">
        <v>21.0</v>
      </c>
      <c r="Z46" s="8">
        <v>22.0</v>
      </c>
      <c r="AA46" s="8">
        <v>23.0</v>
      </c>
      <c r="AB46" s="8">
        <v>24.0</v>
      </c>
      <c r="AC46" s="8">
        <v>25.0</v>
      </c>
      <c r="AD46" s="8">
        <v>26.0</v>
      </c>
      <c r="AE46" s="8">
        <v>27.0</v>
      </c>
      <c r="AF46" s="8">
        <v>28.0</v>
      </c>
    </row>
    <row r="47" ht="15.75" customHeight="1">
      <c r="C47" s="21"/>
      <c r="D47" s="22"/>
      <c r="E47" s="23">
        <v>1.0</v>
      </c>
      <c r="F47" s="23">
        <v>1.0</v>
      </c>
      <c r="G47" s="23">
        <v>1.0</v>
      </c>
      <c r="H47" s="23">
        <v>1.0</v>
      </c>
      <c r="I47" s="23">
        <v>0.0</v>
      </c>
      <c r="J47" s="23">
        <v>0.0</v>
      </c>
      <c r="K47" s="23">
        <v>0.0</v>
      </c>
      <c r="L47" s="23">
        <v>0.0</v>
      </c>
      <c r="M47" s="23">
        <v>1.0</v>
      </c>
      <c r="N47" s="23">
        <v>1.0</v>
      </c>
      <c r="O47" s="23">
        <v>0.0</v>
      </c>
      <c r="P47" s="23">
        <v>0.0</v>
      </c>
      <c r="Q47" s="23">
        <v>1.0</v>
      </c>
      <c r="R47" s="23">
        <v>1.0</v>
      </c>
      <c r="S47" s="23">
        <v>0.0</v>
      </c>
      <c r="T47" s="23">
        <v>0.0</v>
      </c>
      <c r="U47" s="23">
        <v>1.0</v>
      </c>
      <c r="V47" s="23">
        <v>0.0</v>
      </c>
      <c r="W47" s="23">
        <v>1.0</v>
      </c>
      <c r="X47" s="23">
        <v>0.0</v>
      </c>
      <c r="Y47" s="23">
        <v>1.0</v>
      </c>
      <c r="Z47" s="23">
        <v>0.0</v>
      </c>
      <c r="AA47" s="23">
        <v>1.0</v>
      </c>
      <c r="AB47" s="23">
        <v>0.0</v>
      </c>
      <c r="AC47" s="23">
        <v>1.0</v>
      </c>
      <c r="AD47" s="23">
        <v>0.0</v>
      </c>
      <c r="AE47" s="23">
        <v>1.0</v>
      </c>
      <c r="AF47" s="23">
        <v>1.0</v>
      </c>
    </row>
    <row r="48" ht="15.75" customHeight="1">
      <c r="C48" s="21" t="s">
        <v>35</v>
      </c>
      <c r="D48" s="22"/>
      <c r="E48" s="23">
        <v>1.0</v>
      </c>
      <c r="F48" s="23">
        <v>1.0</v>
      </c>
      <c r="G48" s="23">
        <v>1.0</v>
      </c>
      <c r="H48" s="23">
        <v>0.0</v>
      </c>
      <c r="I48" s="23">
        <v>0.0</v>
      </c>
      <c r="J48" s="23">
        <v>0.0</v>
      </c>
      <c r="K48" s="23">
        <v>0.0</v>
      </c>
      <c r="L48" s="23">
        <v>1.0</v>
      </c>
      <c r="M48" s="23">
        <v>1.0</v>
      </c>
      <c r="N48" s="23">
        <v>0.0</v>
      </c>
      <c r="O48" s="23">
        <v>0.0</v>
      </c>
      <c r="P48" s="23">
        <v>1.0</v>
      </c>
      <c r="Q48" s="23">
        <v>1.0</v>
      </c>
      <c r="R48" s="23">
        <v>0.0</v>
      </c>
      <c r="S48" s="23">
        <v>0.0</v>
      </c>
      <c r="T48" s="23">
        <v>1.0</v>
      </c>
      <c r="U48" s="23">
        <v>0.0</v>
      </c>
      <c r="V48" s="23">
        <v>1.0</v>
      </c>
      <c r="W48" s="23">
        <v>0.0</v>
      </c>
      <c r="X48" s="23">
        <v>1.0</v>
      </c>
      <c r="Y48" s="23">
        <v>0.0</v>
      </c>
      <c r="Z48" s="23">
        <v>1.0</v>
      </c>
      <c r="AA48" s="23">
        <v>0.0</v>
      </c>
      <c r="AB48" s="23">
        <v>1.0</v>
      </c>
      <c r="AC48" s="23">
        <v>0.0</v>
      </c>
      <c r="AD48" s="23">
        <v>1.0</v>
      </c>
      <c r="AE48" s="23">
        <v>1.0</v>
      </c>
      <c r="AF48" s="23">
        <v>1.0</v>
      </c>
    </row>
    <row r="49" ht="15.75" customHeight="1">
      <c r="C49" s="21" t="s">
        <v>36</v>
      </c>
      <c r="D49" s="22"/>
      <c r="E49" s="23">
        <v>1.0</v>
      </c>
      <c r="F49" s="23">
        <v>1.0</v>
      </c>
      <c r="G49" s="23">
        <v>0.0</v>
      </c>
      <c r="H49" s="23">
        <v>0.0</v>
      </c>
      <c r="I49" s="23">
        <v>0.0</v>
      </c>
      <c r="J49" s="23">
        <v>0.0</v>
      </c>
      <c r="K49" s="23">
        <v>1.0</v>
      </c>
      <c r="L49" s="23">
        <v>1.0</v>
      </c>
      <c r="M49" s="23">
        <v>0.0</v>
      </c>
      <c r="N49" s="23">
        <v>0.0</v>
      </c>
      <c r="O49" s="23">
        <v>1.0</v>
      </c>
      <c r="P49" s="23">
        <v>1.0</v>
      </c>
      <c r="Q49" s="23">
        <v>0.0</v>
      </c>
      <c r="R49" s="23">
        <v>0.0</v>
      </c>
      <c r="S49" s="23">
        <v>1.0</v>
      </c>
      <c r="T49" s="23">
        <v>0.0</v>
      </c>
      <c r="U49" s="23">
        <v>1.0</v>
      </c>
      <c r="V49" s="23">
        <v>0.0</v>
      </c>
      <c r="W49" s="23">
        <v>1.0</v>
      </c>
      <c r="X49" s="23">
        <v>0.0</v>
      </c>
      <c r="Y49" s="23">
        <v>1.0</v>
      </c>
      <c r="Z49" s="23">
        <v>0.0</v>
      </c>
      <c r="AA49" s="23">
        <v>1.0</v>
      </c>
      <c r="AB49" s="23">
        <v>0.0</v>
      </c>
      <c r="AC49" s="23">
        <v>1.0</v>
      </c>
      <c r="AD49" s="23">
        <v>1.0</v>
      </c>
      <c r="AE49" s="23">
        <v>1.0</v>
      </c>
      <c r="AF49" s="23">
        <v>1.0</v>
      </c>
    </row>
    <row r="50" ht="15.75" customHeight="1">
      <c r="C50" s="21" t="s">
        <v>37</v>
      </c>
      <c r="D50" s="22"/>
      <c r="E50" s="23">
        <v>0.0</v>
      </c>
      <c r="F50" s="23">
        <v>0.0</v>
      </c>
      <c r="G50" s="23">
        <v>0.0</v>
      </c>
      <c r="H50" s="23">
        <v>0.0</v>
      </c>
      <c r="I50" s="23">
        <v>1.0</v>
      </c>
      <c r="J50" s="23">
        <v>1.0</v>
      </c>
      <c r="K50" s="23">
        <v>0.0</v>
      </c>
      <c r="L50" s="23">
        <v>0.0</v>
      </c>
      <c r="M50" s="23">
        <v>1.0</v>
      </c>
      <c r="N50" s="23">
        <v>1.0</v>
      </c>
      <c r="O50" s="23">
        <v>0.0</v>
      </c>
      <c r="P50" s="23">
        <v>0.0</v>
      </c>
      <c r="Q50" s="23">
        <v>1.0</v>
      </c>
      <c r="R50" s="23">
        <v>0.0</v>
      </c>
      <c r="S50" s="23">
        <v>1.0</v>
      </c>
      <c r="T50" s="23">
        <v>0.0</v>
      </c>
      <c r="U50" s="23">
        <v>1.0</v>
      </c>
      <c r="V50" s="23">
        <v>0.0</v>
      </c>
      <c r="W50" s="23">
        <v>1.0</v>
      </c>
      <c r="X50" s="23">
        <v>0.0</v>
      </c>
      <c r="Y50" s="23">
        <v>1.0</v>
      </c>
      <c r="Z50" s="23">
        <v>0.0</v>
      </c>
      <c r="AA50" s="23">
        <v>1.0</v>
      </c>
      <c r="AB50" s="23">
        <v>1.0</v>
      </c>
      <c r="AC50" s="23">
        <v>1.0</v>
      </c>
      <c r="AD50" s="23">
        <v>1.0</v>
      </c>
      <c r="AE50" s="23">
        <v>1.0</v>
      </c>
      <c r="AF50" s="23">
        <v>1.0</v>
      </c>
    </row>
    <row r="51" ht="15.75" customHeight="1">
      <c r="C51" s="21" t="s">
        <v>38</v>
      </c>
      <c r="D51" s="22"/>
      <c r="E51" s="23">
        <v>0.0</v>
      </c>
      <c r="F51" s="23">
        <v>0.0</v>
      </c>
      <c r="G51" s="23">
        <v>1.0</v>
      </c>
      <c r="H51" s="23">
        <v>1.0</v>
      </c>
      <c r="I51" s="23">
        <v>0.0</v>
      </c>
      <c r="J51" s="23">
        <v>0.0</v>
      </c>
      <c r="K51" s="23">
        <v>1.0</v>
      </c>
      <c r="L51" s="23">
        <v>1.0</v>
      </c>
      <c r="M51" s="23">
        <v>0.0</v>
      </c>
      <c r="N51" s="23">
        <v>0.0</v>
      </c>
      <c r="O51" s="23">
        <v>1.0</v>
      </c>
      <c r="P51" s="23">
        <v>0.0</v>
      </c>
      <c r="Q51" s="23">
        <v>1.0</v>
      </c>
      <c r="R51" s="23">
        <v>0.0</v>
      </c>
      <c r="S51" s="23">
        <v>1.0</v>
      </c>
      <c r="T51" s="23">
        <v>0.0</v>
      </c>
      <c r="U51" s="23">
        <v>1.0</v>
      </c>
      <c r="V51" s="23">
        <v>0.0</v>
      </c>
      <c r="W51" s="23">
        <v>1.0</v>
      </c>
      <c r="X51" s="23">
        <v>0.0</v>
      </c>
      <c r="Y51" s="23">
        <v>1.0</v>
      </c>
      <c r="Z51" s="23">
        <v>1.0</v>
      </c>
      <c r="AA51" s="23">
        <v>1.0</v>
      </c>
      <c r="AB51" s="23">
        <v>1.0</v>
      </c>
      <c r="AC51" s="23">
        <v>1.0</v>
      </c>
      <c r="AD51" s="23">
        <v>1.0</v>
      </c>
      <c r="AE51" s="23">
        <v>0.0</v>
      </c>
      <c r="AF51" s="23">
        <v>0.0</v>
      </c>
    </row>
    <row r="52" ht="15.75" customHeight="1">
      <c r="C52" s="21" t="s">
        <v>39</v>
      </c>
      <c r="D52" s="22"/>
      <c r="E52" s="23">
        <v>1.0</v>
      </c>
      <c r="F52" s="23">
        <v>1.0</v>
      </c>
      <c r="G52" s="23">
        <v>0.0</v>
      </c>
      <c r="H52" s="23">
        <v>0.0</v>
      </c>
      <c r="I52" s="23">
        <v>1.0</v>
      </c>
      <c r="J52" s="23">
        <v>1.0</v>
      </c>
      <c r="K52" s="23">
        <v>0.0</v>
      </c>
      <c r="L52" s="23">
        <v>0.0</v>
      </c>
      <c r="M52" s="23">
        <v>1.0</v>
      </c>
      <c r="N52" s="23">
        <v>0.0</v>
      </c>
      <c r="O52" s="23">
        <v>1.0</v>
      </c>
      <c r="P52" s="23">
        <v>0.0</v>
      </c>
      <c r="Q52" s="23">
        <v>1.0</v>
      </c>
      <c r="R52" s="23">
        <v>0.0</v>
      </c>
      <c r="S52" s="23">
        <v>1.0</v>
      </c>
      <c r="T52" s="23">
        <v>0.0</v>
      </c>
      <c r="U52" s="23">
        <v>1.0</v>
      </c>
      <c r="V52" s="23">
        <v>0.0</v>
      </c>
      <c r="W52" s="23">
        <v>1.0</v>
      </c>
      <c r="X52" s="23">
        <v>1.0</v>
      </c>
      <c r="Y52" s="23">
        <v>1.0</v>
      </c>
      <c r="Z52" s="23">
        <v>1.0</v>
      </c>
      <c r="AA52" s="23">
        <v>1.0</v>
      </c>
      <c r="AB52" s="23">
        <v>1.0</v>
      </c>
      <c r="AC52" s="23">
        <v>0.0</v>
      </c>
      <c r="AD52" s="23">
        <v>0.0</v>
      </c>
      <c r="AE52" s="23">
        <v>0.0</v>
      </c>
      <c r="AF52" s="23">
        <v>0.0</v>
      </c>
    </row>
    <row r="53" ht="15.75" customHeight="1">
      <c r="C53" s="21" t="s">
        <v>40</v>
      </c>
      <c r="D53" s="22"/>
      <c r="E53" s="23">
        <v>0.0</v>
      </c>
      <c r="F53" s="23">
        <v>0.0</v>
      </c>
      <c r="G53" s="23">
        <v>1.0</v>
      </c>
      <c r="H53" s="23">
        <v>1.0</v>
      </c>
      <c r="I53" s="23">
        <v>0.0</v>
      </c>
      <c r="J53" s="23">
        <v>0.0</v>
      </c>
      <c r="K53" s="23">
        <v>1.0</v>
      </c>
      <c r="L53" s="23">
        <v>0.0</v>
      </c>
      <c r="M53" s="23">
        <v>1.0</v>
      </c>
      <c r="N53" s="23">
        <v>0.0</v>
      </c>
      <c r="O53" s="23">
        <v>1.0</v>
      </c>
      <c r="P53" s="23">
        <v>0.0</v>
      </c>
      <c r="Q53" s="23">
        <v>1.0</v>
      </c>
      <c r="R53" s="23">
        <v>0.0</v>
      </c>
      <c r="S53" s="23">
        <v>1.0</v>
      </c>
      <c r="T53" s="23">
        <v>0.0</v>
      </c>
      <c r="U53" s="23">
        <v>1.0</v>
      </c>
      <c r="V53" s="23">
        <v>1.0</v>
      </c>
      <c r="W53" s="23">
        <v>1.0</v>
      </c>
      <c r="X53" s="23">
        <v>1.0</v>
      </c>
      <c r="Y53" s="23">
        <v>1.0</v>
      </c>
      <c r="Z53" s="23">
        <v>1.0</v>
      </c>
      <c r="AA53" s="23">
        <v>0.0</v>
      </c>
      <c r="AB53" s="23">
        <v>0.0</v>
      </c>
      <c r="AC53" s="23">
        <v>0.0</v>
      </c>
      <c r="AD53" s="23">
        <v>0.0</v>
      </c>
      <c r="AE53" s="23">
        <v>1.0</v>
      </c>
      <c r="AF53" s="23">
        <v>1.0</v>
      </c>
    </row>
    <row r="54" ht="15.75" customHeight="1">
      <c r="C54" s="21" t="s">
        <v>41</v>
      </c>
      <c r="D54" s="22"/>
      <c r="E54" s="23">
        <v>1.0</v>
      </c>
      <c r="F54" s="23">
        <v>1.0</v>
      </c>
      <c r="G54" s="23">
        <v>0.0</v>
      </c>
      <c r="H54" s="23">
        <v>0.0</v>
      </c>
      <c r="I54" s="23">
        <v>1.0</v>
      </c>
      <c r="J54" s="23">
        <v>0.0</v>
      </c>
      <c r="K54" s="23">
        <v>1.0</v>
      </c>
      <c r="L54" s="23">
        <v>0.0</v>
      </c>
      <c r="M54" s="23">
        <v>1.0</v>
      </c>
      <c r="N54" s="23">
        <v>0.0</v>
      </c>
      <c r="O54" s="23">
        <v>1.0</v>
      </c>
      <c r="P54" s="23">
        <v>0.0</v>
      </c>
      <c r="Q54" s="23">
        <v>1.0</v>
      </c>
      <c r="R54" s="23">
        <v>0.0</v>
      </c>
      <c r="S54" s="23">
        <v>1.0</v>
      </c>
      <c r="T54" s="23">
        <v>1.0</v>
      </c>
      <c r="U54" s="23">
        <v>1.0</v>
      </c>
      <c r="V54" s="23">
        <v>1.0</v>
      </c>
      <c r="W54" s="23">
        <v>1.0</v>
      </c>
      <c r="X54" s="23">
        <v>1.0</v>
      </c>
      <c r="Y54" s="23">
        <v>0.0</v>
      </c>
      <c r="Z54" s="23">
        <v>0.0</v>
      </c>
      <c r="AA54" s="23">
        <v>0.0</v>
      </c>
      <c r="AB54" s="23">
        <v>0.0</v>
      </c>
      <c r="AC54" s="23">
        <v>1.0</v>
      </c>
      <c r="AD54" s="23">
        <v>1.0</v>
      </c>
      <c r="AE54" s="23">
        <v>0.0</v>
      </c>
      <c r="AF54" s="23">
        <v>0.0</v>
      </c>
    </row>
    <row r="55" ht="15.75" customHeight="1">
      <c r="C55" s="21" t="s">
        <v>42</v>
      </c>
      <c r="D55" s="22"/>
      <c r="E55" s="23">
        <v>0.0</v>
      </c>
      <c r="F55" s="23">
        <v>0.0</v>
      </c>
      <c r="G55" s="23">
        <v>1.0</v>
      </c>
      <c r="H55" s="23">
        <v>0.0</v>
      </c>
      <c r="I55" s="23">
        <v>1.0</v>
      </c>
      <c r="J55" s="23">
        <v>0.0</v>
      </c>
      <c r="K55" s="23">
        <v>1.0</v>
      </c>
      <c r="L55" s="23">
        <v>0.0</v>
      </c>
      <c r="M55" s="23">
        <v>1.0</v>
      </c>
      <c r="N55" s="23">
        <v>0.0</v>
      </c>
      <c r="O55" s="23">
        <v>1.0</v>
      </c>
      <c r="P55" s="23">
        <v>0.0</v>
      </c>
      <c r="Q55" s="23">
        <v>1.0</v>
      </c>
      <c r="R55" s="23">
        <v>1.0</v>
      </c>
      <c r="S55" s="23">
        <v>1.0</v>
      </c>
      <c r="T55" s="23">
        <v>1.0</v>
      </c>
      <c r="U55" s="23">
        <v>1.0</v>
      </c>
      <c r="V55" s="23">
        <v>1.0</v>
      </c>
      <c r="W55" s="23">
        <v>0.0</v>
      </c>
      <c r="X55" s="23">
        <v>0.0</v>
      </c>
      <c r="Y55" s="23">
        <v>0.0</v>
      </c>
      <c r="Z55" s="23">
        <v>0.0</v>
      </c>
      <c r="AA55" s="23">
        <v>1.0</v>
      </c>
      <c r="AB55" s="23">
        <v>1.0</v>
      </c>
      <c r="AC55" s="23">
        <v>0.0</v>
      </c>
      <c r="AD55" s="23">
        <v>0.0</v>
      </c>
      <c r="AE55" s="23">
        <v>1.0</v>
      </c>
      <c r="AF55" s="23">
        <v>1.0</v>
      </c>
    </row>
    <row r="56" ht="15.75" customHeight="1">
      <c r="C56" s="21" t="s">
        <v>43</v>
      </c>
      <c r="D56" s="22"/>
      <c r="E56" s="23">
        <v>0.0</v>
      </c>
      <c r="F56" s="23">
        <v>1.0</v>
      </c>
      <c r="G56" s="23">
        <v>0.0</v>
      </c>
      <c r="H56" s="23">
        <v>1.0</v>
      </c>
      <c r="I56" s="23">
        <v>0.0</v>
      </c>
      <c r="J56" s="23">
        <v>1.0</v>
      </c>
      <c r="K56" s="23">
        <v>0.0</v>
      </c>
      <c r="L56" s="23">
        <v>1.0</v>
      </c>
      <c r="M56" s="23">
        <v>0.0</v>
      </c>
      <c r="N56" s="23">
        <v>1.0</v>
      </c>
      <c r="O56" s="23">
        <v>0.0</v>
      </c>
      <c r="P56" s="23">
        <v>1.0</v>
      </c>
      <c r="Q56" s="23">
        <v>1.0</v>
      </c>
      <c r="R56" s="23">
        <v>1.0</v>
      </c>
      <c r="S56" s="23">
        <v>1.0</v>
      </c>
      <c r="T56" s="23">
        <v>1.0</v>
      </c>
      <c r="U56" s="23">
        <v>1.0</v>
      </c>
      <c r="V56" s="23">
        <v>0.0</v>
      </c>
      <c r="W56" s="23">
        <v>0.0</v>
      </c>
      <c r="X56" s="23">
        <v>0.0</v>
      </c>
      <c r="Y56" s="23">
        <v>0.0</v>
      </c>
      <c r="Z56" s="23">
        <v>1.0</v>
      </c>
      <c r="AA56" s="23">
        <v>1.0</v>
      </c>
      <c r="AB56" s="23">
        <v>0.0</v>
      </c>
      <c r="AC56" s="23">
        <v>0.0</v>
      </c>
      <c r="AD56" s="23">
        <v>1.0</v>
      </c>
      <c r="AE56" s="23">
        <v>1.0</v>
      </c>
      <c r="AF56" s="23">
        <v>0.0</v>
      </c>
    </row>
    <row r="57" ht="15.75" customHeight="1">
      <c r="C57" s="21" t="s">
        <v>44</v>
      </c>
      <c r="D57" s="22"/>
      <c r="E57" s="23">
        <v>0.0</v>
      </c>
      <c r="F57" s="23">
        <v>1.0</v>
      </c>
      <c r="G57" s="23">
        <v>0.0</v>
      </c>
      <c r="H57" s="23">
        <v>1.0</v>
      </c>
      <c r="I57" s="23">
        <v>0.0</v>
      </c>
      <c r="J57" s="23">
        <v>1.0</v>
      </c>
      <c r="K57" s="23">
        <v>0.0</v>
      </c>
      <c r="L57" s="23">
        <v>1.0</v>
      </c>
      <c r="M57" s="23">
        <v>0.0</v>
      </c>
      <c r="N57" s="23">
        <v>1.0</v>
      </c>
      <c r="O57" s="23">
        <v>1.0</v>
      </c>
      <c r="P57" s="23">
        <v>1.0</v>
      </c>
      <c r="Q57" s="23">
        <v>1.0</v>
      </c>
      <c r="R57" s="23">
        <v>1.0</v>
      </c>
      <c r="S57" s="23">
        <v>1.0</v>
      </c>
      <c r="T57" s="23">
        <v>0.0</v>
      </c>
      <c r="U57" s="23">
        <v>0.0</v>
      </c>
      <c r="V57" s="23">
        <v>0.0</v>
      </c>
      <c r="W57" s="23">
        <v>0.0</v>
      </c>
      <c r="X57" s="23">
        <v>1.0</v>
      </c>
      <c r="Y57" s="23">
        <v>1.0</v>
      </c>
      <c r="Z57" s="23">
        <v>0.0</v>
      </c>
      <c r="AA57" s="23">
        <v>0.0</v>
      </c>
      <c r="AB57" s="23">
        <v>1.0</v>
      </c>
      <c r="AC57" s="23">
        <v>1.0</v>
      </c>
      <c r="AD57" s="23">
        <v>0.0</v>
      </c>
      <c r="AE57" s="23">
        <v>0.0</v>
      </c>
      <c r="AF57" s="23">
        <v>1.0</v>
      </c>
    </row>
    <row r="58" ht="15.75" customHeight="1">
      <c r="C58" s="21" t="s">
        <v>45</v>
      </c>
      <c r="D58" s="22"/>
      <c r="E58" s="23">
        <v>0.0</v>
      </c>
      <c r="F58" s="23">
        <v>1.0</v>
      </c>
      <c r="G58" s="23">
        <v>0.0</v>
      </c>
      <c r="H58" s="23">
        <v>1.0</v>
      </c>
      <c r="I58" s="23">
        <v>0.0</v>
      </c>
      <c r="J58" s="23">
        <v>1.0</v>
      </c>
      <c r="K58" s="23">
        <v>0.0</v>
      </c>
      <c r="L58" s="23">
        <v>1.0</v>
      </c>
      <c r="M58" s="23">
        <v>1.0</v>
      </c>
      <c r="N58" s="23">
        <v>1.0</v>
      </c>
      <c r="O58" s="23">
        <v>1.0</v>
      </c>
      <c r="P58" s="23">
        <v>1.0</v>
      </c>
      <c r="Q58" s="23">
        <v>1.0</v>
      </c>
      <c r="R58" s="23">
        <v>0.0</v>
      </c>
      <c r="S58" s="23">
        <v>0.0</v>
      </c>
      <c r="T58" s="23">
        <v>0.0</v>
      </c>
      <c r="U58" s="23">
        <v>0.0</v>
      </c>
      <c r="V58" s="23">
        <v>1.0</v>
      </c>
      <c r="W58" s="23">
        <v>1.0</v>
      </c>
      <c r="X58" s="23">
        <v>0.0</v>
      </c>
      <c r="Y58" s="23">
        <v>0.0</v>
      </c>
      <c r="Z58" s="23">
        <v>1.0</v>
      </c>
      <c r="AA58" s="23">
        <v>1.0</v>
      </c>
      <c r="AB58" s="23">
        <v>0.0</v>
      </c>
      <c r="AC58" s="23">
        <v>0.0</v>
      </c>
      <c r="AD58" s="23">
        <v>1.0</v>
      </c>
      <c r="AE58" s="23">
        <v>0.0</v>
      </c>
      <c r="AF58" s="23">
        <v>1.0</v>
      </c>
    </row>
    <row r="59" ht="15.75" customHeight="1">
      <c r="C59" s="21" t="s">
        <v>46</v>
      </c>
      <c r="D59" s="22"/>
      <c r="E59" s="23">
        <v>0.0</v>
      </c>
      <c r="F59" s="23">
        <v>1.0</v>
      </c>
      <c r="G59" s="23">
        <v>0.0</v>
      </c>
      <c r="H59" s="23">
        <v>1.0</v>
      </c>
      <c r="I59" s="23">
        <v>0.0</v>
      </c>
      <c r="J59" s="23">
        <v>1.0</v>
      </c>
      <c r="K59" s="23">
        <v>1.0</v>
      </c>
      <c r="L59" s="23">
        <v>1.0</v>
      </c>
      <c r="M59" s="23">
        <v>1.0</v>
      </c>
      <c r="N59" s="23">
        <v>1.0</v>
      </c>
      <c r="O59" s="23">
        <v>1.0</v>
      </c>
      <c r="P59" s="23">
        <v>0.0</v>
      </c>
      <c r="Q59" s="23">
        <v>0.0</v>
      </c>
      <c r="R59" s="23">
        <v>0.0</v>
      </c>
      <c r="S59" s="23">
        <v>0.0</v>
      </c>
      <c r="T59" s="23">
        <v>1.0</v>
      </c>
      <c r="U59" s="23">
        <v>1.0</v>
      </c>
      <c r="V59" s="23">
        <v>0.0</v>
      </c>
      <c r="W59" s="23">
        <v>0.0</v>
      </c>
      <c r="X59" s="23">
        <v>1.0</v>
      </c>
      <c r="Y59" s="23">
        <v>1.0</v>
      </c>
      <c r="Z59" s="23">
        <v>0.0</v>
      </c>
      <c r="AA59" s="23">
        <v>0.0</v>
      </c>
      <c r="AB59" s="23">
        <v>1.0</v>
      </c>
      <c r="AC59" s="23">
        <v>0.0</v>
      </c>
      <c r="AD59" s="23">
        <v>1.0</v>
      </c>
      <c r="AE59" s="23">
        <v>0.0</v>
      </c>
      <c r="AF59" s="23">
        <v>1.0</v>
      </c>
    </row>
    <row r="60" ht="15.75" customHeight="1">
      <c r="C60" s="21" t="s">
        <v>47</v>
      </c>
      <c r="D60" s="22"/>
      <c r="E60" s="23">
        <v>0.0</v>
      </c>
      <c r="F60" s="23">
        <v>1.0</v>
      </c>
      <c r="G60" s="23">
        <v>0.0</v>
      </c>
      <c r="H60" s="23">
        <v>1.0</v>
      </c>
      <c r="I60" s="23">
        <v>1.0</v>
      </c>
      <c r="J60" s="23">
        <v>1.0</v>
      </c>
      <c r="K60" s="23">
        <v>1.0</v>
      </c>
      <c r="L60" s="23">
        <v>1.0</v>
      </c>
      <c r="M60" s="23">
        <v>1.0</v>
      </c>
      <c r="N60" s="23">
        <v>0.0</v>
      </c>
      <c r="O60" s="23">
        <v>0.0</v>
      </c>
      <c r="P60" s="23">
        <v>0.0</v>
      </c>
      <c r="Q60" s="23">
        <v>0.0</v>
      </c>
      <c r="R60" s="23">
        <v>1.0</v>
      </c>
      <c r="S60" s="23">
        <v>1.0</v>
      </c>
      <c r="T60" s="23">
        <v>0.0</v>
      </c>
      <c r="U60" s="23">
        <v>0.0</v>
      </c>
      <c r="V60" s="23">
        <v>1.0</v>
      </c>
      <c r="W60" s="23">
        <v>1.0</v>
      </c>
      <c r="X60" s="23">
        <v>0.0</v>
      </c>
      <c r="Y60" s="23">
        <v>0.0</v>
      </c>
      <c r="Z60" s="23">
        <v>1.0</v>
      </c>
      <c r="AA60" s="23">
        <v>0.0</v>
      </c>
      <c r="AB60" s="23">
        <v>1.0</v>
      </c>
      <c r="AC60" s="23">
        <v>0.0</v>
      </c>
      <c r="AD60" s="23">
        <v>1.0</v>
      </c>
      <c r="AE60" s="23">
        <v>0.0</v>
      </c>
      <c r="AF60" s="23">
        <v>1.0</v>
      </c>
    </row>
    <row r="61" ht="15.75" customHeight="1">
      <c r="C61" s="21" t="s">
        <v>48</v>
      </c>
      <c r="D61" s="22"/>
      <c r="E61" s="23">
        <v>0.0</v>
      </c>
      <c r="F61" s="23">
        <v>1.0</v>
      </c>
      <c r="G61" s="23">
        <v>1.0</v>
      </c>
      <c r="H61" s="23">
        <v>1.0</v>
      </c>
      <c r="I61" s="23">
        <v>1.0</v>
      </c>
      <c r="J61" s="23">
        <v>1.0</v>
      </c>
      <c r="K61" s="23">
        <v>1.0</v>
      </c>
      <c r="L61" s="23">
        <v>0.0</v>
      </c>
      <c r="M61" s="23">
        <v>0.0</v>
      </c>
      <c r="N61" s="23">
        <v>0.0</v>
      </c>
      <c r="O61" s="23">
        <v>0.0</v>
      </c>
      <c r="P61" s="23">
        <v>1.0</v>
      </c>
      <c r="Q61" s="23">
        <v>1.0</v>
      </c>
      <c r="R61" s="23">
        <v>0.0</v>
      </c>
      <c r="S61" s="23">
        <v>0.0</v>
      </c>
      <c r="T61" s="23">
        <v>1.0</v>
      </c>
      <c r="U61" s="23">
        <v>1.0</v>
      </c>
      <c r="V61" s="23">
        <v>0.0</v>
      </c>
      <c r="W61" s="23">
        <v>0.0</v>
      </c>
      <c r="X61" s="23">
        <v>1.0</v>
      </c>
      <c r="Y61" s="23">
        <v>0.0</v>
      </c>
      <c r="Z61" s="23">
        <v>1.0</v>
      </c>
      <c r="AA61" s="23">
        <v>0.0</v>
      </c>
      <c r="AB61" s="23">
        <v>1.0</v>
      </c>
      <c r="AC61" s="23">
        <v>0.0</v>
      </c>
      <c r="AD61" s="23">
        <v>1.0</v>
      </c>
      <c r="AE61" s="23">
        <v>0.0</v>
      </c>
      <c r="AF61" s="23">
        <v>1.0</v>
      </c>
    </row>
    <row r="62" ht="15.75" customHeight="1">
      <c r="C62" s="21" t="s">
        <v>49</v>
      </c>
      <c r="D62" s="22"/>
      <c r="E62" s="23">
        <v>1.0</v>
      </c>
      <c r="F62" s="23">
        <v>1.0</v>
      </c>
      <c r="G62" s="23">
        <v>1.0</v>
      </c>
      <c r="H62" s="23">
        <v>1.0</v>
      </c>
      <c r="I62" s="23">
        <v>1.0</v>
      </c>
      <c r="J62" s="23">
        <v>0.0</v>
      </c>
      <c r="K62" s="23">
        <v>0.0</v>
      </c>
      <c r="L62" s="23">
        <v>0.0</v>
      </c>
      <c r="M62" s="23">
        <v>0.0</v>
      </c>
      <c r="N62" s="23">
        <v>1.0</v>
      </c>
      <c r="O62" s="23">
        <v>1.0</v>
      </c>
      <c r="P62" s="23">
        <v>0.0</v>
      </c>
      <c r="Q62" s="23">
        <v>0.0</v>
      </c>
      <c r="R62" s="23">
        <v>1.0</v>
      </c>
      <c r="S62" s="23">
        <v>1.0</v>
      </c>
      <c r="T62" s="23">
        <v>0.0</v>
      </c>
      <c r="U62" s="23">
        <v>0.0</v>
      </c>
      <c r="V62" s="23">
        <v>1.0</v>
      </c>
      <c r="W62" s="23">
        <v>0.0</v>
      </c>
      <c r="X62" s="23">
        <v>1.0</v>
      </c>
      <c r="Y62" s="23">
        <v>0.0</v>
      </c>
      <c r="Z62" s="23">
        <v>1.0</v>
      </c>
      <c r="AA62" s="23">
        <v>0.0</v>
      </c>
      <c r="AB62" s="23">
        <v>1.0</v>
      </c>
      <c r="AC62" s="23">
        <v>0.0</v>
      </c>
      <c r="AD62" s="23">
        <v>1.0</v>
      </c>
      <c r="AE62" s="23">
        <v>0.0</v>
      </c>
      <c r="AF62" s="23">
        <v>1.0</v>
      </c>
    </row>
    <row r="63" ht="15.75" customHeight="1">
      <c r="C63" s="21" t="s">
        <v>50</v>
      </c>
      <c r="D63" s="22"/>
      <c r="E63" s="23">
        <v>1.0</v>
      </c>
      <c r="F63" s="23">
        <v>1.0</v>
      </c>
      <c r="G63" s="23">
        <v>1.0</v>
      </c>
      <c r="H63" s="23">
        <v>1.0</v>
      </c>
      <c r="I63" s="23">
        <v>0.0</v>
      </c>
      <c r="J63" s="23">
        <v>0.0</v>
      </c>
      <c r="K63" s="23">
        <v>0.0</v>
      </c>
      <c r="L63" s="23">
        <v>0.0</v>
      </c>
      <c r="M63" s="23">
        <v>1.0</v>
      </c>
      <c r="N63" s="23">
        <v>1.0</v>
      </c>
      <c r="O63" s="23">
        <v>0.0</v>
      </c>
      <c r="P63" s="23">
        <v>0.0</v>
      </c>
      <c r="Q63" s="23">
        <v>1.0</v>
      </c>
      <c r="R63" s="23">
        <v>1.0</v>
      </c>
      <c r="S63" s="23">
        <v>0.0</v>
      </c>
      <c r="T63" s="23">
        <v>0.0</v>
      </c>
      <c r="U63" s="23">
        <v>1.0</v>
      </c>
      <c r="V63" s="23">
        <v>0.0</v>
      </c>
      <c r="W63" s="23">
        <v>1.0</v>
      </c>
      <c r="X63" s="23">
        <v>0.0</v>
      </c>
      <c r="Y63" s="23">
        <v>1.0</v>
      </c>
      <c r="Z63" s="23">
        <v>0.0</v>
      </c>
      <c r="AA63" s="23">
        <v>1.0</v>
      </c>
      <c r="AB63" s="23">
        <v>0.0</v>
      </c>
      <c r="AC63" s="23">
        <v>1.0</v>
      </c>
      <c r="AD63" s="23">
        <v>0.0</v>
      </c>
      <c r="AE63" s="23">
        <v>1.0</v>
      </c>
      <c r="AF63" s="23">
        <v>1.0</v>
      </c>
    </row>
    <row r="64" ht="15.75" customHeight="1"/>
    <row r="65" ht="15.75" customHeight="1">
      <c r="C65" s="20" t="s">
        <v>51</v>
      </c>
      <c r="D65" s="18"/>
      <c r="E65" s="18"/>
      <c r="F65" s="18"/>
      <c r="G65" s="18"/>
      <c r="H65" s="18"/>
      <c r="I65" s="19"/>
    </row>
    <row r="66" ht="15.75" customHeight="1">
      <c r="C66" s="21" t="s">
        <v>52</v>
      </c>
      <c r="D66" s="22" t="s">
        <v>34</v>
      </c>
      <c r="E66" s="8">
        <v>1.0</v>
      </c>
      <c r="F66" s="8">
        <v>2.0</v>
      </c>
      <c r="G66" s="8">
        <v>3.0</v>
      </c>
      <c r="H66" s="8">
        <v>4.0</v>
      </c>
      <c r="I66" s="8">
        <v>5.0</v>
      </c>
      <c r="J66" s="8">
        <v>6.0</v>
      </c>
      <c r="K66" s="8">
        <v>7.0</v>
      </c>
      <c r="L66" s="8">
        <v>8.0</v>
      </c>
      <c r="M66" s="8">
        <v>9.0</v>
      </c>
      <c r="N66" s="8">
        <v>10.0</v>
      </c>
      <c r="O66" s="8">
        <v>11.0</v>
      </c>
      <c r="P66" s="8">
        <v>12.0</v>
      </c>
      <c r="Q66" s="8">
        <v>13.0</v>
      </c>
      <c r="R66" s="8">
        <v>14.0</v>
      </c>
      <c r="S66" s="8">
        <v>15.0</v>
      </c>
      <c r="T66" s="8">
        <v>16.0</v>
      </c>
      <c r="U66" s="8">
        <v>17.0</v>
      </c>
      <c r="V66" s="8">
        <v>18.0</v>
      </c>
      <c r="W66" s="8">
        <v>19.0</v>
      </c>
      <c r="X66" s="8">
        <v>20.0</v>
      </c>
      <c r="Y66" s="8">
        <v>21.0</v>
      </c>
      <c r="Z66" s="8">
        <v>22.0</v>
      </c>
      <c r="AA66" s="8">
        <v>23.0</v>
      </c>
      <c r="AB66" s="8">
        <v>24.0</v>
      </c>
      <c r="AC66" s="8">
        <v>25.0</v>
      </c>
      <c r="AD66" s="8">
        <v>26.0</v>
      </c>
      <c r="AE66" s="8">
        <v>27.0</v>
      </c>
      <c r="AF66" s="8">
        <v>28.0</v>
      </c>
    </row>
    <row r="67" ht="15.75" customHeight="1">
      <c r="C67" s="21"/>
      <c r="D67" s="22"/>
      <c r="E67" s="23">
        <v>1.0</v>
      </c>
      <c r="F67" s="23">
        <v>0.0</v>
      </c>
      <c r="G67" s="23">
        <v>1.0</v>
      </c>
      <c r="H67" s="23">
        <v>0.0</v>
      </c>
      <c r="I67" s="23">
        <v>1.0</v>
      </c>
      <c r="J67" s="23">
        <v>0.0</v>
      </c>
      <c r="K67" s="23">
        <v>1.0</v>
      </c>
      <c r="L67" s="23">
        <v>0.0</v>
      </c>
      <c r="M67" s="23">
        <v>1.0</v>
      </c>
      <c r="N67" s="23">
        <v>1.0</v>
      </c>
      <c r="O67" s="23">
        <v>0.0</v>
      </c>
      <c r="P67" s="23">
        <v>0.0</v>
      </c>
      <c r="Q67" s="23">
        <v>1.0</v>
      </c>
      <c r="R67" s="23">
        <v>1.0</v>
      </c>
      <c r="S67" s="23">
        <v>0.0</v>
      </c>
      <c r="T67" s="23">
        <v>0.0</v>
      </c>
      <c r="U67" s="23">
        <v>1.0</v>
      </c>
      <c r="V67" s="23">
        <v>1.0</v>
      </c>
      <c r="W67" s="23">
        <v>1.0</v>
      </c>
      <c r="X67" s="23">
        <v>1.0</v>
      </c>
      <c r="Y67" s="23">
        <v>0.0</v>
      </c>
      <c r="Z67" s="23">
        <v>0.0</v>
      </c>
      <c r="AA67" s="23">
        <v>0.0</v>
      </c>
      <c r="AB67" s="23">
        <v>0.0</v>
      </c>
      <c r="AC67" s="23">
        <v>1.0</v>
      </c>
      <c r="AD67" s="23">
        <v>0.0</v>
      </c>
      <c r="AE67" s="23">
        <v>1.0</v>
      </c>
      <c r="AF67" s="23">
        <v>0.0</v>
      </c>
    </row>
    <row r="68" ht="15.75" customHeight="1">
      <c r="C68" s="21" t="s">
        <v>35</v>
      </c>
      <c r="D68" s="22"/>
      <c r="E68" s="23">
        <v>0.0</v>
      </c>
      <c r="F68" s="23">
        <v>1.0</v>
      </c>
      <c r="G68" s="23">
        <v>0.0</v>
      </c>
      <c r="H68" s="23">
        <v>1.0</v>
      </c>
      <c r="I68" s="23">
        <v>0.0</v>
      </c>
      <c r="J68" s="23">
        <v>1.0</v>
      </c>
      <c r="K68" s="23">
        <v>0.0</v>
      </c>
      <c r="L68" s="23">
        <v>1.0</v>
      </c>
      <c r="M68" s="23">
        <v>1.0</v>
      </c>
      <c r="N68" s="23">
        <v>0.0</v>
      </c>
      <c r="O68" s="23">
        <v>0.0</v>
      </c>
      <c r="P68" s="23">
        <v>1.0</v>
      </c>
      <c r="Q68" s="23">
        <v>1.0</v>
      </c>
      <c r="R68" s="23">
        <v>0.0</v>
      </c>
      <c r="S68" s="23">
        <v>0.0</v>
      </c>
      <c r="T68" s="23">
        <v>1.0</v>
      </c>
      <c r="U68" s="23">
        <v>1.0</v>
      </c>
      <c r="V68" s="23">
        <v>1.0</v>
      </c>
      <c r="W68" s="23">
        <v>1.0</v>
      </c>
      <c r="X68" s="23">
        <v>0.0</v>
      </c>
      <c r="Y68" s="23">
        <v>0.0</v>
      </c>
      <c r="Z68" s="23">
        <v>0.0</v>
      </c>
      <c r="AA68" s="23">
        <v>0.0</v>
      </c>
      <c r="AB68" s="23">
        <v>1.0</v>
      </c>
      <c r="AC68" s="23">
        <v>0.0</v>
      </c>
      <c r="AD68" s="23">
        <v>1.0</v>
      </c>
      <c r="AE68" s="23">
        <v>0.0</v>
      </c>
      <c r="AF68" s="23">
        <v>1.0</v>
      </c>
    </row>
    <row r="69" ht="15.75" customHeight="1">
      <c r="C69" s="21" t="s">
        <v>36</v>
      </c>
      <c r="D69" s="22"/>
      <c r="E69" s="23">
        <v>1.0</v>
      </c>
      <c r="F69" s="23">
        <v>0.0</v>
      </c>
      <c r="G69" s="23">
        <v>1.0</v>
      </c>
      <c r="H69" s="23">
        <v>0.0</v>
      </c>
      <c r="I69" s="23">
        <v>1.0</v>
      </c>
      <c r="J69" s="23">
        <v>0.0</v>
      </c>
      <c r="K69" s="23">
        <v>1.0</v>
      </c>
      <c r="L69" s="23">
        <v>1.0</v>
      </c>
      <c r="M69" s="23">
        <v>0.0</v>
      </c>
      <c r="N69" s="23">
        <v>0.0</v>
      </c>
      <c r="O69" s="23">
        <v>1.0</v>
      </c>
      <c r="P69" s="23">
        <v>1.0</v>
      </c>
      <c r="Q69" s="23">
        <v>0.0</v>
      </c>
      <c r="R69" s="23">
        <v>0.0</v>
      </c>
      <c r="S69" s="23">
        <v>1.0</v>
      </c>
      <c r="T69" s="23">
        <v>1.0</v>
      </c>
      <c r="U69" s="23">
        <v>1.0</v>
      </c>
      <c r="V69" s="23">
        <v>1.0</v>
      </c>
      <c r="W69" s="23">
        <v>0.0</v>
      </c>
      <c r="X69" s="23">
        <v>0.0</v>
      </c>
      <c r="Y69" s="23">
        <v>0.0</v>
      </c>
      <c r="Z69" s="23">
        <v>0.0</v>
      </c>
      <c r="AA69" s="23">
        <v>1.0</v>
      </c>
      <c r="AB69" s="23">
        <v>0.0</v>
      </c>
      <c r="AC69" s="23">
        <v>1.0</v>
      </c>
      <c r="AD69" s="23">
        <v>0.0</v>
      </c>
      <c r="AE69" s="23">
        <v>1.0</v>
      </c>
      <c r="AF69" s="23">
        <v>0.0</v>
      </c>
    </row>
    <row r="70" ht="15.75" customHeight="1">
      <c r="C70" s="21" t="s">
        <v>37</v>
      </c>
      <c r="D70" s="22"/>
      <c r="E70" s="23">
        <v>1.0</v>
      </c>
      <c r="F70" s="23">
        <v>0.0</v>
      </c>
      <c r="G70" s="23">
        <v>1.0</v>
      </c>
      <c r="H70" s="23">
        <v>0.0</v>
      </c>
      <c r="I70" s="23">
        <v>1.0</v>
      </c>
      <c r="J70" s="23">
        <v>1.0</v>
      </c>
      <c r="K70" s="23">
        <v>0.0</v>
      </c>
      <c r="L70" s="23">
        <v>0.0</v>
      </c>
      <c r="M70" s="23">
        <v>1.0</v>
      </c>
      <c r="N70" s="23">
        <v>1.0</v>
      </c>
      <c r="O70" s="23">
        <v>0.0</v>
      </c>
      <c r="P70" s="23">
        <v>0.0</v>
      </c>
      <c r="Q70" s="23">
        <v>1.0</v>
      </c>
      <c r="R70" s="23">
        <v>1.0</v>
      </c>
      <c r="S70" s="23">
        <v>1.0</v>
      </c>
      <c r="T70" s="23">
        <v>1.0</v>
      </c>
      <c r="U70" s="23">
        <v>0.0</v>
      </c>
      <c r="V70" s="23">
        <v>0.0</v>
      </c>
      <c r="W70" s="23">
        <v>0.0</v>
      </c>
      <c r="X70" s="23">
        <v>0.0</v>
      </c>
      <c r="Y70" s="23">
        <v>1.0</v>
      </c>
      <c r="Z70" s="23">
        <v>0.0</v>
      </c>
      <c r="AA70" s="23">
        <v>1.0</v>
      </c>
      <c r="AB70" s="23">
        <v>0.0</v>
      </c>
      <c r="AC70" s="23">
        <v>1.0</v>
      </c>
      <c r="AD70" s="23">
        <v>0.0</v>
      </c>
      <c r="AE70" s="23">
        <v>1.0</v>
      </c>
      <c r="AF70" s="23">
        <v>0.0</v>
      </c>
    </row>
    <row r="71" ht="15.75" customHeight="1">
      <c r="C71" s="21" t="s">
        <v>38</v>
      </c>
      <c r="D71" s="22"/>
      <c r="E71" s="23">
        <v>1.0</v>
      </c>
      <c r="F71" s="23">
        <v>0.0</v>
      </c>
      <c r="G71" s="23">
        <v>1.0</v>
      </c>
      <c r="H71" s="23">
        <v>1.0</v>
      </c>
      <c r="I71" s="23">
        <v>0.0</v>
      </c>
      <c r="J71" s="23">
        <v>0.0</v>
      </c>
      <c r="K71" s="23">
        <v>1.0</v>
      </c>
      <c r="L71" s="23">
        <v>1.0</v>
      </c>
      <c r="M71" s="23">
        <v>0.0</v>
      </c>
      <c r="N71" s="23">
        <v>0.0</v>
      </c>
      <c r="O71" s="23">
        <v>1.0</v>
      </c>
      <c r="P71" s="23">
        <v>1.0</v>
      </c>
      <c r="Q71" s="23">
        <v>1.0</v>
      </c>
      <c r="R71" s="23">
        <v>1.0</v>
      </c>
      <c r="S71" s="23">
        <v>0.0</v>
      </c>
      <c r="T71" s="23">
        <v>0.0</v>
      </c>
      <c r="U71" s="23">
        <v>0.0</v>
      </c>
      <c r="V71" s="23">
        <v>0.0</v>
      </c>
      <c r="W71" s="23">
        <v>1.0</v>
      </c>
      <c r="X71" s="23">
        <v>0.0</v>
      </c>
      <c r="Y71" s="23">
        <v>1.0</v>
      </c>
      <c r="Z71" s="23">
        <v>0.0</v>
      </c>
      <c r="AA71" s="23">
        <v>1.0</v>
      </c>
      <c r="AB71" s="23">
        <v>0.0</v>
      </c>
      <c r="AC71" s="23">
        <v>1.0</v>
      </c>
      <c r="AD71" s="23">
        <v>0.0</v>
      </c>
      <c r="AE71" s="23">
        <v>1.0</v>
      </c>
      <c r="AF71" s="23">
        <v>0.0</v>
      </c>
    </row>
    <row r="72" ht="15.75" customHeight="1">
      <c r="C72" s="21" t="s">
        <v>39</v>
      </c>
      <c r="D72" s="22"/>
      <c r="E72" s="23">
        <v>1.0</v>
      </c>
      <c r="F72" s="23">
        <v>1.0</v>
      </c>
      <c r="G72" s="23">
        <v>0.0</v>
      </c>
      <c r="H72" s="23">
        <v>0.0</v>
      </c>
      <c r="I72" s="23">
        <v>1.0</v>
      </c>
      <c r="J72" s="23">
        <v>1.0</v>
      </c>
      <c r="K72" s="23">
        <v>0.0</v>
      </c>
      <c r="L72" s="23">
        <v>0.0</v>
      </c>
      <c r="M72" s="23">
        <v>1.0</v>
      </c>
      <c r="N72" s="23">
        <v>1.0</v>
      </c>
      <c r="O72" s="23">
        <v>1.0</v>
      </c>
      <c r="P72" s="23">
        <v>1.0</v>
      </c>
      <c r="Q72" s="23">
        <v>0.0</v>
      </c>
      <c r="R72" s="23">
        <v>0.0</v>
      </c>
      <c r="S72" s="23">
        <v>0.0</v>
      </c>
      <c r="T72" s="23">
        <v>0.0</v>
      </c>
      <c r="U72" s="23">
        <v>1.0</v>
      </c>
      <c r="V72" s="23">
        <v>0.0</v>
      </c>
      <c r="W72" s="23">
        <v>1.0</v>
      </c>
      <c r="X72" s="23">
        <v>0.0</v>
      </c>
      <c r="Y72" s="23">
        <v>1.0</v>
      </c>
      <c r="Z72" s="23">
        <v>0.0</v>
      </c>
      <c r="AA72" s="23">
        <v>1.0</v>
      </c>
      <c r="AB72" s="23">
        <v>0.0</v>
      </c>
      <c r="AC72" s="23">
        <v>1.0</v>
      </c>
      <c r="AD72" s="23">
        <v>0.0</v>
      </c>
      <c r="AE72" s="23">
        <v>1.0</v>
      </c>
      <c r="AF72" s="23">
        <v>0.0</v>
      </c>
    </row>
    <row r="73" ht="15.75" customHeight="1">
      <c r="C73" s="21" t="s">
        <v>40</v>
      </c>
      <c r="D73" s="22"/>
      <c r="E73" s="23">
        <v>0.0</v>
      </c>
      <c r="F73" s="23">
        <v>0.0</v>
      </c>
      <c r="G73" s="23">
        <v>1.0</v>
      </c>
      <c r="H73" s="23">
        <v>1.0</v>
      </c>
      <c r="I73" s="23">
        <v>0.0</v>
      </c>
      <c r="J73" s="23">
        <v>0.0</v>
      </c>
      <c r="K73" s="23">
        <v>1.0</v>
      </c>
      <c r="L73" s="23">
        <v>1.0</v>
      </c>
      <c r="M73" s="23">
        <v>1.0</v>
      </c>
      <c r="N73" s="23">
        <v>1.0</v>
      </c>
      <c r="O73" s="23">
        <v>0.0</v>
      </c>
      <c r="P73" s="23">
        <v>0.0</v>
      </c>
      <c r="Q73" s="23">
        <v>0.0</v>
      </c>
      <c r="R73" s="23">
        <v>0.0</v>
      </c>
      <c r="S73" s="23">
        <v>1.0</v>
      </c>
      <c r="T73" s="23">
        <v>0.0</v>
      </c>
      <c r="U73" s="23">
        <v>1.0</v>
      </c>
      <c r="V73" s="23">
        <v>0.0</v>
      </c>
      <c r="W73" s="23">
        <v>1.0</v>
      </c>
      <c r="X73" s="23">
        <v>0.0</v>
      </c>
      <c r="Y73" s="23">
        <v>1.0</v>
      </c>
      <c r="Z73" s="23">
        <v>0.0</v>
      </c>
      <c r="AA73" s="23">
        <v>1.0</v>
      </c>
      <c r="AB73" s="23">
        <v>0.0</v>
      </c>
      <c r="AC73" s="23">
        <v>1.0</v>
      </c>
      <c r="AD73" s="23">
        <v>0.0</v>
      </c>
      <c r="AE73" s="23">
        <v>1.0</v>
      </c>
      <c r="AF73" s="23">
        <v>1.0</v>
      </c>
    </row>
    <row r="74" ht="15.75" customHeight="1">
      <c r="C74" s="21" t="s">
        <v>41</v>
      </c>
      <c r="D74" s="22"/>
      <c r="E74" s="23">
        <v>1.0</v>
      </c>
      <c r="F74" s="23">
        <v>1.0</v>
      </c>
      <c r="G74" s="23">
        <v>0.0</v>
      </c>
      <c r="H74" s="23">
        <v>0.0</v>
      </c>
      <c r="I74" s="23">
        <v>1.0</v>
      </c>
      <c r="J74" s="23">
        <v>1.0</v>
      </c>
      <c r="K74" s="23">
        <v>1.0</v>
      </c>
      <c r="L74" s="23">
        <v>1.0</v>
      </c>
      <c r="M74" s="23">
        <v>0.0</v>
      </c>
      <c r="N74" s="23">
        <v>0.0</v>
      </c>
      <c r="O74" s="23">
        <v>0.0</v>
      </c>
      <c r="P74" s="23">
        <v>0.0</v>
      </c>
      <c r="Q74" s="23">
        <v>1.0</v>
      </c>
      <c r="R74" s="23">
        <v>0.0</v>
      </c>
      <c r="S74" s="23">
        <v>1.0</v>
      </c>
      <c r="T74" s="23">
        <v>0.0</v>
      </c>
      <c r="U74" s="23">
        <v>1.0</v>
      </c>
      <c r="V74" s="23">
        <v>0.0</v>
      </c>
      <c r="W74" s="23">
        <v>1.0</v>
      </c>
      <c r="X74" s="23">
        <v>0.0</v>
      </c>
      <c r="Y74" s="23">
        <v>1.0</v>
      </c>
      <c r="Z74" s="23">
        <v>0.0</v>
      </c>
      <c r="AA74" s="23">
        <v>1.0</v>
      </c>
      <c r="AB74" s="23">
        <v>0.0</v>
      </c>
      <c r="AC74" s="23">
        <v>1.0</v>
      </c>
      <c r="AD74" s="23">
        <v>1.0</v>
      </c>
      <c r="AE74" s="23">
        <v>0.0</v>
      </c>
      <c r="AF74" s="23">
        <v>0.0</v>
      </c>
    </row>
    <row r="75" ht="15.75" customHeight="1">
      <c r="C75" s="21" t="s">
        <v>42</v>
      </c>
      <c r="D75" s="22"/>
      <c r="E75" s="23">
        <v>0.0</v>
      </c>
      <c r="F75" s="23">
        <v>0.0</v>
      </c>
      <c r="G75" s="23">
        <v>1.0</v>
      </c>
      <c r="H75" s="23">
        <v>1.0</v>
      </c>
      <c r="I75" s="23">
        <v>1.0</v>
      </c>
      <c r="J75" s="23">
        <v>1.0</v>
      </c>
      <c r="K75" s="23">
        <v>0.0</v>
      </c>
      <c r="L75" s="23">
        <v>0.0</v>
      </c>
      <c r="M75" s="23">
        <v>0.0</v>
      </c>
      <c r="N75" s="23">
        <v>0.0</v>
      </c>
      <c r="O75" s="23">
        <v>1.0</v>
      </c>
      <c r="P75" s="23">
        <v>0.0</v>
      </c>
      <c r="Q75" s="23">
        <v>1.0</v>
      </c>
      <c r="R75" s="23">
        <v>0.0</v>
      </c>
      <c r="S75" s="23">
        <v>1.0</v>
      </c>
      <c r="T75" s="23">
        <v>0.0</v>
      </c>
      <c r="U75" s="23">
        <v>1.0</v>
      </c>
      <c r="V75" s="23">
        <v>0.0</v>
      </c>
      <c r="W75" s="23">
        <v>1.0</v>
      </c>
      <c r="X75" s="23">
        <v>0.0</v>
      </c>
      <c r="Y75" s="23">
        <v>1.0</v>
      </c>
      <c r="Z75" s="23">
        <v>0.0</v>
      </c>
      <c r="AA75" s="23">
        <v>1.0</v>
      </c>
      <c r="AB75" s="23">
        <v>1.0</v>
      </c>
      <c r="AC75" s="23">
        <v>0.0</v>
      </c>
      <c r="AD75" s="23">
        <v>0.0</v>
      </c>
      <c r="AE75" s="23">
        <v>1.0</v>
      </c>
      <c r="AF75" s="23">
        <v>1.0</v>
      </c>
    </row>
    <row r="76" ht="15.75" customHeight="1">
      <c r="C76" s="21" t="s">
        <v>43</v>
      </c>
      <c r="D76" s="22"/>
      <c r="E76" s="23">
        <v>0.0</v>
      </c>
      <c r="F76" s="23">
        <v>1.0</v>
      </c>
      <c r="G76" s="23">
        <v>1.0</v>
      </c>
      <c r="H76" s="23">
        <v>1.0</v>
      </c>
      <c r="I76" s="23">
        <v>1.0</v>
      </c>
      <c r="J76" s="23">
        <v>0.0</v>
      </c>
      <c r="K76" s="23">
        <v>0.0</v>
      </c>
      <c r="L76" s="23">
        <v>0.0</v>
      </c>
      <c r="M76" s="23">
        <v>0.0</v>
      </c>
      <c r="N76" s="23">
        <v>1.0</v>
      </c>
      <c r="O76" s="23">
        <v>0.0</v>
      </c>
      <c r="P76" s="23">
        <v>1.0</v>
      </c>
      <c r="Q76" s="23">
        <v>0.0</v>
      </c>
      <c r="R76" s="23">
        <v>1.0</v>
      </c>
      <c r="S76" s="23">
        <v>0.0</v>
      </c>
      <c r="T76" s="23">
        <v>1.0</v>
      </c>
      <c r="U76" s="23">
        <v>0.0</v>
      </c>
      <c r="V76" s="23">
        <v>1.0</v>
      </c>
      <c r="W76" s="23">
        <v>0.0</v>
      </c>
      <c r="X76" s="23">
        <v>1.0</v>
      </c>
      <c r="Y76" s="23">
        <v>0.0</v>
      </c>
      <c r="Z76" s="23">
        <v>1.0</v>
      </c>
      <c r="AA76" s="23">
        <v>1.0</v>
      </c>
      <c r="AB76" s="23">
        <v>0.0</v>
      </c>
      <c r="AC76" s="23">
        <v>0.0</v>
      </c>
      <c r="AD76" s="23">
        <v>1.0</v>
      </c>
      <c r="AE76" s="23">
        <v>1.0</v>
      </c>
      <c r="AF76" s="23">
        <v>0.0</v>
      </c>
    </row>
    <row r="77" ht="15.75" customHeight="1">
      <c r="C77" s="21" t="s">
        <v>44</v>
      </c>
      <c r="D77" s="22"/>
      <c r="E77" s="23">
        <v>1.0</v>
      </c>
      <c r="F77" s="23">
        <v>1.0</v>
      </c>
      <c r="G77" s="23">
        <v>1.0</v>
      </c>
      <c r="H77" s="23">
        <v>0.0</v>
      </c>
      <c r="I77" s="23">
        <v>0.0</v>
      </c>
      <c r="J77" s="23">
        <v>0.0</v>
      </c>
      <c r="K77" s="23">
        <v>0.0</v>
      </c>
      <c r="L77" s="23">
        <v>1.0</v>
      </c>
      <c r="M77" s="23">
        <v>0.0</v>
      </c>
      <c r="N77" s="23">
        <v>1.0</v>
      </c>
      <c r="O77" s="23">
        <v>0.0</v>
      </c>
      <c r="P77" s="23">
        <v>1.0</v>
      </c>
      <c r="Q77" s="23">
        <v>0.0</v>
      </c>
      <c r="R77" s="23">
        <v>1.0</v>
      </c>
      <c r="S77" s="23">
        <v>0.0</v>
      </c>
      <c r="T77" s="23">
        <v>1.0</v>
      </c>
      <c r="U77" s="23">
        <v>0.0</v>
      </c>
      <c r="V77" s="23">
        <v>1.0</v>
      </c>
      <c r="W77" s="23">
        <v>0.0</v>
      </c>
      <c r="X77" s="23">
        <v>1.0</v>
      </c>
      <c r="Y77" s="23">
        <v>1.0</v>
      </c>
      <c r="Z77" s="23">
        <v>0.0</v>
      </c>
      <c r="AA77" s="23">
        <v>0.0</v>
      </c>
      <c r="AB77" s="23">
        <v>1.0</v>
      </c>
      <c r="AC77" s="23">
        <v>1.0</v>
      </c>
      <c r="AD77" s="23">
        <v>0.0</v>
      </c>
      <c r="AE77" s="23">
        <v>0.0</v>
      </c>
      <c r="AF77" s="23">
        <v>1.0</v>
      </c>
    </row>
    <row r="78" ht="15.75" customHeight="1">
      <c r="C78" s="21" t="s">
        <v>45</v>
      </c>
      <c r="D78" s="22"/>
      <c r="E78" s="23">
        <v>1.0</v>
      </c>
      <c r="F78" s="23">
        <v>0.0</v>
      </c>
      <c r="G78" s="23">
        <v>0.0</v>
      </c>
      <c r="H78" s="23">
        <v>0.0</v>
      </c>
      <c r="I78" s="23">
        <v>0.0</v>
      </c>
      <c r="J78" s="23">
        <v>1.0</v>
      </c>
      <c r="K78" s="23">
        <v>0.0</v>
      </c>
      <c r="L78" s="23">
        <v>1.0</v>
      </c>
      <c r="M78" s="23">
        <v>0.0</v>
      </c>
      <c r="N78" s="23">
        <v>1.0</v>
      </c>
      <c r="O78" s="23">
        <v>0.0</v>
      </c>
      <c r="P78" s="23">
        <v>1.0</v>
      </c>
      <c r="Q78" s="23">
        <v>0.0</v>
      </c>
      <c r="R78" s="23">
        <v>1.0</v>
      </c>
      <c r="S78" s="23">
        <v>0.0</v>
      </c>
      <c r="T78" s="23">
        <v>1.0</v>
      </c>
      <c r="U78" s="23">
        <v>0.0</v>
      </c>
      <c r="V78" s="23">
        <v>1.0</v>
      </c>
      <c r="W78" s="23">
        <v>1.0</v>
      </c>
      <c r="X78" s="23">
        <v>0.0</v>
      </c>
      <c r="Y78" s="23">
        <v>0.0</v>
      </c>
      <c r="Z78" s="23">
        <v>1.0</v>
      </c>
      <c r="AA78" s="23">
        <v>1.0</v>
      </c>
      <c r="AB78" s="23">
        <v>0.0</v>
      </c>
      <c r="AC78" s="23">
        <v>0.0</v>
      </c>
      <c r="AD78" s="23">
        <v>1.0</v>
      </c>
      <c r="AE78" s="23">
        <v>1.0</v>
      </c>
      <c r="AF78" s="23">
        <v>1.0</v>
      </c>
    </row>
    <row r="79" ht="15.75" customHeight="1">
      <c r="C79" s="21" t="s">
        <v>46</v>
      </c>
      <c r="D79" s="22"/>
      <c r="E79" s="23">
        <v>0.0</v>
      </c>
      <c r="F79" s="23">
        <v>0.0</v>
      </c>
      <c r="G79" s="23">
        <v>0.0</v>
      </c>
      <c r="H79" s="23">
        <v>1.0</v>
      </c>
      <c r="I79" s="23">
        <v>0.0</v>
      </c>
      <c r="J79" s="23">
        <v>1.0</v>
      </c>
      <c r="K79" s="23">
        <v>0.0</v>
      </c>
      <c r="L79" s="23">
        <v>1.0</v>
      </c>
      <c r="M79" s="23">
        <v>0.0</v>
      </c>
      <c r="N79" s="23">
        <v>1.0</v>
      </c>
      <c r="O79" s="23">
        <v>0.0</v>
      </c>
      <c r="P79" s="23">
        <v>1.0</v>
      </c>
      <c r="Q79" s="23">
        <v>0.0</v>
      </c>
      <c r="R79" s="23">
        <v>1.0</v>
      </c>
      <c r="S79" s="23">
        <v>0.0</v>
      </c>
      <c r="T79" s="23">
        <v>1.0</v>
      </c>
      <c r="U79" s="23">
        <v>1.0</v>
      </c>
      <c r="V79" s="23">
        <v>0.0</v>
      </c>
      <c r="W79" s="23">
        <v>0.0</v>
      </c>
      <c r="X79" s="23">
        <v>1.0</v>
      </c>
      <c r="Y79" s="23">
        <v>1.0</v>
      </c>
      <c r="Z79" s="23">
        <v>0.0</v>
      </c>
      <c r="AA79" s="23">
        <v>0.0</v>
      </c>
      <c r="AB79" s="23">
        <v>1.0</v>
      </c>
      <c r="AC79" s="23">
        <v>1.0</v>
      </c>
      <c r="AD79" s="23">
        <v>1.0</v>
      </c>
      <c r="AE79" s="23">
        <v>1.0</v>
      </c>
      <c r="AF79" s="23">
        <v>0.0</v>
      </c>
    </row>
    <row r="80" ht="15.75" customHeight="1">
      <c r="C80" s="21" t="s">
        <v>47</v>
      </c>
      <c r="D80" s="22"/>
      <c r="E80" s="23">
        <v>0.0</v>
      </c>
      <c r="F80" s="23">
        <v>1.0</v>
      </c>
      <c r="G80" s="23">
        <v>0.0</v>
      </c>
      <c r="H80" s="23">
        <v>1.0</v>
      </c>
      <c r="I80" s="23">
        <v>0.0</v>
      </c>
      <c r="J80" s="23">
        <v>1.0</v>
      </c>
      <c r="K80" s="23">
        <v>0.0</v>
      </c>
      <c r="L80" s="23">
        <v>1.0</v>
      </c>
      <c r="M80" s="23">
        <v>0.0</v>
      </c>
      <c r="N80" s="23">
        <v>1.0</v>
      </c>
      <c r="O80" s="23">
        <v>0.0</v>
      </c>
      <c r="P80" s="23">
        <v>1.0</v>
      </c>
      <c r="Q80" s="23">
        <v>0.0</v>
      </c>
      <c r="R80" s="23">
        <v>1.0</v>
      </c>
      <c r="S80" s="23">
        <v>1.0</v>
      </c>
      <c r="T80" s="23">
        <v>0.0</v>
      </c>
      <c r="U80" s="23">
        <v>0.0</v>
      </c>
      <c r="V80" s="23">
        <v>1.0</v>
      </c>
      <c r="W80" s="23">
        <v>1.0</v>
      </c>
      <c r="X80" s="23">
        <v>0.0</v>
      </c>
      <c r="Y80" s="23">
        <v>0.0</v>
      </c>
      <c r="Z80" s="23">
        <v>1.0</v>
      </c>
      <c r="AA80" s="23">
        <v>1.0</v>
      </c>
      <c r="AB80" s="23">
        <v>1.0</v>
      </c>
      <c r="AC80" s="23">
        <v>1.0</v>
      </c>
      <c r="AD80" s="23">
        <v>0.0</v>
      </c>
      <c r="AE80" s="23">
        <v>0.0</v>
      </c>
      <c r="AF80" s="23">
        <v>0.0</v>
      </c>
    </row>
    <row r="81" ht="15.75" customHeight="1">
      <c r="C81" s="21" t="s">
        <v>48</v>
      </c>
      <c r="D81" s="22"/>
      <c r="E81" s="23">
        <v>0.0</v>
      </c>
      <c r="F81" s="23">
        <v>1.0</v>
      </c>
      <c r="G81" s="23">
        <v>0.0</v>
      </c>
      <c r="H81" s="23">
        <v>1.0</v>
      </c>
      <c r="I81" s="23">
        <v>0.0</v>
      </c>
      <c r="J81" s="23">
        <v>1.0</v>
      </c>
      <c r="K81" s="23">
        <v>0.0</v>
      </c>
      <c r="L81" s="23">
        <v>1.0</v>
      </c>
      <c r="M81" s="23">
        <v>0.0</v>
      </c>
      <c r="N81" s="23">
        <v>1.0</v>
      </c>
      <c r="O81" s="23">
        <v>0.0</v>
      </c>
      <c r="P81" s="23">
        <v>1.0</v>
      </c>
      <c r="Q81" s="23">
        <v>1.0</v>
      </c>
      <c r="R81" s="23">
        <v>0.0</v>
      </c>
      <c r="S81" s="23">
        <v>0.0</v>
      </c>
      <c r="T81" s="23">
        <v>1.0</v>
      </c>
      <c r="U81" s="23">
        <v>1.0</v>
      </c>
      <c r="V81" s="23">
        <v>0.0</v>
      </c>
      <c r="W81" s="23">
        <v>0.0</v>
      </c>
      <c r="X81" s="23">
        <v>1.0</v>
      </c>
      <c r="Y81" s="23">
        <v>1.0</v>
      </c>
      <c r="Z81" s="23">
        <v>1.0</v>
      </c>
      <c r="AA81" s="23">
        <v>1.0</v>
      </c>
      <c r="AB81" s="23">
        <v>0.0</v>
      </c>
      <c r="AC81" s="23">
        <v>0.0</v>
      </c>
      <c r="AD81" s="23">
        <v>0.0</v>
      </c>
      <c r="AE81" s="23">
        <v>0.0</v>
      </c>
      <c r="AF81" s="23">
        <v>1.0</v>
      </c>
    </row>
    <row r="82" ht="15.75" customHeight="1">
      <c r="C82" s="21" t="s">
        <v>49</v>
      </c>
      <c r="D82" s="22"/>
      <c r="E82" s="23">
        <v>0.0</v>
      </c>
      <c r="F82" s="23">
        <v>1.0</v>
      </c>
      <c r="G82" s="23">
        <v>0.0</v>
      </c>
      <c r="H82" s="23">
        <v>1.0</v>
      </c>
      <c r="I82" s="23">
        <v>0.0</v>
      </c>
      <c r="J82" s="23">
        <v>1.0</v>
      </c>
      <c r="K82" s="23">
        <v>0.0</v>
      </c>
      <c r="L82" s="23">
        <v>1.0</v>
      </c>
      <c r="M82" s="23">
        <v>0.0</v>
      </c>
      <c r="N82" s="23">
        <v>1.0</v>
      </c>
      <c r="O82" s="23">
        <v>1.0</v>
      </c>
      <c r="P82" s="23">
        <v>0.0</v>
      </c>
      <c r="Q82" s="23">
        <v>0.0</v>
      </c>
      <c r="R82" s="23">
        <v>1.0</v>
      </c>
      <c r="S82" s="23">
        <v>1.0</v>
      </c>
      <c r="T82" s="23">
        <v>0.0</v>
      </c>
      <c r="U82" s="23">
        <v>0.0</v>
      </c>
      <c r="V82" s="23">
        <v>1.0</v>
      </c>
      <c r="W82" s="23">
        <v>1.0</v>
      </c>
      <c r="X82" s="23">
        <v>1.0</v>
      </c>
      <c r="Y82" s="23">
        <v>1.0</v>
      </c>
      <c r="Z82" s="23">
        <v>0.0</v>
      </c>
      <c r="AA82" s="23">
        <v>0.0</v>
      </c>
      <c r="AB82" s="23">
        <v>0.0</v>
      </c>
      <c r="AC82" s="23">
        <v>0.0</v>
      </c>
      <c r="AD82" s="23">
        <v>1.0</v>
      </c>
      <c r="AE82" s="23">
        <v>0.0</v>
      </c>
      <c r="AF82" s="23">
        <v>1.0</v>
      </c>
    </row>
    <row r="83" ht="15.75" customHeight="1">
      <c r="C83" s="21" t="s">
        <v>50</v>
      </c>
      <c r="D83" s="22"/>
      <c r="E83" s="23">
        <v>1.0</v>
      </c>
      <c r="F83" s="23">
        <v>0.0</v>
      </c>
      <c r="G83" s="23">
        <v>1.0</v>
      </c>
      <c r="H83" s="23">
        <v>0.0</v>
      </c>
      <c r="I83" s="23">
        <v>1.0</v>
      </c>
      <c r="J83" s="23">
        <v>0.0</v>
      </c>
      <c r="K83" s="23">
        <v>1.0</v>
      </c>
      <c r="L83" s="23">
        <v>0.0</v>
      </c>
      <c r="M83" s="23">
        <v>1.0</v>
      </c>
      <c r="N83" s="23">
        <v>1.0</v>
      </c>
      <c r="O83" s="23">
        <v>0.0</v>
      </c>
      <c r="P83" s="23">
        <v>0.0</v>
      </c>
      <c r="Q83" s="23">
        <v>1.0</v>
      </c>
      <c r="R83" s="23">
        <v>1.0</v>
      </c>
      <c r="S83" s="23">
        <v>0.0</v>
      </c>
      <c r="T83" s="23">
        <v>0.0</v>
      </c>
      <c r="U83" s="23">
        <v>1.0</v>
      </c>
      <c r="V83" s="23">
        <v>1.0</v>
      </c>
      <c r="W83" s="23">
        <v>1.0</v>
      </c>
      <c r="X83" s="23">
        <v>1.0</v>
      </c>
      <c r="Y83" s="23">
        <v>0.0</v>
      </c>
      <c r="Z83" s="23">
        <v>0.0</v>
      </c>
      <c r="AA83" s="23">
        <v>0.0</v>
      </c>
      <c r="AB83" s="23">
        <v>0.0</v>
      </c>
      <c r="AC83" s="23">
        <v>1.0</v>
      </c>
      <c r="AD83" s="23">
        <v>0.0</v>
      </c>
      <c r="AE83" s="23">
        <v>1.0</v>
      </c>
      <c r="AF83" s="23">
        <v>0.0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I1"/>
    <mergeCell ref="N9:O17"/>
    <mergeCell ref="C22:D32"/>
    <mergeCell ref="C44:Y44"/>
    <mergeCell ref="C45:I45"/>
    <mergeCell ref="C65:I6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63"/>
    <col customWidth="1" min="24" max="24" width="11.25"/>
    <col customWidth="1" min="25" max="31" width="8.63"/>
    <col customWidth="1" min="32" max="32" width="12.25"/>
    <col customWidth="1" min="33" max="41" width="8.63"/>
    <col customWidth="1" min="42" max="42" width="26.25"/>
    <col customWidth="1" min="43" max="43" width="41.13"/>
    <col customWidth="1" min="44" max="44" width="8.63"/>
  </cols>
  <sheetData>
    <row r="1">
      <c r="A1" s="24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>
      <c r="A2" s="21" t="s">
        <v>54</v>
      </c>
      <c r="B2" s="8" t="s">
        <v>15</v>
      </c>
      <c r="C2" s="8">
        <v>1.0</v>
      </c>
      <c r="D2" s="8">
        <v>2.0</v>
      </c>
      <c r="E2" s="8">
        <v>3.0</v>
      </c>
      <c r="F2" s="8">
        <v>4.0</v>
      </c>
      <c r="G2" s="8">
        <v>5.0</v>
      </c>
      <c r="H2" s="8">
        <v>6.0</v>
      </c>
      <c r="I2" s="8">
        <v>7.0</v>
      </c>
      <c r="K2" s="21" t="s">
        <v>55</v>
      </c>
      <c r="L2" s="8" t="s">
        <v>15</v>
      </c>
      <c r="M2" s="8">
        <v>1.0</v>
      </c>
      <c r="N2" s="8">
        <v>2.0</v>
      </c>
      <c r="O2" s="8">
        <v>3.0</v>
      </c>
      <c r="P2" s="8">
        <v>4.0</v>
      </c>
      <c r="Q2" s="8">
        <v>5.0</v>
      </c>
      <c r="R2" s="8">
        <v>6.0</v>
      </c>
      <c r="S2" s="8">
        <v>7.0</v>
      </c>
      <c r="U2" s="21" t="s">
        <v>56</v>
      </c>
      <c r="V2" s="8" t="s">
        <v>15</v>
      </c>
      <c r="W2" s="8">
        <v>1.0</v>
      </c>
      <c r="X2" s="8">
        <v>2.0</v>
      </c>
      <c r="Y2" s="8">
        <v>3.0</v>
      </c>
      <c r="Z2" s="8">
        <v>4.0</v>
      </c>
      <c r="AA2" s="8">
        <v>5.0</v>
      </c>
      <c r="AB2" s="8">
        <v>6.0</v>
      </c>
      <c r="AC2" s="8">
        <v>7.0</v>
      </c>
      <c r="AE2" s="21" t="s">
        <v>57</v>
      </c>
      <c r="AF2" s="8" t="s">
        <v>15</v>
      </c>
      <c r="AG2" s="8">
        <v>1.0</v>
      </c>
      <c r="AH2" s="8">
        <v>2.0</v>
      </c>
      <c r="AI2" s="8">
        <v>3.0</v>
      </c>
      <c r="AJ2" s="8">
        <v>4.0</v>
      </c>
      <c r="AK2" s="8">
        <v>5.0</v>
      </c>
      <c r="AL2" s="8">
        <v>6.0</v>
      </c>
      <c r="AM2" s="8">
        <v>7.0</v>
      </c>
    </row>
    <row r="3">
      <c r="A3" s="21"/>
      <c r="B3" s="8"/>
      <c r="C3" s="23">
        <v>1.0</v>
      </c>
      <c r="D3" s="23">
        <v>1.0</v>
      </c>
      <c r="E3" s="23">
        <v>1.0</v>
      </c>
      <c r="F3" s="23">
        <v>0.0</v>
      </c>
      <c r="G3" s="23">
        <v>0.0</v>
      </c>
      <c r="H3" s="23">
        <v>0.0</v>
      </c>
      <c r="I3" s="23">
        <v>0.0</v>
      </c>
      <c r="K3" s="21"/>
      <c r="L3" s="8"/>
      <c r="M3" s="23">
        <v>1.0</v>
      </c>
      <c r="N3" s="23">
        <v>1.0</v>
      </c>
      <c r="O3" s="23">
        <v>0.0</v>
      </c>
      <c r="P3" s="23">
        <v>0.0</v>
      </c>
      <c r="Q3" s="23">
        <v>0.0</v>
      </c>
      <c r="R3" s="23">
        <v>0.0</v>
      </c>
      <c r="S3" s="23">
        <v>1.0</v>
      </c>
      <c r="U3" s="21"/>
      <c r="V3" s="8"/>
      <c r="W3" s="23">
        <v>0.0</v>
      </c>
      <c r="X3" s="23">
        <v>0.0</v>
      </c>
      <c r="Y3" s="23">
        <v>0.0</v>
      </c>
      <c r="Z3" s="23">
        <v>0.0</v>
      </c>
      <c r="AA3" s="23">
        <v>1.0</v>
      </c>
      <c r="AB3" s="23">
        <v>1.0</v>
      </c>
      <c r="AC3" s="23">
        <v>0.0</v>
      </c>
      <c r="AE3" s="21"/>
      <c r="AF3" s="8"/>
      <c r="AG3" s="23">
        <v>0.0</v>
      </c>
      <c r="AH3" s="23">
        <v>0.0</v>
      </c>
      <c r="AI3" s="23">
        <v>1.0</v>
      </c>
      <c r="AJ3" s="23">
        <v>1.0</v>
      </c>
      <c r="AK3" s="23">
        <v>0.0</v>
      </c>
      <c r="AL3" s="23">
        <v>0.0</v>
      </c>
      <c r="AM3" s="23">
        <v>1.0</v>
      </c>
    </row>
    <row r="4">
      <c r="A4" s="21"/>
      <c r="B4" s="8">
        <v>8.0</v>
      </c>
      <c r="C4" s="23">
        <v>1.0</v>
      </c>
      <c r="D4" s="23">
        <v>1.0</v>
      </c>
      <c r="E4" s="23">
        <v>0.0</v>
      </c>
      <c r="F4" s="23">
        <v>0.0</v>
      </c>
      <c r="G4" s="23">
        <v>1.0</v>
      </c>
      <c r="H4" s="23">
        <v>1.0</v>
      </c>
      <c r="I4" s="23">
        <v>0.0</v>
      </c>
      <c r="K4" s="21"/>
      <c r="L4" s="8">
        <v>8.0</v>
      </c>
      <c r="M4" s="23">
        <v>1.0</v>
      </c>
      <c r="N4" s="23">
        <v>0.0</v>
      </c>
      <c r="O4" s="23">
        <v>0.0</v>
      </c>
      <c r="P4" s="23">
        <v>1.0</v>
      </c>
      <c r="Q4" s="23">
        <v>1.0</v>
      </c>
      <c r="R4" s="23">
        <v>0.0</v>
      </c>
      <c r="S4" s="23">
        <v>0.0</v>
      </c>
      <c r="U4" s="21"/>
      <c r="V4" s="8">
        <v>8.0</v>
      </c>
      <c r="W4" s="23">
        <v>0.0</v>
      </c>
      <c r="X4" s="23">
        <v>1.0</v>
      </c>
      <c r="Y4" s="23">
        <v>1.0</v>
      </c>
      <c r="Z4" s="23">
        <v>0.0</v>
      </c>
      <c r="AA4" s="23">
        <v>0.0</v>
      </c>
      <c r="AB4" s="23">
        <v>1.0</v>
      </c>
      <c r="AC4" s="23">
        <v>0.0</v>
      </c>
      <c r="AE4" s="21"/>
      <c r="AF4" s="8">
        <v>8.0</v>
      </c>
      <c r="AG4" s="23">
        <v>1.0</v>
      </c>
      <c r="AH4" s="23">
        <v>0.0</v>
      </c>
      <c r="AI4" s="23">
        <v>0.0</v>
      </c>
      <c r="AJ4" s="23">
        <v>1.0</v>
      </c>
      <c r="AK4" s="23">
        <v>0.0</v>
      </c>
      <c r="AL4" s="23">
        <v>1.0</v>
      </c>
      <c r="AM4" s="23">
        <v>0.0</v>
      </c>
    </row>
    <row r="5">
      <c r="A5" s="21"/>
      <c r="B5" s="8">
        <v>15.0</v>
      </c>
      <c r="C5" s="23">
        <v>0.0</v>
      </c>
      <c r="D5" s="23">
        <v>1.0</v>
      </c>
      <c r="E5" s="23">
        <v>0.0</v>
      </c>
      <c r="F5" s="23">
        <v>1.0</v>
      </c>
      <c r="G5" s="23">
        <v>0.0</v>
      </c>
      <c r="H5" s="23">
        <v>1.0</v>
      </c>
      <c r="I5" s="23">
        <v>0.0</v>
      </c>
      <c r="K5" s="21"/>
      <c r="L5" s="8">
        <v>15.0</v>
      </c>
      <c r="M5" s="23">
        <v>1.0</v>
      </c>
      <c r="N5" s="23">
        <v>0.0</v>
      </c>
      <c r="O5" s="23">
        <v>1.0</v>
      </c>
      <c r="P5" s="23">
        <v>0.0</v>
      </c>
      <c r="Q5" s="23">
        <v>1.0</v>
      </c>
      <c r="R5" s="23">
        <v>0.0</v>
      </c>
      <c r="S5" s="23">
        <v>1.0</v>
      </c>
      <c r="U5" s="21"/>
      <c r="V5" s="8">
        <v>15.0</v>
      </c>
      <c r="W5" s="23">
        <v>1.0</v>
      </c>
      <c r="X5" s="23">
        <v>0.0</v>
      </c>
      <c r="Y5" s="23">
        <v>1.0</v>
      </c>
      <c r="Z5" s="23">
        <v>0.0</v>
      </c>
      <c r="AA5" s="23">
        <v>1.0</v>
      </c>
      <c r="AB5" s="23">
        <v>0.0</v>
      </c>
      <c r="AC5" s="23">
        <v>1.0</v>
      </c>
      <c r="AE5" s="21"/>
      <c r="AF5" s="8">
        <v>15.0</v>
      </c>
      <c r="AG5" s="23">
        <v>1.0</v>
      </c>
      <c r="AH5" s="23">
        <v>0.0</v>
      </c>
      <c r="AI5" s="23">
        <v>1.0</v>
      </c>
      <c r="AJ5" s="23">
        <v>0.0</v>
      </c>
      <c r="AK5" s="23">
        <v>1.0</v>
      </c>
      <c r="AL5" s="23">
        <v>0.0</v>
      </c>
      <c r="AM5" s="23">
        <v>1.0</v>
      </c>
    </row>
    <row r="6">
      <c r="A6" s="21"/>
      <c r="B6" s="8">
        <v>22.0</v>
      </c>
      <c r="C6" s="23">
        <v>1.0</v>
      </c>
      <c r="D6" s="23">
        <v>0.0</v>
      </c>
      <c r="E6" s="23">
        <v>1.0</v>
      </c>
      <c r="F6" s="23">
        <v>0.0</v>
      </c>
      <c r="G6" s="23">
        <v>1.0</v>
      </c>
      <c r="H6" s="23">
        <v>1.0</v>
      </c>
      <c r="I6" s="23">
        <v>1.0</v>
      </c>
      <c r="K6" s="21"/>
      <c r="L6" s="8">
        <v>22.0</v>
      </c>
      <c r="M6" s="23">
        <v>0.0</v>
      </c>
      <c r="N6" s="23">
        <v>1.0</v>
      </c>
      <c r="O6" s="23">
        <v>0.0</v>
      </c>
      <c r="P6" s="23">
        <v>1.0</v>
      </c>
      <c r="Q6" s="23">
        <v>1.0</v>
      </c>
      <c r="R6" s="23">
        <v>1.0</v>
      </c>
      <c r="S6" s="23">
        <v>1.0</v>
      </c>
      <c r="U6" s="21"/>
      <c r="V6" s="8">
        <v>22.0</v>
      </c>
      <c r="W6" s="23">
        <v>0.0</v>
      </c>
      <c r="X6" s="23">
        <v>1.0</v>
      </c>
      <c r="Y6" s="23">
        <v>1.0</v>
      </c>
      <c r="Z6" s="23">
        <v>1.0</v>
      </c>
      <c r="AA6" s="23">
        <v>1.0</v>
      </c>
      <c r="AB6" s="23">
        <v>1.0</v>
      </c>
      <c r="AC6" s="23">
        <v>1.0</v>
      </c>
      <c r="AE6" s="21"/>
      <c r="AF6" s="8">
        <v>22.0</v>
      </c>
      <c r="AG6" s="23">
        <v>1.0</v>
      </c>
      <c r="AH6" s="23">
        <v>1.0</v>
      </c>
      <c r="AI6" s="23">
        <v>1.0</v>
      </c>
      <c r="AJ6" s="23">
        <v>1.0</v>
      </c>
      <c r="AK6" s="23">
        <v>1.0</v>
      </c>
      <c r="AL6" s="23">
        <v>0.0</v>
      </c>
      <c r="AM6" s="23">
        <v>0.0</v>
      </c>
    </row>
    <row r="7">
      <c r="A7" s="21"/>
      <c r="B7" s="8">
        <v>29.0</v>
      </c>
      <c r="C7" s="23">
        <v>0.0</v>
      </c>
      <c r="D7" s="23">
        <v>1.0</v>
      </c>
      <c r="E7" s="23">
        <v>0.0</v>
      </c>
      <c r="F7" s="23">
        <v>1.0</v>
      </c>
      <c r="G7" s="23">
        <v>0.0</v>
      </c>
      <c r="H7" s="23">
        <v>1.0</v>
      </c>
      <c r="I7" s="23">
        <v>0.0</v>
      </c>
      <c r="K7" s="21"/>
      <c r="L7" s="8">
        <v>29.0</v>
      </c>
      <c r="M7" s="23">
        <v>1.0</v>
      </c>
      <c r="N7" s="23">
        <v>0.0</v>
      </c>
      <c r="O7" s="23">
        <v>1.0</v>
      </c>
      <c r="P7" s="23">
        <v>0.0</v>
      </c>
      <c r="Q7" s="23">
        <v>1.0</v>
      </c>
      <c r="R7" s="23">
        <v>0.0</v>
      </c>
      <c r="S7" s="23">
        <v>1.0</v>
      </c>
      <c r="U7" s="21"/>
      <c r="V7" s="8">
        <v>29.0</v>
      </c>
      <c r="W7" s="23">
        <v>1.0</v>
      </c>
      <c r="X7" s="23">
        <v>0.0</v>
      </c>
      <c r="Y7" s="23">
        <v>1.0</v>
      </c>
      <c r="Z7" s="23">
        <v>0.0</v>
      </c>
      <c r="AA7" s="23">
        <v>1.0</v>
      </c>
      <c r="AB7" s="23">
        <v>1.0</v>
      </c>
      <c r="AC7" s="23">
        <v>0.0</v>
      </c>
      <c r="AE7" s="21"/>
      <c r="AF7" s="8">
        <v>29.0</v>
      </c>
      <c r="AG7" s="23">
        <v>1.0</v>
      </c>
      <c r="AH7" s="23">
        <v>0.0</v>
      </c>
      <c r="AI7" s="23">
        <v>1.0</v>
      </c>
      <c r="AJ7" s="23">
        <v>1.0</v>
      </c>
      <c r="AK7" s="23">
        <v>0.0</v>
      </c>
      <c r="AL7" s="23">
        <v>0.0</v>
      </c>
      <c r="AM7" s="23">
        <v>1.0</v>
      </c>
    </row>
    <row r="8">
      <c r="A8" s="21"/>
      <c r="B8" s="8">
        <v>36.0</v>
      </c>
      <c r="C8" s="23">
        <v>1.0</v>
      </c>
      <c r="D8" s="23">
        <v>1.0</v>
      </c>
      <c r="E8" s="23">
        <v>0.0</v>
      </c>
      <c r="F8" s="23">
        <v>0.0</v>
      </c>
      <c r="G8" s="23">
        <v>1.0</v>
      </c>
      <c r="H8" s="23">
        <v>1.0</v>
      </c>
      <c r="I8" s="23">
        <v>0.0</v>
      </c>
      <c r="K8" s="21"/>
      <c r="L8" s="8">
        <v>36.0</v>
      </c>
      <c r="M8" s="23">
        <v>1.0</v>
      </c>
      <c r="N8" s="23">
        <v>0.0</v>
      </c>
      <c r="O8" s="23">
        <v>0.0</v>
      </c>
      <c r="P8" s="23">
        <v>1.0</v>
      </c>
      <c r="Q8" s="23">
        <v>1.0</v>
      </c>
      <c r="R8" s="23">
        <v>0.0</v>
      </c>
      <c r="S8" s="23">
        <v>0.0</v>
      </c>
      <c r="U8" s="21"/>
      <c r="V8" s="8">
        <v>36.0</v>
      </c>
      <c r="W8" s="23">
        <v>0.0</v>
      </c>
      <c r="X8" s="23">
        <v>1.0</v>
      </c>
      <c r="Y8" s="23">
        <v>1.0</v>
      </c>
      <c r="Z8" s="23">
        <v>0.0</v>
      </c>
      <c r="AA8" s="23">
        <v>0.0</v>
      </c>
      <c r="AB8" s="23">
        <v>1.0</v>
      </c>
      <c r="AC8" s="23">
        <v>1.0</v>
      </c>
      <c r="AE8" s="21"/>
      <c r="AF8" s="8">
        <v>36.0</v>
      </c>
      <c r="AG8" s="23">
        <v>1.0</v>
      </c>
      <c r="AH8" s="23">
        <v>0.0</v>
      </c>
      <c r="AI8" s="23">
        <v>0.0</v>
      </c>
      <c r="AJ8" s="23">
        <v>1.0</v>
      </c>
      <c r="AK8" s="23">
        <v>1.0</v>
      </c>
      <c r="AL8" s="23">
        <v>1.0</v>
      </c>
      <c r="AM8" s="23">
        <v>1.0</v>
      </c>
    </row>
    <row r="9">
      <c r="A9" s="21"/>
      <c r="B9" s="8">
        <v>43.0</v>
      </c>
      <c r="C9" s="23">
        <v>0.0</v>
      </c>
      <c r="D9" s="23">
        <v>1.0</v>
      </c>
      <c r="E9" s="23">
        <v>1.0</v>
      </c>
      <c r="F9" s="23">
        <v>1.0</v>
      </c>
      <c r="G9" s="23">
        <v>1.0</v>
      </c>
      <c r="H9" s="23">
        <v>0.0</v>
      </c>
      <c r="I9" s="23">
        <v>0.0</v>
      </c>
      <c r="K9" s="21"/>
      <c r="L9" s="8">
        <v>43.0</v>
      </c>
      <c r="M9" s="23">
        <v>1.0</v>
      </c>
      <c r="N9" s="23">
        <v>1.0</v>
      </c>
      <c r="O9" s="23">
        <v>1.0</v>
      </c>
      <c r="P9" s="23">
        <v>1.0</v>
      </c>
      <c r="Q9" s="23">
        <v>0.0</v>
      </c>
      <c r="R9" s="23">
        <v>0.0</v>
      </c>
      <c r="S9" s="23">
        <v>0.0</v>
      </c>
      <c r="U9" s="21"/>
      <c r="V9" s="8">
        <v>43.0</v>
      </c>
      <c r="W9" s="23">
        <v>1.0</v>
      </c>
      <c r="X9" s="23">
        <v>1.0</v>
      </c>
      <c r="Y9" s="23">
        <v>0.0</v>
      </c>
      <c r="Z9" s="23">
        <v>0.0</v>
      </c>
      <c r="AA9" s="23">
        <v>0.0</v>
      </c>
      <c r="AB9" s="23">
        <v>0.0</v>
      </c>
      <c r="AC9" s="23">
        <v>1.0</v>
      </c>
      <c r="AE9" s="21"/>
      <c r="AF9" s="8">
        <v>43.0</v>
      </c>
      <c r="AG9" s="23">
        <v>0.0</v>
      </c>
      <c r="AH9" s="23">
        <v>0.0</v>
      </c>
      <c r="AI9" s="23">
        <v>0.0</v>
      </c>
      <c r="AJ9" s="23">
        <v>0.0</v>
      </c>
      <c r="AK9" s="23">
        <v>1.0</v>
      </c>
      <c r="AL9" s="23">
        <v>0.0</v>
      </c>
      <c r="AM9" s="23">
        <v>1.0</v>
      </c>
    </row>
    <row r="10">
      <c r="A10" s="21"/>
      <c r="B10" s="8">
        <v>50.0</v>
      </c>
      <c r="C10" s="23">
        <v>0.0</v>
      </c>
      <c r="D10" s="23">
        <v>0.0</v>
      </c>
      <c r="E10" s="23">
        <v>1.0</v>
      </c>
      <c r="F10" s="23">
        <v>0.0</v>
      </c>
      <c r="G10" s="23">
        <v>1.0</v>
      </c>
      <c r="H10" s="23">
        <v>0.0</v>
      </c>
      <c r="I10" s="23">
        <v>1.0</v>
      </c>
      <c r="K10" s="21"/>
      <c r="L10" s="8">
        <v>50.0</v>
      </c>
      <c r="M10" s="23">
        <v>0.0</v>
      </c>
      <c r="N10" s="23">
        <v>1.0</v>
      </c>
      <c r="O10" s="23">
        <v>0.0</v>
      </c>
      <c r="P10" s="23">
        <v>1.0</v>
      </c>
      <c r="Q10" s="23">
        <v>0.0</v>
      </c>
      <c r="R10" s="23">
        <v>1.0</v>
      </c>
      <c r="S10" s="23">
        <v>0.0</v>
      </c>
      <c r="U10" s="21"/>
      <c r="V10" s="8">
        <v>50.0</v>
      </c>
      <c r="W10" s="23">
        <v>0.0</v>
      </c>
      <c r="X10" s="23">
        <v>1.0</v>
      </c>
      <c r="Y10" s="23">
        <v>0.0</v>
      </c>
      <c r="Z10" s="23">
        <v>1.0</v>
      </c>
      <c r="AA10" s="23">
        <v>0.0</v>
      </c>
      <c r="AB10" s="23">
        <v>1.0</v>
      </c>
      <c r="AC10" s="23">
        <v>0.0</v>
      </c>
      <c r="AE10" s="21"/>
      <c r="AF10" s="8">
        <v>50.0</v>
      </c>
      <c r="AG10" s="23">
        <v>0.0</v>
      </c>
      <c r="AH10" s="23">
        <v>1.0</v>
      </c>
      <c r="AI10" s="23">
        <v>0.0</v>
      </c>
      <c r="AJ10" s="23">
        <v>1.0</v>
      </c>
      <c r="AK10" s="23">
        <v>0.0</v>
      </c>
      <c r="AL10" s="23">
        <v>1.0</v>
      </c>
      <c r="AM10" s="23">
        <v>0.0</v>
      </c>
    </row>
    <row r="12">
      <c r="A12" s="21" t="s">
        <v>58</v>
      </c>
      <c r="B12" s="8" t="s">
        <v>15</v>
      </c>
      <c r="C12" s="8">
        <v>1.0</v>
      </c>
      <c r="D12" s="8">
        <v>2.0</v>
      </c>
      <c r="E12" s="8">
        <v>3.0</v>
      </c>
      <c r="F12" s="8">
        <v>4.0</v>
      </c>
      <c r="G12" s="8">
        <v>5.0</v>
      </c>
      <c r="H12" s="8">
        <v>6.0</v>
      </c>
      <c r="I12" s="8">
        <v>7.0</v>
      </c>
      <c r="K12" s="21" t="s">
        <v>59</v>
      </c>
      <c r="L12" s="8" t="s">
        <v>15</v>
      </c>
      <c r="M12" s="8">
        <v>1.0</v>
      </c>
      <c r="N12" s="8">
        <v>2.0</v>
      </c>
      <c r="O12" s="8">
        <v>3.0</v>
      </c>
      <c r="P12" s="8">
        <v>4.0</v>
      </c>
      <c r="Q12" s="8">
        <v>5.0</v>
      </c>
      <c r="R12" s="8">
        <v>6.0</v>
      </c>
      <c r="S12" s="8">
        <v>7.0</v>
      </c>
      <c r="U12" s="21" t="s">
        <v>60</v>
      </c>
      <c r="V12" s="8" t="s">
        <v>15</v>
      </c>
      <c r="W12" s="8">
        <v>1.0</v>
      </c>
      <c r="X12" s="8">
        <v>2.0</v>
      </c>
      <c r="Y12" s="8">
        <v>3.0</v>
      </c>
      <c r="Z12" s="8">
        <v>4.0</v>
      </c>
      <c r="AA12" s="8">
        <v>5.0</v>
      </c>
      <c r="AB12" s="8">
        <v>6.0</v>
      </c>
      <c r="AC12" s="8">
        <v>7.0</v>
      </c>
      <c r="AE12" s="21" t="s">
        <v>61</v>
      </c>
      <c r="AF12" s="8" t="s">
        <v>15</v>
      </c>
      <c r="AG12" s="8">
        <v>1.0</v>
      </c>
      <c r="AH12" s="8">
        <v>2.0</v>
      </c>
      <c r="AI12" s="8">
        <v>3.0</v>
      </c>
      <c r="AJ12" s="8">
        <v>4.0</v>
      </c>
      <c r="AK12" s="8">
        <v>5.0</v>
      </c>
      <c r="AL12" s="8">
        <v>6.0</v>
      </c>
      <c r="AM12" s="8">
        <v>7.0</v>
      </c>
    </row>
    <row r="13">
      <c r="A13" s="21"/>
      <c r="B13" s="8"/>
      <c r="C13" s="23">
        <v>1.0</v>
      </c>
      <c r="D13" s="23">
        <v>1.0</v>
      </c>
      <c r="E13" s="23">
        <v>0.0</v>
      </c>
      <c r="F13" s="23">
        <v>0.0</v>
      </c>
      <c r="G13" s="23">
        <v>1.0</v>
      </c>
      <c r="H13" s="23">
        <v>1.0</v>
      </c>
      <c r="I13" s="23">
        <v>0.0</v>
      </c>
      <c r="K13" s="21"/>
      <c r="L13" s="8"/>
      <c r="M13" s="23">
        <v>0.0</v>
      </c>
      <c r="N13" s="23">
        <v>0.0</v>
      </c>
      <c r="O13" s="23">
        <v>1.0</v>
      </c>
      <c r="P13" s="23">
        <v>1.0</v>
      </c>
      <c r="Q13" s="23">
        <v>0.0</v>
      </c>
      <c r="R13" s="23">
        <v>0.0</v>
      </c>
      <c r="S13" s="23">
        <v>1.0</v>
      </c>
      <c r="U13" s="21"/>
      <c r="V13" s="8"/>
      <c r="W13" s="23">
        <v>1.0</v>
      </c>
      <c r="X13" s="23">
        <v>1.0</v>
      </c>
      <c r="Y13" s="23">
        <v>0.0</v>
      </c>
      <c r="Z13" s="23">
        <v>0.0</v>
      </c>
      <c r="AA13" s="23">
        <v>1.0</v>
      </c>
      <c r="AB13" s="23">
        <v>0.0</v>
      </c>
      <c r="AC13" s="23">
        <v>1.0</v>
      </c>
      <c r="AE13" s="21"/>
      <c r="AF13" s="8"/>
      <c r="AG13" s="23">
        <v>0.0</v>
      </c>
      <c r="AH13" s="23">
        <v>0.0</v>
      </c>
      <c r="AI13" s="23">
        <v>1.0</v>
      </c>
      <c r="AJ13" s="23">
        <v>0.0</v>
      </c>
      <c r="AK13" s="23">
        <v>1.0</v>
      </c>
      <c r="AL13" s="23">
        <v>0.0</v>
      </c>
      <c r="AM13" s="23">
        <v>1.0</v>
      </c>
    </row>
    <row r="14">
      <c r="A14" s="21"/>
      <c r="B14" s="8">
        <v>8.0</v>
      </c>
      <c r="C14" s="23">
        <v>0.0</v>
      </c>
      <c r="D14" s="23">
        <v>1.0</v>
      </c>
      <c r="E14" s="23">
        <v>0.0</v>
      </c>
      <c r="F14" s="23">
        <v>1.0</v>
      </c>
      <c r="G14" s="23">
        <v>0.0</v>
      </c>
      <c r="H14" s="23">
        <v>1.0</v>
      </c>
      <c r="I14" s="23">
        <v>0.0</v>
      </c>
      <c r="K14" s="21"/>
      <c r="L14" s="8">
        <v>8.0</v>
      </c>
      <c r="M14" s="23">
        <v>0.0</v>
      </c>
      <c r="N14" s="23">
        <v>1.0</v>
      </c>
      <c r="O14" s="23">
        <v>0.0</v>
      </c>
      <c r="P14" s="23">
        <v>1.0</v>
      </c>
      <c r="Q14" s="23">
        <v>0.0</v>
      </c>
      <c r="R14" s="23">
        <v>1.0</v>
      </c>
      <c r="S14" s="23">
        <v>0.0</v>
      </c>
      <c r="U14" s="21"/>
      <c r="V14" s="8">
        <v>8.0</v>
      </c>
      <c r="W14" s="23">
        <v>0.0</v>
      </c>
      <c r="X14" s="23">
        <v>1.0</v>
      </c>
      <c r="Y14" s="23">
        <v>0.0</v>
      </c>
      <c r="Z14" s="23">
        <v>1.0</v>
      </c>
      <c r="AA14" s="23">
        <v>0.0</v>
      </c>
      <c r="AB14" s="23">
        <v>1.0</v>
      </c>
      <c r="AC14" s="23">
        <v>0.0</v>
      </c>
      <c r="AE14" s="21"/>
      <c r="AF14" s="8">
        <v>8.0</v>
      </c>
      <c r="AG14" s="23">
        <v>0.0</v>
      </c>
      <c r="AH14" s="23">
        <v>1.0</v>
      </c>
      <c r="AI14" s="23">
        <v>0.0</v>
      </c>
      <c r="AJ14" s="23">
        <v>1.0</v>
      </c>
      <c r="AK14" s="23">
        <v>0.0</v>
      </c>
      <c r="AL14" s="23">
        <v>1.0</v>
      </c>
      <c r="AM14" s="23">
        <v>1.0</v>
      </c>
    </row>
    <row r="15">
      <c r="A15" s="21"/>
      <c r="B15" s="8">
        <v>15.0</v>
      </c>
      <c r="C15" s="23">
        <v>1.0</v>
      </c>
      <c r="D15" s="23">
        <v>0.0</v>
      </c>
      <c r="E15" s="23">
        <v>1.0</v>
      </c>
      <c r="F15" s="23">
        <v>0.0</v>
      </c>
      <c r="G15" s="23">
        <v>1.0</v>
      </c>
      <c r="H15" s="23">
        <v>1.0</v>
      </c>
      <c r="I15" s="23">
        <v>1.0</v>
      </c>
      <c r="K15" s="21"/>
      <c r="L15" s="8">
        <v>15.0</v>
      </c>
      <c r="M15" s="23">
        <v>1.0</v>
      </c>
      <c r="N15" s="23">
        <v>0.0</v>
      </c>
      <c r="O15" s="23">
        <v>1.0</v>
      </c>
      <c r="P15" s="23">
        <v>1.0</v>
      </c>
      <c r="Q15" s="23">
        <v>1.0</v>
      </c>
      <c r="R15" s="23">
        <v>1.0</v>
      </c>
      <c r="S15" s="23">
        <v>1.0</v>
      </c>
      <c r="U15" s="21"/>
      <c r="V15" s="8">
        <v>15.0</v>
      </c>
      <c r="W15" s="23">
        <v>1.0</v>
      </c>
      <c r="X15" s="23">
        <v>1.0</v>
      </c>
      <c r="Y15" s="23">
        <v>1.0</v>
      </c>
      <c r="Z15" s="23">
        <v>1.0</v>
      </c>
      <c r="AA15" s="23">
        <v>1.0</v>
      </c>
      <c r="AB15" s="23">
        <v>1.0</v>
      </c>
      <c r="AC15" s="23">
        <v>0.0</v>
      </c>
      <c r="AE15" s="21"/>
      <c r="AF15" s="8">
        <v>15.0</v>
      </c>
      <c r="AG15" s="23">
        <v>1.0</v>
      </c>
      <c r="AH15" s="23">
        <v>1.0</v>
      </c>
      <c r="AI15" s="23">
        <v>1.0</v>
      </c>
      <c r="AJ15" s="23">
        <v>1.0</v>
      </c>
      <c r="AK15" s="23">
        <v>0.0</v>
      </c>
      <c r="AL15" s="23">
        <v>0.0</v>
      </c>
      <c r="AM15" s="23">
        <v>0.0</v>
      </c>
    </row>
    <row r="16">
      <c r="A16" s="21"/>
      <c r="B16" s="8">
        <v>22.0</v>
      </c>
      <c r="C16" s="23">
        <v>1.0</v>
      </c>
      <c r="D16" s="23">
        <v>1.0</v>
      </c>
      <c r="E16" s="23">
        <v>1.0</v>
      </c>
      <c r="F16" s="23">
        <v>0.0</v>
      </c>
      <c r="G16" s="23">
        <v>0.0</v>
      </c>
      <c r="H16" s="23">
        <v>0.0</v>
      </c>
      <c r="I16" s="23">
        <v>0.0</v>
      </c>
      <c r="K16" s="21"/>
      <c r="L16" s="8">
        <v>22.0</v>
      </c>
      <c r="M16" s="23">
        <v>1.0</v>
      </c>
      <c r="N16" s="23">
        <v>0.0</v>
      </c>
      <c r="O16" s="23">
        <v>0.0</v>
      </c>
      <c r="P16" s="23">
        <v>0.0</v>
      </c>
      <c r="Q16" s="23">
        <v>0.0</v>
      </c>
      <c r="R16" s="23">
        <v>1.0</v>
      </c>
      <c r="S16" s="23">
        <v>1.0</v>
      </c>
      <c r="U16" s="21"/>
      <c r="V16" s="8">
        <v>22.0</v>
      </c>
      <c r="W16" s="23">
        <v>0.0</v>
      </c>
      <c r="X16" s="23">
        <v>0.0</v>
      </c>
      <c r="Y16" s="23">
        <v>0.0</v>
      </c>
      <c r="Z16" s="23">
        <v>1.0</v>
      </c>
      <c r="AA16" s="23">
        <v>1.0</v>
      </c>
      <c r="AB16" s="23">
        <v>0.0</v>
      </c>
      <c r="AC16" s="23">
        <v>0.0</v>
      </c>
      <c r="AE16" s="21"/>
      <c r="AF16" s="8">
        <v>22.0</v>
      </c>
      <c r="AG16" s="23">
        <v>0.0</v>
      </c>
      <c r="AH16" s="23">
        <v>1.0</v>
      </c>
      <c r="AI16" s="23">
        <v>1.0</v>
      </c>
      <c r="AJ16" s="23">
        <v>0.0</v>
      </c>
      <c r="AK16" s="23">
        <v>0.0</v>
      </c>
      <c r="AL16" s="23">
        <v>1.0</v>
      </c>
      <c r="AM16" s="23">
        <v>1.0</v>
      </c>
    </row>
    <row r="17">
      <c r="A17" s="21"/>
      <c r="B17" s="8">
        <v>29.0</v>
      </c>
      <c r="C17" s="23">
        <v>1.0</v>
      </c>
      <c r="D17" s="23">
        <v>1.0</v>
      </c>
      <c r="E17" s="23">
        <v>0.0</v>
      </c>
      <c r="F17" s="23">
        <v>0.0</v>
      </c>
      <c r="G17" s="23">
        <v>1.0</v>
      </c>
      <c r="H17" s="23">
        <v>1.0</v>
      </c>
      <c r="I17" s="23">
        <v>0.0</v>
      </c>
      <c r="K17" s="21"/>
      <c r="L17" s="8">
        <v>29.0</v>
      </c>
      <c r="M17" s="23">
        <v>0.0</v>
      </c>
      <c r="N17" s="23">
        <v>0.0</v>
      </c>
      <c r="O17" s="23">
        <v>1.0</v>
      </c>
      <c r="P17" s="23">
        <v>1.0</v>
      </c>
      <c r="Q17" s="23">
        <v>0.0</v>
      </c>
      <c r="R17" s="23">
        <v>0.0</v>
      </c>
      <c r="S17" s="23">
        <v>1.0</v>
      </c>
      <c r="U17" s="21"/>
      <c r="V17" s="8">
        <v>29.0</v>
      </c>
      <c r="W17" s="23">
        <v>1.0</v>
      </c>
      <c r="X17" s="23">
        <v>1.0</v>
      </c>
      <c r="Y17" s="23">
        <v>0.0</v>
      </c>
      <c r="Z17" s="23">
        <v>0.0</v>
      </c>
      <c r="AA17" s="23">
        <v>1.0</v>
      </c>
      <c r="AB17" s="23">
        <v>1.0</v>
      </c>
      <c r="AC17" s="23">
        <v>1.0</v>
      </c>
      <c r="AE17" s="21"/>
      <c r="AF17" s="8">
        <v>20.0</v>
      </c>
      <c r="AG17" s="23">
        <v>0.0</v>
      </c>
      <c r="AH17" s="23">
        <v>0.0</v>
      </c>
      <c r="AI17" s="23">
        <v>1.0</v>
      </c>
      <c r="AJ17" s="23">
        <v>1.0</v>
      </c>
      <c r="AK17" s="23">
        <v>1.0</v>
      </c>
      <c r="AL17" s="23">
        <v>1.0</v>
      </c>
      <c r="AM17" s="23">
        <v>0.0</v>
      </c>
    </row>
    <row r="18">
      <c r="A18" s="21"/>
      <c r="B18" s="8">
        <v>36.0</v>
      </c>
      <c r="C18" s="23">
        <v>0.0</v>
      </c>
      <c r="D18" s="23">
        <v>1.0</v>
      </c>
      <c r="E18" s="23">
        <v>1.0</v>
      </c>
      <c r="F18" s="23">
        <v>1.0</v>
      </c>
      <c r="G18" s="23">
        <v>1.0</v>
      </c>
      <c r="H18" s="23">
        <v>0.0</v>
      </c>
      <c r="I18" s="23">
        <v>0.0</v>
      </c>
      <c r="K18" s="21"/>
      <c r="L18" s="8">
        <v>36.0</v>
      </c>
      <c r="M18" s="23">
        <v>1.0</v>
      </c>
      <c r="N18" s="23">
        <v>1.0</v>
      </c>
      <c r="O18" s="23">
        <v>1.0</v>
      </c>
      <c r="P18" s="23">
        <v>0.0</v>
      </c>
      <c r="Q18" s="23">
        <v>0.0</v>
      </c>
      <c r="R18" s="23">
        <v>0.0</v>
      </c>
      <c r="S18" s="23">
        <v>0.0</v>
      </c>
      <c r="U18" s="21"/>
      <c r="V18" s="8">
        <v>36.0</v>
      </c>
      <c r="W18" s="23">
        <v>1.0</v>
      </c>
      <c r="X18" s="23">
        <v>0.0</v>
      </c>
      <c r="Y18" s="23">
        <v>0.0</v>
      </c>
      <c r="Z18" s="23">
        <v>0.0</v>
      </c>
      <c r="AA18" s="23">
        <v>0.0</v>
      </c>
      <c r="AB18" s="23">
        <v>1.0</v>
      </c>
      <c r="AC18" s="23">
        <v>0.0</v>
      </c>
      <c r="AE18" s="21"/>
      <c r="AF18" s="8">
        <v>36.0</v>
      </c>
      <c r="AG18" s="23">
        <v>0.0</v>
      </c>
      <c r="AH18" s="23">
        <v>0.0</v>
      </c>
      <c r="AI18" s="23">
        <v>0.0</v>
      </c>
      <c r="AJ18" s="23">
        <v>1.0</v>
      </c>
      <c r="AK18" s="23">
        <v>0.0</v>
      </c>
      <c r="AL18" s="23">
        <v>1.0</v>
      </c>
      <c r="AM18" s="23">
        <v>0.0</v>
      </c>
    </row>
    <row r="19">
      <c r="A19" s="21"/>
      <c r="B19" s="8">
        <v>43.0</v>
      </c>
      <c r="C19" s="23">
        <v>0.0</v>
      </c>
      <c r="D19" s="23">
        <v>0.0</v>
      </c>
      <c r="E19" s="23">
        <v>1.0</v>
      </c>
      <c r="F19" s="23">
        <v>0.0</v>
      </c>
      <c r="G19" s="23">
        <v>1.0</v>
      </c>
      <c r="H19" s="23">
        <v>0.0</v>
      </c>
      <c r="I19" s="23">
        <v>1.0</v>
      </c>
      <c r="K19" s="21"/>
      <c r="L19" s="8">
        <v>43.0</v>
      </c>
      <c r="M19" s="23">
        <v>1.0</v>
      </c>
      <c r="N19" s="23">
        <v>0.0</v>
      </c>
      <c r="O19" s="23">
        <v>1.0</v>
      </c>
      <c r="P19" s="23">
        <v>0.0</v>
      </c>
      <c r="Q19" s="23">
        <v>1.0</v>
      </c>
      <c r="R19" s="23">
        <v>0.0</v>
      </c>
      <c r="S19" s="23">
        <v>1.0</v>
      </c>
      <c r="U19" s="21"/>
      <c r="V19" s="8">
        <v>43.0</v>
      </c>
      <c r="W19" s="23">
        <v>1.0</v>
      </c>
      <c r="X19" s="23">
        <v>0.0</v>
      </c>
      <c r="Y19" s="23">
        <v>1.0</v>
      </c>
      <c r="Z19" s="23">
        <v>0.0</v>
      </c>
      <c r="AA19" s="23">
        <v>1.0</v>
      </c>
      <c r="AB19" s="23">
        <v>0.0</v>
      </c>
      <c r="AC19" s="23">
        <v>1.0</v>
      </c>
      <c r="AE19" s="21"/>
      <c r="AF19" s="8">
        <v>43.0</v>
      </c>
      <c r="AG19" s="23">
        <v>1.0</v>
      </c>
      <c r="AH19" s="23">
        <v>0.0</v>
      </c>
      <c r="AI19" s="23">
        <v>1.0</v>
      </c>
      <c r="AJ19" s="23">
        <v>0.0</v>
      </c>
      <c r="AK19" s="23">
        <v>1.0</v>
      </c>
      <c r="AL19" s="23">
        <v>0.0</v>
      </c>
      <c r="AM19" s="23">
        <v>1.0</v>
      </c>
    </row>
    <row r="20">
      <c r="A20" s="21"/>
      <c r="B20" s="8">
        <v>50.0</v>
      </c>
      <c r="C20" s="23">
        <v>0.0</v>
      </c>
      <c r="D20" s="23">
        <v>1.0</v>
      </c>
      <c r="E20" s="23">
        <v>0.0</v>
      </c>
      <c r="F20" s="23">
        <v>1.0</v>
      </c>
      <c r="G20" s="23">
        <v>0.0</v>
      </c>
      <c r="H20" s="23">
        <v>1.0</v>
      </c>
      <c r="I20" s="23">
        <v>0.0</v>
      </c>
      <c r="K20" s="21"/>
      <c r="L20" s="8">
        <v>50.0</v>
      </c>
      <c r="M20" s="23">
        <v>0.0</v>
      </c>
      <c r="N20" s="23">
        <v>1.0</v>
      </c>
      <c r="O20" s="23">
        <v>0.0</v>
      </c>
      <c r="P20" s="23">
        <v>1.0</v>
      </c>
      <c r="Q20" s="23">
        <v>0.0</v>
      </c>
      <c r="R20" s="23">
        <v>1.0</v>
      </c>
      <c r="S20" s="23">
        <v>1.0</v>
      </c>
      <c r="U20" s="21"/>
      <c r="V20" s="8">
        <v>50.0</v>
      </c>
      <c r="W20" s="23">
        <v>0.0</v>
      </c>
      <c r="X20" s="23">
        <v>1.0</v>
      </c>
      <c r="Y20" s="23">
        <v>0.0</v>
      </c>
      <c r="Z20" s="23">
        <v>1.0</v>
      </c>
      <c r="AA20" s="23">
        <v>1.0</v>
      </c>
      <c r="AB20" s="23">
        <v>0.0</v>
      </c>
      <c r="AC20" s="23">
        <v>0.0</v>
      </c>
      <c r="AE20" s="21"/>
      <c r="AF20" s="8">
        <v>50.0</v>
      </c>
      <c r="AG20" s="23">
        <v>0.0</v>
      </c>
      <c r="AH20" s="23">
        <v>1.0</v>
      </c>
      <c r="AI20" s="23">
        <v>1.0</v>
      </c>
      <c r="AJ20" s="23">
        <v>0.0</v>
      </c>
      <c r="AK20" s="23">
        <v>0.0</v>
      </c>
      <c r="AL20" s="23">
        <v>1.0</v>
      </c>
      <c r="AM20" s="23">
        <v>1.0</v>
      </c>
    </row>
    <row r="21" ht="15.75" customHeight="1"/>
    <row r="22" ht="15.75" customHeight="1">
      <c r="A22" s="21" t="s">
        <v>62</v>
      </c>
      <c r="B22" s="8" t="s">
        <v>15</v>
      </c>
      <c r="C22" s="8">
        <v>1.0</v>
      </c>
      <c r="D22" s="8">
        <v>2.0</v>
      </c>
      <c r="E22" s="8">
        <v>3.0</v>
      </c>
      <c r="F22" s="8">
        <v>4.0</v>
      </c>
      <c r="G22" s="8">
        <v>5.0</v>
      </c>
      <c r="H22" s="8">
        <v>6.0</v>
      </c>
      <c r="I22" s="8">
        <v>7.0</v>
      </c>
      <c r="K22" s="21" t="s">
        <v>63</v>
      </c>
      <c r="L22" s="8" t="s">
        <v>15</v>
      </c>
      <c r="M22" s="8">
        <v>1.0</v>
      </c>
      <c r="N22" s="8">
        <v>2.0</v>
      </c>
      <c r="O22" s="8">
        <v>3.0</v>
      </c>
      <c r="P22" s="8">
        <v>4.0</v>
      </c>
      <c r="Q22" s="8">
        <v>5.0</v>
      </c>
      <c r="R22" s="8">
        <v>6.0</v>
      </c>
      <c r="S22" s="8">
        <v>7.0</v>
      </c>
      <c r="U22" s="21" t="s">
        <v>64</v>
      </c>
      <c r="V22" s="8" t="s">
        <v>15</v>
      </c>
      <c r="W22" s="8">
        <v>1.0</v>
      </c>
      <c r="X22" s="8">
        <v>2.0</v>
      </c>
      <c r="Y22" s="8">
        <v>3.0</v>
      </c>
      <c r="Z22" s="8">
        <v>4.0</v>
      </c>
      <c r="AA22" s="8">
        <v>5.0</v>
      </c>
      <c r="AB22" s="8">
        <v>6.0</v>
      </c>
      <c r="AC22" s="8">
        <v>7.0</v>
      </c>
      <c r="AE22" s="21" t="s">
        <v>65</v>
      </c>
      <c r="AF22" s="8" t="s">
        <v>15</v>
      </c>
      <c r="AG22" s="8">
        <v>1.0</v>
      </c>
      <c r="AH22" s="8">
        <v>2.0</v>
      </c>
      <c r="AI22" s="8">
        <v>3.0</v>
      </c>
      <c r="AJ22" s="8">
        <v>4.0</v>
      </c>
      <c r="AK22" s="8">
        <v>5.0</v>
      </c>
      <c r="AL22" s="8">
        <v>6.0</v>
      </c>
      <c r="AM22" s="8">
        <v>7.0</v>
      </c>
    </row>
    <row r="23" ht="15.75" customHeight="1">
      <c r="A23" s="21"/>
      <c r="B23" s="8"/>
      <c r="C23" s="23">
        <v>0.0</v>
      </c>
      <c r="D23" s="23">
        <v>1.0</v>
      </c>
      <c r="E23" s="23">
        <v>0.0</v>
      </c>
      <c r="F23" s="23">
        <v>1.0</v>
      </c>
      <c r="G23" s="23">
        <v>0.0</v>
      </c>
      <c r="H23" s="23">
        <v>1.0</v>
      </c>
      <c r="I23" s="23">
        <v>0.0</v>
      </c>
      <c r="K23" s="21"/>
      <c r="L23" s="8"/>
      <c r="M23" s="23">
        <v>0.0</v>
      </c>
      <c r="N23" s="23">
        <v>1.0</v>
      </c>
      <c r="O23" s="23">
        <v>0.0</v>
      </c>
      <c r="P23" s="23">
        <v>1.0</v>
      </c>
      <c r="Q23" s="23">
        <v>0.0</v>
      </c>
      <c r="R23" s="23">
        <v>1.0</v>
      </c>
      <c r="S23" s="23">
        <v>0.0</v>
      </c>
      <c r="U23" s="21"/>
      <c r="V23" s="8"/>
      <c r="W23" s="23">
        <v>0.0</v>
      </c>
      <c r="X23" s="23">
        <v>1.0</v>
      </c>
      <c r="Y23" s="23">
        <v>0.0</v>
      </c>
      <c r="Z23" s="23">
        <v>1.0</v>
      </c>
      <c r="AA23" s="23">
        <v>0.0</v>
      </c>
      <c r="AB23" s="23">
        <v>1.0</v>
      </c>
      <c r="AC23" s="23">
        <v>0.0</v>
      </c>
      <c r="AE23" s="21"/>
      <c r="AF23" s="8"/>
      <c r="AG23" s="23">
        <v>0.0</v>
      </c>
      <c r="AH23" s="23">
        <v>1.0</v>
      </c>
      <c r="AI23" s="23">
        <v>0.0</v>
      </c>
      <c r="AJ23" s="23">
        <v>1.0</v>
      </c>
      <c r="AK23" s="23">
        <v>0.0</v>
      </c>
      <c r="AL23" s="23">
        <v>1.0</v>
      </c>
      <c r="AM23" s="23">
        <v>1.0</v>
      </c>
    </row>
    <row r="24" ht="15.75" customHeight="1">
      <c r="A24" s="21"/>
      <c r="B24" s="8">
        <v>8.0</v>
      </c>
      <c r="C24" s="23">
        <v>1.0</v>
      </c>
      <c r="D24" s="23">
        <v>0.0</v>
      </c>
      <c r="E24" s="23">
        <v>1.0</v>
      </c>
      <c r="F24" s="23">
        <v>0.0</v>
      </c>
      <c r="G24" s="23">
        <v>1.0</v>
      </c>
      <c r="H24" s="23">
        <v>1.0</v>
      </c>
      <c r="I24" s="23">
        <v>1.0</v>
      </c>
      <c r="K24" s="21"/>
      <c r="L24" s="8">
        <v>8.0</v>
      </c>
      <c r="M24" s="23">
        <v>1.0</v>
      </c>
      <c r="N24" s="23">
        <v>0.0</v>
      </c>
      <c r="O24" s="23">
        <v>1.0</v>
      </c>
      <c r="P24" s="23">
        <v>1.0</v>
      </c>
      <c r="Q24" s="23">
        <v>1.0</v>
      </c>
      <c r="R24" s="23">
        <v>1.0</v>
      </c>
      <c r="S24" s="23">
        <v>1.0</v>
      </c>
      <c r="U24" s="21"/>
      <c r="V24" s="8">
        <v>8.0</v>
      </c>
      <c r="W24" s="23">
        <v>1.0</v>
      </c>
      <c r="X24" s="23">
        <v>1.0</v>
      </c>
      <c r="Y24" s="23">
        <v>1.0</v>
      </c>
      <c r="Z24" s="23">
        <v>1.0</v>
      </c>
      <c r="AA24" s="23">
        <v>1.0</v>
      </c>
      <c r="AB24" s="23">
        <v>1.0</v>
      </c>
      <c r="AC24" s="23">
        <v>0.0</v>
      </c>
      <c r="AE24" s="21"/>
      <c r="AF24" s="8">
        <v>8.0</v>
      </c>
      <c r="AG24" s="23">
        <v>1.0</v>
      </c>
      <c r="AH24" s="23">
        <v>1.0</v>
      </c>
      <c r="AI24" s="23">
        <v>1.0</v>
      </c>
      <c r="AJ24" s="23">
        <v>1.0</v>
      </c>
      <c r="AK24" s="23">
        <v>0.0</v>
      </c>
      <c r="AL24" s="23">
        <v>0.0</v>
      </c>
      <c r="AM24" s="23">
        <v>0.0</v>
      </c>
    </row>
    <row r="25" ht="15.75" customHeight="1">
      <c r="A25" s="21"/>
      <c r="B25" s="8">
        <v>15.0</v>
      </c>
      <c r="C25" s="23">
        <v>1.0</v>
      </c>
      <c r="D25" s="23">
        <v>1.0</v>
      </c>
      <c r="E25" s="23">
        <v>1.0</v>
      </c>
      <c r="F25" s="23">
        <v>0.0</v>
      </c>
      <c r="G25" s="23">
        <v>0.0</v>
      </c>
      <c r="H25" s="23">
        <v>0.0</v>
      </c>
      <c r="I25" s="23">
        <v>0.0</v>
      </c>
      <c r="K25" s="21"/>
      <c r="L25" s="8">
        <v>15.0</v>
      </c>
      <c r="M25" s="23">
        <v>1.0</v>
      </c>
      <c r="N25" s="23">
        <v>0.0</v>
      </c>
      <c r="O25" s="23">
        <v>0.0</v>
      </c>
      <c r="P25" s="23">
        <v>0.0</v>
      </c>
      <c r="Q25" s="23">
        <v>0.0</v>
      </c>
      <c r="R25" s="23">
        <v>1.0</v>
      </c>
      <c r="S25" s="23">
        <v>1.0</v>
      </c>
      <c r="U25" s="21"/>
      <c r="V25" s="8">
        <v>15.0</v>
      </c>
      <c r="W25" s="23">
        <v>0.0</v>
      </c>
      <c r="X25" s="23">
        <v>0.0</v>
      </c>
      <c r="Y25" s="23">
        <v>0.0</v>
      </c>
      <c r="Z25" s="23">
        <v>1.0</v>
      </c>
      <c r="AA25" s="23">
        <v>1.0</v>
      </c>
      <c r="AB25" s="23">
        <v>0.0</v>
      </c>
      <c r="AC25" s="23">
        <v>0.0</v>
      </c>
      <c r="AE25" s="21"/>
      <c r="AF25" s="8">
        <v>15.0</v>
      </c>
      <c r="AG25" s="23">
        <v>0.0</v>
      </c>
      <c r="AH25" s="23">
        <v>1.0</v>
      </c>
      <c r="AI25" s="23">
        <v>1.0</v>
      </c>
      <c r="AJ25" s="23">
        <v>0.0</v>
      </c>
      <c r="AK25" s="23">
        <v>0.0</v>
      </c>
      <c r="AL25" s="23">
        <v>1.0</v>
      </c>
      <c r="AM25" s="23">
        <v>1.0</v>
      </c>
    </row>
    <row r="26" ht="15.75" customHeight="1">
      <c r="A26" s="21"/>
      <c r="B26" s="8">
        <v>22.0</v>
      </c>
      <c r="C26" s="23">
        <v>1.0</v>
      </c>
      <c r="D26" s="23">
        <v>1.0</v>
      </c>
      <c r="E26" s="23">
        <v>0.0</v>
      </c>
      <c r="F26" s="23">
        <v>0.0</v>
      </c>
      <c r="G26" s="23">
        <v>1.0</v>
      </c>
      <c r="H26" s="23">
        <v>1.0</v>
      </c>
      <c r="I26" s="23">
        <v>0.0</v>
      </c>
      <c r="K26" s="21"/>
      <c r="L26" s="8">
        <v>22.0</v>
      </c>
      <c r="M26" s="23">
        <v>0.0</v>
      </c>
      <c r="N26" s="23">
        <v>0.0</v>
      </c>
      <c r="O26" s="23">
        <v>1.0</v>
      </c>
      <c r="P26" s="23">
        <v>1.0</v>
      </c>
      <c r="Q26" s="23">
        <v>0.0</v>
      </c>
      <c r="R26" s="23">
        <v>0.0</v>
      </c>
      <c r="S26" s="23">
        <v>1.0</v>
      </c>
      <c r="U26" s="21"/>
      <c r="V26" s="8">
        <v>22.0</v>
      </c>
      <c r="W26" s="23">
        <v>1.0</v>
      </c>
      <c r="X26" s="23">
        <v>1.0</v>
      </c>
      <c r="Y26" s="23">
        <v>0.0</v>
      </c>
      <c r="Z26" s="23">
        <v>0.0</v>
      </c>
      <c r="AA26" s="23">
        <v>1.0</v>
      </c>
      <c r="AB26" s="23">
        <v>0.0</v>
      </c>
      <c r="AC26" s="23">
        <v>1.0</v>
      </c>
      <c r="AE26" s="21"/>
      <c r="AF26" s="8">
        <v>22.0</v>
      </c>
      <c r="AG26" s="23">
        <v>0.0</v>
      </c>
      <c r="AH26" s="23">
        <v>0.0</v>
      </c>
      <c r="AI26" s="23">
        <v>1.0</v>
      </c>
      <c r="AJ26" s="23">
        <v>0.0</v>
      </c>
      <c r="AK26" s="23">
        <v>1.0</v>
      </c>
      <c r="AL26" s="23">
        <v>0.0</v>
      </c>
      <c r="AM26" s="23">
        <v>1.0</v>
      </c>
    </row>
    <row r="27" ht="15.75" customHeight="1">
      <c r="A27" s="21"/>
      <c r="B27" s="8">
        <v>29.0</v>
      </c>
      <c r="C27" s="23">
        <v>0.0</v>
      </c>
      <c r="D27" s="23">
        <v>1.0</v>
      </c>
      <c r="E27" s="23">
        <v>1.0</v>
      </c>
      <c r="F27" s="23">
        <v>1.0</v>
      </c>
      <c r="G27" s="23">
        <v>1.0</v>
      </c>
      <c r="H27" s="23">
        <v>0.0</v>
      </c>
      <c r="I27" s="23">
        <v>0.0</v>
      </c>
      <c r="K27" s="21"/>
      <c r="L27" s="8">
        <v>29.0</v>
      </c>
      <c r="M27" s="23">
        <v>1.0</v>
      </c>
      <c r="N27" s="23">
        <v>1.0</v>
      </c>
      <c r="O27" s="23">
        <v>1.0</v>
      </c>
      <c r="P27" s="23">
        <v>0.0</v>
      </c>
      <c r="Q27" s="23">
        <v>0.0</v>
      </c>
      <c r="R27" s="23">
        <v>0.0</v>
      </c>
      <c r="S27" s="23">
        <v>0.0</v>
      </c>
      <c r="U27" s="21"/>
      <c r="V27" s="8">
        <v>29.0</v>
      </c>
      <c r="W27" s="23">
        <v>1.0</v>
      </c>
      <c r="X27" s="23">
        <v>0.0</v>
      </c>
      <c r="Y27" s="23">
        <v>0.0</v>
      </c>
      <c r="Z27" s="23">
        <v>0.0</v>
      </c>
      <c r="AA27" s="23">
        <v>0.0</v>
      </c>
      <c r="AB27" s="23">
        <v>1.0</v>
      </c>
      <c r="AC27" s="23">
        <v>0.0</v>
      </c>
      <c r="AE27" s="21"/>
      <c r="AF27" s="8">
        <v>29.0</v>
      </c>
      <c r="AG27" s="23">
        <v>0.0</v>
      </c>
      <c r="AH27" s="23">
        <v>0.0</v>
      </c>
      <c r="AI27" s="23">
        <v>0.0</v>
      </c>
      <c r="AJ27" s="23">
        <v>1.0</v>
      </c>
      <c r="AK27" s="23">
        <v>0.0</v>
      </c>
      <c r="AL27" s="23">
        <v>1.0</v>
      </c>
      <c r="AM27" s="23">
        <v>0.0</v>
      </c>
    </row>
    <row r="28" ht="15.75" customHeight="1">
      <c r="A28" s="21"/>
      <c r="B28" s="8">
        <v>36.0</v>
      </c>
      <c r="C28" s="23">
        <v>0.0</v>
      </c>
      <c r="D28" s="23">
        <v>0.0</v>
      </c>
      <c r="E28" s="23">
        <v>1.0</v>
      </c>
      <c r="F28" s="23">
        <v>0.0</v>
      </c>
      <c r="G28" s="23">
        <v>1.0</v>
      </c>
      <c r="H28" s="23">
        <v>0.0</v>
      </c>
      <c r="I28" s="23">
        <v>1.0</v>
      </c>
      <c r="K28" s="21"/>
      <c r="L28" s="8">
        <v>36.0</v>
      </c>
      <c r="M28" s="23">
        <v>1.0</v>
      </c>
      <c r="N28" s="23">
        <v>0.0</v>
      </c>
      <c r="O28" s="23">
        <v>1.0</v>
      </c>
      <c r="P28" s="23">
        <v>0.0</v>
      </c>
      <c r="Q28" s="23">
        <v>1.0</v>
      </c>
      <c r="R28" s="23">
        <v>0.0</v>
      </c>
      <c r="S28" s="23">
        <v>1.0</v>
      </c>
      <c r="U28" s="21"/>
      <c r="V28" s="8">
        <v>36.0</v>
      </c>
      <c r="W28" s="23">
        <v>1.0</v>
      </c>
      <c r="X28" s="23">
        <v>0.0</v>
      </c>
      <c r="Y28" s="23">
        <v>1.0</v>
      </c>
      <c r="Z28" s="23">
        <v>0.0</v>
      </c>
      <c r="AA28" s="23">
        <v>1.0</v>
      </c>
      <c r="AB28" s="23">
        <v>0.0</v>
      </c>
      <c r="AC28" s="23">
        <v>1.0</v>
      </c>
      <c r="AE28" s="21"/>
      <c r="AF28" s="8">
        <v>36.0</v>
      </c>
      <c r="AG28" s="23">
        <v>1.0</v>
      </c>
      <c r="AH28" s="23">
        <v>0.0</v>
      </c>
      <c r="AI28" s="23">
        <v>1.0</v>
      </c>
      <c r="AJ28" s="23">
        <v>0.0</v>
      </c>
      <c r="AK28" s="23">
        <v>1.0</v>
      </c>
      <c r="AL28" s="23">
        <v>0.0</v>
      </c>
      <c r="AM28" s="23">
        <v>1.0</v>
      </c>
    </row>
    <row r="29" ht="15.75" customHeight="1">
      <c r="A29" s="21"/>
      <c r="B29" s="8">
        <v>43.0</v>
      </c>
      <c r="C29" s="23">
        <v>0.0</v>
      </c>
      <c r="D29" s="23">
        <v>1.0</v>
      </c>
      <c r="E29" s="23">
        <v>0.0</v>
      </c>
      <c r="F29" s="23">
        <v>1.0</v>
      </c>
      <c r="G29" s="23">
        <v>0.0</v>
      </c>
      <c r="H29" s="23">
        <v>1.0</v>
      </c>
      <c r="I29" s="23">
        <v>0.0</v>
      </c>
      <c r="K29" s="21"/>
      <c r="L29" s="8">
        <v>43.0</v>
      </c>
      <c r="M29" s="23">
        <v>0.0</v>
      </c>
      <c r="N29" s="23">
        <v>1.0</v>
      </c>
      <c r="O29" s="23">
        <v>0.0</v>
      </c>
      <c r="P29" s="23">
        <v>1.0</v>
      </c>
      <c r="Q29" s="23">
        <v>0.0</v>
      </c>
      <c r="R29" s="23">
        <v>1.0</v>
      </c>
      <c r="S29" s="23">
        <v>1.0</v>
      </c>
      <c r="U29" s="21"/>
      <c r="V29" s="8">
        <v>43.0</v>
      </c>
      <c r="W29" s="23">
        <v>0.0</v>
      </c>
      <c r="X29" s="23">
        <v>1.0</v>
      </c>
      <c r="Y29" s="23">
        <v>0.0</v>
      </c>
      <c r="Z29" s="23">
        <v>1.0</v>
      </c>
      <c r="AA29" s="23">
        <v>1.0</v>
      </c>
      <c r="AB29" s="23">
        <v>0.0</v>
      </c>
      <c r="AC29" s="23">
        <v>0.0</v>
      </c>
      <c r="AE29" s="21"/>
      <c r="AF29" s="8">
        <v>43.0</v>
      </c>
      <c r="AG29" s="23">
        <v>0.0</v>
      </c>
      <c r="AH29" s="23">
        <v>1.0</v>
      </c>
      <c r="AI29" s="23">
        <v>1.0</v>
      </c>
      <c r="AJ29" s="23">
        <v>0.0</v>
      </c>
      <c r="AK29" s="23">
        <v>0.0</v>
      </c>
      <c r="AL29" s="23">
        <v>1.0</v>
      </c>
      <c r="AM29" s="23">
        <v>1.0</v>
      </c>
    </row>
    <row r="30" ht="15.75" customHeight="1">
      <c r="A30" s="21"/>
      <c r="B30" s="8">
        <v>50.0</v>
      </c>
      <c r="C30" s="23">
        <v>1.0</v>
      </c>
      <c r="D30" s="23">
        <v>1.0</v>
      </c>
      <c r="E30" s="23">
        <v>0.0</v>
      </c>
      <c r="F30" s="23">
        <v>0.0</v>
      </c>
      <c r="G30" s="23">
        <v>1.0</v>
      </c>
      <c r="H30" s="23">
        <v>1.0</v>
      </c>
      <c r="I30" s="23">
        <v>0.0</v>
      </c>
      <c r="K30" s="21"/>
      <c r="L30" s="8">
        <v>50.0</v>
      </c>
      <c r="M30" s="23">
        <v>0.0</v>
      </c>
      <c r="N30" s="23">
        <v>0.0</v>
      </c>
      <c r="O30" s="23">
        <v>1.0</v>
      </c>
      <c r="P30" s="23">
        <v>1.0</v>
      </c>
      <c r="Q30" s="23">
        <v>0.0</v>
      </c>
      <c r="R30" s="23">
        <v>0.0</v>
      </c>
      <c r="S30" s="23">
        <v>1.0</v>
      </c>
      <c r="U30" s="21"/>
      <c r="V30" s="8">
        <v>50.0</v>
      </c>
      <c r="W30" s="23">
        <v>1.0</v>
      </c>
      <c r="X30" s="23">
        <v>1.0</v>
      </c>
      <c r="Y30" s="23">
        <v>0.0</v>
      </c>
      <c r="Z30" s="23">
        <v>0.0</v>
      </c>
      <c r="AA30" s="23">
        <v>1.0</v>
      </c>
      <c r="AB30" s="23">
        <v>1.0</v>
      </c>
      <c r="AC30" s="23">
        <v>1.0</v>
      </c>
      <c r="AE30" s="21"/>
      <c r="AF30" s="8">
        <v>50.0</v>
      </c>
      <c r="AG30" s="23">
        <v>0.0</v>
      </c>
      <c r="AH30" s="23">
        <v>0.0</v>
      </c>
      <c r="AI30" s="23">
        <v>1.0</v>
      </c>
      <c r="AJ30" s="23">
        <v>1.0</v>
      </c>
      <c r="AK30" s="23">
        <v>1.0</v>
      </c>
      <c r="AL30" s="23">
        <v>1.0</v>
      </c>
      <c r="AM30" s="23">
        <v>0.0</v>
      </c>
    </row>
    <row r="31" ht="15.75" customHeight="1"/>
    <row r="32" ht="15.75" customHeight="1">
      <c r="A32" s="21" t="s">
        <v>66</v>
      </c>
      <c r="B32" s="8" t="s">
        <v>15</v>
      </c>
      <c r="C32" s="8">
        <v>1.0</v>
      </c>
      <c r="D32" s="8">
        <v>2.0</v>
      </c>
      <c r="E32" s="8">
        <v>3.0</v>
      </c>
      <c r="F32" s="8">
        <v>4.0</v>
      </c>
      <c r="G32" s="8">
        <v>5.0</v>
      </c>
      <c r="H32" s="8">
        <v>6.0</v>
      </c>
      <c r="I32" s="8">
        <v>7.0</v>
      </c>
      <c r="K32" s="21" t="s">
        <v>67</v>
      </c>
      <c r="L32" s="8" t="s">
        <v>15</v>
      </c>
      <c r="M32" s="8">
        <v>1.0</v>
      </c>
      <c r="N32" s="8">
        <v>2.0</v>
      </c>
      <c r="O32" s="8">
        <v>3.0</v>
      </c>
      <c r="P32" s="8">
        <v>4.0</v>
      </c>
      <c r="Q32" s="8">
        <v>5.0</v>
      </c>
      <c r="R32" s="8">
        <v>6.0</v>
      </c>
      <c r="S32" s="8">
        <v>7.0</v>
      </c>
      <c r="U32" s="21" t="s">
        <v>68</v>
      </c>
      <c r="V32" s="8" t="s">
        <v>15</v>
      </c>
      <c r="W32" s="8">
        <v>1.0</v>
      </c>
      <c r="X32" s="8">
        <v>2.0</v>
      </c>
      <c r="Y32" s="8">
        <v>3.0</v>
      </c>
      <c r="Z32" s="8">
        <v>4.0</v>
      </c>
      <c r="AA32" s="8">
        <v>5.0</v>
      </c>
      <c r="AB32" s="8">
        <v>6.0</v>
      </c>
      <c r="AC32" s="8">
        <v>7.0</v>
      </c>
      <c r="AE32" s="21" t="s">
        <v>69</v>
      </c>
      <c r="AF32" s="8" t="s">
        <v>15</v>
      </c>
      <c r="AG32" s="8">
        <v>1.0</v>
      </c>
      <c r="AH32" s="8">
        <v>2.0</v>
      </c>
      <c r="AI32" s="8">
        <v>3.0</v>
      </c>
      <c r="AJ32" s="8">
        <v>4.0</v>
      </c>
      <c r="AK32" s="8">
        <v>5.0</v>
      </c>
      <c r="AL32" s="8">
        <v>6.0</v>
      </c>
      <c r="AM32" s="8">
        <v>7.0</v>
      </c>
    </row>
    <row r="33" ht="15.75" customHeight="1">
      <c r="A33" s="21"/>
      <c r="B33" s="8"/>
      <c r="C33" s="23">
        <v>0.0</v>
      </c>
      <c r="D33" s="23">
        <v>1.0</v>
      </c>
      <c r="E33" s="23">
        <v>0.0</v>
      </c>
      <c r="F33" s="23">
        <v>1.0</v>
      </c>
      <c r="G33" s="23">
        <v>1.0</v>
      </c>
      <c r="H33" s="23">
        <v>1.0</v>
      </c>
      <c r="I33" s="23">
        <v>1.0</v>
      </c>
      <c r="K33" s="21"/>
      <c r="L33" s="8"/>
      <c r="M33" s="23">
        <v>0.0</v>
      </c>
      <c r="N33" s="23">
        <v>1.0</v>
      </c>
      <c r="O33" s="23">
        <v>1.0</v>
      </c>
      <c r="P33" s="23">
        <v>1.0</v>
      </c>
      <c r="Q33" s="23">
        <v>1.0</v>
      </c>
      <c r="R33" s="23">
        <v>1.0</v>
      </c>
      <c r="S33" s="23">
        <v>1.0</v>
      </c>
      <c r="U33" s="21"/>
      <c r="V33" s="8"/>
      <c r="W33" s="23">
        <v>1.0</v>
      </c>
      <c r="X33" s="23">
        <v>1.0</v>
      </c>
      <c r="Y33" s="23">
        <v>1.0</v>
      </c>
      <c r="Z33" s="23">
        <v>1.0</v>
      </c>
      <c r="AA33" s="23">
        <v>1.0</v>
      </c>
      <c r="AB33" s="23">
        <v>0.0</v>
      </c>
      <c r="AC33" s="23">
        <v>0.0</v>
      </c>
      <c r="AE33" s="21"/>
      <c r="AF33" s="8"/>
      <c r="AG33" s="23">
        <v>1.0</v>
      </c>
      <c r="AH33" s="23">
        <v>1.0</v>
      </c>
      <c r="AI33" s="23">
        <v>1.0</v>
      </c>
      <c r="AJ33" s="23">
        <v>1.0</v>
      </c>
      <c r="AK33" s="23">
        <v>0.0</v>
      </c>
      <c r="AL33" s="23">
        <v>0.0</v>
      </c>
      <c r="AM33" s="23">
        <v>0.0</v>
      </c>
    </row>
    <row r="34" ht="15.75" customHeight="1">
      <c r="A34" s="21"/>
      <c r="B34" s="8">
        <v>8.0</v>
      </c>
      <c r="C34" s="23">
        <v>1.0</v>
      </c>
      <c r="D34" s="23">
        <v>1.0</v>
      </c>
      <c r="E34" s="23">
        <v>0.0</v>
      </c>
      <c r="F34" s="23">
        <v>0.0</v>
      </c>
      <c r="G34" s="23">
        <v>0.0</v>
      </c>
      <c r="H34" s="23">
        <v>0.0</v>
      </c>
      <c r="I34" s="23">
        <v>1.0</v>
      </c>
      <c r="K34" s="21"/>
      <c r="L34" s="8">
        <v>8.0</v>
      </c>
      <c r="M34" s="23">
        <v>0.0</v>
      </c>
      <c r="N34" s="23">
        <v>0.0</v>
      </c>
      <c r="O34" s="23">
        <v>0.0</v>
      </c>
      <c r="P34" s="23">
        <v>0.0</v>
      </c>
      <c r="Q34" s="23">
        <v>1.0</v>
      </c>
      <c r="R34" s="23">
        <v>1.0</v>
      </c>
      <c r="S34" s="23">
        <v>0.0</v>
      </c>
      <c r="U34" s="21"/>
      <c r="V34" s="8">
        <v>8.0</v>
      </c>
      <c r="W34" s="23">
        <v>0.0</v>
      </c>
      <c r="X34" s="23">
        <v>0.0</v>
      </c>
      <c r="Y34" s="23">
        <v>1.0</v>
      </c>
      <c r="Z34" s="23">
        <v>1.0</v>
      </c>
      <c r="AA34" s="23">
        <v>0.0</v>
      </c>
      <c r="AB34" s="23">
        <v>0.0</v>
      </c>
      <c r="AC34" s="23">
        <v>1.0</v>
      </c>
      <c r="AE34" s="21"/>
      <c r="AF34" s="8">
        <v>8.0</v>
      </c>
      <c r="AG34" s="23">
        <v>0.0</v>
      </c>
      <c r="AH34" s="23">
        <v>1.0</v>
      </c>
      <c r="AI34" s="23">
        <v>1.0</v>
      </c>
      <c r="AJ34" s="23">
        <v>0.0</v>
      </c>
      <c r="AK34" s="23">
        <v>0.0</v>
      </c>
      <c r="AL34" s="23">
        <v>1.0</v>
      </c>
      <c r="AM34" s="23">
        <v>1.0</v>
      </c>
    </row>
    <row r="35" ht="15.75" customHeight="1">
      <c r="A35" s="21"/>
      <c r="B35" s="8">
        <v>15.0</v>
      </c>
      <c r="C35" s="23">
        <v>1.0</v>
      </c>
      <c r="D35" s="23">
        <v>0.0</v>
      </c>
      <c r="E35" s="23">
        <v>0.0</v>
      </c>
      <c r="F35" s="23">
        <v>1.0</v>
      </c>
      <c r="G35" s="23">
        <v>1.0</v>
      </c>
      <c r="H35" s="23">
        <v>0.0</v>
      </c>
      <c r="I35" s="23">
        <v>0.0</v>
      </c>
      <c r="K35" s="21"/>
      <c r="L35" s="8">
        <v>15.0</v>
      </c>
      <c r="M35" s="23">
        <v>0.0</v>
      </c>
      <c r="N35" s="23">
        <v>1.0</v>
      </c>
      <c r="O35" s="23">
        <v>1.0</v>
      </c>
      <c r="P35" s="23">
        <v>0.0</v>
      </c>
      <c r="Q35" s="23">
        <v>0.0</v>
      </c>
      <c r="R35" s="23">
        <v>1.0</v>
      </c>
      <c r="S35" s="23">
        <v>0.0</v>
      </c>
      <c r="U35" s="21"/>
      <c r="V35" s="8">
        <v>15.0</v>
      </c>
      <c r="W35" s="23">
        <v>1.0</v>
      </c>
      <c r="X35" s="23">
        <v>0.0</v>
      </c>
      <c r="Y35" s="23">
        <v>0.0</v>
      </c>
      <c r="Z35" s="23">
        <v>1.0</v>
      </c>
      <c r="AA35" s="23">
        <v>0.0</v>
      </c>
      <c r="AB35" s="23">
        <v>1.0</v>
      </c>
      <c r="AC35" s="23">
        <v>0.0</v>
      </c>
      <c r="AE35" s="21"/>
      <c r="AF35" s="8">
        <v>15.0</v>
      </c>
      <c r="AG35" s="23">
        <v>0.0</v>
      </c>
      <c r="AH35" s="23">
        <v>0.0</v>
      </c>
      <c r="AI35" s="23">
        <v>1.0</v>
      </c>
      <c r="AJ35" s="23">
        <v>0.0</v>
      </c>
      <c r="AK35" s="23">
        <v>1.0</v>
      </c>
      <c r="AL35" s="23">
        <v>0.0</v>
      </c>
      <c r="AM35" s="23">
        <v>1.0</v>
      </c>
    </row>
    <row r="36" ht="15.75" customHeight="1">
      <c r="A36" s="21"/>
      <c r="B36" s="8">
        <v>22.0</v>
      </c>
      <c r="C36" s="23">
        <v>1.0</v>
      </c>
      <c r="D36" s="23">
        <v>0.0</v>
      </c>
      <c r="E36" s="23">
        <v>1.0</v>
      </c>
      <c r="F36" s="23">
        <v>0.0</v>
      </c>
      <c r="G36" s="23">
        <v>1.0</v>
      </c>
      <c r="H36" s="23">
        <v>0.0</v>
      </c>
      <c r="I36" s="23">
        <v>1.0</v>
      </c>
      <c r="K36" s="21"/>
      <c r="L36" s="8">
        <v>22.0</v>
      </c>
      <c r="M36" s="23">
        <v>1.0</v>
      </c>
      <c r="N36" s="23">
        <v>0.0</v>
      </c>
      <c r="O36" s="23">
        <v>1.0</v>
      </c>
      <c r="P36" s="23">
        <v>0.0</v>
      </c>
      <c r="Q36" s="23">
        <v>1.0</v>
      </c>
      <c r="R36" s="23">
        <v>0.0</v>
      </c>
      <c r="S36" s="23">
        <v>1.0</v>
      </c>
      <c r="U36" s="21"/>
      <c r="V36" s="8">
        <v>22.0</v>
      </c>
      <c r="W36" s="23">
        <v>1.0</v>
      </c>
      <c r="X36" s="23">
        <v>0.0</v>
      </c>
      <c r="Y36" s="23">
        <v>1.0</v>
      </c>
      <c r="Z36" s="23">
        <v>0.0</v>
      </c>
      <c r="AA36" s="23">
        <v>1.0</v>
      </c>
      <c r="AB36" s="23">
        <v>0.0</v>
      </c>
      <c r="AC36" s="23">
        <v>1.0</v>
      </c>
      <c r="AE36" s="21"/>
      <c r="AF36" s="8">
        <v>22.0</v>
      </c>
      <c r="AG36" s="23">
        <v>0.0</v>
      </c>
      <c r="AH36" s="23">
        <v>1.0</v>
      </c>
      <c r="AI36" s="23">
        <v>0.0</v>
      </c>
      <c r="AJ36" s="23">
        <v>1.0</v>
      </c>
      <c r="AK36" s="23">
        <v>0.0</v>
      </c>
      <c r="AL36" s="23">
        <v>1.0</v>
      </c>
      <c r="AM36" s="23">
        <v>1.0</v>
      </c>
    </row>
    <row r="37" ht="15.75" customHeight="1">
      <c r="A37" s="21"/>
      <c r="B37" s="8">
        <v>29.0</v>
      </c>
      <c r="C37" s="23">
        <v>0.0</v>
      </c>
      <c r="D37" s="23">
        <v>1.0</v>
      </c>
      <c r="E37" s="23">
        <v>0.0</v>
      </c>
      <c r="F37" s="23">
        <v>1.0</v>
      </c>
      <c r="G37" s="23">
        <v>0.0</v>
      </c>
      <c r="H37" s="23">
        <v>1.0</v>
      </c>
      <c r="I37" s="23">
        <v>0.0</v>
      </c>
      <c r="K37" s="21"/>
      <c r="L37" s="8">
        <v>29.0</v>
      </c>
      <c r="M37" s="23">
        <v>0.0</v>
      </c>
      <c r="N37" s="23">
        <v>1.0</v>
      </c>
      <c r="O37" s="23">
        <v>0.0</v>
      </c>
      <c r="P37" s="23">
        <v>1.0</v>
      </c>
      <c r="Q37" s="23">
        <v>0.0</v>
      </c>
      <c r="R37" s="23">
        <v>1.0</v>
      </c>
      <c r="S37" s="23">
        <v>0.0</v>
      </c>
      <c r="U37" s="21"/>
      <c r="V37" s="8">
        <v>29.0</v>
      </c>
      <c r="W37" s="23">
        <v>0.0</v>
      </c>
      <c r="X37" s="23">
        <v>1.0</v>
      </c>
      <c r="Y37" s="23">
        <v>0.0</v>
      </c>
      <c r="Z37" s="23">
        <v>1.0</v>
      </c>
      <c r="AA37" s="23">
        <v>0.0</v>
      </c>
      <c r="AB37" s="23">
        <v>1.0</v>
      </c>
      <c r="AC37" s="23">
        <v>0.0</v>
      </c>
      <c r="AE37" s="21"/>
      <c r="AF37" s="8">
        <v>29.0</v>
      </c>
      <c r="AG37" s="23">
        <v>1.0</v>
      </c>
      <c r="AH37" s="23">
        <v>0.0</v>
      </c>
      <c r="AI37" s="23">
        <v>1.0</v>
      </c>
      <c r="AJ37" s="23">
        <v>0.0</v>
      </c>
      <c r="AK37" s="23">
        <v>1.0</v>
      </c>
      <c r="AL37" s="23">
        <v>0.0</v>
      </c>
      <c r="AM37" s="23">
        <v>1.0</v>
      </c>
    </row>
    <row r="38" ht="15.75" customHeight="1">
      <c r="A38" s="21"/>
      <c r="B38" s="8">
        <v>36.0</v>
      </c>
      <c r="C38" s="23">
        <v>1.0</v>
      </c>
      <c r="D38" s="23">
        <v>0.0</v>
      </c>
      <c r="E38" s="23">
        <v>1.0</v>
      </c>
      <c r="F38" s="23">
        <v>0.0</v>
      </c>
      <c r="G38" s="23">
        <v>1.0</v>
      </c>
      <c r="H38" s="23">
        <v>0.0</v>
      </c>
      <c r="I38" s="23">
        <v>1.0</v>
      </c>
      <c r="K38" s="21"/>
      <c r="L38" s="8">
        <v>36.0</v>
      </c>
      <c r="M38" s="23">
        <v>1.0</v>
      </c>
      <c r="N38" s="23">
        <v>0.0</v>
      </c>
      <c r="O38" s="23">
        <v>1.0</v>
      </c>
      <c r="P38" s="23">
        <v>0.0</v>
      </c>
      <c r="Q38" s="23">
        <v>1.0</v>
      </c>
      <c r="R38" s="23">
        <v>1.0</v>
      </c>
      <c r="S38" s="23">
        <v>0.0</v>
      </c>
      <c r="U38" s="21"/>
      <c r="V38" s="8">
        <v>36.0</v>
      </c>
      <c r="W38" s="23">
        <v>1.0</v>
      </c>
      <c r="X38" s="23">
        <v>0.0</v>
      </c>
      <c r="Y38" s="23">
        <v>1.0</v>
      </c>
      <c r="Z38" s="23">
        <v>1.0</v>
      </c>
      <c r="AA38" s="23">
        <v>0.0</v>
      </c>
      <c r="AB38" s="23">
        <v>0.0</v>
      </c>
      <c r="AC38" s="23">
        <v>1.0</v>
      </c>
      <c r="AE38" s="21"/>
      <c r="AF38" s="8">
        <v>36.0</v>
      </c>
      <c r="AG38" s="23">
        <v>0.0</v>
      </c>
      <c r="AH38" s="23">
        <v>1.0</v>
      </c>
      <c r="AI38" s="23">
        <v>1.0</v>
      </c>
      <c r="AJ38" s="23">
        <v>0.0</v>
      </c>
      <c r="AK38" s="23">
        <v>0.0</v>
      </c>
      <c r="AL38" s="23">
        <v>1.0</v>
      </c>
      <c r="AM38" s="23">
        <v>1.0</v>
      </c>
    </row>
    <row r="39" ht="15.75" customHeight="1">
      <c r="A39" s="21"/>
      <c r="B39" s="8">
        <v>43.0</v>
      </c>
      <c r="C39" s="23">
        <v>1.0</v>
      </c>
      <c r="D39" s="23">
        <v>0.0</v>
      </c>
      <c r="E39" s="23">
        <v>0.0</v>
      </c>
      <c r="F39" s="23">
        <v>1.0</v>
      </c>
      <c r="G39" s="23">
        <v>1.0</v>
      </c>
      <c r="H39" s="23">
        <v>0.0</v>
      </c>
      <c r="I39" s="23">
        <v>0.0</v>
      </c>
      <c r="K39" s="21"/>
      <c r="L39" s="8">
        <v>43.0</v>
      </c>
      <c r="M39" s="23">
        <v>0.0</v>
      </c>
      <c r="N39" s="23">
        <v>1.0</v>
      </c>
      <c r="O39" s="23">
        <v>1.0</v>
      </c>
      <c r="P39" s="23">
        <v>0.0</v>
      </c>
      <c r="Q39" s="23">
        <v>0.0</v>
      </c>
      <c r="R39" s="23">
        <v>1.0</v>
      </c>
      <c r="S39" s="23">
        <v>1.0</v>
      </c>
      <c r="U39" s="21"/>
      <c r="V39" s="8">
        <v>43.0</v>
      </c>
      <c r="W39" s="23">
        <v>1.0</v>
      </c>
      <c r="X39" s="23">
        <v>0.0</v>
      </c>
      <c r="Y39" s="23">
        <v>0.0</v>
      </c>
      <c r="Z39" s="23">
        <v>1.0</v>
      </c>
      <c r="AA39" s="23">
        <v>1.0</v>
      </c>
      <c r="AB39" s="23">
        <v>1.0</v>
      </c>
      <c r="AC39" s="23">
        <v>1.0</v>
      </c>
      <c r="AE39" s="21"/>
      <c r="AF39" s="8">
        <v>43.0</v>
      </c>
      <c r="AG39" s="23">
        <v>0.0</v>
      </c>
      <c r="AH39" s="23">
        <v>0.0</v>
      </c>
      <c r="AI39" s="23">
        <v>1.0</v>
      </c>
      <c r="AJ39" s="23">
        <v>1.0</v>
      </c>
      <c r="AK39" s="23">
        <v>1.0</v>
      </c>
      <c r="AL39" s="23">
        <v>1.0</v>
      </c>
      <c r="AM39" s="23">
        <v>0.0</v>
      </c>
    </row>
    <row r="40" ht="15.75" customHeight="1">
      <c r="A40" s="21"/>
      <c r="B40" s="8">
        <v>50.0</v>
      </c>
      <c r="C40" s="23">
        <v>1.0</v>
      </c>
      <c r="D40" s="23">
        <v>1.0</v>
      </c>
      <c r="E40" s="23">
        <v>1.0</v>
      </c>
      <c r="F40" s="23">
        <v>1.0</v>
      </c>
      <c r="G40" s="23">
        <v>0.0</v>
      </c>
      <c r="H40" s="23">
        <v>0.0</v>
      </c>
      <c r="I40" s="23">
        <v>0.0</v>
      </c>
      <c r="K40" s="21"/>
      <c r="L40" s="8">
        <v>50.0</v>
      </c>
      <c r="M40" s="23">
        <v>1.0</v>
      </c>
      <c r="N40" s="23">
        <v>1.0</v>
      </c>
      <c r="O40" s="23">
        <v>0.0</v>
      </c>
      <c r="P40" s="23">
        <v>0.0</v>
      </c>
      <c r="Q40" s="23">
        <v>0.0</v>
      </c>
      <c r="R40" s="23">
        <v>0.0</v>
      </c>
      <c r="S40" s="23">
        <v>1.0</v>
      </c>
      <c r="U40" s="21"/>
      <c r="V40" s="8">
        <v>50.0</v>
      </c>
      <c r="W40" s="23">
        <v>0.0</v>
      </c>
      <c r="X40" s="23">
        <v>0.0</v>
      </c>
      <c r="Y40" s="23">
        <v>0.0</v>
      </c>
      <c r="Z40" s="23">
        <v>0.0</v>
      </c>
      <c r="AA40" s="23">
        <v>1.0</v>
      </c>
      <c r="AB40" s="23">
        <v>0.0</v>
      </c>
      <c r="AC40" s="23">
        <v>1.0</v>
      </c>
      <c r="AE40" s="21"/>
      <c r="AF40" s="8">
        <v>50.0</v>
      </c>
      <c r="AG40" s="23">
        <v>0.0</v>
      </c>
      <c r="AH40" s="23">
        <v>0.0</v>
      </c>
      <c r="AI40" s="23">
        <v>0.0</v>
      </c>
      <c r="AJ40" s="23">
        <v>1.0</v>
      </c>
      <c r="AK40" s="23">
        <v>0.0</v>
      </c>
      <c r="AL40" s="23">
        <v>1.0</v>
      </c>
      <c r="AM40" s="23">
        <v>0.0</v>
      </c>
    </row>
    <row r="41" ht="15.75" customHeight="1"/>
    <row r="42" ht="15.75" customHeight="1">
      <c r="A42" s="25" t="s">
        <v>70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ht="15.75" customHeight="1"/>
    <row r="44" ht="15.75" customHeight="1">
      <c r="C44" s="27">
        <v>14.0</v>
      </c>
      <c r="D44" s="27">
        <v>17.0</v>
      </c>
      <c r="E44" s="27">
        <v>11.0</v>
      </c>
      <c r="F44" s="27">
        <v>24.0</v>
      </c>
      <c r="G44" s="27">
        <v>1.0</v>
      </c>
      <c r="H44" s="27">
        <v>5.0</v>
      </c>
    </row>
    <row r="45" ht="15.75" customHeight="1">
      <c r="C45" s="27">
        <v>3.0</v>
      </c>
      <c r="D45" s="27">
        <v>28.0</v>
      </c>
      <c r="E45" s="27">
        <v>15.0</v>
      </c>
      <c r="F45" s="27">
        <v>6.0</v>
      </c>
      <c r="G45" s="27">
        <v>21.0</v>
      </c>
      <c r="H45" s="27">
        <v>10.0</v>
      </c>
    </row>
    <row r="46" ht="15.75" customHeight="1">
      <c r="C46" s="27">
        <v>23.0</v>
      </c>
      <c r="D46" s="27">
        <v>19.0</v>
      </c>
      <c r="E46" s="27">
        <v>12.0</v>
      </c>
      <c r="F46" s="27">
        <v>4.0</v>
      </c>
      <c r="G46" s="27">
        <v>26.0</v>
      </c>
      <c r="H46" s="27">
        <v>8.0</v>
      </c>
    </row>
    <row r="47" ht="15.75" customHeight="1">
      <c r="C47" s="27">
        <v>16.0</v>
      </c>
      <c r="D47" s="27">
        <v>7.0</v>
      </c>
      <c r="E47" s="27">
        <v>27.0</v>
      </c>
      <c r="F47" s="27">
        <v>20.0</v>
      </c>
      <c r="G47" s="27">
        <v>13.0</v>
      </c>
      <c r="H47" s="27">
        <v>2.0</v>
      </c>
    </row>
    <row r="48" ht="15.75" customHeight="1">
      <c r="C48" s="27">
        <v>41.0</v>
      </c>
      <c r="D48" s="27">
        <v>52.0</v>
      </c>
      <c r="E48" s="27">
        <v>31.0</v>
      </c>
      <c r="F48" s="27">
        <v>37.0</v>
      </c>
      <c r="G48" s="27">
        <v>47.0</v>
      </c>
      <c r="H48" s="27">
        <v>55.0</v>
      </c>
    </row>
    <row r="49" ht="15.75" customHeight="1">
      <c r="C49" s="27">
        <v>30.0</v>
      </c>
      <c r="D49" s="27">
        <v>40.0</v>
      </c>
      <c r="E49" s="27">
        <v>51.0</v>
      </c>
      <c r="F49" s="27">
        <v>45.0</v>
      </c>
      <c r="G49" s="27">
        <v>33.0</v>
      </c>
      <c r="H49" s="27">
        <v>48.0</v>
      </c>
    </row>
    <row r="50" ht="15.75" customHeight="1">
      <c r="C50" s="27">
        <v>44.0</v>
      </c>
      <c r="D50" s="27">
        <v>49.0</v>
      </c>
      <c r="E50" s="27">
        <v>39.0</v>
      </c>
      <c r="F50" s="27">
        <v>56.0</v>
      </c>
      <c r="G50" s="27">
        <v>34.0</v>
      </c>
      <c r="H50" s="27">
        <v>53.0</v>
      </c>
    </row>
    <row r="51" ht="15.75" customHeight="1">
      <c r="C51" s="27">
        <v>46.0</v>
      </c>
      <c r="D51" s="27">
        <v>42.0</v>
      </c>
      <c r="E51" s="27">
        <v>50.0</v>
      </c>
      <c r="F51" s="27">
        <v>36.0</v>
      </c>
      <c r="G51" s="27">
        <v>29.0</v>
      </c>
      <c r="H51" s="27">
        <v>32.0</v>
      </c>
    </row>
    <row r="52" ht="15.75" customHeight="1"/>
    <row r="53" ht="36.0" customHeight="1">
      <c r="A53" s="24" t="s">
        <v>71</v>
      </c>
      <c r="B53" s="18"/>
      <c r="C53" s="18"/>
      <c r="D53" s="18"/>
      <c r="E53" s="18"/>
      <c r="F53" s="18"/>
      <c r="G53" s="18"/>
      <c r="H53" s="18"/>
      <c r="I53" s="19"/>
      <c r="AL53" s="28" t="s">
        <v>72</v>
      </c>
      <c r="AM53" s="18"/>
      <c r="AN53" s="18"/>
      <c r="AO53" s="18"/>
      <c r="AP53" s="19"/>
    </row>
    <row r="54" ht="15.75" customHeight="1"/>
    <row r="55" ht="15.75" customHeight="1">
      <c r="A55" s="29" t="s">
        <v>73</v>
      </c>
      <c r="B55" s="30" t="s">
        <v>34</v>
      </c>
      <c r="C55" s="31">
        <v>1.0</v>
      </c>
      <c r="D55" s="31">
        <v>2.0</v>
      </c>
      <c r="E55" s="31">
        <v>3.0</v>
      </c>
      <c r="F55" s="31">
        <v>4.0</v>
      </c>
      <c r="G55" s="31">
        <v>5.0</v>
      </c>
      <c r="H55" s="31">
        <v>6.0</v>
      </c>
      <c r="I55" s="32"/>
      <c r="J55" s="29" t="s">
        <v>74</v>
      </c>
      <c r="K55" s="30" t="s">
        <v>34</v>
      </c>
      <c r="L55" s="31">
        <v>1.0</v>
      </c>
      <c r="M55" s="31">
        <v>2.0</v>
      </c>
      <c r="N55" s="31">
        <v>3.0</v>
      </c>
      <c r="O55" s="31">
        <v>4.0</v>
      </c>
      <c r="P55" s="31">
        <v>5.0</v>
      </c>
      <c r="Q55" s="31">
        <v>6.0</v>
      </c>
      <c r="R55" s="32"/>
      <c r="S55" s="29" t="s">
        <v>75</v>
      </c>
      <c r="T55" s="30" t="s">
        <v>34</v>
      </c>
      <c r="U55" s="31">
        <v>1.0</v>
      </c>
      <c r="V55" s="31">
        <v>2.0</v>
      </c>
      <c r="W55" s="31">
        <v>3.0</v>
      </c>
      <c r="X55" s="31">
        <v>4.0</v>
      </c>
      <c r="Y55" s="31">
        <v>5.0</v>
      </c>
      <c r="Z55" s="31">
        <v>6.0</v>
      </c>
      <c r="AA55" s="32"/>
      <c r="AB55" s="29" t="s">
        <v>76</v>
      </c>
      <c r="AC55" s="30" t="s">
        <v>34</v>
      </c>
      <c r="AD55" s="31">
        <v>1.0</v>
      </c>
      <c r="AE55" s="31">
        <v>2.0</v>
      </c>
      <c r="AF55" s="31">
        <v>3.0</v>
      </c>
      <c r="AG55" s="31">
        <v>4.0</v>
      </c>
      <c r="AH55" s="31">
        <v>5.0</v>
      </c>
      <c r="AI55" s="31">
        <v>6.0</v>
      </c>
      <c r="AL55" s="33" t="s">
        <v>77</v>
      </c>
      <c r="AM55" s="33"/>
      <c r="AN55" s="33"/>
      <c r="AO55" s="33"/>
      <c r="AP55" s="33"/>
    </row>
    <row r="56" ht="15.75" customHeight="1">
      <c r="A56" s="34"/>
      <c r="B56" s="35"/>
      <c r="C56" s="36">
        <v>0.0</v>
      </c>
      <c r="D56" s="36">
        <v>0.0</v>
      </c>
      <c r="E56" s="36">
        <v>0.0</v>
      </c>
      <c r="F56" s="36">
        <v>1.0</v>
      </c>
      <c r="G56" s="36">
        <v>1.0</v>
      </c>
      <c r="H56" s="36">
        <v>0.0</v>
      </c>
      <c r="I56" s="32"/>
      <c r="J56" s="34"/>
      <c r="K56" s="35"/>
      <c r="L56" s="37">
        <v>0.0</v>
      </c>
      <c r="M56" s="37">
        <v>1.0</v>
      </c>
      <c r="N56" s="37">
        <v>1.0</v>
      </c>
      <c r="O56" s="37">
        <v>0.0</v>
      </c>
      <c r="P56" s="37">
        <v>1.0</v>
      </c>
      <c r="Q56" s="37">
        <v>0.0</v>
      </c>
      <c r="R56" s="32"/>
      <c r="S56" s="34"/>
      <c r="T56" s="35"/>
      <c r="U56" s="37">
        <v>0.0</v>
      </c>
      <c r="V56" s="37">
        <v>1.0</v>
      </c>
      <c r="W56" s="37">
        <v>0.0</v>
      </c>
      <c r="X56" s="37">
        <v>1.0</v>
      </c>
      <c r="Y56" s="37">
        <v>0.0</v>
      </c>
      <c r="Z56" s="37">
        <v>1.0</v>
      </c>
      <c r="AA56" s="32"/>
      <c r="AB56" s="34"/>
      <c r="AC56" s="35"/>
      <c r="AD56" s="37">
        <v>0.0</v>
      </c>
      <c r="AE56" s="37">
        <v>1.0</v>
      </c>
      <c r="AF56" s="37">
        <v>1.0</v>
      </c>
      <c r="AG56" s="37">
        <v>1.0</v>
      </c>
      <c r="AH56" s="37">
        <v>0.0</v>
      </c>
      <c r="AI56" s="37">
        <v>0.0</v>
      </c>
      <c r="AL56" s="33" t="s">
        <v>73</v>
      </c>
      <c r="AM56" s="33" t="str">
        <f>TEXTJOIN("",TRUE,khoaK1)</f>
        <v>000110110000001011101111110110110100100110100101</v>
      </c>
      <c r="AN56" s="33"/>
      <c r="AO56" s="33"/>
      <c r="AP56" s="33"/>
    </row>
    <row r="57" ht="15.75" customHeight="1">
      <c r="A57" s="34"/>
      <c r="B57" s="38">
        <v>7.0</v>
      </c>
      <c r="C57" s="36">
        <v>1.0</v>
      </c>
      <c r="D57" s="36">
        <v>1.0</v>
      </c>
      <c r="E57" s="36">
        <v>0.0</v>
      </c>
      <c r="F57" s="36">
        <v>0.0</v>
      </c>
      <c r="G57" s="36">
        <v>0.0</v>
      </c>
      <c r="H57" s="36">
        <v>0.0</v>
      </c>
      <c r="I57" s="32"/>
      <c r="J57" s="34"/>
      <c r="K57" s="38">
        <v>7.0</v>
      </c>
      <c r="L57" s="37">
        <v>0.0</v>
      </c>
      <c r="M57" s="37">
        <v>1.0</v>
      </c>
      <c r="N57" s="37">
        <v>1.0</v>
      </c>
      <c r="O57" s="37">
        <v>0.0</v>
      </c>
      <c r="P57" s="37">
        <v>1.0</v>
      </c>
      <c r="Q57" s="37">
        <v>0.0</v>
      </c>
      <c r="R57" s="32"/>
      <c r="S57" s="34"/>
      <c r="T57" s="38">
        <v>7.0</v>
      </c>
      <c r="U57" s="37">
        <v>0.0</v>
      </c>
      <c r="V57" s="37">
        <v>1.0</v>
      </c>
      <c r="W57" s="37">
        <v>1.0</v>
      </c>
      <c r="X57" s="37">
        <v>1.0</v>
      </c>
      <c r="Y57" s="37">
        <v>1.0</v>
      </c>
      <c r="Z57" s="37">
        <v>1.0</v>
      </c>
      <c r="AA57" s="32"/>
      <c r="AB57" s="34"/>
      <c r="AC57" s="38">
        <v>7.0</v>
      </c>
      <c r="AD57" s="37">
        <v>1.0</v>
      </c>
      <c r="AE57" s="37">
        <v>0.0</v>
      </c>
      <c r="AF57" s="37">
        <v>1.0</v>
      </c>
      <c r="AG57" s="37">
        <v>0.0</v>
      </c>
      <c r="AH57" s="37">
        <v>1.0</v>
      </c>
      <c r="AI57" s="37">
        <v>0.0</v>
      </c>
      <c r="AL57" s="33" t="s">
        <v>74</v>
      </c>
      <c r="AM57" s="33" t="str">
        <f>TEXTJOIN("",TRUE,khoaK2)</f>
        <v>011010011010111011011001001001011110101001100110</v>
      </c>
      <c r="AN57" s="33"/>
      <c r="AO57" s="33"/>
      <c r="AP57" s="33"/>
    </row>
    <row r="58" ht="15.75" customHeight="1">
      <c r="A58" s="34"/>
      <c r="B58" s="38">
        <v>13.0</v>
      </c>
      <c r="C58" s="36">
        <v>0.0</v>
      </c>
      <c r="D58" s="36">
        <v>0.0</v>
      </c>
      <c r="E58" s="36">
        <v>1.0</v>
      </c>
      <c r="F58" s="36">
        <v>0.0</v>
      </c>
      <c r="G58" s="36">
        <v>1.0</v>
      </c>
      <c r="H58" s="36">
        <v>1.0</v>
      </c>
      <c r="I58" s="32"/>
      <c r="J58" s="34"/>
      <c r="K58" s="38">
        <v>13.0</v>
      </c>
      <c r="L58" s="37">
        <v>1.0</v>
      </c>
      <c r="M58" s="37">
        <v>1.0</v>
      </c>
      <c r="N58" s="37">
        <v>1.0</v>
      </c>
      <c r="O58" s="37">
        <v>0.0</v>
      </c>
      <c r="P58" s="37">
        <v>1.0</v>
      </c>
      <c r="Q58" s="37">
        <v>1.0</v>
      </c>
      <c r="R58" s="32"/>
      <c r="S58" s="34"/>
      <c r="T58" s="38">
        <v>13.0</v>
      </c>
      <c r="U58" s="37">
        <v>1.0</v>
      </c>
      <c r="V58" s="37">
        <v>1.0</v>
      </c>
      <c r="W58" s="37">
        <v>0.0</v>
      </c>
      <c r="X58" s="37">
        <v>0.0</v>
      </c>
      <c r="Y58" s="37">
        <v>1.0</v>
      </c>
      <c r="Z58" s="37">
        <v>0.0</v>
      </c>
      <c r="AA58" s="32"/>
      <c r="AB58" s="34"/>
      <c r="AC58" s="38">
        <v>13.0</v>
      </c>
      <c r="AD58" s="37">
        <v>1.0</v>
      </c>
      <c r="AE58" s="37">
        <v>1.0</v>
      </c>
      <c r="AF58" s="37">
        <v>0.0</v>
      </c>
      <c r="AG58" s="37">
        <v>1.0</v>
      </c>
      <c r="AH58" s="37">
        <v>1.0</v>
      </c>
      <c r="AI58" s="37">
        <v>1.0</v>
      </c>
      <c r="AL58" s="33" t="s">
        <v>75</v>
      </c>
      <c r="AM58" s="33" t="str">
        <f>TEXTJOIN("",TRUE,khoaK3)</f>
        <v>010101011111110010001010101101001010110011010010</v>
      </c>
      <c r="AN58" s="33"/>
      <c r="AO58" s="33"/>
      <c r="AP58" s="33"/>
    </row>
    <row r="59" ht="15.75" customHeight="1">
      <c r="A59" s="34"/>
      <c r="B59" s="38">
        <v>19.0</v>
      </c>
      <c r="C59" s="36">
        <v>1.0</v>
      </c>
      <c r="D59" s="36">
        <v>0.0</v>
      </c>
      <c r="E59" s="36">
        <v>1.0</v>
      </c>
      <c r="F59" s="36">
        <v>1.0</v>
      </c>
      <c r="G59" s="36">
        <v>1.0</v>
      </c>
      <c r="H59" s="36">
        <v>1.0</v>
      </c>
      <c r="I59" s="32"/>
      <c r="J59" s="34"/>
      <c r="K59" s="38">
        <v>19.0</v>
      </c>
      <c r="L59" s="37">
        <v>0.0</v>
      </c>
      <c r="M59" s="37">
        <v>1.0</v>
      </c>
      <c r="N59" s="37">
        <v>1.0</v>
      </c>
      <c r="O59" s="37">
        <v>0.0</v>
      </c>
      <c r="P59" s="37">
        <v>0.0</v>
      </c>
      <c r="Q59" s="37">
        <v>1.0</v>
      </c>
      <c r="R59" s="32"/>
      <c r="S59" s="34"/>
      <c r="T59" s="38">
        <v>19.0</v>
      </c>
      <c r="U59" s="37">
        <v>0.0</v>
      </c>
      <c r="V59" s="37">
        <v>0.0</v>
      </c>
      <c r="W59" s="37">
        <v>1.0</v>
      </c>
      <c r="X59" s="37">
        <v>0.0</v>
      </c>
      <c r="Y59" s="37">
        <v>1.0</v>
      </c>
      <c r="Z59" s="37">
        <v>0.0</v>
      </c>
      <c r="AA59" s="32"/>
      <c r="AB59" s="34"/>
      <c r="AC59" s="38">
        <v>19.0</v>
      </c>
      <c r="AD59" s="37">
        <v>0.0</v>
      </c>
      <c r="AE59" s="37">
        <v>1.0</v>
      </c>
      <c r="AF59" s="37">
        <v>0.0</v>
      </c>
      <c r="AG59" s="37">
        <v>0.0</v>
      </c>
      <c r="AH59" s="37">
        <v>1.0</v>
      </c>
      <c r="AI59" s="37">
        <v>0.0</v>
      </c>
      <c r="AL59" s="33" t="s">
        <v>76</v>
      </c>
      <c r="AM59" s="33" t="str">
        <f>TEXTJOIN("",TRUE,khoaK4)</f>
        <v>011100101010110111010010101011011000011001010111</v>
      </c>
      <c r="AN59" s="33"/>
      <c r="AO59" s="33"/>
      <c r="AP59" s="33"/>
    </row>
    <row r="60" ht="15.75" customHeight="1">
      <c r="A60" s="34"/>
      <c r="B60" s="38">
        <v>25.0</v>
      </c>
      <c r="C60" s="36">
        <v>1.0</v>
      </c>
      <c r="D60" s="36">
        <v>1.0</v>
      </c>
      <c r="E60" s="36">
        <v>0.0</v>
      </c>
      <c r="F60" s="36">
        <v>1.0</v>
      </c>
      <c r="G60" s="36">
        <v>1.0</v>
      </c>
      <c r="H60" s="36">
        <v>0.0</v>
      </c>
      <c r="I60" s="32"/>
      <c r="J60" s="34"/>
      <c r="K60" s="38">
        <v>25.0</v>
      </c>
      <c r="L60" s="37">
        <v>0.0</v>
      </c>
      <c r="M60" s="37">
        <v>0.0</v>
      </c>
      <c r="N60" s="37">
        <v>1.0</v>
      </c>
      <c r="O60" s="37">
        <v>0.0</v>
      </c>
      <c r="P60" s="37">
        <v>0.0</v>
      </c>
      <c r="Q60" s="37">
        <v>1.0</v>
      </c>
      <c r="R60" s="32"/>
      <c r="S60" s="34"/>
      <c r="T60" s="38">
        <v>25.0</v>
      </c>
      <c r="U60" s="37">
        <v>1.0</v>
      </c>
      <c r="V60" s="37">
        <v>0.0</v>
      </c>
      <c r="W60" s="37">
        <v>1.0</v>
      </c>
      <c r="X60" s="37">
        <v>1.0</v>
      </c>
      <c r="Y60" s="37">
        <v>0.0</v>
      </c>
      <c r="Z60" s="37">
        <v>1.0</v>
      </c>
      <c r="AA60" s="32"/>
      <c r="AB60" s="34"/>
      <c r="AC60" s="38">
        <v>25.0</v>
      </c>
      <c r="AD60" s="37">
        <v>1.0</v>
      </c>
      <c r="AE60" s="37">
        <v>0.0</v>
      </c>
      <c r="AF60" s="37">
        <v>1.0</v>
      </c>
      <c r="AG60" s="37">
        <v>0.0</v>
      </c>
      <c r="AH60" s="37">
        <v>1.0</v>
      </c>
      <c r="AI60" s="37">
        <v>1.0</v>
      </c>
      <c r="AL60" s="33" t="s">
        <v>78</v>
      </c>
      <c r="AM60" s="33" t="str">
        <f>TEXTJOIN("",TRUE,khoaK5)</f>
        <v>011111001110110000000111000111111110011011000010</v>
      </c>
      <c r="AN60" s="33"/>
      <c r="AO60" s="33"/>
      <c r="AP60" s="33"/>
    </row>
    <row r="61" ht="15.75" customHeight="1">
      <c r="A61" s="34"/>
      <c r="B61" s="38">
        <v>31.0</v>
      </c>
      <c r="C61" s="36">
        <v>1.0</v>
      </c>
      <c r="D61" s="36">
        <v>1.0</v>
      </c>
      <c r="E61" s="36">
        <v>0.0</v>
      </c>
      <c r="F61" s="36">
        <v>1.0</v>
      </c>
      <c r="G61" s="36">
        <v>0.0</v>
      </c>
      <c r="H61" s="36">
        <v>0.0</v>
      </c>
      <c r="I61" s="32"/>
      <c r="J61" s="34"/>
      <c r="K61" s="38">
        <v>31.0</v>
      </c>
      <c r="L61" s="37">
        <v>0.0</v>
      </c>
      <c r="M61" s="37">
        <v>1.0</v>
      </c>
      <c r="N61" s="37">
        <v>1.0</v>
      </c>
      <c r="O61" s="37">
        <v>1.0</v>
      </c>
      <c r="P61" s="37">
        <v>1.0</v>
      </c>
      <c r="Q61" s="37">
        <v>0.0</v>
      </c>
      <c r="R61" s="32"/>
      <c r="S61" s="34"/>
      <c r="T61" s="38">
        <v>31.0</v>
      </c>
      <c r="U61" s="37">
        <v>0.0</v>
      </c>
      <c r="V61" s="37">
        <v>0.0</v>
      </c>
      <c r="W61" s="37">
        <v>1.0</v>
      </c>
      <c r="X61" s="37">
        <v>0.0</v>
      </c>
      <c r="Y61" s="37">
        <v>1.0</v>
      </c>
      <c r="Z61" s="37">
        <v>0.0</v>
      </c>
      <c r="AA61" s="32"/>
      <c r="AB61" s="34"/>
      <c r="AC61" s="38">
        <v>31.0</v>
      </c>
      <c r="AD61" s="37">
        <v>0.0</v>
      </c>
      <c r="AE61" s="37">
        <v>1.0</v>
      </c>
      <c r="AF61" s="37">
        <v>1.0</v>
      </c>
      <c r="AG61" s="37">
        <v>0.0</v>
      </c>
      <c r="AH61" s="37">
        <v>0.0</v>
      </c>
      <c r="AI61" s="37">
        <v>0.0</v>
      </c>
      <c r="AL61" s="33" t="s">
        <v>79</v>
      </c>
      <c r="AM61" s="33" t="str">
        <f>TEXTJOIN("",TRUE,khoaK6)</f>
        <v>011000111010010100011110001111001100010101000101</v>
      </c>
      <c r="AN61" s="33"/>
      <c r="AO61" s="33"/>
      <c r="AP61" s="33"/>
    </row>
    <row r="62" ht="15.75" customHeight="1">
      <c r="A62" s="34"/>
      <c r="B62" s="38">
        <v>37.0</v>
      </c>
      <c r="C62" s="36">
        <v>1.0</v>
      </c>
      <c r="D62" s="36">
        <v>0.0</v>
      </c>
      <c r="E62" s="36">
        <v>0.0</v>
      </c>
      <c r="F62" s="36">
        <v>1.0</v>
      </c>
      <c r="G62" s="36">
        <v>1.0</v>
      </c>
      <c r="H62" s="36">
        <v>0.0</v>
      </c>
      <c r="I62" s="32"/>
      <c r="J62" s="34"/>
      <c r="K62" s="38">
        <v>37.0</v>
      </c>
      <c r="L62" s="37">
        <v>1.0</v>
      </c>
      <c r="M62" s="37">
        <v>0.0</v>
      </c>
      <c r="N62" s="37">
        <v>1.0</v>
      </c>
      <c r="O62" s="37">
        <v>0.0</v>
      </c>
      <c r="P62" s="37">
        <v>0.0</v>
      </c>
      <c r="Q62" s="37">
        <v>1.0</v>
      </c>
      <c r="R62" s="32"/>
      <c r="S62" s="34"/>
      <c r="T62" s="38">
        <v>37.0</v>
      </c>
      <c r="U62" s="37">
        <v>1.0</v>
      </c>
      <c r="V62" s="37">
        <v>1.0</v>
      </c>
      <c r="W62" s="37">
        <v>0.0</v>
      </c>
      <c r="X62" s="37">
        <v>0.0</v>
      </c>
      <c r="Y62" s="37">
        <v>1.0</v>
      </c>
      <c r="Z62" s="37">
        <v>1.0</v>
      </c>
      <c r="AA62" s="32"/>
      <c r="AB62" s="34"/>
      <c r="AC62" s="38">
        <v>37.0</v>
      </c>
      <c r="AD62" s="37">
        <v>0.0</v>
      </c>
      <c r="AE62" s="37">
        <v>1.0</v>
      </c>
      <c r="AF62" s="37">
        <v>1.0</v>
      </c>
      <c r="AG62" s="37">
        <v>0.0</v>
      </c>
      <c r="AH62" s="37">
        <v>0.0</v>
      </c>
      <c r="AI62" s="37">
        <v>1.0</v>
      </c>
      <c r="AL62" s="33" t="s">
        <v>80</v>
      </c>
      <c r="AM62" s="33" t="str">
        <f>TEXTJOIN("",TRUE,khoaK7)</f>
        <v>011011001000010010110111100010101110010011000110</v>
      </c>
      <c r="AN62" s="33"/>
      <c r="AO62" s="33"/>
      <c r="AP62" s="33"/>
    </row>
    <row r="63" ht="15.75" customHeight="1">
      <c r="A63" s="34"/>
      <c r="B63" s="38">
        <v>43.0</v>
      </c>
      <c r="C63" s="36">
        <v>1.0</v>
      </c>
      <c r="D63" s="36">
        <v>0.0</v>
      </c>
      <c r="E63" s="36">
        <v>0.0</v>
      </c>
      <c r="F63" s="36">
        <v>1.0</v>
      </c>
      <c r="G63" s="36">
        <v>0.0</v>
      </c>
      <c r="H63" s="36">
        <v>1.0</v>
      </c>
      <c r="I63" s="32"/>
      <c r="J63" s="34"/>
      <c r="K63" s="38">
        <v>43.0</v>
      </c>
      <c r="L63" s="37">
        <v>1.0</v>
      </c>
      <c r="M63" s="37">
        <v>0.0</v>
      </c>
      <c r="N63" s="37">
        <v>0.0</v>
      </c>
      <c r="O63" s="37">
        <v>1.0</v>
      </c>
      <c r="P63" s="37">
        <v>1.0</v>
      </c>
      <c r="Q63" s="37">
        <v>0.0</v>
      </c>
      <c r="R63" s="32"/>
      <c r="S63" s="34"/>
      <c r="T63" s="38">
        <v>43.0</v>
      </c>
      <c r="U63" s="37">
        <v>0.0</v>
      </c>
      <c r="V63" s="37">
        <v>1.0</v>
      </c>
      <c r="W63" s="37">
        <v>0.0</v>
      </c>
      <c r="X63" s="37">
        <v>0.0</v>
      </c>
      <c r="Y63" s="37">
        <v>1.0</v>
      </c>
      <c r="Z63" s="37">
        <v>0.0</v>
      </c>
      <c r="AA63" s="32"/>
      <c r="AB63" s="34"/>
      <c r="AC63" s="38">
        <v>43.0</v>
      </c>
      <c r="AD63" s="37">
        <v>0.0</v>
      </c>
      <c r="AE63" s="37">
        <v>1.0</v>
      </c>
      <c r="AF63" s="37">
        <v>0.0</v>
      </c>
      <c r="AG63" s="37">
        <v>1.0</v>
      </c>
      <c r="AH63" s="37">
        <v>1.0</v>
      </c>
      <c r="AI63" s="37">
        <v>1.0</v>
      </c>
      <c r="AL63" s="33" t="s">
        <v>81</v>
      </c>
      <c r="AM63" s="33" t="str">
        <f>TEXTJOIN("",TRUE,khoaK8)</f>
        <v>111101111000100000111010111011001110011110000001</v>
      </c>
      <c r="AN63" s="33"/>
      <c r="AO63" s="33"/>
      <c r="AP63" s="33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L64" s="33" t="s">
        <v>82</v>
      </c>
      <c r="AM64" s="33" t="str">
        <f>TEXTJOIN("",TRUE,khoaK9)</f>
        <v>110000001101101111101011001001111011100000111001</v>
      </c>
      <c r="AN64" s="33"/>
      <c r="AO64" s="33"/>
      <c r="AP64" s="33"/>
    </row>
    <row r="65" ht="15.75" customHeight="1">
      <c r="A65" s="29" t="s">
        <v>78</v>
      </c>
      <c r="B65" s="30" t="s">
        <v>34</v>
      </c>
      <c r="C65" s="31">
        <v>1.0</v>
      </c>
      <c r="D65" s="31">
        <v>2.0</v>
      </c>
      <c r="E65" s="31">
        <v>3.0</v>
      </c>
      <c r="F65" s="31">
        <v>4.0</v>
      </c>
      <c r="G65" s="31">
        <v>5.0</v>
      </c>
      <c r="H65" s="31">
        <v>6.0</v>
      </c>
      <c r="I65" s="32"/>
      <c r="J65" s="29" t="s">
        <v>79</v>
      </c>
      <c r="K65" s="30" t="s">
        <v>34</v>
      </c>
      <c r="L65" s="31">
        <v>1.0</v>
      </c>
      <c r="M65" s="31">
        <v>2.0</v>
      </c>
      <c r="N65" s="31">
        <v>3.0</v>
      </c>
      <c r="O65" s="31">
        <v>4.0</v>
      </c>
      <c r="P65" s="31">
        <v>5.0</v>
      </c>
      <c r="Q65" s="31">
        <v>6.0</v>
      </c>
      <c r="R65" s="32"/>
      <c r="S65" s="29" t="s">
        <v>80</v>
      </c>
      <c r="T65" s="30" t="s">
        <v>34</v>
      </c>
      <c r="U65" s="31">
        <v>1.0</v>
      </c>
      <c r="V65" s="31">
        <v>2.0</v>
      </c>
      <c r="W65" s="31">
        <v>3.0</v>
      </c>
      <c r="X65" s="31">
        <v>4.0</v>
      </c>
      <c r="Y65" s="31">
        <v>5.0</v>
      </c>
      <c r="Z65" s="31">
        <v>6.0</v>
      </c>
      <c r="AA65" s="32"/>
      <c r="AB65" s="29" t="s">
        <v>81</v>
      </c>
      <c r="AC65" s="30" t="s">
        <v>34</v>
      </c>
      <c r="AD65" s="31">
        <v>1.0</v>
      </c>
      <c r="AE65" s="31">
        <v>2.0</v>
      </c>
      <c r="AF65" s="31">
        <v>3.0</v>
      </c>
      <c r="AG65" s="31">
        <v>4.0</v>
      </c>
      <c r="AH65" s="31">
        <v>5.0</v>
      </c>
      <c r="AI65" s="31">
        <v>6.0</v>
      </c>
      <c r="AL65" s="33" t="s">
        <v>83</v>
      </c>
      <c r="AM65" s="33" t="str">
        <f>TEXTJOIN("",TRUE,khoaK10)</f>
        <v>101100011111001101000111011000110001110101110110</v>
      </c>
      <c r="AN65" s="33"/>
      <c r="AO65" s="33"/>
      <c r="AP65" s="33"/>
    </row>
    <row r="66" ht="15.75" customHeight="1">
      <c r="A66" s="34"/>
      <c r="B66" s="35"/>
      <c r="C66" s="37">
        <v>0.0</v>
      </c>
      <c r="D66" s="37">
        <v>1.0</v>
      </c>
      <c r="E66" s="37">
        <v>1.0</v>
      </c>
      <c r="F66" s="37">
        <v>1.0</v>
      </c>
      <c r="G66" s="37">
        <v>1.0</v>
      </c>
      <c r="H66" s="37">
        <v>1.0</v>
      </c>
      <c r="I66" s="32"/>
      <c r="J66" s="34"/>
      <c r="K66" s="35"/>
      <c r="L66" s="37">
        <v>0.0</v>
      </c>
      <c r="M66" s="37">
        <v>1.0</v>
      </c>
      <c r="N66" s="37">
        <v>1.0</v>
      </c>
      <c r="O66" s="37">
        <v>0.0</v>
      </c>
      <c r="P66" s="37">
        <v>0.0</v>
      </c>
      <c r="Q66" s="37">
        <v>0.0</v>
      </c>
      <c r="R66" s="32"/>
      <c r="S66" s="34"/>
      <c r="T66" s="35"/>
      <c r="U66" s="37">
        <v>0.0</v>
      </c>
      <c r="V66" s="37">
        <v>1.0</v>
      </c>
      <c r="W66" s="37">
        <v>1.0</v>
      </c>
      <c r="X66" s="37">
        <v>0.0</v>
      </c>
      <c r="Y66" s="37">
        <v>1.0</v>
      </c>
      <c r="Z66" s="37">
        <v>1.0</v>
      </c>
      <c r="AA66" s="32"/>
      <c r="AB66" s="34"/>
      <c r="AC66" s="35"/>
      <c r="AD66" s="37">
        <v>1.0</v>
      </c>
      <c r="AE66" s="37">
        <v>1.0</v>
      </c>
      <c r="AF66" s="37">
        <v>1.0</v>
      </c>
      <c r="AG66" s="37">
        <v>1.0</v>
      </c>
      <c r="AH66" s="37">
        <v>0.0</v>
      </c>
      <c r="AI66" s="37">
        <v>1.0</v>
      </c>
      <c r="AL66" s="33" t="s">
        <v>84</v>
      </c>
      <c r="AM66" s="33" t="str">
        <f>TEXTJOIN("",TRUE,khoaK11)</f>
        <v>001000010101111111000011000011011000100110111110</v>
      </c>
      <c r="AN66" s="33"/>
      <c r="AO66" s="33"/>
      <c r="AP66" s="33"/>
    </row>
    <row r="67" ht="15.75" customHeight="1">
      <c r="A67" s="34"/>
      <c r="B67" s="38">
        <v>7.0</v>
      </c>
      <c r="C67" s="37">
        <v>0.0</v>
      </c>
      <c r="D67" s="37">
        <v>0.0</v>
      </c>
      <c r="E67" s="37">
        <v>1.0</v>
      </c>
      <c r="F67" s="37">
        <v>1.0</v>
      </c>
      <c r="G67" s="37">
        <v>1.0</v>
      </c>
      <c r="H67" s="37">
        <v>0.0</v>
      </c>
      <c r="I67" s="32"/>
      <c r="J67" s="34"/>
      <c r="K67" s="38">
        <v>7.0</v>
      </c>
      <c r="L67" s="37">
        <v>1.0</v>
      </c>
      <c r="M67" s="37">
        <v>1.0</v>
      </c>
      <c r="N67" s="37">
        <v>1.0</v>
      </c>
      <c r="O67" s="37">
        <v>0.0</v>
      </c>
      <c r="P67" s="37">
        <v>1.0</v>
      </c>
      <c r="Q67" s="37">
        <v>0.0</v>
      </c>
      <c r="R67" s="32"/>
      <c r="S67" s="34"/>
      <c r="T67" s="38">
        <v>7.0</v>
      </c>
      <c r="U67" s="37">
        <v>0.0</v>
      </c>
      <c r="V67" s="37">
        <v>0.0</v>
      </c>
      <c r="W67" s="37">
        <v>1.0</v>
      </c>
      <c r="X67" s="37">
        <v>0.0</v>
      </c>
      <c r="Y67" s="37">
        <v>0.0</v>
      </c>
      <c r="Z67" s="37">
        <v>0.0</v>
      </c>
      <c r="AA67" s="32"/>
      <c r="AB67" s="34"/>
      <c r="AC67" s="38">
        <v>7.0</v>
      </c>
      <c r="AD67" s="37">
        <v>1.0</v>
      </c>
      <c r="AE67" s="37">
        <v>1.0</v>
      </c>
      <c r="AF67" s="37">
        <v>1.0</v>
      </c>
      <c r="AG67" s="37">
        <v>0.0</v>
      </c>
      <c r="AH67" s="37">
        <v>0.0</v>
      </c>
      <c r="AI67" s="37">
        <v>0.0</v>
      </c>
      <c r="AL67" s="33" t="s">
        <v>85</v>
      </c>
      <c r="AM67" s="33" t="str">
        <f>TEXTJOIN("",TRUE,khoaK12)</f>
        <v>011100010111000111110101010001010101110011010101</v>
      </c>
      <c r="AN67" s="33"/>
      <c r="AO67" s="33"/>
      <c r="AP67" s="33"/>
    </row>
    <row r="68" ht="15.75" customHeight="1">
      <c r="A68" s="34"/>
      <c r="B68" s="38">
        <v>13.0</v>
      </c>
      <c r="C68" s="37">
        <v>1.0</v>
      </c>
      <c r="D68" s="37">
        <v>1.0</v>
      </c>
      <c r="E68" s="37">
        <v>0.0</v>
      </c>
      <c r="F68" s="37">
        <v>0.0</v>
      </c>
      <c r="G68" s="37">
        <v>0.0</v>
      </c>
      <c r="H68" s="37">
        <v>0.0</v>
      </c>
      <c r="I68" s="32"/>
      <c r="J68" s="34"/>
      <c r="K68" s="38">
        <v>13.0</v>
      </c>
      <c r="L68" s="37">
        <v>0.0</v>
      </c>
      <c r="M68" s="37">
        <v>1.0</v>
      </c>
      <c r="N68" s="37">
        <v>0.0</v>
      </c>
      <c r="O68" s="37">
        <v>1.0</v>
      </c>
      <c r="P68" s="37">
        <v>0.0</v>
      </c>
      <c r="Q68" s="37">
        <v>0.0</v>
      </c>
      <c r="R68" s="32"/>
      <c r="S68" s="34"/>
      <c r="T68" s="38">
        <v>13.0</v>
      </c>
      <c r="U68" s="37">
        <v>0.0</v>
      </c>
      <c r="V68" s="37">
        <v>1.0</v>
      </c>
      <c r="W68" s="37">
        <v>0.0</v>
      </c>
      <c r="X68" s="37">
        <v>0.0</v>
      </c>
      <c r="Y68" s="37">
        <v>1.0</v>
      </c>
      <c r="Z68" s="37">
        <v>0.0</v>
      </c>
      <c r="AA68" s="32"/>
      <c r="AB68" s="34"/>
      <c r="AC68" s="38">
        <v>13.0</v>
      </c>
      <c r="AD68" s="37">
        <v>1.0</v>
      </c>
      <c r="AE68" s="37">
        <v>0.0</v>
      </c>
      <c r="AF68" s="37">
        <v>0.0</v>
      </c>
      <c r="AG68" s="37">
        <v>0.0</v>
      </c>
      <c r="AH68" s="37">
        <v>0.0</v>
      </c>
      <c r="AI68" s="37">
        <v>0.0</v>
      </c>
      <c r="AL68" s="33" t="s">
        <v>86</v>
      </c>
      <c r="AM68" s="33" t="str">
        <f>TEXTJOIN("",TRUE,khoaK13)</f>
        <v>100101011100010111010001010010111000000011111101</v>
      </c>
      <c r="AN68" s="33"/>
      <c r="AO68" s="33"/>
      <c r="AP68" s="33"/>
    </row>
    <row r="69" ht="15.75" customHeight="1">
      <c r="A69" s="34"/>
      <c r="B69" s="38">
        <v>19.0</v>
      </c>
      <c r="C69" s="37">
        <v>0.0</v>
      </c>
      <c r="D69" s="37">
        <v>0.0</v>
      </c>
      <c r="E69" s="37">
        <v>0.0</v>
      </c>
      <c r="F69" s="37">
        <v>1.0</v>
      </c>
      <c r="G69" s="37">
        <v>1.0</v>
      </c>
      <c r="H69" s="37">
        <v>1.0</v>
      </c>
      <c r="I69" s="32"/>
      <c r="J69" s="34"/>
      <c r="K69" s="38">
        <v>19.0</v>
      </c>
      <c r="L69" s="37">
        <v>0.0</v>
      </c>
      <c r="M69" s="37">
        <v>1.0</v>
      </c>
      <c r="N69" s="37">
        <v>1.0</v>
      </c>
      <c r="O69" s="37">
        <v>1.0</v>
      </c>
      <c r="P69" s="37">
        <v>1.0</v>
      </c>
      <c r="Q69" s="37">
        <v>0.0</v>
      </c>
      <c r="R69" s="32"/>
      <c r="S69" s="34"/>
      <c r="T69" s="38">
        <v>19.0</v>
      </c>
      <c r="U69" s="37">
        <v>1.0</v>
      </c>
      <c r="V69" s="37">
        <v>1.0</v>
      </c>
      <c r="W69" s="37">
        <v>0.0</v>
      </c>
      <c r="X69" s="37">
        <v>1.0</v>
      </c>
      <c r="Y69" s="37">
        <v>1.0</v>
      </c>
      <c r="Z69" s="37">
        <v>1.0</v>
      </c>
      <c r="AA69" s="32"/>
      <c r="AB69" s="34"/>
      <c r="AC69" s="38">
        <v>19.0</v>
      </c>
      <c r="AD69" s="37">
        <v>1.0</v>
      </c>
      <c r="AE69" s="37">
        <v>1.0</v>
      </c>
      <c r="AF69" s="37">
        <v>1.0</v>
      </c>
      <c r="AG69" s="37">
        <v>0.0</v>
      </c>
      <c r="AH69" s="37">
        <v>1.0</v>
      </c>
      <c r="AI69" s="37">
        <v>0.0</v>
      </c>
      <c r="AL69" s="33" t="s">
        <v>87</v>
      </c>
      <c r="AM69" s="33" t="str">
        <f>TEXTJOIN("",TRUE,khoaK14)</f>
        <v>010101110100001110110111100000111101110110001101</v>
      </c>
      <c r="AN69" s="33"/>
      <c r="AO69" s="33"/>
      <c r="AP69" s="33"/>
    </row>
    <row r="70" ht="15.75" customHeight="1">
      <c r="A70" s="34"/>
      <c r="B70" s="38">
        <v>25.0</v>
      </c>
      <c r="C70" s="37">
        <v>0.0</v>
      </c>
      <c r="D70" s="37">
        <v>0.0</v>
      </c>
      <c r="E70" s="37">
        <v>0.0</v>
      </c>
      <c r="F70" s="37">
        <v>1.0</v>
      </c>
      <c r="G70" s="37">
        <v>1.0</v>
      </c>
      <c r="H70" s="37">
        <v>1.0</v>
      </c>
      <c r="I70" s="32"/>
      <c r="J70" s="34"/>
      <c r="K70" s="38">
        <v>25.0</v>
      </c>
      <c r="L70" s="37">
        <v>0.0</v>
      </c>
      <c r="M70" s="37">
        <v>0.0</v>
      </c>
      <c r="N70" s="37">
        <v>1.0</v>
      </c>
      <c r="O70" s="37">
        <v>1.0</v>
      </c>
      <c r="P70" s="37">
        <v>1.0</v>
      </c>
      <c r="Q70" s="37">
        <v>1.0</v>
      </c>
      <c r="R70" s="32"/>
      <c r="S70" s="34"/>
      <c r="T70" s="38">
        <v>25.0</v>
      </c>
      <c r="U70" s="37">
        <v>1.0</v>
      </c>
      <c r="V70" s="37">
        <v>0.0</v>
      </c>
      <c r="W70" s="37">
        <v>0.0</v>
      </c>
      <c r="X70" s="37">
        <v>0.0</v>
      </c>
      <c r="Y70" s="37">
        <v>1.0</v>
      </c>
      <c r="Z70" s="37">
        <v>0.0</v>
      </c>
      <c r="AA70" s="32"/>
      <c r="AB70" s="34"/>
      <c r="AC70" s="38">
        <v>25.0</v>
      </c>
      <c r="AD70" s="37">
        <v>1.0</v>
      </c>
      <c r="AE70" s="37">
        <v>1.0</v>
      </c>
      <c r="AF70" s="37">
        <v>1.0</v>
      </c>
      <c r="AG70" s="37">
        <v>0.0</v>
      </c>
      <c r="AH70" s="37">
        <v>1.0</v>
      </c>
      <c r="AI70" s="37">
        <v>1.0</v>
      </c>
      <c r="AL70" s="33" t="s">
        <v>88</v>
      </c>
      <c r="AM70" s="33" t="str">
        <f>TEXTJOIN("",TRUE,khoaK15)</f>
        <v>101111111001000110000101000010100001011110110101</v>
      </c>
      <c r="AN70" s="33"/>
      <c r="AO70" s="33"/>
      <c r="AP70" s="33"/>
    </row>
    <row r="71" ht="15.75" customHeight="1">
      <c r="A71" s="34"/>
      <c r="B71" s="38">
        <v>31.0</v>
      </c>
      <c r="C71" s="37">
        <v>1.0</v>
      </c>
      <c r="D71" s="37">
        <v>1.0</v>
      </c>
      <c r="E71" s="37">
        <v>1.0</v>
      </c>
      <c r="F71" s="37">
        <v>1.0</v>
      </c>
      <c r="G71" s="37">
        <v>1.0</v>
      </c>
      <c r="H71" s="37">
        <v>0.0</v>
      </c>
      <c r="I71" s="32"/>
      <c r="J71" s="34"/>
      <c r="K71" s="38">
        <v>31.0</v>
      </c>
      <c r="L71" s="37">
        <v>0.0</v>
      </c>
      <c r="M71" s="37">
        <v>0.0</v>
      </c>
      <c r="N71" s="37">
        <v>1.0</v>
      </c>
      <c r="O71" s="37">
        <v>1.0</v>
      </c>
      <c r="P71" s="37">
        <v>0.0</v>
      </c>
      <c r="Q71" s="37">
        <v>0.0</v>
      </c>
      <c r="R71" s="32"/>
      <c r="S71" s="34"/>
      <c r="T71" s="38">
        <v>31.0</v>
      </c>
      <c r="U71" s="37">
        <v>1.0</v>
      </c>
      <c r="V71" s="37">
        <v>0.0</v>
      </c>
      <c r="W71" s="37">
        <v>1.0</v>
      </c>
      <c r="X71" s="37">
        <v>1.0</v>
      </c>
      <c r="Y71" s="37">
        <v>1.0</v>
      </c>
      <c r="Z71" s="37">
        <v>0.0</v>
      </c>
      <c r="AA71" s="32"/>
      <c r="AB71" s="34"/>
      <c r="AC71" s="38">
        <v>31.0</v>
      </c>
      <c r="AD71" s="37">
        <v>0.0</v>
      </c>
      <c r="AE71" s="37">
        <v>0.0</v>
      </c>
      <c r="AF71" s="37">
        <v>1.0</v>
      </c>
      <c r="AG71" s="37">
        <v>1.0</v>
      </c>
      <c r="AH71" s="37">
        <v>1.0</v>
      </c>
      <c r="AI71" s="37">
        <v>0.0</v>
      </c>
      <c r="AL71" s="33" t="s">
        <v>89</v>
      </c>
      <c r="AM71" s="33" t="str">
        <f>TEXTJOIN("",TRUE,khoaK16)</f>
        <v>110010110011110100001011101111000111000001110010</v>
      </c>
      <c r="AN71" s="33"/>
      <c r="AO71" s="33"/>
      <c r="AP71" s="33"/>
    </row>
    <row r="72" ht="15.75" customHeight="1">
      <c r="A72" s="34"/>
      <c r="B72" s="38">
        <v>37.0</v>
      </c>
      <c r="C72" s="37">
        <v>0.0</v>
      </c>
      <c r="D72" s="37">
        <v>1.0</v>
      </c>
      <c r="E72" s="37">
        <v>1.0</v>
      </c>
      <c r="F72" s="37">
        <v>0.0</v>
      </c>
      <c r="G72" s="37">
        <v>1.0</v>
      </c>
      <c r="H72" s="37">
        <v>1.0</v>
      </c>
      <c r="I72" s="32"/>
      <c r="J72" s="34"/>
      <c r="K72" s="38">
        <v>37.0</v>
      </c>
      <c r="L72" s="37">
        <v>0.0</v>
      </c>
      <c r="M72" s="37">
        <v>1.0</v>
      </c>
      <c r="N72" s="37">
        <v>0.0</v>
      </c>
      <c r="O72" s="37">
        <v>1.0</v>
      </c>
      <c r="P72" s="37">
        <v>0.0</v>
      </c>
      <c r="Q72" s="37">
        <v>1.0</v>
      </c>
      <c r="R72" s="32"/>
      <c r="S72" s="34"/>
      <c r="T72" s="38">
        <v>37.0</v>
      </c>
      <c r="U72" s="37">
        <v>0.0</v>
      </c>
      <c r="V72" s="37">
        <v>1.0</v>
      </c>
      <c r="W72" s="37">
        <v>0.0</v>
      </c>
      <c r="X72" s="37">
        <v>0.0</v>
      </c>
      <c r="Y72" s="37">
        <v>1.0</v>
      </c>
      <c r="Z72" s="37">
        <v>1.0</v>
      </c>
      <c r="AA72" s="32"/>
      <c r="AB72" s="34"/>
      <c r="AC72" s="38">
        <v>37.0</v>
      </c>
      <c r="AD72" s="37">
        <v>0.0</v>
      </c>
      <c r="AE72" s="37">
        <v>1.0</v>
      </c>
      <c r="AF72" s="37">
        <v>1.0</v>
      </c>
      <c r="AG72" s="37">
        <v>1.0</v>
      </c>
      <c r="AH72" s="37">
        <v>1.0</v>
      </c>
      <c r="AI72" s="37">
        <v>0.0</v>
      </c>
    </row>
    <row r="73" ht="15.75" customHeight="1">
      <c r="A73" s="34"/>
      <c r="B73" s="38">
        <v>43.0</v>
      </c>
      <c r="C73" s="37">
        <v>0.0</v>
      </c>
      <c r="D73" s="37">
        <v>0.0</v>
      </c>
      <c r="E73" s="37">
        <v>0.0</v>
      </c>
      <c r="F73" s="37">
        <v>0.0</v>
      </c>
      <c r="G73" s="37">
        <v>1.0</v>
      </c>
      <c r="H73" s="37">
        <v>0.0</v>
      </c>
      <c r="I73" s="32"/>
      <c r="J73" s="34"/>
      <c r="K73" s="38">
        <v>43.0</v>
      </c>
      <c r="L73" s="37">
        <v>0.0</v>
      </c>
      <c r="M73" s="37">
        <v>0.0</v>
      </c>
      <c r="N73" s="37">
        <v>0.0</v>
      </c>
      <c r="O73" s="37">
        <v>1.0</v>
      </c>
      <c r="P73" s="37">
        <v>0.0</v>
      </c>
      <c r="Q73" s="37">
        <v>1.0</v>
      </c>
      <c r="R73" s="32"/>
      <c r="S73" s="34"/>
      <c r="T73" s="38">
        <v>43.0</v>
      </c>
      <c r="U73" s="37">
        <v>0.0</v>
      </c>
      <c r="V73" s="37">
        <v>0.0</v>
      </c>
      <c r="W73" s="37">
        <v>0.0</v>
      </c>
      <c r="X73" s="37">
        <v>1.0</v>
      </c>
      <c r="Y73" s="37">
        <v>1.0</v>
      </c>
      <c r="Z73" s="37">
        <v>0.0</v>
      </c>
      <c r="AA73" s="32"/>
      <c r="AB73" s="34"/>
      <c r="AC73" s="38">
        <v>43.0</v>
      </c>
      <c r="AD73" s="37">
        <v>0.0</v>
      </c>
      <c r="AE73" s="37">
        <v>0.0</v>
      </c>
      <c r="AF73" s="37">
        <v>0.0</v>
      </c>
      <c r="AG73" s="37">
        <v>0.0</v>
      </c>
      <c r="AH73" s="37">
        <v>0.0</v>
      </c>
      <c r="AI73" s="37">
        <v>1.0</v>
      </c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ht="15.75" customHeight="1">
      <c r="A75" s="29" t="s">
        <v>82</v>
      </c>
      <c r="B75" s="30" t="s">
        <v>34</v>
      </c>
      <c r="C75" s="31">
        <v>1.0</v>
      </c>
      <c r="D75" s="31">
        <v>2.0</v>
      </c>
      <c r="E75" s="31">
        <v>3.0</v>
      </c>
      <c r="F75" s="31">
        <v>4.0</v>
      </c>
      <c r="G75" s="31">
        <v>5.0</v>
      </c>
      <c r="H75" s="31">
        <v>6.0</v>
      </c>
      <c r="I75" s="32"/>
      <c r="J75" s="29" t="s">
        <v>83</v>
      </c>
      <c r="K75" s="30" t="s">
        <v>34</v>
      </c>
      <c r="L75" s="31">
        <v>1.0</v>
      </c>
      <c r="M75" s="31">
        <v>2.0</v>
      </c>
      <c r="N75" s="31">
        <v>3.0</v>
      </c>
      <c r="O75" s="31">
        <v>4.0</v>
      </c>
      <c r="P75" s="31">
        <v>5.0</v>
      </c>
      <c r="Q75" s="31">
        <v>6.0</v>
      </c>
      <c r="R75" s="32"/>
      <c r="S75" s="29" t="s">
        <v>84</v>
      </c>
      <c r="T75" s="30" t="s">
        <v>34</v>
      </c>
      <c r="U75" s="31">
        <v>1.0</v>
      </c>
      <c r="V75" s="31">
        <v>2.0</v>
      </c>
      <c r="W75" s="31">
        <v>3.0</v>
      </c>
      <c r="X75" s="31">
        <v>4.0</v>
      </c>
      <c r="Y75" s="31">
        <v>5.0</v>
      </c>
      <c r="Z75" s="31">
        <v>6.0</v>
      </c>
      <c r="AA75" s="32"/>
      <c r="AB75" s="29" t="s">
        <v>85</v>
      </c>
      <c r="AC75" s="30" t="s">
        <v>34</v>
      </c>
      <c r="AD75" s="31">
        <v>1.0</v>
      </c>
      <c r="AE75" s="31">
        <v>2.0</v>
      </c>
      <c r="AF75" s="31">
        <v>3.0</v>
      </c>
      <c r="AG75" s="31">
        <v>4.0</v>
      </c>
      <c r="AH75" s="31">
        <v>5.0</v>
      </c>
      <c r="AI75" s="31">
        <v>6.0</v>
      </c>
    </row>
    <row r="76" ht="15.75" customHeight="1">
      <c r="A76" s="34"/>
      <c r="B76" s="35"/>
      <c r="C76" s="37">
        <v>1.0</v>
      </c>
      <c r="D76" s="37">
        <v>1.0</v>
      </c>
      <c r="E76" s="37">
        <v>0.0</v>
      </c>
      <c r="F76" s="37">
        <v>0.0</v>
      </c>
      <c r="G76" s="37">
        <v>0.0</v>
      </c>
      <c r="H76" s="37">
        <v>0.0</v>
      </c>
      <c r="I76" s="32"/>
      <c r="J76" s="34"/>
      <c r="K76" s="35"/>
      <c r="L76" s="37">
        <v>1.0</v>
      </c>
      <c r="M76" s="37">
        <v>0.0</v>
      </c>
      <c r="N76" s="37">
        <v>1.0</v>
      </c>
      <c r="O76" s="37">
        <v>1.0</v>
      </c>
      <c r="P76" s="37">
        <v>0.0</v>
      </c>
      <c r="Q76" s="37">
        <v>0.0</v>
      </c>
      <c r="R76" s="32"/>
      <c r="S76" s="34"/>
      <c r="T76" s="35"/>
      <c r="U76" s="37">
        <v>0.0</v>
      </c>
      <c r="V76" s="37">
        <v>0.0</v>
      </c>
      <c r="W76" s="37">
        <v>1.0</v>
      </c>
      <c r="X76" s="37">
        <v>0.0</v>
      </c>
      <c r="Y76" s="37">
        <v>0.0</v>
      </c>
      <c r="Z76" s="37">
        <v>0.0</v>
      </c>
      <c r="AA76" s="32"/>
      <c r="AB76" s="34"/>
      <c r="AC76" s="35"/>
      <c r="AD76" s="37">
        <v>0.0</v>
      </c>
      <c r="AE76" s="37">
        <v>1.0</v>
      </c>
      <c r="AF76" s="37">
        <v>1.0</v>
      </c>
      <c r="AG76" s="37">
        <v>1.0</v>
      </c>
      <c r="AH76" s="37">
        <v>0.0</v>
      </c>
      <c r="AI76" s="37">
        <v>0.0</v>
      </c>
    </row>
    <row r="77" ht="15.75" customHeight="1">
      <c r="A77" s="34"/>
      <c r="B77" s="38">
        <v>7.0</v>
      </c>
      <c r="C77" s="37">
        <v>0.0</v>
      </c>
      <c r="D77" s="37">
        <v>0.0</v>
      </c>
      <c r="E77" s="37">
        <v>1.0</v>
      </c>
      <c r="F77" s="37">
        <v>1.0</v>
      </c>
      <c r="G77" s="37">
        <v>0.0</v>
      </c>
      <c r="H77" s="37">
        <v>1.0</v>
      </c>
      <c r="I77" s="32"/>
      <c r="J77" s="34"/>
      <c r="K77" s="38">
        <v>7.0</v>
      </c>
      <c r="L77" s="37">
        <v>0.0</v>
      </c>
      <c r="M77" s="37">
        <v>1.0</v>
      </c>
      <c r="N77" s="37">
        <v>1.0</v>
      </c>
      <c r="O77" s="37">
        <v>1.0</v>
      </c>
      <c r="P77" s="37">
        <v>1.0</v>
      </c>
      <c r="Q77" s="37">
        <v>1.0</v>
      </c>
      <c r="R77" s="32"/>
      <c r="S77" s="34"/>
      <c r="T77" s="38">
        <v>7.0</v>
      </c>
      <c r="U77" s="37">
        <v>0.0</v>
      </c>
      <c r="V77" s="37">
        <v>1.0</v>
      </c>
      <c r="W77" s="37">
        <v>0.0</v>
      </c>
      <c r="X77" s="37">
        <v>1.0</v>
      </c>
      <c r="Y77" s="37">
        <v>0.0</v>
      </c>
      <c r="Z77" s="37">
        <v>1.0</v>
      </c>
      <c r="AA77" s="32"/>
      <c r="AB77" s="34"/>
      <c r="AC77" s="38">
        <v>7.0</v>
      </c>
      <c r="AD77" s="37">
        <v>0.0</v>
      </c>
      <c r="AE77" s="37">
        <v>1.0</v>
      </c>
      <c r="AF77" s="37">
        <v>0.0</v>
      </c>
      <c r="AG77" s="37">
        <v>1.0</v>
      </c>
      <c r="AH77" s="37">
        <v>1.0</v>
      </c>
      <c r="AI77" s="37">
        <v>1.0</v>
      </c>
    </row>
    <row r="78" ht="15.75" customHeight="1">
      <c r="A78" s="34"/>
      <c r="B78" s="38">
        <v>13.0</v>
      </c>
      <c r="C78" s="37">
        <v>1.0</v>
      </c>
      <c r="D78" s="37">
        <v>0.0</v>
      </c>
      <c r="E78" s="37">
        <v>1.0</v>
      </c>
      <c r="F78" s="37">
        <v>1.0</v>
      </c>
      <c r="G78" s="37">
        <v>1.0</v>
      </c>
      <c r="H78" s="37">
        <v>1.0</v>
      </c>
      <c r="I78" s="32"/>
      <c r="J78" s="34"/>
      <c r="K78" s="38">
        <v>13.0</v>
      </c>
      <c r="L78" s="37">
        <v>0.0</v>
      </c>
      <c r="M78" s="37">
        <v>0.0</v>
      </c>
      <c r="N78" s="37">
        <v>1.0</v>
      </c>
      <c r="O78" s="37">
        <v>1.0</v>
      </c>
      <c r="P78" s="37">
        <v>0.0</v>
      </c>
      <c r="Q78" s="37">
        <v>1.0</v>
      </c>
      <c r="R78" s="32"/>
      <c r="S78" s="34"/>
      <c r="T78" s="38">
        <v>13.0</v>
      </c>
      <c r="U78" s="37">
        <v>1.0</v>
      </c>
      <c r="V78" s="37">
        <v>1.0</v>
      </c>
      <c r="W78" s="37">
        <v>1.0</v>
      </c>
      <c r="X78" s="37">
        <v>1.0</v>
      </c>
      <c r="Y78" s="37">
        <v>1.0</v>
      </c>
      <c r="Z78" s="37">
        <v>1.0</v>
      </c>
      <c r="AA78" s="32"/>
      <c r="AB78" s="34"/>
      <c r="AC78" s="38">
        <v>13.0</v>
      </c>
      <c r="AD78" s="37">
        <v>0.0</v>
      </c>
      <c r="AE78" s="37">
        <v>0.0</v>
      </c>
      <c r="AF78" s="37">
        <v>0.0</v>
      </c>
      <c r="AG78" s="37">
        <v>1.0</v>
      </c>
      <c r="AH78" s="37">
        <v>1.0</v>
      </c>
      <c r="AI78" s="37">
        <v>1.0</v>
      </c>
    </row>
    <row r="79" ht="15.75" customHeight="1">
      <c r="A79" s="34"/>
      <c r="B79" s="38">
        <v>19.0</v>
      </c>
      <c r="C79" s="37">
        <v>1.0</v>
      </c>
      <c r="D79" s="37">
        <v>0.0</v>
      </c>
      <c r="E79" s="37">
        <v>1.0</v>
      </c>
      <c r="F79" s="37">
        <v>0.0</v>
      </c>
      <c r="G79" s="37">
        <v>1.0</v>
      </c>
      <c r="H79" s="37">
        <v>1.0</v>
      </c>
      <c r="I79" s="32"/>
      <c r="J79" s="34"/>
      <c r="K79" s="38">
        <v>19.0</v>
      </c>
      <c r="L79" s="37">
        <v>0.0</v>
      </c>
      <c r="M79" s="37">
        <v>0.0</v>
      </c>
      <c r="N79" s="37">
        <v>0.0</v>
      </c>
      <c r="O79" s="37">
        <v>1.0</v>
      </c>
      <c r="P79" s="37">
        <v>1.0</v>
      </c>
      <c r="Q79" s="37">
        <v>1.0</v>
      </c>
      <c r="R79" s="32"/>
      <c r="S79" s="34"/>
      <c r="T79" s="38">
        <v>19.0</v>
      </c>
      <c r="U79" s="37">
        <v>0.0</v>
      </c>
      <c r="V79" s="37">
        <v>0.0</v>
      </c>
      <c r="W79" s="37">
        <v>0.0</v>
      </c>
      <c r="X79" s="37">
        <v>0.0</v>
      </c>
      <c r="Y79" s="37">
        <v>1.0</v>
      </c>
      <c r="Z79" s="37">
        <v>1.0</v>
      </c>
      <c r="AA79" s="32"/>
      <c r="AB79" s="34"/>
      <c r="AC79" s="38">
        <v>19.0</v>
      </c>
      <c r="AD79" s="37">
        <v>1.0</v>
      </c>
      <c r="AE79" s="37">
        <v>1.0</v>
      </c>
      <c r="AF79" s="37">
        <v>0.0</v>
      </c>
      <c r="AG79" s="37">
        <v>1.0</v>
      </c>
      <c r="AH79" s="37">
        <v>0.0</v>
      </c>
      <c r="AI79" s="37">
        <v>1.0</v>
      </c>
    </row>
    <row r="80" ht="15.75" customHeight="1">
      <c r="A80" s="34"/>
      <c r="B80" s="38">
        <v>25.0</v>
      </c>
      <c r="C80" s="37">
        <v>0.0</v>
      </c>
      <c r="D80" s="37">
        <v>0.0</v>
      </c>
      <c r="E80" s="37">
        <v>1.0</v>
      </c>
      <c r="F80" s="37">
        <v>0.0</v>
      </c>
      <c r="G80" s="37">
        <v>0.0</v>
      </c>
      <c r="H80" s="37">
        <v>1.0</v>
      </c>
      <c r="I80" s="32"/>
      <c r="J80" s="34"/>
      <c r="K80" s="38">
        <v>25.0</v>
      </c>
      <c r="L80" s="37">
        <v>0.0</v>
      </c>
      <c r="M80" s="37">
        <v>1.0</v>
      </c>
      <c r="N80" s="37">
        <v>1.0</v>
      </c>
      <c r="O80" s="37">
        <v>0.0</v>
      </c>
      <c r="P80" s="37">
        <v>0.0</v>
      </c>
      <c r="Q80" s="37">
        <v>0.0</v>
      </c>
      <c r="R80" s="32"/>
      <c r="S80" s="34"/>
      <c r="T80" s="38">
        <v>25.0</v>
      </c>
      <c r="U80" s="37">
        <v>0.0</v>
      </c>
      <c r="V80" s="37">
        <v>0.0</v>
      </c>
      <c r="W80" s="37">
        <v>0.0</v>
      </c>
      <c r="X80" s="37">
        <v>0.0</v>
      </c>
      <c r="Y80" s="37">
        <v>1.0</v>
      </c>
      <c r="Z80" s="37">
        <v>1.0</v>
      </c>
      <c r="AA80" s="32"/>
      <c r="AB80" s="34"/>
      <c r="AC80" s="38">
        <v>25.0</v>
      </c>
      <c r="AD80" s="37">
        <v>0.0</v>
      </c>
      <c r="AE80" s="37">
        <v>1.0</v>
      </c>
      <c r="AF80" s="37">
        <v>0.0</v>
      </c>
      <c r="AG80" s="37">
        <v>0.0</v>
      </c>
      <c r="AH80" s="37">
        <v>0.0</v>
      </c>
      <c r="AI80" s="37">
        <v>1.0</v>
      </c>
    </row>
    <row r="81" ht="15.75" customHeight="1">
      <c r="A81" s="34"/>
      <c r="B81" s="38">
        <v>31.0</v>
      </c>
      <c r="C81" s="37">
        <v>1.0</v>
      </c>
      <c r="D81" s="37">
        <v>1.0</v>
      </c>
      <c r="E81" s="37">
        <v>1.0</v>
      </c>
      <c r="F81" s="37">
        <v>0.0</v>
      </c>
      <c r="G81" s="37">
        <v>1.0</v>
      </c>
      <c r="H81" s="37">
        <v>1.0</v>
      </c>
      <c r="I81" s="32"/>
      <c r="J81" s="34"/>
      <c r="K81" s="38">
        <v>31.0</v>
      </c>
      <c r="L81" s="37">
        <v>1.0</v>
      </c>
      <c r="M81" s="37">
        <v>1.0</v>
      </c>
      <c r="N81" s="37">
        <v>0.0</v>
      </c>
      <c r="O81" s="37">
        <v>0.0</v>
      </c>
      <c r="P81" s="37">
        <v>0.0</v>
      </c>
      <c r="Q81" s="37">
        <v>1.0</v>
      </c>
      <c r="R81" s="32"/>
      <c r="S81" s="34"/>
      <c r="T81" s="38">
        <v>31.0</v>
      </c>
      <c r="U81" s="37">
        <v>0.0</v>
      </c>
      <c r="V81" s="37">
        <v>1.0</v>
      </c>
      <c r="W81" s="37">
        <v>1.0</v>
      </c>
      <c r="X81" s="37">
        <v>0.0</v>
      </c>
      <c r="Y81" s="37">
        <v>0.0</v>
      </c>
      <c r="Z81" s="37">
        <v>0.0</v>
      </c>
      <c r="AA81" s="32"/>
      <c r="AB81" s="34"/>
      <c r="AC81" s="38">
        <v>31.0</v>
      </c>
      <c r="AD81" s="37">
        <v>0.0</v>
      </c>
      <c r="AE81" s="37">
        <v>1.0</v>
      </c>
      <c r="AF81" s="37">
        <v>0.0</v>
      </c>
      <c r="AG81" s="37">
        <v>1.0</v>
      </c>
      <c r="AH81" s="37">
        <v>0.0</v>
      </c>
      <c r="AI81" s="37">
        <v>1.0</v>
      </c>
    </row>
    <row r="82" ht="15.75" customHeight="1">
      <c r="A82" s="34"/>
      <c r="B82" s="38">
        <v>37.0</v>
      </c>
      <c r="C82" s="37">
        <v>1.0</v>
      </c>
      <c r="D82" s="37">
        <v>0.0</v>
      </c>
      <c r="E82" s="37">
        <v>0.0</v>
      </c>
      <c r="F82" s="37">
        <v>0.0</v>
      </c>
      <c r="G82" s="37">
        <v>0.0</v>
      </c>
      <c r="H82" s="37">
        <v>0.0</v>
      </c>
      <c r="I82" s="32"/>
      <c r="J82" s="34"/>
      <c r="K82" s="38">
        <v>37.0</v>
      </c>
      <c r="L82" s="37">
        <v>1.0</v>
      </c>
      <c r="M82" s="37">
        <v>1.0</v>
      </c>
      <c r="N82" s="37">
        <v>0.0</v>
      </c>
      <c r="O82" s="37">
        <v>1.0</v>
      </c>
      <c r="P82" s="37">
        <v>0.0</v>
      </c>
      <c r="Q82" s="37">
        <v>1.0</v>
      </c>
      <c r="R82" s="32"/>
      <c r="S82" s="34"/>
      <c r="T82" s="38">
        <v>37.0</v>
      </c>
      <c r="U82" s="37">
        <v>1.0</v>
      </c>
      <c r="V82" s="37">
        <v>0.0</v>
      </c>
      <c r="W82" s="37">
        <v>0.0</v>
      </c>
      <c r="X82" s="37">
        <v>1.0</v>
      </c>
      <c r="Y82" s="37">
        <v>1.0</v>
      </c>
      <c r="Z82" s="37">
        <v>0.0</v>
      </c>
      <c r="AA82" s="32"/>
      <c r="AB82" s="34"/>
      <c r="AC82" s="38">
        <v>37.0</v>
      </c>
      <c r="AD82" s="37">
        <v>1.0</v>
      </c>
      <c r="AE82" s="37">
        <v>1.0</v>
      </c>
      <c r="AF82" s="37">
        <v>0.0</v>
      </c>
      <c r="AG82" s="37">
        <v>0.0</v>
      </c>
      <c r="AH82" s="37">
        <v>1.0</v>
      </c>
      <c r="AI82" s="37">
        <v>1.0</v>
      </c>
    </row>
    <row r="83" ht="15.75" customHeight="1">
      <c r="A83" s="34"/>
      <c r="B83" s="38">
        <v>43.0</v>
      </c>
      <c r="C83" s="37">
        <v>1.0</v>
      </c>
      <c r="D83" s="37">
        <v>1.0</v>
      </c>
      <c r="E83" s="37">
        <v>1.0</v>
      </c>
      <c r="F83" s="37">
        <v>0.0</v>
      </c>
      <c r="G83" s="37">
        <v>0.0</v>
      </c>
      <c r="H83" s="37">
        <v>1.0</v>
      </c>
      <c r="I83" s="32"/>
      <c r="J83" s="34"/>
      <c r="K83" s="38">
        <v>43.0</v>
      </c>
      <c r="L83" s="37">
        <v>1.0</v>
      </c>
      <c r="M83" s="37">
        <v>1.0</v>
      </c>
      <c r="N83" s="37">
        <v>0.0</v>
      </c>
      <c r="O83" s="37">
        <v>1.0</v>
      </c>
      <c r="P83" s="37">
        <v>1.0</v>
      </c>
      <c r="Q83" s="37">
        <v>0.0</v>
      </c>
      <c r="R83" s="32"/>
      <c r="S83" s="34"/>
      <c r="T83" s="38">
        <v>43.0</v>
      </c>
      <c r="U83" s="37">
        <v>1.0</v>
      </c>
      <c r="V83" s="37">
        <v>1.0</v>
      </c>
      <c r="W83" s="37">
        <v>1.0</v>
      </c>
      <c r="X83" s="37">
        <v>1.0</v>
      </c>
      <c r="Y83" s="37">
        <v>1.0</v>
      </c>
      <c r="Z83" s="37">
        <v>0.0</v>
      </c>
      <c r="AA83" s="32"/>
      <c r="AB83" s="34"/>
      <c r="AC83" s="38">
        <v>43.0</v>
      </c>
      <c r="AD83" s="37">
        <v>0.0</v>
      </c>
      <c r="AE83" s="37">
        <v>1.0</v>
      </c>
      <c r="AF83" s="37">
        <v>0.0</v>
      </c>
      <c r="AG83" s="37">
        <v>1.0</v>
      </c>
      <c r="AH83" s="37">
        <v>0.0</v>
      </c>
      <c r="AI83" s="37">
        <v>1.0</v>
      </c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 ht="15.75" customHeight="1">
      <c r="A85" s="29" t="s">
        <v>86</v>
      </c>
      <c r="B85" s="30" t="s">
        <v>34</v>
      </c>
      <c r="C85" s="31">
        <v>1.0</v>
      </c>
      <c r="D85" s="31">
        <v>2.0</v>
      </c>
      <c r="E85" s="31">
        <v>3.0</v>
      </c>
      <c r="F85" s="31">
        <v>4.0</v>
      </c>
      <c r="G85" s="31">
        <v>5.0</v>
      </c>
      <c r="H85" s="31">
        <v>6.0</v>
      </c>
      <c r="I85" s="32"/>
      <c r="J85" s="29" t="s">
        <v>87</v>
      </c>
      <c r="K85" s="30" t="s">
        <v>34</v>
      </c>
      <c r="L85" s="31">
        <v>1.0</v>
      </c>
      <c r="M85" s="31">
        <v>2.0</v>
      </c>
      <c r="N85" s="31">
        <v>3.0</v>
      </c>
      <c r="O85" s="31">
        <v>4.0</v>
      </c>
      <c r="P85" s="31">
        <v>5.0</v>
      </c>
      <c r="Q85" s="31">
        <v>6.0</v>
      </c>
      <c r="R85" s="32"/>
      <c r="S85" s="29" t="s">
        <v>88</v>
      </c>
      <c r="T85" s="30" t="s">
        <v>34</v>
      </c>
      <c r="U85" s="31">
        <v>1.0</v>
      </c>
      <c r="V85" s="31">
        <v>2.0</v>
      </c>
      <c r="W85" s="31">
        <v>3.0</v>
      </c>
      <c r="X85" s="31">
        <v>4.0</v>
      </c>
      <c r="Y85" s="31">
        <v>5.0</v>
      </c>
      <c r="Z85" s="31">
        <v>6.0</v>
      </c>
      <c r="AA85" s="32"/>
      <c r="AB85" s="29" t="s">
        <v>89</v>
      </c>
      <c r="AC85" s="30" t="s">
        <v>34</v>
      </c>
      <c r="AD85" s="31">
        <v>1.0</v>
      </c>
      <c r="AE85" s="31">
        <v>2.0</v>
      </c>
      <c r="AF85" s="31">
        <v>3.0</v>
      </c>
      <c r="AG85" s="31">
        <v>4.0</v>
      </c>
      <c r="AH85" s="31">
        <v>5.0</v>
      </c>
      <c r="AI85" s="31">
        <v>6.0</v>
      </c>
    </row>
    <row r="86" ht="15.75" customHeight="1">
      <c r="A86" s="34"/>
      <c r="B86" s="35"/>
      <c r="C86" s="37">
        <v>1.0</v>
      </c>
      <c r="D86" s="37">
        <v>0.0</v>
      </c>
      <c r="E86" s="37">
        <v>0.0</v>
      </c>
      <c r="F86" s="37">
        <v>1.0</v>
      </c>
      <c r="G86" s="37">
        <v>0.0</v>
      </c>
      <c r="H86" s="37">
        <v>1.0</v>
      </c>
      <c r="I86" s="32"/>
      <c r="J86" s="34"/>
      <c r="K86" s="35"/>
      <c r="L86" s="37">
        <v>0.0</v>
      </c>
      <c r="M86" s="37">
        <v>1.0</v>
      </c>
      <c r="N86" s="37">
        <v>0.0</v>
      </c>
      <c r="O86" s="37">
        <v>1.0</v>
      </c>
      <c r="P86" s="37">
        <v>0.0</v>
      </c>
      <c r="Q86" s="37">
        <v>1.0</v>
      </c>
      <c r="R86" s="32"/>
      <c r="S86" s="34"/>
      <c r="T86" s="35"/>
      <c r="U86" s="37">
        <v>1.0</v>
      </c>
      <c r="V86" s="37">
        <v>0.0</v>
      </c>
      <c r="W86" s="37">
        <v>1.0</v>
      </c>
      <c r="X86" s="37">
        <v>1.0</v>
      </c>
      <c r="Y86" s="37">
        <v>1.0</v>
      </c>
      <c r="Z86" s="37">
        <v>1.0</v>
      </c>
      <c r="AA86" s="32"/>
      <c r="AB86" s="34"/>
      <c r="AC86" s="35"/>
      <c r="AD86" s="37">
        <v>1.0</v>
      </c>
      <c r="AE86" s="37">
        <v>1.0</v>
      </c>
      <c r="AF86" s="37">
        <v>0.0</v>
      </c>
      <c r="AG86" s="37">
        <v>0.0</v>
      </c>
      <c r="AH86" s="37">
        <v>1.0</v>
      </c>
      <c r="AI86" s="37">
        <v>0.0</v>
      </c>
    </row>
    <row r="87" ht="15.75" customHeight="1">
      <c r="A87" s="34"/>
      <c r="B87" s="38">
        <v>7.0</v>
      </c>
      <c r="C87" s="37">
        <v>0.0</v>
      </c>
      <c r="D87" s="37">
        <v>1.0</v>
      </c>
      <c r="E87" s="37">
        <v>1.0</v>
      </c>
      <c r="F87" s="37">
        <v>1.0</v>
      </c>
      <c r="G87" s="37">
        <v>0.0</v>
      </c>
      <c r="H87" s="37">
        <v>0.0</v>
      </c>
      <c r="I87" s="32"/>
      <c r="J87" s="34"/>
      <c r="K87" s="38">
        <v>7.0</v>
      </c>
      <c r="L87" s="37">
        <v>1.0</v>
      </c>
      <c r="M87" s="37">
        <v>1.0</v>
      </c>
      <c r="N87" s="37">
        <v>0.0</v>
      </c>
      <c r="O87" s="37">
        <v>1.0</v>
      </c>
      <c r="P87" s="37">
        <v>0.0</v>
      </c>
      <c r="Q87" s="37">
        <v>0.0</v>
      </c>
      <c r="R87" s="32"/>
      <c r="S87" s="34"/>
      <c r="T87" s="38">
        <v>7.0</v>
      </c>
      <c r="U87" s="37">
        <v>1.0</v>
      </c>
      <c r="V87" s="37">
        <v>1.0</v>
      </c>
      <c r="W87" s="37">
        <v>1.0</v>
      </c>
      <c r="X87" s="37">
        <v>0.0</v>
      </c>
      <c r="Y87" s="37">
        <v>0.0</v>
      </c>
      <c r="Z87" s="37">
        <v>1.0</v>
      </c>
      <c r="AA87" s="32"/>
      <c r="AB87" s="34"/>
      <c r="AC87" s="38">
        <v>7.0</v>
      </c>
      <c r="AD87" s="37">
        <v>1.0</v>
      </c>
      <c r="AE87" s="37">
        <v>1.0</v>
      </c>
      <c r="AF87" s="37">
        <v>0.0</v>
      </c>
      <c r="AG87" s="37">
        <v>0.0</v>
      </c>
      <c r="AH87" s="37">
        <v>1.0</v>
      </c>
      <c r="AI87" s="37">
        <v>1.0</v>
      </c>
      <c r="AJ87" s="39"/>
    </row>
    <row r="88" ht="15.75" customHeight="1">
      <c r="A88" s="34"/>
      <c r="B88" s="38">
        <v>13.0</v>
      </c>
      <c r="C88" s="37">
        <v>0.0</v>
      </c>
      <c r="D88" s="37">
        <v>1.0</v>
      </c>
      <c r="E88" s="37">
        <v>0.0</v>
      </c>
      <c r="F88" s="37">
        <v>1.0</v>
      </c>
      <c r="G88" s="37">
        <v>1.0</v>
      </c>
      <c r="H88" s="37">
        <v>1.0</v>
      </c>
      <c r="I88" s="32"/>
      <c r="J88" s="34"/>
      <c r="K88" s="38">
        <v>13.0</v>
      </c>
      <c r="L88" s="37">
        <v>0.0</v>
      </c>
      <c r="M88" s="37">
        <v>0.0</v>
      </c>
      <c r="N88" s="37">
        <v>1.0</v>
      </c>
      <c r="O88" s="37">
        <v>1.0</v>
      </c>
      <c r="P88" s="37">
        <v>1.0</v>
      </c>
      <c r="Q88" s="37">
        <v>0.0</v>
      </c>
      <c r="R88" s="32"/>
      <c r="S88" s="34"/>
      <c r="T88" s="38">
        <v>13.0</v>
      </c>
      <c r="U88" s="37">
        <v>0.0</v>
      </c>
      <c r="V88" s="37">
        <v>0.0</v>
      </c>
      <c r="W88" s="37">
        <v>0.0</v>
      </c>
      <c r="X88" s="37">
        <v>1.0</v>
      </c>
      <c r="Y88" s="37">
        <v>1.0</v>
      </c>
      <c r="Z88" s="37">
        <v>0.0</v>
      </c>
      <c r="AA88" s="32"/>
      <c r="AB88" s="34"/>
      <c r="AC88" s="38">
        <v>13.0</v>
      </c>
      <c r="AD88" s="37">
        <v>1.0</v>
      </c>
      <c r="AE88" s="37">
        <v>1.0</v>
      </c>
      <c r="AF88" s="37">
        <v>0.0</v>
      </c>
      <c r="AG88" s="37">
        <v>1.0</v>
      </c>
      <c r="AH88" s="37">
        <v>0.0</v>
      </c>
      <c r="AI88" s="37">
        <v>0.0</v>
      </c>
    </row>
    <row r="89" ht="15.75" customHeight="1">
      <c r="A89" s="34"/>
      <c r="B89" s="38">
        <v>19.0</v>
      </c>
      <c r="C89" s="37">
        <v>0.0</v>
      </c>
      <c r="D89" s="37">
        <v>1.0</v>
      </c>
      <c r="E89" s="37">
        <v>0.0</v>
      </c>
      <c r="F89" s="37">
        <v>0.0</v>
      </c>
      <c r="G89" s="37">
        <v>0.0</v>
      </c>
      <c r="H89" s="37">
        <v>1.0</v>
      </c>
      <c r="I89" s="32"/>
      <c r="J89" s="34"/>
      <c r="K89" s="38">
        <v>19.0</v>
      </c>
      <c r="L89" s="37">
        <v>1.0</v>
      </c>
      <c r="M89" s="37">
        <v>1.0</v>
      </c>
      <c r="N89" s="37">
        <v>0.0</v>
      </c>
      <c r="O89" s="37">
        <v>1.0</v>
      </c>
      <c r="P89" s="37">
        <v>1.0</v>
      </c>
      <c r="Q89" s="37">
        <v>1.0</v>
      </c>
      <c r="R89" s="32"/>
      <c r="S89" s="34"/>
      <c r="T89" s="38">
        <v>19.0</v>
      </c>
      <c r="U89" s="37">
        <v>0.0</v>
      </c>
      <c r="V89" s="37">
        <v>0.0</v>
      </c>
      <c r="W89" s="37">
        <v>0.0</v>
      </c>
      <c r="X89" s="37">
        <v>1.0</v>
      </c>
      <c r="Y89" s="37">
        <v>0.0</v>
      </c>
      <c r="Z89" s="37">
        <v>1.0</v>
      </c>
      <c r="AA89" s="32"/>
      <c r="AB89" s="34"/>
      <c r="AC89" s="38">
        <v>19.0</v>
      </c>
      <c r="AD89" s="37">
        <v>0.0</v>
      </c>
      <c r="AE89" s="37">
        <v>0.0</v>
      </c>
      <c r="AF89" s="37">
        <v>1.0</v>
      </c>
      <c r="AG89" s="37">
        <v>0.0</v>
      </c>
      <c r="AH89" s="37">
        <v>1.0</v>
      </c>
      <c r="AI89" s="37">
        <v>1.0</v>
      </c>
    </row>
    <row r="90" ht="15.75" customHeight="1">
      <c r="A90" s="34"/>
      <c r="B90" s="38">
        <v>25.0</v>
      </c>
      <c r="C90" s="37">
        <v>0.0</v>
      </c>
      <c r="D90" s="37">
        <v>1.0</v>
      </c>
      <c r="E90" s="37">
        <v>0.0</v>
      </c>
      <c r="F90" s="37">
        <v>0.0</v>
      </c>
      <c r="G90" s="37">
        <v>1.0</v>
      </c>
      <c r="H90" s="37">
        <v>0.0</v>
      </c>
      <c r="I90" s="32"/>
      <c r="J90" s="34"/>
      <c r="K90" s="38">
        <v>25.0</v>
      </c>
      <c r="L90" s="37">
        <v>1.0</v>
      </c>
      <c r="M90" s="37">
        <v>0.0</v>
      </c>
      <c r="N90" s="37">
        <v>0.0</v>
      </c>
      <c r="O90" s="37">
        <v>0.0</v>
      </c>
      <c r="P90" s="37">
        <v>0.0</v>
      </c>
      <c r="Q90" s="37">
        <v>0.0</v>
      </c>
      <c r="R90" s="32"/>
      <c r="S90" s="34"/>
      <c r="T90" s="38">
        <v>25.0</v>
      </c>
      <c r="U90" s="37">
        <v>0.0</v>
      </c>
      <c r="V90" s="37">
        <v>0.0</v>
      </c>
      <c r="W90" s="37">
        <v>0.0</v>
      </c>
      <c r="X90" s="37">
        <v>0.0</v>
      </c>
      <c r="Y90" s="37">
        <v>1.0</v>
      </c>
      <c r="Z90" s="37">
        <v>0.0</v>
      </c>
      <c r="AA90" s="32"/>
      <c r="AB90" s="34"/>
      <c r="AC90" s="38">
        <v>25.0</v>
      </c>
      <c r="AD90" s="37">
        <v>1.0</v>
      </c>
      <c r="AE90" s="37">
        <v>0.0</v>
      </c>
      <c r="AF90" s="37">
        <v>1.0</v>
      </c>
      <c r="AG90" s="37">
        <v>1.0</v>
      </c>
      <c r="AH90" s="37">
        <v>1.0</v>
      </c>
      <c r="AI90" s="37">
        <v>1.0</v>
      </c>
    </row>
    <row r="91" ht="15.75" customHeight="1">
      <c r="A91" s="34"/>
      <c r="B91" s="38">
        <v>31.0</v>
      </c>
      <c r="C91" s="37">
        <v>1.0</v>
      </c>
      <c r="D91" s="37">
        <v>1.0</v>
      </c>
      <c r="E91" s="37">
        <v>1.0</v>
      </c>
      <c r="F91" s="37">
        <v>0.0</v>
      </c>
      <c r="G91" s="37">
        <v>0.0</v>
      </c>
      <c r="H91" s="37">
        <v>0.0</v>
      </c>
      <c r="I91" s="32"/>
      <c r="J91" s="34"/>
      <c r="K91" s="38">
        <v>31.0</v>
      </c>
      <c r="L91" s="37">
        <v>1.0</v>
      </c>
      <c r="M91" s="37">
        <v>1.0</v>
      </c>
      <c r="N91" s="37">
        <v>1.0</v>
      </c>
      <c r="O91" s="37">
        <v>1.0</v>
      </c>
      <c r="P91" s="37">
        <v>0.0</v>
      </c>
      <c r="Q91" s="37">
        <v>1.0</v>
      </c>
      <c r="R91" s="32"/>
      <c r="S91" s="34"/>
      <c r="T91" s="38">
        <v>31.0</v>
      </c>
      <c r="U91" s="37">
        <v>1.0</v>
      </c>
      <c r="V91" s="37">
        <v>0.0</v>
      </c>
      <c r="W91" s="37">
        <v>0.0</v>
      </c>
      <c r="X91" s="37">
        <v>0.0</v>
      </c>
      <c r="Y91" s="37">
        <v>0.0</v>
      </c>
      <c r="Z91" s="37">
        <v>1.0</v>
      </c>
      <c r="AA91" s="32"/>
      <c r="AB91" s="34"/>
      <c r="AC91" s="38">
        <v>31.0</v>
      </c>
      <c r="AD91" s="37">
        <v>0.0</v>
      </c>
      <c r="AE91" s="37">
        <v>0.0</v>
      </c>
      <c r="AF91" s="37">
        <v>0.0</v>
      </c>
      <c r="AG91" s="37">
        <v>1.0</v>
      </c>
      <c r="AH91" s="37">
        <v>1.0</v>
      </c>
      <c r="AI91" s="37">
        <v>1.0</v>
      </c>
    </row>
    <row r="92" ht="15.75" customHeight="1">
      <c r="A92" s="34"/>
      <c r="B92" s="38">
        <v>37.0</v>
      </c>
      <c r="C92" s="37">
        <v>0.0</v>
      </c>
      <c r="D92" s="37">
        <v>0.0</v>
      </c>
      <c r="E92" s="37">
        <v>0.0</v>
      </c>
      <c r="F92" s="37">
        <v>0.0</v>
      </c>
      <c r="G92" s="37">
        <v>1.0</v>
      </c>
      <c r="H92" s="37">
        <v>1.0</v>
      </c>
      <c r="I92" s="32"/>
      <c r="J92" s="34"/>
      <c r="K92" s="38">
        <v>37.0</v>
      </c>
      <c r="L92" s="37">
        <v>1.0</v>
      </c>
      <c r="M92" s="37">
        <v>1.0</v>
      </c>
      <c r="N92" s="37">
        <v>0.0</v>
      </c>
      <c r="O92" s="37">
        <v>1.0</v>
      </c>
      <c r="P92" s="37">
        <v>1.0</v>
      </c>
      <c r="Q92" s="37">
        <v>0.0</v>
      </c>
      <c r="R92" s="32"/>
      <c r="S92" s="34"/>
      <c r="T92" s="38">
        <v>37.0</v>
      </c>
      <c r="U92" s="37">
        <v>0.0</v>
      </c>
      <c r="V92" s="37">
        <v>1.0</v>
      </c>
      <c r="W92" s="37">
        <v>1.0</v>
      </c>
      <c r="X92" s="37">
        <v>1.0</v>
      </c>
      <c r="Y92" s="37">
        <v>1.0</v>
      </c>
      <c r="Z92" s="37">
        <v>0.0</v>
      </c>
      <c r="AA92" s="32"/>
      <c r="AB92" s="34"/>
      <c r="AC92" s="38">
        <v>37.0</v>
      </c>
      <c r="AD92" s="37">
        <v>0.0</v>
      </c>
      <c r="AE92" s="37">
        <v>0.0</v>
      </c>
      <c r="AF92" s="37">
        <v>0.0</v>
      </c>
      <c r="AG92" s="37">
        <v>0.0</v>
      </c>
      <c r="AH92" s="37">
        <v>0.0</v>
      </c>
      <c r="AI92" s="37">
        <v>1.0</v>
      </c>
    </row>
    <row r="93" ht="15.75" customHeight="1">
      <c r="A93" s="34"/>
      <c r="B93" s="38">
        <v>43.0</v>
      </c>
      <c r="C93" s="37">
        <v>1.0</v>
      </c>
      <c r="D93" s="37">
        <v>1.0</v>
      </c>
      <c r="E93" s="37">
        <v>1.0</v>
      </c>
      <c r="F93" s="37">
        <v>1.0</v>
      </c>
      <c r="G93" s="37">
        <v>0.0</v>
      </c>
      <c r="H93" s="37">
        <v>1.0</v>
      </c>
      <c r="I93" s="32"/>
      <c r="J93" s="34"/>
      <c r="K93" s="38">
        <v>43.0</v>
      </c>
      <c r="L93" s="37">
        <v>0.0</v>
      </c>
      <c r="M93" s="37">
        <v>0.0</v>
      </c>
      <c r="N93" s="37">
        <v>1.0</v>
      </c>
      <c r="O93" s="37">
        <v>1.0</v>
      </c>
      <c r="P93" s="37">
        <v>0.0</v>
      </c>
      <c r="Q93" s="37">
        <v>1.0</v>
      </c>
      <c r="R93" s="32"/>
      <c r="S93" s="34"/>
      <c r="T93" s="38">
        <v>43.0</v>
      </c>
      <c r="U93" s="37">
        <v>1.0</v>
      </c>
      <c r="V93" s="37">
        <v>1.0</v>
      </c>
      <c r="W93" s="37">
        <v>0.0</v>
      </c>
      <c r="X93" s="37">
        <v>1.0</v>
      </c>
      <c r="Y93" s="37">
        <v>0.0</v>
      </c>
      <c r="Z93" s="37">
        <v>1.0</v>
      </c>
      <c r="AA93" s="32"/>
      <c r="AB93" s="34"/>
      <c r="AC93" s="38">
        <v>43.0</v>
      </c>
      <c r="AD93" s="37">
        <v>1.0</v>
      </c>
      <c r="AE93" s="37">
        <v>1.0</v>
      </c>
      <c r="AF93" s="37">
        <v>0.0</v>
      </c>
      <c r="AG93" s="37">
        <v>0.0</v>
      </c>
      <c r="AH93" s="37">
        <v>1.0</v>
      </c>
      <c r="AI93" s="37">
        <v>0.0</v>
      </c>
    </row>
    <row r="94" ht="15.75" customHeight="1"/>
    <row r="95" ht="15.75" customHeight="1">
      <c r="F95" s="40" t="s">
        <v>90</v>
      </c>
      <c r="G95" s="41"/>
      <c r="H95" s="41"/>
      <c r="I95" s="42"/>
      <c r="J95" s="40" t="s">
        <v>91</v>
      </c>
      <c r="K95" s="41"/>
      <c r="L95" s="41"/>
      <c r="M95" s="42"/>
      <c r="N95" s="43" t="s">
        <v>92</v>
      </c>
      <c r="O95" s="41"/>
      <c r="P95" s="41"/>
      <c r="Q95" s="41"/>
      <c r="R95" s="41"/>
      <c r="S95" s="42"/>
      <c r="T95" s="40" t="s">
        <v>93</v>
      </c>
      <c r="U95" s="41"/>
      <c r="V95" s="41"/>
      <c r="W95" s="41"/>
      <c r="X95" s="41"/>
      <c r="Y95" s="42"/>
      <c r="Z95" s="43" t="s">
        <v>94</v>
      </c>
      <c r="AA95" s="41"/>
      <c r="AB95" s="41"/>
      <c r="AC95" s="41"/>
      <c r="AD95" s="41"/>
      <c r="AE95" s="42"/>
      <c r="AF95" s="40" t="s">
        <v>95</v>
      </c>
      <c r="AG95" s="41"/>
      <c r="AH95" s="41"/>
      <c r="AI95" s="41"/>
      <c r="AJ95" s="41"/>
      <c r="AK95" s="42"/>
    </row>
    <row r="96" ht="15.75" customHeight="1">
      <c r="F96" s="44"/>
      <c r="I96" s="45"/>
      <c r="J96" s="44"/>
      <c r="M96" s="45"/>
      <c r="N96" s="44"/>
      <c r="S96" s="45"/>
      <c r="T96" s="44"/>
      <c r="Y96" s="45"/>
      <c r="Z96" s="44"/>
      <c r="AE96" s="45"/>
      <c r="AF96" s="44"/>
      <c r="AK96" s="45"/>
    </row>
    <row r="97" ht="15.75" customHeight="1">
      <c r="F97" s="46"/>
      <c r="G97" s="47"/>
      <c r="H97" s="47"/>
      <c r="I97" s="48"/>
      <c r="J97" s="46"/>
      <c r="K97" s="47"/>
      <c r="L97" s="47"/>
      <c r="M97" s="48"/>
      <c r="N97" s="46"/>
      <c r="O97" s="47"/>
      <c r="P97" s="47"/>
      <c r="Q97" s="47"/>
      <c r="R97" s="47"/>
      <c r="S97" s="48"/>
      <c r="T97" s="46"/>
      <c r="U97" s="47"/>
      <c r="V97" s="47"/>
      <c r="W97" s="47"/>
      <c r="X97" s="47"/>
      <c r="Y97" s="48"/>
      <c r="Z97" s="46"/>
      <c r="AA97" s="47"/>
      <c r="AB97" s="47"/>
      <c r="AC97" s="47"/>
      <c r="AD97" s="47"/>
      <c r="AE97" s="48"/>
      <c r="AF97" s="46"/>
      <c r="AG97" s="47"/>
      <c r="AH97" s="47"/>
      <c r="AI97" s="47"/>
      <c r="AJ97" s="47"/>
      <c r="AK97" s="48"/>
    </row>
    <row r="98" ht="15.75" customHeight="1"/>
    <row r="99" ht="15.75" customHeight="1">
      <c r="C99" s="49" t="s">
        <v>96</v>
      </c>
      <c r="D99" s="10"/>
      <c r="F99" s="50" t="s">
        <v>97</v>
      </c>
      <c r="G99" s="18"/>
      <c r="H99" s="18"/>
      <c r="I99" s="19"/>
      <c r="J99" s="51" t="s">
        <v>98</v>
      </c>
      <c r="K99" s="18"/>
      <c r="L99" s="18"/>
      <c r="M99" s="19"/>
      <c r="N99" s="52" t="s">
        <v>99</v>
      </c>
      <c r="O99" s="18"/>
      <c r="P99" s="18"/>
      <c r="Q99" s="19"/>
      <c r="R99" s="53"/>
      <c r="S99" s="53"/>
      <c r="T99" s="54" t="s">
        <v>100</v>
      </c>
      <c r="U99" s="18"/>
      <c r="V99" s="18"/>
      <c r="W99" s="18"/>
      <c r="X99" s="18"/>
      <c r="Y99" s="19"/>
      <c r="Z99" s="55" t="s">
        <v>101</v>
      </c>
      <c r="AA99" s="18"/>
      <c r="AB99" s="18"/>
      <c r="AC99" s="18"/>
      <c r="AD99" s="18"/>
      <c r="AE99" s="19"/>
      <c r="AF99" s="56" t="s">
        <v>102</v>
      </c>
      <c r="AG99" s="18"/>
      <c r="AH99" s="18"/>
      <c r="AI99" s="18"/>
      <c r="AJ99" s="18"/>
      <c r="AK99" s="19"/>
      <c r="AM99" s="57" t="s">
        <v>103</v>
      </c>
      <c r="AN99" s="57"/>
      <c r="AO99" s="57"/>
      <c r="AP99" s="57"/>
      <c r="AQ99" s="57"/>
      <c r="AR99" s="57"/>
    </row>
    <row r="100" ht="15.75" customHeight="1">
      <c r="C100" s="12"/>
      <c r="D100" s="13"/>
      <c r="E100" s="58">
        <v>0.0</v>
      </c>
      <c r="F100" s="59" t="s">
        <v>104</v>
      </c>
      <c r="G100" s="60"/>
      <c r="H100" s="60"/>
      <c r="I100" s="60"/>
      <c r="J100" s="61" t="s">
        <v>105</v>
      </c>
      <c r="K100" s="22"/>
      <c r="L100" s="22"/>
      <c r="M100" s="22"/>
      <c r="N100" s="53" t="str">
        <f t="array" ref="N100">TEXTJOIN("",TRUE, MID($J$100,E,1))</f>
        <v>011100000000001010101001011110100001010101010101</v>
      </c>
      <c r="O100" s="53"/>
      <c r="P100" s="53"/>
      <c r="Q100" s="53"/>
      <c r="R100" s="53"/>
      <c r="S100" s="53"/>
      <c r="T100" s="21" t="str">
        <f t="array" ref="T100">TEXTJOIN("",TRUE,--(MID(N100,ROW(INDIRECT("1:48")),1)&lt;&gt;MID(K_1,ROW(INDIRECT("1:48")),1)))</f>
        <v>011010110000000001000110101000010101110011110000</v>
      </c>
      <c r="U100" s="21"/>
      <c r="V100" s="21"/>
      <c r="W100" s="21"/>
      <c r="X100" s="21"/>
      <c r="Y100" s="21"/>
      <c r="Z100" s="33" t="s">
        <v>106</v>
      </c>
      <c r="AA100" s="33"/>
      <c r="AB100" s="33"/>
      <c r="AC100" s="33"/>
      <c r="AD100" s="33"/>
      <c r="AE100" s="33"/>
      <c r="AF100" s="62" t="str">
        <f t="shared" ref="AF100:AF115" si="1">MID($Z100,16,1)&amp;MID($Z100,7,1)&amp;MID($Z100,20,1)&amp;MID($Z100,21,1)&amp;
MID($Z100,29,1)&amp;MID($Z100,12,1)&amp;MID($Z100,28,1)&amp;MID($Z100,17,1)&amp;
MID($Z100,1,1)&amp;MID($Z100,15,1)&amp;MID($Z100,23,1)&amp;MID($Z100,26,1)&amp;
MID($Z100,5,1)&amp;MID($Z100,18,1)&amp;MID($Z100,31,1)&amp;MID($Z100,10,1)&amp;
MID($Z100,2,1)&amp;MID($Z100,8,1)&amp;MID($Z100,24,1)&amp;MID($Z100,14,1)&amp;
MID($Z100,32,1)&amp;MID($Z100,27,1)&amp;MID($Z100,3,1)&amp;MID($Z100,9,1)&amp;
MID($Z100,19,1)&amp;MID($Z100,13,1)&amp;MID($Z100,30,1)&amp;MID($Z100,6,1)&amp;
MID($Z100,22,1)&amp;MID($Z100,11,1)&amp;MID($Z100,4,1)&amp;MID($Z100,25,1)</f>
        <v>10010111110100010110000110011010</v>
      </c>
      <c r="AG100" s="62"/>
      <c r="AH100" s="62"/>
      <c r="AI100" s="62"/>
      <c r="AJ100" s="62"/>
      <c r="AK100" s="62"/>
      <c r="AM100" s="57">
        <v>32.0</v>
      </c>
      <c r="AN100" s="57">
        <v>1.0</v>
      </c>
      <c r="AO100" s="57">
        <v>2.0</v>
      </c>
      <c r="AP100" s="57">
        <v>3.0</v>
      </c>
      <c r="AQ100" s="57">
        <v>4.0</v>
      </c>
      <c r="AR100" s="57">
        <v>5.0</v>
      </c>
    </row>
    <row r="101" ht="15.75" customHeight="1">
      <c r="C101" s="12"/>
      <c r="D101" s="13"/>
      <c r="E101" s="58">
        <v>1.0</v>
      </c>
      <c r="F101" s="59" t="s">
        <v>105</v>
      </c>
      <c r="G101" s="60"/>
      <c r="H101" s="60"/>
      <c r="I101" s="60"/>
      <c r="J101" s="22" t="str">
        <f t="array" ref="J101">TEXTJOIN("",TRUE,IF(MID(F100,ROW(INDIRECT("1:"&amp;LEN(F100))),1)&lt;&gt;MID(AF100,ROW(INDIRECT("1:"&amp;LEN(AF100))),1),"1","0"))</f>
        <v>00001111001011111010110110011010</v>
      </c>
      <c r="K101" s="22"/>
      <c r="L101" s="22"/>
      <c r="M101" s="22"/>
      <c r="N101" s="53" t="str">
        <f t="array" ref="N101">TEXTJOIN("",TRUE, MID($J$101,E,1))</f>
        <v>000001011110100101011111110101011011110011110100</v>
      </c>
      <c r="O101" s="53"/>
      <c r="P101" s="53"/>
      <c r="Q101" s="53"/>
      <c r="R101" s="53"/>
      <c r="S101" s="53"/>
      <c r="T101" s="21" t="str">
        <f t="array" ref="T101">TEXTJOIN("",TRUE,--(MID(N101,ROW(INDIRECT("1:48")),1)&lt;&gt;MID(K_2,ROW(INDIRECT("1:48")),1)))</f>
        <v>011011000100011110000110111100000101011010010010</v>
      </c>
      <c r="U101" s="21"/>
      <c r="V101" s="21"/>
      <c r="W101" s="21"/>
      <c r="X101" s="21"/>
      <c r="Y101" s="21"/>
      <c r="Z101" s="33" t="s">
        <v>107</v>
      </c>
      <c r="AA101" s="33"/>
      <c r="AB101" s="33"/>
      <c r="AC101" s="33"/>
      <c r="AD101" s="33"/>
      <c r="AE101" s="33"/>
      <c r="AF101" s="62" t="str">
        <f t="shared" si="1"/>
        <v>10001000010010001000110100001011</v>
      </c>
      <c r="AG101" s="62"/>
      <c r="AH101" s="62"/>
      <c r="AI101" s="62"/>
      <c r="AJ101" s="62"/>
      <c r="AK101" s="62"/>
      <c r="AM101" s="57">
        <v>4.0</v>
      </c>
      <c r="AN101" s="57">
        <v>5.0</v>
      </c>
      <c r="AO101" s="57">
        <v>6.0</v>
      </c>
      <c r="AP101" s="57">
        <v>7.0</v>
      </c>
      <c r="AQ101" s="57">
        <v>8.0</v>
      </c>
      <c r="AR101" s="57">
        <v>9.0</v>
      </c>
    </row>
    <row r="102" ht="15.75" customHeight="1">
      <c r="C102" s="12"/>
      <c r="D102" s="13"/>
      <c r="E102" s="58">
        <v>2.0</v>
      </c>
      <c r="F102" s="60" t="str">
        <f t="array" ref="F102">TEXTJOIN("",TRUE,IF(MID(F100,ROW(INDIRECT("1:"&amp;LEN(F100))),1)&lt;&gt;MID(AF100,ROW(INDIRECT("1:"&amp;LEN(AF100))),1),"1","0"))</f>
        <v>00001111001011111010110110011010</v>
      </c>
      <c r="G102" s="60"/>
      <c r="H102" s="60"/>
      <c r="I102" s="60"/>
      <c r="J102" s="22" t="str">
        <f t="array" ref="J102">TEXTJOIN("",TRUE,IF(MID(F101,ROW(INDIRECT("1:"&amp;LEN(F101))),1)&lt;&gt;MID(AF101,ROW(INDIRECT("1:"&amp;LEN(AF101))),1),"1","0"))</f>
        <v>01101000000111000111110110100001</v>
      </c>
      <c r="K102" s="22"/>
      <c r="L102" s="22"/>
      <c r="M102" s="22"/>
      <c r="N102" s="53" t="str">
        <f t="array" ref="N102">TEXTJOIN("",TRUE, MID($J$102,E,1))</f>
        <v>101101010000000011111000001111111011110100000010</v>
      </c>
      <c r="O102" s="53"/>
      <c r="P102" s="53"/>
      <c r="Q102" s="53"/>
      <c r="R102" s="53"/>
      <c r="S102" s="53"/>
      <c r="T102" s="21" t="str">
        <f t="array" ref="T102">TEXTJOIN("",TRUE,--(MID(N102,ROW(INDIRECT("1:48")),1)&lt;&gt;MID(K_3,ROW(INDIRECT("1:48")),1)))</f>
        <v>111000001111110001110010100010110001000111010000</v>
      </c>
      <c r="U102" s="21"/>
      <c r="V102" s="21"/>
      <c r="W102" s="21"/>
      <c r="X102" s="21"/>
      <c r="Y102" s="21"/>
      <c r="Z102" s="33" t="s">
        <v>108</v>
      </c>
      <c r="AA102" s="33"/>
      <c r="AB102" s="33"/>
      <c r="AC102" s="33"/>
      <c r="AD102" s="33"/>
      <c r="AE102" s="33"/>
      <c r="AF102" s="62" t="str">
        <f t="shared" si="1"/>
        <v>11011010001110110010011010010010</v>
      </c>
      <c r="AG102" s="62"/>
      <c r="AH102" s="62"/>
      <c r="AI102" s="62"/>
      <c r="AJ102" s="62"/>
      <c r="AK102" s="62"/>
      <c r="AM102" s="57">
        <v>8.0</v>
      </c>
      <c r="AN102" s="57">
        <v>9.0</v>
      </c>
      <c r="AO102" s="57">
        <v>10.0</v>
      </c>
      <c r="AP102" s="57">
        <v>11.0</v>
      </c>
      <c r="AQ102" s="57">
        <v>12.0</v>
      </c>
      <c r="AR102" s="57">
        <v>13.0</v>
      </c>
    </row>
    <row r="103" ht="15.75" customHeight="1">
      <c r="C103" s="12"/>
      <c r="D103" s="13"/>
      <c r="E103" s="58">
        <v>3.0</v>
      </c>
      <c r="F103" s="60" t="str">
        <f t="array" ref="F103">TEXTJOIN("",TRUE,IF(MID(F101,ROW(INDIRECT("1:"&amp;LEN(F101))),1)&lt;&gt;MID(AF101,ROW(INDIRECT("1:"&amp;LEN(AF101))),1),"1","0"))</f>
        <v>01101000000111000111110110100001</v>
      </c>
      <c r="G103" s="60"/>
      <c r="H103" s="60"/>
      <c r="I103" s="60"/>
      <c r="J103" s="22" t="str">
        <f t="array" ref="J103">TEXTJOIN("",TRUE,IF(MID(F102,ROW(INDIRECT("1:"&amp;LEN(F102))),1)&lt;&gt;MID(AF102,ROW(INDIRECT("1:"&amp;LEN(AF102))),1),"1","0"))</f>
        <v>11010101000101001000101100001000</v>
      </c>
      <c r="K103" s="22"/>
      <c r="L103" s="22"/>
      <c r="M103" s="22"/>
      <c r="N103" s="53" t="str">
        <f t="array" ref="N103">TEXTJOIN("",TRUE, MID($J$103,E,1))</f>
        <v>011010101010100010101001010001010110100001010001</v>
      </c>
      <c r="O103" s="53"/>
      <c r="P103" s="53"/>
      <c r="Q103" s="53"/>
      <c r="R103" s="53"/>
      <c r="S103" s="53"/>
      <c r="T103" s="21" t="str">
        <f t="array" ref="T103">TEXTJOIN("",TRUE,--(MID(N103,ROW(INDIRECT("1:48")),1)&lt;&gt;MID(K_4,ROW(INDIRECT("1:48")),1)))</f>
        <v>000110000000010101111011111010001110111000000110</v>
      </c>
      <c r="U103" s="21"/>
      <c r="V103" s="21"/>
      <c r="W103" s="21"/>
      <c r="X103" s="21"/>
      <c r="Y103" s="21"/>
      <c r="Z103" s="33" t="s">
        <v>109</v>
      </c>
      <c r="AA103" s="33"/>
      <c r="AB103" s="33"/>
      <c r="AC103" s="33"/>
      <c r="AD103" s="33"/>
      <c r="AE103" s="33"/>
      <c r="AF103" s="62" t="str">
        <f t="shared" si="1"/>
        <v>11110100010010010101000010110010</v>
      </c>
      <c r="AG103" s="62"/>
      <c r="AH103" s="62"/>
      <c r="AI103" s="62"/>
      <c r="AJ103" s="62"/>
      <c r="AK103" s="62"/>
      <c r="AM103" s="57">
        <v>12.0</v>
      </c>
      <c r="AN103" s="57">
        <v>13.0</v>
      </c>
      <c r="AO103" s="57">
        <v>14.0</v>
      </c>
      <c r="AP103" s="57">
        <v>15.0</v>
      </c>
      <c r="AQ103" s="57">
        <v>16.0</v>
      </c>
      <c r="AR103" s="57">
        <v>17.0</v>
      </c>
    </row>
    <row r="104" ht="15.75" customHeight="1">
      <c r="C104" s="12"/>
      <c r="D104" s="13"/>
      <c r="E104" s="58">
        <v>4.0</v>
      </c>
      <c r="F104" s="60" t="str">
        <f t="array" ref="F104">TEXTJOIN("",TRUE,IF(MID(F102,ROW(INDIRECT("1:"&amp;LEN(F102))),1)&lt;&gt;MID(AF102,ROW(INDIRECT("1:"&amp;LEN(AF102))),1),"1","0"))</f>
        <v>11010101000101001000101100001000</v>
      </c>
      <c r="G104" s="60"/>
      <c r="H104" s="60"/>
      <c r="I104" s="60"/>
      <c r="J104" s="22" t="str">
        <f t="array" ref="J104">TEXTJOIN("",TRUE,IF(MID(F103,ROW(INDIRECT("1:"&amp;LEN(F103))),1)&lt;&gt;MID(AF103,ROW(INDIRECT("1:"&amp;LEN(AF103))),1),"1","0"))</f>
        <v>10011100010101010010110100010011</v>
      </c>
      <c r="K104" s="22"/>
      <c r="L104" s="22"/>
      <c r="M104" s="22"/>
      <c r="N104" s="53" t="str">
        <f t="array" ref="N104">TEXTJOIN("",TRUE, MID($J$104,E,1))</f>
        <v>110011111000001010101010100101011010100010100111</v>
      </c>
      <c r="O104" s="53"/>
      <c r="P104" s="53"/>
      <c r="Q104" s="53"/>
      <c r="R104" s="53"/>
      <c r="S104" s="53"/>
      <c r="T104" s="21" t="str">
        <f t="array" ref="T104">TEXTJOIN("",TRUE,--(MID(N104,ROW(INDIRECT("1:48")),1)&lt;&gt;MID(K_5,ROW(INDIRECT("1:48")),1)))</f>
        <v>101100110110111010101101100010100100111001100101</v>
      </c>
      <c r="U104" s="21"/>
      <c r="V104" s="21"/>
      <c r="W104" s="21"/>
      <c r="X104" s="21"/>
      <c r="Y104" s="21"/>
      <c r="Z104" s="33" t="s">
        <v>110</v>
      </c>
      <c r="AA104" s="33"/>
      <c r="AB104" s="33"/>
      <c r="AC104" s="33"/>
      <c r="AD104" s="33"/>
      <c r="AE104" s="33"/>
      <c r="AF104" s="62" t="str">
        <f t="shared" si="1"/>
        <v>11011000001100100011011111111101</v>
      </c>
      <c r="AG104" s="62"/>
      <c r="AH104" s="62"/>
      <c r="AI104" s="62"/>
      <c r="AJ104" s="62"/>
      <c r="AK104" s="62"/>
      <c r="AM104" s="57">
        <v>16.0</v>
      </c>
      <c r="AN104" s="57">
        <v>17.0</v>
      </c>
      <c r="AO104" s="57">
        <v>18.0</v>
      </c>
      <c r="AP104" s="57">
        <v>19.0</v>
      </c>
      <c r="AQ104" s="57">
        <v>20.0</v>
      </c>
      <c r="AR104" s="57">
        <v>21.0</v>
      </c>
    </row>
    <row r="105" ht="15.75" customHeight="1">
      <c r="C105" s="12"/>
      <c r="D105" s="13"/>
      <c r="E105" s="58">
        <v>5.0</v>
      </c>
      <c r="F105" s="60" t="str">
        <f t="array" ref="F105">TEXTJOIN("",TRUE,IF(MID(F103,ROW(INDIRECT("1:"&amp;LEN(F103))),1)&lt;&gt;MID(AF103,ROW(INDIRECT("1:"&amp;LEN(AF103))),1),"1","0"))</f>
        <v>10011100010101010010110100010011</v>
      </c>
      <c r="G105" s="60"/>
      <c r="H105" s="60"/>
      <c r="I105" s="60"/>
      <c r="J105" s="22" t="str">
        <f t="array" ref="J105">TEXTJOIN("",TRUE,IF(MID(F104,ROW(INDIRECT("1:"&amp;LEN(F104))),1)&lt;&gt;MID(AF104,ROW(INDIRECT("1:"&amp;LEN(AF104))),1),"1","0"))</f>
        <v>00001101001001101011110011110101</v>
      </c>
      <c r="K105" s="22"/>
      <c r="L105" s="22"/>
      <c r="M105" s="22"/>
      <c r="N105" s="53" t="str">
        <f t="array" ref="N105">TEXTJOIN("",TRUE, MID($J$105,E,1))</f>
        <v>100001011010100100001101010111111001011110101010</v>
      </c>
      <c r="O105" s="53"/>
      <c r="P105" s="53"/>
      <c r="Q105" s="53"/>
      <c r="R105" s="53"/>
      <c r="S105" s="53"/>
      <c r="T105" s="21" t="str">
        <f t="array" ref="T105">TEXTJOIN("",TRUE,--(MID(N105,ROW(INDIRECT("1:48")),1)&lt;&gt;MID(K_6,ROW(INDIRECT("1:48")),1)))</f>
        <v>111001100000110000010011011000110101001011101111</v>
      </c>
      <c r="U105" s="21"/>
      <c r="V105" s="21"/>
      <c r="W105" s="21"/>
      <c r="X105" s="21"/>
      <c r="Y105" s="21"/>
      <c r="Z105" s="33" t="s">
        <v>111</v>
      </c>
      <c r="AA105" s="33"/>
      <c r="AB105" s="33"/>
      <c r="AC105" s="33"/>
      <c r="AD105" s="33"/>
      <c r="AE105" s="33"/>
      <c r="AF105" s="62" t="str">
        <f t="shared" si="1"/>
        <v>10101111110001000011101100100101</v>
      </c>
      <c r="AG105" s="62"/>
      <c r="AH105" s="62"/>
      <c r="AI105" s="62"/>
      <c r="AJ105" s="62"/>
      <c r="AK105" s="62"/>
      <c r="AM105" s="57">
        <v>20.0</v>
      </c>
      <c r="AN105" s="57">
        <v>21.0</v>
      </c>
      <c r="AO105" s="57">
        <v>22.0</v>
      </c>
      <c r="AP105" s="57">
        <v>23.0</v>
      </c>
      <c r="AQ105" s="57">
        <v>24.0</v>
      </c>
      <c r="AR105" s="57">
        <v>25.0</v>
      </c>
    </row>
    <row r="106" ht="15.75" customHeight="1">
      <c r="C106" s="12"/>
      <c r="D106" s="13"/>
      <c r="E106" s="58">
        <v>6.0</v>
      </c>
      <c r="F106" s="60" t="str">
        <f t="array" ref="F106">TEXTJOIN("",TRUE,IF(MID(F104,ROW(INDIRECT("1:"&amp;LEN(F104))),1)&lt;&gt;MID(AF104,ROW(INDIRECT("1:"&amp;LEN(AF104))),1),"1","0"))</f>
        <v>00001101001001101011110011110101</v>
      </c>
      <c r="G106" s="60"/>
      <c r="H106" s="60"/>
      <c r="I106" s="60"/>
      <c r="J106" s="22" t="str">
        <f t="array" ref="J106">TEXTJOIN("",TRUE,IF(MID(F105,ROW(INDIRECT("1:"&amp;LEN(F105))),1)&lt;&gt;MID(AF105,ROW(INDIRECT("1:"&amp;LEN(AF105))),1),"1","0"))</f>
        <v>00110011100100010001011000110110</v>
      </c>
      <c r="K106" s="22"/>
      <c r="L106" s="22"/>
      <c r="M106" s="22"/>
      <c r="N106" s="53" t="str">
        <f t="array" ref="N106">TEXTJOIN("",TRUE, MID($J$106,E,1))</f>
        <v>000110100111110010100010100010101100000110101100</v>
      </c>
      <c r="O106" s="53"/>
      <c r="P106" s="53"/>
      <c r="Q106" s="53"/>
      <c r="R106" s="53"/>
      <c r="S106" s="53"/>
      <c r="T106" s="21" t="str">
        <f t="array" ref="T106">TEXTJOIN("",TRUE,--(MID(N106,ROW(INDIRECT("1:48")),1)&lt;&gt;MID(K_7,ROW(INDIRECT("1:48")),1)))</f>
        <v>011101101111100000010101000000000010010101101010</v>
      </c>
      <c r="U106" s="21"/>
      <c r="V106" s="21"/>
      <c r="W106" s="21"/>
      <c r="X106" s="21"/>
      <c r="Y106" s="21"/>
      <c r="Z106" s="33" t="s">
        <v>112</v>
      </c>
      <c r="AA106" s="33"/>
      <c r="AB106" s="33"/>
      <c r="AC106" s="33"/>
      <c r="AD106" s="33"/>
      <c r="AE106" s="33"/>
      <c r="AF106" s="62" t="str">
        <f t="shared" si="1"/>
        <v>01001110010100010010001110100010</v>
      </c>
      <c r="AG106" s="62"/>
      <c r="AH106" s="62"/>
      <c r="AI106" s="62"/>
      <c r="AJ106" s="62"/>
      <c r="AK106" s="62"/>
      <c r="AM106" s="57">
        <v>24.0</v>
      </c>
      <c r="AN106" s="57">
        <v>25.0</v>
      </c>
      <c r="AO106" s="57">
        <v>26.0</v>
      </c>
      <c r="AP106" s="57">
        <v>27.0</v>
      </c>
      <c r="AQ106" s="57">
        <v>28.0</v>
      </c>
      <c r="AR106" s="57">
        <v>29.0</v>
      </c>
    </row>
    <row r="107" ht="15.75" customHeight="1">
      <c r="C107" s="12"/>
      <c r="D107" s="13"/>
      <c r="E107" s="58">
        <v>7.0</v>
      </c>
      <c r="F107" s="60" t="str">
        <f t="array" ref="F107">TEXTJOIN("",TRUE,IF(MID(F105,ROW(INDIRECT("1:"&amp;LEN(F105))),1)&lt;&gt;MID(AF105,ROW(INDIRECT("1:"&amp;LEN(AF105))),1),"1","0"))</f>
        <v>00110011100100010001011000110110</v>
      </c>
      <c r="G107" s="60"/>
      <c r="H107" s="60"/>
      <c r="I107" s="60"/>
      <c r="J107" s="22" t="str">
        <f t="array" ref="J107">TEXTJOIN("",TRUE,IF(MID(F106,ROW(INDIRECT("1:"&amp;LEN(F106))),1)&lt;&gt;MID(AF106,ROW(INDIRECT("1:"&amp;LEN(AF106))),1),"1","0"))</f>
        <v>01000011011101111001111101010111</v>
      </c>
      <c r="K107" s="22"/>
      <c r="L107" s="22"/>
      <c r="M107" s="22"/>
      <c r="N107" s="53" t="str">
        <f t="array" ref="N107">TEXTJOIN("",TRUE, MID($J$107,E,1))</f>
        <v>101000000110101110101111110011111110101010101110</v>
      </c>
      <c r="O107" s="53"/>
      <c r="P107" s="53"/>
      <c r="Q107" s="53"/>
      <c r="R107" s="53"/>
      <c r="S107" s="53"/>
      <c r="T107" s="21" t="str">
        <f t="array" ref="T107">TEXTJOIN("",TRUE,--(MID(N107,ROW(INDIRECT("1:48")),1)&lt;&gt;MID(K_8,ROW(INDIRECT("1:48")),1)))</f>
        <v>010101111110001110010101001000110000110100101111</v>
      </c>
      <c r="U107" s="21"/>
      <c r="V107" s="21"/>
      <c r="W107" s="21"/>
      <c r="X107" s="21"/>
      <c r="Y107" s="21"/>
      <c r="Z107" s="33" t="s">
        <v>113</v>
      </c>
      <c r="AA107" s="33"/>
      <c r="AB107" s="33"/>
      <c r="AC107" s="33"/>
      <c r="AD107" s="33"/>
      <c r="AE107" s="33"/>
      <c r="AF107" s="62" t="str">
        <f t="shared" si="1"/>
        <v>01101100111111011110110010111000</v>
      </c>
      <c r="AG107" s="62"/>
      <c r="AH107" s="62"/>
      <c r="AI107" s="62"/>
      <c r="AJ107" s="62"/>
      <c r="AK107" s="62"/>
      <c r="AM107" s="57">
        <v>28.0</v>
      </c>
      <c r="AN107" s="57">
        <v>29.0</v>
      </c>
      <c r="AO107" s="57">
        <v>30.0</v>
      </c>
      <c r="AP107" s="57">
        <v>31.0</v>
      </c>
      <c r="AQ107" s="57">
        <v>32.0</v>
      </c>
      <c r="AR107" s="57">
        <v>1.0</v>
      </c>
    </row>
    <row r="108" ht="15.75" customHeight="1">
      <c r="C108" s="12"/>
      <c r="D108" s="13"/>
      <c r="E108" s="58">
        <v>8.0</v>
      </c>
      <c r="F108" s="60" t="str">
        <f t="array" ref="F108">TEXTJOIN("",TRUE,IF(MID(F106,ROW(INDIRECT("1:"&amp;LEN(F106))),1)&lt;&gt;MID(AF106,ROW(INDIRECT("1:"&amp;LEN(AF106))),1),"1","0"))</f>
        <v>01000011011101111001111101010111</v>
      </c>
      <c r="G108" s="60"/>
      <c r="H108" s="60"/>
      <c r="I108" s="60"/>
      <c r="J108" s="22" t="str">
        <f t="array" ref="J108">TEXTJOIN("",TRUE,IF(MID(F107,ROW(INDIRECT("1:"&amp;LEN(F107))),1)&lt;&gt;MID(AF107,ROW(INDIRECT("1:"&amp;LEN(AF107))),1),"1","0"))</f>
        <v>01011111011011001111101010001110</v>
      </c>
      <c r="K108" s="22"/>
      <c r="L108" s="22"/>
      <c r="M108" s="22"/>
      <c r="N108" s="53" t="str">
        <f t="array" ref="N108">TEXTJOIN("",TRUE, MID($J$108,E,1))</f>
        <v>001011111110101101011001011111110101010001011100</v>
      </c>
      <c r="O108" s="53"/>
      <c r="P108" s="53"/>
      <c r="Q108" s="53"/>
      <c r="R108" s="53"/>
      <c r="S108" s="53"/>
      <c r="T108" s="21" t="str">
        <f t="array" ref="T108">TEXTJOIN("",TRUE,--(MID(N108,ROW(INDIRECT("1:48")),1)&lt;&gt;MID(K_9,ROW(INDIRECT("1:48")),1)))</f>
        <v>111011110011000010110010010110001110110001100101</v>
      </c>
      <c r="U108" s="21"/>
      <c r="V108" s="21"/>
      <c r="W108" s="21"/>
      <c r="X108" s="21"/>
      <c r="Y108" s="21"/>
      <c r="Z108" s="33" t="s">
        <v>114</v>
      </c>
      <c r="AA108" s="33"/>
      <c r="AB108" s="33"/>
      <c r="AC108" s="33"/>
      <c r="AD108" s="33"/>
      <c r="AE108" s="33"/>
      <c r="AF108" s="62" t="str">
        <f t="shared" si="1"/>
        <v>11111011000001100000000010110001</v>
      </c>
      <c r="AG108" s="62"/>
      <c r="AH108" s="62"/>
      <c r="AI108" s="62"/>
      <c r="AJ108" s="62"/>
      <c r="AK108" s="62"/>
    </row>
    <row r="109" ht="15.75" customHeight="1">
      <c r="C109" s="12"/>
      <c r="D109" s="13"/>
      <c r="E109" s="58">
        <v>9.0</v>
      </c>
      <c r="F109" s="60" t="str">
        <f t="array" ref="F109">TEXTJOIN("",TRUE,IF(MID(F107,ROW(INDIRECT("1:"&amp;LEN(F107))),1)&lt;&gt;MID(AF107,ROW(INDIRECT("1:"&amp;LEN(AF107))),1),"1","0"))</f>
        <v>01011111011011001111101010001110</v>
      </c>
      <c r="G109" s="60"/>
      <c r="H109" s="60"/>
      <c r="I109" s="60"/>
      <c r="J109" s="22" t="str">
        <f t="array" ref="J109">TEXTJOIN("",TRUE,IF(MID(F108,ROW(INDIRECT("1:"&amp;LEN(F108))),1)&lt;&gt;MID(AF108,ROW(INDIRECT("1:"&amp;LEN(AF108))),1),"1","0"))</f>
        <v>10111000011100011001111111100110</v>
      </c>
      <c r="K109" s="22"/>
      <c r="L109" s="22"/>
      <c r="M109" s="22"/>
      <c r="N109" s="53" t="str">
        <f t="array" ref="N109">TEXTJOIN("",TRUE, MID($J$109,E,1))</f>
        <v>010111110000001110100011110011111111111100001101</v>
      </c>
      <c r="O109" s="53"/>
      <c r="P109" s="53"/>
      <c r="Q109" s="53"/>
      <c r="R109" s="53"/>
      <c r="S109" s="53"/>
      <c r="T109" s="21" t="str">
        <f t="array" ref="T109">TEXTJOIN("",TRUE,--(MID(N109,ROW(INDIRECT("1:48")),1)&lt;&gt;MID(K_10,ROW(INDIRECT("1:48")),1)))</f>
        <v>111011101111000011100100101011001110001001111011</v>
      </c>
      <c r="U109" s="21"/>
      <c r="V109" s="21"/>
      <c r="W109" s="21"/>
      <c r="X109" s="21"/>
      <c r="Y109" s="21"/>
      <c r="Z109" s="33" t="s">
        <v>115</v>
      </c>
      <c r="AA109" s="33"/>
      <c r="AB109" s="33"/>
      <c r="AC109" s="33"/>
      <c r="AD109" s="33"/>
      <c r="AE109" s="33"/>
      <c r="AF109" s="62" t="str">
        <f t="shared" si="1"/>
        <v>11010101000101010000100011100100</v>
      </c>
      <c r="AG109" s="62"/>
      <c r="AH109" s="62"/>
      <c r="AI109" s="62"/>
      <c r="AJ109" s="62"/>
      <c r="AK109" s="62"/>
    </row>
    <row r="110" ht="15.75" customHeight="1">
      <c r="C110" s="12"/>
      <c r="D110" s="13"/>
      <c r="E110" s="58">
        <v>10.0</v>
      </c>
      <c r="F110" s="60" t="str">
        <f t="array" ref="F110">TEXTJOIN("",TRUE,IF(MID(F108,ROW(INDIRECT("1:"&amp;LEN(F108))),1)&lt;&gt;MID(AF108,ROW(INDIRECT("1:"&amp;LEN(AF108))),1),"1","0"))</f>
        <v>10111000011100011001111111100110</v>
      </c>
      <c r="G110" s="60"/>
      <c r="H110" s="60"/>
      <c r="I110" s="60"/>
      <c r="J110" s="22" t="str">
        <f t="array" ref="J110">TEXTJOIN("",TRUE,IF(MID(F109,ROW(INDIRECT("1:"&amp;LEN(F109))),1)&lt;&gt;MID(AF109,ROW(INDIRECT("1:"&amp;LEN(AF109))),1),"1","0"))</f>
        <v>10001010011110011111001001101010</v>
      </c>
      <c r="K110" s="22"/>
      <c r="L110" s="22"/>
      <c r="M110" s="22"/>
      <c r="N110" s="53" t="str">
        <f t="array" ref="N110">TEXTJOIN("",TRUE, MID($J$110,E,1))</f>
        <v>010001010100001111110011111110100100001101010101</v>
      </c>
      <c r="O110" s="53"/>
      <c r="P110" s="53"/>
      <c r="Q110" s="53"/>
      <c r="R110" s="53"/>
      <c r="S110" s="53"/>
      <c r="T110" s="21" t="str">
        <f t="array" ref="T110">TEXTJOIN("",TRUE,--(MID(N110,ROW(INDIRECT("1:48")),1)&lt;&gt;MID(K_11,ROW(INDIRECT("1:48")),1)))</f>
        <v>011001000001110000110000111101111100101011101011</v>
      </c>
      <c r="U110" s="21"/>
      <c r="V110" s="21"/>
      <c r="W110" s="21"/>
      <c r="X110" s="21"/>
      <c r="Y110" s="21"/>
      <c r="Z110" s="33" t="s">
        <v>116</v>
      </c>
      <c r="AA110" s="33"/>
      <c r="AB110" s="33"/>
      <c r="AC110" s="33"/>
      <c r="AD110" s="33"/>
      <c r="AE110" s="33"/>
      <c r="AF110" s="62" t="str">
        <f t="shared" si="1"/>
        <v>11111100111101100111000101000110</v>
      </c>
      <c r="AG110" s="62"/>
      <c r="AH110" s="62"/>
      <c r="AI110" s="62"/>
      <c r="AJ110" s="62"/>
      <c r="AK110" s="62"/>
    </row>
    <row r="111" ht="15.75" customHeight="1">
      <c r="C111" s="12"/>
      <c r="D111" s="13"/>
      <c r="E111" s="58">
        <v>11.0</v>
      </c>
      <c r="F111" s="60" t="str">
        <f t="array" ref="F111">TEXTJOIN("",TRUE,IF(MID(F109,ROW(INDIRECT("1:"&amp;LEN(F109))),1)&lt;&gt;MID(AF109,ROW(INDIRECT("1:"&amp;LEN(AF109))),1),"1","0"))</f>
        <v>10001010011110011111001001101010</v>
      </c>
      <c r="G111" s="60"/>
      <c r="H111" s="60"/>
      <c r="I111" s="60"/>
      <c r="J111" s="22" t="str">
        <f t="array" ref="J111">TEXTJOIN("",TRUE,IF(MID(F110,ROW(INDIRECT("1:"&amp;LEN(F110))),1)&lt;&gt;MID(AF110,ROW(INDIRECT("1:"&amp;LEN(AF110))),1),"1","0"))</f>
        <v>01000100100001111110111010100000</v>
      </c>
      <c r="K111" s="22"/>
      <c r="L111" s="22"/>
      <c r="M111" s="22"/>
      <c r="N111" s="53" t="str">
        <f t="array" ref="N111">TEXTJOIN("",TRUE, MID($J$111,E,1))</f>
        <v>001000001001010000001111111101011101010100000000</v>
      </c>
      <c r="O111" s="53"/>
      <c r="P111" s="53"/>
      <c r="Q111" s="53"/>
      <c r="R111" s="53"/>
      <c r="S111" s="53"/>
      <c r="T111" s="21" t="str">
        <f t="array" ref="T111">TEXTJOIN("",TRUE,--(MID(N111,ROW(INDIRECT("1:48")),1)&lt;&gt;MID(K_12,ROW(INDIRECT("1:48")),1)))</f>
        <v>010100011110010111111010101100001000100111010101</v>
      </c>
      <c r="U111" s="21"/>
      <c r="V111" s="21"/>
      <c r="W111" s="21"/>
      <c r="X111" s="21"/>
      <c r="Y111" s="21"/>
      <c r="Z111" s="33" t="s">
        <v>117</v>
      </c>
      <c r="AA111" s="33"/>
      <c r="AB111" s="33"/>
      <c r="AC111" s="33"/>
      <c r="AD111" s="33"/>
      <c r="AE111" s="33"/>
      <c r="AF111" s="62" t="str">
        <f t="shared" si="1"/>
        <v>01110000010011111010001110100101</v>
      </c>
      <c r="AG111" s="62"/>
      <c r="AH111" s="62"/>
      <c r="AI111" s="62"/>
      <c r="AJ111" s="62"/>
      <c r="AK111" s="62"/>
    </row>
    <row r="112" ht="15.75" customHeight="1">
      <c r="C112" s="12"/>
      <c r="D112" s="13"/>
      <c r="E112" s="58">
        <v>12.0</v>
      </c>
      <c r="F112" s="60" t="str">
        <f t="array" ref="F112">TEXTJOIN("",TRUE,IF(MID(F110,ROW(INDIRECT("1:"&amp;LEN(F110))),1)&lt;&gt;MID(AF110,ROW(INDIRECT("1:"&amp;LEN(AF110))),1),"1","0"))</f>
        <v>01000100100001111110111010100000</v>
      </c>
      <c r="G112" s="60"/>
      <c r="H112" s="60"/>
      <c r="I112" s="60"/>
      <c r="J112" s="22" t="str">
        <f t="array" ref="J112">TEXTJOIN("",TRUE,IF(MID(F111,ROW(INDIRECT("1:"&amp;LEN(F111))),1)&lt;&gt;MID(AF111,ROW(INDIRECT("1:"&amp;LEN(AF111))),1),"1","0"))</f>
        <v>11111010001101100101000111001111</v>
      </c>
      <c r="K112" s="22"/>
      <c r="L112" s="22"/>
      <c r="M112" s="22"/>
      <c r="N112" s="53" t="str">
        <f t="array" ref="N112">TEXTJOIN("",TRUE, MID($J$112,E,1))</f>
        <v>111111110100000110101100001010100011111001011111</v>
      </c>
      <c r="O112" s="53"/>
      <c r="P112" s="53"/>
      <c r="Q112" s="53"/>
      <c r="R112" s="53"/>
      <c r="S112" s="53"/>
      <c r="T112" s="21" t="str">
        <f t="array" ref="T112">TEXTJOIN("",TRUE,--(MID(N112,ROW(INDIRECT("1:48")),1)&lt;&gt;MID(K_13,ROW(INDIRECT("1:48")),1)))</f>
        <v>011010101000010001111101011000011011111010100010</v>
      </c>
      <c r="U112" s="21"/>
      <c r="V112" s="21"/>
      <c r="W112" s="21"/>
      <c r="X112" s="21"/>
      <c r="Y112" s="21"/>
      <c r="Z112" s="33" t="s">
        <v>118</v>
      </c>
      <c r="AA112" s="33"/>
      <c r="AB112" s="33"/>
      <c r="AC112" s="33"/>
      <c r="AD112" s="33"/>
      <c r="AE112" s="33"/>
      <c r="AF112" s="62" t="str">
        <f t="shared" si="1"/>
        <v>01111011111111100010100000000110</v>
      </c>
      <c r="AG112" s="62"/>
      <c r="AH112" s="62"/>
      <c r="AI112" s="62"/>
      <c r="AJ112" s="62"/>
      <c r="AK112" s="62"/>
    </row>
    <row r="113" ht="15.75" customHeight="1">
      <c r="C113" s="12"/>
      <c r="D113" s="13"/>
      <c r="E113" s="58">
        <v>13.0</v>
      </c>
      <c r="F113" s="60" t="str">
        <f t="array" ref="F113">TEXTJOIN("",TRUE,IF(MID(F111,ROW(INDIRECT("1:"&amp;LEN(F111))),1)&lt;&gt;MID(AF111,ROW(INDIRECT("1:"&amp;LEN(AF111))),1),"1","0"))</f>
        <v>11111010001101100101000111001111</v>
      </c>
      <c r="G113" s="60"/>
      <c r="H113" s="60"/>
      <c r="I113" s="60"/>
      <c r="J113" s="22" t="str">
        <f t="array" ref="J113">TEXTJOIN("",TRUE,IF(MID(F112,ROW(INDIRECT("1:"&amp;LEN(F112))),1)&lt;&gt;MID(AF112,ROW(INDIRECT("1:"&amp;LEN(AF112))),1),"1","0"))</f>
        <v>00111111011110011100011010100110</v>
      </c>
      <c r="K113" s="22"/>
      <c r="L113" s="22"/>
      <c r="M113" s="22"/>
      <c r="N113" s="53" t="str">
        <f t="array" ref="N113">TEXTJOIN("",TRUE, MID($J$113,E,1))</f>
        <v>000111111110101111110011111000001101010100001100</v>
      </c>
      <c r="O113" s="53"/>
      <c r="P113" s="53"/>
      <c r="Q113" s="53"/>
      <c r="R113" s="53"/>
      <c r="S113" s="53"/>
      <c r="T113" s="21" t="str">
        <f t="array" ref="T113">TEXTJOIN("",TRUE,--(MID(N113,ROW(INDIRECT("1:48")),1)&lt;&gt;MID(K_14,ROW(INDIRECT("1:48")),1)))</f>
        <v>010010001010100001000100011000110000100010000001</v>
      </c>
      <c r="U113" s="21"/>
      <c r="V113" s="21"/>
      <c r="W113" s="21"/>
      <c r="X113" s="21"/>
      <c r="Y113" s="21"/>
      <c r="Z113" s="33" t="s">
        <v>119</v>
      </c>
      <c r="AA113" s="33"/>
      <c r="AB113" s="33"/>
      <c r="AC113" s="33"/>
      <c r="AD113" s="33"/>
      <c r="AE113" s="33"/>
      <c r="AF113" s="62" t="str">
        <f t="shared" si="1"/>
        <v>01100101111111000111101001001000</v>
      </c>
      <c r="AG113" s="62"/>
      <c r="AH113" s="62"/>
      <c r="AI113" s="62"/>
      <c r="AJ113" s="62"/>
      <c r="AK113" s="62"/>
    </row>
    <row r="114" ht="15.75" customHeight="1">
      <c r="C114" s="12"/>
      <c r="D114" s="13"/>
      <c r="E114" s="58">
        <v>14.0</v>
      </c>
      <c r="F114" s="60" t="str">
        <f t="array" ref="F114">TEXTJOIN("",TRUE,IF(MID(F112,ROW(INDIRECT("1:"&amp;LEN(F112))),1)&lt;&gt;MID(AF112,ROW(INDIRECT("1:"&amp;LEN(AF112))),1),"1","0"))</f>
        <v>00111111011110011100011010100110</v>
      </c>
      <c r="G114" s="60"/>
      <c r="H114" s="60"/>
      <c r="I114" s="60"/>
      <c r="J114" s="22" t="str">
        <f t="array" ref="J114">TEXTJOIN("",TRUE,IF(MID(F113,ROW(INDIRECT("1:"&amp;LEN(F113))),1)&lt;&gt;MID(AF113,ROW(INDIRECT("1:"&amp;LEN(AF113))),1),"1","0"))</f>
        <v>10011111110010100010101110000111</v>
      </c>
      <c r="K114" s="22"/>
      <c r="L114" s="22"/>
      <c r="M114" s="22"/>
      <c r="N114" s="53" t="str">
        <f t="array" ref="N114">TEXTJOIN("",TRUE, MID($J$114,E,1))</f>
        <v>110011111111111001010100000101010111110000001111</v>
      </c>
      <c r="O114" s="53"/>
      <c r="P114" s="53"/>
      <c r="Q114" s="53"/>
      <c r="R114" s="53"/>
      <c r="S114" s="53"/>
      <c r="T114" s="21" t="str">
        <f t="array" ref="T114">TEXTJOIN("",TRUE,--(MID(N114,ROW(INDIRECT("1:48")),1)&lt;&gt;MID(K_15,ROW(INDIRECT("1:48")),1)))</f>
        <v>011100000110111111010001000111110110101110111010</v>
      </c>
      <c r="U114" s="21"/>
      <c r="V114" s="21"/>
      <c r="W114" s="21"/>
      <c r="X114" s="21"/>
      <c r="Y114" s="21"/>
      <c r="Z114" s="33" t="s">
        <v>120</v>
      </c>
      <c r="AA114" s="33"/>
      <c r="AB114" s="33"/>
      <c r="AC114" s="33"/>
      <c r="AD114" s="33"/>
      <c r="AE114" s="33"/>
      <c r="AF114" s="62" t="str">
        <f t="shared" si="1"/>
        <v>01010001001111110001110100010001</v>
      </c>
      <c r="AG114" s="62"/>
      <c r="AH114" s="62"/>
      <c r="AI114" s="62"/>
      <c r="AJ114" s="62"/>
      <c r="AK114" s="62"/>
    </row>
    <row r="115" ht="15.75" customHeight="1">
      <c r="C115" s="12"/>
      <c r="D115" s="13"/>
      <c r="E115" s="58">
        <v>15.0</v>
      </c>
      <c r="F115" s="60" t="str">
        <f t="array" ref="F115">TEXTJOIN("",TRUE,IF(MID(F113,ROW(INDIRECT("1:"&amp;LEN(F113))),1)&lt;&gt;MID(AF113,ROW(INDIRECT("1:"&amp;LEN(AF113))),1),"1","0"))</f>
        <v>10011111110010100010101110000111</v>
      </c>
      <c r="G115" s="60"/>
      <c r="H115" s="60"/>
      <c r="I115" s="60"/>
      <c r="J115" s="22" t="str">
        <f t="array" ref="J115">TEXTJOIN("",TRUE,IF(MID(F114,ROW(INDIRECT("1:"&amp;LEN(F114))),1)&lt;&gt;MID(AF114,ROW(INDIRECT("1:"&amp;LEN(AF114))),1),"1","0"))</f>
        <v>01101110010001101101101110110111</v>
      </c>
      <c r="K115" s="22"/>
      <c r="L115" s="22"/>
      <c r="M115" s="22"/>
      <c r="N115" s="53" t="str">
        <f t="array" ref="N115">TEXTJOIN("",TRUE, MID($J$115,E,1))</f>
        <v>101101011100001000001101011011110111110110101110</v>
      </c>
      <c r="O115" s="53"/>
      <c r="P115" s="53"/>
      <c r="Q115" s="53"/>
      <c r="R115" s="53"/>
      <c r="S115" s="53"/>
      <c r="T115" s="21" t="str">
        <f t="array" ref="T115">TEXTJOIN("",TRUE,--(MID(N115,ROW(INDIRECT("1:48")),1)&lt;&gt;MID(K_16,ROW(INDIRECT("1:48")),1)))</f>
        <v>011111101111111100000110110100110000110111011100</v>
      </c>
      <c r="U115" s="21"/>
      <c r="V115" s="21"/>
      <c r="W115" s="21"/>
      <c r="X115" s="21"/>
      <c r="Y115" s="21"/>
      <c r="Z115" s="33" t="s">
        <v>121</v>
      </c>
      <c r="AA115" s="33"/>
      <c r="AB115" s="33"/>
      <c r="AC115" s="33"/>
      <c r="AD115" s="33"/>
      <c r="AE115" s="33"/>
      <c r="AF115" s="62" t="str">
        <f t="shared" si="1"/>
        <v>11001011111101010010010100101101</v>
      </c>
      <c r="AG115" s="62"/>
      <c r="AH115" s="62"/>
      <c r="AI115" s="62"/>
      <c r="AJ115" s="62"/>
      <c r="AK115" s="62"/>
    </row>
    <row r="116" ht="15.75" customHeight="1">
      <c r="C116" s="14"/>
      <c r="D116" s="15"/>
      <c r="E116" s="58">
        <v>16.0</v>
      </c>
      <c r="F116" s="60" t="str">
        <f t="array" ref="F116">TEXTJOIN("",TRUE,IF(MID(F114,ROW(INDIRECT("1:"&amp;LEN(F114))),1)&lt;&gt;MID(AF114,ROW(INDIRECT("1:"&amp;LEN(AF114))),1),"1","0"))</f>
        <v>01101110010001101101101110110111</v>
      </c>
      <c r="G116" s="60"/>
      <c r="H116" s="60"/>
      <c r="I116" s="60"/>
      <c r="J116" s="22" t="str">
        <f t="array" ref="J116">TEXTJOIN("",TRUE,IF(MID(F115,ROW(INDIRECT("1:"&amp;LEN(F115))),1)&lt;&gt;MID(AF115,ROW(INDIRECT("1:"&amp;LEN(AF115))),1),"1","0"))</f>
        <v>01010100001111110000111010101010</v>
      </c>
      <c r="K116" s="22"/>
      <c r="L116" s="22"/>
      <c r="M116" s="22"/>
      <c r="N116" s="53"/>
      <c r="O116" s="53"/>
      <c r="P116" s="53"/>
      <c r="Q116" s="53"/>
      <c r="R116" s="53"/>
      <c r="S116" s="53"/>
      <c r="T116" s="21"/>
      <c r="U116" s="21"/>
      <c r="V116" s="21"/>
      <c r="W116" s="21"/>
      <c r="X116" s="21"/>
      <c r="Y116" s="21"/>
      <c r="Z116" s="33"/>
      <c r="AA116" s="33"/>
      <c r="AB116" s="33"/>
      <c r="AC116" s="33"/>
      <c r="AD116" s="33"/>
      <c r="AE116" s="33"/>
      <c r="AF116" s="62"/>
      <c r="AG116" s="62"/>
      <c r="AH116" s="62"/>
      <c r="AI116" s="62"/>
      <c r="AJ116" s="62"/>
      <c r="AK116" s="62"/>
    </row>
    <row r="117" ht="15.75" customHeight="1"/>
    <row r="118" ht="15.0" customHeight="1"/>
    <row r="119" ht="15.0" customHeight="1"/>
    <row r="120" ht="15.0" customHeight="1">
      <c r="C120" s="63" t="s">
        <v>122</v>
      </c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10"/>
    </row>
    <row r="121" ht="26.25" customHeight="1">
      <c r="C121" s="14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15"/>
      <c r="T121" s="66" t="s">
        <v>123</v>
      </c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10"/>
    </row>
    <row r="122" ht="15.75" customHeight="1">
      <c r="T122" s="12"/>
      <c r="AI122" s="13"/>
    </row>
    <row r="123" ht="15.75" customHeight="1">
      <c r="C123" s="57">
        <v>14.0</v>
      </c>
      <c r="D123" s="57">
        <v>4.0</v>
      </c>
      <c r="E123" s="57">
        <v>13.0</v>
      </c>
      <c r="F123" s="57">
        <v>1.0</v>
      </c>
      <c r="G123" s="57">
        <v>2.0</v>
      </c>
      <c r="H123" s="57">
        <v>15.0</v>
      </c>
      <c r="I123" s="57">
        <v>11.0</v>
      </c>
      <c r="J123" s="57">
        <v>8.0</v>
      </c>
      <c r="K123" s="57">
        <v>3.0</v>
      </c>
      <c r="L123" s="57">
        <v>10.0</v>
      </c>
      <c r="M123" s="57">
        <v>6.0</v>
      </c>
      <c r="N123" s="57">
        <v>12.0</v>
      </c>
      <c r="O123" s="57">
        <v>5.0</v>
      </c>
      <c r="P123" s="57">
        <v>9.0</v>
      </c>
      <c r="Q123" s="57">
        <v>0.0</v>
      </c>
      <c r="R123" s="57">
        <v>7.0</v>
      </c>
      <c r="T123" s="14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15"/>
    </row>
    <row r="124" ht="15.75" customHeight="1">
      <c r="C124" s="57">
        <v>0.0</v>
      </c>
      <c r="D124" s="57">
        <v>15.0</v>
      </c>
      <c r="E124" s="57">
        <v>7.0</v>
      </c>
      <c r="F124" s="57">
        <v>4.0</v>
      </c>
      <c r="G124" s="57">
        <v>14.0</v>
      </c>
      <c r="H124" s="57">
        <v>2.0</v>
      </c>
      <c r="I124" s="57">
        <v>13.0</v>
      </c>
      <c r="J124" s="57">
        <v>1.0</v>
      </c>
      <c r="K124" s="57">
        <v>10.0</v>
      </c>
      <c r="L124" s="57">
        <v>6.0</v>
      </c>
      <c r="M124" s="57">
        <v>12.0</v>
      </c>
      <c r="N124" s="57">
        <v>11.0</v>
      </c>
      <c r="O124" s="57">
        <v>9.0</v>
      </c>
      <c r="P124" s="57">
        <v>5.0</v>
      </c>
      <c r="Q124" s="57">
        <v>3.0</v>
      </c>
      <c r="R124" s="57">
        <v>8.0</v>
      </c>
    </row>
    <row r="125" ht="15.0" customHeight="1">
      <c r="C125" s="57">
        <v>4.0</v>
      </c>
      <c r="D125" s="57">
        <v>1.0</v>
      </c>
      <c r="E125" s="57">
        <v>14.0</v>
      </c>
      <c r="F125" s="57">
        <v>8.0</v>
      </c>
      <c r="G125" s="57">
        <v>13.0</v>
      </c>
      <c r="H125" s="57">
        <v>6.0</v>
      </c>
      <c r="I125" s="57">
        <v>2.0</v>
      </c>
      <c r="J125" s="57">
        <v>11.0</v>
      </c>
      <c r="K125" s="57">
        <v>15.0</v>
      </c>
      <c r="L125" s="57">
        <v>12.0</v>
      </c>
      <c r="M125" s="57">
        <v>9.0</v>
      </c>
      <c r="N125" s="57">
        <v>7.0</v>
      </c>
      <c r="O125" s="57">
        <v>3.0</v>
      </c>
      <c r="P125" s="57">
        <v>10.0</v>
      </c>
      <c r="Q125" s="57">
        <v>5.0</v>
      </c>
      <c r="R125" s="57">
        <v>0.0</v>
      </c>
      <c r="T125" s="67" t="s">
        <v>124</v>
      </c>
      <c r="U125" s="67" t="s">
        <v>26</v>
      </c>
      <c r="V125" s="67" t="s">
        <v>125</v>
      </c>
      <c r="W125" s="67" t="s">
        <v>20</v>
      </c>
      <c r="X125" s="67" t="s">
        <v>20</v>
      </c>
      <c r="Y125" s="67" t="s">
        <v>126</v>
      </c>
      <c r="Z125" s="67" t="s">
        <v>18</v>
      </c>
      <c r="AA125" s="67" t="s">
        <v>127</v>
      </c>
      <c r="AB125" s="67" t="s">
        <v>24</v>
      </c>
      <c r="AC125" s="67" t="s">
        <v>26</v>
      </c>
      <c r="AD125" s="67" t="s">
        <v>18</v>
      </c>
      <c r="AE125" s="67" t="s">
        <v>128</v>
      </c>
      <c r="AF125" s="67" t="s">
        <v>21</v>
      </c>
      <c r="AG125" s="67" t="s">
        <v>19</v>
      </c>
      <c r="AH125" s="67" t="s">
        <v>23</v>
      </c>
      <c r="AI125" s="67" t="s">
        <v>125</v>
      </c>
    </row>
    <row r="126" ht="15.75" customHeight="1">
      <c r="C126" s="57">
        <v>15.0</v>
      </c>
      <c r="D126" s="57">
        <v>12.0</v>
      </c>
      <c r="E126" s="57">
        <v>8.0</v>
      </c>
      <c r="F126" s="57">
        <v>2.0</v>
      </c>
      <c r="G126" s="57">
        <v>4.0</v>
      </c>
      <c r="H126" s="57">
        <v>9.0</v>
      </c>
      <c r="I126" s="57">
        <v>1.0</v>
      </c>
      <c r="J126" s="57">
        <v>7.0</v>
      </c>
      <c r="K126" s="57">
        <v>5.0</v>
      </c>
      <c r="L126" s="57">
        <v>11.0</v>
      </c>
      <c r="M126" s="57">
        <v>3.0</v>
      </c>
      <c r="N126" s="57">
        <v>14.0</v>
      </c>
      <c r="O126" s="57">
        <v>10.0</v>
      </c>
      <c r="P126" s="57">
        <v>0.0</v>
      </c>
      <c r="Q126" s="57">
        <v>6.0</v>
      </c>
      <c r="R126" s="57">
        <v>13.0</v>
      </c>
      <c r="T126" s="68" t="str">
        <f t="shared" ref="T126:AI126" si="2">BIN2HEX(T125)</f>
        <v>1</v>
      </c>
      <c r="U126" s="68" t="str">
        <f t="shared" si="2"/>
        <v>A</v>
      </c>
      <c r="V126" s="68" t="str">
        <f t="shared" si="2"/>
        <v>B</v>
      </c>
      <c r="W126" s="68" t="str">
        <f t="shared" si="2"/>
        <v>F</v>
      </c>
      <c r="X126" s="68" t="str">
        <f t="shared" si="2"/>
        <v>F</v>
      </c>
      <c r="Y126" s="68" t="str">
        <f t="shared" si="2"/>
        <v>6</v>
      </c>
      <c r="Z126" s="68" t="str">
        <f t="shared" si="2"/>
        <v>9</v>
      </c>
      <c r="AA126" s="68" t="str">
        <f t="shared" si="2"/>
        <v>D</v>
      </c>
      <c r="AB126" s="68" t="str">
        <f t="shared" si="2"/>
        <v>5</v>
      </c>
      <c r="AC126" s="68" t="str">
        <f t="shared" si="2"/>
        <v>A</v>
      </c>
      <c r="AD126" s="68" t="str">
        <f t="shared" si="2"/>
        <v>9</v>
      </c>
      <c r="AE126" s="68" t="str">
        <f t="shared" si="2"/>
        <v>3</v>
      </c>
      <c r="AF126" s="68" t="str">
        <f t="shared" si="2"/>
        <v>E</v>
      </c>
      <c r="AG126" s="68" t="str">
        <f t="shared" si="2"/>
        <v>8</v>
      </c>
      <c r="AH126" s="68" t="str">
        <f t="shared" si="2"/>
        <v>0</v>
      </c>
      <c r="AI126" s="68" t="str">
        <f t="shared" si="2"/>
        <v>B</v>
      </c>
    </row>
    <row r="127" ht="15.75" customHeight="1"/>
    <row r="128" ht="15.75" customHeight="1">
      <c r="T128" s="69" t="s">
        <v>13</v>
      </c>
      <c r="U128" s="64"/>
      <c r="V128" s="64"/>
      <c r="W128" s="64"/>
      <c r="X128" s="64"/>
      <c r="Y128" s="64"/>
      <c r="Z128" s="64"/>
      <c r="AA128" s="64"/>
      <c r="AB128" s="10"/>
    </row>
    <row r="129" ht="15.75" customHeight="1">
      <c r="C129" s="57">
        <v>15.0</v>
      </c>
      <c r="D129" s="57">
        <v>1.0</v>
      </c>
      <c r="E129" s="57">
        <v>8.0</v>
      </c>
      <c r="F129" s="57">
        <v>14.0</v>
      </c>
      <c r="G129" s="57">
        <v>6.0</v>
      </c>
      <c r="H129" s="57">
        <v>11.0</v>
      </c>
      <c r="I129" s="57">
        <v>3.0</v>
      </c>
      <c r="J129" s="57">
        <v>4.0</v>
      </c>
      <c r="K129" s="57">
        <v>9.0</v>
      </c>
      <c r="L129" s="57">
        <v>7.0</v>
      </c>
      <c r="M129" s="57">
        <v>2.0</v>
      </c>
      <c r="N129" s="57">
        <v>13.0</v>
      </c>
      <c r="O129" s="57">
        <v>12.0</v>
      </c>
      <c r="P129" s="57">
        <v>0.0</v>
      </c>
      <c r="Q129" s="57">
        <v>5.0</v>
      </c>
      <c r="R129" s="57">
        <v>10.0</v>
      </c>
      <c r="T129" s="12"/>
      <c r="AB129" s="13"/>
    </row>
    <row r="130" ht="15.75" customHeight="1">
      <c r="C130" s="57">
        <v>3.0</v>
      </c>
      <c r="D130" s="57">
        <v>13.0</v>
      </c>
      <c r="E130" s="57">
        <v>4.0</v>
      </c>
      <c r="F130" s="57">
        <v>7.0</v>
      </c>
      <c r="G130" s="57">
        <v>15.0</v>
      </c>
      <c r="H130" s="57">
        <v>2.0</v>
      </c>
      <c r="I130" s="57">
        <v>8.0</v>
      </c>
      <c r="J130" s="57">
        <v>14.0</v>
      </c>
      <c r="K130" s="57">
        <v>12.0</v>
      </c>
      <c r="L130" s="57">
        <v>0.0</v>
      </c>
      <c r="M130" s="57">
        <v>1.0</v>
      </c>
      <c r="N130" s="57">
        <v>10.0</v>
      </c>
      <c r="O130" s="57">
        <v>6.0</v>
      </c>
      <c r="P130" s="57">
        <v>9.0</v>
      </c>
      <c r="Q130" s="57">
        <v>11.0</v>
      </c>
      <c r="R130" s="57">
        <v>5.0</v>
      </c>
      <c r="T130" s="14"/>
      <c r="U130" s="65"/>
      <c r="V130" s="65"/>
      <c r="W130" s="65"/>
      <c r="X130" s="65"/>
      <c r="Y130" s="65"/>
      <c r="Z130" s="65"/>
      <c r="AA130" s="65"/>
      <c r="AB130" s="15"/>
    </row>
    <row r="131" ht="15.75" customHeight="1">
      <c r="C131" s="57">
        <v>0.0</v>
      </c>
      <c r="D131" s="57">
        <v>14.0</v>
      </c>
      <c r="E131" s="57">
        <v>7.0</v>
      </c>
      <c r="F131" s="57">
        <v>11.0</v>
      </c>
      <c r="G131" s="57">
        <v>10.0</v>
      </c>
      <c r="H131" s="57">
        <v>4.0</v>
      </c>
      <c r="I131" s="57">
        <v>13.0</v>
      </c>
      <c r="J131" s="57">
        <v>1.0</v>
      </c>
      <c r="K131" s="57">
        <v>5.0</v>
      </c>
      <c r="L131" s="57">
        <v>8.0</v>
      </c>
      <c r="M131" s="57">
        <v>12.0</v>
      </c>
      <c r="N131" s="57">
        <v>6.0</v>
      </c>
      <c r="O131" s="57">
        <v>9.0</v>
      </c>
      <c r="P131" s="57">
        <v>3.0</v>
      </c>
      <c r="Q131" s="57">
        <v>2.0</v>
      </c>
      <c r="R131" s="57">
        <v>15.0</v>
      </c>
    </row>
    <row r="132" ht="15.75" customHeight="1">
      <c r="C132" s="57">
        <v>13.0</v>
      </c>
      <c r="D132" s="57">
        <v>8.0</v>
      </c>
      <c r="E132" s="57">
        <v>10.0</v>
      </c>
      <c r="F132" s="57">
        <v>1.0</v>
      </c>
      <c r="G132" s="57">
        <v>3.0</v>
      </c>
      <c r="H132" s="57">
        <v>15.0</v>
      </c>
      <c r="I132" s="57">
        <v>4.0</v>
      </c>
      <c r="J132" s="57">
        <v>2.0</v>
      </c>
      <c r="K132" s="57">
        <v>11.0</v>
      </c>
      <c r="L132" s="57">
        <v>6.0</v>
      </c>
      <c r="M132" s="57">
        <v>7.0</v>
      </c>
      <c r="N132" s="57">
        <v>12.0</v>
      </c>
      <c r="O132" s="57">
        <v>0.0</v>
      </c>
      <c r="P132" s="57">
        <v>5.0</v>
      </c>
      <c r="Q132" s="57">
        <v>14.0</v>
      </c>
      <c r="R132" s="57">
        <v>9.0</v>
      </c>
    </row>
    <row r="133" ht="15.75" customHeight="1"/>
    <row r="134" ht="15.75" customHeight="1"/>
    <row r="135" ht="15.75" customHeight="1">
      <c r="C135" s="57">
        <v>10.0</v>
      </c>
      <c r="D135" s="57">
        <v>0.0</v>
      </c>
      <c r="E135" s="57">
        <v>9.0</v>
      </c>
      <c r="F135" s="57">
        <v>14.0</v>
      </c>
      <c r="G135" s="57">
        <v>6.0</v>
      </c>
      <c r="H135" s="57">
        <v>3.0</v>
      </c>
      <c r="I135" s="57">
        <v>15.0</v>
      </c>
      <c r="J135" s="57">
        <v>5.0</v>
      </c>
      <c r="K135" s="57">
        <v>1.0</v>
      </c>
      <c r="L135" s="57">
        <v>13.0</v>
      </c>
      <c r="M135" s="57">
        <v>12.0</v>
      </c>
      <c r="N135" s="57">
        <v>7.0</v>
      </c>
      <c r="O135" s="57">
        <v>11.0</v>
      </c>
      <c r="P135" s="57">
        <v>4.0</v>
      </c>
      <c r="Q135" s="57">
        <v>2.0</v>
      </c>
      <c r="R135" s="57">
        <v>8.0</v>
      </c>
    </row>
    <row r="136" ht="15.75" customHeight="1">
      <c r="C136" s="57">
        <v>13.0</v>
      </c>
      <c r="D136" s="57">
        <v>7.0</v>
      </c>
      <c r="E136" s="57">
        <v>0.0</v>
      </c>
      <c r="F136" s="57">
        <v>9.0</v>
      </c>
      <c r="G136" s="57">
        <v>3.0</v>
      </c>
      <c r="H136" s="57">
        <v>4.0</v>
      </c>
      <c r="I136" s="57">
        <v>6.0</v>
      </c>
      <c r="J136" s="57">
        <v>10.0</v>
      </c>
      <c r="K136" s="57">
        <v>2.0</v>
      </c>
      <c r="L136" s="57">
        <v>8.0</v>
      </c>
      <c r="M136" s="57">
        <v>5.0</v>
      </c>
      <c r="N136" s="57">
        <v>14.0</v>
      </c>
      <c r="O136" s="57">
        <v>12.0</v>
      </c>
      <c r="P136" s="57">
        <v>11.0</v>
      </c>
      <c r="Q136" s="57">
        <v>15.0</v>
      </c>
      <c r="R136" s="57">
        <v>1.0</v>
      </c>
    </row>
    <row r="137" ht="15.75" customHeight="1">
      <c r="C137" s="57">
        <v>13.0</v>
      </c>
      <c r="D137" s="57">
        <v>6.0</v>
      </c>
      <c r="E137" s="57">
        <v>4.0</v>
      </c>
      <c r="F137" s="57">
        <v>9.0</v>
      </c>
      <c r="G137" s="57">
        <v>8.0</v>
      </c>
      <c r="H137" s="57">
        <v>15.0</v>
      </c>
      <c r="I137" s="57">
        <v>3.0</v>
      </c>
      <c r="J137" s="57">
        <v>0.0</v>
      </c>
      <c r="K137" s="57">
        <v>11.0</v>
      </c>
      <c r="L137" s="57">
        <v>1.0</v>
      </c>
      <c r="M137" s="57">
        <v>2.0</v>
      </c>
      <c r="N137" s="57">
        <v>12.0</v>
      </c>
      <c r="O137" s="57">
        <v>5.0</v>
      </c>
      <c r="P137" s="57">
        <v>10.0</v>
      </c>
      <c r="Q137" s="57">
        <v>14.0</v>
      </c>
      <c r="R137" s="57">
        <v>7.0</v>
      </c>
    </row>
    <row r="138" ht="15.75" customHeight="1">
      <c r="C138" s="57">
        <v>1.0</v>
      </c>
      <c r="D138" s="57">
        <v>10.0</v>
      </c>
      <c r="E138" s="57">
        <v>13.0</v>
      </c>
      <c r="F138" s="57">
        <v>0.0</v>
      </c>
      <c r="G138" s="57">
        <v>6.0</v>
      </c>
      <c r="H138" s="57">
        <v>9.0</v>
      </c>
      <c r="I138" s="57">
        <v>8.0</v>
      </c>
      <c r="J138" s="57">
        <v>7.0</v>
      </c>
      <c r="K138" s="57">
        <v>4.0</v>
      </c>
      <c r="L138" s="57">
        <v>15.0</v>
      </c>
      <c r="M138" s="57">
        <v>14.0</v>
      </c>
      <c r="N138" s="57">
        <v>3.0</v>
      </c>
      <c r="O138" s="57">
        <v>11.0</v>
      </c>
      <c r="P138" s="57">
        <v>5.0</v>
      </c>
      <c r="Q138" s="57">
        <v>2.0</v>
      </c>
      <c r="R138" s="57">
        <v>12.0</v>
      </c>
    </row>
    <row r="139" ht="15.75" customHeight="1"/>
    <row r="140" ht="15.75" customHeight="1"/>
    <row r="141" ht="15.75" customHeight="1">
      <c r="C141" s="57">
        <v>7.0</v>
      </c>
      <c r="D141" s="57">
        <v>13.0</v>
      </c>
      <c r="E141" s="57">
        <v>14.0</v>
      </c>
      <c r="F141" s="57">
        <v>3.0</v>
      </c>
      <c r="G141" s="57">
        <v>0.0</v>
      </c>
      <c r="H141" s="57">
        <v>6.0</v>
      </c>
      <c r="I141" s="57">
        <v>9.0</v>
      </c>
      <c r="J141" s="57">
        <v>10.0</v>
      </c>
      <c r="K141" s="57">
        <v>1.0</v>
      </c>
      <c r="L141" s="57">
        <v>2.0</v>
      </c>
      <c r="M141" s="57">
        <v>8.0</v>
      </c>
      <c r="N141" s="57">
        <v>5.0</v>
      </c>
      <c r="O141" s="57">
        <v>11.0</v>
      </c>
      <c r="P141" s="57">
        <v>12.0</v>
      </c>
      <c r="Q141" s="57">
        <v>4.0</v>
      </c>
      <c r="R141" s="57">
        <v>15.0</v>
      </c>
    </row>
    <row r="142" ht="15.75" customHeight="1">
      <c r="C142" s="57">
        <v>13.0</v>
      </c>
      <c r="D142" s="57">
        <v>8.0</v>
      </c>
      <c r="E142" s="57">
        <v>11.0</v>
      </c>
      <c r="F142" s="57">
        <v>5.0</v>
      </c>
      <c r="G142" s="57">
        <v>6.0</v>
      </c>
      <c r="H142" s="57">
        <v>15.0</v>
      </c>
      <c r="I142" s="57">
        <v>0.0</v>
      </c>
      <c r="J142" s="57">
        <v>3.0</v>
      </c>
      <c r="K142" s="57">
        <v>4.0</v>
      </c>
      <c r="L142" s="57">
        <v>7.0</v>
      </c>
      <c r="M142" s="57">
        <v>2.0</v>
      </c>
      <c r="N142" s="57">
        <v>12.0</v>
      </c>
      <c r="O142" s="57">
        <v>1.0</v>
      </c>
      <c r="P142" s="57">
        <v>10.0</v>
      </c>
      <c r="Q142" s="57">
        <v>14.0</v>
      </c>
      <c r="R142" s="57">
        <v>9.0</v>
      </c>
    </row>
    <row r="143" ht="15.75" customHeight="1">
      <c r="C143" s="57">
        <v>10.0</v>
      </c>
      <c r="D143" s="57">
        <v>6.0</v>
      </c>
      <c r="E143" s="57">
        <v>9.0</v>
      </c>
      <c r="F143" s="57">
        <v>0.0</v>
      </c>
      <c r="G143" s="57">
        <v>12.0</v>
      </c>
      <c r="H143" s="57">
        <v>11.0</v>
      </c>
      <c r="I143" s="57">
        <v>7.0</v>
      </c>
      <c r="J143" s="57">
        <v>13.0</v>
      </c>
      <c r="K143" s="57">
        <v>15.0</v>
      </c>
      <c r="L143" s="57">
        <v>1.0</v>
      </c>
      <c r="M143" s="57">
        <v>3.0</v>
      </c>
      <c r="N143" s="57">
        <v>14.0</v>
      </c>
      <c r="O143" s="57">
        <v>5.0</v>
      </c>
      <c r="P143" s="57">
        <v>2.0</v>
      </c>
      <c r="Q143" s="57">
        <v>8.0</v>
      </c>
      <c r="R143" s="57">
        <v>4.0</v>
      </c>
    </row>
    <row r="144" ht="15.75" customHeight="1">
      <c r="C144" s="57">
        <v>3.0</v>
      </c>
      <c r="D144" s="57">
        <v>15.0</v>
      </c>
      <c r="E144" s="57">
        <v>0.0</v>
      </c>
      <c r="F144" s="57">
        <v>6.0</v>
      </c>
      <c r="G144" s="57">
        <v>10.0</v>
      </c>
      <c r="H144" s="57">
        <v>1.0</v>
      </c>
      <c r="I144" s="57">
        <v>13.0</v>
      </c>
      <c r="J144" s="57">
        <v>8.0</v>
      </c>
      <c r="K144" s="57">
        <v>9.0</v>
      </c>
      <c r="L144" s="57">
        <v>4.0</v>
      </c>
      <c r="M144" s="57">
        <v>5.0</v>
      </c>
      <c r="N144" s="57">
        <v>11.0</v>
      </c>
      <c r="O144" s="57">
        <v>12.0</v>
      </c>
      <c r="P144" s="57">
        <v>7.0</v>
      </c>
      <c r="Q144" s="57">
        <v>2.0</v>
      </c>
      <c r="R144" s="57">
        <v>14.0</v>
      </c>
    </row>
    <row r="145" ht="15.75" customHeight="1"/>
    <row r="146" ht="15.75" customHeight="1"/>
    <row r="147" ht="15.75" customHeight="1">
      <c r="C147" s="57">
        <v>2.0</v>
      </c>
      <c r="D147" s="57">
        <v>12.0</v>
      </c>
      <c r="E147" s="57">
        <v>4.0</v>
      </c>
      <c r="F147" s="57">
        <v>1.0</v>
      </c>
      <c r="G147" s="57">
        <v>7.0</v>
      </c>
      <c r="H147" s="57">
        <v>10.0</v>
      </c>
      <c r="I147" s="57">
        <v>11.0</v>
      </c>
      <c r="J147" s="57">
        <v>6.0</v>
      </c>
      <c r="K147" s="57">
        <v>8.0</v>
      </c>
      <c r="L147" s="57">
        <v>5.0</v>
      </c>
      <c r="M147" s="57">
        <v>3.0</v>
      </c>
      <c r="N147" s="57">
        <v>15.0</v>
      </c>
      <c r="O147" s="57">
        <v>13.0</v>
      </c>
      <c r="P147" s="57">
        <v>0.0</v>
      </c>
      <c r="Q147" s="57">
        <v>14.0</v>
      </c>
      <c r="R147" s="57">
        <v>9.0</v>
      </c>
    </row>
    <row r="148" ht="15.75" customHeight="1">
      <c r="C148" s="57">
        <v>14.0</v>
      </c>
      <c r="D148" s="57">
        <v>11.0</v>
      </c>
      <c r="E148" s="57">
        <v>2.0</v>
      </c>
      <c r="F148" s="57">
        <v>12.0</v>
      </c>
      <c r="G148" s="57">
        <v>4.0</v>
      </c>
      <c r="H148" s="57">
        <v>7.0</v>
      </c>
      <c r="I148" s="57">
        <v>13.0</v>
      </c>
      <c r="J148" s="57">
        <v>1.0</v>
      </c>
      <c r="K148" s="57">
        <v>5.0</v>
      </c>
      <c r="L148" s="57">
        <v>0.0</v>
      </c>
      <c r="M148" s="57">
        <v>15.0</v>
      </c>
      <c r="N148" s="57">
        <v>10.0</v>
      </c>
      <c r="O148" s="57">
        <v>3.0</v>
      </c>
      <c r="P148" s="57">
        <v>9.0</v>
      </c>
      <c r="Q148" s="57">
        <v>8.0</v>
      </c>
      <c r="R148" s="57">
        <v>6.0</v>
      </c>
    </row>
    <row r="149" ht="15.75" customHeight="1">
      <c r="C149" s="57">
        <v>4.0</v>
      </c>
      <c r="D149" s="57">
        <v>2.0</v>
      </c>
      <c r="E149" s="57">
        <v>1.0</v>
      </c>
      <c r="F149" s="57">
        <v>11.0</v>
      </c>
      <c r="G149" s="57">
        <v>10.0</v>
      </c>
      <c r="H149" s="57">
        <v>13.0</v>
      </c>
      <c r="I149" s="57">
        <v>7.0</v>
      </c>
      <c r="J149" s="57">
        <v>8.0</v>
      </c>
      <c r="K149" s="57">
        <v>15.0</v>
      </c>
      <c r="L149" s="57">
        <v>9.0</v>
      </c>
      <c r="M149" s="57">
        <v>12.0</v>
      </c>
      <c r="N149" s="57">
        <v>5.0</v>
      </c>
      <c r="O149" s="57">
        <v>6.0</v>
      </c>
      <c r="P149" s="57">
        <v>3.0</v>
      </c>
      <c r="Q149" s="57">
        <v>0.0</v>
      </c>
      <c r="R149" s="57">
        <v>14.0</v>
      </c>
    </row>
    <row r="150" ht="15.75" customHeight="1">
      <c r="C150" s="57">
        <v>11.0</v>
      </c>
      <c r="D150" s="57">
        <v>8.0</v>
      </c>
      <c r="E150" s="57">
        <v>12.0</v>
      </c>
      <c r="F150" s="57">
        <v>7.0</v>
      </c>
      <c r="G150" s="57">
        <v>1.0</v>
      </c>
      <c r="H150" s="57">
        <v>14.0</v>
      </c>
      <c r="I150" s="57">
        <v>2.0</v>
      </c>
      <c r="J150" s="57">
        <v>13.0</v>
      </c>
      <c r="K150" s="57">
        <v>6.0</v>
      </c>
      <c r="L150" s="57">
        <v>15.0</v>
      </c>
      <c r="M150" s="57">
        <v>0.0</v>
      </c>
      <c r="N150" s="57">
        <v>9.0</v>
      </c>
      <c r="O150" s="57">
        <v>10.0</v>
      </c>
      <c r="P150" s="57">
        <v>4.0</v>
      </c>
      <c r="Q150" s="57">
        <v>5.0</v>
      </c>
      <c r="R150" s="57">
        <v>3.0</v>
      </c>
    </row>
    <row r="151" ht="15.75" customHeight="1"/>
    <row r="152" ht="15.75" customHeight="1"/>
    <row r="153" ht="15.75" customHeight="1">
      <c r="C153" s="57">
        <v>12.0</v>
      </c>
      <c r="D153" s="57">
        <v>1.0</v>
      </c>
      <c r="E153" s="57">
        <v>10.0</v>
      </c>
      <c r="F153" s="57">
        <v>15.0</v>
      </c>
      <c r="G153" s="57">
        <v>9.0</v>
      </c>
      <c r="H153" s="57">
        <v>2.0</v>
      </c>
      <c r="I153" s="57">
        <v>6.0</v>
      </c>
      <c r="J153" s="57">
        <v>8.0</v>
      </c>
      <c r="K153" s="57">
        <v>0.0</v>
      </c>
      <c r="L153" s="57">
        <v>13.0</v>
      </c>
      <c r="M153" s="57">
        <v>3.0</v>
      </c>
      <c r="N153" s="57">
        <v>4.0</v>
      </c>
      <c r="O153" s="57">
        <v>14.0</v>
      </c>
      <c r="P153" s="57">
        <v>7.0</v>
      </c>
      <c r="Q153" s="57">
        <v>5.0</v>
      </c>
      <c r="R153" s="57">
        <v>11.0</v>
      </c>
    </row>
    <row r="154" ht="15.75" customHeight="1">
      <c r="C154" s="57">
        <v>10.0</v>
      </c>
      <c r="D154" s="57">
        <v>15.0</v>
      </c>
      <c r="E154" s="57">
        <v>4.0</v>
      </c>
      <c r="F154" s="57">
        <v>2.0</v>
      </c>
      <c r="G154" s="57">
        <v>7.0</v>
      </c>
      <c r="H154" s="57">
        <v>12.0</v>
      </c>
      <c r="I154" s="57">
        <v>9.0</v>
      </c>
      <c r="J154" s="57">
        <v>5.0</v>
      </c>
      <c r="K154" s="57">
        <v>6.0</v>
      </c>
      <c r="L154" s="57">
        <v>1.0</v>
      </c>
      <c r="M154" s="57">
        <v>13.0</v>
      </c>
      <c r="N154" s="57">
        <v>14.0</v>
      </c>
      <c r="O154" s="57">
        <v>0.0</v>
      </c>
      <c r="P154" s="57">
        <v>11.0</v>
      </c>
      <c r="Q154" s="57">
        <v>3.0</v>
      </c>
      <c r="R154" s="57">
        <v>8.0</v>
      </c>
    </row>
    <row r="155" ht="15.75" customHeight="1">
      <c r="C155" s="57">
        <v>9.0</v>
      </c>
      <c r="D155" s="57">
        <v>14.0</v>
      </c>
      <c r="E155" s="57">
        <v>15.0</v>
      </c>
      <c r="F155" s="57">
        <v>5.0</v>
      </c>
      <c r="G155" s="57">
        <v>2.0</v>
      </c>
      <c r="H155" s="57">
        <v>8.0</v>
      </c>
      <c r="I155" s="57">
        <v>12.0</v>
      </c>
      <c r="J155" s="57">
        <v>3.0</v>
      </c>
      <c r="K155" s="57">
        <v>7.0</v>
      </c>
      <c r="L155" s="57">
        <v>0.0</v>
      </c>
      <c r="M155" s="57">
        <v>4.0</v>
      </c>
      <c r="N155" s="57">
        <v>10.0</v>
      </c>
      <c r="O155" s="57">
        <v>1.0</v>
      </c>
      <c r="P155" s="57">
        <v>13.0</v>
      </c>
      <c r="Q155" s="57">
        <v>11.0</v>
      </c>
      <c r="R155" s="57">
        <v>6.0</v>
      </c>
    </row>
    <row r="156" ht="15.75" customHeight="1">
      <c r="C156" s="57">
        <v>4.0</v>
      </c>
      <c r="D156" s="57">
        <v>3.0</v>
      </c>
      <c r="E156" s="57">
        <v>2.0</v>
      </c>
      <c r="F156" s="57">
        <v>12.0</v>
      </c>
      <c r="G156" s="57">
        <v>9.0</v>
      </c>
      <c r="H156" s="57">
        <v>5.0</v>
      </c>
      <c r="I156" s="57">
        <v>15.0</v>
      </c>
      <c r="J156" s="57">
        <v>10.0</v>
      </c>
      <c r="K156" s="57">
        <v>11.0</v>
      </c>
      <c r="L156" s="57">
        <v>14.0</v>
      </c>
      <c r="M156" s="57">
        <v>1.0</v>
      </c>
      <c r="N156" s="57">
        <v>7.0</v>
      </c>
      <c r="O156" s="57">
        <v>6.0</v>
      </c>
      <c r="P156" s="57">
        <v>0.0</v>
      </c>
      <c r="Q156" s="57">
        <v>8.0</v>
      </c>
      <c r="R156" s="57">
        <v>13.0</v>
      </c>
    </row>
    <row r="157" ht="15.75" customHeight="1"/>
    <row r="158" ht="15.75" customHeight="1"/>
    <row r="159" ht="15.75" customHeight="1">
      <c r="C159" s="57">
        <v>4.0</v>
      </c>
      <c r="D159" s="57">
        <v>11.0</v>
      </c>
      <c r="E159" s="57">
        <v>2.0</v>
      </c>
      <c r="F159" s="57">
        <v>14.0</v>
      </c>
      <c r="G159" s="57">
        <v>15.0</v>
      </c>
      <c r="H159" s="57">
        <v>0.0</v>
      </c>
      <c r="I159" s="57">
        <v>8.0</v>
      </c>
      <c r="J159" s="57">
        <v>13.0</v>
      </c>
      <c r="K159" s="57">
        <v>3.0</v>
      </c>
      <c r="L159" s="57">
        <v>12.0</v>
      </c>
      <c r="M159" s="57">
        <v>9.0</v>
      </c>
      <c r="N159" s="57">
        <v>7.0</v>
      </c>
      <c r="O159" s="57">
        <v>5.0</v>
      </c>
      <c r="P159" s="57">
        <v>10.0</v>
      </c>
      <c r="Q159" s="57">
        <v>6.0</v>
      </c>
      <c r="R159" s="57">
        <v>1.0</v>
      </c>
    </row>
    <row r="160" ht="15.75" customHeight="1">
      <c r="C160" s="57">
        <v>13.0</v>
      </c>
      <c r="D160" s="57">
        <v>0.0</v>
      </c>
      <c r="E160" s="57">
        <v>11.0</v>
      </c>
      <c r="F160" s="57">
        <v>7.0</v>
      </c>
      <c r="G160" s="57">
        <v>4.0</v>
      </c>
      <c r="H160" s="57">
        <v>9.0</v>
      </c>
      <c r="I160" s="57">
        <v>1.0</v>
      </c>
      <c r="J160" s="57">
        <v>10.0</v>
      </c>
      <c r="K160" s="57">
        <v>14.0</v>
      </c>
      <c r="L160" s="57">
        <v>3.0</v>
      </c>
      <c r="M160" s="57">
        <v>5.0</v>
      </c>
      <c r="N160" s="57">
        <v>12.0</v>
      </c>
      <c r="O160" s="57">
        <v>2.0</v>
      </c>
      <c r="P160" s="57">
        <v>15.0</v>
      </c>
      <c r="Q160" s="57">
        <v>8.0</v>
      </c>
      <c r="R160" s="57">
        <v>6.0</v>
      </c>
    </row>
    <row r="161" ht="15.75" customHeight="1">
      <c r="C161" s="57">
        <v>1.0</v>
      </c>
      <c r="D161" s="57">
        <v>4.0</v>
      </c>
      <c r="E161" s="57">
        <v>11.0</v>
      </c>
      <c r="F161" s="57">
        <v>13.0</v>
      </c>
      <c r="G161" s="57">
        <v>12.0</v>
      </c>
      <c r="H161" s="57">
        <v>3.0</v>
      </c>
      <c r="I161" s="57">
        <v>7.0</v>
      </c>
      <c r="J161" s="57">
        <v>14.0</v>
      </c>
      <c r="K161" s="57">
        <v>10.0</v>
      </c>
      <c r="L161" s="57">
        <v>15.0</v>
      </c>
      <c r="M161" s="57">
        <v>6.0</v>
      </c>
      <c r="N161" s="57">
        <v>8.0</v>
      </c>
      <c r="O161" s="57">
        <v>0.0</v>
      </c>
      <c r="P161" s="57">
        <v>5.0</v>
      </c>
      <c r="Q161" s="57">
        <v>9.0</v>
      </c>
      <c r="R161" s="57">
        <v>2.0</v>
      </c>
    </row>
    <row r="162" ht="15.75" customHeight="1">
      <c r="C162" s="57">
        <v>6.0</v>
      </c>
      <c r="D162" s="57">
        <v>11.0</v>
      </c>
      <c r="E162" s="57">
        <v>13.0</v>
      </c>
      <c r="F162" s="57">
        <v>8.0</v>
      </c>
      <c r="G162" s="57">
        <v>1.0</v>
      </c>
      <c r="H162" s="57">
        <v>4.0</v>
      </c>
      <c r="I162" s="57">
        <v>10.0</v>
      </c>
      <c r="J162" s="57">
        <v>7.0</v>
      </c>
      <c r="K162" s="57">
        <v>9.0</v>
      </c>
      <c r="L162" s="57">
        <v>5.0</v>
      </c>
      <c r="M162" s="57">
        <v>0.0</v>
      </c>
      <c r="N162" s="57">
        <v>15.0</v>
      </c>
      <c r="O162" s="57">
        <v>14.0</v>
      </c>
      <c r="P162" s="57">
        <v>2.0</v>
      </c>
      <c r="Q162" s="57">
        <v>3.0</v>
      </c>
      <c r="R162" s="57">
        <v>12.0</v>
      </c>
    </row>
    <row r="163" ht="15.75" customHeight="1"/>
    <row r="164" ht="15.75" customHeight="1"/>
    <row r="165" ht="15.75" customHeight="1">
      <c r="C165" s="57">
        <v>13.0</v>
      </c>
      <c r="D165" s="57">
        <v>2.0</v>
      </c>
      <c r="E165" s="57">
        <v>8.0</v>
      </c>
      <c r="F165" s="57">
        <v>4.0</v>
      </c>
      <c r="G165" s="57">
        <v>6.0</v>
      </c>
      <c r="H165" s="57">
        <v>15.0</v>
      </c>
      <c r="I165" s="57">
        <v>11.0</v>
      </c>
      <c r="J165" s="57">
        <v>1.0</v>
      </c>
      <c r="K165" s="57">
        <v>10.0</v>
      </c>
      <c r="L165" s="57">
        <v>9.0</v>
      </c>
      <c r="M165" s="57">
        <v>3.0</v>
      </c>
      <c r="N165" s="57">
        <v>14.0</v>
      </c>
      <c r="O165" s="57">
        <v>5.0</v>
      </c>
      <c r="P165" s="57">
        <v>0.0</v>
      </c>
      <c r="Q165" s="57">
        <v>12.0</v>
      </c>
      <c r="R165" s="57">
        <v>7.0</v>
      </c>
    </row>
    <row r="166" ht="15.75" customHeight="1">
      <c r="C166" s="57">
        <v>1.0</v>
      </c>
      <c r="D166" s="57">
        <v>15.0</v>
      </c>
      <c r="E166" s="57">
        <v>13.0</v>
      </c>
      <c r="F166" s="57">
        <v>8.0</v>
      </c>
      <c r="G166" s="57">
        <v>10.0</v>
      </c>
      <c r="H166" s="57">
        <v>3.0</v>
      </c>
      <c r="I166" s="57">
        <v>7.0</v>
      </c>
      <c r="J166" s="57">
        <v>4.0</v>
      </c>
      <c r="K166" s="57">
        <v>12.0</v>
      </c>
      <c r="L166" s="57">
        <v>5.0</v>
      </c>
      <c r="M166" s="57">
        <v>6.0</v>
      </c>
      <c r="N166" s="57">
        <v>11.0</v>
      </c>
      <c r="O166" s="57">
        <v>0.0</v>
      </c>
      <c r="P166" s="57">
        <v>14.0</v>
      </c>
      <c r="Q166" s="57">
        <v>9.0</v>
      </c>
      <c r="R166" s="57">
        <v>2.0</v>
      </c>
    </row>
    <row r="167" ht="15.75" customHeight="1">
      <c r="C167" s="57">
        <v>7.0</v>
      </c>
      <c r="D167" s="57">
        <v>11.0</v>
      </c>
      <c r="E167" s="57">
        <v>4.0</v>
      </c>
      <c r="F167" s="57">
        <v>1.0</v>
      </c>
      <c r="G167" s="57">
        <v>9.0</v>
      </c>
      <c r="H167" s="57">
        <v>12.0</v>
      </c>
      <c r="I167" s="57">
        <v>14.0</v>
      </c>
      <c r="J167" s="57">
        <v>2.0</v>
      </c>
      <c r="K167" s="57">
        <v>0.0</v>
      </c>
      <c r="L167" s="57">
        <v>6.0</v>
      </c>
      <c r="M167" s="57">
        <v>10.0</v>
      </c>
      <c r="N167" s="57">
        <v>13.0</v>
      </c>
      <c r="O167" s="57">
        <v>15.0</v>
      </c>
      <c r="P167" s="57">
        <v>3.0</v>
      </c>
      <c r="Q167" s="57">
        <v>5.0</v>
      </c>
      <c r="R167" s="57">
        <v>8.0</v>
      </c>
    </row>
    <row r="168" ht="15.75" customHeight="1">
      <c r="C168" s="57">
        <v>2.0</v>
      </c>
      <c r="D168" s="57">
        <v>1.0</v>
      </c>
      <c r="E168" s="57">
        <v>14.0</v>
      </c>
      <c r="F168" s="57">
        <v>7.0</v>
      </c>
      <c r="G168" s="57">
        <v>4.0</v>
      </c>
      <c r="H168" s="57">
        <v>10.0</v>
      </c>
      <c r="I168" s="57">
        <v>8.0</v>
      </c>
      <c r="J168" s="57">
        <v>13.0</v>
      </c>
      <c r="K168" s="57">
        <v>15.0</v>
      </c>
      <c r="L168" s="57">
        <v>12.0</v>
      </c>
      <c r="M168" s="57">
        <v>9.0</v>
      </c>
      <c r="N168" s="57">
        <v>0.0</v>
      </c>
      <c r="O168" s="57">
        <v>3.0</v>
      </c>
      <c r="P168" s="57">
        <v>5.0</v>
      </c>
      <c r="Q168" s="57">
        <v>6.0</v>
      </c>
      <c r="R168" s="57">
        <v>11.0</v>
      </c>
    </row>
    <row r="169" ht="15.75" customHeight="1"/>
    <row r="170" ht="15.75" customHeight="1">
      <c r="C170" s="57">
        <v>13.0</v>
      </c>
      <c r="D170" s="57">
        <v>2.0</v>
      </c>
      <c r="E170" s="57">
        <v>8.0</v>
      </c>
      <c r="F170" s="57">
        <v>4.0</v>
      </c>
      <c r="G170" s="57">
        <v>6.0</v>
      </c>
      <c r="H170" s="57">
        <v>15.0</v>
      </c>
      <c r="I170" s="57">
        <v>11.0</v>
      </c>
      <c r="J170" s="57">
        <v>1.0</v>
      </c>
      <c r="K170" s="57">
        <v>10.0</v>
      </c>
      <c r="L170" s="57">
        <v>9.0</v>
      </c>
      <c r="M170" s="57">
        <v>3.0</v>
      </c>
      <c r="N170" s="57">
        <v>14.0</v>
      </c>
      <c r="O170" s="57">
        <v>5.0</v>
      </c>
      <c r="P170" s="57">
        <v>0.0</v>
      </c>
      <c r="Q170" s="57">
        <v>12.0</v>
      </c>
      <c r="R170" s="57">
        <v>7.0</v>
      </c>
    </row>
    <row r="171" ht="15.75" customHeight="1">
      <c r="C171" s="57">
        <v>1.0</v>
      </c>
      <c r="D171" s="57">
        <v>15.0</v>
      </c>
      <c r="E171" s="57">
        <v>13.0</v>
      </c>
      <c r="F171" s="57">
        <v>8.0</v>
      </c>
      <c r="G171" s="57">
        <v>10.0</v>
      </c>
      <c r="H171" s="57">
        <v>3.0</v>
      </c>
      <c r="I171" s="57">
        <v>7.0</v>
      </c>
      <c r="J171" s="57">
        <v>4.0</v>
      </c>
      <c r="K171" s="57">
        <v>12.0</v>
      </c>
      <c r="L171" s="57">
        <v>5.0</v>
      </c>
      <c r="M171" s="57">
        <v>6.0</v>
      </c>
      <c r="N171" s="57">
        <v>11.0</v>
      </c>
      <c r="O171" s="57">
        <v>0.0</v>
      </c>
      <c r="P171" s="57">
        <v>14.0</v>
      </c>
      <c r="Q171" s="57">
        <v>9.0</v>
      </c>
      <c r="R171" s="57">
        <v>2.0</v>
      </c>
    </row>
    <row r="172" ht="15.75" customHeight="1">
      <c r="C172" s="57">
        <v>7.0</v>
      </c>
      <c r="D172" s="57">
        <v>11.0</v>
      </c>
      <c r="E172" s="57">
        <v>4.0</v>
      </c>
      <c r="F172" s="57">
        <v>1.0</v>
      </c>
      <c r="G172" s="57">
        <v>9.0</v>
      </c>
      <c r="H172" s="57">
        <v>12.0</v>
      </c>
      <c r="I172" s="57">
        <v>14.0</v>
      </c>
      <c r="J172" s="57">
        <v>2.0</v>
      </c>
      <c r="K172" s="57">
        <v>0.0</v>
      </c>
      <c r="L172" s="57">
        <v>6.0</v>
      </c>
      <c r="M172" s="57">
        <v>10.0</v>
      </c>
      <c r="N172" s="57">
        <v>13.0</v>
      </c>
      <c r="O172" s="57">
        <v>15.0</v>
      </c>
      <c r="P172" s="57">
        <v>3.0</v>
      </c>
      <c r="Q172" s="57">
        <v>5.0</v>
      </c>
      <c r="R172" s="57">
        <v>8.0</v>
      </c>
    </row>
    <row r="173" ht="15.75" customHeight="1">
      <c r="C173" s="57">
        <v>2.0</v>
      </c>
      <c r="D173" s="57">
        <v>1.0</v>
      </c>
      <c r="E173" s="57">
        <v>14.0</v>
      </c>
      <c r="F173" s="57">
        <v>7.0</v>
      </c>
      <c r="G173" s="57">
        <v>4.0</v>
      </c>
      <c r="H173" s="57">
        <v>10.0</v>
      </c>
      <c r="I173" s="57">
        <v>8.0</v>
      </c>
      <c r="J173" s="57">
        <v>13.0</v>
      </c>
      <c r="K173" s="57">
        <v>15.0</v>
      </c>
      <c r="L173" s="57">
        <v>12.0</v>
      </c>
      <c r="M173" s="57">
        <v>9.0</v>
      </c>
      <c r="N173" s="57">
        <v>0.0</v>
      </c>
      <c r="O173" s="57">
        <v>3.0</v>
      </c>
      <c r="P173" s="57">
        <v>5.0</v>
      </c>
      <c r="Q173" s="57">
        <v>6.0</v>
      </c>
      <c r="R173" s="57">
        <v>11.0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M1"/>
    <mergeCell ref="A53:I53"/>
    <mergeCell ref="AL53:AP53"/>
    <mergeCell ref="F95:I97"/>
    <mergeCell ref="J95:M97"/>
    <mergeCell ref="N95:S97"/>
    <mergeCell ref="T95:Y97"/>
    <mergeCell ref="Z99:AE99"/>
    <mergeCell ref="AF99:AK99"/>
    <mergeCell ref="C120:R121"/>
    <mergeCell ref="T121:AI123"/>
    <mergeCell ref="T128:AB130"/>
    <mergeCell ref="Z95:AE97"/>
    <mergeCell ref="AF95:AK97"/>
    <mergeCell ref="C99:D116"/>
    <mergeCell ref="F99:I99"/>
    <mergeCell ref="J99:M99"/>
    <mergeCell ref="N99:Q99"/>
    <mergeCell ref="T99:Y9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2025-08-17T08:13:36Z</dcterms:created>
  <dc:creator>Trần Phạm Nhật Quân - 67CS2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0x01010044252984B3A1764990A99E3BA729DFF7</vt:lpwstr>
  </property>
</Properties>
</file>