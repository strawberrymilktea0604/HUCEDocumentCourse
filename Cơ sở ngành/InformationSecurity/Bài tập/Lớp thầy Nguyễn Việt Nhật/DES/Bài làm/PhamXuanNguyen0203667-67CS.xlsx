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ởi tạo" sheetId="1" r:id="rId4"/>
    <sheet state="visible" name="Các bước tính toán" sheetId="2" r:id="rId5"/>
    <sheet state="visible" name="Sheet2" sheetId="3" r:id="rId6"/>
  </sheets>
  <definedNames>
    <definedName name="K_2">'Các bước tính toán'!$AL$57</definedName>
    <definedName name="khoaK13">'Các bước tính toán'!$C$86:$H$93</definedName>
    <definedName name="K_10">'Các bước tính toán'!$AL$65</definedName>
    <definedName name="K_8">'Các bước tính toán'!$AL$63</definedName>
    <definedName name="khoaK16">'Các bước tính toán'!$AD$86:$AI$93</definedName>
    <definedName name="khoa15">'Các bước tính toán'!$W$34:$AC$41</definedName>
    <definedName name="K_13">'Các bước tính toán'!$AL$68</definedName>
    <definedName name="khoaK2">'Các bước tính toán'!$L$56:$Q$63</definedName>
    <definedName name="K_14">'Các bước tính toán'!$AL$69</definedName>
    <definedName name="K_16">'Các bước tính toán'!$AL$71</definedName>
    <definedName name="khoa3">'Các bước tính toán'!$W$4:$AC$11</definedName>
    <definedName name="E">'Các bước tính toán'!$AG$125:$AL$132</definedName>
    <definedName name="K_1">'Các bước tính toán'!$AL$56</definedName>
    <definedName name="khoaK4">'Các bước tính toán'!$AD$56:$AI$63</definedName>
    <definedName name="khoaK8">'Các bước tính toán'!$AD$66:$AI$73</definedName>
    <definedName name="khoa12">'Các bước tính toán'!$AG$24:$AM$31</definedName>
    <definedName name="khoa4">'Các bước tính toán'!$AG$4:$AM$11</definedName>
    <definedName name="K_9">'Các bước tính toán'!$AL$64</definedName>
    <definedName name="khoa5">'Các bước tính toán'!$C$14:$I$21</definedName>
    <definedName name="khoa16">'Các bước tính toán'!$AG$34:$AM$41</definedName>
    <definedName name="khoa14">'Các bước tính toán'!$M$34:$S$41</definedName>
    <definedName name="khoaK5">'Các bước tính toán'!$C$66:$H$73</definedName>
    <definedName name="khoa7">'Các bước tính toán'!$W$14:$AC$21</definedName>
    <definedName name="khoa8">'Các bước tính toán'!$AG$14:$AM$21</definedName>
    <definedName name="khoa1">'Các bước tính toán'!$C$4:$I$11</definedName>
    <definedName name="K_6">'Các bước tính toán'!$AL$61</definedName>
    <definedName name="khoaK10">'Các bước tính toán'!$L$76:$Q$83</definedName>
    <definedName name="khoa13">'Các bước tính toán'!$C$34:$I$41</definedName>
    <definedName name="K_3">'Các bước tính toán'!$AL$58</definedName>
    <definedName name="khoaK14">'Các bước tính toán'!$L$86:$Q$93</definedName>
    <definedName name="khoa2">'Các bước tính toán'!$M$4:$S$11</definedName>
    <definedName name="khoaK6">'Các bước tính toán'!$L$66:$Q$73</definedName>
    <definedName name="khoaK1">'Các bước tính toán'!$C$56:$H$63</definedName>
    <definedName name="K_5">'Các bước tính toán'!$AL$60</definedName>
    <definedName name="K_4">'Các bước tính toán'!$AL$59</definedName>
    <definedName name="K_15">'Các bước tính toán'!$AL$70</definedName>
    <definedName name="khoa10">'Các bước tính toán'!$M$24:$S$31</definedName>
    <definedName name="khoaK9">'Các bước tính toán'!$C$76:$H$83</definedName>
    <definedName name="K_11">'Các bước tính toán'!$AL$66</definedName>
    <definedName name="khoaK3">'Các bước tính toán'!$U$56:$Z$63</definedName>
    <definedName name="khoa6">'Các bước tính toán'!$M$14:$S$21</definedName>
    <definedName name="K_12">'Các bước tính toán'!$AL$67</definedName>
    <definedName name="khoa9">'Các bước tính toán'!$C$24:$I$31</definedName>
    <definedName name="khoaK11">'Các bước tính toán'!$U$76:$Z$83</definedName>
    <definedName name="khoa11">'Các bước tính toán'!$W$24:$AC$31</definedName>
    <definedName name="khoaK12">'Các bước tính toán'!$AD$76:$AI$83</definedName>
    <definedName name="khoaK7">'Các bước tính toán'!$U$66:$Z$73</definedName>
    <definedName name="K_7">'Các bước tính toán'!$AL$62</definedName>
    <definedName name="khoaK15">'Các bước tính toán'!$U$86:$Z$93</definedName>
  </definedNames>
  <calcPr/>
  <extLst>
    <ext uri="GoogleSheetsCustomDataVersion2">
      <go:sheetsCustomData xmlns:go="http://customooxmlschemas.google.com/" r:id="rId7" roundtripDataChecksum="66eLgIW4FPlaLM+nCFJSLkNYSiVE9tJepMwQXl0Idn0="/>
    </ext>
  </extLst>
</workbook>
</file>

<file path=xl/sharedStrings.xml><?xml version="1.0" encoding="utf-8"?>
<sst xmlns="http://schemas.openxmlformats.org/spreadsheetml/2006/main" count="187" uniqueCount="132">
  <si>
    <t>Bảng khóa K</t>
  </si>
  <si>
    <t>Bản tin M</t>
  </si>
  <si>
    <t>IP(M)</t>
  </si>
  <si>
    <t>L0</t>
  </si>
  <si>
    <t xml:space="preserve">STT bit </t>
  </si>
  <si>
    <t>R0</t>
  </si>
  <si>
    <t>Qua PC-1</t>
  </si>
  <si>
    <t>PC-1</t>
  </si>
  <si>
    <t>Dịch trái</t>
  </si>
  <si>
    <t xml:space="preserve">  bit
Ci</t>
  </si>
  <si>
    <t>Số bit dịchmỗi vòng</t>
  </si>
  <si>
    <t xml:space="preserve">  bit
Di</t>
  </si>
  <si>
    <t>Sau khi xong bước khởi tạo ta sẽ nhận được 16 C và 16 D. Nối từng đôi một với nhau như sau:</t>
  </si>
  <si>
    <t>Nối C1 và D1</t>
  </si>
  <si>
    <t>Nối C2 và D2</t>
  </si>
  <si>
    <t>Nối C3 và D3</t>
  </si>
  <si>
    <t>Nối C4 và D4</t>
  </si>
  <si>
    <t>C1D1</t>
  </si>
  <si>
    <t>C2D2</t>
  </si>
  <si>
    <t>C3C3</t>
  </si>
  <si>
    <t>C4D4</t>
  </si>
  <si>
    <t>Nối C5 và D5</t>
  </si>
  <si>
    <t>Nối C6 và D6</t>
  </si>
  <si>
    <t>Nối C7 và D7</t>
  </si>
  <si>
    <t>Nối C8 và D18</t>
  </si>
  <si>
    <t>C5D5</t>
  </si>
  <si>
    <t>C6D6</t>
  </si>
  <si>
    <t>C7D7</t>
  </si>
  <si>
    <t>C8D8</t>
  </si>
  <si>
    <t>Nối C9 và D9</t>
  </si>
  <si>
    <t>Nối C10 và D10</t>
  </si>
  <si>
    <t>Nối C11 và D11</t>
  </si>
  <si>
    <t>Nối C12 và D12</t>
  </si>
  <si>
    <t>C9D9</t>
  </si>
  <si>
    <t>C10D10</t>
  </si>
  <si>
    <t>C11D11</t>
  </si>
  <si>
    <t>C12D12</t>
  </si>
  <si>
    <t>Nối C13 và D13</t>
  </si>
  <si>
    <t>Nối C14 và D14</t>
  </si>
  <si>
    <t>Nối C15 và D15</t>
  </si>
  <si>
    <t>Nối C16 và D16</t>
  </si>
  <si>
    <t>C13D13</t>
  </si>
  <si>
    <t>C14D14</t>
  </si>
  <si>
    <t>C15D15</t>
  </si>
  <si>
    <t>C16D16</t>
  </si>
  <si>
    <t>Sau khi nối được 16 cặp Ci và Di tương ứng như trên ta thực cho từng cặp qua PC-2 và sẽ nhận được Ki tương ứng</t>
  </si>
  <si>
    <t>PC - 2: Biến từ 56 bit thành 48 bit</t>
  </si>
  <si>
    <t>Bảng PC-2</t>
  </si>
  <si>
    <t>Khóa K1</t>
  </si>
  <si>
    <t>Khóa K2</t>
  </si>
  <si>
    <t>Khóa K3</t>
  </si>
  <si>
    <t>Khóa K4</t>
  </si>
  <si>
    <t>K1</t>
  </si>
  <si>
    <t>STT bit</t>
  </si>
  <si>
    <t>K2</t>
  </si>
  <si>
    <t>K3</t>
  </si>
  <si>
    <t>K4</t>
  </si>
  <si>
    <t>Khóa đã FORMAT</t>
  </si>
  <si>
    <t>K5</t>
  </si>
  <si>
    <t>K6</t>
  </si>
  <si>
    <t>K7</t>
  </si>
  <si>
    <t>K8</t>
  </si>
  <si>
    <t>Khóa K5</t>
  </si>
  <si>
    <t>Khóa K6</t>
  </si>
  <si>
    <t>Khóa K7</t>
  </si>
  <si>
    <t>Khóa K8</t>
  </si>
  <si>
    <t>K9</t>
  </si>
  <si>
    <t>K10</t>
  </si>
  <si>
    <t>K11</t>
  </si>
  <si>
    <t>K12</t>
  </si>
  <si>
    <t>K13</t>
  </si>
  <si>
    <t>K14</t>
  </si>
  <si>
    <t>K15</t>
  </si>
  <si>
    <t>K16</t>
  </si>
  <si>
    <t>Khóa K9</t>
  </si>
  <si>
    <t>Khóa K10</t>
  </si>
  <si>
    <t>Khóa K11</t>
  </si>
  <si>
    <t>Khóa K12</t>
  </si>
  <si>
    <t>Khóa K13</t>
  </si>
  <si>
    <t>Khóa K14</t>
  </si>
  <si>
    <t>Khóa K15</t>
  </si>
  <si>
    <t>Khóa K16</t>
  </si>
  <si>
    <t>Sau khi tạo đầy đủ các khóa Ki và L0 R0 ta sẽ thực hiện 16 vòng lặp mã hóa theo công thức</t>
  </si>
  <si>
    <t>L_n = R_(n-1) và</t>
  </si>
  <si>
    <t>R_n = XOR(L_(n-1), P(S(XOR(E(R_(n-1)), K_n))))</t>
  </si>
  <si>
    <t>Ln</t>
  </si>
  <si>
    <r>
      <rPr>
        <rFont val="Times New Roman"/>
        <b/>
        <color theme="1"/>
        <sz val="14.0"/>
      </rPr>
      <t>Rn</t>
    </r>
    <r>
      <rPr>
        <rFont val="Times New Roman"/>
        <color theme="1"/>
        <sz val="14.0"/>
      </rPr>
      <t xml:space="preserve"> = ( Ln-1 XOR P(SBOX(F) )</t>
    </r>
  </si>
  <si>
    <r>
      <rPr>
        <rFont val="Times New Roman"/>
        <b/>
        <color theme="1"/>
        <sz val="14.0"/>
      </rPr>
      <t>E(Rn)</t>
    </r>
    <r>
      <rPr>
        <rFont val="Times New Roman"/>
        <color theme="1"/>
        <sz val="14.0"/>
      </rPr>
      <t xml:space="preserve"> (có được bằng cách đưa Ri qua EBIT)</t>
    </r>
  </si>
  <si>
    <t>F = XOR(E(Rn), K(n+1)</t>
  </si>
  <si>
    <t>SBOX(F)</t>
  </si>
  <si>
    <t>P(SBOX(F))</t>
  </si>
  <si>
    <t>10011000111111101100110000000000</t>
  </si>
  <si>
    <t>11100000010101001111000010101010</t>
  </si>
  <si>
    <t>10010101110100111010110101010000</t>
  </si>
  <si>
    <t>01011000100000110000010010101001</t>
  </si>
  <si>
    <t>00111110010000010010101101111010</t>
  </si>
  <si>
    <t>00011111010101110011100000000100</t>
  </si>
  <si>
    <t>00100110101011010010111111101110</t>
  </si>
  <si>
    <t>10100000101101111101000110011101</t>
  </si>
  <si>
    <t>00110010110100100010000101011100</t>
  </si>
  <si>
    <t>11001111010100100111011101101101</t>
  </si>
  <si>
    <t>00000110000000011111100010011110</t>
  </si>
  <si>
    <t>00000010011110011110100001000101</t>
  </si>
  <si>
    <t>10010011101111110101101101001010</t>
  </si>
  <si>
    <t>01101010111000100111100110000110</t>
  </si>
  <si>
    <t>10011010001000101101101101011011</t>
  </si>
  <si>
    <t>10101011000111101101011101000001</t>
  </si>
  <si>
    <t>00001110110001001100101011100011</t>
  </si>
  <si>
    <t>10000010111000111100011111111100</t>
  </si>
  <si>
    <t>Sbox1</t>
  </si>
  <si>
    <t>Sbox2</t>
  </si>
  <si>
    <t>EBIT</t>
  </si>
  <si>
    <t>Sbox3</t>
  </si>
  <si>
    <t>Sbox4</t>
  </si>
  <si>
    <t xml:space="preserve">Sau khi nối R16||L16 và đi qua bước IP^-1
</t>
  </si>
  <si>
    <t>Sbox5</t>
  </si>
  <si>
    <t>KẾT QUẢ</t>
  </si>
  <si>
    <t>0001</t>
  </si>
  <si>
    <t>1010</t>
  </si>
  <si>
    <t>1011</t>
  </si>
  <si>
    <t>1111</t>
  </si>
  <si>
    <t>0110</t>
  </si>
  <si>
    <t>1001</t>
  </si>
  <si>
    <t>1101</t>
  </si>
  <si>
    <t>0101</t>
  </si>
  <si>
    <t>0011</t>
  </si>
  <si>
    <t>1110</t>
  </si>
  <si>
    <t>1000</t>
  </si>
  <si>
    <t>0000</t>
  </si>
  <si>
    <t>Sbox6</t>
  </si>
  <si>
    <t>Sbox7</t>
  </si>
  <si>
    <t>Sbox8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</si>
</sst>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4.0"/>
      <color theme="1"/>
      <name val="Times New Roman"/>
      <scheme val="minor"/>
    </font>
    <font>
      <sz val="14.0"/>
      <color rgb="FF9C0006"/>
      <name val="Times New Roman"/>
    </font>
    <font>
      <sz val="14.0"/>
      <color theme="1"/>
      <name val="Times New Roman"/>
    </font>
    <font>
      <sz val="9.0"/>
      <color theme="1"/>
      <name val="Times New Roman"/>
    </font>
    <font/>
    <font>
      <sz val="8.0"/>
      <color rgb="FF9C0006"/>
      <name val="Times New Roman"/>
    </font>
    <font>
      <b/>
      <sz val="14.0"/>
      <color theme="0"/>
      <name val="Times New Roman"/>
    </font>
    <font>
      <color theme="1"/>
      <name val="Times New Roman"/>
      <scheme val="minor"/>
    </font>
    <font>
      <sz val="14.0"/>
      <color rgb="FF000000"/>
      <name val="&quot;Times New Roman&quot;"/>
    </font>
    <font>
      <sz val="14.0"/>
      <color rgb="FF9C5700"/>
      <name val="Times New Roman"/>
    </font>
    <font>
      <b/>
      <sz val="14.0"/>
      <color theme="1"/>
      <name val="Times New Roman"/>
    </font>
    <font>
      <sz val="20.0"/>
      <color theme="1"/>
      <name val="Times New Roman"/>
    </font>
    <font>
      <sz val="28.0"/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A5A5A5"/>
        <bgColor rgb="FFA5A5A5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D9E1F2"/>
        <bgColor rgb="FFD9E1F2"/>
      </patternFill>
    </fill>
    <fill>
      <patternFill patternType="solid">
        <fgColor rgb="FFFFEB9C"/>
        <bgColor rgb="FFFFEB9C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</fills>
  <borders count="37">
    <border/>
    <border>
      <left/>
      <right/>
      <top/>
      <bottom/>
    </border>
    <border>
      <left style="thin">
        <color rgb="FF385623"/>
      </left>
      <right/>
      <top style="thin">
        <color rgb="FF385623"/>
      </top>
      <bottom/>
    </border>
    <border>
      <left/>
      <right/>
      <top style="thin">
        <color rgb="FF385623"/>
      </top>
      <bottom/>
    </border>
    <border>
      <left/>
      <right style="thin">
        <color rgb="FF385623"/>
      </right>
      <top style="thin">
        <color rgb="FF385623"/>
      </top>
      <bottom/>
    </border>
    <border>
      <left style="thin">
        <color rgb="FF385623"/>
      </left>
      <top style="thin">
        <color rgb="FF385623"/>
      </top>
      <bottom/>
    </border>
    <border>
      <right/>
      <top style="thin">
        <color rgb="FF385623"/>
      </top>
      <bottom/>
    </border>
    <border>
      <left style="thin">
        <color rgb="FF385623"/>
      </left>
      <right/>
      <top/>
      <bottom/>
    </border>
    <border>
      <left/>
      <right style="thin">
        <color rgb="FF385623"/>
      </right>
      <top/>
      <bottom/>
    </border>
    <border>
      <left style="thin">
        <color rgb="FF385623"/>
      </left>
      <top/>
      <bottom/>
    </border>
    <border>
      <right/>
      <top/>
      <bottom/>
    </border>
    <border>
      <left style="thin">
        <color rgb="FF385623"/>
      </left>
      <top/>
      <bottom style="thin">
        <color rgb="FF385623"/>
      </bottom>
    </border>
    <border>
      <right/>
      <top/>
      <bottom style="thin">
        <color rgb="FF385623"/>
      </bottom>
    </border>
    <border>
      <left/>
      <right/>
      <top/>
      <bottom style="thin">
        <color rgb="FF385623"/>
      </bottom>
    </border>
    <border>
      <left/>
      <right style="thin">
        <color rgb="FF385623"/>
      </right>
      <top/>
      <bottom style="thin">
        <color rgb="FF385623"/>
      </bottom>
    </border>
    <border>
      <left style="thin">
        <color rgb="FF385623"/>
      </left>
      <right/>
      <top/>
      <bottom style="thin">
        <color rgb="FF385623"/>
      </bottom>
    </border>
    <border>
      <top style="thin">
        <color rgb="FF385623"/>
      </top>
      <bottom/>
    </border>
    <border>
      <right style="thin">
        <color rgb="FF385623"/>
      </right>
      <top style="thin">
        <color rgb="FF385623"/>
      </top>
      <bottom/>
    </border>
    <border>
      <left style="thin">
        <color rgb="FF385623"/>
      </left>
      <top style="thin">
        <color rgb="FF385623"/>
      </top>
    </border>
    <border>
      <left style="thin">
        <color rgb="FF2F5496"/>
      </left>
      <top style="thin">
        <color rgb="FF2F5496"/>
      </top>
      <bottom/>
    </border>
    <border>
      <right style="thin">
        <color rgb="FF2F5496"/>
      </right>
      <top style="thin">
        <color rgb="FF2F5496"/>
      </top>
      <bottom/>
    </border>
    <border>
      <left style="thin">
        <color rgb="FF2F5496"/>
      </left>
      <right/>
      <top/>
      <bottom/>
    </border>
    <border>
      <left/>
      <right style="thin">
        <color rgb="FF2F5496"/>
      </right>
      <top/>
      <bottom/>
    </border>
    <border>
      <top style="thin">
        <color rgb="FF2F5496"/>
      </top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top/>
      <bottom/>
    </border>
    <border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bottom style="thin">
        <color rgb="FF7F7F7F"/>
      </bottom>
    </border>
    <border>
      <bottom style="thin">
        <color rgb="FF7F7F7F"/>
      </bottom>
    </border>
    <border>
      <right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3" fillId="3" fontId="2" numFmtId="0" xfId="0" applyBorder="1" applyFont="1"/>
    <xf borderId="4" fillId="3" fontId="2" numFmtId="0" xfId="0" applyBorder="1" applyFont="1"/>
    <xf borderId="5" fillId="3" fontId="3" numFmtId="0" xfId="0" applyAlignment="1" applyBorder="1" applyFont="1">
      <alignment horizontal="center"/>
    </xf>
    <xf borderId="6" fillId="0" fontId="4" numFmtId="0" xfId="0" applyBorder="1" applyFont="1"/>
    <xf borderId="3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7" fillId="4" fontId="2" numFmtId="0" xfId="0" applyBorder="1" applyFill="1" applyFont="1"/>
    <xf borderId="1" fillId="4" fontId="2" numFmtId="0" xfId="0" applyBorder="1" applyFont="1"/>
    <xf borderId="8" fillId="4" fontId="2" numFmtId="0" xfId="0" applyBorder="1" applyFont="1"/>
    <xf borderId="9" fillId="3" fontId="2" numFmtId="0" xfId="0" applyAlignment="1" applyBorder="1" applyFont="1">
      <alignment horizontal="center"/>
    </xf>
    <xf borderId="10" fillId="0" fontId="4" numFmtId="0" xfId="0" applyBorder="1" applyFont="1"/>
    <xf borderId="1" fillId="5" fontId="2" numFmtId="0" xfId="0" applyAlignment="1" applyBorder="1" applyFill="1" applyFont="1">
      <alignment horizontal="center"/>
    </xf>
    <xf borderId="8" fillId="5" fontId="2" numFmtId="0" xfId="0" applyAlignment="1" applyBorder="1" applyFont="1">
      <alignment horizontal="center"/>
    </xf>
    <xf borderId="7" fillId="3" fontId="2" numFmtId="0" xfId="0" applyBorder="1" applyFont="1"/>
    <xf borderId="1" fillId="3" fontId="2" numFmtId="0" xfId="0" applyBorder="1" applyFont="1"/>
    <xf borderId="8" fillId="3" fontId="2" numFmtId="0" xfId="0" applyBorder="1" applyFont="1"/>
    <xf borderId="11" fillId="3" fontId="2" numFmtId="0" xfId="0" applyAlignment="1" applyBorder="1" applyFont="1">
      <alignment horizontal="center"/>
    </xf>
    <xf borderId="12" fillId="0" fontId="4" numFmtId="0" xfId="0" applyBorder="1" applyFont="1"/>
    <xf borderId="13" fillId="5" fontId="2" numFmtId="0" xfId="0" applyAlignment="1" applyBorder="1" applyFont="1">
      <alignment horizontal="center"/>
    </xf>
    <xf borderId="14" fillId="5" fontId="2" numFmtId="0" xfId="0" applyAlignment="1" applyBorder="1" applyFont="1">
      <alignment horizontal="center"/>
    </xf>
    <xf borderId="15" fillId="4" fontId="2" numFmtId="0" xfId="0" applyBorder="1" applyFont="1"/>
    <xf borderId="13" fillId="4" fontId="2" numFmtId="0" xfId="0" applyBorder="1" applyFont="1"/>
    <xf borderId="14" fillId="4" fontId="2" numFmtId="0" xfId="0" applyBorder="1" applyFont="1"/>
    <xf borderId="5" fillId="3" fontId="2" numFmtId="0" xfId="0" applyAlignment="1" applyBorder="1" applyFont="1">
      <alignment horizontal="center"/>
    </xf>
    <xf borderId="16" fillId="0" fontId="4" numFmtId="0" xfId="0" applyBorder="1" applyFont="1"/>
    <xf borderId="17" fillId="0" fontId="4" numFmtId="0" xfId="0" applyBorder="1" applyFont="1"/>
    <xf borderId="18" fillId="0" fontId="2" numFmtId="0" xfId="0" applyAlignment="1" applyBorder="1" applyFont="1">
      <alignment horizontal="left" shrinkToFit="0" vertical="top" wrapText="1"/>
    </xf>
    <xf borderId="3" fillId="3" fontId="2" numFmtId="0" xfId="0" applyAlignment="1" applyBorder="1" applyFont="1">
      <alignment vertical="center"/>
    </xf>
    <xf borderId="4" fillId="3" fontId="2" numFmtId="0" xfId="0" applyAlignment="1" applyBorder="1" applyFont="1">
      <alignment vertical="center"/>
    </xf>
    <xf borderId="19" fillId="2" fontId="5" numFmtId="0" xfId="0" applyAlignment="1" applyBorder="1" applyFont="1">
      <alignment horizontal="center" shrinkToFit="0" wrapText="1"/>
    </xf>
    <xf borderId="20" fillId="0" fontId="4" numFmtId="0" xfId="0" applyBorder="1" applyFont="1"/>
    <xf borderId="7" fillId="3" fontId="2" numFmtId="0" xfId="0" applyAlignment="1" applyBorder="1" applyFont="1">
      <alignment horizontal="center"/>
    </xf>
    <xf borderId="21" fillId="3" fontId="2" numFmtId="0" xfId="0" applyBorder="1" applyFont="1"/>
    <xf borderId="22" fillId="4" fontId="2" numFmtId="0" xfId="0" applyBorder="1" applyFont="1"/>
    <xf borderId="15" fillId="3" fontId="2" numFmtId="0" xfId="0" applyAlignment="1" applyBorder="1" applyFont="1">
      <alignment horizontal="center"/>
    </xf>
    <xf borderId="23" fillId="0" fontId="2" numFmtId="0" xfId="0" applyBorder="1" applyFont="1"/>
    <xf borderId="24" fillId="6" fontId="6" numFmtId="0" xfId="0" applyBorder="1" applyFill="1" applyFont="1"/>
    <xf borderId="1" fillId="7" fontId="2" numFmtId="0" xfId="0" applyBorder="1" applyFill="1" applyFont="1"/>
    <xf borderId="1" fillId="3" fontId="2" numFmtId="0" xfId="0" applyAlignment="1" applyBorder="1" applyFont="1">
      <alignment horizontal="center"/>
    </xf>
    <xf borderId="1" fillId="5" fontId="2" numFmtId="0" xfId="0" applyBorder="1" applyFont="1"/>
    <xf borderId="25" fillId="3" fontId="2" numFmtId="0" xfId="0" applyAlignment="1" applyBorder="1" applyFont="1">
      <alignment horizontal="center"/>
    </xf>
    <xf borderId="26" fillId="0" fontId="4" numFmtId="0" xfId="0" applyBorder="1" applyFont="1"/>
    <xf borderId="1" fillId="8" fontId="2" numFmtId="0" xfId="0" applyBorder="1" applyFill="1" applyFont="1"/>
    <xf borderId="0" fillId="0" fontId="7" numFmtId="0" xfId="0" applyFont="1"/>
    <xf borderId="0" fillId="9" fontId="8" numFmtId="0" xfId="0" applyAlignment="1" applyFill="1" applyFont="1">
      <alignment horizontal="right" readingOrder="0" shrinkToFit="0" vertical="bottom" wrapText="0"/>
    </xf>
    <xf borderId="1" fillId="10" fontId="9" numFmtId="0" xfId="0" applyBorder="1" applyFill="1" applyFont="1"/>
    <xf borderId="25" fillId="5" fontId="10" numFmtId="0" xfId="0" applyAlignment="1" applyBorder="1" applyFont="1">
      <alignment horizontal="center"/>
    </xf>
    <xf borderId="25" fillId="11" fontId="2" numFmtId="0" xfId="0" applyAlignment="1" applyBorder="1" applyFill="1" applyFont="1">
      <alignment horizontal="center"/>
    </xf>
    <xf borderId="25" fillId="12" fontId="2" numFmtId="0" xfId="0" applyAlignment="1" applyBorder="1" applyFill="1" applyFont="1">
      <alignment horizontal="center"/>
    </xf>
    <xf borderId="25" fillId="4" fontId="2" numFmtId="0" xfId="0" applyAlignment="1" applyBorder="1" applyFont="1">
      <alignment horizontal="center"/>
    </xf>
    <xf borderId="25" fillId="10" fontId="9" numFmtId="0" xfId="0" applyAlignment="1" applyBorder="1" applyFont="1">
      <alignment horizontal="center"/>
    </xf>
    <xf borderId="25" fillId="8" fontId="2" numFmtId="0" xfId="0" applyAlignment="1" applyBorder="1" applyFont="1">
      <alignment horizontal="center"/>
    </xf>
    <xf quotePrefix="1" borderId="1" fillId="5" fontId="2" numFmtId="0" xfId="0" applyBorder="1" applyFont="1"/>
    <xf quotePrefix="1" borderId="1" fillId="11" fontId="2" numFmtId="0" xfId="0" applyBorder="1" applyFont="1"/>
    <xf borderId="1" fillId="11" fontId="2" numFmtId="0" xfId="0" applyBorder="1" applyFont="1"/>
    <xf borderId="1" fillId="12" fontId="2" numFmtId="0" xfId="0" applyBorder="1" applyFont="1"/>
    <xf quotePrefix="1" borderId="1" fillId="10" fontId="9" numFmtId="0" xfId="0" applyBorder="1" applyFont="1"/>
    <xf borderId="27" fillId="3" fontId="11" numFmtId="0" xfId="0" applyAlignment="1" applyBorder="1" applyFont="1">
      <alignment shrinkToFit="0" vertical="top" wrapText="1"/>
    </xf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27" fillId="3" fontId="12" numFmtId="0" xfId="0" applyAlignment="1" applyBorder="1" applyFont="1">
      <alignment horizontal="left" shrinkToFit="0" vertical="top" wrapText="1"/>
    </xf>
    <xf borderId="33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quotePrefix="1" borderId="36" fillId="3" fontId="2" numFmtId="0" xfId="0" applyBorder="1" applyFont="1"/>
    <xf borderId="36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7"/>
    <col customWidth="1" min="2" max="33" width="2.8"/>
    <col customWidth="1" min="34" max="50" width="3.1"/>
    <col customWidth="1" min="51" max="54" width="3.3"/>
  </cols>
  <sheetData>
    <row r="1" ht="18.75" customHeight="1">
      <c r="A1" s="1" t="s">
        <v>0</v>
      </c>
      <c r="B1" s="1"/>
      <c r="C1" s="1"/>
      <c r="D1" s="1"/>
      <c r="V1" s="1" t="s">
        <v>1</v>
      </c>
      <c r="W1" s="1"/>
      <c r="X1" s="1"/>
      <c r="AG1" s="1" t="s">
        <v>2</v>
      </c>
      <c r="AH1" s="1"/>
      <c r="AS1" s="1" t="s">
        <v>3</v>
      </c>
    </row>
    <row r="2" ht="18.75" customHeight="1">
      <c r="B2" s="2">
        <v>1.0</v>
      </c>
      <c r="C2" s="3">
        <f t="shared" ref="C2:Q2" si="1"> B2 + 1</f>
        <v>2</v>
      </c>
      <c r="D2" s="3">
        <f t="shared" si="1"/>
        <v>3</v>
      </c>
      <c r="E2" s="3">
        <f t="shared" si="1"/>
        <v>4</v>
      </c>
      <c r="F2" s="3">
        <f t="shared" si="1"/>
        <v>5</v>
      </c>
      <c r="G2" s="3">
        <f t="shared" si="1"/>
        <v>6</v>
      </c>
      <c r="H2" s="3">
        <f t="shared" si="1"/>
        <v>7</v>
      </c>
      <c r="I2" s="3">
        <f t="shared" si="1"/>
        <v>8</v>
      </c>
      <c r="J2" s="3">
        <f t="shared" si="1"/>
        <v>9</v>
      </c>
      <c r="K2" s="3">
        <f t="shared" si="1"/>
        <v>10</v>
      </c>
      <c r="L2" s="3">
        <f t="shared" si="1"/>
        <v>11</v>
      </c>
      <c r="M2" s="3">
        <f t="shared" si="1"/>
        <v>12</v>
      </c>
      <c r="N2" s="3">
        <f t="shared" si="1"/>
        <v>13</v>
      </c>
      <c r="O2" s="3">
        <f t="shared" si="1"/>
        <v>14</v>
      </c>
      <c r="P2" s="3">
        <f t="shared" si="1"/>
        <v>15</v>
      </c>
      <c r="Q2" s="4">
        <f t="shared" si="1"/>
        <v>16</v>
      </c>
      <c r="V2" s="5" t="s">
        <v>4</v>
      </c>
      <c r="W2" s="6"/>
      <c r="X2" s="7">
        <v>1.0</v>
      </c>
      <c r="Y2" s="7">
        <v>2.0</v>
      </c>
      <c r="Z2" s="7">
        <v>3.0</v>
      </c>
      <c r="AA2" s="7">
        <v>4.0</v>
      </c>
      <c r="AB2" s="7">
        <v>5.0</v>
      </c>
      <c r="AC2" s="7">
        <v>6.0</v>
      </c>
      <c r="AD2" s="7">
        <v>7.0</v>
      </c>
      <c r="AE2" s="8">
        <v>8.0</v>
      </c>
      <c r="AG2" s="5" t="s">
        <v>4</v>
      </c>
      <c r="AH2" s="6"/>
      <c r="AI2" s="7">
        <v>1.0</v>
      </c>
      <c r="AJ2" s="7">
        <v>2.0</v>
      </c>
      <c r="AK2" s="7">
        <v>3.0</v>
      </c>
      <c r="AL2" s="7">
        <v>4.0</v>
      </c>
      <c r="AM2" s="7">
        <v>5.0</v>
      </c>
      <c r="AN2" s="7">
        <v>6.0</v>
      </c>
      <c r="AO2" s="7">
        <v>7.0</v>
      </c>
      <c r="AP2" s="8">
        <v>8.0</v>
      </c>
      <c r="AS2" s="5" t="s">
        <v>4</v>
      </c>
      <c r="AT2" s="6"/>
      <c r="AU2" s="7">
        <v>1.0</v>
      </c>
      <c r="AV2" s="7">
        <v>2.0</v>
      </c>
      <c r="AW2" s="7">
        <v>3.0</v>
      </c>
      <c r="AX2" s="7">
        <v>4.0</v>
      </c>
      <c r="AY2" s="7">
        <v>5.0</v>
      </c>
      <c r="AZ2" s="7">
        <v>6.0</v>
      </c>
      <c r="BA2" s="7">
        <v>7.0</v>
      </c>
      <c r="BB2" s="8">
        <v>8.0</v>
      </c>
    </row>
    <row r="3" ht="18.75" customHeight="1">
      <c r="B3" s="9">
        <v>0.0</v>
      </c>
      <c r="C3" s="10">
        <v>0.0</v>
      </c>
      <c r="D3" s="10">
        <v>0.0</v>
      </c>
      <c r="E3" s="10">
        <v>0.0</v>
      </c>
      <c r="F3" s="10">
        <v>0.0</v>
      </c>
      <c r="G3" s="10">
        <v>0.0</v>
      </c>
      <c r="H3" s="10">
        <v>0.0</v>
      </c>
      <c r="I3" s="10">
        <v>1.0</v>
      </c>
      <c r="J3" s="10">
        <v>0.0</v>
      </c>
      <c r="K3" s="10">
        <v>0.0</v>
      </c>
      <c r="L3" s="10">
        <v>1.0</v>
      </c>
      <c r="M3" s="10">
        <v>1.0</v>
      </c>
      <c r="N3" s="10">
        <v>0.0</v>
      </c>
      <c r="O3" s="10">
        <v>0.0</v>
      </c>
      <c r="P3" s="10">
        <v>1.0</v>
      </c>
      <c r="Q3" s="11">
        <v>1.0</v>
      </c>
      <c r="V3" s="12"/>
      <c r="W3" s="13"/>
      <c r="X3" s="14">
        <v>0.0</v>
      </c>
      <c r="Y3" s="14">
        <v>0.0</v>
      </c>
      <c r="Z3" s="14">
        <v>0.0</v>
      </c>
      <c r="AA3" s="14">
        <v>0.0</v>
      </c>
      <c r="AB3" s="14">
        <v>0.0</v>
      </c>
      <c r="AC3" s="14">
        <v>0.0</v>
      </c>
      <c r="AD3" s="14">
        <v>0.0</v>
      </c>
      <c r="AE3" s="15">
        <v>0.0</v>
      </c>
      <c r="AG3" s="12"/>
      <c r="AH3" s="13"/>
      <c r="AI3" s="14">
        <v>1.0</v>
      </c>
      <c r="AJ3" s="14">
        <v>0.0</v>
      </c>
      <c r="AK3" s="14">
        <v>0.0</v>
      </c>
      <c r="AL3" s="14">
        <v>1.0</v>
      </c>
      <c r="AM3" s="14">
        <v>1.0</v>
      </c>
      <c r="AN3" s="14">
        <v>0.0</v>
      </c>
      <c r="AO3" s="14">
        <v>0.0</v>
      </c>
      <c r="AP3" s="15">
        <v>0.0</v>
      </c>
      <c r="AS3" s="12"/>
      <c r="AT3" s="13"/>
      <c r="AU3" s="14">
        <v>1.0</v>
      </c>
      <c r="AV3" s="14">
        <v>0.0</v>
      </c>
      <c r="AW3" s="14">
        <v>0.0</v>
      </c>
      <c r="AX3" s="14">
        <v>1.0</v>
      </c>
      <c r="AY3" s="14">
        <v>1.0</v>
      </c>
      <c r="AZ3" s="14">
        <v>0.0</v>
      </c>
      <c r="BA3" s="14">
        <v>0.0</v>
      </c>
      <c r="BB3" s="15">
        <v>0.0</v>
      </c>
    </row>
    <row r="4" ht="18.75" customHeight="1">
      <c r="B4" s="16">
        <f> Q2 + 1</f>
        <v>17</v>
      </c>
      <c r="C4" s="17">
        <f t="shared" ref="C4:Q4" si="2"> B4 + 1</f>
        <v>18</v>
      </c>
      <c r="D4" s="17">
        <f t="shared" si="2"/>
        <v>19</v>
      </c>
      <c r="E4" s="17">
        <f t="shared" si="2"/>
        <v>20</v>
      </c>
      <c r="F4" s="17">
        <f t="shared" si="2"/>
        <v>21</v>
      </c>
      <c r="G4" s="17">
        <f t="shared" si="2"/>
        <v>22</v>
      </c>
      <c r="H4" s="17">
        <f t="shared" si="2"/>
        <v>23</v>
      </c>
      <c r="I4" s="17">
        <f t="shared" si="2"/>
        <v>24</v>
      </c>
      <c r="J4" s="17">
        <f t="shared" si="2"/>
        <v>25</v>
      </c>
      <c r="K4" s="17">
        <f t="shared" si="2"/>
        <v>26</v>
      </c>
      <c r="L4" s="17">
        <f t="shared" si="2"/>
        <v>27</v>
      </c>
      <c r="M4" s="17">
        <f t="shared" si="2"/>
        <v>28</v>
      </c>
      <c r="N4" s="17">
        <f t="shared" si="2"/>
        <v>29</v>
      </c>
      <c r="O4" s="17">
        <f t="shared" si="2"/>
        <v>30</v>
      </c>
      <c r="P4" s="17">
        <f t="shared" si="2"/>
        <v>31</v>
      </c>
      <c r="Q4" s="18">
        <f t="shared" si="2"/>
        <v>32</v>
      </c>
      <c r="V4" s="12">
        <v>9.0</v>
      </c>
      <c r="W4" s="13"/>
      <c r="X4" s="14">
        <v>0.0</v>
      </c>
      <c r="Y4" s="14">
        <v>0.0</v>
      </c>
      <c r="Z4" s="14">
        <v>0.0</v>
      </c>
      <c r="AA4" s="14">
        <v>1.0</v>
      </c>
      <c r="AB4" s="14">
        <v>0.0</v>
      </c>
      <c r="AC4" s="14">
        <v>0.0</v>
      </c>
      <c r="AD4" s="14">
        <v>1.0</v>
      </c>
      <c r="AE4" s="15">
        <v>0.0</v>
      </c>
      <c r="AG4" s="12">
        <v>9.0</v>
      </c>
      <c r="AH4" s="13"/>
      <c r="AI4" s="14">
        <v>1.0</v>
      </c>
      <c r="AJ4" s="14">
        <v>1.0</v>
      </c>
      <c r="AK4" s="14">
        <v>1.0</v>
      </c>
      <c r="AL4" s="14">
        <v>1.0</v>
      </c>
      <c r="AM4" s="14">
        <v>1.0</v>
      </c>
      <c r="AN4" s="14">
        <v>1.0</v>
      </c>
      <c r="AO4" s="14">
        <v>1.0</v>
      </c>
      <c r="AP4" s="15">
        <v>0.0</v>
      </c>
      <c r="AS4" s="12">
        <v>9.0</v>
      </c>
      <c r="AT4" s="13"/>
      <c r="AU4" s="14">
        <v>1.0</v>
      </c>
      <c r="AV4" s="14">
        <v>1.0</v>
      </c>
      <c r="AW4" s="14">
        <v>1.0</v>
      </c>
      <c r="AX4" s="14">
        <v>1.0</v>
      </c>
      <c r="AY4" s="14">
        <v>1.0</v>
      </c>
      <c r="AZ4" s="14">
        <v>1.0</v>
      </c>
      <c r="BA4" s="14">
        <v>1.0</v>
      </c>
      <c r="BB4" s="15">
        <v>0.0</v>
      </c>
    </row>
    <row r="5" ht="18.75" customHeight="1">
      <c r="B5" s="9">
        <v>0.0</v>
      </c>
      <c r="C5" s="10">
        <v>1.0</v>
      </c>
      <c r="D5" s="10">
        <v>0.0</v>
      </c>
      <c r="E5" s="10">
        <v>0.0</v>
      </c>
      <c r="F5" s="10">
        <v>0.0</v>
      </c>
      <c r="G5" s="10">
        <v>1.0</v>
      </c>
      <c r="H5" s="10">
        <v>0.0</v>
      </c>
      <c r="I5" s="10">
        <v>1.0</v>
      </c>
      <c r="J5" s="10">
        <v>0.0</v>
      </c>
      <c r="K5" s="10">
        <v>1.0</v>
      </c>
      <c r="L5" s="10">
        <v>1.0</v>
      </c>
      <c r="M5" s="10">
        <v>1.0</v>
      </c>
      <c r="N5" s="10">
        <v>0.0</v>
      </c>
      <c r="O5" s="10">
        <v>1.0</v>
      </c>
      <c r="P5" s="10">
        <v>1.0</v>
      </c>
      <c r="Q5" s="11">
        <v>1.0</v>
      </c>
      <c r="V5" s="12">
        <v>17.0</v>
      </c>
      <c r="W5" s="13"/>
      <c r="X5" s="14">
        <v>0.0</v>
      </c>
      <c r="Y5" s="14">
        <v>0.0</v>
      </c>
      <c r="Z5" s="14">
        <v>1.0</v>
      </c>
      <c r="AA5" s="14">
        <v>1.0</v>
      </c>
      <c r="AB5" s="14">
        <v>0.0</v>
      </c>
      <c r="AC5" s="14">
        <v>1.0</v>
      </c>
      <c r="AD5" s="14">
        <v>0.0</v>
      </c>
      <c r="AE5" s="15">
        <v>0.0</v>
      </c>
      <c r="AG5" s="12">
        <v>17.0</v>
      </c>
      <c r="AH5" s="13"/>
      <c r="AI5" s="14">
        <v>1.0</v>
      </c>
      <c r="AJ5" s="14">
        <v>1.0</v>
      </c>
      <c r="AK5" s="14">
        <v>0.0</v>
      </c>
      <c r="AL5" s="14">
        <v>0.0</v>
      </c>
      <c r="AM5" s="14">
        <v>1.0</v>
      </c>
      <c r="AN5" s="14">
        <v>1.0</v>
      </c>
      <c r="AO5" s="14">
        <v>0.0</v>
      </c>
      <c r="AP5" s="15">
        <v>0.0</v>
      </c>
      <c r="AS5" s="12">
        <v>17.0</v>
      </c>
      <c r="AT5" s="13"/>
      <c r="AU5" s="14">
        <v>1.0</v>
      </c>
      <c r="AV5" s="14">
        <v>1.0</v>
      </c>
      <c r="AW5" s="14">
        <v>0.0</v>
      </c>
      <c r="AX5" s="14">
        <v>0.0</v>
      </c>
      <c r="AY5" s="14">
        <v>1.0</v>
      </c>
      <c r="AZ5" s="14">
        <v>1.0</v>
      </c>
      <c r="BA5" s="14">
        <v>0.0</v>
      </c>
      <c r="BB5" s="15">
        <v>0.0</v>
      </c>
    </row>
    <row r="6" ht="18.75" customHeight="1">
      <c r="B6" s="16">
        <f> Q4 + 1</f>
        <v>33</v>
      </c>
      <c r="C6" s="17">
        <f t="shared" ref="C6:Q6" si="3"> B6 + 1</f>
        <v>34</v>
      </c>
      <c r="D6" s="17">
        <f t="shared" si="3"/>
        <v>35</v>
      </c>
      <c r="E6" s="17">
        <f t="shared" si="3"/>
        <v>36</v>
      </c>
      <c r="F6" s="17">
        <f t="shared" si="3"/>
        <v>37</v>
      </c>
      <c r="G6" s="17">
        <f t="shared" si="3"/>
        <v>38</v>
      </c>
      <c r="H6" s="17">
        <f t="shared" si="3"/>
        <v>39</v>
      </c>
      <c r="I6" s="17">
        <f t="shared" si="3"/>
        <v>40</v>
      </c>
      <c r="J6" s="17">
        <f t="shared" si="3"/>
        <v>41</v>
      </c>
      <c r="K6" s="17">
        <f t="shared" si="3"/>
        <v>42</v>
      </c>
      <c r="L6" s="17">
        <f t="shared" si="3"/>
        <v>43</v>
      </c>
      <c r="M6" s="17">
        <f t="shared" si="3"/>
        <v>44</v>
      </c>
      <c r="N6" s="17">
        <f t="shared" si="3"/>
        <v>45</v>
      </c>
      <c r="O6" s="17">
        <f t="shared" si="3"/>
        <v>46</v>
      </c>
      <c r="P6" s="17">
        <f t="shared" si="3"/>
        <v>47</v>
      </c>
      <c r="Q6" s="18">
        <f t="shared" si="3"/>
        <v>48</v>
      </c>
      <c r="V6" s="12">
        <v>25.0</v>
      </c>
      <c r="W6" s="13"/>
      <c r="X6" s="14">
        <v>0.0</v>
      </c>
      <c r="Y6" s="14">
        <v>1.0</v>
      </c>
      <c r="Z6" s="14">
        <v>0.0</v>
      </c>
      <c r="AA6" s="14">
        <v>1.0</v>
      </c>
      <c r="AB6" s="14">
        <v>0.0</v>
      </c>
      <c r="AC6" s="14">
        <v>1.0</v>
      </c>
      <c r="AD6" s="14">
        <v>1.0</v>
      </c>
      <c r="AE6" s="15">
        <v>0.0</v>
      </c>
      <c r="AG6" s="12">
        <v>25.0</v>
      </c>
      <c r="AH6" s="13"/>
      <c r="AI6" s="14">
        <v>0.0</v>
      </c>
      <c r="AJ6" s="14">
        <v>0.0</v>
      </c>
      <c r="AK6" s="14">
        <v>0.0</v>
      </c>
      <c r="AL6" s="14">
        <v>0.0</v>
      </c>
      <c r="AM6" s="14">
        <v>0.0</v>
      </c>
      <c r="AN6" s="14">
        <v>0.0</v>
      </c>
      <c r="AO6" s="14">
        <v>0.0</v>
      </c>
      <c r="AP6" s="15">
        <v>0.0</v>
      </c>
      <c r="AS6" s="19">
        <v>25.0</v>
      </c>
      <c r="AT6" s="20"/>
      <c r="AU6" s="21">
        <v>0.0</v>
      </c>
      <c r="AV6" s="21">
        <v>0.0</v>
      </c>
      <c r="AW6" s="21">
        <v>0.0</v>
      </c>
      <c r="AX6" s="21">
        <v>0.0</v>
      </c>
      <c r="AY6" s="21">
        <v>0.0</v>
      </c>
      <c r="AZ6" s="21">
        <v>0.0</v>
      </c>
      <c r="BA6" s="21">
        <v>0.0</v>
      </c>
      <c r="BB6" s="22">
        <v>0.0</v>
      </c>
    </row>
    <row r="7" ht="18.75" customHeight="1">
      <c r="B7" s="9">
        <v>1.0</v>
      </c>
      <c r="C7" s="10">
        <v>0.0</v>
      </c>
      <c r="D7" s="10">
        <v>0.0</v>
      </c>
      <c r="E7" s="10">
        <v>1.0</v>
      </c>
      <c r="F7" s="10">
        <v>1.0</v>
      </c>
      <c r="G7" s="10">
        <v>0.0</v>
      </c>
      <c r="H7" s="10">
        <v>0.0</v>
      </c>
      <c r="I7" s="10">
        <v>1.0</v>
      </c>
      <c r="J7" s="10">
        <v>1.0</v>
      </c>
      <c r="K7" s="10">
        <v>0.0</v>
      </c>
      <c r="L7" s="10">
        <v>1.0</v>
      </c>
      <c r="M7" s="10">
        <v>1.0</v>
      </c>
      <c r="N7" s="10">
        <v>1.0</v>
      </c>
      <c r="O7" s="10">
        <v>0.0</v>
      </c>
      <c r="P7" s="10">
        <v>1.0</v>
      </c>
      <c r="Q7" s="11">
        <v>1.0</v>
      </c>
      <c r="V7" s="12">
        <v>33.0</v>
      </c>
      <c r="W7" s="13"/>
      <c r="X7" s="14">
        <v>0.0</v>
      </c>
      <c r="Y7" s="14">
        <v>1.0</v>
      </c>
      <c r="Z7" s="14">
        <v>1.0</v>
      </c>
      <c r="AA7" s="14">
        <v>1.0</v>
      </c>
      <c r="AB7" s="14">
        <v>1.0</v>
      </c>
      <c r="AC7" s="14">
        <v>0.0</v>
      </c>
      <c r="AD7" s="14">
        <v>0.0</v>
      </c>
      <c r="AE7" s="15">
        <v>0.0</v>
      </c>
      <c r="AG7" s="12">
        <v>33.0</v>
      </c>
      <c r="AH7" s="13"/>
      <c r="AI7" s="14">
        <v>1.0</v>
      </c>
      <c r="AJ7" s="14">
        <v>1.0</v>
      </c>
      <c r="AK7" s="14">
        <v>1.0</v>
      </c>
      <c r="AL7" s="14">
        <v>0.0</v>
      </c>
      <c r="AM7" s="14">
        <v>0.0</v>
      </c>
      <c r="AN7" s="14">
        <v>0.0</v>
      </c>
      <c r="AO7" s="14">
        <v>0.0</v>
      </c>
      <c r="AP7" s="15">
        <v>0.0</v>
      </c>
    </row>
    <row r="8" ht="18.75" customHeight="1">
      <c r="B8" s="16">
        <f> Q6 + 1</f>
        <v>49</v>
      </c>
      <c r="C8" s="17">
        <f t="shared" ref="C8:Q8" si="4"> B8 + 1</f>
        <v>50</v>
      </c>
      <c r="D8" s="17">
        <f t="shared" si="4"/>
        <v>51</v>
      </c>
      <c r="E8" s="17">
        <f t="shared" si="4"/>
        <v>52</v>
      </c>
      <c r="F8" s="17">
        <f t="shared" si="4"/>
        <v>53</v>
      </c>
      <c r="G8" s="17">
        <f t="shared" si="4"/>
        <v>54</v>
      </c>
      <c r="H8" s="17">
        <f t="shared" si="4"/>
        <v>55</v>
      </c>
      <c r="I8" s="17">
        <f t="shared" si="4"/>
        <v>56</v>
      </c>
      <c r="J8" s="17">
        <f t="shared" si="4"/>
        <v>57</v>
      </c>
      <c r="K8" s="17">
        <f t="shared" si="4"/>
        <v>58</v>
      </c>
      <c r="L8" s="17">
        <f t="shared" si="4"/>
        <v>59</v>
      </c>
      <c r="M8" s="17">
        <f t="shared" si="4"/>
        <v>60</v>
      </c>
      <c r="N8" s="17">
        <f t="shared" si="4"/>
        <v>61</v>
      </c>
      <c r="O8" s="17">
        <f t="shared" si="4"/>
        <v>62</v>
      </c>
      <c r="P8" s="17">
        <f t="shared" si="4"/>
        <v>63</v>
      </c>
      <c r="Q8" s="18">
        <f t="shared" si="4"/>
        <v>64</v>
      </c>
      <c r="V8" s="12">
        <v>41.0</v>
      </c>
      <c r="W8" s="13"/>
      <c r="X8" s="14">
        <v>1.0</v>
      </c>
      <c r="Y8" s="14">
        <v>0.0</v>
      </c>
      <c r="Z8" s="14">
        <v>0.0</v>
      </c>
      <c r="AA8" s="14">
        <v>1.0</v>
      </c>
      <c r="AB8" s="14">
        <v>1.0</v>
      </c>
      <c r="AC8" s="14">
        <v>0.0</v>
      </c>
      <c r="AD8" s="14">
        <v>1.0</v>
      </c>
      <c r="AE8" s="15">
        <v>0.0</v>
      </c>
      <c r="AG8" s="12">
        <v>41.0</v>
      </c>
      <c r="AH8" s="13"/>
      <c r="AI8" s="14">
        <v>0.0</v>
      </c>
      <c r="AJ8" s="14">
        <v>1.0</v>
      </c>
      <c r="AK8" s="14">
        <v>0.0</v>
      </c>
      <c r="AL8" s="14">
        <v>1.0</v>
      </c>
      <c r="AM8" s="14">
        <v>0.0</v>
      </c>
      <c r="AN8" s="14">
        <v>1.0</v>
      </c>
      <c r="AO8" s="14">
        <v>0.0</v>
      </c>
      <c r="AP8" s="15">
        <v>0.0</v>
      </c>
      <c r="AS8" s="1" t="s">
        <v>5</v>
      </c>
    </row>
    <row r="9" ht="18.75" customHeight="1">
      <c r="B9" s="23">
        <v>1.0</v>
      </c>
      <c r="C9" s="24">
        <v>1.0</v>
      </c>
      <c r="D9" s="24">
        <v>0.0</v>
      </c>
      <c r="E9" s="24">
        <v>0.0</v>
      </c>
      <c r="F9" s="24">
        <v>1.0</v>
      </c>
      <c r="G9" s="24">
        <v>1.0</v>
      </c>
      <c r="H9" s="24">
        <v>0.0</v>
      </c>
      <c r="I9" s="24">
        <v>0.0</v>
      </c>
      <c r="J9" s="24">
        <v>1.0</v>
      </c>
      <c r="K9" s="24">
        <v>1.0</v>
      </c>
      <c r="L9" s="24">
        <v>1.0</v>
      </c>
      <c r="M9" s="24">
        <v>1.0</v>
      </c>
      <c r="N9" s="24">
        <v>1.0</v>
      </c>
      <c r="O9" s="24">
        <v>1.0</v>
      </c>
      <c r="P9" s="24">
        <v>1.0</v>
      </c>
      <c r="Q9" s="25">
        <v>1.0</v>
      </c>
      <c r="V9" s="12">
        <v>49.0</v>
      </c>
      <c r="W9" s="13"/>
      <c r="X9" s="14">
        <v>1.0</v>
      </c>
      <c r="Y9" s="14">
        <v>0.0</v>
      </c>
      <c r="Z9" s="14">
        <v>1.0</v>
      </c>
      <c r="AA9" s="14">
        <v>1.0</v>
      </c>
      <c r="AB9" s="14">
        <v>1.0</v>
      </c>
      <c r="AC9" s="14">
        <v>1.0</v>
      </c>
      <c r="AD9" s="14">
        <v>0.0</v>
      </c>
      <c r="AE9" s="15">
        <v>0.0</v>
      </c>
      <c r="AG9" s="12">
        <v>49.0</v>
      </c>
      <c r="AH9" s="13"/>
      <c r="AI9" s="14">
        <v>1.0</v>
      </c>
      <c r="AJ9" s="14">
        <v>1.0</v>
      </c>
      <c r="AK9" s="14">
        <v>1.0</v>
      </c>
      <c r="AL9" s="14">
        <v>1.0</v>
      </c>
      <c r="AM9" s="14">
        <v>0.0</v>
      </c>
      <c r="AN9" s="14">
        <v>0.0</v>
      </c>
      <c r="AO9" s="14">
        <v>0.0</v>
      </c>
      <c r="AP9" s="15">
        <v>0.0</v>
      </c>
      <c r="AS9" s="5" t="s">
        <v>4</v>
      </c>
      <c r="AT9" s="6"/>
      <c r="AU9" s="7">
        <v>1.0</v>
      </c>
      <c r="AV9" s="7">
        <v>2.0</v>
      </c>
      <c r="AW9" s="7">
        <v>3.0</v>
      </c>
      <c r="AX9" s="7">
        <v>4.0</v>
      </c>
      <c r="AY9" s="7">
        <v>5.0</v>
      </c>
      <c r="AZ9" s="7">
        <v>6.0</v>
      </c>
      <c r="BA9" s="7">
        <v>7.0</v>
      </c>
      <c r="BB9" s="8">
        <v>8.0</v>
      </c>
    </row>
    <row r="10" ht="18.75" customHeight="1">
      <c r="A10" s="1" t="s">
        <v>6</v>
      </c>
      <c r="B10" s="1"/>
      <c r="C10" s="1"/>
      <c r="V10" s="19">
        <v>57.0</v>
      </c>
      <c r="W10" s="20"/>
      <c r="X10" s="21">
        <v>1.0</v>
      </c>
      <c r="Y10" s="21">
        <v>1.0</v>
      </c>
      <c r="Z10" s="21">
        <v>0.0</v>
      </c>
      <c r="AA10" s="21">
        <v>1.0</v>
      </c>
      <c r="AB10" s="21">
        <v>1.0</v>
      </c>
      <c r="AC10" s="21">
        <v>1.0</v>
      </c>
      <c r="AD10" s="21">
        <v>1.0</v>
      </c>
      <c r="AE10" s="22">
        <v>0.0</v>
      </c>
      <c r="AG10" s="19">
        <v>57.0</v>
      </c>
      <c r="AH10" s="20"/>
      <c r="AI10" s="21">
        <v>1.0</v>
      </c>
      <c r="AJ10" s="21">
        <v>0.0</v>
      </c>
      <c r="AK10" s="21">
        <v>1.0</v>
      </c>
      <c r="AL10" s="21">
        <v>0.0</v>
      </c>
      <c r="AM10" s="21">
        <v>1.0</v>
      </c>
      <c r="AN10" s="21">
        <v>0.0</v>
      </c>
      <c r="AO10" s="21">
        <v>1.0</v>
      </c>
      <c r="AP10" s="22">
        <v>0.0</v>
      </c>
      <c r="AS10" s="12"/>
      <c r="AT10" s="13"/>
      <c r="AU10" s="14">
        <v>1.0</v>
      </c>
      <c r="AV10" s="14">
        <v>1.0</v>
      </c>
      <c r="AW10" s="14">
        <v>1.0</v>
      </c>
      <c r="AX10" s="14">
        <v>0.0</v>
      </c>
      <c r="AY10" s="14">
        <v>0.0</v>
      </c>
      <c r="AZ10" s="14">
        <v>0.0</v>
      </c>
      <c r="BA10" s="14">
        <v>0.0</v>
      </c>
      <c r="BB10" s="15">
        <v>0.0</v>
      </c>
    </row>
    <row r="11" ht="18.75" customHeight="1">
      <c r="B11" s="26" t="s">
        <v>7</v>
      </c>
      <c r="C11" s="27"/>
      <c r="D11" s="27"/>
      <c r="E11" s="27"/>
      <c r="F11" s="27"/>
      <c r="G11" s="27"/>
      <c r="H11" s="27"/>
      <c r="I11" s="28"/>
      <c r="AS11" s="12">
        <v>9.0</v>
      </c>
      <c r="AT11" s="13"/>
      <c r="AU11" s="14">
        <v>0.0</v>
      </c>
      <c r="AV11" s="14">
        <v>1.0</v>
      </c>
      <c r="AW11" s="14">
        <v>0.0</v>
      </c>
      <c r="AX11" s="14">
        <v>1.0</v>
      </c>
      <c r="AY11" s="14">
        <v>0.0</v>
      </c>
      <c r="AZ11" s="14">
        <v>1.0</v>
      </c>
      <c r="BA11" s="14">
        <v>0.0</v>
      </c>
      <c r="BB11" s="15">
        <v>0.0</v>
      </c>
    </row>
    <row r="12" ht="18.75" customHeight="1">
      <c r="B12" s="9">
        <v>1.0</v>
      </c>
      <c r="C12" s="10">
        <v>1.0</v>
      </c>
      <c r="D12" s="10">
        <v>1.0</v>
      </c>
      <c r="E12" s="10">
        <v>1.0</v>
      </c>
      <c r="F12" s="10">
        <v>0.0</v>
      </c>
      <c r="G12" s="10">
        <v>0.0</v>
      </c>
      <c r="H12" s="10">
        <v>0.0</v>
      </c>
      <c r="I12" s="11">
        <v>0.0</v>
      </c>
      <c r="AS12" s="12">
        <v>17.0</v>
      </c>
      <c r="AT12" s="13"/>
      <c r="AU12" s="14">
        <v>1.0</v>
      </c>
      <c r="AV12" s="14">
        <v>1.0</v>
      </c>
      <c r="AW12" s="14">
        <v>1.0</v>
      </c>
      <c r="AX12" s="14">
        <v>1.0</v>
      </c>
      <c r="AY12" s="14">
        <v>0.0</v>
      </c>
      <c r="AZ12" s="14">
        <v>0.0</v>
      </c>
      <c r="BA12" s="14">
        <v>0.0</v>
      </c>
      <c r="BB12" s="15">
        <v>0.0</v>
      </c>
    </row>
    <row r="13" ht="18.75" customHeight="1">
      <c r="B13" s="9">
        <v>1.0</v>
      </c>
      <c r="C13" s="10">
        <v>1.0</v>
      </c>
      <c r="D13" s="10">
        <v>0.0</v>
      </c>
      <c r="E13" s="10">
        <v>0.0</v>
      </c>
      <c r="F13" s="10">
        <v>1.0</v>
      </c>
      <c r="G13" s="10">
        <v>1.0</v>
      </c>
      <c r="H13" s="10">
        <v>0.0</v>
      </c>
      <c r="I13" s="11">
        <v>0.0</v>
      </c>
      <c r="AS13" s="19">
        <v>25.0</v>
      </c>
      <c r="AT13" s="20"/>
      <c r="AU13" s="21">
        <v>1.0</v>
      </c>
      <c r="AV13" s="21">
        <v>0.0</v>
      </c>
      <c r="AW13" s="21">
        <v>1.0</v>
      </c>
      <c r="AX13" s="21">
        <v>0.0</v>
      </c>
      <c r="AY13" s="21">
        <v>1.0</v>
      </c>
      <c r="AZ13" s="21">
        <v>0.0</v>
      </c>
      <c r="BA13" s="21">
        <v>1.0</v>
      </c>
      <c r="BB13" s="22">
        <v>0.0</v>
      </c>
    </row>
    <row r="14" ht="18.75" customHeight="1">
      <c r="B14" s="9">
        <v>1.0</v>
      </c>
      <c r="C14" s="10">
        <v>0.0</v>
      </c>
      <c r="D14" s="10">
        <v>1.0</v>
      </c>
      <c r="E14" s="10">
        <v>0.0</v>
      </c>
      <c r="F14" s="10">
        <v>1.0</v>
      </c>
      <c r="G14" s="10">
        <v>0.0</v>
      </c>
      <c r="H14" s="10">
        <v>1.0</v>
      </c>
      <c r="I14" s="11">
        <v>0.0</v>
      </c>
    </row>
    <row r="15" ht="18.75" customHeight="1">
      <c r="B15" s="9">
        <v>1.0</v>
      </c>
      <c r="C15" s="10">
        <v>0.0</v>
      </c>
      <c r="D15" s="10">
        <v>1.0</v>
      </c>
      <c r="E15" s="10">
        <v>1.0</v>
      </c>
      <c r="F15" s="10">
        <v>1.0</v>
      </c>
      <c r="G15" s="10">
        <v>0.0</v>
      </c>
      <c r="H15" s="10">
        <v>1.0</v>
      </c>
      <c r="I15" s="11">
        <v>0.0</v>
      </c>
    </row>
    <row r="16" ht="18.75" customHeight="1">
      <c r="B16" s="9">
        <v>1.0</v>
      </c>
      <c r="C16" s="10">
        <v>0.0</v>
      </c>
      <c r="D16" s="10">
        <v>1.0</v>
      </c>
      <c r="E16" s="10">
        <v>0.0</v>
      </c>
      <c r="F16" s="10">
        <v>1.0</v>
      </c>
      <c r="G16" s="10">
        <v>1.0</v>
      </c>
      <c r="H16" s="10">
        <v>0.0</v>
      </c>
      <c r="I16" s="11">
        <v>0.0</v>
      </c>
    </row>
    <row r="17" ht="18.75" customHeight="1">
      <c r="B17" s="9">
        <v>1.0</v>
      </c>
      <c r="C17" s="10">
        <v>1.0</v>
      </c>
      <c r="D17" s="10">
        <v>0.0</v>
      </c>
      <c r="E17" s="10">
        <v>0.0</v>
      </c>
      <c r="F17" s="10">
        <v>1.0</v>
      </c>
      <c r="G17" s="10">
        <v>1.0</v>
      </c>
      <c r="H17" s="10">
        <v>1.0</v>
      </c>
      <c r="I17" s="11">
        <v>1.0</v>
      </c>
    </row>
    <row r="18" ht="18.75" customHeight="1">
      <c r="B18" s="23">
        <v>0.0</v>
      </c>
      <c r="C18" s="24">
        <v>0.0</v>
      </c>
      <c r="D18" s="24">
        <v>0.0</v>
      </c>
      <c r="E18" s="24">
        <v>0.0</v>
      </c>
      <c r="F18" s="24">
        <v>1.0</v>
      </c>
      <c r="G18" s="24">
        <v>0.0</v>
      </c>
      <c r="H18" s="24">
        <v>1.0</v>
      </c>
      <c r="I18" s="25">
        <v>0.0</v>
      </c>
    </row>
    <row r="19" ht="18.75" customHeight="1"/>
    <row r="20" ht="18.75" customHeight="1">
      <c r="A20" s="1" t="s">
        <v>8</v>
      </c>
      <c r="B20" s="1"/>
    </row>
    <row r="21" ht="39.0" customHeight="1">
      <c r="A21" s="29" t="s">
        <v>9</v>
      </c>
      <c r="B21" s="30">
        <v>1.0</v>
      </c>
      <c r="C21" s="30">
        <f t="shared" ref="C21:AC21" si="5"> B21 + 1</f>
        <v>2</v>
      </c>
      <c r="D21" s="30">
        <f t="shared" si="5"/>
        <v>3</v>
      </c>
      <c r="E21" s="30">
        <f t="shared" si="5"/>
        <v>4</v>
      </c>
      <c r="F21" s="30">
        <f t="shared" si="5"/>
        <v>5</v>
      </c>
      <c r="G21" s="30">
        <f t="shared" si="5"/>
        <v>6</v>
      </c>
      <c r="H21" s="30">
        <f t="shared" si="5"/>
        <v>7</v>
      </c>
      <c r="I21" s="30">
        <f t="shared" si="5"/>
        <v>8</v>
      </c>
      <c r="J21" s="30">
        <f t="shared" si="5"/>
        <v>9</v>
      </c>
      <c r="K21" s="30">
        <f t="shared" si="5"/>
        <v>10</v>
      </c>
      <c r="L21" s="30">
        <f t="shared" si="5"/>
        <v>11</v>
      </c>
      <c r="M21" s="30">
        <f t="shared" si="5"/>
        <v>12</v>
      </c>
      <c r="N21" s="30">
        <f t="shared" si="5"/>
        <v>13</v>
      </c>
      <c r="O21" s="30">
        <f t="shared" si="5"/>
        <v>14</v>
      </c>
      <c r="P21" s="30">
        <f t="shared" si="5"/>
        <v>15</v>
      </c>
      <c r="Q21" s="30">
        <f t="shared" si="5"/>
        <v>16</v>
      </c>
      <c r="R21" s="30">
        <f t="shared" si="5"/>
        <v>17</v>
      </c>
      <c r="S21" s="30">
        <f t="shared" si="5"/>
        <v>18</v>
      </c>
      <c r="T21" s="30">
        <f t="shared" si="5"/>
        <v>19</v>
      </c>
      <c r="U21" s="30">
        <f t="shared" si="5"/>
        <v>20</v>
      </c>
      <c r="V21" s="30">
        <f t="shared" si="5"/>
        <v>21</v>
      </c>
      <c r="W21" s="30">
        <f t="shared" si="5"/>
        <v>22</v>
      </c>
      <c r="X21" s="30">
        <f t="shared" si="5"/>
        <v>23</v>
      </c>
      <c r="Y21" s="30">
        <f t="shared" si="5"/>
        <v>24</v>
      </c>
      <c r="Z21" s="30">
        <f t="shared" si="5"/>
        <v>25</v>
      </c>
      <c r="AA21" s="30">
        <f t="shared" si="5"/>
        <v>26</v>
      </c>
      <c r="AB21" s="30">
        <f t="shared" si="5"/>
        <v>27</v>
      </c>
      <c r="AC21" s="31">
        <f t="shared" si="5"/>
        <v>28</v>
      </c>
      <c r="AF21" s="32" t="s">
        <v>10</v>
      </c>
      <c r="AG21" s="33"/>
    </row>
    <row r="22" ht="18.75" customHeight="1">
      <c r="A22" s="34">
        <v>0.0</v>
      </c>
      <c r="B22" s="10">
        <v>1.0</v>
      </c>
      <c r="C22" s="10">
        <v>1.0</v>
      </c>
      <c r="D22" s="10">
        <v>1.0</v>
      </c>
      <c r="E22" s="10">
        <v>1.0</v>
      </c>
      <c r="F22" s="10">
        <v>0.0</v>
      </c>
      <c r="G22" s="10">
        <v>0.0</v>
      </c>
      <c r="H22" s="10">
        <v>0.0</v>
      </c>
      <c r="I22" s="10">
        <v>0.0</v>
      </c>
      <c r="J22" s="10">
        <v>1.0</v>
      </c>
      <c r="K22" s="10">
        <v>1.0</v>
      </c>
      <c r="L22" s="10">
        <v>0.0</v>
      </c>
      <c r="M22" s="10">
        <v>0.0</v>
      </c>
      <c r="N22" s="10">
        <v>1.0</v>
      </c>
      <c r="O22" s="10">
        <v>1.0</v>
      </c>
      <c r="P22" s="10">
        <v>0.0</v>
      </c>
      <c r="Q22" s="10">
        <v>0.0</v>
      </c>
      <c r="R22" s="10">
        <v>1.0</v>
      </c>
      <c r="S22" s="10">
        <v>0.0</v>
      </c>
      <c r="T22" s="10">
        <v>1.0</v>
      </c>
      <c r="U22" s="10">
        <v>0.0</v>
      </c>
      <c r="V22" s="10">
        <v>1.0</v>
      </c>
      <c r="W22" s="10">
        <v>0.0</v>
      </c>
      <c r="X22" s="10">
        <v>1.0</v>
      </c>
      <c r="Y22" s="10">
        <v>0.0</v>
      </c>
      <c r="Z22" s="10">
        <v>1.0</v>
      </c>
      <c r="AA22" s="10">
        <v>0.0</v>
      </c>
      <c r="AB22" s="10">
        <v>1.0</v>
      </c>
      <c r="AC22" s="11">
        <v>1.0</v>
      </c>
      <c r="AF22" s="35">
        <v>1.0</v>
      </c>
      <c r="AG22" s="36">
        <v>1.0</v>
      </c>
    </row>
    <row r="23" ht="18.75" customHeight="1">
      <c r="A23" s="34">
        <v>1.0</v>
      </c>
      <c r="B23" s="10">
        <f t="array" ref="B23">INDEX($B22:$AC22, MOD(COLUMN()-COLUMN($B$22)+$AG22,28)+1)</f>
        <v>1</v>
      </c>
      <c r="C23" s="10">
        <f t="array" ref="C23">INDEX($B22:$AC22, MOD(COLUMN()-COLUMN($B$22)+$AG22,28)+1)</f>
        <v>1</v>
      </c>
      <c r="D23" s="10">
        <f t="array" ref="D23">INDEX($B22:$AC22, MOD(COLUMN()-COLUMN($B$22)+$AG22,28)+1)</f>
        <v>1</v>
      </c>
      <c r="E23" s="10">
        <f t="array" ref="E23">INDEX($B22:$AC22, MOD(COLUMN()-COLUMN($B$22)+$AG22,28)+1)</f>
        <v>0</v>
      </c>
      <c r="F23" s="10">
        <f t="array" ref="F23">INDEX($B22:$AC22, MOD(COLUMN()-COLUMN($B$22)+$AG22,28)+1)</f>
        <v>0</v>
      </c>
      <c r="G23" s="10">
        <f t="array" ref="G23">INDEX($B22:$AC22, MOD(COLUMN()-COLUMN($B$22)+$AG22,28)+1)</f>
        <v>0</v>
      </c>
      <c r="H23" s="10">
        <f t="array" ref="H23">INDEX($B22:$AC22, MOD(COLUMN()-COLUMN($B$22)+$AG22,28)+1)</f>
        <v>0</v>
      </c>
      <c r="I23" s="10">
        <f t="array" ref="I23">INDEX($B22:$AC22, MOD(COLUMN()-COLUMN($B$22)+$AG22,28)+1)</f>
        <v>1</v>
      </c>
      <c r="J23" s="10">
        <f t="array" ref="J23">INDEX($B22:$AC22, MOD(COLUMN()-COLUMN($B$22)+$AG22,28)+1)</f>
        <v>1</v>
      </c>
      <c r="K23" s="10">
        <f t="array" ref="K23">INDEX($B22:$AC22, MOD(COLUMN()-COLUMN($B$22)+$AG22,28)+1)</f>
        <v>0</v>
      </c>
      <c r="L23" s="10">
        <f t="array" ref="L23">INDEX($B22:$AC22, MOD(COLUMN()-COLUMN($B$22)+$AG22,28)+1)</f>
        <v>0</v>
      </c>
      <c r="M23" s="10">
        <f t="array" ref="M23">INDEX($B22:$AC22, MOD(COLUMN()-COLUMN($B$22)+$AG22,28)+1)</f>
        <v>1</v>
      </c>
      <c r="N23" s="10">
        <f t="array" ref="N23">INDEX($B22:$AC22, MOD(COLUMN()-COLUMN($B$22)+$AG22,28)+1)</f>
        <v>1</v>
      </c>
      <c r="O23" s="10">
        <f t="array" ref="O23">INDEX($B22:$AC22, MOD(COLUMN()-COLUMN($B$22)+$AG22,28)+1)</f>
        <v>0</v>
      </c>
      <c r="P23" s="10">
        <f t="array" ref="P23">INDEX($B22:$AC22, MOD(COLUMN()-COLUMN($B$22)+$AG22,28)+1)</f>
        <v>0</v>
      </c>
      <c r="Q23" s="10">
        <f t="array" ref="Q23">INDEX($B22:$AC22, MOD(COLUMN()-COLUMN($B$22)+$AG22,28)+1)</f>
        <v>1</v>
      </c>
      <c r="R23" s="10">
        <f t="array" ref="R23">INDEX($B22:$AC22, MOD(COLUMN()-COLUMN($B$22)+$AG22,28)+1)</f>
        <v>0</v>
      </c>
      <c r="S23" s="10">
        <f t="array" ref="S23">INDEX($B22:$AC22, MOD(COLUMN()-COLUMN($B$22)+$AG22,28)+1)</f>
        <v>1</v>
      </c>
      <c r="T23" s="10">
        <f t="array" ref="T23">INDEX($B22:$AC22, MOD(COLUMN()-COLUMN($B$22)+$AG22,28)+1)</f>
        <v>0</v>
      </c>
      <c r="U23" s="10">
        <f t="array" ref="U23">INDEX($B22:$AC22, MOD(COLUMN()-COLUMN($B$22)+$AG22,28)+1)</f>
        <v>1</v>
      </c>
      <c r="V23" s="10">
        <f t="array" ref="V23">INDEX($B22:$AC22, MOD(COLUMN()-COLUMN($B$22)+$AG22,28)+1)</f>
        <v>0</v>
      </c>
      <c r="W23" s="10">
        <f t="array" ref="W23">INDEX($B22:$AC22, MOD(COLUMN()-COLUMN($B$22)+$AG22,28)+1)</f>
        <v>1</v>
      </c>
      <c r="X23" s="10">
        <f t="array" ref="X23">INDEX($B22:$AC22, MOD(COLUMN()-COLUMN($B$22)+$AG22,28)+1)</f>
        <v>0</v>
      </c>
      <c r="Y23" s="10">
        <f t="array" ref="Y23">INDEX($B22:$AC22, MOD(COLUMN()-COLUMN($B$22)+$AG22,28)+1)</f>
        <v>1</v>
      </c>
      <c r="Z23" s="10">
        <f t="array" ref="Z23">INDEX($B22:$AC22, MOD(COLUMN()-COLUMN($B$22)+$AG22,28)+1)</f>
        <v>0</v>
      </c>
      <c r="AA23" s="10">
        <f t="array" ref="AA23">INDEX($B22:$AC22, MOD(COLUMN()-COLUMN($B$22)+$AG22,28)+1)</f>
        <v>1</v>
      </c>
      <c r="AB23" s="10">
        <f t="array" ref="AB23">INDEX($B22:$AC22, MOD(COLUMN()-COLUMN($B$22)+$AG22,28)+1)</f>
        <v>1</v>
      </c>
      <c r="AC23" s="11">
        <f t="array" ref="AC23">INDEX($B22:$AC22, MOD(COLUMN()-COLUMN($B$22)+$AG22,28)+1)</f>
        <v>1</v>
      </c>
      <c r="AF23" s="35">
        <f t="shared" ref="AF23:AF37" si="6"> AF22 + 1</f>
        <v>2</v>
      </c>
      <c r="AG23" s="36">
        <v>1.0</v>
      </c>
    </row>
    <row r="24" ht="18.75" customHeight="1">
      <c r="A24" s="34">
        <f t="shared" ref="A24:A38" si="7"> A23 + 1</f>
        <v>2</v>
      </c>
      <c r="B24" s="10">
        <f t="array" ref="B24">INDEX($B23:$AC23, MOD(COLUMN()-COLUMN($B$22)+$AG23,28)+1)</f>
        <v>1</v>
      </c>
      <c r="C24" s="10">
        <f t="array" ref="C24">INDEX($B23:$AC23, MOD(COLUMN()-COLUMN($B$22)+$AG23,28)+1)</f>
        <v>1</v>
      </c>
      <c r="D24" s="10">
        <f t="array" ref="D24">INDEX($B23:$AC23, MOD(COLUMN()-COLUMN($B$22)+$AG23,28)+1)</f>
        <v>0</v>
      </c>
      <c r="E24" s="10">
        <f t="array" ref="E24">INDEX($B23:$AC23, MOD(COLUMN()-COLUMN($B$22)+$AG23,28)+1)</f>
        <v>0</v>
      </c>
      <c r="F24" s="10">
        <f t="array" ref="F24">INDEX($B23:$AC23, MOD(COLUMN()-COLUMN($B$22)+$AG23,28)+1)</f>
        <v>0</v>
      </c>
      <c r="G24" s="10">
        <f t="array" ref="G24">INDEX($B23:$AC23, MOD(COLUMN()-COLUMN($B$22)+$AG23,28)+1)</f>
        <v>0</v>
      </c>
      <c r="H24" s="10">
        <f t="array" ref="H24">INDEX($B23:$AC23, MOD(COLUMN()-COLUMN($B$22)+$AG23,28)+1)</f>
        <v>1</v>
      </c>
      <c r="I24" s="10">
        <f t="array" ref="I24">INDEX($B23:$AC23, MOD(COLUMN()-COLUMN($B$22)+$AG23,28)+1)</f>
        <v>1</v>
      </c>
      <c r="J24" s="10">
        <f t="array" ref="J24">INDEX($B23:$AC23, MOD(COLUMN()-COLUMN($B$22)+$AG23,28)+1)</f>
        <v>0</v>
      </c>
      <c r="K24" s="10">
        <f t="array" ref="K24">INDEX($B23:$AC23, MOD(COLUMN()-COLUMN($B$22)+$AG23,28)+1)</f>
        <v>0</v>
      </c>
      <c r="L24" s="10">
        <f t="array" ref="L24">INDEX($B23:$AC23, MOD(COLUMN()-COLUMN($B$22)+$AG23,28)+1)</f>
        <v>1</v>
      </c>
      <c r="M24" s="10">
        <f t="array" ref="M24">INDEX($B23:$AC23, MOD(COLUMN()-COLUMN($B$22)+$AG23,28)+1)</f>
        <v>1</v>
      </c>
      <c r="N24" s="10">
        <f t="array" ref="N24">INDEX($B23:$AC23, MOD(COLUMN()-COLUMN($B$22)+$AG23,28)+1)</f>
        <v>0</v>
      </c>
      <c r="O24" s="10">
        <f t="array" ref="O24">INDEX($B23:$AC23, MOD(COLUMN()-COLUMN($B$22)+$AG23,28)+1)</f>
        <v>0</v>
      </c>
      <c r="P24" s="10">
        <f t="array" ref="P24">INDEX($B23:$AC23, MOD(COLUMN()-COLUMN($B$22)+$AG23,28)+1)</f>
        <v>1</v>
      </c>
      <c r="Q24" s="10">
        <f t="array" ref="Q24">INDEX($B23:$AC23, MOD(COLUMN()-COLUMN($B$22)+$AG23,28)+1)</f>
        <v>0</v>
      </c>
      <c r="R24" s="10">
        <f t="array" ref="R24">INDEX($B23:$AC23, MOD(COLUMN()-COLUMN($B$22)+$AG23,28)+1)</f>
        <v>1</v>
      </c>
      <c r="S24" s="10">
        <f t="array" ref="S24">INDEX($B23:$AC23, MOD(COLUMN()-COLUMN($B$22)+$AG23,28)+1)</f>
        <v>0</v>
      </c>
      <c r="T24" s="10">
        <f t="array" ref="T24">INDEX($B23:$AC23, MOD(COLUMN()-COLUMN($B$22)+$AG23,28)+1)</f>
        <v>1</v>
      </c>
      <c r="U24" s="10">
        <f t="array" ref="U24">INDEX($B23:$AC23, MOD(COLUMN()-COLUMN($B$22)+$AG23,28)+1)</f>
        <v>0</v>
      </c>
      <c r="V24" s="10">
        <f t="array" ref="V24">INDEX($B23:$AC23, MOD(COLUMN()-COLUMN($B$22)+$AG23,28)+1)</f>
        <v>1</v>
      </c>
      <c r="W24" s="10">
        <f t="array" ref="W24">INDEX($B23:$AC23, MOD(COLUMN()-COLUMN($B$22)+$AG23,28)+1)</f>
        <v>0</v>
      </c>
      <c r="X24" s="10">
        <f t="array" ref="X24">INDEX($B23:$AC23, MOD(COLUMN()-COLUMN($B$22)+$AG23,28)+1)</f>
        <v>1</v>
      </c>
      <c r="Y24" s="10">
        <f t="array" ref="Y24">INDEX($B23:$AC23, MOD(COLUMN()-COLUMN($B$22)+$AG23,28)+1)</f>
        <v>0</v>
      </c>
      <c r="Z24" s="10">
        <f t="array" ref="Z24">INDEX($B23:$AC23, MOD(COLUMN()-COLUMN($B$22)+$AG23,28)+1)</f>
        <v>1</v>
      </c>
      <c r="AA24" s="10">
        <f t="array" ref="AA24">INDEX($B23:$AC23, MOD(COLUMN()-COLUMN($B$22)+$AG23,28)+1)</f>
        <v>1</v>
      </c>
      <c r="AB24" s="10">
        <f t="array" ref="AB24">INDEX($B23:$AC23, MOD(COLUMN()-COLUMN($B$22)+$AG23,28)+1)</f>
        <v>1</v>
      </c>
      <c r="AC24" s="11">
        <f t="array" ref="AC24">INDEX($B23:$AC23, MOD(COLUMN()-COLUMN($B$22)+$AG23,28)+1)</f>
        <v>1</v>
      </c>
      <c r="AF24" s="35">
        <f t="shared" si="6"/>
        <v>3</v>
      </c>
      <c r="AG24" s="36">
        <v>2.0</v>
      </c>
    </row>
    <row r="25" ht="18.75" customHeight="1">
      <c r="A25" s="34">
        <f t="shared" si="7"/>
        <v>3</v>
      </c>
      <c r="B25" s="10">
        <f t="array" ref="B25">INDEX($B24:$AC24, MOD(COLUMN()-COLUMN($B$22)+$AG24,28)+1)</f>
        <v>0</v>
      </c>
      <c r="C25" s="10">
        <f t="array" ref="C25">INDEX($B24:$AC24, MOD(COLUMN()-COLUMN($B$22)+$AG24,28)+1)</f>
        <v>0</v>
      </c>
      <c r="D25" s="10">
        <f t="array" ref="D25">INDEX($B24:$AC24, MOD(COLUMN()-COLUMN($B$22)+$AG24,28)+1)</f>
        <v>0</v>
      </c>
      <c r="E25" s="10">
        <f t="array" ref="E25">INDEX($B24:$AC24, MOD(COLUMN()-COLUMN($B$22)+$AG24,28)+1)</f>
        <v>0</v>
      </c>
      <c r="F25" s="10">
        <f t="array" ref="F25">INDEX($B24:$AC24, MOD(COLUMN()-COLUMN($B$22)+$AG24,28)+1)</f>
        <v>1</v>
      </c>
      <c r="G25" s="10">
        <f t="array" ref="G25">INDEX($B24:$AC24, MOD(COLUMN()-COLUMN($B$22)+$AG24,28)+1)</f>
        <v>1</v>
      </c>
      <c r="H25" s="10">
        <f t="array" ref="H25">INDEX($B24:$AC24, MOD(COLUMN()-COLUMN($B$22)+$AG24,28)+1)</f>
        <v>0</v>
      </c>
      <c r="I25" s="10">
        <f t="array" ref="I25">INDEX($B24:$AC24, MOD(COLUMN()-COLUMN($B$22)+$AG24,28)+1)</f>
        <v>0</v>
      </c>
      <c r="J25" s="10">
        <f t="array" ref="J25">INDEX($B24:$AC24, MOD(COLUMN()-COLUMN($B$22)+$AG24,28)+1)</f>
        <v>1</v>
      </c>
      <c r="K25" s="10">
        <f t="array" ref="K25">INDEX($B24:$AC24, MOD(COLUMN()-COLUMN($B$22)+$AG24,28)+1)</f>
        <v>1</v>
      </c>
      <c r="L25" s="10">
        <f t="array" ref="L25">INDEX($B24:$AC24, MOD(COLUMN()-COLUMN($B$22)+$AG24,28)+1)</f>
        <v>0</v>
      </c>
      <c r="M25" s="10">
        <f t="array" ref="M25">INDEX($B24:$AC24, MOD(COLUMN()-COLUMN($B$22)+$AG24,28)+1)</f>
        <v>0</v>
      </c>
      <c r="N25" s="10">
        <f t="array" ref="N25">INDEX($B24:$AC24, MOD(COLUMN()-COLUMN($B$22)+$AG24,28)+1)</f>
        <v>1</v>
      </c>
      <c r="O25" s="10">
        <f t="array" ref="O25">INDEX($B24:$AC24, MOD(COLUMN()-COLUMN($B$22)+$AG24,28)+1)</f>
        <v>0</v>
      </c>
      <c r="P25" s="10">
        <f t="array" ref="P25">INDEX($B24:$AC24, MOD(COLUMN()-COLUMN($B$22)+$AG24,28)+1)</f>
        <v>1</v>
      </c>
      <c r="Q25" s="10">
        <f t="array" ref="Q25">INDEX($B24:$AC24, MOD(COLUMN()-COLUMN($B$22)+$AG24,28)+1)</f>
        <v>0</v>
      </c>
      <c r="R25" s="10">
        <f t="array" ref="R25">INDEX($B24:$AC24, MOD(COLUMN()-COLUMN($B$22)+$AG24,28)+1)</f>
        <v>1</v>
      </c>
      <c r="S25" s="10">
        <f t="array" ref="S25">INDEX($B24:$AC24, MOD(COLUMN()-COLUMN($B$22)+$AG24,28)+1)</f>
        <v>0</v>
      </c>
      <c r="T25" s="10">
        <f t="array" ref="T25">INDEX($B24:$AC24, MOD(COLUMN()-COLUMN($B$22)+$AG24,28)+1)</f>
        <v>1</v>
      </c>
      <c r="U25" s="10">
        <f t="array" ref="U25">INDEX($B24:$AC24, MOD(COLUMN()-COLUMN($B$22)+$AG24,28)+1)</f>
        <v>0</v>
      </c>
      <c r="V25" s="10">
        <f t="array" ref="V25">INDEX($B24:$AC24, MOD(COLUMN()-COLUMN($B$22)+$AG24,28)+1)</f>
        <v>1</v>
      </c>
      <c r="W25" s="10">
        <f t="array" ref="W25">INDEX($B24:$AC24, MOD(COLUMN()-COLUMN($B$22)+$AG24,28)+1)</f>
        <v>0</v>
      </c>
      <c r="X25" s="10">
        <f t="array" ref="X25">INDEX($B24:$AC24, MOD(COLUMN()-COLUMN($B$22)+$AG24,28)+1)</f>
        <v>1</v>
      </c>
      <c r="Y25" s="10">
        <f t="array" ref="Y25">INDEX($B24:$AC24, MOD(COLUMN()-COLUMN($B$22)+$AG24,28)+1)</f>
        <v>1</v>
      </c>
      <c r="Z25" s="10">
        <f t="array" ref="Z25">INDEX($B24:$AC24, MOD(COLUMN()-COLUMN($B$22)+$AG24,28)+1)</f>
        <v>1</v>
      </c>
      <c r="AA25" s="10">
        <f t="array" ref="AA25">INDEX($B24:$AC24, MOD(COLUMN()-COLUMN($B$22)+$AG24,28)+1)</f>
        <v>1</v>
      </c>
      <c r="AB25" s="10">
        <f t="array" ref="AB25">INDEX($B24:$AC24, MOD(COLUMN()-COLUMN($B$22)+$AG24,28)+1)</f>
        <v>1</v>
      </c>
      <c r="AC25" s="11">
        <f t="array" ref="AC25">INDEX($B24:$AC24, MOD(COLUMN()-COLUMN($B$22)+$AG24,28)+1)</f>
        <v>1</v>
      </c>
      <c r="AF25" s="35">
        <f t="shared" si="6"/>
        <v>4</v>
      </c>
      <c r="AG25" s="36">
        <v>2.0</v>
      </c>
    </row>
    <row r="26" ht="18.75" customHeight="1">
      <c r="A26" s="34">
        <f t="shared" si="7"/>
        <v>4</v>
      </c>
      <c r="B26" s="10">
        <f t="array" ref="B26">INDEX($B25:$AC25, MOD(COLUMN()-COLUMN($B$22)+$AG25,28)+1)</f>
        <v>0</v>
      </c>
      <c r="C26" s="10">
        <f t="array" ref="C26">INDEX($B25:$AC25, MOD(COLUMN()-COLUMN($B$22)+$AG25,28)+1)</f>
        <v>0</v>
      </c>
      <c r="D26" s="10">
        <f t="array" ref="D26">INDEX($B25:$AC25, MOD(COLUMN()-COLUMN($B$22)+$AG25,28)+1)</f>
        <v>1</v>
      </c>
      <c r="E26" s="10">
        <f t="array" ref="E26">INDEX($B25:$AC25, MOD(COLUMN()-COLUMN($B$22)+$AG25,28)+1)</f>
        <v>1</v>
      </c>
      <c r="F26" s="10">
        <f t="array" ref="F26">INDEX($B25:$AC25, MOD(COLUMN()-COLUMN($B$22)+$AG25,28)+1)</f>
        <v>0</v>
      </c>
      <c r="G26" s="10">
        <f t="array" ref="G26">INDEX($B25:$AC25, MOD(COLUMN()-COLUMN($B$22)+$AG25,28)+1)</f>
        <v>0</v>
      </c>
      <c r="H26" s="10">
        <f t="array" ref="H26">INDEX($B25:$AC25, MOD(COLUMN()-COLUMN($B$22)+$AG25,28)+1)</f>
        <v>1</v>
      </c>
      <c r="I26" s="10">
        <f t="array" ref="I26">INDEX($B25:$AC25, MOD(COLUMN()-COLUMN($B$22)+$AG25,28)+1)</f>
        <v>1</v>
      </c>
      <c r="J26" s="10">
        <f t="array" ref="J26">INDEX($B25:$AC25, MOD(COLUMN()-COLUMN($B$22)+$AG25,28)+1)</f>
        <v>0</v>
      </c>
      <c r="K26" s="10">
        <f t="array" ref="K26">INDEX($B25:$AC25, MOD(COLUMN()-COLUMN($B$22)+$AG25,28)+1)</f>
        <v>0</v>
      </c>
      <c r="L26" s="10">
        <f t="array" ref="L26">INDEX($B25:$AC25, MOD(COLUMN()-COLUMN($B$22)+$AG25,28)+1)</f>
        <v>1</v>
      </c>
      <c r="M26" s="10">
        <f t="array" ref="M26">INDEX($B25:$AC25, MOD(COLUMN()-COLUMN($B$22)+$AG25,28)+1)</f>
        <v>0</v>
      </c>
      <c r="N26" s="10">
        <f t="array" ref="N26">INDEX($B25:$AC25, MOD(COLUMN()-COLUMN($B$22)+$AG25,28)+1)</f>
        <v>1</v>
      </c>
      <c r="O26" s="10">
        <f t="array" ref="O26">INDEX($B25:$AC25, MOD(COLUMN()-COLUMN($B$22)+$AG25,28)+1)</f>
        <v>0</v>
      </c>
      <c r="P26" s="10">
        <f t="array" ref="P26">INDEX($B25:$AC25, MOD(COLUMN()-COLUMN($B$22)+$AG25,28)+1)</f>
        <v>1</v>
      </c>
      <c r="Q26" s="10">
        <f t="array" ref="Q26">INDEX($B25:$AC25, MOD(COLUMN()-COLUMN($B$22)+$AG25,28)+1)</f>
        <v>0</v>
      </c>
      <c r="R26" s="10">
        <f t="array" ref="R26">INDEX($B25:$AC25, MOD(COLUMN()-COLUMN($B$22)+$AG25,28)+1)</f>
        <v>1</v>
      </c>
      <c r="S26" s="10">
        <f t="array" ref="S26">INDEX($B25:$AC25, MOD(COLUMN()-COLUMN($B$22)+$AG25,28)+1)</f>
        <v>0</v>
      </c>
      <c r="T26" s="10">
        <f t="array" ref="T26">INDEX($B25:$AC25, MOD(COLUMN()-COLUMN($B$22)+$AG25,28)+1)</f>
        <v>1</v>
      </c>
      <c r="U26" s="10">
        <f t="array" ref="U26">INDEX($B25:$AC25, MOD(COLUMN()-COLUMN($B$22)+$AG25,28)+1)</f>
        <v>0</v>
      </c>
      <c r="V26" s="10">
        <f t="array" ref="V26">INDEX($B25:$AC25, MOD(COLUMN()-COLUMN($B$22)+$AG25,28)+1)</f>
        <v>1</v>
      </c>
      <c r="W26" s="10">
        <f t="array" ref="W26">INDEX($B25:$AC25, MOD(COLUMN()-COLUMN($B$22)+$AG25,28)+1)</f>
        <v>1</v>
      </c>
      <c r="X26" s="10">
        <f t="array" ref="X26">INDEX($B25:$AC25, MOD(COLUMN()-COLUMN($B$22)+$AG25,28)+1)</f>
        <v>1</v>
      </c>
      <c r="Y26" s="10">
        <f t="array" ref="Y26">INDEX($B25:$AC25, MOD(COLUMN()-COLUMN($B$22)+$AG25,28)+1)</f>
        <v>1</v>
      </c>
      <c r="Z26" s="10">
        <f t="array" ref="Z26">INDEX($B25:$AC25, MOD(COLUMN()-COLUMN($B$22)+$AG25,28)+1)</f>
        <v>1</v>
      </c>
      <c r="AA26" s="10">
        <f t="array" ref="AA26">INDEX($B25:$AC25, MOD(COLUMN()-COLUMN($B$22)+$AG25,28)+1)</f>
        <v>1</v>
      </c>
      <c r="AB26" s="10">
        <f t="array" ref="AB26">INDEX($B25:$AC25, MOD(COLUMN()-COLUMN($B$22)+$AG25,28)+1)</f>
        <v>0</v>
      </c>
      <c r="AC26" s="11">
        <f t="array" ref="AC26">INDEX($B25:$AC25, MOD(COLUMN()-COLUMN($B$22)+$AG25,28)+1)</f>
        <v>0</v>
      </c>
      <c r="AF26" s="35">
        <f t="shared" si="6"/>
        <v>5</v>
      </c>
      <c r="AG26" s="36">
        <v>2.0</v>
      </c>
    </row>
    <row r="27" ht="18.75" customHeight="1">
      <c r="A27" s="34">
        <f t="shared" si="7"/>
        <v>5</v>
      </c>
      <c r="B27" s="10">
        <f t="array" ref="B27">INDEX($B26:$AC26, MOD(COLUMN()-COLUMN($B$22)+$AG26,28)+1)</f>
        <v>1</v>
      </c>
      <c r="C27" s="10">
        <f t="array" ref="C27">INDEX($B26:$AC26, MOD(COLUMN()-COLUMN($B$22)+$AG26,28)+1)</f>
        <v>1</v>
      </c>
      <c r="D27" s="10">
        <f t="array" ref="D27">INDEX($B26:$AC26, MOD(COLUMN()-COLUMN($B$22)+$AG26,28)+1)</f>
        <v>0</v>
      </c>
      <c r="E27" s="10">
        <f t="array" ref="E27">INDEX($B26:$AC26, MOD(COLUMN()-COLUMN($B$22)+$AG26,28)+1)</f>
        <v>0</v>
      </c>
      <c r="F27" s="10">
        <f t="array" ref="F27">INDEX($B26:$AC26, MOD(COLUMN()-COLUMN($B$22)+$AG26,28)+1)</f>
        <v>1</v>
      </c>
      <c r="G27" s="10">
        <f t="array" ref="G27">INDEX($B26:$AC26, MOD(COLUMN()-COLUMN($B$22)+$AG26,28)+1)</f>
        <v>1</v>
      </c>
      <c r="H27" s="10">
        <f t="array" ref="H27">INDEX($B26:$AC26, MOD(COLUMN()-COLUMN($B$22)+$AG26,28)+1)</f>
        <v>0</v>
      </c>
      <c r="I27" s="10">
        <f t="array" ref="I27">INDEX($B26:$AC26, MOD(COLUMN()-COLUMN($B$22)+$AG26,28)+1)</f>
        <v>0</v>
      </c>
      <c r="J27" s="10">
        <f t="array" ref="J27">INDEX($B26:$AC26, MOD(COLUMN()-COLUMN($B$22)+$AG26,28)+1)</f>
        <v>1</v>
      </c>
      <c r="K27" s="10">
        <f t="array" ref="K27">INDEX($B26:$AC26, MOD(COLUMN()-COLUMN($B$22)+$AG26,28)+1)</f>
        <v>0</v>
      </c>
      <c r="L27" s="10">
        <f t="array" ref="L27">INDEX($B26:$AC26, MOD(COLUMN()-COLUMN($B$22)+$AG26,28)+1)</f>
        <v>1</v>
      </c>
      <c r="M27" s="10">
        <f t="array" ref="M27">INDEX($B26:$AC26, MOD(COLUMN()-COLUMN($B$22)+$AG26,28)+1)</f>
        <v>0</v>
      </c>
      <c r="N27" s="10">
        <f t="array" ref="N27">INDEX($B26:$AC26, MOD(COLUMN()-COLUMN($B$22)+$AG26,28)+1)</f>
        <v>1</v>
      </c>
      <c r="O27" s="10">
        <f t="array" ref="O27">INDEX($B26:$AC26, MOD(COLUMN()-COLUMN($B$22)+$AG26,28)+1)</f>
        <v>0</v>
      </c>
      <c r="P27" s="10">
        <f t="array" ref="P27">INDEX($B26:$AC26, MOD(COLUMN()-COLUMN($B$22)+$AG26,28)+1)</f>
        <v>1</v>
      </c>
      <c r="Q27" s="10">
        <f t="array" ref="Q27">INDEX($B26:$AC26, MOD(COLUMN()-COLUMN($B$22)+$AG26,28)+1)</f>
        <v>0</v>
      </c>
      <c r="R27" s="10">
        <f t="array" ref="R27">INDEX($B26:$AC26, MOD(COLUMN()-COLUMN($B$22)+$AG26,28)+1)</f>
        <v>1</v>
      </c>
      <c r="S27" s="10">
        <f t="array" ref="S27">INDEX($B26:$AC26, MOD(COLUMN()-COLUMN($B$22)+$AG26,28)+1)</f>
        <v>0</v>
      </c>
      <c r="T27" s="10">
        <f t="array" ref="T27">INDEX($B26:$AC26, MOD(COLUMN()-COLUMN($B$22)+$AG26,28)+1)</f>
        <v>1</v>
      </c>
      <c r="U27" s="10">
        <f t="array" ref="U27">INDEX($B26:$AC26, MOD(COLUMN()-COLUMN($B$22)+$AG26,28)+1)</f>
        <v>1</v>
      </c>
      <c r="V27" s="10">
        <f t="array" ref="V27">INDEX($B26:$AC26, MOD(COLUMN()-COLUMN($B$22)+$AG26,28)+1)</f>
        <v>1</v>
      </c>
      <c r="W27" s="10">
        <f t="array" ref="W27">INDEX($B26:$AC26, MOD(COLUMN()-COLUMN($B$22)+$AG26,28)+1)</f>
        <v>1</v>
      </c>
      <c r="X27" s="10">
        <f t="array" ref="X27">INDEX($B26:$AC26, MOD(COLUMN()-COLUMN($B$22)+$AG26,28)+1)</f>
        <v>1</v>
      </c>
      <c r="Y27" s="10">
        <f t="array" ref="Y27">INDEX($B26:$AC26, MOD(COLUMN()-COLUMN($B$22)+$AG26,28)+1)</f>
        <v>1</v>
      </c>
      <c r="Z27" s="10">
        <f t="array" ref="Z27">INDEX($B26:$AC26, MOD(COLUMN()-COLUMN($B$22)+$AG26,28)+1)</f>
        <v>0</v>
      </c>
      <c r="AA27" s="10">
        <f t="array" ref="AA27">INDEX($B26:$AC26, MOD(COLUMN()-COLUMN($B$22)+$AG26,28)+1)</f>
        <v>0</v>
      </c>
      <c r="AB27" s="10">
        <f t="array" ref="AB27">INDEX($B26:$AC26, MOD(COLUMN()-COLUMN($B$22)+$AG26,28)+1)</f>
        <v>0</v>
      </c>
      <c r="AC27" s="11">
        <f t="array" ref="AC27">INDEX($B26:$AC26, MOD(COLUMN()-COLUMN($B$22)+$AG26,28)+1)</f>
        <v>0</v>
      </c>
      <c r="AF27" s="35">
        <f t="shared" si="6"/>
        <v>6</v>
      </c>
      <c r="AG27" s="36">
        <v>2.0</v>
      </c>
    </row>
    <row r="28" ht="18.75" customHeight="1">
      <c r="A28" s="34">
        <f t="shared" si="7"/>
        <v>6</v>
      </c>
      <c r="B28" s="10">
        <f t="array" ref="B28">INDEX($B27:$AC27, MOD(COLUMN()-COLUMN($B$22)+$AG27,28)+1)</f>
        <v>0</v>
      </c>
      <c r="C28" s="10">
        <f t="array" ref="C28">INDEX($B27:$AC27, MOD(COLUMN()-COLUMN($B$22)+$AG27,28)+1)</f>
        <v>0</v>
      </c>
      <c r="D28" s="10">
        <f t="array" ref="D28">INDEX($B27:$AC27, MOD(COLUMN()-COLUMN($B$22)+$AG27,28)+1)</f>
        <v>1</v>
      </c>
      <c r="E28" s="10">
        <f t="array" ref="E28">INDEX($B27:$AC27, MOD(COLUMN()-COLUMN($B$22)+$AG27,28)+1)</f>
        <v>1</v>
      </c>
      <c r="F28" s="10">
        <f t="array" ref="F28">INDEX($B27:$AC27, MOD(COLUMN()-COLUMN($B$22)+$AG27,28)+1)</f>
        <v>0</v>
      </c>
      <c r="G28" s="10">
        <f t="array" ref="G28">INDEX($B27:$AC27, MOD(COLUMN()-COLUMN($B$22)+$AG27,28)+1)</f>
        <v>0</v>
      </c>
      <c r="H28" s="10">
        <f t="array" ref="H28">INDEX($B27:$AC27, MOD(COLUMN()-COLUMN($B$22)+$AG27,28)+1)</f>
        <v>1</v>
      </c>
      <c r="I28" s="10">
        <f t="array" ref="I28">INDEX($B27:$AC27, MOD(COLUMN()-COLUMN($B$22)+$AG27,28)+1)</f>
        <v>0</v>
      </c>
      <c r="J28" s="10">
        <f t="array" ref="J28">INDEX($B27:$AC27, MOD(COLUMN()-COLUMN($B$22)+$AG27,28)+1)</f>
        <v>1</v>
      </c>
      <c r="K28" s="10">
        <f t="array" ref="K28">INDEX($B27:$AC27, MOD(COLUMN()-COLUMN($B$22)+$AG27,28)+1)</f>
        <v>0</v>
      </c>
      <c r="L28" s="10">
        <f t="array" ref="L28">INDEX($B27:$AC27, MOD(COLUMN()-COLUMN($B$22)+$AG27,28)+1)</f>
        <v>1</v>
      </c>
      <c r="M28" s="10">
        <f t="array" ref="M28">INDEX($B27:$AC27, MOD(COLUMN()-COLUMN($B$22)+$AG27,28)+1)</f>
        <v>0</v>
      </c>
      <c r="N28" s="10">
        <f t="array" ref="N28">INDEX($B27:$AC27, MOD(COLUMN()-COLUMN($B$22)+$AG27,28)+1)</f>
        <v>1</v>
      </c>
      <c r="O28" s="10">
        <f t="array" ref="O28">INDEX($B27:$AC27, MOD(COLUMN()-COLUMN($B$22)+$AG27,28)+1)</f>
        <v>0</v>
      </c>
      <c r="P28" s="10">
        <f t="array" ref="P28">INDEX($B27:$AC27, MOD(COLUMN()-COLUMN($B$22)+$AG27,28)+1)</f>
        <v>1</v>
      </c>
      <c r="Q28" s="10">
        <f t="array" ref="Q28">INDEX($B27:$AC27, MOD(COLUMN()-COLUMN($B$22)+$AG27,28)+1)</f>
        <v>0</v>
      </c>
      <c r="R28" s="10">
        <f t="array" ref="R28">INDEX($B27:$AC27, MOD(COLUMN()-COLUMN($B$22)+$AG27,28)+1)</f>
        <v>1</v>
      </c>
      <c r="S28" s="10">
        <f t="array" ref="S28">INDEX($B27:$AC27, MOD(COLUMN()-COLUMN($B$22)+$AG27,28)+1)</f>
        <v>1</v>
      </c>
      <c r="T28" s="10">
        <f t="array" ref="T28">INDEX($B27:$AC27, MOD(COLUMN()-COLUMN($B$22)+$AG27,28)+1)</f>
        <v>1</v>
      </c>
      <c r="U28" s="10">
        <f t="array" ref="U28">INDEX($B27:$AC27, MOD(COLUMN()-COLUMN($B$22)+$AG27,28)+1)</f>
        <v>1</v>
      </c>
      <c r="V28" s="10">
        <f t="array" ref="V28">INDEX($B27:$AC27, MOD(COLUMN()-COLUMN($B$22)+$AG27,28)+1)</f>
        <v>1</v>
      </c>
      <c r="W28" s="10">
        <f t="array" ref="W28">INDEX($B27:$AC27, MOD(COLUMN()-COLUMN($B$22)+$AG27,28)+1)</f>
        <v>1</v>
      </c>
      <c r="X28" s="10">
        <f t="array" ref="X28">INDEX($B27:$AC27, MOD(COLUMN()-COLUMN($B$22)+$AG27,28)+1)</f>
        <v>0</v>
      </c>
      <c r="Y28" s="10">
        <f t="array" ref="Y28">INDEX($B27:$AC27, MOD(COLUMN()-COLUMN($B$22)+$AG27,28)+1)</f>
        <v>0</v>
      </c>
      <c r="Z28" s="10">
        <f t="array" ref="Z28">INDEX($B27:$AC27, MOD(COLUMN()-COLUMN($B$22)+$AG27,28)+1)</f>
        <v>0</v>
      </c>
      <c r="AA28" s="10">
        <f t="array" ref="AA28">INDEX($B27:$AC27, MOD(COLUMN()-COLUMN($B$22)+$AG27,28)+1)</f>
        <v>0</v>
      </c>
      <c r="AB28" s="10">
        <f t="array" ref="AB28">INDEX($B27:$AC27, MOD(COLUMN()-COLUMN($B$22)+$AG27,28)+1)</f>
        <v>1</v>
      </c>
      <c r="AC28" s="11">
        <f t="array" ref="AC28">INDEX($B27:$AC27, MOD(COLUMN()-COLUMN($B$22)+$AG27,28)+1)</f>
        <v>1</v>
      </c>
      <c r="AF28" s="35">
        <f t="shared" si="6"/>
        <v>7</v>
      </c>
      <c r="AG28" s="36">
        <v>2.0</v>
      </c>
    </row>
    <row r="29" ht="18.75" customHeight="1">
      <c r="A29" s="34">
        <f t="shared" si="7"/>
        <v>7</v>
      </c>
      <c r="B29" s="10">
        <f t="array" ref="B29">INDEX($B28:$AC28, MOD(COLUMN()-COLUMN($B$22)+$AG28,28)+1)</f>
        <v>1</v>
      </c>
      <c r="C29" s="10">
        <f t="array" ref="C29">INDEX($B28:$AC28, MOD(COLUMN()-COLUMN($B$22)+$AG28,28)+1)</f>
        <v>1</v>
      </c>
      <c r="D29" s="10">
        <f t="array" ref="D29">INDEX($B28:$AC28, MOD(COLUMN()-COLUMN($B$22)+$AG28,28)+1)</f>
        <v>0</v>
      </c>
      <c r="E29" s="10">
        <f t="array" ref="E29">INDEX($B28:$AC28, MOD(COLUMN()-COLUMN($B$22)+$AG28,28)+1)</f>
        <v>0</v>
      </c>
      <c r="F29" s="10">
        <f t="array" ref="F29">INDEX($B28:$AC28, MOD(COLUMN()-COLUMN($B$22)+$AG28,28)+1)</f>
        <v>1</v>
      </c>
      <c r="G29" s="10">
        <f t="array" ref="G29">INDEX($B28:$AC28, MOD(COLUMN()-COLUMN($B$22)+$AG28,28)+1)</f>
        <v>0</v>
      </c>
      <c r="H29" s="10">
        <f t="array" ref="H29">INDEX($B28:$AC28, MOD(COLUMN()-COLUMN($B$22)+$AG28,28)+1)</f>
        <v>1</v>
      </c>
      <c r="I29" s="10">
        <f t="array" ref="I29">INDEX($B28:$AC28, MOD(COLUMN()-COLUMN($B$22)+$AG28,28)+1)</f>
        <v>0</v>
      </c>
      <c r="J29" s="10">
        <f t="array" ref="J29">INDEX($B28:$AC28, MOD(COLUMN()-COLUMN($B$22)+$AG28,28)+1)</f>
        <v>1</v>
      </c>
      <c r="K29" s="10">
        <f t="array" ref="K29">INDEX($B28:$AC28, MOD(COLUMN()-COLUMN($B$22)+$AG28,28)+1)</f>
        <v>0</v>
      </c>
      <c r="L29" s="10">
        <f t="array" ref="L29">INDEX($B28:$AC28, MOD(COLUMN()-COLUMN($B$22)+$AG28,28)+1)</f>
        <v>1</v>
      </c>
      <c r="M29" s="10">
        <f t="array" ref="M29">INDEX($B28:$AC28, MOD(COLUMN()-COLUMN($B$22)+$AG28,28)+1)</f>
        <v>0</v>
      </c>
      <c r="N29" s="10">
        <f t="array" ref="N29">INDEX($B28:$AC28, MOD(COLUMN()-COLUMN($B$22)+$AG28,28)+1)</f>
        <v>1</v>
      </c>
      <c r="O29" s="10">
        <f t="array" ref="O29">INDEX($B28:$AC28, MOD(COLUMN()-COLUMN($B$22)+$AG28,28)+1)</f>
        <v>0</v>
      </c>
      <c r="P29" s="10">
        <f t="array" ref="P29">INDEX($B28:$AC28, MOD(COLUMN()-COLUMN($B$22)+$AG28,28)+1)</f>
        <v>1</v>
      </c>
      <c r="Q29" s="10">
        <f t="array" ref="Q29">INDEX($B28:$AC28, MOD(COLUMN()-COLUMN($B$22)+$AG28,28)+1)</f>
        <v>1</v>
      </c>
      <c r="R29" s="10">
        <f t="array" ref="R29">INDEX($B28:$AC28, MOD(COLUMN()-COLUMN($B$22)+$AG28,28)+1)</f>
        <v>1</v>
      </c>
      <c r="S29" s="10">
        <f t="array" ref="S29">INDEX($B28:$AC28, MOD(COLUMN()-COLUMN($B$22)+$AG28,28)+1)</f>
        <v>1</v>
      </c>
      <c r="T29" s="10">
        <f t="array" ref="T29">INDEX($B28:$AC28, MOD(COLUMN()-COLUMN($B$22)+$AG28,28)+1)</f>
        <v>1</v>
      </c>
      <c r="U29" s="10">
        <f t="array" ref="U29">INDEX($B28:$AC28, MOD(COLUMN()-COLUMN($B$22)+$AG28,28)+1)</f>
        <v>1</v>
      </c>
      <c r="V29" s="10">
        <f t="array" ref="V29">INDEX($B28:$AC28, MOD(COLUMN()-COLUMN($B$22)+$AG28,28)+1)</f>
        <v>0</v>
      </c>
      <c r="W29" s="10">
        <f t="array" ref="W29">INDEX($B28:$AC28, MOD(COLUMN()-COLUMN($B$22)+$AG28,28)+1)</f>
        <v>0</v>
      </c>
      <c r="X29" s="10">
        <f t="array" ref="X29">INDEX($B28:$AC28, MOD(COLUMN()-COLUMN($B$22)+$AG28,28)+1)</f>
        <v>0</v>
      </c>
      <c r="Y29" s="10">
        <f t="array" ref="Y29">INDEX($B28:$AC28, MOD(COLUMN()-COLUMN($B$22)+$AG28,28)+1)</f>
        <v>0</v>
      </c>
      <c r="Z29" s="10">
        <f t="array" ref="Z29">INDEX($B28:$AC28, MOD(COLUMN()-COLUMN($B$22)+$AG28,28)+1)</f>
        <v>1</v>
      </c>
      <c r="AA29" s="10">
        <f t="array" ref="AA29">INDEX($B28:$AC28, MOD(COLUMN()-COLUMN($B$22)+$AG28,28)+1)</f>
        <v>1</v>
      </c>
      <c r="AB29" s="10">
        <f t="array" ref="AB29">INDEX($B28:$AC28, MOD(COLUMN()-COLUMN($B$22)+$AG28,28)+1)</f>
        <v>0</v>
      </c>
      <c r="AC29" s="11">
        <f t="array" ref="AC29">INDEX($B28:$AC28, MOD(COLUMN()-COLUMN($B$22)+$AG28,28)+1)</f>
        <v>0</v>
      </c>
      <c r="AF29" s="35">
        <f t="shared" si="6"/>
        <v>8</v>
      </c>
      <c r="AG29" s="36">
        <v>2.0</v>
      </c>
    </row>
    <row r="30" ht="18.75" customHeight="1">
      <c r="A30" s="34">
        <f t="shared" si="7"/>
        <v>8</v>
      </c>
      <c r="B30" s="10">
        <f t="array" ref="B30">INDEX($B29:$AC29, MOD(COLUMN()-COLUMN($B$22)+$AG29,28)+1)</f>
        <v>0</v>
      </c>
      <c r="C30" s="10">
        <f t="array" ref="C30">INDEX($B29:$AC29, MOD(COLUMN()-COLUMN($B$22)+$AG29,28)+1)</f>
        <v>0</v>
      </c>
      <c r="D30" s="10">
        <f t="array" ref="D30">INDEX($B29:$AC29, MOD(COLUMN()-COLUMN($B$22)+$AG29,28)+1)</f>
        <v>1</v>
      </c>
      <c r="E30" s="10">
        <f t="array" ref="E30">INDEX($B29:$AC29, MOD(COLUMN()-COLUMN($B$22)+$AG29,28)+1)</f>
        <v>0</v>
      </c>
      <c r="F30" s="10">
        <f t="array" ref="F30">INDEX($B29:$AC29, MOD(COLUMN()-COLUMN($B$22)+$AG29,28)+1)</f>
        <v>1</v>
      </c>
      <c r="G30" s="10">
        <f t="array" ref="G30">INDEX($B29:$AC29, MOD(COLUMN()-COLUMN($B$22)+$AG29,28)+1)</f>
        <v>0</v>
      </c>
      <c r="H30" s="10">
        <f t="array" ref="H30">INDEX($B29:$AC29, MOD(COLUMN()-COLUMN($B$22)+$AG29,28)+1)</f>
        <v>1</v>
      </c>
      <c r="I30" s="10">
        <f t="array" ref="I30">INDEX($B29:$AC29, MOD(COLUMN()-COLUMN($B$22)+$AG29,28)+1)</f>
        <v>0</v>
      </c>
      <c r="J30" s="10">
        <f t="array" ref="J30">INDEX($B29:$AC29, MOD(COLUMN()-COLUMN($B$22)+$AG29,28)+1)</f>
        <v>1</v>
      </c>
      <c r="K30" s="10">
        <f t="array" ref="K30">INDEX($B29:$AC29, MOD(COLUMN()-COLUMN($B$22)+$AG29,28)+1)</f>
        <v>0</v>
      </c>
      <c r="L30" s="10">
        <f t="array" ref="L30">INDEX($B29:$AC29, MOD(COLUMN()-COLUMN($B$22)+$AG29,28)+1)</f>
        <v>1</v>
      </c>
      <c r="M30" s="10">
        <f t="array" ref="M30">INDEX($B29:$AC29, MOD(COLUMN()-COLUMN($B$22)+$AG29,28)+1)</f>
        <v>0</v>
      </c>
      <c r="N30" s="10">
        <f t="array" ref="N30">INDEX($B29:$AC29, MOD(COLUMN()-COLUMN($B$22)+$AG29,28)+1)</f>
        <v>1</v>
      </c>
      <c r="O30" s="10">
        <f t="array" ref="O30">INDEX($B29:$AC29, MOD(COLUMN()-COLUMN($B$22)+$AG29,28)+1)</f>
        <v>1</v>
      </c>
      <c r="P30" s="10">
        <f t="array" ref="P30">INDEX($B29:$AC29, MOD(COLUMN()-COLUMN($B$22)+$AG29,28)+1)</f>
        <v>1</v>
      </c>
      <c r="Q30" s="10">
        <f t="array" ref="Q30">INDEX($B29:$AC29, MOD(COLUMN()-COLUMN($B$22)+$AG29,28)+1)</f>
        <v>1</v>
      </c>
      <c r="R30" s="10">
        <f t="array" ref="R30">INDEX($B29:$AC29, MOD(COLUMN()-COLUMN($B$22)+$AG29,28)+1)</f>
        <v>1</v>
      </c>
      <c r="S30" s="10">
        <f t="array" ref="S30">INDEX($B29:$AC29, MOD(COLUMN()-COLUMN($B$22)+$AG29,28)+1)</f>
        <v>1</v>
      </c>
      <c r="T30" s="10">
        <f t="array" ref="T30">INDEX($B29:$AC29, MOD(COLUMN()-COLUMN($B$22)+$AG29,28)+1)</f>
        <v>0</v>
      </c>
      <c r="U30" s="10">
        <f t="array" ref="U30">INDEX($B29:$AC29, MOD(COLUMN()-COLUMN($B$22)+$AG29,28)+1)</f>
        <v>0</v>
      </c>
      <c r="V30" s="10">
        <f t="array" ref="V30">INDEX($B29:$AC29, MOD(COLUMN()-COLUMN($B$22)+$AG29,28)+1)</f>
        <v>0</v>
      </c>
      <c r="W30" s="10">
        <f t="array" ref="W30">INDEX($B29:$AC29, MOD(COLUMN()-COLUMN($B$22)+$AG29,28)+1)</f>
        <v>0</v>
      </c>
      <c r="X30" s="10">
        <f t="array" ref="X30">INDEX($B29:$AC29, MOD(COLUMN()-COLUMN($B$22)+$AG29,28)+1)</f>
        <v>1</v>
      </c>
      <c r="Y30" s="10">
        <f t="array" ref="Y30">INDEX($B29:$AC29, MOD(COLUMN()-COLUMN($B$22)+$AG29,28)+1)</f>
        <v>1</v>
      </c>
      <c r="Z30" s="10">
        <f t="array" ref="Z30">INDEX($B29:$AC29, MOD(COLUMN()-COLUMN($B$22)+$AG29,28)+1)</f>
        <v>0</v>
      </c>
      <c r="AA30" s="10">
        <f t="array" ref="AA30">INDEX($B29:$AC29, MOD(COLUMN()-COLUMN($B$22)+$AG29,28)+1)</f>
        <v>0</v>
      </c>
      <c r="AB30" s="10">
        <f t="array" ref="AB30">INDEX($B29:$AC29, MOD(COLUMN()-COLUMN($B$22)+$AG29,28)+1)</f>
        <v>1</v>
      </c>
      <c r="AC30" s="11">
        <f t="array" ref="AC30">INDEX($B29:$AC29, MOD(COLUMN()-COLUMN($B$22)+$AG29,28)+1)</f>
        <v>1</v>
      </c>
      <c r="AF30" s="35">
        <f t="shared" si="6"/>
        <v>9</v>
      </c>
      <c r="AG30" s="36">
        <v>1.0</v>
      </c>
    </row>
    <row r="31" ht="18.75" customHeight="1">
      <c r="A31" s="34">
        <f t="shared" si="7"/>
        <v>9</v>
      </c>
      <c r="B31" s="10">
        <f t="array" ref="B31">INDEX($B30:$AC30, MOD(COLUMN()-COLUMN($B$22)+$AG30,28)+1)</f>
        <v>0</v>
      </c>
      <c r="C31" s="10">
        <f t="array" ref="C31">INDEX($B30:$AC30, MOD(COLUMN()-COLUMN($B$22)+$AG30,28)+1)</f>
        <v>1</v>
      </c>
      <c r="D31" s="10">
        <f t="array" ref="D31">INDEX($B30:$AC30, MOD(COLUMN()-COLUMN($B$22)+$AG30,28)+1)</f>
        <v>0</v>
      </c>
      <c r="E31" s="10">
        <f t="array" ref="E31">INDEX($B30:$AC30, MOD(COLUMN()-COLUMN($B$22)+$AG30,28)+1)</f>
        <v>1</v>
      </c>
      <c r="F31" s="10">
        <f t="array" ref="F31">INDEX($B30:$AC30, MOD(COLUMN()-COLUMN($B$22)+$AG30,28)+1)</f>
        <v>0</v>
      </c>
      <c r="G31" s="10">
        <f t="array" ref="G31">INDEX($B30:$AC30, MOD(COLUMN()-COLUMN($B$22)+$AG30,28)+1)</f>
        <v>1</v>
      </c>
      <c r="H31" s="10">
        <f t="array" ref="H31">INDEX($B30:$AC30, MOD(COLUMN()-COLUMN($B$22)+$AG30,28)+1)</f>
        <v>0</v>
      </c>
      <c r="I31" s="10">
        <f t="array" ref="I31">INDEX($B30:$AC30, MOD(COLUMN()-COLUMN($B$22)+$AG30,28)+1)</f>
        <v>1</v>
      </c>
      <c r="J31" s="10">
        <f t="array" ref="J31">INDEX($B30:$AC30, MOD(COLUMN()-COLUMN($B$22)+$AG30,28)+1)</f>
        <v>0</v>
      </c>
      <c r="K31" s="10">
        <f t="array" ref="K31">INDEX($B30:$AC30, MOD(COLUMN()-COLUMN($B$22)+$AG30,28)+1)</f>
        <v>1</v>
      </c>
      <c r="L31" s="10">
        <f t="array" ref="L31">INDEX($B30:$AC30, MOD(COLUMN()-COLUMN($B$22)+$AG30,28)+1)</f>
        <v>0</v>
      </c>
      <c r="M31" s="10">
        <f t="array" ref="M31">INDEX($B30:$AC30, MOD(COLUMN()-COLUMN($B$22)+$AG30,28)+1)</f>
        <v>1</v>
      </c>
      <c r="N31" s="10">
        <f t="array" ref="N31">INDEX($B30:$AC30, MOD(COLUMN()-COLUMN($B$22)+$AG30,28)+1)</f>
        <v>1</v>
      </c>
      <c r="O31" s="10">
        <f t="array" ref="O31">INDEX($B30:$AC30, MOD(COLUMN()-COLUMN($B$22)+$AG30,28)+1)</f>
        <v>1</v>
      </c>
      <c r="P31" s="10">
        <f t="array" ref="P31">INDEX($B30:$AC30, MOD(COLUMN()-COLUMN($B$22)+$AG30,28)+1)</f>
        <v>1</v>
      </c>
      <c r="Q31" s="10">
        <f t="array" ref="Q31">INDEX($B30:$AC30, MOD(COLUMN()-COLUMN($B$22)+$AG30,28)+1)</f>
        <v>1</v>
      </c>
      <c r="R31" s="10">
        <f t="array" ref="R31">INDEX($B30:$AC30, MOD(COLUMN()-COLUMN($B$22)+$AG30,28)+1)</f>
        <v>1</v>
      </c>
      <c r="S31" s="10">
        <f t="array" ref="S31">INDEX($B30:$AC30, MOD(COLUMN()-COLUMN($B$22)+$AG30,28)+1)</f>
        <v>0</v>
      </c>
      <c r="T31" s="10">
        <f t="array" ref="T31">INDEX($B30:$AC30, MOD(COLUMN()-COLUMN($B$22)+$AG30,28)+1)</f>
        <v>0</v>
      </c>
      <c r="U31" s="10">
        <f t="array" ref="U31">INDEX($B30:$AC30, MOD(COLUMN()-COLUMN($B$22)+$AG30,28)+1)</f>
        <v>0</v>
      </c>
      <c r="V31" s="10">
        <f t="array" ref="V31">INDEX($B30:$AC30, MOD(COLUMN()-COLUMN($B$22)+$AG30,28)+1)</f>
        <v>0</v>
      </c>
      <c r="W31" s="10">
        <f t="array" ref="W31">INDEX($B30:$AC30, MOD(COLUMN()-COLUMN($B$22)+$AG30,28)+1)</f>
        <v>1</v>
      </c>
      <c r="X31" s="10">
        <f t="array" ref="X31">INDEX($B30:$AC30, MOD(COLUMN()-COLUMN($B$22)+$AG30,28)+1)</f>
        <v>1</v>
      </c>
      <c r="Y31" s="10">
        <f t="array" ref="Y31">INDEX($B30:$AC30, MOD(COLUMN()-COLUMN($B$22)+$AG30,28)+1)</f>
        <v>0</v>
      </c>
      <c r="Z31" s="10">
        <f t="array" ref="Z31">INDEX($B30:$AC30, MOD(COLUMN()-COLUMN($B$22)+$AG30,28)+1)</f>
        <v>0</v>
      </c>
      <c r="AA31" s="10">
        <f t="array" ref="AA31">INDEX($B30:$AC30, MOD(COLUMN()-COLUMN($B$22)+$AG30,28)+1)</f>
        <v>1</v>
      </c>
      <c r="AB31" s="10">
        <f t="array" ref="AB31">INDEX($B30:$AC30, MOD(COLUMN()-COLUMN($B$22)+$AG30,28)+1)</f>
        <v>1</v>
      </c>
      <c r="AC31" s="11">
        <f t="array" ref="AC31">INDEX($B30:$AC30, MOD(COLUMN()-COLUMN($B$22)+$AG30,28)+1)</f>
        <v>0</v>
      </c>
      <c r="AF31" s="35">
        <f t="shared" si="6"/>
        <v>10</v>
      </c>
      <c r="AG31" s="36">
        <v>2.0</v>
      </c>
    </row>
    <row r="32" ht="18.75" customHeight="1">
      <c r="A32" s="34">
        <f t="shared" si="7"/>
        <v>10</v>
      </c>
      <c r="B32" s="10">
        <f t="array" ref="B32">INDEX($B31:$AC31, MOD(COLUMN()-COLUMN($B$22)+$AG31,28)+1)</f>
        <v>0</v>
      </c>
      <c r="C32" s="10">
        <f t="array" ref="C32">INDEX($B31:$AC31, MOD(COLUMN()-COLUMN($B$22)+$AG31,28)+1)</f>
        <v>1</v>
      </c>
      <c r="D32" s="10">
        <f t="array" ref="D32">INDEX($B31:$AC31, MOD(COLUMN()-COLUMN($B$22)+$AG31,28)+1)</f>
        <v>0</v>
      </c>
      <c r="E32" s="10">
        <f t="array" ref="E32">INDEX($B31:$AC31, MOD(COLUMN()-COLUMN($B$22)+$AG31,28)+1)</f>
        <v>1</v>
      </c>
      <c r="F32" s="10">
        <f t="array" ref="F32">INDEX($B31:$AC31, MOD(COLUMN()-COLUMN($B$22)+$AG31,28)+1)</f>
        <v>0</v>
      </c>
      <c r="G32" s="10">
        <f t="array" ref="G32">INDEX($B31:$AC31, MOD(COLUMN()-COLUMN($B$22)+$AG31,28)+1)</f>
        <v>1</v>
      </c>
      <c r="H32" s="10">
        <f t="array" ref="H32">INDEX($B31:$AC31, MOD(COLUMN()-COLUMN($B$22)+$AG31,28)+1)</f>
        <v>0</v>
      </c>
      <c r="I32" s="10">
        <f t="array" ref="I32">INDEX($B31:$AC31, MOD(COLUMN()-COLUMN($B$22)+$AG31,28)+1)</f>
        <v>1</v>
      </c>
      <c r="J32" s="10">
        <f t="array" ref="J32">INDEX($B31:$AC31, MOD(COLUMN()-COLUMN($B$22)+$AG31,28)+1)</f>
        <v>0</v>
      </c>
      <c r="K32" s="10">
        <f t="array" ref="K32">INDEX($B31:$AC31, MOD(COLUMN()-COLUMN($B$22)+$AG31,28)+1)</f>
        <v>1</v>
      </c>
      <c r="L32" s="10">
        <f t="array" ref="L32">INDEX($B31:$AC31, MOD(COLUMN()-COLUMN($B$22)+$AG31,28)+1)</f>
        <v>1</v>
      </c>
      <c r="M32" s="10">
        <f t="array" ref="M32">INDEX($B31:$AC31, MOD(COLUMN()-COLUMN($B$22)+$AG31,28)+1)</f>
        <v>1</v>
      </c>
      <c r="N32" s="10">
        <f t="array" ref="N32">INDEX($B31:$AC31, MOD(COLUMN()-COLUMN($B$22)+$AG31,28)+1)</f>
        <v>1</v>
      </c>
      <c r="O32" s="10">
        <f t="array" ref="O32">INDEX($B31:$AC31, MOD(COLUMN()-COLUMN($B$22)+$AG31,28)+1)</f>
        <v>1</v>
      </c>
      <c r="P32" s="10">
        <f t="array" ref="P32">INDEX($B31:$AC31, MOD(COLUMN()-COLUMN($B$22)+$AG31,28)+1)</f>
        <v>1</v>
      </c>
      <c r="Q32" s="10">
        <f t="array" ref="Q32">INDEX($B31:$AC31, MOD(COLUMN()-COLUMN($B$22)+$AG31,28)+1)</f>
        <v>0</v>
      </c>
      <c r="R32" s="10">
        <f t="array" ref="R32">INDEX($B31:$AC31, MOD(COLUMN()-COLUMN($B$22)+$AG31,28)+1)</f>
        <v>0</v>
      </c>
      <c r="S32" s="10">
        <f t="array" ref="S32">INDEX($B31:$AC31, MOD(COLUMN()-COLUMN($B$22)+$AG31,28)+1)</f>
        <v>0</v>
      </c>
      <c r="T32" s="10">
        <f t="array" ref="T32">INDEX($B31:$AC31, MOD(COLUMN()-COLUMN($B$22)+$AG31,28)+1)</f>
        <v>0</v>
      </c>
      <c r="U32" s="10">
        <f t="array" ref="U32">INDEX($B31:$AC31, MOD(COLUMN()-COLUMN($B$22)+$AG31,28)+1)</f>
        <v>1</v>
      </c>
      <c r="V32" s="10">
        <f t="array" ref="V32">INDEX($B31:$AC31, MOD(COLUMN()-COLUMN($B$22)+$AG31,28)+1)</f>
        <v>1</v>
      </c>
      <c r="W32" s="10">
        <f t="array" ref="W32">INDEX($B31:$AC31, MOD(COLUMN()-COLUMN($B$22)+$AG31,28)+1)</f>
        <v>0</v>
      </c>
      <c r="X32" s="10">
        <f t="array" ref="X32">INDEX($B31:$AC31, MOD(COLUMN()-COLUMN($B$22)+$AG31,28)+1)</f>
        <v>0</v>
      </c>
      <c r="Y32" s="10">
        <f t="array" ref="Y32">INDEX($B31:$AC31, MOD(COLUMN()-COLUMN($B$22)+$AG31,28)+1)</f>
        <v>1</v>
      </c>
      <c r="Z32" s="10">
        <f t="array" ref="Z32">INDEX($B31:$AC31, MOD(COLUMN()-COLUMN($B$22)+$AG31,28)+1)</f>
        <v>1</v>
      </c>
      <c r="AA32" s="10">
        <f t="array" ref="AA32">INDEX($B31:$AC31, MOD(COLUMN()-COLUMN($B$22)+$AG31,28)+1)</f>
        <v>0</v>
      </c>
      <c r="AB32" s="10">
        <f t="array" ref="AB32">INDEX($B31:$AC31, MOD(COLUMN()-COLUMN($B$22)+$AG31,28)+1)</f>
        <v>0</v>
      </c>
      <c r="AC32" s="11">
        <f t="array" ref="AC32">INDEX($B31:$AC31, MOD(COLUMN()-COLUMN($B$22)+$AG31,28)+1)</f>
        <v>1</v>
      </c>
      <c r="AF32" s="35">
        <f t="shared" si="6"/>
        <v>11</v>
      </c>
      <c r="AG32" s="36">
        <v>2.0</v>
      </c>
    </row>
    <row r="33" ht="18.75" customHeight="1">
      <c r="A33" s="34">
        <f t="shared" si="7"/>
        <v>11</v>
      </c>
      <c r="B33" s="10">
        <f t="array" ref="B33">INDEX($B32:$AC32, MOD(COLUMN()-COLUMN($B$22)+$AG32,28)+1)</f>
        <v>0</v>
      </c>
      <c r="C33" s="10">
        <f t="array" ref="C33">INDEX($B32:$AC32, MOD(COLUMN()-COLUMN($B$22)+$AG32,28)+1)</f>
        <v>1</v>
      </c>
      <c r="D33" s="10">
        <f t="array" ref="D33">INDEX($B32:$AC32, MOD(COLUMN()-COLUMN($B$22)+$AG32,28)+1)</f>
        <v>0</v>
      </c>
      <c r="E33" s="10">
        <f t="array" ref="E33">INDEX($B32:$AC32, MOD(COLUMN()-COLUMN($B$22)+$AG32,28)+1)</f>
        <v>1</v>
      </c>
      <c r="F33" s="10">
        <f t="array" ref="F33">INDEX($B32:$AC32, MOD(COLUMN()-COLUMN($B$22)+$AG32,28)+1)</f>
        <v>0</v>
      </c>
      <c r="G33" s="10">
        <f t="array" ref="G33">INDEX($B32:$AC32, MOD(COLUMN()-COLUMN($B$22)+$AG32,28)+1)</f>
        <v>1</v>
      </c>
      <c r="H33" s="10">
        <f t="array" ref="H33">INDEX($B32:$AC32, MOD(COLUMN()-COLUMN($B$22)+$AG32,28)+1)</f>
        <v>0</v>
      </c>
      <c r="I33" s="10">
        <f t="array" ref="I33">INDEX($B32:$AC32, MOD(COLUMN()-COLUMN($B$22)+$AG32,28)+1)</f>
        <v>1</v>
      </c>
      <c r="J33" s="10">
        <f t="array" ref="J33">INDEX($B32:$AC32, MOD(COLUMN()-COLUMN($B$22)+$AG32,28)+1)</f>
        <v>1</v>
      </c>
      <c r="K33" s="10">
        <f t="array" ref="K33">INDEX($B32:$AC32, MOD(COLUMN()-COLUMN($B$22)+$AG32,28)+1)</f>
        <v>1</v>
      </c>
      <c r="L33" s="10">
        <f t="array" ref="L33">INDEX($B32:$AC32, MOD(COLUMN()-COLUMN($B$22)+$AG32,28)+1)</f>
        <v>1</v>
      </c>
      <c r="M33" s="10">
        <f t="array" ref="M33">INDEX($B32:$AC32, MOD(COLUMN()-COLUMN($B$22)+$AG32,28)+1)</f>
        <v>1</v>
      </c>
      <c r="N33" s="10">
        <f t="array" ref="N33">INDEX($B32:$AC32, MOD(COLUMN()-COLUMN($B$22)+$AG32,28)+1)</f>
        <v>1</v>
      </c>
      <c r="O33" s="10">
        <f t="array" ref="O33">INDEX($B32:$AC32, MOD(COLUMN()-COLUMN($B$22)+$AG32,28)+1)</f>
        <v>0</v>
      </c>
      <c r="P33" s="10">
        <f t="array" ref="P33">INDEX($B32:$AC32, MOD(COLUMN()-COLUMN($B$22)+$AG32,28)+1)</f>
        <v>0</v>
      </c>
      <c r="Q33" s="10">
        <f t="array" ref="Q33">INDEX($B32:$AC32, MOD(COLUMN()-COLUMN($B$22)+$AG32,28)+1)</f>
        <v>0</v>
      </c>
      <c r="R33" s="10">
        <f t="array" ref="R33">INDEX($B32:$AC32, MOD(COLUMN()-COLUMN($B$22)+$AG32,28)+1)</f>
        <v>0</v>
      </c>
      <c r="S33" s="10">
        <f t="array" ref="S33">INDEX($B32:$AC32, MOD(COLUMN()-COLUMN($B$22)+$AG32,28)+1)</f>
        <v>1</v>
      </c>
      <c r="T33" s="10">
        <f t="array" ref="T33">INDEX($B32:$AC32, MOD(COLUMN()-COLUMN($B$22)+$AG32,28)+1)</f>
        <v>1</v>
      </c>
      <c r="U33" s="10">
        <f t="array" ref="U33">INDEX($B32:$AC32, MOD(COLUMN()-COLUMN($B$22)+$AG32,28)+1)</f>
        <v>0</v>
      </c>
      <c r="V33" s="10">
        <f t="array" ref="V33">INDEX($B32:$AC32, MOD(COLUMN()-COLUMN($B$22)+$AG32,28)+1)</f>
        <v>0</v>
      </c>
      <c r="W33" s="10">
        <f t="array" ref="W33">INDEX($B32:$AC32, MOD(COLUMN()-COLUMN($B$22)+$AG32,28)+1)</f>
        <v>1</v>
      </c>
      <c r="X33" s="10">
        <f t="array" ref="X33">INDEX($B32:$AC32, MOD(COLUMN()-COLUMN($B$22)+$AG32,28)+1)</f>
        <v>1</v>
      </c>
      <c r="Y33" s="10">
        <f t="array" ref="Y33">INDEX($B32:$AC32, MOD(COLUMN()-COLUMN($B$22)+$AG32,28)+1)</f>
        <v>0</v>
      </c>
      <c r="Z33" s="10">
        <f t="array" ref="Z33">INDEX($B32:$AC32, MOD(COLUMN()-COLUMN($B$22)+$AG32,28)+1)</f>
        <v>0</v>
      </c>
      <c r="AA33" s="10">
        <f t="array" ref="AA33">INDEX($B32:$AC32, MOD(COLUMN()-COLUMN($B$22)+$AG32,28)+1)</f>
        <v>1</v>
      </c>
      <c r="AB33" s="10">
        <f t="array" ref="AB33">INDEX($B32:$AC32, MOD(COLUMN()-COLUMN($B$22)+$AG32,28)+1)</f>
        <v>0</v>
      </c>
      <c r="AC33" s="11">
        <f t="array" ref="AC33">INDEX($B32:$AC32, MOD(COLUMN()-COLUMN($B$22)+$AG32,28)+1)</f>
        <v>1</v>
      </c>
      <c r="AF33" s="35">
        <f t="shared" si="6"/>
        <v>12</v>
      </c>
      <c r="AG33" s="36">
        <v>2.0</v>
      </c>
    </row>
    <row r="34" ht="18.75" customHeight="1">
      <c r="A34" s="34">
        <f t="shared" si="7"/>
        <v>12</v>
      </c>
      <c r="B34" s="10">
        <f t="array" ref="B34">INDEX($B33:$AC33, MOD(COLUMN()-COLUMN($B$22)+$AG33,28)+1)</f>
        <v>0</v>
      </c>
      <c r="C34" s="10">
        <f t="array" ref="C34">INDEX($B33:$AC33, MOD(COLUMN()-COLUMN($B$22)+$AG33,28)+1)</f>
        <v>1</v>
      </c>
      <c r="D34" s="10">
        <f t="array" ref="D34">INDEX($B33:$AC33, MOD(COLUMN()-COLUMN($B$22)+$AG33,28)+1)</f>
        <v>0</v>
      </c>
      <c r="E34" s="10">
        <f t="array" ref="E34">INDEX($B33:$AC33, MOD(COLUMN()-COLUMN($B$22)+$AG33,28)+1)</f>
        <v>1</v>
      </c>
      <c r="F34" s="10">
        <f t="array" ref="F34">INDEX($B33:$AC33, MOD(COLUMN()-COLUMN($B$22)+$AG33,28)+1)</f>
        <v>0</v>
      </c>
      <c r="G34" s="10">
        <f t="array" ref="G34">INDEX($B33:$AC33, MOD(COLUMN()-COLUMN($B$22)+$AG33,28)+1)</f>
        <v>1</v>
      </c>
      <c r="H34" s="10">
        <f t="array" ref="H34">INDEX($B33:$AC33, MOD(COLUMN()-COLUMN($B$22)+$AG33,28)+1)</f>
        <v>1</v>
      </c>
      <c r="I34" s="10">
        <f t="array" ref="I34">INDEX($B33:$AC33, MOD(COLUMN()-COLUMN($B$22)+$AG33,28)+1)</f>
        <v>1</v>
      </c>
      <c r="J34" s="10">
        <f t="array" ref="J34">INDEX($B33:$AC33, MOD(COLUMN()-COLUMN($B$22)+$AG33,28)+1)</f>
        <v>1</v>
      </c>
      <c r="K34" s="10">
        <f t="array" ref="K34">INDEX($B33:$AC33, MOD(COLUMN()-COLUMN($B$22)+$AG33,28)+1)</f>
        <v>1</v>
      </c>
      <c r="L34" s="10">
        <f t="array" ref="L34">INDEX($B33:$AC33, MOD(COLUMN()-COLUMN($B$22)+$AG33,28)+1)</f>
        <v>1</v>
      </c>
      <c r="M34" s="10">
        <f t="array" ref="M34">INDEX($B33:$AC33, MOD(COLUMN()-COLUMN($B$22)+$AG33,28)+1)</f>
        <v>0</v>
      </c>
      <c r="N34" s="10">
        <f t="array" ref="N34">INDEX($B33:$AC33, MOD(COLUMN()-COLUMN($B$22)+$AG33,28)+1)</f>
        <v>0</v>
      </c>
      <c r="O34" s="10">
        <f t="array" ref="O34">INDEX($B33:$AC33, MOD(COLUMN()-COLUMN($B$22)+$AG33,28)+1)</f>
        <v>0</v>
      </c>
      <c r="P34" s="10">
        <f t="array" ref="P34">INDEX($B33:$AC33, MOD(COLUMN()-COLUMN($B$22)+$AG33,28)+1)</f>
        <v>0</v>
      </c>
      <c r="Q34" s="10">
        <f t="array" ref="Q34">INDEX($B33:$AC33, MOD(COLUMN()-COLUMN($B$22)+$AG33,28)+1)</f>
        <v>1</v>
      </c>
      <c r="R34" s="10">
        <f t="array" ref="R34">INDEX($B33:$AC33, MOD(COLUMN()-COLUMN($B$22)+$AG33,28)+1)</f>
        <v>1</v>
      </c>
      <c r="S34" s="10">
        <f t="array" ref="S34">INDEX($B33:$AC33, MOD(COLUMN()-COLUMN($B$22)+$AG33,28)+1)</f>
        <v>0</v>
      </c>
      <c r="T34" s="10">
        <f t="array" ref="T34">INDEX($B33:$AC33, MOD(COLUMN()-COLUMN($B$22)+$AG33,28)+1)</f>
        <v>0</v>
      </c>
      <c r="U34" s="10">
        <f t="array" ref="U34">INDEX($B33:$AC33, MOD(COLUMN()-COLUMN($B$22)+$AG33,28)+1)</f>
        <v>1</v>
      </c>
      <c r="V34" s="10">
        <f t="array" ref="V34">INDEX($B33:$AC33, MOD(COLUMN()-COLUMN($B$22)+$AG33,28)+1)</f>
        <v>1</v>
      </c>
      <c r="W34" s="10">
        <f t="array" ref="W34">INDEX($B33:$AC33, MOD(COLUMN()-COLUMN($B$22)+$AG33,28)+1)</f>
        <v>0</v>
      </c>
      <c r="X34" s="10">
        <f t="array" ref="X34">INDEX($B33:$AC33, MOD(COLUMN()-COLUMN($B$22)+$AG33,28)+1)</f>
        <v>0</v>
      </c>
      <c r="Y34" s="10">
        <f t="array" ref="Y34">INDEX($B33:$AC33, MOD(COLUMN()-COLUMN($B$22)+$AG33,28)+1)</f>
        <v>1</v>
      </c>
      <c r="Z34" s="10">
        <f t="array" ref="Z34">INDEX($B33:$AC33, MOD(COLUMN()-COLUMN($B$22)+$AG33,28)+1)</f>
        <v>0</v>
      </c>
      <c r="AA34" s="10">
        <f t="array" ref="AA34">INDEX($B33:$AC33, MOD(COLUMN()-COLUMN($B$22)+$AG33,28)+1)</f>
        <v>1</v>
      </c>
      <c r="AB34" s="10">
        <f t="array" ref="AB34">INDEX($B33:$AC33, MOD(COLUMN()-COLUMN($B$22)+$AG33,28)+1)</f>
        <v>0</v>
      </c>
      <c r="AC34" s="11">
        <f t="array" ref="AC34">INDEX($B33:$AC33, MOD(COLUMN()-COLUMN($B$22)+$AG33,28)+1)</f>
        <v>1</v>
      </c>
      <c r="AF34" s="35">
        <f t="shared" si="6"/>
        <v>13</v>
      </c>
      <c r="AG34" s="36">
        <v>2.0</v>
      </c>
    </row>
    <row r="35" ht="18.75" customHeight="1">
      <c r="A35" s="34">
        <f t="shared" si="7"/>
        <v>13</v>
      </c>
      <c r="B35" s="10">
        <f t="array" ref="B35">INDEX($B34:$AC34, MOD(COLUMN()-COLUMN($B$22)+$AG34,28)+1)</f>
        <v>0</v>
      </c>
      <c r="C35" s="10">
        <f t="array" ref="C35">INDEX($B34:$AC34, MOD(COLUMN()-COLUMN($B$22)+$AG34,28)+1)</f>
        <v>1</v>
      </c>
      <c r="D35" s="10">
        <f t="array" ref="D35">INDEX($B34:$AC34, MOD(COLUMN()-COLUMN($B$22)+$AG34,28)+1)</f>
        <v>0</v>
      </c>
      <c r="E35" s="10">
        <f t="array" ref="E35">INDEX($B34:$AC34, MOD(COLUMN()-COLUMN($B$22)+$AG34,28)+1)</f>
        <v>1</v>
      </c>
      <c r="F35" s="10">
        <f t="array" ref="F35">INDEX($B34:$AC34, MOD(COLUMN()-COLUMN($B$22)+$AG34,28)+1)</f>
        <v>1</v>
      </c>
      <c r="G35" s="10">
        <f t="array" ref="G35">INDEX($B34:$AC34, MOD(COLUMN()-COLUMN($B$22)+$AG34,28)+1)</f>
        <v>1</v>
      </c>
      <c r="H35" s="10">
        <f t="array" ref="H35">INDEX($B34:$AC34, MOD(COLUMN()-COLUMN($B$22)+$AG34,28)+1)</f>
        <v>1</v>
      </c>
      <c r="I35" s="10">
        <f t="array" ref="I35">INDEX($B34:$AC34, MOD(COLUMN()-COLUMN($B$22)+$AG34,28)+1)</f>
        <v>1</v>
      </c>
      <c r="J35" s="10">
        <f t="array" ref="J35">INDEX($B34:$AC34, MOD(COLUMN()-COLUMN($B$22)+$AG34,28)+1)</f>
        <v>1</v>
      </c>
      <c r="K35" s="10">
        <f t="array" ref="K35">INDEX($B34:$AC34, MOD(COLUMN()-COLUMN($B$22)+$AG34,28)+1)</f>
        <v>0</v>
      </c>
      <c r="L35" s="10">
        <f t="array" ref="L35">INDEX($B34:$AC34, MOD(COLUMN()-COLUMN($B$22)+$AG34,28)+1)</f>
        <v>0</v>
      </c>
      <c r="M35" s="10">
        <f t="array" ref="M35">INDEX($B34:$AC34, MOD(COLUMN()-COLUMN($B$22)+$AG34,28)+1)</f>
        <v>0</v>
      </c>
      <c r="N35" s="10">
        <f t="array" ref="N35">INDEX($B34:$AC34, MOD(COLUMN()-COLUMN($B$22)+$AG34,28)+1)</f>
        <v>0</v>
      </c>
      <c r="O35" s="10">
        <f t="array" ref="O35">INDEX($B34:$AC34, MOD(COLUMN()-COLUMN($B$22)+$AG34,28)+1)</f>
        <v>1</v>
      </c>
      <c r="P35" s="10">
        <f t="array" ref="P35">INDEX($B34:$AC34, MOD(COLUMN()-COLUMN($B$22)+$AG34,28)+1)</f>
        <v>1</v>
      </c>
      <c r="Q35" s="10">
        <f t="array" ref="Q35">INDEX($B34:$AC34, MOD(COLUMN()-COLUMN($B$22)+$AG34,28)+1)</f>
        <v>0</v>
      </c>
      <c r="R35" s="10">
        <f t="array" ref="R35">INDEX($B34:$AC34, MOD(COLUMN()-COLUMN($B$22)+$AG34,28)+1)</f>
        <v>0</v>
      </c>
      <c r="S35" s="10">
        <f t="array" ref="S35">INDEX($B34:$AC34, MOD(COLUMN()-COLUMN($B$22)+$AG34,28)+1)</f>
        <v>1</v>
      </c>
      <c r="T35" s="10">
        <f t="array" ref="T35">INDEX($B34:$AC34, MOD(COLUMN()-COLUMN($B$22)+$AG34,28)+1)</f>
        <v>1</v>
      </c>
      <c r="U35" s="10">
        <f t="array" ref="U35">INDEX($B34:$AC34, MOD(COLUMN()-COLUMN($B$22)+$AG34,28)+1)</f>
        <v>0</v>
      </c>
      <c r="V35" s="10">
        <f t="array" ref="V35">INDEX($B34:$AC34, MOD(COLUMN()-COLUMN($B$22)+$AG34,28)+1)</f>
        <v>0</v>
      </c>
      <c r="W35" s="10">
        <f t="array" ref="W35">INDEX($B34:$AC34, MOD(COLUMN()-COLUMN($B$22)+$AG34,28)+1)</f>
        <v>1</v>
      </c>
      <c r="X35" s="10">
        <f t="array" ref="X35">INDEX($B34:$AC34, MOD(COLUMN()-COLUMN($B$22)+$AG34,28)+1)</f>
        <v>0</v>
      </c>
      <c r="Y35" s="10">
        <f t="array" ref="Y35">INDEX($B34:$AC34, MOD(COLUMN()-COLUMN($B$22)+$AG34,28)+1)</f>
        <v>1</v>
      </c>
      <c r="Z35" s="10">
        <f t="array" ref="Z35">INDEX($B34:$AC34, MOD(COLUMN()-COLUMN($B$22)+$AG34,28)+1)</f>
        <v>0</v>
      </c>
      <c r="AA35" s="10">
        <f t="array" ref="AA35">INDEX($B34:$AC34, MOD(COLUMN()-COLUMN($B$22)+$AG34,28)+1)</f>
        <v>1</v>
      </c>
      <c r="AB35" s="10">
        <f t="array" ref="AB35">INDEX($B34:$AC34, MOD(COLUMN()-COLUMN($B$22)+$AG34,28)+1)</f>
        <v>0</v>
      </c>
      <c r="AC35" s="11">
        <f t="array" ref="AC35">INDEX($B34:$AC34, MOD(COLUMN()-COLUMN($B$22)+$AG34,28)+1)</f>
        <v>1</v>
      </c>
      <c r="AF35" s="35">
        <f t="shared" si="6"/>
        <v>14</v>
      </c>
      <c r="AG35" s="36">
        <v>2.0</v>
      </c>
    </row>
    <row r="36" ht="18.75" customHeight="1">
      <c r="A36" s="34">
        <f t="shared" si="7"/>
        <v>14</v>
      </c>
      <c r="B36" s="10">
        <f t="array" ref="B36">INDEX($B35:$AC35, MOD(COLUMN()-COLUMN($B$22)+$AG35,28)+1)</f>
        <v>0</v>
      </c>
      <c r="C36" s="10">
        <f t="array" ref="C36">INDEX($B35:$AC35, MOD(COLUMN()-COLUMN($B$22)+$AG35,28)+1)</f>
        <v>1</v>
      </c>
      <c r="D36" s="10">
        <f t="array" ref="D36">INDEX($B35:$AC35, MOD(COLUMN()-COLUMN($B$22)+$AG35,28)+1)</f>
        <v>1</v>
      </c>
      <c r="E36" s="10">
        <f t="array" ref="E36">INDEX($B35:$AC35, MOD(COLUMN()-COLUMN($B$22)+$AG35,28)+1)</f>
        <v>1</v>
      </c>
      <c r="F36" s="10">
        <f t="array" ref="F36">INDEX($B35:$AC35, MOD(COLUMN()-COLUMN($B$22)+$AG35,28)+1)</f>
        <v>1</v>
      </c>
      <c r="G36" s="10">
        <f t="array" ref="G36">INDEX($B35:$AC35, MOD(COLUMN()-COLUMN($B$22)+$AG35,28)+1)</f>
        <v>1</v>
      </c>
      <c r="H36" s="10">
        <f t="array" ref="H36">INDEX($B35:$AC35, MOD(COLUMN()-COLUMN($B$22)+$AG35,28)+1)</f>
        <v>1</v>
      </c>
      <c r="I36" s="10">
        <f t="array" ref="I36">INDEX($B35:$AC35, MOD(COLUMN()-COLUMN($B$22)+$AG35,28)+1)</f>
        <v>0</v>
      </c>
      <c r="J36" s="10">
        <f t="array" ref="J36">INDEX($B35:$AC35, MOD(COLUMN()-COLUMN($B$22)+$AG35,28)+1)</f>
        <v>0</v>
      </c>
      <c r="K36" s="10">
        <f t="array" ref="K36">INDEX($B35:$AC35, MOD(COLUMN()-COLUMN($B$22)+$AG35,28)+1)</f>
        <v>0</v>
      </c>
      <c r="L36" s="10">
        <f t="array" ref="L36">INDEX($B35:$AC35, MOD(COLUMN()-COLUMN($B$22)+$AG35,28)+1)</f>
        <v>0</v>
      </c>
      <c r="M36" s="10">
        <f t="array" ref="M36">INDEX($B35:$AC35, MOD(COLUMN()-COLUMN($B$22)+$AG35,28)+1)</f>
        <v>1</v>
      </c>
      <c r="N36" s="10">
        <f t="array" ref="N36">INDEX($B35:$AC35, MOD(COLUMN()-COLUMN($B$22)+$AG35,28)+1)</f>
        <v>1</v>
      </c>
      <c r="O36" s="10">
        <f t="array" ref="O36">INDEX($B35:$AC35, MOD(COLUMN()-COLUMN($B$22)+$AG35,28)+1)</f>
        <v>0</v>
      </c>
      <c r="P36" s="10">
        <f t="array" ref="P36">INDEX($B35:$AC35, MOD(COLUMN()-COLUMN($B$22)+$AG35,28)+1)</f>
        <v>0</v>
      </c>
      <c r="Q36" s="10">
        <f t="array" ref="Q36">INDEX($B35:$AC35, MOD(COLUMN()-COLUMN($B$22)+$AG35,28)+1)</f>
        <v>1</v>
      </c>
      <c r="R36" s="10">
        <f t="array" ref="R36">INDEX($B35:$AC35, MOD(COLUMN()-COLUMN($B$22)+$AG35,28)+1)</f>
        <v>1</v>
      </c>
      <c r="S36" s="10">
        <f t="array" ref="S36">INDEX($B35:$AC35, MOD(COLUMN()-COLUMN($B$22)+$AG35,28)+1)</f>
        <v>0</v>
      </c>
      <c r="T36" s="10">
        <f t="array" ref="T36">INDEX($B35:$AC35, MOD(COLUMN()-COLUMN($B$22)+$AG35,28)+1)</f>
        <v>0</v>
      </c>
      <c r="U36" s="10">
        <f t="array" ref="U36">INDEX($B35:$AC35, MOD(COLUMN()-COLUMN($B$22)+$AG35,28)+1)</f>
        <v>1</v>
      </c>
      <c r="V36" s="10">
        <f t="array" ref="V36">INDEX($B35:$AC35, MOD(COLUMN()-COLUMN($B$22)+$AG35,28)+1)</f>
        <v>0</v>
      </c>
      <c r="W36" s="10">
        <f t="array" ref="W36">INDEX($B35:$AC35, MOD(COLUMN()-COLUMN($B$22)+$AG35,28)+1)</f>
        <v>1</v>
      </c>
      <c r="X36" s="10">
        <f t="array" ref="X36">INDEX($B35:$AC35, MOD(COLUMN()-COLUMN($B$22)+$AG35,28)+1)</f>
        <v>0</v>
      </c>
      <c r="Y36" s="10">
        <f t="array" ref="Y36">INDEX($B35:$AC35, MOD(COLUMN()-COLUMN($B$22)+$AG35,28)+1)</f>
        <v>1</v>
      </c>
      <c r="Z36" s="10">
        <f t="array" ref="Z36">INDEX($B35:$AC35, MOD(COLUMN()-COLUMN($B$22)+$AG35,28)+1)</f>
        <v>0</v>
      </c>
      <c r="AA36" s="10">
        <f t="array" ref="AA36">INDEX($B35:$AC35, MOD(COLUMN()-COLUMN($B$22)+$AG35,28)+1)</f>
        <v>1</v>
      </c>
      <c r="AB36" s="10">
        <f t="array" ref="AB36">INDEX($B35:$AC35, MOD(COLUMN()-COLUMN($B$22)+$AG35,28)+1)</f>
        <v>0</v>
      </c>
      <c r="AC36" s="11">
        <f t="array" ref="AC36">INDEX($B35:$AC35, MOD(COLUMN()-COLUMN($B$22)+$AG35,28)+1)</f>
        <v>1</v>
      </c>
      <c r="AF36" s="35">
        <f t="shared" si="6"/>
        <v>15</v>
      </c>
      <c r="AG36" s="36">
        <v>2.0</v>
      </c>
    </row>
    <row r="37" ht="18.75" customHeight="1">
      <c r="A37" s="34">
        <f t="shared" si="7"/>
        <v>15</v>
      </c>
      <c r="B37" s="10">
        <f t="array" ref="B37">INDEX($B36:$AC36, MOD(COLUMN()-COLUMN($B$22)+$AG36,28)+1)</f>
        <v>1</v>
      </c>
      <c r="C37" s="10">
        <f t="array" ref="C37">INDEX($B36:$AC36, MOD(COLUMN()-COLUMN($B$22)+$AG36,28)+1)</f>
        <v>1</v>
      </c>
      <c r="D37" s="10">
        <f t="array" ref="D37">INDEX($B36:$AC36, MOD(COLUMN()-COLUMN($B$22)+$AG36,28)+1)</f>
        <v>1</v>
      </c>
      <c r="E37" s="10">
        <f t="array" ref="E37">INDEX($B36:$AC36, MOD(COLUMN()-COLUMN($B$22)+$AG36,28)+1)</f>
        <v>1</v>
      </c>
      <c r="F37" s="10">
        <f t="array" ref="F37">INDEX($B36:$AC36, MOD(COLUMN()-COLUMN($B$22)+$AG36,28)+1)</f>
        <v>1</v>
      </c>
      <c r="G37" s="10">
        <f t="array" ref="G37">INDEX($B36:$AC36, MOD(COLUMN()-COLUMN($B$22)+$AG36,28)+1)</f>
        <v>0</v>
      </c>
      <c r="H37" s="10">
        <f t="array" ref="H37">INDEX($B36:$AC36, MOD(COLUMN()-COLUMN($B$22)+$AG36,28)+1)</f>
        <v>0</v>
      </c>
      <c r="I37" s="10">
        <f t="array" ref="I37">INDEX($B36:$AC36, MOD(COLUMN()-COLUMN($B$22)+$AG36,28)+1)</f>
        <v>0</v>
      </c>
      <c r="J37" s="10">
        <f t="array" ref="J37">INDEX($B36:$AC36, MOD(COLUMN()-COLUMN($B$22)+$AG36,28)+1)</f>
        <v>0</v>
      </c>
      <c r="K37" s="10">
        <f t="array" ref="K37">INDEX($B36:$AC36, MOD(COLUMN()-COLUMN($B$22)+$AG36,28)+1)</f>
        <v>1</v>
      </c>
      <c r="L37" s="10">
        <f t="array" ref="L37">INDEX($B36:$AC36, MOD(COLUMN()-COLUMN($B$22)+$AG36,28)+1)</f>
        <v>1</v>
      </c>
      <c r="M37" s="10">
        <f t="array" ref="M37">INDEX($B36:$AC36, MOD(COLUMN()-COLUMN($B$22)+$AG36,28)+1)</f>
        <v>0</v>
      </c>
      <c r="N37" s="10">
        <f t="array" ref="N37">INDEX($B36:$AC36, MOD(COLUMN()-COLUMN($B$22)+$AG36,28)+1)</f>
        <v>0</v>
      </c>
      <c r="O37" s="10">
        <f t="array" ref="O37">INDEX($B36:$AC36, MOD(COLUMN()-COLUMN($B$22)+$AG36,28)+1)</f>
        <v>1</v>
      </c>
      <c r="P37" s="10">
        <f t="array" ref="P37">INDEX($B36:$AC36, MOD(COLUMN()-COLUMN($B$22)+$AG36,28)+1)</f>
        <v>1</v>
      </c>
      <c r="Q37" s="10">
        <f t="array" ref="Q37">INDEX($B36:$AC36, MOD(COLUMN()-COLUMN($B$22)+$AG36,28)+1)</f>
        <v>0</v>
      </c>
      <c r="R37" s="10">
        <f t="array" ref="R37">INDEX($B36:$AC36, MOD(COLUMN()-COLUMN($B$22)+$AG36,28)+1)</f>
        <v>0</v>
      </c>
      <c r="S37" s="10">
        <f t="array" ref="S37">INDEX($B36:$AC36, MOD(COLUMN()-COLUMN($B$22)+$AG36,28)+1)</f>
        <v>1</v>
      </c>
      <c r="T37" s="10">
        <f t="array" ref="T37">INDEX($B36:$AC36, MOD(COLUMN()-COLUMN($B$22)+$AG36,28)+1)</f>
        <v>0</v>
      </c>
      <c r="U37" s="10">
        <f t="array" ref="U37">INDEX($B36:$AC36, MOD(COLUMN()-COLUMN($B$22)+$AG36,28)+1)</f>
        <v>1</v>
      </c>
      <c r="V37" s="10">
        <f t="array" ref="V37">INDEX($B36:$AC36, MOD(COLUMN()-COLUMN($B$22)+$AG36,28)+1)</f>
        <v>0</v>
      </c>
      <c r="W37" s="10">
        <f t="array" ref="W37">INDEX($B36:$AC36, MOD(COLUMN()-COLUMN($B$22)+$AG36,28)+1)</f>
        <v>1</v>
      </c>
      <c r="X37" s="10">
        <f t="array" ref="X37">INDEX($B36:$AC36, MOD(COLUMN()-COLUMN($B$22)+$AG36,28)+1)</f>
        <v>0</v>
      </c>
      <c r="Y37" s="10">
        <f t="array" ref="Y37">INDEX($B36:$AC36, MOD(COLUMN()-COLUMN($B$22)+$AG36,28)+1)</f>
        <v>1</v>
      </c>
      <c r="Z37" s="10">
        <f t="array" ref="Z37">INDEX($B36:$AC36, MOD(COLUMN()-COLUMN($B$22)+$AG36,28)+1)</f>
        <v>0</v>
      </c>
      <c r="AA37" s="10">
        <f t="array" ref="AA37">INDEX($B36:$AC36, MOD(COLUMN()-COLUMN($B$22)+$AG36,28)+1)</f>
        <v>1</v>
      </c>
      <c r="AB37" s="10">
        <f t="array" ref="AB37">INDEX($B36:$AC36, MOD(COLUMN()-COLUMN($B$22)+$AG36,28)+1)</f>
        <v>0</v>
      </c>
      <c r="AC37" s="11">
        <f t="array" ref="AC37">INDEX($B36:$AC36, MOD(COLUMN()-COLUMN($B$22)+$AG36,28)+1)</f>
        <v>1</v>
      </c>
      <c r="AF37" s="35">
        <f t="shared" si="6"/>
        <v>16</v>
      </c>
      <c r="AG37" s="36">
        <v>1.0</v>
      </c>
    </row>
    <row r="38" ht="18.75" customHeight="1">
      <c r="A38" s="37">
        <f t="shared" si="7"/>
        <v>16</v>
      </c>
      <c r="B38" s="24">
        <f t="array" ref="B38">INDEX($B37:$AC37, MOD(COLUMN()-COLUMN($B$22)+$AG37,28)+1)</f>
        <v>1</v>
      </c>
      <c r="C38" s="24">
        <f t="array" ref="C38">INDEX($B37:$AC37, MOD(COLUMN()-COLUMN($B$22)+$AG37,28)+1)</f>
        <v>1</v>
      </c>
      <c r="D38" s="24">
        <f t="array" ref="D38">INDEX($B37:$AC37, MOD(COLUMN()-COLUMN($B$22)+$AG37,28)+1)</f>
        <v>1</v>
      </c>
      <c r="E38" s="24">
        <f t="array" ref="E38">INDEX($B37:$AC37, MOD(COLUMN()-COLUMN($B$22)+$AG37,28)+1)</f>
        <v>1</v>
      </c>
      <c r="F38" s="24">
        <f t="array" ref="F38">INDEX($B37:$AC37, MOD(COLUMN()-COLUMN($B$22)+$AG37,28)+1)</f>
        <v>0</v>
      </c>
      <c r="G38" s="24">
        <f t="array" ref="G38">INDEX($B37:$AC37, MOD(COLUMN()-COLUMN($B$22)+$AG37,28)+1)</f>
        <v>0</v>
      </c>
      <c r="H38" s="24">
        <f t="array" ref="H38">INDEX($B37:$AC37, MOD(COLUMN()-COLUMN($B$22)+$AG37,28)+1)</f>
        <v>0</v>
      </c>
      <c r="I38" s="24">
        <f t="array" ref="I38">INDEX($B37:$AC37, MOD(COLUMN()-COLUMN($B$22)+$AG37,28)+1)</f>
        <v>0</v>
      </c>
      <c r="J38" s="24">
        <f t="array" ref="J38">INDEX($B37:$AC37, MOD(COLUMN()-COLUMN($B$22)+$AG37,28)+1)</f>
        <v>1</v>
      </c>
      <c r="K38" s="24">
        <f t="array" ref="K38">INDEX($B37:$AC37, MOD(COLUMN()-COLUMN($B$22)+$AG37,28)+1)</f>
        <v>1</v>
      </c>
      <c r="L38" s="24">
        <f t="array" ref="L38">INDEX($B37:$AC37, MOD(COLUMN()-COLUMN($B$22)+$AG37,28)+1)</f>
        <v>0</v>
      </c>
      <c r="M38" s="24">
        <f t="array" ref="M38">INDEX($B37:$AC37, MOD(COLUMN()-COLUMN($B$22)+$AG37,28)+1)</f>
        <v>0</v>
      </c>
      <c r="N38" s="24">
        <f t="array" ref="N38">INDEX($B37:$AC37, MOD(COLUMN()-COLUMN($B$22)+$AG37,28)+1)</f>
        <v>1</v>
      </c>
      <c r="O38" s="24">
        <f t="array" ref="O38">INDEX($B37:$AC37, MOD(COLUMN()-COLUMN($B$22)+$AG37,28)+1)</f>
        <v>1</v>
      </c>
      <c r="P38" s="24">
        <f t="array" ref="P38">INDEX($B37:$AC37, MOD(COLUMN()-COLUMN($B$22)+$AG37,28)+1)</f>
        <v>0</v>
      </c>
      <c r="Q38" s="24">
        <f t="array" ref="Q38">INDEX($B37:$AC37, MOD(COLUMN()-COLUMN($B$22)+$AG37,28)+1)</f>
        <v>0</v>
      </c>
      <c r="R38" s="24">
        <f t="array" ref="R38">INDEX($B37:$AC37, MOD(COLUMN()-COLUMN($B$22)+$AG37,28)+1)</f>
        <v>1</v>
      </c>
      <c r="S38" s="24">
        <f t="array" ref="S38">INDEX($B37:$AC37, MOD(COLUMN()-COLUMN($B$22)+$AG37,28)+1)</f>
        <v>0</v>
      </c>
      <c r="T38" s="24">
        <f t="array" ref="T38">INDEX($B37:$AC37, MOD(COLUMN()-COLUMN($B$22)+$AG37,28)+1)</f>
        <v>1</v>
      </c>
      <c r="U38" s="24">
        <f t="array" ref="U38">INDEX($B37:$AC37, MOD(COLUMN()-COLUMN($B$22)+$AG37,28)+1)</f>
        <v>0</v>
      </c>
      <c r="V38" s="24">
        <f t="array" ref="V38">INDEX($B37:$AC37, MOD(COLUMN()-COLUMN($B$22)+$AG37,28)+1)</f>
        <v>1</v>
      </c>
      <c r="W38" s="24">
        <f t="array" ref="W38">INDEX($B37:$AC37, MOD(COLUMN()-COLUMN($B$22)+$AG37,28)+1)</f>
        <v>0</v>
      </c>
      <c r="X38" s="24">
        <f t="array" ref="X38">INDEX($B37:$AC37, MOD(COLUMN()-COLUMN($B$22)+$AG37,28)+1)</f>
        <v>1</v>
      </c>
      <c r="Y38" s="24">
        <f t="array" ref="Y38">INDEX($B37:$AC37, MOD(COLUMN()-COLUMN($B$22)+$AG37,28)+1)</f>
        <v>0</v>
      </c>
      <c r="Z38" s="24">
        <f t="array" ref="Z38">INDEX($B37:$AC37, MOD(COLUMN()-COLUMN($B$22)+$AG37,28)+1)</f>
        <v>1</v>
      </c>
      <c r="AA38" s="24">
        <f t="array" ref="AA38">INDEX($B37:$AC37, MOD(COLUMN()-COLUMN($B$22)+$AG37,28)+1)</f>
        <v>0</v>
      </c>
      <c r="AB38" s="24">
        <f t="array" ref="AB38">INDEX($B37:$AC37, MOD(COLUMN()-COLUMN($B$22)+$AG37,28)+1)</f>
        <v>1</v>
      </c>
      <c r="AC38" s="25">
        <f t="array" ref="AC38">INDEX($B37:$AC37, MOD(COLUMN()-COLUMN($B$22)+$AG37,28)+1)</f>
        <v>1</v>
      </c>
      <c r="AF38" s="38"/>
      <c r="AG38" s="38"/>
    </row>
    <row r="39" ht="18.75" customHeight="1"/>
    <row r="40" ht="18.75" customHeight="1">
      <c r="A40" s="29" t="s">
        <v>11</v>
      </c>
      <c r="B40" s="30">
        <f>AC21+1</f>
        <v>29</v>
      </c>
      <c r="C40" s="30">
        <f t="shared" ref="C40:AC40" si="8">B40+1</f>
        <v>30</v>
      </c>
      <c r="D40" s="30">
        <f t="shared" si="8"/>
        <v>31</v>
      </c>
      <c r="E40" s="30">
        <f t="shared" si="8"/>
        <v>32</v>
      </c>
      <c r="F40" s="30">
        <f t="shared" si="8"/>
        <v>33</v>
      </c>
      <c r="G40" s="30">
        <f t="shared" si="8"/>
        <v>34</v>
      </c>
      <c r="H40" s="30">
        <f t="shared" si="8"/>
        <v>35</v>
      </c>
      <c r="I40" s="30">
        <f t="shared" si="8"/>
        <v>36</v>
      </c>
      <c r="J40" s="30">
        <f t="shared" si="8"/>
        <v>37</v>
      </c>
      <c r="K40" s="30">
        <f t="shared" si="8"/>
        <v>38</v>
      </c>
      <c r="L40" s="30">
        <f t="shared" si="8"/>
        <v>39</v>
      </c>
      <c r="M40" s="30">
        <f t="shared" si="8"/>
        <v>40</v>
      </c>
      <c r="N40" s="30">
        <f t="shared" si="8"/>
        <v>41</v>
      </c>
      <c r="O40" s="30">
        <f t="shared" si="8"/>
        <v>42</v>
      </c>
      <c r="P40" s="30">
        <f t="shared" si="8"/>
        <v>43</v>
      </c>
      <c r="Q40" s="30">
        <f t="shared" si="8"/>
        <v>44</v>
      </c>
      <c r="R40" s="30">
        <f t="shared" si="8"/>
        <v>45</v>
      </c>
      <c r="S40" s="30">
        <f t="shared" si="8"/>
        <v>46</v>
      </c>
      <c r="T40" s="30">
        <f t="shared" si="8"/>
        <v>47</v>
      </c>
      <c r="U40" s="30">
        <f t="shared" si="8"/>
        <v>48</v>
      </c>
      <c r="V40" s="30">
        <f t="shared" si="8"/>
        <v>49</v>
      </c>
      <c r="W40" s="30">
        <f t="shared" si="8"/>
        <v>50</v>
      </c>
      <c r="X40" s="30">
        <f t="shared" si="8"/>
        <v>51</v>
      </c>
      <c r="Y40" s="30">
        <f t="shared" si="8"/>
        <v>52</v>
      </c>
      <c r="Z40" s="30">
        <f t="shared" si="8"/>
        <v>53</v>
      </c>
      <c r="AA40" s="30">
        <f t="shared" si="8"/>
        <v>54</v>
      </c>
      <c r="AB40" s="30">
        <f t="shared" si="8"/>
        <v>55</v>
      </c>
      <c r="AC40" s="31">
        <f t="shared" si="8"/>
        <v>56</v>
      </c>
    </row>
    <row r="41" ht="18.75" customHeight="1">
      <c r="A41" s="34">
        <v>0.0</v>
      </c>
      <c r="B41" s="10">
        <v>1.0</v>
      </c>
      <c r="C41" s="10">
        <v>0.0</v>
      </c>
      <c r="D41" s="10">
        <v>1.0</v>
      </c>
      <c r="E41" s="10">
        <v>0.0</v>
      </c>
      <c r="F41" s="10">
        <v>1.0</v>
      </c>
      <c r="G41" s="10">
        <v>0.0</v>
      </c>
      <c r="H41" s="10">
        <v>1.0</v>
      </c>
      <c r="I41" s="10">
        <v>0.0</v>
      </c>
      <c r="J41" s="10">
        <v>1.0</v>
      </c>
      <c r="K41" s="10">
        <v>1.0</v>
      </c>
      <c r="L41" s="10">
        <v>0.0</v>
      </c>
      <c r="M41" s="10">
        <v>0.0</v>
      </c>
      <c r="N41" s="10">
        <v>1.0</v>
      </c>
      <c r="O41" s="10">
        <v>1.0</v>
      </c>
      <c r="P41" s="10">
        <v>0.0</v>
      </c>
      <c r="Q41" s="10">
        <v>0.0</v>
      </c>
      <c r="R41" s="10">
        <v>1.0</v>
      </c>
      <c r="S41" s="10">
        <v>1.0</v>
      </c>
      <c r="T41" s="10">
        <v>1.0</v>
      </c>
      <c r="U41" s="10">
        <v>1.0</v>
      </c>
      <c r="V41" s="10">
        <v>0.0</v>
      </c>
      <c r="W41" s="10">
        <v>0.0</v>
      </c>
      <c r="X41" s="10">
        <v>0.0</v>
      </c>
      <c r="Y41" s="10">
        <v>0.0</v>
      </c>
      <c r="Z41" s="10">
        <v>1.0</v>
      </c>
      <c r="AA41" s="10">
        <v>0.0</v>
      </c>
      <c r="AB41" s="10">
        <v>1.0</v>
      </c>
      <c r="AC41" s="11">
        <v>0.0</v>
      </c>
    </row>
    <row r="42" ht="18.75" customHeight="1">
      <c r="A42" s="34">
        <v>1.0</v>
      </c>
      <c r="B42" s="10">
        <f t="array" ref="B42">INDEX($B41:$AC41, MOD(COLUMN()-COLUMN($B$41)+$AG22,28)+1)</f>
        <v>0</v>
      </c>
      <c r="C42" s="10">
        <f t="array" ref="C42">INDEX($B41:$AC41, MOD(COLUMN()-COLUMN($B$41)+$AG22,28)+1)</f>
        <v>1</v>
      </c>
      <c r="D42" s="10">
        <f t="array" ref="D42">INDEX($B41:$AC41, MOD(COLUMN()-COLUMN($B$41)+$AG22,28)+1)</f>
        <v>0</v>
      </c>
      <c r="E42" s="10">
        <f t="array" ref="E42">INDEX($B41:$AC41, MOD(COLUMN()-COLUMN($B$41)+$AG22,28)+1)</f>
        <v>1</v>
      </c>
      <c r="F42" s="10">
        <f t="array" ref="F42">INDEX($B41:$AC41, MOD(COLUMN()-COLUMN($B$41)+$AG22,28)+1)</f>
        <v>0</v>
      </c>
      <c r="G42" s="10">
        <f t="array" ref="G42">INDEX($B41:$AC41, MOD(COLUMN()-COLUMN($B$41)+$AG22,28)+1)</f>
        <v>1</v>
      </c>
      <c r="H42" s="10">
        <f t="array" ref="H42">INDEX($B41:$AC41, MOD(COLUMN()-COLUMN($B$41)+$AG22,28)+1)</f>
        <v>0</v>
      </c>
      <c r="I42" s="10">
        <f t="array" ref="I42">INDEX($B41:$AC41, MOD(COLUMN()-COLUMN($B$41)+$AG22,28)+1)</f>
        <v>1</v>
      </c>
      <c r="J42" s="10">
        <f t="array" ref="J42">INDEX($B41:$AC41, MOD(COLUMN()-COLUMN($B$41)+$AG22,28)+1)</f>
        <v>1</v>
      </c>
      <c r="K42" s="10">
        <f t="array" ref="K42">INDEX($B41:$AC41, MOD(COLUMN()-COLUMN($B$41)+$AG22,28)+1)</f>
        <v>0</v>
      </c>
      <c r="L42" s="10">
        <f t="array" ref="L42">INDEX($B41:$AC41, MOD(COLUMN()-COLUMN($B$41)+$AG22,28)+1)</f>
        <v>0</v>
      </c>
      <c r="M42" s="10">
        <f t="array" ref="M42">INDEX($B41:$AC41, MOD(COLUMN()-COLUMN($B$41)+$AG22,28)+1)</f>
        <v>1</v>
      </c>
      <c r="N42" s="10">
        <f t="array" ref="N42">INDEX($B41:$AC41, MOD(COLUMN()-COLUMN($B$41)+$AG22,28)+1)</f>
        <v>1</v>
      </c>
      <c r="O42" s="10">
        <f t="array" ref="O42">INDEX($B41:$AC41, MOD(COLUMN()-COLUMN($B$41)+$AG22,28)+1)</f>
        <v>0</v>
      </c>
      <c r="P42" s="10">
        <f t="array" ref="P42">INDEX($B41:$AC41, MOD(COLUMN()-COLUMN($B$41)+$AG22,28)+1)</f>
        <v>0</v>
      </c>
      <c r="Q42" s="10">
        <f t="array" ref="Q42">INDEX($B41:$AC41, MOD(COLUMN()-COLUMN($B$41)+$AG22,28)+1)</f>
        <v>1</v>
      </c>
      <c r="R42" s="10">
        <f t="array" ref="R42">INDEX($B41:$AC41, MOD(COLUMN()-COLUMN($B$41)+$AG22,28)+1)</f>
        <v>1</v>
      </c>
      <c r="S42" s="10">
        <f t="array" ref="S42">INDEX($B41:$AC41, MOD(COLUMN()-COLUMN($B$41)+$AG22,28)+1)</f>
        <v>1</v>
      </c>
      <c r="T42" s="10">
        <f t="array" ref="T42">INDEX($B41:$AC41, MOD(COLUMN()-COLUMN($B$41)+$AG22,28)+1)</f>
        <v>1</v>
      </c>
      <c r="U42" s="10">
        <f t="array" ref="U42">INDEX($B41:$AC41, MOD(COLUMN()-COLUMN($B$41)+$AG22,28)+1)</f>
        <v>0</v>
      </c>
      <c r="V42" s="10">
        <f t="array" ref="V42">INDEX($B41:$AC41, MOD(COLUMN()-COLUMN($B$41)+$AG22,28)+1)</f>
        <v>0</v>
      </c>
      <c r="W42" s="10">
        <f t="array" ref="W42">INDEX($B41:$AC41, MOD(COLUMN()-COLUMN($B$41)+$AG22,28)+1)</f>
        <v>0</v>
      </c>
      <c r="X42" s="10">
        <f t="array" ref="X42">INDEX($B41:$AC41, MOD(COLUMN()-COLUMN($B$41)+$AG22,28)+1)</f>
        <v>0</v>
      </c>
      <c r="Y42" s="10">
        <f t="array" ref="Y42">INDEX($B41:$AC41, MOD(COLUMN()-COLUMN($B$41)+$AG22,28)+1)</f>
        <v>1</v>
      </c>
      <c r="Z42" s="10">
        <f t="array" ref="Z42">INDEX($B41:$AC41, MOD(COLUMN()-COLUMN($B$41)+$AG22,28)+1)</f>
        <v>0</v>
      </c>
      <c r="AA42" s="10">
        <f t="array" ref="AA42">INDEX($B41:$AC41, MOD(COLUMN()-COLUMN($B$41)+$AG22,28)+1)</f>
        <v>1</v>
      </c>
      <c r="AB42" s="10">
        <f t="array" ref="AB42">INDEX($B41:$AC41, MOD(COLUMN()-COLUMN($B$41)+$AG22,28)+1)</f>
        <v>0</v>
      </c>
      <c r="AC42" s="11">
        <f t="array" ref="AC42">INDEX($B41:$AC41, MOD(COLUMN()-COLUMN($B$41)+$AG22,28)+1)</f>
        <v>1</v>
      </c>
    </row>
    <row r="43" ht="18.75" customHeight="1">
      <c r="A43" s="34">
        <f t="shared" ref="A43:A57" si="9"> A42 + 1</f>
        <v>2</v>
      </c>
      <c r="B43" s="10">
        <f t="array" ref="B43">INDEX($B42:$AC42, MOD(COLUMN()-COLUMN($B$41)+$AG23,28)+1)</f>
        <v>1</v>
      </c>
      <c r="C43" s="10">
        <f t="array" ref="C43">INDEX($B42:$AC42, MOD(COLUMN()-COLUMN($B$41)+$AG23,28)+1)</f>
        <v>0</v>
      </c>
      <c r="D43" s="10">
        <f t="array" ref="D43">INDEX($B42:$AC42, MOD(COLUMN()-COLUMN($B$41)+$AG23,28)+1)</f>
        <v>1</v>
      </c>
      <c r="E43" s="10">
        <f t="array" ref="E43">INDEX($B42:$AC42, MOD(COLUMN()-COLUMN($B$41)+$AG23,28)+1)</f>
        <v>0</v>
      </c>
      <c r="F43" s="10">
        <f t="array" ref="F43">INDEX($B42:$AC42, MOD(COLUMN()-COLUMN($B$41)+$AG23,28)+1)</f>
        <v>1</v>
      </c>
      <c r="G43" s="10">
        <f t="array" ref="G43">INDEX($B42:$AC42, MOD(COLUMN()-COLUMN($B$41)+$AG23,28)+1)</f>
        <v>0</v>
      </c>
      <c r="H43" s="10">
        <f t="array" ref="H43">INDEX($B42:$AC42, MOD(COLUMN()-COLUMN($B$41)+$AG23,28)+1)</f>
        <v>1</v>
      </c>
      <c r="I43" s="10">
        <f t="array" ref="I43">INDEX($B42:$AC42, MOD(COLUMN()-COLUMN($B$41)+$AG23,28)+1)</f>
        <v>1</v>
      </c>
      <c r="J43" s="10">
        <f t="array" ref="J43">INDEX($B42:$AC42, MOD(COLUMN()-COLUMN($B$41)+$AG23,28)+1)</f>
        <v>0</v>
      </c>
      <c r="K43" s="10">
        <f t="array" ref="K43">INDEX($B42:$AC42, MOD(COLUMN()-COLUMN($B$41)+$AG23,28)+1)</f>
        <v>0</v>
      </c>
      <c r="L43" s="10">
        <f t="array" ref="L43">INDEX($B42:$AC42, MOD(COLUMN()-COLUMN($B$41)+$AG23,28)+1)</f>
        <v>1</v>
      </c>
      <c r="M43" s="10">
        <f t="array" ref="M43">INDEX($B42:$AC42, MOD(COLUMN()-COLUMN($B$41)+$AG23,28)+1)</f>
        <v>1</v>
      </c>
      <c r="N43" s="10">
        <f t="array" ref="N43">INDEX($B42:$AC42, MOD(COLUMN()-COLUMN($B$41)+$AG23,28)+1)</f>
        <v>0</v>
      </c>
      <c r="O43" s="10">
        <f t="array" ref="O43">INDEX($B42:$AC42, MOD(COLUMN()-COLUMN($B$41)+$AG23,28)+1)</f>
        <v>0</v>
      </c>
      <c r="P43" s="10">
        <f t="array" ref="P43">INDEX($B42:$AC42, MOD(COLUMN()-COLUMN($B$41)+$AG23,28)+1)</f>
        <v>1</v>
      </c>
      <c r="Q43" s="10">
        <f t="array" ref="Q43">INDEX($B42:$AC42, MOD(COLUMN()-COLUMN($B$41)+$AG23,28)+1)</f>
        <v>1</v>
      </c>
      <c r="R43" s="10">
        <f t="array" ref="R43">INDEX($B42:$AC42, MOD(COLUMN()-COLUMN($B$41)+$AG23,28)+1)</f>
        <v>1</v>
      </c>
      <c r="S43" s="10">
        <f t="array" ref="S43">INDEX($B42:$AC42, MOD(COLUMN()-COLUMN($B$41)+$AG23,28)+1)</f>
        <v>1</v>
      </c>
      <c r="T43" s="10">
        <f t="array" ref="T43">INDEX($B42:$AC42, MOD(COLUMN()-COLUMN($B$41)+$AG23,28)+1)</f>
        <v>0</v>
      </c>
      <c r="U43" s="10">
        <f t="array" ref="U43">INDEX($B42:$AC42, MOD(COLUMN()-COLUMN($B$41)+$AG23,28)+1)</f>
        <v>0</v>
      </c>
      <c r="V43" s="10">
        <f t="array" ref="V43">INDEX($B42:$AC42, MOD(COLUMN()-COLUMN($B$41)+$AG23,28)+1)</f>
        <v>0</v>
      </c>
      <c r="W43" s="10">
        <f t="array" ref="W43">INDEX($B42:$AC42, MOD(COLUMN()-COLUMN($B$41)+$AG23,28)+1)</f>
        <v>0</v>
      </c>
      <c r="X43" s="10">
        <f t="array" ref="X43">INDEX($B42:$AC42, MOD(COLUMN()-COLUMN($B$41)+$AG23,28)+1)</f>
        <v>1</v>
      </c>
      <c r="Y43" s="10">
        <f t="array" ref="Y43">INDEX($B42:$AC42, MOD(COLUMN()-COLUMN($B$41)+$AG23,28)+1)</f>
        <v>0</v>
      </c>
      <c r="Z43" s="10">
        <f t="array" ref="Z43">INDEX($B42:$AC42, MOD(COLUMN()-COLUMN($B$41)+$AG23,28)+1)</f>
        <v>1</v>
      </c>
      <c r="AA43" s="10">
        <f t="array" ref="AA43">INDEX($B42:$AC42, MOD(COLUMN()-COLUMN($B$41)+$AG23,28)+1)</f>
        <v>0</v>
      </c>
      <c r="AB43" s="10">
        <f t="array" ref="AB43">INDEX($B42:$AC42, MOD(COLUMN()-COLUMN($B$41)+$AG23,28)+1)</f>
        <v>1</v>
      </c>
      <c r="AC43" s="11">
        <f t="array" ref="AC43">INDEX($B42:$AC42, MOD(COLUMN()-COLUMN($B$41)+$AG23,28)+1)</f>
        <v>0</v>
      </c>
    </row>
    <row r="44" ht="18.75" customHeight="1">
      <c r="A44" s="34">
        <f t="shared" si="9"/>
        <v>3</v>
      </c>
      <c r="B44" s="10">
        <f t="array" ref="B44">INDEX($B43:$AC43, MOD(COLUMN()-COLUMN($B$41)+$AG24,28)+1)</f>
        <v>1</v>
      </c>
      <c r="C44" s="10">
        <f t="array" ref="C44">INDEX($B43:$AC43, MOD(COLUMN()-COLUMN($B$41)+$AG24,28)+1)</f>
        <v>0</v>
      </c>
      <c r="D44" s="10">
        <f t="array" ref="D44">INDEX($B43:$AC43, MOD(COLUMN()-COLUMN($B$41)+$AG24,28)+1)</f>
        <v>1</v>
      </c>
      <c r="E44" s="10">
        <f t="array" ref="E44">INDEX($B43:$AC43, MOD(COLUMN()-COLUMN($B$41)+$AG24,28)+1)</f>
        <v>0</v>
      </c>
      <c r="F44" s="10">
        <f t="array" ref="F44">INDEX($B43:$AC43, MOD(COLUMN()-COLUMN($B$41)+$AG24,28)+1)</f>
        <v>1</v>
      </c>
      <c r="G44" s="10">
        <f t="array" ref="G44">INDEX($B43:$AC43, MOD(COLUMN()-COLUMN($B$41)+$AG24,28)+1)</f>
        <v>1</v>
      </c>
      <c r="H44" s="10">
        <f t="array" ref="H44">INDEX($B43:$AC43, MOD(COLUMN()-COLUMN($B$41)+$AG24,28)+1)</f>
        <v>0</v>
      </c>
      <c r="I44" s="10">
        <f t="array" ref="I44">INDEX($B43:$AC43, MOD(COLUMN()-COLUMN($B$41)+$AG24,28)+1)</f>
        <v>0</v>
      </c>
      <c r="J44" s="10">
        <f t="array" ref="J44">INDEX($B43:$AC43, MOD(COLUMN()-COLUMN($B$41)+$AG24,28)+1)</f>
        <v>1</v>
      </c>
      <c r="K44" s="10">
        <f t="array" ref="K44">INDEX($B43:$AC43, MOD(COLUMN()-COLUMN($B$41)+$AG24,28)+1)</f>
        <v>1</v>
      </c>
      <c r="L44" s="10">
        <f t="array" ref="L44">INDEX($B43:$AC43, MOD(COLUMN()-COLUMN($B$41)+$AG24,28)+1)</f>
        <v>0</v>
      </c>
      <c r="M44" s="10">
        <f t="array" ref="M44">INDEX($B43:$AC43, MOD(COLUMN()-COLUMN($B$41)+$AG24,28)+1)</f>
        <v>0</v>
      </c>
      <c r="N44" s="10">
        <f t="array" ref="N44">INDEX($B43:$AC43, MOD(COLUMN()-COLUMN($B$41)+$AG24,28)+1)</f>
        <v>1</v>
      </c>
      <c r="O44" s="10">
        <f t="array" ref="O44">INDEX($B43:$AC43, MOD(COLUMN()-COLUMN($B$41)+$AG24,28)+1)</f>
        <v>1</v>
      </c>
      <c r="P44" s="10">
        <f t="array" ref="P44">INDEX($B43:$AC43, MOD(COLUMN()-COLUMN($B$41)+$AG24,28)+1)</f>
        <v>1</v>
      </c>
      <c r="Q44" s="10">
        <f t="array" ref="Q44">INDEX($B43:$AC43, MOD(COLUMN()-COLUMN($B$41)+$AG24,28)+1)</f>
        <v>1</v>
      </c>
      <c r="R44" s="10">
        <f t="array" ref="R44">INDEX($B43:$AC43, MOD(COLUMN()-COLUMN($B$41)+$AG24,28)+1)</f>
        <v>0</v>
      </c>
      <c r="S44" s="10">
        <f t="array" ref="S44">INDEX($B43:$AC43, MOD(COLUMN()-COLUMN($B$41)+$AG24,28)+1)</f>
        <v>0</v>
      </c>
      <c r="T44" s="10">
        <f t="array" ref="T44">INDEX($B43:$AC43, MOD(COLUMN()-COLUMN($B$41)+$AG24,28)+1)</f>
        <v>0</v>
      </c>
      <c r="U44" s="10">
        <f t="array" ref="U44">INDEX($B43:$AC43, MOD(COLUMN()-COLUMN($B$41)+$AG24,28)+1)</f>
        <v>0</v>
      </c>
      <c r="V44" s="10">
        <f t="array" ref="V44">INDEX($B43:$AC43, MOD(COLUMN()-COLUMN($B$41)+$AG24,28)+1)</f>
        <v>1</v>
      </c>
      <c r="W44" s="10">
        <f t="array" ref="W44">INDEX($B43:$AC43, MOD(COLUMN()-COLUMN($B$41)+$AG24,28)+1)</f>
        <v>0</v>
      </c>
      <c r="X44" s="10">
        <f t="array" ref="X44">INDEX($B43:$AC43, MOD(COLUMN()-COLUMN($B$41)+$AG24,28)+1)</f>
        <v>1</v>
      </c>
      <c r="Y44" s="10">
        <f t="array" ref="Y44">INDEX($B43:$AC43, MOD(COLUMN()-COLUMN($B$41)+$AG24,28)+1)</f>
        <v>0</v>
      </c>
      <c r="Z44" s="10">
        <f t="array" ref="Z44">INDEX($B43:$AC43, MOD(COLUMN()-COLUMN($B$41)+$AG24,28)+1)</f>
        <v>1</v>
      </c>
      <c r="AA44" s="10">
        <f t="array" ref="AA44">INDEX($B43:$AC43, MOD(COLUMN()-COLUMN($B$41)+$AG24,28)+1)</f>
        <v>0</v>
      </c>
      <c r="AB44" s="10">
        <f t="array" ref="AB44">INDEX($B43:$AC43, MOD(COLUMN()-COLUMN($B$41)+$AG24,28)+1)</f>
        <v>1</v>
      </c>
      <c r="AC44" s="11">
        <f t="array" ref="AC44">INDEX($B43:$AC43, MOD(COLUMN()-COLUMN($B$41)+$AG24,28)+1)</f>
        <v>0</v>
      </c>
    </row>
    <row r="45" ht="18.75" customHeight="1">
      <c r="A45" s="34">
        <f t="shared" si="9"/>
        <v>4</v>
      </c>
      <c r="B45" s="10">
        <f t="array" ref="B45">INDEX($B44:$AC44, MOD(COLUMN()-COLUMN($B$41)+$AG25,28)+1)</f>
        <v>1</v>
      </c>
      <c r="C45" s="10">
        <f t="array" ref="C45">INDEX($B44:$AC44, MOD(COLUMN()-COLUMN($B$41)+$AG25,28)+1)</f>
        <v>0</v>
      </c>
      <c r="D45" s="10">
        <f t="array" ref="D45">INDEX($B44:$AC44, MOD(COLUMN()-COLUMN($B$41)+$AG25,28)+1)</f>
        <v>1</v>
      </c>
      <c r="E45" s="10">
        <f t="array" ref="E45">INDEX($B44:$AC44, MOD(COLUMN()-COLUMN($B$41)+$AG25,28)+1)</f>
        <v>1</v>
      </c>
      <c r="F45" s="10">
        <f t="array" ref="F45">INDEX($B44:$AC44, MOD(COLUMN()-COLUMN($B$41)+$AG25,28)+1)</f>
        <v>0</v>
      </c>
      <c r="G45" s="10">
        <f t="array" ref="G45">INDEX($B44:$AC44, MOD(COLUMN()-COLUMN($B$41)+$AG25,28)+1)</f>
        <v>0</v>
      </c>
      <c r="H45" s="10">
        <f t="array" ref="H45">INDEX($B44:$AC44, MOD(COLUMN()-COLUMN($B$41)+$AG25,28)+1)</f>
        <v>1</v>
      </c>
      <c r="I45" s="10">
        <f t="array" ref="I45">INDEX($B44:$AC44, MOD(COLUMN()-COLUMN($B$41)+$AG25,28)+1)</f>
        <v>1</v>
      </c>
      <c r="J45" s="10">
        <f t="array" ref="J45">INDEX($B44:$AC44, MOD(COLUMN()-COLUMN($B$41)+$AG25,28)+1)</f>
        <v>0</v>
      </c>
      <c r="K45" s="10">
        <f t="array" ref="K45">INDEX($B44:$AC44, MOD(COLUMN()-COLUMN($B$41)+$AG25,28)+1)</f>
        <v>0</v>
      </c>
      <c r="L45" s="10">
        <f t="array" ref="L45">INDEX($B44:$AC44, MOD(COLUMN()-COLUMN($B$41)+$AG25,28)+1)</f>
        <v>1</v>
      </c>
      <c r="M45" s="10">
        <f t="array" ref="M45">INDEX($B44:$AC44, MOD(COLUMN()-COLUMN($B$41)+$AG25,28)+1)</f>
        <v>1</v>
      </c>
      <c r="N45" s="10">
        <f t="array" ref="N45">INDEX($B44:$AC44, MOD(COLUMN()-COLUMN($B$41)+$AG25,28)+1)</f>
        <v>1</v>
      </c>
      <c r="O45" s="10">
        <f t="array" ref="O45">INDEX($B44:$AC44, MOD(COLUMN()-COLUMN($B$41)+$AG25,28)+1)</f>
        <v>1</v>
      </c>
      <c r="P45" s="10">
        <f t="array" ref="P45">INDEX($B44:$AC44, MOD(COLUMN()-COLUMN($B$41)+$AG25,28)+1)</f>
        <v>0</v>
      </c>
      <c r="Q45" s="10">
        <f t="array" ref="Q45">INDEX($B44:$AC44, MOD(COLUMN()-COLUMN($B$41)+$AG25,28)+1)</f>
        <v>0</v>
      </c>
      <c r="R45" s="10">
        <f t="array" ref="R45">INDEX($B44:$AC44, MOD(COLUMN()-COLUMN($B$41)+$AG25,28)+1)</f>
        <v>0</v>
      </c>
      <c r="S45" s="10">
        <f t="array" ref="S45">INDEX($B44:$AC44, MOD(COLUMN()-COLUMN($B$41)+$AG25,28)+1)</f>
        <v>0</v>
      </c>
      <c r="T45" s="10">
        <f t="array" ref="T45">INDEX($B44:$AC44, MOD(COLUMN()-COLUMN($B$41)+$AG25,28)+1)</f>
        <v>1</v>
      </c>
      <c r="U45" s="10">
        <f t="array" ref="U45">INDEX($B44:$AC44, MOD(COLUMN()-COLUMN($B$41)+$AG25,28)+1)</f>
        <v>0</v>
      </c>
      <c r="V45" s="10">
        <f t="array" ref="V45">INDEX($B44:$AC44, MOD(COLUMN()-COLUMN($B$41)+$AG25,28)+1)</f>
        <v>1</v>
      </c>
      <c r="W45" s="10">
        <f t="array" ref="W45">INDEX($B44:$AC44, MOD(COLUMN()-COLUMN($B$41)+$AG25,28)+1)</f>
        <v>0</v>
      </c>
      <c r="X45" s="10">
        <f t="array" ref="X45">INDEX($B44:$AC44, MOD(COLUMN()-COLUMN($B$41)+$AG25,28)+1)</f>
        <v>1</v>
      </c>
      <c r="Y45" s="10">
        <f t="array" ref="Y45">INDEX($B44:$AC44, MOD(COLUMN()-COLUMN($B$41)+$AG25,28)+1)</f>
        <v>0</v>
      </c>
      <c r="Z45" s="10">
        <f t="array" ref="Z45">INDEX($B44:$AC44, MOD(COLUMN()-COLUMN($B$41)+$AG25,28)+1)</f>
        <v>1</v>
      </c>
      <c r="AA45" s="10">
        <f t="array" ref="AA45">INDEX($B44:$AC44, MOD(COLUMN()-COLUMN($B$41)+$AG25,28)+1)</f>
        <v>0</v>
      </c>
      <c r="AB45" s="10">
        <f t="array" ref="AB45">INDEX($B44:$AC44, MOD(COLUMN()-COLUMN($B$41)+$AG25,28)+1)</f>
        <v>1</v>
      </c>
      <c r="AC45" s="11">
        <f t="array" ref="AC45">INDEX($B44:$AC44, MOD(COLUMN()-COLUMN($B$41)+$AG25,28)+1)</f>
        <v>0</v>
      </c>
    </row>
    <row r="46" ht="18.75" customHeight="1">
      <c r="A46" s="34">
        <f t="shared" si="9"/>
        <v>5</v>
      </c>
      <c r="B46" s="10">
        <f t="array" ref="B46">INDEX($B45:$AC45, MOD(COLUMN()-COLUMN($B$41)+$AG26,28)+1)</f>
        <v>1</v>
      </c>
      <c r="C46" s="10">
        <f t="array" ref="C46">INDEX($B45:$AC45, MOD(COLUMN()-COLUMN($B$41)+$AG26,28)+1)</f>
        <v>1</v>
      </c>
      <c r="D46" s="10">
        <f t="array" ref="D46">INDEX($B45:$AC45, MOD(COLUMN()-COLUMN($B$41)+$AG26,28)+1)</f>
        <v>0</v>
      </c>
      <c r="E46" s="10">
        <f t="array" ref="E46">INDEX($B45:$AC45, MOD(COLUMN()-COLUMN($B$41)+$AG26,28)+1)</f>
        <v>0</v>
      </c>
      <c r="F46" s="10">
        <f t="array" ref="F46">INDEX($B45:$AC45, MOD(COLUMN()-COLUMN($B$41)+$AG26,28)+1)</f>
        <v>1</v>
      </c>
      <c r="G46" s="10">
        <f t="array" ref="G46">INDEX($B45:$AC45, MOD(COLUMN()-COLUMN($B$41)+$AG26,28)+1)</f>
        <v>1</v>
      </c>
      <c r="H46" s="10">
        <f t="array" ref="H46">INDEX($B45:$AC45, MOD(COLUMN()-COLUMN($B$41)+$AG26,28)+1)</f>
        <v>0</v>
      </c>
      <c r="I46" s="10">
        <f t="array" ref="I46">INDEX($B45:$AC45, MOD(COLUMN()-COLUMN($B$41)+$AG26,28)+1)</f>
        <v>0</v>
      </c>
      <c r="J46" s="10">
        <f t="array" ref="J46">INDEX($B45:$AC45, MOD(COLUMN()-COLUMN($B$41)+$AG26,28)+1)</f>
        <v>1</v>
      </c>
      <c r="K46" s="10">
        <f t="array" ref="K46">INDEX($B45:$AC45, MOD(COLUMN()-COLUMN($B$41)+$AG26,28)+1)</f>
        <v>1</v>
      </c>
      <c r="L46" s="10">
        <f t="array" ref="L46">INDEX($B45:$AC45, MOD(COLUMN()-COLUMN($B$41)+$AG26,28)+1)</f>
        <v>1</v>
      </c>
      <c r="M46" s="10">
        <f t="array" ref="M46">INDEX($B45:$AC45, MOD(COLUMN()-COLUMN($B$41)+$AG26,28)+1)</f>
        <v>1</v>
      </c>
      <c r="N46" s="10">
        <f t="array" ref="N46">INDEX($B45:$AC45, MOD(COLUMN()-COLUMN($B$41)+$AG26,28)+1)</f>
        <v>0</v>
      </c>
      <c r="O46" s="10">
        <f t="array" ref="O46">INDEX($B45:$AC45, MOD(COLUMN()-COLUMN($B$41)+$AG26,28)+1)</f>
        <v>0</v>
      </c>
      <c r="P46" s="10">
        <f t="array" ref="P46">INDEX($B45:$AC45, MOD(COLUMN()-COLUMN($B$41)+$AG26,28)+1)</f>
        <v>0</v>
      </c>
      <c r="Q46" s="10">
        <f t="array" ref="Q46">INDEX($B45:$AC45, MOD(COLUMN()-COLUMN($B$41)+$AG26,28)+1)</f>
        <v>0</v>
      </c>
      <c r="R46" s="10">
        <f t="array" ref="R46">INDEX($B45:$AC45, MOD(COLUMN()-COLUMN($B$41)+$AG26,28)+1)</f>
        <v>1</v>
      </c>
      <c r="S46" s="10">
        <f t="array" ref="S46">INDEX($B45:$AC45, MOD(COLUMN()-COLUMN($B$41)+$AG26,28)+1)</f>
        <v>0</v>
      </c>
      <c r="T46" s="10">
        <f t="array" ref="T46">INDEX($B45:$AC45, MOD(COLUMN()-COLUMN($B$41)+$AG26,28)+1)</f>
        <v>1</v>
      </c>
      <c r="U46" s="10">
        <f t="array" ref="U46">INDEX($B45:$AC45, MOD(COLUMN()-COLUMN($B$41)+$AG26,28)+1)</f>
        <v>0</v>
      </c>
      <c r="V46" s="10">
        <f t="array" ref="V46">INDEX($B45:$AC45, MOD(COLUMN()-COLUMN($B$41)+$AG26,28)+1)</f>
        <v>1</v>
      </c>
      <c r="W46" s="10">
        <f t="array" ref="W46">INDEX($B45:$AC45, MOD(COLUMN()-COLUMN($B$41)+$AG26,28)+1)</f>
        <v>0</v>
      </c>
      <c r="X46" s="10">
        <f t="array" ref="X46">INDEX($B45:$AC45, MOD(COLUMN()-COLUMN($B$41)+$AG26,28)+1)</f>
        <v>1</v>
      </c>
      <c r="Y46" s="10">
        <f t="array" ref="Y46">INDEX($B45:$AC45, MOD(COLUMN()-COLUMN($B$41)+$AG26,28)+1)</f>
        <v>0</v>
      </c>
      <c r="Z46" s="10">
        <f t="array" ref="Z46">INDEX($B45:$AC45, MOD(COLUMN()-COLUMN($B$41)+$AG26,28)+1)</f>
        <v>1</v>
      </c>
      <c r="AA46" s="10">
        <f t="array" ref="AA46">INDEX($B45:$AC45, MOD(COLUMN()-COLUMN($B$41)+$AG26,28)+1)</f>
        <v>0</v>
      </c>
      <c r="AB46" s="10">
        <f t="array" ref="AB46">INDEX($B45:$AC45, MOD(COLUMN()-COLUMN($B$41)+$AG26,28)+1)</f>
        <v>1</v>
      </c>
      <c r="AC46" s="11">
        <f t="array" ref="AC46">INDEX($B45:$AC45, MOD(COLUMN()-COLUMN($B$41)+$AG26,28)+1)</f>
        <v>0</v>
      </c>
    </row>
    <row r="47" ht="18.75" customHeight="1">
      <c r="A47" s="34">
        <f t="shared" si="9"/>
        <v>6</v>
      </c>
      <c r="B47" s="10">
        <f t="array" ref="B47">INDEX($B46:$AC46, MOD(COLUMN()-COLUMN($B$41)+$AG27,28)+1)</f>
        <v>0</v>
      </c>
      <c r="C47" s="10">
        <f t="array" ref="C47">INDEX($B46:$AC46, MOD(COLUMN()-COLUMN($B$41)+$AG27,28)+1)</f>
        <v>0</v>
      </c>
      <c r="D47" s="10">
        <f t="array" ref="D47">INDEX($B46:$AC46, MOD(COLUMN()-COLUMN($B$41)+$AG27,28)+1)</f>
        <v>1</v>
      </c>
      <c r="E47" s="10">
        <f t="array" ref="E47">INDEX($B46:$AC46, MOD(COLUMN()-COLUMN($B$41)+$AG27,28)+1)</f>
        <v>1</v>
      </c>
      <c r="F47" s="10">
        <f t="array" ref="F47">INDEX($B46:$AC46, MOD(COLUMN()-COLUMN($B$41)+$AG27,28)+1)</f>
        <v>0</v>
      </c>
      <c r="G47" s="10">
        <f t="array" ref="G47">INDEX($B46:$AC46, MOD(COLUMN()-COLUMN($B$41)+$AG27,28)+1)</f>
        <v>0</v>
      </c>
      <c r="H47" s="10">
        <f t="array" ref="H47">INDEX($B46:$AC46, MOD(COLUMN()-COLUMN($B$41)+$AG27,28)+1)</f>
        <v>1</v>
      </c>
      <c r="I47" s="10">
        <f t="array" ref="I47">INDEX($B46:$AC46, MOD(COLUMN()-COLUMN($B$41)+$AG27,28)+1)</f>
        <v>1</v>
      </c>
      <c r="J47" s="10">
        <f t="array" ref="J47">INDEX($B46:$AC46, MOD(COLUMN()-COLUMN($B$41)+$AG27,28)+1)</f>
        <v>1</v>
      </c>
      <c r="K47" s="10">
        <f t="array" ref="K47">INDEX($B46:$AC46, MOD(COLUMN()-COLUMN($B$41)+$AG27,28)+1)</f>
        <v>1</v>
      </c>
      <c r="L47" s="10">
        <f t="array" ref="L47">INDEX($B46:$AC46, MOD(COLUMN()-COLUMN($B$41)+$AG27,28)+1)</f>
        <v>0</v>
      </c>
      <c r="M47" s="10">
        <f t="array" ref="M47">INDEX($B46:$AC46, MOD(COLUMN()-COLUMN($B$41)+$AG27,28)+1)</f>
        <v>0</v>
      </c>
      <c r="N47" s="10">
        <f t="array" ref="N47">INDEX($B46:$AC46, MOD(COLUMN()-COLUMN($B$41)+$AG27,28)+1)</f>
        <v>0</v>
      </c>
      <c r="O47" s="10">
        <f t="array" ref="O47">INDEX($B46:$AC46, MOD(COLUMN()-COLUMN($B$41)+$AG27,28)+1)</f>
        <v>0</v>
      </c>
      <c r="P47" s="10">
        <f t="array" ref="P47">INDEX($B46:$AC46, MOD(COLUMN()-COLUMN($B$41)+$AG27,28)+1)</f>
        <v>1</v>
      </c>
      <c r="Q47" s="10">
        <f t="array" ref="Q47">INDEX($B46:$AC46, MOD(COLUMN()-COLUMN($B$41)+$AG27,28)+1)</f>
        <v>0</v>
      </c>
      <c r="R47" s="10">
        <f t="array" ref="R47">INDEX($B46:$AC46, MOD(COLUMN()-COLUMN($B$41)+$AG27,28)+1)</f>
        <v>1</v>
      </c>
      <c r="S47" s="10">
        <f t="array" ref="S47">INDEX($B46:$AC46, MOD(COLUMN()-COLUMN($B$41)+$AG27,28)+1)</f>
        <v>0</v>
      </c>
      <c r="T47" s="10">
        <f t="array" ref="T47">INDEX($B46:$AC46, MOD(COLUMN()-COLUMN($B$41)+$AG27,28)+1)</f>
        <v>1</v>
      </c>
      <c r="U47" s="10">
        <f t="array" ref="U47">INDEX($B46:$AC46, MOD(COLUMN()-COLUMN($B$41)+$AG27,28)+1)</f>
        <v>0</v>
      </c>
      <c r="V47" s="10">
        <f t="array" ref="V47">INDEX($B46:$AC46, MOD(COLUMN()-COLUMN($B$41)+$AG27,28)+1)</f>
        <v>1</v>
      </c>
      <c r="W47" s="10">
        <f t="array" ref="W47">INDEX($B46:$AC46, MOD(COLUMN()-COLUMN($B$41)+$AG27,28)+1)</f>
        <v>0</v>
      </c>
      <c r="X47" s="10">
        <f t="array" ref="X47">INDEX($B46:$AC46, MOD(COLUMN()-COLUMN($B$41)+$AG27,28)+1)</f>
        <v>1</v>
      </c>
      <c r="Y47" s="10">
        <f t="array" ref="Y47">INDEX($B46:$AC46, MOD(COLUMN()-COLUMN($B$41)+$AG27,28)+1)</f>
        <v>0</v>
      </c>
      <c r="Z47" s="10">
        <f t="array" ref="Z47">INDEX($B46:$AC46, MOD(COLUMN()-COLUMN($B$41)+$AG27,28)+1)</f>
        <v>1</v>
      </c>
      <c r="AA47" s="10">
        <f t="array" ref="AA47">INDEX($B46:$AC46, MOD(COLUMN()-COLUMN($B$41)+$AG27,28)+1)</f>
        <v>0</v>
      </c>
      <c r="AB47" s="10">
        <f t="array" ref="AB47">INDEX($B46:$AC46, MOD(COLUMN()-COLUMN($B$41)+$AG27,28)+1)</f>
        <v>1</v>
      </c>
      <c r="AC47" s="11">
        <f t="array" ref="AC47">INDEX($B46:$AC46, MOD(COLUMN()-COLUMN($B$41)+$AG27,28)+1)</f>
        <v>1</v>
      </c>
    </row>
    <row r="48" ht="18.75" customHeight="1">
      <c r="A48" s="34">
        <f t="shared" si="9"/>
        <v>7</v>
      </c>
      <c r="B48" s="10">
        <f t="array" ref="B48">INDEX($B47:$AC47, MOD(COLUMN()-COLUMN($B$41)+$AG28,28)+1)</f>
        <v>1</v>
      </c>
      <c r="C48" s="10">
        <f t="array" ref="C48">INDEX($B47:$AC47, MOD(COLUMN()-COLUMN($B$41)+$AG28,28)+1)</f>
        <v>1</v>
      </c>
      <c r="D48" s="10">
        <f t="array" ref="D48">INDEX($B47:$AC47, MOD(COLUMN()-COLUMN($B$41)+$AG28,28)+1)</f>
        <v>0</v>
      </c>
      <c r="E48" s="10">
        <f t="array" ref="E48">INDEX($B47:$AC47, MOD(COLUMN()-COLUMN($B$41)+$AG28,28)+1)</f>
        <v>0</v>
      </c>
      <c r="F48" s="10">
        <f t="array" ref="F48">INDEX($B47:$AC47, MOD(COLUMN()-COLUMN($B$41)+$AG28,28)+1)</f>
        <v>1</v>
      </c>
      <c r="G48" s="10">
        <f t="array" ref="G48">INDEX($B47:$AC47, MOD(COLUMN()-COLUMN($B$41)+$AG28,28)+1)</f>
        <v>1</v>
      </c>
      <c r="H48" s="10">
        <f t="array" ref="H48">INDEX($B47:$AC47, MOD(COLUMN()-COLUMN($B$41)+$AG28,28)+1)</f>
        <v>1</v>
      </c>
      <c r="I48" s="10">
        <f t="array" ref="I48">INDEX($B47:$AC47, MOD(COLUMN()-COLUMN($B$41)+$AG28,28)+1)</f>
        <v>1</v>
      </c>
      <c r="J48" s="10">
        <f t="array" ref="J48">INDEX($B47:$AC47, MOD(COLUMN()-COLUMN($B$41)+$AG28,28)+1)</f>
        <v>0</v>
      </c>
      <c r="K48" s="10">
        <f t="array" ref="K48">INDEX($B47:$AC47, MOD(COLUMN()-COLUMN($B$41)+$AG28,28)+1)</f>
        <v>0</v>
      </c>
      <c r="L48" s="10">
        <f t="array" ref="L48">INDEX($B47:$AC47, MOD(COLUMN()-COLUMN($B$41)+$AG28,28)+1)</f>
        <v>0</v>
      </c>
      <c r="M48" s="10">
        <f t="array" ref="M48">INDEX($B47:$AC47, MOD(COLUMN()-COLUMN($B$41)+$AG28,28)+1)</f>
        <v>0</v>
      </c>
      <c r="N48" s="10">
        <f t="array" ref="N48">INDEX($B47:$AC47, MOD(COLUMN()-COLUMN($B$41)+$AG28,28)+1)</f>
        <v>1</v>
      </c>
      <c r="O48" s="10">
        <f t="array" ref="O48">INDEX($B47:$AC47, MOD(COLUMN()-COLUMN($B$41)+$AG28,28)+1)</f>
        <v>0</v>
      </c>
      <c r="P48" s="10">
        <f t="array" ref="P48">INDEX($B47:$AC47, MOD(COLUMN()-COLUMN($B$41)+$AG28,28)+1)</f>
        <v>1</v>
      </c>
      <c r="Q48" s="10">
        <f t="array" ref="Q48">INDEX($B47:$AC47, MOD(COLUMN()-COLUMN($B$41)+$AG28,28)+1)</f>
        <v>0</v>
      </c>
      <c r="R48" s="10">
        <f t="array" ref="R48">INDEX($B47:$AC47, MOD(COLUMN()-COLUMN($B$41)+$AG28,28)+1)</f>
        <v>1</v>
      </c>
      <c r="S48" s="10">
        <f t="array" ref="S48">INDEX($B47:$AC47, MOD(COLUMN()-COLUMN($B$41)+$AG28,28)+1)</f>
        <v>0</v>
      </c>
      <c r="T48" s="10">
        <f t="array" ref="T48">INDEX($B47:$AC47, MOD(COLUMN()-COLUMN($B$41)+$AG28,28)+1)</f>
        <v>1</v>
      </c>
      <c r="U48" s="10">
        <f t="array" ref="U48">INDEX($B47:$AC47, MOD(COLUMN()-COLUMN($B$41)+$AG28,28)+1)</f>
        <v>0</v>
      </c>
      <c r="V48" s="10">
        <f t="array" ref="V48">INDEX($B47:$AC47, MOD(COLUMN()-COLUMN($B$41)+$AG28,28)+1)</f>
        <v>1</v>
      </c>
      <c r="W48" s="10">
        <f t="array" ref="W48">INDEX($B47:$AC47, MOD(COLUMN()-COLUMN($B$41)+$AG28,28)+1)</f>
        <v>0</v>
      </c>
      <c r="X48" s="10">
        <f t="array" ref="X48">INDEX($B47:$AC47, MOD(COLUMN()-COLUMN($B$41)+$AG28,28)+1)</f>
        <v>1</v>
      </c>
      <c r="Y48" s="10">
        <f t="array" ref="Y48">INDEX($B47:$AC47, MOD(COLUMN()-COLUMN($B$41)+$AG28,28)+1)</f>
        <v>0</v>
      </c>
      <c r="Z48" s="10">
        <f t="array" ref="Z48">INDEX($B47:$AC47, MOD(COLUMN()-COLUMN($B$41)+$AG28,28)+1)</f>
        <v>1</v>
      </c>
      <c r="AA48" s="10">
        <f t="array" ref="AA48">INDEX($B47:$AC47, MOD(COLUMN()-COLUMN($B$41)+$AG28,28)+1)</f>
        <v>1</v>
      </c>
      <c r="AB48" s="10">
        <f t="array" ref="AB48">INDEX($B47:$AC47, MOD(COLUMN()-COLUMN($B$41)+$AG28,28)+1)</f>
        <v>0</v>
      </c>
      <c r="AC48" s="11">
        <f t="array" ref="AC48">INDEX($B47:$AC47, MOD(COLUMN()-COLUMN($B$41)+$AG28,28)+1)</f>
        <v>0</v>
      </c>
    </row>
    <row r="49" ht="18.75" customHeight="1">
      <c r="A49" s="34">
        <f t="shared" si="9"/>
        <v>8</v>
      </c>
      <c r="B49" s="10">
        <f t="array" ref="B49">INDEX($B48:$AC48, MOD(COLUMN()-COLUMN($B$41)+$AG29,28)+1)</f>
        <v>0</v>
      </c>
      <c r="C49" s="10">
        <f t="array" ref="C49">INDEX($B48:$AC48, MOD(COLUMN()-COLUMN($B$41)+$AG29,28)+1)</f>
        <v>0</v>
      </c>
      <c r="D49" s="10">
        <f t="array" ref="D49">INDEX($B48:$AC48, MOD(COLUMN()-COLUMN($B$41)+$AG29,28)+1)</f>
        <v>1</v>
      </c>
      <c r="E49" s="10">
        <f t="array" ref="E49">INDEX($B48:$AC48, MOD(COLUMN()-COLUMN($B$41)+$AG29,28)+1)</f>
        <v>1</v>
      </c>
      <c r="F49" s="10">
        <f t="array" ref="F49">INDEX($B48:$AC48, MOD(COLUMN()-COLUMN($B$41)+$AG29,28)+1)</f>
        <v>1</v>
      </c>
      <c r="G49" s="10">
        <f t="array" ref="G49">INDEX($B48:$AC48, MOD(COLUMN()-COLUMN($B$41)+$AG29,28)+1)</f>
        <v>1</v>
      </c>
      <c r="H49" s="10">
        <f t="array" ref="H49">INDEX($B48:$AC48, MOD(COLUMN()-COLUMN($B$41)+$AG29,28)+1)</f>
        <v>0</v>
      </c>
      <c r="I49" s="10">
        <f t="array" ref="I49">INDEX($B48:$AC48, MOD(COLUMN()-COLUMN($B$41)+$AG29,28)+1)</f>
        <v>0</v>
      </c>
      <c r="J49" s="10">
        <f t="array" ref="J49">INDEX($B48:$AC48, MOD(COLUMN()-COLUMN($B$41)+$AG29,28)+1)</f>
        <v>0</v>
      </c>
      <c r="K49" s="10">
        <f t="array" ref="K49">INDEX($B48:$AC48, MOD(COLUMN()-COLUMN($B$41)+$AG29,28)+1)</f>
        <v>0</v>
      </c>
      <c r="L49" s="10">
        <f t="array" ref="L49">INDEX($B48:$AC48, MOD(COLUMN()-COLUMN($B$41)+$AG29,28)+1)</f>
        <v>1</v>
      </c>
      <c r="M49" s="10">
        <f t="array" ref="M49">INDEX($B48:$AC48, MOD(COLUMN()-COLUMN($B$41)+$AG29,28)+1)</f>
        <v>0</v>
      </c>
      <c r="N49" s="10">
        <f t="array" ref="N49">INDEX($B48:$AC48, MOD(COLUMN()-COLUMN($B$41)+$AG29,28)+1)</f>
        <v>1</v>
      </c>
      <c r="O49" s="10">
        <f t="array" ref="O49">INDEX($B48:$AC48, MOD(COLUMN()-COLUMN($B$41)+$AG29,28)+1)</f>
        <v>0</v>
      </c>
      <c r="P49" s="10">
        <f t="array" ref="P49">INDEX($B48:$AC48, MOD(COLUMN()-COLUMN($B$41)+$AG29,28)+1)</f>
        <v>1</v>
      </c>
      <c r="Q49" s="10">
        <f t="array" ref="Q49">INDEX($B48:$AC48, MOD(COLUMN()-COLUMN($B$41)+$AG29,28)+1)</f>
        <v>0</v>
      </c>
      <c r="R49" s="10">
        <f t="array" ref="R49">INDEX($B48:$AC48, MOD(COLUMN()-COLUMN($B$41)+$AG29,28)+1)</f>
        <v>1</v>
      </c>
      <c r="S49" s="10">
        <f t="array" ref="S49">INDEX($B48:$AC48, MOD(COLUMN()-COLUMN($B$41)+$AG29,28)+1)</f>
        <v>0</v>
      </c>
      <c r="T49" s="10">
        <f t="array" ref="T49">INDEX($B48:$AC48, MOD(COLUMN()-COLUMN($B$41)+$AG29,28)+1)</f>
        <v>1</v>
      </c>
      <c r="U49" s="10">
        <f t="array" ref="U49">INDEX($B48:$AC48, MOD(COLUMN()-COLUMN($B$41)+$AG29,28)+1)</f>
        <v>0</v>
      </c>
      <c r="V49" s="10">
        <f t="array" ref="V49">INDEX($B48:$AC48, MOD(COLUMN()-COLUMN($B$41)+$AG29,28)+1)</f>
        <v>1</v>
      </c>
      <c r="W49" s="10">
        <f t="array" ref="W49">INDEX($B48:$AC48, MOD(COLUMN()-COLUMN($B$41)+$AG29,28)+1)</f>
        <v>0</v>
      </c>
      <c r="X49" s="10">
        <f t="array" ref="X49">INDEX($B48:$AC48, MOD(COLUMN()-COLUMN($B$41)+$AG29,28)+1)</f>
        <v>1</v>
      </c>
      <c r="Y49" s="10">
        <f t="array" ref="Y49">INDEX($B48:$AC48, MOD(COLUMN()-COLUMN($B$41)+$AG29,28)+1)</f>
        <v>1</v>
      </c>
      <c r="Z49" s="10">
        <f t="array" ref="Z49">INDEX($B48:$AC48, MOD(COLUMN()-COLUMN($B$41)+$AG29,28)+1)</f>
        <v>0</v>
      </c>
      <c r="AA49" s="10">
        <f t="array" ref="AA49">INDEX($B48:$AC48, MOD(COLUMN()-COLUMN($B$41)+$AG29,28)+1)</f>
        <v>0</v>
      </c>
      <c r="AB49" s="10">
        <f t="array" ref="AB49">INDEX($B48:$AC48, MOD(COLUMN()-COLUMN($B$41)+$AG29,28)+1)</f>
        <v>1</v>
      </c>
      <c r="AC49" s="11">
        <f t="array" ref="AC49">INDEX($B48:$AC48, MOD(COLUMN()-COLUMN($B$41)+$AG29,28)+1)</f>
        <v>1</v>
      </c>
    </row>
    <row r="50" ht="18.75" customHeight="1">
      <c r="A50" s="34">
        <f t="shared" si="9"/>
        <v>9</v>
      </c>
      <c r="B50" s="10">
        <f t="array" ref="B50">INDEX($B49:$AC49, MOD(COLUMN()-COLUMN($B$41)+$AG30,28)+1)</f>
        <v>0</v>
      </c>
      <c r="C50" s="10">
        <f t="array" ref="C50">INDEX($B49:$AC49, MOD(COLUMN()-COLUMN($B$41)+$AG30,28)+1)</f>
        <v>1</v>
      </c>
      <c r="D50" s="10">
        <f t="array" ref="D50">INDEX($B49:$AC49, MOD(COLUMN()-COLUMN($B$41)+$AG30,28)+1)</f>
        <v>1</v>
      </c>
      <c r="E50" s="10">
        <f t="array" ref="E50">INDEX($B49:$AC49, MOD(COLUMN()-COLUMN($B$41)+$AG30,28)+1)</f>
        <v>1</v>
      </c>
      <c r="F50" s="10">
        <f t="array" ref="F50">INDEX($B49:$AC49, MOD(COLUMN()-COLUMN($B$41)+$AG30,28)+1)</f>
        <v>1</v>
      </c>
      <c r="G50" s="10">
        <f t="array" ref="G50">INDEX($B49:$AC49, MOD(COLUMN()-COLUMN($B$41)+$AG30,28)+1)</f>
        <v>0</v>
      </c>
      <c r="H50" s="10">
        <f t="array" ref="H50">INDEX($B49:$AC49, MOD(COLUMN()-COLUMN($B$41)+$AG30,28)+1)</f>
        <v>0</v>
      </c>
      <c r="I50" s="10">
        <f t="array" ref="I50">INDEX($B49:$AC49, MOD(COLUMN()-COLUMN($B$41)+$AG30,28)+1)</f>
        <v>0</v>
      </c>
      <c r="J50" s="10">
        <f t="array" ref="J50">INDEX($B49:$AC49, MOD(COLUMN()-COLUMN($B$41)+$AG30,28)+1)</f>
        <v>0</v>
      </c>
      <c r="K50" s="10">
        <f t="array" ref="K50">INDEX($B49:$AC49, MOD(COLUMN()-COLUMN($B$41)+$AG30,28)+1)</f>
        <v>1</v>
      </c>
      <c r="L50" s="10">
        <f t="array" ref="L50">INDEX($B49:$AC49, MOD(COLUMN()-COLUMN($B$41)+$AG30,28)+1)</f>
        <v>0</v>
      </c>
      <c r="M50" s="10">
        <f t="array" ref="M50">INDEX($B49:$AC49, MOD(COLUMN()-COLUMN($B$41)+$AG30,28)+1)</f>
        <v>1</v>
      </c>
      <c r="N50" s="10">
        <f t="array" ref="N50">INDEX($B49:$AC49, MOD(COLUMN()-COLUMN($B$41)+$AG30,28)+1)</f>
        <v>0</v>
      </c>
      <c r="O50" s="10">
        <f t="array" ref="O50">INDEX($B49:$AC49, MOD(COLUMN()-COLUMN($B$41)+$AG30,28)+1)</f>
        <v>1</v>
      </c>
      <c r="P50" s="10">
        <f t="array" ref="P50">INDEX($B49:$AC49, MOD(COLUMN()-COLUMN($B$41)+$AG30,28)+1)</f>
        <v>0</v>
      </c>
      <c r="Q50" s="10">
        <f t="array" ref="Q50">INDEX($B49:$AC49, MOD(COLUMN()-COLUMN($B$41)+$AG30,28)+1)</f>
        <v>1</v>
      </c>
      <c r="R50" s="10">
        <f t="array" ref="R50">INDEX($B49:$AC49, MOD(COLUMN()-COLUMN($B$41)+$AG30,28)+1)</f>
        <v>0</v>
      </c>
      <c r="S50" s="10">
        <f t="array" ref="S50">INDEX($B49:$AC49, MOD(COLUMN()-COLUMN($B$41)+$AG30,28)+1)</f>
        <v>1</v>
      </c>
      <c r="T50" s="10">
        <f t="array" ref="T50">INDEX($B49:$AC49, MOD(COLUMN()-COLUMN($B$41)+$AG30,28)+1)</f>
        <v>0</v>
      </c>
      <c r="U50" s="10">
        <f t="array" ref="U50">INDEX($B49:$AC49, MOD(COLUMN()-COLUMN($B$41)+$AG30,28)+1)</f>
        <v>1</v>
      </c>
      <c r="V50" s="10">
        <f t="array" ref="V50">INDEX($B49:$AC49, MOD(COLUMN()-COLUMN($B$41)+$AG30,28)+1)</f>
        <v>0</v>
      </c>
      <c r="W50" s="10">
        <f t="array" ref="W50">INDEX($B49:$AC49, MOD(COLUMN()-COLUMN($B$41)+$AG30,28)+1)</f>
        <v>1</v>
      </c>
      <c r="X50" s="10">
        <f t="array" ref="X50">INDEX($B49:$AC49, MOD(COLUMN()-COLUMN($B$41)+$AG30,28)+1)</f>
        <v>1</v>
      </c>
      <c r="Y50" s="10">
        <f t="array" ref="Y50">INDEX($B49:$AC49, MOD(COLUMN()-COLUMN($B$41)+$AG30,28)+1)</f>
        <v>0</v>
      </c>
      <c r="Z50" s="10">
        <f t="array" ref="Z50">INDEX($B49:$AC49, MOD(COLUMN()-COLUMN($B$41)+$AG30,28)+1)</f>
        <v>0</v>
      </c>
      <c r="AA50" s="10">
        <f t="array" ref="AA50">INDEX($B49:$AC49, MOD(COLUMN()-COLUMN($B$41)+$AG30,28)+1)</f>
        <v>1</v>
      </c>
      <c r="AB50" s="10">
        <f t="array" ref="AB50">INDEX($B49:$AC49, MOD(COLUMN()-COLUMN($B$41)+$AG30,28)+1)</f>
        <v>1</v>
      </c>
      <c r="AC50" s="11">
        <f t="array" ref="AC50">INDEX($B49:$AC49, MOD(COLUMN()-COLUMN($B$41)+$AG30,28)+1)</f>
        <v>0</v>
      </c>
    </row>
    <row r="51" ht="18.75" customHeight="1">
      <c r="A51" s="34">
        <f t="shared" si="9"/>
        <v>10</v>
      </c>
      <c r="B51" s="10">
        <f t="array" ref="B51">INDEX($B50:$AC50, MOD(COLUMN()-COLUMN($B$41)+$AG31,28)+1)</f>
        <v>1</v>
      </c>
      <c r="C51" s="10">
        <f t="array" ref="C51">INDEX($B50:$AC50, MOD(COLUMN()-COLUMN($B$41)+$AG31,28)+1)</f>
        <v>1</v>
      </c>
      <c r="D51" s="10">
        <f t="array" ref="D51">INDEX($B50:$AC50, MOD(COLUMN()-COLUMN($B$41)+$AG31,28)+1)</f>
        <v>1</v>
      </c>
      <c r="E51" s="10">
        <f t="array" ref="E51">INDEX($B50:$AC50, MOD(COLUMN()-COLUMN($B$41)+$AG31,28)+1)</f>
        <v>0</v>
      </c>
      <c r="F51" s="10">
        <f t="array" ref="F51">INDEX($B50:$AC50, MOD(COLUMN()-COLUMN($B$41)+$AG31,28)+1)</f>
        <v>0</v>
      </c>
      <c r="G51" s="10">
        <f t="array" ref="G51">INDEX($B50:$AC50, MOD(COLUMN()-COLUMN($B$41)+$AG31,28)+1)</f>
        <v>0</v>
      </c>
      <c r="H51" s="10">
        <f t="array" ref="H51">INDEX($B50:$AC50, MOD(COLUMN()-COLUMN($B$41)+$AG31,28)+1)</f>
        <v>0</v>
      </c>
      <c r="I51" s="10">
        <f t="array" ref="I51">INDEX($B50:$AC50, MOD(COLUMN()-COLUMN($B$41)+$AG31,28)+1)</f>
        <v>1</v>
      </c>
      <c r="J51" s="10">
        <f t="array" ref="J51">INDEX($B50:$AC50, MOD(COLUMN()-COLUMN($B$41)+$AG31,28)+1)</f>
        <v>0</v>
      </c>
      <c r="K51" s="10">
        <f t="array" ref="K51">INDEX($B50:$AC50, MOD(COLUMN()-COLUMN($B$41)+$AG31,28)+1)</f>
        <v>1</v>
      </c>
      <c r="L51" s="10">
        <f t="array" ref="L51">INDEX($B50:$AC50, MOD(COLUMN()-COLUMN($B$41)+$AG31,28)+1)</f>
        <v>0</v>
      </c>
      <c r="M51" s="10">
        <f t="array" ref="M51">INDEX($B50:$AC50, MOD(COLUMN()-COLUMN($B$41)+$AG31,28)+1)</f>
        <v>1</v>
      </c>
      <c r="N51" s="10">
        <f t="array" ref="N51">INDEX($B50:$AC50, MOD(COLUMN()-COLUMN($B$41)+$AG31,28)+1)</f>
        <v>0</v>
      </c>
      <c r="O51" s="10">
        <f t="array" ref="O51">INDEX($B50:$AC50, MOD(COLUMN()-COLUMN($B$41)+$AG31,28)+1)</f>
        <v>1</v>
      </c>
      <c r="P51" s="10">
        <f t="array" ref="P51">INDEX($B50:$AC50, MOD(COLUMN()-COLUMN($B$41)+$AG31,28)+1)</f>
        <v>0</v>
      </c>
      <c r="Q51" s="10">
        <f t="array" ref="Q51">INDEX($B50:$AC50, MOD(COLUMN()-COLUMN($B$41)+$AG31,28)+1)</f>
        <v>1</v>
      </c>
      <c r="R51" s="10">
        <f t="array" ref="R51">INDEX($B50:$AC50, MOD(COLUMN()-COLUMN($B$41)+$AG31,28)+1)</f>
        <v>0</v>
      </c>
      <c r="S51" s="10">
        <f t="array" ref="S51">INDEX($B50:$AC50, MOD(COLUMN()-COLUMN($B$41)+$AG31,28)+1)</f>
        <v>1</v>
      </c>
      <c r="T51" s="10">
        <f t="array" ref="T51">INDEX($B50:$AC50, MOD(COLUMN()-COLUMN($B$41)+$AG31,28)+1)</f>
        <v>0</v>
      </c>
      <c r="U51" s="10">
        <f t="array" ref="U51">INDEX($B50:$AC50, MOD(COLUMN()-COLUMN($B$41)+$AG31,28)+1)</f>
        <v>1</v>
      </c>
      <c r="V51" s="10">
        <f t="array" ref="V51">INDEX($B50:$AC50, MOD(COLUMN()-COLUMN($B$41)+$AG31,28)+1)</f>
        <v>1</v>
      </c>
      <c r="W51" s="10">
        <f t="array" ref="W51">INDEX($B50:$AC50, MOD(COLUMN()-COLUMN($B$41)+$AG31,28)+1)</f>
        <v>0</v>
      </c>
      <c r="X51" s="10">
        <f t="array" ref="X51">INDEX($B50:$AC50, MOD(COLUMN()-COLUMN($B$41)+$AG31,28)+1)</f>
        <v>0</v>
      </c>
      <c r="Y51" s="10">
        <f t="array" ref="Y51">INDEX($B50:$AC50, MOD(COLUMN()-COLUMN($B$41)+$AG31,28)+1)</f>
        <v>1</v>
      </c>
      <c r="Z51" s="10">
        <f t="array" ref="Z51">INDEX($B50:$AC50, MOD(COLUMN()-COLUMN($B$41)+$AG31,28)+1)</f>
        <v>1</v>
      </c>
      <c r="AA51" s="10">
        <f t="array" ref="AA51">INDEX($B50:$AC50, MOD(COLUMN()-COLUMN($B$41)+$AG31,28)+1)</f>
        <v>0</v>
      </c>
      <c r="AB51" s="10">
        <f t="array" ref="AB51">INDEX($B50:$AC50, MOD(COLUMN()-COLUMN($B$41)+$AG31,28)+1)</f>
        <v>0</v>
      </c>
      <c r="AC51" s="11">
        <f t="array" ref="AC51">INDEX($B50:$AC50, MOD(COLUMN()-COLUMN($B$41)+$AG31,28)+1)</f>
        <v>1</v>
      </c>
    </row>
    <row r="52" ht="18.75" customHeight="1">
      <c r="A52" s="34">
        <f t="shared" si="9"/>
        <v>11</v>
      </c>
      <c r="B52" s="10">
        <f t="array" ref="B52">INDEX($B51:$AC51, MOD(COLUMN()-COLUMN($B$41)+$AG32,28)+1)</f>
        <v>1</v>
      </c>
      <c r="C52" s="10">
        <f t="array" ref="C52">INDEX($B51:$AC51, MOD(COLUMN()-COLUMN($B$41)+$AG32,28)+1)</f>
        <v>0</v>
      </c>
      <c r="D52" s="10">
        <f t="array" ref="D52">INDEX($B51:$AC51, MOD(COLUMN()-COLUMN($B$41)+$AG32,28)+1)</f>
        <v>0</v>
      </c>
      <c r="E52" s="10">
        <f t="array" ref="E52">INDEX($B51:$AC51, MOD(COLUMN()-COLUMN($B$41)+$AG32,28)+1)</f>
        <v>0</v>
      </c>
      <c r="F52" s="10">
        <f t="array" ref="F52">INDEX($B51:$AC51, MOD(COLUMN()-COLUMN($B$41)+$AG32,28)+1)</f>
        <v>0</v>
      </c>
      <c r="G52" s="10">
        <f t="array" ref="G52">INDEX($B51:$AC51, MOD(COLUMN()-COLUMN($B$41)+$AG32,28)+1)</f>
        <v>1</v>
      </c>
      <c r="H52" s="10">
        <f t="array" ref="H52">INDEX($B51:$AC51, MOD(COLUMN()-COLUMN($B$41)+$AG32,28)+1)</f>
        <v>0</v>
      </c>
      <c r="I52" s="10">
        <f t="array" ref="I52">INDEX($B51:$AC51, MOD(COLUMN()-COLUMN($B$41)+$AG32,28)+1)</f>
        <v>1</v>
      </c>
      <c r="J52" s="10">
        <f t="array" ref="J52">INDEX($B51:$AC51, MOD(COLUMN()-COLUMN($B$41)+$AG32,28)+1)</f>
        <v>0</v>
      </c>
      <c r="K52" s="10">
        <f t="array" ref="K52">INDEX($B51:$AC51, MOD(COLUMN()-COLUMN($B$41)+$AG32,28)+1)</f>
        <v>1</v>
      </c>
      <c r="L52" s="10">
        <f t="array" ref="L52">INDEX($B51:$AC51, MOD(COLUMN()-COLUMN($B$41)+$AG32,28)+1)</f>
        <v>0</v>
      </c>
      <c r="M52" s="10">
        <f t="array" ref="M52">INDEX($B51:$AC51, MOD(COLUMN()-COLUMN($B$41)+$AG32,28)+1)</f>
        <v>1</v>
      </c>
      <c r="N52" s="10">
        <f t="array" ref="N52">INDEX($B51:$AC51, MOD(COLUMN()-COLUMN($B$41)+$AG32,28)+1)</f>
        <v>0</v>
      </c>
      <c r="O52" s="10">
        <f t="array" ref="O52">INDEX($B51:$AC51, MOD(COLUMN()-COLUMN($B$41)+$AG32,28)+1)</f>
        <v>1</v>
      </c>
      <c r="P52" s="10">
        <f t="array" ref="P52">INDEX($B51:$AC51, MOD(COLUMN()-COLUMN($B$41)+$AG32,28)+1)</f>
        <v>0</v>
      </c>
      <c r="Q52" s="10">
        <f t="array" ref="Q52">INDEX($B51:$AC51, MOD(COLUMN()-COLUMN($B$41)+$AG32,28)+1)</f>
        <v>1</v>
      </c>
      <c r="R52" s="10">
        <f t="array" ref="R52">INDEX($B51:$AC51, MOD(COLUMN()-COLUMN($B$41)+$AG32,28)+1)</f>
        <v>0</v>
      </c>
      <c r="S52" s="10">
        <f t="array" ref="S52">INDEX($B51:$AC51, MOD(COLUMN()-COLUMN($B$41)+$AG32,28)+1)</f>
        <v>1</v>
      </c>
      <c r="T52" s="10">
        <f t="array" ref="T52">INDEX($B51:$AC51, MOD(COLUMN()-COLUMN($B$41)+$AG32,28)+1)</f>
        <v>1</v>
      </c>
      <c r="U52" s="10">
        <f t="array" ref="U52">INDEX($B51:$AC51, MOD(COLUMN()-COLUMN($B$41)+$AG32,28)+1)</f>
        <v>0</v>
      </c>
      <c r="V52" s="10">
        <f t="array" ref="V52">INDEX($B51:$AC51, MOD(COLUMN()-COLUMN($B$41)+$AG32,28)+1)</f>
        <v>0</v>
      </c>
      <c r="W52" s="10">
        <f t="array" ref="W52">INDEX($B51:$AC51, MOD(COLUMN()-COLUMN($B$41)+$AG32,28)+1)</f>
        <v>1</v>
      </c>
      <c r="X52" s="10">
        <f t="array" ref="X52">INDEX($B51:$AC51, MOD(COLUMN()-COLUMN($B$41)+$AG32,28)+1)</f>
        <v>1</v>
      </c>
      <c r="Y52" s="10">
        <f t="array" ref="Y52">INDEX($B51:$AC51, MOD(COLUMN()-COLUMN($B$41)+$AG32,28)+1)</f>
        <v>0</v>
      </c>
      <c r="Z52" s="10">
        <f t="array" ref="Z52">INDEX($B51:$AC51, MOD(COLUMN()-COLUMN($B$41)+$AG32,28)+1)</f>
        <v>0</v>
      </c>
      <c r="AA52" s="10">
        <f t="array" ref="AA52">INDEX($B51:$AC51, MOD(COLUMN()-COLUMN($B$41)+$AG32,28)+1)</f>
        <v>1</v>
      </c>
      <c r="AB52" s="10">
        <f t="array" ref="AB52">INDEX($B51:$AC51, MOD(COLUMN()-COLUMN($B$41)+$AG32,28)+1)</f>
        <v>1</v>
      </c>
      <c r="AC52" s="11">
        <f t="array" ref="AC52">INDEX($B51:$AC51, MOD(COLUMN()-COLUMN($B$41)+$AG32,28)+1)</f>
        <v>1</v>
      </c>
    </row>
    <row r="53" ht="18.75" customHeight="1">
      <c r="A53" s="34">
        <f t="shared" si="9"/>
        <v>12</v>
      </c>
      <c r="B53" s="10">
        <f t="array" ref="B53">INDEX($B52:$AC52, MOD(COLUMN()-COLUMN($B$41)+$AG33,28)+1)</f>
        <v>0</v>
      </c>
      <c r="C53" s="10">
        <f t="array" ref="C53">INDEX($B52:$AC52, MOD(COLUMN()-COLUMN($B$41)+$AG33,28)+1)</f>
        <v>0</v>
      </c>
      <c r="D53" s="10">
        <f t="array" ref="D53">INDEX($B52:$AC52, MOD(COLUMN()-COLUMN($B$41)+$AG33,28)+1)</f>
        <v>0</v>
      </c>
      <c r="E53" s="10">
        <f t="array" ref="E53">INDEX($B52:$AC52, MOD(COLUMN()-COLUMN($B$41)+$AG33,28)+1)</f>
        <v>1</v>
      </c>
      <c r="F53" s="10">
        <f t="array" ref="F53">INDEX($B52:$AC52, MOD(COLUMN()-COLUMN($B$41)+$AG33,28)+1)</f>
        <v>0</v>
      </c>
      <c r="G53" s="10">
        <f t="array" ref="G53">INDEX($B52:$AC52, MOD(COLUMN()-COLUMN($B$41)+$AG33,28)+1)</f>
        <v>1</v>
      </c>
      <c r="H53" s="10">
        <f t="array" ref="H53">INDEX($B52:$AC52, MOD(COLUMN()-COLUMN($B$41)+$AG33,28)+1)</f>
        <v>0</v>
      </c>
      <c r="I53" s="10">
        <f t="array" ref="I53">INDEX($B52:$AC52, MOD(COLUMN()-COLUMN($B$41)+$AG33,28)+1)</f>
        <v>1</v>
      </c>
      <c r="J53" s="10">
        <f t="array" ref="J53">INDEX($B52:$AC52, MOD(COLUMN()-COLUMN($B$41)+$AG33,28)+1)</f>
        <v>0</v>
      </c>
      <c r="K53" s="10">
        <f t="array" ref="K53">INDEX($B52:$AC52, MOD(COLUMN()-COLUMN($B$41)+$AG33,28)+1)</f>
        <v>1</v>
      </c>
      <c r="L53" s="10">
        <f t="array" ref="L53">INDEX($B52:$AC52, MOD(COLUMN()-COLUMN($B$41)+$AG33,28)+1)</f>
        <v>0</v>
      </c>
      <c r="M53" s="10">
        <f t="array" ref="M53">INDEX($B52:$AC52, MOD(COLUMN()-COLUMN($B$41)+$AG33,28)+1)</f>
        <v>1</v>
      </c>
      <c r="N53" s="10">
        <f t="array" ref="N53">INDEX($B52:$AC52, MOD(COLUMN()-COLUMN($B$41)+$AG33,28)+1)</f>
        <v>0</v>
      </c>
      <c r="O53" s="10">
        <f t="array" ref="O53">INDEX($B52:$AC52, MOD(COLUMN()-COLUMN($B$41)+$AG33,28)+1)</f>
        <v>1</v>
      </c>
      <c r="P53" s="10">
        <f t="array" ref="P53">INDEX($B52:$AC52, MOD(COLUMN()-COLUMN($B$41)+$AG33,28)+1)</f>
        <v>0</v>
      </c>
      <c r="Q53" s="10">
        <f t="array" ref="Q53">INDEX($B52:$AC52, MOD(COLUMN()-COLUMN($B$41)+$AG33,28)+1)</f>
        <v>1</v>
      </c>
      <c r="R53" s="10">
        <f t="array" ref="R53">INDEX($B52:$AC52, MOD(COLUMN()-COLUMN($B$41)+$AG33,28)+1)</f>
        <v>1</v>
      </c>
      <c r="S53" s="10">
        <f t="array" ref="S53">INDEX($B52:$AC52, MOD(COLUMN()-COLUMN($B$41)+$AG33,28)+1)</f>
        <v>0</v>
      </c>
      <c r="T53" s="10">
        <f t="array" ref="T53">INDEX($B52:$AC52, MOD(COLUMN()-COLUMN($B$41)+$AG33,28)+1)</f>
        <v>0</v>
      </c>
      <c r="U53" s="10">
        <f t="array" ref="U53">INDEX($B52:$AC52, MOD(COLUMN()-COLUMN($B$41)+$AG33,28)+1)</f>
        <v>1</v>
      </c>
      <c r="V53" s="10">
        <f t="array" ref="V53">INDEX($B52:$AC52, MOD(COLUMN()-COLUMN($B$41)+$AG33,28)+1)</f>
        <v>1</v>
      </c>
      <c r="W53" s="10">
        <f t="array" ref="W53">INDEX($B52:$AC52, MOD(COLUMN()-COLUMN($B$41)+$AG33,28)+1)</f>
        <v>0</v>
      </c>
      <c r="X53" s="10">
        <f t="array" ref="X53">INDEX($B52:$AC52, MOD(COLUMN()-COLUMN($B$41)+$AG33,28)+1)</f>
        <v>0</v>
      </c>
      <c r="Y53" s="10">
        <f t="array" ref="Y53">INDEX($B52:$AC52, MOD(COLUMN()-COLUMN($B$41)+$AG33,28)+1)</f>
        <v>1</v>
      </c>
      <c r="Z53" s="10">
        <f t="array" ref="Z53">INDEX($B52:$AC52, MOD(COLUMN()-COLUMN($B$41)+$AG33,28)+1)</f>
        <v>1</v>
      </c>
      <c r="AA53" s="10">
        <f t="array" ref="AA53">INDEX($B52:$AC52, MOD(COLUMN()-COLUMN($B$41)+$AG33,28)+1)</f>
        <v>1</v>
      </c>
      <c r="AB53" s="10">
        <f t="array" ref="AB53">INDEX($B52:$AC52, MOD(COLUMN()-COLUMN($B$41)+$AG33,28)+1)</f>
        <v>1</v>
      </c>
      <c r="AC53" s="11">
        <f t="array" ref="AC53">INDEX($B52:$AC52, MOD(COLUMN()-COLUMN($B$41)+$AG33,28)+1)</f>
        <v>0</v>
      </c>
    </row>
    <row r="54" ht="18.75" customHeight="1">
      <c r="A54" s="34">
        <f t="shared" si="9"/>
        <v>13</v>
      </c>
      <c r="B54" s="10">
        <f t="array" ref="B54">INDEX($B53:$AC53, MOD(COLUMN()-COLUMN($B$41)+$AG34,28)+1)</f>
        <v>0</v>
      </c>
      <c r="C54" s="10">
        <f t="array" ref="C54">INDEX($B53:$AC53, MOD(COLUMN()-COLUMN($B$41)+$AG34,28)+1)</f>
        <v>1</v>
      </c>
      <c r="D54" s="10">
        <f t="array" ref="D54">INDEX($B53:$AC53, MOD(COLUMN()-COLUMN($B$41)+$AG34,28)+1)</f>
        <v>0</v>
      </c>
      <c r="E54" s="10">
        <f t="array" ref="E54">INDEX($B53:$AC53, MOD(COLUMN()-COLUMN($B$41)+$AG34,28)+1)</f>
        <v>1</v>
      </c>
      <c r="F54" s="10">
        <f t="array" ref="F54">INDEX($B53:$AC53, MOD(COLUMN()-COLUMN($B$41)+$AG34,28)+1)</f>
        <v>0</v>
      </c>
      <c r="G54" s="10">
        <f t="array" ref="G54">INDEX($B53:$AC53, MOD(COLUMN()-COLUMN($B$41)+$AG34,28)+1)</f>
        <v>1</v>
      </c>
      <c r="H54" s="10">
        <f t="array" ref="H54">INDEX($B53:$AC53, MOD(COLUMN()-COLUMN($B$41)+$AG34,28)+1)</f>
        <v>0</v>
      </c>
      <c r="I54" s="10">
        <f t="array" ref="I54">INDEX($B53:$AC53, MOD(COLUMN()-COLUMN($B$41)+$AG34,28)+1)</f>
        <v>1</v>
      </c>
      <c r="J54" s="10">
        <f t="array" ref="J54">INDEX($B53:$AC53, MOD(COLUMN()-COLUMN($B$41)+$AG34,28)+1)</f>
        <v>0</v>
      </c>
      <c r="K54" s="10">
        <f t="array" ref="K54">INDEX($B53:$AC53, MOD(COLUMN()-COLUMN($B$41)+$AG34,28)+1)</f>
        <v>1</v>
      </c>
      <c r="L54" s="10">
        <f t="array" ref="L54">INDEX($B53:$AC53, MOD(COLUMN()-COLUMN($B$41)+$AG34,28)+1)</f>
        <v>0</v>
      </c>
      <c r="M54" s="10">
        <f t="array" ref="M54">INDEX($B53:$AC53, MOD(COLUMN()-COLUMN($B$41)+$AG34,28)+1)</f>
        <v>1</v>
      </c>
      <c r="N54" s="10">
        <f t="array" ref="N54">INDEX($B53:$AC53, MOD(COLUMN()-COLUMN($B$41)+$AG34,28)+1)</f>
        <v>0</v>
      </c>
      <c r="O54" s="10">
        <f t="array" ref="O54">INDEX($B53:$AC53, MOD(COLUMN()-COLUMN($B$41)+$AG34,28)+1)</f>
        <v>1</v>
      </c>
      <c r="P54" s="10">
        <f t="array" ref="P54">INDEX($B53:$AC53, MOD(COLUMN()-COLUMN($B$41)+$AG34,28)+1)</f>
        <v>1</v>
      </c>
      <c r="Q54" s="10">
        <f t="array" ref="Q54">INDEX($B53:$AC53, MOD(COLUMN()-COLUMN($B$41)+$AG34,28)+1)</f>
        <v>0</v>
      </c>
      <c r="R54" s="10">
        <f t="array" ref="R54">INDEX($B53:$AC53, MOD(COLUMN()-COLUMN($B$41)+$AG34,28)+1)</f>
        <v>0</v>
      </c>
      <c r="S54" s="10">
        <f t="array" ref="S54">INDEX($B53:$AC53, MOD(COLUMN()-COLUMN($B$41)+$AG34,28)+1)</f>
        <v>1</v>
      </c>
      <c r="T54" s="10">
        <f t="array" ref="T54">INDEX($B53:$AC53, MOD(COLUMN()-COLUMN($B$41)+$AG34,28)+1)</f>
        <v>1</v>
      </c>
      <c r="U54" s="10">
        <f t="array" ref="U54">INDEX($B53:$AC53, MOD(COLUMN()-COLUMN($B$41)+$AG34,28)+1)</f>
        <v>0</v>
      </c>
      <c r="V54" s="10">
        <f t="array" ref="V54">INDEX($B53:$AC53, MOD(COLUMN()-COLUMN($B$41)+$AG34,28)+1)</f>
        <v>0</v>
      </c>
      <c r="W54" s="10">
        <f t="array" ref="W54">INDEX($B53:$AC53, MOD(COLUMN()-COLUMN($B$41)+$AG34,28)+1)</f>
        <v>1</v>
      </c>
      <c r="X54" s="10">
        <f t="array" ref="X54">INDEX($B53:$AC53, MOD(COLUMN()-COLUMN($B$41)+$AG34,28)+1)</f>
        <v>1</v>
      </c>
      <c r="Y54" s="10">
        <f t="array" ref="Y54">INDEX($B53:$AC53, MOD(COLUMN()-COLUMN($B$41)+$AG34,28)+1)</f>
        <v>1</v>
      </c>
      <c r="Z54" s="10">
        <f t="array" ref="Z54">INDEX($B53:$AC53, MOD(COLUMN()-COLUMN($B$41)+$AG34,28)+1)</f>
        <v>1</v>
      </c>
      <c r="AA54" s="10">
        <f t="array" ref="AA54">INDEX($B53:$AC53, MOD(COLUMN()-COLUMN($B$41)+$AG34,28)+1)</f>
        <v>0</v>
      </c>
      <c r="AB54" s="10">
        <f t="array" ref="AB54">INDEX($B53:$AC53, MOD(COLUMN()-COLUMN($B$41)+$AG34,28)+1)</f>
        <v>0</v>
      </c>
      <c r="AC54" s="11">
        <f t="array" ref="AC54">INDEX($B53:$AC53, MOD(COLUMN()-COLUMN($B$41)+$AG34,28)+1)</f>
        <v>0</v>
      </c>
    </row>
    <row r="55" ht="18.75" customHeight="1">
      <c r="A55" s="34">
        <f t="shared" si="9"/>
        <v>14</v>
      </c>
      <c r="B55" s="10">
        <f t="array" ref="B55">INDEX($B54:$AC54, MOD(COLUMN()-COLUMN($B$41)+$AG35,28)+1)</f>
        <v>0</v>
      </c>
      <c r="C55" s="10">
        <f t="array" ref="C55">INDEX($B54:$AC54, MOD(COLUMN()-COLUMN($B$41)+$AG35,28)+1)</f>
        <v>1</v>
      </c>
      <c r="D55" s="10">
        <f t="array" ref="D55">INDEX($B54:$AC54, MOD(COLUMN()-COLUMN($B$41)+$AG35,28)+1)</f>
        <v>0</v>
      </c>
      <c r="E55" s="10">
        <f t="array" ref="E55">INDEX($B54:$AC54, MOD(COLUMN()-COLUMN($B$41)+$AG35,28)+1)</f>
        <v>1</v>
      </c>
      <c r="F55" s="10">
        <f t="array" ref="F55">INDEX($B54:$AC54, MOD(COLUMN()-COLUMN($B$41)+$AG35,28)+1)</f>
        <v>0</v>
      </c>
      <c r="G55" s="10">
        <f t="array" ref="G55">INDEX($B54:$AC54, MOD(COLUMN()-COLUMN($B$41)+$AG35,28)+1)</f>
        <v>1</v>
      </c>
      <c r="H55" s="10">
        <f t="array" ref="H55">INDEX($B54:$AC54, MOD(COLUMN()-COLUMN($B$41)+$AG35,28)+1)</f>
        <v>0</v>
      </c>
      <c r="I55" s="10">
        <f t="array" ref="I55">INDEX($B54:$AC54, MOD(COLUMN()-COLUMN($B$41)+$AG35,28)+1)</f>
        <v>1</v>
      </c>
      <c r="J55" s="10">
        <f t="array" ref="J55">INDEX($B54:$AC54, MOD(COLUMN()-COLUMN($B$41)+$AG35,28)+1)</f>
        <v>0</v>
      </c>
      <c r="K55" s="10">
        <f t="array" ref="K55">INDEX($B54:$AC54, MOD(COLUMN()-COLUMN($B$41)+$AG35,28)+1)</f>
        <v>1</v>
      </c>
      <c r="L55" s="10">
        <f t="array" ref="L55">INDEX($B54:$AC54, MOD(COLUMN()-COLUMN($B$41)+$AG35,28)+1)</f>
        <v>0</v>
      </c>
      <c r="M55" s="10">
        <f t="array" ref="M55">INDEX($B54:$AC54, MOD(COLUMN()-COLUMN($B$41)+$AG35,28)+1)</f>
        <v>1</v>
      </c>
      <c r="N55" s="10">
        <f t="array" ref="N55">INDEX($B54:$AC54, MOD(COLUMN()-COLUMN($B$41)+$AG35,28)+1)</f>
        <v>1</v>
      </c>
      <c r="O55" s="10">
        <f t="array" ref="O55">INDEX($B54:$AC54, MOD(COLUMN()-COLUMN($B$41)+$AG35,28)+1)</f>
        <v>0</v>
      </c>
      <c r="P55" s="10">
        <f t="array" ref="P55">INDEX($B54:$AC54, MOD(COLUMN()-COLUMN($B$41)+$AG35,28)+1)</f>
        <v>0</v>
      </c>
      <c r="Q55" s="10">
        <f t="array" ref="Q55">INDEX($B54:$AC54, MOD(COLUMN()-COLUMN($B$41)+$AG35,28)+1)</f>
        <v>1</v>
      </c>
      <c r="R55" s="10">
        <f t="array" ref="R55">INDEX($B54:$AC54, MOD(COLUMN()-COLUMN($B$41)+$AG35,28)+1)</f>
        <v>1</v>
      </c>
      <c r="S55" s="10">
        <f t="array" ref="S55">INDEX($B54:$AC54, MOD(COLUMN()-COLUMN($B$41)+$AG35,28)+1)</f>
        <v>0</v>
      </c>
      <c r="T55" s="10">
        <f t="array" ref="T55">INDEX($B54:$AC54, MOD(COLUMN()-COLUMN($B$41)+$AG35,28)+1)</f>
        <v>0</v>
      </c>
      <c r="U55" s="10">
        <f t="array" ref="U55">INDEX($B54:$AC54, MOD(COLUMN()-COLUMN($B$41)+$AG35,28)+1)</f>
        <v>1</v>
      </c>
      <c r="V55" s="10">
        <f t="array" ref="V55">INDEX($B54:$AC54, MOD(COLUMN()-COLUMN($B$41)+$AG35,28)+1)</f>
        <v>1</v>
      </c>
      <c r="W55" s="10">
        <f t="array" ref="W55">INDEX($B54:$AC54, MOD(COLUMN()-COLUMN($B$41)+$AG35,28)+1)</f>
        <v>1</v>
      </c>
      <c r="X55" s="10">
        <f t="array" ref="X55">INDEX($B54:$AC54, MOD(COLUMN()-COLUMN($B$41)+$AG35,28)+1)</f>
        <v>1</v>
      </c>
      <c r="Y55" s="10">
        <f t="array" ref="Y55">INDEX($B54:$AC54, MOD(COLUMN()-COLUMN($B$41)+$AG35,28)+1)</f>
        <v>0</v>
      </c>
      <c r="Z55" s="10">
        <f t="array" ref="Z55">INDEX($B54:$AC54, MOD(COLUMN()-COLUMN($B$41)+$AG35,28)+1)</f>
        <v>0</v>
      </c>
      <c r="AA55" s="10">
        <f t="array" ref="AA55">INDEX($B54:$AC54, MOD(COLUMN()-COLUMN($B$41)+$AG35,28)+1)</f>
        <v>0</v>
      </c>
      <c r="AB55" s="10">
        <f t="array" ref="AB55">INDEX($B54:$AC54, MOD(COLUMN()-COLUMN($B$41)+$AG35,28)+1)</f>
        <v>0</v>
      </c>
      <c r="AC55" s="11">
        <f t="array" ref="AC55">INDEX($B54:$AC54, MOD(COLUMN()-COLUMN($B$41)+$AG35,28)+1)</f>
        <v>1</v>
      </c>
    </row>
    <row r="56" ht="18.75" customHeight="1">
      <c r="A56" s="34">
        <f t="shared" si="9"/>
        <v>15</v>
      </c>
      <c r="B56" s="10">
        <f t="array" ref="B56">INDEX($B55:$AC55, MOD(COLUMN()-COLUMN($B$41)+$AG36,28)+1)</f>
        <v>0</v>
      </c>
      <c r="C56" s="10">
        <f t="array" ref="C56">INDEX($B55:$AC55, MOD(COLUMN()-COLUMN($B$41)+$AG36,28)+1)</f>
        <v>1</v>
      </c>
      <c r="D56" s="10">
        <f t="array" ref="D56">INDEX($B55:$AC55, MOD(COLUMN()-COLUMN($B$41)+$AG36,28)+1)</f>
        <v>0</v>
      </c>
      <c r="E56" s="10">
        <f t="array" ref="E56">INDEX($B55:$AC55, MOD(COLUMN()-COLUMN($B$41)+$AG36,28)+1)</f>
        <v>1</v>
      </c>
      <c r="F56" s="10">
        <f t="array" ref="F56">INDEX($B55:$AC55, MOD(COLUMN()-COLUMN($B$41)+$AG36,28)+1)</f>
        <v>0</v>
      </c>
      <c r="G56" s="10">
        <f t="array" ref="G56">INDEX($B55:$AC55, MOD(COLUMN()-COLUMN($B$41)+$AG36,28)+1)</f>
        <v>1</v>
      </c>
      <c r="H56" s="10">
        <f t="array" ref="H56">INDEX($B55:$AC55, MOD(COLUMN()-COLUMN($B$41)+$AG36,28)+1)</f>
        <v>0</v>
      </c>
      <c r="I56" s="10">
        <f t="array" ref="I56">INDEX($B55:$AC55, MOD(COLUMN()-COLUMN($B$41)+$AG36,28)+1)</f>
        <v>1</v>
      </c>
      <c r="J56" s="10">
        <f t="array" ref="J56">INDEX($B55:$AC55, MOD(COLUMN()-COLUMN($B$41)+$AG36,28)+1)</f>
        <v>0</v>
      </c>
      <c r="K56" s="10">
        <f t="array" ref="K56">INDEX($B55:$AC55, MOD(COLUMN()-COLUMN($B$41)+$AG36,28)+1)</f>
        <v>1</v>
      </c>
      <c r="L56" s="10">
        <f t="array" ref="L56">INDEX($B55:$AC55, MOD(COLUMN()-COLUMN($B$41)+$AG36,28)+1)</f>
        <v>1</v>
      </c>
      <c r="M56" s="10">
        <f t="array" ref="M56">INDEX($B55:$AC55, MOD(COLUMN()-COLUMN($B$41)+$AG36,28)+1)</f>
        <v>0</v>
      </c>
      <c r="N56" s="10">
        <f t="array" ref="N56">INDEX($B55:$AC55, MOD(COLUMN()-COLUMN($B$41)+$AG36,28)+1)</f>
        <v>0</v>
      </c>
      <c r="O56" s="10">
        <f t="array" ref="O56">INDEX($B55:$AC55, MOD(COLUMN()-COLUMN($B$41)+$AG36,28)+1)</f>
        <v>1</v>
      </c>
      <c r="P56" s="10">
        <f t="array" ref="P56">INDEX($B55:$AC55, MOD(COLUMN()-COLUMN($B$41)+$AG36,28)+1)</f>
        <v>1</v>
      </c>
      <c r="Q56" s="10">
        <f t="array" ref="Q56">INDEX($B55:$AC55, MOD(COLUMN()-COLUMN($B$41)+$AG36,28)+1)</f>
        <v>0</v>
      </c>
      <c r="R56" s="10">
        <f t="array" ref="R56">INDEX($B55:$AC55, MOD(COLUMN()-COLUMN($B$41)+$AG36,28)+1)</f>
        <v>0</v>
      </c>
      <c r="S56" s="10">
        <f t="array" ref="S56">INDEX($B55:$AC55, MOD(COLUMN()-COLUMN($B$41)+$AG36,28)+1)</f>
        <v>1</v>
      </c>
      <c r="T56" s="10">
        <f t="array" ref="T56">INDEX($B55:$AC55, MOD(COLUMN()-COLUMN($B$41)+$AG36,28)+1)</f>
        <v>1</v>
      </c>
      <c r="U56" s="10">
        <f t="array" ref="U56">INDEX($B55:$AC55, MOD(COLUMN()-COLUMN($B$41)+$AG36,28)+1)</f>
        <v>1</v>
      </c>
      <c r="V56" s="10">
        <f t="array" ref="V56">INDEX($B55:$AC55, MOD(COLUMN()-COLUMN($B$41)+$AG36,28)+1)</f>
        <v>1</v>
      </c>
      <c r="W56" s="10">
        <f t="array" ref="W56">INDEX($B55:$AC55, MOD(COLUMN()-COLUMN($B$41)+$AG36,28)+1)</f>
        <v>0</v>
      </c>
      <c r="X56" s="10">
        <f t="array" ref="X56">INDEX($B55:$AC55, MOD(COLUMN()-COLUMN($B$41)+$AG36,28)+1)</f>
        <v>0</v>
      </c>
      <c r="Y56" s="10">
        <f t="array" ref="Y56">INDEX($B55:$AC55, MOD(COLUMN()-COLUMN($B$41)+$AG36,28)+1)</f>
        <v>0</v>
      </c>
      <c r="Z56" s="10">
        <f t="array" ref="Z56">INDEX($B55:$AC55, MOD(COLUMN()-COLUMN($B$41)+$AG36,28)+1)</f>
        <v>0</v>
      </c>
      <c r="AA56" s="10">
        <f t="array" ref="AA56">INDEX($B55:$AC55, MOD(COLUMN()-COLUMN($B$41)+$AG36,28)+1)</f>
        <v>1</v>
      </c>
      <c r="AB56" s="10">
        <f t="array" ref="AB56">INDEX($B55:$AC55, MOD(COLUMN()-COLUMN($B$41)+$AG36,28)+1)</f>
        <v>0</v>
      </c>
      <c r="AC56" s="11">
        <f t="array" ref="AC56">INDEX($B55:$AC55, MOD(COLUMN()-COLUMN($B$41)+$AG36,28)+1)</f>
        <v>1</v>
      </c>
    </row>
    <row r="57" ht="18.75" customHeight="1">
      <c r="A57" s="37">
        <f t="shared" si="9"/>
        <v>16</v>
      </c>
      <c r="B57" s="24">
        <f t="array" ref="B57">INDEX($B56:$AC56, MOD(COLUMN()-COLUMN($B$41)+$AG37,28)+1)</f>
        <v>1</v>
      </c>
      <c r="C57" s="24">
        <f t="array" ref="C57">INDEX($B56:$AC56, MOD(COLUMN()-COLUMN($B$41)+$AG37,28)+1)</f>
        <v>0</v>
      </c>
      <c r="D57" s="24">
        <f t="array" ref="D57">INDEX($B56:$AC56, MOD(COLUMN()-COLUMN($B$41)+$AG37,28)+1)</f>
        <v>1</v>
      </c>
      <c r="E57" s="24">
        <f t="array" ref="E57">INDEX($B56:$AC56, MOD(COLUMN()-COLUMN($B$41)+$AG37,28)+1)</f>
        <v>0</v>
      </c>
      <c r="F57" s="24">
        <f t="array" ref="F57">INDEX($B56:$AC56, MOD(COLUMN()-COLUMN($B$41)+$AG37,28)+1)</f>
        <v>1</v>
      </c>
      <c r="G57" s="24">
        <f t="array" ref="G57">INDEX($B56:$AC56, MOD(COLUMN()-COLUMN($B$41)+$AG37,28)+1)</f>
        <v>0</v>
      </c>
      <c r="H57" s="24">
        <f t="array" ref="H57">INDEX($B56:$AC56, MOD(COLUMN()-COLUMN($B$41)+$AG37,28)+1)</f>
        <v>1</v>
      </c>
      <c r="I57" s="24">
        <f t="array" ref="I57">INDEX($B56:$AC56, MOD(COLUMN()-COLUMN($B$41)+$AG37,28)+1)</f>
        <v>0</v>
      </c>
      <c r="J57" s="24">
        <f t="array" ref="J57">INDEX($B56:$AC56, MOD(COLUMN()-COLUMN($B$41)+$AG37,28)+1)</f>
        <v>1</v>
      </c>
      <c r="K57" s="24">
        <f t="array" ref="K57">INDEX($B56:$AC56, MOD(COLUMN()-COLUMN($B$41)+$AG37,28)+1)</f>
        <v>1</v>
      </c>
      <c r="L57" s="24">
        <f t="array" ref="L57">INDEX($B56:$AC56, MOD(COLUMN()-COLUMN($B$41)+$AG37,28)+1)</f>
        <v>0</v>
      </c>
      <c r="M57" s="24">
        <f t="array" ref="M57">INDEX($B56:$AC56, MOD(COLUMN()-COLUMN($B$41)+$AG37,28)+1)</f>
        <v>0</v>
      </c>
      <c r="N57" s="24">
        <f t="array" ref="N57">INDEX($B56:$AC56, MOD(COLUMN()-COLUMN($B$41)+$AG37,28)+1)</f>
        <v>1</v>
      </c>
      <c r="O57" s="24">
        <f t="array" ref="O57">INDEX($B56:$AC56, MOD(COLUMN()-COLUMN($B$41)+$AG37,28)+1)</f>
        <v>1</v>
      </c>
      <c r="P57" s="24">
        <f t="array" ref="P57">INDEX($B56:$AC56, MOD(COLUMN()-COLUMN($B$41)+$AG37,28)+1)</f>
        <v>0</v>
      </c>
      <c r="Q57" s="24">
        <f t="array" ref="Q57">INDEX($B56:$AC56, MOD(COLUMN()-COLUMN($B$41)+$AG37,28)+1)</f>
        <v>0</v>
      </c>
      <c r="R57" s="24">
        <f t="array" ref="R57">INDEX($B56:$AC56, MOD(COLUMN()-COLUMN($B$41)+$AG37,28)+1)</f>
        <v>1</v>
      </c>
      <c r="S57" s="24">
        <f t="array" ref="S57">INDEX($B56:$AC56, MOD(COLUMN()-COLUMN($B$41)+$AG37,28)+1)</f>
        <v>1</v>
      </c>
      <c r="T57" s="24">
        <f t="array" ref="T57">INDEX($B56:$AC56, MOD(COLUMN()-COLUMN($B$41)+$AG37,28)+1)</f>
        <v>1</v>
      </c>
      <c r="U57" s="24">
        <f t="array" ref="U57">INDEX($B56:$AC56, MOD(COLUMN()-COLUMN($B$41)+$AG37,28)+1)</f>
        <v>1</v>
      </c>
      <c r="V57" s="24">
        <f t="array" ref="V57">INDEX($B56:$AC56, MOD(COLUMN()-COLUMN($B$41)+$AG37,28)+1)</f>
        <v>0</v>
      </c>
      <c r="W57" s="24">
        <f t="array" ref="W57">INDEX($B56:$AC56, MOD(COLUMN()-COLUMN($B$41)+$AG37,28)+1)</f>
        <v>0</v>
      </c>
      <c r="X57" s="24">
        <f t="array" ref="X57">INDEX($B56:$AC56, MOD(COLUMN()-COLUMN($B$41)+$AG37,28)+1)</f>
        <v>0</v>
      </c>
      <c r="Y57" s="24">
        <f t="array" ref="Y57">INDEX($B56:$AC56, MOD(COLUMN()-COLUMN($B$41)+$AG37,28)+1)</f>
        <v>0</v>
      </c>
      <c r="Z57" s="24">
        <f t="array" ref="Z57">INDEX($B56:$AC56, MOD(COLUMN()-COLUMN($B$41)+$AG37,28)+1)</f>
        <v>1</v>
      </c>
      <c r="AA57" s="24">
        <f t="array" ref="AA57">INDEX($B56:$AC56, MOD(COLUMN()-COLUMN($B$41)+$AG37,28)+1)</f>
        <v>0</v>
      </c>
      <c r="AB57" s="24">
        <f t="array" ref="AB57">INDEX($B56:$AC56, MOD(COLUMN()-COLUMN($B$41)+$AG37,28)+1)</f>
        <v>1</v>
      </c>
      <c r="AC57" s="25">
        <f t="array" ref="AC57">INDEX($B56:$AC56, MOD(COLUMN()-COLUMN($B$41)+$AG37,28)+1)</f>
        <v>0</v>
      </c>
    </row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30">
    <mergeCell ref="AS3:AT3"/>
    <mergeCell ref="AS4:AT4"/>
    <mergeCell ref="AS6:AT6"/>
    <mergeCell ref="AS9:AT9"/>
    <mergeCell ref="AS10:AT10"/>
    <mergeCell ref="AS11:AT11"/>
    <mergeCell ref="AS12:AT12"/>
    <mergeCell ref="AS13:AT13"/>
    <mergeCell ref="AG4:AH4"/>
    <mergeCell ref="AG5:AH5"/>
    <mergeCell ref="AG6:AH6"/>
    <mergeCell ref="AG7:AH7"/>
    <mergeCell ref="AG8:AH8"/>
    <mergeCell ref="AG9:AH9"/>
    <mergeCell ref="AG10:AH10"/>
    <mergeCell ref="AF21:AG21"/>
    <mergeCell ref="V5:W5"/>
    <mergeCell ref="V6:W6"/>
    <mergeCell ref="V7:W7"/>
    <mergeCell ref="V8:W8"/>
    <mergeCell ref="V9:W9"/>
    <mergeCell ref="V10:W10"/>
    <mergeCell ref="B11:I11"/>
    <mergeCell ref="V2:W2"/>
    <mergeCell ref="AG2:AH2"/>
    <mergeCell ref="AS2:AT2"/>
    <mergeCell ref="V3:W3"/>
    <mergeCell ref="AG3:AH3"/>
    <mergeCell ref="V4:W4"/>
    <mergeCell ref="AS5:AT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41" width="8.5"/>
    <col customWidth="1" min="42" max="42" width="45.4"/>
  </cols>
  <sheetData>
    <row r="1" ht="18.75" customHeight="1">
      <c r="A1" s="1" t="s">
        <v>12</v>
      </c>
      <c r="B1" s="1"/>
      <c r="C1" s="1"/>
      <c r="D1" s="1"/>
      <c r="E1" s="1"/>
      <c r="F1" s="1"/>
      <c r="G1" s="1"/>
      <c r="H1" s="1"/>
      <c r="I1" s="1"/>
    </row>
    <row r="2" ht="18.75" customHeight="1">
      <c r="A2" s="39" t="s">
        <v>13</v>
      </c>
      <c r="B2" s="39"/>
      <c r="K2" s="39" t="s">
        <v>14</v>
      </c>
      <c r="L2" s="39"/>
      <c r="U2" s="39" t="s">
        <v>15</v>
      </c>
      <c r="V2" s="39"/>
      <c r="AE2" s="39" t="s">
        <v>16</v>
      </c>
      <c r="AF2" s="39"/>
    </row>
    <row r="3" ht="18.75" customHeight="1">
      <c r="A3" s="40" t="s">
        <v>17</v>
      </c>
      <c r="B3" s="41" t="s">
        <v>4</v>
      </c>
      <c r="C3" s="41">
        <v>1.0</v>
      </c>
      <c r="D3" s="41">
        <v>2.0</v>
      </c>
      <c r="E3" s="41">
        <v>3.0</v>
      </c>
      <c r="F3" s="41">
        <v>4.0</v>
      </c>
      <c r="G3" s="41">
        <v>5.0</v>
      </c>
      <c r="H3" s="41">
        <v>6.0</v>
      </c>
      <c r="I3" s="41">
        <v>7.0</v>
      </c>
      <c r="K3" s="40" t="s">
        <v>18</v>
      </c>
      <c r="L3" s="41" t="s">
        <v>4</v>
      </c>
      <c r="M3" s="41">
        <v>1.0</v>
      </c>
      <c r="N3" s="41">
        <v>2.0</v>
      </c>
      <c r="O3" s="41">
        <v>3.0</v>
      </c>
      <c r="P3" s="41">
        <v>4.0</v>
      </c>
      <c r="Q3" s="41">
        <v>5.0</v>
      </c>
      <c r="R3" s="41">
        <v>6.0</v>
      </c>
      <c r="S3" s="41">
        <v>7.0</v>
      </c>
      <c r="U3" s="40" t="s">
        <v>19</v>
      </c>
      <c r="V3" s="41" t="s">
        <v>4</v>
      </c>
      <c r="W3" s="41">
        <v>1.0</v>
      </c>
      <c r="X3" s="41">
        <v>2.0</v>
      </c>
      <c r="Y3" s="41">
        <v>3.0</v>
      </c>
      <c r="Z3" s="41">
        <v>4.0</v>
      </c>
      <c r="AA3" s="41">
        <v>5.0</v>
      </c>
      <c r="AB3" s="41">
        <v>6.0</v>
      </c>
      <c r="AC3" s="41">
        <v>7.0</v>
      </c>
      <c r="AE3" s="40" t="s">
        <v>20</v>
      </c>
      <c r="AF3" s="41" t="s">
        <v>4</v>
      </c>
      <c r="AG3" s="41">
        <v>1.0</v>
      </c>
      <c r="AH3" s="41">
        <v>2.0</v>
      </c>
      <c r="AI3" s="41">
        <v>3.0</v>
      </c>
      <c r="AJ3" s="41">
        <v>4.0</v>
      </c>
      <c r="AK3" s="41">
        <v>5.0</v>
      </c>
      <c r="AL3" s="41">
        <v>6.0</v>
      </c>
      <c r="AM3" s="41">
        <v>7.0</v>
      </c>
    </row>
    <row r="4" ht="18.75" customHeight="1">
      <c r="A4" s="40"/>
      <c r="B4" s="41"/>
      <c r="C4" s="42">
        <v>1.0</v>
      </c>
      <c r="D4" s="42">
        <v>1.0</v>
      </c>
      <c r="E4" s="42">
        <v>1.0</v>
      </c>
      <c r="F4" s="42">
        <v>0.0</v>
      </c>
      <c r="G4" s="42">
        <v>0.0</v>
      </c>
      <c r="H4" s="42">
        <v>0.0</v>
      </c>
      <c r="I4" s="42">
        <v>0.0</v>
      </c>
      <c r="K4" s="40"/>
      <c r="L4" s="41"/>
      <c r="M4" s="42">
        <v>1.0</v>
      </c>
      <c r="N4" s="42">
        <v>1.0</v>
      </c>
      <c r="O4" s="42">
        <v>0.0</v>
      </c>
      <c r="P4" s="42">
        <v>0.0</v>
      </c>
      <c r="Q4" s="42">
        <v>0.0</v>
      </c>
      <c r="R4" s="42">
        <v>0.0</v>
      </c>
      <c r="S4" s="42">
        <v>1.0</v>
      </c>
      <c r="U4" s="40"/>
      <c r="V4" s="41"/>
      <c r="W4" s="42">
        <v>0.0</v>
      </c>
      <c r="X4" s="42">
        <v>0.0</v>
      </c>
      <c r="Y4" s="42">
        <v>0.0</v>
      </c>
      <c r="Z4" s="42">
        <v>0.0</v>
      </c>
      <c r="AA4" s="42">
        <v>1.0</v>
      </c>
      <c r="AB4" s="42">
        <v>1.0</v>
      </c>
      <c r="AC4" s="42">
        <v>0.0</v>
      </c>
      <c r="AE4" s="40"/>
      <c r="AF4" s="41"/>
      <c r="AG4" s="42">
        <v>0.0</v>
      </c>
      <c r="AH4" s="42">
        <v>0.0</v>
      </c>
      <c r="AI4" s="42">
        <v>1.0</v>
      </c>
      <c r="AJ4" s="42">
        <v>1.0</v>
      </c>
      <c r="AK4" s="42">
        <v>0.0</v>
      </c>
      <c r="AL4" s="42">
        <v>0.0</v>
      </c>
      <c r="AM4" s="42">
        <v>1.0</v>
      </c>
    </row>
    <row r="5" ht="18.75" customHeight="1">
      <c r="A5" s="40"/>
      <c r="B5" s="41">
        <v>8.0</v>
      </c>
      <c r="C5" s="42">
        <v>1.0</v>
      </c>
      <c r="D5" s="42">
        <v>1.0</v>
      </c>
      <c r="E5" s="42">
        <v>0.0</v>
      </c>
      <c r="F5" s="42">
        <v>0.0</v>
      </c>
      <c r="G5" s="42">
        <v>1.0</v>
      </c>
      <c r="H5" s="42">
        <v>1.0</v>
      </c>
      <c r="I5" s="42">
        <v>0.0</v>
      </c>
      <c r="K5" s="40"/>
      <c r="L5" s="41">
        <v>8.0</v>
      </c>
      <c r="M5" s="42">
        <v>1.0</v>
      </c>
      <c r="N5" s="42">
        <v>0.0</v>
      </c>
      <c r="O5" s="42">
        <v>0.0</v>
      </c>
      <c r="P5" s="42">
        <v>1.0</v>
      </c>
      <c r="Q5" s="42">
        <v>1.0</v>
      </c>
      <c r="R5" s="42">
        <v>0.0</v>
      </c>
      <c r="S5" s="42">
        <v>0.0</v>
      </c>
      <c r="U5" s="40"/>
      <c r="V5" s="41">
        <v>8.0</v>
      </c>
      <c r="W5" s="42">
        <v>0.0</v>
      </c>
      <c r="X5" s="42">
        <v>1.0</v>
      </c>
      <c r="Y5" s="42">
        <v>1.0</v>
      </c>
      <c r="Z5" s="42">
        <v>0.0</v>
      </c>
      <c r="AA5" s="42">
        <v>0.0</v>
      </c>
      <c r="AB5" s="42">
        <v>1.0</v>
      </c>
      <c r="AC5" s="42">
        <v>0.0</v>
      </c>
      <c r="AE5" s="40"/>
      <c r="AF5" s="41">
        <v>8.0</v>
      </c>
      <c r="AG5" s="42">
        <v>1.0</v>
      </c>
      <c r="AH5" s="42">
        <v>0.0</v>
      </c>
      <c r="AI5" s="42">
        <v>0.0</v>
      </c>
      <c r="AJ5" s="42">
        <v>1.0</v>
      </c>
      <c r="AK5" s="42">
        <v>0.0</v>
      </c>
      <c r="AL5" s="42">
        <v>1.0</v>
      </c>
      <c r="AM5" s="42">
        <v>0.0</v>
      </c>
    </row>
    <row r="6" ht="18.75" customHeight="1">
      <c r="A6" s="40"/>
      <c r="B6" s="41">
        <v>15.0</v>
      </c>
      <c r="C6" s="42">
        <v>0.0</v>
      </c>
      <c r="D6" s="42">
        <v>1.0</v>
      </c>
      <c r="E6" s="42">
        <v>0.0</v>
      </c>
      <c r="F6" s="42">
        <v>1.0</v>
      </c>
      <c r="G6" s="42">
        <v>0.0</v>
      </c>
      <c r="H6" s="42">
        <v>1.0</v>
      </c>
      <c r="I6" s="42">
        <v>0.0</v>
      </c>
      <c r="K6" s="40"/>
      <c r="L6" s="41">
        <v>15.0</v>
      </c>
      <c r="M6" s="42">
        <v>1.0</v>
      </c>
      <c r="N6" s="42">
        <v>0.0</v>
      </c>
      <c r="O6" s="42">
        <v>1.0</v>
      </c>
      <c r="P6" s="42">
        <v>0.0</v>
      </c>
      <c r="Q6" s="42">
        <v>1.0</v>
      </c>
      <c r="R6" s="42">
        <v>0.0</v>
      </c>
      <c r="S6" s="42">
        <v>1.0</v>
      </c>
      <c r="U6" s="40"/>
      <c r="V6" s="41">
        <v>15.0</v>
      </c>
      <c r="W6" s="42">
        <v>1.0</v>
      </c>
      <c r="X6" s="42">
        <v>0.0</v>
      </c>
      <c r="Y6" s="42">
        <v>1.0</v>
      </c>
      <c r="Z6" s="42">
        <v>0.0</v>
      </c>
      <c r="AA6" s="42">
        <v>1.0</v>
      </c>
      <c r="AB6" s="42">
        <v>0.0</v>
      </c>
      <c r="AC6" s="42">
        <v>1.0</v>
      </c>
      <c r="AE6" s="40"/>
      <c r="AF6" s="41">
        <v>15.0</v>
      </c>
      <c r="AG6" s="42">
        <v>1.0</v>
      </c>
      <c r="AH6" s="42">
        <v>0.0</v>
      </c>
      <c r="AI6" s="42">
        <v>1.0</v>
      </c>
      <c r="AJ6" s="42">
        <v>0.0</v>
      </c>
      <c r="AK6" s="42">
        <v>1.0</v>
      </c>
      <c r="AL6" s="42">
        <v>0.0</v>
      </c>
      <c r="AM6" s="42">
        <v>1.0</v>
      </c>
    </row>
    <row r="7" ht="18.75" customHeight="1">
      <c r="A7" s="40"/>
      <c r="B7" s="41">
        <v>22.0</v>
      </c>
      <c r="C7" s="42">
        <v>1.0</v>
      </c>
      <c r="D7" s="42">
        <v>0.0</v>
      </c>
      <c r="E7" s="42">
        <v>1.0</v>
      </c>
      <c r="F7" s="42">
        <v>0.0</v>
      </c>
      <c r="G7" s="42">
        <v>1.0</v>
      </c>
      <c r="H7" s="42">
        <v>1.0</v>
      </c>
      <c r="I7" s="42">
        <v>1.0</v>
      </c>
      <c r="K7" s="40"/>
      <c r="L7" s="41">
        <v>22.0</v>
      </c>
      <c r="M7" s="42">
        <v>0.0</v>
      </c>
      <c r="N7" s="42">
        <v>1.0</v>
      </c>
      <c r="O7" s="42">
        <v>0.0</v>
      </c>
      <c r="P7" s="42">
        <v>1.0</v>
      </c>
      <c r="Q7" s="42">
        <v>1.0</v>
      </c>
      <c r="R7" s="42">
        <v>1.0</v>
      </c>
      <c r="S7" s="42">
        <v>1.0</v>
      </c>
      <c r="U7" s="40"/>
      <c r="V7" s="41">
        <v>22.0</v>
      </c>
      <c r="W7" s="42">
        <v>0.0</v>
      </c>
      <c r="X7" s="42">
        <v>1.0</v>
      </c>
      <c r="Y7" s="42">
        <v>1.0</v>
      </c>
      <c r="Z7" s="42">
        <v>1.0</v>
      </c>
      <c r="AA7" s="42">
        <v>1.0</v>
      </c>
      <c r="AB7" s="42">
        <v>1.0</v>
      </c>
      <c r="AC7" s="42">
        <v>1.0</v>
      </c>
      <c r="AE7" s="40"/>
      <c r="AF7" s="41">
        <v>22.0</v>
      </c>
      <c r="AG7" s="42">
        <v>1.0</v>
      </c>
      <c r="AH7" s="42">
        <v>1.0</v>
      </c>
      <c r="AI7" s="42">
        <v>1.0</v>
      </c>
      <c r="AJ7" s="42">
        <v>1.0</v>
      </c>
      <c r="AK7" s="42">
        <v>1.0</v>
      </c>
      <c r="AL7" s="42">
        <v>0.0</v>
      </c>
      <c r="AM7" s="42">
        <v>0.0</v>
      </c>
    </row>
    <row r="8" ht="18.75" customHeight="1">
      <c r="A8" s="40"/>
      <c r="B8" s="41">
        <v>29.0</v>
      </c>
      <c r="C8" s="42">
        <v>0.0</v>
      </c>
      <c r="D8" s="42">
        <v>1.0</v>
      </c>
      <c r="E8" s="42">
        <v>0.0</v>
      </c>
      <c r="F8" s="42">
        <v>1.0</v>
      </c>
      <c r="G8" s="42">
        <v>0.0</v>
      </c>
      <c r="H8" s="42">
        <v>1.0</v>
      </c>
      <c r="I8" s="42">
        <v>0.0</v>
      </c>
      <c r="K8" s="40"/>
      <c r="L8" s="41">
        <v>29.0</v>
      </c>
      <c r="M8" s="42">
        <v>1.0</v>
      </c>
      <c r="N8" s="42">
        <v>0.0</v>
      </c>
      <c r="O8" s="42">
        <v>1.0</v>
      </c>
      <c r="P8" s="42">
        <v>0.0</v>
      </c>
      <c r="Q8" s="42">
        <v>1.0</v>
      </c>
      <c r="R8" s="42">
        <v>0.0</v>
      </c>
      <c r="S8" s="42">
        <v>1.0</v>
      </c>
      <c r="U8" s="40"/>
      <c r="V8" s="41">
        <v>29.0</v>
      </c>
      <c r="W8" s="42">
        <v>1.0</v>
      </c>
      <c r="X8" s="42">
        <v>0.0</v>
      </c>
      <c r="Y8" s="42">
        <v>1.0</v>
      </c>
      <c r="Z8" s="42">
        <v>0.0</v>
      </c>
      <c r="AA8" s="42">
        <v>1.0</v>
      </c>
      <c r="AB8" s="42">
        <v>1.0</v>
      </c>
      <c r="AC8" s="42">
        <v>0.0</v>
      </c>
      <c r="AE8" s="40"/>
      <c r="AF8" s="41">
        <v>29.0</v>
      </c>
      <c r="AG8" s="42">
        <v>1.0</v>
      </c>
      <c r="AH8" s="42">
        <v>0.0</v>
      </c>
      <c r="AI8" s="42">
        <v>1.0</v>
      </c>
      <c r="AJ8" s="42">
        <v>1.0</v>
      </c>
      <c r="AK8" s="42">
        <v>0.0</v>
      </c>
      <c r="AL8" s="42">
        <v>0.0</v>
      </c>
      <c r="AM8" s="42">
        <v>1.0</v>
      </c>
    </row>
    <row r="9" ht="18.75" customHeight="1">
      <c r="A9" s="40"/>
      <c r="B9" s="41">
        <v>36.0</v>
      </c>
      <c r="C9" s="42">
        <v>1.0</v>
      </c>
      <c r="D9" s="42">
        <v>1.0</v>
      </c>
      <c r="E9" s="42">
        <v>0.0</v>
      </c>
      <c r="F9" s="42">
        <v>0.0</v>
      </c>
      <c r="G9" s="42">
        <v>1.0</v>
      </c>
      <c r="H9" s="42">
        <v>1.0</v>
      </c>
      <c r="I9" s="42">
        <v>0.0</v>
      </c>
      <c r="K9" s="40"/>
      <c r="L9" s="41">
        <v>36.0</v>
      </c>
      <c r="M9" s="42">
        <v>1.0</v>
      </c>
      <c r="N9" s="42">
        <v>0.0</v>
      </c>
      <c r="O9" s="42">
        <v>0.0</v>
      </c>
      <c r="P9" s="42">
        <v>1.0</v>
      </c>
      <c r="Q9" s="42">
        <v>1.0</v>
      </c>
      <c r="R9" s="42">
        <v>0.0</v>
      </c>
      <c r="S9" s="42">
        <v>0.0</v>
      </c>
      <c r="U9" s="40"/>
      <c r="V9" s="41">
        <v>36.0</v>
      </c>
      <c r="W9" s="42">
        <v>0.0</v>
      </c>
      <c r="X9" s="42">
        <v>1.0</v>
      </c>
      <c r="Y9" s="42">
        <v>1.0</v>
      </c>
      <c r="Z9" s="42">
        <v>0.0</v>
      </c>
      <c r="AA9" s="42">
        <v>0.0</v>
      </c>
      <c r="AB9" s="42">
        <v>1.0</v>
      </c>
      <c r="AC9" s="42">
        <v>1.0</v>
      </c>
      <c r="AE9" s="40"/>
      <c r="AF9" s="41">
        <v>36.0</v>
      </c>
      <c r="AG9" s="42">
        <v>1.0</v>
      </c>
      <c r="AH9" s="42">
        <v>0.0</v>
      </c>
      <c r="AI9" s="42">
        <v>0.0</v>
      </c>
      <c r="AJ9" s="42">
        <v>1.0</v>
      </c>
      <c r="AK9" s="42">
        <v>1.0</v>
      </c>
      <c r="AL9" s="42">
        <v>1.0</v>
      </c>
      <c r="AM9" s="42">
        <v>1.0</v>
      </c>
    </row>
    <row r="10" ht="18.75" customHeight="1">
      <c r="A10" s="40"/>
      <c r="B10" s="41">
        <v>43.0</v>
      </c>
      <c r="C10" s="42">
        <v>0.0</v>
      </c>
      <c r="D10" s="42">
        <v>1.0</v>
      </c>
      <c r="E10" s="42">
        <v>1.0</v>
      </c>
      <c r="F10" s="42">
        <v>1.0</v>
      </c>
      <c r="G10" s="42">
        <v>1.0</v>
      </c>
      <c r="H10" s="42">
        <v>0.0</v>
      </c>
      <c r="I10" s="42">
        <v>0.0</v>
      </c>
      <c r="K10" s="40"/>
      <c r="L10" s="41">
        <v>43.0</v>
      </c>
      <c r="M10" s="42">
        <v>1.0</v>
      </c>
      <c r="N10" s="42">
        <v>1.0</v>
      </c>
      <c r="O10" s="42">
        <v>1.0</v>
      </c>
      <c r="P10" s="42">
        <v>1.0</v>
      </c>
      <c r="Q10" s="42">
        <v>0.0</v>
      </c>
      <c r="R10" s="42">
        <v>0.0</v>
      </c>
      <c r="S10" s="42">
        <v>0.0</v>
      </c>
      <c r="U10" s="40"/>
      <c r="V10" s="41">
        <v>43.0</v>
      </c>
      <c r="W10" s="42">
        <v>1.0</v>
      </c>
      <c r="X10" s="42">
        <v>1.0</v>
      </c>
      <c r="Y10" s="42">
        <v>0.0</v>
      </c>
      <c r="Z10" s="42">
        <v>0.0</v>
      </c>
      <c r="AA10" s="42">
        <v>0.0</v>
      </c>
      <c r="AB10" s="42">
        <v>0.0</v>
      </c>
      <c r="AC10" s="42">
        <v>1.0</v>
      </c>
      <c r="AE10" s="40"/>
      <c r="AF10" s="41">
        <v>43.0</v>
      </c>
      <c r="AG10" s="42">
        <v>0.0</v>
      </c>
      <c r="AH10" s="42">
        <v>0.0</v>
      </c>
      <c r="AI10" s="42">
        <v>0.0</v>
      </c>
      <c r="AJ10" s="42">
        <v>0.0</v>
      </c>
      <c r="AK10" s="42">
        <v>1.0</v>
      </c>
      <c r="AL10" s="42">
        <v>0.0</v>
      </c>
      <c r="AM10" s="42">
        <v>1.0</v>
      </c>
    </row>
    <row r="11" ht="18.75" customHeight="1">
      <c r="A11" s="40"/>
      <c r="B11" s="41">
        <v>50.0</v>
      </c>
      <c r="C11" s="42">
        <v>0.0</v>
      </c>
      <c r="D11" s="42">
        <v>0.0</v>
      </c>
      <c r="E11" s="42">
        <v>1.0</v>
      </c>
      <c r="F11" s="42">
        <v>0.0</v>
      </c>
      <c r="G11" s="42">
        <v>1.0</v>
      </c>
      <c r="H11" s="42">
        <v>0.0</v>
      </c>
      <c r="I11" s="42">
        <v>1.0</v>
      </c>
      <c r="K11" s="40"/>
      <c r="L11" s="41">
        <v>50.0</v>
      </c>
      <c r="M11" s="42">
        <v>0.0</v>
      </c>
      <c r="N11" s="42">
        <v>1.0</v>
      </c>
      <c r="O11" s="42">
        <v>0.0</v>
      </c>
      <c r="P11" s="42">
        <v>1.0</v>
      </c>
      <c r="Q11" s="42">
        <v>0.0</v>
      </c>
      <c r="R11" s="42">
        <v>1.0</v>
      </c>
      <c r="S11" s="42">
        <v>0.0</v>
      </c>
      <c r="U11" s="40"/>
      <c r="V11" s="41">
        <v>50.0</v>
      </c>
      <c r="W11" s="42">
        <v>0.0</v>
      </c>
      <c r="X11" s="42">
        <v>1.0</v>
      </c>
      <c r="Y11" s="42">
        <v>0.0</v>
      </c>
      <c r="Z11" s="42">
        <v>1.0</v>
      </c>
      <c r="AA11" s="42">
        <v>0.0</v>
      </c>
      <c r="AB11" s="42">
        <v>1.0</v>
      </c>
      <c r="AC11" s="42">
        <v>0.0</v>
      </c>
      <c r="AE11" s="40"/>
      <c r="AF11" s="41">
        <v>50.0</v>
      </c>
      <c r="AG11" s="42">
        <v>0.0</v>
      </c>
      <c r="AH11" s="42">
        <v>1.0</v>
      </c>
      <c r="AI11" s="42">
        <v>0.0</v>
      </c>
      <c r="AJ11" s="42">
        <v>1.0</v>
      </c>
      <c r="AK11" s="42">
        <v>0.0</v>
      </c>
      <c r="AL11" s="42">
        <v>1.0</v>
      </c>
      <c r="AM11" s="42">
        <v>0.0</v>
      </c>
    </row>
    <row r="12" ht="18.75" customHeight="1">
      <c r="A12" s="39" t="s">
        <v>21</v>
      </c>
      <c r="B12" s="39"/>
      <c r="K12" s="39" t="s">
        <v>22</v>
      </c>
      <c r="L12" s="39"/>
      <c r="U12" s="39" t="s">
        <v>23</v>
      </c>
      <c r="V12" s="39"/>
      <c r="AE12" s="39" t="s">
        <v>24</v>
      </c>
      <c r="AF12" s="39"/>
    </row>
    <row r="13" ht="18.75" customHeight="1">
      <c r="A13" s="40" t="s">
        <v>25</v>
      </c>
      <c r="B13" s="41" t="s">
        <v>4</v>
      </c>
      <c r="C13" s="41">
        <v>1.0</v>
      </c>
      <c r="D13" s="41">
        <v>2.0</v>
      </c>
      <c r="E13" s="41">
        <v>3.0</v>
      </c>
      <c r="F13" s="41">
        <v>4.0</v>
      </c>
      <c r="G13" s="41">
        <v>5.0</v>
      </c>
      <c r="H13" s="41">
        <v>6.0</v>
      </c>
      <c r="I13" s="41">
        <v>7.0</v>
      </c>
      <c r="K13" s="40" t="s">
        <v>26</v>
      </c>
      <c r="L13" s="41" t="s">
        <v>4</v>
      </c>
      <c r="M13" s="41">
        <v>1.0</v>
      </c>
      <c r="N13" s="41">
        <v>2.0</v>
      </c>
      <c r="O13" s="41">
        <v>3.0</v>
      </c>
      <c r="P13" s="41">
        <v>4.0</v>
      </c>
      <c r="Q13" s="41">
        <v>5.0</v>
      </c>
      <c r="R13" s="41">
        <v>6.0</v>
      </c>
      <c r="S13" s="41">
        <v>7.0</v>
      </c>
      <c r="U13" s="40" t="s">
        <v>27</v>
      </c>
      <c r="V13" s="41" t="s">
        <v>4</v>
      </c>
      <c r="W13" s="41">
        <v>1.0</v>
      </c>
      <c r="X13" s="41">
        <v>2.0</v>
      </c>
      <c r="Y13" s="41">
        <v>3.0</v>
      </c>
      <c r="Z13" s="41">
        <v>4.0</v>
      </c>
      <c r="AA13" s="41">
        <v>5.0</v>
      </c>
      <c r="AB13" s="41">
        <v>6.0</v>
      </c>
      <c r="AC13" s="41">
        <v>7.0</v>
      </c>
      <c r="AE13" s="40" t="s">
        <v>28</v>
      </c>
      <c r="AF13" s="41" t="s">
        <v>4</v>
      </c>
      <c r="AG13" s="41">
        <v>1.0</v>
      </c>
      <c r="AH13" s="41">
        <v>2.0</v>
      </c>
      <c r="AI13" s="41">
        <v>3.0</v>
      </c>
      <c r="AJ13" s="41">
        <v>4.0</v>
      </c>
      <c r="AK13" s="41">
        <v>5.0</v>
      </c>
      <c r="AL13" s="41">
        <v>6.0</v>
      </c>
      <c r="AM13" s="41">
        <v>7.0</v>
      </c>
    </row>
    <row r="14" ht="18.75" customHeight="1">
      <c r="A14" s="40"/>
      <c r="B14" s="41"/>
      <c r="C14" s="42">
        <v>1.0</v>
      </c>
      <c r="D14" s="42">
        <v>1.0</v>
      </c>
      <c r="E14" s="42">
        <v>0.0</v>
      </c>
      <c r="F14" s="42">
        <v>0.0</v>
      </c>
      <c r="G14" s="42">
        <v>1.0</v>
      </c>
      <c r="H14" s="42">
        <v>1.0</v>
      </c>
      <c r="I14" s="42">
        <v>0.0</v>
      </c>
      <c r="K14" s="40"/>
      <c r="L14" s="41"/>
      <c r="M14" s="42">
        <v>0.0</v>
      </c>
      <c r="N14" s="42">
        <v>0.0</v>
      </c>
      <c r="O14" s="42">
        <v>1.0</v>
      </c>
      <c r="P14" s="42">
        <v>1.0</v>
      </c>
      <c r="Q14" s="42">
        <v>0.0</v>
      </c>
      <c r="R14" s="42">
        <v>0.0</v>
      </c>
      <c r="S14" s="42">
        <v>1.0</v>
      </c>
      <c r="U14" s="40"/>
      <c r="V14" s="41"/>
      <c r="W14" s="42">
        <v>1.0</v>
      </c>
      <c r="X14" s="42">
        <v>1.0</v>
      </c>
      <c r="Y14" s="42">
        <v>0.0</v>
      </c>
      <c r="Z14" s="42">
        <v>0.0</v>
      </c>
      <c r="AA14" s="42">
        <v>1.0</v>
      </c>
      <c r="AB14" s="42">
        <v>0.0</v>
      </c>
      <c r="AC14" s="42">
        <v>1.0</v>
      </c>
      <c r="AE14" s="40"/>
      <c r="AF14" s="41"/>
      <c r="AG14" s="42">
        <v>0.0</v>
      </c>
      <c r="AH14" s="42">
        <v>0.0</v>
      </c>
      <c r="AI14" s="42">
        <v>1.0</v>
      </c>
      <c r="AJ14" s="42">
        <v>0.0</v>
      </c>
      <c r="AK14" s="42">
        <v>1.0</v>
      </c>
      <c r="AL14" s="42">
        <v>0.0</v>
      </c>
      <c r="AM14" s="42">
        <v>1.0</v>
      </c>
    </row>
    <row r="15" ht="18.75" customHeight="1">
      <c r="A15" s="40"/>
      <c r="B15" s="41">
        <v>8.0</v>
      </c>
      <c r="C15" s="42">
        <v>0.0</v>
      </c>
      <c r="D15" s="42">
        <v>1.0</v>
      </c>
      <c r="E15" s="42">
        <v>0.0</v>
      </c>
      <c r="F15" s="42">
        <v>1.0</v>
      </c>
      <c r="G15" s="42">
        <v>0.0</v>
      </c>
      <c r="H15" s="42">
        <v>1.0</v>
      </c>
      <c r="I15" s="42">
        <v>0.0</v>
      </c>
      <c r="K15" s="40"/>
      <c r="L15" s="41">
        <v>8.0</v>
      </c>
      <c r="M15" s="42">
        <v>0.0</v>
      </c>
      <c r="N15" s="42">
        <v>1.0</v>
      </c>
      <c r="O15" s="42">
        <v>0.0</v>
      </c>
      <c r="P15" s="42">
        <v>1.0</v>
      </c>
      <c r="Q15" s="42">
        <v>0.0</v>
      </c>
      <c r="R15" s="42">
        <v>1.0</v>
      </c>
      <c r="S15" s="42">
        <v>0.0</v>
      </c>
      <c r="U15" s="40"/>
      <c r="V15" s="41">
        <v>8.0</v>
      </c>
      <c r="W15" s="42">
        <v>0.0</v>
      </c>
      <c r="X15" s="42">
        <v>1.0</v>
      </c>
      <c r="Y15" s="42">
        <v>0.0</v>
      </c>
      <c r="Z15" s="42">
        <v>1.0</v>
      </c>
      <c r="AA15" s="42">
        <v>0.0</v>
      </c>
      <c r="AB15" s="42">
        <v>1.0</v>
      </c>
      <c r="AC15" s="42">
        <v>0.0</v>
      </c>
      <c r="AE15" s="40"/>
      <c r="AF15" s="41">
        <v>8.0</v>
      </c>
      <c r="AG15" s="42">
        <v>0.0</v>
      </c>
      <c r="AH15" s="42">
        <v>1.0</v>
      </c>
      <c r="AI15" s="42">
        <v>0.0</v>
      </c>
      <c r="AJ15" s="42">
        <v>1.0</v>
      </c>
      <c r="AK15" s="42">
        <v>0.0</v>
      </c>
      <c r="AL15" s="42">
        <v>1.0</v>
      </c>
      <c r="AM15" s="42">
        <v>1.0</v>
      </c>
    </row>
    <row r="16" ht="18.75" customHeight="1">
      <c r="A16" s="40"/>
      <c r="B16" s="41">
        <v>15.0</v>
      </c>
      <c r="C16" s="42">
        <v>1.0</v>
      </c>
      <c r="D16" s="42">
        <v>0.0</v>
      </c>
      <c r="E16" s="42">
        <v>1.0</v>
      </c>
      <c r="F16" s="42">
        <v>0.0</v>
      </c>
      <c r="G16" s="42">
        <v>1.0</v>
      </c>
      <c r="H16" s="42">
        <v>1.0</v>
      </c>
      <c r="I16" s="42">
        <v>1.0</v>
      </c>
      <c r="K16" s="40"/>
      <c r="L16" s="41">
        <v>15.0</v>
      </c>
      <c r="M16" s="42">
        <v>1.0</v>
      </c>
      <c r="N16" s="42">
        <v>0.0</v>
      </c>
      <c r="O16" s="42">
        <v>1.0</v>
      </c>
      <c r="P16" s="42">
        <v>1.0</v>
      </c>
      <c r="Q16" s="42">
        <v>1.0</v>
      </c>
      <c r="R16" s="42">
        <v>1.0</v>
      </c>
      <c r="S16" s="42">
        <v>1.0</v>
      </c>
      <c r="U16" s="40"/>
      <c r="V16" s="41">
        <v>15.0</v>
      </c>
      <c r="W16" s="42">
        <v>1.0</v>
      </c>
      <c r="X16" s="42">
        <v>1.0</v>
      </c>
      <c r="Y16" s="42">
        <v>1.0</v>
      </c>
      <c r="Z16" s="42">
        <v>1.0</v>
      </c>
      <c r="AA16" s="42">
        <v>1.0</v>
      </c>
      <c r="AB16" s="42">
        <v>1.0</v>
      </c>
      <c r="AC16" s="42">
        <v>0.0</v>
      </c>
      <c r="AE16" s="40"/>
      <c r="AF16" s="41">
        <v>15.0</v>
      </c>
      <c r="AG16" s="42">
        <v>1.0</v>
      </c>
      <c r="AH16" s="42">
        <v>1.0</v>
      </c>
      <c r="AI16" s="42">
        <v>1.0</v>
      </c>
      <c r="AJ16" s="42">
        <v>1.0</v>
      </c>
      <c r="AK16" s="42">
        <v>0.0</v>
      </c>
      <c r="AL16" s="42">
        <v>0.0</v>
      </c>
      <c r="AM16" s="42">
        <v>0.0</v>
      </c>
    </row>
    <row r="17" ht="18.75" customHeight="1">
      <c r="A17" s="40"/>
      <c r="B17" s="41">
        <v>22.0</v>
      </c>
      <c r="C17" s="42">
        <v>1.0</v>
      </c>
      <c r="D17" s="42">
        <v>1.0</v>
      </c>
      <c r="E17" s="42">
        <v>1.0</v>
      </c>
      <c r="F17" s="42">
        <v>0.0</v>
      </c>
      <c r="G17" s="42">
        <v>0.0</v>
      </c>
      <c r="H17" s="42">
        <v>0.0</v>
      </c>
      <c r="I17" s="42">
        <v>0.0</v>
      </c>
      <c r="K17" s="40"/>
      <c r="L17" s="41">
        <v>22.0</v>
      </c>
      <c r="M17" s="42">
        <v>1.0</v>
      </c>
      <c r="N17" s="42">
        <v>0.0</v>
      </c>
      <c r="O17" s="42">
        <v>0.0</v>
      </c>
      <c r="P17" s="42">
        <v>0.0</v>
      </c>
      <c r="Q17" s="42">
        <v>0.0</v>
      </c>
      <c r="R17" s="42">
        <v>1.0</v>
      </c>
      <c r="S17" s="42">
        <v>1.0</v>
      </c>
      <c r="U17" s="40"/>
      <c r="V17" s="41">
        <v>22.0</v>
      </c>
      <c r="W17" s="42">
        <v>0.0</v>
      </c>
      <c r="X17" s="42">
        <v>0.0</v>
      </c>
      <c r="Y17" s="42">
        <v>0.0</v>
      </c>
      <c r="Z17" s="42">
        <v>1.0</v>
      </c>
      <c r="AA17" s="42">
        <v>1.0</v>
      </c>
      <c r="AB17" s="42">
        <v>0.0</v>
      </c>
      <c r="AC17" s="42">
        <v>0.0</v>
      </c>
      <c r="AE17" s="40"/>
      <c r="AF17" s="41">
        <v>22.0</v>
      </c>
      <c r="AG17" s="42">
        <v>0.0</v>
      </c>
      <c r="AH17" s="42">
        <v>1.0</v>
      </c>
      <c r="AI17" s="42">
        <v>1.0</v>
      </c>
      <c r="AJ17" s="42">
        <v>0.0</v>
      </c>
      <c r="AK17" s="42">
        <v>0.0</v>
      </c>
      <c r="AL17" s="42">
        <v>1.0</v>
      </c>
      <c r="AM17" s="42">
        <v>1.0</v>
      </c>
    </row>
    <row r="18" ht="18.75" customHeight="1">
      <c r="A18" s="40"/>
      <c r="B18" s="41">
        <v>29.0</v>
      </c>
      <c r="C18" s="42">
        <v>1.0</v>
      </c>
      <c r="D18" s="42">
        <v>1.0</v>
      </c>
      <c r="E18" s="42">
        <v>0.0</v>
      </c>
      <c r="F18" s="42">
        <v>0.0</v>
      </c>
      <c r="G18" s="42">
        <v>1.0</v>
      </c>
      <c r="H18" s="42">
        <v>1.0</v>
      </c>
      <c r="I18" s="42">
        <v>0.0</v>
      </c>
      <c r="K18" s="40"/>
      <c r="L18" s="41">
        <v>29.0</v>
      </c>
      <c r="M18" s="42">
        <v>0.0</v>
      </c>
      <c r="N18" s="42">
        <v>0.0</v>
      </c>
      <c r="O18" s="42">
        <v>1.0</v>
      </c>
      <c r="P18" s="42">
        <v>1.0</v>
      </c>
      <c r="Q18" s="42">
        <v>0.0</v>
      </c>
      <c r="R18" s="42">
        <v>0.0</v>
      </c>
      <c r="S18" s="42">
        <v>1.0</v>
      </c>
      <c r="U18" s="40"/>
      <c r="V18" s="41">
        <v>29.0</v>
      </c>
      <c r="W18" s="42">
        <v>1.0</v>
      </c>
      <c r="X18" s="42">
        <v>1.0</v>
      </c>
      <c r="Y18" s="42">
        <v>0.0</v>
      </c>
      <c r="Z18" s="42">
        <v>0.0</v>
      </c>
      <c r="AA18" s="42">
        <v>1.0</v>
      </c>
      <c r="AB18" s="42">
        <v>1.0</v>
      </c>
      <c r="AC18" s="42">
        <v>1.0</v>
      </c>
      <c r="AE18" s="40"/>
      <c r="AF18" s="41">
        <v>20.0</v>
      </c>
      <c r="AG18" s="42">
        <v>0.0</v>
      </c>
      <c r="AH18" s="42">
        <v>0.0</v>
      </c>
      <c r="AI18" s="42">
        <v>1.0</v>
      </c>
      <c r="AJ18" s="42">
        <v>1.0</v>
      </c>
      <c r="AK18" s="42">
        <v>1.0</v>
      </c>
      <c r="AL18" s="42">
        <v>1.0</v>
      </c>
      <c r="AM18" s="42">
        <v>0.0</v>
      </c>
    </row>
    <row r="19" ht="18.75" customHeight="1">
      <c r="A19" s="40"/>
      <c r="B19" s="41">
        <v>36.0</v>
      </c>
      <c r="C19" s="42">
        <v>0.0</v>
      </c>
      <c r="D19" s="42">
        <v>1.0</v>
      </c>
      <c r="E19" s="42">
        <v>1.0</v>
      </c>
      <c r="F19" s="42">
        <v>1.0</v>
      </c>
      <c r="G19" s="42">
        <v>1.0</v>
      </c>
      <c r="H19" s="42">
        <v>0.0</v>
      </c>
      <c r="I19" s="42">
        <v>0.0</v>
      </c>
      <c r="K19" s="40"/>
      <c r="L19" s="41">
        <v>36.0</v>
      </c>
      <c r="M19" s="42">
        <v>1.0</v>
      </c>
      <c r="N19" s="42">
        <v>1.0</v>
      </c>
      <c r="O19" s="42">
        <v>1.0</v>
      </c>
      <c r="P19" s="42">
        <v>0.0</v>
      </c>
      <c r="Q19" s="42">
        <v>0.0</v>
      </c>
      <c r="R19" s="42">
        <v>0.0</v>
      </c>
      <c r="S19" s="42">
        <v>0.0</v>
      </c>
      <c r="U19" s="40"/>
      <c r="V19" s="41">
        <v>36.0</v>
      </c>
      <c r="W19" s="42">
        <v>1.0</v>
      </c>
      <c r="X19" s="42">
        <v>0.0</v>
      </c>
      <c r="Y19" s="42">
        <v>0.0</v>
      </c>
      <c r="Z19" s="42">
        <v>0.0</v>
      </c>
      <c r="AA19" s="42">
        <v>0.0</v>
      </c>
      <c r="AB19" s="42">
        <v>1.0</v>
      </c>
      <c r="AC19" s="42">
        <v>0.0</v>
      </c>
      <c r="AE19" s="40"/>
      <c r="AF19" s="41">
        <v>36.0</v>
      </c>
      <c r="AG19" s="42">
        <v>0.0</v>
      </c>
      <c r="AH19" s="42">
        <v>0.0</v>
      </c>
      <c r="AI19" s="42">
        <v>0.0</v>
      </c>
      <c r="AJ19" s="42">
        <v>1.0</v>
      </c>
      <c r="AK19" s="42">
        <v>0.0</v>
      </c>
      <c r="AL19" s="42">
        <v>1.0</v>
      </c>
      <c r="AM19" s="42">
        <v>0.0</v>
      </c>
    </row>
    <row r="20" ht="18.75" customHeight="1">
      <c r="A20" s="40"/>
      <c r="B20" s="41">
        <v>43.0</v>
      </c>
      <c r="C20" s="42">
        <v>0.0</v>
      </c>
      <c r="D20" s="42">
        <v>0.0</v>
      </c>
      <c r="E20" s="42">
        <v>1.0</v>
      </c>
      <c r="F20" s="42">
        <v>0.0</v>
      </c>
      <c r="G20" s="42">
        <v>1.0</v>
      </c>
      <c r="H20" s="42">
        <v>0.0</v>
      </c>
      <c r="I20" s="42">
        <v>1.0</v>
      </c>
      <c r="K20" s="40"/>
      <c r="L20" s="41">
        <v>43.0</v>
      </c>
      <c r="M20" s="42">
        <v>1.0</v>
      </c>
      <c r="N20" s="42">
        <v>0.0</v>
      </c>
      <c r="O20" s="42">
        <v>1.0</v>
      </c>
      <c r="P20" s="42">
        <v>0.0</v>
      </c>
      <c r="Q20" s="42">
        <v>1.0</v>
      </c>
      <c r="R20" s="42">
        <v>0.0</v>
      </c>
      <c r="S20" s="42">
        <v>1.0</v>
      </c>
      <c r="U20" s="40"/>
      <c r="V20" s="41">
        <v>43.0</v>
      </c>
      <c r="W20" s="42">
        <v>1.0</v>
      </c>
      <c r="X20" s="42">
        <v>0.0</v>
      </c>
      <c r="Y20" s="42">
        <v>1.0</v>
      </c>
      <c r="Z20" s="42">
        <v>0.0</v>
      </c>
      <c r="AA20" s="42">
        <v>1.0</v>
      </c>
      <c r="AB20" s="42">
        <v>0.0</v>
      </c>
      <c r="AC20" s="42">
        <v>1.0</v>
      </c>
      <c r="AE20" s="40"/>
      <c r="AF20" s="41">
        <v>43.0</v>
      </c>
      <c r="AG20" s="42">
        <v>1.0</v>
      </c>
      <c r="AH20" s="42">
        <v>0.0</v>
      </c>
      <c r="AI20" s="42">
        <v>1.0</v>
      </c>
      <c r="AJ20" s="42">
        <v>0.0</v>
      </c>
      <c r="AK20" s="42">
        <v>1.0</v>
      </c>
      <c r="AL20" s="42">
        <v>0.0</v>
      </c>
      <c r="AM20" s="42">
        <v>1.0</v>
      </c>
    </row>
    <row r="21" ht="18.75" customHeight="1">
      <c r="A21" s="40"/>
      <c r="B21" s="41">
        <v>50.0</v>
      </c>
      <c r="C21" s="42">
        <v>0.0</v>
      </c>
      <c r="D21" s="42">
        <v>1.0</v>
      </c>
      <c r="E21" s="42">
        <v>0.0</v>
      </c>
      <c r="F21" s="42">
        <v>1.0</v>
      </c>
      <c r="G21" s="42">
        <v>0.0</v>
      </c>
      <c r="H21" s="42">
        <v>1.0</v>
      </c>
      <c r="I21" s="42">
        <v>0.0</v>
      </c>
      <c r="K21" s="40"/>
      <c r="L21" s="41">
        <v>50.0</v>
      </c>
      <c r="M21" s="42">
        <v>0.0</v>
      </c>
      <c r="N21" s="42">
        <v>1.0</v>
      </c>
      <c r="O21" s="42">
        <v>0.0</v>
      </c>
      <c r="P21" s="42">
        <v>1.0</v>
      </c>
      <c r="Q21" s="42">
        <v>0.0</v>
      </c>
      <c r="R21" s="42">
        <v>1.0</v>
      </c>
      <c r="S21" s="42">
        <v>1.0</v>
      </c>
      <c r="U21" s="40"/>
      <c r="V21" s="41">
        <v>50.0</v>
      </c>
      <c r="W21" s="42">
        <v>0.0</v>
      </c>
      <c r="X21" s="42">
        <v>1.0</v>
      </c>
      <c r="Y21" s="42">
        <v>0.0</v>
      </c>
      <c r="Z21" s="42">
        <v>1.0</v>
      </c>
      <c r="AA21" s="42">
        <v>1.0</v>
      </c>
      <c r="AB21" s="42">
        <v>0.0</v>
      </c>
      <c r="AC21" s="42">
        <v>0.0</v>
      </c>
      <c r="AE21" s="40"/>
      <c r="AF21" s="41">
        <v>50.0</v>
      </c>
      <c r="AG21" s="42">
        <v>0.0</v>
      </c>
      <c r="AH21" s="42">
        <v>1.0</v>
      </c>
      <c r="AI21" s="42">
        <v>1.0</v>
      </c>
      <c r="AJ21" s="42">
        <v>0.0</v>
      </c>
      <c r="AK21" s="42">
        <v>0.0</v>
      </c>
      <c r="AL21" s="42">
        <v>1.0</v>
      </c>
      <c r="AM21" s="42">
        <v>1.0</v>
      </c>
    </row>
    <row r="22" ht="18.75" customHeight="1">
      <c r="A22" s="39" t="s">
        <v>29</v>
      </c>
      <c r="B22" s="39"/>
      <c r="K22" s="39" t="s">
        <v>30</v>
      </c>
      <c r="L22" s="39"/>
      <c r="U22" s="39" t="s">
        <v>31</v>
      </c>
      <c r="V22" s="39"/>
      <c r="AE22" s="39" t="s">
        <v>32</v>
      </c>
      <c r="AF22" s="39"/>
    </row>
    <row r="23" ht="18.75" customHeight="1">
      <c r="A23" s="40" t="s">
        <v>33</v>
      </c>
      <c r="B23" s="41" t="s">
        <v>4</v>
      </c>
      <c r="C23" s="41">
        <v>1.0</v>
      </c>
      <c r="D23" s="41">
        <v>2.0</v>
      </c>
      <c r="E23" s="41">
        <v>3.0</v>
      </c>
      <c r="F23" s="41">
        <v>4.0</v>
      </c>
      <c r="G23" s="41">
        <v>5.0</v>
      </c>
      <c r="H23" s="41">
        <v>6.0</v>
      </c>
      <c r="I23" s="41">
        <v>7.0</v>
      </c>
      <c r="K23" s="40" t="s">
        <v>34</v>
      </c>
      <c r="L23" s="41" t="s">
        <v>4</v>
      </c>
      <c r="M23" s="41">
        <v>1.0</v>
      </c>
      <c r="N23" s="41">
        <v>2.0</v>
      </c>
      <c r="O23" s="41">
        <v>3.0</v>
      </c>
      <c r="P23" s="41">
        <v>4.0</v>
      </c>
      <c r="Q23" s="41">
        <v>5.0</v>
      </c>
      <c r="R23" s="41">
        <v>6.0</v>
      </c>
      <c r="S23" s="41">
        <v>7.0</v>
      </c>
      <c r="U23" s="40" t="s">
        <v>35</v>
      </c>
      <c r="V23" s="41" t="s">
        <v>4</v>
      </c>
      <c r="W23" s="41">
        <v>1.0</v>
      </c>
      <c r="X23" s="41">
        <v>2.0</v>
      </c>
      <c r="Y23" s="41">
        <v>3.0</v>
      </c>
      <c r="Z23" s="41">
        <v>4.0</v>
      </c>
      <c r="AA23" s="41">
        <v>5.0</v>
      </c>
      <c r="AB23" s="41">
        <v>6.0</v>
      </c>
      <c r="AC23" s="41">
        <v>7.0</v>
      </c>
      <c r="AE23" s="40" t="s">
        <v>36</v>
      </c>
      <c r="AF23" s="41" t="s">
        <v>4</v>
      </c>
      <c r="AG23" s="41">
        <v>1.0</v>
      </c>
      <c r="AH23" s="41">
        <v>2.0</v>
      </c>
      <c r="AI23" s="41">
        <v>3.0</v>
      </c>
      <c r="AJ23" s="41">
        <v>4.0</v>
      </c>
      <c r="AK23" s="41">
        <v>5.0</v>
      </c>
      <c r="AL23" s="41">
        <v>6.0</v>
      </c>
      <c r="AM23" s="41">
        <v>7.0</v>
      </c>
    </row>
    <row r="24" ht="18.75" customHeight="1">
      <c r="A24" s="40"/>
      <c r="B24" s="41"/>
      <c r="C24" s="42">
        <v>0.0</v>
      </c>
      <c r="D24" s="42">
        <v>1.0</v>
      </c>
      <c r="E24" s="42">
        <v>0.0</v>
      </c>
      <c r="F24" s="42">
        <v>1.0</v>
      </c>
      <c r="G24" s="42">
        <v>0.0</v>
      </c>
      <c r="H24" s="42">
        <v>1.0</v>
      </c>
      <c r="I24" s="42">
        <v>0.0</v>
      </c>
      <c r="K24" s="40"/>
      <c r="L24" s="41"/>
      <c r="M24" s="42">
        <v>0.0</v>
      </c>
      <c r="N24" s="42">
        <v>1.0</v>
      </c>
      <c r="O24" s="42">
        <v>0.0</v>
      </c>
      <c r="P24" s="42">
        <v>1.0</v>
      </c>
      <c r="Q24" s="42">
        <v>0.0</v>
      </c>
      <c r="R24" s="42">
        <v>1.0</v>
      </c>
      <c r="S24" s="42">
        <v>0.0</v>
      </c>
      <c r="U24" s="40"/>
      <c r="V24" s="41"/>
      <c r="W24" s="42">
        <v>0.0</v>
      </c>
      <c r="X24" s="42">
        <v>1.0</v>
      </c>
      <c r="Y24" s="42">
        <v>0.0</v>
      </c>
      <c r="Z24" s="42">
        <v>1.0</v>
      </c>
      <c r="AA24" s="42">
        <v>0.0</v>
      </c>
      <c r="AB24" s="42">
        <v>1.0</v>
      </c>
      <c r="AC24" s="42">
        <v>0.0</v>
      </c>
      <c r="AE24" s="40"/>
      <c r="AF24" s="41"/>
      <c r="AG24" s="42">
        <v>0.0</v>
      </c>
      <c r="AH24" s="42">
        <v>1.0</v>
      </c>
      <c r="AI24" s="42">
        <v>0.0</v>
      </c>
      <c r="AJ24" s="42">
        <v>1.0</v>
      </c>
      <c r="AK24" s="42">
        <v>0.0</v>
      </c>
      <c r="AL24" s="42">
        <v>1.0</v>
      </c>
      <c r="AM24" s="42">
        <v>1.0</v>
      </c>
    </row>
    <row r="25" ht="18.75" customHeight="1">
      <c r="A25" s="40"/>
      <c r="B25" s="41">
        <v>8.0</v>
      </c>
      <c r="C25" s="42">
        <v>1.0</v>
      </c>
      <c r="D25" s="42">
        <v>0.0</v>
      </c>
      <c r="E25" s="42">
        <v>1.0</v>
      </c>
      <c r="F25" s="42">
        <v>0.0</v>
      </c>
      <c r="G25" s="42">
        <v>1.0</v>
      </c>
      <c r="H25" s="42">
        <v>1.0</v>
      </c>
      <c r="I25" s="42">
        <v>1.0</v>
      </c>
      <c r="K25" s="40"/>
      <c r="L25" s="41">
        <v>8.0</v>
      </c>
      <c r="M25" s="42">
        <v>1.0</v>
      </c>
      <c r="N25" s="42">
        <v>0.0</v>
      </c>
      <c r="O25" s="42">
        <v>1.0</v>
      </c>
      <c r="P25" s="42">
        <v>1.0</v>
      </c>
      <c r="Q25" s="42">
        <v>1.0</v>
      </c>
      <c r="R25" s="42">
        <v>1.0</v>
      </c>
      <c r="S25" s="42">
        <v>1.0</v>
      </c>
      <c r="U25" s="40"/>
      <c r="V25" s="41">
        <v>8.0</v>
      </c>
      <c r="W25" s="42">
        <v>1.0</v>
      </c>
      <c r="X25" s="42">
        <v>1.0</v>
      </c>
      <c r="Y25" s="42">
        <v>1.0</v>
      </c>
      <c r="Z25" s="42">
        <v>1.0</v>
      </c>
      <c r="AA25" s="42">
        <v>1.0</v>
      </c>
      <c r="AB25" s="42">
        <v>1.0</v>
      </c>
      <c r="AC25" s="42">
        <v>0.0</v>
      </c>
      <c r="AE25" s="40"/>
      <c r="AF25" s="41">
        <v>8.0</v>
      </c>
      <c r="AG25" s="42">
        <v>1.0</v>
      </c>
      <c r="AH25" s="42">
        <v>1.0</v>
      </c>
      <c r="AI25" s="42">
        <v>1.0</v>
      </c>
      <c r="AJ25" s="42">
        <v>1.0</v>
      </c>
      <c r="AK25" s="42">
        <v>0.0</v>
      </c>
      <c r="AL25" s="42">
        <v>0.0</v>
      </c>
      <c r="AM25" s="42">
        <v>0.0</v>
      </c>
    </row>
    <row r="26" ht="18.75" customHeight="1">
      <c r="A26" s="40"/>
      <c r="B26" s="41">
        <v>15.0</v>
      </c>
      <c r="C26" s="42">
        <v>1.0</v>
      </c>
      <c r="D26" s="42">
        <v>1.0</v>
      </c>
      <c r="E26" s="42">
        <v>1.0</v>
      </c>
      <c r="F26" s="42">
        <v>0.0</v>
      </c>
      <c r="G26" s="42">
        <v>0.0</v>
      </c>
      <c r="H26" s="42">
        <v>0.0</v>
      </c>
      <c r="I26" s="42">
        <v>0.0</v>
      </c>
      <c r="K26" s="40"/>
      <c r="L26" s="41">
        <v>15.0</v>
      </c>
      <c r="M26" s="42">
        <v>1.0</v>
      </c>
      <c r="N26" s="42">
        <v>0.0</v>
      </c>
      <c r="O26" s="42">
        <v>0.0</v>
      </c>
      <c r="P26" s="42">
        <v>0.0</v>
      </c>
      <c r="Q26" s="42">
        <v>0.0</v>
      </c>
      <c r="R26" s="42">
        <v>1.0</v>
      </c>
      <c r="S26" s="42">
        <v>1.0</v>
      </c>
      <c r="U26" s="40"/>
      <c r="V26" s="41">
        <v>15.0</v>
      </c>
      <c r="W26" s="42">
        <v>0.0</v>
      </c>
      <c r="X26" s="42">
        <v>0.0</v>
      </c>
      <c r="Y26" s="42">
        <v>0.0</v>
      </c>
      <c r="Z26" s="42">
        <v>1.0</v>
      </c>
      <c r="AA26" s="42">
        <v>1.0</v>
      </c>
      <c r="AB26" s="42">
        <v>0.0</v>
      </c>
      <c r="AC26" s="42">
        <v>0.0</v>
      </c>
      <c r="AE26" s="40"/>
      <c r="AF26" s="41">
        <v>15.0</v>
      </c>
      <c r="AG26" s="42">
        <v>0.0</v>
      </c>
      <c r="AH26" s="42">
        <v>1.0</v>
      </c>
      <c r="AI26" s="42">
        <v>1.0</v>
      </c>
      <c r="AJ26" s="42">
        <v>0.0</v>
      </c>
      <c r="AK26" s="42">
        <v>0.0</v>
      </c>
      <c r="AL26" s="42">
        <v>1.0</v>
      </c>
      <c r="AM26" s="42">
        <v>1.0</v>
      </c>
    </row>
    <row r="27" ht="18.75" customHeight="1">
      <c r="A27" s="40"/>
      <c r="B27" s="41">
        <v>22.0</v>
      </c>
      <c r="C27" s="42">
        <v>1.0</v>
      </c>
      <c r="D27" s="42">
        <v>1.0</v>
      </c>
      <c r="E27" s="42">
        <v>0.0</v>
      </c>
      <c r="F27" s="42">
        <v>0.0</v>
      </c>
      <c r="G27" s="42">
        <v>1.0</v>
      </c>
      <c r="H27" s="42">
        <v>1.0</v>
      </c>
      <c r="I27" s="42">
        <v>0.0</v>
      </c>
      <c r="K27" s="40"/>
      <c r="L27" s="41">
        <v>22.0</v>
      </c>
      <c r="M27" s="42">
        <v>0.0</v>
      </c>
      <c r="N27" s="42">
        <v>0.0</v>
      </c>
      <c r="O27" s="42">
        <v>1.0</v>
      </c>
      <c r="P27" s="42">
        <v>1.0</v>
      </c>
      <c r="Q27" s="42">
        <v>0.0</v>
      </c>
      <c r="R27" s="42">
        <v>0.0</v>
      </c>
      <c r="S27" s="42">
        <v>1.0</v>
      </c>
      <c r="U27" s="40"/>
      <c r="V27" s="41">
        <v>22.0</v>
      </c>
      <c r="W27" s="42">
        <v>1.0</v>
      </c>
      <c r="X27" s="42">
        <v>1.0</v>
      </c>
      <c r="Y27" s="42">
        <v>0.0</v>
      </c>
      <c r="Z27" s="42">
        <v>0.0</v>
      </c>
      <c r="AA27" s="42">
        <v>1.0</v>
      </c>
      <c r="AB27" s="42">
        <v>0.0</v>
      </c>
      <c r="AC27" s="42">
        <v>1.0</v>
      </c>
      <c r="AE27" s="40"/>
      <c r="AF27" s="41">
        <v>22.0</v>
      </c>
      <c r="AG27" s="42">
        <v>0.0</v>
      </c>
      <c r="AH27" s="42">
        <v>0.0</v>
      </c>
      <c r="AI27" s="42">
        <v>1.0</v>
      </c>
      <c r="AJ27" s="42">
        <v>0.0</v>
      </c>
      <c r="AK27" s="42">
        <v>1.0</v>
      </c>
      <c r="AL27" s="42">
        <v>0.0</v>
      </c>
      <c r="AM27" s="42">
        <v>1.0</v>
      </c>
    </row>
    <row r="28" ht="18.75" customHeight="1">
      <c r="A28" s="40"/>
      <c r="B28" s="41">
        <v>29.0</v>
      </c>
      <c r="C28" s="42">
        <v>0.0</v>
      </c>
      <c r="D28" s="42">
        <v>1.0</v>
      </c>
      <c r="E28" s="42">
        <v>1.0</v>
      </c>
      <c r="F28" s="42">
        <v>1.0</v>
      </c>
      <c r="G28" s="42">
        <v>1.0</v>
      </c>
      <c r="H28" s="42">
        <v>0.0</v>
      </c>
      <c r="I28" s="42">
        <v>0.0</v>
      </c>
      <c r="K28" s="40"/>
      <c r="L28" s="41">
        <v>29.0</v>
      </c>
      <c r="M28" s="42">
        <v>1.0</v>
      </c>
      <c r="N28" s="42">
        <v>1.0</v>
      </c>
      <c r="O28" s="42">
        <v>1.0</v>
      </c>
      <c r="P28" s="42">
        <v>0.0</v>
      </c>
      <c r="Q28" s="42">
        <v>0.0</v>
      </c>
      <c r="R28" s="42">
        <v>0.0</v>
      </c>
      <c r="S28" s="42">
        <v>0.0</v>
      </c>
      <c r="U28" s="40"/>
      <c r="V28" s="41">
        <v>29.0</v>
      </c>
      <c r="W28" s="42">
        <v>1.0</v>
      </c>
      <c r="X28" s="42">
        <v>0.0</v>
      </c>
      <c r="Y28" s="42">
        <v>0.0</v>
      </c>
      <c r="Z28" s="42">
        <v>0.0</v>
      </c>
      <c r="AA28" s="42">
        <v>0.0</v>
      </c>
      <c r="AB28" s="42">
        <v>1.0</v>
      </c>
      <c r="AC28" s="42">
        <v>0.0</v>
      </c>
      <c r="AE28" s="40"/>
      <c r="AF28" s="41">
        <v>29.0</v>
      </c>
      <c r="AG28" s="42">
        <v>0.0</v>
      </c>
      <c r="AH28" s="42">
        <v>0.0</v>
      </c>
      <c r="AI28" s="42">
        <v>0.0</v>
      </c>
      <c r="AJ28" s="42">
        <v>1.0</v>
      </c>
      <c r="AK28" s="42">
        <v>0.0</v>
      </c>
      <c r="AL28" s="42">
        <v>1.0</v>
      </c>
      <c r="AM28" s="42">
        <v>0.0</v>
      </c>
    </row>
    <row r="29" ht="18.75" customHeight="1">
      <c r="A29" s="40"/>
      <c r="B29" s="41">
        <v>36.0</v>
      </c>
      <c r="C29" s="42">
        <v>0.0</v>
      </c>
      <c r="D29" s="42">
        <v>0.0</v>
      </c>
      <c r="E29" s="42">
        <v>1.0</v>
      </c>
      <c r="F29" s="42">
        <v>0.0</v>
      </c>
      <c r="G29" s="42">
        <v>1.0</v>
      </c>
      <c r="H29" s="42">
        <v>0.0</v>
      </c>
      <c r="I29" s="42">
        <v>1.0</v>
      </c>
      <c r="K29" s="40"/>
      <c r="L29" s="41">
        <v>36.0</v>
      </c>
      <c r="M29" s="42">
        <v>1.0</v>
      </c>
      <c r="N29" s="42">
        <v>0.0</v>
      </c>
      <c r="O29" s="42">
        <v>1.0</v>
      </c>
      <c r="P29" s="42">
        <v>0.0</v>
      </c>
      <c r="Q29" s="42">
        <v>1.0</v>
      </c>
      <c r="R29" s="42">
        <v>0.0</v>
      </c>
      <c r="S29" s="42">
        <v>1.0</v>
      </c>
      <c r="U29" s="40"/>
      <c r="V29" s="41">
        <v>36.0</v>
      </c>
      <c r="W29" s="42">
        <v>1.0</v>
      </c>
      <c r="X29" s="42">
        <v>0.0</v>
      </c>
      <c r="Y29" s="42">
        <v>1.0</v>
      </c>
      <c r="Z29" s="42">
        <v>0.0</v>
      </c>
      <c r="AA29" s="42">
        <v>1.0</v>
      </c>
      <c r="AB29" s="42">
        <v>0.0</v>
      </c>
      <c r="AC29" s="42">
        <v>1.0</v>
      </c>
      <c r="AE29" s="40"/>
      <c r="AF29" s="41">
        <v>36.0</v>
      </c>
      <c r="AG29" s="42">
        <v>1.0</v>
      </c>
      <c r="AH29" s="42">
        <v>0.0</v>
      </c>
      <c r="AI29" s="42">
        <v>1.0</v>
      </c>
      <c r="AJ29" s="42">
        <v>0.0</v>
      </c>
      <c r="AK29" s="42">
        <v>1.0</v>
      </c>
      <c r="AL29" s="42">
        <v>0.0</v>
      </c>
      <c r="AM29" s="42">
        <v>1.0</v>
      </c>
    </row>
    <row r="30" ht="18.75" customHeight="1">
      <c r="A30" s="40"/>
      <c r="B30" s="41">
        <v>43.0</v>
      </c>
      <c r="C30" s="42">
        <v>0.0</v>
      </c>
      <c r="D30" s="42">
        <v>1.0</v>
      </c>
      <c r="E30" s="42">
        <v>0.0</v>
      </c>
      <c r="F30" s="42">
        <v>1.0</v>
      </c>
      <c r="G30" s="42">
        <v>0.0</v>
      </c>
      <c r="H30" s="42">
        <v>1.0</v>
      </c>
      <c r="I30" s="42">
        <v>0.0</v>
      </c>
      <c r="K30" s="40"/>
      <c r="L30" s="41">
        <v>43.0</v>
      </c>
      <c r="M30" s="42">
        <v>0.0</v>
      </c>
      <c r="N30" s="42">
        <v>1.0</v>
      </c>
      <c r="O30" s="42">
        <v>0.0</v>
      </c>
      <c r="P30" s="42">
        <v>1.0</v>
      </c>
      <c r="Q30" s="42">
        <v>0.0</v>
      </c>
      <c r="R30" s="42">
        <v>1.0</v>
      </c>
      <c r="S30" s="42">
        <v>1.0</v>
      </c>
      <c r="U30" s="40"/>
      <c r="V30" s="41">
        <v>43.0</v>
      </c>
      <c r="W30" s="42">
        <v>0.0</v>
      </c>
      <c r="X30" s="42">
        <v>1.0</v>
      </c>
      <c r="Y30" s="42">
        <v>0.0</v>
      </c>
      <c r="Z30" s="42">
        <v>1.0</v>
      </c>
      <c r="AA30" s="42">
        <v>1.0</v>
      </c>
      <c r="AB30" s="42">
        <v>0.0</v>
      </c>
      <c r="AC30" s="42">
        <v>0.0</v>
      </c>
      <c r="AE30" s="40"/>
      <c r="AF30" s="41">
        <v>43.0</v>
      </c>
      <c r="AG30" s="42">
        <v>0.0</v>
      </c>
      <c r="AH30" s="42">
        <v>1.0</v>
      </c>
      <c r="AI30" s="42">
        <v>1.0</v>
      </c>
      <c r="AJ30" s="42">
        <v>0.0</v>
      </c>
      <c r="AK30" s="42">
        <v>0.0</v>
      </c>
      <c r="AL30" s="42">
        <v>1.0</v>
      </c>
      <c r="AM30" s="42">
        <v>1.0</v>
      </c>
    </row>
    <row r="31" ht="18.75" customHeight="1">
      <c r="A31" s="40"/>
      <c r="B31" s="41">
        <v>50.0</v>
      </c>
      <c r="C31" s="42">
        <v>1.0</v>
      </c>
      <c r="D31" s="42">
        <v>1.0</v>
      </c>
      <c r="E31" s="42">
        <v>0.0</v>
      </c>
      <c r="F31" s="42">
        <v>0.0</v>
      </c>
      <c r="G31" s="42">
        <v>1.0</v>
      </c>
      <c r="H31" s="42">
        <v>1.0</v>
      </c>
      <c r="I31" s="42">
        <v>0.0</v>
      </c>
      <c r="K31" s="40"/>
      <c r="L31" s="41">
        <v>50.0</v>
      </c>
      <c r="M31" s="42">
        <v>0.0</v>
      </c>
      <c r="N31" s="42">
        <v>0.0</v>
      </c>
      <c r="O31" s="42">
        <v>1.0</v>
      </c>
      <c r="P31" s="42">
        <v>1.0</v>
      </c>
      <c r="Q31" s="42">
        <v>0.0</v>
      </c>
      <c r="R31" s="42">
        <v>0.0</v>
      </c>
      <c r="S31" s="42">
        <v>1.0</v>
      </c>
      <c r="U31" s="40"/>
      <c r="V31" s="41">
        <v>50.0</v>
      </c>
      <c r="W31" s="42">
        <v>1.0</v>
      </c>
      <c r="X31" s="42">
        <v>1.0</v>
      </c>
      <c r="Y31" s="42">
        <v>0.0</v>
      </c>
      <c r="Z31" s="42">
        <v>0.0</v>
      </c>
      <c r="AA31" s="42">
        <v>1.0</v>
      </c>
      <c r="AB31" s="42">
        <v>1.0</v>
      </c>
      <c r="AC31" s="42">
        <v>1.0</v>
      </c>
      <c r="AE31" s="40"/>
      <c r="AF31" s="41">
        <v>50.0</v>
      </c>
      <c r="AG31" s="42">
        <v>0.0</v>
      </c>
      <c r="AH31" s="42">
        <v>0.0</v>
      </c>
      <c r="AI31" s="42">
        <v>1.0</v>
      </c>
      <c r="AJ31" s="42">
        <v>1.0</v>
      </c>
      <c r="AK31" s="42">
        <v>1.0</v>
      </c>
      <c r="AL31" s="42">
        <v>1.0</v>
      </c>
      <c r="AM31" s="42">
        <v>0.0</v>
      </c>
    </row>
    <row r="32" ht="18.75" customHeight="1">
      <c r="A32" s="39" t="s">
        <v>37</v>
      </c>
      <c r="B32" s="39"/>
      <c r="K32" s="39" t="s">
        <v>38</v>
      </c>
      <c r="L32" s="39"/>
      <c r="U32" s="39" t="s">
        <v>39</v>
      </c>
      <c r="V32" s="39"/>
      <c r="AE32" s="39" t="s">
        <v>40</v>
      </c>
      <c r="AF32" s="39"/>
    </row>
    <row r="33" ht="18.75" customHeight="1">
      <c r="A33" s="40" t="s">
        <v>41</v>
      </c>
      <c r="B33" s="41" t="s">
        <v>4</v>
      </c>
      <c r="C33" s="41">
        <v>1.0</v>
      </c>
      <c r="D33" s="41">
        <v>2.0</v>
      </c>
      <c r="E33" s="41">
        <v>3.0</v>
      </c>
      <c r="F33" s="41">
        <v>4.0</v>
      </c>
      <c r="G33" s="41">
        <v>5.0</v>
      </c>
      <c r="H33" s="41">
        <v>6.0</v>
      </c>
      <c r="I33" s="41">
        <v>7.0</v>
      </c>
      <c r="K33" s="40" t="s">
        <v>42</v>
      </c>
      <c r="L33" s="41" t="s">
        <v>4</v>
      </c>
      <c r="M33" s="41">
        <v>1.0</v>
      </c>
      <c r="N33" s="41">
        <v>2.0</v>
      </c>
      <c r="O33" s="41">
        <v>3.0</v>
      </c>
      <c r="P33" s="41">
        <v>4.0</v>
      </c>
      <c r="Q33" s="41">
        <v>5.0</v>
      </c>
      <c r="R33" s="41">
        <v>6.0</v>
      </c>
      <c r="S33" s="41">
        <v>7.0</v>
      </c>
      <c r="U33" s="40" t="s">
        <v>43</v>
      </c>
      <c r="V33" s="41" t="s">
        <v>4</v>
      </c>
      <c r="W33" s="41">
        <v>1.0</v>
      </c>
      <c r="X33" s="41">
        <v>2.0</v>
      </c>
      <c r="Y33" s="41">
        <v>3.0</v>
      </c>
      <c r="Z33" s="41">
        <v>4.0</v>
      </c>
      <c r="AA33" s="41">
        <v>5.0</v>
      </c>
      <c r="AB33" s="41">
        <v>6.0</v>
      </c>
      <c r="AC33" s="41">
        <v>7.0</v>
      </c>
      <c r="AE33" s="40" t="s">
        <v>44</v>
      </c>
      <c r="AF33" s="41" t="s">
        <v>4</v>
      </c>
      <c r="AG33" s="41">
        <v>1.0</v>
      </c>
      <c r="AH33" s="41">
        <v>2.0</v>
      </c>
      <c r="AI33" s="41">
        <v>3.0</v>
      </c>
      <c r="AJ33" s="41">
        <v>4.0</v>
      </c>
      <c r="AK33" s="41">
        <v>5.0</v>
      </c>
      <c r="AL33" s="41">
        <v>6.0</v>
      </c>
      <c r="AM33" s="41">
        <v>7.0</v>
      </c>
    </row>
    <row r="34" ht="18.75" customHeight="1">
      <c r="A34" s="40"/>
      <c r="B34" s="41"/>
      <c r="C34" s="42">
        <v>0.0</v>
      </c>
      <c r="D34" s="42">
        <v>1.0</v>
      </c>
      <c r="E34" s="42">
        <v>0.0</v>
      </c>
      <c r="F34" s="42">
        <v>1.0</v>
      </c>
      <c r="G34" s="42">
        <v>1.0</v>
      </c>
      <c r="H34" s="42">
        <v>1.0</v>
      </c>
      <c r="I34" s="42">
        <v>1.0</v>
      </c>
      <c r="K34" s="40"/>
      <c r="L34" s="41"/>
      <c r="M34" s="42">
        <v>0.0</v>
      </c>
      <c r="N34" s="42">
        <v>1.0</v>
      </c>
      <c r="O34" s="42">
        <v>1.0</v>
      </c>
      <c r="P34" s="42">
        <v>1.0</v>
      </c>
      <c r="Q34" s="42">
        <v>1.0</v>
      </c>
      <c r="R34" s="42">
        <v>1.0</v>
      </c>
      <c r="S34" s="42">
        <v>1.0</v>
      </c>
      <c r="U34" s="40"/>
      <c r="V34" s="41"/>
      <c r="W34" s="42">
        <v>1.0</v>
      </c>
      <c r="X34" s="42">
        <v>1.0</v>
      </c>
      <c r="Y34" s="42">
        <v>1.0</v>
      </c>
      <c r="Z34" s="42">
        <v>1.0</v>
      </c>
      <c r="AA34" s="42">
        <v>1.0</v>
      </c>
      <c r="AB34" s="42">
        <v>0.0</v>
      </c>
      <c r="AC34" s="42">
        <v>0.0</v>
      </c>
      <c r="AE34" s="40"/>
      <c r="AF34" s="41"/>
      <c r="AG34" s="42">
        <v>1.0</v>
      </c>
      <c r="AH34" s="42">
        <v>1.0</v>
      </c>
      <c r="AI34" s="42">
        <v>1.0</v>
      </c>
      <c r="AJ34" s="42">
        <v>1.0</v>
      </c>
      <c r="AK34" s="42">
        <v>0.0</v>
      </c>
      <c r="AL34" s="42">
        <v>0.0</v>
      </c>
      <c r="AM34" s="42">
        <v>0.0</v>
      </c>
    </row>
    <row r="35" ht="18.75" customHeight="1">
      <c r="A35" s="40"/>
      <c r="B35" s="41">
        <v>8.0</v>
      </c>
      <c r="C35" s="42">
        <v>1.0</v>
      </c>
      <c r="D35" s="42">
        <v>1.0</v>
      </c>
      <c r="E35" s="42">
        <v>0.0</v>
      </c>
      <c r="F35" s="42">
        <v>0.0</v>
      </c>
      <c r="G35" s="42">
        <v>0.0</v>
      </c>
      <c r="H35" s="42">
        <v>0.0</v>
      </c>
      <c r="I35" s="42">
        <v>1.0</v>
      </c>
      <c r="K35" s="40"/>
      <c r="L35" s="41">
        <v>8.0</v>
      </c>
      <c r="M35" s="42">
        <v>0.0</v>
      </c>
      <c r="N35" s="42">
        <v>0.0</v>
      </c>
      <c r="O35" s="42">
        <v>0.0</v>
      </c>
      <c r="P35" s="42">
        <v>0.0</v>
      </c>
      <c r="Q35" s="42">
        <v>1.0</v>
      </c>
      <c r="R35" s="42">
        <v>1.0</v>
      </c>
      <c r="S35" s="42">
        <v>0.0</v>
      </c>
      <c r="U35" s="40"/>
      <c r="V35" s="41">
        <v>8.0</v>
      </c>
      <c r="W35" s="42">
        <v>0.0</v>
      </c>
      <c r="X35" s="42">
        <v>0.0</v>
      </c>
      <c r="Y35" s="42">
        <v>1.0</v>
      </c>
      <c r="Z35" s="42">
        <v>1.0</v>
      </c>
      <c r="AA35" s="42">
        <v>0.0</v>
      </c>
      <c r="AB35" s="42">
        <v>0.0</v>
      </c>
      <c r="AC35" s="42">
        <v>1.0</v>
      </c>
      <c r="AE35" s="40"/>
      <c r="AF35" s="41">
        <v>8.0</v>
      </c>
      <c r="AG35" s="42">
        <v>0.0</v>
      </c>
      <c r="AH35" s="42">
        <v>1.0</v>
      </c>
      <c r="AI35" s="42">
        <v>1.0</v>
      </c>
      <c r="AJ35" s="42">
        <v>0.0</v>
      </c>
      <c r="AK35" s="42">
        <v>0.0</v>
      </c>
      <c r="AL35" s="42">
        <v>1.0</v>
      </c>
      <c r="AM35" s="42">
        <v>1.0</v>
      </c>
    </row>
    <row r="36" ht="18.75" customHeight="1">
      <c r="A36" s="40"/>
      <c r="B36" s="41">
        <v>15.0</v>
      </c>
      <c r="C36" s="42">
        <v>1.0</v>
      </c>
      <c r="D36" s="42">
        <v>0.0</v>
      </c>
      <c r="E36" s="42">
        <v>0.0</v>
      </c>
      <c r="F36" s="42">
        <v>1.0</v>
      </c>
      <c r="G36" s="42">
        <v>1.0</v>
      </c>
      <c r="H36" s="42">
        <v>0.0</v>
      </c>
      <c r="I36" s="42">
        <v>0.0</v>
      </c>
      <c r="K36" s="40"/>
      <c r="L36" s="41">
        <v>15.0</v>
      </c>
      <c r="M36" s="42">
        <v>0.0</v>
      </c>
      <c r="N36" s="42">
        <v>1.0</v>
      </c>
      <c r="O36" s="42">
        <v>1.0</v>
      </c>
      <c r="P36" s="42">
        <v>0.0</v>
      </c>
      <c r="Q36" s="42">
        <v>0.0</v>
      </c>
      <c r="R36" s="42">
        <v>1.0</v>
      </c>
      <c r="S36" s="42">
        <v>0.0</v>
      </c>
      <c r="U36" s="40"/>
      <c r="V36" s="41">
        <v>15.0</v>
      </c>
      <c r="W36" s="42">
        <v>1.0</v>
      </c>
      <c r="X36" s="42">
        <v>0.0</v>
      </c>
      <c r="Y36" s="42">
        <v>0.0</v>
      </c>
      <c r="Z36" s="42">
        <v>1.0</v>
      </c>
      <c r="AA36" s="42">
        <v>0.0</v>
      </c>
      <c r="AB36" s="42">
        <v>1.0</v>
      </c>
      <c r="AC36" s="42">
        <v>0.0</v>
      </c>
      <c r="AE36" s="40"/>
      <c r="AF36" s="41">
        <v>15.0</v>
      </c>
      <c r="AG36" s="42">
        <v>0.0</v>
      </c>
      <c r="AH36" s="42">
        <v>0.0</v>
      </c>
      <c r="AI36" s="42">
        <v>1.0</v>
      </c>
      <c r="AJ36" s="42">
        <v>0.0</v>
      </c>
      <c r="AK36" s="42">
        <v>1.0</v>
      </c>
      <c r="AL36" s="42">
        <v>0.0</v>
      </c>
      <c r="AM36" s="42">
        <v>1.0</v>
      </c>
    </row>
    <row r="37" ht="18.75" customHeight="1">
      <c r="A37" s="40"/>
      <c r="B37" s="41">
        <v>22.0</v>
      </c>
      <c r="C37" s="42">
        <v>1.0</v>
      </c>
      <c r="D37" s="42">
        <v>0.0</v>
      </c>
      <c r="E37" s="42">
        <v>1.0</v>
      </c>
      <c r="F37" s="42">
        <v>0.0</v>
      </c>
      <c r="G37" s="42">
        <v>1.0</v>
      </c>
      <c r="H37" s="42">
        <v>0.0</v>
      </c>
      <c r="I37" s="42">
        <v>1.0</v>
      </c>
      <c r="K37" s="40"/>
      <c r="L37" s="41">
        <v>22.0</v>
      </c>
      <c r="M37" s="42">
        <v>1.0</v>
      </c>
      <c r="N37" s="42">
        <v>0.0</v>
      </c>
      <c r="O37" s="42">
        <v>1.0</v>
      </c>
      <c r="P37" s="42">
        <v>0.0</v>
      </c>
      <c r="Q37" s="42">
        <v>1.0</v>
      </c>
      <c r="R37" s="42">
        <v>0.0</v>
      </c>
      <c r="S37" s="42">
        <v>1.0</v>
      </c>
      <c r="U37" s="40"/>
      <c r="V37" s="41">
        <v>22.0</v>
      </c>
      <c r="W37" s="42">
        <v>1.0</v>
      </c>
      <c r="X37" s="42">
        <v>0.0</v>
      </c>
      <c r="Y37" s="42">
        <v>1.0</v>
      </c>
      <c r="Z37" s="42">
        <v>0.0</v>
      </c>
      <c r="AA37" s="42">
        <v>1.0</v>
      </c>
      <c r="AB37" s="42">
        <v>0.0</v>
      </c>
      <c r="AC37" s="42">
        <v>1.0</v>
      </c>
      <c r="AE37" s="40"/>
      <c r="AF37" s="41">
        <v>22.0</v>
      </c>
      <c r="AG37" s="42">
        <v>0.0</v>
      </c>
      <c r="AH37" s="42">
        <v>1.0</v>
      </c>
      <c r="AI37" s="42">
        <v>0.0</v>
      </c>
      <c r="AJ37" s="42">
        <v>1.0</v>
      </c>
      <c r="AK37" s="42">
        <v>0.0</v>
      </c>
      <c r="AL37" s="42">
        <v>1.0</v>
      </c>
      <c r="AM37" s="42">
        <v>1.0</v>
      </c>
    </row>
    <row r="38" ht="18.75" customHeight="1">
      <c r="A38" s="40"/>
      <c r="B38" s="41">
        <v>29.0</v>
      </c>
      <c r="C38" s="42">
        <v>0.0</v>
      </c>
      <c r="D38" s="42">
        <v>1.0</v>
      </c>
      <c r="E38" s="42">
        <v>0.0</v>
      </c>
      <c r="F38" s="42">
        <v>1.0</v>
      </c>
      <c r="G38" s="42">
        <v>0.0</v>
      </c>
      <c r="H38" s="42">
        <v>1.0</v>
      </c>
      <c r="I38" s="42">
        <v>0.0</v>
      </c>
      <c r="K38" s="40"/>
      <c r="L38" s="41">
        <v>29.0</v>
      </c>
      <c r="M38" s="42">
        <v>0.0</v>
      </c>
      <c r="N38" s="42">
        <v>1.0</v>
      </c>
      <c r="O38" s="42">
        <v>0.0</v>
      </c>
      <c r="P38" s="42">
        <v>1.0</v>
      </c>
      <c r="Q38" s="42">
        <v>0.0</v>
      </c>
      <c r="R38" s="42">
        <v>1.0</v>
      </c>
      <c r="S38" s="42">
        <v>0.0</v>
      </c>
      <c r="U38" s="40"/>
      <c r="V38" s="41">
        <v>29.0</v>
      </c>
      <c r="W38" s="42">
        <v>0.0</v>
      </c>
      <c r="X38" s="42">
        <v>1.0</v>
      </c>
      <c r="Y38" s="42">
        <v>0.0</v>
      </c>
      <c r="Z38" s="42">
        <v>1.0</v>
      </c>
      <c r="AA38" s="42">
        <v>0.0</v>
      </c>
      <c r="AB38" s="42">
        <v>1.0</v>
      </c>
      <c r="AC38" s="42">
        <v>0.0</v>
      </c>
      <c r="AE38" s="40"/>
      <c r="AF38" s="41">
        <v>29.0</v>
      </c>
      <c r="AG38" s="42">
        <v>1.0</v>
      </c>
      <c r="AH38" s="42">
        <v>0.0</v>
      </c>
      <c r="AI38" s="42">
        <v>1.0</v>
      </c>
      <c r="AJ38" s="42">
        <v>0.0</v>
      </c>
      <c r="AK38" s="42">
        <v>1.0</v>
      </c>
      <c r="AL38" s="42">
        <v>0.0</v>
      </c>
      <c r="AM38" s="42">
        <v>1.0</v>
      </c>
    </row>
    <row r="39" ht="18.75" customHeight="1">
      <c r="A39" s="40"/>
      <c r="B39" s="41">
        <v>36.0</v>
      </c>
      <c r="C39" s="42">
        <v>1.0</v>
      </c>
      <c r="D39" s="42">
        <v>0.0</v>
      </c>
      <c r="E39" s="42">
        <v>1.0</v>
      </c>
      <c r="F39" s="42">
        <v>0.0</v>
      </c>
      <c r="G39" s="42">
        <v>1.0</v>
      </c>
      <c r="H39" s="42">
        <v>0.0</v>
      </c>
      <c r="I39" s="42">
        <v>1.0</v>
      </c>
      <c r="K39" s="40"/>
      <c r="L39" s="41">
        <v>36.0</v>
      </c>
      <c r="M39" s="42">
        <v>1.0</v>
      </c>
      <c r="N39" s="42">
        <v>0.0</v>
      </c>
      <c r="O39" s="42">
        <v>1.0</v>
      </c>
      <c r="P39" s="42">
        <v>0.0</v>
      </c>
      <c r="Q39" s="42">
        <v>1.0</v>
      </c>
      <c r="R39" s="42">
        <v>1.0</v>
      </c>
      <c r="S39" s="42">
        <v>0.0</v>
      </c>
      <c r="U39" s="40"/>
      <c r="V39" s="41">
        <v>36.0</v>
      </c>
      <c r="W39" s="42">
        <v>1.0</v>
      </c>
      <c r="X39" s="42">
        <v>0.0</v>
      </c>
      <c r="Y39" s="42">
        <v>1.0</v>
      </c>
      <c r="Z39" s="42">
        <v>1.0</v>
      </c>
      <c r="AA39" s="42">
        <v>0.0</v>
      </c>
      <c r="AB39" s="42">
        <v>0.0</v>
      </c>
      <c r="AC39" s="42">
        <v>1.0</v>
      </c>
      <c r="AE39" s="40"/>
      <c r="AF39" s="41">
        <v>36.0</v>
      </c>
      <c r="AG39" s="42">
        <v>0.0</v>
      </c>
      <c r="AH39" s="42">
        <v>1.0</v>
      </c>
      <c r="AI39" s="42">
        <v>1.0</v>
      </c>
      <c r="AJ39" s="42">
        <v>0.0</v>
      </c>
      <c r="AK39" s="42">
        <v>0.0</v>
      </c>
      <c r="AL39" s="42">
        <v>1.0</v>
      </c>
      <c r="AM39" s="42">
        <v>1.0</v>
      </c>
    </row>
    <row r="40" ht="18.75" customHeight="1">
      <c r="A40" s="40"/>
      <c r="B40" s="41">
        <v>43.0</v>
      </c>
      <c r="C40" s="42">
        <v>1.0</v>
      </c>
      <c r="D40" s="42">
        <v>0.0</v>
      </c>
      <c r="E40" s="42">
        <v>0.0</v>
      </c>
      <c r="F40" s="42">
        <v>1.0</v>
      </c>
      <c r="G40" s="42">
        <v>1.0</v>
      </c>
      <c r="H40" s="42">
        <v>0.0</v>
      </c>
      <c r="I40" s="42">
        <v>0.0</v>
      </c>
      <c r="K40" s="40"/>
      <c r="L40" s="41">
        <v>43.0</v>
      </c>
      <c r="M40" s="42">
        <v>0.0</v>
      </c>
      <c r="N40" s="42">
        <v>1.0</v>
      </c>
      <c r="O40" s="42">
        <v>1.0</v>
      </c>
      <c r="P40" s="42">
        <v>0.0</v>
      </c>
      <c r="Q40" s="42">
        <v>0.0</v>
      </c>
      <c r="R40" s="42">
        <v>1.0</v>
      </c>
      <c r="S40" s="42">
        <v>1.0</v>
      </c>
      <c r="U40" s="40"/>
      <c r="V40" s="41">
        <v>43.0</v>
      </c>
      <c r="W40" s="42">
        <v>1.0</v>
      </c>
      <c r="X40" s="42">
        <v>0.0</v>
      </c>
      <c r="Y40" s="42">
        <v>0.0</v>
      </c>
      <c r="Z40" s="42">
        <v>1.0</v>
      </c>
      <c r="AA40" s="42">
        <v>1.0</v>
      </c>
      <c r="AB40" s="42">
        <v>1.0</v>
      </c>
      <c r="AC40" s="42">
        <v>1.0</v>
      </c>
      <c r="AE40" s="40"/>
      <c r="AF40" s="41">
        <v>43.0</v>
      </c>
      <c r="AG40" s="42">
        <v>0.0</v>
      </c>
      <c r="AH40" s="42">
        <v>0.0</v>
      </c>
      <c r="AI40" s="42">
        <v>1.0</v>
      </c>
      <c r="AJ40" s="42">
        <v>1.0</v>
      </c>
      <c r="AK40" s="42">
        <v>1.0</v>
      </c>
      <c r="AL40" s="42">
        <v>1.0</v>
      </c>
      <c r="AM40" s="42">
        <v>0.0</v>
      </c>
    </row>
    <row r="41" ht="18.75" customHeight="1">
      <c r="A41" s="40"/>
      <c r="B41" s="41">
        <v>50.0</v>
      </c>
      <c r="C41" s="42">
        <v>1.0</v>
      </c>
      <c r="D41" s="42">
        <v>1.0</v>
      </c>
      <c r="E41" s="42">
        <v>1.0</v>
      </c>
      <c r="F41" s="42">
        <v>1.0</v>
      </c>
      <c r="G41" s="42">
        <v>0.0</v>
      </c>
      <c r="H41" s="42">
        <v>0.0</v>
      </c>
      <c r="I41" s="42">
        <v>0.0</v>
      </c>
      <c r="K41" s="40"/>
      <c r="L41" s="41">
        <v>50.0</v>
      </c>
      <c r="M41" s="42">
        <v>1.0</v>
      </c>
      <c r="N41" s="42">
        <v>1.0</v>
      </c>
      <c r="O41" s="42">
        <v>0.0</v>
      </c>
      <c r="P41" s="42">
        <v>0.0</v>
      </c>
      <c r="Q41" s="42">
        <v>0.0</v>
      </c>
      <c r="R41" s="42">
        <v>0.0</v>
      </c>
      <c r="S41" s="42">
        <v>1.0</v>
      </c>
      <c r="U41" s="40"/>
      <c r="V41" s="41">
        <v>50.0</v>
      </c>
      <c r="W41" s="42">
        <v>0.0</v>
      </c>
      <c r="X41" s="42">
        <v>0.0</v>
      </c>
      <c r="Y41" s="42">
        <v>0.0</v>
      </c>
      <c r="Z41" s="42">
        <v>0.0</v>
      </c>
      <c r="AA41" s="42">
        <v>1.0</v>
      </c>
      <c r="AB41" s="42">
        <v>0.0</v>
      </c>
      <c r="AC41" s="42">
        <v>1.0</v>
      </c>
      <c r="AE41" s="40"/>
      <c r="AF41" s="41">
        <v>50.0</v>
      </c>
      <c r="AG41" s="42">
        <v>0.0</v>
      </c>
      <c r="AH41" s="42">
        <v>0.0</v>
      </c>
      <c r="AI41" s="42">
        <v>0.0</v>
      </c>
      <c r="AJ41" s="42">
        <v>1.0</v>
      </c>
      <c r="AK41" s="42">
        <v>0.0</v>
      </c>
      <c r="AL41" s="42">
        <v>1.0</v>
      </c>
      <c r="AM41" s="42">
        <v>0.0</v>
      </c>
    </row>
    <row r="42" ht="18.75" customHeight="1"/>
    <row r="43" ht="18.75" customHeight="1">
      <c r="A43" s="1" t="s">
        <v>45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8.75" customHeight="1">
      <c r="A44" s="1" t="s">
        <v>46</v>
      </c>
      <c r="B44" s="1"/>
      <c r="C44" s="1"/>
      <c r="D44" s="1"/>
    </row>
    <row r="45" ht="18.75" customHeight="1">
      <c r="C45" s="43" t="s">
        <v>47</v>
      </c>
      <c r="D45" s="44"/>
      <c r="E45" s="44"/>
      <c r="F45" s="44"/>
      <c r="G45" s="44"/>
      <c r="H45" s="13"/>
    </row>
    <row r="46" ht="18.75" customHeight="1">
      <c r="C46" s="45">
        <v>14.0</v>
      </c>
      <c r="D46" s="45">
        <v>17.0</v>
      </c>
      <c r="E46" s="45">
        <v>11.0</v>
      </c>
      <c r="F46" s="45">
        <v>24.0</v>
      </c>
      <c r="G46" s="45">
        <v>1.0</v>
      </c>
      <c r="H46" s="45">
        <v>5.0</v>
      </c>
    </row>
    <row r="47" ht="18.75" customHeight="1">
      <c r="C47" s="45">
        <v>3.0</v>
      </c>
      <c r="D47" s="45">
        <v>28.0</v>
      </c>
      <c r="E47" s="45">
        <v>15.0</v>
      </c>
      <c r="F47" s="45">
        <v>6.0</v>
      </c>
      <c r="G47" s="45">
        <v>21.0</v>
      </c>
      <c r="H47" s="45">
        <v>10.0</v>
      </c>
    </row>
    <row r="48" ht="18.75" customHeight="1">
      <c r="C48" s="45">
        <v>23.0</v>
      </c>
      <c r="D48" s="45">
        <v>19.0</v>
      </c>
      <c r="E48" s="45">
        <v>12.0</v>
      </c>
      <c r="F48" s="45">
        <v>4.0</v>
      </c>
      <c r="G48" s="45">
        <v>26.0</v>
      </c>
      <c r="H48" s="45">
        <v>8.0</v>
      </c>
    </row>
    <row r="49" ht="18.75" customHeight="1">
      <c r="C49" s="45">
        <v>16.0</v>
      </c>
      <c r="D49" s="45">
        <v>7.0</v>
      </c>
      <c r="E49" s="45">
        <v>27.0</v>
      </c>
      <c r="F49" s="45">
        <v>20.0</v>
      </c>
      <c r="G49" s="45">
        <v>13.0</v>
      </c>
      <c r="H49" s="45">
        <v>2.0</v>
      </c>
    </row>
    <row r="50" ht="18.75" customHeight="1">
      <c r="C50" s="45">
        <v>41.0</v>
      </c>
      <c r="D50" s="45">
        <v>52.0</v>
      </c>
      <c r="E50" s="45">
        <v>31.0</v>
      </c>
      <c r="F50" s="45">
        <v>37.0</v>
      </c>
      <c r="G50" s="45">
        <v>47.0</v>
      </c>
      <c r="H50" s="45">
        <v>55.0</v>
      </c>
    </row>
    <row r="51" ht="18.75" customHeight="1">
      <c r="C51" s="45">
        <v>30.0</v>
      </c>
      <c r="D51" s="45">
        <v>40.0</v>
      </c>
      <c r="E51" s="45">
        <v>51.0</v>
      </c>
      <c r="F51" s="45">
        <v>45.0</v>
      </c>
      <c r="G51" s="45">
        <v>33.0</v>
      </c>
      <c r="H51" s="45">
        <v>48.0</v>
      </c>
    </row>
    <row r="52" ht="18.75" customHeight="1">
      <c r="C52" s="45">
        <v>44.0</v>
      </c>
      <c r="D52" s="45">
        <v>49.0</v>
      </c>
      <c r="E52" s="45">
        <v>39.0</v>
      </c>
      <c r="F52" s="45">
        <v>56.0</v>
      </c>
      <c r="G52" s="45">
        <v>34.0</v>
      </c>
      <c r="H52" s="45">
        <v>53.0</v>
      </c>
    </row>
    <row r="53" ht="18.75" customHeight="1">
      <c r="C53" s="45">
        <v>46.0</v>
      </c>
      <c r="D53" s="45">
        <v>42.0</v>
      </c>
      <c r="E53" s="45">
        <v>50.0</v>
      </c>
      <c r="F53" s="45">
        <v>36.0</v>
      </c>
      <c r="G53" s="45">
        <v>29.0</v>
      </c>
      <c r="H53" s="45">
        <v>32.0</v>
      </c>
    </row>
    <row r="54" ht="18.75" customHeight="1">
      <c r="A54" s="39" t="s">
        <v>48</v>
      </c>
      <c r="J54" s="39" t="s">
        <v>49</v>
      </c>
      <c r="S54" s="39" t="s">
        <v>50</v>
      </c>
      <c r="AB54" s="39" t="s">
        <v>51</v>
      </c>
      <c r="AC54" s="39"/>
    </row>
    <row r="55" ht="18.75" customHeight="1">
      <c r="A55" s="40" t="s">
        <v>52</v>
      </c>
      <c r="B55" s="17" t="s">
        <v>53</v>
      </c>
      <c r="C55" s="41">
        <v>1.0</v>
      </c>
      <c r="D55" s="41">
        <v>2.0</v>
      </c>
      <c r="E55" s="41">
        <v>3.0</v>
      </c>
      <c r="F55" s="41">
        <v>4.0</v>
      </c>
      <c r="G55" s="41">
        <v>5.0</v>
      </c>
      <c r="H55" s="41">
        <v>6.0</v>
      </c>
      <c r="J55" s="40" t="s">
        <v>54</v>
      </c>
      <c r="K55" s="17" t="s">
        <v>53</v>
      </c>
      <c r="L55" s="41">
        <v>1.0</v>
      </c>
      <c r="M55" s="41">
        <v>2.0</v>
      </c>
      <c r="N55" s="41">
        <v>3.0</v>
      </c>
      <c r="O55" s="41">
        <v>4.0</v>
      </c>
      <c r="P55" s="41">
        <v>5.0</v>
      </c>
      <c r="Q55" s="41">
        <v>6.0</v>
      </c>
      <c r="S55" s="40" t="s">
        <v>55</v>
      </c>
      <c r="T55" s="17" t="s">
        <v>53</v>
      </c>
      <c r="U55" s="41">
        <v>1.0</v>
      </c>
      <c r="V55" s="41">
        <v>2.0</v>
      </c>
      <c r="W55" s="41">
        <v>3.0</v>
      </c>
      <c r="X55" s="41">
        <v>4.0</v>
      </c>
      <c r="Y55" s="41">
        <v>5.0</v>
      </c>
      <c r="Z55" s="41">
        <v>6.0</v>
      </c>
      <c r="AB55" s="40" t="s">
        <v>56</v>
      </c>
      <c r="AC55" s="46" t="s">
        <v>53</v>
      </c>
      <c r="AD55" s="41">
        <v>1.0</v>
      </c>
      <c r="AE55" s="41">
        <v>2.0</v>
      </c>
      <c r="AF55" s="41">
        <v>3.0</v>
      </c>
      <c r="AG55" s="41">
        <v>4.0</v>
      </c>
      <c r="AH55" s="41">
        <v>5.0</v>
      </c>
      <c r="AI55" s="41">
        <v>6.0</v>
      </c>
      <c r="AK55" s="17" t="s">
        <v>57</v>
      </c>
      <c r="AL55" s="17"/>
      <c r="AM55" s="17"/>
      <c r="AN55" s="17"/>
      <c r="AO55" s="17"/>
      <c r="AP55" s="17"/>
    </row>
    <row r="56" ht="18.75" customHeight="1">
      <c r="A56" s="40"/>
      <c r="B56" s="17"/>
      <c r="C56" s="47">
        <v>0.0</v>
      </c>
      <c r="D56" s="47">
        <v>0.0</v>
      </c>
      <c r="E56" s="47">
        <v>0.0</v>
      </c>
      <c r="F56" s="47">
        <v>1.0</v>
      </c>
      <c r="G56" s="47">
        <v>1.0</v>
      </c>
      <c r="H56" s="47">
        <v>0.0</v>
      </c>
      <c r="J56" s="40"/>
      <c r="K56" s="17"/>
      <c r="L56" s="47">
        <v>0.0</v>
      </c>
      <c r="M56" s="47">
        <v>1.0</v>
      </c>
      <c r="N56" s="47">
        <v>1.0</v>
      </c>
      <c r="O56" s="47">
        <v>0.0</v>
      </c>
      <c r="P56" s="47">
        <v>1.0</v>
      </c>
      <c r="Q56" s="47">
        <v>0.0</v>
      </c>
      <c r="S56" s="40"/>
      <c r="T56" s="17"/>
      <c r="U56" s="47">
        <v>0.0</v>
      </c>
      <c r="V56" s="47">
        <v>1.0</v>
      </c>
      <c r="W56" s="47">
        <v>0.0</v>
      </c>
      <c r="X56" s="47">
        <v>1.0</v>
      </c>
      <c r="Y56" s="47">
        <v>0.0</v>
      </c>
      <c r="Z56" s="47">
        <v>1.0</v>
      </c>
      <c r="AB56" s="40"/>
      <c r="AC56" s="17"/>
      <c r="AD56" s="47">
        <v>0.0</v>
      </c>
      <c r="AE56" s="47">
        <v>1.0</v>
      </c>
      <c r="AF56" s="47">
        <v>1.0</v>
      </c>
      <c r="AG56" s="47">
        <v>1.0</v>
      </c>
      <c r="AH56" s="47">
        <v>0.0</v>
      </c>
      <c r="AI56" s="47">
        <v>0.0</v>
      </c>
      <c r="AK56" s="48" t="s">
        <v>52</v>
      </c>
      <c r="AL56" s="48" t="str">
        <f>TEXTJOIN("",TRUE,khoaK1)</f>
        <v>000110110000001011101111110110110100100110100101</v>
      </c>
      <c r="AM56" s="48"/>
      <c r="AN56" s="48"/>
      <c r="AO56" s="48"/>
      <c r="AP56" s="48"/>
    </row>
    <row r="57" ht="18.75" customHeight="1">
      <c r="A57" s="40"/>
      <c r="B57" s="17">
        <v>7.0</v>
      </c>
      <c r="C57" s="47">
        <v>1.0</v>
      </c>
      <c r="D57" s="47">
        <v>1.0</v>
      </c>
      <c r="E57" s="47">
        <v>0.0</v>
      </c>
      <c r="F57" s="47">
        <v>0.0</v>
      </c>
      <c r="G57" s="47">
        <v>0.0</v>
      </c>
      <c r="H57" s="47">
        <v>0.0</v>
      </c>
      <c r="J57" s="40"/>
      <c r="K57" s="17">
        <v>7.0</v>
      </c>
      <c r="L57" s="47">
        <v>0.0</v>
      </c>
      <c r="M57" s="47">
        <v>1.0</v>
      </c>
      <c r="N57" s="47">
        <v>1.0</v>
      </c>
      <c r="O57" s="47">
        <v>0.0</v>
      </c>
      <c r="P57" s="47">
        <v>1.0</v>
      </c>
      <c r="Q57" s="47">
        <v>0.0</v>
      </c>
      <c r="S57" s="40"/>
      <c r="T57" s="17">
        <v>7.0</v>
      </c>
      <c r="U57" s="47">
        <v>0.0</v>
      </c>
      <c r="V57" s="47">
        <v>1.0</v>
      </c>
      <c r="W57" s="47">
        <v>1.0</v>
      </c>
      <c r="X57" s="47">
        <v>1.0</v>
      </c>
      <c r="Y57" s="47">
        <v>1.0</v>
      </c>
      <c r="Z57" s="47">
        <v>1.0</v>
      </c>
      <c r="AB57" s="40"/>
      <c r="AC57" s="17">
        <v>7.0</v>
      </c>
      <c r="AD57" s="47">
        <v>1.0</v>
      </c>
      <c r="AE57" s="47">
        <v>0.0</v>
      </c>
      <c r="AF57" s="47">
        <v>1.0</v>
      </c>
      <c r="AG57" s="47">
        <v>0.0</v>
      </c>
      <c r="AH57" s="47">
        <v>1.0</v>
      </c>
      <c r="AI57" s="47">
        <v>0.0</v>
      </c>
      <c r="AK57" s="48" t="s">
        <v>54</v>
      </c>
      <c r="AL57" s="48" t="str">
        <f>TEXTJOIN("",TRUE,khoaK2)</f>
        <v>011010011010111011011001001001011110101001100110</v>
      </c>
      <c r="AM57" s="48"/>
      <c r="AN57" s="48"/>
      <c r="AO57" s="48"/>
      <c r="AP57" s="48"/>
    </row>
    <row r="58" ht="18.75" customHeight="1">
      <c r="A58" s="40"/>
      <c r="B58" s="17">
        <v>13.0</v>
      </c>
      <c r="C58" s="47">
        <v>0.0</v>
      </c>
      <c r="D58" s="47">
        <v>0.0</v>
      </c>
      <c r="E58" s="47">
        <v>1.0</v>
      </c>
      <c r="F58" s="47">
        <v>0.0</v>
      </c>
      <c r="G58" s="47">
        <v>1.0</v>
      </c>
      <c r="H58" s="47">
        <v>1.0</v>
      </c>
      <c r="J58" s="40"/>
      <c r="K58" s="17">
        <v>13.0</v>
      </c>
      <c r="L58" s="47">
        <v>1.0</v>
      </c>
      <c r="M58" s="47">
        <v>1.0</v>
      </c>
      <c r="N58" s="47">
        <v>1.0</v>
      </c>
      <c r="O58" s="47">
        <v>0.0</v>
      </c>
      <c r="P58" s="47">
        <v>1.0</v>
      </c>
      <c r="Q58" s="47">
        <v>1.0</v>
      </c>
      <c r="S58" s="40"/>
      <c r="T58" s="17">
        <v>13.0</v>
      </c>
      <c r="U58" s="47">
        <v>1.0</v>
      </c>
      <c r="V58" s="47">
        <v>1.0</v>
      </c>
      <c r="W58" s="47">
        <v>0.0</v>
      </c>
      <c r="X58" s="47">
        <v>0.0</v>
      </c>
      <c r="Y58" s="47">
        <v>1.0</v>
      </c>
      <c r="Z58" s="47">
        <v>0.0</v>
      </c>
      <c r="AB58" s="40"/>
      <c r="AC58" s="17">
        <v>13.0</v>
      </c>
      <c r="AD58" s="47">
        <v>1.0</v>
      </c>
      <c r="AE58" s="47">
        <v>1.0</v>
      </c>
      <c r="AF58" s="47">
        <v>0.0</v>
      </c>
      <c r="AG58" s="47">
        <v>1.0</v>
      </c>
      <c r="AH58" s="47">
        <v>1.0</v>
      </c>
      <c r="AI58" s="47">
        <v>1.0</v>
      </c>
      <c r="AK58" s="48" t="s">
        <v>55</v>
      </c>
      <c r="AL58" s="48" t="str">
        <f>TEXTJOIN("",TRUE,khoaK3)</f>
        <v>010101011111110010001010101101001010110011010010</v>
      </c>
      <c r="AM58" s="48"/>
      <c r="AN58" s="48"/>
      <c r="AO58" s="48"/>
      <c r="AP58" s="48"/>
    </row>
    <row r="59" ht="18.75" customHeight="1">
      <c r="A59" s="40"/>
      <c r="B59" s="17">
        <v>19.0</v>
      </c>
      <c r="C59" s="47">
        <v>1.0</v>
      </c>
      <c r="D59" s="47">
        <v>0.0</v>
      </c>
      <c r="E59" s="47">
        <v>1.0</v>
      </c>
      <c r="F59" s="47">
        <v>1.0</v>
      </c>
      <c r="G59" s="47">
        <v>1.0</v>
      </c>
      <c r="H59" s="47">
        <v>1.0</v>
      </c>
      <c r="J59" s="40"/>
      <c r="K59" s="17">
        <v>19.0</v>
      </c>
      <c r="L59" s="47">
        <v>0.0</v>
      </c>
      <c r="M59" s="47">
        <v>1.0</v>
      </c>
      <c r="N59" s="47">
        <v>1.0</v>
      </c>
      <c r="O59" s="47">
        <v>0.0</v>
      </c>
      <c r="P59" s="47">
        <v>0.0</v>
      </c>
      <c r="Q59" s="47">
        <v>1.0</v>
      </c>
      <c r="S59" s="40"/>
      <c r="T59" s="17">
        <v>19.0</v>
      </c>
      <c r="U59" s="47">
        <v>0.0</v>
      </c>
      <c r="V59" s="47">
        <v>0.0</v>
      </c>
      <c r="W59" s="47">
        <v>1.0</v>
      </c>
      <c r="X59" s="47">
        <v>0.0</v>
      </c>
      <c r="Y59" s="47">
        <v>1.0</v>
      </c>
      <c r="Z59" s="47">
        <v>0.0</v>
      </c>
      <c r="AB59" s="40"/>
      <c r="AC59" s="17">
        <v>19.0</v>
      </c>
      <c r="AD59" s="47">
        <v>0.0</v>
      </c>
      <c r="AE59" s="47">
        <v>1.0</v>
      </c>
      <c r="AF59" s="47">
        <v>0.0</v>
      </c>
      <c r="AG59" s="47">
        <v>0.0</v>
      </c>
      <c r="AH59" s="47">
        <v>1.0</v>
      </c>
      <c r="AI59" s="47">
        <v>0.0</v>
      </c>
      <c r="AK59" s="48" t="s">
        <v>56</v>
      </c>
      <c r="AL59" s="48" t="str">
        <f>TEXTJOIN("",TRUE,khoaK4)</f>
        <v>011100101010110111010010101011011000011001010111</v>
      </c>
      <c r="AM59" s="48"/>
      <c r="AN59" s="48"/>
      <c r="AO59" s="48"/>
      <c r="AP59" s="48"/>
    </row>
    <row r="60" ht="18.75" customHeight="1">
      <c r="A60" s="40"/>
      <c r="B60" s="17">
        <v>25.0</v>
      </c>
      <c r="C60" s="47">
        <v>1.0</v>
      </c>
      <c r="D60" s="47">
        <v>1.0</v>
      </c>
      <c r="E60" s="47">
        <v>0.0</v>
      </c>
      <c r="F60" s="47">
        <v>1.0</v>
      </c>
      <c r="G60" s="47">
        <v>1.0</v>
      </c>
      <c r="H60" s="47">
        <v>0.0</v>
      </c>
      <c r="J60" s="40"/>
      <c r="K60" s="17">
        <v>25.0</v>
      </c>
      <c r="L60" s="47">
        <v>0.0</v>
      </c>
      <c r="M60" s="47">
        <v>0.0</v>
      </c>
      <c r="N60" s="47">
        <v>1.0</v>
      </c>
      <c r="O60" s="47">
        <v>0.0</v>
      </c>
      <c r="P60" s="47">
        <v>0.0</v>
      </c>
      <c r="Q60" s="47">
        <v>1.0</v>
      </c>
      <c r="S60" s="40"/>
      <c r="T60" s="17">
        <v>25.0</v>
      </c>
      <c r="U60" s="47">
        <v>1.0</v>
      </c>
      <c r="V60" s="47">
        <v>0.0</v>
      </c>
      <c r="W60" s="47">
        <v>1.0</v>
      </c>
      <c r="X60" s="47">
        <v>1.0</v>
      </c>
      <c r="Y60" s="47">
        <v>0.0</v>
      </c>
      <c r="Z60" s="47">
        <v>1.0</v>
      </c>
      <c r="AB60" s="40"/>
      <c r="AC60" s="17">
        <v>25.0</v>
      </c>
      <c r="AD60" s="47">
        <v>1.0</v>
      </c>
      <c r="AE60" s="47">
        <v>0.0</v>
      </c>
      <c r="AF60" s="47">
        <v>1.0</v>
      </c>
      <c r="AG60" s="47">
        <v>0.0</v>
      </c>
      <c r="AH60" s="47">
        <v>1.0</v>
      </c>
      <c r="AI60" s="47">
        <v>1.0</v>
      </c>
      <c r="AK60" s="48" t="s">
        <v>58</v>
      </c>
      <c r="AL60" s="48" t="str">
        <f>TEXTJOIN("",TRUE,khoaK5)</f>
        <v>011111001110110000000111000111111110011011000010</v>
      </c>
      <c r="AM60" s="48"/>
      <c r="AN60" s="48"/>
      <c r="AO60" s="48"/>
      <c r="AP60" s="48"/>
    </row>
    <row r="61" ht="18.75" customHeight="1">
      <c r="A61" s="40"/>
      <c r="B61" s="17">
        <v>31.0</v>
      </c>
      <c r="C61" s="47">
        <v>1.0</v>
      </c>
      <c r="D61" s="47">
        <v>1.0</v>
      </c>
      <c r="E61" s="47">
        <v>0.0</v>
      </c>
      <c r="F61" s="47">
        <v>1.0</v>
      </c>
      <c r="G61" s="47">
        <v>0.0</v>
      </c>
      <c r="H61" s="47">
        <v>0.0</v>
      </c>
      <c r="J61" s="40"/>
      <c r="K61" s="17">
        <v>31.0</v>
      </c>
      <c r="L61" s="47">
        <v>0.0</v>
      </c>
      <c r="M61" s="47">
        <v>1.0</v>
      </c>
      <c r="N61" s="47">
        <v>1.0</v>
      </c>
      <c r="O61" s="47">
        <v>1.0</v>
      </c>
      <c r="P61" s="47">
        <v>1.0</v>
      </c>
      <c r="Q61" s="47">
        <v>0.0</v>
      </c>
      <c r="S61" s="40"/>
      <c r="T61" s="17">
        <v>31.0</v>
      </c>
      <c r="U61" s="47">
        <v>0.0</v>
      </c>
      <c r="V61" s="47">
        <v>0.0</v>
      </c>
      <c r="W61" s="47">
        <v>1.0</v>
      </c>
      <c r="X61" s="47">
        <v>0.0</v>
      </c>
      <c r="Y61" s="47">
        <v>1.0</v>
      </c>
      <c r="Z61" s="47">
        <v>0.0</v>
      </c>
      <c r="AB61" s="40"/>
      <c r="AC61" s="17">
        <v>31.0</v>
      </c>
      <c r="AD61" s="47">
        <v>0.0</v>
      </c>
      <c r="AE61" s="47">
        <v>1.0</v>
      </c>
      <c r="AF61" s="47">
        <v>1.0</v>
      </c>
      <c r="AG61" s="47">
        <v>0.0</v>
      </c>
      <c r="AH61" s="47">
        <v>0.0</v>
      </c>
      <c r="AI61" s="47">
        <v>0.0</v>
      </c>
      <c r="AK61" s="48" t="s">
        <v>59</v>
      </c>
      <c r="AL61" s="48" t="str">
        <f>TEXTJOIN("",TRUE,khoaK6)</f>
        <v>011000111010010100011110001111001100010101000101</v>
      </c>
      <c r="AM61" s="48"/>
      <c r="AN61" s="48"/>
      <c r="AO61" s="48"/>
      <c r="AP61" s="48"/>
    </row>
    <row r="62" ht="18.75" customHeight="1">
      <c r="A62" s="40"/>
      <c r="B62" s="17">
        <v>37.0</v>
      </c>
      <c r="C62" s="47">
        <v>1.0</v>
      </c>
      <c r="D62" s="47">
        <v>0.0</v>
      </c>
      <c r="E62" s="47">
        <v>0.0</v>
      </c>
      <c r="F62" s="47">
        <v>1.0</v>
      </c>
      <c r="G62" s="47">
        <v>1.0</v>
      </c>
      <c r="H62" s="47">
        <v>0.0</v>
      </c>
      <c r="J62" s="40"/>
      <c r="K62" s="17">
        <v>37.0</v>
      </c>
      <c r="L62" s="47">
        <v>1.0</v>
      </c>
      <c r="M62" s="47">
        <v>0.0</v>
      </c>
      <c r="N62" s="47">
        <v>1.0</v>
      </c>
      <c r="O62" s="47">
        <v>0.0</v>
      </c>
      <c r="P62" s="47">
        <v>0.0</v>
      </c>
      <c r="Q62" s="47">
        <v>1.0</v>
      </c>
      <c r="S62" s="40"/>
      <c r="T62" s="17">
        <v>37.0</v>
      </c>
      <c r="U62" s="47">
        <v>1.0</v>
      </c>
      <c r="V62" s="47">
        <v>1.0</v>
      </c>
      <c r="W62" s="47">
        <v>0.0</v>
      </c>
      <c r="X62" s="47">
        <v>0.0</v>
      </c>
      <c r="Y62" s="47">
        <v>1.0</v>
      </c>
      <c r="Z62" s="47">
        <v>1.0</v>
      </c>
      <c r="AB62" s="40"/>
      <c r="AC62" s="17">
        <v>37.0</v>
      </c>
      <c r="AD62" s="47">
        <v>0.0</v>
      </c>
      <c r="AE62" s="47">
        <v>1.0</v>
      </c>
      <c r="AF62" s="47">
        <v>1.0</v>
      </c>
      <c r="AG62" s="47">
        <v>0.0</v>
      </c>
      <c r="AH62" s="47">
        <v>0.0</v>
      </c>
      <c r="AI62" s="47">
        <v>1.0</v>
      </c>
      <c r="AK62" s="48" t="s">
        <v>60</v>
      </c>
      <c r="AL62" s="48" t="str">
        <f>TEXTJOIN("",TRUE,khoaK7)</f>
        <v>011011001000010010110111100010101110010011000110</v>
      </c>
      <c r="AM62" s="48"/>
      <c r="AN62" s="48"/>
      <c r="AO62" s="48"/>
      <c r="AP62" s="48"/>
    </row>
    <row r="63" ht="18.75" customHeight="1">
      <c r="A63" s="40"/>
      <c r="B63" s="17">
        <v>43.0</v>
      </c>
      <c r="C63" s="47">
        <v>1.0</v>
      </c>
      <c r="D63" s="47">
        <v>0.0</v>
      </c>
      <c r="E63" s="47">
        <v>0.0</v>
      </c>
      <c r="F63" s="47">
        <v>1.0</v>
      </c>
      <c r="G63" s="47">
        <v>0.0</v>
      </c>
      <c r="H63" s="47">
        <v>1.0</v>
      </c>
      <c r="J63" s="40"/>
      <c r="K63" s="17">
        <v>43.0</v>
      </c>
      <c r="L63" s="47">
        <v>1.0</v>
      </c>
      <c r="M63" s="47">
        <v>0.0</v>
      </c>
      <c r="N63" s="47">
        <v>0.0</v>
      </c>
      <c r="O63" s="47">
        <v>1.0</v>
      </c>
      <c r="P63" s="47">
        <v>1.0</v>
      </c>
      <c r="Q63" s="47">
        <v>0.0</v>
      </c>
      <c r="S63" s="40"/>
      <c r="T63" s="17">
        <v>43.0</v>
      </c>
      <c r="U63" s="47">
        <v>0.0</v>
      </c>
      <c r="V63" s="47">
        <v>1.0</v>
      </c>
      <c r="W63" s="47">
        <v>0.0</v>
      </c>
      <c r="X63" s="47">
        <v>0.0</v>
      </c>
      <c r="Y63" s="47">
        <v>1.0</v>
      </c>
      <c r="Z63" s="47">
        <v>0.0</v>
      </c>
      <c r="AB63" s="40"/>
      <c r="AC63" s="17">
        <v>43.0</v>
      </c>
      <c r="AD63" s="47">
        <v>0.0</v>
      </c>
      <c r="AE63" s="47">
        <v>1.0</v>
      </c>
      <c r="AF63" s="47">
        <v>0.0</v>
      </c>
      <c r="AG63" s="47">
        <v>1.0</v>
      </c>
      <c r="AH63" s="47">
        <v>1.0</v>
      </c>
      <c r="AI63" s="47">
        <v>1.0</v>
      </c>
      <c r="AK63" s="48" t="s">
        <v>61</v>
      </c>
      <c r="AL63" s="48" t="str">
        <f>TEXTJOIN("",TRUE,khoaK8)</f>
        <v>111101111000100000111010111011001110011110000001</v>
      </c>
      <c r="AM63" s="48"/>
      <c r="AN63" s="48"/>
      <c r="AO63" s="48"/>
      <c r="AP63" s="48"/>
    </row>
    <row r="64" ht="18.75" customHeight="1">
      <c r="A64" s="39" t="s">
        <v>62</v>
      </c>
      <c r="J64" s="39" t="s">
        <v>63</v>
      </c>
      <c r="S64" s="39" t="s">
        <v>64</v>
      </c>
      <c r="AB64" s="39" t="s">
        <v>65</v>
      </c>
      <c r="AK64" s="48" t="s">
        <v>66</v>
      </c>
      <c r="AL64" s="48" t="str">
        <f>TEXTJOIN("",TRUE,khoaK9)</f>
        <v>110000001101101111101011001001111011100000111001</v>
      </c>
      <c r="AM64" s="48"/>
      <c r="AN64" s="48"/>
      <c r="AO64" s="48"/>
      <c r="AP64" s="48"/>
    </row>
    <row r="65" ht="18.75" customHeight="1">
      <c r="A65" s="40" t="s">
        <v>58</v>
      </c>
      <c r="B65" s="17" t="s">
        <v>53</v>
      </c>
      <c r="C65" s="41">
        <v>1.0</v>
      </c>
      <c r="D65" s="41">
        <v>2.0</v>
      </c>
      <c r="E65" s="41">
        <v>3.0</v>
      </c>
      <c r="F65" s="41">
        <v>4.0</v>
      </c>
      <c r="G65" s="41">
        <v>5.0</v>
      </c>
      <c r="H65" s="41">
        <v>6.0</v>
      </c>
      <c r="J65" s="40" t="s">
        <v>59</v>
      </c>
      <c r="K65" s="17" t="s">
        <v>53</v>
      </c>
      <c r="L65" s="41">
        <v>1.0</v>
      </c>
      <c r="M65" s="41">
        <v>2.0</v>
      </c>
      <c r="N65" s="41">
        <v>3.0</v>
      </c>
      <c r="O65" s="41">
        <v>4.0</v>
      </c>
      <c r="P65" s="41">
        <v>5.0</v>
      </c>
      <c r="Q65" s="41">
        <v>6.0</v>
      </c>
      <c r="S65" s="40" t="s">
        <v>60</v>
      </c>
      <c r="T65" s="17" t="s">
        <v>53</v>
      </c>
      <c r="U65" s="41">
        <v>1.0</v>
      </c>
      <c r="V65" s="41">
        <v>2.0</v>
      </c>
      <c r="W65" s="41">
        <v>3.0</v>
      </c>
      <c r="X65" s="41">
        <v>4.0</v>
      </c>
      <c r="Y65" s="41">
        <v>5.0</v>
      </c>
      <c r="Z65" s="41">
        <v>6.0</v>
      </c>
      <c r="AB65" s="40" t="s">
        <v>61</v>
      </c>
      <c r="AC65" s="17" t="s">
        <v>53</v>
      </c>
      <c r="AD65" s="41">
        <v>1.0</v>
      </c>
      <c r="AE65" s="41">
        <v>2.0</v>
      </c>
      <c r="AF65" s="41">
        <v>3.0</v>
      </c>
      <c r="AG65" s="41">
        <v>4.0</v>
      </c>
      <c r="AH65" s="41">
        <v>5.0</v>
      </c>
      <c r="AI65" s="41">
        <v>6.0</v>
      </c>
      <c r="AK65" s="48" t="s">
        <v>67</v>
      </c>
      <c r="AL65" s="48" t="str">
        <f>TEXTJOIN("",TRUE,khoaK10)</f>
        <v>101100011111001101000111011000110001110101110110</v>
      </c>
      <c r="AM65" s="48"/>
      <c r="AN65" s="48"/>
      <c r="AO65" s="48"/>
      <c r="AP65" s="48"/>
    </row>
    <row r="66" ht="18.75" customHeight="1">
      <c r="A66" s="40"/>
      <c r="B66" s="17"/>
      <c r="C66" s="47">
        <v>0.0</v>
      </c>
      <c r="D66" s="47">
        <v>1.0</v>
      </c>
      <c r="E66" s="47">
        <v>1.0</v>
      </c>
      <c r="F66" s="47">
        <v>1.0</v>
      </c>
      <c r="G66" s="47">
        <v>1.0</v>
      </c>
      <c r="H66" s="47">
        <v>1.0</v>
      </c>
      <c r="J66" s="40"/>
      <c r="K66" s="17"/>
      <c r="L66" s="47">
        <v>0.0</v>
      </c>
      <c r="M66" s="47">
        <v>1.0</v>
      </c>
      <c r="N66" s="47">
        <v>1.0</v>
      </c>
      <c r="O66" s="47">
        <v>0.0</v>
      </c>
      <c r="P66" s="47">
        <v>0.0</v>
      </c>
      <c r="Q66" s="47">
        <v>0.0</v>
      </c>
      <c r="S66" s="40"/>
      <c r="T66" s="17"/>
      <c r="U66" s="47">
        <v>0.0</v>
      </c>
      <c r="V66" s="47">
        <v>1.0</v>
      </c>
      <c r="W66" s="47">
        <v>1.0</v>
      </c>
      <c r="X66" s="47">
        <v>0.0</v>
      </c>
      <c r="Y66" s="47">
        <v>1.0</v>
      </c>
      <c r="Z66" s="47">
        <v>1.0</v>
      </c>
      <c r="AB66" s="40"/>
      <c r="AC66" s="17"/>
      <c r="AD66" s="47">
        <v>1.0</v>
      </c>
      <c r="AE66" s="47">
        <v>1.0</v>
      </c>
      <c r="AF66" s="47">
        <v>1.0</v>
      </c>
      <c r="AG66" s="47">
        <v>1.0</v>
      </c>
      <c r="AH66" s="47">
        <v>0.0</v>
      </c>
      <c r="AI66" s="47">
        <v>1.0</v>
      </c>
      <c r="AK66" s="48" t="s">
        <v>68</v>
      </c>
      <c r="AL66" s="48" t="str">
        <f>TEXTJOIN("",TRUE,khoaK11)</f>
        <v>001000010101111111000011000011011000100110111110</v>
      </c>
      <c r="AM66" s="48"/>
      <c r="AN66" s="48"/>
      <c r="AO66" s="48"/>
      <c r="AP66" s="48"/>
    </row>
    <row r="67" ht="18.75" customHeight="1">
      <c r="A67" s="40"/>
      <c r="B67" s="17">
        <v>7.0</v>
      </c>
      <c r="C67" s="47">
        <v>0.0</v>
      </c>
      <c r="D67" s="47">
        <v>0.0</v>
      </c>
      <c r="E67" s="47">
        <v>1.0</v>
      </c>
      <c r="F67" s="47">
        <v>1.0</v>
      </c>
      <c r="G67" s="47">
        <v>1.0</v>
      </c>
      <c r="H67" s="47">
        <v>0.0</v>
      </c>
      <c r="J67" s="40"/>
      <c r="K67" s="17">
        <v>7.0</v>
      </c>
      <c r="L67" s="47">
        <v>1.0</v>
      </c>
      <c r="M67" s="47">
        <v>1.0</v>
      </c>
      <c r="N67" s="47">
        <v>1.0</v>
      </c>
      <c r="O67" s="47">
        <v>0.0</v>
      </c>
      <c r="P67" s="47">
        <v>1.0</v>
      </c>
      <c r="Q67" s="47">
        <v>0.0</v>
      </c>
      <c r="S67" s="40"/>
      <c r="T67" s="17">
        <v>7.0</v>
      </c>
      <c r="U67" s="47">
        <v>0.0</v>
      </c>
      <c r="V67" s="47">
        <v>0.0</v>
      </c>
      <c r="W67" s="47">
        <v>1.0</v>
      </c>
      <c r="X67" s="47">
        <v>0.0</v>
      </c>
      <c r="Y67" s="47">
        <v>0.0</v>
      </c>
      <c r="Z67" s="47">
        <v>0.0</v>
      </c>
      <c r="AB67" s="40"/>
      <c r="AC67" s="17">
        <v>7.0</v>
      </c>
      <c r="AD67" s="47">
        <v>1.0</v>
      </c>
      <c r="AE67" s="47">
        <v>1.0</v>
      </c>
      <c r="AF67" s="47">
        <v>1.0</v>
      </c>
      <c r="AG67" s="47">
        <v>0.0</v>
      </c>
      <c r="AH67" s="47">
        <v>0.0</v>
      </c>
      <c r="AI67" s="47">
        <v>0.0</v>
      </c>
      <c r="AK67" s="48" t="s">
        <v>69</v>
      </c>
      <c r="AL67" s="48" t="str">
        <f>TEXTJOIN("",TRUE,khoaK12)</f>
        <v>011100010111000111110101010001010101110011010101</v>
      </c>
      <c r="AM67" s="48"/>
      <c r="AN67" s="48"/>
      <c r="AO67" s="48"/>
      <c r="AP67" s="48"/>
    </row>
    <row r="68" ht="18.75" customHeight="1">
      <c r="A68" s="40"/>
      <c r="B68" s="17">
        <v>13.0</v>
      </c>
      <c r="C68" s="47">
        <v>1.0</v>
      </c>
      <c r="D68" s="47">
        <v>1.0</v>
      </c>
      <c r="E68" s="47">
        <v>0.0</v>
      </c>
      <c r="F68" s="47">
        <v>0.0</v>
      </c>
      <c r="G68" s="47">
        <v>0.0</v>
      </c>
      <c r="H68" s="47">
        <v>0.0</v>
      </c>
      <c r="J68" s="40"/>
      <c r="K68" s="17">
        <v>13.0</v>
      </c>
      <c r="L68" s="47">
        <v>0.0</v>
      </c>
      <c r="M68" s="47">
        <v>1.0</v>
      </c>
      <c r="N68" s="47">
        <v>0.0</v>
      </c>
      <c r="O68" s="47">
        <v>1.0</v>
      </c>
      <c r="P68" s="47">
        <v>0.0</v>
      </c>
      <c r="Q68" s="47">
        <v>0.0</v>
      </c>
      <c r="S68" s="40"/>
      <c r="T68" s="17">
        <v>13.0</v>
      </c>
      <c r="U68" s="47">
        <v>0.0</v>
      </c>
      <c r="V68" s="47">
        <v>1.0</v>
      </c>
      <c r="W68" s="47">
        <v>0.0</v>
      </c>
      <c r="X68" s="47">
        <v>0.0</v>
      </c>
      <c r="Y68" s="47">
        <v>1.0</v>
      </c>
      <c r="Z68" s="47">
        <v>0.0</v>
      </c>
      <c r="AB68" s="40"/>
      <c r="AC68" s="17">
        <v>13.0</v>
      </c>
      <c r="AD68" s="47">
        <v>1.0</v>
      </c>
      <c r="AE68" s="47">
        <v>0.0</v>
      </c>
      <c r="AF68" s="47">
        <v>0.0</v>
      </c>
      <c r="AG68" s="47">
        <v>0.0</v>
      </c>
      <c r="AH68" s="47">
        <v>0.0</v>
      </c>
      <c r="AI68" s="47">
        <v>0.0</v>
      </c>
      <c r="AK68" s="48" t="s">
        <v>70</v>
      </c>
      <c r="AL68" s="48" t="str">
        <f>TEXTJOIN("",TRUE,khoaK13)</f>
        <v>100101011100010111010001010010111000000011111101</v>
      </c>
      <c r="AM68" s="48"/>
      <c r="AN68" s="48"/>
      <c r="AO68" s="48"/>
      <c r="AP68" s="48"/>
    </row>
    <row r="69" ht="18.75" customHeight="1">
      <c r="A69" s="40"/>
      <c r="B69" s="17">
        <v>19.0</v>
      </c>
      <c r="C69" s="47">
        <v>0.0</v>
      </c>
      <c r="D69" s="47">
        <v>0.0</v>
      </c>
      <c r="E69" s="47">
        <v>0.0</v>
      </c>
      <c r="F69" s="47">
        <v>1.0</v>
      </c>
      <c r="G69" s="47">
        <v>1.0</v>
      </c>
      <c r="H69" s="47">
        <v>1.0</v>
      </c>
      <c r="J69" s="40"/>
      <c r="K69" s="17">
        <v>19.0</v>
      </c>
      <c r="L69" s="47">
        <v>0.0</v>
      </c>
      <c r="M69" s="47">
        <v>1.0</v>
      </c>
      <c r="N69" s="47">
        <v>1.0</v>
      </c>
      <c r="O69" s="47">
        <v>1.0</v>
      </c>
      <c r="P69" s="47">
        <v>1.0</v>
      </c>
      <c r="Q69" s="47">
        <v>0.0</v>
      </c>
      <c r="S69" s="40"/>
      <c r="T69" s="17">
        <v>19.0</v>
      </c>
      <c r="U69" s="47">
        <v>1.0</v>
      </c>
      <c r="V69" s="47">
        <v>1.0</v>
      </c>
      <c r="W69" s="47">
        <v>0.0</v>
      </c>
      <c r="X69" s="47">
        <v>1.0</v>
      </c>
      <c r="Y69" s="47">
        <v>1.0</v>
      </c>
      <c r="Z69" s="47">
        <v>1.0</v>
      </c>
      <c r="AB69" s="40"/>
      <c r="AC69" s="17">
        <v>19.0</v>
      </c>
      <c r="AD69" s="47">
        <v>1.0</v>
      </c>
      <c r="AE69" s="47">
        <v>1.0</v>
      </c>
      <c r="AF69" s="47">
        <v>1.0</v>
      </c>
      <c r="AG69" s="47">
        <v>0.0</v>
      </c>
      <c r="AH69" s="47">
        <v>1.0</v>
      </c>
      <c r="AI69" s="47">
        <v>0.0</v>
      </c>
      <c r="AK69" s="48" t="s">
        <v>71</v>
      </c>
      <c r="AL69" s="48" t="str">
        <f>TEXTJOIN("",TRUE,khoaK14)</f>
        <v>010101110100001110110111100000111101110110001101</v>
      </c>
      <c r="AM69" s="48"/>
      <c r="AN69" s="48"/>
      <c r="AO69" s="48"/>
      <c r="AP69" s="48"/>
    </row>
    <row r="70" ht="18.75" customHeight="1">
      <c r="A70" s="40"/>
      <c r="B70" s="17">
        <v>25.0</v>
      </c>
      <c r="C70" s="47">
        <v>0.0</v>
      </c>
      <c r="D70" s="47">
        <v>0.0</v>
      </c>
      <c r="E70" s="47">
        <v>0.0</v>
      </c>
      <c r="F70" s="47">
        <v>1.0</v>
      </c>
      <c r="G70" s="47">
        <v>1.0</v>
      </c>
      <c r="H70" s="47">
        <v>1.0</v>
      </c>
      <c r="J70" s="40"/>
      <c r="K70" s="17">
        <v>25.0</v>
      </c>
      <c r="L70" s="47">
        <v>0.0</v>
      </c>
      <c r="M70" s="47">
        <v>0.0</v>
      </c>
      <c r="N70" s="47">
        <v>1.0</v>
      </c>
      <c r="O70" s="47">
        <v>1.0</v>
      </c>
      <c r="P70" s="47">
        <v>1.0</v>
      </c>
      <c r="Q70" s="47">
        <v>1.0</v>
      </c>
      <c r="S70" s="40"/>
      <c r="T70" s="17">
        <v>25.0</v>
      </c>
      <c r="U70" s="47">
        <v>1.0</v>
      </c>
      <c r="V70" s="47">
        <v>0.0</v>
      </c>
      <c r="W70" s="47">
        <v>0.0</v>
      </c>
      <c r="X70" s="47">
        <v>0.0</v>
      </c>
      <c r="Y70" s="47">
        <v>1.0</v>
      </c>
      <c r="Z70" s="47">
        <v>0.0</v>
      </c>
      <c r="AB70" s="40"/>
      <c r="AC70" s="17">
        <v>25.0</v>
      </c>
      <c r="AD70" s="47">
        <v>1.0</v>
      </c>
      <c r="AE70" s="47">
        <v>1.0</v>
      </c>
      <c r="AF70" s="47">
        <v>1.0</v>
      </c>
      <c r="AG70" s="47">
        <v>0.0</v>
      </c>
      <c r="AH70" s="47">
        <v>1.0</v>
      </c>
      <c r="AI70" s="47">
        <v>1.0</v>
      </c>
      <c r="AK70" s="48" t="s">
        <v>72</v>
      </c>
      <c r="AL70" s="48" t="str">
        <f>TEXTJOIN("",TRUE,khoaK15)</f>
        <v>101111111001000110000101000010100001011110110101</v>
      </c>
      <c r="AM70" s="48"/>
      <c r="AN70" s="48"/>
      <c r="AO70" s="48"/>
      <c r="AP70" s="48"/>
    </row>
    <row r="71" ht="18.75" customHeight="1">
      <c r="A71" s="40"/>
      <c r="B71" s="17">
        <v>31.0</v>
      </c>
      <c r="C71" s="47">
        <v>1.0</v>
      </c>
      <c r="D71" s="47">
        <v>1.0</v>
      </c>
      <c r="E71" s="47">
        <v>1.0</v>
      </c>
      <c r="F71" s="47">
        <v>1.0</v>
      </c>
      <c r="G71" s="47">
        <v>1.0</v>
      </c>
      <c r="H71" s="47">
        <v>0.0</v>
      </c>
      <c r="J71" s="40"/>
      <c r="K71" s="17">
        <v>31.0</v>
      </c>
      <c r="L71" s="47">
        <v>0.0</v>
      </c>
      <c r="M71" s="47">
        <v>0.0</v>
      </c>
      <c r="N71" s="47">
        <v>1.0</v>
      </c>
      <c r="O71" s="47">
        <v>1.0</v>
      </c>
      <c r="P71" s="47">
        <v>0.0</v>
      </c>
      <c r="Q71" s="47">
        <v>0.0</v>
      </c>
      <c r="S71" s="40"/>
      <c r="T71" s="17">
        <v>31.0</v>
      </c>
      <c r="U71" s="47">
        <v>1.0</v>
      </c>
      <c r="V71" s="47">
        <v>0.0</v>
      </c>
      <c r="W71" s="47">
        <v>1.0</v>
      </c>
      <c r="X71" s="47">
        <v>1.0</v>
      </c>
      <c r="Y71" s="47">
        <v>1.0</v>
      </c>
      <c r="Z71" s="47">
        <v>0.0</v>
      </c>
      <c r="AB71" s="40"/>
      <c r="AC71" s="17">
        <v>31.0</v>
      </c>
      <c r="AD71" s="47">
        <v>0.0</v>
      </c>
      <c r="AE71" s="47">
        <v>0.0</v>
      </c>
      <c r="AF71" s="47">
        <v>1.0</v>
      </c>
      <c r="AG71" s="47">
        <v>1.0</v>
      </c>
      <c r="AH71" s="47">
        <v>1.0</v>
      </c>
      <c r="AI71" s="47">
        <v>0.0</v>
      </c>
      <c r="AK71" s="48" t="s">
        <v>73</v>
      </c>
      <c r="AL71" s="48" t="str">
        <f>TEXTJOIN("",TRUE,khoaK16)</f>
        <v>110010110011110100001011101111000111000001110010</v>
      </c>
      <c r="AM71" s="48"/>
      <c r="AN71" s="48"/>
      <c r="AO71" s="48"/>
      <c r="AP71" s="48"/>
    </row>
    <row r="72" ht="18.75" customHeight="1">
      <c r="A72" s="40"/>
      <c r="B72" s="17">
        <v>37.0</v>
      </c>
      <c r="C72" s="47">
        <v>0.0</v>
      </c>
      <c r="D72" s="47">
        <v>1.0</v>
      </c>
      <c r="E72" s="47">
        <v>1.0</v>
      </c>
      <c r="F72" s="47">
        <v>0.0</v>
      </c>
      <c r="G72" s="47">
        <v>1.0</v>
      </c>
      <c r="H72" s="47">
        <v>1.0</v>
      </c>
      <c r="J72" s="40"/>
      <c r="K72" s="17">
        <v>37.0</v>
      </c>
      <c r="L72" s="47">
        <v>0.0</v>
      </c>
      <c r="M72" s="47">
        <v>1.0</v>
      </c>
      <c r="N72" s="47">
        <v>0.0</v>
      </c>
      <c r="O72" s="47">
        <v>1.0</v>
      </c>
      <c r="P72" s="47">
        <v>0.0</v>
      </c>
      <c r="Q72" s="47">
        <v>1.0</v>
      </c>
      <c r="S72" s="40"/>
      <c r="T72" s="17">
        <v>37.0</v>
      </c>
      <c r="U72" s="47">
        <v>0.0</v>
      </c>
      <c r="V72" s="47">
        <v>1.0</v>
      </c>
      <c r="W72" s="47">
        <v>0.0</v>
      </c>
      <c r="X72" s="47">
        <v>0.0</v>
      </c>
      <c r="Y72" s="47">
        <v>1.0</v>
      </c>
      <c r="Z72" s="47">
        <v>1.0</v>
      </c>
      <c r="AB72" s="40"/>
      <c r="AC72" s="17">
        <v>37.0</v>
      </c>
      <c r="AD72" s="47">
        <v>0.0</v>
      </c>
      <c r="AE72" s="47">
        <v>1.0</v>
      </c>
      <c r="AF72" s="47">
        <v>1.0</v>
      </c>
      <c r="AG72" s="47">
        <v>1.0</v>
      </c>
      <c r="AH72" s="47">
        <v>1.0</v>
      </c>
      <c r="AI72" s="47">
        <v>0.0</v>
      </c>
    </row>
    <row r="73" ht="18.75" customHeight="1">
      <c r="A73" s="40"/>
      <c r="B73" s="17">
        <v>43.0</v>
      </c>
      <c r="C73" s="47">
        <v>0.0</v>
      </c>
      <c r="D73" s="47">
        <v>0.0</v>
      </c>
      <c r="E73" s="47">
        <v>0.0</v>
      </c>
      <c r="F73" s="47">
        <v>0.0</v>
      </c>
      <c r="G73" s="47">
        <v>1.0</v>
      </c>
      <c r="H73" s="47">
        <v>0.0</v>
      </c>
      <c r="J73" s="40"/>
      <c r="K73" s="17">
        <v>43.0</v>
      </c>
      <c r="L73" s="47">
        <v>0.0</v>
      </c>
      <c r="M73" s="47">
        <v>0.0</v>
      </c>
      <c r="N73" s="47">
        <v>0.0</v>
      </c>
      <c r="O73" s="47">
        <v>1.0</v>
      </c>
      <c r="P73" s="47">
        <v>0.0</v>
      </c>
      <c r="Q73" s="47">
        <v>1.0</v>
      </c>
      <c r="S73" s="40"/>
      <c r="T73" s="17">
        <v>43.0</v>
      </c>
      <c r="U73" s="47">
        <v>0.0</v>
      </c>
      <c r="V73" s="47">
        <v>0.0</v>
      </c>
      <c r="W73" s="47">
        <v>0.0</v>
      </c>
      <c r="X73" s="47">
        <v>1.0</v>
      </c>
      <c r="Y73" s="47">
        <v>1.0</v>
      </c>
      <c r="Z73" s="47">
        <v>0.0</v>
      </c>
      <c r="AB73" s="40"/>
      <c r="AC73" s="17">
        <v>43.0</v>
      </c>
      <c r="AD73" s="47">
        <v>0.0</v>
      </c>
      <c r="AE73" s="47">
        <v>0.0</v>
      </c>
      <c r="AF73" s="47">
        <v>0.0</v>
      </c>
      <c r="AG73" s="47">
        <v>0.0</v>
      </c>
      <c r="AH73" s="47">
        <v>0.0</v>
      </c>
      <c r="AI73" s="47">
        <v>1.0</v>
      </c>
    </row>
    <row r="74" ht="18.75" customHeight="1">
      <c r="A74" s="39" t="s">
        <v>74</v>
      </c>
      <c r="J74" s="39" t="s">
        <v>75</v>
      </c>
      <c r="K74" s="39"/>
      <c r="S74" s="39" t="s">
        <v>76</v>
      </c>
      <c r="T74" s="39"/>
      <c r="AB74" s="39" t="s">
        <v>77</v>
      </c>
      <c r="AC74" s="39"/>
    </row>
    <row r="75" ht="18.75" customHeight="1">
      <c r="A75" s="40" t="s">
        <v>66</v>
      </c>
      <c r="B75" s="17" t="s">
        <v>53</v>
      </c>
      <c r="C75" s="41">
        <v>1.0</v>
      </c>
      <c r="D75" s="41">
        <v>2.0</v>
      </c>
      <c r="E75" s="41">
        <v>3.0</v>
      </c>
      <c r="F75" s="41">
        <v>4.0</v>
      </c>
      <c r="G75" s="41">
        <v>5.0</v>
      </c>
      <c r="H75" s="41">
        <v>6.0</v>
      </c>
      <c r="J75" s="40" t="s">
        <v>67</v>
      </c>
      <c r="K75" s="17" t="s">
        <v>53</v>
      </c>
      <c r="L75" s="41">
        <v>1.0</v>
      </c>
      <c r="M75" s="41">
        <v>2.0</v>
      </c>
      <c r="N75" s="41">
        <v>3.0</v>
      </c>
      <c r="O75" s="41">
        <v>4.0</v>
      </c>
      <c r="P75" s="41">
        <v>5.0</v>
      </c>
      <c r="Q75" s="41">
        <v>6.0</v>
      </c>
      <c r="S75" s="40" t="s">
        <v>68</v>
      </c>
      <c r="T75" s="17" t="s">
        <v>53</v>
      </c>
      <c r="U75" s="41">
        <v>1.0</v>
      </c>
      <c r="V75" s="41">
        <v>2.0</v>
      </c>
      <c r="W75" s="41">
        <v>3.0</v>
      </c>
      <c r="X75" s="41">
        <v>4.0</v>
      </c>
      <c r="Y75" s="41">
        <v>5.0</v>
      </c>
      <c r="Z75" s="41">
        <v>6.0</v>
      </c>
      <c r="AB75" s="40" t="s">
        <v>69</v>
      </c>
      <c r="AC75" s="17" t="s">
        <v>53</v>
      </c>
      <c r="AD75" s="41">
        <v>1.0</v>
      </c>
      <c r="AE75" s="41">
        <v>2.0</v>
      </c>
      <c r="AF75" s="41">
        <v>3.0</v>
      </c>
      <c r="AG75" s="41">
        <v>4.0</v>
      </c>
      <c r="AH75" s="41">
        <v>5.0</v>
      </c>
      <c r="AI75" s="41">
        <v>6.0</v>
      </c>
    </row>
    <row r="76" ht="18.75" customHeight="1">
      <c r="A76" s="40"/>
      <c r="B76" s="17"/>
      <c r="C76" s="47">
        <v>1.0</v>
      </c>
      <c r="D76" s="47">
        <v>1.0</v>
      </c>
      <c r="E76" s="47">
        <v>0.0</v>
      </c>
      <c r="F76" s="47">
        <v>0.0</v>
      </c>
      <c r="G76" s="47">
        <v>0.0</v>
      </c>
      <c r="H76" s="47">
        <v>0.0</v>
      </c>
      <c r="J76" s="40"/>
      <c r="K76" s="17"/>
      <c r="L76" s="47">
        <v>1.0</v>
      </c>
      <c r="M76" s="47">
        <v>0.0</v>
      </c>
      <c r="N76" s="47">
        <v>1.0</v>
      </c>
      <c r="O76" s="47">
        <v>1.0</v>
      </c>
      <c r="P76" s="47">
        <v>0.0</v>
      </c>
      <c r="Q76" s="47">
        <v>0.0</v>
      </c>
      <c r="S76" s="40"/>
      <c r="T76" s="17"/>
      <c r="U76" s="47">
        <v>0.0</v>
      </c>
      <c r="V76" s="47">
        <v>0.0</v>
      </c>
      <c r="W76" s="47">
        <v>1.0</v>
      </c>
      <c r="X76" s="47">
        <v>0.0</v>
      </c>
      <c r="Y76" s="47">
        <v>0.0</v>
      </c>
      <c r="Z76" s="47">
        <v>0.0</v>
      </c>
      <c r="AB76" s="40"/>
      <c r="AC76" s="17"/>
      <c r="AD76" s="47">
        <v>0.0</v>
      </c>
      <c r="AE76" s="47">
        <v>1.0</v>
      </c>
      <c r="AF76" s="47">
        <v>1.0</v>
      </c>
      <c r="AG76" s="47">
        <v>1.0</v>
      </c>
      <c r="AH76" s="47">
        <v>0.0</v>
      </c>
      <c r="AI76" s="47">
        <v>0.0</v>
      </c>
    </row>
    <row r="77" ht="18.75" customHeight="1">
      <c r="A77" s="40"/>
      <c r="B77" s="17">
        <v>7.0</v>
      </c>
      <c r="C77" s="47">
        <v>0.0</v>
      </c>
      <c r="D77" s="47">
        <v>0.0</v>
      </c>
      <c r="E77" s="47">
        <v>1.0</v>
      </c>
      <c r="F77" s="47">
        <v>1.0</v>
      </c>
      <c r="G77" s="47">
        <v>0.0</v>
      </c>
      <c r="H77" s="47">
        <v>1.0</v>
      </c>
      <c r="J77" s="40"/>
      <c r="K77" s="17">
        <v>7.0</v>
      </c>
      <c r="L77" s="47">
        <v>0.0</v>
      </c>
      <c r="M77" s="47">
        <v>1.0</v>
      </c>
      <c r="N77" s="47">
        <v>1.0</v>
      </c>
      <c r="O77" s="47">
        <v>1.0</v>
      </c>
      <c r="P77" s="47">
        <v>1.0</v>
      </c>
      <c r="Q77" s="47">
        <v>1.0</v>
      </c>
      <c r="S77" s="40"/>
      <c r="T77" s="17">
        <v>7.0</v>
      </c>
      <c r="U77" s="47">
        <v>0.0</v>
      </c>
      <c r="V77" s="47">
        <v>1.0</v>
      </c>
      <c r="W77" s="47">
        <v>0.0</v>
      </c>
      <c r="X77" s="47">
        <v>1.0</v>
      </c>
      <c r="Y77" s="47">
        <v>0.0</v>
      </c>
      <c r="Z77" s="47">
        <v>1.0</v>
      </c>
      <c r="AB77" s="40"/>
      <c r="AC77" s="17">
        <v>7.0</v>
      </c>
      <c r="AD77" s="47">
        <v>0.0</v>
      </c>
      <c r="AE77" s="47">
        <v>1.0</v>
      </c>
      <c r="AF77" s="47">
        <v>0.0</v>
      </c>
      <c r="AG77" s="47">
        <v>1.0</v>
      </c>
      <c r="AH77" s="47">
        <v>1.0</v>
      </c>
      <c r="AI77" s="47">
        <v>1.0</v>
      </c>
    </row>
    <row r="78" ht="18.75" customHeight="1">
      <c r="A78" s="40"/>
      <c r="B78" s="17">
        <v>13.0</v>
      </c>
      <c r="C78" s="47">
        <v>1.0</v>
      </c>
      <c r="D78" s="47">
        <v>0.0</v>
      </c>
      <c r="E78" s="47">
        <v>1.0</v>
      </c>
      <c r="F78" s="47">
        <v>1.0</v>
      </c>
      <c r="G78" s="47">
        <v>1.0</v>
      </c>
      <c r="H78" s="47">
        <v>1.0</v>
      </c>
      <c r="J78" s="40"/>
      <c r="K78" s="17">
        <v>13.0</v>
      </c>
      <c r="L78" s="47">
        <v>0.0</v>
      </c>
      <c r="M78" s="47">
        <v>0.0</v>
      </c>
      <c r="N78" s="47">
        <v>1.0</v>
      </c>
      <c r="O78" s="47">
        <v>1.0</v>
      </c>
      <c r="P78" s="47">
        <v>0.0</v>
      </c>
      <c r="Q78" s="47">
        <v>1.0</v>
      </c>
      <c r="S78" s="40"/>
      <c r="T78" s="17">
        <v>13.0</v>
      </c>
      <c r="U78" s="47">
        <v>1.0</v>
      </c>
      <c r="V78" s="47">
        <v>1.0</v>
      </c>
      <c r="W78" s="47">
        <v>1.0</v>
      </c>
      <c r="X78" s="47">
        <v>1.0</v>
      </c>
      <c r="Y78" s="47">
        <v>1.0</v>
      </c>
      <c r="Z78" s="47">
        <v>1.0</v>
      </c>
      <c r="AB78" s="40"/>
      <c r="AC78" s="17">
        <v>13.0</v>
      </c>
      <c r="AD78" s="47">
        <v>0.0</v>
      </c>
      <c r="AE78" s="47">
        <v>0.0</v>
      </c>
      <c r="AF78" s="47">
        <v>0.0</v>
      </c>
      <c r="AG78" s="47">
        <v>1.0</v>
      </c>
      <c r="AH78" s="47">
        <v>1.0</v>
      </c>
      <c r="AI78" s="47">
        <v>1.0</v>
      </c>
    </row>
    <row r="79" ht="18.75" customHeight="1">
      <c r="A79" s="40"/>
      <c r="B79" s="17">
        <v>19.0</v>
      </c>
      <c r="C79" s="47">
        <v>1.0</v>
      </c>
      <c r="D79" s="47">
        <v>0.0</v>
      </c>
      <c r="E79" s="47">
        <v>1.0</v>
      </c>
      <c r="F79" s="47">
        <v>0.0</v>
      </c>
      <c r="G79" s="47">
        <v>1.0</v>
      </c>
      <c r="H79" s="47">
        <v>1.0</v>
      </c>
      <c r="J79" s="40"/>
      <c r="K79" s="17">
        <v>19.0</v>
      </c>
      <c r="L79" s="47">
        <v>0.0</v>
      </c>
      <c r="M79" s="47">
        <v>0.0</v>
      </c>
      <c r="N79" s="47">
        <v>0.0</v>
      </c>
      <c r="O79" s="47">
        <v>1.0</v>
      </c>
      <c r="P79" s="47">
        <v>1.0</v>
      </c>
      <c r="Q79" s="47">
        <v>1.0</v>
      </c>
      <c r="S79" s="40"/>
      <c r="T79" s="17">
        <v>19.0</v>
      </c>
      <c r="U79" s="47">
        <v>0.0</v>
      </c>
      <c r="V79" s="47">
        <v>0.0</v>
      </c>
      <c r="W79" s="47">
        <v>0.0</v>
      </c>
      <c r="X79" s="47">
        <v>0.0</v>
      </c>
      <c r="Y79" s="47">
        <v>1.0</v>
      </c>
      <c r="Z79" s="47">
        <v>1.0</v>
      </c>
      <c r="AB79" s="40"/>
      <c r="AC79" s="17">
        <v>19.0</v>
      </c>
      <c r="AD79" s="47">
        <v>1.0</v>
      </c>
      <c r="AE79" s="47">
        <v>1.0</v>
      </c>
      <c r="AF79" s="47">
        <v>0.0</v>
      </c>
      <c r="AG79" s="47">
        <v>1.0</v>
      </c>
      <c r="AH79" s="47">
        <v>0.0</v>
      </c>
      <c r="AI79" s="47">
        <v>1.0</v>
      </c>
    </row>
    <row r="80" ht="18.75" customHeight="1">
      <c r="A80" s="40"/>
      <c r="B80" s="17">
        <v>25.0</v>
      </c>
      <c r="C80" s="47">
        <v>0.0</v>
      </c>
      <c r="D80" s="47">
        <v>0.0</v>
      </c>
      <c r="E80" s="47">
        <v>1.0</v>
      </c>
      <c r="F80" s="47">
        <v>0.0</v>
      </c>
      <c r="G80" s="47">
        <v>0.0</v>
      </c>
      <c r="H80" s="47">
        <v>1.0</v>
      </c>
      <c r="J80" s="40"/>
      <c r="K80" s="17">
        <v>25.0</v>
      </c>
      <c r="L80" s="47">
        <v>0.0</v>
      </c>
      <c r="M80" s="47">
        <v>1.0</v>
      </c>
      <c r="N80" s="47">
        <v>1.0</v>
      </c>
      <c r="O80" s="47">
        <v>0.0</v>
      </c>
      <c r="P80" s="47">
        <v>0.0</v>
      </c>
      <c r="Q80" s="47">
        <v>0.0</v>
      </c>
      <c r="S80" s="40"/>
      <c r="T80" s="17">
        <v>25.0</v>
      </c>
      <c r="U80" s="47">
        <v>0.0</v>
      </c>
      <c r="V80" s="47">
        <v>0.0</v>
      </c>
      <c r="W80" s="47">
        <v>0.0</v>
      </c>
      <c r="X80" s="47">
        <v>0.0</v>
      </c>
      <c r="Y80" s="47">
        <v>1.0</v>
      </c>
      <c r="Z80" s="47">
        <v>1.0</v>
      </c>
      <c r="AB80" s="40"/>
      <c r="AC80" s="17">
        <v>25.0</v>
      </c>
      <c r="AD80" s="47">
        <v>0.0</v>
      </c>
      <c r="AE80" s="47">
        <v>1.0</v>
      </c>
      <c r="AF80" s="47">
        <v>0.0</v>
      </c>
      <c r="AG80" s="47">
        <v>0.0</v>
      </c>
      <c r="AH80" s="47">
        <v>0.0</v>
      </c>
      <c r="AI80" s="47">
        <v>1.0</v>
      </c>
    </row>
    <row r="81" ht="18.75" customHeight="1">
      <c r="A81" s="40"/>
      <c r="B81" s="17">
        <v>31.0</v>
      </c>
      <c r="C81" s="47">
        <v>1.0</v>
      </c>
      <c r="D81" s="47">
        <v>1.0</v>
      </c>
      <c r="E81" s="47">
        <v>1.0</v>
      </c>
      <c r="F81" s="47">
        <v>0.0</v>
      </c>
      <c r="G81" s="47">
        <v>1.0</v>
      </c>
      <c r="H81" s="47">
        <v>1.0</v>
      </c>
      <c r="J81" s="40"/>
      <c r="K81" s="17">
        <v>31.0</v>
      </c>
      <c r="L81" s="47">
        <v>1.0</v>
      </c>
      <c r="M81" s="47">
        <v>1.0</v>
      </c>
      <c r="N81" s="47">
        <v>0.0</v>
      </c>
      <c r="O81" s="47">
        <v>0.0</v>
      </c>
      <c r="P81" s="47">
        <v>0.0</v>
      </c>
      <c r="Q81" s="47">
        <v>1.0</v>
      </c>
      <c r="S81" s="40"/>
      <c r="T81" s="17">
        <v>31.0</v>
      </c>
      <c r="U81" s="47">
        <v>0.0</v>
      </c>
      <c r="V81" s="47">
        <v>1.0</v>
      </c>
      <c r="W81" s="47">
        <v>1.0</v>
      </c>
      <c r="X81" s="47">
        <v>0.0</v>
      </c>
      <c r="Y81" s="47">
        <v>0.0</v>
      </c>
      <c r="Z81" s="47">
        <v>0.0</v>
      </c>
      <c r="AB81" s="40"/>
      <c r="AC81" s="17">
        <v>31.0</v>
      </c>
      <c r="AD81" s="47">
        <v>0.0</v>
      </c>
      <c r="AE81" s="47">
        <v>1.0</v>
      </c>
      <c r="AF81" s="47">
        <v>0.0</v>
      </c>
      <c r="AG81" s="47">
        <v>1.0</v>
      </c>
      <c r="AH81" s="47">
        <v>0.0</v>
      </c>
      <c r="AI81" s="47">
        <v>1.0</v>
      </c>
    </row>
    <row r="82" ht="18.75" customHeight="1">
      <c r="A82" s="40"/>
      <c r="B82" s="17">
        <v>37.0</v>
      </c>
      <c r="C82" s="47">
        <v>1.0</v>
      </c>
      <c r="D82" s="47">
        <v>0.0</v>
      </c>
      <c r="E82" s="47">
        <v>0.0</v>
      </c>
      <c r="F82" s="47">
        <v>0.0</v>
      </c>
      <c r="G82" s="47">
        <v>0.0</v>
      </c>
      <c r="H82" s="47">
        <v>0.0</v>
      </c>
      <c r="J82" s="40"/>
      <c r="K82" s="17">
        <v>37.0</v>
      </c>
      <c r="L82" s="47">
        <v>1.0</v>
      </c>
      <c r="M82" s="47">
        <v>1.0</v>
      </c>
      <c r="N82" s="47">
        <v>0.0</v>
      </c>
      <c r="O82" s="47">
        <v>1.0</v>
      </c>
      <c r="P82" s="47">
        <v>0.0</v>
      </c>
      <c r="Q82" s="47">
        <v>1.0</v>
      </c>
      <c r="S82" s="40"/>
      <c r="T82" s="17">
        <v>37.0</v>
      </c>
      <c r="U82" s="47">
        <v>1.0</v>
      </c>
      <c r="V82" s="47">
        <v>0.0</v>
      </c>
      <c r="W82" s="47">
        <v>0.0</v>
      </c>
      <c r="X82" s="47">
        <v>1.0</v>
      </c>
      <c r="Y82" s="47">
        <v>1.0</v>
      </c>
      <c r="Z82" s="47">
        <v>0.0</v>
      </c>
      <c r="AB82" s="40"/>
      <c r="AC82" s="17">
        <v>37.0</v>
      </c>
      <c r="AD82" s="47">
        <v>1.0</v>
      </c>
      <c r="AE82" s="47">
        <v>1.0</v>
      </c>
      <c r="AF82" s="47">
        <v>0.0</v>
      </c>
      <c r="AG82" s="47">
        <v>0.0</v>
      </c>
      <c r="AH82" s="47">
        <v>1.0</v>
      </c>
      <c r="AI82" s="47">
        <v>1.0</v>
      </c>
    </row>
    <row r="83" ht="18.75" customHeight="1">
      <c r="A83" s="40"/>
      <c r="B83" s="17">
        <v>43.0</v>
      </c>
      <c r="C83" s="47">
        <v>1.0</v>
      </c>
      <c r="D83" s="47">
        <v>1.0</v>
      </c>
      <c r="E83" s="47">
        <v>1.0</v>
      </c>
      <c r="F83" s="47">
        <v>0.0</v>
      </c>
      <c r="G83" s="47">
        <v>0.0</v>
      </c>
      <c r="H83" s="47">
        <v>1.0</v>
      </c>
      <c r="J83" s="40"/>
      <c r="K83" s="17">
        <v>43.0</v>
      </c>
      <c r="L83" s="47">
        <v>1.0</v>
      </c>
      <c r="M83" s="47">
        <v>1.0</v>
      </c>
      <c r="N83" s="47">
        <v>0.0</v>
      </c>
      <c r="O83" s="47">
        <v>1.0</v>
      </c>
      <c r="P83" s="47">
        <v>1.0</v>
      </c>
      <c r="Q83" s="47">
        <v>0.0</v>
      </c>
      <c r="S83" s="40"/>
      <c r="T83" s="17">
        <v>43.0</v>
      </c>
      <c r="U83" s="47">
        <v>1.0</v>
      </c>
      <c r="V83" s="47">
        <v>1.0</v>
      </c>
      <c r="W83" s="47">
        <v>1.0</v>
      </c>
      <c r="X83" s="47">
        <v>1.0</v>
      </c>
      <c r="Y83" s="47">
        <v>1.0</v>
      </c>
      <c r="Z83" s="47">
        <v>0.0</v>
      </c>
      <c r="AB83" s="40"/>
      <c r="AC83" s="17">
        <v>43.0</v>
      </c>
      <c r="AD83" s="47">
        <v>0.0</v>
      </c>
      <c r="AE83" s="47">
        <v>1.0</v>
      </c>
      <c r="AF83" s="47">
        <v>0.0</v>
      </c>
      <c r="AG83" s="47">
        <v>1.0</v>
      </c>
      <c r="AH83" s="47">
        <v>0.0</v>
      </c>
      <c r="AI83" s="47">
        <v>1.0</v>
      </c>
    </row>
    <row r="84" ht="18.75" customHeight="1">
      <c r="A84" s="39" t="s">
        <v>78</v>
      </c>
      <c r="B84" s="39"/>
      <c r="J84" s="39" t="s">
        <v>79</v>
      </c>
      <c r="K84" s="39"/>
      <c r="S84" s="39" t="s">
        <v>80</v>
      </c>
      <c r="T84" s="39"/>
      <c r="AB84" s="39" t="s">
        <v>81</v>
      </c>
      <c r="AC84" s="39"/>
    </row>
    <row r="85" ht="18.75" customHeight="1">
      <c r="A85" s="40" t="s">
        <v>70</v>
      </c>
      <c r="B85" s="17" t="s">
        <v>53</v>
      </c>
      <c r="C85" s="41">
        <v>1.0</v>
      </c>
      <c r="D85" s="41">
        <v>2.0</v>
      </c>
      <c r="E85" s="41">
        <v>3.0</v>
      </c>
      <c r="F85" s="41">
        <v>4.0</v>
      </c>
      <c r="G85" s="41">
        <v>5.0</v>
      </c>
      <c r="H85" s="41">
        <v>6.0</v>
      </c>
      <c r="J85" s="40" t="s">
        <v>71</v>
      </c>
      <c r="K85" s="17" t="s">
        <v>53</v>
      </c>
      <c r="L85" s="41">
        <v>1.0</v>
      </c>
      <c r="M85" s="41">
        <v>2.0</v>
      </c>
      <c r="N85" s="41">
        <v>3.0</v>
      </c>
      <c r="O85" s="41">
        <v>4.0</v>
      </c>
      <c r="P85" s="41">
        <v>5.0</v>
      </c>
      <c r="Q85" s="41">
        <v>6.0</v>
      </c>
      <c r="S85" s="40" t="s">
        <v>72</v>
      </c>
      <c r="T85" s="17" t="s">
        <v>53</v>
      </c>
      <c r="U85" s="41">
        <v>1.0</v>
      </c>
      <c r="V85" s="41">
        <v>2.0</v>
      </c>
      <c r="W85" s="41">
        <v>3.0</v>
      </c>
      <c r="X85" s="41">
        <v>4.0</v>
      </c>
      <c r="Y85" s="41">
        <v>5.0</v>
      </c>
      <c r="Z85" s="41">
        <v>6.0</v>
      </c>
      <c r="AB85" s="40" t="s">
        <v>73</v>
      </c>
      <c r="AC85" s="17" t="s">
        <v>53</v>
      </c>
      <c r="AD85" s="41">
        <v>1.0</v>
      </c>
      <c r="AE85" s="41">
        <v>2.0</v>
      </c>
      <c r="AF85" s="41">
        <v>3.0</v>
      </c>
      <c r="AG85" s="41">
        <v>4.0</v>
      </c>
      <c r="AH85" s="41">
        <v>5.0</v>
      </c>
      <c r="AI85" s="41">
        <v>6.0</v>
      </c>
    </row>
    <row r="86" ht="18.75" customHeight="1">
      <c r="A86" s="40"/>
      <c r="B86" s="17"/>
      <c r="C86" s="47">
        <v>1.0</v>
      </c>
      <c r="D86" s="47">
        <v>0.0</v>
      </c>
      <c r="E86" s="47">
        <v>0.0</v>
      </c>
      <c r="F86" s="47">
        <v>1.0</v>
      </c>
      <c r="G86" s="47">
        <v>0.0</v>
      </c>
      <c r="H86" s="47">
        <v>1.0</v>
      </c>
      <c r="J86" s="40"/>
      <c r="K86" s="17"/>
      <c r="L86" s="47">
        <v>0.0</v>
      </c>
      <c r="M86" s="47">
        <v>1.0</v>
      </c>
      <c r="N86" s="47">
        <v>0.0</v>
      </c>
      <c r="O86" s="47">
        <v>1.0</v>
      </c>
      <c r="P86" s="47">
        <v>0.0</v>
      </c>
      <c r="Q86" s="47">
        <v>1.0</v>
      </c>
      <c r="S86" s="40"/>
      <c r="T86" s="17"/>
      <c r="U86" s="47">
        <v>1.0</v>
      </c>
      <c r="V86" s="47">
        <v>0.0</v>
      </c>
      <c r="W86" s="47">
        <v>1.0</v>
      </c>
      <c r="X86" s="47">
        <v>1.0</v>
      </c>
      <c r="Y86" s="47">
        <v>1.0</v>
      </c>
      <c r="Z86" s="47">
        <v>1.0</v>
      </c>
      <c r="AB86" s="40"/>
      <c r="AC86" s="17"/>
      <c r="AD86" s="47">
        <v>1.0</v>
      </c>
      <c r="AE86" s="47">
        <v>1.0</v>
      </c>
      <c r="AF86" s="47">
        <v>0.0</v>
      </c>
      <c r="AG86" s="47">
        <v>0.0</v>
      </c>
      <c r="AH86" s="47">
        <v>1.0</v>
      </c>
      <c r="AI86" s="47">
        <v>0.0</v>
      </c>
    </row>
    <row r="87" ht="18.75" customHeight="1">
      <c r="A87" s="40"/>
      <c r="B87" s="17">
        <v>7.0</v>
      </c>
      <c r="C87" s="47">
        <v>0.0</v>
      </c>
      <c r="D87" s="47">
        <v>1.0</v>
      </c>
      <c r="E87" s="47">
        <v>1.0</v>
      </c>
      <c r="F87" s="47">
        <v>1.0</v>
      </c>
      <c r="G87" s="47">
        <v>0.0</v>
      </c>
      <c r="H87" s="47">
        <v>0.0</v>
      </c>
      <c r="J87" s="40"/>
      <c r="K87" s="17">
        <v>7.0</v>
      </c>
      <c r="L87" s="47">
        <v>1.0</v>
      </c>
      <c r="M87" s="47">
        <v>1.0</v>
      </c>
      <c r="N87" s="47">
        <v>0.0</v>
      </c>
      <c r="O87" s="47">
        <v>1.0</v>
      </c>
      <c r="P87" s="47">
        <v>0.0</v>
      </c>
      <c r="Q87" s="47">
        <v>0.0</v>
      </c>
      <c r="S87" s="40"/>
      <c r="T87" s="17">
        <v>7.0</v>
      </c>
      <c r="U87" s="47">
        <v>1.0</v>
      </c>
      <c r="V87" s="47">
        <v>1.0</v>
      </c>
      <c r="W87" s="47">
        <v>1.0</v>
      </c>
      <c r="X87" s="47">
        <v>0.0</v>
      </c>
      <c r="Y87" s="47">
        <v>0.0</v>
      </c>
      <c r="Z87" s="47">
        <v>1.0</v>
      </c>
      <c r="AB87" s="40"/>
      <c r="AC87" s="17">
        <v>7.0</v>
      </c>
      <c r="AD87" s="47">
        <v>1.0</v>
      </c>
      <c r="AE87" s="47">
        <v>1.0</v>
      </c>
      <c r="AF87" s="47">
        <v>0.0</v>
      </c>
      <c r="AG87" s="47">
        <v>0.0</v>
      </c>
      <c r="AH87" s="47">
        <v>1.0</v>
      </c>
      <c r="AI87" s="47">
        <v>1.0</v>
      </c>
    </row>
    <row r="88" ht="18.75" customHeight="1">
      <c r="A88" s="40"/>
      <c r="B88" s="17">
        <v>13.0</v>
      </c>
      <c r="C88" s="47">
        <v>0.0</v>
      </c>
      <c r="D88" s="47">
        <v>1.0</v>
      </c>
      <c r="E88" s="47">
        <v>0.0</v>
      </c>
      <c r="F88" s="47">
        <v>1.0</v>
      </c>
      <c r="G88" s="47">
        <v>1.0</v>
      </c>
      <c r="H88" s="47">
        <v>1.0</v>
      </c>
      <c r="J88" s="40"/>
      <c r="K88" s="17">
        <v>13.0</v>
      </c>
      <c r="L88" s="47">
        <v>0.0</v>
      </c>
      <c r="M88" s="47">
        <v>0.0</v>
      </c>
      <c r="N88" s="47">
        <v>1.0</v>
      </c>
      <c r="O88" s="47">
        <v>1.0</v>
      </c>
      <c r="P88" s="47">
        <v>1.0</v>
      </c>
      <c r="Q88" s="47">
        <v>0.0</v>
      </c>
      <c r="S88" s="40"/>
      <c r="T88" s="17">
        <v>13.0</v>
      </c>
      <c r="U88" s="47">
        <v>0.0</v>
      </c>
      <c r="V88" s="47">
        <v>0.0</v>
      </c>
      <c r="W88" s="47">
        <v>0.0</v>
      </c>
      <c r="X88" s="47">
        <v>1.0</v>
      </c>
      <c r="Y88" s="47">
        <v>1.0</v>
      </c>
      <c r="Z88" s="47">
        <v>0.0</v>
      </c>
      <c r="AB88" s="40"/>
      <c r="AC88" s="17">
        <v>13.0</v>
      </c>
      <c r="AD88" s="47">
        <v>1.0</v>
      </c>
      <c r="AE88" s="47">
        <v>1.0</v>
      </c>
      <c r="AF88" s="47">
        <v>0.0</v>
      </c>
      <c r="AG88" s="47">
        <v>1.0</v>
      </c>
      <c r="AH88" s="47">
        <v>0.0</v>
      </c>
      <c r="AI88" s="47">
        <v>0.0</v>
      </c>
    </row>
    <row r="89" ht="18.75" customHeight="1">
      <c r="A89" s="40"/>
      <c r="B89" s="17">
        <v>19.0</v>
      </c>
      <c r="C89" s="47">
        <v>0.0</v>
      </c>
      <c r="D89" s="47">
        <v>1.0</v>
      </c>
      <c r="E89" s="47">
        <v>0.0</v>
      </c>
      <c r="F89" s="47">
        <v>0.0</v>
      </c>
      <c r="G89" s="47">
        <v>0.0</v>
      </c>
      <c r="H89" s="47">
        <v>1.0</v>
      </c>
      <c r="J89" s="40"/>
      <c r="K89" s="17">
        <v>19.0</v>
      </c>
      <c r="L89" s="47">
        <v>1.0</v>
      </c>
      <c r="M89" s="47">
        <v>1.0</v>
      </c>
      <c r="N89" s="47">
        <v>0.0</v>
      </c>
      <c r="O89" s="47">
        <v>1.0</v>
      </c>
      <c r="P89" s="47">
        <v>1.0</v>
      </c>
      <c r="Q89" s="47">
        <v>1.0</v>
      </c>
      <c r="S89" s="40"/>
      <c r="T89" s="17">
        <v>19.0</v>
      </c>
      <c r="U89" s="47">
        <v>0.0</v>
      </c>
      <c r="V89" s="47">
        <v>0.0</v>
      </c>
      <c r="W89" s="47">
        <v>0.0</v>
      </c>
      <c r="X89" s="47">
        <v>1.0</v>
      </c>
      <c r="Y89" s="47">
        <v>0.0</v>
      </c>
      <c r="Z89" s="47">
        <v>1.0</v>
      </c>
      <c r="AB89" s="40"/>
      <c r="AC89" s="17">
        <v>19.0</v>
      </c>
      <c r="AD89" s="47">
        <v>0.0</v>
      </c>
      <c r="AE89" s="47">
        <v>0.0</v>
      </c>
      <c r="AF89" s="47">
        <v>1.0</v>
      </c>
      <c r="AG89" s="47">
        <v>0.0</v>
      </c>
      <c r="AH89" s="47">
        <v>1.0</v>
      </c>
      <c r="AI89" s="47">
        <v>1.0</v>
      </c>
    </row>
    <row r="90" ht="18.75" customHeight="1">
      <c r="A90" s="40"/>
      <c r="B90" s="17">
        <v>25.0</v>
      </c>
      <c r="C90" s="47">
        <v>0.0</v>
      </c>
      <c r="D90" s="47">
        <v>1.0</v>
      </c>
      <c r="E90" s="47">
        <v>0.0</v>
      </c>
      <c r="F90" s="47">
        <v>0.0</v>
      </c>
      <c r="G90" s="47">
        <v>1.0</v>
      </c>
      <c r="H90" s="47">
        <v>0.0</v>
      </c>
      <c r="J90" s="40"/>
      <c r="K90" s="17">
        <v>25.0</v>
      </c>
      <c r="L90" s="47">
        <v>1.0</v>
      </c>
      <c r="M90" s="47">
        <v>0.0</v>
      </c>
      <c r="N90" s="47">
        <v>0.0</v>
      </c>
      <c r="O90" s="47">
        <v>0.0</v>
      </c>
      <c r="P90" s="47">
        <v>0.0</v>
      </c>
      <c r="Q90" s="47">
        <v>0.0</v>
      </c>
      <c r="S90" s="40"/>
      <c r="T90" s="17">
        <v>25.0</v>
      </c>
      <c r="U90" s="47">
        <v>0.0</v>
      </c>
      <c r="V90" s="47">
        <v>0.0</v>
      </c>
      <c r="W90" s="47">
        <v>0.0</v>
      </c>
      <c r="X90" s="47">
        <v>0.0</v>
      </c>
      <c r="Y90" s="47">
        <v>1.0</v>
      </c>
      <c r="Z90" s="47">
        <v>0.0</v>
      </c>
      <c r="AB90" s="40"/>
      <c r="AC90" s="17">
        <v>25.0</v>
      </c>
      <c r="AD90" s="47">
        <v>1.0</v>
      </c>
      <c r="AE90" s="47">
        <v>0.0</v>
      </c>
      <c r="AF90" s="47">
        <v>1.0</v>
      </c>
      <c r="AG90" s="47">
        <v>1.0</v>
      </c>
      <c r="AH90" s="47">
        <v>1.0</v>
      </c>
      <c r="AI90" s="47">
        <v>1.0</v>
      </c>
    </row>
    <row r="91" ht="18.75" customHeight="1">
      <c r="A91" s="40"/>
      <c r="B91" s="17">
        <v>31.0</v>
      </c>
      <c r="C91" s="47">
        <v>1.0</v>
      </c>
      <c r="D91" s="47">
        <v>1.0</v>
      </c>
      <c r="E91" s="47">
        <v>1.0</v>
      </c>
      <c r="F91" s="47">
        <v>0.0</v>
      </c>
      <c r="G91" s="47">
        <v>0.0</v>
      </c>
      <c r="H91" s="47">
        <v>0.0</v>
      </c>
      <c r="J91" s="40"/>
      <c r="K91" s="17">
        <v>31.0</v>
      </c>
      <c r="L91" s="47">
        <v>1.0</v>
      </c>
      <c r="M91" s="47">
        <v>1.0</v>
      </c>
      <c r="N91" s="47">
        <v>1.0</v>
      </c>
      <c r="O91" s="47">
        <v>1.0</v>
      </c>
      <c r="P91" s="47">
        <v>0.0</v>
      </c>
      <c r="Q91" s="47">
        <v>1.0</v>
      </c>
      <c r="S91" s="40"/>
      <c r="T91" s="17">
        <v>31.0</v>
      </c>
      <c r="U91" s="47">
        <v>1.0</v>
      </c>
      <c r="V91" s="47">
        <v>0.0</v>
      </c>
      <c r="W91" s="47">
        <v>0.0</v>
      </c>
      <c r="X91" s="47">
        <v>0.0</v>
      </c>
      <c r="Y91" s="47">
        <v>0.0</v>
      </c>
      <c r="Z91" s="47">
        <v>1.0</v>
      </c>
      <c r="AB91" s="40"/>
      <c r="AC91" s="17">
        <v>31.0</v>
      </c>
      <c r="AD91" s="47">
        <v>0.0</v>
      </c>
      <c r="AE91" s="47">
        <v>0.0</v>
      </c>
      <c r="AF91" s="47">
        <v>0.0</v>
      </c>
      <c r="AG91" s="47">
        <v>1.0</v>
      </c>
      <c r="AH91" s="47">
        <v>1.0</v>
      </c>
      <c r="AI91" s="47">
        <v>1.0</v>
      </c>
    </row>
    <row r="92" ht="18.75" customHeight="1">
      <c r="A92" s="40"/>
      <c r="B92" s="17">
        <v>37.0</v>
      </c>
      <c r="C92" s="47">
        <v>0.0</v>
      </c>
      <c r="D92" s="47">
        <v>0.0</v>
      </c>
      <c r="E92" s="47">
        <v>0.0</v>
      </c>
      <c r="F92" s="47">
        <v>0.0</v>
      </c>
      <c r="G92" s="47">
        <v>1.0</v>
      </c>
      <c r="H92" s="47">
        <v>1.0</v>
      </c>
      <c r="J92" s="40"/>
      <c r="K92" s="17">
        <v>37.0</v>
      </c>
      <c r="L92" s="47">
        <v>1.0</v>
      </c>
      <c r="M92" s="47">
        <v>1.0</v>
      </c>
      <c r="N92" s="47">
        <v>0.0</v>
      </c>
      <c r="O92" s="47">
        <v>1.0</v>
      </c>
      <c r="P92" s="47">
        <v>1.0</v>
      </c>
      <c r="Q92" s="47">
        <v>0.0</v>
      </c>
      <c r="S92" s="40"/>
      <c r="T92" s="17">
        <v>37.0</v>
      </c>
      <c r="U92" s="47">
        <v>0.0</v>
      </c>
      <c r="V92" s="47">
        <v>1.0</v>
      </c>
      <c r="W92" s="47">
        <v>1.0</v>
      </c>
      <c r="X92" s="47">
        <v>1.0</v>
      </c>
      <c r="Y92" s="47">
        <v>1.0</v>
      </c>
      <c r="Z92" s="47">
        <v>0.0</v>
      </c>
      <c r="AB92" s="40"/>
      <c r="AC92" s="17">
        <v>37.0</v>
      </c>
      <c r="AD92" s="47">
        <v>0.0</v>
      </c>
      <c r="AE92" s="47">
        <v>0.0</v>
      </c>
      <c r="AF92" s="47">
        <v>0.0</v>
      </c>
      <c r="AG92" s="47">
        <v>0.0</v>
      </c>
      <c r="AH92" s="47">
        <v>0.0</v>
      </c>
      <c r="AI92" s="47">
        <v>1.0</v>
      </c>
    </row>
    <row r="93" ht="18.75" customHeight="1">
      <c r="A93" s="40"/>
      <c r="B93" s="17">
        <v>43.0</v>
      </c>
      <c r="C93" s="47">
        <v>1.0</v>
      </c>
      <c r="D93" s="47">
        <v>1.0</v>
      </c>
      <c r="E93" s="47">
        <v>1.0</v>
      </c>
      <c r="F93" s="47">
        <v>1.0</v>
      </c>
      <c r="G93" s="47">
        <v>0.0</v>
      </c>
      <c r="H93" s="47">
        <v>1.0</v>
      </c>
      <c r="J93" s="40"/>
      <c r="K93" s="17">
        <v>43.0</v>
      </c>
      <c r="L93" s="47">
        <v>0.0</v>
      </c>
      <c r="M93" s="47">
        <v>0.0</v>
      </c>
      <c r="N93" s="47">
        <v>1.0</v>
      </c>
      <c r="O93" s="47">
        <v>1.0</v>
      </c>
      <c r="P93" s="47">
        <v>0.0</v>
      </c>
      <c r="Q93" s="47">
        <v>1.0</v>
      </c>
      <c r="S93" s="40"/>
      <c r="T93" s="17">
        <v>43.0</v>
      </c>
      <c r="U93" s="47">
        <v>1.0</v>
      </c>
      <c r="V93" s="47">
        <v>1.0</v>
      </c>
      <c r="W93" s="47">
        <v>0.0</v>
      </c>
      <c r="X93" s="47">
        <v>1.0</v>
      </c>
      <c r="Y93" s="47">
        <v>0.0</v>
      </c>
      <c r="Z93" s="47">
        <v>1.0</v>
      </c>
      <c r="AB93" s="40"/>
      <c r="AC93" s="17">
        <v>43.0</v>
      </c>
      <c r="AD93" s="47">
        <v>1.0</v>
      </c>
      <c r="AE93" s="47">
        <v>1.0</v>
      </c>
      <c r="AF93" s="47">
        <v>0.0</v>
      </c>
      <c r="AG93" s="47">
        <v>0.0</v>
      </c>
      <c r="AH93" s="47">
        <v>1.0</v>
      </c>
      <c r="AI93" s="47">
        <v>0.0</v>
      </c>
    </row>
    <row r="94" ht="18.75" customHeight="1"/>
    <row r="95" ht="18.75" customHeight="1">
      <c r="F95" s="17" t="s">
        <v>82</v>
      </c>
      <c r="G95" s="17"/>
      <c r="H95" s="17"/>
      <c r="I95" s="17"/>
      <c r="J95" s="17"/>
      <c r="K95" s="17"/>
      <c r="L95" s="17"/>
      <c r="M95" s="17"/>
      <c r="N95" s="17"/>
      <c r="O95" s="17" t="s">
        <v>83</v>
      </c>
      <c r="P95" s="17"/>
      <c r="Q95" s="17" t="s">
        <v>84</v>
      </c>
      <c r="R95" s="17"/>
      <c r="S95" s="17"/>
      <c r="T95" s="17"/>
      <c r="U95" s="17"/>
    </row>
    <row r="96" ht="18.75" customHeight="1">
      <c r="F96" s="49" t="s">
        <v>85</v>
      </c>
      <c r="G96" s="44"/>
      <c r="H96" s="44"/>
      <c r="I96" s="13"/>
      <c r="J96" s="50" t="s">
        <v>86</v>
      </c>
      <c r="K96" s="44"/>
      <c r="L96" s="44"/>
      <c r="M96" s="13"/>
      <c r="N96" s="51" t="s">
        <v>87</v>
      </c>
      <c r="O96" s="44"/>
      <c r="P96" s="44"/>
      <c r="Q96" s="44"/>
      <c r="R96" s="44"/>
      <c r="S96" s="13"/>
      <c r="T96" s="52" t="s">
        <v>88</v>
      </c>
      <c r="U96" s="44"/>
      <c r="V96" s="44"/>
      <c r="W96" s="44"/>
      <c r="X96" s="44"/>
      <c r="Y96" s="13"/>
      <c r="Z96" s="53" t="s">
        <v>89</v>
      </c>
      <c r="AA96" s="44"/>
      <c r="AB96" s="44"/>
      <c r="AC96" s="44"/>
      <c r="AD96" s="44"/>
      <c r="AE96" s="13"/>
      <c r="AF96" s="54" t="s">
        <v>90</v>
      </c>
      <c r="AG96" s="44"/>
      <c r="AH96" s="44"/>
      <c r="AI96" s="44"/>
      <c r="AJ96" s="44"/>
      <c r="AK96" s="13"/>
    </row>
    <row r="97" ht="18.75" customHeight="1">
      <c r="E97" s="17">
        <v>0.0</v>
      </c>
      <c r="F97" s="55" t="s">
        <v>91</v>
      </c>
      <c r="G97" s="42"/>
      <c r="H97" s="42"/>
      <c r="I97" s="42"/>
      <c r="J97" s="56" t="s">
        <v>92</v>
      </c>
      <c r="K97" s="57"/>
      <c r="L97" s="57"/>
      <c r="M97" s="57"/>
      <c r="N97" s="58" t="str">
        <f t="array" ref="N97">TEXTJOIN("",TRUE, MID($J$97,E,1))</f>
        <v>011100000000001010101001011110100001010101010101</v>
      </c>
      <c r="O97" s="58"/>
      <c r="P97" s="58"/>
      <c r="Q97" s="58"/>
      <c r="R97" s="58"/>
      <c r="S97" s="58"/>
      <c r="T97" s="10" t="str">
        <f t="array" ref="T97">TEXTJOIN("",TRUE,--(MID(N97,ROW(INDIRECT("1:48")),1)&lt;&gt;MID(K_1,ROW(INDIRECT("1:48")),1)))</f>
        <v>011010110000000001000110101000010101110011110000</v>
      </c>
      <c r="U97" s="10"/>
      <c r="V97" s="10"/>
      <c r="W97" s="10"/>
      <c r="X97" s="10"/>
      <c r="Y97" s="10"/>
      <c r="Z97" s="59" t="s">
        <v>93</v>
      </c>
      <c r="AA97" s="48"/>
      <c r="AB97" s="48"/>
      <c r="AC97" s="48"/>
      <c r="AD97" s="48"/>
      <c r="AE97" s="48"/>
      <c r="AF97" s="45" t="str">
        <f t="shared" ref="AF97:AF112" si="1">MID($Z97,16,1)&amp;MID($Z97,7,1)&amp;MID($Z97,20,1)&amp;MID($Z97,21,1)&amp;
MID($Z97,29,1)&amp;MID($Z97,12,1)&amp;MID($Z97,28,1)&amp;MID($Z97,17,1)&amp;
MID($Z97,1,1)&amp;MID($Z97,15,1)&amp;MID($Z97,23,1)&amp;MID($Z97,26,1)&amp;
MID($Z97,5,1)&amp;MID($Z97,18,1)&amp;MID($Z97,31,1)&amp;MID($Z97,10,1)&amp;
MID($Z97,2,1)&amp;MID($Z97,8,1)&amp;MID($Z97,24,1)&amp;MID($Z97,14,1)&amp;
MID($Z97,32,1)&amp;MID($Z97,27,1)&amp;MID($Z97,3,1)&amp;MID($Z97,9,1)&amp;
MID($Z97,19,1)&amp;MID($Z97,13,1)&amp;MID($Z97,30,1)&amp;MID($Z97,6,1)&amp;
MID($Z97,22,1)&amp;MID($Z97,11,1)&amp;MID($Z97,4,1)&amp;MID($Z97,25,1)</f>
        <v>10010111110100010110000110011010</v>
      </c>
      <c r="AG97" s="45"/>
      <c r="AH97" s="45"/>
      <c r="AI97" s="45"/>
      <c r="AJ97" s="45"/>
      <c r="AK97" s="45"/>
    </row>
    <row r="98" ht="18.75" customHeight="1">
      <c r="E98" s="17">
        <v>1.0</v>
      </c>
      <c r="F98" s="55" t="s">
        <v>92</v>
      </c>
      <c r="G98" s="42"/>
      <c r="H98" s="42"/>
      <c r="I98" s="42"/>
      <c r="J98" s="57" t="str">
        <f t="array" ref="J98">TEXTJOIN("",TRUE,IF(MID(F97,ROW(INDIRECT("1:"&amp;LEN(F97))),1)&lt;&gt;MID(AF97,ROW(INDIRECT("1:"&amp;LEN(AF97))),1),"1","0"))</f>
        <v>00001111001011111010110110011010</v>
      </c>
      <c r="K98" s="57"/>
      <c r="L98" s="57"/>
      <c r="M98" s="57"/>
      <c r="N98" s="58" t="str">
        <f t="array" ref="N98">TEXTJOIN("",TRUE, MID($J$98,E,1))</f>
        <v>000001011110100101011111110101011011110011110100</v>
      </c>
      <c r="O98" s="58"/>
      <c r="P98" s="58"/>
      <c r="Q98" s="58"/>
      <c r="R98" s="58"/>
      <c r="S98" s="58"/>
      <c r="T98" s="10" t="str">
        <f t="array" ref="T98">TEXTJOIN("",TRUE,--(MID(N98,ROW(INDIRECT("1:48")),1)&lt;&gt;MID(K_2,ROW(INDIRECT("1:48")),1)))</f>
        <v>011011000100011110000110111100000101011010010010</v>
      </c>
      <c r="U98" s="10"/>
      <c r="V98" s="10"/>
      <c r="W98" s="10"/>
      <c r="X98" s="10"/>
      <c r="Y98" s="10"/>
      <c r="Z98" s="59" t="s">
        <v>94</v>
      </c>
      <c r="AA98" s="48"/>
      <c r="AB98" s="48"/>
      <c r="AC98" s="48"/>
      <c r="AD98" s="48"/>
      <c r="AE98" s="48"/>
      <c r="AF98" s="45" t="str">
        <f t="shared" si="1"/>
        <v>10001000010010001000110100001011</v>
      </c>
      <c r="AG98" s="45"/>
      <c r="AH98" s="45"/>
      <c r="AI98" s="45"/>
      <c r="AJ98" s="45"/>
      <c r="AK98" s="45"/>
    </row>
    <row r="99" ht="18.75" customHeight="1">
      <c r="E99" s="17">
        <v>2.0</v>
      </c>
      <c r="F99" s="42" t="str">
        <f t="array" ref="F99">TEXTJOIN("",TRUE,IF(MID(F97,ROW(INDIRECT("1:"&amp;LEN(F97))),1)&lt;&gt;MID(AF97,ROW(INDIRECT("1:"&amp;LEN(AF97))),1),"1","0"))</f>
        <v>00001111001011111010110110011010</v>
      </c>
      <c r="G99" s="42"/>
      <c r="H99" s="42"/>
      <c r="I99" s="42"/>
      <c r="J99" s="57" t="str">
        <f t="array" ref="J99">TEXTJOIN("",TRUE,IF(MID(F98,ROW(INDIRECT("1:"&amp;LEN(F98))),1)&lt;&gt;MID(AF98,ROW(INDIRECT("1:"&amp;LEN(AF98))),1),"1","0"))</f>
        <v>01101000000111000111110110100001</v>
      </c>
      <c r="K99" s="57"/>
      <c r="L99" s="57"/>
      <c r="M99" s="57"/>
      <c r="N99" s="58" t="str">
        <f t="array" ref="N99">TEXTJOIN("",TRUE, MID($J$99,E,1))</f>
        <v>101101010000000011111000001111111011110100000010</v>
      </c>
      <c r="O99" s="58"/>
      <c r="P99" s="58"/>
      <c r="Q99" s="58"/>
      <c r="R99" s="58"/>
      <c r="S99" s="58"/>
      <c r="T99" s="10" t="str">
        <f t="array" ref="T99">TEXTJOIN("",TRUE,--(MID(N99,ROW(INDIRECT("1:48")),1)&lt;&gt;MID(K_3,ROW(INDIRECT("1:48")),1)))</f>
        <v>111000001111110001110010100010110001000111010000</v>
      </c>
      <c r="U99" s="10"/>
      <c r="V99" s="10"/>
      <c r="W99" s="10"/>
      <c r="X99" s="10"/>
      <c r="Y99" s="10"/>
      <c r="Z99" s="59" t="s">
        <v>95</v>
      </c>
      <c r="AA99" s="48"/>
      <c r="AB99" s="48"/>
      <c r="AC99" s="48"/>
      <c r="AD99" s="48"/>
      <c r="AE99" s="48"/>
      <c r="AF99" s="45" t="str">
        <f t="shared" si="1"/>
        <v>11011010001110110010011010010010</v>
      </c>
      <c r="AG99" s="45"/>
      <c r="AH99" s="45"/>
      <c r="AI99" s="45"/>
      <c r="AJ99" s="45"/>
      <c r="AK99" s="45"/>
    </row>
    <row r="100" ht="18.75" customHeight="1">
      <c r="E100" s="17">
        <v>3.0</v>
      </c>
      <c r="F100" s="42" t="str">
        <f t="array" ref="F100">TEXTJOIN("",TRUE,IF(MID(F98,ROW(INDIRECT("1:"&amp;LEN(F98))),1)&lt;&gt;MID(AF98,ROW(INDIRECT("1:"&amp;LEN(AF98))),1),"1","0"))</f>
        <v>01101000000111000111110110100001</v>
      </c>
      <c r="G100" s="42"/>
      <c r="H100" s="42"/>
      <c r="I100" s="42"/>
      <c r="J100" s="57" t="str">
        <f t="array" ref="J100">TEXTJOIN("",TRUE,IF(MID(F99,ROW(INDIRECT("1:"&amp;LEN(F99))),1)&lt;&gt;MID(AF99,ROW(INDIRECT("1:"&amp;LEN(AF99))),1),"1","0"))</f>
        <v>11010101000101001000101100001000</v>
      </c>
      <c r="K100" s="57"/>
      <c r="L100" s="57"/>
      <c r="M100" s="57"/>
      <c r="N100" s="58" t="str">
        <f t="array" ref="N100">TEXTJOIN("",TRUE, MID($J$100,E,1))</f>
        <v>011010101010100010101001010001010110100001010001</v>
      </c>
      <c r="O100" s="58"/>
      <c r="P100" s="58"/>
      <c r="Q100" s="58"/>
      <c r="R100" s="58"/>
      <c r="S100" s="58"/>
      <c r="T100" s="10" t="str">
        <f t="array" ref="T100">TEXTJOIN("",TRUE,--(MID(N100,ROW(INDIRECT("1:48")),1)&lt;&gt;MID(K_4,ROW(INDIRECT("1:48")),1)))</f>
        <v>000110000000010101111011111010001110111000000110</v>
      </c>
      <c r="U100" s="10"/>
      <c r="V100" s="10"/>
      <c r="W100" s="10"/>
      <c r="X100" s="10"/>
      <c r="Y100" s="10"/>
      <c r="Z100" s="59" t="s">
        <v>96</v>
      </c>
      <c r="AA100" s="48"/>
      <c r="AB100" s="48"/>
      <c r="AC100" s="48"/>
      <c r="AD100" s="48"/>
      <c r="AE100" s="48"/>
      <c r="AF100" s="45" t="str">
        <f t="shared" si="1"/>
        <v>11110100010010010101000010110010</v>
      </c>
      <c r="AG100" s="45"/>
      <c r="AH100" s="45"/>
      <c r="AI100" s="45"/>
      <c r="AJ100" s="45"/>
      <c r="AK100" s="45"/>
    </row>
    <row r="101" ht="18.75" customHeight="1">
      <c r="E101" s="17">
        <v>4.0</v>
      </c>
      <c r="F101" s="42" t="str">
        <f t="array" ref="F101">TEXTJOIN("",TRUE,IF(MID(F99,ROW(INDIRECT("1:"&amp;LEN(F99))),1)&lt;&gt;MID(AF99,ROW(INDIRECT("1:"&amp;LEN(AF99))),1),"1","0"))</f>
        <v>11010101000101001000101100001000</v>
      </c>
      <c r="G101" s="42"/>
      <c r="H101" s="42"/>
      <c r="I101" s="42"/>
      <c r="J101" s="57" t="str">
        <f t="array" ref="J101">TEXTJOIN("",TRUE,IF(MID(F100,ROW(INDIRECT("1:"&amp;LEN(F100))),1)&lt;&gt;MID(AF100,ROW(INDIRECT("1:"&amp;LEN(AF100))),1),"1","0"))</f>
        <v>10011100010101010010110100010011</v>
      </c>
      <c r="K101" s="57"/>
      <c r="L101" s="57"/>
      <c r="M101" s="57"/>
      <c r="N101" s="58" t="str">
        <f t="array" ref="N101">TEXTJOIN("",TRUE, MID($J$101,E,1))</f>
        <v>110011111000001010101010100101011010100010100111</v>
      </c>
      <c r="O101" s="58"/>
      <c r="P101" s="58"/>
      <c r="Q101" s="58"/>
      <c r="R101" s="58"/>
      <c r="S101" s="58"/>
      <c r="T101" s="10" t="str">
        <f t="array" ref="T101">TEXTJOIN("",TRUE,--(MID(N101,ROW(INDIRECT("1:48")),1)&lt;&gt;MID(K_5,ROW(INDIRECT("1:48")),1)))</f>
        <v>101100110110111010101101100010100100111001100101</v>
      </c>
      <c r="U101" s="10"/>
      <c r="V101" s="10"/>
      <c r="W101" s="10"/>
      <c r="X101" s="10"/>
      <c r="Y101" s="10"/>
      <c r="Z101" s="59" t="s">
        <v>97</v>
      </c>
      <c r="AA101" s="48"/>
      <c r="AB101" s="48"/>
      <c r="AC101" s="48"/>
      <c r="AD101" s="48"/>
      <c r="AE101" s="48"/>
      <c r="AF101" s="45" t="str">
        <f t="shared" si="1"/>
        <v>11011000001100100011011111111101</v>
      </c>
      <c r="AG101" s="45"/>
      <c r="AH101" s="45"/>
      <c r="AI101" s="45"/>
      <c r="AJ101" s="45"/>
      <c r="AK101" s="45"/>
    </row>
    <row r="102" ht="18.75" customHeight="1">
      <c r="E102" s="17">
        <v>5.0</v>
      </c>
      <c r="F102" s="42" t="str">
        <f t="array" ref="F102">TEXTJOIN("",TRUE,IF(MID(F100,ROW(INDIRECT("1:"&amp;LEN(F100))),1)&lt;&gt;MID(AF100,ROW(INDIRECT("1:"&amp;LEN(AF100))),1),"1","0"))</f>
        <v>10011100010101010010110100010011</v>
      </c>
      <c r="G102" s="42"/>
      <c r="H102" s="42"/>
      <c r="I102" s="42"/>
      <c r="J102" s="57" t="str">
        <f t="array" ref="J102">TEXTJOIN("",TRUE,IF(MID(F101,ROW(INDIRECT("1:"&amp;LEN(F101))),1)&lt;&gt;MID(AF101,ROW(INDIRECT("1:"&amp;LEN(AF101))),1),"1","0"))</f>
        <v>00001101001001101011110011110101</v>
      </c>
      <c r="K102" s="57"/>
      <c r="L102" s="57"/>
      <c r="M102" s="57"/>
      <c r="N102" s="58" t="str">
        <f t="array" ref="N102">TEXTJOIN("",TRUE, MID($J$102,E,1))</f>
        <v>100001011010100100001101010111111001011110101010</v>
      </c>
      <c r="O102" s="58"/>
      <c r="P102" s="58"/>
      <c r="Q102" s="58"/>
      <c r="R102" s="58"/>
      <c r="S102" s="58"/>
      <c r="T102" s="10" t="str">
        <f t="array" ref="T102">TEXTJOIN("",TRUE,--(MID(N102,ROW(INDIRECT("1:48")),1)&lt;&gt;MID(K_6,ROW(INDIRECT("1:48")),1)))</f>
        <v>111001100000110000010011011000110101001011101111</v>
      </c>
      <c r="U102" s="10"/>
      <c r="V102" s="10"/>
      <c r="W102" s="10"/>
      <c r="X102" s="10"/>
      <c r="Y102" s="10"/>
      <c r="Z102" s="59" t="s">
        <v>98</v>
      </c>
      <c r="AA102" s="48"/>
      <c r="AB102" s="48"/>
      <c r="AC102" s="48"/>
      <c r="AD102" s="48"/>
      <c r="AE102" s="48"/>
      <c r="AF102" s="45" t="str">
        <f t="shared" si="1"/>
        <v>10101111110001000011101100100101</v>
      </c>
      <c r="AG102" s="45"/>
      <c r="AH102" s="45"/>
      <c r="AI102" s="45"/>
      <c r="AJ102" s="45"/>
      <c r="AK102" s="45"/>
    </row>
    <row r="103" ht="18.75" customHeight="1">
      <c r="E103" s="17">
        <v>6.0</v>
      </c>
      <c r="F103" s="42" t="str">
        <f t="array" ref="F103">TEXTJOIN("",TRUE,IF(MID(F101,ROW(INDIRECT("1:"&amp;LEN(F101))),1)&lt;&gt;MID(AF101,ROW(INDIRECT("1:"&amp;LEN(AF101))),1),"1","0"))</f>
        <v>00001101001001101011110011110101</v>
      </c>
      <c r="G103" s="42"/>
      <c r="H103" s="42"/>
      <c r="I103" s="42"/>
      <c r="J103" s="57" t="str">
        <f t="array" ref="J103">TEXTJOIN("",TRUE,IF(MID(F102,ROW(INDIRECT("1:"&amp;LEN(F102))),1)&lt;&gt;MID(AF102,ROW(INDIRECT("1:"&amp;LEN(AF102))),1),"1","0"))</f>
        <v>00110011100100010001011000110110</v>
      </c>
      <c r="K103" s="57"/>
      <c r="L103" s="57"/>
      <c r="M103" s="57"/>
      <c r="N103" s="58" t="str">
        <f t="array" ref="N103">TEXTJOIN("",TRUE, MID($J$103,E,1))</f>
        <v>000110100111110010100010100010101100000110101100</v>
      </c>
      <c r="O103" s="58"/>
      <c r="P103" s="58"/>
      <c r="Q103" s="58"/>
      <c r="R103" s="58"/>
      <c r="S103" s="58"/>
      <c r="T103" s="10" t="str">
        <f t="array" ref="T103">TEXTJOIN("",TRUE,--(MID(N103,ROW(INDIRECT("1:48")),1)&lt;&gt;MID(K_7,ROW(INDIRECT("1:48")),1)))</f>
        <v>011101101111100000010101000000000010010101101010</v>
      </c>
      <c r="U103" s="10"/>
      <c r="V103" s="10"/>
      <c r="W103" s="10"/>
      <c r="X103" s="10"/>
      <c r="Y103" s="10"/>
      <c r="Z103" s="59" t="s">
        <v>99</v>
      </c>
      <c r="AA103" s="48"/>
      <c r="AB103" s="48"/>
      <c r="AC103" s="48"/>
      <c r="AD103" s="48"/>
      <c r="AE103" s="48"/>
      <c r="AF103" s="45" t="str">
        <f t="shared" si="1"/>
        <v>01001110010100010010001110100010</v>
      </c>
      <c r="AG103" s="45"/>
      <c r="AH103" s="45"/>
      <c r="AI103" s="45"/>
      <c r="AJ103" s="45"/>
      <c r="AK103" s="45"/>
    </row>
    <row r="104" ht="18.75" customHeight="1">
      <c r="E104" s="17">
        <v>7.0</v>
      </c>
      <c r="F104" s="42" t="str">
        <f t="array" ref="F104">TEXTJOIN("",TRUE,IF(MID(F102,ROW(INDIRECT("1:"&amp;LEN(F102))),1)&lt;&gt;MID(AF102,ROW(INDIRECT("1:"&amp;LEN(AF102))),1),"1","0"))</f>
        <v>00110011100100010001011000110110</v>
      </c>
      <c r="G104" s="42"/>
      <c r="H104" s="42"/>
      <c r="I104" s="42"/>
      <c r="J104" s="57" t="str">
        <f t="array" ref="J104">TEXTJOIN("",TRUE,IF(MID(F103,ROW(INDIRECT("1:"&amp;LEN(F103))),1)&lt;&gt;MID(AF103,ROW(INDIRECT("1:"&amp;LEN(AF103))),1),"1","0"))</f>
        <v>01000011011101111001111101010111</v>
      </c>
      <c r="K104" s="57"/>
      <c r="L104" s="57"/>
      <c r="M104" s="57"/>
      <c r="N104" s="58" t="str">
        <f t="array" ref="N104">TEXTJOIN("",TRUE, MID($J$104,E,1))</f>
        <v>101000000110101110101111110011111110101010101110</v>
      </c>
      <c r="O104" s="58"/>
      <c r="P104" s="58"/>
      <c r="Q104" s="58"/>
      <c r="R104" s="58"/>
      <c r="S104" s="58"/>
      <c r="T104" s="10" t="str">
        <f t="array" ref="T104">TEXTJOIN("",TRUE,--(MID(N104,ROW(INDIRECT("1:48")),1)&lt;&gt;MID(K_8,ROW(INDIRECT("1:48")),1)))</f>
        <v>010101111110001110010101001000110000110100101111</v>
      </c>
      <c r="U104" s="10"/>
      <c r="V104" s="10"/>
      <c r="W104" s="10"/>
      <c r="X104" s="10"/>
      <c r="Y104" s="10"/>
      <c r="Z104" s="59" t="s">
        <v>100</v>
      </c>
      <c r="AA104" s="48"/>
      <c r="AB104" s="48"/>
      <c r="AC104" s="48"/>
      <c r="AD104" s="48"/>
      <c r="AE104" s="48"/>
      <c r="AF104" s="45" t="str">
        <f t="shared" si="1"/>
        <v>01101100111111011110110010111000</v>
      </c>
      <c r="AG104" s="45"/>
      <c r="AH104" s="45"/>
      <c r="AI104" s="45"/>
      <c r="AJ104" s="45"/>
      <c r="AK104" s="45"/>
    </row>
    <row r="105" ht="18.75" customHeight="1">
      <c r="E105" s="17">
        <v>8.0</v>
      </c>
      <c r="F105" s="42" t="str">
        <f t="array" ref="F105">TEXTJOIN("",TRUE,IF(MID(F103,ROW(INDIRECT("1:"&amp;LEN(F103))),1)&lt;&gt;MID(AF103,ROW(INDIRECT("1:"&amp;LEN(AF103))),1),"1","0"))</f>
        <v>01000011011101111001111101010111</v>
      </c>
      <c r="G105" s="42"/>
      <c r="H105" s="42"/>
      <c r="I105" s="42"/>
      <c r="J105" s="57" t="str">
        <f t="array" ref="J105">TEXTJOIN("",TRUE,IF(MID(F104,ROW(INDIRECT("1:"&amp;LEN(F104))),1)&lt;&gt;MID(AF104,ROW(INDIRECT("1:"&amp;LEN(AF104))),1),"1","0"))</f>
        <v>01011111011011001111101010001110</v>
      </c>
      <c r="K105" s="57"/>
      <c r="L105" s="57"/>
      <c r="M105" s="57"/>
      <c r="N105" s="58" t="str">
        <f t="array" ref="N105">TEXTJOIN("",TRUE, MID($J$105,E,1))</f>
        <v>001011111110101101011001011111110101010001011100</v>
      </c>
      <c r="O105" s="58"/>
      <c r="P105" s="58"/>
      <c r="Q105" s="58"/>
      <c r="R105" s="58"/>
      <c r="S105" s="58"/>
      <c r="T105" s="10" t="str">
        <f t="array" ref="T105">TEXTJOIN("",TRUE,--(MID(N105,ROW(INDIRECT("1:48")),1)&lt;&gt;MID(K_9,ROW(INDIRECT("1:48")),1)))</f>
        <v>111011110011000010110010010110001110110001100101</v>
      </c>
      <c r="U105" s="10"/>
      <c r="V105" s="10"/>
      <c r="W105" s="10"/>
      <c r="X105" s="10"/>
      <c r="Y105" s="10"/>
      <c r="Z105" s="59" t="s">
        <v>101</v>
      </c>
      <c r="AA105" s="48"/>
      <c r="AB105" s="48"/>
      <c r="AC105" s="48"/>
      <c r="AD105" s="48"/>
      <c r="AE105" s="48"/>
      <c r="AF105" s="45" t="str">
        <f t="shared" si="1"/>
        <v>11111011000001100000000010110001</v>
      </c>
      <c r="AG105" s="45"/>
      <c r="AH105" s="45"/>
      <c r="AI105" s="45"/>
      <c r="AJ105" s="45"/>
      <c r="AK105" s="45"/>
    </row>
    <row r="106" ht="18.75" customHeight="1">
      <c r="E106" s="17">
        <v>9.0</v>
      </c>
      <c r="F106" s="42" t="str">
        <f t="array" ref="F106">TEXTJOIN("",TRUE,IF(MID(F104,ROW(INDIRECT("1:"&amp;LEN(F104))),1)&lt;&gt;MID(AF104,ROW(INDIRECT("1:"&amp;LEN(AF104))),1),"1","0"))</f>
        <v>01011111011011001111101010001110</v>
      </c>
      <c r="G106" s="42"/>
      <c r="H106" s="42"/>
      <c r="I106" s="42"/>
      <c r="J106" s="57" t="str">
        <f t="array" ref="J106">TEXTJOIN("",TRUE,IF(MID(F105,ROW(INDIRECT("1:"&amp;LEN(F105))),1)&lt;&gt;MID(AF105,ROW(INDIRECT("1:"&amp;LEN(AF105))),1),"1","0"))</f>
        <v>10111000011100011001111111100110</v>
      </c>
      <c r="K106" s="57"/>
      <c r="L106" s="57"/>
      <c r="M106" s="57"/>
      <c r="N106" s="58" t="str">
        <f t="array" ref="N106">TEXTJOIN("",TRUE, MID($J$106,E,1))</f>
        <v>010111110000001110100011110011111111111100001101</v>
      </c>
      <c r="O106" s="58"/>
      <c r="P106" s="58"/>
      <c r="Q106" s="58"/>
      <c r="R106" s="58"/>
      <c r="S106" s="58"/>
      <c r="T106" s="10" t="str">
        <f t="array" ref="T106">TEXTJOIN("",TRUE,--(MID(N106,ROW(INDIRECT("1:48")),1)&lt;&gt;MID(K_10,ROW(INDIRECT("1:48")),1)))</f>
        <v>111011101111000011100100101011001110001001111011</v>
      </c>
      <c r="U106" s="10"/>
      <c r="V106" s="10"/>
      <c r="W106" s="10"/>
      <c r="X106" s="10"/>
      <c r="Y106" s="10"/>
      <c r="Z106" s="59" t="s">
        <v>102</v>
      </c>
      <c r="AA106" s="48"/>
      <c r="AB106" s="48"/>
      <c r="AC106" s="48"/>
      <c r="AD106" s="48"/>
      <c r="AE106" s="48"/>
      <c r="AF106" s="45" t="str">
        <f t="shared" si="1"/>
        <v>11010101000101010000100011100100</v>
      </c>
      <c r="AG106" s="45"/>
      <c r="AH106" s="45"/>
      <c r="AI106" s="45"/>
      <c r="AJ106" s="45"/>
      <c r="AK106" s="45"/>
    </row>
    <row r="107" ht="18.75" customHeight="1">
      <c r="E107" s="17">
        <v>10.0</v>
      </c>
      <c r="F107" s="42" t="str">
        <f t="array" ref="F107">TEXTJOIN("",TRUE,IF(MID(F105,ROW(INDIRECT("1:"&amp;LEN(F105))),1)&lt;&gt;MID(AF105,ROW(INDIRECT("1:"&amp;LEN(AF105))),1),"1","0"))</f>
        <v>10111000011100011001111111100110</v>
      </c>
      <c r="G107" s="42"/>
      <c r="H107" s="42"/>
      <c r="I107" s="42"/>
      <c r="J107" s="57" t="str">
        <f t="array" ref="J107">TEXTJOIN("",TRUE,IF(MID(F106,ROW(INDIRECT("1:"&amp;LEN(F106))),1)&lt;&gt;MID(AF106,ROW(INDIRECT("1:"&amp;LEN(AF106))),1),"1","0"))</f>
        <v>10001010011110011111001001101010</v>
      </c>
      <c r="K107" s="57"/>
      <c r="L107" s="57"/>
      <c r="M107" s="57"/>
      <c r="N107" s="58" t="str">
        <f t="array" ref="N107">TEXTJOIN("",TRUE, MID($J$107,E,1))</f>
        <v>010001010100001111110011111110100100001101010101</v>
      </c>
      <c r="O107" s="58"/>
      <c r="P107" s="58"/>
      <c r="Q107" s="58"/>
      <c r="R107" s="58"/>
      <c r="S107" s="58"/>
      <c r="T107" s="10" t="str">
        <f t="array" ref="T107">TEXTJOIN("",TRUE,--(MID(N107,ROW(INDIRECT("1:48")),1)&lt;&gt;MID(K_11,ROW(INDIRECT("1:48")),1)))</f>
        <v>011001000001110000110000111101111100101011101011</v>
      </c>
      <c r="U107" s="10"/>
      <c r="V107" s="10"/>
      <c r="W107" s="10"/>
      <c r="X107" s="10"/>
      <c r="Y107" s="10"/>
      <c r="Z107" s="59" t="s">
        <v>103</v>
      </c>
      <c r="AA107" s="48"/>
      <c r="AB107" s="48"/>
      <c r="AC107" s="48"/>
      <c r="AD107" s="48"/>
      <c r="AE107" s="48"/>
      <c r="AF107" s="45" t="str">
        <f t="shared" si="1"/>
        <v>11111100111101100111000101000110</v>
      </c>
      <c r="AG107" s="45"/>
      <c r="AH107" s="45"/>
      <c r="AI107" s="45"/>
      <c r="AJ107" s="45"/>
      <c r="AK107" s="45"/>
    </row>
    <row r="108" ht="18.75" customHeight="1">
      <c r="E108" s="17">
        <v>11.0</v>
      </c>
      <c r="F108" s="42" t="str">
        <f t="array" ref="F108">TEXTJOIN("",TRUE,IF(MID(F106,ROW(INDIRECT("1:"&amp;LEN(F106))),1)&lt;&gt;MID(AF106,ROW(INDIRECT("1:"&amp;LEN(AF106))),1),"1","0"))</f>
        <v>10001010011110011111001001101010</v>
      </c>
      <c r="G108" s="42"/>
      <c r="H108" s="42"/>
      <c r="I108" s="42"/>
      <c r="J108" s="57" t="str">
        <f t="array" ref="J108">TEXTJOIN("",TRUE,IF(MID(F107,ROW(INDIRECT("1:"&amp;LEN(F107))),1)&lt;&gt;MID(AF107,ROW(INDIRECT("1:"&amp;LEN(AF107))),1),"1","0"))</f>
        <v>01000100100001111110111010100000</v>
      </c>
      <c r="K108" s="57"/>
      <c r="L108" s="57"/>
      <c r="M108" s="57"/>
      <c r="N108" s="58" t="str">
        <f t="array" ref="N108">TEXTJOIN("",TRUE, MID($J$108,E,1))</f>
        <v>001000001001010000001111111101011101010100000000</v>
      </c>
      <c r="O108" s="58"/>
      <c r="P108" s="58"/>
      <c r="Q108" s="58"/>
      <c r="R108" s="58"/>
      <c r="S108" s="58"/>
      <c r="T108" s="10" t="str">
        <f t="array" ref="T108">TEXTJOIN("",TRUE,--(MID(N108,ROW(INDIRECT("1:48")),1)&lt;&gt;MID(K_12,ROW(INDIRECT("1:48")),1)))</f>
        <v>010100011110010111111010101100001000100111010101</v>
      </c>
      <c r="U108" s="10"/>
      <c r="V108" s="10"/>
      <c r="W108" s="10"/>
      <c r="X108" s="10"/>
      <c r="Y108" s="10"/>
      <c r="Z108" s="59" t="s">
        <v>104</v>
      </c>
      <c r="AA108" s="48"/>
      <c r="AB108" s="48"/>
      <c r="AC108" s="48"/>
      <c r="AD108" s="48"/>
      <c r="AE108" s="48"/>
      <c r="AF108" s="45" t="str">
        <f t="shared" si="1"/>
        <v>01110000010011111010001110100101</v>
      </c>
      <c r="AG108" s="45"/>
      <c r="AH108" s="45"/>
      <c r="AI108" s="45"/>
      <c r="AJ108" s="45"/>
      <c r="AK108" s="45"/>
    </row>
    <row r="109" ht="18.75" customHeight="1">
      <c r="E109" s="17">
        <v>12.0</v>
      </c>
      <c r="F109" s="42" t="str">
        <f t="array" ref="F109">TEXTJOIN("",TRUE,IF(MID(F107,ROW(INDIRECT("1:"&amp;LEN(F107))),1)&lt;&gt;MID(AF107,ROW(INDIRECT("1:"&amp;LEN(AF107))),1),"1","0"))</f>
        <v>01000100100001111110111010100000</v>
      </c>
      <c r="G109" s="42"/>
      <c r="H109" s="42"/>
      <c r="I109" s="42"/>
      <c r="J109" s="57" t="str">
        <f t="array" ref="J109">TEXTJOIN("",TRUE,IF(MID(F108,ROW(INDIRECT("1:"&amp;LEN(F108))),1)&lt;&gt;MID(AF108,ROW(INDIRECT("1:"&amp;LEN(AF108))),1),"1","0"))</f>
        <v>11111010001101100101000111001111</v>
      </c>
      <c r="K109" s="57"/>
      <c r="L109" s="57"/>
      <c r="M109" s="57"/>
      <c r="N109" s="58" t="str">
        <f t="array" ref="N109">TEXTJOIN("",TRUE, MID($J$109,E,1))</f>
        <v>111111110100000110101100001010100011111001011111</v>
      </c>
      <c r="O109" s="58"/>
      <c r="P109" s="58"/>
      <c r="Q109" s="58"/>
      <c r="R109" s="58"/>
      <c r="S109" s="58"/>
      <c r="T109" s="10" t="str">
        <f t="array" ref="T109">TEXTJOIN("",TRUE,--(MID(N109,ROW(INDIRECT("1:48")),1)&lt;&gt;MID(K_13,ROW(INDIRECT("1:48")),1)))</f>
        <v>011010101000010001111101011000011011111010100010</v>
      </c>
      <c r="U109" s="10"/>
      <c r="V109" s="10"/>
      <c r="W109" s="10"/>
      <c r="X109" s="10"/>
      <c r="Y109" s="10"/>
      <c r="Z109" s="59" t="s">
        <v>105</v>
      </c>
      <c r="AA109" s="48"/>
      <c r="AB109" s="48"/>
      <c r="AC109" s="48"/>
      <c r="AD109" s="48"/>
      <c r="AE109" s="48"/>
      <c r="AF109" s="45" t="str">
        <f t="shared" si="1"/>
        <v>01111011111111100010100000000110</v>
      </c>
      <c r="AG109" s="45"/>
      <c r="AH109" s="45"/>
      <c r="AI109" s="45"/>
      <c r="AJ109" s="45"/>
      <c r="AK109" s="45"/>
    </row>
    <row r="110" ht="18.75" customHeight="1">
      <c r="E110" s="17">
        <v>13.0</v>
      </c>
      <c r="F110" s="42" t="str">
        <f t="array" ref="F110">TEXTJOIN("",TRUE,IF(MID(F108,ROW(INDIRECT("1:"&amp;LEN(F108))),1)&lt;&gt;MID(AF108,ROW(INDIRECT("1:"&amp;LEN(AF108))),1),"1","0"))</f>
        <v>11111010001101100101000111001111</v>
      </c>
      <c r="G110" s="42"/>
      <c r="H110" s="42"/>
      <c r="I110" s="42"/>
      <c r="J110" s="57" t="str">
        <f t="array" ref="J110">TEXTJOIN("",TRUE,IF(MID(F109,ROW(INDIRECT("1:"&amp;LEN(F109))),1)&lt;&gt;MID(AF109,ROW(INDIRECT("1:"&amp;LEN(AF109))),1),"1","0"))</f>
        <v>00111111011110011100011010100110</v>
      </c>
      <c r="K110" s="57"/>
      <c r="L110" s="57"/>
      <c r="M110" s="57"/>
      <c r="N110" s="58" t="str">
        <f t="array" ref="N110">TEXTJOIN("",TRUE, MID($J$110,E,1))</f>
        <v>000111111110101111110011111000001101010100001100</v>
      </c>
      <c r="O110" s="58"/>
      <c r="P110" s="58"/>
      <c r="Q110" s="58"/>
      <c r="R110" s="58"/>
      <c r="S110" s="58"/>
      <c r="T110" s="10" t="str">
        <f t="array" ref="T110">TEXTJOIN("",TRUE,--(MID(N110,ROW(INDIRECT("1:48")),1)&lt;&gt;MID(K_14,ROW(INDIRECT("1:48")),1)))</f>
        <v>010010001010100001000100011000110000100010000001</v>
      </c>
      <c r="U110" s="10"/>
      <c r="V110" s="10"/>
      <c r="W110" s="10"/>
      <c r="X110" s="10"/>
      <c r="Y110" s="10"/>
      <c r="Z110" s="59" t="s">
        <v>106</v>
      </c>
      <c r="AA110" s="48"/>
      <c r="AB110" s="48"/>
      <c r="AC110" s="48"/>
      <c r="AD110" s="48"/>
      <c r="AE110" s="48"/>
      <c r="AF110" s="45" t="str">
        <f t="shared" si="1"/>
        <v>01100101111111000111101001001000</v>
      </c>
      <c r="AG110" s="45"/>
      <c r="AH110" s="45"/>
      <c r="AI110" s="45"/>
      <c r="AJ110" s="45"/>
      <c r="AK110" s="45"/>
    </row>
    <row r="111" ht="18.75" customHeight="1">
      <c r="E111" s="17">
        <v>14.0</v>
      </c>
      <c r="F111" s="42" t="str">
        <f t="array" ref="F111">TEXTJOIN("",TRUE,IF(MID(F109,ROW(INDIRECT("1:"&amp;LEN(F109))),1)&lt;&gt;MID(AF109,ROW(INDIRECT("1:"&amp;LEN(AF109))),1),"1","0"))</f>
        <v>00111111011110011100011010100110</v>
      </c>
      <c r="G111" s="42"/>
      <c r="H111" s="42"/>
      <c r="I111" s="42"/>
      <c r="J111" s="57" t="str">
        <f t="array" ref="J111">TEXTJOIN("",TRUE,IF(MID(F110,ROW(INDIRECT("1:"&amp;LEN(F110))),1)&lt;&gt;MID(AF110,ROW(INDIRECT("1:"&amp;LEN(AF110))),1),"1","0"))</f>
        <v>10011111110010100010101110000111</v>
      </c>
      <c r="K111" s="57"/>
      <c r="L111" s="57"/>
      <c r="M111" s="57"/>
      <c r="N111" s="58" t="str">
        <f t="array" ref="N111">TEXTJOIN("",TRUE, MID($J$111,E,1))</f>
        <v>110011111111111001010100000101010111110000001111</v>
      </c>
      <c r="O111" s="58"/>
      <c r="P111" s="58"/>
      <c r="Q111" s="58"/>
      <c r="R111" s="58"/>
      <c r="S111" s="58"/>
      <c r="T111" s="10" t="str">
        <f t="array" ref="T111">TEXTJOIN("",TRUE,--(MID(N111,ROW(INDIRECT("1:48")),1)&lt;&gt;MID(K_15,ROW(INDIRECT("1:48")),1)))</f>
        <v>011100000110111111010001000111110110101110111010</v>
      </c>
      <c r="U111" s="10"/>
      <c r="V111" s="10"/>
      <c r="W111" s="10"/>
      <c r="X111" s="10"/>
      <c r="Y111" s="10"/>
      <c r="Z111" s="59" t="s">
        <v>107</v>
      </c>
      <c r="AA111" s="48"/>
      <c r="AB111" s="48"/>
      <c r="AC111" s="48"/>
      <c r="AD111" s="48"/>
      <c r="AE111" s="48"/>
      <c r="AF111" s="45" t="str">
        <f t="shared" si="1"/>
        <v>01010001001111110001110100010001</v>
      </c>
      <c r="AG111" s="45"/>
      <c r="AH111" s="45"/>
      <c r="AI111" s="45"/>
      <c r="AJ111" s="45"/>
      <c r="AK111" s="45"/>
    </row>
    <row r="112" ht="18.75" customHeight="1">
      <c r="E112" s="17">
        <v>15.0</v>
      </c>
      <c r="F112" s="42" t="str">
        <f t="array" ref="F112">TEXTJOIN("",TRUE,IF(MID(F110,ROW(INDIRECT("1:"&amp;LEN(F110))),1)&lt;&gt;MID(AF110,ROW(INDIRECT("1:"&amp;LEN(AF110))),1),"1","0"))</f>
        <v>10011111110010100010101110000111</v>
      </c>
      <c r="G112" s="42"/>
      <c r="H112" s="42"/>
      <c r="I112" s="42"/>
      <c r="J112" s="57" t="str">
        <f t="array" ref="J112">TEXTJOIN("",TRUE,IF(MID(F111,ROW(INDIRECT("1:"&amp;LEN(F111))),1)&lt;&gt;MID(AF111,ROW(INDIRECT("1:"&amp;LEN(AF111))),1),"1","0"))</f>
        <v>01101110010001101101101110110111</v>
      </c>
      <c r="K112" s="57"/>
      <c r="L112" s="57"/>
      <c r="M112" s="57"/>
      <c r="N112" s="58" t="str">
        <f t="array" ref="N112">TEXTJOIN("",TRUE, MID($J$112,E,1))</f>
        <v>101101011100001000001101011011110111110110101110</v>
      </c>
      <c r="O112" s="58"/>
      <c r="P112" s="58"/>
      <c r="Q112" s="58"/>
      <c r="R112" s="58"/>
      <c r="S112" s="58"/>
      <c r="T112" s="10" t="str">
        <f t="array" ref="T112">TEXTJOIN("",TRUE,--(MID(N112,ROW(INDIRECT("1:48")),1)&lt;&gt;MID(K_16,ROW(INDIRECT("1:48")),1)))</f>
        <v>011111101111111100000110110100110000110111011100</v>
      </c>
      <c r="U112" s="10"/>
      <c r="V112" s="10"/>
      <c r="W112" s="10"/>
      <c r="X112" s="10"/>
      <c r="Y112" s="10"/>
      <c r="Z112" s="59" t="s">
        <v>108</v>
      </c>
      <c r="AA112" s="48"/>
      <c r="AB112" s="48"/>
      <c r="AC112" s="48"/>
      <c r="AD112" s="48"/>
      <c r="AE112" s="48"/>
      <c r="AF112" s="45" t="str">
        <f t="shared" si="1"/>
        <v>11001011111101010010010100101101</v>
      </c>
      <c r="AG112" s="45"/>
      <c r="AH112" s="45"/>
      <c r="AI112" s="45"/>
      <c r="AJ112" s="45"/>
      <c r="AK112" s="45"/>
    </row>
    <row r="113" ht="18.75" customHeight="1">
      <c r="E113" s="17">
        <v>16.0</v>
      </c>
      <c r="F113" s="42" t="str">
        <f t="array" ref="F113">TEXTJOIN("",TRUE,IF(MID(F111,ROW(INDIRECT("1:"&amp;LEN(F111))),1)&lt;&gt;MID(AF111,ROW(INDIRECT("1:"&amp;LEN(AF111))),1),"1","0"))</f>
        <v>01101110010001101101101110110111</v>
      </c>
      <c r="G113" s="42"/>
      <c r="H113" s="42"/>
      <c r="I113" s="42"/>
      <c r="J113" s="57" t="str">
        <f t="array" ref="J113">TEXTJOIN("",TRUE,IF(MID(F112,ROW(INDIRECT("1:"&amp;LEN(F112))),1)&lt;&gt;MID(AF112,ROW(INDIRECT("1:"&amp;LEN(AF112))),1),"1","0"))</f>
        <v>01010100001111110000111010101010</v>
      </c>
      <c r="K113" s="57"/>
      <c r="L113" s="57"/>
      <c r="M113" s="57"/>
      <c r="N113" s="58"/>
      <c r="O113" s="58"/>
      <c r="P113" s="58"/>
      <c r="Q113" s="58"/>
      <c r="R113" s="58"/>
      <c r="S113" s="58"/>
      <c r="T113" s="10"/>
      <c r="U113" s="10"/>
      <c r="V113" s="10"/>
      <c r="W113" s="10"/>
      <c r="X113" s="10"/>
      <c r="Y113" s="10"/>
      <c r="Z113" s="48"/>
      <c r="AA113" s="48"/>
      <c r="AB113" s="48"/>
      <c r="AC113" s="48"/>
      <c r="AD113" s="48"/>
      <c r="AE113" s="48"/>
      <c r="AF113" s="45"/>
      <c r="AG113" s="45"/>
      <c r="AH113" s="45"/>
      <c r="AI113" s="45"/>
      <c r="AJ113" s="45"/>
      <c r="AK113" s="45"/>
    </row>
    <row r="114" ht="18.75" customHeight="1"/>
    <row r="115" ht="18.75" customHeight="1">
      <c r="B115" s="17" t="s">
        <v>109</v>
      </c>
    </row>
    <row r="116" ht="18.75" customHeight="1">
      <c r="B116" s="1">
        <v>14.0</v>
      </c>
      <c r="C116" s="1">
        <v>4.0</v>
      </c>
      <c r="D116" s="1">
        <v>13.0</v>
      </c>
      <c r="E116" s="1">
        <v>1.0</v>
      </c>
      <c r="F116" s="1">
        <v>2.0</v>
      </c>
      <c r="G116" s="1">
        <v>15.0</v>
      </c>
      <c r="H116" s="1">
        <v>11.0</v>
      </c>
      <c r="I116" s="1">
        <v>8.0</v>
      </c>
      <c r="J116" s="1">
        <v>3.0</v>
      </c>
      <c r="K116" s="1">
        <v>10.0</v>
      </c>
      <c r="L116" s="1">
        <v>6.0</v>
      </c>
      <c r="M116" s="1">
        <v>12.0</v>
      </c>
      <c r="N116" s="1">
        <v>5.0</v>
      </c>
      <c r="O116" s="1">
        <v>9.0</v>
      </c>
      <c r="P116" s="1">
        <v>0.0</v>
      </c>
      <c r="Q116" s="1">
        <v>7.0</v>
      </c>
    </row>
    <row r="117" ht="18.75" customHeight="1">
      <c r="B117" s="1">
        <v>0.0</v>
      </c>
      <c r="C117" s="1">
        <v>15.0</v>
      </c>
      <c r="D117" s="1">
        <v>7.0</v>
      </c>
      <c r="E117" s="1">
        <v>4.0</v>
      </c>
      <c r="F117" s="1">
        <v>14.0</v>
      </c>
      <c r="G117" s="1">
        <v>2.0</v>
      </c>
      <c r="H117" s="1">
        <v>13.0</v>
      </c>
      <c r="I117" s="1">
        <v>1.0</v>
      </c>
      <c r="J117" s="1">
        <v>10.0</v>
      </c>
      <c r="K117" s="1">
        <v>6.0</v>
      </c>
      <c r="L117" s="1">
        <v>12.0</v>
      </c>
      <c r="M117" s="1">
        <v>11.0</v>
      </c>
      <c r="N117" s="1">
        <v>9.0</v>
      </c>
      <c r="O117" s="1">
        <v>5.0</v>
      </c>
      <c r="P117" s="1">
        <v>3.0</v>
      </c>
      <c r="Q117" s="1">
        <v>8.0</v>
      </c>
    </row>
    <row r="118" ht="18.75" customHeight="1">
      <c r="B118" s="1">
        <v>4.0</v>
      </c>
      <c r="C118" s="1">
        <v>1.0</v>
      </c>
      <c r="D118" s="1">
        <v>14.0</v>
      </c>
      <c r="E118" s="1">
        <v>8.0</v>
      </c>
      <c r="F118" s="1">
        <v>13.0</v>
      </c>
      <c r="G118" s="1">
        <v>6.0</v>
      </c>
      <c r="H118" s="1">
        <v>2.0</v>
      </c>
      <c r="I118" s="1">
        <v>11.0</v>
      </c>
      <c r="J118" s="1">
        <v>15.0</v>
      </c>
      <c r="K118" s="1">
        <v>12.0</v>
      </c>
      <c r="L118" s="1">
        <v>9.0</v>
      </c>
      <c r="M118" s="1">
        <v>7.0</v>
      </c>
      <c r="N118" s="1">
        <v>3.0</v>
      </c>
      <c r="O118" s="1">
        <v>10.0</v>
      </c>
      <c r="P118" s="1">
        <v>5.0</v>
      </c>
      <c r="Q118" s="1">
        <v>0.0</v>
      </c>
    </row>
    <row r="119" ht="18.75" customHeight="1">
      <c r="B119" s="1">
        <v>15.0</v>
      </c>
      <c r="C119" s="1">
        <v>12.0</v>
      </c>
      <c r="D119" s="1">
        <v>8.0</v>
      </c>
      <c r="E119" s="1">
        <v>2.0</v>
      </c>
      <c r="F119" s="1">
        <v>4.0</v>
      </c>
      <c r="G119" s="1">
        <v>9.0</v>
      </c>
      <c r="H119" s="1">
        <v>1.0</v>
      </c>
      <c r="I119" s="1">
        <v>7.0</v>
      </c>
      <c r="J119" s="1">
        <v>5.0</v>
      </c>
      <c r="K119" s="1">
        <v>11.0</v>
      </c>
      <c r="L119" s="1">
        <v>3.0</v>
      </c>
      <c r="M119" s="1">
        <v>14.0</v>
      </c>
      <c r="N119" s="1">
        <v>10.0</v>
      </c>
      <c r="O119" s="1">
        <v>0.0</v>
      </c>
      <c r="P119" s="1">
        <v>6.0</v>
      </c>
      <c r="Q119" s="1">
        <v>13.0</v>
      </c>
    </row>
    <row r="120" ht="18.75" customHeight="1"/>
    <row r="121" ht="18.75" customHeight="1">
      <c r="B121" s="17" t="s">
        <v>110</v>
      </c>
    </row>
    <row r="122" ht="18.75" customHeight="1">
      <c r="B122" s="1">
        <v>15.0</v>
      </c>
      <c r="C122" s="1">
        <v>1.0</v>
      </c>
      <c r="D122" s="1">
        <v>8.0</v>
      </c>
      <c r="E122" s="1">
        <v>14.0</v>
      </c>
      <c r="F122" s="1">
        <v>6.0</v>
      </c>
      <c r="G122" s="1">
        <v>11.0</v>
      </c>
      <c r="H122" s="1">
        <v>3.0</v>
      </c>
      <c r="I122" s="1">
        <v>4.0</v>
      </c>
      <c r="J122" s="1">
        <v>9.0</v>
      </c>
      <c r="K122" s="1">
        <v>7.0</v>
      </c>
      <c r="L122" s="1">
        <v>2.0</v>
      </c>
      <c r="M122" s="1">
        <v>13.0</v>
      </c>
      <c r="N122" s="1">
        <v>12.0</v>
      </c>
      <c r="O122" s="1">
        <v>0.0</v>
      </c>
      <c r="P122" s="1">
        <v>5.0</v>
      </c>
      <c r="Q122" s="1">
        <v>10.0</v>
      </c>
    </row>
    <row r="123" ht="18.75" customHeight="1">
      <c r="B123" s="1">
        <v>3.0</v>
      </c>
      <c r="C123" s="1">
        <v>13.0</v>
      </c>
      <c r="D123" s="1">
        <v>4.0</v>
      </c>
      <c r="E123" s="1">
        <v>7.0</v>
      </c>
      <c r="F123" s="1">
        <v>15.0</v>
      </c>
      <c r="G123" s="1">
        <v>2.0</v>
      </c>
      <c r="H123" s="1">
        <v>8.0</v>
      </c>
      <c r="I123" s="1">
        <v>14.0</v>
      </c>
      <c r="J123" s="1">
        <v>12.0</v>
      </c>
      <c r="K123" s="1">
        <v>0.0</v>
      </c>
      <c r="L123" s="1">
        <v>1.0</v>
      </c>
      <c r="M123" s="1">
        <v>10.0</v>
      </c>
      <c r="N123" s="1">
        <v>6.0</v>
      </c>
      <c r="O123" s="1">
        <v>9.0</v>
      </c>
      <c r="P123" s="1">
        <v>11.0</v>
      </c>
      <c r="Q123" s="1">
        <v>5.0</v>
      </c>
    </row>
    <row r="124" ht="18.75" customHeight="1">
      <c r="B124" s="1">
        <v>0.0</v>
      </c>
      <c r="C124" s="1">
        <v>14.0</v>
      </c>
      <c r="D124" s="1">
        <v>7.0</v>
      </c>
      <c r="E124" s="1">
        <v>11.0</v>
      </c>
      <c r="F124" s="1">
        <v>10.0</v>
      </c>
      <c r="G124" s="1">
        <v>4.0</v>
      </c>
      <c r="H124" s="1">
        <v>13.0</v>
      </c>
      <c r="I124" s="1">
        <v>1.0</v>
      </c>
      <c r="J124" s="1">
        <v>5.0</v>
      </c>
      <c r="K124" s="1">
        <v>8.0</v>
      </c>
      <c r="L124" s="1">
        <v>12.0</v>
      </c>
      <c r="M124" s="1">
        <v>6.0</v>
      </c>
      <c r="N124" s="1">
        <v>9.0</v>
      </c>
      <c r="O124" s="1">
        <v>3.0</v>
      </c>
      <c r="P124" s="1">
        <v>2.0</v>
      </c>
      <c r="Q124" s="1">
        <v>15.0</v>
      </c>
      <c r="AG124" s="43" t="s">
        <v>111</v>
      </c>
      <c r="AH124" s="44"/>
      <c r="AI124" s="44"/>
      <c r="AJ124" s="44"/>
      <c r="AK124" s="44"/>
      <c r="AL124" s="13"/>
    </row>
    <row r="125" ht="18.75" customHeight="1">
      <c r="B125" s="1">
        <v>13.0</v>
      </c>
      <c r="C125" s="1">
        <v>8.0</v>
      </c>
      <c r="D125" s="1">
        <v>10.0</v>
      </c>
      <c r="E125" s="1">
        <v>1.0</v>
      </c>
      <c r="F125" s="1">
        <v>3.0</v>
      </c>
      <c r="G125" s="1">
        <v>15.0</v>
      </c>
      <c r="H125" s="1">
        <v>4.0</v>
      </c>
      <c r="I125" s="1">
        <v>2.0</v>
      </c>
      <c r="J125" s="1">
        <v>11.0</v>
      </c>
      <c r="K125" s="1">
        <v>6.0</v>
      </c>
      <c r="L125" s="1">
        <v>7.0</v>
      </c>
      <c r="M125" s="1">
        <v>12.0</v>
      </c>
      <c r="N125" s="1">
        <v>0.0</v>
      </c>
      <c r="O125" s="1">
        <v>5.0</v>
      </c>
      <c r="P125" s="1">
        <v>14.0</v>
      </c>
      <c r="Q125" s="1">
        <v>9.0</v>
      </c>
      <c r="AG125" s="1">
        <v>32.0</v>
      </c>
      <c r="AH125" s="1">
        <v>1.0</v>
      </c>
      <c r="AI125" s="1">
        <v>2.0</v>
      </c>
      <c r="AJ125" s="1">
        <v>3.0</v>
      </c>
      <c r="AK125" s="1">
        <v>4.0</v>
      </c>
      <c r="AL125" s="1">
        <v>5.0</v>
      </c>
    </row>
    <row r="126" ht="18.75" customHeight="1">
      <c r="AG126" s="1">
        <v>4.0</v>
      </c>
      <c r="AH126" s="1">
        <v>5.0</v>
      </c>
      <c r="AI126" s="1">
        <v>6.0</v>
      </c>
      <c r="AJ126" s="1">
        <v>7.0</v>
      </c>
      <c r="AK126" s="1">
        <v>8.0</v>
      </c>
      <c r="AL126" s="1">
        <v>9.0</v>
      </c>
    </row>
    <row r="127" ht="18.75" customHeight="1">
      <c r="B127" s="17" t="s">
        <v>112</v>
      </c>
      <c r="AG127" s="1">
        <v>8.0</v>
      </c>
      <c r="AH127" s="1">
        <v>9.0</v>
      </c>
      <c r="AI127" s="1">
        <v>10.0</v>
      </c>
      <c r="AJ127" s="1">
        <v>11.0</v>
      </c>
      <c r="AK127" s="1">
        <v>12.0</v>
      </c>
      <c r="AL127" s="1">
        <v>13.0</v>
      </c>
    </row>
    <row r="128" ht="18.75" customHeight="1">
      <c r="B128" s="1">
        <v>10.0</v>
      </c>
      <c r="C128" s="1">
        <v>0.0</v>
      </c>
      <c r="D128" s="1">
        <v>9.0</v>
      </c>
      <c r="E128" s="1">
        <v>14.0</v>
      </c>
      <c r="F128" s="1">
        <v>6.0</v>
      </c>
      <c r="G128" s="1">
        <v>3.0</v>
      </c>
      <c r="H128" s="1">
        <v>15.0</v>
      </c>
      <c r="I128" s="1">
        <v>5.0</v>
      </c>
      <c r="J128" s="1">
        <v>1.0</v>
      </c>
      <c r="K128" s="1">
        <v>13.0</v>
      </c>
      <c r="L128" s="1">
        <v>12.0</v>
      </c>
      <c r="M128" s="1">
        <v>7.0</v>
      </c>
      <c r="N128" s="1">
        <v>11.0</v>
      </c>
      <c r="O128" s="1">
        <v>4.0</v>
      </c>
      <c r="P128" s="1">
        <v>2.0</v>
      </c>
      <c r="Q128" s="1">
        <v>8.0</v>
      </c>
      <c r="AG128" s="1">
        <v>12.0</v>
      </c>
      <c r="AH128" s="1">
        <v>13.0</v>
      </c>
      <c r="AI128" s="1">
        <v>14.0</v>
      </c>
      <c r="AJ128" s="1">
        <v>15.0</v>
      </c>
      <c r="AK128" s="1">
        <v>16.0</v>
      </c>
      <c r="AL128" s="1">
        <v>17.0</v>
      </c>
    </row>
    <row r="129" ht="18.75" customHeight="1">
      <c r="B129" s="1">
        <v>13.0</v>
      </c>
      <c r="C129" s="1">
        <v>7.0</v>
      </c>
      <c r="D129" s="1">
        <v>0.0</v>
      </c>
      <c r="E129" s="1">
        <v>9.0</v>
      </c>
      <c r="F129" s="1">
        <v>3.0</v>
      </c>
      <c r="G129" s="1">
        <v>4.0</v>
      </c>
      <c r="H129" s="1">
        <v>6.0</v>
      </c>
      <c r="I129" s="1">
        <v>10.0</v>
      </c>
      <c r="J129" s="1">
        <v>2.0</v>
      </c>
      <c r="K129" s="1">
        <v>8.0</v>
      </c>
      <c r="L129" s="1">
        <v>5.0</v>
      </c>
      <c r="M129" s="1">
        <v>14.0</v>
      </c>
      <c r="N129" s="1">
        <v>12.0</v>
      </c>
      <c r="O129" s="1">
        <v>11.0</v>
      </c>
      <c r="P129" s="1">
        <v>15.0</v>
      </c>
      <c r="Q129" s="1">
        <v>1.0</v>
      </c>
      <c r="AG129" s="1">
        <v>16.0</v>
      </c>
      <c r="AH129" s="1">
        <v>17.0</v>
      </c>
      <c r="AI129" s="1">
        <v>18.0</v>
      </c>
      <c r="AJ129" s="1">
        <v>19.0</v>
      </c>
      <c r="AK129" s="1">
        <v>20.0</v>
      </c>
      <c r="AL129" s="1">
        <v>21.0</v>
      </c>
    </row>
    <row r="130" ht="18.75" customHeight="1">
      <c r="B130" s="1">
        <v>13.0</v>
      </c>
      <c r="C130" s="1">
        <v>6.0</v>
      </c>
      <c r="D130" s="1">
        <v>4.0</v>
      </c>
      <c r="E130" s="1">
        <v>9.0</v>
      </c>
      <c r="F130" s="1">
        <v>8.0</v>
      </c>
      <c r="G130" s="1">
        <v>15.0</v>
      </c>
      <c r="H130" s="1">
        <v>3.0</v>
      </c>
      <c r="I130" s="1">
        <v>0.0</v>
      </c>
      <c r="J130" s="1">
        <v>11.0</v>
      </c>
      <c r="K130" s="1">
        <v>1.0</v>
      </c>
      <c r="L130" s="1">
        <v>2.0</v>
      </c>
      <c r="M130" s="1">
        <v>12.0</v>
      </c>
      <c r="N130" s="1">
        <v>5.0</v>
      </c>
      <c r="O130" s="1">
        <v>10.0</v>
      </c>
      <c r="P130" s="1">
        <v>14.0</v>
      </c>
      <c r="Q130" s="1">
        <v>7.0</v>
      </c>
      <c r="AG130" s="1">
        <v>20.0</v>
      </c>
      <c r="AH130" s="1">
        <v>21.0</v>
      </c>
      <c r="AI130" s="1">
        <v>22.0</v>
      </c>
      <c r="AJ130" s="1">
        <v>23.0</v>
      </c>
      <c r="AK130" s="1">
        <v>24.0</v>
      </c>
      <c r="AL130" s="1">
        <v>25.0</v>
      </c>
    </row>
    <row r="131" ht="18.75" customHeight="1">
      <c r="B131" s="1">
        <v>1.0</v>
      </c>
      <c r="C131" s="1">
        <v>10.0</v>
      </c>
      <c r="D131" s="1">
        <v>13.0</v>
      </c>
      <c r="E131" s="1">
        <v>0.0</v>
      </c>
      <c r="F131" s="1">
        <v>6.0</v>
      </c>
      <c r="G131" s="1">
        <v>9.0</v>
      </c>
      <c r="H131" s="1">
        <v>8.0</v>
      </c>
      <c r="I131" s="1">
        <v>7.0</v>
      </c>
      <c r="J131" s="1">
        <v>4.0</v>
      </c>
      <c r="K131" s="1">
        <v>15.0</v>
      </c>
      <c r="L131" s="1">
        <v>14.0</v>
      </c>
      <c r="M131" s="1">
        <v>3.0</v>
      </c>
      <c r="N131" s="1">
        <v>11.0</v>
      </c>
      <c r="O131" s="1">
        <v>5.0</v>
      </c>
      <c r="P131" s="1">
        <v>2.0</v>
      </c>
      <c r="Q131" s="1">
        <v>12.0</v>
      </c>
      <c r="AG131" s="1">
        <v>24.0</v>
      </c>
      <c r="AH131" s="1">
        <v>25.0</v>
      </c>
      <c r="AI131" s="1">
        <v>26.0</v>
      </c>
      <c r="AJ131" s="1">
        <v>27.0</v>
      </c>
      <c r="AK131" s="1">
        <v>28.0</v>
      </c>
      <c r="AL131" s="1">
        <v>29.0</v>
      </c>
    </row>
    <row r="132" ht="18.75" customHeight="1">
      <c r="AG132" s="1">
        <v>28.0</v>
      </c>
      <c r="AH132" s="1">
        <v>29.0</v>
      </c>
      <c r="AI132" s="1">
        <v>30.0</v>
      </c>
      <c r="AJ132" s="1">
        <v>31.0</v>
      </c>
      <c r="AK132" s="1">
        <v>32.0</v>
      </c>
      <c r="AL132" s="1">
        <v>1.0</v>
      </c>
    </row>
    <row r="133" ht="18.75" customHeight="1">
      <c r="B133" s="17" t="s">
        <v>113</v>
      </c>
    </row>
    <row r="134" ht="18.75" customHeight="1">
      <c r="B134" s="1">
        <v>7.0</v>
      </c>
      <c r="C134" s="1">
        <v>13.0</v>
      </c>
      <c r="D134" s="1">
        <v>14.0</v>
      </c>
      <c r="E134" s="1">
        <v>3.0</v>
      </c>
      <c r="F134" s="1">
        <v>0.0</v>
      </c>
      <c r="G134" s="1">
        <v>6.0</v>
      </c>
      <c r="H134" s="1">
        <v>9.0</v>
      </c>
      <c r="I134" s="1">
        <v>10.0</v>
      </c>
      <c r="J134" s="1">
        <v>1.0</v>
      </c>
      <c r="K134" s="1">
        <v>2.0</v>
      </c>
      <c r="L134" s="1">
        <v>8.0</v>
      </c>
      <c r="M134" s="1">
        <v>5.0</v>
      </c>
      <c r="N134" s="1">
        <v>11.0</v>
      </c>
      <c r="O134" s="1">
        <v>12.0</v>
      </c>
      <c r="P134" s="1">
        <v>4.0</v>
      </c>
      <c r="Q134" s="1">
        <v>15.0</v>
      </c>
    </row>
    <row r="135" ht="18.75" customHeight="1">
      <c r="B135" s="1">
        <v>13.0</v>
      </c>
      <c r="C135" s="1">
        <v>8.0</v>
      </c>
      <c r="D135" s="1">
        <v>11.0</v>
      </c>
      <c r="E135" s="1">
        <v>5.0</v>
      </c>
      <c r="F135" s="1">
        <v>6.0</v>
      </c>
      <c r="G135" s="1">
        <v>15.0</v>
      </c>
      <c r="H135" s="1">
        <v>0.0</v>
      </c>
      <c r="I135" s="1">
        <v>3.0</v>
      </c>
      <c r="J135" s="1">
        <v>4.0</v>
      </c>
      <c r="K135" s="1">
        <v>7.0</v>
      </c>
      <c r="L135" s="1">
        <v>2.0</v>
      </c>
      <c r="M135" s="1">
        <v>12.0</v>
      </c>
      <c r="N135" s="1">
        <v>1.0</v>
      </c>
      <c r="O135" s="1">
        <v>10.0</v>
      </c>
      <c r="P135" s="1">
        <v>14.0</v>
      </c>
      <c r="Q135" s="1">
        <v>9.0</v>
      </c>
    </row>
    <row r="136" ht="18.75" customHeight="1">
      <c r="B136" s="1">
        <v>10.0</v>
      </c>
      <c r="C136" s="1">
        <v>6.0</v>
      </c>
      <c r="D136" s="1">
        <v>9.0</v>
      </c>
      <c r="E136" s="1">
        <v>0.0</v>
      </c>
      <c r="F136" s="1">
        <v>12.0</v>
      </c>
      <c r="G136" s="1">
        <v>11.0</v>
      </c>
      <c r="H136" s="1">
        <v>7.0</v>
      </c>
      <c r="I136" s="1">
        <v>13.0</v>
      </c>
      <c r="J136" s="1">
        <v>15.0</v>
      </c>
      <c r="K136" s="1">
        <v>1.0</v>
      </c>
      <c r="L136" s="1">
        <v>3.0</v>
      </c>
      <c r="M136" s="1">
        <v>14.0</v>
      </c>
      <c r="N136" s="1">
        <v>5.0</v>
      </c>
      <c r="O136" s="1">
        <v>2.0</v>
      </c>
      <c r="P136" s="1">
        <v>8.0</v>
      </c>
      <c r="Q136" s="1">
        <v>4.0</v>
      </c>
    </row>
    <row r="137" ht="18.75" customHeight="1">
      <c r="B137" s="1">
        <v>3.0</v>
      </c>
      <c r="C137" s="1">
        <v>15.0</v>
      </c>
      <c r="D137" s="1">
        <v>0.0</v>
      </c>
      <c r="E137" s="1">
        <v>6.0</v>
      </c>
      <c r="F137" s="1">
        <v>10.0</v>
      </c>
      <c r="G137" s="1">
        <v>1.0</v>
      </c>
      <c r="H137" s="1">
        <v>13.0</v>
      </c>
      <c r="I137" s="1">
        <v>8.0</v>
      </c>
      <c r="J137" s="1">
        <v>9.0</v>
      </c>
      <c r="K137" s="1">
        <v>4.0</v>
      </c>
      <c r="L137" s="1">
        <v>5.0</v>
      </c>
      <c r="M137" s="1">
        <v>11.0</v>
      </c>
      <c r="N137" s="1">
        <v>12.0</v>
      </c>
      <c r="O137" s="1">
        <v>7.0</v>
      </c>
      <c r="P137" s="1">
        <v>2.0</v>
      </c>
      <c r="Q137" s="1">
        <v>14.0</v>
      </c>
    </row>
    <row r="138" ht="18.75" customHeight="1">
      <c r="S138" s="60" t="s">
        <v>114</v>
      </c>
      <c r="T138" s="61"/>
      <c r="U138" s="61"/>
      <c r="V138" s="61"/>
      <c r="W138" s="61"/>
      <c r="X138" s="61"/>
      <c r="Y138" s="61"/>
      <c r="Z138" s="61"/>
      <c r="AA138" s="61"/>
      <c r="AB138" s="62"/>
    </row>
    <row r="139" ht="18.75" customHeight="1">
      <c r="B139" s="17" t="s">
        <v>115</v>
      </c>
      <c r="S139" s="63"/>
      <c r="T139" s="64"/>
      <c r="U139" s="64"/>
      <c r="V139" s="64"/>
      <c r="W139" s="64"/>
      <c r="X139" s="64"/>
      <c r="Y139" s="64"/>
      <c r="Z139" s="64"/>
      <c r="AA139" s="64"/>
      <c r="AB139" s="65"/>
    </row>
    <row r="140" ht="18.75" customHeight="1">
      <c r="B140" s="1">
        <v>2.0</v>
      </c>
      <c r="C140" s="1">
        <v>12.0</v>
      </c>
      <c r="D140" s="1">
        <v>4.0</v>
      </c>
      <c r="E140" s="1">
        <v>1.0</v>
      </c>
      <c r="F140" s="1">
        <v>7.0</v>
      </c>
      <c r="G140" s="1">
        <v>10.0</v>
      </c>
      <c r="H140" s="1">
        <v>11.0</v>
      </c>
      <c r="I140" s="1">
        <v>6.0</v>
      </c>
      <c r="J140" s="1">
        <v>8.0</v>
      </c>
      <c r="K140" s="1">
        <v>5.0</v>
      </c>
      <c r="L140" s="1">
        <v>3.0</v>
      </c>
      <c r="M140" s="1">
        <v>15.0</v>
      </c>
      <c r="N140" s="1">
        <v>13.0</v>
      </c>
      <c r="O140" s="1">
        <v>0.0</v>
      </c>
      <c r="P140" s="1">
        <v>14.0</v>
      </c>
      <c r="Q140" s="1">
        <v>9.0</v>
      </c>
      <c r="S140" s="66" t="s">
        <v>116</v>
      </c>
      <c r="T140" s="61"/>
      <c r="U140" s="61"/>
      <c r="V140" s="61"/>
      <c r="W140" s="61"/>
      <c r="X140" s="61"/>
      <c r="Y140" s="61"/>
      <c r="Z140" s="61"/>
      <c r="AA140" s="61"/>
      <c r="AB140" s="62"/>
    </row>
    <row r="141" ht="18.75" customHeight="1">
      <c r="B141" s="1">
        <v>14.0</v>
      </c>
      <c r="C141" s="1">
        <v>11.0</v>
      </c>
      <c r="D141" s="1">
        <v>2.0</v>
      </c>
      <c r="E141" s="1">
        <v>12.0</v>
      </c>
      <c r="F141" s="1">
        <v>4.0</v>
      </c>
      <c r="G141" s="1">
        <v>7.0</v>
      </c>
      <c r="H141" s="1">
        <v>13.0</v>
      </c>
      <c r="I141" s="1">
        <v>1.0</v>
      </c>
      <c r="J141" s="1">
        <v>5.0</v>
      </c>
      <c r="K141" s="1">
        <v>0.0</v>
      </c>
      <c r="L141" s="1">
        <v>15.0</v>
      </c>
      <c r="M141" s="1">
        <v>10.0</v>
      </c>
      <c r="N141" s="1">
        <v>3.0</v>
      </c>
      <c r="O141" s="1">
        <v>9.0</v>
      </c>
      <c r="P141" s="1">
        <v>8.0</v>
      </c>
      <c r="Q141" s="1">
        <v>6.0</v>
      </c>
      <c r="S141" s="67"/>
      <c r="T141" s="68"/>
      <c r="U141" s="68"/>
      <c r="V141" s="68"/>
      <c r="W141" s="68"/>
      <c r="X141" s="68"/>
      <c r="Y141" s="68"/>
      <c r="Z141" s="68"/>
      <c r="AA141" s="68"/>
      <c r="AB141" s="69"/>
    </row>
    <row r="142" ht="18.75" customHeight="1">
      <c r="B142" s="1">
        <v>4.0</v>
      </c>
      <c r="C142" s="1">
        <v>2.0</v>
      </c>
      <c r="D142" s="1">
        <v>1.0</v>
      </c>
      <c r="E142" s="1">
        <v>11.0</v>
      </c>
      <c r="F142" s="1">
        <v>10.0</v>
      </c>
      <c r="G142" s="1">
        <v>13.0</v>
      </c>
      <c r="H142" s="1">
        <v>7.0</v>
      </c>
      <c r="I142" s="1">
        <v>8.0</v>
      </c>
      <c r="J142" s="1">
        <v>15.0</v>
      </c>
      <c r="K142" s="1">
        <v>9.0</v>
      </c>
      <c r="L142" s="1">
        <v>12.0</v>
      </c>
      <c r="M142" s="1">
        <v>5.0</v>
      </c>
      <c r="N142" s="1">
        <v>6.0</v>
      </c>
      <c r="O142" s="1">
        <v>3.0</v>
      </c>
      <c r="P142" s="1">
        <v>0.0</v>
      </c>
      <c r="Q142" s="1">
        <v>14.0</v>
      </c>
      <c r="S142" s="70" t="s">
        <v>117</v>
      </c>
      <c r="T142" s="70" t="s">
        <v>118</v>
      </c>
      <c r="U142" s="70" t="s">
        <v>119</v>
      </c>
      <c r="V142" s="70" t="s">
        <v>120</v>
      </c>
      <c r="W142" s="70" t="s">
        <v>120</v>
      </c>
      <c r="X142" s="70" t="s">
        <v>121</v>
      </c>
      <c r="Y142" s="70" t="s">
        <v>122</v>
      </c>
      <c r="Z142" s="70" t="s">
        <v>123</v>
      </c>
      <c r="AA142" s="70" t="s">
        <v>124</v>
      </c>
      <c r="AB142" s="70" t="s">
        <v>118</v>
      </c>
      <c r="AC142" s="70" t="s">
        <v>122</v>
      </c>
      <c r="AD142" s="70" t="s">
        <v>125</v>
      </c>
      <c r="AE142" s="70" t="s">
        <v>126</v>
      </c>
      <c r="AF142" s="70" t="s">
        <v>127</v>
      </c>
      <c r="AG142" s="70" t="s">
        <v>128</v>
      </c>
      <c r="AH142" s="70" t="s">
        <v>119</v>
      </c>
    </row>
    <row r="143" ht="18.75" customHeight="1">
      <c r="B143" s="1">
        <v>11.0</v>
      </c>
      <c r="C143" s="1">
        <v>8.0</v>
      </c>
      <c r="D143" s="1">
        <v>12.0</v>
      </c>
      <c r="E143" s="1">
        <v>7.0</v>
      </c>
      <c r="F143" s="1">
        <v>1.0</v>
      </c>
      <c r="G143" s="1">
        <v>14.0</v>
      </c>
      <c r="H143" s="1">
        <v>2.0</v>
      </c>
      <c r="I143" s="1">
        <v>13.0</v>
      </c>
      <c r="J143" s="1">
        <v>6.0</v>
      </c>
      <c r="K143" s="1">
        <v>15.0</v>
      </c>
      <c r="L143" s="1">
        <v>0.0</v>
      </c>
      <c r="M143" s="1">
        <v>9.0</v>
      </c>
      <c r="N143" s="1">
        <v>10.0</v>
      </c>
      <c r="O143" s="1">
        <v>4.0</v>
      </c>
      <c r="P143" s="1">
        <v>5.0</v>
      </c>
      <c r="Q143" s="1">
        <v>3.0</v>
      </c>
      <c r="S143" s="71" t="str">
        <f t="shared" ref="S143:AH143" si="2">BIN2HEX(S142)</f>
        <v>1</v>
      </c>
      <c r="T143" s="71" t="str">
        <f t="shared" si="2"/>
        <v>A</v>
      </c>
      <c r="U143" s="71" t="str">
        <f t="shared" si="2"/>
        <v>B</v>
      </c>
      <c r="V143" s="71" t="str">
        <f t="shared" si="2"/>
        <v>F</v>
      </c>
      <c r="W143" s="71" t="str">
        <f t="shared" si="2"/>
        <v>F</v>
      </c>
      <c r="X143" s="71" t="str">
        <f t="shared" si="2"/>
        <v>6</v>
      </c>
      <c r="Y143" s="71" t="str">
        <f t="shared" si="2"/>
        <v>9</v>
      </c>
      <c r="Z143" s="71" t="str">
        <f t="shared" si="2"/>
        <v>D</v>
      </c>
      <c r="AA143" s="71" t="str">
        <f t="shared" si="2"/>
        <v>5</v>
      </c>
      <c r="AB143" s="71" t="str">
        <f t="shared" si="2"/>
        <v>A</v>
      </c>
      <c r="AC143" s="71" t="str">
        <f t="shared" si="2"/>
        <v>9</v>
      </c>
      <c r="AD143" s="71" t="str">
        <f t="shared" si="2"/>
        <v>3</v>
      </c>
      <c r="AE143" s="71" t="str">
        <f t="shared" si="2"/>
        <v>E</v>
      </c>
      <c r="AF143" s="71" t="str">
        <f t="shared" si="2"/>
        <v>8</v>
      </c>
      <c r="AG143" s="71" t="str">
        <f t="shared" si="2"/>
        <v>0</v>
      </c>
      <c r="AH143" s="71" t="str">
        <f t="shared" si="2"/>
        <v>B</v>
      </c>
    </row>
    <row r="144" ht="18.75" customHeight="1"/>
    <row r="145" ht="18.75" customHeight="1">
      <c r="B145" s="17" t="s">
        <v>129</v>
      </c>
    </row>
    <row r="146" ht="18.75" customHeight="1">
      <c r="B146" s="1">
        <v>12.0</v>
      </c>
      <c r="C146" s="1">
        <v>1.0</v>
      </c>
      <c r="D146" s="1">
        <v>10.0</v>
      </c>
      <c r="E146" s="1">
        <v>15.0</v>
      </c>
      <c r="F146" s="1">
        <v>9.0</v>
      </c>
      <c r="G146" s="1">
        <v>2.0</v>
      </c>
      <c r="H146" s="1">
        <v>6.0</v>
      </c>
      <c r="I146" s="1">
        <v>8.0</v>
      </c>
      <c r="J146" s="1">
        <v>0.0</v>
      </c>
      <c r="K146" s="1">
        <v>13.0</v>
      </c>
      <c r="L146" s="1">
        <v>3.0</v>
      </c>
      <c r="M146" s="1">
        <v>4.0</v>
      </c>
      <c r="N146" s="1">
        <v>14.0</v>
      </c>
      <c r="O146" s="1">
        <v>7.0</v>
      </c>
      <c r="P146" s="1">
        <v>5.0</v>
      </c>
      <c r="Q146" s="1">
        <v>11.0</v>
      </c>
    </row>
    <row r="147" ht="18.75" customHeight="1">
      <c r="B147" s="1">
        <v>10.0</v>
      </c>
      <c r="C147" s="1">
        <v>15.0</v>
      </c>
      <c r="D147" s="1">
        <v>4.0</v>
      </c>
      <c r="E147" s="1">
        <v>2.0</v>
      </c>
      <c r="F147" s="1">
        <v>7.0</v>
      </c>
      <c r="G147" s="1">
        <v>12.0</v>
      </c>
      <c r="H147" s="1">
        <v>9.0</v>
      </c>
      <c r="I147" s="1">
        <v>5.0</v>
      </c>
      <c r="J147" s="1">
        <v>6.0</v>
      </c>
      <c r="K147" s="1">
        <v>1.0</v>
      </c>
      <c r="L147" s="1">
        <v>13.0</v>
      </c>
      <c r="M147" s="1">
        <v>14.0</v>
      </c>
      <c r="N147" s="1">
        <v>0.0</v>
      </c>
      <c r="O147" s="1">
        <v>11.0</v>
      </c>
      <c r="P147" s="1">
        <v>3.0</v>
      </c>
      <c r="Q147" s="1">
        <v>8.0</v>
      </c>
    </row>
    <row r="148" ht="18.75" customHeight="1">
      <c r="B148" s="1">
        <v>9.0</v>
      </c>
      <c r="C148" s="1">
        <v>14.0</v>
      </c>
      <c r="D148" s="1">
        <v>15.0</v>
      </c>
      <c r="E148" s="1">
        <v>5.0</v>
      </c>
      <c r="F148" s="1">
        <v>2.0</v>
      </c>
      <c r="G148" s="1">
        <v>8.0</v>
      </c>
      <c r="H148" s="1">
        <v>12.0</v>
      </c>
      <c r="I148" s="1">
        <v>3.0</v>
      </c>
      <c r="J148" s="1">
        <v>7.0</v>
      </c>
      <c r="K148" s="1">
        <v>0.0</v>
      </c>
      <c r="L148" s="1">
        <v>4.0</v>
      </c>
      <c r="M148" s="1">
        <v>10.0</v>
      </c>
      <c r="N148" s="1">
        <v>1.0</v>
      </c>
      <c r="O148" s="1">
        <v>13.0</v>
      </c>
      <c r="P148" s="1">
        <v>11.0</v>
      </c>
      <c r="Q148" s="1">
        <v>6.0</v>
      </c>
    </row>
    <row r="149" ht="18.75" customHeight="1">
      <c r="B149" s="1">
        <v>4.0</v>
      </c>
      <c r="C149" s="1">
        <v>3.0</v>
      </c>
      <c r="D149" s="1">
        <v>2.0</v>
      </c>
      <c r="E149" s="1">
        <v>12.0</v>
      </c>
      <c r="F149" s="1">
        <v>9.0</v>
      </c>
      <c r="G149" s="1">
        <v>5.0</v>
      </c>
      <c r="H149" s="1">
        <v>15.0</v>
      </c>
      <c r="I149" s="1">
        <v>10.0</v>
      </c>
      <c r="J149" s="1">
        <v>11.0</v>
      </c>
      <c r="K149" s="1">
        <v>14.0</v>
      </c>
      <c r="L149" s="1">
        <v>1.0</v>
      </c>
      <c r="M149" s="1">
        <v>7.0</v>
      </c>
      <c r="N149" s="1">
        <v>6.0</v>
      </c>
      <c r="O149" s="1">
        <v>0.0</v>
      </c>
      <c r="P149" s="1">
        <v>8.0</v>
      </c>
      <c r="Q149" s="1">
        <v>13.0</v>
      </c>
    </row>
    <row r="150" ht="18.75" customHeight="1"/>
    <row r="151" ht="18.75" customHeight="1">
      <c r="B151" s="17" t="s">
        <v>130</v>
      </c>
    </row>
    <row r="152" ht="18.75" customHeight="1">
      <c r="B152" s="1">
        <v>4.0</v>
      </c>
      <c r="C152" s="1">
        <v>11.0</v>
      </c>
      <c r="D152" s="1">
        <v>2.0</v>
      </c>
      <c r="E152" s="1">
        <v>14.0</v>
      </c>
      <c r="F152" s="1">
        <v>15.0</v>
      </c>
      <c r="G152" s="1">
        <v>0.0</v>
      </c>
      <c r="H152" s="1">
        <v>8.0</v>
      </c>
      <c r="I152" s="1">
        <v>13.0</v>
      </c>
      <c r="J152" s="1">
        <v>3.0</v>
      </c>
      <c r="K152" s="1">
        <v>12.0</v>
      </c>
      <c r="L152" s="1">
        <v>9.0</v>
      </c>
      <c r="M152" s="1">
        <v>7.0</v>
      </c>
      <c r="N152" s="1">
        <v>5.0</v>
      </c>
      <c r="O152" s="1">
        <v>10.0</v>
      </c>
      <c r="P152" s="1">
        <v>6.0</v>
      </c>
      <c r="Q152" s="1">
        <v>1.0</v>
      </c>
    </row>
    <row r="153" ht="18.75" customHeight="1">
      <c r="B153" s="1">
        <v>13.0</v>
      </c>
      <c r="C153" s="1">
        <v>0.0</v>
      </c>
      <c r="D153" s="1">
        <v>11.0</v>
      </c>
      <c r="E153" s="1">
        <v>7.0</v>
      </c>
      <c r="F153" s="1">
        <v>4.0</v>
      </c>
      <c r="G153" s="1">
        <v>9.0</v>
      </c>
      <c r="H153" s="1">
        <v>1.0</v>
      </c>
      <c r="I153" s="1">
        <v>10.0</v>
      </c>
      <c r="J153" s="1">
        <v>14.0</v>
      </c>
      <c r="K153" s="1">
        <v>3.0</v>
      </c>
      <c r="L153" s="1">
        <v>5.0</v>
      </c>
      <c r="M153" s="1">
        <v>12.0</v>
      </c>
      <c r="N153" s="1">
        <v>2.0</v>
      </c>
      <c r="O153" s="1">
        <v>15.0</v>
      </c>
      <c r="P153" s="1">
        <v>8.0</v>
      </c>
      <c r="Q153" s="1">
        <v>6.0</v>
      </c>
    </row>
    <row r="154" ht="18.75" customHeight="1">
      <c r="B154" s="1">
        <v>1.0</v>
      </c>
      <c r="C154" s="1">
        <v>4.0</v>
      </c>
      <c r="D154" s="1">
        <v>11.0</v>
      </c>
      <c r="E154" s="1">
        <v>13.0</v>
      </c>
      <c r="F154" s="1">
        <v>12.0</v>
      </c>
      <c r="G154" s="1">
        <v>3.0</v>
      </c>
      <c r="H154" s="1">
        <v>7.0</v>
      </c>
      <c r="I154" s="1">
        <v>14.0</v>
      </c>
      <c r="J154" s="1">
        <v>10.0</v>
      </c>
      <c r="K154" s="1">
        <v>15.0</v>
      </c>
      <c r="L154" s="1">
        <v>6.0</v>
      </c>
      <c r="M154" s="1">
        <v>8.0</v>
      </c>
      <c r="N154" s="1">
        <v>0.0</v>
      </c>
      <c r="O154" s="1">
        <v>5.0</v>
      </c>
      <c r="P154" s="1">
        <v>9.0</v>
      </c>
      <c r="Q154" s="1">
        <v>2.0</v>
      </c>
    </row>
    <row r="155" ht="18.75" customHeight="1">
      <c r="B155" s="1">
        <v>6.0</v>
      </c>
      <c r="C155" s="1">
        <v>11.0</v>
      </c>
      <c r="D155" s="1">
        <v>13.0</v>
      </c>
      <c r="E155" s="1">
        <v>8.0</v>
      </c>
      <c r="F155" s="1">
        <v>1.0</v>
      </c>
      <c r="G155" s="1">
        <v>4.0</v>
      </c>
      <c r="H155" s="1">
        <v>10.0</v>
      </c>
      <c r="I155" s="1">
        <v>7.0</v>
      </c>
      <c r="J155" s="1">
        <v>9.0</v>
      </c>
      <c r="K155" s="1">
        <v>5.0</v>
      </c>
      <c r="L155" s="1">
        <v>0.0</v>
      </c>
      <c r="M155" s="1">
        <v>15.0</v>
      </c>
      <c r="N155" s="1">
        <v>14.0</v>
      </c>
      <c r="O155" s="1">
        <v>2.0</v>
      </c>
      <c r="P155" s="1">
        <v>3.0</v>
      </c>
      <c r="Q155" s="1">
        <v>12.0</v>
      </c>
    </row>
    <row r="156" ht="18.75" customHeight="1"/>
    <row r="157" ht="18.75" customHeight="1">
      <c r="B157" s="17" t="s">
        <v>131</v>
      </c>
    </row>
    <row r="158" ht="18.75" customHeight="1">
      <c r="B158" s="1">
        <v>13.0</v>
      </c>
      <c r="C158" s="1">
        <v>2.0</v>
      </c>
      <c r="D158" s="1">
        <v>8.0</v>
      </c>
      <c r="E158" s="1">
        <v>4.0</v>
      </c>
      <c r="F158" s="1">
        <v>6.0</v>
      </c>
      <c r="G158" s="1">
        <v>15.0</v>
      </c>
      <c r="H158" s="1">
        <v>11.0</v>
      </c>
      <c r="I158" s="1">
        <v>1.0</v>
      </c>
      <c r="J158" s="1">
        <v>10.0</v>
      </c>
      <c r="K158" s="1">
        <v>9.0</v>
      </c>
      <c r="L158" s="1">
        <v>3.0</v>
      </c>
      <c r="M158" s="1">
        <v>14.0</v>
      </c>
      <c r="N158" s="1">
        <v>5.0</v>
      </c>
      <c r="O158" s="1">
        <v>0.0</v>
      </c>
      <c r="P158" s="1">
        <v>12.0</v>
      </c>
      <c r="Q158" s="1">
        <v>7.0</v>
      </c>
    </row>
    <row r="159" ht="18.75" customHeight="1">
      <c r="B159" s="1">
        <v>1.0</v>
      </c>
      <c r="C159" s="1">
        <v>15.0</v>
      </c>
      <c r="D159" s="1">
        <v>13.0</v>
      </c>
      <c r="E159" s="1">
        <v>8.0</v>
      </c>
      <c r="F159" s="1">
        <v>10.0</v>
      </c>
      <c r="G159" s="1">
        <v>3.0</v>
      </c>
      <c r="H159" s="1">
        <v>7.0</v>
      </c>
      <c r="I159" s="1">
        <v>4.0</v>
      </c>
      <c r="J159" s="1">
        <v>12.0</v>
      </c>
      <c r="K159" s="1">
        <v>5.0</v>
      </c>
      <c r="L159" s="1">
        <v>6.0</v>
      </c>
      <c r="M159" s="1">
        <v>11.0</v>
      </c>
      <c r="N159" s="1">
        <v>0.0</v>
      </c>
      <c r="O159" s="1">
        <v>14.0</v>
      </c>
      <c r="P159" s="1">
        <v>9.0</v>
      </c>
      <c r="Q159" s="1">
        <v>2.0</v>
      </c>
    </row>
    <row r="160" ht="18.75" customHeight="1">
      <c r="B160" s="1">
        <v>7.0</v>
      </c>
      <c r="C160" s="1">
        <v>11.0</v>
      </c>
      <c r="D160" s="1">
        <v>4.0</v>
      </c>
      <c r="E160" s="1">
        <v>1.0</v>
      </c>
      <c r="F160" s="1">
        <v>9.0</v>
      </c>
      <c r="G160" s="1">
        <v>12.0</v>
      </c>
      <c r="H160" s="1">
        <v>14.0</v>
      </c>
      <c r="I160" s="1">
        <v>2.0</v>
      </c>
      <c r="J160" s="1">
        <v>0.0</v>
      </c>
      <c r="K160" s="1">
        <v>6.0</v>
      </c>
      <c r="L160" s="1">
        <v>10.0</v>
      </c>
      <c r="M160" s="1">
        <v>13.0</v>
      </c>
      <c r="N160" s="1">
        <v>15.0</v>
      </c>
      <c r="O160" s="1">
        <v>3.0</v>
      </c>
      <c r="P160" s="1">
        <v>5.0</v>
      </c>
      <c r="Q160" s="1">
        <v>8.0</v>
      </c>
    </row>
    <row r="161" ht="18.75" customHeight="1">
      <c r="B161" s="1">
        <v>2.0</v>
      </c>
      <c r="C161" s="1">
        <v>1.0</v>
      </c>
      <c r="D161" s="1">
        <v>14.0</v>
      </c>
      <c r="E161" s="1">
        <v>7.0</v>
      </c>
      <c r="F161" s="1">
        <v>4.0</v>
      </c>
      <c r="G161" s="1">
        <v>10.0</v>
      </c>
      <c r="H161" s="1">
        <v>8.0</v>
      </c>
      <c r="I161" s="1">
        <v>13.0</v>
      </c>
      <c r="J161" s="1">
        <v>15.0</v>
      </c>
      <c r="K161" s="1">
        <v>12.0</v>
      </c>
      <c r="L161" s="1">
        <v>9.0</v>
      </c>
      <c r="M161" s="1">
        <v>0.0</v>
      </c>
      <c r="N161" s="1">
        <v>3.0</v>
      </c>
      <c r="O161" s="1">
        <v>5.0</v>
      </c>
      <c r="P161" s="1">
        <v>6.0</v>
      </c>
      <c r="Q161" s="1">
        <v>11.0</v>
      </c>
    </row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0">
    <mergeCell ref="AG124:AL124"/>
    <mergeCell ref="S138:AB139"/>
    <mergeCell ref="S140:AB141"/>
    <mergeCell ref="C45:H45"/>
    <mergeCell ref="F96:I96"/>
    <mergeCell ref="J96:M96"/>
    <mergeCell ref="N96:S96"/>
    <mergeCell ref="T96:Y96"/>
    <mergeCell ref="Z96:AE96"/>
    <mergeCell ref="AF96:AK9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8.5"/>
  </cols>
  <sheetData>
    <row r="1" ht="18.75" customHeight="1"/>
    <row r="2" ht="18.75" customHeight="1"/>
    <row r="3" ht="18.75" customHeight="1"/>
    <row r="4" ht="18.75" customHeight="1"/>
    <row r="5" ht="18.75" customHeight="1"/>
    <row r="6" ht="18.75" customHeight="1"/>
    <row r="7" ht="18.75" customHeight="1"/>
    <row r="8" ht="18.75" customHeight="1"/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2025-08-18T10:50:39Z</dcterms:created>
  <dc:creator>Phạm Nguyên</dc:creator>
</cp:coreProperties>
</file>