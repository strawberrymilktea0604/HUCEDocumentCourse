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ceedu-my.sharepoint.com/personal/0072667_st_huce_edu_vn/Documents/"/>
    </mc:Choice>
  </mc:AlternateContent>
  <xr:revisionPtr revIDLastSave="1860" documentId="8_{6A939B15-B2FA-4B33-95B4-FC693EFBA41D}" xr6:coauthVersionLast="47" xr6:coauthVersionMax="47" xr10:uidLastSave="{F3E8CCA3-1300-4ACC-B0A3-DADFF8709662}"/>
  <bookViews>
    <workbookView xWindow="-110" yWindow="-110" windowWidth="19420" windowHeight="11020" xr2:uid="{73264574-02F6-4885-BE32-1B81CAA8A653}"/>
  </bookViews>
  <sheets>
    <sheet name="Inputs" sheetId="1" r:id="rId1"/>
    <sheet name="Tables" sheetId="2" r:id="rId2"/>
    <sheet name="Key" sheetId="3" r:id="rId3"/>
    <sheet name="Rounds" sheetId="4" r:id="rId4"/>
    <sheet name="Output" sheetId="5" r:id="rId5"/>
  </sheets>
  <definedNames>
    <definedName name="C_0">Key!$B$8:$AC$8</definedName>
    <definedName name="D_0">Key!$AD$8:$BE$8</definedName>
    <definedName name="E_TBL">Tables!$E$2:$E$49</definedName>
    <definedName name="FB_TBL">Tables!$C$2:$C$65</definedName>
    <definedName name="IP_TBL">Tables!$A$2:$A$65</definedName>
    <definedName name="K_1">Key!$B$14:$AW$14</definedName>
    <definedName name="K_10BITS">Key!$B$60:$AW$60</definedName>
    <definedName name="K_11BITS">Key!$B$65:$AW$65</definedName>
    <definedName name="K_12BITS">Key!$B$70:$AW$70</definedName>
    <definedName name="K_14BITS">Key!$B$80:$AW$80</definedName>
    <definedName name="K_15BITS">Key!$B$85:$AW$85</definedName>
    <definedName name="K_16BITS">Key!$B$90:$AW$90</definedName>
    <definedName name="K_1BITS">Key!$B$14:$AW$14</definedName>
    <definedName name="K_2">Key!$B$19:$AW$19</definedName>
    <definedName name="K_2BITS">Key!$B$19:$AW$19</definedName>
    <definedName name="K_3BITS">Key!$B$24:$AW$24</definedName>
    <definedName name="K_4BITS">Key!$B$29:$AW$29</definedName>
    <definedName name="K_6BITS">Key!$B$40:$AW$40</definedName>
    <definedName name="K_7BITS">Key!$B$45:$AW$45</definedName>
    <definedName name="K_8BITS">Key!$B$50:$AW$50</definedName>
    <definedName name="K_9BITS">Key!$B$55:$AW$55</definedName>
    <definedName name="K_BITS">Inputs!$C$8:$BN$8</definedName>
    <definedName name="K1_BITS">Key!$B$14:$AW$14</definedName>
    <definedName name="K13_BITS">Key!$B$75:$AW$75</definedName>
    <definedName name="K5_BITS">Key!$B$35:$AW$35</definedName>
    <definedName name="M_BITS">Inputs!$C$7:$BN$7</definedName>
    <definedName name="P_TBL">Tables!$G$2:$G$33</definedName>
    <definedName name="PC1_TBL">Tables!$I$2:$I$57</definedName>
    <definedName name="PC2_TBL">Tables!$K$2:$K$49</definedName>
    <definedName name="S_1">Tables!$M$20:$AB$23</definedName>
    <definedName name="S_2">Tables!$M$25:$AB$28</definedName>
    <definedName name="S_3">Tables!$M$30:$AB$33</definedName>
    <definedName name="S_4">Tables!$M$35:$AB$38</definedName>
    <definedName name="S_5">Tables!$M$40:$AB$43</definedName>
    <definedName name="S_6">Tables!$M$45:$AB$48</definedName>
    <definedName name="S_7">Tables!$M$50:$AB$53</definedName>
    <definedName name="S_8">Tables!$M$55:$AB$58</definedName>
    <definedName name="SHIFT_TBL">Tables!$M$2:$AB$2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4" l="1" a="1"/>
  <c r="B12" i="4" s="1"/>
  <c r="B13" i="4" s="1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B21" i="4"/>
  <c r="C12" i="4" a="1"/>
  <c r="C12" i="4" s="1"/>
  <c r="C13" i="4" s="1"/>
  <c r="D12" i="4" a="1"/>
  <c r="D12" i="4" s="1"/>
  <c r="D13" i="4" s="1"/>
  <c r="E12" i="4" a="1"/>
  <c r="E12" i="4" s="1"/>
  <c r="E13" i="4" s="1"/>
  <c r="F12" i="4" a="1"/>
  <c r="F12" i="4" s="1"/>
  <c r="F13" i="4" s="1"/>
  <c r="G12" i="4" a="1"/>
  <c r="G12" i="4" s="1"/>
  <c r="G13" i="4" s="1"/>
  <c r="H12" i="4" a="1"/>
  <c r="H12" i="4" s="1"/>
  <c r="H13" i="4" s="1"/>
  <c r="I12" i="4" a="1"/>
  <c r="I12" i="4" s="1"/>
  <c r="I13" i="4" s="1"/>
  <c r="J12" i="4" a="1"/>
  <c r="J12" i="4" s="1"/>
  <c r="J13" i="4" s="1"/>
  <c r="K12" i="4" a="1"/>
  <c r="K12" i="4" s="1"/>
  <c r="K13" i="4" s="1"/>
  <c r="L12" i="4" a="1"/>
  <c r="L12" i="4" s="1"/>
  <c r="L13" i="4" s="1"/>
  <c r="M12" i="4" a="1"/>
  <c r="M12" i="4" s="1"/>
  <c r="M13" i="4" s="1"/>
  <c r="N12" i="4" a="1"/>
  <c r="N12" i="4" s="1"/>
  <c r="N13" i="4" s="1"/>
  <c r="O12" i="4" a="1"/>
  <c r="O12" i="4" s="1"/>
  <c r="O13" i="4" s="1"/>
  <c r="P12" i="4" a="1"/>
  <c r="P12" i="4" s="1"/>
  <c r="P13" i="4" s="1"/>
  <c r="Q12" i="4" a="1"/>
  <c r="Q12" i="4" s="1"/>
  <c r="Q13" i="4" s="1"/>
  <c r="R12" i="4" a="1"/>
  <c r="R12" i="4" s="1"/>
  <c r="R13" i="4" s="1"/>
  <c r="S12" i="4" a="1"/>
  <c r="S12" i="4" s="1"/>
  <c r="S13" i="4" s="1"/>
  <c r="T12" i="4" a="1"/>
  <c r="T12" i="4" s="1"/>
  <c r="T13" i="4" s="1"/>
  <c r="U12" i="4" a="1"/>
  <c r="U12" i="4" s="1"/>
  <c r="U13" i="4" s="1"/>
  <c r="V12" i="4" a="1"/>
  <c r="V12" i="4" s="1"/>
  <c r="V13" i="4" s="1"/>
  <c r="W12" i="4" a="1"/>
  <c r="W12" i="4" s="1"/>
  <c r="W13" i="4" s="1"/>
  <c r="X12" i="4" a="1"/>
  <c r="X12" i="4" s="1"/>
  <c r="X13" i="4" s="1"/>
  <c r="Y12" i="4" a="1"/>
  <c r="Y12" i="4" s="1"/>
  <c r="Y13" i="4" s="1"/>
  <c r="Z12" i="4" a="1"/>
  <c r="Z12" i="4" s="1"/>
  <c r="Z13" i="4" s="1"/>
  <c r="AA12" i="4" a="1"/>
  <c r="AA12" i="4" s="1"/>
  <c r="AA13" i="4" s="1"/>
  <c r="AB12" i="4" a="1"/>
  <c r="AB12" i="4" s="1"/>
  <c r="AB13" i="4" s="1"/>
  <c r="AC12" i="4" a="1"/>
  <c r="AC12" i="4" s="1"/>
  <c r="AC13" i="4" s="1"/>
  <c r="AD12" i="4" a="1"/>
  <c r="AD12" i="4" s="1"/>
  <c r="AD13" i="4" s="1"/>
  <c r="AE12" i="4" a="1"/>
  <c r="AE12" i="4" s="1"/>
  <c r="AE13" i="4" s="1"/>
  <c r="AF12" i="4" a="1"/>
  <c r="AF12" i="4" s="1"/>
  <c r="AF13" i="4" s="1"/>
  <c r="AG12" i="4" a="1"/>
  <c r="AG12" i="4" s="1"/>
  <c r="AG13" i="4" s="1"/>
  <c r="AH12" i="4" a="1"/>
  <c r="AH12" i="4" s="1"/>
  <c r="AH13" i="4" s="1"/>
  <c r="AI12" i="4" a="1"/>
  <c r="AI12" i="4" s="1"/>
  <c r="AI13" i="4" s="1"/>
  <c r="AJ12" i="4" a="1"/>
  <c r="AJ12" i="4" s="1"/>
  <c r="AJ13" i="4" s="1"/>
  <c r="AK12" i="4" a="1"/>
  <c r="AK12" i="4"/>
  <c r="AK13" i="4" s="1"/>
  <c r="AL12" i="4" a="1"/>
  <c r="AL12" i="4" s="1"/>
  <c r="AL13" i="4" s="1"/>
  <c r="AM12" i="4" a="1"/>
  <c r="AM12" i="4" s="1"/>
  <c r="AM13" i="4" s="1"/>
  <c r="AN12" i="4" a="1"/>
  <c r="AN12" i="4" s="1"/>
  <c r="AN13" i="4" s="1"/>
  <c r="AO12" i="4" a="1"/>
  <c r="AO12" i="4" s="1"/>
  <c r="AO13" i="4" s="1"/>
  <c r="AP12" i="4" a="1"/>
  <c r="AP12" i="4" s="1"/>
  <c r="AP13" i="4" s="1"/>
  <c r="AQ12" i="4" a="1"/>
  <c r="AQ12" i="4" s="1"/>
  <c r="AQ13" i="4" s="1"/>
  <c r="AR12" i="4" a="1"/>
  <c r="AR12" i="4" s="1"/>
  <c r="AR13" i="4" s="1"/>
  <c r="AS12" i="4" a="1"/>
  <c r="AS12" i="4" s="1"/>
  <c r="AS13" i="4" s="1"/>
  <c r="AT12" i="4" a="1"/>
  <c r="AT12" i="4" s="1"/>
  <c r="AT13" i="4" s="1"/>
  <c r="AU12" i="4" a="1"/>
  <c r="AU12" i="4" s="1"/>
  <c r="AU13" i="4" s="1"/>
  <c r="AV12" i="4" a="1"/>
  <c r="AV12" i="4" s="1"/>
  <c r="AV13" i="4" s="1"/>
  <c r="AW12" i="4" a="1"/>
  <c r="AW12" i="4" s="1"/>
  <c r="AW13" i="4" s="1"/>
  <c r="AH6" i="4" a="1"/>
  <c r="AH6" i="4" s="1"/>
  <c r="C6" i="4" a="1"/>
  <c r="C6" i="4" s="1"/>
  <c r="D6" i="4" a="1"/>
  <c r="D6" i="4" s="1"/>
  <c r="E6" i="4" a="1"/>
  <c r="E6" i="4" s="1"/>
  <c r="F6" i="4" a="1"/>
  <c r="F6" i="4"/>
  <c r="G6" i="4" a="1"/>
  <c r="G6" i="4" s="1"/>
  <c r="H6" i="4" a="1"/>
  <c r="H6" i="4"/>
  <c r="I6" i="4" a="1"/>
  <c r="I6" i="4" s="1"/>
  <c r="J6" i="4" a="1"/>
  <c r="J6" i="4" s="1"/>
  <c r="K6" i="4" a="1"/>
  <c r="K6" i="4" s="1"/>
  <c r="L6" i="4" a="1"/>
  <c r="L6" i="4"/>
  <c r="M6" i="4" a="1"/>
  <c r="M6" i="4" s="1"/>
  <c r="N6" i="4" a="1"/>
  <c r="N6" i="4"/>
  <c r="O6" i="4" a="1"/>
  <c r="O6" i="4" s="1"/>
  <c r="P6" i="4" a="1"/>
  <c r="P6" i="4" s="1"/>
  <c r="Q6" i="4" a="1"/>
  <c r="Q6" i="4" s="1"/>
  <c r="R6" i="4" a="1"/>
  <c r="R6" i="4" s="1"/>
  <c r="S6" i="4" a="1"/>
  <c r="S6" i="4" s="1"/>
  <c r="T6" i="4" a="1"/>
  <c r="T6" i="4"/>
  <c r="U6" i="4" a="1"/>
  <c r="U6" i="4" s="1"/>
  <c r="V6" i="4" a="1"/>
  <c r="V6" i="4" s="1"/>
  <c r="W6" i="4" a="1"/>
  <c r="W6" i="4" s="1"/>
  <c r="X6" i="4" a="1"/>
  <c r="X6" i="4" s="1"/>
  <c r="Y6" i="4" a="1"/>
  <c r="Y6" i="4" s="1"/>
  <c r="Z6" i="4" a="1"/>
  <c r="Z6" i="4"/>
  <c r="AA6" i="4" a="1"/>
  <c r="AA6" i="4" s="1"/>
  <c r="AB6" i="4" a="1"/>
  <c r="AB6" i="4" s="1"/>
  <c r="AC6" i="4" a="1"/>
  <c r="AC6" i="4" s="1"/>
  <c r="AD6" i="4" a="1"/>
  <c r="AD6" i="4" s="1"/>
  <c r="AE6" i="4" a="1"/>
  <c r="AE6" i="4" s="1"/>
  <c r="AF6" i="4" a="1"/>
  <c r="AF6" i="4"/>
  <c r="AG6" i="4" a="1"/>
  <c r="AG6" i="4" s="1"/>
  <c r="AI6" i="4" a="1"/>
  <c r="AI6" i="4" s="1"/>
  <c r="AJ6" i="4" a="1"/>
  <c r="AJ6" i="4" s="1"/>
  <c r="AK6" i="4" a="1"/>
  <c r="AK6" i="4" s="1"/>
  <c r="AL6" i="4" a="1"/>
  <c r="AL6" i="4" s="1"/>
  <c r="AM6" i="4" a="1"/>
  <c r="AM6" i="4" s="1"/>
  <c r="AN6" i="4" a="1"/>
  <c r="AN6" i="4" s="1"/>
  <c r="AO6" i="4" a="1"/>
  <c r="AO6" i="4" s="1"/>
  <c r="AP6" i="4" a="1"/>
  <c r="AP6" i="4" s="1"/>
  <c r="AQ6" i="4" a="1"/>
  <c r="AQ6" i="4" s="1"/>
  <c r="AR6" i="4" a="1"/>
  <c r="AR6" i="4" s="1"/>
  <c r="AS6" i="4" a="1"/>
  <c r="AS6" i="4" s="1"/>
  <c r="AT6" i="4" a="1"/>
  <c r="AT6" i="4" s="1"/>
  <c r="AU6" i="4" a="1"/>
  <c r="AU6" i="4" s="1"/>
  <c r="AV6" i="4" a="1"/>
  <c r="AV6" i="4" s="1"/>
  <c r="AW6" i="4" a="1"/>
  <c r="AW6" i="4" s="1"/>
  <c r="AX6" i="4" a="1"/>
  <c r="AX6" i="4" s="1"/>
  <c r="AY6" i="4" a="1"/>
  <c r="AY6" i="4" s="1"/>
  <c r="AZ6" i="4" a="1"/>
  <c r="AZ6" i="4" s="1"/>
  <c r="BA6" i="4" a="1"/>
  <c r="BA6" i="4" s="1"/>
  <c r="BB6" i="4" a="1"/>
  <c r="BB6" i="4" s="1"/>
  <c r="BC6" i="4" a="1"/>
  <c r="BC6" i="4" s="1"/>
  <c r="BD6" i="4" a="1"/>
  <c r="BD6" i="4" s="1"/>
  <c r="BE6" i="4" a="1"/>
  <c r="BE6" i="4" s="1"/>
  <c r="BF6" i="4" a="1"/>
  <c r="BF6" i="4" s="1"/>
  <c r="BG6" i="4" a="1"/>
  <c r="BG6" i="4" s="1"/>
  <c r="BH6" i="4" a="1"/>
  <c r="BH6" i="4" s="1"/>
  <c r="BI6" i="4" a="1"/>
  <c r="BI6" i="4" s="1"/>
  <c r="BJ6" i="4" a="1"/>
  <c r="BJ6" i="4"/>
  <c r="BK6" i="4" a="1"/>
  <c r="BK6" i="4" s="1"/>
  <c r="BL6" i="4" a="1"/>
  <c r="BL6" i="4" s="1"/>
  <c r="BM6" i="4" a="1"/>
  <c r="BM6" i="4" s="1"/>
  <c r="B6" i="4" a="1"/>
  <c r="B6" i="4" s="1"/>
  <c r="C90" i="3" a="1"/>
  <c r="C90" i="3" s="1"/>
  <c r="D90" i="3" a="1"/>
  <c r="D90" i="3" s="1"/>
  <c r="E90" i="3" a="1"/>
  <c r="E90" i="3" s="1"/>
  <c r="F90" i="3" a="1"/>
  <c r="F90" i="3" s="1"/>
  <c r="G90" i="3" a="1"/>
  <c r="G90" i="3" s="1"/>
  <c r="H90" i="3" a="1"/>
  <c r="H90" i="3"/>
  <c r="I90" i="3" a="1"/>
  <c r="I90" i="3" s="1"/>
  <c r="J90" i="3" a="1"/>
  <c r="J90" i="3" s="1"/>
  <c r="K90" i="3" a="1"/>
  <c r="K90" i="3" s="1"/>
  <c r="L90" i="3" a="1"/>
  <c r="L90" i="3" s="1"/>
  <c r="M90" i="3" a="1"/>
  <c r="M90" i="3" s="1"/>
  <c r="N90" i="3" a="1"/>
  <c r="N90" i="3"/>
  <c r="O90" i="3" a="1"/>
  <c r="O90" i="3" s="1"/>
  <c r="P90" i="3" a="1"/>
  <c r="P90" i="3" s="1"/>
  <c r="Q90" i="3" a="1"/>
  <c r="Q90" i="3" s="1"/>
  <c r="R90" i="3" a="1"/>
  <c r="R90" i="3" s="1"/>
  <c r="S90" i="3" a="1"/>
  <c r="S90" i="3" s="1"/>
  <c r="T90" i="3" a="1"/>
  <c r="T90" i="3"/>
  <c r="U90" i="3" a="1"/>
  <c r="U90" i="3" s="1"/>
  <c r="V90" i="3" a="1"/>
  <c r="V90" i="3" s="1"/>
  <c r="W90" i="3" a="1"/>
  <c r="W90" i="3" s="1"/>
  <c r="X90" i="3" a="1"/>
  <c r="X90" i="3" s="1"/>
  <c r="Y90" i="3" a="1"/>
  <c r="Y90" i="3" s="1"/>
  <c r="Z90" i="3" a="1"/>
  <c r="Z90" i="3"/>
  <c r="AA90" i="3" a="1"/>
  <c r="AA90" i="3" s="1"/>
  <c r="AB90" i="3" a="1"/>
  <c r="AB90" i="3" s="1"/>
  <c r="AC90" i="3" a="1"/>
  <c r="AC90" i="3" s="1"/>
  <c r="AD90" i="3" a="1"/>
  <c r="AD90" i="3" s="1"/>
  <c r="AE90" i="3" a="1"/>
  <c r="AE90" i="3" s="1"/>
  <c r="AF90" i="3" a="1"/>
  <c r="AF90" i="3"/>
  <c r="AG90" i="3" a="1"/>
  <c r="AG90" i="3" s="1"/>
  <c r="AH90" i="3" a="1"/>
  <c r="AH90" i="3" s="1"/>
  <c r="AI90" i="3" a="1"/>
  <c r="AI90" i="3" s="1"/>
  <c r="AJ90" i="3" a="1"/>
  <c r="AJ90" i="3" s="1"/>
  <c r="AK90" i="3" a="1"/>
  <c r="AK90" i="3" s="1"/>
  <c r="AL90" i="3" a="1"/>
  <c r="AL90" i="3"/>
  <c r="AM90" i="3" a="1"/>
  <c r="AM90" i="3" s="1"/>
  <c r="AN90" i="3" a="1"/>
  <c r="AN90" i="3" s="1"/>
  <c r="AO90" i="3" a="1"/>
  <c r="AO90" i="3" s="1"/>
  <c r="AP90" i="3" a="1"/>
  <c r="AP90" i="3" s="1"/>
  <c r="AQ90" i="3" a="1"/>
  <c r="AQ90" i="3" s="1"/>
  <c r="AR90" i="3" a="1"/>
  <c r="AR90" i="3"/>
  <c r="AS90" i="3" a="1"/>
  <c r="AS90" i="3" s="1"/>
  <c r="AT90" i="3" a="1"/>
  <c r="AT90" i="3" s="1"/>
  <c r="AU90" i="3" a="1"/>
  <c r="AU90" i="3" s="1"/>
  <c r="AV90" i="3" a="1"/>
  <c r="AV90" i="3" s="1"/>
  <c r="AW90" i="3" a="1"/>
  <c r="AW90" i="3" s="1"/>
  <c r="B90" i="3" a="1"/>
  <c r="B90" i="3" s="1"/>
  <c r="BE89" i="3" a="1"/>
  <c r="BE89" i="3" s="1"/>
  <c r="BD89" i="3" a="1"/>
  <c r="BD89" i="3" s="1"/>
  <c r="BC89" i="3" a="1"/>
  <c r="BC89" i="3" s="1"/>
  <c r="BB89" i="3" a="1"/>
  <c r="BB89" i="3" s="1"/>
  <c r="BA89" i="3" a="1"/>
  <c r="BA89" i="3" s="1"/>
  <c r="AZ89" i="3" a="1"/>
  <c r="AZ89" i="3" s="1"/>
  <c r="AY89" i="3" a="1"/>
  <c r="AY89" i="3" s="1"/>
  <c r="AX89" i="3" a="1"/>
  <c r="AX89" i="3" s="1"/>
  <c r="AW89" i="3" a="1"/>
  <c r="AW89" i="3" s="1"/>
  <c r="AV89" i="3" a="1"/>
  <c r="AV89" i="3" s="1"/>
  <c r="AU89" i="3" a="1"/>
  <c r="AU89" i="3" s="1"/>
  <c r="AT89" i="3" a="1"/>
  <c r="AT89" i="3" s="1"/>
  <c r="AS89" i="3" a="1"/>
  <c r="AS89" i="3" s="1"/>
  <c r="AR89" i="3" a="1"/>
  <c r="AR89" i="3" s="1"/>
  <c r="AQ89" i="3" a="1"/>
  <c r="AQ89" i="3" s="1"/>
  <c r="AP89" i="3" a="1"/>
  <c r="AP89" i="3" s="1"/>
  <c r="AO89" i="3" a="1"/>
  <c r="AO89" i="3" s="1"/>
  <c r="AN89" i="3" a="1"/>
  <c r="AN89" i="3" s="1"/>
  <c r="AM89" i="3" a="1"/>
  <c r="AM89" i="3" s="1"/>
  <c r="AL89" i="3" a="1"/>
  <c r="AL89" i="3" s="1"/>
  <c r="AK89" i="3" a="1"/>
  <c r="AK89" i="3" s="1"/>
  <c r="AJ89" i="3" a="1"/>
  <c r="AJ89" i="3" s="1"/>
  <c r="AI89" i="3" a="1"/>
  <c r="AI89" i="3" s="1"/>
  <c r="AH89" i="3" a="1"/>
  <c r="AH89" i="3" s="1"/>
  <c r="AG89" i="3" a="1"/>
  <c r="AG89" i="3" s="1"/>
  <c r="AF89" i="3" a="1"/>
  <c r="AF89" i="3" s="1"/>
  <c r="AE89" i="3" a="1"/>
  <c r="AE89" i="3" s="1"/>
  <c r="AD89" i="3" a="1"/>
  <c r="AD89" i="3" s="1"/>
  <c r="AC89" i="3" a="1"/>
  <c r="AC89" i="3" s="1"/>
  <c r="AB89" i="3" a="1"/>
  <c r="AB89" i="3" s="1"/>
  <c r="AA89" i="3" a="1"/>
  <c r="AA89" i="3" s="1"/>
  <c r="Z89" i="3" a="1"/>
  <c r="Z89" i="3" s="1"/>
  <c r="Y89" i="3" a="1"/>
  <c r="Y89" i="3" s="1"/>
  <c r="X89" i="3" a="1"/>
  <c r="X89" i="3" s="1"/>
  <c r="W89" i="3" a="1"/>
  <c r="W89" i="3" s="1"/>
  <c r="V89" i="3" a="1"/>
  <c r="V89" i="3" s="1"/>
  <c r="U89" i="3" a="1"/>
  <c r="U89" i="3" s="1"/>
  <c r="T89" i="3" a="1"/>
  <c r="T89" i="3" s="1"/>
  <c r="S89" i="3" a="1"/>
  <c r="S89" i="3" s="1"/>
  <c r="R89" i="3" a="1"/>
  <c r="R89" i="3" s="1"/>
  <c r="Q89" i="3" a="1"/>
  <c r="Q89" i="3" s="1"/>
  <c r="P89" i="3" a="1"/>
  <c r="P89" i="3" s="1"/>
  <c r="O89" i="3" a="1"/>
  <c r="O89" i="3" s="1"/>
  <c r="N89" i="3" a="1"/>
  <c r="N89" i="3" s="1"/>
  <c r="M89" i="3" a="1"/>
  <c r="M89" i="3" s="1"/>
  <c r="L89" i="3" a="1"/>
  <c r="L89" i="3" s="1"/>
  <c r="K89" i="3" a="1"/>
  <c r="K89" i="3" s="1"/>
  <c r="J89" i="3" a="1"/>
  <c r="J89" i="3" s="1"/>
  <c r="I89" i="3" a="1"/>
  <c r="I89" i="3" s="1"/>
  <c r="H89" i="3" a="1"/>
  <c r="H89" i="3" s="1"/>
  <c r="G89" i="3" a="1"/>
  <c r="G89" i="3" s="1"/>
  <c r="F89" i="3" a="1"/>
  <c r="F89" i="3" s="1"/>
  <c r="E89" i="3" a="1"/>
  <c r="E89" i="3" s="1"/>
  <c r="D89" i="3" a="1"/>
  <c r="D89" i="3" s="1"/>
  <c r="C89" i="3" a="1"/>
  <c r="C89" i="3" s="1"/>
  <c r="B89" i="3" a="1"/>
  <c r="B89" i="3" s="1"/>
  <c r="AE88" i="3" a="1"/>
  <c r="AE88" i="3" s="1"/>
  <c r="AF88" i="3" a="1"/>
  <c r="AF88" i="3"/>
  <c r="AG88" i="3" a="1"/>
  <c r="AG88" i="3"/>
  <c r="AH88" i="3" a="1"/>
  <c r="AH88" i="3"/>
  <c r="AI88" i="3" a="1"/>
  <c r="AI88" i="3" s="1"/>
  <c r="AJ88" i="3" a="1"/>
  <c r="AJ88" i="3"/>
  <c r="AK88" i="3" a="1"/>
  <c r="AK88" i="3" s="1"/>
  <c r="AL88" i="3" a="1"/>
  <c r="AL88" i="3"/>
  <c r="AM88" i="3" a="1"/>
  <c r="AM88" i="3"/>
  <c r="AN88" i="3" a="1"/>
  <c r="AN88" i="3"/>
  <c r="AO88" i="3" a="1"/>
  <c r="AO88" i="3" s="1"/>
  <c r="AP88" i="3" a="1"/>
  <c r="AP88" i="3"/>
  <c r="AQ88" i="3" a="1"/>
  <c r="AQ88" i="3" s="1"/>
  <c r="AR88" i="3" a="1"/>
  <c r="AR88" i="3"/>
  <c r="AS88" i="3" a="1"/>
  <c r="AS88" i="3"/>
  <c r="AT88" i="3" a="1"/>
  <c r="AT88" i="3" s="1"/>
  <c r="AU88" i="3" a="1"/>
  <c r="AU88" i="3" s="1"/>
  <c r="AV88" i="3" a="1"/>
  <c r="AV88" i="3"/>
  <c r="AW88" i="3" a="1"/>
  <c r="AW88" i="3" s="1"/>
  <c r="AX88" i="3" a="1"/>
  <c r="AX88" i="3"/>
  <c r="AY88" i="3" a="1"/>
  <c r="AY88" i="3"/>
  <c r="AZ88" i="3" a="1"/>
  <c r="AZ88" i="3" s="1"/>
  <c r="BA88" i="3" a="1"/>
  <c r="BA88" i="3" s="1"/>
  <c r="BB88" i="3" a="1"/>
  <c r="BB88" i="3"/>
  <c r="BC88" i="3" a="1"/>
  <c r="BC88" i="3" s="1"/>
  <c r="BD88" i="3" a="1"/>
  <c r="BD88" i="3"/>
  <c r="BE88" i="3" a="1"/>
  <c r="BE88" i="3"/>
  <c r="AD88" i="3" a="1"/>
  <c r="AD88" i="3" s="1"/>
  <c r="C88" i="3" a="1"/>
  <c r="C88" i="3" s="1"/>
  <c r="D88" i="3" a="1"/>
  <c r="D88" i="3" s="1"/>
  <c r="E88" i="3" a="1"/>
  <c r="E88" i="3" s="1"/>
  <c r="F88" i="3" a="1"/>
  <c r="F88" i="3" s="1"/>
  <c r="G88" i="3" a="1"/>
  <c r="G88" i="3" s="1"/>
  <c r="H88" i="3" a="1"/>
  <c r="H88" i="3"/>
  <c r="I88" i="3" a="1"/>
  <c r="I88" i="3" s="1"/>
  <c r="J88" i="3" a="1"/>
  <c r="J88" i="3" s="1"/>
  <c r="K88" i="3" a="1"/>
  <c r="K88" i="3" s="1"/>
  <c r="L88" i="3" a="1"/>
  <c r="L88" i="3" s="1"/>
  <c r="M88" i="3" a="1"/>
  <c r="M88" i="3" s="1"/>
  <c r="N88" i="3" a="1"/>
  <c r="N88" i="3"/>
  <c r="O88" i="3" a="1"/>
  <c r="O88" i="3" s="1"/>
  <c r="P88" i="3" a="1"/>
  <c r="P88" i="3" s="1"/>
  <c r="Q88" i="3" a="1"/>
  <c r="Q88" i="3" s="1"/>
  <c r="R88" i="3" a="1"/>
  <c r="R88" i="3" s="1"/>
  <c r="S88" i="3" a="1"/>
  <c r="S88" i="3" s="1"/>
  <c r="T88" i="3" a="1"/>
  <c r="T88" i="3"/>
  <c r="U88" i="3" a="1"/>
  <c r="U88" i="3" s="1"/>
  <c r="V88" i="3" a="1"/>
  <c r="V88" i="3" s="1"/>
  <c r="W88" i="3" a="1"/>
  <c r="W88" i="3" s="1"/>
  <c r="X88" i="3" a="1"/>
  <c r="X88" i="3" s="1"/>
  <c r="Y88" i="3" a="1"/>
  <c r="Y88" i="3" s="1"/>
  <c r="Z88" i="3" a="1"/>
  <c r="Z88" i="3"/>
  <c r="AA88" i="3" a="1"/>
  <c r="AA88" i="3" s="1"/>
  <c r="AB88" i="3" a="1"/>
  <c r="AB88" i="3" s="1"/>
  <c r="AC88" i="3" a="1"/>
  <c r="AC88" i="3" s="1"/>
  <c r="B88" i="3" a="1"/>
  <c r="B88" i="3"/>
  <c r="C85" i="3" a="1"/>
  <c r="C85" i="3" s="1"/>
  <c r="D85" i="3" a="1"/>
  <c r="D85" i="3" s="1"/>
  <c r="E85" i="3" a="1"/>
  <c r="E85" i="3" s="1"/>
  <c r="F85" i="3" a="1"/>
  <c r="F85" i="3" s="1"/>
  <c r="G85" i="3" a="1"/>
  <c r="G85" i="3" s="1"/>
  <c r="H85" i="3" a="1"/>
  <c r="H85" i="3"/>
  <c r="I85" i="3" a="1"/>
  <c r="I85" i="3" s="1"/>
  <c r="J85" i="3" a="1"/>
  <c r="J85" i="3" s="1"/>
  <c r="K85" i="3" a="1"/>
  <c r="K85" i="3" s="1"/>
  <c r="L85" i="3" a="1"/>
  <c r="L85" i="3" s="1"/>
  <c r="M85" i="3" a="1"/>
  <c r="M85" i="3" s="1"/>
  <c r="N85" i="3" a="1"/>
  <c r="N85" i="3"/>
  <c r="O85" i="3" a="1"/>
  <c r="O85" i="3" s="1"/>
  <c r="P85" i="3" a="1"/>
  <c r="P85" i="3" s="1"/>
  <c r="Q85" i="3" a="1"/>
  <c r="Q85" i="3" s="1"/>
  <c r="R85" i="3" a="1"/>
  <c r="R85" i="3" s="1"/>
  <c r="S85" i="3" a="1"/>
  <c r="S85" i="3" s="1"/>
  <c r="T85" i="3" a="1"/>
  <c r="T85" i="3"/>
  <c r="U85" i="3" a="1"/>
  <c r="U85" i="3" s="1"/>
  <c r="V85" i="3" a="1"/>
  <c r="V85" i="3" s="1"/>
  <c r="W85" i="3" a="1"/>
  <c r="W85" i="3" s="1"/>
  <c r="X85" i="3" a="1"/>
  <c r="X85" i="3" s="1"/>
  <c r="Y85" i="3" a="1"/>
  <c r="Y85" i="3" s="1"/>
  <c r="Z85" i="3" a="1"/>
  <c r="Z85" i="3"/>
  <c r="AA85" i="3" a="1"/>
  <c r="AA85" i="3" s="1"/>
  <c r="AB85" i="3" a="1"/>
  <c r="AB85" i="3" s="1"/>
  <c r="AC85" i="3" a="1"/>
  <c r="AC85" i="3" s="1"/>
  <c r="AD85" i="3" a="1"/>
  <c r="AD85" i="3" s="1"/>
  <c r="AE85" i="3" a="1"/>
  <c r="AE85" i="3" s="1"/>
  <c r="AF85" i="3" a="1"/>
  <c r="AF85" i="3"/>
  <c r="AG85" i="3" a="1"/>
  <c r="AG85" i="3" s="1"/>
  <c r="AH85" i="3" a="1"/>
  <c r="AH85" i="3" s="1"/>
  <c r="AI85" i="3" a="1"/>
  <c r="AI85" i="3" s="1"/>
  <c r="AJ85" i="3" a="1"/>
  <c r="AJ85" i="3" s="1"/>
  <c r="AK85" i="3" a="1"/>
  <c r="AK85" i="3" s="1"/>
  <c r="AL85" i="3" a="1"/>
  <c r="AL85" i="3"/>
  <c r="AM85" i="3" a="1"/>
  <c r="AM85" i="3" s="1"/>
  <c r="AN85" i="3" a="1"/>
  <c r="AN85" i="3" s="1"/>
  <c r="AO85" i="3" a="1"/>
  <c r="AO85" i="3" s="1"/>
  <c r="AP85" i="3" a="1"/>
  <c r="AP85" i="3" s="1"/>
  <c r="AQ85" i="3" a="1"/>
  <c r="AQ85" i="3" s="1"/>
  <c r="AR85" i="3" a="1"/>
  <c r="AR85" i="3"/>
  <c r="AS85" i="3" a="1"/>
  <c r="AS85" i="3" s="1"/>
  <c r="AT85" i="3" a="1"/>
  <c r="AT85" i="3" s="1"/>
  <c r="AU85" i="3" a="1"/>
  <c r="AU85" i="3" s="1"/>
  <c r="AV85" i="3" a="1"/>
  <c r="AV85" i="3" s="1"/>
  <c r="AW85" i="3" a="1"/>
  <c r="AW85" i="3" s="1"/>
  <c r="B85" i="3" a="1"/>
  <c r="B85" i="3" s="1"/>
  <c r="BE84" i="3" a="1"/>
  <c r="BE84" i="3" s="1"/>
  <c r="BD84" i="3" a="1"/>
  <c r="BD84" i="3" s="1"/>
  <c r="BC84" i="3" a="1"/>
  <c r="BC84" i="3" s="1"/>
  <c r="BB84" i="3" a="1"/>
  <c r="BB84" i="3" s="1"/>
  <c r="BA84" i="3" a="1"/>
  <c r="BA84" i="3" s="1"/>
  <c r="AZ84" i="3" a="1"/>
  <c r="AZ84" i="3" s="1"/>
  <c r="AY84" i="3" a="1"/>
  <c r="AY84" i="3" s="1"/>
  <c r="AX84" i="3" a="1"/>
  <c r="AX84" i="3" s="1"/>
  <c r="AW84" i="3" a="1"/>
  <c r="AW84" i="3" s="1"/>
  <c r="AV84" i="3" a="1"/>
  <c r="AV84" i="3" s="1"/>
  <c r="AU84" i="3" a="1"/>
  <c r="AU84" i="3" s="1"/>
  <c r="AT84" i="3" a="1"/>
  <c r="AT84" i="3" s="1"/>
  <c r="AS84" i="3" a="1"/>
  <c r="AS84" i="3" s="1"/>
  <c r="AR84" i="3" a="1"/>
  <c r="AR84" i="3" s="1"/>
  <c r="AQ84" i="3" a="1"/>
  <c r="AQ84" i="3" s="1"/>
  <c r="AP84" i="3" a="1"/>
  <c r="AP84" i="3" s="1"/>
  <c r="AO84" i="3" a="1"/>
  <c r="AO84" i="3" s="1"/>
  <c r="AN84" i="3" a="1"/>
  <c r="AN84" i="3" s="1"/>
  <c r="AM84" i="3" a="1"/>
  <c r="AM84" i="3" s="1"/>
  <c r="AL84" i="3" a="1"/>
  <c r="AL84" i="3" s="1"/>
  <c r="AK84" i="3" a="1"/>
  <c r="AK84" i="3" s="1"/>
  <c r="AJ84" i="3" a="1"/>
  <c r="AJ84" i="3" s="1"/>
  <c r="AI84" i="3" a="1"/>
  <c r="AI84" i="3" s="1"/>
  <c r="AH84" i="3" a="1"/>
  <c r="AH84" i="3" s="1"/>
  <c r="AG84" i="3" a="1"/>
  <c r="AG84" i="3" s="1"/>
  <c r="AF84" i="3" a="1"/>
  <c r="AF84" i="3" s="1"/>
  <c r="AE84" i="3" a="1"/>
  <c r="AE84" i="3" s="1"/>
  <c r="AD84" i="3" a="1"/>
  <c r="AD84" i="3" s="1"/>
  <c r="AC84" i="3" a="1"/>
  <c r="AC84" i="3" s="1"/>
  <c r="AB84" i="3" a="1"/>
  <c r="AB84" i="3" s="1"/>
  <c r="AA84" i="3" a="1"/>
  <c r="AA84" i="3" s="1"/>
  <c r="Z84" i="3" a="1"/>
  <c r="Z84" i="3" s="1"/>
  <c r="Y84" i="3" a="1"/>
  <c r="Y84" i="3" s="1"/>
  <c r="X84" i="3" a="1"/>
  <c r="X84" i="3" s="1"/>
  <c r="W84" i="3" a="1"/>
  <c r="W84" i="3" s="1"/>
  <c r="V84" i="3" a="1"/>
  <c r="V84" i="3" s="1"/>
  <c r="U84" i="3" a="1"/>
  <c r="U84" i="3" s="1"/>
  <c r="T84" i="3" a="1"/>
  <c r="T84" i="3" s="1"/>
  <c r="S84" i="3" a="1"/>
  <c r="S84" i="3" s="1"/>
  <c r="R84" i="3" a="1"/>
  <c r="R84" i="3" s="1"/>
  <c r="Q84" i="3" a="1"/>
  <c r="Q84" i="3" s="1"/>
  <c r="P84" i="3" a="1"/>
  <c r="P84" i="3" s="1"/>
  <c r="O84" i="3" a="1"/>
  <c r="O84" i="3" s="1"/>
  <c r="N84" i="3" a="1"/>
  <c r="N84" i="3" s="1"/>
  <c r="M84" i="3" a="1"/>
  <c r="M84" i="3" s="1"/>
  <c r="L84" i="3" a="1"/>
  <c r="L84" i="3" s="1"/>
  <c r="K84" i="3" a="1"/>
  <c r="K84" i="3" s="1"/>
  <c r="J84" i="3" a="1"/>
  <c r="J84" i="3" s="1"/>
  <c r="I84" i="3" a="1"/>
  <c r="I84" i="3" s="1"/>
  <c r="H84" i="3" a="1"/>
  <c r="H84" i="3" s="1"/>
  <c r="G84" i="3" a="1"/>
  <c r="G84" i="3" s="1"/>
  <c r="F84" i="3" a="1"/>
  <c r="F84" i="3" s="1"/>
  <c r="E84" i="3" a="1"/>
  <c r="E84" i="3" s="1"/>
  <c r="D84" i="3" a="1"/>
  <c r="D84" i="3" s="1"/>
  <c r="C84" i="3" a="1"/>
  <c r="C84" i="3" s="1"/>
  <c r="B84" i="3" a="1"/>
  <c r="B84" i="3" s="1"/>
  <c r="BE83" i="3" a="1"/>
  <c r="BE83" i="3"/>
  <c r="AE83" i="3" a="1"/>
  <c r="AE83" i="3" s="1"/>
  <c r="AF83" i="3" a="1"/>
  <c r="AF83" i="3" s="1"/>
  <c r="AG83" i="3" a="1"/>
  <c r="AG83" i="3"/>
  <c r="AH83" i="3" a="1"/>
  <c r="AH83" i="3" s="1"/>
  <c r="AI83" i="3" a="1"/>
  <c r="AI83" i="3" s="1"/>
  <c r="AJ83" i="3" a="1"/>
  <c r="AJ83" i="3"/>
  <c r="AK83" i="3" a="1"/>
  <c r="AK83" i="3" s="1"/>
  <c r="AL83" i="3" a="1"/>
  <c r="AL83" i="3" s="1"/>
  <c r="AM83" i="3" a="1"/>
  <c r="AM83" i="3"/>
  <c r="AN83" i="3" a="1"/>
  <c r="AN83" i="3" s="1"/>
  <c r="AO83" i="3" a="1"/>
  <c r="AO83" i="3" s="1"/>
  <c r="AP83" i="3" a="1"/>
  <c r="AP83" i="3"/>
  <c r="AQ83" i="3" a="1"/>
  <c r="AQ83" i="3" s="1"/>
  <c r="AR83" i="3" a="1"/>
  <c r="AR83" i="3" s="1"/>
  <c r="AS83" i="3" a="1"/>
  <c r="AS83" i="3" s="1"/>
  <c r="AT83" i="3" a="1"/>
  <c r="AT83" i="3" s="1"/>
  <c r="AU83" i="3" a="1"/>
  <c r="AU83" i="3" s="1"/>
  <c r="AV83" i="3" a="1"/>
  <c r="AV83" i="3"/>
  <c r="AW83" i="3" a="1"/>
  <c r="AW83" i="3" s="1"/>
  <c r="AX83" i="3" a="1"/>
  <c r="AX83" i="3" s="1"/>
  <c r="AY83" i="3" a="1"/>
  <c r="AY83" i="3" s="1"/>
  <c r="AZ83" i="3" a="1"/>
  <c r="AZ83" i="3" s="1"/>
  <c r="BA83" i="3" a="1"/>
  <c r="BA83" i="3" s="1"/>
  <c r="BB83" i="3" a="1"/>
  <c r="BB83" i="3"/>
  <c r="BC83" i="3" a="1"/>
  <c r="BC83" i="3" s="1"/>
  <c r="BD83" i="3" a="1"/>
  <c r="BD83" i="3" s="1"/>
  <c r="AD83" i="3" a="1"/>
  <c r="AD83" i="3" s="1"/>
  <c r="C83" i="3" a="1"/>
  <c r="C83" i="3"/>
  <c r="D83" i="3" a="1"/>
  <c r="D83" i="3" s="1"/>
  <c r="E83" i="3" a="1"/>
  <c r="E83" i="3" s="1"/>
  <c r="F83" i="3" a="1"/>
  <c r="F83" i="3" s="1"/>
  <c r="G83" i="3" a="1"/>
  <c r="G83" i="3"/>
  <c r="H83" i="3" a="1"/>
  <c r="H83" i="3"/>
  <c r="I83" i="3" a="1"/>
  <c r="I83" i="3"/>
  <c r="J83" i="3" a="1"/>
  <c r="J83" i="3" s="1"/>
  <c r="K83" i="3" a="1"/>
  <c r="K83" i="3" s="1"/>
  <c r="L83" i="3" a="1"/>
  <c r="L83" i="3" s="1"/>
  <c r="M83" i="3" a="1"/>
  <c r="M83" i="3"/>
  <c r="N83" i="3" a="1"/>
  <c r="N83" i="3"/>
  <c r="O83" i="3" a="1"/>
  <c r="O83" i="3"/>
  <c r="P83" i="3" a="1"/>
  <c r="P83" i="3" s="1"/>
  <c r="Q83" i="3" a="1"/>
  <c r="Q83" i="3" s="1"/>
  <c r="R83" i="3" a="1"/>
  <c r="R83" i="3" s="1"/>
  <c r="S83" i="3" a="1"/>
  <c r="S83" i="3"/>
  <c r="T83" i="3" a="1"/>
  <c r="T83" i="3"/>
  <c r="U83" i="3" a="1"/>
  <c r="U83" i="3"/>
  <c r="V83" i="3" a="1"/>
  <c r="V83" i="3" s="1"/>
  <c r="W83" i="3" a="1"/>
  <c r="W83" i="3" s="1"/>
  <c r="X83" i="3" a="1"/>
  <c r="X83" i="3" s="1"/>
  <c r="Y83" i="3" a="1"/>
  <c r="Y83" i="3"/>
  <c r="Z83" i="3" a="1"/>
  <c r="Z83" i="3"/>
  <c r="AA83" i="3" a="1"/>
  <c r="AA83" i="3"/>
  <c r="AB83" i="3" a="1"/>
  <c r="AB83" i="3" s="1"/>
  <c r="AC83" i="3" a="1"/>
  <c r="AC83" i="3" s="1"/>
  <c r="B83" i="3" a="1"/>
  <c r="B83" i="3" s="1"/>
  <c r="C80" i="3" a="1"/>
  <c r="C80" i="3" s="1"/>
  <c r="D80" i="3" a="1"/>
  <c r="D80" i="3" s="1"/>
  <c r="E80" i="3" a="1"/>
  <c r="E80" i="3" s="1"/>
  <c r="F80" i="3" a="1"/>
  <c r="F80" i="3" s="1"/>
  <c r="G80" i="3" a="1"/>
  <c r="G80" i="3" s="1"/>
  <c r="H80" i="3" a="1"/>
  <c r="H80" i="3"/>
  <c r="I80" i="3" a="1"/>
  <c r="I80" i="3" s="1"/>
  <c r="J80" i="3" a="1"/>
  <c r="J80" i="3" s="1"/>
  <c r="K80" i="3" a="1"/>
  <c r="K80" i="3" s="1"/>
  <c r="L80" i="3" a="1"/>
  <c r="L80" i="3" s="1"/>
  <c r="M80" i="3" a="1"/>
  <c r="M80" i="3" s="1"/>
  <c r="N80" i="3" a="1"/>
  <c r="N80" i="3"/>
  <c r="O80" i="3" a="1"/>
  <c r="O80" i="3" s="1"/>
  <c r="P80" i="3" a="1"/>
  <c r="P80" i="3" s="1"/>
  <c r="Q80" i="3" a="1"/>
  <c r="Q80" i="3" s="1"/>
  <c r="R80" i="3" a="1"/>
  <c r="R80" i="3" s="1"/>
  <c r="S80" i="3" a="1"/>
  <c r="S80" i="3" s="1"/>
  <c r="T80" i="3" a="1"/>
  <c r="T80" i="3"/>
  <c r="U80" i="3" a="1"/>
  <c r="U80" i="3" s="1"/>
  <c r="V80" i="3" a="1"/>
  <c r="V80" i="3" s="1"/>
  <c r="W80" i="3" a="1"/>
  <c r="W80" i="3" s="1"/>
  <c r="X80" i="3" a="1"/>
  <c r="X80" i="3" s="1"/>
  <c r="Y80" i="3" a="1"/>
  <c r="Y80" i="3" s="1"/>
  <c r="Z80" i="3" a="1"/>
  <c r="Z80" i="3"/>
  <c r="AA80" i="3" a="1"/>
  <c r="AA80" i="3" s="1"/>
  <c r="AB80" i="3" a="1"/>
  <c r="AB80" i="3" s="1"/>
  <c r="AC80" i="3" a="1"/>
  <c r="AC80" i="3" s="1"/>
  <c r="AD80" i="3" a="1"/>
  <c r="AD80" i="3" s="1"/>
  <c r="AE80" i="3" a="1"/>
  <c r="AE80" i="3" s="1"/>
  <c r="AF80" i="3" a="1"/>
  <c r="AF80" i="3"/>
  <c r="AG80" i="3" a="1"/>
  <c r="AG80" i="3" s="1"/>
  <c r="AH80" i="3" a="1"/>
  <c r="AH80" i="3" s="1"/>
  <c r="AI80" i="3" a="1"/>
  <c r="AI80" i="3" s="1"/>
  <c r="AJ80" i="3" a="1"/>
  <c r="AJ80" i="3" s="1"/>
  <c r="AK80" i="3" a="1"/>
  <c r="AK80" i="3" s="1"/>
  <c r="AL80" i="3" a="1"/>
  <c r="AL80" i="3"/>
  <c r="AM80" i="3" a="1"/>
  <c r="AM80" i="3" s="1"/>
  <c r="AN80" i="3" a="1"/>
  <c r="AN80" i="3" s="1"/>
  <c r="AO80" i="3" a="1"/>
  <c r="AO80" i="3" s="1"/>
  <c r="AP80" i="3" a="1"/>
  <c r="AP80" i="3" s="1"/>
  <c r="AQ80" i="3" a="1"/>
  <c r="AQ80" i="3" s="1"/>
  <c r="AR80" i="3" a="1"/>
  <c r="AR80" i="3"/>
  <c r="AS80" i="3" a="1"/>
  <c r="AS80" i="3" s="1"/>
  <c r="AT80" i="3" a="1"/>
  <c r="AT80" i="3" s="1"/>
  <c r="AU80" i="3" a="1"/>
  <c r="AU80" i="3" s="1"/>
  <c r="AV80" i="3" a="1"/>
  <c r="AV80" i="3" s="1"/>
  <c r="AW80" i="3" a="1"/>
  <c r="AW80" i="3" s="1"/>
  <c r="B80" i="3" a="1"/>
  <c r="B80" i="3"/>
  <c r="B79" i="3" a="1"/>
  <c r="B79" i="3" s="1"/>
  <c r="B77" i="3" a="1"/>
  <c r="B77" i="3" s="1"/>
  <c r="BE79" i="3" a="1"/>
  <c r="BE79" i="3" s="1"/>
  <c r="BD79" i="3"/>
  <c r="BD79" i="3" a="1"/>
  <c r="BC79" i="3" a="1"/>
  <c r="BC79" i="3" s="1"/>
  <c r="BB79" i="3" a="1"/>
  <c r="BB79" i="3" s="1"/>
  <c r="BA79" i="3" a="1"/>
  <c r="BA79" i="3" s="1"/>
  <c r="AZ79" i="3" a="1"/>
  <c r="AZ79" i="3" s="1"/>
  <c r="AY79" i="3" a="1"/>
  <c r="AY79" i="3" s="1"/>
  <c r="AX79" i="3"/>
  <c r="AX79" i="3" a="1"/>
  <c r="AW79" i="3" a="1"/>
  <c r="AW79" i="3" s="1"/>
  <c r="AV79" i="3" a="1"/>
  <c r="AV79" i="3" s="1"/>
  <c r="AU79" i="3" a="1"/>
  <c r="AU79" i="3" s="1"/>
  <c r="AT79" i="3" a="1"/>
  <c r="AT79" i="3" s="1"/>
  <c r="AS79" i="3" a="1"/>
  <c r="AS79" i="3" s="1"/>
  <c r="AR79" i="3" a="1"/>
  <c r="AR79" i="3" s="1"/>
  <c r="AQ79" i="3" a="1"/>
  <c r="AQ79" i="3" s="1"/>
  <c r="AP79" i="3" a="1"/>
  <c r="AP79" i="3" s="1"/>
  <c r="AO79" i="3" a="1"/>
  <c r="AO79" i="3" s="1"/>
  <c r="AN79" i="3" a="1"/>
  <c r="AN79" i="3" s="1"/>
  <c r="AM79" i="3" a="1"/>
  <c r="AM79" i="3" s="1"/>
  <c r="AL79" i="3" a="1"/>
  <c r="AL79" i="3" s="1"/>
  <c r="AK79" i="3" a="1"/>
  <c r="AK79" i="3" s="1"/>
  <c r="AJ79" i="3" a="1"/>
  <c r="AJ79" i="3" s="1"/>
  <c r="AI79" i="3" a="1"/>
  <c r="AI79" i="3" s="1"/>
  <c r="AH79" i="3" a="1"/>
  <c r="AH79" i="3" s="1"/>
  <c r="AG79" i="3" a="1"/>
  <c r="AG79" i="3" s="1"/>
  <c r="AF79" i="3" a="1"/>
  <c r="AF79" i="3" s="1"/>
  <c r="AE79" i="3" a="1"/>
  <c r="AE79" i="3" s="1"/>
  <c r="AD79" i="3" a="1"/>
  <c r="AD79" i="3" s="1"/>
  <c r="AC79" i="3" a="1"/>
  <c r="AC79" i="3" s="1"/>
  <c r="AB79" i="3" a="1"/>
  <c r="AB79" i="3" s="1"/>
  <c r="AA79" i="3" a="1"/>
  <c r="AA79" i="3" s="1"/>
  <c r="Z79" i="3" a="1"/>
  <c r="Z79" i="3" s="1"/>
  <c r="Y79" i="3" a="1"/>
  <c r="Y79" i="3" s="1"/>
  <c r="X79" i="3" a="1"/>
  <c r="X79" i="3" s="1"/>
  <c r="W79" i="3" a="1"/>
  <c r="W79" i="3" s="1"/>
  <c r="V79" i="3" a="1"/>
  <c r="V79" i="3" s="1"/>
  <c r="U79" i="3" a="1"/>
  <c r="U79" i="3" s="1"/>
  <c r="T79" i="3" a="1"/>
  <c r="T79" i="3" s="1"/>
  <c r="S79" i="3" a="1"/>
  <c r="S79" i="3" s="1"/>
  <c r="R79" i="3" a="1"/>
  <c r="R79" i="3" s="1"/>
  <c r="Q79" i="3" a="1"/>
  <c r="Q79" i="3" s="1"/>
  <c r="P79" i="3" a="1"/>
  <c r="P79" i="3" s="1"/>
  <c r="O79" i="3" a="1"/>
  <c r="O79" i="3" s="1"/>
  <c r="N79" i="3" a="1"/>
  <c r="N79" i="3" s="1"/>
  <c r="M79" i="3" a="1"/>
  <c r="M79" i="3" s="1"/>
  <c r="L79" i="3" a="1"/>
  <c r="L79" i="3" s="1"/>
  <c r="K79" i="3" a="1"/>
  <c r="K79" i="3" s="1"/>
  <c r="J79" i="3" a="1"/>
  <c r="J79" i="3" s="1"/>
  <c r="I79" i="3" a="1"/>
  <c r="I79" i="3" s="1"/>
  <c r="H79" i="3" a="1"/>
  <c r="H79" i="3" s="1"/>
  <c r="G79" i="3" a="1"/>
  <c r="G79" i="3" s="1"/>
  <c r="F79" i="3" a="1"/>
  <c r="F79" i="3" s="1"/>
  <c r="E79" i="3" a="1"/>
  <c r="E79" i="3" s="1"/>
  <c r="D79" i="3" a="1"/>
  <c r="D79" i="3" s="1"/>
  <c r="C79" i="3" a="1"/>
  <c r="C79" i="3" s="1"/>
  <c r="B6" i="3" l="1" a="1"/>
  <c r="B6" i="3"/>
  <c r="B8" i="3"/>
  <c r="AC13" i="3" s="1" a="1"/>
  <c r="AC13" i="3" s="1"/>
  <c r="I14" i="3" s="1" a="1"/>
  <c r="I14" i="3" s="1"/>
  <c r="O8" i="3"/>
  <c r="N13" i="3" s="1" a="1"/>
  <c r="N13" i="3" s="1"/>
  <c r="X14" i="3" s="1" a="1"/>
  <c r="X14" i="3" s="1"/>
  <c r="C6" i="3" a="1"/>
  <c r="C6" i="3" s="1"/>
  <c r="C8" i="3" s="1"/>
  <c r="D6" i="3" a="1"/>
  <c r="D6" i="3" s="1"/>
  <c r="D8" i="3" s="1"/>
  <c r="E6" i="3" a="1"/>
  <c r="E6" i="3" s="1"/>
  <c r="E8" i="3" s="1"/>
  <c r="F6" i="3" a="1"/>
  <c r="F6" i="3" s="1"/>
  <c r="F8" i="3" s="1"/>
  <c r="G6" i="3" a="1"/>
  <c r="G6" i="3"/>
  <c r="G8" i="3" s="1"/>
  <c r="F12" i="3" s="1" a="1"/>
  <c r="F12" i="3" s="1"/>
  <c r="H6" i="3" a="1"/>
  <c r="H6" i="3" s="1"/>
  <c r="H8" i="3" s="1"/>
  <c r="I6" i="3" a="1"/>
  <c r="I6" i="3" s="1"/>
  <c r="I8" i="3" s="1"/>
  <c r="H12" i="3" s="1" a="1"/>
  <c r="H12" i="3" s="1"/>
  <c r="J6" i="3" a="1"/>
  <c r="J6" i="3" s="1"/>
  <c r="J8" i="3" s="1"/>
  <c r="K6" i="3" a="1"/>
  <c r="K6" i="3" s="1"/>
  <c r="K8" i="3" s="1"/>
  <c r="L6" i="3" a="1"/>
  <c r="L6" i="3" s="1"/>
  <c r="L8" i="3" s="1"/>
  <c r="M6" i="3" a="1"/>
  <c r="M6" i="3"/>
  <c r="M8" i="3" s="1"/>
  <c r="N6" i="3" a="1"/>
  <c r="N6" i="3" s="1"/>
  <c r="N8" i="3" s="1"/>
  <c r="O6" i="3" a="1"/>
  <c r="O6" i="3" s="1"/>
  <c r="P6" i="3" a="1"/>
  <c r="P6" i="3" s="1"/>
  <c r="P8" i="3" s="1"/>
  <c r="Q6" i="3" a="1"/>
  <c r="Q6" i="3" s="1"/>
  <c r="Q8" i="3" s="1"/>
  <c r="R6" i="3" a="1"/>
  <c r="R6" i="3" s="1"/>
  <c r="R8" i="3" s="1"/>
  <c r="S6" i="3" a="1"/>
  <c r="S6" i="3" s="1"/>
  <c r="S8" i="3" s="1"/>
  <c r="T6" i="3" a="1"/>
  <c r="T6" i="3" s="1"/>
  <c r="T8" i="3" s="1"/>
  <c r="U6" i="3" a="1"/>
  <c r="U6" i="3" s="1"/>
  <c r="U8" i="3" s="1"/>
  <c r="V6" i="3" a="1"/>
  <c r="V6" i="3" s="1"/>
  <c r="V8" i="3" s="1"/>
  <c r="W6" i="3" a="1"/>
  <c r="W6" i="3" s="1"/>
  <c r="W8" i="3" s="1"/>
  <c r="X6" i="3" a="1"/>
  <c r="X6" i="3" s="1"/>
  <c r="X8" i="3" s="1"/>
  <c r="Y6" i="3" a="1"/>
  <c r="Y6" i="3" s="1"/>
  <c r="Y8" i="3" s="1"/>
  <c r="Z6" i="3" a="1"/>
  <c r="Z6" i="3"/>
  <c r="Z8" i="3" s="1"/>
  <c r="AA6" i="3" a="1"/>
  <c r="AA6" i="3" s="1"/>
  <c r="AA8" i="3" s="1"/>
  <c r="AB6" i="3" a="1"/>
  <c r="AB6" i="3" s="1"/>
  <c r="AB8" i="3" s="1"/>
  <c r="AC6" i="3" a="1"/>
  <c r="AC6" i="3" s="1"/>
  <c r="AC8" i="3" s="1"/>
  <c r="AD6" i="3" a="1"/>
  <c r="AD6" i="3" s="1"/>
  <c r="AD8" i="3" s="1"/>
  <c r="BE12" i="3" s="1" a="1"/>
  <c r="BE12" i="3" s="1"/>
  <c r="AE6" i="3" a="1"/>
  <c r="AE6" i="3" s="1"/>
  <c r="AE8" i="3" s="1"/>
  <c r="AD12" i="3" s="1" a="1"/>
  <c r="AD12" i="3" s="1"/>
  <c r="AF6" i="3" a="1"/>
  <c r="AF6" i="3"/>
  <c r="AF8" i="3" s="1"/>
  <c r="AE12" i="3" s="1" a="1"/>
  <c r="AE12" i="3" s="1"/>
  <c r="AD17" i="3" s="1" a="1"/>
  <c r="AD17" i="3" s="1"/>
  <c r="AG6" i="3" a="1"/>
  <c r="AG6" i="3" s="1"/>
  <c r="AG8" i="3" s="1"/>
  <c r="AH6" i="3" a="1"/>
  <c r="AH6" i="3" s="1"/>
  <c r="AH8" i="3" s="1"/>
  <c r="AG12" i="3" s="1" a="1"/>
  <c r="AG12" i="3" s="1"/>
  <c r="AI6" i="3" a="1"/>
  <c r="AI6" i="3" s="1"/>
  <c r="AI8" i="3" s="1"/>
  <c r="AH12" i="3" s="1" a="1"/>
  <c r="AH12" i="3" s="1"/>
  <c r="AJ6" i="3" a="1"/>
  <c r="AJ6" i="3" s="1"/>
  <c r="AJ8" i="3" s="1"/>
  <c r="AI12" i="3" s="1" a="1"/>
  <c r="AI12" i="3" s="1"/>
  <c r="AK6" i="3" a="1"/>
  <c r="AK6" i="3" s="1"/>
  <c r="AK8" i="3" s="1"/>
  <c r="AJ12" i="3" s="1" a="1"/>
  <c r="AJ12" i="3" s="1"/>
  <c r="AL6" i="3" a="1"/>
  <c r="AL6" i="3" s="1"/>
  <c r="AL8" i="3" s="1"/>
  <c r="AK12" i="3" s="1" a="1"/>
  <c r="AK12" i="3" s="1"/>
  <c r="AM6" i="3" a="1"/>
  <c r="AM6" i="3" s="1"/>
  <c r="AM8" i="3" s="1"/>
  <c r="AL12" i="3" s="1" a="1"/>
  <c r="AL12" i="3" s="1"/>
  <c r="AN6" i="3" a="1"/>
  <c r="AN6" i="3" s="1"/>
  <c r="AN8" i="3" s="1"/>
  <c r="AM12" i="3" s="1" a="1"/>
  <c r="AM12" i="3" s="1"/>
  <c r="AO6" i="3" a="1"/>
  <c r="AO6" i="3" s="1"/>
  <c r="AO8" i="3" s="1"/>
  <c r="AN12" i="3" s="1" a="1"/>
  <c r="AN12" i="3" s="1"/>
  <c r="AP6" i="3" a="1"/>
  <c r="AP6" i="3" s="1"/>
  <c r="AP8" i="3" s="1"/>
  <c r="AO12" i="3" s="1" a="1"/>
  <c r="AO12" i="3" s="1"/>
  <c r="AQ6" i="3" a="1"/>
  <c r="AQ6" i="3" s="1"/>
  <c r="AQ8" i="3" s="1"/>
  <c r="AP12" i="3" s="1" a="1"/>
  <c r="AP12" i="3" s="1"/>
  <c r="AR6" i="3" a="1"/>
  <c r="AR6" i="3" s="1"/>
  <c r="AR8" i="3" s="1"/>
  <c r="AQ12" i="3" s="1" a="1"/>
  <c r="AQ12" i="3" s="1"/>
  <c r="AS6" i="3" a="1"/>
  <c r="AS6" i="3" s="1"/>
  <c r="AS8" i="3" s="1"/>
  <c r="AT6" i="3" a="1"/>
  <c r="AT6" i="3" s="1"/>
  <c r="AT8" i="3" s="1"/>
  <c r="AS12" i="3" s="1" a="1"/>
  <c r="AS12" i="3" s="1"/>
  <c r="AU6" i="3" a="1"/>
  <c r="AU6" i="3" s="1"/>
  <c r="AU8" i="3" s="1"/>
  <c r="AT12" i="3" s="1" a="1"/>
  <c r="AT12" i="3" s="1"/>
  <c r="AV6" i="3" a="1"/>
  <c r="AV6" i="3" s="1"/>
  <c r="AV8" i="3" s="1"/>
  <c r="AU12" i="3" s="1" a="1"/>
  <c r="AU12" i="3" s="1"/>
  <c r="AW6" i="3" a="1"/>
  <c r="AW6" i="3" s="1"/>
  <c r="AW8" i="3" s="1"/>
  <c r="AV12" i="3" s="1" a="1"/>
  <c r="AV12" i="3" s="1"/>
  <c r="AX6" i="3" a="1"/>
  <c r="AX6" i="3" s="1"/>
  <c r="AX8" i="3" s="1"/>
  <c r="AW12" i="3" s="1" a="1"/>
  <c r="AW12" i="3" s="1"/>
  <c r="AY6" i="3" a="1"/>
  <c r="AY6" i="3" s="1"/>
  <c r="AY8" i="3" s="1"/>
  <c r="AX12" i="3" s="1" a="1"/>
  <c r="AX12" i="3" s="1"/>
  <c r="AZ6" i="3" a="1"/>
  <c r="AZ6" i="3" s="1"/>
  <c r="AZ8" i="3" s="1"/>
  <c r="AY12" i="3" s="1" a="1"/>
  <c r="AY12" i="3" s="1"/>
  <c r="BA6" i="3" a="1"/>
  <c r="BA6" i="3" s="1"/>
  <c r="BA8" i="3" s="1"/>
  <c r="AZ12" i="3" s="1" a="1"/>
  <c r="AZ12" i="3" s="1"/>
  <c r="BB6" i="3" a="1"/>
  <c r="BB6" i="3" s="1"/>
  <c r="BB8" i="3" s="1"/>
  <c r="BA12" i="3" s="1" a="1"/>
  <c r="BA12" i="3" s="1"/>
  <c r="BC6" i="3" a="1"/>
  <c r="BC6" i="3" s="1"/>
  <c r="BC8" i="3" s="1"/>
  <c r="BB12" i="3" s="1" a="1"/>
  <c r="BB12" i="3" s="1"/>
  <c r="BD6" i="3" a="1"/>
  <c r="BD6" i="3" s="1"/>
  <c r="BD8" i="3" s="1"/>
  <c r="BC12" i="3" s="1" a="1"/>
  <c r="BC12" i="3" s="1"/>
  <c r="BE6" i="3" a="1"/>
  <c r="BE6" i="3" s="1"/>
  <c r="BE8" i="3" s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C8" i="1"/>
  <c r="C7" i="1"/>
  <c r="BM6" i="1"/>
  <c r="BN6" i="1"/>
  <c r="E6" i="1"/>
  <c r="F6" i="1"/>
  <c r="G6" i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AO6" i="1" s="1"/>
  <c r="AP6" i="1" s="1"/>
  <c r="AQ6" i="1" s="1"/>
  <c r="AR6" i="1" s="1"/>
  <c r="AS6" i="1" s="1"/>
  <c r="AT6" i="1" s="1"/>
  <c r="AU6" i="1" s="1"/>
  <c r="AV6" i="1" s="1"/>
  <c r="AW6" i="1" s="1"/>
  <c r="AX6" i="1" s="1"/>
  <c r="AY6" i="1" s="1"/>
  <c r="AZ6" i="1" s="1"/>
  <c r="BA6" i="1" s="1"/>
  <c r="BB6" i="1" s="1"/>
  <c r="BC6" i="1" s="1"/>
  <c r="BD6" i="1" s="1"/>
  <c r="BE6" i="1" s="1"/>
  <c r="BF6" i="1" s="1"/>
  <c r="BG6" i="1" s="1"/>
  <c r="BH6" i="1" s="1"/>
  <c r="BI6" i="1" s="1"/>
  <c r="BJ6" i="1" s="1"/>
  <c r="BK6" i="1" s="1"/>
  <c r="BL6" i="1" s="1"/>
  <c r="D6" i="1"/>
  <c r="BC17" i="3" l="1" a="1"/>
  <c r="BC17" i="3" s="1"/>
  <c r="BD12" i="3" a="1"/>
  <c r="BD12" i="3" s="1"/>
  <c r="AF12" i="3" a="1"/>
  <c r="AF12" i="3" s="1"/>
  <c r="AE17" i="3" s="1" a="1"/>
  <c r="AE17" i="3" s="1"/>
  <c r="G18" i="3" a="1"/>
  <c r="G18" i="3" s="1"/>
  <c r="K19" i="3" s="1" a="1"/>
  <c r="K19" i="3" s="1"/>
  <c r="G17" i="3" a="1"/>
  <c r="G17" i="3" s="1"/>
  <c r="AR12" i="3" a="1"/>
  <c r="AR12" i="3" s="1"/>
  <c r="AQ17" i="3" s="1" a="1"/>
  <c r="AQ17" i="3" s="1"/>
  <c r="I13" i="3" a="1"/>
  <c r="I13" i="3" s="1"/>
  <c r="S14" i="3" s="1" a="1"/>
  <c r="S14" i="3" s="1"/>
  <c r="J12" i="3" a="1"/>
  <c r="J12" i="3" s="1"/>
  <c r="I12" i="3" a="1"/>
  <c r="I12" i="3" s="1"/>
  <c r="Z13" i="3" a="1"/>
  <c r="Z13" i="3" s="1"/>
  <c r="Z12" i="3" a="1"/>
  <c r="Z12" i="3" s="1"/>
  <c r="Y17" i="3" s="1" a="1"/>
  <c r="Y17" i="3" s="1"/>
  <c r="E18" i="3" a="1"/>
  <c r="E18" i="3" s="1"/>
  <c r="Q19" i="3" s="1" a="1"/>
  <c r="Q19" i="3" s="1"/>
  <c r="E17" i="3" a="1"/>
  <c r="E17" i="3" s="1"/>
  <c r="BE17" i="3" a="1"/>
  <c r="BE17" i="3" s="1"/>
  <c r="BE18" i="3" a="1"/>
  <c r="BE18" i="3" s="1"/>
  <c r="AO19" i="3" s="1" a="1"/>
  <c r="AO19" i="3" s="1"/>
  <c r="AC12" i="3" a="1"/>
  <c r="AC12" i="3" s="1"/>
  <c r="BD23" i="3" a="1"/>
  <c r="BD23" i="3" s="1"/>
  <c r="BD22" i="3" a="1"/>
  <c r="BD22" i="3" s="1"/>
  <c r="B12" i="3" a="1"/>
  <c r="B12" i="3" s="1"/>
  <c r="B13" i="3" a="1"/>
  <c r="B13" i="3" s="1"/>
  <c r="F14" i="3" s="1" a="1"/>
  <c r="F14" i="3" s="1"/>
  <c r="AQ18" i="3" a="1"/>
  <c r="AQ18" i="3" s="1"/>
  <c r="AS19" i="3" s="1" a="1"/>
  <c r="AS19" i="3" s="1"/>
  <c r="BC18" i="3" a="1"/>
  <c r="BC18" i="3" s="1"/>
  <c r="AE18" i="3" a="1"/>
  <c r="AE18" i="3" s="1"/>
  <c r="AF19" i="3" s="1" a="1"/>
  <c r="AF19" i="3" s="1"/>
  <c r="AZ13" i="3" a="1"/>
  <c r="AZ13" i="3" s="1"/>
  <c r="AH14" i="3" s="1" a="1"/>
  <c r="AH14" i="3" s="1"/>
  <c r="AO13" i="3" a="1"/>
  <c r="AO13" i="3" s="1"/>
  <c r="AG14" i="3" s="1" a="1"/>
  <c r="AG14" i="3" s="1"/>
  <c r="AD13" i="3" a="1"/>
  <c r="AD13" i="3" s="1"/>
  <c r="AV14" i="3" s="1" a="1"/>
  <c r="AV14" i="3" s="1"/>
  <c r="T12" i="3" a="1"/>
  <c r="T12" i="3" s="1"/>
  <c r="S17" i="3" s="1" a="1"/>
  <c r="S17" i="3" s="1"/>
  <c r="T13" i="3" a="1"/>
  <c r="T13" i="3" s="1"/>
  <c r="O14" i="3" s="1" a="1"/>
  <c r="O14" i="3" s="1"/>
  <c r="J13" i="3" a="1"/>
  <c r="J13" i="3" s="1"/>
  <c r="AY13" i="3" a="1"/>
  <c r="AY13" i="3" s="1"/>
  <c r="AT14" i="3" s="1" a="1"/>
  <c r="AT14" i="3" s="1"/>
  <c r="AN13" i="3" a="1"/>
  <c r="AN13" i="3" s="1"/>
  <c r="AN14" i="3" s="1" a="1"/>
  <c r="AN14" i="3" s="1"/>
  <c r="S13" i="3" a="1"/>
  <c r="S13" i="3" s="1"/>
  <c r="S12" i="3" a="1"/>
  <c r="S12" i="3" s="1"/>
  <c r="R17" i="3" s="1" a="1"/>
  <c r="R17" i="3" s="1"/>
  <c r="BC13" i="3" a="1"/>
  <c r="BC13" i="3" s="1"/>
  <c r="W13" i="3" a="1"/>
  <c r="W13" i="3" s="1"/>
  <c r="W12" i="3" a="1"/>
  <c r="W12" i="3" s="1"/>
  <c r="V17" i="3" s="1" a="1"/>
  <c r="V17" i="3" s="1"/>
  <c r="AP13" i="3" a="1"/>
  <c r="AP13" i="3" s="1"/>
  <c r="Z14" i="3" s="1" a="1"/>
  <c r="Z14" i="3" s="1"/>
  <c r="AM13" i="3" a="1"/>
  <c r="AM13" i="3" s="1"/>
  <c r="C13" i="3" a="1"/>
  <c r="C13" i="3" s="1"/>
  <c r="Y14" i="3" s="1" a="1"/>
  <c r="Y14" i="3" s="1"/>
  <c r="C12" i="3" a="1"/>
  <c r="C12" i="3" s="1"/>
  <c r="U12" i="3" a="1"/>
  <c r="U12" i="3" s="1"/>
  <c r="T17" i="3" s="1" a="1"/>
  <c r="T17" i="3" s="1"/>
  <c r="U13" i="3" a="1"/>
  <c r="U13" i="3" s="1"/>
  <c r="W14" i="3" s="1" a="1"/>
  <c r="W14" i="3" s="1"/>
  <c r="AX13" i="3" a="1"/>
  <c r="AX13" i="3" s="1"/>
  <c r="AM14" i="3" s="1" a="1"/>
  <c r="AM14" i="3" s="1"/>
  <c r="BE13" i="3" a="1"/>
  <c r="BE13" i="3" s="1"/>
  <c r="AO14" i="3" s="1" a="1"/>
  <c r="AO14" i="3" s="1"/>
  <c r="R13" i="3" a="1"/>
  <c r="R13" i="3" s="1"/>
  <c r="C14" i="3" s="1" a="1"/>
  <c r="C14" i="3" s="1"/>
  <c r="R12" i="3" a="1"/>
  <c r="R12" i="3" s="1"/>
  <c r="Q17" i="3" s="1" a="1"/>
  <c r="Q17" i="3" s="1"/>
  <c r="Y13" i="3" a="1"/>
  <c r="Y13" i="3" s="1"/>
  <c r="E14" i="3" s="1" a="1"/>
  <c r="E14" i="3" s="1"/>
  <c r="Y12" i="3" a="1"/>
  <c r="Y12" i="3" s="1"/>
  <c r="X17" i="3" s="1" a="1"/>
  <c r="X17" i="3" s="1"/>
  <c r="H13" i="3" a="1"/>
  <c r="H13" i="3" s="1"/>
  <c r="U14" i="3" s="1" a="1"/>
  <c r="U14" i="3" s="1"/>
  <c r="AW13" i="3" a="1"/>
  <c r="AW13" i="3" s="1"/>
  <c r="AK14" i="3" s="1" a="1"/>
  <c r="AK14" i="3" s="1"/>
  <c r="AL13" i="3" a="1"/>
  <c r="AL13" i="3" s="1"/>
  <c r="AC14" i="3" s="1" a="1"/>
  <c r="AC14" i="3" s="1"/>
  <c r="AB12" i="3" a="1"/>
  <c r="AB12" i="3" s="1"/>
  <c r="AA17" i="3" s="1" a="1"/>
  <c r="AA17" i="3" s="1"/>
  <c r="AB13" i="3" a="1"/>
  <c r="AB13" i="3" s="1"/>
  <c r="V14" i="3" s="1" a="1"/>
  <c r="V14" i="3" s="1"/>
  <c r="Q12" i="3" a="1"/>
  <c r="Q12" i="3" s="1"/>
  <c r="P17" i="3" s="1" a="1"/>
  <c r="P17" i="3" s="1"/>
  <c r="Q13" i="3" a="1"/>
  <c r="Q13" i="3" s="1"/>
  <c r="T14" i="3" s="1" a="1"/>
  <c r="T14" i="3" s="1"/>
  <c r="G12" i="3" a="1"/>
  <c r="G12" i="3" s="1"/>
  <c r="F17" i="3" s="1" a="1"/>
  <c r="F17" i="3" s="1"/>
  <c r="G13" i="3" a="1"/>
  <c r="G13" i="3" s="1"/>
  <c r="K14" i="3" s="1" a="1"/>
  <c r="K14" i="3" s="1"/>
  <c r="AV13" i="3" a="1"/>
  <c r="AV13" i="3" s="1"/>
  <c r="AD14" i="3" s="1" a="1"/>
  <c r="AD14" i="3" s="1"/>
  <c r="AK13" i="3" a="1"/>
  <c r="AK13" i="3" s="1"/>
  <c r="AU14" i="3" s="1" a="1"/>
  <c r="AU14" i="3" s="1"/>
  <c r="AA13" i="3" a="1"/>
  <c r="AA13" i="3" s="1"/>
  <c r="R14" i="3" s="1" a="1"/>
  <c r="R14" i="3" s="1"/>
  <c r="AA12" i="3" a="1"/>
  <c r="AA12" i="3" s="1"/>
  <c r="Z17" i="3" s="1" a="1"/>
  <c r="Z17" i="3" s="1"/>
  <c r="P12" i="3" a="1"/>
  <c r="P12" i="3" s="1"/>
  <c r="O17" i="3" s="1" a="1"/>
  <c r="O17" i="3" s="1"/>
  <c r="P13" i="3" a="1"/>
  <c r="P13" i="3" s="1"/>
  <c r="J14" i="3" s="1" a="1"/>
  <c r="J14" i="3" s="1"/>
  <c r="AJ13" i="3" a="1"/>
  <c r="AJ13" i="3" s="1"/>
  <c r="O13" i="3" a="1"/>
  <c r="O13" i="3" s="1"/>
  <c r="B14" i="3" s="1" a="1"/>
  <c r="B14" i="3" s="1"/>
  <c r="O12" i="3" a="1"/>
  <c r="O12" i="3" s="1"/>
  <c r="N17" i="3" s="1" a="1"/>
  <c r="N17" i="3" s="1"/>
  <c r="AU13" i="3" a="1"/>
  <c r="AU13" i="3" s="1"/>
  <c r="AR14" i="3" s="1" a="1"/>
  <c r="AR14" i="3" s="1"/>
  <c r="AI13" i="3" a="1"/>
  <c r="AI13" i="3" s="1"/>
  <c r="AP14" i="3" s="1" a="1"/>
  <c r="AP14" i="3" s="1"/>
  <c r="AT13" i="3" a="1"/>
  <c r="AT13" i="3" s="1"/>
  <c r="AI14" i="3" s="1" a="1"/>
  <c r="AI14" i="3" s="1"/>
  <c r="AH13" i="3" a="1"/>
  <c r="AH13" i="3" s="1"/>
  <c r="AJ14" i="3" s="1" a="1"/>
  <c r="AJ14" i="3" s="1"/>
  <c r="M13" i="3" a="1"/>
  <c r="M13" i="3" s="1"/>
  <c r="P14" i="3" s="1" a="1"/>
  <c r="P14" i="3" s="1"/>
  <c r="M12" i="3" a="1"/>
  <c r="M12" i="3" s="1"/>
  <c r="L17" i="3" s="1" a="1"/>
  <c r="L17" i="3" s="1"/>
  <c r="E13" i="3" a="1"/>
  <c r="E13" i="3" s="1"/>
  <c r="Q14" i="3" s="1" a="1"/>
  <c r="Q14" i="3" s="1"/>
  <c r="E12" i="3" a="1"/>
  <c r="E12" i="3" s="1"/>
  <c r="D17" i="3" s="1" a="1"/>
  <c r="D17" i="3" s="1"/>
  <c r="L12" i="3" a="1"/>
  <c r="L12" i="3" s="1"/>
  <c r="K17" i="3" s="1" a="1"/>
  <c r="K17" i="3" s="1"/>
  <c r="L13" i="3" a="1"/>
  <c r="L13" i="3" s="1"/>
  <c r="D14" i="3" s="1" a="1"/>
  <c r="D14" i="3" s="1"/>
  <c r="BA13" i="3" a="1"/>
  <c r="BA13" i="3" s="1"/>
  <c r="AA14" i="3" s="1" a="1"/>
  <c r="AA14" i="3" s="1"/>
  <c r="K13" i="3" a="1"/>
  <c r="K13" i="3" s="1"/>
  <c r="M14" i="3" s="1" a="1"/>
  <c r="M14" i="3" s="1"/>
  <c r="K12" i="3" a="1"/>
  <c r="K12" i="3" s="1"/>
  <c r="J17" i="3" s="1" a="1"/>
  <c r="J17" i="3" s="1"/>
  <c r="AS13" i="3" a="1"/>
  <c r="AS13" i="3" s="1"/>
  <c r="AL14" i="3" s="1" a="1"/>
  <c r="AL14" i="3" s="1"/>
  <c r="AG13" i="3" a="1"/>
  <c r="AG13" i="3" s="1"/>
  <c r="AW14" i="3" s="1" a="1"/>
  <c r="AW14" i="3" s="1"/>
  <c r="X13" i="3" a="1"/>
  <c r="X13" i="3" s="1"/>
  <c r="N14" i="3" s="1" a="1"/>
  <c r="N14" i="3" s="1"/>
  <c r="X12" i="3" a="1"/>
  <c r="X12" i="3" s="1"/>
  <c r="W17" i="3" s="1" a="1"/>
  <c r="W17" i="3" s="1"/>
  <c r="D12" i="3" a="1"/>
  <c r="D12" i="3" s="1"/>
  <c r="D13" i="3" a="1"/>
  <c r="D13" i="3" s="1"/>
  <c r="H14" i="3" s="1" a="1"/>
  <c r="H14" i="3" s="1"/>
  <c r="BB13" i="3" a="1"/>
  <c r="BB13" i="3" s="1"/>
  <c r="AQ14" i="3" s="1" a="1"/>
  <c r="AQ14" i="3" s="1"/>
  <c r="AQ13" i="3" a="1"/>
  <c r="AQ13" i="3" s="1"/>
  <c r="AS14" i="3" s="1" a="1"/>
  <c r="AS14" i="3" s="1"/>
  <c r="AE13" i="3" a="1"/>
  <c r="AE13" i="3" s="1"/>
  <c r="AF14" i="3" s="1" a="1"/>
  <c r="AF14" i="3" s="1"/>
  <c r="V12" i="3" a="1"/>
  <c r="V12" i="3" s="1"/>
  <c r="U17" i="3" s="1" a="1"/>
  <c r="U17" i="3" s="1"/>
  <c r="V13" i="3" a="1"/>
  <c r="V13" i="3" s="1"/>
  <c r="L14" i="3" s="1" a="1"/>
  <c r="L14" i="3" s="1"/>
  <c r="F13" i="3" a="1"/>
  <c r="F13" i="3" s="1"/>
  <c r="G14" i="3" s="1" a="1"/>
  <c r="G14" i="3" s="1"/>
  <c r="AF13" i="3" a="1"/>
  <c r="AF13" i="3" s="1"/>
  <c r="AB14" i="3" s="1" a="1"/>
  <c r="AB14" i="3" s="1"/>
  <c r="AR13" i="3" a="1"/>
  <c r="AR13" i="3" s="1"/>
  <c r="BD13" i="3" a="1"/>
  <c r="BD13" i="3" s="1"/>
  <c r="AE14" i="3" s="1" a="1"/>
  <c r="AE14" i="3" s="1"/>
  <c r="N12" i="3" a="1"/>
  <c r="N12" i="3" s="1"/>
  <c r="M17" i="3" s="1" a="1"/>
  <c r="M17" i="3" s="1"/>
  <c r="BE23" i="3" l="1" a="1"/>
  <c r="BE23" i="3" s="1"/>
  <c r="BE22" i="3" a="1"/>
  <c r="BE22" i="3" s="1"/>
  <c r="AO23" i="3" a="1"/>
  <c r="AO23" i="3" s="1"/>
  <c r="AO22" i="3" a="1"/>
  <c r="AO22" i="3" s="1"/>
  <c r="I18" i="3" a="1"/>
  <c r="I18" i="3" s="1"/>
  <c r="S19" i="3" s="1" a="1"/>
  <c r="S19" i="3" s="1"/>
  <c r="I17" i="3" a="1"/>
  <c r="I17" i="3" s="1"/>
  <c r="H22" i="3" a="1"/>
  <c r="H22" i="3" s="1"/>
  <c r="H23" i="3" a="1"/>
  <c r="H23" i="3" s="1"/>
  <c r="N23" i="3" a="1"/>
  <c r="N23" i="3" s="1"/>
  <c r="N22" i="3" a="1"/>
  <c r="N22" i="3" s="1"/>
  <c r="AC17" i="3" a="1"/>
  <c r="AC17" i="3" s="1"/>
  <c r="AC18" i="3" a="1"/>
  <c r="AC18" i="3" s="1"/>
  <c r="I19" i="3" s="1" a="1"/>
  <c r="I19" i="3" s="1"/>
  <c r="S23" i="3" a="1"/>
  <c r="S23" i="3" s="1"/>
  <c r="S22" i="3" a="1"/>
  <c r="S22" i="3" s="1"/>
  <c r="R23" i="3" a="1"/>
  <c r="R23" i="3" s="1"/>
  <c r="R22" i="3" a="1"/>
  <c r="R22" i="3" s="1"/>
  <c r="BB27" i="3" a="1"/>
  <c r="BB27" i="3" s="1"/>
  <c r="AE24" i="3" a="1"/>
  <c r="AE24" i="3" s="1"/>
  <c r="BB28" i="3" a="1"/>
  <c r="BB28" i="3" s="1"/>
  <c r="AQ29" i="3" s="1" a="1"/>
  <c r="AQ29" i="3" s="1"/>
  <c r="Y23" i="3" a="1"/>
  <c r="Y23" i="3" s="1"/>
  <c r="Y22" i="3" a="1"/>
  <c r="Y22" i="3" s="1"/>
  <c r="B17" i="3" a="1"/>
  <c r="B17" i="3" s="1"/>
  <c r="B18" i="3" a="1"/>
  <c r="B18" i="3" s="1"/>
  <c r="L23" i="3" a="1"/>
  <c r="L23" i="3" s="1"/>
  <c r="L22" i="3" a="1"/>
  <c r="L22" i="3" s="1"/>
  <c r="I23" i="3" a="1"/>
  <c r="I23" i="3" s="1"/>
  <c r="I22" i="3" a="1"/>
  <c r="I22" i="3" s="1"/>
  <c r="Q23" i="3" a="1"/>
  <c r="Q23" i="3" s="1"/>
  <c r="Q22" i="3" a="1"/>
  <c r="Q22" i="3" s="1"/>
  <c r="AB17" i="3" a="1"/>
  <c r="AB17" i="3" s="1"/>
  <c r="AB18" i="3" a="1"/>
  <c r="AB18" i="3" s="1"/>
  <c r="V19" i="3" s="1" a="1"/>
  <c r="V19" i="3" s="1"/>
  <c r="E23" i="3" a="1"/>
  <c r="E23" i="3" s="1"/>
  <c r="E22" i="3" a="1"/>
  <c r="E22" i="3" s="1"/>
  <c r="M23" i="3" a="1"/>
  <c r="M23" i="3" s="1"/>
  <c r="M22" i="3" a="1"/>
  <c r="M22" i="3" s="1"/>
  <c r="X23" i="3" a="1"/>
  <c r="X23" i="3" s="1"/>
  <c r="X22" i="3" a="1"/>
  <c r="X22" i="3" s="1"/>
  <c r="BC23" i="3" a="1"/>
  <c r="BC23" i="3" s="1"/>
  <c r="BC22" i="3" a="1"/>
  <c r="BC22" i="3" s="1"/>
  <c r="P22" i="3" a="1"/>
  <c r="P22" i="3" s="1"/>
  <c r="P23" i="3" a="1"/>
  <c r="P23" i="3" s="1"/>
  <c r="H18" i="3" a="1"/>
  <c r="H18" i="3" s="1"/>
  <c r="U19" i="3" s="1" a="1"/>
  <c r="U19" i="3" s="1"/>
  <c r="H17" i="3" a="1"/>
  <c r="H17" i="3" s="1"/>
  <c r="B22" i="3" a="1"/>
  <c r="B22" i="3" s="1"/>
  <c r="B23" i="3" a="1"/>
  <c r="B23" i="3" s="1"/>
  <c r="C18" i="3" a="1"/>
  <c r="C18" i="3" s="1"/>
  <c r="C17" i="3" a="1"/>
  <c r="C17" i="3" s="1"/>
  <c r="J23" i="3" a="1"/>
  <c r="J23" i="3" s="1"/>
  <c r="J22" i="3" a="1"/>
  <c r="J22" i="3" s="1"/>
  <c r="V22" i="3" a="1"/>
  <c r="V22" i="3" s="1"/>
  <c r="V23" i="3" a="1"/>
  <c r="V23" i="3" s="1"/>
  <c r="T23" i="3" a="1"/>
  <c r="T23" i="3" s="1"/>
  <c r="T22" i="3" a="1"/>
  <c r="T22" i="3" s="1"/>
  <c r="C23" i="3" a="1"/>
  <c r="C23" i="3" s="1"/>
  <c r="C22" i="3" a="1"/>
  <c r="C22" i="3" s="1"/>
  <c r="D22" i="3" a="1"/>
  <c r="D22" i="3" s="1"/>
  <c r="D23" i="3" a="1"/>
  <c r="D23" i="3" s="1"/>
  <c r="K23" i="3" a="1"/>
  <c r="K23" i="3" s="1"/>
  <c r="K22" i="3" a="1"/>
  <c r="K22" i="3" s="1"/>
  <c r="U23" i="3" a="1"/>
  <c r="U23" i="3" s="1"/>
  <c r="U22" i="3" a="1"/>
  <c r="U22" i="3" s="1"/>
  <c r="Y18" i="3" a="1"/>
  <c r="Y18" i="3" s="1"/>
  <c r="E19" i="3" s="1" a="1"/>
  <c r="E19" i="3" s="1"/>
  <c r="O23" i="3" a="1"/>
  <c r="O23" i="3" s="1"/>
  <c r="O22" i="3" a="1"/>
  <c r="O22" i="3" s="1"/>
  <c r="W23" i="3" a="1"/>
  <c r="W23" i="3" s="1"/>
  <c r="W22" i="3" a="1"/>
  <c r="W22" i="3" s="1"/>
  <c r="BA23" i="3" a="1"/>
  <c r="BA23" i="3" s="1"/>
  <c r="BA22" i="3" a="1"/>
  <c r="BA22" i="3" s="1"/>
  <c r="AI17" i="3" a="1"/>
  <c r="AI17" i="3" s="1"/>
  <c r="AI18" i="3" a="1"/>
  <c r="AI18" i="3" s="1"/>
  <c r="AP19" i="3" s="1" a="1"/>
  <c r="AP19" i="3" s="1"/>
  <c r="AO17" i="3" a="1"/>
  <c r="AO17" i="3" s="1"/>
  <c r="AO18" i="3" a="1"/>
  <c r="AO18" i="3" s="1"/>
  <c r="AG19" i="3" s="1" a="1"/>
  <c r="AG19" i="3" s="1"/>
  <c r="AG17" i="3" a="1"/>
  <c r="AG17" i="3" s="1"/>
  <c r="AG18" i="3" a="1"/>
  <c r="AG18" i="3" s="1"/>
  <c r="AW19" i="3" s="1" a="1"/>
  <c r="AW19" i="3" s="1"/>
  <c r="AS17" i="3" a="1"/>
  <c r="AS17" i="3" s="1"/>
  <c r="AS18" i="3" a="1"/>
  <c r="AS18" i="3" s="1"/>
  <c r="AL19" i="3" s="1" a="1"/>
  <c r="AL19" i="3" s="1"/>
  <c r="AK17" i="3" a="1"/>
  <c r="AK17" i="3" s="1"/>
  <c r="AK18" i="3" a="1"/>
  <c r="AK18" i="3" s="1"/>
  <c r="AU19" i="3" s="1" a="1"/>
  <c r="AU19" i="3" s="1"/>
  <c r="AW17" i="3" a="1"/>
  <c r="AW17" i="3" s="1"/>
  <c r="AW18" i="3" a="1"/>
  <c r="AW18" i="3" s="1"/>
  <c r="AK19" i="3" s="1" a="1"/>
  <c r="AK19" i="3" s="1"/>
  <c r="BB17" i="3" a="1"/>
  <c r="BB17" i="3" s="1"/>
  <c r="BB18" i="3" a="1"/>
  <c r="BB18" i="3" s="1"/>
  <c r="AQ19" i="3" s="1" a="1"/>
  <c r="AQ19" i="3" s="1"/>
  <c r="AN17" i="3" a="1"/>
  <c r="AN17" i="3" s="1"/>
  <c r="AN18" i="3" a="1"/>
  <c r="AN18" i="3" s="1"/>
  <c r="AN19" i="3" s="1" a="1"/>
  <c r="AN19" i="3" s="1"/>
  <c r="AF17" i="3" a="1"/>
  <c r="AF17" i="3" s="1"/>
  <c r="AF18" i="3" a="1"/>
  <c r="AF18" i="3" s="1"/>
  <c r="AB19" i="3" s="1" a="1"/>
  <c r="AB19" i="3" s="1"/>
  <c r="AP17" i="3" a="1"/>
  <c r="AP17" i="3" s="1"/>
  <c r="AP18" i="3" a="1"/>
  <c r="AP18" i="3" s="1"/>
  <c r="Z19" i="3" s="1" a="1"/>
  <c r="Z19" i="3" s="1"/>
  <c r="AH17" i="3" a="1"/>
  <c r="AH17" i="3" s="1"/>
  <c r="AH18" i="3" a="1"/>
  <c r="AH18" i="3" s="1"/>
  <c r="AJ19" i="3" s="1" a="1"/>
  <c r="AJ19" i="3" s="1"/>
  <c r="AV17" i="3" a="1"/>
  <c r="AV17" i="3" s="1"/>
  <c r="AV18" i="3" a="1"/>
  <c r="AV18" i="3" s="1"/>
  <c r="AD19" i="3" s="1" a="1"/>
  <c r="AD19" i="3" s="1"/>
  <c r="AY17" i="3" a="1"/>
  <c r="AY17" i="3" s="1"/>
  <c r="AY18" i="3" a="1"/>
  <c r="AY18" i="3" s="1"/>
  <c r="AT19" i="3" s="1" a="1"/>
  <c r="AT19" i="3" s="1"/>
  <c r="BD17" i="3" a="1"/>
  <c r="BD17" i="3" s="1"/>
  <c r="BD18" i="3" a="1"/>
  <c r="BD18" i="3" s="1"/>
  <c r="AE19" i="3" s="1" a="1"/>
  <c r="AE19" i="3" s="1"/>
  <c r="AJ17" i="3" a="1"/>
  <c r="AJ17" i="3" s="1"/>
  <c r="AJ18" i="3" a="1"/>
  <c r="AJ18" i="3" s="1"/>
  <c r="BA17" i="3" a="1"/>
  <c r="BA17" i="3" s="1"/>
  <c r="BA18" i="3" a="1"/>
  <c r="BA18" i="3" s="1"/>
  <c r="AA19" i="3" s="1" a="1"/>
  <c r="AA19" i="3" s="1"/>
  <c r="AT17" i="3" a="1"/>
  <c r="AT17" i="3" s="1"/>
  <c r="AT18" i="3" a="1"/>
  <c r="AT18" i="3" s="1"/>
  <c r="AI19" i="3" s="1" a="1"/>
  <c r="AI19" i="3" s="1"/>
  <c r="AU17" i="3" a="1"/>
  <c r="AU17" i="3" s="1"/>
  <c r="AU18" i="3" a="1"/>
  <c r="AU18" i="3" s="1"/>
  <c r="AR19" i="3" s="1" a="1"/>
  <c r="AR19" i="3" s="1"/>
  <c r="AM17" i="3" a="1"/>
  <c r="AM17" i="3" s="1"/>
  <c r="AM18" i="3" a="1"/>
  <c r="AM18" i="3" s="1"/>
  <c r="AD18" i="3" a="1"/>
  <c r="AD18" i="3" s="1"/>
  <c r="AV19" i="3" s="1" a="1"/>
  <c r="AV19" i="3" s="1"/>
  <c r="AZ17" i="3" a="1"/>
  <c r="AZ17" i="3" s="1"/>
  <c r="AZ18" i="3" a="1"/>
  <c r="AZ18" i="3" s="1"/>
  <c r="AH19" i="3" s="1" a="1"/>
  <c r="AH19" i="3" s="1"/>
  <c r="AL17" i="3" a="1"/>
  <c r="AL17" i="3" s="1"/>
  <c r="AL18" i="3" a="1"/>
  <c r="AL18" i="3" s="1"/>
  <c r="AC19" i="3" s="1" a="1"/>
  <c r="AC19" i="3" s="1"/>
  <c r="AX17" i="3" a="1"/>
  <c r="AX17" i="3" s="1"/>
  <c r="AX18" i="3" a="1"/>
  <c r="AX18" i="3" s="1"/>
  <c r="AM19" i="3" s="1" a="1"/>
  <c r="AM19" i="3" s="1"/>
  <c r="AR17" i="3" a="1"/>
  <c r="AR17" i="3" s="1"/>
  <c r="AR18" i="3" a="1"/>
  <c r="AR18" i="3" s="1"/>
  <c r="Y19" i="3" a="1"/>
  <c r="Y19" i="3" s="1"/>
  <c r="K18" i="3" a="1"/>
  <c r="K18" i="3" s="1"/>
  <c r="M19" i="3" s="1" a="1"/>
  <c r="M19" i="3" s="1"/>
  <c r="X18" i="3" a="1"/>
  <c r="X18" i="3" s="1"/>
  <c r="N19" i="3" s="1" a="1"/>
  <c r="N19" i="3" s="1"/>
  <c r="W18" i="3" a="1"/>
  <c r="W18" i="3" s="1"/>
  <c r="D18" i="3" a="1"/>
  <c r="D18" i="3" s="1"/>
  <c r="H19" i="3" s="1" a="1"/>
  <c r="H19" i="3" s="1"/>
  <c r="N18" i="3" a="1"/>
  <c r="N18" i="3" s="1"/>
  <c r="X19" i="3" s="1" a="1"/>
  <c r="X19" i="3" s="1"/>
  <c r="F18" i="3" a="1"/>
  <c r="F18" i="3" s="1"/>
  <c r="G19" i="3" s="1" a="1"/>
  <c r="G19" i="3" s="1"/>
  <c r="V18" i="3" a="1"/>
  <c r="V18" i="3" s="1"/>
  <c r="L19" i="3" s="1" a="1"/>
  <c r="L19" i="3" s="1"/>
  <c r="S18" i="3" a="1"/>
  <c r="S18" i="3" s="1"/>
  <c r="O18" i="3" a="1"/>
  <c r="O18" i="3" s="1"/>
  <c r="B19" i="3" s="1" a="1"/>
  <c r="B19" i="3" s="1"/>
  <c r="AA18" i="3" a="1"/>
  <c r="AA18" i="3" s="1"/>
  <c r="R19" i="3" s="1" a="1"/>
  <c r="R19" i="3" s="1"/>
  <c r="Q18" i="3" a="1"/>
  <c r="Q18" i="3" s="1"/>
  <c r="T19" i="3" s="1" a="1"/>
  <c r="T19" i="3" s="1"/>
  <c r="L18" i="3" a="1"/>
  <c r="L18" i="3" s="1"/>
  <c r="D19" i="3" s="1" a="1"/>
  <c r="D19" i="3" s="1"/>
  <c r="U18" i="3" a="1"/>
  <c r="U18" i="3" s="1"/>
  <c r="W19" i="3" s="1" a="1"/>
  <c r="W19" i="3" s="1"/>
  <c r="P18" i="3" a="1"/>
  <c r="P18" i="3" s="1"/>
  <c r="J19" i="3" s="1" a="1"/>
  <c r="J19" i="3" s="1"/>
  <c r="J18" i="3" a="1"/>
  <c r="J18" i="3" s="1"/>
  <c r="Z18" i="3" a="1"/>
  <c r="Z18" i="3" s="1"/>
  <c r="T18" i="3" a="1"/>
  <c r="T18" i="3" s="1"/>
  <c r="O19" i="3" s="1" a="1"/>
  <c r="O19" i="3" s="1"/>
  <c r="M18" i="3" a="1"/>
  <c r="M18" i="3" s="1"/>
  <c r="P19" i="3" s="1" a="1"/>
  <c r="P19" i="3" s="1"/>
  <c r="F19" i="3" a="1"/>
  <c r="F19" i="3" s="1"/>
  <c r="R18" i="3" a="1"/>
  <c r="R18" i="3" s="1"/>
  <c r="C19" i="3" s="1" a="1"/>
  <c r="C19" i="3" s="1"/>
  <c r="BB22" i="3" l="1" a="1"/>
  <c r="BB22" i="3" s="1"/>
  <c r="BB23" i="3" a="1"/>
  <c r="BB23" i="3" s="1"/>
  <c r="AL23" i="3" a="1"/>
  <c r="AL23" i="3" s="1"/>
  <c r="AL22" i="3" a="1"/>
  <c r="AL22" i="3" s="1"/>
  <c r="AM23" i="3" a="1"/>
  <c r="AM23" i="3" s="1"/>
  <c r="AM22" i="3" a="1"/>
  <c r="AM22" i="3" s="1"/>
  <c r="M24" i="3" a="1"/>
  <c r="M24" i="3" s="1"/>
  <c r="I28" i="3" a="1"/>
  <c r="I28" i="3" s="1"/>
  <c r="S29" i="3" s="1" a="1"/>
  <c r="S29" i="3" s="1"/>
  <c r="I27" i="3" a="1"/>
  <c r="I27" i="3" s="1"/>
  <c r="AC23" i="3" a="1"/>
  <c r="AC23" i="3" s="1"/>
  <c r="AC22" i="3" a="1"/>
  <c r="AC22" i="3" s="1"/>
  <c r="P24" i="3" a="1"/>
  <c r="P24" i="3" s="1"/>
  <c r="K28" i="3" a="1"/>
  <c r="K28" i="3" s="1"/>
  <c r="M29" i="3" s="1" a="1"/>
  <c r="M29" i="3" s="1"/>
  <c r="K27" i="3" a="1"/>
  <c r="K27" i="3" s="1"/>
  <c r="AA23" i="3" a="1"/>
  <c r="AA23" i="3" s="1"/>
  <c r="AA22" i="3" a="1"/>
  <c r="AA22" i="3" s="1"/>
  <c r="AX23" i="3" a="1"/>
  <c r="AX23" i="3" s="1"/>
  <c r="AX22" i="3" a="1"/>
  <c r="AX22" i="3" s="1"/>
  <c r="AB22" i="3" a="1"/>
  <c r="AB22" i="3" s="1"/>
  <c r="AB23" i="3" a="1"/>
  <c r="AB23" i="3" s="1"/>
  <c r="X24" i="3" a="1"/>
  <c r="X24" i="3" s="1"/>
  <c r="L27" i="3" a="1"/>
  <c r="L27" i="3" s="1"/>
  <c r="L28" i="3" a="1"/>
  <c r="L28" i="3" s="1"/>
  <c r="D29" i="3" s="1" a="1"/>
  <c r="D29" i="3" s="1"/>
  <c r="AK22" i="3" a="1"/>
  <c r="AK22" i="3" s="1"/>
  <c r="AK23" i="3" a="1"/>
  <c r="AK23" i="3" s="1"/>
  <c r="AW23" i="3" a="1"/>
  <c r="AW23" i="3" s="1"/>
  <c r="AW22" i="3" a="1"/>
  <c r="AW22" i="3" s="1"/>
  <c r="AZ22" i="3" a="1"/>
  <c r="AZ22" i="3" s="1"/>
  <c r="AZ23" i="3" a="1"/>
  <c r="AZ23" i="3" s="1"/>
  <c r="AG23" i="3" a="1"/>
  <c r="AG23" i="3" s="1"/>
  <c r="AG22" i="3" a="1"/>
  <c r="AG22" i="3" s="1"/>
  <c r="Q24" i="3" a="1"/>
  <c r="Q24" i="3" s="1"/>
  <c r="C27" i="3" a="1"/>
  <c r="C27" i="3" s="1"/>
  <c r="C28" i="3" a="1"/>
  <c r="C28" i="3" s="1"/>
  <c r="Y29" i="3" s="1" a="1"/>
  <c r="Y29" i="3" s="1"/>
  <c r="E24" i="3" a="1"/>
  <c r="E24" i="3" s="1"/>
  <c r="W28" i="3" a="1"/>
  <c r="W28" i="3" s="1"/>
  <c r="W27" i="3" a="1"/>
  <c r="W27" i="3" s="1"/>
  <c r="AA24" i="3" a="1"/>
  <c r="AA24" i="3" s="1"/>
  <c r="AY27" i="3" a="1"/>
  <c r="AY27" i="3" s="1"/>
  <c r="AY28" i="3" a="1"/>
  <c r="AY28" i="3" s="1"/>
  <c r="AT29" i="3" s="1" a="1"/>
  <c r="AT29" i="3" s="1"/>
  <c r="H24" i="3" a="1"/>
  <c r="H24" i="3" s="1"/>
  <c r="B27" i="3" a="1"/>
  <c r="B27" i="3" s="1"/>
  <c r="B28" i="3" a="1"/>
  <c r="B28" i="3" s="1"/>
  <c r="F29" i="3" s="1" a="1"/>
  <c r="F29" i="3" s="1"/>
  <c r="F24" i="3" a="1"/>
  <c r="F24" i="3" s="1"/>
  <c r="AB28" i="3" a="1"/>
  <c r="AB28" i="3" s="1"/>
  <c r="V29" i="3" s="1" a="1"/>
  <c r="V29" i="3" s="1"/>
  <c r="AB27" i="3" a="1"/>
  <c r="AB27" i="3" s="1"/>
  <c r="AS23" i="3" a="1"/>
  <c r="AS23" i="3" s="1"/>
  <c r="AS22" i="3" a="1"/>
  <c r="AS22" i="3" s="1"/>
  <c r="AT23" i="3" a="1"/>
  <c r="AT23" i="3" s="1"/>
  <c r="AT22" i="3" a="1"/>
  <c r="AT22" i="3" s="1"/>
  <c r="AU23" i="3" a="1"/>
  <c r="AU23" i="3" s="1"/>
  <c r="AU22" i="3" a="1"/>
  <c r="AU22" i="3" s="1"/>
  <c r="Y24" i="3" a="1"/>
  <c r="Y24" i="3" s="1"/>
  <c r="AC28" i="3" a="1"/>
  <c r="AC28" i="3" s="1"/>
  <c r="I29" i="3" s="1" a="1"/>
  <c r="I29" i="3" s="1"/>
  <c r="AC27" i="3" a="1"/>
  <c r="AC27" i="3" s="1"/>
  <c r="F22" i="3" a="1"/>
  <c r="F22" i="3" s="1"/>
  <c r="F23" i="3" a="1"/>
  <c r="F23" i="3" s="1"/>
  <c r="U24" i="3" a="1"/>
  <c r="U24" i="3" s="1"/>
  <c r="F27" i="3" a="1"/>
  <c r="F27" i="3" s="1"/>
  <c r="F28" i="3" a="1"/>
  <c r="F28" i="3" s="1"/>
  <c r="G29" i="3" s="1" a="1"/>
  <c r="G29" i="3" s="1"/>
  <c r="U27" i="3" a="1"/>
  <c r="U27" i="3" s="1"/>
  <c r="U28" i="3" a="1"/>
  <c r="U28" i="3" s="1"/>
  <c r="W29" i="3" s="1" a="1"/>
  <c r="W29" i="3" s="1"/>
  <c r="Z23" i="3" a="1"/>
  <c r="Z23" i="3" s="1"/>
  <c r="Z22" i="3" a="1"/>
  <c r="Z22" i="3" s="1"/>
  <c r="G23" i="3" a="1"/>
  <c r="G23" i="3" s="1"/>
  <c r="G22" i="3" a="1"/>
  <c r="G22" i="3" s="1"/>
  <c r="AP22" i="3" a="1"/>
  <c r="AP22" i="3" s="1"/>
  <c r="AP23" i="3" a="1"/>
  <c r="AP23" i="3" s="1"/>
  <c r="AR22" i="3" a="1"/>
  <c r="AR22" i="3" s="1"/>
  <c r="AR23" i="3" a="1"/>
  <c r="AR23" i="3" s="1"/>
  <c r="AF22" i="3" a="1"/>
  <c r="AF22" i="3" s="1"/>
  <c r="AF23" i="3" a="1"/>
  <c r="AF23" i="3" s="1"/>
  <c r="AI22" i="3" a="1"/>
  <c r="AI22" i="3" s="1"/>
  <c r="AI23" i="3" a="1"/>
  <c r="AI23" i="3" s="1"/>
  <c r="O24" i="3" a="1"/>
  <c r="O24" i="3" s="1"/>
  <c r="R27" i="3" a="1"/>
  <c r="R27" i="3" s="1"/>
  <c r="R28" i="3" a="1"/>
  <c r="R28" i="3" s="1"/>
  <c r="C29" i="3" s="1" a="1"/>
  <c r="C29" i="3" s="1"/>
  <c r="T24" i="3" a="1"/>
  <c r="T24" i="3" s="1"/>
  <c r="O28" i="3" a="1"/>
  <c r="O28" i="3" s="1"/>
  <c r="B29" i="3" s="1" a="1"/>
  <c r="B29" i="3" s="1"/>
  <c r="O27" i="3" a="1"/>
  <c r="O27" i="3" s="1"/>
  <c r="AZ32" i="3" a="1"/>
  <c r="AZ32" i="3" s="1"/>
  <c r="AZ34" i="3" a="1"/>
  <c r="AZ34" i="3" s="1"/>
  <c r="M28" i="3" a="1"/>
  <c r="M28" i="3" s="1"/>
  <c r="P29" i="3" s="1" a="1"/>
  <c r="P29" i="3" s="1"/>
  <c r="M27" i="3" a="1"/>
  <c r="M27" i="3" s="1"/>
  <c r="J24" i="3" a="1"/>
  <c r="J24" i="3" s="1"/>
  <c r="N27" i="3" a="1"/>
  <c r="N27" i="3" s="1"/>
  <c r="N28" i="3" a="1"/>
  <c r="N28" i="3" s="1"/>
  <c r="X29" i="3" s="1" a="1"/>
  <c r="X29" i="3" s="1"/>
  <c r="C24" i="3" a="1"/>
  <c r="C24" i="3" s="1"/>
  <c r="P27" i="3" a="1"/>
  <c r="P27" i="3" s="1"/>
  <c r="P28" i="3" a="1"/>
  <c r="P28" i="3" s="1"/>
  <c r="J29" i="3" s="1" a="1"/>
  <c r="J29" i="3" s="1"/>
  <c r="AG24" i="3" a="1"/>
  <c r="AG24" i="3" s="1"/>
  <c r="AM28" i="3" a="1"/>
  <c r="AM28" i="3" s="1"/>
  <c r="AM27" i="3" a="1"/>
  <c r="AM27" i="3" s="1"/>
  <c r="AV23" i="3" a="1"/>
  <c r="AV23" i="3" s="1"/>
  <c r="AV22" i="3" a="1"/>
  <c r="AV22" i="3" s="1"/>
  <c r="AY23" i="3" a="1"/>
  <c r="AY23" i="3" s="1"/>
  <c r="AY22" i="3" a="1"/>
  <c r="AY22" i="3" s="1"/>
  <c r="AN22" i="3" a="1"/>
  <c r="AN22" i="3" s="1"/>
  <c r="AN23" i="3" a="1"/>
  <c r="AN23" i="3" s="1"/>
  <c r="AQ23" i="3" a="1"/>
  <c r="AQ23" i="3" s="1"/>
  <c r="AQ22" i="3" a="1"/>
  <c r="AQ22" i="3" s="1"/>
  <c r="BA28" i="3" a="1"/>
  <c r="BA28" i="3" s="1"/>
  <c r="AA29" i="3" s="1" a="1"/>
  <c r="AA29" i="3" s="1"/>
  <c r="BA27" i="3" a="1"/>
  <c r="BA27" i="3" s="1"/>
  <c r="S24" i="3" a="1"/>
  <c r="S24" i="3" s="1"/>
  <c r="G28" i="3" a="1"/>
  <c r="G28" i="3" s="1"/>
  <c r="K29" i="3" s="1" a="1"/>
  <c r="K29" i="3" s="1"/>
  <c r="G27" i="3" a="1"/>
  <c r="G27" i="3" s="1"/>
  <c r="AJ23" i="3" a="1"/>
  <c r="AJ23" i="3" s="1"/>
  <c r="AJ22" i="3" a="1"/>
  <c r="AJ22" i="3" s="1"/>
  <c r="L24" i="3" a="1"/>
  <c r="L24" i="3" s="1"/>
  <c r="T27" i="3" a="1"/>
  <c r="T27" i="3" s="1"/>
  <c r="T28" i="3" a="1"/>
  <c r="T28" i="3" s="1"/>
  <c r="O29" i="3" s="1" a="1"/>
  <c r="O29" i="3" s="1"/>
  <c r="Q28" i="3" a="1"/>
  <c r="Q28" i="3" s="1"/>
  <c r="T29" i="3" s="1" a="1"/>
  <c r="T29" i="3" s="1"/>
  <c r="Q27" i="3" a="1"/>
  <c r="Q27" i="3" s="1"/>
  <c r="AO24" i="3" a="1"/>
  <c r="AO24" i="3" s="1"/>
  <c r="BC28" i="3" a="1"/>
  <c r="BC28" i="3" s="1"/>
  <c r="BC27" i="3" a="1"/>
  <c r="BC27" i="3" s="1"/>
  <c r="AH22" i="3" a="1"/>
  <c r="AH22" i="3" s="1"/>
  <c r="AH23" i="3" a="1"/>
  <c r="AH23" i="3" s="1"/>
  <c r="AD22" i="3" a="1"/>
  <c r="AD22" i="3" s="1"/>
  <c r="AD23" i="3" a="1"/>
  <c r="AD23" i="3" s="1"/>
  <c r="AE23" i="3" a="1"/>
  <c r="AE23" i="3" s="1"/>
  <c r="AE22" i="3" a="1"/>
  <c r="AE22" i="3" s="1"/>
  <c r="W24" i="3" a="1"/>
  <c r="W24" i="3" s="1"/>
  <c r="S28" i="3" a="1"/>
  <c r="S28" i="3" s="1"/>
  <c r="S27" i="3" a="1"/>
  <c r="S27" i="3" s="1"/>
  <c r="H28" i="3" a="1"/>
  <c r="H28" i="3" s="1"/>
  <c r="U29" i="3" s="1" a="1"/>
  <c r="U29" i="3" s="1"/>
  <c r="H27" i="3" a="1"/>
  <c r="H27" i="3" s="1"/>
  <c r="N24" i="3" a="1"/>
  <c r="N24" i="3" s="1"/>
  <c r="V28" i="3" a="1"/>
  <c r="V28" i="3" s="1"/>
  <c r="L29" i="3" s="1" a="1"/>
  <c r="L29" i="3" s="1"/>
  <c r="V27" i="3" a="1"/>
  <c r="V27" i="3" s="1"/>
  <c r="D24" i="3" a="1"/>
  <c r="D24" i="3" s="1"/>
  <c r="J27" i="3" a="1"/>
  <c r="J27" i="3" s="1"/>
  <c r="J28" i="3" a="1"/>
  <c r="J28" i="3" s="1"/>
  <c r="AT28" i="3" l="1" a="1"/>
  <c r="AT28" i="3" s="1"/>
  <c r="AI29" i="3" s="1" a="1"/>
  <c r="AI29" i="3" s="1"/>
  <c r="AT27" i="3" a="1"/>
  <c r="AT27" i="3" s="1"/>
  <c r="AD24" i="3" a="1"/>
  <c r="AD24" i="3" s="1"/>
  <c r="AB24" i="3" a="1"/>
  <c r="AB24" i="3" s="1"/>
  <c r="AD27" i="3" a="1"/>
  <c r="AD27" i="3" s="1"/>
  <c r="AD28" i="3" a="1"/>
  <c r="AD28" i="3" s="1"/>
  <c r="AV29" i="3" s="1" a="1"/>
  <c r="AV29" i="3" s="1"/>
  <c r="D34" i="3" a="1"/>
  <c r="D34" i="3" s="1"/>
  <c r="D32" i="3" a="1"/>
  <c r="D32" i="3" s="1"/>
  <c r="I24" i="3" a="1"/>
  <c r="I24" i="3" s="1"/>
  <c r="AA28" i="3" a="1"/>
  <c r="AA28" i="3" s="1"/>
  <c r="R29" i="3" s="1" a="1"/>
  <c r="R29" i="3" s="1"/>
  <c r="AA27" i="3" a="1"/>
  <c r="AA27" i="3" s="1"/>
  <c r="H32" i="3" a="1"/>
  <c r="H32" i="3" s="1"/>
  <c r="H34" i="3" a="1"/>
  <c r="H34" i="3" s="1"/>
  <c r="T32" i="3" a="1"/>
  <c r="T32" i="3" s="1"/>
  <c r="T34" i="3" a="1"/>
  <c r="T34" i="3" s="1"/>
  <c r="Z32" i="3" a="1"/>
  <c r="Z32" i="3" s="1"/>
  <c r="Z34" i="3" a="1"/>
  <c r="Z34" i="3" s="1"/>
  <c r="J34" i="3" a="1"/>
  <c r="J34" i="3" s="1"/>
  <c r="J32" i="3" a="1"/>
  <c r="J32" i="3" s="1"/>
  <c r="AH35" i="3" a="1"/>
  <c r="AH35" i="3" s="1"/>
  <c r="AX39" i="3" a="1"/>
  <c r="AX39" i="3" s="1"/>
  <c r="AX38" i="3" a="1"/>
  <c r="AX38" i="3" s="1"/>
  <c r="AC32" i="3" a="1"/>
  <c r="AC32" i="3" s="1"/>
  <c r="AC34" i="3" a="1"/>
  <c r="AC34" i="3" s="1"/>
  <c r="G32" i="3" a="1"/>
  <c r="G32" i="3" s="1"/>
  <c r="G34" i="3" a="1"/>
  <c r="G34" i="3" s="1"/>
  <c r="E32" i="3" a="1"/>
  <c r="E32" i="3" s="1"/>
  <c r="E34" i="3" a="1"/>
  <c r="E34" i="3" s="1"/>
  <c r="M34" i="3" a="1"/>
  <c r="M34" i="3" s="1"/>
  <c r="M32" i="3" a="1"/>
  <c r="M32" i="3" s="1"/>
  <c r="G24" i="3" a="1"/>
  <c r="G24" i="3" s="1"/>
  <c r="D27" i="3" a="1"/>
  <c r="D27" i="3" s="1"/>
  <c r="D28" i="3" a="1"/>
  <c r="D28" i="3" s="1"/>
  <c r="H29" i="3" s="1" a="1"/>
  <c r="H29" i="3" s="1"/>
  <c r="AV24" i="3" a="1"/>
  <c r="AV24" i="3" s="1"/>
  <c r="BD27" i="3" a="1"/>
  <c r="BD27" i="3" s="1"/>
  <c r="BD28" i="3" a="1"/>
  <c r="BD28" i="3" s="1"/>
  <c r="AE29" i="3" s="1" a="1"/>
  <c r="AE29" i="3" s="1"/>
  <c r="AK34" i="3" a="1"/>
  <c r="AK34" i="3" s="1"/>
  <c r="AK32" i="3" a="1"/>
  <c r="AK32" i="3" s="1"/>
  <c r="Z24" i="3" a="1"/>
  <c r="Z24" i="3" s="1"/>
  <c r="AN27" i="3" a="1"/>
  <c r="AN27" i="3" s="1"/>
  <c r="AN28" i="3" a="1"/>
  <c r="AN28" i="3" s="1"/>
  <c r="AN29" i="3" s="1" a="1"/>
  <c r="AN29" i="3" s="1"/>
  <c r="AA34" i="3" a="1"/>
  <c r="AA34" i="3" s="1"/>
  <c r="AA32" i="3" a="1"/>
  <c r="AA32" i="3" s="1"/>
  <c r="AW24" i="3" a="1"/>
  <c r="AW24" i="3" s="1"/>
  <c r="AE27" i="3" a="1"/>
  <c r="AE27" i="3" s="1"/>
  <c r="AE28" i="3" a="1"/>
  <c r="AE28" i="3" s="1"/>
  <c r="AF29" i="3" s="1" a="1"/>
  <c r="AF29" i="3" s="1"/>
  <c r="V24" i="3" a="1"/>
  <c r="V24" i="3" s="1"/>
  <c r="Z27" i="3" a="1"/>
  <c r="Z27" i="3" s="1"/>
  <c r="Z28" i="3" a="1"/>
  <c r="Z28" i="3" s="1"/>
  <c r="AU24" i="3" a="1"/>
  <c r="AU24" i="3" s="1"/>
  <c r="AI28" i="3" a="1"/>
  <c r="AI28" i="3" s="1"/>
  <c r="AP29" i="3" s="1" a="1"/>
  <c r="AP29" i="3" s="1"/>
  <c r="AI27" i="3" a="1"/>
  <c r="AI27" i="3" s="1"/>
  <c r="K24" i="3" a="1"/>
  <c r="K24" i="3" s="1"/>
  <c r="E28" i="3" a="1"/>
  <c r="E28" i="3" s="1"/>
  <c r="Q29" i="3" s="1" a="1"/>
  <c r="Q29" i="3" s="1"/>
  <c r="E27" i="3" a="1"/>
  <c r="E27" i="3" s="1"/>
  <c r="AB32" i="3" a="1"/>
  <c r="AB32" i="3" s="1"/>
  <c r="AB34" i="3" a="1"/>
  <c r="AB34" i="3" s="1"/>
  <c r="AM24" i="3" a="1"/>
  <c r="AM24" i="3" s="1"/>
  <c r="AV28" i="3" a="1"/>
  <c r="AV28" i="3" s="1"/>
  <c r="AD29" i="3" s="1" a="1"/>
  <c r="AD29" i="3" s="1"/>
  <c r="AV27" i="3" a="1"/>
  <c r="AV27" i="3" s="1"/>
  <c r="AK28" i="3" a="1"/>
  <c r="AK28" i="3" s="1"/>
  <c r="AU29" i="3" s="1" a="1"/>
  <c r="AU29" i="3" s="1"/>
  <c r="AK27" i="3" a="1"/>
  <c r="AK27" i="3" s="1"/>
  <c r="BA32" i="3" a="1"/>
  <c r="BA32" i="3" s="1"/>
  <c r="BA34" i="3" a="1"/>
  <c r="BA34" i="3" s="1"/>
  <c r="K34" i="3" a="1"/>
  <c r="K34" i="3" s="1"/>
  <c r="K32" i="3" a="1"/>
  <c r="K32" i="3" s="1"/>
  <c r="N32" i="3" a="1"/>
  <c r="N32" i="3" s="1"/>
  <c r="N34" i="3" a="1"/>
  <c r="N34" i="3" s="1"/>
  <c r="P34" i="3" a="1"/>
  <c r="P34" i="3" s="1"/>
  <c r="P32" i="3" a="1"/>
  <c r="P32" i="3" s="1"/>
  <c r="X27" i="3" a="1"/>
  <c r="X27" i="3" s="1"/>
  <c r="X28" i="3" a="1"/>
  <c r="X28" i="3" s="1"/>
  <c r="N29" i="3" s="1" a="1"/>
  <c r="N29" i="3" s="1"/>
  <c r="AR24" i="3" a="1"/>
  <c r="AR24" i="3" s="1"/>
  <c r="AS28" i="3" a="1"/>
  <c r="AS28" i="3" s="1"/>
  <c r="AL29" i="3" s="1" a="1"/>
  <c r="AL29" i="3" s="1"/>
  <c r="AS27" i="3" a="1"/>
  <c r="AS27" i="3" s="1"/>
  <c r="AH24" i="3" a="1"/>
  <c r="AH24" i="3" s="1"/>
  <c r="AX27" i="3" a="1"/>
  <c r="AX27" i="3" s="1"/>
  <c r="AX28" i="3" a="1"/>
  <c r="AX28" i="3" s="1"/>
  <c r="AM29" i="3" s="1" a="1"/>
  <c r="AM29" i="3" s="1"/>
  <c r="R24" i="3" a="1"/>
  <c r="R24" i="3" s="1"/>
  <c r="Y28" i="3" a="1"/>
  <c r="Y28" i="3" s="1"/>
  <c r="E29" i="3" s="1" a="1"/>
  <c r="E29" i="3" s="1"/>
  <c r="Y27" i="3" a="1"/>
  <c r="Y27" i="3" s="1"/>
  <c r="AC24" i="3" a="1"/>
  <c r="AC24" i="3" s="1"/>
  <c r="AJ27" i="3" a="1"/>
  <c r="AJ27" i="3" s="1"/>
  <c r="AJ28" i="3" a="1"/>
  <c r="AJ28" i="3" s="1"/>
  <c r="AP27" i="3" a="1"/>
  <c r="AP27" i="3" s="1"/>
  <c r="AP28" i="3" a="1"/>
  <c r="AP28" i="3" s="1"/>
  <c r="Z29" i="3" s="1" a="1"/>
  <c r="Z29" i="3" s="1"/>
  <c r="F32" i="3" a="1"/>
  <c r="F32" i="3" s="1"/>
  <c r="F34" i="3" a="1"/>
  <c r="F34" i="3" s="1"/>
  <c r="O34" i="3" a="1"/>
  <c r="O34" i="3" s="1"/>
  <c r="O32" i="3" a="1"/>
  <c r="O32" i="3" s="1"/>
  <c r="AW32" i="3" a="1"/>
  <c r="AW32" i="3" s="1"/>
  <c r="AW34" i="3" a="1"/>
  <c r="AW34" i="3" s="1"/>
  <c r="AK24" i="3" a="1"/>
  <c r="AK24" i="3" s="1"/>
  <c r="AU28" i="3" a="1"/>
  <c r="AU28" i="3" s="1"/>
  <c r="AR29" i="3" s="1" a="1"/>
  <c r="AR29" i="3" s="1"/>
  <c r="AU27" i="3" a="1"/>
  <c r="AU27" i="3" s="1"/>
  <c r="AL24" i="3" a="1"/>
  <c r="AL24" i="3" s="1"/>
  <c r="AQ28" i="3" a="1"/>
  <c r="AQ28" i="3" s="1"/>
  <c r="AS29" i="3" s="1" a="1"/>
  <c r="AS29" i="3" s="1"/>
  <c r="AQ27" i="3" a="1"/>
  <c r="AQ27" i="3" s="1"/>
  <c r="AY32" i="3" a="1"/>
  <c r="AY32" i="3" s="1"/>
  <c r="AY34" i="3" a="1"/>
  <c r="AY34" i="3" s="1"/>
  <c r="AS24" i="3" a="1"/>
  <c r="AS24" i="3" s="1"/>
  <c r="AO28" i="3" a="1"/>
  <c r="AO28" i="3" s="1"/>
  <c r="AG29" i="3" s="1" a="1"/>
  <c r="AG29" i="3" s="1"/>
  <c r="AO27" i="3" a="1"/>
  <c r="AO27" i="3" s="1"/>
  <c r="AF24" i="3" a="1"/>
  <c r="AF24" i="3" s="1"/>
  <c r="BE28" i="3" a="1"/>
  <c r="BE28" i="3" s="1"/>
  <c r="AO29" i="3" s="1" a="1"/>
  <c r="AO29" i="3" s="1"/>
  <c r="BE27" i="3" a="1"/>
  <c r="BE27" i="3" s="1"/>
  <c r="R32" i="3" a="1"/>
  <c r="R32" i="3" s="1"/>
  <c r="R34" i="3" a="1"/>
  <c r="R34" i="3" s="1"/>
  <c r="AN24" i="3" a="1"/>
  <c r="AN24" i="3" s="1"/>
  <c r="AL27" i="3" a="1"/>
  <c r="AL27" i="3" s="1"/>
  <c r="AL28" i="3" a="1"/>
  <c r="AL28" i="3" s="1"/>
  <c r="AC29" i="3" s="1" a="1"/>
  <c r="AC29" i="3" s="1"/>
  <c r="L34" i="3" a="1"/>
  <c r="L34" i="3" s="1"/>
  <c r="L32" i="3" a="1"/>
  <c r="L32" i="3" s="1"/>
  <c r="AI24" i="3" a="1"/>
  <c r="AI24" i="3" s="1"/>
  <c r="AR27" i="3" a="1"/>
  <c r="AR27" i="3" s="1"/>
  <c r="AR28" i="3" a="1"/>
  <c r="AR28" i="3" s="1"/>
  <c r="I32" i="3" a="1"/>
  <c r="I32" i="3" s="1"/>
  <c r="I34" i="3" a="1"/>
  <c r="I34" i="3" s="1"/>
  <c r="AH27" i="3" a="1"/>
  <c r="AH27" i="3" s="1"/>
  <c r="AH28" i="3" a="1"/>
  <c r="AH28" i="3" s="1"/>
  <c r="AJ29" i="3" s="1" a="1"/>
  <c r="AJ29" i="3" s="1"/>
  <c r="AJ24" i="3" a="1"/>
  <c r="AJ24" i="3" s="1"/>
  <c r="AF27" i="3" a="1"/>
  <c r="AF27" i="3" s="1"/>
  <c r="AF28" i="3" a="1"/>
  <c r="AF28" i="3" s="1"/>
  <c r="AB29" i="3" s="1" a="1"/>
  <c r="AB29" i="3" s="1"/>
  <c r="Q32" i="3" a="1"/>
  <c r="Q32" i="3" s="1"/>
  <c r="Q34" i="3" a="1"/>
  <c r="Q34" i="3" s="1"/>
  <c r="AT24" i="3" a="1"/>
  <c r="AT24" i="3" s="1"/>
  <c r="AW27" i="3" a="1"/>
  <c r="AW27" i="3" s="1"/>
  <c r="AW28" i="3" a="1"/>
  <c r="AW28" i="3" s="1"/>
  <c r="AK29" i="3" s="1" a="1"/>
  <c r="AK29" i="3" s="1"/>
  <c r="AP24" i="3" a="1"/>
  <c r="AP24" i="3" s="1"/>
  <c r="AG27" i="3" a="1"/>
  <c r="AG27" i="3" s="1"/>
  <c r="AG28" i="3" a="1"/>
  <c r="AG28" i="3" s="1"/>
  <c r="AW29" i="3" s="1" a="1"/>
  <c r="AW29" i="3" s="1"/>
  <c r="S32" i="3" a="1"/>
  <c r="S32" i="3" s="1"/>
  <c r="S34" i="3" a="1"/>
  <c r="S34" i="3" s="1"/>
  <c r="U34" i="3" a="1"/>
  <c r="U34" i="3" s="1"/>
  <c r="U32" i="3" a="1"/>
  <c r="U32" i="3" s="1"/>
  <c r="AQ24" i="3" a="1"/>
  <c r="AQ24" i="3" s="1"/>
  <c r="AZ28" i="3" a="1"/>
  <c r="AZ28" i="3" s="1"/>
  <c r="AH29" i="3" s="1" a="1"/>
  <c r="AH29" i="3" s="1"/>
  <c r="AZ27" i="3" a="1"/>
  <c r="AZ27" i="3" s="1"/>
  <c r="AF32" i="3" l="1" a="1"/>
  <c r="AF32" i="3" s="1"/>
  <c r="AF34" i="3" a="1"/>
  <c r="AF34" i="3" s="1"/>
  <c r="P39" i="3" a="1"/>
  <c r="P39" i="3" s="1"/>
  <c r="P38" i="3" a="1"/>
  <c r="P38" i="3" s="1"/>
  <c r="C35" i="3" a="1"/>
  <c r="C35" i="3" s="1"/>
  <c r="AS34" i="3" a="1"/>
  <c r="AS34" i="3" s="1"/>
  <c r="AS32" i="3" a="1"/>
  <c r="AS32" i="3" s="1"/>
  <c r="AH34" i="3" a="1"/>
  <c r="AH34" i="3" s="1"/>
  <c r="AH32" i="3" a="1"/>
  <c r="AH32" i="3" s="1"/>
  <c r="V34" i="3" a="1"/>
  <c r="V34" i="3" s="1"/>
  <c r="V32" i="3" a="1"/>
  <c r="V32" i="3" s="1"/>
  <c r="BB32" i="3" a="1"/>
  <c r="BB32" i="3" s="1"/>
  <c r="BB34" i="3" a="1"/>
  <c r="BB34" i="3" s="1"/>
  <c r="AA39" i="3" a="1"/>
  <c r="AA39" i="3" s="1"/>
  <c r="AA38" i="3" a="1"/>
  <c r="AA38" i="3" s="1"/>
  <c r="I35" i="3" a="1"/>
  <c r="I35" i="3" s="1"/>
  <c r="Y34" i="3" a="1"/>
  <c r="Y34" i="3" s="1"/>
  <c r="Y32" i="3" a="1"/>
  <c r="Y32" i="3" s="1"/>
  <c r="BC34" i="3" a="1"/>
  <c r="BC34" i="3" s="1"/>
  <c r="BC32" i="3" a="1"/>
  <c r="BC32" i="3" s="1"/>
  <c r="AM40" i="3" a="1"/>
  <c r="AM40" i="3" s="1"/>
  <c r="AV43" i="3" a="1"/>
  <c r="AV43" i="3" s="1"/>
  <c r="AV44" i="3" a="1"/>
  <c r="AV44" i="3" s="1"/>
  <c r="S35" i="3" a="1"/>
  <c r="S35" i="3" s="1"/>
  <c r="G38" i="3" a="1"/>
  <c r="G38" i="3" s="1"/>
  <c r="G39" i="3" a="1"/>
  <c r="G39" i="3" s="1"/>
  <c r="W34" i="3" a="1"/>
  <c r="W34" i="3" s="1"/>
  <c r="W32" i="3" a="1"/>
  <c r="W32" i="3" s="1"/>
  <c r="BE34" i="3" a="1"/>
  <c r="BE34" i="3" s="1"/>
  <c r="BE32" i="3" a="1"/>
  <c r="BE32" i="3" s="1"/>
  <c r="V35" i="3" a="1"/>
  <c r="V35" i="3" s="1"/>
  <c r="Z39" i="3" a="1"/>
  <c r="Z39" i="3" s="1"/>
  <c r="Z38" i="3" a="1"/>
  <c r="Z38" i="3" s="1"/>
  <c r="B34" i="3" a="1"/>
  <c r="B34" i="3" s="1"/>
  <c r="B32" i="3" a="1"/>
  <c r="B32" i="3" s="1"/>
  <c r="H35" i="3" a="1"/>
  <c r="H35" i="3" s="1"/>
  <c r="B39" i="3" a="1"/>
  <c r="B39" i="3" s="1"/>
  <c r="B38" i="3" a="1"/>
  <c r="B38" i="3" s="1"/>
  <c r="U35" i="3" a="1"/>
  <c r="U35" i="3" s="1"/>
  <c r="F38" i="3" a="1"/>
  <c r="F38" i="3" s="1"/>
  <c r="F39" i="3" a="1"/>
  <c r="F39" i="3" s="1"/>
  <c r="AP32" i="3" a="1"/>
  <c r="AP32" i="3" s="1"/>
  <c r="AP34" i="3" a="1"/>
  <c r="AP34" i="3" s="1"/>
  <c r="AM32" i="3" a="1"/>
  <c r="AM32" i="3" s="1"/>
  <c r="AM34" i="3" a="1"/>
  <c r="AM34" i="3" s="1"/>
  <c r="AK35" i="3" a="1"/>
  <c r="AK35" i="3" s="1"/>
  <c r="AU39" i="3" a="1"/>
  <c r="AU39" i="3" s="1"/>
  <c r="AU38" i="3" a="1"/>
  <c r="AU38" i="3" s="1"/>
  <c r="X35" i="3" a="1"/>
  <c r="X35" i="3" s="1"/>
  <c r="L38" i="3" a="1"/>
  <c r="L38" i="3" s="1"/>
  <c r="L39" i="3" a="1"/>
  <c r="L39" i="3" s="1"/>
  <c r="C32" i="3" a="1"/>
  <c r="C32" i="3" s="1"/>
  <c r="C34" i="3" a="1"/>
  <c r="C34" i="3" s="1"/>
  <c r="R35" i="3" a="1"/>
  <c r="R35" i="3" s="1"/>
  <c r="Y39" i="3" a="1"/>
  <c r="Y39" i="3" s="1"/>
  <c r="Y38" i="3" a="1"/>
  <c r="Y38" i="3" s="1"/>
  <c r="H39" i="3" a="1"/>
  <c r="H39" i="3" s="1"/>
  <c r="H38" i="3" a="1"/>
  <c r="H38" i="3" s="1"/>
  <c r="AT34" i="3" a="1"/>
  <c r="AT34" i="3" s="1"/>
  <c r="AT32" i="3" a="1"/>
  <c r="AT32" i="3" s="1"/>
  <c r="J35" i="3" a="1"/>
  <c r="J35" i="3" s="1"/>
  <c r="N39" i="3" a="1"/>
  <c r="N39" i="3" s="1"/>
  <c r="N38" i="3" a="1"/>
  <c r="N38" i="3" s="1"/>
  <c r="M35" i="3" a="1"/>
  <c r="M35" i="3" s="1"/>
  <c r="I39" i="3" a="1"/>
  <c r="I39" i="3" s="1"/>
  <c r="I38" i="3" a="1"/>
  <c r="I38" i="3" s="1"/>
  <c r="P35" i="3" a="1"/>
  <c r="P35" i="3" s="1"/>
  <c r="K38" i="3" a="1"/>
  <c r="K38" i="3" s="1"/>
  <c r="K39" i="3" a="1"/>
  <c r="K39" i="3" s="1"/>
  <c r="AE32" i="3" a="1"/>
  <c r="AE32" i="3" s="1"/>
  <c r="AE34" i="3" a="1"/>
  <c r="AE34" i="3" s="1"/>
  <c r="AX34" i="3" a="1"/>
  <c r="AX34" i="3" s="1"/>
  <c r="AX32" i="3" a="1"/>
  <c r="AX32" i="3" s="1"/>
  <c r="D35" i="3" a="1"/>
  <c r="D35" i="3" s="1"/>
  <c r="J39" i="3" a="1"/>
  <c r="J39" i="3" s="1"/>
  <c r="J38" i="3" a="1"/>
  <c r="J38" i="3" s="1"/>
  <c r="AV34" i="3" a="1"/>
  <c r="AV34" i="3" s="1"/>
  <c r="AV32" i="3" a="1"/>
  <c r="AV32" i="3" s="1"/>
  <c r="BD34" i="3" a="1"/>
  <c r="BD34" i="3" s="1"/>
  <c r="BD32" i="3" a="1"/>
  <c r="BD32" i="3" s="1"/>
  <c r="AU34" i="3" a="1"/>
  <c r="AU34" i="3" s="1"/>
  <c r="AU32" i="3" a="1"/>
  <c r="AU32" i="3" s="1"/>
  <c r="M38" i="3" a="1"/>
  <c r="M38" i="3" s="1"/>
  <c r="M39" i="3" a="1"/>
  <c r="M39" i="3" s="1"/>
  <c r="B35" i="3" a="1"/>
  <c r="B35" i="3" s="1"/>
  <c r="T35" i="3" a="1"/>
  <c r="T35" i="3" s="1"/>
  <c r="O39" i="3" a="1"/>
  <c r="O39" i="3" s="1"/>
  <c r="O38" i="3" a="1"/>
  <c r="O38" i="3" s="1"/>
  <c r="AG34" i="3" a="1"/>
  <c r="AG34" i="3" s="1"/>
  <c r="AG32" i="3" a="1"/>
  <c r="AG32" i="3" s="1"/>
  <c r="AL34" i="3" a="1"/>
  <c r="AL34" i="3" s="1"/>
  <c r="AL32" i="3" a="1"/>
  <c r="AL32" i="3" s="1"/>
  <c r="X38" i="3" a="1"/>
  <c r="X38" i="3" s="1"/>
  <c r="X39" i="3" a="1"/>
  <c r="X39" i="3" s="1"/>
  <c r="W35" i="3" a="1"/>
  <c r="W35" i="3" s="1"/>
  <c r="S38" i="3" a="1"/>
  <c r="S38" i="3" s="1"/>
  <c r="S39" i="3" a="1"/>
  <c r="S39" i="3" s="1"/>
  <c r="AT35" i="3" a="1"/>
  <c r="AT35" i="3" s="1"/>
  <c r="AW39" i="3" a="1"/>
  <c r="AW39" i="3" s="1"/>
  <c r="AW38" i="3" a="1"/>
  <c r="AW38" i="3" s="1"/>
  <c r="G35" i="3" a="1"/>
  <c r="G35" i="3" s="1"/>
  <c r="D39" i="3" a="1"/>
  <c r="D39" i="3" s="1"/>
  <c r="D38" i="3" a="1"/>
  <c r="D38" i="3" s="1"/>
  <c r="AQ32" i="3" a="1"/>
  <c r="AQ32" i="3" s="1"/>
  <c r="AQ34" i="3" a="1"/>
  <c r="AQ34" i="3" s="1"/>
  <c r="AA35" i="3" a="1"/>
  <c r="AA35" i="3" s="1"/>
  <c r="AY39" i="3" a="1"/>
  <c r="AY39" i="3" s="1"/>
  <c r="AY38" i="3" a="1"/>
  <c r="AY38" i="3" s="1"/>
  <c r="Q35" i="3" a="1"/>
  <c r="Q35" i="3" s="1"/>
  <c r="C39" i="3" a="1"/>
  <c r="C39" i="3" s="1"/>
  <c r="C38" i="3" a="1"/>
  <c r="C38" i="3" s="1"/>
  <c r="Q38" i="3" a="1"/>
  <c r="Q38" i="3" s="1"/>
  <c r="Q39" i="3" a="1"/>
  <c r="Q39" i="3" s="1"/>
  <c r="X34" i="3" a="1"/>
  <c r="X34" i="3" s="1"/>
  <c r="X32" i="3" a="1"/>
  <c r="X32" i="3" s="1"/>
  <c r="AD32" i="3" a="1"/>
  <c r="AD32" i="3" s="1"/>
  <c r="AD34" i="3" a="1"/>
  <c r="AD34" i="3" s="1"/>
  <c r="AJ34" i="3" a="1"/>
  <c r="AJ34" i="3" s="1"/>
  <c r="AJ32" i="3" a="1"/>
  <c r="AJ32" i="3" s="1"/>
  <c r="AO32" i="3" a="1"/>
  <c r="AO32" i="3" s="1"/>
  <c r="AO34" i="3" a="1"/>
  <c r="AO34" i="3" s="1"/>
  <c r="AI34" i="3" a="1"/>
  <c r="AI34" i="3" s="1"/>
  <c r="AI32" i="3" a="1"/>
  <c r="AI32" i="3" s="1"/>
  <c r="AU35" i="3" a="1"/>
  <c r="AU35" i="3" s="1"/>
  <c r="AI39" i="3" a="1"/>
  <c r="AI39" i="3" s="1"/>
  <c r="AI38" i="3" a="1"/>
  <c r="AI38" i="3" s="1"/>
  <c r="O35" i="3" a="1"/>
  <c r="O35" i="3" s="1"/>
  <c r="R38" i="3" a="1"/>
  <c r="R38" i="3" s="1"/>
  <c r="R39" i="3" a="1"/>
  <c r="R39" i="3" s="1"/>
  <c r="AR34" i="3" a="1"/>
  <c r="AR34" i="3" s="1"/>
  <c r="AR32" i="3" a="1"/>
  <c r="AR32" i="3" s="1"/>
  <c r="AN32" i="3" a="1"/>
  <c r="AN32" i="3" s="1"/>
  <c r="AN34" i="3" a="1"/>
  <c r="AN34" i="3" s="1"/>
  <c r="E38" i="3" a="1"/>
  <c r="E38" i="3" s="1"/>
  <c r="E39" i="3" a="1"/>
  <c r="E39" i="3" s="1"/>
  <c r="K35" i="3" a="1"/>
  <c r="K35" i="3" s="1"/>
  <c r="AR40" i="3" l="1" a="1"/>
  <c r="AR40" i="3" s="1"/>
  <c r="AS44" i="3" a="1"/>
  <c r="AS44" i="3" s="1"/>
  <c r="AS43" i="3" a="1"/>
  <c r="AS43" i="3" s="1"/>
  <c r="P40" i="3" a="1"/>
  <c r="P40" i="3" s="1"/>
  <c r="K43" i="3" a="1"/>
  <c r="K43" i="3" s="1"/>
  <c r="K44" i="3" a="1"/>
  <c r="K44" i="3" s="1"/>
  <c r="F35" i="3" a="1"/>
  <c r="F35" i="3" s="1"/>
  <c r="AB39" i="3" a="1"/>
  <c r="AB39" i="3" s="1"/>
  <c r="AB38" i="3" a="1"/>
  <c r="AB38" i="3" s="1"/>
  <c r="L35" i="3" a="1"/>
  <c r="L35" i="3" s="1"/>
  <c r="T39" i="3" a="1"/>
  <c r="T39" i="3" s="1"/>
  <c r="T38" i="3" a="1"/>
  <c r="T38" i="3" s="1"/>
  <c r="AT40" i="3" a="1"/>
  <c r="AT40" i="3" s="1"/>
  <c r="AW43" i="3" a="1"/>
  <c r="AW43" i="3" s="1"/>
  <c r="AW44" i="3" a="1"/>
  <c r="AW44" i="3" s="1"/>
  <c r="U40" i="3" a="1"/>
  <c r="U40" i="3" s="1"/>
  <c r="F44" i="3" a="1"/>
  <c r="F44" i="3" s="1"/>
  <c r="F43" i="3" a="1"/>
  <c r="F43" i="3" s="1"/>
  <c r="AD45" i="3" a="1"/>
  <c r="AD45" i="3" s="1"/>
  <c r="AT49" i="3" a="1"/>
  <c r="AT49" i="3" s="1"/>
  <c r="AT48" i="3" a="1"/>
  <c r="AT48" i="3" s="1"/>
  <c r="X43" i="3" a="1"/>
  <c r="X43" i="3" s="1"/>
  <c r="X44" i="3" a="1"/>
  <c r="X44" i="3" s="1"/>
  <c r="AJ35" i="3" a="1"/>
  <c r="AJ35" i="3" s="1"/>
  <c r="AF38" i="3" a="1"/>
  <c r="AF38" i="3" s="1"/>
  <c r="AF39" i="3" a="1"/>
  <c r="AF39" i="3" s="1"/>
  <c r="AL38" i="3" a="1"/>
  <c r="AL38" i="3" s="1"/>
  <c r="AL39" i="3" a="1"/>
  <c r="AL39" i="3" s="1"/>
  <c r="AN35" i="3" a="1"/>
  <c r="AN35" i="3" s="1"/>
  <c r="AP38" i="3" a="1"/>
  <c r="AP38" i="3" s="1"/>
  <c r="AP39" i="3" a="1"/>
  <c r="AP39" i="3" s="1"/>
  <c r="AE35" i="3" a="1"/>
  <c r="AE35" i="3" s="1"/>
  <c r="BB38" i="3" a="1"/>
  <c r="BB38" i="3" s="1"/>
  <c r="BB39" i="3" a="1"/>
  <c r="BB39" i="3" s="1"/>
  <c r="M40" i="3" a="1"/>
  <c r="M40" i="3" s="1"/>
  <c r="I44" i="3" a="1"/>
  <c r="I44" i="3" s="1"/>
  <c r="I43" i="3" a="1"/>
  <c r="I43" i="3" s="1"/>
  <c r="E40" i="3" a="1"/>
  <c r="E40" i="3" s="1"/>
  <c r="W43" i="3" a="1"/>
  <c r="W43" i="3" s="1"/>
  <c r="W44" i="3" a="1"/>
  <c r="W44" i="3" s="1"/>
  <c r="AK39" i="3" a="1"/>
  <c r="AK39" i="3" s="1"/>
  <c r="AK38" i="3" a="1"/>
  <c r="AK38" i="3" s="1"/>
  <c r="BA38" i="3" a="1"/>
  <c r="BA38" i="3" s="1"/>
  <c r="BA39" i="3" a="1"/>
  <c r="BA39" i="3" s="1"/>
  <c r="H40" i="3" a="1"/>
  <c r="H40" i="3" s="1"/>
  <c r="B43" i="3" a="1"/>
  <c r="B43" i="3" s="1"/>
  <c r="B44" i="3" a="1"/>
  <c r="B44" i="3" s="1"/>
  <c r="AL35" i="3" a="1"/>
  <c r="AL35" i="3" s="1"/>
  <c r="AQ38" i="3" a="1"/>
  <c r="AQ38" i="3" s="1"/>
  <c r="AQ39" i="3" a="1"/>
  <c r="AQ39" i="3" s="1"/>
  <c r="AQ35" i="3" a="1"/>
  <c r="AQ35" i="3" s="1"/>
  <c r="AZ39" i="3" a="1"/>
  <c r="AZ39" i="3" s="1"/>
  <c r="AZ38" i="3" a="1"/>
  <c r="AZ38" i="3" s="1"/>
  <c r="AC35" i="3" a="1"/>
  <c r="AC35" i="3" s="1"/>
  <c r="AJ39" i="3" a="1"/>
  <c r="AJ39" i="3" s="1"/>
  <c r="AJ38" i="3" a="1"/>
  <c r="AJ38" i="3" s="1"/>
  <c r="AW35" i="3" a="1"/>
  <c r="AW35" i="3" s="1"/>
  <c r="AE38" i="3" a="1"/>
  <c r="AE38" i="3" s="1"/>
  <c r="AE39" i="3" a="1"/>
  <c r="AE39" i="3" s="1"/>
  <c r="AD35" i="3" a="1"/>
  <c r="AD35" i="3" s="1"/>
  <c r="AT38" i="3" a="1"/>
  <c r="AT38" i="3" s="1"/>
  <c r="AT39" i="3" a="1"/>
  <c r="AT39" i="3" s="1"/>
  <c r="S40" i="3" a="1"/>
  <c r="S40" i="3" s="1"/>
  <c r="G44" i="3" a="1"/>
  <c r="G44" i="3" s="1"/>
  <c r="G43" i="3" a="1"/>
  <c r="G43" i="3" s="1"/>
  <c r="Z35" i="3" a="1"/>
  <c r="Z35" i="3" s="1"/>
  <c r="AN39" i="3" a="1"/>
  <c r="AN39" i="3" s="1"/>
  <c r="AN38" i="3" a="1"/>
  <c r="AN38" i="3" s="1"/>
  <c r="AO35" i="3" a="1"/>
  <c r="AO35" i="3" s="1"/>
  <c r="BC38" i="3" a="1"/>
  <c r="BC38" i="3" s="1"/>
  <c r="BC39" i="3" a="1"/>
  <c r="BC39" i="3" s="1"/>
  <c r="E35" i="3" a="1"/>
  <c r="E35" i="3" s="1"/>
  <c r="W38" i="3" a="1"/>
  <c r="W38" i="3" s="1"/>
  <c r="W39" i="3" a="1"/>
  <c r="W39" i="3" s="1"/>
  <c r="AG35" i="3" a="1"/>
  <c r="AG35" i="3" s="1"/>
  <c r="AM39" i="3" a="1"/>
  <c r="AM39" i="3" s="1"/>
  <c r="AM38" i="3" a="1"/>
  <c r="AM38" i="3" s="1"/>
  <c r="AH38" i="3" a="1"/>
  <c r="AH38" i="3" s="1"/>
  <c r="AH39" i="3" a="1"/>
  <c r="AH39" i="3" s="1"/>
  <c r="N40" i="3" a="1"/>
  <c r="N40" i="3" s="1"/>
  <c r="V43" i="3" a="1"/>
  <c r="V43" i="3" s="1"/>
  <c r="V44" i="3" a="1"/>
  <c r="V44" i="3" s="1"/>
  <c r="N35" i="3" a="1"/>
  <c r="N35" i="3" s="1"/>
  <c r="V38" i="3" a="1"/>
  <c r="V38" i="3" s="1"/>
  <c r="V39" i="3" a="1"/>
  <c r="V39" i="3" s="1"/>
  <c r="AV35" i="3" a="1"/>
  <c r="AV35" i="3" s="1"/>
  <c r="BD38" i="3" a="1"/>
  <c r="BD38" i="3" s="1"/>
  <c r="BD39" i="3" a="1"/>
  <c r="BD39" i="3" s="1"/>
  <c r="T40" i="3" a="1"/>
  <c r="T40" i="3" s="1"/>
  <c r="O44" i="3" a="1"/>
  <c r="O44" i="3" s="1"/>
  <c r="O43" i="3" a="1"/>
  <c r="O43" i="3" s="1"/>
  <c r="AK40" i="3" a="1"/>
  <c r="AK40" i="3" s="1"/>
  <c r="AU43" i="3" a="1"/>
  <c r="AU43" i="3" s="1"/>
  <c r="AU44" i="3" a="1"/>
  <c r="AU44" i="3" s="1"/>
  <c r="M43" i="3" a="1"/>
  <c r="M43" i="3" s="1"/>
  <c r="M44" i="3" a="1"/>
  <c r="M44" i="3" s="1"/>
  <c r="B40" i="3" a="1"/>
  <c r="B40" i="3" s="1"/>
  <c r="H44" i="3" a="1"/>
  <c r="H44" i="3" s="1"/>
  <c r="H43" i="3" a="1"/>
  <c r="H43" i="3" s="1"/>
  <c r="Y35" i="3" a="1"/>
  <c r="Y35" i="3" s="1"/>
  <c r="AC38" i="3" a="1"/>
  <c r="AC38" i="3" s="1"/>
  <c r="AC39" i="3" a="1"/>
  <c r="AC39" i="3" s="1"/>
  <c r="G40" i="3" a="1"/>
  <c r="G40" i="3" s="1"/>
  <c r="D44" i="3" a="1"/>
  <c r="D44" i="3" s="1"/>
  <c r="D43" i="3" a="1"/>
  <c r="D43" i="3" s="1"/>
  <c r="U39" i="3" a="1"/>
  <c r="U39" i="3" s="1"/>
  <c r="U38" i="3" a="1"/>
  <c r="U38" i="3" s="1"/>
  <c r="J40" i="3" a="1"/>
  <c r="J40" i="3" s="1"/>
  <c r="N43" i="3" a="1"/>
  <c r="N43" i="3" s="1"/>
  <c r="N44" i="3" a="1"/>
  <c r="N44" i="3" s="1"/>
  <c r="AI35" i="3" a="1"/>
  <c r="AI35" i="3" s="1"/>
  <c r="AR38" i="3" a="1"/>
  <c r="AR38" i="3" s="1"/>
  <c r="AR39" i="3" a="1"/>
  <c r="AR39" i="3" s="1"/>
  <c r="AR35" i="3" a="1"/>
  <c r="AR35" i="3" s="1"/>
  <c r="AS38" i="3" a="1"/>
  <c r="AS38" i="3" s="1"/>
  <c r="AS39" i="3" a="1"/>
  <c r="AS39" i="3" s="1"/>
  <c r="C40" i="3" a="1"/>
  <c r="C40" i="3" s="1"/>
  <c r="P44" i="3" a="1"/>
  <c r="P44" i="3" s="1"/>
  <c r="P43" i="3" a="1"/>
  <c r="P43" i="3" s="1"/>
  <c r="AP40" i="3" a="1"/>
  <c r="AP40" i="3" s="1"/>
  <c r="AG44" i="3" a="1"/>
  <c r="AG44" i="3" s="1"/>
  <c r="AG43" i="3" a="1"/>
  <c r="AG43" i="3" s="1"/>
  <c r="AP35" i="3" a="1"/>
  <c r="AP35" i="3" s="1"/>
  <c r="AG38" i="3" a="1"/>
  <c r="AG38" i="3" s="1"/>
  <c r="AG39" i="3" a="1"/>
  <c r="AG39" i="3" s="1"/>
  <c r="Y40" i="3" a="1"/>
  <c r="Y40" i="3" s="1"/>
  <c r="AC44" i="3" a="1"/>
  <c r="AC44" i="3" s="1"/>
  <c r="AC43" i="3" a="1"/>
  <c r="AC43" i="3" s="1"/>
  <c r="X40" i="3" a="1"/>
  <c r="X40" i="3" s="1"/>
  <c r="L43" i="3" a="1"/>
  <c r="L43" i="3" s="1"/>
  <c r="L44" i="3" a="1"/>
  <c r="L44" i="3" s="1"/>
  <c r="R40" i="3" a="1"/>
  <c r="R40" i="3" s="1"/>
  <c r="Y43" i="3" a="1"/>
  <c r="Y43" i="3" s="1"/>
  <c r="Y44" i="3" a="1"/>
  <c r="Y44" i="3" s="1"/>
  <c r="AS35" i="3" a="1"/>
  <c r="AS35" i="3" s="1"/>
  <c r="AO38" i="3" a="1"/>
  <c r="AO38" i="3" s="1"/>
  <c r="AO39" i="3" a="1"/>
  <c r="AO39" i="3" s="1"/>
  <c r="Q40" i="3" a="1"/>
  <c r="Q40" i="3" s="1"/>
  <c r="C43" i="3" a="1"/>
  <c r="C43" i="3" s="1"/>
  <c r="C44" i="3" a="1"/>
  <c r="C44" i="3" s="1"/>
  <c r="D40" i="3" a="1"/>
  <c r="D40" i="3" s="1"/>
  <c r="J43" i="3" a="1"/>
  <c r="J43" i="3" s="1"/>
  <c r="J44" i="3" a="1"/>
  <c r="J44" i="3" s="1"/>
  <c r="F40" i="3" a="1"/>
  <c r="F40" i="3" s="1"/>
  <c r="AB44" i="3" a="1"/>
  <c r="AB44" i="3" s="1"/>
  <c r="AB43" i="3" a="1"/>
  <c r="AB43" i="3" s="1"/>
  <c r="Q44" i="3" a="1"/>
  <c r="Q44" i="3" s="1"/>
  <c r="Q43" i="3" a="1"/>
  <c r="Q43" i="3" s="1"/>
  <c r="AF35" i="3" a="1"/>
  <c r="AF35" i="3" s="1"/>
  <c r="BE38" i="3" a="1"/>
  <c r="BE38" i="3" s="1"/>
  <c r="BE39" i="3" a="1"/>
  <c r="BE39" i="3" s="1"/>
  <c r="AM35" i="3" a="1"/>
  <c r="AM35" i="3" s="1"/>
  <c r="AV39" i="3" a="1"/>
  <c r="AV39" i="3" s="1"/>
  <c r="AV38" i="3" a="1"/>
  <c r="AV38" i="3" s="1"/>
  <c r="K40" i="3" a="1"/>
  <c r="K40" i="3" s="1"/>
  <c r="E44" i="3" a="1"/>
  <c r="E44" i="3" s="1"/>
  <c r="E43" i="3" a="1"/>
  <c r="E43" i="3" s="1"/>
  <c r="AB35" i="3" a="1"/>
  <c r="AB35" i="3" s="1"/>
  <c r="AD38" i="3" a="1"/>
  <c r="AD38" i="3" s="1"/>
  <c r="AD39" i="3" a="1"/>
  <c r="AD39" i="3" s="1"/>
  <c r="J45" i="3" l="1" a="1"/>
  <c r="J45" i="3" s="1"/>
  <c r="N49" i="3" a="1"/>
  <c r="N49" i="3" s="1"/>
  <c r="N48" i="3" a="1"/>
  <c r="N48" i="3" s="1"/>
  <c r="W40" i="3" a="1"/>
  <c r="W40" i="3" s="1"/>
  <c r="S44" i="3" a="1"/>
  <c r="S44" i="3" s="1"/>
  <c r="S43" i="3" a="1"/>
  <c r="S43" i="3" s="1"/>
  <c r="P45" i="3" a="1"/>
  <c r="P45" i="3" s="1"/>
  <c r="K49" i="3" a="1"/>
  <c r="K49" i="3" s="1"/>
  <c r="K48" i="3" a="1"/>
  <c r="K48" i="3" s="1"/>
  <c r="D45" i="3" a="1"/>
  <c r="D45" i="3" s="1"/>
  <c r="J48" i="3" a="1"/>
  <c r="J48" i="3" s="1"/>
  <c r="J49" i="3" a="1"/>
  <c r="J49" i="3" s="1"/>
  <c r="BA44" i="3" a="1"/>
  <c r="BA44" i="3" s="1"/>
  <c r="BA43" i="3" a="1"/>
  <c r="BA43" i="3" s="1"/>
  <c r="AF40" i="3" a="1"/>
  <c r="AF40" i="3" s="1"/>
  <c r="BE44" i="3" a="1"/>
  <c r="BE44" i="3" s="1"/>
  <c r="BE43" i="3" a="1"/>
  <c r="BE43" i="3" s="1"/>
  <c r="F45" i="3" a="1"/>
  <c r="F45" i="3" s="1"/>
  <c r="AB48" i="3" a="1"/>
  <c r="AB48" i="3" s="1"/>
  <c r="AB49" i="3" a="1"/>
  <c r="AB49" i="3" s="1"/>
  <c r="N45" i="3" a="1"/>
  <c r="N45" i="3" s="1"/>
  <c r="V49" i="3" a="1"/>
  <c r="V49" i="3" s="1"/>
  <c r="V48" i="3" a="1"/>
  <c r="V48" i="3" s="1"/>
  <c r="H45" i="3" a="1"/>
  <c r="H45" i="3" s="1"/>
  <c r="B49" i="3" a="1"/>
  <c r="B49" i="3" s="1"/>
  <c r="B48" i="3" a="1"/>
  <c r="B48" i="3" s="1"/>
  <c r="AR45" i="3" a="1"/>
  <c r="AR45" i="3" s="1"/>
  <c r="AS48" i="3" a="1"/>
  <c r="AS48" i="3" s="1"/>
  <c r="AS49" i="3" a="1"/>
  <c r="AS49" i="3" s="1"/>
  <c r="L45" i="3" a="1"/>
  <c r="L45" i="3" s="1"/>
  <c r="T48" i="3" a="1"/>
  <c r="T48" i="3" s="1"/>
  <c r="T49" i="3" a="1"/>
  <c r="T49" i="3" s="1"/>
  <c r="AQ40" i="3" a="1"/>
  <c r="AQ40" i="3" s="1"/>
  <c r="AZ44" i="3" a="1"/>
  <c r="AZ44" i="3" s="1"/>
  <c r="AZ43" i="3" a="1"/>
  <c r="AZ43" i="3" s="1"/>
  <c r="AI50" i="3" a="1"/>
  <c r="AI50" i="3" s="1"/>
  <c r="AS54" i="3" a="1"/>
  <c r="AS54" i="3" s="1"/>
  <c r="AS53" i="3" a="1"/>
  <c r="AS53" i="3" s="1"/>
  <c r="V40" i="3" a="1"/>
  <c r="V40" i="3" s="1"/>
  <c r="Z43" i="3" a="1"/>
  <c r="Z43" i="3" s="1"/>
  <c r="Z44" i="3" a="1"/>
  <c r="Z44" i="3" s="1"/>
  <c r="AN40" i="3" a="1"/>
  <c r="AN40" i="3" s="1"/>
  <c r="AL43" i="3" a="1"/>
  <c r="AL43" i="3" s="1"/>
  <c r="AL44" i="3" a="1"/>
  <c r="AL44" i="3" s="1"/>
  <c r="AH43" i="3" a="1"/>
  <c r="AH43" i="3" s="1"/>
  <c r="AH44" i="3" a="1"/>
  <c r="AH44" i="3" s="1"/>
  <c r="AL40" i="3" a="1"/>
  <c r="AL40" i="3" s="1"/>
  <c r="AQ44" i="3" a="1"/>
  <c r="AQ44" i="3" s="1"/>
  <c r="AQ43" i="3" a="1"/>
  <c r="AQ43" i="3" s="1"/>
  <c r="M49" i="3" a="1"/>
  <c r="M49" i="3" s="1"/>
  <c r="B45" i="3" a="1"/>
  <c r="B45" i="3" s="1"/>
  <c r="M48" i="3" a="1"/>
  <c r="M48" i="3" s="1"/>
  <c r="AA40" i="3" a="1"/>
  <c r="AA40" i="3" s="1"/>
  <c r="AY43" i="3" a="1"/>
  <c r="AY43" i="3" s="1"/>
  <c r="AY44" i="3" a="1"/>
  <c r="AY44" i="3" s="1"/>
  <c r="H48" i="3" a="1"/>
  <c r="H48" i="3" s="1"/>
  <c r="H49" i="3" a="1"/>
  <c r="H49" i="3" s="1"/>
  <c r="I45" i="3" a="1"/>
  <c r="I45" i="3" s="1"/>
  <c r="AA48" i="3" a="1"/>
  <c r="AA48" i="3" s="1"/>
  <c r="AA49" i="3" a="1"/>
  <c r="AA49" i="3" s="1"/>
  <c r="AJ40" i="3" a="1"/>
  <c r="AJ40" i="3" s="1"/>
  <c r="AF44" i="3" a="1"/>
  <c r="AF44" i="3" s="1"/>
  <c r="AF43" i="3" a="1"/>
  <c r="AF43" i="3" s="1"/>
  <c r="AU40" i="3" a="1"/>
  <c r="AU40" i="3" s="1"/>
  <c r="AI43" i="3" a="1"/>
  <c r="AI43" i="3" s="1"/>
  <c r="AI44" i="3" a="1"/>
  <c r="AI44" i="3" s="1"/>
  <c r="Z40" i="3" a="1"/>
  <c r="Z40" i="3" s="1"/>
  <c r="AN44" i="3" a="1"/>
  <c r="AN44" i="3" s="1"/>
  <c r="AN43" i="3" a="1"/>
  <c r="AN43" i="3" s="1"/>
  <c r="G45" i="3" a="1"/>
  <c r="G45" i="3" s="1"/>
  <c r="D48" i="3" a="1"/>
  <c r="D48" i="3" s="1"/>
  <c r="D49" i="3" a="1"/>
  <c r="D49" i="3" s="1"/>
  <c r="O40" i="3" a="1"/>
  <c r="O40" i="3" s="1"/>
  <c r="R44" i="3" a="1"/>
  <c r="R44" i="3" s="1"/>
  <c r="R43" i="3" a="1"/>
  <c r="R43" i="3" s="1"/>
  <c r="I40" i="3" a="1"/>
  <c r="I40" i="3" s="1"/>
  <c r="AA44" i="3" a="1"/>
  <c r="AA44" i="3" s="1"/>
  <c r="AA43" i="3" a="1"/>
  <c r="AA43" i="3" s="1"/>
  <c r="AK43" i="3" a="1"/>
  <c r="AK43" i="3" s="1"/>
  <c r="AK44" i="3" a="1"/>
  <c r="AK44" i="3" s="1"/>
  <c r="K45" i="3" a="1"/>
  <c r="K45" i="3" s="1"/>
  <c r="E49" i="3" a="1"/>
  <c r="E49" i="3" s="1"/>
  <c r="E48" i="3" a="1"/>
  <c r="E48" i="3" s="1"/>
  <c r="AH40" i="3" a="1"/>
  <c r="AH40" i="3" s="1"/>
  <c r="AX43" i="3" a="1"/>
  <c r="AX43" i="3" s="1"/>
  <c r="AX44" i="3" a="1"/>
  <c r="AX44" i="3" s="1"/>
  <c r="M45" i="3" a="1"/>
  <c r="M45" i="3" s="1"/>
  <c r="I48" i="3" a="1"/>
  <c r="I48" i="3" s="1"/>
  <c r="I49" i="3" a="1"/>
  <c r="I49" i="3" s="1"/>
  <c r="AD40" i="3" a="1"/>
  <c r="AD40" i="3" s="1"/>
  <c r="AT43" i="3" a="1"/>
  <c r="AT43" i="3" s="1"/>
  <c r="AT44" i="3" a="1"/>
  <c r="AT44" i="3" s="1"/>
  <c r="AO40" i="3" a="1"/>
  <c r="AO40" i="3" s="1"/>
  <c r="BC44" i="3" a="1"/>
  <c r="BC44" i="3" s="1"/>
  <c r="BC43" i="3" a="1"/>
  <c r="BC43" i="3" s="1"/>
  <c r="AG40" i="3" a="1"/>
  <c r="AG40" i="3" s="1"/>
  <c r="AM43" i="3" a="1"/>
  <c r="AM43" i="3" s="1"/>
  <c r="AM44" i="3" a="1"/>
  <c r="AM44" i="3" s="1"/>
  <c r="AW40" i="3" a="1"/>
  <c r="AW40" i="3" s="1"/>
  <c r="AE44" i="3" a="1"/>
  <c r="AE44" i="3" s="1"/>
  <c r="AE43" i="3" a="1"/>
  <c r="AE43" i="3" s="1"/>
  <c r="AP44" i="3" a="1"/>
  <c r="AP44" i="3" s="1"/>
  <c r="AP43" i="3" a="1"/>
  <c r="AP43" i="3" s="1"/>
  <c r="T45" i="3" a="1"/>
  <c r="T45" i="3" s="1"/>
  <c r="O49" i="3" a="1"/>
  <c r="O49" i="3" s="1"/>
  <c r="O48" i="3" a="1"/>
  <c r="O48" i="3" s="1"/>
  <c r="AV40" i="3" a="1"/>
  <c r="AV40" i="3" s="1"/>
  <c r="BD44" i="3" a="1"/>
  <c r="BD44" i="3" s="1"/>
  <c r="BD43" i="3" a="1"/>
  <c r="BD43" i="3" s="1"/>
  <c r="U45" i="3" a="1"/>
  <c r="U45" i="3" s="1"/>
  <c r="F49" i="3" a="1"/>
  <c r="F49" i="3" s="1"/>
  <c r="F48" i="3" a="1"/>
  <c r="F48" i="3" s="1"/>
  <c r="AE40" i="3" a="1"/>
  <c r="AE40" i="3" s="1"/>
  <c r="BB44" i="3" a="1"/>
  <c r="BB44" i="3" s="1"/>
  <c r="BB43" i="3" a="1"/>
  <c r="BB43" i="3" s="1"/>
  <c r="U48" i="3" a="1"/>
  <c r="U48" i="3" s="1"/>
  <c r="U49" i="3" a="1"/>
  <c r="U49" i="3" s="1"/>
  <c r="AC40" i="3" a="1"/>
  <c r="AC40" i="3" s="1"/>
  <c r="AJ43" i="3" a="1"/>
  <c r="AJ43" i="3" s="1"/>
  <c r="AJ44" i="3" a="1"/>
  <c r="AJ44" i="3" s="1"/>
  <c r="AL45" i="3" a="1"/>
  <c r="AL45" i="3" s="1"/>
  <c r="AQ48" i="3" a="1"/>
  <c r="AQ48" i="3" s="1"/>
  <c r="AQ49" i="3" a="1"/>
  <c r="AQ49" i="3" s="1"/>
  <c r="Y45" i="3" a="1"/>
  <c r="Y45" i="3" s="1"/>
  <c r="AC48" i="3" a="1"/>
  <c r="AC48" i="3" s="1"/>
  <c r="AC49" i="3" a="1"/>
  <c r="AC49" i="3" s="1"/>
  <c r="V45" i="3" a="1"/>
  <c r="V45" i="3" s="1"/>
  <c r="Z49" i="3" a="1"/>
  <c r="Z49" i="3" s="1"/>
  <c r="Z48" i="3" a="1"/>
  <c r="Z48" i="3" s="1"/>
  <c r="AW45" i="3" a="1"/>
  <c r="AW45" i="3" s="1"/>
  <c r="AE48" i="3" a="1"/>
  <c r="AE48" i="3" s="1"/>
  <c r="AE49" i="3" a="1"/>
  <c r="AE49" i="3" s="1"/>
  <c r="AK45" i="3" a="1"/>
  <c r="AK45" i="3" s="1"/>
  <c r="AU49" i="3" a="1"/>
  <c r="AU49" i="3" s="1"/>
  <c r="AU48" i="3" a="1"/>
  <c r="AU48" i="3" s="1"/>
  <c r="L40" i="3" a="1"/>
  <c r="L40" i="3" s="1"/>
  <c r="T44" i="3" a="1"/>
  <c r="T44" i="3" s="1"/>
  <c r="T43" i="3" a="1"/>
  <c r="T43" i="3" s="1"/>
  <c r="Q45" i="3" a="1"/>
  <c r="Q45" i="3" s="1"/>
  <c r="C48" i="3" a="1"/>
  <c r="C48" i="3" s="1"/>
  <c r="C49" i="3" a="1"/>
  <c r="C49" i="3" s="1"/>
  <c r="E45" i="3" a="1"/>
  <c r="E45" i="3" s="1"/>
  <c r="W49" i="3" a="1"/>
  <c r="W49" i="3" s="1"/>
  <c r="W48" i="3" a="1"/>
  <c r="W48" i="3" s="1"/>
  <c r="X45" i="3" a="1"/>
  <c r="X45" i="3" s="1"/>
  <c r="L49" i="3" a="1"/>
  <c r="L49" i="3" s="1"/>
  <c r="L48" i="3" a="1"/>
  <c r="L48" i="3" s="1"/>
  <c r="U44" i="3" a="1"/>
  <c r="U44" i="3" s="1"/>
  <c r="U43" i="3" a="1"/>
  <c r="U43" i="3" s="1"/>
  <c r="AI40" i="3" a="1"/>
  <c r="AI40" i="3" s="1"/>
  <c r="AR44" i="3" a="1"/>
  <c r="AR44" i="3" s="1"/>
  <c r="AR43" i="3" a="1"/>
  <c r="AR43" i="3" s="1"/>
  <c r="AS40" i="3" a="1"/>
  <c r="AS40" i="3" s="1"/>
  <c r="AO44" i="3" a="1"/>
  <c r="AO44" i="3" s="1"/>
  <c r="AO43" i="3" a="1"/>
  <c r="AO43" i="3" s="1"/>
  <c r="S45" i="3" a="1"/>
  <c r="S45" i="3" s="1"/>
  <c r="G49" i="3" a="1"/>
  <c r="G49" i="3" s="1"/>
  <c r="G48" i="3" a="1"/>
  <c r="G48" i="3" s="1"/>
  <c r="AB40" i="3" a="1"/>
  <c r="AB40" i="3" s="1"/>
  <c r="AD44" i="3" a="1"/>
  <c r="AD44" i="3" s="1"/>
  <c r="AD43" i="3" a="1"/>
  <c r="AD43" i="3" s="1"/>
  <c r="AF50" i="3" l="1" a="1"/>
  <c r="AF50" i="3" s="1"/>
  <c r="AD54" i="3" a="1"/>
  <c r="AD54" i="3" s="1"/>
  <c r="AD53" i="3" a="1"/>
  <c r="AD53" i="3" s="1"/>
  <c r="AH49" i="3" a="1"/>
  <c r="AH49" i="3" s="1"/>
  <c r="AH48" i="3" a="1"/>
  <c r="AH48" i="3" s="1"/>
  <c r="BA48" i="3" a="1"/>
  <c r="BA48" i="3" s="1"/>
  <c r="BA49" i="3" a="1"/>
  <c r="BA49" i="3" s="1"/>
  <c r="Q50" i="3" a="1"/>
  <c r="Q50" i="3" s="1"/>
  <c r="D54" i="3" a="1"/>
  <c r="D54" i="3" s="1"/>
  <c r="D53" i="3" a="1"/>
  <c r="D53" i="3" s="1"/>
  <c r="H50" i="3" a="1"/>
  <c r="H50" i="3" s="1"/>
  <c r="C54" i="3" a="1"/>
  <c r="C54" i="3" s="1"/>
  <c r="C53" i="3" a="1"/>
  <c r="C53" i="3" s="1"/>
  <c r="R50" i="3" a="1"/>
  <c r="R50" i="3" s="1"/>
  <c r="Z54" i="3" a="1"/>
  <c r="Z54" i="3" s="1"/>
  <c r="Z53" i="3" a="1"/>
  <c r="Z53" i="3" s="1"/>
  <c r="AH45" i="3" a="1"/>
  <c r="AH45" i="3" s="1"/>
  <c r="AX49" i="3" a="1"/>
  <c r="AX49" i="3" s="1"/>
  <c r="AX48" i="3" a="1"/>
  <c r="AX48" i="3" s="1"/>
  <c r="L50" i="3" a="1"/>
  <c r="L50" i="3" s="1"/>
  <c r="U54" i="3" a="1"/>
  <c r="U54" i="3" s="1"/>
  <c r="U53" i="3" a="1"/>
  <c r="U53" i="3" s="1"/>
  <c r="I54" i="3" a="1"/>
  <c r="I54" i="3" s="1"/>
  <c r="I53" i="3" a="1"/>
  <c r="I53" i="3" s="1"/>
  <c r="V54" i="3" a="1"/>
  <c r="V54" i="3" s="1"/>
  <c r="V53" i="3" a="1"/>
  <c r="V53" i="3" s="1"/>
  <c r="B50" i="3" a="1"/>
  <c r="B50" i="3" s="1"/>
  <c r="N54" i="3" a="1"/>
  <c r="N54" i="3" s="1"/>
  <c r="N53" i="3" a="1"/>
  <c r="N53" i="3" s="1"/>
  <c r="Y54" i="3" a="1"/>
  <c r="Y54" i="3" s="1"/>
  <c r="Y53" i="3" a="1"/>
  <c r="Y53" i="3" s="1"/>
  <c r="AL49" i="3" a="1"/>
  <c r="AL49" i="3" s="1"/>
  <c r="AN45" i="3" a="1"/>
  <c r="AN45" i="3" s="1"/>
  <c r="AL48" i="3" a="1"/>
  <c r="AL48" i="3" s="1"/>
  <c r="AJ45" i="3" a="1"/>
  <c r="AJ45" i="3" s="1"/>
  <c r="AF48" i="3" a="1"/>
  <c r="AF48" i="3" s="1"/>
  <c r="AF49" i="3" a="1"/>
  <c r="AF49" i="3" s="1"/>
  <c r="M50" i="3" a="1"/>
  <c r="M50" i="3" s="1"/>
  <c r="J54" i="3" a="1"/>
  <c r="J54" i="3" s="1"/>
  <c r="J53" i="3" a="1"/>
  <c r="J53" i="3" s="1"/>
  <c r="W50" i="3" a="1"/>
  <c r="W50" i="3" s="1"/>
  <c r="T53" i="3" a="1"/>
  <c r="T53" i="3" s="1"/>
  <c r="T54" i="3" a="1"/>
  <c r="T54" i="3" s="1"/>
  <c r="U50" i="3" a="1"/>
  <c r="U50" i="3" s="1"/>
  <c r="G54" i="3" a="1"/>
  <c r="G54" i="3" s="1"/>
  <c r="G53" i="3" a="1"/>
  <c r="G53" i="3" s="1"/>
  <c r="AQ45" i="3" a="1"/>
  <c r="AQ45" i="3" s="1"/>
  <c r="AZ49" i="3" a="1"/>
  <c r="AZ49" i="3" s="1"/>
  <c r="AZ48" i="3" a="1"/>
  <c r="AZ48" i="3" s="1"/>
  <c r="Z45" i="3" a="1"/>
  <c r="Z45" i="3" s="1"/>
  <c r="AN49" i="3" a="1"/>
  <c r="AN49" i="3" s="1"/>
  <c r="AN48" i="3" a="1"/>
  <c r="AN48" i="3" s="1"/>
  <c r="AI45" i="3" a="1"/>
  <c r="AI45" i="3" s="1"/>
  <c r="AR48" i="3" a="1"/>
  <c r="AR48" i="3" s="1"/>
  <c r="AR49" i="3" a="1"/>
  <c r="AR49" i="3" s="1"/>
  <c r="AU45" i="3" a="1"/>
  <c r="AU45" i="3" s="1"/>
  <c r="AI49" i="3" a="1"/>
  <c r="AI49" i="3" s="1"/>
  <c r="AI48" i="3" a="1"/>
  <c r="AI48" i="3" s="1"/>
  <c r="AC45" i="3" a="1"/>
  <c r="AC45" i="3" s="1"/>
  <c r="AJ49" i="3" a="1"/>
  <c r="AJ49" i="3" s="1"/>
  <c r="AJ48" i="3" a="1"/>
  <c r="AJ48" i="3" s="1"/>
  <c r="O50" i="3" a="1"/>
  <c r="O50" i="3" s="1"/>
  <c r="S54" i="3" a="1"/>
  <c r="S54" i="3" s="1"/>
  <c r="S53" i="3" a="1"/>
  <c r="S53" i="3" s="1"/>
  <c r="V50" i="3" a="1"/>
  <c r="V50" i="3" s="1"/>
  <c r="AA54" i="3" a="1"/>
  <c r="AA54" i="3" s="1"/>
  <c r="AA53" i="3" a="1"/>
  <c r="AA53" i="3" s="1"/>
  <c r="AG45" i="3" a="1"/>
  <c r="AG45" i="3" s="1"/>
  <c r="AM48" i="3" a="1"/>
  <c r="AM48" i="3" s="1"/>
  <c r="AM49" i="3" a="1"/>
  <c r="AM49" i="3" s="1"/>
  <c r="O45" i="3" a="1"/>
  <c r="O45" i="3" s="1"/>
  <c r="R48" i="3" a="1"/>
  <c r="R48" i="3" s="1"/>
  <c r="R49" i="3" a="1"/>
  <c r="R49" i="3" s="1"/>
  <c r="R45" i="3" a="1"/>
  <c r="R45" i="3" s="1"/>
  <c r="Y49" i="3" a="1"/>
  <c r="Y49" i="3" s="1"/>
  <c r="Y48" i="3" a="1"/>
  <c r="Y48" i="3" s="1"/>
  <c r="AT45" i="3" a="1"/>
  <c r="AT45" i="3" s="1"/>
  <c r="AW49" i="3" a="1"/>
  <c r="AW49" i="3" s="1"/>
  <c r="AW48" i="3" a="1"/>
  <c r="AW48" i="3" s="1"/>
  <c r="Q49" i="3" a="1"/>
  <c r="Q49" i="3" s="1"/>
  <c r="Q48" i="3" a="1"/>
  <c r="Q48" i="3" s="1"/>
  <c r="B54" i="3" a="1"/>
  <c r="B54" i="3" s="1"/>
  <c r="Y50" i="3" a="1"/>
  <c r="Y50" i="3" s="1"/>
  <c r="B53" i="3" a="1"/>
  <c r="B53" i="3" s="1"/>
  <c r="BE48" i="3" a="1"/>
  <c r="BE48" i="3" s="1"/>
  <c r="BE49" i="3" a="1"/>
  <c r="BE49" i="3" s="1"/>
  <c r="AF45" i="3" a="1"/>
  <c r="AF45" i="3" s="1"/>
  <c r="AG48" i="3" a="1"/>
  <c r="AG48" i="3" s="1"/>
  <c r="AG49" i="3" a="1"/>
  <c r="AG49" i="3" s="1"/>
  <c r="AP45" i="3" a="1"/>
  <c r="AP45" i="3" s="1"/>
  <c r="BC48" i="3" a="1"/>
  <c r="BC48" i="3" s="1"/>
  <c r="BC49" i="3" a="1"/>
  <c r="BC49" i="3" s="1"/>
  <c r="AO45" i="3" a="1"/>
  <c r="AO45" i="3" s="1"/>
  <c r="AP48" i="3" a="1"/>
  <c r="AP48" i="3" s="1"/>
  <c r="AP49" i="3" a="1"/>
  <c r="AP49" i="3" s="1"/>
  <c r="AV45" i="3" a="1"/>
  <c r="AV45" i="3" s="1"/>
  <c r="BD48" i="3" a="1"/>
  <c r="BD48" i="3" s="1"/>
  <c r="BD49" i="3" a="1"/>
  <c r="BD49" i="3" s="1"/>
  <c r="G50" i="3" a="1"/>
  <c r="G50" i="3" s="1"/>
  <c r="E54" i="3" a="1"/>
  <c r="E54" i="3" s="1"/>
  <c r="E53" i="3" a="1"/>
  <c r="E53" i="3" s="1"/>
  <c r="S50" i="3" a="1"/>
  <c r="S50" i="3" s="1"/>
  <c r="H54" i="3" a="1"/>
  <c r="H54" i="3" s="1"/>
  <c r="H53" i="3" a="1"/>
  <c r="H53" i="3" s="1"/>
  <c r="P50" i="3" a="1"/>
  <c r="P50" i="3" s="1"/>
  <c r="L54" i="3" a="1"/>
  <c r="L54" i="3" s="1"/>
  <c r="L53" i="3" a="1"/>
  <c r="L53" i="3" s="1"/>
  <c r="X49" i="3" a="1"/>
  <c r="X49" i="3" s="1"/>
  <c r="X48" i="3" a="1"/>
  <c r="X48" i="3" s="1"/>
  <c r="AL50" i="3" a="1"/>
  <c r="AL50" i="3" s="1"/>
  <c r="AR54" i="3" a="1"/>
  <c r="AR54" i="3" s="1"/>
  <c r="AR53" i="3" a="1"/>
  <c r="AR53" i="3" s="1"/>
  <c r="W45" i="3" a="1"/>
  <c r="W45" i="3" s="1"/>
  <c r="S48" i="3" a="1"/>
  <c r="S48" i="3" s="1"/>
  <c r="S49" i="3" a="1"/>
  <c r="S49" i="3" s="1"/>
  <c r="D50" i="3" a="1"/>
  <c r="D50" i="3" s="1"/>
  <c r="K54" i="3" a="1"/>
  <c r="K54" i="3" s="1"/>
  <c r="K53" i="3" a="1"/>
  <c r="K53" i="3" s="1"/>
  <c r="AR50" i="3" a="1"/>
  <c r="AR50" i="3" s="1"/>
  <c r="AT53" i="3" a="1"/>
  <c r="AT53" i="3" s="1"/>
  <c r="AT54" i="3" a="1"/>
  <c r="AT54" i="3" s="1"/>
  <c r="C45" i="3" a="1"/>
  <c r="C45" i="3" s="1"/>
  <c r="P49" i="3" a="1"/>
  <c r="P49" i="3" s="1"/>
  <c r="P48" i="3" a="1"/>
  <c r="P48" i="3" s="1"/>
  <c r="AB45" i="3" a="1"/>
  <c r="AB45" i="3" s="1"/>
  <c r="AD48" i="3" a="1"/>
  <c r="AD48" i="3" s="1"/>
  <c r="AD49" i="3" a="1"/>
  <c r="AD49" i="3" s="1"/>
  <c r="X50" i="3" a="1"/>
  <c r="X50" i="3" s="1"/>
  <c r="M53" i="3" a="1"/>
  <c r="M53" i="3" s="1"/>
  <c r="M54" i="3" a="1"/>
  <c r="M54" i="3" s="1"/>
  <c r="I50" i="3" a="1"/>
  <c r="I50" i="3" s="1"/>
  <c r="AB54" i="3" a="1"/>
  <c r="AB54" i="3" s="1"/>
  <c r="AB53" i="3" a="1"/>
  <c r="AB53" i="3" s="1"/>
  <c r="K50" i="3" a="1"/>
  <c r="K50" i="3" s="1"/>
  <c r="F54" i="3" a="1"/>
  <c r="F54" i="3" s="1"/>
  <c r="F53" i="3" a="1"/>
  <c r="F53" i="3" s="1"/>
  <c r="AS50" i="3" a="1"/>
  <c r="AS50" i="3" s="1"/>
  <c r="AP54" i="3" a="1"/>
  <c r="AP54" i="3" s="1"/>
  <c r="AP53" i="3" a="1"/>
  <c r="AP53" i="3" s="1"/>
  <c r="AQ58" i="3" a="1"/>
  <c r="AQ58" i="3" s="1"/>
  <c r="AQ59" i="3" a="1"/>
  <c r="AQ59" i="3" s="1"/>
  <c r="AL55" i="3" a="1"/>
  <c r="AL55" i="3" s="1"/>
  <c r="F50" i="3" a="1"/>
  <c r="F50" i="3" s="1"/>
  <c r="AC54" i="3" a="1"/>
  <c r="AC54" i="3" s="1"/>
  <c r="AC53" i="3" a="1"/>
  <c r="AC53" i="3" s="1"/>
  <c r="AA45" i="3" a="1"/>
  <c r="AA45" i="3" s="1"/>
  <c r="AY48" i="3" a="1"/>
  <c r="AY48" i="3" s="1"/>
  <c r="AY49" i="3" a="1"/>
  <c r="AY49" i="3" s="1"/>
  <c r="BB48" i="3" a="1"/>
  <c r="BB48" i="3" s="1"/>
  <c r="AE45" i="3" a="1"/>
  <c r="AE45" i="3" s="1"/>
  <c r="BB49" i="3" a="1"/>
  <c r="BB49" i="3" s="1"/>
  <c r="AK49" i="3" a="1"/>
  <c r="AK49" i="3" s="1"/>
  <c r="AK48" i="3" a="1"/>
  <c r="AK48" i="3" s="1"/>
  <c r="AM45" i="3" a="1"/>
  <c r="AM45" i="3" s="1"/>
  <c r="AV49" i="3" a="1"/>
  <c r="AV49" i="3" s="1"/>
  <c r="AV48" i="3" a="1"/>
  <c r="AV48" i="3" s="1"/>
  <c r="AS45" i="3" a="1"/>
  <c r="AS45" i="3" s="1"/>
  <c r="AO48" i="3" a="1"/>
  <c r="AO48" i="3" s="1"/>
  <c r="AO49" i="3" a="1"/>
  <c r="AO49" i="3" s="1"/>
  <c r="AR59" i="3" l="1" a="1"/>
  <c r="AR59" i="3" s="1"/>
  <c r="AR58" i="3" a="1"/>
  <c r="AR58" i="3" s="1"/>
  <c r="AI55" i="3" a="1"/>
  <c r="AI55" i="3" s="1"/>
  <c r="J58" i="3" a="1"/>
  <c r="J58" i="3" s="1"/>
  <c r="D55" i="3" a="1"/>
  <c r="D55" i="3" s="1"/>
  <c r="J59" i="3" a="1"/>
  <c r="J59" i="3" s="1"/>
  <c r="C50" i="3" a="1"/>
  <c r="C50" i="3" s="1"/>
  <c r="Q54" i="3" a="1"/>
  <c r="Q54" i="3" s="1"/>
  <c r="Q53" i="3" a="1"/>
  <c r="Q53" i="3" s="1"/>
  <c r="Z50" i="3" a="1"/>
  <c r="Z50" i="3" s="1"/>
  <c r="AO54" i="3" a="1"/>
  <c r="AO54" i="3" s="1"/>
  <c r="AO53" i="3" a="1"/>
  <c r="AO53" i="3" s="1"/>
  <c r="AP50" i="3" a="1"/>
  <c r="AP50" i="3" s="1"/>
  <c r="AH53" i="3" a="1"/>
  <c r="AH53" i="3" s="1"/>
  <c r="AH54" i="3" a="1"/>
  <c r="AH54" i="3" s="1"/>
  <c r="E58" i="3" a="1"/>
  <c r="E58" i="3" s="1"/>
  <c r="K55" i="3" a="1"/>
  <c r="K55" i="3" s="1"/>
  <c r="E59" i="3" a="1"/>
  <c r="E59" i="3" s="1"/>
  <c r="AC50" i="3" a="1"/>
  <c r="AC50" i="3" s="1"/>
  <c r="AK53" i="3" a="1"/>
  <c r="AK53" i="3" s="1"/>
  <c r="AK54" i="3" a="1"/>
  <c r="AK54" i="3" s="1"/>
  <c r="S59" i="3" a="1"/>
  <c r="S59" i="3" s="1"/>
  <c r="W55" i="3" a="1"/>
  <c r="W55" i="3" s="1"/>
  <c r="S58" i="3" a="1"/>
  <c r="S58" i="3" s="1"/>
  <c r="H55" i="3" a="1"/>
  <c r="H55" i="3" s="1"/>
  <c r="B58" i="3" a="1"/>
  <c r="B58" i="3" s="1"/>
  <c r="B59" i="3" a="1"/>
  <c r="B59" i="3" s="1"/>
  <c r="AD50" i="3" a="1"/>
  <c r="AD50" i="3" s="1"/>
  <c r="AU53" i="3" a="1"/>
  <c r="AU53" i="3" s="1"/>
  <c r="AU54" i="3" a="1"/>
  <c r="AU54" i="3" s="1"/>
  <c r="T50" i="3" a="1"/>
  <c r="T50" i="3" s="1"/>
  <c r="P54" i="3" a="1"/>
  <c r="P54" i="3" s="1"/>
  <c r="P53" i="3" a="1"/>
  <c r="P53" i="3" s="1"/>
  <c r="AL53" i="3" a="1"/>
  <c r="AL53" i="3" s="1"/>
  <c r="AL54" i="3" a="1"/>
  <c r="AL54" i="3" s="1"/>
  <c r="AS60" i="3" a="1"/>
  <c r="AS60" i="3" s="1"/>
  <c r="AO63" i="3" a="1"/>
  <c r="AO63" i="3" s="1"/>
  <c r="AO64" i="3" a="1"/>
  <c r="AO64" i="3" s="1"/>
  <c r="M55" i="3" a="1"/>
  <c r="M55" i="3" s="1"/>
  <c r="I58" i="3" a="1"/>
  <c r="I58" i="3" s="1"/>
  <c r="I59" i="3" a="1"/>
  <c r="I59" i="3" s="1"/>
  <c r="BB54" i="3" a="1"/>
  <c r="BB54" i="3" s="1"/>
  <c r="BB53" i="3" a="1"/>
  <c r="BB53" i="3" s="1"/>
  <c r="AK50" i="3" a="1"/>
  <c r="AK50" i="3" s="1"/>
  <c r="AV53" i="3" a="1"/>
  <c r="AV53" i="3" s="1"/>
  <c r="AV54" i="3" a="1"/>
  <c r="AV54" i="3" s="1"/>
  <c r="R55" i="3" a="1"/>
  <c r="R55" i="3" s="1"/>
  <c r="Y58" i="3" a="1"/>
  <c r="Y58" i="3" s="1"/>
  <c r="Y59" i="3" a="1"/>
  <c r="Y59" i="3" s="1"/>
  <c r="E55" i="3" a="1"/>
  <c r="E55" i="3" s="1"/>
  <c r="W59" i="3" a="1"/>
  <c r="W59" i="3" s="1"/>
  <c r="W58" i="3" a="1"/>
  <c r="W58" i="3" s="1"/>
  <c r="AM50" i="3" a="1"/>
  <c r="AM50" i="3" s="1"/>
  <c r="AW54" i="3" a="1"/>
  <c r="AW54" i="3" s="1"/>
  <c r="AW53" i="3" a="1"/>
  <c r="AW53" i="3" s="1"/>
  <c r="R53" i="3" a="1"/>
  <c r="R53" i="3" s="1"/>
  <c r="R54" i="3" a="1"/>
  <c r="R54" i="3" s="1"/>
  <c r="AQ54" i="3" a="1"/>
  <c r="AQ54" i="3" s="1"/>
  <c r="AQ53" i="3" a="1"/>
  <c r="AQ53" i="3" s="1"/>
  <c r="O55" i="3" a="1"/>
  <c r="O55" i="3" s="1"/>
  <c r="R59" i="3" a="1"/>
  <c r="R59" i="3" s="1"/>
  <c r="R58" i="3" a="1"/>
  <c r="R58" i="3" s="1"/>
  <c r="AA50" i="3" a="1"/>
  <c r="AA50" i="3" s="1"/>
  <c r="AZ54" i="3" a="1"/>
  <c r="AZ54" i="3" s="1"/>
  <c r="AZ53" i="3" a="1"/>
  <c r="AZ53" i="3" s="1"/>
  <c r="AB50" i="3" a="1"/>
  <c r="AB50" i="3" s="1"/>
  <c r="AE54" i="3" a="1"/>
  <c r="AE54" i="3" s="1"/>
  <c r="AE53" i="3" a="1"/>
  <c r="AE53" i="3" s="1"/>
  <c r="C59" i="3" a="1"/>
  <c r="C59" i="3" s="1"/>
  <c r="Q55" i="3" a="1"/>
  <c r="Q55" i="3" s="1"/>
  <c r="C58" i="3" a="1"/>
  <c r="C58" i="3" s="1"/>
  <c r="X55" i="3" a="1"/>
  <c r="X55" i="3" s="1"/>
  <c r="L58" i="3" a="1"/>
  <c r="L58" i="3" s="1"/>
  <c r="L59" i="3" a="1"/>
  <c r="L59" i="3" s="1"/>
  <c r="AJ50" i="3" a="1"/>
  <c r="AJ50" i="3" s="1"/>
  <c r="AG53" i="3" a="1"/>
  <c r="AG53" i="3" s="1"/>
  <c r="AG54" i="3" a="1"/>
  <c r="AG54" i="3" s="1"/>
  <c r="K59" i="3" a="1"/>
  <c r="K59" i="3" s="1"/>
  <c r="K58" i="3" a="1"/>
  <c r="K58" i="3" s="1"/>
  <c r="P55" i="3" a="1"/>
  <c r="P55" i="3" s="1"/>
  <c r="AV50" i="3" a="1"/>
  <c r="AV50" i="3" s="1"/>
  <c r="BE54" i="3" a="1"/>
  <c r="BE54" i="3" s="1"/>
  <c r="BE53" i="3" a="1"/>
  <c r="BE53" i="3" s="1"/>
  <c r="D58" i="3" a="1"/>
  <c r="D58" i="3" s="1"/>
  <c r="D59" i="3" a="1"/>
  <c r="D59" i="3" s="1"/>
  <c r="G55" i="3" a="1"/>
  <c r="G55" i="3" s="1"/>
  <c r="J50" i="3" a="1"/>
  <c r="J50" i="3" s="1"/>
  <c r="O54" i="3" a="1"/>
  <c r="O54" i="3" s="1"/>
  <c r="O53" i="3" a="1"/>
  <c r="O53" i="3" s="1"/>
  <c r="AP59" i="3" a="1"/>
  <c r="AP59" i="3" s="1"/>
  <c r="AP58" i="3" a="1"/>
  <c r="AP58" i="3" s="1"/>
  <c r="AW50" i="3" a="1"/>
  <c r="AW50" i="3" s="1"/>
  <c r="AF54" i="3" a="1"/>
  <c r="AF54" i="3" s="1"/>
  <c r="AF53" i="3" a="1"/>
  <c r="AF53" i="3" s="1"/>
  <c r="E50" i="3" a="1"/>
  <c r="E50" i="3" s="1"/>
  <c r="X54" i="3" a="1"/>
  <c r="X54" i="3" s="1"/>
  <c r="X53" i="3" a="1"/>
  <c r="X53" i="3" s="1"/>
  <c r="Q59" i="3" a="1"/>
  <c r="Q59" i="3" s="1"/>
  <c r="Q58" i="3" a="1"/>
  <c r="Q58" i="3" s="1"/>
  <c r="AN50" i="3" a="1"/>
  <c r="AN50" i="3" s="1"/>
  <c r="AM54" i="3" a="1"/>
  <c r="AM54" i="3" s="1"/>
  <c r="AM53" i="3" a="1"/>
  <c r="AM53" i="3" s="1"/>
  <c r="H59" i="3" a="1"/>
  <c r="H59" i="3" s="1"/>
  <c r="H58" i="3" a="1"/>
  <c r="H58" i="3" s="1"/>
  <c r="X59" i="3" a="1"/>
  <c r="X59" i="3" s="1"/>
  <c r="X58" i="3" a="1"/>
  <c r="X58" i="3" s="1"/>
  <c r="G58" i="3" a="1"/>
  <c r="G58" i="3" s="1"/>
  <c r="S55" i="3" a="1"/>
  <c r="S55" i="3" s="1"/>
  <c r="G59" i="3" a="1"/>
  <c r="G59" i="3" s="1"/>
  <c r="AU50" i="3" a="1"/>
  <c r="AU50" i="3" s="1"/>
  <c r="AJ54" i="3" a="1"/>
  <c r="AJ54" i="3" s="1"/>
  <c r="AJ53" i="3" a="1"/>
  <c r="AJ53" i="3" s="1"/>
  <c r="F59" i="3" a="1"/>
  <c r="F59" i="3" s="1"/>
  <c r="U55" i="3" a="1"/>
  <c r="U55" i="3" s="1"/>
  <c r="F58" i="3" a="1"/>
  <c r="F58" i="3" s="1"/>
  <c r="AT50" i="3" a="1"/>
  <c r="AT50" i="3" s="1"/>
  <c r="AX54" i="3" a="1"/>
  <c r="AX54" i="3" s="1"/>
  <c r="AX53" i="3" a="1"/>
  <c r="AX53" i="3" s="1"/>
  <c r="BD58" i="3" a="1"/>
  <c r="BD58" i="3" s="1"/>
  <c r="BD59" i="3" a="1"/>
  <c r="BD59" i="3" s="1"/>
  <c r="AV55" i="3" a="1"/>
  <c r="AV55" i="3" s="1"/>
  <c r="AB59" i="3" a="1"/>
  <c r="AB59" i="3" s="1"/>
  <c r="AB58" i="3" a="1"/>
  <c r="AB58" i="3" s="1"/>
  <c r="F55" i="3" a="1"/>
  <c r="F55" i="3" s="1"/>
  <c r="AQ50" i="3" a="1"/>
  <c r="AQ50" i="3" s="1"/>
  <c r="BA54" i="3" a="1"/>
  <c r="BA54" i="3" s="1"/>
  <c r="BA53" i="3" a="1"/>
  <c r="BA53" i="3" s="1"/>
  <c r="AG50" i="3" a="1"/>
  <c r="AG50" i="3" s="1"/>
  <c r="AN53" i="3" a="1"/>
  <c r="AN53" i="3" s="1"/>
  <c r="AN54" i="3" a="1"/>
  <c r="AN54" i="3" s="1"/>
  <c r="L55" i="3" a="1"/>
  <c r="L55" i="3" s="1"/>
  <c r="T58" i="3" a="1"/>
  <c r="T58" i="3" s="1"/>
  <c r="T59" i="3" a="1"/>
  <c r="T59" i="3" s="1"/>
  <c r="Z55" i="3" a="1"/>
  <c r="Z55" i="3" s="1"/>
  <c r="AN58" i="3" a="1"/>
  <c r="AN58" i="3" s="1"/>
  <c r="AN59" i="3" a="1"/>
  <c r="AN59" i="3" s="1"/>
  <c r="I55" i="3" a="1"/>
  <c r="I55" i="3" s="1"/>
  <c r="AA59" i="3" a="1"/>
  <c r="AA59" i="3" s="1"/>
  <c r="AA58" i="3" a="1"/>
  <c r="AA58" i="3" s="1"/>
  <c r="Z58" i="3" a="1"/>
  <c r="Z58" i="3" s="1"/>
  <c r="V55" i="3" a="1"/>
  <c r="V55" i="3" s="1"/>
  <c r="Z59" i="3" a="1"/>
  <c r="Z59" i="3" s="1"/>
  <c r="N50" i="3" a="1"/>
  <c r="N50" i="3" s="1"/>
  <c r="W54" i="3" a="1"/>
  <c r="W54" i="3" s="1"/>
  <c r="W53" i="3" a="1"/>
  <c r="W53" i="3" s="1"/>
  <c r="AE50" i="3" a="1"/>
  <c r="AE50" i="3" s="1"/>
  <c r="BC54" i="3" a="1"/>
  <c r="BC54" i="3" s="1"/>
  <c r="BC53" i="3" a="1"/>
  <c r="BC53" i="3" s="1"/>
  <c r="AO50" i="3" a="1"/>
  <c r="AO50" i="3" s="1"/>
  <c r="BD54" i="3" a="1"/>
  <c r="BD54" i="3" s="1"/>
  <c r="BD53" i="3" a="1"/>
  <c r="BD53" i="3" s="1"/>
  <c r="AI54" i="3" a="1"/>
  <c r="AI54" i="3" s="1"/>
  <c r="AI53" i="3" a="1"/>
  <c r="AI53" i="3" s="1"/>
  <c r="AY53" i="3" a="1"/>
  <c r="AY53" i="3" s="1"/>
  <c r="AH50" i="3" a="1"/>
  <c r="AH50" i="3" s="1"/>
  <c r="AY54" i="3" a="1"/>
  <c r="AY54" i="3" s="1"/>
  <c r="AC59" i="3" a="1"/>
  <c r="AC59" i="3" s="1"/>
  <c r="AC58" i="3" a="1"/>
  <c r="AC58" i="3" s="1"/>
  <c r="Y55" i="3" a="1"/>
  <c r="Y55" i="3" s="1"/>
  <c r="W64" i="3" l="1" a="1"/>
  <c r="W64" i="3" s="1"/>
  <c r="E60" i="3" a="1"/>
  <c r="E60" i="3" s="1"/>
  <c r="W63" i="3" a="1"/>
  <c r="W63" i="3" s="1"/>
  <c r="BB64" i="3" a="1"/>
  <c r="BB64" i="3" s="1"/>
  <c r="AE60" i="3" a="1"/>
  <c r="AE60" i="3" s="1"/>
  <c r="BB63" i="3" a="1"/>
  <c r="BB63" i="3" s="1"/>
  <c r="K60" i="3" a="1"/>
  <c r="K60" i="3" s="1"/>
  <c r="E63" i="3" a="1"/>
  <c r="E63" i="3" s="1"/>
  <c r="E64" i="3" a="1"/>
  <c r="E64" i="3" s="1"/>
  <c r="BC58" i="3" a="1"/>
  <c r="BC58" i="3" s="1"/>
  <c r="AO55" i="3" a="1"/>
  <c r="AO55" i="3" s="1"/>
  <c r="BC59" i="3" a="1"/>
  <c r="BC59" i="3" s="1"/>
  <c r="Y60" i="3" a="1"/>
  <c r="Y60" i="3" s="1"/>
  <c r="AC63" i="3" a="1"/>
  <c r="AC63" i="3" s="1"/>
  <c r="AC64" i="3" a="1"/>
  <c r="AC64" i="3" s="1"/>
  <c r="AO58" i="3" a="1"/>
  <c r="AO58" i="3" s="1"/>
  <c r="AS55" i="3" a="1"/>
  <c r="AS55" i="3" s="1"/>
  <c r="AO59" i="3" a="1"/>
  <c r="AO59" i="3" s="1"/>
  <c r="N60" i="3" a="1"/>
  <c r="N60" i="3" s="1"/>
  <c r="V63" i="3" a="1"/>
  <c r="V63" i="3" s="1"/>
  <c r="V64" i="3" a="1"/>
  <c r="V64" i="3" s="1"/>
  <c r="AB55" i="3" a="1"/>
  <c r="AB55" i="3" s="1"/>
  <c r="AD58" i="3" a="1"/>
  <c r="AD58" i="3" s="1"/>
  <c r="AD59" i="3" a="1"/>
  <c r="AD59" i="3" s="1"/>
  <c r="AC55" i="3" a="1"/>
  <c r="AC55" i="3" s="1"/>
  <c r="AJ58" i="3" a="1"/>
  <c r="AJ58" i="3" s="1"/>
  <c r="AJ59" i="3" a="1"/>
  <c r="AJ59" i="3" s="1"/>
  <c r="AD55" i="3" a="1"/>
  <c r="AD55" i="3" s="1"/>
  <c r="AT59" i="3" a="1"/>
  <c r="AT59" i="3" s="1"/>
  <c r="AT58" i="3" a="1"/>
  <c r="AT58" i="3" s="1"/>
  <c r="J55" i="3" a="1"/>
  <c r="J55" i="3" s="1"/>
  <c r="N59" i="3" a="1"/>
  <c r="N59" i="3" s="1"/>
  <c r="N58" i="3" a="1"/>
  <c r="N58" i="3" s="1"/>
  <c r="O58" i="3" a="1"/>
  <c r="O58" i="3" s="1"/>
  <c r="T55" i="3" a="1"/>
  <c r="T55" i="3" s="1"/>
  <c r="O59" i="3" a="1"/>
  <c r="O59" i="3" s="1"/>
  <c r="R63" i="3" a="1"/>
  <c r="R63" i="3" s="1"/>
  <c r="O60" i="3" a="1"/>
  <c r="O60" i="3" s="1"/>
  <c r="R64" i="3" a="1"/>
  <c r="R64" i="3" s="1"/>
  <c r="U60" i="3" a="1"/>
  <c r="U60" i="3" s="1"/>
  <c r="F64" i="3" a="1"/>
  <c r="F64" i="3" s="1"/>
  <c r="F63" i="3" a="1"/>
  <c r="F63" i="3" s="1"/>
  <c r="BE59" i="3" a="1"/>
  <c r="BE59" i="3" s="1"/>
  <c r="BE58" i="3" a="1"/>
  <c r="BE58" i="3" s="1"/>
  <c r="AF55" i="3" a="1"/>
  <c r="AF55" i="3" s="1"/>
  <c r="P58" i="3" a="1"/>
  <c r="P58" i="3" s="1"/>
  <c r="P59" i="3" a="1"/>
  <c r="P59" i="3" s="1"/>
  <c r="C55" i="3" a="1"/>
  <c r="C55" i="3" s="1"/>
  <c r="AI59" i="3" a="1"/>
  <c r="AI59" i="3" s="1"/>
  <c r="AU55" i="3" a="1"/>
  <c r="AU55" i="3" s="1"/>
  <c r="AI58" i="3" a="1"/>
  <c r="AI58" i="3" s="1"/>
  <c r="AY58" i="3" a="1"/>
  <c r="AY58" i="3" s="1"/>
  <c r="AY59" i="3" a="1"/>
  <c r="AY59" i="3" s="1"/>
  <c r="AA55" i="3" a="1"/>
  <c r="AA55" i="3" s="1"/>
  <c r="D64" i="3" a="1"/>
  <c r="D64" i="3" s="1"/>
  <c r="D63" i="3" a="1"/>
  <c r="D63" i="3" s="1"/>
  <c r="G60" i="3" a="1"/>
  <c r="G60" i="3" s="1"/>
  <c r="AN64" i="3" a="1"/>
  <c r="AN64" i="3" s="1"/>
  <c r="AN63" i="3" a="1"/>
  <c r="AN63" i="3" s="1"/>
  <c r="Z60" i="3" a="1"/>
  <c r="Z60" i="3" s="1"/>
  <c r="I63" i="3" a="1"/>
  <c r="I63" i="3" s="1"/>
  <c r="M60" i="3" a="1"/>
  <c r="M60" i="3" s="1"/>
  <c r="I64" i="3" a="1"/>
  <c r="I64" i="3" s="1"/>
  <c r="AU58" i="3" a="1"/>
  <c r="AU58" i="3" s="1"/>
  <c r="AU59" i="3" a="1"/>
  <c r="AU59" i="3" s="1"/>
  <c r="AK55" i="3" a="1"/>
  <c r="AK55" i="3" s="1"/>
  <c r="AZ59" i="3" a="1"/>
  <c r="AZ59" i="3" s="1"/>
  <c r="AZ58" i="3" a="1"/>
  <c r="AZ58" i="3" s="1"/>
  <c r="AQ55" i="3" a="1"/>
  <c r="AQ55" i="3" s="1"/>
  <c r="Q64" i="3" a="1"/>
  <c r="Q64" i="3" s="1"/>
  <c r="Q63" i="3" a="1"/>
  <c r="Q63" i="3" s="1"/>
  <c r="AK59" i="3" a="1"/>
  <c r="AK59" i="3" s="1"/>
  <c r="AK58" i="3" a="1"/>
  <c r="AK58" i="3" s="1"/>
  <c r="AG58" i="3" a="1"/>
  <c r="AG58" i="3" s="1"/>
  <c r="AG59" i="3" a="1"/>
  <c r="AG59" i="3" s="1"/>
  <c r="AP55" i="3" a="1"/>
  <c r="AP55" i="3" s="1"/>
  <c r="B55" i="3" a="1"/>
  <c r="B55" i="3" s="1"/>
  <c r="M59" i="3" a="1"/>
  <c r="M59" i="3" s="1"/>
  <c r="M58" i="3" a="1"/>
  <c r="M58" i="3" s="1"/>
  <c r="AX59" i="3" a="1"/>
  <c r="AX59" i="3" s="1"/>
  <c r="AX58" i="3" a="1"/>
  <c r="AX58" i="3" s="1"/>
  <c r="AH55" i="3" a="1"/>
  <c r="AH55" i="3" s="1"/>
  <c r="AS58" i="3" a="1"/>
  <c r="AS58" i="3" s="1"/>
  <c r="AS59" i="3" a="1"/>
  <c r="AS59" i="3" s="1"/>
  <c r="AR55" i="3" a="1"/>
  <c r="AR55" i="3" s="1"/>
  <c r="H60" i="3" a="1"/>
  <c r="H60" i="3" s="1"/>
  <c r="B64" i="3" a="1"/>
  <c r="B64" i="3" s="1"/>
  <c r="B63" i="3" a="1"/>
  <c r="B63" i="3" s="1"/>
  <c r="AM55" i="3" a="1"/>
  <c r="AM55" i="3" s="1"/>
  <c r="AV58" i="3" a="1"/>
  <c r="AV58" i="3" s="1"/>
  <c r="AV59" i="3" a="1"/>
  <c r="AV59" i="3" s="1"/>
  <c r="X64" i="3" a="1"/>
  <c r="X64" i="3" s="1"/>
  <c r="X63" i="3" a="1"/>
  <c r="X63" i="3" s="1"/>
  <c r="BA58" i="3" a="1"/>
  <c r="BA58" i="3" s="1"/>
  <c r="BA59" i="3" a="1"/>
  <c r="BA59" i="3" s="1"/>
  <c r="AH58" i="3" a="1"/>
  <c r="AH58" i="3" s="1"/>
  <c r="AH59" i="3" a="1"/>
  <c r="AH59" i="3" s="1"/>
  <c r="AE58" i="3" a="1"/>
  <c r="AE58" i="3" s="1"/>
  <c r="AW55" i="3" a="1"/>
  <c r="AW55" i="3" s="1"/>
  <c r="AE59" i="3" a="1"/>
  <c r="AE59" i="3" s="1"/>
  <c r="U63" i="3" a="1"/>
  <c r="U63" i="3" s="1"/>
  <c r="U64" i="3" a="1"/>
  <c r="U64" i="3" s="1"/>
  <c r="G64" i="3" a="1"/>
  <c r="G64" i="3" s="1"/>
  <c r="S60" i="3" a="1"/>
  <c r="S60" i="3" s="1"/>
  <c r="G63" i="3" a="1"/>
  <c r="G63" i="3" s="1"/>
  <c r="C64" i="3" a="1"/>
  <c r="C64" i="3" s="1"/>
  <c r="C63" i="3" a="1"/>
  <c r="C63" i="3" s="1"/>
  <c r="Q60" i="3" a="1"/>
  <c r="Q60" i="3" s="1"/>
  <c r="H63" i="3" a="1"/>
  <c r="H63" i="3" s="1"/>
  <c r="H64" i="3" a="1"/>
  <c r="H64" i="3" s="1"/>
  <c r="AT55" i="3" a="1"/>
  <c r="AT55" i="3" s="1"/>
  <c r="AW59" i="3" a="1"/>
  <c r="AW59" i="3" s="1"/>
  <c r="AW58" i="3" a="1"/>
  <c r="AW58" i="3" s="1"/>
  <c r="Y64" i="3" a="1"/>
  <c r="Y64" i="3" s="1"/>
  <c r="Y63" i="3" a="1"/>
  <c r="Y63" i="3" s="1"/>
  <c r="R60" i="3" a="1"/>
  <c r="R60" i="3" s="1"/>
  <c r="AN60" i="3" a="1"/>
  <c r="AN60" i="3" s="1"/>
  <c r="AL64" i="3" a="1"/>
  <c r="AL64" i="3" s="1"/>
  <c r="AL63" i="3" a="1"/>
  <c r="AL63" i="3" s="1"/>
  <c r="Z63" i="3" a="1"/>
  <c r="Z63" i="3" s="1"/>
  <c r="Z64" i="3" a="1"/>
  <c r="Z64" i="3" s="1"/>
  <c r="V60" i="3" a="1"/>
  <c r="V60" i="3" s="1"/>
  <c r="O63" i="3" a="1"/>
  <c r="O63" i="3" s="1"/>
  <c r="T60" i="3" a="1"/>
  <c r="T60" i="3" s="1"/>
  <c r="O64" i="3" a="1"/>
  <c r="O64" i="3" s="1"/>
  <c r="AM59" i="3" a="1"/>
  <c r="AM59" i="3" s="1"/>
  <c r="AG55" i="3" a="1"/>
  <c r="AG55" i="3" s="1"/>
  <c r="AM58" i="3" a="1"/>
  <c r="AM58" i="3" s="1"/>
  <c r="AL58" i="3" a="1"/>
  <c r="AL58" i="3" s="1"/>
  <c r="AN55" i="3" a="1"/>
  <c r="AN55" i="3" s="1"/>
  <c r="AL59" i="3" a="1"/>
  <c r="AL59" i="3" s="1"/>
  <c r="AE55" i="3" a="1"/>
  <c r="AE55" i="3" s="1"/>
  <c r="BB59" i="3" a="1"/>
  <c r="BB59" i="3" s="1"/>
  <c r="BB58" i="3" a="1"/>
  <c r="BB58" i="3" s="1"/>
  <c r="I60" i="3" a="1"/>
  <c r="I60" i="3" s="1"/>
  <c r="AA63" i="3" a="1"/>
  <c r="AA63" i="3" s="1"/>
  <c r="AA64" i="3" a="1"/>
  <c r="AA64" i="3" s="1"/>
  <c r="P64" i="3" a="1"/>
  <c r="P64" i="3" s="1"/>
  <c r="C60" i="3" a="1"/>
  <c r="C60" i="3" s="1"/>
  <c r="P63" i="3" a="1"/>
  <c r="P63" i="3" s="1"/>
  <c r="AB64" i="3" a="1"/>
  <c r="AB64" i="3" s="1"/>
  <c r="AB63" i="3" a="1"/>
  <c r="AB63" i="3" s="1"/>
  <c r="F60" i="3" a="1"/>
  <c r="F60" i="3" s="1"/>
  <c r="AJ55" i="3" a="1"/>
  <c r="AJ55" i="3" s="1"/>
  <c r="AF59" i="3" a="1"/>
  <c r="AF59" i="3" s="1"/>
  <c r="AF58" i="3" a="1"/>
  <c r="AF58" i="3" s="1"/>
  <c r="AP63" i="3" a="1"/>
  <c r="AP63" i="3" s="1"/>
  <c r="AP64" i="3" a="1"/>
  <c r="AP64" i="3" s="1"/>
  <c r="U59" i="3" a="1"/>
  <c r="U59" i="3" s="1"/>
  <c r="U58" i="3" a="1"/>
  <c r="U58" i="3" s="1"/>
  <c r="V58" i="3" a="1"/>
  <c r="V58" i="3" s="1"/>
  <c r="N55" i="3" a="1"/>
  <c r="N55" i="3" s="1"/>
  <c r="V59" i="3" a="1"/>
  <c r="V59" i="3" s="1"/>
  <c r="J63" i="3" a="1"/>
  <c r="J63" i="3" s="1"/>
  <c r="D60" i="3" a="1"/>
  <c r="D60" i="3" s="1"/>
  <c r="J64" i="3" a="1"/>
  <c r="J64" i="3" s="1"/>
  <c r="AM69" i="3" a="1"/>
  <c r="AM69" i="3" s="1"/>
  <c r="AG65" i="3" a="1"/>
  <c r="AG65" i="3" s="1"/>
  <c r="AM68" i="3" a="1"/>
  <c r="AM68" i="3" s="1"/>
  <c r="AJ69" i="3" l="1" a="1"/>
  <c r="AJ69" i="3" s="1"/>
  <c r="AC65" i="3" a="1"/>
  <c r="AC65" i="3" s="1"/>
  <c r="AJ68" i="3" a="1"/>
  <c r="AJ68" i="3" s="1"/>
  <c r="Y65" i="3" a="1"/>
  <c r="Y65" i="3" s="1"/>
  <c r="AC68" i="3" a="1"/>
  <c r="AC68" i="3" s="1"/>
  <c r="AC69" i="3" a="1"/>
  <c r="AC69" i="3" s="1"/>
  <c r="AQ64" i="3" a="1"/>
  <c r="AQ64" i="3" s="1"/>
  <c r="AQ63" i="3" a="1"/>
  <c r="AQ63" i="3" s="1"/>
  <c r="AL60" i="3" a="1"/>
  <c r="AL60" i="3" s="1"/>
  <c r="O69" i="3" a="1"/>
  <c r="O69" i="3" s="1"/>
  <c r="O68" i="3" a="1"/>
  <c r="O68" i="3" s="1"/>
  <c r="T65" i="3" a="1"/>
  <c r="T65" i="3" s="1"/>
  <c r="AL68" i="3" a="1"/>
  <c r="AL68" i="3" s="1"/>
  <c r="AL69" i="3" a="1"/>
  <c r="AL69" i="3" s="1"/>
  <c r="AN65" i="3" a="1"/>
  <c r="AN65" i="3" s="1"/>
  <c r="BD63" i="3" a="1"/>
  <c r="BD63" i="3" s="1"/>
  <c r="BD64" i="3" a="1"/>
  <c r="BD64" i="3" s="1"/>
  <c r="AV60" i="3" a="1"/>
  <c r="AV60" i="3" s="1"/>
  <c r="H69" i="3" a="1"/>
  <c r="H69" i="3" s="1"/>
  <c r="H68" i="3" a="1"/>
  <c r="H68" i="3" s="1"/>
  <c r="AY63" i="3" a="1"/>
  <c r="AY63" i="3" s="1"/>
  <c r="AY64" i="3" a="1"/>
  <c r="AY64" i="3" s="1"/>
  <c r="AA60" i="3" a="1"/>
  <c r="AA60" i="3" s="1"/>
  <c r="J60" i="3" a="1"/>
  <c r="J60" i="3" s="1"/>
  <c r="N63" i="3" a="1"/>
  <c r="N63" i="3" s="1"/>
  <c r="N64" i="3" a="1"/>
  <c r="N64" i="3" s="1"/>
  <c r="M64" i="3" a="1"/>
  <c r="M64" i="3" s="1"/>
  <c r="M63" i="3" a="1"/>
  <c r="M63" i="3" s="1"/>
  <c r="B60" i="3" a="1"/>
  <c r="B60" i="3" s="1"/>
  <c r="BA63" i="3" a="1"/>
  <c r="BA63" i="3" s="1"/>
  <c r="BA64" i="3" a="1"/>
  <c r="BA64" i="3" s="1"/>
  <c r="E68" i="3" a="1"/>
  <c r="E68" i="3" s="1"/>
  <c r="K65" i="3" a="1"/>
  <c r="K65" i="3" s="1"/>
  <c r="E69" i="3" a="1"/>
  <c r="E69" i="3" s="1"/>
  <c r="AV64" i="3" a="1"/>
  <c r="AV64" i="3" s="1"/>
  <c r="AV63" i="3" a="1"/>
  <c r="AV63" i="3" s="1"/>
  <c r="AM60" i="3" a="1"/>
  <c r="AM60" i="3" s="1"/>
  <c r="X60" i="3" a="1"/>
  <c r="X60" i="3" s="1"/>
  <c r="L64" i="3" a="1"/>
  <c r="L64" i="3" s="1"/>
  <c r="L63" i="3" a="1"/>
  <c r="L63" i="3" s="1"/>
  <c r="AH60" i="3" a="1"/>
  <c r="AH60" i="3" s="1"/>
  <c r="AX63" i="3" a="1"/>
  <c r="AX63" i="3" s="1"/>
  <c r="AX64" i="3" a="1"/>
  <c r="AX64" i="3" s="1"/>
  <c r="H65" i="3" a="1"/>
  <c r="H65" i="3" s="1"/>
  <c r="B68" i="3" a="1"/>
  <c r="B68" i="3" s="1"/>
  <c r="B69" i="3" a="1"/>
  <c r="B69" i="3" s="1"/>
  <c r="BC63" i="3" a="1"/>
  <c r="BC63" i="3" s="1"/>
  <c r="BC64" i="3" a="1"/>
  <c r="BC64" i="3" s="1"/>
  <c r="AO60" i="3" a="1"/>
  <c r="AO60" i="3" s="1"/>
  <c r="T69" i="3" a="1"/>
  <c r="T69" i="3" s="1"/>
  <c r="L65" i="3" a="1"/>
  <c r="L65" i="3" s="1"/>
  <c r="T68" i="3" a="1"/>
  <c r="T68" i="3" s="1"/>
  <c r="C69" i="3" a="1"/>
  <c r="C69" i="3" s="1"/>
  <c r="C68" i="3" a="1"/>
  <c r="C68" i="3" s="1"/>
  <c r="Q65" i="3" a="1"/>
  <c r="Q65" i="3" s="1"/>
  <c r="AJ64" i="3" a="1"/>
  <c r="AJ64" i="3" s="1"/>
  <c r="AC60" i="3" a="1"/>
  <c r="AC60" i="3" s="1"/>
  <c r="AJ63" i="3" a="1"/>
  <c r="AJ63" i="3" s="1"/>
  <c r="T64" i="3" a="1"/>
  <c r="T64" i="3" s="1"/>
  <c r="L60" i="3" a="1"/>
  <c r="L60" i="3" s="1"/>
  <c r="T63" i="3" a="1"/>
  <c r="T63" i="3" s="1"/>
  <c r="W68" i="3" a="1"/>
  <c r="W68" i="3" s="1"/>
  <c r="W69" i="3" a="1"/>
  <c r="W69" i="3" s="1"/>
  <c r="E65" i="3" a="1"/>
  <c r="E65" i="3" s="1"/>
  <c r="K63" i="3" a="1"/>
  <c r="K63" i="3" s="1"/>
  <c r="K64" i="3" a="1"/>
  <c r="K64" i="3" s="1"/>
  <c r="P60" i="3" a="1"/>
  <c r="P60" i="3" s="1"/>
  <c r="X69" i="3" a="1"/>
  <c r="X69" i="3" s="1"/>
  <c r="X68" i="3" a="1"/>
  <c r="X68" i="3" s="1"/>
  <c r="AT64" i="3" a="1"/>
  <c r="AT64" i="3" s="1"/>
  <c r="AD60" i="3" a="1"/>
  <c r="AD60" i="3" s="1"/>
  <c r="AT63" i="3" a="1"/>
  <c r="AT63" i="3" s="1"/>
  <c r="D69" i="3" a="1"/>
  <c r="D69" i="3" s="1"/>
  <c r="G65" i="3" a="1"/>
  <c r="G65" i="3" s="1"/>
  <c r="D68" i="3" a="1"/>
  <c r="D68" i="3" s="1"/>
  <c r="AI60" i="3" a="1"/>
  <c r="AI60" i="3" s="1"/>
  <c r="AR64" i="3" a="1"/>
  <c r="AR64" i="3" s="1"/>
  <c r="AR63" i="3" a="1"/>
  <c r="AR63" i="3" s="1"/>
  <c r="AZ69" i="3" a="1"/>
  <c r="AZ69" i="3" s="1"/>
  <c r="AZ68" i="3" a="1"/>
  <c r="AZ68" i="3" s="1"/>
  <c r="AQ65" i="3" a="1"/>
  <c r="AQ65" i="3" s="1"/>
  <c r="AK64" i="3" a="1"/>
  <c r="AK64" i="3" s="1"/>
  <c r="AK63" i="3" a="1"/>
  <c r="AK63" i="3" s="1"/>
  <c r="S64" i="3" a="1"/>
  <c r="S64" i="3" s="1"/>
  <c r="S63" i="3" a="1"/>
  <c r="S63" i="3" s="1"/>
  <c r="W60" i="3" a="1"/>
  <c r="W60" i="3" s="1"/>
  <c r="AU63" i="3" a="1"/>
  <c r="AU63" i="3" s="1"/>
  <c r="AU64" i="3" a="1"/>
  <c r="AU64" i="3" s="1"/>
  <c r="AK60" i="3" a="1"/>
  <c r="AK60" i="3" s="1"/>
  <c r="S69" i="3" a="1"/>
  <c r="S69" i="3" s="1"/>
  <c r="S68" i="3" a="1"/>
  <c r="S68" i="3" s="1"/>
  <c r="W65" i="3" a="1"/>
  <c r="W65" i="3" s="1"/>
  <c r="N68" i="3" a="1"/>
  <c r="N68" i="3" s="1"/>
  <c r="J65" i="3" a="1"/>
  <c r="J65" i="3" s="1"/>
  <c r="N69" i="3" a="1"/>
  <c r="N69" i="3" s="1"/>
  <c r="Y69" i="3" a="1"/>
  <c r="Y69" i="3" s="1"/>
  <c r="Y68" i="3" a="1"/>
  <c r="Y68" i="3" s="1"/>
  <c r="R65" i="3" a="1"/>
  <c r="R65" i="3" s="1"/>
  <c r="AB69" i="3" a="1"/>
  <c r="AB69" i="3" s="1"/>
  <c r="F65" i="3" a="1"/>
  <c r="F65" i="3" s="1"/>
  <c r="AB68" i="3" a="1"/>
  <c r="AB68" i="3" s="1"/>
  <c r="AS63" i="3" a="1"/>
  <c r="AS63" i="3" s="1"/>
  <c r="AR60" i="3" a="1"/>
  <c r="AR60" i="3" s="1"/>
  <c r="AS64" i="3" a="1"/>
  <c r="AS64" i="3" s="1"/>
  <c r="AW64" i="3" a="1"/>
  <c r="AW64" i="3" s="1"/>
  <c r="AT60" i="3" a="1"/>
  <c r="AT60" i="3" s="1"/>
  <c r="AW63" i="3" a="1"/>
  <c r="AW63" i="3" s="1"/>
  <c r="AM63" i="3" a="1"/>
  <c r="AM63" i="3" s="1"/>
  <c r="AM64" i="3" a="1"/>
  <c r="AM64" i="3" s="1"/>
  <c r="AG60" i="3" a="1"/>
  <c r="AG60" i="3" s="1"/>
  <c r="AF63" i="3" a="1"/>
  <c r="AF63" i="3" s="1"/>
  <c r="AJ60" i="3" a="1"/>
  <c r="AJ60" i="3" s="1"/>
  <c r="AF64" i="3" a="1"/>
  <c r="AF64" i="3" s="1"/>
  <c r="Z68" i="3" a="1"/>
  <c r="Z68" i="3" s="1"/>
  <c r="V65" i="3" a="1"/>
  <c r="V65" i="3" s="1"/>
  <c r="Z69" i="3" a="1"/>
  <c r="Z69" i="3" s="1"/>
  <c r="N65" i="3" a="1"/>
  <c r="N65" i="3" s="1"/>
  <c r="V69" i="3" a="1"/>
  <c r="V69" i="3" s="1"/>
  <c r="V68" i="3" a="1"/>
  <c r="V68" i="3" s="1"/>
  <c r="AK74" i="3" a="1"/>
  <c r="AK74" i="3" s="1"/>
  <c r="AK73" i="3" a="1"/>
  <c r="AK73" i="3" s="1"/>
  <c r="AN69" i="3" a="1"/>
  <c r="AN69" i="3" s="1"/>
  <c r="AN68" i="3" a="1"/>
  <c r="AN68" i="3" s="1"/>
  <c r="Z65" i="3" a="1"/>
  <c r="Z65" i="3" s="1"/>
  <c r="M69" i="3" a="1"/>
  <c r="M69" i="3" s="1"/>
  <c r="M68" i="3" a="1"/>
  <c r="M68" i="3" s="1"/>
  <c r="B65" i="3" a="1"/>
  <c r="B65" i="3" s="1"/>
  <c r="AP60" i="3" a="1"/>
  <c r="AP60" i="3" s="1"/>
  <c r="AG63" i="3" a="1"/>
  <c r="AG63" i="3" s="1"/>
  <c r="AG64" i="3" a="1"/>
  <c r="AG64" i="3" s="1"/>
  <c r="U68" i="3" a="1"/>
  <c r="U68" i="3" s="1"/>
  <c r="U69" i="3" a="1"/>
  <c r="U69" i="3" s="1"/>
  <c r="AD63" i="3" a="1"/>
  <c r="AD63" i="3" s="1"/>
  <c r="AB60" i="3" a="1"/>
  <c r="AB60" i="3" s="1"/>
  <c r="AD64" i="3" a="1"/>
  <c r="AD64" i="3" s="1"/>
  <c r="AZ64" i="3" a="1"/>
  <c r="AZ64" i="3" s="1"/>
  <c r="AZ63" i="3" a="1"/>
  <c r="AZ63" i="3" s="1"/>
  <c r="AQ60" i="3" a="1"/>
  <c r="AQ60" i="3" s="1"/>
  <c r="AF60" i="3" a="1"/>
  <c r="AF60" i="3" s="1"/>
  <c r="BE63" i="3" a="1"/>
  <c r="BE63" i="3" s="1"/>
  <c r="BE64" i="3" a="1"/>
  <c r="BE64" i="3" s="1"/>
  <c r="AE63" i="3" a="1"/>
  <c r="AE63" i="3" s="1"/>
  <c r="AW60" i="3" a="1"/>
  <c r="AW60" i="3" s="1"/>
  <c r="AE64" i="3" a="1"/>
  <c r="AE64" i="3" s="1"/>
  <c r="AH64" i="3" a="1"/>
  <c r="AH64" i="3" s="1"/>
  <c r="AH63" i="3" a="1"/>
  <c r="AH63" i="3" s="1"/>
  <c r="AA69" i="3" a="1"/>
  <c r="AA69" i="3" s="1"/>
  <c r="I65" i="3" a="1"/>
  <c r="I65" i="3" s="1"/>
  <c r="AA68" i="3" a="1"/>
  <c r="AA68" i="3" s="1"/>
  <c r="F68" i="3" a="1"/>
  <c r="F68" i="3" s="1"/>
  <c r="U65" i="3" a="1"/>
  <c r="U65" i="3" s="1"/>
  <c r="F69" i="3" a="1"/>
  <c r="F69" i="3" s="1"/>
  <c r="AI64" i="3" a="1"/>
  <c r="AI64" i="3" s="1"/>
  <c r="AU60" i="3" a="1"/>
  <c r="AU60" i="3" s="1"/>
  <c r="AI63" i="3" a="1"/>
  <c r="AI63" i="3" s="1"/>
  <c r="S65" i="3" a="1"/>
  <c r="S65" i="3" s="1"/>
  <c r="G68" i="3" a="1"/>
  <c r="G68" i="3" s="1"/>
  <c r="G69" i="3" a="1"/>
  <c r="G69" i="3" s="1"/>
  <c r="P69" i="3" a="1"/>
  <c r="P69" i="3" s="1"/>
  <c r="C65" i="3" a="1"/>
  <c r="C65" i="3" s="1"/>
  <c r="P68" i="3" a="1"/>
  <c r="P68" i="3" s="1"/>
  <c r="S74" i="3" l="1" a="1"/>
  <c r="S74" i="3" s="1"/>
  <c r="S73" i="3" a="1"/>
  <c r="S73" i="3" s="1"/>
  <c r="Q77" i="3" s="1" a="1"/>
  <c r="Q77" i="3" s="1"/>
  <c r="W70" i="3" a="1"/>
  <c r="W70" i="3" s="1"/>
  <c r="L70" i="3" a="1"/>
  <c r="L70" i="3" s="1"/>
  <c r="T74" i="3" a="1"/>
  <c r="T74" i="3" s="1"/>
  <c r="T73" i="3" a="1"/>
  <c r="T73" i="3" s="1"/>
  <c r="AU68" i="3" a="1"/>
  <c r="AU68" i="3" s="1"/>
  <c r="AK65" i="3" a="1"/>
  <c r="AK65" i="3" s="1"/>
  <c r="AU69" i="3" a="1"/>
  <c r="AU69" i="3" s="1"/>
  <c r="AU65" i="3" a="1"/>
  <c r="AU65" i="3" s="1"/>
  <c r="AI69" i="3" a="1"/>
  <c r="AI69" i="3" s="1"/>
  <c r="AI68" i="3" a="1"/>
  <c r="AI68" i="3" s="1"/>
  <c r="BA68" i="3" a="1"/>
  <c r="BA68" i="3" s="1"/>
  <c r="BA69" i="3" a="1"/>
  <c r="BA69" i="3" s="1"/>
  <c r="M73" i="3" a="1"/>
  <c r="M73" i="3" s="1"/>
  <c r="B70" i="3" a="1"/>
  <c r="B70" i="3" s="1"/>
  <c r="M74" i="3" a="1"/>
  <c r="M74" i="3" s="1"/>
  <c r="AH69" i="3" a="1"/>
  <c r="AH69" i="3" s="1"/>
  <c r="AH68" i="3" a="1"/>
  <c r="AH68" i="3" s="1"/>
  <c r="X70" i="3" a="1"/>
  <c r="X70" i="3" s="1"/>
  <c r="L74" i="3" a="1"/>
  <c r="L74" i="3" s="1"/>
  <c r="L73" i="3" a="1"/>
  <c r="L73" i="3" s="1"/>
  <c r="N70" i="3" a="1"/>
  <c r="N70" i="3" s="1"/>
  <c r="V74" i="3" a="1"/>
  <c r="V74" i="3" s="1"/>
  <c r="V73" i="3" a="1"/>
  <c r="V73" i="3" s="1"/>
  <c r="AB74" i="3" a="1"/>
  <c r="AB74" i="3" s="1"/>
  <c r="F70" i="3" a="1"/>
  <c r="F70" i="3" s="1"/>
  <c r="AB73" i="3" a="1"/>
  <c r="AB73" i="3" s="1"/>
  <c r="AW69" i="3" a="1"/>
  <c r="AW69" i="3" s="1"/>
  <c r="AW68" i="3" a="1"/>
  <c r="AW68" i="3" s="1"/>
  <c r="AT65" i="3" a="1"/>
  <c r="AT65" i="3" s="1"/>
  <c r="AG68" i="3" a="1"/>
  <c r="AG68" i="3" s="1"/>
  <c r="AG69" i="3" a="1"/>
  <c r="AG69" i="3" s="1"/>
  <c r="AP65" i="3" a="1"/>
  <c r="AP65" i="3" s="1"/>
  <c r="AO65" i="3" a="1"/>
  <c r="AO65" i="3" s="1"/>
  <c r="BC69" i="3" a="1"/>
  <c r="BC69" i="3" s="1"/>
  <c r="BC68" i="3" a="1"/>
  <c r="BC68" i="3" s="1"/>
  <c r="AH70" i="3" a="1"/>
  <c r="AH70" i="3" s="1"/>
  <c r="AX73" i="3" a="1"/>
  <c r="AX73" i="3" s="1"/>
  <c r="AX74" i="3" a="1"/>
  <c r="AX74" i="3" s="1"/>
  <c r="C74" i="3" a="1"/>
  <c r="C74" i="3" s="1"/>
  <c r="C73" i="3" a="1"/>
  <c r="C73" i="3" s="1"/>
  <c r="Q70" i="3" a="1"/>
  <c r="Q70" i="3" s="1"/>
  <c r="F73" i="3" a="1"/>
  <c r="F73" i="3" s="1"/>
  <c r="F74" i="3" a="1"/>
  <c r="F74" i="3" s="1"/>
  <c r="U70" i="3" a="1"/>
  <c r="U70" i="3" s="1"/>
  <c r="AO68" i="3" a="1"/>
  <c r="AO68" i="3" s="1"/>
  <c r="AS65" i="3" a="1"/>
  <c r="AS65" i="3" s="1"/>
  <c r="AO69" i="3" a="1"/>
  <c r="AO69" i="3" s="1"/>
  <c r="BE69" i="3" a="1"/>
  <c r="BE69" i="3" s="1"/>
  <c r="AF65" i="3" a="1"/>
  <c r="AF65" i="3" s="1"/>
  <c r="BE68" i="3" a="1"/>
  <c r="BE68" i="3" s="1"/>
  <c r="Q74" i="3" a="1"/>
  <c r="Q74" i="3" s="1"/>
  <c r="Q73" i="3" a="1"/>
  <c r="Q73" i="3" s="1"/>
  <c r="K73" i="3" a="1"/>
  <c r="K73" i="3" s="1"/>
  <c r="P70" i="3" a="1"/>
  <c r="P70" i="3" s="1"/>
  <c r="K74" i="3" a="1"/>
  <c r="K74" i="3" s="1"/>
  <c r="X73" i="3" a="1"/>
  <c r="X73" i="3" s="1"/>
  <c r="X74" i="3" a="1"/>
  <c r="X74" i="3" s="1"/>
  <c r="AL65" i="3" a="1"/>
  <c r="AL65" i="3" s="1"/>
  <c r="AQ68" i="3" a="1"/>
  <c r="AQ68" i="3" s="1"/>
  <c r="AQ69" i="3" a="1"/>
  <c r="AQ69" i="3" s="1"/>
  <c r="AP68" i="3" a="1"/>
  <c r="AP68" i="3" s="1"/>
  <c r="AP69" i="3" a="1"/>
  <c r="AP69" i="3" s="1"/>
  <c r="Y70" i="3" a="1"/>
  <c r="Y70" i="3" s="1"/>
  <c r="AC73" i="3" a="1"/>
  <c r="AC73" i="3" s="1"/>
  <c r="AC74" i="3" a="1"/>
  <c r="AC74" i="3" s="1"/>
  <c r="AV68" i="3" a="1"/>
  <c r="AV68" i="3" s="1"/>
  <c r="AV69" i="3" a="1"/>
  <c r="AV69" i="3" s="1"/>
  <c r="AM65" i="3" a="1"/>
  <c r="AM65" i="3" s="1"/>
  <c r="AY69" i="3" a="1"/>
  <c r="AY69" i="3" s="1"/>
  <c r="AA65" i="3" a="1"/>
  <c r="AA65" i="3" s="1"/>
  <c r="AY68" i="3" a="1"/>
  <c r="AY68" i="3" s="1"/>
  <c r="AE68" i="3" a="1"/>
  <c r="AE68" i="3" s="1"/>
  <c r="AW65" i="3" a="1"/>
  <c r="AW65" i="3" s="1"/>
  <c r="AE69" i="3" a="1"/>
  <c r="AE69" i="3" s="1"/>
  <c r="Y73" i="3" a="1"/>
  <c r="Y73" i="3" s="1"/>
  <c r="R70" i="3" a="1"/>
  <c r="R70" i="3" s="1"/>
  <c r="Y74" i="3" a="1"/>
  <c r="Y74" i="3" s="1"/>
  <c r="Z74" i="3" a="1"/>
  <c r="Z74" i="3" s="1"/>
  <c r="Z73" i="3" a="1"/>
  <c r="Z73" i="3" s="1"/>
  <c r="X77" i="3" s="1" a="1"/>
  <c r="X77" i="3" s="1"/>
  <c r="V70" i="3" a="1"/>
  <c r="V70" i="3" s="1"/>
  <c r="I69" i="3" a="1"/>
  <c r="I69" i="3" s="1"/>
  <c r="I68" i="3" a="1"/>
  <c r="I68" i="3" s="1"/>
  <c r="M65" i="3" a="1"/>
  <c r="M65" i="3" s="1"/>
  <c r="AA74" i="3" a="1"/>
  <c r="AA74" i="3" s="1"/>
  <c r="I70" i="3" a="1"/>
  <c r="I70" i="3" s="1"/>
  <c r="AA73" i="3" a="1"/>
  <c r="AA73" i="3" s="1"/>
  <c r="AK69" i="3" a="1"/>
  <c r="AK69" i="3" s="1"/>
  <c r="AK68" i="3" a="1"/>
  <c r="AK68" i="3" s="1"/>
  <c r="G70" i="3" a="1"/>
  <c r="G70" i="3" s="1"/>
  <c r="D73" i="3" a="1"/>
  <c r="D73" i="3" s="1"/>
  <c r="D74" i="3" a="1"/>
  <c r="D74" i="3" s="1"/>
  <c r="R74" i="3" a="1"/>
  <c r="R74" i="3" s="1"/>
  <c r="R73" i="3" a="1"/>
  <c r="R73" i="3" s="1"/>
  <c r="O70" i="3" a="1"/>
  <c r="O70" i="3" s="1"/>
  <c r="J68" i="3" a="1"/>
  <c r="J68" i="3" s="1"/>
  <c r="D65" i="3" a="1"/>
  <c r="D65" i="3" s="1"/>
  <c r="J69" i="3" a="1"/>
  <c r="J69" i="3" s="1"/>
  <c r="K68" i="3" a="1"/>
  <c r="K68" i="3" s="1"/>
  <c r="P65" i="3" a="1"/>
  <c r="P65" i="3" s="1"/>
  <c r="K69" i="3" a="1"/>
  <c r="K69" i="3" s="1"/>
  <c r="AE65" i="3" a="1"/>
  <c r="AE65" i="3" s="1"/>
  <c r="BB68" i="3" a="1"/>
  <c r="BB68" i="3" s="1"/>
  <c r="BB69" i="3" a="1"/>
  <c r="BB69" i="3" s="1"/>
  <c r="N73" i="3" a="1"/>
  <c r="N73" i="3" s="1"/>
  <c r="J70" i="3" a="1"/>
  <c r="J70" i="3" s="1"/>
  <c r="N74" i="3" a="1"/>
  <c r="N74" i="3" s="1"/>
  <c r="AL73" i="3" a="1"/>
  <c r="AL73" i="3" s="1"/>
  <c r="AN70" i="3" a="1"/>
  <c r="AN70" i="3" s="1"/>
  <c r="AL74" i="3" a="1"/>
  <c r="AL74" i="3" s="1"/>
  <c r="AD68" i="3" a="1"/>
  <c r="AD68" i="3" s="1"/>
  <c r="AB65" i="3" a="1"/>
  <c r="AB65" i="3" s="1"/>
  <c r="AD69" i="3" a="1"/>
  <c r="AD69" i="3" s="1"/>
  <c r="AS69" i="3" a="1"/>
  <c r="AS69" i="3" s="1"/>
  <c r="AS68" i="3" a="1"/>
  <c r="AS68" i="3" s="1"/>
  <c r="AR65" i="3" a="1"/>
  <c r="AR65" i="3" s="1"/>
  <c r="H70" i="3" a="1"/>
  <c r="H70" i="3" s="1"/>
  <c r="B74" i="3" a="1"/>
  <c r="B74" i="3" s="1"/>
  <c r="B73" i="3" a="1"/>
  <c r="B73" i="3" s="1"/>
  <c r="AH74" i="3" a="1"/>
  <c r="AH74" i="3" s="1"/>
  <c r="AH73" i="3" a="1"/>
  <c r="AH73" i="3" s="1"/>
  <c r="AI65" i="3" a="1"/>
  <c r="AI65" i="3" s="1"/>
  <c r="AR69" i="3" a="1"/>
  <c r="AR69" i="3" s="1"/>
  <c r="AR68" i="3" a="1"/>
  <c r="AR68" i="3" s="1"/>
  <c r="AH65" i="3" a="1"/>
  <c r="AH65" i="3" s="1"/>
  <c r="AX68" i="3" a="1"/>
  <c r="AX68" i="3" s="1"/>
  <c r="AX69" i="3" a="1"/>
  <c r="AX69" i="3" s="1"/>
  <c r="AF68" i="3" a="1"/>
  <c r="AF68" i="3" s="1"/>
  <c r="AF69" i="3" a="1"/>
  <c r="AF69" i="3" s="1"/>
  <c r="AJ65" i="3" a="1"/>
  <c r="AJ65" i="3" s="1"/>
  <c r="U74" i="3" a="1"/>
  <c r="U74" i="3" s="1"/>
  <c r="U73" i="3" a="1"/>
  <c r="U73" i="3" s="1"/>
  <c r="AT69" i="3" a="1"/>
  <c r="AT69" i="3" s="1"/>
  <c r="AD65" i="3" a="1"/>
  <c r="AD65" i="3" s="1"/>
  <c r="AT68" i="3" a="1"/>
  <c r="AT68" i="3" s="1"/>
  <c r="E73" i="3" a="1"/>
  <c r="E73" i="3" s="1"/>
  <c r="K70" i="3" a="1"/>
  <c r="K70" i="3" s="1"/>
  <c r="E74" i="3" a="1"/>
  <c r="E74" i="3" s="1"/>
  <c r="BD68" i="3" a="1"/>
  <c r="BD68" i="3" s="1"/>
  <c r="AV65" i="3" a="1"/>
  <c r="AV65" i="3" s="1"/>
  <c r="BD69" i="3" a="1"/>
  <c r="BD69" i="3" s="1"/>
  <c r="AI77" i="3" a="1"/>
  <c r="AI77" i="3" s="1"/>
  <c r="AU75" i="3" a="1"/>
  <c r="AU75" i="3" s="1"/>
  <c r="W73" i="3" a="1"/>
  <c r="W73" i="3" s="1"/>
  <c r="U77" i="3" s="1" a="1"/>
  <c r="U77" i="3" s="1"/>
  <c r="W74" i="3" a="1"/>
  <c r="W74" i="3" s="1"/>
  <c r="E70" i="3" a="1"/>
  <c r="E70" i="3" s="1"/>
  <c r="Q68" i="3" a="1"/>
  <c r="Q68" i="3" s="1"/>
  <c r="Q69" i="3" a="1"/>
  <c r="Q69" i="3" s="1"/>
  <c r="R68" i="3" a="1"/>
  <c r="R68" i="3" s="1"/>
  <c r="R69" i="3" a="1"/>
  <c r="R69" i="3" s="1"/>
  <c r="O65" i="3" a="1"/>
  <c r="O65" i="3" s="1"/>
  <c r="X65" i="3" a="1"/>
  <c r="X65" i="3" s="1"/>
  <c r="L69" i="3" a="1"/>
  <c r="L69" i="3" s="1"/>
  <c r="L68" i="3" a="1"/>
  <c r="L68" i="3" s="1"/>
  <c r="AJ74" i="3" a="1"/>
  <c r="AJ74" i="3" s="1"/>
  <c r="AC70" i="3" a="1"/>
  <c r="AC70" i="3" s="1"/>
  <c r="AJ73" i="3" a="1"/>
  <c r="AJ73" i="3" s="1"/>
  <c r="AH77" i="3" s="1" a="1"/>
  <c r="AH77" i="3" s="1"/>
  <c r="C75" i="3" l="1" a="1"/>
  <c r="C75" i="3" s="1"/>
  <c r="P77" i="3" a="1"/>
  <c r="P77" i="3" s="1"/>
  <c r="AM74" i="3" a="1"/>
  <c r="AM74" i="3" s="1"/>
  <c r="AM73" i="3" a="1"/>
  <c r="AM73" i="3" s="1"/>
  <c r="AK77" i="3" s="1" a="1"/>
  <c r="AK77" i="3" s="1"/>
  <c r="AG70" i="3" a="1"/>
  <c r="AG70" i="3" s="1"/>
  <c r="L77" i="3" a="1"/>
  <c r="L77" i="3" s="1"/>
  <c r="X75" i="3" a="1"/>
  <c r="X75" i="3" s="1"/>
  <c r="N75" i="3" a="1"/>
  <c r="N75" i="3" s="1"/>
  <c r="V77" i="3" a="1"/>
  <c r="V77" i="3" s="1"/>
  <c r="J77" i="3" a="1"/>
  <c r="J77" i="3" s="1"/>
  <c r="D75" i="3" a="1"/>
  <c r="D75" i="3" s="1"/>
  <c r="BB74" i="3" a="1"/>
  <c r="BB74" i="3" s="1"/>
  <c r="AE70" i="3" a="1"/>
  <c r="AE70" i="3" s="1"/>
  <c r="BB73" i="3" a="1"/>
  <c r="BB73" i="3" s="1"/>
  <c r="AZ74" i="3" a="1"/>
  <c r="AZ74" i="3" s="1"/>
  <c r="AZ73" i="3" a="1"/>
  <c r="AZ73" i="3" s="1"/>
  <c r="AQ70" i="3" a="1"/>
  <c r="AQ70" i="3" s="1"/>
  <c r="H75" i="3" a="1"/>
  <c r="H75" i="3" s="1"/>
  <c r="AT74" i="3" a="1"/>
  <c r="AT74" i="3" s="1"/>
  <c r="AD70" i="3" a="1"/>
  <c r="AD70" i="3" s="1"/>
  <c r="AT73" i="3" a="1"/>
  <c r="AT73" i="3" s="1"/>
  <c r="D77" i="3" a="1"/>
  <c r="D77" i="3" s="1"/>
  <c r="G75" i="3" a="1"/>
  <c r="G75" i="3" s="1"/>
  <c r="AE73" i="3" a="1"/>
  <c r="AE73" i="3" s="1"/>
  <c r="AW70" i="3" a="1"/>
  <c r="AW70" i="3" s="1"/>
  <c r="AE74" i="3" a="1"/>
  <c r="AE74" i="3" s="1"/>
  <c r="F75" i="3" a="1"/>
  <c r="F75" i="3" s="1"/>
  <c r="AB77" i="3" a="1"/>
  <c r="AB77" i="3" s="1"/>
  <c r="AV74" i="3" a="1"/>
  <c r="AV74" i="3" s="1"/>
  <c r="AV73" i="3" a="1"/>
  <c r="AV73" i="3" s="1"/>
  <c r="AM70" i="3" a="1"/>
  <c r="AM70" i="3" s="1"/>
  <c r="I77" i="3" a="1"/>
  <c r="I77" i="3" s="1"/>
  <c r="M75" i="3" a="1"/>
  <c r="M75" i="3" s="1"/>
  <c r="AF73" i="3" a="1"/>
  <c r="AF73" i="3" s="1"/>
  <c r="AF74" i="3" a="1"/>
  <c r="AF74" i="3" s="1"/>
  <c r="AJ70" i="3" a="1"/>
  <c r="AJ70" i="3" s="1"/>
  <c r="AS74" i="3" a="1"/>
  <c r="AS74" i="3" s="1"/>
  <c r="AS73" i="3" a="1"/>
  <c r="AS73" i="3" s="1"/>
  <c r="AR70" i="3" a="1"/>
  <c r="AR70" i="3" s="1"/>
  <c r="AG73" i="3" a="1"/>
  <c r="AG73" i="3" s="1"/>
  <c r="AG74" i="3" a="1"/>
  <c r="AG74" i="3" s="1"/>
  <c r="AP70" i="3" a="1"/>
  <c r="AP70" i="3" s="1"/>
  <c r="AU70" i="3" a="1"/>
  <c r="AU70" i="3" s="1"/>
  <c r="AI74" i="3" a="1"/>
  <c r="AI74" i="3" s="1"/>
  <c r="AI73" i="3" a="1"/>
  <c r="AI73" i="3" s="1"/>
  <c r="I75" i="3" a="1"/>
  <c r="I75" i="3" s="1"/>
  <c r="AA77" i="3" a="1"/>
  <c r="AA77" i="3" s="1"/>
  <c r="T75" i="3" a="1"/>
  <c r="T75" i="3" s="1"/>
  <c r="O77" i="3" a="1"/>
  <c r="O77" i="3" s="1"/>
  <c r="AC77" i="3" a="1"/>
  <c r="AC77" i="3" s="1"/>
  <c r="Y75" i="3" a="1"/>
  <c r="Y75" i="3" s="1"/>
  <c r="AU73" i="3" a="1"/>
  <c r="AU73" i="3" s="1"/>
  <c r="AK70" i="3" a="1"/>
  <c r="AK70" i="3" s="1"/>
  <c r="AU74" i="3" a="1"/>
  <c r="AU74" i="3" s="1"/>
  <c r="R77" i="3" a="1"/>
  <c r="R77" i="3" s="1"/>
  <c r="O75" i="3" a="1"/>
  <c r="O75" i="3" s="1"/>
  <c r="Q75" i="3" a="1"/>
  <c r="Q75" i="3" s="1"/>
  <c r="C77" i="3" a="1"/>
  <c r="C77" i="3" s="1"/>
  <c r="W77" i="3" a="1"/>
  <c r="W77" i="3" s="1"/>
  <c r="E75" i="3" a="1"/>
  <c r="E75" i="3" s="1"/>
  <c r="AL70" i="3" a="1"/>
  <c r="AL70" i="3" s="1"/>
  <c r="AQ74" i="3" a="1"/>
  <c r="AQ74" i="3" s="1"/>
  <c r="AQ73" i="3" a="1"/>
  <c r="AQ73" i="3" s="1"/>
  <c r="O73" i="3" a="1"/>
  <c r="O73" i="3" s="1"/>
  <c r="T70" i="3" a="1"/>
  <c r="T70" i="3" s="1"/>
  <c r="O74" i="3" a="1"/>
  <c r="O74" i="3" s="1"/>
  <c r="AI70" i="3" a="1"/>
  <c r="AI70" i="3" s="1"/>
  <c r="AR74" i="3" a="1"/>
  <c r="AR74" i="3" s="1"/>
  <c r="AR73" i="3" a="1"/>
  <c r="AR73" i="3" s="1"/>
  <c r="AP77" i="3" s="1" a="1"/>
  <c r="AP77" i="3" s="1"/>
  <c r="BD73" i="3" a="1"/>
  <c r="BD73" i="3" s="1"/>
  <c r="BD74" i="3" a="1"/>
  <c r="BD74" i="3" s="1"/>
  <c r="AV70" i="3" a="1"/>
  <c r="AV70" i="3" s="1"/>
  <c r="I74" i="3" a="1"/>
  <c r="I74" i="3" s="1"/>
  <c r="M70" i="3" a="1"/>
  <c r="M70" i="3" s="1"/>
  <c r="I73" i="3" a="1"/>
  <c r="I73" i="3" s="1"/>
  <c r="Y77" i="3" a="1"/>
  <c r="Y77" i="3" s="1"/>
  <c r="R75" i="3" a="1"/>
  <c r="R75" i="3" s="1"/>
  <c r="BC74" i="3" a="1"/>
  <c r="BC74" i="3" s="1"/>
  <c r="AO70" i="3" a="1"/>
  <c r="AO70" i="3" s="1"/>
  <c r="BC73" i="3" a="1"/>
  <c r="BC73" i="3" s="1"/>
  <c r="BA77" i="3" s="1" a="1"/>
  <c r="BA77" i="3" s="1"/>
  <c r="V75" i="3" a="1"/>
  <c r="V75" i="3" s="1"/>
  <c r="Z77" i="3" a="1"/>
  <c r="Z77" i="3" s="1"/>
  <c r="AD74" i="3" a="1"/>
  <c r="AD74" i="3" s="1"/>
  <c r="AD73" i="3" a="1"/>
  <c r="AD73" i="3" s="1"/>
  <c r="AB70" i="3" a="1"/>
  <c r="AB70" i="3" s="1"/>
  <c r="C70" i="3" a="1"/>
  <c r="C70" i="3" s="1"/>
  <c r="P74" i="3" a="1"/>
  <c r="P74" i="3" s="1"/>
  <c r="P73" i="3" a="1"/>
  <c r="P73" i="3" s="1"/>
  <c r="AP73" i="3" a="1"/>
  <c r="AP73" i="3" s="1"/>
  <c r="AP74" i="3" a="1"/>
  <c r="AP74" i="3" s="1"/>
  <c r="AN73" i="3" a="1"/>
  <c r="AN73" i="3" s="1"/>
  <c r="AN74" i="3" a="1"/>
  <c r="AN74" i="3" s="1"/>
  <c r="Z70" i="3" a="1"/>
  <c r="Z70" i="3" s="1"/>
  <c r="AM75" i="3" a="1"/>
  <c r="AM75" i="3" s="1"/>
  <c r="AV77" i="3" a="1"/>
  <c r="AV77" i="3" s="1"/>
  <c r="K77" i="3" a="1"/>
  <c r="K77" i="3" s="1"/>
  <c r="P75" i="3" a="1"/>
  <c r="P75" i="3" s="1"/>
  <c r="J73" i="3" a="1"/>
  <c r="J73" i="3" s="1"/>
  <c r="H77" i="3" s="1" a="1"/>
  <c r="H77" i="3" s="1"/>
  <c r="D70" i="3" a="1"/>
  <c r="D70" i="3" s="1"/>
  <c r="J74" i="3" a="1"/>
  <c r="J74" i="3" s="1"/>
  <c r="AF77" i="3" a="1"/>
  <c r="AF77" i="3" s="1"/>
  <c r="AJ75" i="3" a="1"/>
  <c r="AJ75" i="3" s="1"/>
  <c r="BE74" i="3" a="1"/>
  <c r="BE74" i="3" s="1"/>
  <c r="BE73" i="3" a="1"/>
  <c r="BE73" i="3" s="1"/>
  <c r="AF70" i="3" a="1"/>
  <c r="AF70" i="3" s="1"/>
  <c r="S70" i="3" a="1"/>
  <c r="S70" i="3" s="1"/>
  <c r="G74" i="3" a="1"/>
  <c r="G74" i="3" s="1"/>
  <c r="G73" i="3" a="1"/>
  <c r="G73" i="3" s="1"/>
  <c r="S77" i="3" a="1"/>
  <c r="S77" i="3" s="1"/>
  <c r="W75" i="3" a="1"/>
  <c r="W75" i="3" s="1"/>
  <c r="AJ77" i="3" a="1"/>
  <c r="AJ77" i="3" s="1"/>
  <c r="AC75" i="3" a="1"/>
  <c r="AC75" i="3" s="1"/>
  <c r="H74" i="3" a="1"/>
  <c r="H74" i="3" s="1"/>
  <c r="H73" i="3" a="1"/>
  <c r="H73" i="3" s="1"/>
  <c r="AW73" i="3" a="1"/>
  <c r="AW73" i="3" s="1"/>
  <c r="AW74" i="3" a="1"/>
  <c r="AW74" i="3" s="1"/>
  <c r="AT70" i="3" a="1"/>
  <c r="AT70" i="3" s="1"/>
  <c r="AS70" i="3" a="1"/>
  <c r="AS70" i="3" s="1"/>
  <c r="AO73" i="3" a="1"/>
  <c r="AO73" i="3" s="1"/>
  <c r="AO74" i="3" a="1"/>
  <c r="AO74" i="3" s="1"/>
  <c r="BA74" i="3" a="1"/>
  <c r="BA74" i="3" s="1"/>
  <c r="BA73" i="3" a="1"/>
  <c r="BA73" i="3" s="1"/>
  <c r="T77" i="3" a="1"/>
  <c r="T77" i="3" s="1"/>
  <c r="L75" i="3" a="1"/>
  <c r="L75" i="3" s="1"/>
  <c r="AA70" i="3" a="1"/>
  <c r="AA70" i="3" s="1"/>
  <c r="AY73" i="3" a="1"/>
  <c r="AY73" i="3" s="1"/>
  <c r="AY74" i="3" a="1"/>
  <c r="AY74" i="3" s="1"/>
  <c r="BB77" i="3" l="1" a="1"/>
  <c r="BB77" i="3" s="1"/>
  <c r="AE75" i="3" a="1"/>
  <c r="AE75" i="3" s="1"/>
  <c r="AB75" i="3" a="1"/>
  <c r="AB75" i="3" s="1"/>
  <c r="AD77" i="3" a="1"/>
  <c r="AD77" i="3" s="1"/>
  <c r="AG75" i="3" a="1"/>
  <c r="AG75" i="3" s="1"/>
  <c r="AM77" i="3" a="1"/>
  <c r="AM77" i="3" s="1"/>
  <c r="AG77" i="3" a="1"/>
  <c r="AG77" i="3" s="1"/>
  <c r="AP75" i="3" a="1"/>
  <c r="AP75" i="3" s="1"/>
  <c r="AR77" i="3" a="1"/>
  <c r="AR77" i="3" s="1"/>
  <c r="AI75" i="3" a="1"/>
  <c r="AI75" i="3" s="1"/>
  <c r="BC77" i="3" a="1"/>
  <c r="BC77" i="3" s="1"/>
  <c r="AO75" i="3" a="1"/>
  <c r="AO75" i="3" s="1"/>
  <c r="AU77" i="3" a="1"/>
  <c r="AU77" i="3" s="1"/>
  <c r="AK75" i="3" a="1"/>
  <c r="AK75" i="3" s="1"/>
  <c r="AT77" i="3" a="1"/>
  <c r="AT77" i="3" s="1"/>
  <c r="AD75" i="3" a="1"/>
  <c r="AD75" i="3" s="1"/>
  <c r="Z75" i="3" a="1"/>
  <c r="Z75" i="3" s="1"/>
  <c r="AN77" i="3" a="1"/>
  <c r="AN77" i="3" s="1"/>
  <c r="AT75" i="3" a="1"/>
  <c r="AT75" i="3" s="1"/>
  <c r="AW77" i="3" a="1"/>
  <c r="AW77" i="3" s="1"/>
  <c r="J75" i="3" a="1"/>
  <c r="J75" i="3" s="1"/>
  <c r="N77" i="3" a="1"/>
  <c r="N77" i="3" s="1"/>
  <c r="M77" i="3" a="1"/>
  <c r="M77" i="3" s="1"/>
  <c r="B75" i="3" a="1"/>
  <c r="B75" i="3" s="1"/>
  <c r="AR75" i="3" a="1"/>
  <c r="AR75" i="3" s="1"/>
  <c r="AS77" i="3" a="1"/>
  <c r="AS77" i="3" s="1"/>
  <c r="AE77" i="3" a="1"/>
  <c r="AE77" i="3" s="1"/>
  <c r="AW75" i="3" a="1"/>
  <c r="AW75" i="3" s="1"/>
  <c r="G77" i="3" a="1"/>
  <c r="G77" i="3" s="1"/>
  <c r="S75" i="3" a="1"/>
  <c r="S75" i="3" s="1"/>
  <c r="AS75" i="3" a="1"/>
  <c r="AS75" i="3" s="1"/>
  <c r="AO77" i="3" a="1"/>
  <c r="AO77" i="3" s="1"/>
  <c r="AH75" i="3" a="1"/>
  <c r="AH75" i="3" s="1"/>
  <c r="AX77" i="3" a="1"/>
  <c r="AX77" i="3" s="1"/>
  <c r="F77" i="3" a="1"/>
  <c r="F77" i="3" s="1"/>
  <c r="U75" i="3" a="1"/>
  <c r="U75" i="3" s="1"/>
  <c r="AA75" i="3" a="1"/>
  <c r="AA75" i="3" s="1"/>
  <c r="AY77" i="3" a="1"/>
  <c r="AY77" i="3" s="1"/>
  <c r="AL75" i="3" a="1"/>
  <c r="AL75" i="3" s="1"/>
  <c r="AQ77" i="3" a="1"/>
  <c r="AQ77" i="3" s="1"/>
  <c r="AN75" i="3" a="1"/>
  <c r="AN75" i="3" s="1"/>
  <c r="AL77" i="3" a="1"/>
  <c r="AL77" i="3" s="1"/>
  <c r="AZ77" i="3" a="1"/>
  <c r="AZ77" i="3" s="1"/>
  <c r="AQ75" i="3" a="1"/>
  <c r="AQ75" i="3" s="1"/>
  <c r="K75" i="3" a="1"/>
  <c r="K75" i="3" s="1"/>
  <c r="E77" i="3" a="1"/>
  <c r="E77" i="3" s="1"/>
  <c r="BD77" i="3" a="1"/>
  <c r="BD77" i="3" s="1"/>
  <c r="AV75" i="3" a="1"/>
  <c r="AV75" i="3" s="1"/>
  <c r="AF75" i="3" a="1"/>
  <c r="AF75" i="3" s="1"/>
  <c r="BE77" i="3" a="1"/>
  <c r="BE77" i="3" s="1"/>
  <c r="B24" i="3" l="1"/>
  <c r="B24" i="3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<sst xmlns="http://schemas.openxmlformats.org/spreadsheetml/2006/main" count="333" uniqueCount="213">
  <si>
    <t>00123456789abcde</t>
  </si>
  <si>
    <t>0133457799bbcdff</t>
  </si>
  <si>
    <t>D1</t>
  </si>
  <si>
    <t>C1</t>
  </si>
  <si>
    <t>C0</t>
  </si>
  <si>
    <t>D0</t>
  </si>
  <si>
    <t>C1||D1</t>
  </si>
  <si>
    <t>K1</t>
  </si>
  <si>
    <t>K2</t>
  </si>
  <si>
    <t>Round2:</t>
  </si>
  <si>
    <t>Round 1:</t>
  </si>
  <si>
    <t>K-PC-1</t>
  </si>
  <si>
    <t>C2</t>
  </si>
  <si>
    <t>D2</t>
  </si>
  <si>
    <t>S1</t>
  </si>
  <si>
    <t>S2</t>
  </si>
  <si>
    <t>S3</t>
  </si>
  <si>
    <t>S4</t>
  </si>
  <si>
    <t>S5</t>
  </si>
  <si>
    <t>S6</t>
  </si>
  <si>
    <t>S7</t>
  </si>
  <si>
    <t>S8</t>
  </si>
  <si>
    <t>PC_2</t>
  </si>
  <si>
    <t>PC_1</t>
  </si>
  <si>
    <t>P</t>
  </si>
  <si>
    <t>E</t>
  </si>
  <si>
    <t>FB</t>
  </si>
  <si>
    <t>IP</t>
  </si>
  <si>
    <t>M</t>
  </si>
  <si>
    <t>K</t>
  </si>
  <si>
    <t>C2||D2</t>
  </si>
  <si>
    <t>Round3:</t>
  </si>
  <si>
    <t>C3</t>
  </si>
  <si>
    <t>D3</t>
  </si>
  <si>
    <t>K3</t>
  </si>
  <si>
    <t>C3||D3</t>
  </si>
  <si>
    <t>Round4:</t>
  </si>
  <si>
    <t>C4</t>
  </si>
  <si>
    <t>C4||D4</t>
  </si>
  <si>
    <t>K4</t>
  </si>
  <si>
    <t>D4</t>
  </si>
  <si>
    <t>Round5</t>
  </si>
  <si>
    <t>C5</t>
  </si>
  <si>
    <t>D5</t>
  </si>
  <si>
    <t>C5||D5</t>
  </si>
  <si>
    <t>K5</t>
  </si>
  <si>
    <t>Round 6</t>
  </si>
  <si>
    <t>C6</t>
  </si>
  <si>
    <t>C6||D6</t>
  </si>
  <si>
    <t>K6</t>
  </si>
  <si>
    <t>D6</t>
  </si>
  <si>
    <t>Round 7</t>
  </si>
  <si>
    <t>C7</t>
  </si>
  <si>
    <t>C7||D7</t>
  </si>
  <si>
    <t>K7</t>
  </si>
  <si>
    <t>Round 8</t>
  </si>
  <si>
    <t>C8</t>
  </si>
  <si>
    <t>C8||D8</t>
  </si>
  <si>
    <t>K8</t>
  </si>
  <si>
    <t>D8</t>
  </si>
  <si>
    <t>D7</t>
  </si>
  <si>
    <t>Round 9</t>
  </si>
  <si>
    <t>C9</t>
  </si>
  <si>
    <t>C9||D9</t>
  </si>
  <si>
    <t>K9</t>
  </si>
  <si>
    <t>Round 10</t>
  </si>
  <si>
    <t>C10</t>
  </si>
  <si>
    <t>C10||D10</t>
  </si>
  <si>
    <t>K10</t>
  </si>
  <si>
    <t>D10</t>
  </si>
  <si>
    <t>Round 11</t>
  </si>
  <si>
    <t>C11</t>
  </si>
  <si>
    <t>C11||D11</t>
  </si>
  <si>
    <t>K11</t>
  </si>
  <si>
    <t>D11</t>
  </si>
  <si>
    <t>Round 12</t>
  </si>
  <si>
    <t>C12</t>
  </si>
  <si>
    <t>C12||D12</t>
  </si>
  <si>
    <t>K12</t>
  </si>
  <si>
    <t>Round 13</t>
  </si>
  <si>
    <t>C13</t>
  </si>
  <si>
    <t>C13||D13</t>
  </si>
  <si>
    <t>K13</t>
  </si>
  <si>
    <t>Round 14</t>
  </si>
  <si>
    <t>C14</t>
  </si>
  <si>
    <t>C14||D14</t>
  </si>
  <si>
    <t>K14</t>
  </si>
  <si>
    <t>K15</t>
  </si>
  <si>
    <t>C15||D15</t>
  </si>
  <si>
    <t>Round 15</t>
  </si>
  <si>
    <t>Round 16</t>
  </si>
  <si>
    <t>C16</t>
  </si>
  <si>
    <t>C16||D16</t>
  </si>
  <si>
    <t>K16</t>
  </si>
  <si>
    <t>D12</t>
  </si>
  <si>
    <t>D13</t>
  </si>
  <si>
    <t>C15</t>
  </si>
  <si>
    <t>D15</t>
  </si>
  <si>
    <t>D16</t>
  </si>
  <si>
    <t>L0</t>
  </si>
  <si>
    <t>R0</t>
  </si>
  <si>
    <t>Round 1</t>
  </si>
  <si>
    <t>E(R0)</t>
  </si>
  <si>
    <t>XOR với K1</t>
  </si>
  <si>
    <t>0101</t>
  </si>
  <si>
    <t>0000</t>
  </si>
  <si>
    <t>0011</t>
  </si>
  <si>
    <t>Hoán vị</t>
  </si>
  <si>
    <t>0111</t>
  </si>
  <si>
    <t>1101</t>
  </si>
  <si>
    <t>0001</t>
  </si>
  <si>
    <t>0110</t>
  </si>
  <si>
    <t>1001</t>
  </si>
  <si>
    <t>1010</t>
  </si>
  <si>
    <t>R1:</t>
  </si>
  <si>
    <t>1111</t>
  </si>
  <si>
    <t>0010</t>
  </si>
  <si>
    <t>Round 2</t>
  </si>
  <si>
    <t>E(R1)</t>
  </si>
  <si>
    <t>XOR</t>
  </si>
  <si>
    <t>1000</t>
  </si>
  <si>
    <t>0100</t>
  </si>
  <si>
    <t>R2</t>
  </si>
  <si>
    <t>1100</t>
  </si>
  <si>
    <t>Round 3</t>
  </si>
  <si>
    <t>Round 4</t>
  </si>
  <si>
    <t>E(R2)</t>
  </si>
  <si>
    <t>1011</t>
  </si>
  <si>
    <t>R3</t>
  </si>
  <si>
    <t>E(R3)</t>
  </si>
  <si>
    <t>R4</t>
  </si>
  <si>
    <t>Round 5</t>
  </si>
  <si>
    <t>E(R4)</t>
  </si>
  <si>
    <t>R5</t>
  </si>
  <si>
    <t>E(R5)</t>
  </si>
  <si>
    <t>R6</t>
  </si>
  <si>
    <t>E(R6)</t>
  </si>
  <si>
    <t>R7</t>
  </si>
  <si>
    <t>E(R7)</t>
  </si>
  <si>
    <t>R8</t>
  </si>
  <si>
    <t>E(R8)</t>
  </si>
  <si>
    <t>R9</t>
  </si>
  <si>
    <t>E(R9)</t>
  </si>
  <si>
    <t>R10</t>
  </si>
  <si>
    <t>E(R10)</t>
  </si>
  <si>
    <t>R11</t>
  </si>
  <si>
    <t>E(R11)</t>
  </si>
  <si>
    <t>R12</t>
  </si>
  <si>
    <t>E(R13)</t>
  </si>
  <si>
    <t>R13</t>
  </si>
  <si>
    <t>R14</t>
  </si>
  <si>
    <t>E(R15)</t>
  </si>
  <si>
    <t>R15</t>
  </si>
  <si>
    <t>E(R14)</t>
  </si>
  <si>
    <t>R16</t>
  </si>
  <si>
    <t>0110 1010 1010 0110 1000 1010 1000 1010 0100 1010 1001 1010 1000 1000 1010 0001</t>
  </si>
  <si>
    <t>0000 0011 0001 0000 0000 0001 0001 0011 0001 1110 0111 1001 1100 0000</t>
  </si>
  <si>
    <t>1111 0010 1001 0001 0001 0100 1010 1010 0000 1010 0110 1110</t>
  </si>
  <si>
    <t>1001 1100 0110 0101 0011 0100 1010 0101 1001 0011 0010 0111</t>
  </si>
  <si>
    <t>1100 1111 1000 0010 1010 1010 1001 0101 1010 1000 1010 0111</t>
  </si>
  <si>
    <t>1011 0011 0110 1110 1010 111 100 1010 0100 1110 0110 0101</t>
  </si>
  <si>
    <t>1101 1000 0011 0010 0011 0111 1111 1101</t>
  </si>
  <si>
    <t>0000 1101 0010 0110 1011 1100 1111 0101</t>
  </si>
  <si>
    <t>1000 0101 1010 1001 0001 0011 0110 0011 0101 0010 1110 1111</t>
  </si>
  <si>
    <t>1110 0110 0000 1100 0001 0011 0110 0011 0101 0010 1110 1111</t>
  </si>
  <si>
    <t>1010 1111 1100 0100 0011 1011 0010 0101</t>
  </si>
  <si>
    <t>0011 0011 1001 0001 0001 0110 0011 0110</t>
  </si>
  <si>
    <t>0001 1010 0111 1100 1010 0010 1000 1010 1100 0001 1010 1100</t>
  </si>
  <si>
    <t>0111 0110 1111 1000 0001 0101 0000 0000 0010 0101 1010 1010</t>
  </si>
  <si>
    <t>0100 1110 0101 0001 0010 0011 1010 0010</t>
  </si>
  <si>
    <t>0100 0011 0111 0111 1001 1111 0101 0111</t>
  </si>
  <si>
    <t>1010 0000 0110 1011 1010 1111 1100 1111 1101 0101 0101 1000</t>
  </si>
  <si>
    <t>0101 0111 1110 0011 1001 0101 0010 0011 0000 1101 0010 1111</t>
  </si>
  <si>
    <t>0110 1100 1111 1101 1110 1100 1011 1000</t>
  </si>
  <si>
    <t>0101 1111 0110 1100 1111 1010 1000 1110</t>
  </si>
  <si>
    <t>0010 1111 1110 1011 0101 1001 0111 1111 0101 0100 0101 1100</t>
  </si>
  <si>
    <t>1110 1111 0011 0000 1011 0010 0101 1000 1110 1100 0111 0101</t>
  </si>
  <si>
    <t>1111 1011 000 0110 0000 0000 1011 0001</t>
  </si>
  <si>
    <t xml:space="preserve">1011 1000 0111 0001 1001 1111 1111 1110 </t>
  </si>
  <si>
    <t>0101 1111 0000 0011 1010 0011 1100 1111 1111 1111 0000 1101</t>
  </si>
  <si>
    <t>1110 1110 1111 0000 1110 0100 1010 1100 1110 0010 0111 1011</t>
  </si>
  <si>
    <t>1101 0101 0001 0101 0000 1000 1110 0100</t>
  </si>
  <si>
    <t>1000 1010 1111 0011 1110 0010 0110 1010</t>
  </si>
  <si>
    <t>0100 0101 0100 0011 1111 0011 1111 1010 0100 1100 0101 0101</t>
  </si>
  <si>
    <t>0110 0100 0001 1100 0011 0000 1111 0111 1100 1010 1101 1011</t>
  </si>
  <si>
    <t>1111 1100 1111 0110 0111 0001 0100 0110</t>
  </si>
  <si>
    <t>0100 0100 1000 0111 1110 1110 1010 0000</t>
  </si>
  <si>
    <t>0010 0000 1001 0100 0000 1111 1111 0101 1101 0101 0000 0000</t>
  </si>
  <si>
    <t>0101 0001 1110 0101 1111 1010 1011 0000 1000 1001 1101 0101</t>
  </si>
  <si>
    <t>0111 0000 0100 1111 1010 0011 1010 0101</t>
  </si>
  <si>
    <t>1111 1010 0011 0110 0101 0000 1100 1111</t>
  </si>
  <si>
    <t>1111 1111 0100 0001 1010 1100 0010 1010 0011 1110 0101 1111</t>
  </si>
  <si>
    <t>0110 1010 1000 0100 0111 1101 0110 0001 1011 1110 1010 0010</t>
  </si>
  <si>
    <t>0111 1011 1111 1110 0010 1000 000 01110</t>
  </si>
  <si>
    <t>0011 1111 0111 1001 1100 0110 1010 011</t>
  </si>
  <si>
    <t>0001 1110 1110 1011 1111 0011 1110 0000 1101 0101 0000 1100</t>
  </si>
  <si>
    <t>0100 1000 1010 1000 0100 0100 1100 0110 0000 1001 0000 0001</t>
  </si>
  <si>
    <t>0110 0101 1111 1100 0111 1010 0100 1000</t>
  </si>
  <si>
    <t>1001 1111 1100 1010 0010 1011 1000 0111</t>
  </si>
  <si>
    <t>1100 1111 1111 1110 0101 0100 0001 0101 0111 1100 0000 1111</t>
  </si>
  <si>
    <t>0111 0000 0110 1111 1010 0010 0001 1111 0110 1011 1011 1010</t>
  </si>
  <si>
    <t>0101 0001 0011 1111 0001 1101 0001 0001</t>
  </si>
  <si>
    <t>0110 1110 0100 0110 1101 1011 1011 0111</t>
  </si>
  <si>
    <t>1011 0101 1100 0010 0000 1101 0110 1110 1111 1101 1010 1110</t>
  </si>
  <si>
    <t>0111 1110 1111 1111 0000 0110 1101 0011 0000 1101 1101 1100</t>
  </si>
  <si>
    <t>1100 10 11 1111 0101 0010 0101 0010 1101</t>
  </si>
  <si>
    <t>0101 0100 0011 1111 0000 1110 1010 1010</t>
  </si>
  <si>
    <t>Các nhóm hệ 4bit</t>
  </si>
  <si>
    <t>1110</t>
  </si>
  <si>
    <t>A</t>
  </si>
  <si>
    <t>B</t>
  </si>
  <si>
    <t>F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</si>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</sst>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sz val="11"/>
      <name val="Aptos Narrow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3" borderId="0" xfId="0" quotePrefix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315E5-9DDA-44F4-8AE6-7E224D18BA0A}">
  <dimension ref="B2:BN8"/>
  <sheetViews>
    <sheetView tabSelected="1" topLeftCell="C1" zoomScale="40" zoomScaleNormal="40" workbookViewId="0">
      <selection activeCell="C8" sqref="C8:BN8"/>
    </sheetView>
  </sheetViews>
  <sheetFormatPr defaultRowHeight="14.5" x14ac:dyDescent="0.35"/>
  <sheetData>
    <row r="2" spans="2:66" x14ac:dyDescent="0.35">
      <c r="B2" t="s">
        <v>0</v>
      </c>
    </row>
    <row r="3" spans="2:66" x14ac:dyDescent="0.35">
      <c r="B3" t="s">
        <v>1</v>
      </c>
    </row>
    <row r="6" spans="2:66" x14ac:dyDescent="0.35">
      <c r="C6">
        <v>1</v>
      </c>
      <c r="D6">
        <f>C6+1</f>
        <v>2</v>
      </c>
      <c r="E6">
        <f t="shared" ref="E6:BN6" si="0">D6+1</f>
        <v>3</v>
      </c>
      <c r="F6">
        <f t="shared" si="0"/>
        <v>4</v>
      </c>
      <c r="G6">
        <f t="shared" si="0"/>
        <v>5</v>
      </c>
      <c r="H6">
        <f t="shared" si="0"/>
        <v>6</v>
      </c>
      <c r="I6">
        <f t="shared" si="0"/>
        <v>7</v>
      </c>
      <c r="J6">
        <f t="shared" si="0"/>
        <v>8</v>
      </c>
      <c r="K6">
        <f t="shared" si="0"/>
        <v>9</v>
      </c>
      <c r="L6">
        <f t="shared" si="0"/>
        <v>10</v>
      </c>
      <c r="M6">
        <f t="shared" si="0"/>
        <v>11</v>
      </c>
      <c r="N6">
        <f t="shared" si="0"/>
        <v>12</v>
      </c>
      <c r="O6">
        <f t="shared" si="0"/>
        <v>13</v>
      </c>
      <c r="P6">
        <f t="shared" si="0"/>
        <v>14</v>
      </c>
      <c r="Q6">
        <f t="shared" si="0"/>
        <v>15</v>
      </c>
      <c r="R6">
        <f t="shared" si="0"/>
        <v>16</v>
      </c>
      <c r="S6">
        <f t="shared" si="0"/>
        <v>17</v>
      </c>
      <c r="T6">
        <f t="shared" si="0"/>
        <v>18</v>
      </c>
      <c r="U6">
        <f t="shared" si="0"/>
        <v>19</v>
      </c>
      <c r="V6">
        <f t="shared" si="0"/>
        <v>20</v>
      </c>
      <c r="W6">
        <f t="shared" si="0"/>
        <v>21</v>
      </c>
      <c r="X6">
        <f t="shared" si="0"/>
        <v>22</v>
      </c>
      <c r="Y6">
        <f t="shared" si="0"/>
        <v>23</v>
      </c>
      <c r="Z6">
        <f t="shared" si="0"/>
        <v>24</v>
      </c>
      <c r="AA6">
        <f t="shared" si="0"/>
        <v>25</v>
      </c>
      <c r="AB6">
        <f t="shared" si="0"/>
        <v>26</v>
      </c>
      <c r="AC6">
        <f t="shared" si="0"/>
        <v>27</v>
      </c>
      <c r="AD6">
        <f t="shared" si="0"/>
        <v>28</v>
      </c>
      <c r="AE6">
        <f t="shared" si="0"/>
        <v>29</v>
      </c>
      <c r="AF6">
        <f t="shared" si="0"/>
        <v>30</v>
      </c>
      <c r="AG6">
        <f t="shared" si="0"/>
        <v>31</v>
      </c>
      <c r="AH6">
        <f t="shared" si="0"/>
        <v>32</v>
      </c>
      <c r="AI6">
        <f t="shared" si="0"/>
        <v>33</v>
      </c>
      <c r="AJ6">
        <f t="shared" si="0"/>
        <v>34</v>
      </c>
      <c r="AK6">
        <f t="shared" si="0"/>
        <v>35</v>
      </c>
      <c r="AL6">
        <f t="shared" si="0"/>
        <v>36</v>
      </c>
      <c r="AM6">
        <f t="shared" si="0"/>
        <v>37</v>
      </c>
      <c r="AN6">
        <f t="shared" si="0"/>
        <v>38</v>
      </c>
      <c r="AO6">
        <f t="shared" si="0"/>
        <v>39</v>
      </c>
      <c r="AP6">
        <f t="shared" si="0"/>
        <v>40</v>
      </c>
      <c r="AQ6">
        <f t="shared" si="0"/>
        <v>41</v>
      </c>
      <c r="AR6">
        <f t="shared" si="0"/>
        <v>42</v>
      </c>
      <c r="AS6">
        <f t="shared" si="0"/>
        <v>43</v>
      </c>
      <c r="AT6">
        <f t="shared" si="0"/>
        <v>44</v>
      </c>
      <c r="AU6">
        <f t="shared" si="0"/>
        <v>45</v>
      </c>
      <c r="AV6">
        <f t="shared" si="0"/>
        <v>46</v>
      </c>
      <c r="AW6">
        <f t="shared" si="0"/>
        <v>47</v>
      </c>
      <c r="AX6">
        <f t="shared" si="0"/>
        <v>48</v>
      </c>
      <c r="AY6">
        <f t="shared" si="0"/>
        <v>49</v>
      </c>
      <c r="AZ6">
        <f t="shared" si="0"/>
        <v>50</v>
      </c>
      <c r="BA6">
        <f t="shared" si="0"/>
        <v>51</v>
      </c>
      <c r="BB6">
        <f t="shared" si="0"/>
        <v>52</v>
      </c>
      <c r="BC6">
        <f t="shared" si="0"/>
        <v>53</v>
      </c>
      <c r="BD6">
        <f t="shared" si="0"/>
        <v>54</v>
      </c>
      <c r="BE6">
        <f t="shared" si="0"/>
        <v>55</v>
      </c>
      <c r="BF6">
        <f t="shared" si="0"/>
        <v>56</v>
      </c>
      <c r="BG6">
        <f t="shared" si="0"/>
        <v>57</v>
      </c>
      <c r="BH6">
        <f t="shared" si="0"/>
        <v>58</v>
      </c>
      <c r="BI6">
        <f t="shared" si="0"/>
        <v>59</v>
      </c>
      <c r="BJ6">
        <f t="shared" si="0"/>
        <v>60</v>
      </c>
      <c r="BK6">
        <f t="shared" si="0"/>
        <v>61</v>
      </c>
      <c r="BL6">
        <f t="shared" si="0"/>
        <v>62</v>
      </c>
      <c r="BM6">
        <f>BL6+1</f>
        <v>63</v>
      </c>
      <c r="BN6">
        <f t="shared" si="0"/>
        <v>64</v>
      </c>
    </row>
    <row r="7" spans="2:66" x14ac:dyDescent="0.35">
      <c r="B7" t="s">
        <v>28</v>
      </c>
      <c r="C7" s="3">
        <f>MOD(QUOTIENT(HEX2DEC(MID($B$2,INT((C$6-1)/4)+1,1)),2^(3-MOD(C$6-1,4))),2)</f>
        <v>0</v>
      </c>
      <c r="D7" s="3">
        <f t="shared" ref="D7:BN7" si="1">MOD(QUOTIENT(HEX2DEC(MID($B$2,INT((D$6-1)/4)+1,1)),2^(3-MOD(D$6-1,4))),2)</f>
        <v>0</v>
      </c>
      <c r="E7" s="3">
        <f t="shared" si="1"/>
        <v>0</v>
      </c>
      <c r="F7" s="3">
        <f t="shared" si="1"/>
        <v>0</v>
      </c>
      <c r="G7" s="3">
        <f t="shared" si="1"/>
        <v>0</v>
      </c>
      <c r="H7" s="3">
        <f t="shared" si="1"/>
        <v>0</v>
      </c>
      <c r="I7" s="3">
        <f t="shared" si="1"/>
        <v>0</v>
      </c>
      <c r="J7" s="3">
        <f t="shared" si="1"/>
        <v>0</v>
      </c>
      <c r="K7" s="3">
        <f t="shared" si="1"/>
        <v>0</v>
      </c>
      <c r="L7" s="3">
        <f t="shared" si="1"/>
        <v>0</v>
      </c>
      <c r="M7" s="3">
        <f t="shared" si="1"/>
        <v>0</v>
      </c>
      <c r="N7" s="3">
        <f t="shared" si="1"/>
        <v>1</v>
      </c>
      <c r="O7" s="3">
        <f t="shared" si="1"/>
        <v>0</v>
      </c>
      <c r="P7" s="3">
        <f t="shared" si="1"/>
        <v>0</v>
      </c>
      <c r="Q7" s="3">
        <f t="shared" si="1"/>
        <v>1</v>
      </c>
      <c r="R7" s="3">
        <f t="shared" si="1"/>
        <v>0</v>
      </c>
      <c r="S7" s="3">
        <f t="shared" si="1"/>
        <v>0</v>
      </c>
      <c r="T7" s="3">
        <f t="shared" si="1"/>
        <v>0</v>
      </c>
      <c r="U7" s="3">
        <f t="shared" si="1"/>
        <v>1</v>
      </c>
      <c r="V7" s="3">
        <f t="shared" si="1"/>
        <v>1</v>
      </c>
      <c r="W7" s="3">
        <f t="shared" si="1"/>
        <v>0</v>
      </c>
      <c r="X7" s="3">
        <f t="shared" si="1"/>
        <v>1</v>
      </c>
      <c r="Y7" s="3">
        <f t="shared" si="1"/>
        <v>0</v>
      </c>
      <c r="Z7" s="3">
        <f t="shared" si="1"/>
        <v>0</v>
      </c>
      <c r="AA7" s="3">
        <f t="shared" si="1"/>
        <v>0</v>
      </c>
      <c r="AB7" s="3">
        <f t="shared" si="1"/>
        <v>1</v>
      </c>
      <c r="AC7" s="3">
        <f t="shared" si="1"/>
        <v>0</v>
      </c>
      <c r="AD7" s="3">
        <f t="shared" si="1"/>
        <v>1</v>
      </c>
      <c r="AE7" s="3">
        <f t="shared" si="1"/>
        <v>0</v>
      </c>
      <c r="AF7" s="3">
        <f t="shared" si="1"/>
        <v>1</v>
      </c>
      <c r="AG7" s="3">
        <f t="shared" si="1"/>
        <v>1</v>
      </c>
      <c r="AH7" s="3">
        <f t="shared" si="1"/>
        <v>0</v>
      </c>
      <c r="AI7" s="3">
        <f t="shared" si="1"/>
        <v>0</v>
      </c>
      <c r="AJ7" s="3">
        <f t="shared" si="1"/>
        <v>1</v>
      </c>
      <c r="AK7" s="3">
        <f t="shared" si="1"/>
        <v>1</v>
      </c>
      <c r="AL7" s="3">
        <f t="shared" si="1"/>
        <v>1</v>
      </c>
      <c r="AM7" s="3">
        <f t="shared" si="1"/>
        <v>1</v>
      </c>
      <c r="AN7" s="3">
        <f t="shared" si="1"/>
        <v>0</v>
      </c>
      <c r="AO7" s="3">
        <f t="shared" si="1"/>
        <v>0</v>
      </c>
      <c r="AP7" s="3">
        <f t="shared" si="1"/>
        <v>0</v>
      </c>
      <c r="AQ7" s="3">
        <f t="shared" si="1"/>
        <v>1</v>
      </c>
      <c r="AR7" s="3">
        <f t="shared" si="1"/>
        <v>0</v>
      </c>
      <c r="AS7" s="3">
        <f t="shared" si="1"/>
        <v>0</v>
      </c>
      <c r="AT7" s="3">
        <f t="shared" si="1"/>
        <v>1</v>
      </c>
      <c r="AU7" s="3">
        <f t="shared" si="1"/>
        <v>1</v>
      </c>
      <c r="AV7" s="3">
        <f t="shared" si="1"/>
        <v>0</v>
      </c>
      <c r="AW7" s="3">
        <f t="shared" si="1"/>
        <v>1</v>
      </c>
      <c r="AX7" s="3">
        <f t="shared" si="1"/>
        <v>0</v>
      </c>
      <c r="AY7" s="3">
        <f t="shared" si="1"/>
        <v>1</v>
      </c>
      <c r="AZ7" s="3">
        <f t="shared" si="1"/>
        <v>0</v>
      </c>
      <c r="BA7" s="3">
        <f t="shared" si="1"/>
        <v>1</v>
      </c>
      <c r="BB7" s="3">
        <f t="shared" si="1"/>
        <v>1</v>
      </c>
      <c r="BC7" s="3">
        <f t="shared" si="1"/>
        <v>1</v>
      </c>
      <c r="BD7" s="3">
        <f t="shared" si="1"/>
        <v>1</v>
      </c>
      <c r="BE7" s="3">
        <f t="shared" si="1"/>
        <v>0</v>
      </c>
      <c r="BF7" s="3">
        <f t="shared" si="1"/>
        <v>0</v>
      </c>
      <c r="BG7" s="3">
        <f t="shared" si="1"/>
        <v>1</v>
      </c>
      <c r="BH7" s="3">
        <f t="shared" si="1"/>
        <v>1</v>
      </c>
      <c r="BI7" s="3">
        <f t="shared" si="1"/>
        <v>0</v>
      </c>
      <c r="BJ7" s="3">
        <f t="shared" si="1"/>
        <v>1</v>
      </c>
      <c r="BK7" s="3">
        <f t="shared" si="1"/>
        <v>1</v>
      </c>
      <c r="BL7" s="3">
        <f t="shared" si="1"/>
        <v>1</v>
      </c>
      <c r="BM7" s="3">
        <f t="shared" si="1"/>
        <v>1</v>
      </c>
      <c r="BN7" s="3">
        <f t="shared" si="1"/>
        <v>0</v>
      </c>
    </row>
    <row r="8" spans="2:66" x14ac:dyDescent="0.35">
      <c r="B8" t="s">
        <v>29</v>
      </c>
      <c r="C8" s="4">
        <f>MOD( QUOTIENT( HEX2DEC( MID($B$3, INT((C$6-1)/4)+1, 1) ), 2^(3-MOD(C$6-1,4)) ), 2 )</f>
        <v>0</v>
      </c>
      <c r="D8" s="4">
        <f t="shared" ref="D8:BN8" si="2">MOD( QUOTIENT( HEX2DEC( MID($B$3, INT((D$6-1)/4)+1, 1) ), 2^(3-MOD(D$6-1,4)) ), 2 )</f>
        <v>0</v>
      </c>
      <c r="E8" s="4">
        <f t="shared" si="2"/>
        <v>0</v>
      </c>
      <c r="F8" s="4">
        <f t="shared" si="2"/>
        <v>0</v>
      </c>
      <c r="G8" s="4">
        <f t="shared" si="2"/>
        <v>0</v>
      </c>
      <c r="H8" s="4">
        <f t="shared" si="2"/>
        <v>0</v>
      </c>
      <c r="I8" s="4">
        <f t="shared" si="2"/>
        <v>0</v>
      </c>
      <c r="J8" s="4">
        <f t="shared" si="2"/>
        <v>1</v>
      </c>
      <c r="K8" s="4">
        <f t="shared" si="2"/>
        <v>0</v>
      </c>
      <c r="L8" s="4">
        <f t="shared" si="2"/>
        <v>0</v>
      </c>
      <c r="M8" s="4">
        <f t="shared" si="2"/>
        <v>1</v>
      </c>
      <c r="N8" s="4">
        <f t="shared" si="2"/>
        <v>1</v>
      </c>
      <c r="O8" s="4">
        <f t="shared" si="2"/>
        <v>0</v>
      </c>
      <c r="P8" s="4">
        <f t="shared" si="2"/>
        <v>0</v>
      </c>
      <c r="Q8" s="4">
        <f t="shared" si="2"/>
        <v>1</v>
      </c>
      <c r="R8" s="4">
        <f t="shared" si="2"/>
        <v>1</v>
      </c>
      <c r="S8" s="4">
        <f t="shared" si="2"/>
        <v>0</v>
      </c>
      <c r="T8" s="4">
        <f t="shared" si="2"/>
        <v>1</v>
      </c>
      <c r="U8" s="4">
        <f t="shared" si="2"/>
        <v>0</v>
      </c>
      <c r="V8" s="4">
        <f t="shared" si="2"/>
        <v>0</v>
      </c>
      <c r="W8" s="4">
        <f t="shared" si="2"/>
        <v>0</v>
      </c>
      <c r="X8" s="4">
        <f t="shared" si="2"/>
        <v>1</v>
      </c>
      <c r="Y8" s="4">
        <f t="shared" si="2"/>
        <v>0</v>
      </c>
      <c r="Z8" s="4">
        <f t="shared" si="2"/>
        <v>1</v>
      </c>
      <c r="AA8" s="4">
        <f t="shared" si="2"/>
        <v>0</v>
      </c>
      <c r="AB8" s="4">
        <f t="shared" si="2"/>
        <v>1</v>
      </c>
      <c r="AC8" s="4">
        <f t="shared" si="2"/>
        <v>1</v>
      </c>
      <c r="AD8" s="4">
        <f t="shared" si="2"/>
        <v>1</v>
      </c>
      <c r="AE8" s="4">
        <f t="shared" si="2"/>
        <v>0</v>
      </c>
      <c r="AF8" s="4">
        <f t="shared" si="2"/>
        <v>1</v>
      </c>
      <c r="AG8" s="4">
        <f t="shared" si="2"/>
        <v>1</v>
      </c>
      <c r="AH8" s="4">
        <f t="shared" si="2"/>
        <v>1</v>
      </c>
      <c r="AI8" s="4">
        <f t="shared" si="2"/>
        <v>1</v>
      </c>
      <c r="AJ8" s="4">
        <f t="shared" si="2"/>
        <v>0</v>
      </c>
      <c r="AK8" s="4">
        <f t="shared" si="2"/>
        <v>0</v>
      </c>
      <c r="AL8" s="4">
        <f t="shared" si="2"/>
        <v>1</v>
      </c>
      <c r="AM8" s="4">
        <f t="shared" si="2"/>
        <v>1</v>
      </c>
      <c r="AN8" s="4">
        <f t="shared" si="2"/>
        <v>0</v>
      </c>
      <c r="AO8" s="4">
        <f t="shared" si="2"/>
        <v>0</v>
      </c>
      <c r="AP8" s="4">
        <f t="shared" si="2"/>
        <v>1</v>
      </c>
      <c r="AQ8" s="4">
        <f t="shared" si="2"/>
        <v>1</v>
      </c>
      <c r="AR8" s="4">
        <f t="shared" si="2"/>
        <v>0</v>
      </c>
      <c r="AS8" s="4">
        <f t="shared" si="2"/>
        <v>1</v>
      </c>
      <c r="AT8" s="4">
        <f t="shared" si="2"/>
        <v>1</v>
      </c>
      <c r="AU8" s="4">
        <f t="shared" si="2"/>
        <v>1</v>
      </c>
      <c r="AV8" s="4">
        <f t="shared" si="2"/>
        <v>0</v>
      </c>
      <c r="AW8" s="4">
        <f t="shared" si="2"/>
        <v>1</v>
      </c>
      <c r="AX8" s="4">
        <f t="shared" si="2"/>
        <v>1</v>
      </c>
      <c r="AY8" s="4">
        <f t="shared" si="2"/>
        <v>1</v>
      </c>
      <c r="AZ8" s="4">
        <f t="shared" si="2"/>
        <v>1</v>
      </c>
      <c r="BA8" s="4">
        <f t="shared" si="2"/>
        <v>0</v>
      </c>
      <c r="BB8" s="4">
        <f t="shared" si="2"/>
        <v>0</v>
      </c>
      <c r="BC8" s="4">
        <f t="shared" si="2"/>
        <v>1</v>
      </c>
      <c r="BD8" s="4">
        <f t="shared" si="2"/>
        <v>1</v>
      </c>
      <c r="BE8" s="4">
        <f t="shared" si="2"/>
        <v>0</v>
      </c>
      <c r="BF8" s="4">
        <f t="shared" si="2"/>
        <v>1</v>
      </c>
      <c r="BG8" s="4">
        <f t="shared" si="2"/>
        <v>1</v>
      </c>
      <c r="BH8" s="4">
        <f t="shared" si="2"/>
        <v>1</v>
      </c>
      <c r="BI8" s="4">
        <f t="shared" si="2"/>
        <v>1</v>
      </c>
      <c r="BJ8" s="4">
        <f t="shared" si="2"/>
        <v>1</v>
      </c>
      <c r="BK8" s="4">
        <f t="shared" si="2"/>
        <v>1</v>
      </c>
      <c r="BL8" s="4">
        <f t="shared" si="2"/>
        <v>1</v>
      </c>
      <c r="BM8" s="4">
        <f t="shared" si="2"/>
        <v>1</v>
      </c>
      <c r="BN8" s="4">
        <f t="shared" si="2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49566-CAAE-4280-9066-5BD8A7BAC07A}">
  <dimension ref="A1:AB65"/>
  <sheetViews>
    <sheetView topLeftCell="A11" zoomScale="40" zoomScaleNormal="40" workbookViewId="0">
      <selection activeCell="AB58" sqref="AB58"/>
    </sheetView>
  </sheetViews>
  <sheetFormatPr defaultRowHeight="14.5" x14ac:dyDescent="0.35"/>
  <sheetData>
    <row r="1" spans="1:28" x14ac:dyDescent="0.35">
      <c r="A1" t="s">
        <v>27</v>
      </c>
      <c r="C1" t="s">
        <v>26</v>
      </c>
      <c r="E1" t="s">
        <v>25</v>
      </c>
      <c r="G1" t="s">
        <v>24</v>
      </c>
      <c r="I1" t="s">
        <v>23</v>
      </c>
      <c r="K1" t="s">
        <v>22</v>
      </c>
    </row>
    <row r="2" spans="1:28" x14ac:dyDescent="0.35">
      <c r="A2">
        <v>58</v>
      </c>
      <c r="C2">
        <v>40</v>
      </c>
      <c r="E2">
        <v>32</v>
      </c>
      <c r="G2">
        <v>16</v>
      </c>
      <c r="I2">
        <v>57</v>
      </c>
      <c r="K2">
        <v>14</v>
      </c>
      <c r="M2">
        <v>1</v>
      </c>
      <c r="N2">
        <v>1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>
        <v>1</v>
      </c>
      <c r="V2">
        <v>2</v>
      </c>
      <c r="W2">
        <v>2</v>
      </c>
      <c r="X2">
        <v>2</v>
      </c>
      <c r="Y2">
        <v>2</v>
      </c>
      <c r="Z2">
        <v>2</v>
      </c>
      <c r="AA2">
        <v>2</v>
      </c>
      <c r="AB2">
        <v>1</v>
      </c>
    </row>
    <row r="3" spans="1:28" x14ac:dyDescent="0.35">
      <c r="A3">
        <v>50</v>
      </c>
      <c r="C3">
        <v>8</v>
      </c>
      <c r="E3">
        <v>1</v>
      </c>
      <c r="G3">
        <v>7</v>
      </c>
      <c r="I3">
        <v>49</v>
      </c>
      <c r="K3">
        <v>17</v>
      </c>
    </row>
    <row r="4" spans="1:28" x14ac:dyDescent="0.35">
      <c r="A4">
        <v>42</v>
      </c>
      <c r="C4">
        <v>48</v>
      </c>
      <c r="E4">
        <v>2</v>
      </c>
      <c r="G4">
        <v>20</v>
      </c>
      <c r="I4">
        <v>41</v>
      </c>
      <c r="K4">
        <v>11</v>
      </c>
    </row>
    <row r="5" spans="1:28" x14ac:dyDescent="0.35">
      <c r="A5">
        <v>34</v>
      </c>
      <c r="C5">
        <v>16</v>
      </c>
      <c r="E5">
        <v>3</v>
      </c>
      <c r="G5">
        <v>21</v>
      </c>
      <c r="I5">
        <v>33</v>
      </c>
      <c r="K5">
        <v>24</v>
      </c>
    </row>
    <row r="6" spans="1:28" x14ac:dyDescent="0.35">
      <c r="A6">
        <v>26</v>
      </c>
      <c r="C6">
        <v>56</v>
      </c>
      <c r="E6">
        <v>4</v>
      </c>
      <c r="G6">
        <v>29</v>
      </c>
      <c r="I6">
        <v>25</v>
      </c>
      <c r="K6">
        <v>1</v>
      </c>
    </row>
    <row r="7" spans="1:28" x14ac:dyDescent="0.35">
      <c r="A7">
        <v>18</v>
      </c>
      <c r="C7">
        <v>24</v>
      </c>
      <c r="E7">
        <v>5</v>
      </c>
      <c r="G7">
        <v>12</v>
      </c>
      <c r="I7">
        <v>17</v>
      </c>
      <c r="K7">
        <v>5</v>
      </c>
    </row>
    <row r="8" spans="1:28" x14ac:dyDescent="0.35">
      <c r="A8">
        <v>10</v>
      </c>
      <c r="C8">
        <v>64</v>
      </c>
      <c r="E8">
        <v>4</v>
      </c>
      <c r="G8">
        <v>28</v>
      </c>
      <c r="I8">
        <v>9</v>
      </c>
      <c r="K8">
        <v>3</v>
      </c>
    </row>
    <row r="9" spans="1:28" x14ac:dyDescent="0.35">
      <c r="A9">
        <v>2</v>
      </c>
      <c r="C9">
        <v>32</v>
      </c>
      <c r="E9">
        <v>5</v>
      </c>
      <c r="G9">
        <v>17</v>
      </c>
      <c r="I9">
        <v>1</v>
      </c>
      <c r="K9">
        <v>28</v>
      </c>
    </row>
    <row r="10" spans="1:28" x14ac:dyDescent="0.35">
      <c r="A10">
        <v>60</v>
      </c>
      <c r="C10">
        <v>39</v>
      </c>
      <c r="E10">
        <v>6</v>
      </c>
      <c r="G10">
        <v>1</v>
      </c>
      <c r="I10">
        <v>58</v>
      </c>
      <c r="K10">
        <v>15</v>
      </c>
    </row>
    <row r="11" spans="1:28" x14ac:dyDescent="0.35">
      <c r="A11">
        <v>52</v>
      </c>
      <c r="C11">
        <v>7</v>
      </c>
      <c r="E11">
        <v>7</v>
      </c>
      <c r="G11">
        <v>15</v>
      </c>
      <c r="I11">
        <v>50</v>
      </c>
      <c r="K11">
        <v>6</v>
      </c>
    </row>
    <row r="12" spans="1:28" x14ac:dyDescent="0.35">
      <c r="A12">
        <v>44</v>
      </c>
      <c r="C12">
        <v>47</v>
      </c>
      <c r="E12">
        <v>8</v>
      </c>
      <c r="G12">
        <v>23</v>
      </c>
      <c r="I12">
        <v>42</v>
      </c>
      <c r="K12">
        <v>21</v>
      </c>
    </row>
    <row r="13" spans="1:28" x14ac:dyDescent="0.35">
      <c r="A13">
        <v>36</v>
      </c>
      <c r="C13">
        <v>15</v>
      </c>
      <c r="E13">
        <v>9</v>
      </c>
      <c r="G13">
        <v>26</v>
      </c>
      <c r="I13">
        <v>34</v>
      </c>
      <c r="K13">
        <v>10</v>
      </c>
    </row>
    <row r="14" spans="1:28" x14ac:dyDescent="0.35">
      <c r="A14">
        <v>28</v>
      </c>
      <c r="C14">
        <v>55</v>
      </c>
      <c r="E14">
        <v>8</v>
      </c>
      <c r="G14">
        <v>5</v>
      </c>
      <c r="I14">
        <v>26</v>
      </c>
      <c r="K14">
        <v>23</v>
      </c>
    </row>
    <row r="15" spans="1:28" x14ac:dyDescent="0.35">
      <c r="A15">
        <v>20</v>
      </c>
      <c r="C15">
        <v>23</v>
      </c>
      <c r="E15">
        <v>9</v>
      </c>
      <c r="G15">
        <v>18</v>
      </c>
      <c r="I15">
        <v>18</v>
      </c>
      <c r="K15">
        <v>19</v>
      </c>
    </row>
    <row r="16" spans="1:28" x14ac:dyDescent="0.35">
      <c r="A16">
        <v>12</v>
      </c>
      <c r="C16">
        <v>63</v>
      </c>
      <c r="E16">
        <v>10</v>
      </c>
      <c r="G16">
        <v>31</v>
      </c>
      <c r="I16">
        <v>10</v>
      </c>
      <c r="K16">
        <v>12</v>
      </c>
    </row>
    <row r="17" spans="1:28" x14ac:dyDescent="0.35">
      <c r="A17">
        <v>4</v>
      </c>
      <c r="C17">
        <v>31</v>
      </c>
      <c r="E17">
        <v>11</v>
      </c>
      <c r="G17">
        <v>10</v>
      </c>
      <c r="I17">
        <v>2</v>
      </c>
      <c r="K17">
        <v>4</v>
      </c>
    </row>
    <row r="18" spans="1:28" x14ac:dyDescent="0.35">
      <c r="A18">
        <v>62</v>
      </c>
      <c r="C18">
        <v>38</v>
      </c>
      <c r="E18">
        <v>12</v>
      </c>
      <c r="G18">
        <v>2</v>
      </c>
      <c r="I18">
        <v>59</v>
      </c>
      <c r="K18">
        <v>26</v>
      </c>
      <c r="M18" t="s">
        <v>14</v>
      </c>
    </row>
    <row r="19" spans="1:28" x14ac:dyDescent="0.35">
      <c r="A19">
        <v>54</v>
      </c>
      <c r="C19">
        <v>6</v>
      </c>
      <c r="E19">
        <v>13</v>
      </c>
      <c r="G19">
        <v>8</v>
      </c>
      <c r="I19">
        <v>51</v>
      </c>
      <c r="K19">
        <v>8</v>
      </c>
    </row>
    <row r="20" spans="1:28" x14ac:dyDescent="0.35">
      <c r="A20">
        <v>46</v>
      </c>
      <c r="C20">
        <v>46</v>
      </c>
      <c r="E20">
        <v>12</v>
      </c>
      <c r="G20">
        <v>24</v>
      </c>
      <c r="I20">
        <v>43</v>
      </c>
      <c r="K20">
        <v>16</v>
      </c>
      <c r="M20" s="3">
        <v>14</v>
      </c>
      <c r="N20" s="3">
        <v>4</v>
      </c>
      <c r="O20" s="3">
        <v>13</v>
      </c>
      <c r="P20" s="3">
        <v>1</v>
      </c>
      <c r="Q20" s="3">
        <v>2</v>
      </c>
      <c r="R20" s="3">
        <v>15</v>
      </c>
      <c r="S20" s="3">
        <v>11</v>
      </c>
      <c r="T20" s="3">
        <v>8</v>
      </c>
      <c r="U20" s="3">
        <v>3</v>
      </c>
      <c r="V20" s="3">
        <v>10</v>
      </c>
      <c r="W20" s="3">
        <v>6</v>
      </c>
      <c r="X20" s="3">
        <v>12</v>
      </c>
      <c r="Y20" s="3">
        <v>5</v>
      </c>
      <c r="Z20" s="3">
        <v>9</v>
      </c>
      <c r="AA20" s="3">
        <v>0</v>
      </c>
      <c r="AB20" s="3">
        <v>7</v>
      </c>
    </row>
    <row r="21" spans="1:28" x14ac:dyDescent="0.35">
      <c r="A21">
        <v>38</v>
      </c>
      <c r="C21">
        <v>14</v>
      </c>
      <c r="E21">
        <v>13</v>
      </c>
      <c r="G21">
        <v>14</v>
      </c>
      <c r="I21">
        <v>35</v>
      </c>
      <c r="K21">
        <v>7</v>
      </c>
      <c r="M21" s="3">
        <v>0</v>
      </c>
      <c r="N21" s="3">
        <v>15</v>
      </c>
      <c r="O21" s="3">
        <v>7</v>
      </c>
      <c r="P21" s="3">
        <v>4</v>
      </c>
      <c r="Q21" s="3">
        <v>14</v>
      </c>
      <c r="R21" s="3">
        <v>2</v>
      </c>
      <c r="S21" s="3">
        <v>13</v>
      </c>
      <c r="T21" s="3">
        <v>1</v>
      </c>
      <c r="U21" s="3">
        <v>10</v>
      </c>
      <c r="V21" s="3">
        <v>6</v>
      </c>
      <c r="W21" s="3">
        <v>12</v>
      </c>
      <c r="X21" s="3">
        <v>11</v>
      </c>
      <c r="Y21" s="3">
        <v>9</v>
      </c>
      <c r="Z21" s="3">
        <v>5</v>
      </c>
      <c r="AA21" s="3">
        <v>3</v>
      </c>
      <c r="AB21" s="3">
        <v>8</v>
      </c>
    </row>
    <row r="22" spans="1:28" x14ac:dyDescent="0.35">
      <c r="A22">
        <v>30</v>
      </c>
      <c r="C22">
        <v>54</v>
      </c>
      <c r="E22">
        <v>14</v>
      </c>
      <c r="G22">
        <v>32</v>
      </c>
      <c r="I22">
        <v>27</v>
      </c>
      <c r="K22">
        <v>27</v>
      </c>
      <c r="M22" s="3">
        <v>4</v>
      </c>
      <c r="N22" s="3">
        <v>1</v>
      </c>
      <c r="O22" s="3">
        <v>14</v>
      </c>
      <c r="P22" s="3">
        <v>8</v>
      </c>
      <c r="Q22" s="3">
        <v>13</v>
      </c>
      <c r="R22" s="3">
        <v>6</v>
      </c>
      <c r="S22" s="3">
        <v>2</v>
      </c>
      <c r="T22" s="3">
        <v>11</v>
      </c>
      <c r="U22" s="3">
        <v>15</v>
      </c>
      <c r="V22" s="3">
        <v>12</v>
      </c>
      <c r="W22" s="3">
        <v>9</v>
      </c>
      <c r="X22" s="3">
        <v>7</v>
      </c>
      <c r="Y22" s="3">
        <v>3</v>
      </c>
      <c r="Z22" s="3">
        <v>10</v>
      </c>
      <c r="AA22" s="3">
        <v>5</v>
      </c>
      <c r="AB22" s="3">
        <v>0</v>
      </c>
    </row>
    <row r="23" spans="1:28" x14ac:dyDescent="0.35">
      <c r="A23">
        <v>22</v>
      </c>
      <c r="C23">
        <v>22</v>
      </c>
      <c r="E23">
        <v>15</v>
      </c>
      <c r="G23">
        <v>27</v>
      </c>
      <c r="I23">
        <v>19</v>
      </c>
      <c r="K23">
        <v>20</v>
      </c>
      <c r="M23" s="3">
        <v>15</v>
      </c>
      <c r="N23" s="3">
        <v>12</v>
      </c>
      <c r="O23" s="3">
        <v>8</v>
      </c>
      <c r="P23" s="3">
        <v>2</v>
      </c>
      <c r="Q23" s="3">
        <v>4</v>
      </c>
      <c r="R23" s="3">
        <v>9</v>
      </c>
      <c r="S23" s="3">
        <v>1</v>
      </c>
      <c r="T23" s="3">
        <v>7</v>
      </c>
      <c r="U23" s="3">
        <v>5</v>
      </c>
      <c r="V23" s="3">
        <v>11</v>
      </c>
      <c r="W23" s="3">
        <v>3</v>
      </c>
      <c r="X23" s="3">
        <v>14</v>
      </c>
      <c r="Y23" s="3">
        <v>10</v>
      </c>
      <c r="Z23" s="3">
        <v>0</v>
      </c>
      <c r="AA23" s="3">
        <v>6</v>
      </c>
      <c r="AB23" s="3">
        <v>13</v>
      </c>
    </row>
    <row r="24" spans="1:28" x14ac:dyDescent="0.35">
      <c r="A24">
        <v>14</v>
      </c>
      <c r="C24">
        <v>62</v>
      </c>
      <c r="E24">
        <v>16</v>
      </c>
      <c r="G24">
        <v>3</v>
      </c>
      <c r="I24">
        <v>11</v>
      </c>
      <c r="K24">
        <v>13</v>
      </c>
      <c r="M24" t="s">
        <v>15</v>
      </c>
    </row>
    <row r="25" spans="1:28" x14ac:dyDescent="0.35">
      <c r="A25">
        <v>6</v>
      </c>
      <c r="C25">
        <v>30</v>
      </c>
      <c r="E25">
        <v>17</v>
      </c>
      <c r="G25">
        <v>9</v>
      </c>
      <c r="I25">
        <v>3</v>
      </c>
      <c r="K25">
        <v>2</v>
      </c>
      <c r="M25" s="3">
        <v>15</v>
      </c>
      <c r="N25" s="3">
        <v>1</v>
      </c>
      <c r="O25" s="3">
        <v>8</v>
      </c>
      <c r="P25" s="3">
        <v>14</v>
      </c>
      <c r="Q25" s="3">
        <v>6</v>
      </c>
      <c r="R25" s="3">
        <v>11</v>
      </c>
      <c r="S25" s="3">
        <v>3</v>
      </c>
      <c r="T25" s="3">
        <v>4</v>
      </c>
      <c r="U25" s="3">
        <v>9</v>
      </c>
      <c r="V25" s="3">
        <v>7</v>
      </c>
      <c r="W25" s="3">
        <v>2</v>
      </c>
      <c r="X25" s="3">
        <v>13</v>
      </c>
      <c r="Y25" s="3">
        <v>12</v>
      </c>
      <c r="Z25" s="3">
        <v>0</v>
      </c>
      <c r="AA25" s="3">
        <v>5</v>
      </c>
      <c r="AB25" s="3">
        <v>10</v>
      </c>
    </row>
    <row r="26" spans="1:28" x14ac:dyDescent="0.35">
      <c r="A26">
        <v>64</v>
      </c>
      <c r="C26">
        <v>37</v>
      </c>
      <c r="E26">
        <v>16</v>
      </c>
      <c r="G26">
        <v>19</v>
      </c>
      <c r="I26">
        <v>60</v>
      </c>
      <c r="K26">
        <v>41</v>
      </c>
      <c r="M26" s="3">
        <v>3</v>
      </c>
      <c r="N26" s="3">
        <v>13</v>
      </c>
      <c r="O26" s="3">
        <v>4</v>
      </c>
      <c r="P26" s="3">
        <v>7</v>
      </c>
      <c r="Q26" s="3">
        <v>15</v>
      </c>
      <c r="R26" s="3">
        <v>2</v>
      </c>
      <c r="S26" s="3">
        <v>8</v>
      </c>
      <c r="T26" s="3">
        <v>14</v>
      </c>
      <c r="U26" s="3">
        <v>12</v>
      </c>
      <c r="V26" s="3">
        <v>0</v>
      </c>
      <c r="W26" s="3">
        <v>1</v>
      </c>
      <c r="X26" s="3">
        <v>10</v>
      </c>
      <c r="Y26" s="3">
        <v>6</v>
      </c>
      <c r="Z26" s="3">
        <v>9</v>
      </c>
      <c r="AA26" s="3">
        <v>11</v>
      </c>
      <c r="AB26" s="3">
        <v>5</v>
      </c>
    </row>
    <row r="27" spans="1:28" x14ac:dyDescent="0.35">
      <c r="A27">
        <v>56</v>
      </c>
      <c r="C27">
        <v>5</v>
      </c>
      <c r="E27">
        <v>17</v>
      </c>
      <c r="G27">
        <v>13</v>
      </c>
      <c r="I27">
        <v>52</v>
      </c>
      <c r="K27">
        <v>52</v>
      </c>
      <c r="M27" s="3">
        <v>0</v>
      </c>
      <c r="N27" s="3">
        <v>14</v>
      </c>
      <c r="O27" s="3">
        <v>7</v>
      </c>
      <c r="P27" s="3">
        <v>11</v>
      </c>
      <c r="Q27" s="3">
        <v>10</v>
      </c>
      <c r="R27" s="3">
        <v>4</v>
      </c>
      <c r="S27" s="3">
        <v>13</v>
      </c>
      <c r="T27" s="3">
        <v>1</v>
      </c>
      <c r="U27" s="3">
        <v>5</v>
      </c>
      <c r="V27" s="3">
        <v>8</v>
      </c>
      <c r="W27" s="3">
        <v>12</v>
      </c>
      <c r="X27" s="3">
        <v>6</v>
      </c>
      <c r="Y27" s="3">
        <v>9</v>
      </c>
      <c r="Z27" s="3">
        <v>3</v>
      </c>
      <c r="AA27" s="3">
        <v>2</v>
      </c>
      <c r="AB27" s="3">
        <v>15</v>
      </c>
    </row>
    <row r="28" spans="1:28" x14ac:dyDescent="0.35">
      <c r="A28">
        <v>48</v>
      </c>
      <c r="C28">
        <v>45</v>
      </c>
      <c r="E28">
        <v>18</v>
      </c>
      <c r="G28">
        <v>30</v>
      </c>
      <c r="I28">
        <v>44</v>
      </c>
      <c r="K28">
        <v>31</v>
      </c>
      <c r="M28" s="3">
        <v>13</v>
      </c>
      <c r="N28" s="3">
        <v>8</v>
      </c>
      <c r="O28" s="3">
        <v>10</v>
      </c>
      <c r="P28" s="3">
        <v>1</v>
      </c>
      <c r="Q28" s="3">
        <v>3</v>
      </c>
      <c r="R28" s="3">
        <v>15</v>
      </c>
      <c r="S28" s="3">
        <v>4</v>
      </c>
      <c r="T28" s="3">
        <v>2</v>
      </c>
      <c r="U28" s="3">
        <v>11</v>
      </c>
      <c r="V28" s="3">
        <v>6</v>
      </c>
      <c r="W28" s="3">
        <v>7</v>
      </c>
      <c r="X28" s="3">
        <v>12</v>
      </c>
      <c r="Y28" s="3">
        <v>0</v>
      </c>
      <c r="Z28" s="3">
        <v>5</v>
      </c>
      <c r="AA28" s="3">
        <v>14</v>
      </c>
      <c r="AB28" s="3">
        <v>9</v>
      </c>
    </row>
    <row r="29" spans="1:28" x14ac:dyDescent="0.35">
      <c r="A29">
        <v>40</v>
      </c>
      <c r="C29">
        <v>13</v>
      </c>
      <c r="E29">
        <v>19</v>
      </c>
      <c r="G29">
        <v>6</v>
      </c>
      <c r="I29">
        <v>36</v>
      </c>
      <c r="K29">
        <v>37</v>
      </c>
      <c r="M29" t="s">
        <v>16</v>
      </c>
    </row>
    <row r="30" spans="1:28" x14ac:dyDescent="0.35">
      <c r="A30">
        <v>32</v>
      </c>
      <c r="C30">
        <v>53</v>
      </c>
      <c r="E30">
        <v>20</v>
      </c>
      <c r="G30">
        <v>22</v>
      </c>
      <c r="I30">
        <v>63</v>
      </c>
      <c r="K30">
        <v>47</v>
      </c>
      <c r="M30" s="3">
        <v>10</v>
      </c>
      <c r="N30" s="3">
        <v>0</v>
      </c>
      <c r="O30" s="3">
        <v>9</v>
      </c>
      <c r="P30" s="3">
        <v>14</v>
      </c>
      <c r="Q30" s="3">
        <v>6</v>
      </c>
      <c r="R30" s="3">
        <v>3</v>
      </c>
      <c r="S30" s="3">
        <v>15</v>
      </c>
      <c r="T30" s="3">
        <v>5</v>
      </c>
      <c r="U30" s="3">
        <v>1</v>
      </c>
      <c r="V30" s="3">
        <v>13</v>
      </c>
      <c r="W30" s="3">
        <v>12</v>
      </c>
      <c r="X30" s="3">
        <v>7</v>
      </c>
      <c r="Y30" s="3">
        <v>11</v>
      </c>
      <c r="Z30" s="3">
        <v>4</v>
      </c>
      <c r="AA30" s="3">
        <v>2</v>
      </c>
      <c r="AB30" s="3">
        <v>8</v>
      </c>
    </row>
    <row r="31" spans="1:28" x14ac:dyDescent="0.35">
      <c r="A31">
        <v>24</v>
      </c>
      <c r="C31">
        <v>21</v>
      </c>
      <c r="E31">
        <v>21</v>
      </c>
      <c r="G31">
        <v>11</v>
      </c>
      <c r="I31">
        <v>55</v>
      </c>
      <c r="K31">
        <v>55</v>
      </c>
      <c r="M31" s="3">
        <v>13</v>
      </c>
      <c r="N31" s="3">
        <v>7</v>
      </c>
      <c r="O31" s="3">
        <v>0</v>
      </c>
      <c r="P31" s="3">
        <v>9</v>
      </c>
      <c r="Q31" s="3">
        <v>3</v>
      </c>
      <c r="R31" s="3">
        <v>4</v>
      </c>
      <c r="S31" s="3">
        <v>6</v>
      </c>
      <c r="T31" s="3">
        <v>10</v>
      </c>
      <c r="U31" s="3">
        <v>2</v>
      </c>
      <c r="V31" s="3">
        <v>8</v>
      </c>
      <c r="W31" s="3">
        <v>5</v>
      </c>
      <c r="X31" s="3">
        <v>12</v>
      </c>
      <c r="Y31" s="3">
        <v>14</v>
      </c>
      <c r="Z31" s="3">
        <v>11</v>
      </c>
      <c r="AA31" s="3">
        <v>15</v>
      </c>
      <c r="AB31" s="3">
        <v>1</v>
      </c>
    </row>
    <row r="32" spans="1:28" x14ac:dyDescent="0.35">
      <c r="A32">
        <v>16</v>
      </c>
      <c r="C32">
        <v>61</v>
      </c>
      <c r="E32">
        <v>20</v>
      </c>
      <c r="G32">
        <v>4</v>
      </c>
      <c r="I32">
        <v>47</v>
      </c>
      <c r="K32">
        <v>30</v>
      </c>
      <c r="M32" s="3">
        <v>13</v>
      </c>
      <c r="N32" s="3">
        <v>6</v>
      </c>
      <c r="O32" s="3">
        <v>4</v>
      </c>
      <c r="P32" s="3">
        <v>9</v>
      </c>
      <c r="Q32" s="3">
        <v>8</v>
      </c>
      <c r="R32" s="3">
        <v>15</v>
      </c>
      <c r="S32" s="3">
        <v>3</v>
      </c>
      <c r="T32" s="3">
        <v>0</v>
      </c>
      <c r="U32" s="3">
        <v>11</v>
      </c>
      <c r="V32" s="3">
        <v>1</v>
      </c>
      <c r="W32" s="3">
        <v>2</v>
      </c>
      <c r="X32" s="3">
        <v>12</v>
      </c>
      <c r="Y32" s="3">
        <v>5</v>
      </c>
      <c r="Z32" s="3">
        <v>10</v>
      </c>
      <c r="AA32" s="3">
        <v>14</v>
      </c>
      <c r="AB32" s="3">
        <v>7</v>
      </c>
    </row>
    <row r="33" spans="1:28" x14ac:dyDescent="0.35">
      <c r="A33">
        <v>8</v>
      </c>
      <c r="C33">
        <v>29</v>
      </c>
      <c r="E33">
        <v>21</v>
      </c>
      <c r="G33">
        <v>25</v>
      </c>
      <c r="I33">
        <v>39</v>
      </c>
      <c r="K33">
        <v>40</v>
      </c>
      <c r="M33" s="3">
        <v>1</v>
      </c>
      <c r="N33" s="3">
        <v>10</v>
      </c>
      <c r="O33" s="3">
        <v>13</v>
      </c>
      <c r="P33" s="3">
        <v>0</v>
      </c>
      <c r="Q33" s="3">
        <v>6</v>
      </c>
      <c r="R33" s="3">
        <v>9</v>
      </c>
      <c r="S33" s="3">
        <v>8</v>
      </c>
      <c r="T33" s="3">
        <v>7</v>
      </c>
      <c r="U33" s="3">
        <v>4</v>
      </c>
      <c r="V33" s="3">
        <v>15</v>
      </c>
      <c r="W33" s="3">
        <v>14</v>
      </c>
      <c r="X33" s="3">
        <v>3</v>
      </c>
      <c r="Y33" s="3">
        <v>11</v>
      </c>
      <c r="Z33" s="3">
        <v>5</v>
      </c>
      <c r="AA33" s="3">
        <v>2</v>
      </c>
      <c r="AB33" s="3">
        <v>12</v>
      </c>
    </row>
    <row r="34" spans="1:28" x14ac:dyDescent="0.35">
      <c r="A34">
        <v>57</v>
      </c>
      <c r="C34">
        <v>36</v>
      </c>
      <c r="E34">
        <v>22</v>
      </c>
      <c r="I34">
        <v>31</v>
      </c>
      <c r="K34">
        <v>51</v>
      </c>
      <c r="M34" t="s">
        <v>17</v>
      </c>
    </row>
    <row r="35" spans="1:28" x14ac:dyDescent="0.35">
      <c r="A35">
        <v>49</v>
      </c>
      <c r="C35">
        <v>4</v>
      </c>
      <c r="E35">
        <v>23</v>
      </c>
      <c r="I35">
        <v>23</v>
      </c>
      <c r="K35">
        <v>45</v>
      </c>
      <c r="M35" s="3">
        <v>7</v>
      </c>
      <c r="N35" s="3">
        <v>13</v>
      </c>
      <c r="O35" s="3">
        <v>14</v>
      </c>
      <c r="P35" s="3">
        <v>3</v>
      </c>
      <c r="Q35" s="3">
        <v>0</v>
      </c>
      <c r="R35" s="3">
        <v>6</v>
      </c>
      <c r="S35" s="3">
        <v>9</v>
      </c>
      <c r="T35" s="3">
        <v>10</v>
      </c>
      <c r="U35" s="3">
        <v>1</v>
      </c>
      <c r="V35" s="3">
        <v>2</v>
      </c>
      <c r="W35" s="3">
        <v>8</v>
      </c>
      <c r="X35" s="3">
        <v>5</v>
      </c>
      <c r="Y35" s="3">
        <v>11</v>
      </c>
      <c r="Z35" s="3">
        <v>12</v>
      </c>
      <c r="AA35" s="3">
        <v>4</v>
      </c>
      <c r="AB35" s="3">
        <v>15</v>
      </c>
    </row>
    <row r="36" spans="1:28" x14ac:dyDescent="0.35">
      <c r="A36">
        <v>41</v>
      </c>
      <c r="C36">
        <v>44</v>
      </c>
      <c r="E36">
        <v>24</v>
      </c>
      <c r="I36">
        <v>15</v>
      </c>
      <c r="K36">
        <v>33</v>
      </c>
      <c r="M36" s="3">
        <v>13</v>
      </c>
      <c r="N36" s="3">
        <v>8</v>
      </c>
      <c r="O36" s="3">
        <v>11</v>
      </c>
      <c r="P36" s="3">
        <v>5</v>
      </c>
      <c r="Q36" s="3">
        <v>6</v>
      </c>
      <c r="R36" s="3">
        <v>15</v>
      </c>
      <c r="S36" s="3">
        <v>0</v>
      </c>
      <c r="T36" s="3">
        <v>3</v>
      </c>
      <c r="U36" s="3">
        <v>4</v>
      </c>
      <c r="V36" s="3">
        <v>7</v>
      </c>
      <c r="W36" s="3">
        <v>2</v>
      </c>
      <c r="X36" s="3">
        <v>12</v>
      </c>
      <c r="Y36" s="3">
        <v>1</v>
      </c>
      <c r="Z36" s="3">
        <v>10</v>
      </c>
      <c r="AA36" s="3">
        <v>14</v>
      </c>
      <c r="AB36" s="3">
        <v>9</v>
      </c>
    </row>
    <row r="37" spans="1:28" x14ac:dyDescent="0.35">
      <c r="A37">
        <v>33</v>
      </c>
      <c r="C37">
        <v>12</v>
      </c>
      <c r="E37">
        <v>25</v>
      </c>
      <c r="I37">
        <v>7</v>
      </c>
      <c r="K37">
        <v>48</v>
      </c>
      <c r="M37" s="3">
        <v>10</v>
      </c>
      <c r="N37" s="3">
        <v>6</v>
      </c>
      <c r="O37" s="3">
        <v>9</v>
      </c>
      <c r="P37" s="3">
        <v>0</v>
      </c>
      <c r="Q37" s="3">
        <v>12</v>
      </c>
      <c r="R37" s="3">
        <v>11</v>
      </c>
      <c r="S37" s="3">
        <v>7</v>
      </c>
      <c r="T37" s="3">
        <v>13</v>
      </c>
      <c r="U37" s="3">
        <v>15</v>
      </c>
      <c r="V37" s="3">
        <v>1</v>
      </c>
      <c r="W37" s="3">
        <v>3</v>
      </c>
      <c r="X37" s="3">
        <v>14</v>
      </c>
      <c r="Y37" s="3">
        <v>5</v>
      </c>
      <c r="Z37" s="3">
        <v>2</v>
      </c>
      <c r="AA37" s="3">
        <v>8</v>
      </c>
      <c r="AB37" s="3">
        <v>4</v>
      </c>
    </row>
    <row r="38" spans="1:28" x14ac:dyDescent="0.35">
      <c r="A38">
        <v>25</v>
      </c>
      <c r="C38">
        <v>52</v>
      </c>
      <c r="E38">
        <v>24</v>
      </c>
      <c r="I38">
        <v>62</v>
      </c>
      <c r="K38">
        <v>44</v>
      </c>
      <c r="M38" s="3">
        <v>3</v>
      </c>
      <c r="N38" s="3">
        <v>15</v>
      </c>
      <c r="O38" s="3">
        <v>0</v>
      </c>
      <c r="P38" s="3">
        <v>6</v>
      </c>
      <c r="Q38" s="3">
        <v>10</v>
      </c>
      <c r="R38" s="3">
        <v>1</v>
      </c>
      <c r="S38" s="3">
        <v>13</v>
      </c>
      <c r="T38" s="3">
        <v>8</v>
      </c>
      <c r="U38" s="3">
        <v>9</v>
      </c>
      <c r="V38" s="3">
        <v>4</v>
      </c>
      <c r="W38" s="3">
        <v>5</v>
      </c>
      <c r="X38" s="3">
        <v>11</v>
      </c>
      <c r="Y38" s="3">
        <v>12</v>
      </c>
      <c r="Z38" s="3">
        <v>7</v>
      </c>
      <c r="AA38" s="3">
        <v>2</v>
      </c>
      <c r="AB38" s="3">
        <v>14</v>
      </c>
    </row>
    <row r="39" spans="1:28" x14ac:dyDescent="0.35">
      <c r="A39">
        <v>17</v>
      </c>
      <c r="C39">
        <v>20</v>
      </c>
      <c r="E39">
        <v>25</v>
      </c>
      <c r="I39">
        <v>54</v>
      </c>
      <c r="K39">
        <v>49</v>
      </c>
      <c r="M39" t="s">
        <v>18</v>
      </c>
    </row>
    <row r="40" spans="1:28" x14ac:dyDescent="0.35">
      <c r="A40">
        <v>9</v>
      </c>
      <c r="C40">
        <v>60</v>
      </c>
      <c r="E40">
        <v>26</v>
      </c>
      <c r="I40">
        <v>46</v>
      </c>
      <c r="K40">
        <v>39</v>
      </c>
      <c r="M40" s="3">
        <v>2</v>
      </c>
      <c r="N40" s="3">
        <v>12</v>
      </c>
      <c r="O40" s="3">
        <v>4</v>
      </c>
      <c r="P40" s="3">
        <v>1</v>
      </c>
      <c r="Q40" s="3">
        <v>7</v>
      </c>
      <c r="R40" s="3">
        <v>10</v>
      </c>
      <c r="S40" s="3">
        <v>11</v>
      </c>
      <c r="T40" s="3">
        <v>6</v>
      </c>
      <c r="U40" s="3">
        <v>8</v>
      </c>
      <c r="V40" s="3">
        <v>5</v>
      </c>
      <c r="W40" s="3">
        <v>3</v>
      </c>
      <c r="X40" s="3">
        <v>15</v>
      </c>
      <c r="Y40" s="3">
        <v>13</v>
      </c>
      <c r="Z40" s="3">
        <v>0</v>
      </c>
      <c r="AA40" s="3">
        <v>14</v>
      </c>
      <c r="AB40" s="3">
        <v>9</v>
      </c>
    </row>
    <row r="41" spans="1:28" x14ac:dyDescent="0.35">
      <c r="A41">
        <v>1</v>
      </c>
      <c r="C41">
        <v>28</v>
      </c>
      <c r="E41">
        <v>27</v>
      </c>
      <c r="I41">
        <v>38</v>
      </c>
      <c r="K41">
        <v>56</v>
      </c>
      <c r="M41" s="3">
        <v>14</v>
      </c>
      <c r="N41" s="3">
        <v>11</v>
      </c>
      <c r="O41" s="3">
        <v>2</v>
      </c>
      <c r="P41" s="3">
        <v>12</v>
      </c>
      <c r="Q41" s="3">
        <v>4</v>
      </c>
      <c r="R41" s="3">
        <v>7</v>
      </c>
      <c r="S41" s="3">
        <v>13</v>
      </c>
      <c r="T41" s="3">
        <v>1</v>
      </c>
      <c r="U41" s="3">
        <v>5</v>
      </c>
      <c r="V41" s="3">
        <v>0</v>
      </c>
      <c r="W41" s="3">
        <v>15</v>
      </c>
      <c r="X41" s="3">
        <v>10</v>
      </c>
      <c r="Y41" s="3">
        <v>3</v>
      </c>
      <c r="Z41" s="3">
        <v>9</v>
      </c>
      <c r="AA41" s="3">
        <v>8</v>
      </c>
      <c r="AB41" s="3">
        <v>6</v>
      </c>
    </row>
    <row r="42" spans="1:28" x14ac:dyDescent="0.35">
      <c r="A42">
        <v>59</v>
      </c>
      <c r="C42">
        <v>35</v>
      </c>
      <c r="E42">
        <v>28</v>
      </c>
      <c r="I42">
        <v>30</v>
      </c>
      <c r="K42">
        <v>34</v>
      </c>
      <c r="M42" s="3">
        <v>4</v>
      </c>
      <c r="N42" s="3">
        <v>2</v>
      </c>
      <c r="O42" s="3">
        <v>1</v>
      </c>
      <c r="P42" s="3">
        <v>11</v>
      </c>
      <c r="Q42" s="3">
        <v>10</v>
      </c>
      <c r="R42" s="3">
        <v>13</v>
      </c>
      <c r="S42" s="3">
        <v>7</v>
      </c>
      <c r="T42" s="3">
        <v>8</v>
      </c>
      <c r="U42" s="3">
        <v>15</v>
      </c>
      <c r="V42" s="3">
        <v>9</v>
      </c>
      <c r="W42" s="3">
        <v>12</v>
      </c>
      <c r="X42" s="3">
        <v>5</v>
      </c>
      <c r="Y42" s="3">
        <v>6</v>
      </c>
      <c r="Z42" s="3">
        <v>3</v>
      </c>
      <c r="AA42" s="3">
        <v>0</v>
      </c>
      <c r="AB42" s="3">
        <v>14</v>
      </c>
    </row>
    <row r="43" spans="1:28" x14ac:dyDescent="0.35">
      <c r="A43">
        <v>51</v>
      </c>
      <c r="C43">
        <v>3</v>
      </c>
      <c r="E43">
        <v>29</v>
      </c>
      <c r="I43">
        <v>22</v>
      </c>
      <c r="K43">
        <v>53</v>
      </c>
      <c r="M43" s="3">
        <v>11</v>
      </c>
      <c r="N43" s="3">
        <v>8</v>
      </c>
      <c r="O43" s="3">
        <v>12</v>
      </c>
      <c r="P43" s="3">
        <v>7</v>
      </c>
      <c r="Q43" s="3">
        <v>1</v>
      </c>
      <c r="R43" s="3">
        <v>14</v>
      </c>
      <c r="S43" s="3">
        <v>2</v>
      </c>
      <c r="T43" s="3">
        <v>13</v>
      </c>
      <c r="U43" s="3">
        <v>6</v>
      </c>
      <c r="V43" s="3">
        <v>15</v>
      </c>
      <c r="W43" s="3">
        <v>0</v>
      </c>
      <c r="X43" s="3">
        <v>9</v>
      </c>
      <c r="Y43" s="3">
        <v>10</v>
      </c>
      <c r="Z43" s="3">
        <v>4</v>
      </c>
      <c r="AA43" s="3">
        <v>5</v>
      </c>
      <c r="AB43" s="3">
        <v>3</v>
      </c>
    </row>
    <row r="44" spans="1:28" x14ac:dyDescent="0.35">
      <c r="A44">
        <v>43</v>
      </c>
      <c r="C44">
        <v>43</v>
      </c>
      <c r="E44">
        <v>28</v>
      </c>
      <c r="I44">
        <v>14</v>
      </c>
      <c r="K44">
        <v>46</v>
      </c>
      <c r="M44" t="s">
        <v>19</v>
      </c>
    </row>
    <row r="45" spans="1:28" x14ac:dyDescent="0.35">
      <c r="A45">
        <v>35</v>
      </c>
      <c r="C45">
        <v>11</v>
      </c>
      <c r="E45">
        <v>29</v>
      </c>
      <c r="I45">
        <v>6</v>
      </c>
      <c r="K45">
        <v>42</v>
      </c>
      <c r="M45" s="3">
        <v>12</v>
      </c>
      <c r="N45" s="3">
        <v>1</v>
      </c>
      <c r="O45" s="3">
        <v>10</v>
      </c>
      <c r="P45" s="3">
        <v>15</v>
      </c>
      <c r="Q45" s="3">
        <v>9</v>
      </c>
      <c r="R45" s="3">
        <v>2</v>
      </c>
      <c r="S45" s="3">
        <v>6</v>
      </c>
      <c r="T45" s="3">
        <v>8</v>
      </c>
      <c r="U45" s="3">
        <v>0</v>
      </c>
      <c r="V45" s="3">
        <v>13</v>
      </c>
      <c r="W45" s="3">
        <v>3</v>
      </c>
      <c r="X45" s="3">
        <v>4</v>
      </c>
      <c r="Y45" s="3">
        <v>14</v>
      </c>
      <c r="Z45" s="3">
        <v>7</v>
      </c>
      <c r="AA45" s="3">
        <v>5</v>
      </c>
      <c r="AB45" s="3">
        <v>11</v>
      </c>
    </row>
    <row r="46" spans="1:28" x14ac:dyDescent="0.35">
      <c r="A46">
        <v>27</v>
      </c>
      <c r="C46">
        <v>51</v>
      </c>
      <c r="E46">
        <v>30</v>
      </c>
      <c r="I46">
        <v>61</v>
      </c>
      <c r="K46">
        <v>50</v>
      </c>
      <c r="M46" s="3">
        <v>10</v>
      </c>
      <c r="N46" s="3">
        <v>15</v>
      </c>
      <c r="O46" s="3">
        <v>4</v>
      </c>
      <c r="P46" s="3">
        <v>2</v>
      </c>
      <c r="Q46" s="3">
        <v>7</v>
      </c>
      <c r="R46" s="3">
        <v>12</v>
      </c>
      <c r="S46" s="3">
        <v>9</v>
      </c>
      <c r="T46" s="3">
        <v>5</v>
      </c>
      <c r="U46" s="3">
        <v>6</v>
      </c>
      <c r="V46" s="3">
        <v>1</v>
      </c>
      <c r="W46" s="3">
        <v>13</v>
      </c>
      <c r="X46" s="3">
        <v>14</v>
      </c>
      <c r="Y46" s="3">
        <v>0</v>
      </c>
      <c r="Z46" s="3">
        <v>11</v>
      </c>
      <c r="AA46" s="3">
        <v>3</v>
      </c>
      <c r="AB46" s="3">
        <v>8</v>
      </c>
    </row>
    <row r="47" spans="1:28" x14ac:dyDescent="0.35">
      <c r="A47">
        <v>19</v>
      </c>
      <c r="C47">
        <v>19</v>
      </c>
      <c r="E47">
        <v>31</v>
      </c>
      <c r="I47">
        <v>53</v>
      </c>
      <c r="K47">
        <v>36</v>
      </c>
      <c r="M47" s="3">
        <v>9</v>
      </c>
      <c r="N47" s="3">
        <v>14</v>
      </c>
      <c r="O47" s="3">
        <v>15</v>
      </c>
      <c r="P47" s="3">
        <v>5</v>
      </c>
      <c r="Q47" s="3">
        <v>2</v>
      </c>
      <c r="R47" s="3">
        <v>8</v>
      </c>
      <c r="S47" s="3">
        <v>12</v>
      </c>
      <c r="T47" s="3">
        <v>3</v>
      </c>
      <c r="U47" s="3">
        <v>7</v>
      </c>
      <c r="V47" s="3">
        <v>0</v>
      </c>
      <c r="W47" s="3">
        <v>4</v>
      </c>
      <c r="X47" s="3">
        <v>10</v>
      </c>
      <c r="Y47" s="3">
        <v>1</v>
      </c>
      <c r="Z47" s="3">
        <v>13</v>
      </c>
      <c r="AA47" s="3">
        <v>11</v>
      </c>
      <c r="AB47" s="3">
        <v>6</v>
      </c>
    </row>
    <row r="48" spans="1:28" x14ac:dyDescent="0.35">
      <c r="A48">
        <v>11</v>
      </c>
      <c r="C48">
        <v>59</v>
      </c>
      <c r="E48">
        <v>32</v>
      </c>
      <c r="I48">
        <v>45</v>
      </c>
      <c r="K48">
        <v>29</v>
      </c>
      <c r="M48" s="3">
        <v>1</v>
      </c>
      <c r="N48" s="3">
        <v>3</v>
      </c>
      <c r="O48" s="3">
        <v>2</v>
      </c>
      <c r="P48" s="3">
        <v>12</v>
      </c>
      <c r="Q48" s="3">
        <v>9</v>
      </c>
      <c r="R48" s="3">
        <v>5</v>
      </c>
      <c r="S48" s="3">
        <v>15</v>
      </c>
      <c r="T48" s="3">
        <v>10</v>
      </c>
      <c r="U48" s="3">
        <v>11</v>
      </c>
      <c r="V48" s="3">
        <v>14</v>
      </c>
      <c r="W48" s="3">
        <v>1</v>
      </c>
      <c r="X48" s="3">
        <v>7</v>
      </c>
      <c r="Y48" s="3">
        <v>6</v>
      </c>
      <c r="Z48" s="3">
        <v>0</v>
      </c>
      <c r="AA48" s="3">
        <v>8</v>
      </c>
      <c r="AB48" s="3">
        <v>13</v>
      </c>
    </row>
    <row r="49" spans="1:28" x14ac:dyDescent="0.35">
      <c r="A49">
        <v>3</v>
      </c>
      <c r="C49">
        <v>27</v>
      </c>
      <c r="E49">
        <v>1</v>
      </c>
      <c r="I49">
        <v>37</v>
      </c>
      <c r="K49">
        <v>32</v>
      </c>
      <c r="M49" t="s">
        <v>20</v>
      </c>
    </row>
    <row r="50" spans="1:28" x14ac:dyDescent="0.35">
      <c r="A50">
        <v>61</v>
      </c>
      <c r="C50">
        <v>34</v>
      </c>
      <c r="I50">
        <v>29</v>
      </c>
      <c r="M50" s="3">
        <v>4</v>
      </c>
      <c r="N50" s="3">
        <v>11</v>
      </c>
      <c r="O50" s="3">
        <v>2</v>
      </c>
      <c r="P50" s="3">
        <v>14</v>
      </c>
      <c r="Q50" s="3">
        <v>15</v>
      </c>
      <c r="R50" s="3">
        <v>0</v>
      </c>
      <c r="S50" s="3">
        <v>8</v>
      </c>
      <c r="T50" s="3">
        <v>13</v>
      </c>
      <c r="U50" s="3">
        <v>3</v>
      </c>
      <c r="V50" s="3">
        <v>12</v>
      </c>
      <c r="W50" s="3">
        <v>9</v>
      </c>
      <c r="X50" s="3">
        <v>7</v>
      </c>
      <c r="Y50" s="3">
        <v>5</v>
      </c>
      <c r="Z50" s="3">
        <v>10</v>
      </c>
      <c r="AA50" s="3">
        <v>6</v>
      </c>
      <c r="AB50" s="3">
        <v>1</v>
      </c>
    </row>
    <row r="51" spans="1:28" x14ac:dyDescent="0.35">
      <c r="A51">
        <v>53</v>
      </c>
      <c r="C51">
        <v>2</v>
      </c>
      <c r="I51">
        <v>21</v>
      </c>
      <c r="M51" s="3">
        <v>13</v>
      </c>
      <c r="N51" s="3">
        <v>0</v>
      </c>
      <c r="O51" s="3">
        <v>11</v>
      </c>
      <c r="P51" s="3">
        <v>7</v>
      </c>
      <c r="Q51" s="3">
        <v>4</v>
      </c>
      <c r="R51" s="3">
        <v>9</v>
      </c>
      <c r="S51" s="3">
        <v>1</v>
      </c>
      <c r="T51" s="3">
        <v>10</v>
      </c>
      <c r="U51" s="3">
        <v>14</v>
      </c>
      <c r="V51" s="3">
        <v>3</v>
      </c>
      <c r="W51" s="3">
        <v>5</v>
      </c>
      <c r="X51" s="3">
        <v>12</v>
      </c>
      <c r="Y51" s="3">
        <v>2</v>
      </c>
      <c r="Z51" s="3">
        <v>15</v>
      </c>
      <c r="AA51" s="3">
        <v>8</v>
      </c>
      <c r="AB51" s="3">
        <v>6</v>
      </c>
    </row>
    <row r="52" spans="1:28" x14ac:dyDescent="0.35">
      <c r="A52">
        <v>45</v>
      </c>
      <c r="C52">
        <v>42</v>
      </c>
      <c r="I52">
        <v>13</v>
      </c>
      <c r="M52" s="3">
        <v>1</v>
      </c>
      <c r="N52" s="3">
        <v>4</v>
      </c>
      <c r="O52" s="3">
        <v>11</v>
      </c>
      <c r="P52" s="3">
        <v>13</v>
      </c>
      <c r="Q52" s="3">
        <v>12</v>
      </c>
      <c r="R52" s="3">
        <v>3</v>
      </c>
      <c r="S52" s="3">
        <v>7</v>
      </c>
      <c r="T52" s="3">
        <v>14</v>
      </c>
      <c r="U52" s="3">
        <v>10</v>
      </c>
      <c r="V52" s="3">
        <v>15</v>
      </c>
      <c r="W52" s="3">
        <v>6</v>
      </c>
      <c r="X52" s="3">
        <v>8</v>
      </c>
      <c r="Y52" s="3">
        <v>0</v>
      </c>
      <c r="Z52" s="3">
        <v>5</v>
      </c>
      <c r="AA52" s="3">
        <v>9</v>
      </c>
      <c r="AB52" s="3">
        <v>2</v>
      </c>
    </row>
    <row r="53" spans="1:28" x14ac:dyDescent="0.35">
      <c r="A53">
        <v>37</v>
      </c>
      <c r="C53">
        <v>10</v>
      </c>
      <c r="I53">
        <v>5</v>
      </c>
      <c r="M53" s="3">
        <v>6</v>
      </c>
      <c r="N53" s="3">
        <v>11</v>
      </c>
      <c r="O53" s="3">
        <v>13</v>
      </c>
      <c r="P53" s="3">
        <v>8</v>
      </c>
      <c r="Q53" s="3">
        <v>1</v>
      </c>
      <c r="R53" s="3">
        <v>4</v>
      </c>
      <c r="S53" s="3">
        <v>10</v>
      </c>
      <c r="T53" s="3">
        <v>7</v>
      </c>
      <c r="U53" s="3">
        <v>9</v>
      </c>
      <c r="V53" s="3">
        <v>5</v>
      </c>
      <c r="W53" s="3">
        <v>0</v>
      </c>
      <c r="X53" s="3">
        <v>15</v>
      </c>
      <c r="Y53" s="3">
        <v>14</v>
      </c>
      <c r="Z53" s="3">
        <v>2</v>
      </c>
      <c r="AA53" s="3">
        <v>3</v>
      </c>
      <c r="AB53" s="3">
        <v>12</v>
      </c>
    </row>
    <row r="54" spans="1:28" x14ac:dyDescent="0.35">
      <c r="A54">
        <v>29</v>
      </c>
      <c r="C54">
        <v>50</v>
      </c>
      <c r="I54">
        <v>28</v>
      </c>
      <c r="M54" t="s">
        <v>21</v>
      </c>
    </row>
    <row r="55" spans="1:28" x14ac:dyDescent="0.35">
      <c r="A55">
        <v>21</v>
      </c>
      <c r="C55">
        <v>18</v>
      </c>
      <c r="I55">
        <v>20</v>
      </c>
      <c r="M55" s="3">
        <v>13</v>
      </c>
      <c r="N55" s="3">
        <v>2</v>
      </c>
      <c r="O55" s="3">
        <v>8</v>
      </c>
      <c r="P55" s="3">
        <v>4</v>
      </c>
      <c r="Q55" s="3">
        <v>6</v>
      </c>
      <c r="R55" s="3">
        <v>15</v>
      </c>
      <c r="S55" s="3">
        <v>11</v>
      </c>
      <c r="T55" s="3">
        <v>1</v>
      </c>
      <c r="U55" s="3">
        <v>10</v>
      </c>
      <c r="V55" s="3">
        <v>9</v>
      </c>
      <c r="W55" s="3">
        <v>3</v>
      </c>
      <c r="X55" s="3">
        <v>14</v>
      </c>
      <c r="Y55" s="3">
        <v>5</v>
      </c>
      <c r="Z55" s="3">
        <v>0</v>
      </c>
      <c r="AA55" s="3">
        <v>12</v>
      </c>
      <c r="AB55" s="3">
        <v>7</v>
      </c>
    </row>
    <row r="56" spans="1:28" x14ac:dyDescent="0.35">
      <c r="A56">
        <v>13</v>
      </c>
      <c r="C56">
        <v>58</v>
      </c>
      <c r="I56">
        <v>12</v>
      </c>
      <c r="M56" s="3">
        <v>1</v>
      </c>
      <c r="N56" s="3">
        <v>15</v>
      </c>
      <c r="O56" s="3">
        <v>13</v>
      </c>
      <c r="P56" s="3">
        <v>8</v>
      </c>
      <c r="Q56" s="3">
        <v>10</v>
      </c>
      <c r="R56" s="3">
        <v>3</v>
      </c>
      <c r="S56" s="3">
        <v>7</v>
      </c>
      <c r="T56" s="3">
        <v>4</v>
      </c>
      <c r="U56" s="3">
        <v>12</v>
      </c>
      <c r="V56" s="3">
        <v>5</v>
      </c>
      <c r="W56" s="3">
        <v>6</v>
      </c>
      <c r="X56" s="3">
        <v>11</v>
      </c>
      <c r="Y56" s="3">
        <v>0</v>
      </c>
      <c r="Z56" s="3">
        <v>14</v>
      </c>
      <c r="AA56" s="3">
        <v>9</v>
      </c>
      <c r="AB56" s="3">
        <v>2</v>
      </c>
    </row>
    <row r="57" spans="1:28" x14ac:dyDescent="0.35">
      <c r="A57">
        <v>5</v>
      </c>
      <c r="C57">
        <v>26</v>
      </c>
      <c r="I57">
        <v>4</v>
      </c>
      <c r="M57" s="3">
        <v>7</v>
      </c>
      <c r="N57" s="3">
        <v>11</v>
      </c>
      <c r="O57" s="3">
        <v>4</v>
      </c>
      <c r="P57" s="3">
        <v>1</v>
      </c>
      <c r="Q57" s="3">
        <v>9</v>
      </c>
      <c r="R57" s="3">
        <v>12</v>
      </c>
      <c r="S57" s="3">
        <v>14</v>
      </c>
      <c r="T57" s="3">
        <v>2</v>
      </c>
      <c r="U57" s="3">
        <v>0</v>
      </c>
      <c r="V57" s="3">
        <v>6</v>
      </c>
      <c r="W57" s="3">
        <v>10</v>
      </c>
      <c r="X57" s="3">
        <v>13</v>
      </c>
      <c r="Y57" s="3">
        <v>15</v>
      </c>
      <c r="Z57" s="3">
        <v>3</v>
      </c>
      <c r="AA57" s="3">
        <v>5</v>
      </c>
      <c r="AB57" s="3">
        <v>8</v>
      </c>
    </row>
    <row r="58" spans="1:28" x14ac:dyDescent="0.35">
      <c r="A58">
        <v>63</v>
      </c>
      <c r="C58">
        <v>33</v>
      </c>
      <c r="M58" s="3">
        <v>2</v>
      </c>
      <c r="N58" s="3">
        <v>1</v>
      </c>
      <c r="O58" s="3">
        <v>14</v>
      </c>
      <c r="P58" s="3">
        <v>7</v>
      </c>
      <c r="Q58" s="3">
        <v>4</v>
      </c>
      <c r="R58" s="3">
        <v>10</v>
      </c>
      <c r="S58" s="3">
        <v>8</v>
      </c>
      <c r="T58" s="3">
        <v>13</v>
      </c>
      <c r="U58" s="3">
        <v>15</v>
      </c>
      <c r="V58" s="3">
        <v>12</v>
      </c>
      <c r="W58" s="3">
        <v>9</v>
      </c>
      <c r="X58" s="3">
        <v>0</v>
      </c>
      <c r="Y58" s="3">
        <v>3</v>
      </c>
      <c r="Z58" s="3">
        <v>5</v>
      </c>
      <c r="AA58" s="3">
        <v>6</v>
      </c>
      <c r="AB58" s="3">
        <v>11</v>
      </c>
    </row>
    <row r="59" spans="1:28" x14ac:dyDescent="0.35">
      <c r="A59">
        <v>55</v>
      </c>
      <c r="C59">
        <v>1</v>
      </c>
    </row>
    <row r="60" spans="1:28" x14ac:dyDescent="0.35">
      <c r="A60">
        <v>47</v>
      </c>
      <c r="C60">
        <v>41</v>
      </c>
    </row>
    <row r="61" spans="1:28" x14ac:dyDescent="0.35">
      <c r="A61">
        <v>39</v>
      </c>
      <c r="C61">
        <v>9</v>
      </c>
    </row>
    <row r="62" spans="1:28" x14ac:dyDescent="0.35">
      <c r="A62">
        <v>31</v>
      </c>
      <c r="C62">
        <v>49</v>
      </c>
    </row>
    <row r="63" spans="1:28" x14ac:dyDescent="0.35">
      <c r="A63">
        <v>23</v>
      </c>
      <c r="C63">
        <v>17</v>
      </c>
    </row>
    <row r="64" spans="1:28" x14ac:dyDescent="0.35">
      <c r="A64">
        <v>15</v>
      </c>
      <c r="C64">
        <v>57</v>
      </c>
    </row>
    <row r="65" spans="1:3" x14ac:dyDescent="0.35">
      <c r="A65">
        <v>7</v>
      </c>
      <c r="C65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BA5AE-E12C-431C-97E5-A97659D760EB}">
  <dimension ref="A5:BE90"/>
  <sheetViews>
    <sheetView zoomScale="25" zoomScaleNormal="25" workbookViewId="0">
      <selection activeCell="B19" sqref="B19"/>
    </sheetView>
  </sheetViews>
  <sheetFormatPr defaultRowHeight="14.5" x14ac:dyDescent="0.35"/>
  <sheetData>
    <row r="5" spans="1:57" x14ac:dyDescent="0.35">
      <c r="B5" t="s">
        <v>11</v>
      </c>
    </row>
    <row r="6" spans="1:57" x14ac:dyDescent="0.35">
      <c r="B6" cm="1">
        <f t="array" ref="B6">INDEX(K_BITS, 1, INDEX(PC1_TBL, COLUMNS($B$6:B6)))</f>
        <v>1</v>
      </c>
      <c r="C6" cm="1">
        <f t="array" ref="C6">INDEX(K_BITS, 1, INDEX(PC1_TBL, COLUMNS($B$6:C6)))</f>
        <v>1</v>
      </c>
      <c r="D6" cm="1">
        <f t="array" ref="D6">INDEX(K_BITS, 1, INDEX(PC1_TBL, COLUMNS($B$6:D6)))</f>
        <v>1</v>
      </c>
      <c r="E6" cm="1">
        <f t="array" ref="E6">INDEX(K_BITS, 1, INDEX(PC1_TBL, COLUMNS($B$6:E6)))</f>
        <v>1</v>
      </c>
      <c r="F6" cm="1">
        <f t="array" ref="F6">INDEX(K_BITS, 1, INDEX(PC1_TBL, COLUMNS($B$6:F6)))</f>
        <v>0</v>
      </c>
      <c r="G6" cm="1">
        <f t="array" ref="G6">INDEX(K_BITS, 1, INDEX(PC1_TBL, COLUMNS($B$6:G6)))</f>
        <v>0</v>
      </c>
      <c r="H6" cm="1">
        <f t="array" ref="H6">INDEX(K_BITS, 1, INDEX(PC1_TBL, COLUMNS($B$6:H6)))</f>
        <v>0</v>
      </c>
      <c r="I6" cm="1">
        <f t="array" ref="I6">INDEX(K_BITS, 1, INDEX(PC1_TBL, COLUMNS($B$6:I6)))</f>
        <v>0</v>
      </c>
      <c r="J6" cm="1">
        <f t="array" ref="J6">INDEX(K_BITS, 1, INDEX(PC1_TBL, COLUMNS($B$6:J6)))</f>
        <v>1</v>
      </c>
      <c r="K6" cm="1">
        <f t="array" ref="K6">INDEX(K_BITS, 1, INDEX(PC1_TBL, COLUMNS($B$6:K6)))</f>
        <v>1</v>
      </c>
      <c r="L6" cm="1">
        <f t="array" ref="L6">INDEX(K_BITS, 1, INDEX(PC1_TBL, COLUMNS($B$6:L6)))</f>
        <v>0</v>
      </c>
      <c r="M6" cm="1">
        <f t="array" ref="M6">INDEX(K_BITS, 1, INDEX(PC1_TBL, COLUMNS($B$6:M6)))</f>
        <v>0</v>
      </c>
      <c r="N6" cm="1">
        <f t="array" ref="N6">INDEX(K_BITS, 1, INDEX(PC1_TBL, COLUMNS($B$6:N6)))</f>
        <v>1</v>
      </c>
      <c r="O6" cm="1">
        <f t="array" ref="O6">INDEX(K_BITS, 1, INDEX(PC1_TBL, COLUMNS($B$6:O6)))</f>
        <v>1</v>
      </c>
      <c r="P6" cm="1">
        <f t="array" ref="P6">INDEX(K_BITS, 1, INDEX(PC1_TBL, COLUMNS($B$6:P6)))</f>
        <v>0</v>
      </c>
      <c r="Q6" cm="1">
        <f t="array" ref="Q6">INDEX(K_BITS, 1, INDEX(PC1_TBL, COLUMNS($B$6:Q6)))</f>
        <v>0</v>
      </c>
      <c r="R6" cm="1">
        <f t="array" ref="R6">INDEX(K_BITS, 1, INDEX(PC1_TBL, COLUMNS($B$6:R6)))</f>
        <v>1</v>
      </c>
      <c r="S6" cm="1">
        <f t="array" ref="S6">INDEX(K_BITS, 1, INDEX(PC1_TBL, COLUMNS($B$6:S6)))</f>
        <v>0</v>
      </c>
      <c r="T6" cm="1">
        <f t="array" ref="T6">INDEX(K_BITS, 1, INDEX(PC1_TBL, COLUMNS($B$6:T6)))</f>
        <v>1</v>
      </c>
      <c r="U6" cm="1">
        <f t="array" ref="U6">INDEX(K_BITS, 1, INDEX(PC1_TBL, COLUMNS($B$6:U6)))</f>
        <v>0</v>
      </c>
      <c r="V6" cm="1">
        <f t="array" ref="V6">INDEX(K_BITS, 1, INDEX(PC1_TBL, COLUMNS($B$6:V6)))</f>
        <v>1</v>
      </c>
      <c r="W6" cm="1">
        <f t="array" ref="W6">INDEX(K_BITS, 1, INDEX(PC1_TBL, COLUMNS($B$6:W6)))</f>
        <v>0</v>
      </c>
      <c r="X6" cm="1">
        <f t="array" ref="X6">INDEX(K_BITS, 1, INDEX(PC1_TBL, COLUMNS($B$6:X6)))</f>
        <v>1</v>
      </c>
      <c r="Y6" cm="1">
        <f t="array" ref="Y6">INDEX(K_BITS, 1, INDEX(PC1_TBL, COLUMNS($B$6:Y6)))</f>
        <v>0</v>
      </c>
      <c r="Z6" cm="1">
        <f t="array" ref="Z6">INDEX(K_BITS, 1, INDEX(PC1_TBL, COLUMNS($B$6:Z6)))</f>
        <v>1</v>
      </c>
      <c r="AA6" cm="1">
        <f t="array" ref="AA6">INDEX(K_BITS, 1, INDEX(PC1_TBL, COLUMNS($B$6:AA6)))</f>
        <v>0</v>
      </c>
      <c r="AB6" cm="1">
        <f t="array" ref="AB6">INDEX(K_BITS, 1, INDEX(PC1_TBL, COLUMNS($B$6:AB6)))</f>
        <v>1</v>
      </c>
      <c r="AC6" cm="1">
        <f t="array" ref="AC6">INDEX(K_BITS, 1, INDEX(PC1_TBL, COLUMNS($B$6:AC6)))</f>
        <v>1</v>
      </c>
      <c r="AD6" cm="1">
        <f t="array" ref="AD6">INDEX(K_BITS, 1, INDEX(PC1_TBL, COLUMNS($B$6:AD6)))</f>
        <v>1</v>
      </c>
      <c r="AE6" cm="1">
        <f t="array" ref="AE6">INDEX(K_BITS, 1, INDEX(PC1_TBL, COLUMNS($B$6:AE6)))</f>
        <v>0</v>
      </c>
      <c r="AF6" cm="1">
        <f t="array" ref="AF6">INDEX(K_BITS, 1, INDEX(PC1_TBL, COLUMNS($B$6:AF6)))</f>
        <v>1</v>
      </c>
      <c r="AG6" cm="1">
        <f t="array" ref="AG6">INDEX(K_BITS, 1, INDEX(PC1_TBL, COLUMNS($B$6:AG6)))</f>
        <v>0</v>
      </c>
      <c r="AH6" cm="1">
        <f t="array" ref="AH6">INDEX(K_BITS, 1, INDEX(PC1_TBL, COLUMNS($B$6:AH6)))</f>
        <v>1</v>
      </c>
      <c r="AI6" cm="1">
        <f t="array" ref="AI6">INDEX(K_BITS, 1, INDEX(PC1_TBL, COLUMNS($B$6:AI6)))</f>
        <v>0</v>
      </c>
      <c r="AJ6" cm="1">
        <f t="array" ref="AJ6">INDEX(K_BITS, 1, INDEX(PC1_TBL, COLUMNS($B$6:AJ6)))</f>
        <v>1</v>
      </c>
      <c r="AK6" cm="1">
        <f t="array" ref="AK6">INDEX(K_BITS, 1, INDEX(PC1_TBL, COLUMNS($B$6:AK6)))</f>
        <v>0</v>
      </c>
      <c r="AL6" cm="1">
        <f t="array" ref="AL6">INDEX(K_BITS, 1, INDEX(PC1_TBL, COLUMNS($B$6:AL6)))</f>
        <v>1</v>
      </c>
      <c r="AM6" cm="1">
        <f t="array" ref="AM6">INDEX(K_BITS, 1, INDEX(PC1_TBL, COLUMNS($B$6:AM6)))</f>
        <v>1</v>
      </c>
      <c r="AN6" cm="1">
        <f t="array" ref="AN6">INDEX(K_BITS, 1, INDEX(PC1_TBL, COLUMNS($B$6:AN6)))</f>
        <v>0</v>
      </c>
      <c r="AO6" cm="1">
        <f t="array" ref="AO6">INDEX(K_BITS, 1, INDEX(PC1_TBL, COLUMNS($B$6:AO6)))</f>
        <v>0</v>
      </c>
      <c r="AP6" cm="1">
        <f t="array" ref="AP6">INDEX(K_BITS, 1, INDEX(PC1_TBL, COLUMNS($B$6:AP6)))</f>
        <v>1</v>
      </c>
      <c r="AQ6" cm="1">
        <f t="array" ref="AQ6">INDEX(K_BITS, 1, INDEX(PC1_TBL, COLUMNS($B$6:AQ6)))</f>
        <v>1</v>
      </c>
      <c r="AR6" cm="1">
        <f t="array" ref="AR6">INDEX(K_BITS, 1, INDEX(PC1_TBL, COLUMNS($B$6:AR6)))</f>
        <v>0</v>
      </c>
      <c r="AS6" cm="1">
        <f t="array" ref="AS6">INDEX(K_BITS, 1, INDEX(PC1_TBL, COLUMNS($B$6:AS6)))</f>
        <v>0</v>
      </c>
      <c r="AT6" cm="1">
        <f t="array" ref="AT6">INDEX(K_BITS, 1, INDEX(PC1_TBL, COLUMNS($B$6:AT6)))</f>
        <v>1</v>
      </c>
      <c r="AU6" cm="1">
        <f t="array" ref="AU6">INDEX(K_BITS, 1, INDEX(PC1_TBL, COLUMNS($B$6:AU6)))</f>
        <v>1</v>
      </c>
      <c r="AV6" cm="1">
        <f t="array" ref="AV6">INDEX(K_BITS, 1, INDEX(PC1_TBL, COLUMNS($B$6:AV6)))</f>
        <v>1</v>
      </c>
      <c r="AW6" cm="1">
        <f t="array" ref="AW6">INDEX(K_BITS, 1, INDEX(PC1_TBL, COLUMNS($B$6:AW6)))</f>
        <v>1</v>
      </c>
      <c r="AX6" cm="1">
        <f t="array" ref="AX6">INDEX(K_BITS, 1, INDEX(PC1_TBL, COLUMNS($B$6:AX6)))</f>
        <v>0</v>
      </c>
      <c r="AY6" cm="1">
        <f t="array" ref="AY6">INDEX(K_BITS, 1, INDEX(PC1_TBL, COLUMNS($B$6:AY6)))</f>
        <v>0</v>
      </c>
      <c r="AZ6" cm="1">
        <f t="array" ref="AZ6">INDEX(K_BITS, 1, INDEX(PC1_TBL, COLUMNS($B$6:AZ6)))</f>
        <v>0</v>
      </c>
      <c r="BA6" cm="1">
        <f t="array" ref="BA6">INDEX(K_BITS, 1, INDEX(PC1_TBL, COLUMNS($B$6:BA6)))</f>
        <v>0</v>
      </c>
      <c r="BB6" cm="1">
        <f t="array" ref="BB6">INDEX(K_BITS, 1, INDEX(PC1_TBL, COLUMNS($B$6:BB6)))</f>
        <v>1</v>
      </c>
      <c r="BC6" cm="1">
        <f t="array" ref="BC6">INDEX(K_BITS, 1, INDEX(PC1_TBL, COLUMNS($B$6:BC6)))</f>
        <v>0</v>
      </c>
      <c r="BD6" cm="1">
        <f t="array" ref="BD6">INDEX(K_BITS, 1, INDEX(PC1_TBL, COLUMNS($B$6:BD6)))</f>
        <v>1</v>
      </c>
      <c r="BE6" cm="1">
        <f t="array" ref="BE6">INDEX(K_BITS, 1, INDEX(PC1_TBL, COLUMNS($B$6:BE6)))</f>
        <v>0</v>
      </c>
    </row>
    <row r="7" spans="1:57" x14ac:dyDescent="0.35">
      <c r="B7" s="2" t="s">
        <v>4</v>
      </c>
      <c r="AD7" s="3" t="s">
        <v>5</v>
      </c>
    </row>
    <row r="8" spans="1:57" x14ac:dyDescent="0.35">
      <c r="B8" s="2">
        <f>B6</f>
        <v>1</v>
      </c>
      <c r="C8" s="2">
        <f t="shared" ref="C8:AC8" si="0">C6</f>
        <v>1</v>
      </c>
      <c r="D8" s="2">
        <f t="shared" si="0"/>
        <v>1</v>
      </c>
      <c r="E8" s="2">
        <f t="shared" si="0"/>
        <v>1</v>
      </c>
      <c r="F8" s="2">
        <f t="shared" si="0"/>
        <v>0</v>
      </c>
      <c r="G8" s="2">
        <f t="shared" si="0"/>
        <v>0</v>
      </c>
      <c r="H8" s="2">
        <f t="shared" si="0"/>
        <v>0</v>
      </c>
      <c r="I8" s="2">
        <f t="shared" si="0"/>
        <v>0</v>
      </c>
      <c r="J8" s="2">
        <f t="shared" si="0"/>
        <v>1</v>
      </c>
      <c r="K8" s="2">
        <f t="shared" si="0"/>
        <v>1</v>
      </c>
      <c r="L8" s="2">
        <f t="shared" si="0"/>
        <v>0</v>
      </c>
      <c r="M8" s="2">
        <f t="shared" si="0"/>
        <v>0</v>
      </c>
      <c r="N8" s="2">
        <f t="shared" si="0"/>
        <v>1</v>
      </c>
      <c r="O8" s="2">
        <f t="shared" si="0"/>
        <v>1</v>
      </c>
      <c r="P8" s="2">
        <f t="shared" si="0"/>
        <v>0</v>
      </c>
      <c r="Q8" s="2">
        <f t="shared" si="0"/>
        <v>0</v>
      </c>
      <c r="R8" s="2">
        <f t="shared" si="0"/>
        <v>1</v>
      </c>
      <c r="S8" s="2">
        <f t="shared" si="0"/>
        <v>0</v>
      </c>
      <c r="T8" s="2">
        <f t="shared" si="0"/>
        <v>1</v>
      </c>
      <c r="U8" s="2">
        <f t="shared" si="0"/>
        <v>0</v>
      </c>
      <c r="V8" s="2">
        <f t="shared" si="0"/>
        <v>1</v>
      </c>
      <c r="W8" s="2">
        <f t="shared" si="0"/>
        <v>0</v>
      </c>
      <c r="X8" s="2">
        <f t="shared" si="0"/>
        <v>1</v>
      </c>
      <c r="Y8" s="2">
        <f t="shared" si="0"/>
        <v>0</v>
      </c>
      <c r="Z8" s="2">
        <f t="shared" si="0"/>
        <v>1</v>
      </c>
      <c r="AA8" s="2">
        <f t="shared" si="0"/>
        <v>0</v>
      </c>
      <c r="AB8" s="2">
        <f t="shared" si="0"/>
        <v>1</v>
      </c>
      <c r="AC8" s="2">
        <f t="shared" si="0"/>
        <v>1</v>
      </c>
      <c r="AD8" s="3">
        <f>AD6</f>
        <v>1</v>
      </c>
      <c r="AE8" s="3">
        <f t="shared" ref="AE8:BE8" si="1">AE6</f>
        <v>0</v>
      </c>
      <c r="AF8" s="3">
        <f t="shared" si="1"/>
        <v>1</v>
      </c>
      <c r="AG8" s="3">
        <f t="shared" si="1"/>
        <v>0</v>
      </c>
      <c r="AH8" s="3">
        <f t="shared" si="1"/>
        <v>1</v>
      </c>
      <c r="AI8" s="3">
        <f t="shared" si="1"/>
        <v>0</v>
      </c>
      <c r="AJ8" s="3">
        <f t="shared" si="1"/>
        <v>1</v>
      </c>
      <c r="AK8" s="3">
        <f t="shared" si="1"/>
        <v>0</v>
      </c>
      <c r="AL8" s="3">
        <f t="shared" si="1"/>
        <v>1</v>
      </c>
      <c r="AM8" s="3">
        <f t="shared" si="1"/>
        <v>1</v>
      </c>
      <c r="AN8" s="3">
        <f t="shared" si="1"/>
        <v>0</v>
      </c>
      <c r="AO8" s="3">
        <f t="shared" si="1"/>
        <v>0</v>
      </c>
      <c r="AP8" s="3">
        <f t="shared" si="1"/>
        <v>1</v>
      </c>
      <c r="AQ8" s="3">
        <f t="shared" si="1"/>
        <v>1</v>
      </c>
      <c r="AR8" s="3">
        <f t="shared" si="1"/>
        <v>0</v>
      </c>
      <c r="AS8" s="3">
        <f t="shared" si="1"/>
        <v>0</v>
      </c>
      <c r="AT8" s="3">
        <f t="shared" si="1"/>
        <v>1</v>
      </c>
      <c r="AU8" s="3">
        <f t="shared" si="1"/>
        <v>1</v>
      </c>
      <c r="AV8" s="3">
        <f t="shared" si="1"/>
        <v>1</v>
      </c>
      <c r="AW8" s="3">
        <f t="shared" si="1"/>
        <v>1</v>
      </c>
      <c r="AX8" s="3">
        <f t="shared" si="1"/>
        <v>0</v>
      </c>
      <c r="AY8" s="3">
        <f t="shared" si="1"/>
        <v>0</v>
      </c>
      <c r="AZ8" s="3">
        <f t="shared" si="1"/>
        <v>0</v>
      </c>
      <c r="BA8" s="3">
        <f t="shared" si="1"/>
        <v>0</v>
      </c>
      <c r="BB8" s="3">
        <f t="shared" si="1"/>
        <v>1</v>
      </c>
      <c r="BC8" s="3">
        <f t="shared" si="1"/>
        <v>0</v>
      </c>
      <c r="BD8" s="3">
        <f t="shared" si="1"/>
        <v>1</v>
      </c>
      <c r="BE8" s="3">
        <f t="shared" si="1"/>
        <v>0</v>
      </c>
    </row>
    <row r="11" spans="1:57" x14ac:dyDescent="0.35">
      <c r="A11" t="s">
        <v>10</v>
      </c>
      <c r="AD11" t="s">
        <v>2</v>
      </c>
    </row>
    <row r="12" spans="1:57" x14ac:dyDescent="0.35">
      <c r="A12" s="3" t="s">
        <v>3</v>
      </c>
      <c r="B12" s="2" cm="1">
        <f t="array" ref="B12">INDEX($B$8:$AC$8, 1, MOD(COLUMNS($B$12:B12)-1 + INDEX(SHIFT_TBL,1,1), 28) + 1)</f>
        <v>1</v>
      </c>
      <c r="C12" s="2" cm="1">
        <f t="array" ref="C12">INDEX($B$8:$AC$8, 1, MOD(COLUMNS($B$12:C12)-1 + INDEX(SHIFT_TBL,1,1), 28) + 1)</f>
        <v>1</v>
      </c>
      <c r="D12" s="2" cm="1">
        <f t="array" ref="D12">INDEX($B$8:$AC$8, 1, MOD(COLUMNS($B$12:D12)-1 + INDEX(SHIFT_TBL,1,1), 28) + 1)</f>
        <v>1</v>
      </c>
      <c r="E12" s="2" cm="1">
        <f t="array" ref="E12">INDEX($B$8:$AC$8, 1, MOD(COLUMNS($B$12:E12)-1 + INDEX(SHIFT_TBL,1,1), 28) + 1)</f>
        <v>0</v>
      </c>
      <c r="F12" s="2" cm="1">
        <f t="array" ref="F12">INDEX($B$8:$AC$8, 1, MOD(COLUMNS($B$12:F12)-1 + INDEX(SHIFT_TBL,1,1), 28) + 1)</f>
        <v>0</v>
      </c>
      <c r="G12" s="2" cm="1">
        <f t="array" ref="G12">INDEX($B$8:$AC$8, 1, MOD(COLUMNS($B$12:G12)-1 + INDEX(SHIFT_TBL,1,1), 28) + 1)</f>
        <v>0</v>
      </c>
      <c r="H12" s="2" cm="1">
        <f t="array" ref="H12">INDEX($B$8:$AC$8, 1, MOD(COLUMNS($B$12:H12)-1 + INDEX(SHIFT_TBL,1,1), 28) + 1)</f>
        <v>0</v>
      </c>
      <c r="I12" s="2" cm="1">
        <f t="array" ref="I12">INDEX($B$8:$AC$8, 1, MOD(COLUMNS($B$12:I12)-1 + INDEX(SHIFT_TBL,1,1), 28) + 1)</f>
        <v>1</v>
      </c>
      <c r="J12" s="2" cm="1">
        <f t="array" ref="J12">INDEX($B$8:$AC$8, 1, MOD(COLUMNS($B$12:I12)-1 + INDEX(SHIFT_TBL,1,1), 28) + 1)</f>
        <v>1</v>
      </c>
      <c r="K12" s="2" cm="1">
        <f t="array" ref="K12">INDEX($B$8:$AC$8, 1, MOD(COLUMNS($B$12:K12)-1 + INDEX(SHIFT_TBL,1,1), 28) + 1)</f>
        <v>0</v>
      </c>
      <c r="L12" s="2" cm="1">
        <f t="array" ref="L12">INDEX($B$8:$AC$8, 1, MOD(COLUMNS($B$12:L12)-1 + INDEX(SHIFT_TBL,1,1), 28) + 1)</f>
        <v>0</v>
      </c>
      <c r="M12" s="2" cm="1">
        <f t="array" ref="M12">INDEX($B$8:$AC$8, 1, MOD(COLUMNS($B$12:M12)-1 + INDEX(SHIFT_TBL,1,1), 28) + 1)</f>
        <v>1</v>
      </c>
      <c r="N12" s="2" cm="1">
        <f t="array" ref="N12">INDEX($B$8:$AC$8, 1, MOD(COLUMNS($B$12:N12)-1 + INDEX(SHIFT_TBL,1,1), 28) + 1)</f>
        <v>1</v>
      </c>
      <c r="O12" s="2" cm="1">
        <f t="array" ref="O12">INDEX($B$8:$AC$8, 1, MOD(COLUMNS($B$12:O12)-1 + INDEX(SHIFT_TBL,1,1), 28) + 1)</f>
        <v>0</v>
      </c>
      <c r="P12" s="2" cm="1">
        <f t="array" ref="P12">INDEX($B$8:$AC$8, 1, MOD(COLUMNS($B$12:P12)-1 + INDEX(SHIFT_TBL,1,1), 28) + 1)</f>
        <v>0</v>
      </c>
      <c r="Q12" s="2" cm="1">
        <f t="array" ref="Q12">INDEX($B$8:$AC$8, 1, MOD(COLUMNS($B$12:Q12)-1 + INDEX(SHIFT_TBL,1,1), 28) + 1)</f>
        <v>1</v>
      </c>
      <c r="R12" s="2" cm="1">
        <f t="array" ref="R12">INDEX($B$8:$AC$8, 1, MOD(COLUMNS($B$12:R12)-1 + INDEX(SHIFT_TBL,1,1), 28) + 1)</f>
        <v>0</v>
      </c>
      <c r="S12" s="2" cm="1">
        <f t="array" ref="S12">INDEX($B$8:$AC$8, 1, MOD(COLUMNS($B$12:S12)-1 + INDEX(SHIFT_TBL,1,1), 28) + 1)</f>
        <v>1</v>
      </c>
      <c r="T12" s="2" cm="1">
        <f t="array" ref="T12">INDEX($B$8:$AC$8, 1, MOD(COLUMNS($B$12:T12)-1 + INDEX(SHIFT_TBL,1,1), 28) + 1)</f>
        <v>0</v>
      </c>
      <c r="U12" s="2" cm="1">
        <f t="array" ref="U12">INDEX($B$8:$AC$8, 1, MOD(COLUMNS($B$12:U12)-1 + INDEX(SHIFT_TBL,1,1), 28) + 1)</f>
        <v>1</v>
      </c>
      <c r="V12" s="2" cm="1">
        <f t="array" ref="V12">INDEX($B$8:$AC$8, 1, MOD(COLUMNS($B$12:V12)-1 + INDEX(SHIFT_TBL,1,1), 28) + 1)</f>
        <v>0</v>
      </c>
      <c r="W12" s="2" cm="1">
        <f t="array" ref="W12">INDEX($B$8:$AC$8, 1, MOD(COLUMNS($B$12:W12)-1 + INDEX(SHIFT_TBL,1,1), 28) + 1)</f>
        <v>1</v>
      </c>
      <c r="X12" s="2" cm="1">
        <f t="array" ref="X12">INDEX($B$8:$AC$8, 1, MOD(COLUMNS($B$12:X12)-1 + INDEX(SHIFT_TBL,1,1), 28) + 1)</f>
        <v>0</v>
      </c>
      <c r="Y12" s="2" cm="1">
        <f t="array" ref="Y12">INDEX($B$8:$AC$8, 1, MOD(COLUMNS($B$12:Y12)-1 + INDEX(SHIFT_TBL,1,1), 28) + 1)</f>
        <v>1</v>
      </c>
      <c r="Z12" s="2" cm="1">
        <f t="array" ref="Z12">INDEX($B$8:$AC$8, 1, MOD(COLUMNS($B$12:Z12)-1 + INDEX(SHIFT_TBL,1,1), 28) + 1)</f>
        <v>0</v>
      </c>
      <c r="AA12" s="2" cm="1">
        <f t="array" ref="AA12">INDEX($B$8:$AC$8, 1, MOD(COLUMNS($B$12:AA12)-1 + INDEX(SHIFT_TBL,1,1), 28) + 1)</f>
        <v>1</v>
      </c>
      <c r="AB12" s="2" cm="1">
        <f t="array" ref="AB12">INDEX($B$8:$AC$8, 1, MOD(COLUMNS($B$12:AB12)-1 + INDEX(SHIFT_TBL,1,1), 28) + 1)</f>
        <v>1</v>
      </c>
      <c r="AC12" s="2" cm="1">
        <f t="array" ref="AC12">INDEX($B$8:$AC$8, 1, MOD(COLUMNS($B$12:AC12)-1 + INDEX(SHIFT_TBL,1,1), 28) + 1)</f>
        <v>1</v>
      </c>
      <c r="AD12" s="3" cm="1">
        <f t="array" ref="AD12">INDEX($AD$8:$BE$8, 1, MOD(COLUMNS($AD$12:AD12)-1 + INDEX(SHIFT_TBL,1,2), 28) + 1)</f>
        <v>0</v>
      </c>
      <c r="AE12" s="3" cm="1">
        <f t="array" ref="AE12">INDEX($AD$8:$BE$8, 1, MOD(COLUMNS($AD$12:AE12)-1 + INDEX(SHIFT_TBL,1,2), 28) + 1)</f>
        <v>1</v>
      </c>
      <c r="AF12" s="3" cm="1">
        <f t="array" ref="AF12">INDEX($AD$8:$BE$8, 1, MOD(COLUMNS($AD$12:AF12)-1 + INDEX(SHIFT_TBL,1,2), 28) + 1)</f>
        <v>0</v>
      </c>
      <c r="AG12" s="3" cm="1">
        <f t="array" ref="AG12">INDEX($AD$8:$BE$8, 1, MOD(COLUMNS($AD$12:AG12)-1 + INDEX(SHIFT_TBL,1,2), 28) + 1)</f>
        <v>1</v>
      </c>
      <c r="AH12" s="3" cm="1">
        <f t="array" ref="AH12">INDEX($AD$8:$BE$8, 1, MOD(COLUMNS($AD$12:AH12)-1 + INDEX(SHIFT_TBL,1,2), 28) + 1)</f>
        <v>0</v>
      </c>
      <c r="AI12" s="3" cm="1">
        <f t="array" ref="AI12">INDEX($AD$8:$BE$8, 1, MOD(COLUMNS($AD$12:AI12)-1 + INDEX(SHIFT_TBL,1,2), 28) + 1)</f>
        <v>1</v>
      </c>
      <c r="AJ12" s="3" cm="1">
        <f t="array" ref="AJ12">INDEX($AD$8:$BE$8, 1, MOD(COLUMNS($AD$12:AJ12)-1 + INDEX(SHIFT_TBL,1,2), 28) + 1)</f>
        <v>0</v>
      </c>
      <c r="AK12" s="3" cm="1">
        <f t="array" ref="AK12">INDEX($AD$8:$BE$8, 1, MOD(COLUMNS($AD$12:AK12)-1 + INDEX(SHIFT_TBL,1,2), 28) + 1)</f>
        <v>1</v>
      </c>
      <c r="AL12" s="3" cm="1">
        <f t="array" ref="AL12">INDEX($AD$8:$BE$8, 1, MOD(COLUMNS($AD$12:AL12)-1 + INDEX(SHIFT_TBL,1,2), 28) + 1)</f>
        <v>1</v>
      </c>
      <c r="AM12" s="3" cm="1">
        <f t="array" ref="AM12">INDEX($AD$8:$BE$8, 1, MOD(COLUMNS($AD$12:AM12)-1 + INDEX(SHIFT_TBL,1,2), 28) + 1)</f>
        <v>0</v>
      </c>
      <c r="AN12" s="3" cm="1">
        <f t="array" ref="AN12">INDEX($AD$8:$BE$8, 1, MOD(COLUMNS($AD$12:AN12)-1 + INDEX(SHIFT_TBL,1,2), 28) + 1)</f>
        <v>0</v>
      </c>
      <c r="AO12" s="3" cm="1">
        <f t="array" ref="AO12">INDEX($AD$8:$BE$8, 1, MOD(COLUMNS($AD$12:AO12)-1 + INDEX(SHIFT_TBL,1,2), 28) + 1)</f>
        <v>1</v>
      </c>
      <c r="AP12" s="3" cm="1">
        <f t="array" ref="AP12">INDEX($AD$8:$BE$8, 1, MOD(COLUMNS($AD$12:AP12)-1 + INDEX(SHIFT_TBL,1,2), 28) + 1)</f>
        <v>1</v>
      </c>
      <c r="AQ12" s="3" cm="1">
        <f t="array" ref="AQ12">INDEX($AD$8:$BE$8, 1, MOD(COLUMNS($AD$12:AQ12)-1 + INDEX(SHIFT_TBL,1,2), 28) + 1)</f>
        <v>0</v>
      </c>
      <c r="AR12" s="3" cm="1">
        <f t="array" ref="AR12">INDEX($AD$8:$BE$8, 1, MOD(COLUMNS($AD$12:AR12)-1 + INDEX(SHIFT_TBL,1,2), 28) + 1)</f>
        <v>0</v>
      </c>
      <c r="AS12" s="3" cm="1">
        <f t="array" ref="AS12">INDEX($AD$8:$BE$8, 1, MOD(COLUMNS($AD$12:AS12)-1 + INDEX(SHIFT_TBL,1,2), 28) + 1)</f>
        <v>1</v>
      </c>
      <c r="AT12" s="3" cm="1">
        <f t="array" ref="AT12">INDEX($AD$8:$BE$8, 1, MOD(COLUMNS($AD$12:AT12)-1 + INDEX(SHIFT_TBL,1,2), 28) + 1)</f>
        <v>1</v>
      </c>
      <c r="AU12" s="3" cm="1">
        <f t="array" ref="AU12">INDEX($AD$8:$BE$8, 1, MOD(COLUMNS($AD$12:AU12)-1 + INDEX(SHIFT_TBL,1,2), 28) + 1)</f>
        <v>1</v>
      </c>
      <c r="AV12" s="3" cm="1">
        <f t="array" ref="AV12">INDEX($AD$8:$BE$8, 1, MOD(COLUMNS($AD$12:AV12)-1 + INDEX(SHIFT_TBL,1,2), 28) + 1)</f>
        <v>1</v>
      </c>
      <c r="AW12" s="3" cm="1">
        <f t="array" ref="AW12">INDEX($AD$8:$BE$8, 1, MOD(COLUMNS($AD$12:AW12)-1 + INDEX(SHIFT_TBL,1,2), 28) + 1)</f>
        <v>0</v>
      </c>
      <c r="AX12" s="3" cm="1">
        <f t="array" ref="AX12">INDEX($AD$8:$BE$8, 1, MOD(COLUMNS($AD$12:AX12)-1 + INDEX(SHIFT_TBL,1,2), 28) + 1)</f>
        <v>0</v>
      </c>
      <c r="AY12" s="3" cm="1">
        <f t="array" ref="AY12">INDEX($AD$8:$BE$8, 1, MOD(COLUMNS($AD$12:AY12)-1 + INDEX(SHIFT_TBL,1,2), 28) + 1)</f>
        <v>0</v>
      </c>
      <c r="AZ12" s="3" cm="1">
        <f t="array" ref="AZ12">INDEX($AD$8:$BE$8, 1, MOD(COLUMNS($AD$12:AZ12)-1 + INDEX(SHIFT_TBL,1,2), 28) + 1)</f>
        <v>0</v>
      </c>
      <c r="BA12" s="3" cm="1">
        <f t="array" ref="BA12">INDEX($AD$8:$BE$8, 1, MOD(COLUMNS($AD$12:BA12)-1 + INDEX(SHIFT_TBL,1,2), 28) + 1)</f>
        <v>1</v>
      </c>
      <c r="BB12" s="3" cm="1">
        <f t="array" ref="BB12">INDEX($AD$8:$BE$8, 1, MOD(COLUMNS($AD$12:BB12)-1 + INDEX(SHIFT_TBL,1,2), 28) + 1)</f>
        <v>0</v>
      </c>
      <c r="BC12" s="3" cm="1">
        <f t="array" ref="BC12">INDEX($AD$8:$BE$8, 1, MOD(COLUMNS($AD$12:BC12)-1 + INDEX(SHIFT_TBL,1,2), 28) + 1)</f>
        <v>1</v>
      </c>
      <c r="BD12" s="3" cm="1">
        <f t="array" ref="BD12">INDEX($AD$8:$BE$8, 1, MOD(COLUMNS($AD$12:BD12)-1 + INDEX(SHIFT_TBL,1,2), 28) + 1)</f>
        <v>0</v>
      </c>
      <c r="BE12" s="3" cm="1">
        <f t="array" ref="BE12">INDEX($AD$8:$BE$8, 1, MOD(COLUMNS($AD$12:BE12)-1 + INDEX(SHIFT_TBL,1,2), 28) + 1)</f>
        <v>1</v>
      </c>
    </row>
    <row r="13" spans="1:57" x14ac:dyDescent="0.35">
      <c r="A13" s="3" t="s">
        <v>6</v>
      </c>
      <c r="B13" cm="1">
        <f t="array" ref="B13">INDEX($B$8:$AC$8, 1, MOD(COLUMNS($B$12:B13)-1 + INDEX(SHIFT_TBL,1,1), 28) + 1)</f>
        <v>1</v>
      </c>
      <c r="C13" cm="1">
        <f t="array" ref="C13">INDEX($B$8:$AC$8, 1, MOD(COLUMNS($B$12:C13)-1 + INDEX(SHIFT_TBL,1,1), 28) + 1)</f>
        <v>1</v>
      </c>
      <c r="D13" cm="1">
        <f t="array" ref="D13">INDEX($B$8:$AC$8, 1, MOD(COLUMNS($B$12:D13)-1 + INDEX(SHIFT_TBL,1,1), 28) + 1)</f>
        <v>1</v>
      </c>
      <c r="E13" cm="1">
        <f t="array" ref="E13">INDEX($B$8:$AC$8, 1, MOD(COLUMNS($B$12:E13)-1 + INDEX(SHIFT_TBL,1,1), 28) + 1)</f>
        <v>0</v>
      </c>
      <c r="F13" cm="1">
        <f t="array" ref="F13">INDEX($B$8:$AC$8, 1, MOD(COLUMNS($B$12:F13)-1 + INDEX(SHIFT_TBL,1,1), 28) + 1)</f>
        <v>0</v>
      </c>
      <c r="G13" cm="1">
        <f t="array" ref="G13">INDEX($B$8:$AC$8, 1, MOD(COLUMNS($B$12:G13)-1 + INDEX(SHIFT_TBL,1,1), 28) + 1)</f>
        <v>0</v>
      </c>
      <c r="H13" cm="1">
        <f t="array" ref="H13">INDEX($B$8:$AC$8, 1, MOD(COLUMNS($B$12:H13)-1 + INDEX(SHIFT_TBL,1,1), 28) + 1)</f>
        <v>0</v>
      </c>
      <c r="I13" cm="1">
        <f t="array" ref="I13">INDEX($B$8:$AC$8, 1, MOD(COLUMNS($B$12:I13)-1 + INDEX(SHIFT_TBL,1,1), 28) + 1)</f>
        <v>1</v>
      </c>
      <c r="J13" cm="1">
        <f t="array" ref="J13">INDEX($B$8:$AC$8, 1, MOD(COLUMNS($B$12:J13)-1 + INDEX(SHIFT_TBL,1,1), 28) + 1)</f>
        <v>1</v>
      </c>
      <c r="K13" cm="1">
        <f t="array" ref="K13">INDEX($B$8:$AC$8, 1, MOD(COLUMNS($B$12:K13)-1 + INDEX(SHIFT_TBL,1,1), 28) + 1)</f>
        <v>0</v>
      </c>
      <c r="L13" cm="1">
        <f t="array" ref="L13">INDEX($B$8:$AC$8, 1, MOD(COLUMNS($B$12:L13)-1 + INDEX(SHIFT_TBL,1,1), 28) + 1)</f>
        <v>0</v>
      </c>
      <c r="M13" cm="1">
        <f t="array" ref="M13">INDEX($B$8:$AC$8, 1, MOD(COLUMNS($B$12:M13)-1 + INDEX(SHIFT_TBL,1,1), 28) + 1)</f>
        <v>1</v>
      </c>
      <c r="N13" cm="1">
        <f t="array" ref="N13">INDEX($B$8:$AC$8, 1, MOD(COLUMNS($B$12:N13)-1 + INDEX(SHIFT_TBL,1,1), 28) + 1)</f>
        <v>1</v>
      </c>
      <c r="O13" cm="1">
        <f t="array" ref="O13">INDEX($B$8:$AC$8, 1, MOD(COLUMNS($B$12:O13)-1 + INDEX(SHIFT_TBL,1,1), 28) + 1)</f>
        <v>0</v>
      </c>
      <c r="P13" cm="1">
        <f t="array" ref="P13">INDEX($B$8:$AC$8, 1, MOD(COLUMNS($B$12:P13)-1 + INDEX(SHIFT_TBL,1,1), 28) + 1)</f>
        <v>0</v>
      </c>
      <c r="Q13" cm="1">
        <f t="array" ref="Q13">INDEX($B$8:$AC$8, 1, MOD(COLUMNS($B$12:Q13)-1 + INDEX(SHIFT_TBL,1,1), 28) + 1)</f>
        <v>1</v>
      </c>
      <c r="R13" cm="1">
        <f t="array" ref="R13">INDEX($B$8:$AC$8, 1, MOD(COLUMNS($B$12:R13)-1 + INDEX(SHIFT_TBL,1,1), 28) + 1)</f>
        <v>0</v>
      </c>
      <c r="S13" cm="1">
        <f t="array" ref="S13">INDEX($B$8:$AC$8, 1, MOD(COLUMNS($B$12:S13)-1 + INDEX(SHIFT_TBL,1,1), 28) + 1)</f>
        <v>1</v>
      </c>
      <c r="T13" cm="1">
        <f t="array" ref="T13">INDEX($B$8:$AC$8, 1, MOD(COLUMNS($B$12:T13)-1 + INDEX(SHIFT_TBL,1,1), 28) + 1)</f>
        <v>0</v>
      </c>
      <c r="U13" cm="1">
        <f t="array" ref="U13">INDEX($B$8:$AC$8, 1, MOD(COLUMNS($B$12:U13)-1 + INDEX(SHIFT_TBL,1,1), 28) + 1)</f>
        <v>1</v>
      </c>
      <c r="V13" cm="1">
        <f t="array" ref="V13">INDEX($B$8:$AC$8, 1, MOD(COLUMNS($B$12:V13)-1 + INDEX(SHIFT_TBL,1,1), 28) + 1)</f>
        <v>0</v>
      </c>
      <c r="W13" cm="1">
        <f t="array" ref="W13">INDEX($B$8:$AC$8, 1, MOD(COLUMNS($B$12:W13)-1 + INDEX(SHIFT_TBL,1,1), 28) + 1)</f>
        <v>1</v>
      </c>
      <c r="X13" cm="1">
        <f t="array" ref="X13">INDEX($B$8:$AC$8, 1, MOD(COLUMNS($B$12:X13)-1 + INDEX(SHIFT_TBL,1,1), 28) + 1)</f>
        <v>0</v>
      </c>
      <c r="Y13" cm="1">
        <f t="array" ref="Y13">INDEX($B$8:$AC$8, 1, MOD(COLUMNS($B$12:Y13)-1 + INDEX(SHIFT_TBL,1,1), 28) + 1)</f>
        <v>1</v>
      </c>
      <c r="Z13" cm="1">
        <f t="array" ref="Z13">INDEX($B$8:$AC$8, 1, MOD(COLUMNS($B$12:Z13)-1 + INDEX(SHIFT_TBL,1,1), 28) + 1)</f>
        <v>0</v>
      </c>
      <c r="AA13" cm="1">
        <f t="array" ref="AA13">INDEX($B$8:$AC$8, 1, MOD(COLUMNS($B$12:AA13)-1 + INDEX(SHIFT_TBL,1,1), 28) + 1)</f>
        <v>1</v>
      </c>
      <c r="AB13" cm="1">
        <f t="array" ref="AB13">INDEX($B$8:$AC$8, 1, MOD(COLUMNS($B$12:AB13)-1 + INDEX(SHIFT_TBL,1,1), 28) + 1)</f>
        <v>1</v>
      </c>
      <c r="AC13" cm="1">
        <f t="array" ref="AC13">INDEX($B$8:$AC$8, 1, MOD(COLUMNS($B$12:AC13)-1 + INDEX(SHIFT_TBL,1,1), 28) + 1)</f>
        <v>1</v>
      </c>
      <c r="AD13" cm="1">
        <f t="array" ref="AD13">INDEX($AD$8:$BE$8, 1, MOD(COLUMNS($AD$12:AD13)-1 + INDEX(SHIFT_TBL,1,1), 28) + 1)</f>
        <v>0</v>
      </c>
      <c r="AE13" cm="1">
        <f t="array" ref="AE13">INDEX($AD$8:$BE$8, 1, MOD(COLUMNS($AD$12:AE13)-1 + INDEX(SHIFT_TBL,1,1), 28) + 1)</f>
        <v>1</v>
      </c>
      <c r="AF13" cm="1">
        <f t="array" ref="AF13">INDEX($AD$8:$BE$8, 1, MOD(COLUMNS($AD$12:AF13)-1 + INDEX(SHIFT_TBL,1,1), 28) + 1)</f>
        <v>0</v>
      </c>
      <c r="AG13" cm="1">
        <f t="array" ref="AG13">INDEX($AD$8:$BE$8, 1, MOD(COLUMNS($AD$12:AG13)-1 + INDEX(SHIFT_TBL,1,1), 28) + 1)</f>
        <v>1</v>
      </c>
      <c r="AH13" cm="1">
        <f t="array" ref="AH13">INDEX($AD$8:$BE$8, 1, MOD(COLUMNS($AD$12:AH13)-1 + INDEX(SHIFT_TBL,1,1), 28) + 1)</f>
        <v>0</v>
      </c>
      <c r="AI13" cm="1">
        <f t="array" ref="AI13">INDEX($AD$8:$BE$8, 1, MOD(COLUMNS($AD$12:AI13)-1 + INDEX(SHIFT_TBL,1,1), 28) + 1)</f>
        <v>1</v>
      </c>
      <c r="AJ13" cm="1">
        <f t="array" ref="AJ13">INDEX($AD$8:$BE$8, 1, MOD(COLUMNS($AD$12:AJ13)-1 + INDEX(SHIFT_TBL,1,1), 28) + 1)</f>
        <v>0</v>
      </c>
      <c r="AK13" cm="1">
        <f t="array" ref="AK13">INDEX($AD$8:$BE$8, 1, MOD(COLUMNS($AD$12:AK13)-1 + INDEX(SHIFT_TBL,1,1), 28) + 1)</f>
        <v>1</v>
      </c>
      <c r="AL13" cm="1">
        <f t="array" ref="AL13">INDEX($AD$8:$BE$8, 1, MOD(COLUMNS($AD$12:AL13)-1 + INDEX(SHIFT_TBL,1,1), 28) + 1)</f>
        <v>1</v>
      </c>
      <c r="AM13" cm="1">
        <f t="array" ref="AM13">INDEX($AD$8:$BE$8, 1, MOD(COLUMNS($AD$12:AM13)-1 + INDEX(SHIFT_TBL,1,1), 28) + 1)</f>
        <v>0</v>
      </c>
      <c r="AN13" cm="1">
        <f t="array" ref="AN13">INDEX($AD$8:$BE$8, 1, MOD(COLUMNS($AD$12:AN13)-1 + INDEX(SHIFT_TBL,1,1), 28) + 1)</f>
        <v>0</v>
      </c>
      <c r="AO13" cm="1">
        <f t="array" ref="AO13">INDEX($AD$8:$BE$8, 1, MOD(COLUMNS($AD$12:AO13)-1 + INDEX(SHIFT_TBL,1,1), 28) + 1)</f>
        <v>1</v>
      </c>
      <c r="AP13" cm="1">
        <f t="array" ref="AP13">INDEX($AD$8:$BE$8, 1, MOD(COLUMNS($AD$12:AP13)-1 + INDEX(SHIFT_TBL,1,1), 28) + 1)</f>
        <v>1</v>
      </c>
      <c r="AQ13" cm="1">
        <f t="array" ref="AQ13">INDEX($AD$8:$BE$8, 1, MOD(COLUMNS($AD$12:AQ13)-1 + INDEX(SHIFT_TBL,1,1), 28) + 1)</f>
        <v>0</v>
      </c>
      <c r="AR13" cm="1">
        <f t="array" ref="AR13">INDEX($AD$8:$BE$8, 1, MOD(COLUMNS($AD$12:AR13)-1 + INDEX(SHIFT_TBL,1,1), 28) + 1)</f>
        <v>0</v>
      </c>
      <c r="AS13" cm="1">
        <f t="array" ref="AS13">INDEX($AD$8:$BE$8, 1, MOD(COLUMNS($AD$12:AS13)-1 + INDEX(SHIFT_TBL,1,1), 28) + 1)</f>
        <v>1</v>
      </c>
      <c r="AT13" cm="1">
        <f t="array" ref="AT13">INDEX($AD$8:$BE$8, 1, MOD(COLUMNS($AD$12:AT13)-1 + INDEX(SHIFT_TBL,1,1), 28) + 1)</f>
        <v>1</v>
      </c>
      <c r="AU13" cm="1">
        <f t="array" ref="AU13">INDEX($AD$8:$BE$8, 1, MOD(COLUMNS($AD$12:AU13)-1 + INDEX(SHIFT_TBL,1,1), 28) + 1)</f>
        <v>1</v>
      </c>
      <c r="AV13" cm="1">
        <f t="array" ref="AV13">INDEX($AD$8:$BE$8, 1, MOD(COLUMNS($AD$12:AV13)-1 + INDEX(SHIFT_TBL,1,1), 28) + 1)</f>
        <v>1</v>
      </c>
      <c r="AW13" cm="1">
        <f t="array" ref="AW13">INDEX($AD$8:$BE$8, 1, MOD(COLUMNS($AD$12:AW13)-1 + INDEX(SHIFT_TBL,1,1), 28) + 1)</f>
        <v>0</v>
      </c>
      <c r="AX13" cm="1">
        <f t="array" ref="AX13">INDEX($AD$8:$BE$8, 1, MOD(COLUMNS($AD$12:AX13)-1 + INDEX(SHIFT_TBL,1,1), 28) + 1)</f>
        <v>0</v>
      </c>
      <c r="AY13" cm="1">
        <f t="array" ref="AY13">INDEX($AD$8:$BE$8, 1, MOD(COLUMNS($AD$12:AY13)-1 + INDEX(SHIFT_TBL,1,1), 28) + 1)</f>
        <v>0</v>
      </c>
      <c r="AZ13" cm="1">
        <f t="array" ref="AZ13">INDEX($AD$8:$BE$8, 1, MOD(COLUMNS($AD$12:AZ13)-1 + INDEX(SHIFT_TBL,1,1), 28) + 1)</f>
        <v>0</v>
      </c>
      <c r="BA13" cm="1">
        <f t="array" ref="BA13">INDEX($AD$8:$BE$8, 1, MOD(COLUMNS($AD$12:BA13)-1 + INDEX(SHIFT_TBL,1,1), 28) + 1)</f>
        <v>1</v>
      </c>
      <c r="BB13" cm="1">
        <f t="array" ref="BB13">INDEX($AD$8:$BE$8, 1, MOD(COLUMNS($AD$12:BB13)-1 + INDEX(SHIFT_TBL,1,1), 28) + 1)</f>
        <v>0</v>
      </c>
      <c r="BC13" cm="1">
        <f t="array" ref="BC13">INDEX($AD$8:$BE$8, 1, MOD(COLUMNS($AD$12:BC13)-1 + INDEX(SHIFT_TBL,1,1), 28) + 1)</f>
        <v>1</v>
      </c>
      <c r="BD13" cm="1">
        <f t="array" ref="BD13">INDEX($AD$8:$BE$8, 1, MOD(COLUMNS($AD$12:BD13)-1 + INDEX(SHIFT_TBL,1,1), 28) + 1)</f>
        <v>0</v>
      </c>
      <c r="BE13" cm="1">
        <f t="array" ref="BE13">INDEX($AD$8:$BE$8, 1, MOD(COLUMNS($AD$12:BE13)-1 + INDEX(SHIFT_TBL,1,1), 28) + 1)</f>
        <v>1</v>
      </c>
    </row>
    <row r="14" spans="1:57" x14ac:dyDescent="0.35">
      <c r="A14" s="5" t="s">
        <v>7</v>
      </c>
      <c r="B14" cm="1">
        <f t="array" ref="B14">INDEX($B$13:$BE$13, 1, INDEX(PC2_TBL, COLUMNS($B$14:B14)))</f>
        <v>0</v>
      </c>
      <c r="C14" cm="1">
        <f t="array" ref="C14">INDEX($B$13:$BE$13, 1, INDEX(PC2_TBL, COLUMNS($B$14:C14)))</f>
        <v>0</v>
      </c>
      <c r="D14" cm="1">
        <f t="array" ref="D14">INDEX($B$13:$BE$13, 1, INDEX(PC2_TBL, COLUMNS($B$14:D14)))</f>
        <v>0</v>
      </c>
      <c r="E14" cm="1">
        <f t="array" ref="E14">INDEX($B$13:$BE$13, 1, INDEX(PC2_TBL, COLUMNS($B$14:E14)))</f>
        <v>1</v>
      </c>
      <c r="F14" cm="1">
        <f t="array" ref="F14">INDEX($B$13:$BE$13, 1, INDEX(PC2_TBL, COLUMNS($B$14:F14)))</f>
        <v>1</v>
      </c>
      <c r="G14" cm="1">
        <f t="array" ref="G14">INDEX($B$13:$BE$13, 1, INDEX(PC2_TBL, COLUMNS($B$14:G14)))</f>
        <v>0</v>
      </c>
      <c r="H14" cm="1">
        <f t="array" ref="H14">INDEX($B$13:$BE$13, 1, INDEX(PC2_TBL, COLUMNS($B$14:H14)))</f>
        <v>1</v>
      </c>
      <c r="I14" cm="1">
        <f t="array" ref="I14">INDEX($B$13:$BE$13, 1, INDEX(PC2_TBL, COLUMNS($B$14:I14)))</f>
        <v>1</v>
      </c>
      <c r="J14" cm="1">
        <f t="array" ref="J14">INDEX($B$13:$BE$13, 1, INDEX(PC2_TBL, COLUMNS($B$14:J14)))</f>
        <v>0</v>
      </c>
      <c r="K14" cm="1">
        <f t="array" ref="K14">INDEX($B$13:$BE$13, 1, INDEX(PC2_TBL, COLUMNS($B$14:K14)))</f>
        <v>0</v>
      </c>
      <c r="L14" cm="1">
        <f t="array" ref="L14">INDEX($B$13:$BE$13, 1, INDEX(PC2_TBL, COLUMNS($B$14:L14)))</f>
        <v>0</v>
      </c>
      <c r="M14" cm="1">
        <f t="array" ref="M14">INDEX($B$13:$BE$13, 1, INDEX(PC2_TBL, COLUMNS($B$14:M14)))</f>
        <v>0</v>
      </c>
      <c r="N14" cm="1">
        <f t="array" ref="N14">INDEX($B$13:$BE$13, 1, INDEX(PC2_TBL, COLUMNS($B$14:N14)))</f>
        <v>0</v>
      </c>
      <c r="O14" cm="1">
        <f t="array" ref="O14">INDEX($B$13:$BE$13, 1, INDEX(PC2_TBL, COLUMNS($B$14:O14)))</f>
        <v>0</v>
      </c>
      <c r="P14" cm="1">
        <f t="array" ref="P14">INDEX($B$13:$BE$13, 1, INDEX(PC2_TBL, COLUMNS($B$14:P14)))</f>
        <v>1</v>
      </c>
      <c r="Q14" cm="1">
        <f t="array" ref="Q14">INDEX($B$13:$BE$13, 1, INDEX(PC2_TBL, COLUMNS($B$14:Q14)))</f>
        <v>0</v>
      </c>
      <c r="R14" cm="1">
        <f t="array" ref="R14">INDEX($B$13:$BE$13, 1, INDEX(PC2_TBL, COLUMNS($B$14:R14)))</f>
        <v>1</v>
      </c>
      <c r="S14" cm="1">
        <f t="array" ref="S14">INDEX($B$13:$BE$13, 1, INDEX(PC2_TBL, COLUMNS($B$14:S14)))</f>
        <v>1</v>
      </c>
      <c r="T14" cm="1">
        <f t="array" ref="T14">INDEX($B$13:$BE$13, 1, INDEX(PC2_TBL, COLUMNS($B$14:T14)))</f>
        <v>1</v>
      </c>
      <c r="U14" cm="1">
        <f t="array" ref="U14">INDEX($B$13:$BE$13, 1, INDEX(PC2_TBL, COLUMNS($B$14:U14)))</f>
        <v>0</v>
      </c>
      <c r="V14" cm="1">
        <f t="array" ref="V14">INDEX($B$13:$BE$13, 1, INDEX(PC2_TBL, COLUMNS($B$14:V14)))</f>
        <v>1</v>
      </c>
      <c r="W14" cm="1">
        <f t="array" ref="W14">INDEX($B$13:$BE$13, 1, INDEX(PC2_TBL, COLUMNS($B$14:W14)))</f>
        <v>1</v>
      </c>
      <c r="X14" cm="1">
        <f t="array" ref="X14">INDEX($B$13:$BE$13, 1, INDEX(PC2_TBL, COLUMNS($B$14:X14)))</f>
        <v>1</v>
      </c>
      <c r="Y14" cm="1">
        <f t="array" ref="Y14">INDEX($B$13:$BE$13, 1, INDEX(PC2_TBL, COLUMNS($B$14:Y14)))</f>
        <v>1</v>
      </c>
      <c r="Z14" cm="1">
        <f t="array" ref="Z14">INDEX($B$13:$BE$13, 1, INDEX(PC2_TBL, COLUMNS($B$14:Z14)))</f>
        <v>1</v>
      </c>
      <c r="AA14" cm="1">
        <f t="array" ref="AA14">INDEX($B$13:$BE$13, 1, INDEX(PC2_TBL, COLUMNS($B$14:AA14)))</f>
        <v>1</v>
      </c>
      <c r="AB14" cm="1">
        <f t="array" ref="AB14">INDEX($B$13:$BE$13, 1, INDEX(PC2_TBL, COLUMNS($B$14:AB14)))</f>
        <v>0</v>
      </c>
      <c r="AC14" cm="1">
        <f t="array" ref="AC14">INDEX($B$13:$BE$13, 1, INDEX(PC2_TBL, COLUMNS($B$14:AC14)))</f>
        <v>1</v>
      </c>
      <c r="AD14" cm="1">
        <f t="array" ref="AD14">INDEX($B$13:$BE$13, 1, INDEX(PC2_TBL, COLUMNS($B$14:AD14)))</f>
        <v>1</v>
      </c>
      <c r="AE14" cm="1">
        <f t="array" ref="AE14">INDEX($B$13:$BE$13, 1, INDEX(PC2_TBL, COLUMNS($B$14:AE14)))</f>
        <v>0</v>
      </c>
      <c r="AF14" cm="1">
        <f t="array" ref="AF14">INDEX($B$13:$BE$13, 1, INDEX(PC2_TBL, COLUMNS($B$14:AF14)))</f>
        <v>1</v>
      </c>
      <c r="AG14" cm="1">
        <f t="array" ref="AG14">INDEX($B$13:$BE$13, 1, INDEX(PC2_TBL, COLUMNS($B$14:AG14)))</f>
        <v>1</v>
      </c>
      <c r="AH14" cm="1">
        <f t="array" ref="AH14">INDEX($B$13:$BE$13, 1, INDEX(PC2_TBL, COLUMNS($B$14:AH14)))</f>
        <v>0</v>
      </c>
      <c r="AI14" cm="1">
        <f t="array" ref="AI14">INDEX($B$13:$BE$13, 1, INDEX(PC2_TBL, COLUMNS($B$14:AI14)))</f>
        <v>1</v>
      </c>
      <c r="AJ14" cm="1">
        <f t="array" ref="AJ14">INDEX($B$13:$BE$13, 1, INDEX(PC2_TBL, COLUMNS($B$14:AJ14)))</f>
        <v>0</v>
      </c>
      <c r="AK14" cm="1">
        <f t="array" ref="AK14">INDEX($B$13:$BE$13, 1, INDEX(PC2_TBL, COLUMNS($B$14:AK14)))</f>
        <v>0</v>
      </c>
      <c r="AL14" cm="1">
        <f t="array" ref="AL14">INDEX($B$13:$BE$13, 1, INDEX(PC2_TBL, COLUMNS($B$14:AL14)))</f>
        <v>1</v>
      </c>
      <c r="AM14" cm="1">
        <f t="array" ref="AM14">INDEX($B$13:$BE$13, 1, INDEX(PC2_TBL, COLUMNS($B$14:AM14)))</f>
        <v>0</v>
      </c>
      <c r="AN14" cm="1">
        <f t="array" ref="AN14">INDEX($B$13:$BE$13, 1, INDEX(PC2_TBL, COLUMNS($B$14:AN14)))</f>
        <v>0</v>
      </c>
      <c r="AO14" cm="1">
        <f t="array" ref="AO14">INDEX($B$13:$BE$13, 1, INDEX(PC2_TBL, COLUMNS($B$14:AO14)))</f>
        <v>1</v>
      </c>
      <c r="AP14" cm="1">
        <f t="array" ref="AP14">INDEX($B$13:$BE$13, 1, INDEX(PC2_TBL, COLUMNS($B$14:AP14)))</f>
        <v>1</v>
      </c>
      <c r="AQ14" cm="1">
        <f t="array" ref="AQ14">INDEX($B$13:$BE$13, 1, INDEX(PC2_TBL, COLUMNS($B$14:AQ14)))</f>
        <v>0</v>
      </c>
      <c r="AR14" cm="1">
        <f t="array" ref="AR14">INDEX($B$13:$BE$13, 1, INDEX(PC2_TBL, COLUMNS($B$14:AR14)))</f>
        <v>1</v>
      </c>
      <c r="AS14" cm="1">
        <f t="array" ref="AS14">INDEX($B$13:$BE$13, 1, INDEX(PC2_TBL, COLUMNS($B$14:AS14)))</f>
        <v>0</v>
      </c>
      <c r="AT14" cm="1">
        <f t="array" ref="AT14">INDEX($B$13:$BE$13, 1, INDEX(PC2_TBL, COLUMNS($B$14:AT14)))</f>
        <v>0</v>
      </c>
      <c r="AU14" cm="1">
        <f t="array" ref="AU14">INDEX($B$13:$BE$13, 1, INDEX(PC2_TBL, COLUMNS($B$14:AU14)))</f>
        <v>1</v>
      </c>
      <c r="AV14" cm="1">
        <f t="array" ref="AV14">INDEX($B$13:$BE$13, 1, INDEX(PC2_TBL, COLUMNS($B$14:AV14)))</f>
        <v>0</v>
      </c>
      <c r="AW14" cm="1">
        <f t="array" ref="AW14">INDEX($B$13:$BE$13, 1, INDEX(PC2_TBL, COLUMNS($B$14:AW14)))</f>
        <v>1</v>
      </c>
    </row>
    <row r="16" spans="1:57" x14ac:dyDescent="0.35">
      <c r="A16" t="s">
        <v>9</v>
      </c>
      <c r="AD16" t="s">
        <v>13</v>
      </c>
    </row>
    <row r="17" spans="1:57" x14ac:dyDescent="0.35">
      <c r="A17" s="3" t="s">
        <v>12</v>
      </c>
      <c r="B17" cm="1">
        <f t="array" ref="B17">INDEX($B$12:$AC$12, 1, MOD(COLUMNS($B$17:B17)-1 + INDEX(SHIFT_TBL,1,1), 28) + 1)</f>
        <v>1</v>
      </c>
      <c r="C17" cm="1">
        <f t="array" ref="C17">INDEX($B$12:$AC$12, 1, MOD(COLUMNS($B$17:C17)-1 + INDEX(SHIFT_TBL,1,1), 28) + 1)</f>
        <v>1</v>
      </c>
      <c r="D17" cm="1">
        <f t="array" ref="D17">INDEX($B$12:$AC$12, 1, MOD(COLUMNS($B$17:D17)-1 + INDEX(SHIFT_TBL,1,1), 28) + 1)</f>
        <v>0</v>
      </c>
      <c r="E17" cm="1">
        <f t="array" ref="E17">INDEX($B$12:$AC$12, 1, MOD(COLUMNS($B$17:E17)-1 + INDEX(SHIFT_TBL,1,1), 28) + 1)</f>
        <v>0</v>
      </c>
      <c r="F17" cm="1">
        <f t="array" ref="F17">INDEX($B$12:$AC$12, 1, MOD(COLUMNS($B$17:F17)-1 + INDEX(SHIFT_TBL,1,1), 28) + 1)</f>
        <v>0</v>
      </c>
      <c r="G17" cm="1">
        <f t="array" ref="G17">INDEX($B$12:$AC$12, 1, MOD(COLUMNS($B$17:G17)-1 + INDEX(SHIFT_TBL,1,1), 28) + 1)</f>
        <v>0</v>
      </c>
      <c r="H17" cm="1">
        <f t="array" ref="H17">INDEX($B$12:$AC$12, 1, MOD(COLUMNS($B$17:H17)-1 + INDEX(SHIFT_TBL,1,1), 28) + 1)</f>
        <v>1</v>
      </c>
      <c r="I17" cm="1">
        <f t="array" ref="I17">INDEX($B$12:$AC$12, 1, MOD(COLUMNS($B$17:I17)-1 + INDEX(SHIFT_TBL,1,1), 28) + 1)</f>
        <v>1</v>
      </c>
      <c r="J17" cm="1">
        <f t="array" ref="J17">INDEX($B$12:$AC$12, 1, MOD(COLUMNS($B$17:J17)-1 + INDEX(SHIFT_TBL,1,1), 28) + 1)</f>
        <v>0</v>
      </c>
      <c r="K17" cm="1">
        <f t="array" ref="K17">INDEX($B$12:$AC$12, 1, MOD(COLUMNS($B$17:K17)-1 + INDEX(SHIFT_TBL,1,1), 28) + 1)</f>
        <v>0</v>
      </c>
      <c r="L17" cm="1">
        <f t="array" ref="L17">INDEX($B$12:$AC$12, 1, MOD(COLUMNS($B$17:L17)-1 + INDEX(SHIFT_TBL,1,1), 28) + 1)</f>
        <v>1</v>
      </c>
      <c r="M17" cm="1">
        <f t="array" ref="M17">INDEX($B$12:$AC$12, 1, MOD(COLUMNS($B$17:M17)-1 + INDEX(SHIFT_TBL,1,1), 28) + 1)</f>
        <v>1</v>
      </c>
      <c r="N17" cm="1">
        <f t="array" ref="N17">INDEX($B$12:$AC$12, 1, MOD(COLUMNS($B$17:N17)-1 + INDEX(SHIFT_TBL,1,1), 28) + 1)</f>
        <v>0</v>
      </c>
      <c r="O17" cm="1">
        <f t="array" ref="O17">INDEX($B$12:$AC$12, 1, MOD(COLUMNS($B$17:O17)-1 + INDEX(SHIFT_TBL,1,1), 28) + 1)</f>
        <v>0</v>
      </c>
      <c r="P17" cm="1">
        <f t="array" ref="P17">INDEX($B$12:$AC$12, 1, MOD(COLUMNS($B$17:P17)-1 + INDEX(SHIFT_TBL,1,1), 28) + 1)</f>
        <v>1</v>
      </c>
      <c r="Q17" cm="1">
        <f t="array" ref="Q17">INDEX($B$12:$AC$12, 1, MOD(COLUMNS($B$17:Q17)-1 + INDEX(SHIFT_TBL,1,1), 28) + 1)</f>
        <v>0</v>
      </c>
      <c r="R17" cm="1">
        <f t="array" ref="R17">INDEX($B$12:$AC$12, 1, MOD(COLUMNS($B$17:R17)-1 + INDEX(SHIFT_TBL,1,1), 28) + 1)</f>
        <v>1</v>
      </c>
      <c r="S17" cm="1">
        <f t="array" ref="S17">INDEX($B$12:$AC$12, 1, MOD(COLUMNS($B$17:S17)-1 + INDEX(SHIFT_TBL,1,1), 28) + 1)</f>
        <v>0</v>
      </c>
      <c r="T17" cm="1">
        <f t="array" ref="T17">INDEX($B$12:$AC$12, 1, MOD(COLUMNS($B$17:T17)-1 + INDEX(SHIFT_TBL,1,1), 28) + 1)</f>
        <v>1</v>
      </c>
      <c r="U17" cm="1">
        <f t="array" ref="U17">INDEX($B$12:$AC$12, 1, MOD(COLUMNS($B$17:U17)-1 + INDEX(SHIFT_TBL,1,1), 28) + 1)</f>
        <v>0</v>
      </c>
      <c r="V17" cm="1">
        <f t="array" ref="V17">INDEX($B$12:$AC$12, 1, MOD(COLUMNS($B$17:V17)-1 + INDEX(SHIFT_TBL,1,1), 28) + 1)</f>
        <v>1</v>
      </c>
      <c r="W17" cm="1">
        <f t="array" ref="W17">INDEX($B$12:$AC$12, 1, MOD(COLUMNS($B$17:W17)-1 + INDEX(SHIFT_TBL,1,1), 28) + 1)</f>
        <v>0</v>
      </c>
      <c r="X17" cm="1">
        <f t="array" ref="X17">INDEX($B$12:$AC$12, 1, MOD(COLUMNS($B$17:X17)-1 + INDEX(SHIFT_TBL,1,1), 28) + 1)</f>
        <v>1</v>
      </c>
      <c r="Y17" cm="1">
        <f t="array" ref="Y17">INDEX($B$12:$AC$12, 1, MOD(COLUMNS($B$17:Y17)-1 + INDEX(SHIFT_TBL,1,1), 28) + 1)</f>
        <v>0</v>
      </c>
      <c r="Z17" cm="1">
        <f t="array" ref="Z17">INDEX($B$12:$AC$12, 1, MOD(COLUMNS($B$17:Z17)-1 + INDEX(SHIFT_TBL,1,1), 28) + 1)</f>
        <v>1</v>
      </c>
      <c r="AA17" cm="1">
        <f t="array" ref="AA17">INDEX($B$12:$AC$12, 1, MOD(COLUMNS($B$17:AA17)-1 + INDEX(SHIFT_TBL,1,1), 28) + 1)</f>
        <v>1</v>
      </c>
      <c r="AB17" cm="1">
        <f t="array" ref="AB17">INDEX($B$12:$AC$12, 1, MOD(COLUMNS($B$17:AB17)-1 + INDEX(SHIFT_TBL,1,1), 28) + 1)</f>
        <v>1</v>
      </c>
      <c r="AC17" cm="1">
        <f t="array" ref="AC17">INDEX($B$12:$AC$12, 1, MOD(COLUMNS($B$17:AC17)-1 + INDEX(SHIFT_TBL,1,1), 28) + 1)</f>
        <v>1</v>
      </c>
      <c r="AD17" cm="1">
        <f t="array" ref="AD17">INDEX($AD$12:$BE$12, 1, MOD(COLUMNS($AD$17:AD17)-1 + INDEX(SHIFT_TBL,1,1), 28) + 1)</f>
        <v>1</v>
      </c>
      <c r="AE17" cm="1">
        <f t="array" ref="AE17">INDEX($AD$12:$BE$12, 1, MOD(COLUMNS($AD$17:AE17)-1 + INDEX(SHIFT_TBL,1,1), 28) + 1)</f>
        <v>0</v>
      </c>
      <c r="AF17" cm="1">
        <f t="array" ref="AF17">INDEX($AD$12:$BE$12, 1, MOD(COLUMNS($AD$17:AF17)-1 + INDEX(SHIFT_TBL,1,1), 28) + 1)</f>
        <v>1</v>
      </c>
      <c r="AG17" cm="1">
        <f t="array" ref="AG17">INDEX($AD$12:$BE$12, 1, MOD(COLUMNS($AD$17:AG17)-1 + INDEX(SHIFT_TBL,1,1), 28) + 1)</f>
        <v>0</v>
      </c>
      <c r="AH17" cm="1">
        <f t="array" ref="AH17">INDEX($AD$12:$BE$12, 1, MOD(COLUMNS($AD$17:AH17)-1 + INDEX(SHIFT_TBL,1,1), 28) + 1)</f>
        <v>1</v>
      </c>
      <c r="AI17" cm="1">
        <f t="array" ref="AI17">INDEX($AD$12:$BE$12, 1, MOD(COLUMNS($AD$17:AI17)-1 + INDEX(SHIFT_TBL,1,1), 28) + 1)</f>
        <v>0</v>
      </c>
      <c r="AJ17" cm="1">
        <f t="array" ref="AJ17">INDEX($AD$12:$BE$12, 1, MOD(COLUMNS($AD$17:AJ17)-1 + INDEX(SHIFT_TBL,1,1), 28) + 1)</f>
        <v>1</v>
      </c>
      <c r="AK17" cm="1">
        <f t="array" ref="AK17">INDEX($AD$12:$BE$12, 1, MOD(COLUMNS($AD$17:AK17)-1 + INDEX(SHIFT_TBL,1,1), 28) + 1)</f>
        <v>1</v>
      </c>
      <c r="AL17" cm="1">
        <f t="array" ref="AL17">INDEX($AD$12:$BE$12, 1, MOD(COLUMNS($AD$17:AL17)-1 + INDEX(SHIFT_TBL,1,1), 28) + 1)</f>
        <v>0</v>
      </c>
      <c r="AM17" cm="1">
        <f t="array" ref="AM17">INDEX($AD$12:$BE$12, 1, MOD(COLUMNS($AD$17:AM17)-1 + INDEX(SHIFT_TBL,1,1), 28) + 1)</f>
        <v>0</v>
      </c>
      <c r="AN17" cm="1">
        <f t="array" ref="AN17">INDEX($AD$12:$BE$12, 1, MOD(COLUMNS($AD$17:AN17)-1 + INDEX(SHIFT_TBL,1,1), 28) + 1)</f>
        <v>1</v>
      </c>
      <c r="AO17" cm="1">
        <f t="array" ref="AO17">INDEX($AD$12:$BE$12, 1, MOD(COLUMNS($AD$17:AO17)-1 + INDEX(SHIFT_TBL,1,1), 28) + 1)</f>
        <v>1</v>
      </c>
      <c r="AP17" cm="1">
        <f t="array" ref="AP17">INDEX($AD$12:$BE$12, 1, MOD(COLUMNS($AD$17:AP17)-1 + INDEX(SHIFT_TBL,1,1), 28) + 1)</f>
        <v>0</v>
      </c>
      <c r="AQ17" cm="1">
        <f t="array" ref="AQ17">INDEX($AD$12:$BE$12, 1, MOD(COLUMNS($AD$17:AQ17)-1 + INDEX(SHIFT_TBL,1,1), 28) + 1)</f>
        <v>0</v>
      </c>
      <c r="AR17" cm="1">
        <f t="array" ref="AR17">INDEX($AD$12:$BE$12, 1, MOD(COLUMNS($AD$17:AR17)-1 + INDEX(SHIFT_TBL,1,1), 28) + 1)</f>
        <v>1</v>
      </c>
      <c r="AS17" cm="1">
        <f t="array" ref="AS17">INDEX($AD$12:$BE$12, 1, MOD(COLUMNS($AD$17:AS17)-1 + INDEX(SHIFT_TBL,1,1), 28) + 1)</f>
        <v>1</v>
      </c>
      <c r="AT17" cm="1">
        <f t="array" ref="AT17">INDEX($AD$12:$BE$12, 1, MOD(COLUMNS($AD$17:AT17)-1 + INDEX(SHIFT_TBL,1,1), 28) + 1)</f>
        <v>1</v>
      </c>
      <c r="AU17" cm="1">
        <f t="array" ref="AU17">INDEX($AD$12:$BE$12, 1, MOD(COLUMNS($AD$17:AU17)-1 + INDEX(SHIFT_TBL,1,1), 28) + 1)</f>
        <v>1</v>
      </c>
      <c r="AV17" cm="1">
        <f t="array" ref="AV17">INDEX($AD$12:$BE$12, 1, MOD(COLUMNS($AD$17:AV17)-1 + INDEX(SHIFT_TBL,1,1), 28) + 1)</f>
        <v>0</v>
      </c>
      <c r="AW17" cm="1">
        <f t="array" ref="AW17">INDEX($AD$12:$BE$12, 1, MOD(COLUMNS($AD$17:AW17)-1 + INDEX(SHIFT_TBL,1,1), 28) + 1)</f>
        <v>0</v>
      </c>
      <c r="AX17" cm="1">
        <f t="array" ref="AX17">INDEX($AD$12:$BE$12, 1, MOD(COLUMNS($AD$17:AX17)-1 + INDEX(SHIFT_TBL,1,1), 28) + 1)</f>
        <v>0</v>
      </c>
      <c r="AY17" cm="1">
        <f t="array" ref="AY17">INDEX($AD$12:$BE$12, 1, MOD(COLUMNS($AD$17:AY17)-1 + INDEX(SHIFT_TBL,1,1), 28) + 1)</f>
        <v>0</v>
      </c>
      <c r="AZ17" cm="1">
        <f t="array" ref="AZ17">INDEX($AD$12:$BE$12, 1, MOD(COLUMNS($AD$17:AZ17)-1 + INDEX(SHIFT_TBL,1,1), 28) + 1)</f>
        <v>1</v>
      </c>
      <c r="BA17" cm="1">
        <f t="array" ref="BA17">INDEX($AD$12:$BE$12, 1, MOD(COLUMNS($AD$17:BA17)-1 + INDEX(SHIFT_TBL,1,1), 28) + 1)</f>
        <v>0</v>
      </c>
      <c r="BB17" cm="1">
        <f t="array" ref="BB17">INDEX($AD$12:$BE$12, 1, MOD(COLUMNS($AD$17:BB17)-1 + INDEX(SHIFT_TBL,1,1), 28) + 1)</f>
        <v>1</v>
      </c>
      <c r="BC17" cm="1">
        <f t="array" ref="BC17">INDEX($AD$12:$BE$12, 1, MOD(COLUMNS($AD$17:BC17)-1 + INDEX(SHIFT_TBL,1,1), 28) + 1)</f>
        <v>0</v>
      </c>
      <c r="BD17" cm="1">
        <f t="array" ref="BD17">INDEX($AD$12:$BE$12, 1, MOD(COLUMNS($AD$17:BD17)-1 + INDEX(SHIFT_TBL,1,1), 28) + 1)</f>
        <v>1</v>
      </c>
      <c r="BE17" cm="1">
        <f t="array" ref="BE17">INDEX($AD$12:$BE$12, 1, MOD(COLUMNS($AD$17:BE17)-1 + INDEX(SHIFT_TBL,1,1), 28) + 1)</f>
        <v>0</v>
      </c>
    </row>
    <row r="18" spans="1:57" x14ac:dyDescent="0.35">
      <c r="A18" s="3" t="s">
        <v>30</v>
      </c>
      <c r="B18" cm="1">
        <f t="array" ref="B18">INDEX($B$12:$AC$12, 1, MOD(COLUMNS($B$17:B18)-1 + INDEX(SHIFT_TBL,1,2), 28) + 1)</f>
        <v>1</v>
      </c>
      <c r="C18" cm="1">
        <f t="array" ref="C18">INDEX($B$12:$AC$12, 1, MOD(COLUMNS($B$17:C18)-1 + INDEX(SHIFT_TBL,1,2), 28) + 1)</f>
        <v>1</v>
      </c>
      <c r="D18" cm="1">
        <f t="array" ref="D18">INDEX($B$12:$AC$12, 1, MOD(COLUMNS($B$17:D18)-1 + INDEX(SHIFT_TBL,1,2), 28) + 1)</f>
        <v>0</v>
      </c>
      <c r="E18" cm="1">
        <f t="array" ref="E18">INDEX($B$12:$AC$12, 1, MOD(COLUMNS($B$17:E18)-1 + INDEX(SHIFT_TBL,1,2), 28) + 1)</f>
        <v>0</v>
      </c>
      <c r="F18" cm="1">
        <f t="array" ref="F18">INDEX($B$12:$AC$12, 1, MOD(COLUMNS($B$17:F18)-1 + INDEX(SHIFT_TBL,1,2), 28) + 1)</f>
        <v>0</v>
      </c>
      <c r="G18" cm="1">
        <f t="array" ref="G18">INDEX($B$12:$AC$12, 1, MOD(COLUMNS($B$17:G18)-1 + INDEX(SHIFT_TBL,1,2), 28) + 1)</f>
        <v>0</v>
      </c>
      <c r="H18" cm="1">
        <f t="array" ref="H18">INDEX($B$12:$AC$12, 1, MOD(COLUMNS($B$17:H18)-1 + INDEX(SHIFT_TBL,1,2), 28) + 1)</f>
        <v>1</v>
      </c>
      <c r="I18" cm="1">
        <f t="array" ref="I18">INDEX($B$12:$AC$12, 1, MOD(COLUMNS($B$17:I18)-1 + INDEX(SHIFT_TBL,1,2), 28) + 1)</f>
        <v>1</v>
      </c>
      <c r="J18" cm="1">
        <f t="array" ref="J18">INDEX($B$12:$AC$12, 1, MOD(COLUMNS($B$17:J18)-1 + INDEX(SHIFT_TBL,1,2), 28) + 1)</f>
        <v>0</v>
      </c>
      <c r="K18" cm="1">
        <f t="array" ref="K18">INDEX($B$12:$AC$12, 1, MOD(COLUMNS($B$17:K18)-1 + INDEX(SHIFT_TBL,1,2), 28) + 1)</f>
        <v>0</v>
      </c>
      <c r="L18" cm="1">
        <f t="array" ref="L18">INDEX($B$12:$AC$12, 1, MOD(COLUMNS($B$17:L18)-1 + INDEX(SHIFT_TBL,1,2), 28) + 1)</f>
        <v>1</v>
      </c>
      <c r="M18" cm="1">
        <f t="array" ref="M18">INDEX($B$12:$AC$12, 1, MOD(COLUMNS($B$17:M18)-1 + INDEX(SHIFT_TBL,1,2), 28) + 1)</f>
        <v>1</v>
      </c>
      <c r="N18" cm="1">
        <f t="array" ref="N18">INDEX($B$12:$AC$12, 1, MOD(COLUMNS($B$17:N18)-1 + INDEX(SHIFT_TBL,1,2), 28) + 1)</f>
        <v>0</v>
      </c>
      <c r="O18" cm="1">
        <f t="array" ref="O18">INDEX($B$12:$AC$12, 1, MOD(COLUMNS($B$17:O18)-1 + INDEX(SHIFT_TBL,1,2), 28) + 1)</f>
        <v>0</v>
      </c>
      <c r="P18" cm="1">
        <f t="array" ref="P18">INDEX($B$12:$AC$12, 1, MOD(COLUMNS($B$17:P18)-1 + INDEX(SHIFT_TBL,1,2), 28) + 1)</f>
        <v>1</v>
      </c>
      <c r="Q18" cm="1">
        <f t="array" ref="Q18">INDEX($B$12:$AC$12, 1, MOD(COLUMNS($B$17:Q18)-1 + INDEX(SHIFT_TBL,1,2), 28) + 1)</f>
        <v>0</v>
      </c>
      <c r="R18" cm="1">
        <f t="array" ref="R18">INDEX($B$12:$AC$12, 1, MOD(COLUMNS($B$17:R18)-1 + INDEX(SHIFT_TBL,1,2), 28) + 1)</f>
        <v>1</v>
      </c>
      <c r="S18" cm="1">
        <f t="array" ref="S18">INDEX($B$12:$AC$12, 1, MOD(COLUMNS($B$17:S18)-1 + INDEX(SHIFT_TBL,1,2), 28) + 1)</f>
        <v>0</v>
      </c>
      <c r="T18" cm="1">
        <f t="array" ref="T18">INDEX($B$12:$AC$12, 1, MOD(COLUMNS($B$17:T18)-1 + INDEX(SHIFT_TBL,1,2), 28) + 1)</f>
        <v>1</v>
      </c>
      <c r="U18" cm="1">
        <f t="array" ref="U18">INDEX($B$12:$AC$12, 1, MOD(COLUMNS($B$17:U18)-1 + INDEX(SHIFT_TBL,1,2), 28) + 1)</f>
        <v>0</v>
      </c>
      <c r="V18" cm="1">
        <f t="array" ref="V18">INDEX($B$12:$AC$12, 1, MOD(COLUMNS($B$17:V18)-1 + INDEX(SHIFT_TBL,1,2), 28) + 1)</f>
        <v>1</v>
      </c>
      <c r="W18" cm="1">
        <f t="array" ref="W18">INDEX($B$12:$AC$12, 1, MOD(COLUMNS($B$17:W18)-1 + INDEX(SHIFT_TBL,1,2), 28) + 1)</f>
        <v>0</v>
      </c>
      <c r="X18" cm="1">
        <f t="array" ref="X18">INDEX($B$12:$AC$12, 1, MOD(COLUMNS($B$17:X18)-1 + INDEX(SHIFT_TBL,1,2), 28) + 1)</f>
        <v>1</v>
      </c>
      <c r="Y18" cm="1">
        <f t="array" ref="Y18">INDEX($B$12:$AC$12, 1, MOD(COLUMNS($B$17:Y18)-1 + INDEX(SHIFT_TBL,1,2), 28) + 1)</f>
        <v>0</v>
      </c>
      <c r="Z18" cm="1">
        <f t="array" ref="Z18">INDEX($B$12:$AC$12, 1, MOD(COLUMNS($B$17:Z18)-1 + INDEX(SHIFT_TBL,1,2), 28) + 1)</f>
        <v>1</v>
      </c>
      <c r="AA18" cm="1">
        <f t="array" ref="AA18">INDEX($B$12:$AC$12, 1, MOD(COLUMNS($B$17:AA18)-1 + INDEX(SHIFT_TBL,1,2), 28) + 1)</f>
        <v>1</v>
      </c>
      <c r="AB18" cm="1">
        <f t="array" ref="AB18">INDEX($B$12:$AC$12, 1, MOD(COLUMNS($B$17:AB18)-1 + INDEX(SHIFT_TBL,1,2), 28) + 1)</f>
        <v>1</v>
      </c>
      <c r="AC18" cm="1">
        <f t="array" ref="AC18">INDEX($B$12:$AC$12, 1, MOD(COLUMNS($B$17:AC18)-1 + INDEX(SHIFT_TBL,1,2), 28) + 1)</f>
        <v>1</v>
      </c>
      <c r="AD18" cm="1">
        <f t="array" ref="AD18">INDEX($AD$12:$BE$12, 1, MOD(COLUMNS($AD$17:AD18)-1 + INDEX(SHIFT_TBL,1,2), 28) + 1)</f>
        <v>1</v>
      </c>
      <c r="AE18" cm="1">
        <f t="array" ref="AE18">INDEX($AD$12:$BE$12, 1, MOD(COLUMNS($AD$17:AE18)-1 + INDEX(SHIFT_TBL,1,2), 28) + 1)</f>
        <v>0</v>
      </c>
      <c r="AF18" cm="1">
        <f t="array" ref="AF18">INDEX($AD$12:$BE$12, 1, MOD(COLUMNS($AD$17:AF18)-1 + INDEX(SHIFT_TBL,1,2), 28) + 1)</f>
        <v>1</v>
      </c>
      <c r="AG18" cm="1">
        <f t="array" ref="AG18">INDEX($AD$12:$BE$12, 1, MOD(COLUMNS($AD$17:AG18)-1 + INDEX(SHIFT_TBL,1,2), 28) + 1)</f>
        <v>0</v>
      </c>
      <c r="AH18" cm="1">
        <f t="array" ref="AH18">INDEX($AD$12:$BE$12, 1, MOD(COLUMNS($AD$17:AH18)-1 + INDEX(SHIFT_TBL,1,2), 28) + 1)</f>
        <v>1</v>
      </c>
      <c r="AI18" cm="1">
        <f t="array" ref="AI18">INDEX($AD$12:$BE$12, 1, MOD(COLUMNS($AD$17:AI18)-1 + INDEX(SHIFT_TBL,1,2), 28) + 1)</f>
        <v>0</v>
      </c>
      <c r="AJ18" cm="1">
        <f t="array" ref="AJ18">INDEX($AD$12:$BE$12, 1, MOD(COLUMNS($AD$17:AJ18)-1 + INDEX(SHIFT_TBL,1,2), 28) + 1)</f>
        <v>1</v>
      </c>
      <c r="AK18" cm="1">
        <f t="array" ref="AK18">INDEX($AD$12:$BE$12, 1, MOD(COLUMNS($AD$17:AK18)-1 + INDEX(SHIFT_TBL,1,2), 28) + 1)</f>
        <v>1</v>
      </c>
      <c r="AL18" cm="1">
        <f t="array" ref="AL18">INDEX($AD$12:$BE$12, 1, MOD(COLUMNS($AD$17:AL18)-1 + INDEX(SHIFT_TBL,1,2), 28) + 1)</f>
        <v>0</v>
      </c>
      <c r="AM18" cm="1">
        <f t="array" ref="AM18">INDEX($AD$12:$BE$12, 1, MOD(COLUMNS($AD$17:AM18)-1 + INDEX(SHIFT_TBL,1,2), 28) + 1)</f>
        <v>0</v>
      </c>
      <c r="AN18" cm="1">
        <f t="array" ref="AN18">INDEX($AD$12:$BE$12, 1, MOD(COLUMNS($AD$17:AN18)-1 + INDEX(SHIFT_TBL,1,2), 28) + 1)</f>
        <v>1</v>
      </c>
      <c r="AO18" cm="1">
        <f t="array" ref="AO18">INDEX($AD$12:$BE$12, 1, MOD(COLUMNS($AD$17:AO18)-1 + INDEX(SHIFT_TBL,1,2), 28) + 1)</f>
        <v>1</v>
      </c>
      <c r="AP18" cm="1">
        <f t="array" ref="AP18">INDEX($AD$12:$BE$12, 1, MOD(COLUMNS($AD$17:AP18)-1 + INDEX(SHIFT_TBL,1,2), 28) + 1)</f>
        <v>0</v>
      </c>
      <c r="AQ18" cm="1">
        <f t="array" ref="AQ18">INDEX($AD$12:$BE$12, 1, MOD(COLUMNS($AD$17:AQ18)-1 + INDEX(SHIFT_TBL,1,2), 28) + 1)</f>
        <v>0</v>
      </c>
      <c r="AR18" cm="1">
        <f t="array" ref="AR18">INDEX($AD$12:$BE$12, 1, MOD(COLUMNS($AD$17:AR18)-1 + INDEX(SHIFT_TBL,1,2), 28) + 1)</f>
        <v>1</v>
      </c>
      <c r="AS18" cm="1">
        <f t="array" ref="AS18">INDEX($AD$12:$BE$12, 1, MOD(COLUMNS($AD$17:AS18)-1 + INDEX(SHIFT_TBL,1,2), 28) + 1)</f>
        <v>1</v>
      </c>
      <c r="AT18" cm="1">
        <f t="array" ref="AT18">INDEX($AD$12:$BE$12, 1, MOD(COLUMNS($AD$17:AT18)-1 + INDEX(SHIFT_TBL,1,2), 28) + 1)</f>
        <v>1</v>
      </c>
      <c r="AU18" cm="1">
        <f t="array" ref="AU18">INDEX($AD$12:$BE$12, 1, MOD(COLUMNS($AD$17:AU18)-1 + INDEX(SHIFT_TBL,1,2), 28) + 1)</f>
        <v>1</v>
      </c>
      <c r="AV18" cm="1">
        <f t="array" ref="AV18">INDEX($AD$12:$BE$12, 1, MOD(COLUMNS($AD$17:AV18)-1 + INDEX(SHIFT_TBL,1,2), 28) + 1)</f>
        <v>0</v>
      </c>
      <c r="AW18" cm="1">
        <f t="array" ref="AW18">INDEX($AD$12:$BE$12, 1, MOD(COLUMNS($AD$17:AW18)-1 + INDEX(SHIFT_TBL,1,2), 28) + 1)</f>
        <v>0</v>
      </c>
      <c r="AX18" cm="1">
        <f t="array" ref="AX18">INDEX($AD$12:$BE$12, 1, MOD(COLUMNS($AD$17:AX18)-1 + INDEX(SHIFT_TBL,1,2), 28) + 1)</f>
        <v>0</v>
      </c>
      <c r="AY18" cm="1">
        <f t="array" ref="AY18">INDEX($AD$12:$BE$12, 1, MOD(COLUMNS($AD$17:AY18)-1 + INDEX(SHIFT_TBL,1,2), 28) + 1)</f>
        <v>0</v>
      </c>
      <c r="AZ18" cm="1">
        <f t="array" ref="AZ18">INDEX($AD$12:$BE$12, 1, MOD(COLUMNS($AD$17:AZ18)-1 + INDEX(SHIFT_TBL,1,2), 28) + 1)</f>
        <v>1</v>
      </c>
      <c r="BA18" cm="1">
        <f t="array" ref="BA18">INDEX($AD$12:$BE$12, 1, MOD(COLUMNS($AD$17:BA18)-1 + INDEX(SHIFT_TBL,1,2), 28) + 1)</f>
        <v>0</v>
      </c>
      <c r="BB18" cm="1">
        <f t="array" ref="BB18">INDEX($AD$12:$BE$12, 1, MOD(COLUMNS($AD$17:BB18)-1 + INDEX(SHIFT_TBL,1,2), 28) + 1)</f>
        <v>1</v>
      </c>
      <c r="BC18" cm="1">
        <f t="array" ref="BC18">INDEX($AD$12:$BE$12, 1, MOD(COLUMNS($AD$17:BC18)-1 + INDEX(SHIFT_TBL,1,2), 28) + 1)</f>
        <v>0</v>
      </c>
      <c r="BD18" cm="1">
        <f t="array" ref="BD18">INDEX($AD$12:$BE$12, 1, MOD(COLUMNS($AD$17:BD18)-1 + INDEX(SHIFT_TBL,1,2), 28) + 1)</f>
        <v>1</v>
      </c>
      <c r="BE18" cm="1">
        <f t="array" ref="BE18">INDEX($AD$12:$BE$12, 1, MOD(COLUMNS($AD$17:BE18)-1 + INDEX(SHIFT_TBL,1,2), 28) + 1)</f>
        <v>0</v>
      </c>
    </row>
    <row r="19" spans="1:57" x14ac:dyDescent="0.35">
      <c r="A19" s="3" t="s">
        <v>8</v>
      </c>
      <c r="B19" cm="1">
        <f t="array" ref="B19">INDEX($B$18:$BE$18, 1, INDEX(PC2_TBL, COLUMNS($B$19:B19)))</f>
        <v>0</v>
      </c>
      <c r="C19" cm="1">
        <f t="array" ref="C19">INDEX($B$18:$BE$18, 1, INDEX(PC2_TBL, COLUMNS($B$19:C19)))</f>
        <v>1</v>
      </c>
      <c r="D19" cm="1">
        <f t="array" ref="D19">INDEX($B$18:$BE$18, 1, INDEX(PC2_TBL, COLUMNS($B$19:D19)))</f>
        <v>1</v>
      </c>
      <c r="E19" cm="1">
        <f t="array" ref="E19">INDEX($B$18:$BE$18, 1, INDEX(PC2_TBL, COLUMNS($B$19:E19)))</f>
        <v>0</v>
      </c>
      <c r="F19" cm="1">
        <f t="array" ref="F19">INDEX($B$18:$BE$18, 1, INDEX(PC2_TBL, COLUMNS($B$19:F19)))</f>
        <v>1</v>
      </c>
      <c r="G19" cm="1">
        <f t="array" ref="G19">INDEX($B$18:$BE$18, 1, INDEX(PC2_TBL, COLUMNS($B$19:G19)))</f>
        <v>0</v>
      </c>
      <c r="H19" cm="1">
        <f t="array" ref="H19">INDEX($B$18:$BE$18, 1, INDEX(PC2_TBL, COLUMNS($B$19:H19)))</f>
        <v>0</v>
      </c>
      <c r="I19" cm="1">
        <f t="array" ref="I19">INDEX($B$18:$BE$18, 1, INDEX(PC2_TBL, COLUMNS($B$19:I19)))</f>
        <v>1</v>
      </c>
      <c r="J19" cm="1">
        <f t="array" ref="J19">INDEX($B$18:$BE$18, 1, INDEX(PC2_TBL, COLUMNS($B$19:J19)))</f>
        <v>1</v>
      </c>
      <c r="K19" cm="1">
        <f t="array" ref="K19">INDEX($B$18:$BE$18, 1, INDEX(PC2_TBL, COLUMNS($B$19:K19)))</f>
        <v>0</v>
      </c>
      <c r="L19" cm="1">
        <f t="array" ref="L19">INDEX($B$18:$BE$18, 1, INDEX(PC2_TBL, COLUMNS($B$19:L19)))</f>
        <v>1</v>
      </c>
      <c r="M19" cm="1">
        <f t="array" ref="M19">INDEX($B$18:$BE$18, 1, INDEX(PC2_TBL, COLUMNS($B$19:M19)))</f>
        <v>0</v>
      </c>
      <c r="N19" cm="1">
        <f t="array" ref="N19">INDEX($B$18:$BE$18, 1, INDEX(PC2_TBL, COLUMNS($B$19:N19)))</f>
        <v>1</v>
      </c>
      <c r="O19" cm="1">
        <f t="array" ref="O19">INDEX($B$18:$BE$18, 1, INDEX(PC2_TBL, COLUMNS($B$19:O19)))</f>
        <v>1</v>
      </c>
      <c r="P19" cm="1">
        <f t="array" ref="P19">INDEX($B$18:$BE$18, 1, INDEX(PC2_TBL, COLUMNS($B$19:P19)))</f>
        <v>1</v>
      </c>
      <c r="Q19" cm="1">
        <f t="array" ref="Q19">INDEX($B$18:$BE$18, 1, INDEX(PC2_TBL, COLUMNS($B$19:Q19)))</f>
        <v>0</v>
      </c>
      <c r="R19" cm="1">
        <f t="array" ref="R19">INDEX($B$18:$BE$18, 1, INDEX(PC2_TBL, COLUMNS($B$19:R19)))</f>
        <v>1</v>
      </c>
      <c r="S19" cm="1">
        <f t="array" ref="S19">INDEX($B$18:$BE$18, 1, INDEX(PC2_TBL, COLUMNS($B$19:S19)))</f>
        <v>1</v>
      </c>
      <c r="T19" cm="1">
        <f t="array" ref="T19">INDEX($B$18:$BE$18, 1, INDEX(PC2_TBL, COLUMNS($B$19:T19)))</f>
        <v>0</v>
      </c>
      <c r="U19" cm="1">
        <f t="array" ref="U19">INDEX($B$18:$BE$18, 1, INDEX(PC2_TBL, COLUMNS($B$19:U19)))</f>
        <v>1</v>
      </c>
      <c r="V19" cm="1">
        <f t="array" ref="V19">INDEX($B$18:$BE$18, 1, INDEX(PC2_TBL, COLUMNS($B$19:V19)))</f>
        <v>1</v>
      </c>
      <c r="W19" cm="1">
        <f t="array" ref="W19">INDEX($B$18:$BE$18, 1, INDEX(PC2_TBL, COLUMNS($B$19:W19)))</f>
        <v>0</v>
      </c>
      <c r="X19" cm="1">
        <f t="array" ref="X19">INDEX($B$18:$BE$18, 1, INDEX(PC2_TBL, COLUMNS($B$19:X19)))</f>
        <v>0</v>
      </c>
      <c r="Y19" cm="1">
        <f t="array" ref="Y19">INDEX($B$18:$BE$18, 1, INDEX(PC2_TBL, COLUMNS($B$19:Y19)))</f>
        <v>1</v>
      </c>
      <c r="Z19" cm="1">
        <f t="array" ref="Z19">INDEX($B$18:$BE$18, 1, INDEX(PC2_TBL, COLUMNS($B$19:Z19)))</f>
        <v>0</v>
      </c>
      <c r="AA19" cm="1">
        <f t="array" ref="AA19">INDEX($B$18:$BE$18, 1, INDEX(PC2_TBL, COLUMNS($B$19:AA19)))</f>
        <v>0</v>
      </c>
      <c r="AB19" cm="1">
        <f t="array" ref="AB19">INDEX($B$18:$BE$18, 1, INDEX(PC2_TBL, COLUMNS($B$19:AB19)))</f>
        <v>1</v>
      </c>
      <c r="AC19" cm="1">
        <f t="array" ref="AC19">INDEX($B$18:$BE$18, 1, INDEX(PC2_TBL, COLUMNS($B$19:AC19)))</f>
        <v>0</v>
      </c>
      <c r="AD19" cm="1">
        <f t="array" ref="AD19">INDEX($B$18:$BE$18, 1, INDEX(PC2_TBL, COLUMNS($B$19:AD19)))</f>
        <v>0</v>
      </c>
      <c r="AE19" cm="1">
        <f t="array" ref="AE19">INDEX($B$18:$BE$18, 1, INDEX(PC2_TBL, COLUMNS($B$19:AE19)))</f>
        <v>1</v>
      </c>
      <c r="AF19" cm="1">
        <f t="array" ref="AF19">INDEX($B$18:$BE$18, 1, INDEX(PC2_TBL, COLUMNS($B$19:AF19)))</f>
        <v>0</v>
      </c>
      <c r="AG19" cm="1">
        <f t="array" ref="AG19">INDEX($B$18:$BE$18, 1, INDEX(PC2_TBL, COLUMNS($B$19:AG19)))</f>
        <v>1</v>
      </c>
      <c r="AH19" cm="1">
        <f t="array" ref="AH19">INDEX($B$18:$BE$18, 1, INDEX(PC2_TBL, COLUMNS($B$19:AH19)))</f>
        <v>1</v>
      </c>
      <c r="AI19" cm="1">
        <f t="array" ref="AI19">INDEX($B$18:$BE$18, 1, INDEX(PC2_TBL, COLUMNS($B$19:AI19)))</f>
        <v>1</v>
      </c>
      <c r="AJ19" cm="1">
        <f t="array" ref="AJ19">INDEX($B$18:$BE$18, 1, INDEX(PC2_TBL, COLUMNS($B$19:AJ19)))</f>
        <v>1</v>
      </c>
      <c r="AK19" cm="1">
        <f t="array" ref="AK19">INDEX($B$18:$BE$18, 1, INDEX(PC2_TBL, COLUMNS($B$19:AK19)))</f>
        <v>0</v>
      </c>
      <c r="AL19" cm="1">
        <f t="array" ref="AL19">INDEX($B$18:$BE$18, 1, INDEX(PC2_TBL, COLUMNS($B$19:AL19)))</f>
        <v>1</v>
      </c>
      <c r="AM19" cm="1">
        <f t="array" ref="AM19">INDEX($B$18:$BE$18, 1, INDEX(PC2_TBL, COLUMNS($B$19:AM19)))</f>
        <v>0</v>
      </c>
      <c r="AN19" cm="1">
        <f t="array" ref="AN19">INDEX($B$18:$BE$18, 1, INDEX(PC2_TBL, COLUMNS($B$19:AN19)))</f>
        <v>1</v>
      </c>
      <c r="AO19" cm="1">
        <f t="array" ref="AO19">INDEX($B$18:$BE$18, 1, INDEX(PC2_TBL, COLUMNS($B$19:AO19)))</f>
        <v>0</v>
      </c>
      <c r="AP19" cm="1">
        <f t="array" ref="AP19">INDEX($B$18:$BE$18, 1, INDEX(PC2_TBL, COLUMNS($B$19:AP19)))</f>
        <v>0</v>
      </c>
      <c r="AQ19" cm="1">
        <f t="array" ref="AQ19">INDEX($B$18:$BE$18, 1, INDEX(PC2_TBL, COLUMNS($B$19:AQ19)))</f>
        <v>1</v>
      </c>
      <c r="AR19" cm="1">
        <f t="array" ref="AR19">INDEX($B$18:$BE$18, 1, INDEX(PC2_TBL, COLUMNS($B$19:AR19)))</f>
        <v>1</v>
      </c>
      <c r="AS19" cm="1">
        <f t="array" ref="AS19">INDEX($B$18:$BE$18, 1, INDEX(PC2_TBL, COLUMNS($B$19:AS19)))</f>
        <v>0</v>
      </c>
      <c r="AT19" cm="1">
        <f t="array" ref="AT19">INDEX($B$18:$BE$18, 1, INDEX(PC2_TBL, COLUMNS($B$19:AT19)))</f>
        <v>0</v>
      </c>
      <c r="AU19" cm="1">
        <f t="array" ref="AU19">INDEX($B$18:$BE$18, 1, INDEX(PC2_TBL, COLUMNS($B$19:AU19)))</f>
        <v>1</v>
      </c>
      <c r="AV19" cm="1">
        <f t="array" ref="AV19">INDEX($B$18:$BE$18, 1, INDEX(PC2_TBL, COLUMNS($B$19:AV19)))</f>
        <v>1</v>
      </c>
      <c r="AW19" cm="1">
        <f t="array" ref="AW19">INDEX($B$18:$BE$18, 1, INDEX(PC2_TBL, COLUMNS($B$19:AW19)))</f>
        <v>0</v>
      </c>
    </row>
    <row r="21" spans="1:57" x14ac:dyDescent="0.35">
      <c r="A21" t="s">
        <v>31</v>
      </c>
      <c r="AD21" t="s">
        <v>33</v>
      </c>
    </row>
    <row r="22" spans="1:57" x14ac:dyDescent="0.35">
      <c r="A22" s="3" t="s">
        <v>32</v>
      </c>
      <c r="B22" cm="1">
        <f t="array" ref="B22">INDEX($B$17:$AC$17, 1, MOD(COLUMNS($B$22:B22)-1 + INDEX(SHIFT_TBL,1,3), 28) + 1)</f>
        <v>0</v>
      </c>
      <c r="C22" cm="1">
        <f t="array" ref="C22">INDEX($B$17:$AC$17, 1, MOD(COLUMNS($B$22:C22)-1 + INDEX(SHIFT_TBL,1,3), 28) + 1)</f>
        <v>0</v>
      </c>
      <c r="D22" cm="1">
        <f t="array" ref="D22">INDEX($B$17:$AC$17, 1, MOD(COLUMNS($B$22:D22)-1 + INDEX(SHIFT_TBL,1,3), 28) + 1)</f>
        <v>0</v>
      </c>
      <c r="E22" cm="1">
        <f t="array" ref="E22">INDEX($B$17:$AC$17, 1, MOD(COLUMNS($B$22:E22)-1 + INDEX(SHIFT_TBL,1,3), 28) + 1)</f>
        <v>0</v>
      </c>
      <c r="F22" cm="1">
        <f t="array" ref="F22">INDEX($B$17:$AC$17, 1, MOD(COLUMNS($B$22:F22)-1 + INDEX(SHIFT_TBL,1,3), 28) + 1)</f>
        <v>1</v>
      </c>
      <c r="G22" cm="1">
        <f t="array" ref="G22">INDEX($B$17:$AC$17, 1, MOD(COLUMNS($B$22:G22)-1 + INDEX(SHIFT_TBL,1,3), 28) + 1)</f>
        <v>1</v>
      </c>
      <c r="H22" cm="1">
        <f t="array" ref="H22">INDEX($B$17:$AC$17, 1, MOD(COLUMNS($B$22:H22)-1 + INDEX(SHIFT_TBL,1,3), 28) + 1)</f>
        <v>0</v>
      </c>
      <c r="I22" cm="1">
        <f t="array" ref="I22">INDEX($B$17:$AC$17, 1, MOD(COLUMNS($B$22:I22)-1 + INDEX(SHIFT_TBL,1,3), 28) + 1)</f>
        <v>0</v>
      </c>
      <c r="J22" cm="1">
        <f t="array" ref="J22">INDEX($B$17:$AC$17, 1, MOD(COLUMNS($B$22:J22)-1 + INDEX(SHIFT_TBL,1,3), 28) + 1)</f>
        <v>1</v>
      </c>
      <c r="K22" cm="1">
        <f t="array" ref="K22">INDEX($B$17:$AC$17, 1, MOD(COLUMNS($B$22:K22)-1 + INDEX(SHIFT_TBL,1,3), 28) + 1)</f>
        <v>1</v>
      </c>
      <c r="L22" cm="1">
        <f t="array" ref="L22">INDEX($B$17:$AC$17, 1, MOD(COLUMNS($B$22:L22)-1 + INDEX(SHIFT_TBL,1,3), 28) + 1)</f>
        <v>0</v>
      </c>
      <c r="M22" cm="1">
        <f t="array" ref="M22">INDEX($B$17:$AC$17, 1, MOD(COLUMNS($B$22:M22)-1 + INDEX(SHIFT_TBL,1,3), 28) + 1)</f>
        <v>0</v>
      </c>
      <c r="N22" cm="1">
        <f t="array" ref="N22">INDEX($B$17:$AC$17, 1, MOD(COLUMNS($B$22:N22)-1 + INDEX(SHIFT_TBL,1,3), 28) + 1)</f>
        <v>1</v>
      </c>
      <c r="O22" cm="1">
        <f t="array" ref="O22">INDEX($B$17:$AC$17, 1, MOD(COLUMNS($B$22:O22)-1 + INDEX(SHIFT_TBL,1,3), 28) + 1)</f>
        <v>0</v>
      </c>
      <c r="P22" cm="1">
        <f t="array" ref="P22">INDEX($B$17:$AC$17, 1, MOD(COLUMNS($B$22:P22)-1 + INDEX(SHIFT_TBL,1,3), 28) + 1)</f>
        <v>1</v>
      </c>
      <c r="Q22" cm="1">
        <f t="array" ref="Q22">INDEX($B$17:$AC$17, 1, MOD(COLUMNS($B$22:Q22)-1 + INDEX(SHIFT_TBL,1,3), 28) + 1)</f>
        <v>0</v>
      </c>
      <c r="R22" cm="1">
        <f t="array" ref="R22">INDEX($B$17:$AC$17, 1, MOD(COLUMNS($B$22:R22)-1 + INDEX(SHIFT_TBL,1,3), 28) + 1)</f>
        <v>1</v>
      </c>
      <c r="S22" cm="1">
        <f t="array" ref="S22">INDEX($B$17:$AC$17, 1, MOD(COLUMNS($B$22:S22)-1 + INDEX(SHIFT_TBL,1,3), 28) + 1)</f>
        <v>0</v>
      </c>
      <c r="T22" cm="1">
        <f t="array" ref="T22">INDEX($B$17:$AC$17, 1, MOD(COLUMNS($B$22:T22)-1 + INDEX(SHIFT_TBL,1,3), 28) + 1)</f>
        <v>1</v>
      </c>
      <c r="U22" cm="1">
        <f t="array" ref="U22">INDEX($B$17:$AC$17, 1, MOD(COLUMNS($B$22:U22)-1 + INDEX(SHIFT_TBL,1,3), 28) + 1)</f>
        <v>0</v>
      </c>
      <c r="V22" cm="1">
        <f t="array" ref="V22">INDEX($B$17:$AC$17, 1, MOD(COLUMNS($B$22:V22)-1 + INDEX(SHIFT_TBL,1,3), 28) + 1)</f>
        <v>1</v>
      </c>
      <c r="W22" cm="1">
        <f t="array" ref="W22">INDEX($B$17:$AC$17, 1, MOD(COLUMNS($B$22:W22)-1 + INDEX(SHIFT_TBL,1,3), 28) + 1)</f>
        <v>0</v>
      </c>
      <c r="X22" cm="1">
        <f t="array" ref="X22">INDEX($B$17:$AC$17, 1, MOD(COLUMNS($B$22:X22)-1 + INDEX(SHIFT_TBL,1,3), 28) + 1)</f>
        <v>1</v>
      </c>
      <c r="Y22" cm="1">
        <f t="array" ref="Y22">INDEX($B$17:$AC$17, 1, MOD(COLUMNS($B$22:Y22)-1 + INDEX(SHIFT_TBL,1,3), 28) + 1)</f>
        <v>1</v>
      </c>
      <c r="Z22" cm="1">
        <f t="array" ref="Z22">INDEX($B$17:$AC$17, 1, MOD(COLUMNS($B$22:Z22)-1 + INDEX(SHIFT_TBL,1,3), 28) + 1)</f>
        <v>1</v>
      </c>
      <c r="AA22" cm="1">
        <f t="array" ref="AA22">INDEX($B$17:$AC$17, 1, MOD(COLUMNS($B$22:AA22)-1 + INDEX(SHIFT_TBL,1,3), 28) + 1)</f>
        <v>1</v>
      </c>
      <c r="AB22" cm="1">
        <f t="array" ref="AB22">INDEX($B$17:$AC$17, 1, MOD(COLUMNS($B$22:AB22)-1 + INDEX(SHIFT_TBL,1,3), 28) + 1)</f>
        <v>1</v>
      </c>
      <c r="AC22" cm="1">
        <f t="array" ref="AC22">INDEX($B$17:$AC$17, 1, MOD(COLUMNS($B$22:AC22)-1 + INDEX(SHIFT_TBL,1,3), 28) + 1)</f>
        <v>1</v>
      </c>
      <c r="AD22" cm="1">
        <f t="array" ref="AD22">INDEX($AD$17:$BE$17, 1, MOD(COLUMNS($AD$22:AD22)-1 + INDEX(SHIFT_TBL,1,3), 28) + 1)</f>
        <v>1</v>
      </c>
      <c r="AE22" cm="1">
        <f t="array" ref="AE22">INDEX($AD$17:$BE$17, 1, MOD(COLUMNS($AD$22:AE22)-1 + INDEX(SHIFT_TBL,1,3), 28) + 1)</f>
        <v>0</v>
      </c>
      <c r="AF22" cm="1">
        <f t="array" ref="AF22">INDEX($AD$17:$BE$17, 1, MOD(COLUMNS($AD$22:AF22)-1 + INDEX(SHIFT_TBL,1,3), 28) + 1)</f>
        <v>1</v>
      </c>
      <c r="AG22" cm="1">
        <f t="array" ref="AG22">INDEX($AD$17:$BE$17, 1, MOD(COLUMNS($AD$22:AG22)-1 + INDEX(SHIFT_TBL,1,3), 28) + 1)</f>
        <v>0</v>
      </c>
      <c r="AH22" cm="1">
        <f t="array" ref="AH22">INDEX($AD$17:$BE$17, 1, MOD(COLUMNS($AD$22:AH22)-1 + INDEX(SHIFT_TBL,1,3), 28) + 1)</f>
        <v>1</v>
      </c>
      <c r="AI22" cm="1">
        <f t="array" ref="AI22">INDEX($AD$17:$BE$17, 1, MOD(COLUMNS($AD$22:AI22)-1 + INDEX(SHIFT_TBL,1,3), 28) + 1)</f>
        <v>1</v>
      </c>
      <c r="AJ22" cm="1">
        <f t="array" ref="AJ22">INDEX($AD$17:$BE$17, 1, MOD(COLUMNS($AD$22:AJ22)-1 + INDEX(SHIFT_TBL,1,3), 28) + 1)</f>
        <v>0</v>
      </c>
      <c r="AK22" cm="1">
        <f t="array" ref="AK22">INDEX($AD$17:$BE$17, 1, MOD(COLUMNS($AD$22:AK22)-1 + INDEX(SHIFT_TBL,1,3), 28) + 1)</f>
        <v>0</v>
      </c>
      <c r="AL22" cm="1">
        <f t="array" ref="AL22">INDEX($AD$17:$BE$17, 1, MOD(COLUMNS($AD$22:AL22)-1 + INDEX(SHIFT_TBL,1,3), 28) + 1)</f>
        <v>1</v>
      </c>
      <c r="AM22" cm="1">
        <f t="array" ref="AM22">INDEX($AD$17:$BE$17, 1, MOD(COLUMNS($AD$22:AM22)-1 + INDEX(SHIFT_TBL,1,3), 28) + 1)</f>
        <v>1</v>
      </c>
      <c r="AN22" cm="1">
        <f t="array" ref="AN22">INDEX($AD$17:$BE$17, 1, MOD(COLUMNS($AD$22:AN22)-1 + INDEX(SHIFT_TBL,1,3), 28) + 1)</f>
        <v>0</v>
      </c>
      <c r="AO22" cm="1">
        <f t="array" ref="AO22">INDEX($AD$17:$BE$17, 1, MOD(COLUMNS($AD$22:AO22)-1 + INDEX(SHIFT_TBL,1,3), 28) + 1)</f>
        <v>0</v>
      </c>
      <c r="AP22" cm="1">
        <f t="array" ref="AP22">INDEX($AD$17:$BE$17, 1, MOD(COLUMNS($AD$22:AP22)-1 + INDEX(SHIFT_TBL,1,3), 28) + 1)</f>
        <v>1</v>
      </c>
      <c r="AQ22" cm="1">
        <f t="array" ref="AQ22">INDEX($AD$17:$BE$17, 1, MOD(COLUMNS($AD$22:AQ22)-1 + INDEX(SHIFT_TBL,1,3), 28) + 1)</f>
        <v>1</v>
      </c>
      <c r="AR22" cm="1">
        <f t="array" ref="AR22">INDEX($AD$17:$BE$17, 1, MOD(COLUMNS($AD$22:AR22)-1 + INDEX(SHIFT_TBL,1,3), 28) + 1)</f>
        <v>1</v>
      </c>
      <c r="AS22" cm="1">
        <f t="array" ref="AS22">INDEX($AD$17:$BE$17, 1, MOD(COLUMNS($AD$22:AS22)-1 + INDEX(SHIFT_TBL,1,3), 28) + 1)</f>
        <v>1</v>
      </c>
      <c r="AT22" cm="1">
        <f t="array" ref="AT22">INDEX($AD$17:$BE$17, 1, MOD(COLUMNS($AD$22:AT22)-1 + INDEX(SHIFT_TBL,1,3), 28) + 1)</f>
        <v>0</v>
      </c>
      <c r="AU22" cm="1">
        <f t="array" ref="AU22">INDEX($AD$17:$BE$17, 1, MOD(COLUMNS($AD$22:AU22)-1 + INDEX(SHIFT_TBL,1,3), 28) + 1)</f>
        <v>0</v>
      </c>
      <c r="AV22" cm="1">
        <f t="array" ref="AV22">INDEX($AD$17:$BE$17, 1, MOD(COLUMNS($AD$22:AV22)-1 + INDEX(SHIFT_TBL,1,3), 28) + 1)</f>
        <v>0</v>
      </c>
      <c r="AW22" cm="1">
        <f t="array" ref="AW22">INDEX($AD$17:$BE$17, 1, MOD(COLUMNS($AD$22:AW22)-1 + INDEX(SHIFT_TBL,1,3), 28) + 1)</f>
        <v>0</v>
      </c>
      <c r="AX22" cm="1">
        <f t="array" ref="AX22">INDEX($AD$17:$BE$17, 1, MOD(COLUMNS($AD$22:AX22)-1 + INDEX(SHIFT_TBL,1,3), 28) + 1)</f>
        <v>1</v>
      </c>
      <c r="AY22" cm="1">
        <f t="array" ref="AY22">INDEX($AD$17:$BE$17, 1, MOD(COLUMNS($AD$22:AY22)-1 + INDEX(SHIFT_TBL,1,3), 28) + 1)</f>
        <v>0</v>
      </c>
      <c r="AZ22" cm="1">
        <f t="array" ref="AZ22">INDEX($AD$17:$BE$17, 1, MOD(COLUMNS($AD$22:AZ22)-1 + INDEX(SHIFT_TBL,1,3), 28) + 1)</f>
        <v>1</v>
      </c>
      <c r="BA22" cm="1">
        <f t="array" ref="BA22">INDEX($AD$17:$BE$17, 1, MOD(COLUMNS($AD$22:BA22)-1 + INDEX(SHIFT_TBL,1,3), 28) + 1)</f>
        <v>0</v>
      </c>
      <c r="BB22" cm="1">
        <f t="array" ref="BB22">INDEX($AD$17:$BE$17, 1, MOD(COLUMNS($AD$22:BB22)-1 + INDEX(SHIFT_TBL,1,3), 28) + 1)</f>
        <v>1</v>
      </c>
      <c r="BC22" cm="1">
        <f t="array" ref="BC22">INDEX($AD$17:$BE$17, 1, MOD(COLUMNS($AD$22:BC22)-1 + INDEX(SHIFT_TBL,1,3), 28) + 1)</f>
        <v>0</v>
      </c>
      <c r="BD22" cm="1">
        <f t="array" ref="BD22">INDEX($AD$17:$BE$17, 1, MOD(COLUMNS($AD$22:BD22)-1 + INDEX(SHIFT_TBL,1,3), 28) + 1)</f>
        <v>1</v>
      </c>
      <c r="BE22" cm="1">
        <f t="array" ref="BE22">INDEX($AD$17:$BE$17, 1, MOD(COLUMNS($AD$22:BE22)-1 + INDEX(SHIFT_TBL,1,3), 28) + 1)</f>
        <v>0</v>
      </c>
    </row>
    <row r="23" spans="1:57" x14ac:dyDescent="0.35">
      <c r="A23" s="3" t="s">
        <v>35</v>
      </c>
      <c r="B23" cm="1">
        <f t="array" ref="B23">INDEX($B$17:$AC$17, 1, MOD(COLUMNS($B$22:B23)-1 + INDEX(SHIFT_TBL,1,3), 28) + 1)</f>
        <v>0</v>
      </c>
      <c r="C23" cm="1">
        <f t="array" ref="C23">INDEX($B$17:$AC$17, 1, MOD(COLUMNS($B$22:C23)-1 + INDEX(SHIFT_TBL,1,3), 28) + 1)</f>
        <v>0</v>
      </c>
      <c r="D23" cm="1">
        <f t="array" ref="D23">INDEX($B$17:$AC$17, 1, MOD(COLUMNS($B$22:D23)-1 + INDEX(SHIFT_TBL,1,3), 28) + 1)</f>
        <v>0</v>
      </c>
      <c r="E23" cm="1">
        <f t="array" ref="E23">INDEX($B$17:$AC$17, 1, MOD(COLUMNS($B$22:E23)-1 + INDEX(SHIFT_TBL,1,3), 28) + 1)</f>
        <v>0</v>
      </c>
      <c r="F23" cm="1">
        <f t="array" ref="F23">INDEX($B$17:$AC$17, 1, MOD(COLUMNS($B$22:F23)-1 + INDEX(SHIFT_TBL,1,3), 28) + 1)</f>
        <v>1</v>
      </c>
      <c r="G23" cm="1">
        <f t="array" ref="G23">INDEX($B$17:$AC$17, 1, MOD(COLUMNS($B$22:G23)-1 + INDEX(SHIFT_TBL,1,3), 28) + 1)</f>
        <v>1</v>
      </c>
      <c r="H23" cm="1">
        <f t="array" ref="H23">INDEX($B$17:$AC$17, 1, MOD(COLUMNS($B$22:H23)-1 + INDEX(SHIFT_TBL,1,3), 28) + 1)</f>
        <v>0</v>
      </c>
      <c r="I23" cm="1">
        <f t="array" ref="I23">INDEX($B$17:$AC$17, 1, MOD(COLUMNS($B$22:I23)-1 + INDEX(SHIFT_TBL,1,3), 28) + 1)</f>
        <v>0</v>
      </c>
      <c r="J23" cm="1">
        <f t="array" ref="J23">INDEX($B$17:$AC$17, 1, MOD(COLUMNS($B$22:J23)-1 + INDEX(SHIFT_TBL,1,3), 28) + 1)</f>
        <v>1</v>
      </c>
      <c r="K23" cm="1">
        <f t="array" ref="K23">INDEX($B$17:$AC$17, 1, MOD(COLUMNS($B$22:K23)-1 + INDEX(SHIFT_TBL,1,3), 28) + 1)</f>
        <v>1</v>
      </c>
      <c r="L23" cm="1">
        <f t="array" ref="L23">INDEX($B$17:$AC$17, 1, MOD(COLUMNS($B$22:L23)-1 + INDEX(SHIFT_TBL,1,3), 28) + 1)</f>
        <v>0</v>
      </c>
      <c r="M23" cm="1">
        <f t="array" ref="M23">INDEX($B$17:$AC$17, 1, MOD(COLUMNS($B$22:M23)-1 + INDEX(SHIFT_TBL,1,3), 28) + 1)</f>
        <v>0</v>
      </c>
      <c r="N23" cm="1">
        <f t="array" ref="N23">INDEX($B$17:$AC$17, 1, MOD(COLUMNS($B$22:N23)-1 + INDEX(SHIFT_TBL,1,3), 28) + 1)</f>
        <v>1</v>
      </c>
      <c r="O23" cm="1">
        <f t="array" ref="O23">INDEX($B$17:$AC$17, 1, MOD(COLUMNS($B$22:O23)-1 + INDEX(SHIFT_TBL,1,3), 28) + 1)</f>
        <v>0</v>
      </c>
      <c r="P23" cm="1">
        <f t="array" ref="P23">INDEX($B$17:$AC$17, 1, MOD(COLUMNS($B$22:P23)-1 + INDEX(SHIFT_TBL,1,3), 28) + 1)</f>
        <v>1</v>
      </c>
      <c r="Q23" cm="1">
        <f t="array" ref="Q23">INDEX($B$17:$AC$17, 1, MOD(COLUMNS($B$22:Q23)-1 + INDEX(SHIFT_TBL,1,3), 28) + 1)</f>
        <v>0</v>
      </c>
      <c r="R23" cm="1">
        <f t="array" ref="R23">INDEX($B$17:$AC$17, 1, MOD(COLUMNS($B$22:R23)-1 + INDEX(SHIFT_TBL,1,3), 28) + 1)</f>
        <v>1</v>
      </c>
      <c r="S23" cm="1">
        <f t="array" ref="S23">INDEX($B$17:$AC$17, 1, MOD(COLUMNS($B$22:S23)-1 + INDEX(SHIFT_TBL,1,3), 28) + 1)</f>
        <v>0</v>
      </c>
      <c r="T23" cm="1">
        <f t="array" ref="T23">INDEX($B$17:$AC$17, 1, MOD(COLUMNS($B$22:T23)-1 + INDEX(SHIFT_TBL,1,3), 28) + 1)</f>
        <v>1</v>
      </c>
      <c r="U23" cm="1">
        <f t="array" ref="U23">INDEX($B$17:$AC$17, 1, MOD(COLUMNS($B$22:U23)-1 + INDEX(SHIFT_TBL,1,3), 28) + 1)</f>
        <v>0</v>
      </c>
      <c r="V23" cm="1">
        <f t="array" ref="V23">INDEX($B$17:$AC$17, 1, MOD(COLUMNS($B$22:V23)-1 + INDEX(SHIFT_TBL,1,3), 28) + 1)</f>
        <v>1</v>
      </c>
      <c r="W23" cm="1">
        <f t="array" ref="W23">INDEX($B$17:$AC$17, 1, MOD(COLUMNS($B$22:W23)-1 + INDEX(SHIFT_TBL,1,3), 28) + 1)</f>
        <v>0</v>
      </c>
      <c r="X23" cm="1">
        <f t="array" ref="X23">INDEX($B$17:$AC$17, 1, MOD(COLUMNS($B$22:X23)-1 + INDEX(SHIFT_TBL,1,3), 28) + 1)</f>
        <v>1</v>
      </c>
      <c r="Y23" cm="1">
        <f t="array" ref="Y23">INDEX($B$17:$AC$17, 1, MOD(COLUMNS($B$22:Y23)-1 + INDEX(SHIFT_TBL,1,3), 28) + 1)</f>
        <v>1</v>
      </c>
      <c r="Z23" cm="1">
        <f t="array" ref="Z23">INDEX($B$17:$AC$17, 1, MOD(COLUMNS($B$22:Z23)-1 + INDEX(SHIFT_TBL,1,3), 28) + 1)</f>
        <v>1</v>
      </c>
      <c r="AA23" cm="1">
        <f t="array" ref="AA23">INDEX($B$17:$AC$17, 1, MOD(COLUMNS($B$22:AA23)-1 + INDEX(SHIFT_TBL,1,3), 28) + 1)</f>
        <v>1</v>
      </c>
      <c r="AB23" cm="1">
        <f t="array" ref="AB23">INDEX($B$17:$AC$17, 1, MOD(COLUMNS($B$22:AB23)-1 + INDEX(SHIFT_TBL,1,3), 28) + 1)</f>
        <v>1</v>
      </c>
      <c r="AC23" cm="1">
        <f t="array" ref="AC23">INDEX($B$17:$AC$17, 1, MOD(COLUMNS($B$22:AC23)-1 + INDEX(SHIFT_TBL,1,3), 28) + 1)</f>
        <v>1</v>
      </c>
      <c r="AD23" cm="1">
        <f t="array" ref="AD23">INDEX($AD$17:$BE$17, 1, MOD(COLUMNS($AD$22:AD23)-1 + INDEX(SHIFT_TBL,1,3), 28) + 1)</f>
        <v>1</v>
      </c>
      <c r="AE23" cm="1">
        <f t="array" ref="AE23">INDEX($AD$17:$BE$17, 1, MOD(COLUMNS($AD$22:AE23)-1 + INDEX(SHIFT_TBL,1,3), 28) + 1)</f>
        <v>0</v>
      </c>
      <c r="AF23" cm="1">
        <f t="array" ref="AF23">INDEX($AD$17:$BE$17, 1, MOD(COLUMNS($AD$22:AF23)-1 + INDEX(SHIFT_TBL,1,3), 28) + 1)</f>
        <v>1</v>
      </c>
      <c r="AG23" cm="1">
        <f t="array" ref="AG23">INDEX($AD$17:$BE$17, 1, MOD(COLUMNS($AD$22:AG23)-1 + INDEX(SHIFT_TBL,1,3), 28) + 1)</f>
        <v>0</v>
      </c>
      <c r="AH23" cm="1">
        <f t="array" ref="AH23">INDEX($AD$17:$BE$17, 1, MOD(COLUMNS($AD$22:AH23)-1 + INDEX(SHIFT_TBL,1,3), 28) + 1)</f>
        <v>1</v>
      </c>
      <c r="AI23" cm="1">
        <f t="array" ref="AI23">INDEX($AD$17:$BE$17, 1, MOD(COLUMNS($AD$22:AI23)-1 + INDEX(SHIFT_TBL,1,3), 28) + 1)</f>
        <v>1</v>
      </c>
      <c r="AJ23" cm="1">
        <f t="array" ref="AJ23">INDEX($AD$17:$BE$17, 1, MOD(COLUMNS($AD$22:AJ23)-1 + INDEX(SHIFT_TBL,1,3), 28) + 1)</f>
        <v>0</v>
      </c>
      <c r="AK23" cm="1">
        <f t="array" ref="AK23">INDEX($AD$17:$BE$17, 1, MOD(COLUMNS($AD$22:AK23)-1 + INDEX(SHIFT_TBL,1,3), 28) + 1)</f>
        <v>0</v>
      </c>
      <c r="AL23" cm="1">
        <f t="array" ref="AL23">INDEX($AD$17:$BE$17, 1, MOD(COLUMNS($AD$22:AL23)-1 + INDEX(SHIFT_TBL,1,3), 28) + 1)</f>
        <v>1</v>
      </c>
      <c r="AM23" cm="1">
        <f t="array" ref="AM23">INDEX($AD$17:$BE$17, 1, MOD(COLUMNS($AD$22:AM23)-1 + INDEX(SHIFT_TBL,1,3), 28) + 1)</f>
        <v>1</v>
      </c>
      <c r="AN23" cm="1">
        <f t="array" ref="AN23">INDEX($AD$17:$BE$17, 1, MOD(COLUMNS($AD$22:AN23)-1 + INDEX(SHIFT_TBL,1,3), 28) + 1)</f>
        <v>0</v>
      </c>
      <c r="AO23" cm="1">
        <f t="array" ref="AO23">INDEX($AD$17:$BE$17, 1, MOD(COLUMNS($AD$22:AO23)-1 + INDEX(SHIFT_TBL,1,3), 28) + 1)</f>
        <v>0</v>
      </c>
      <c r="AP23" cm="1">
        <f t="array" ref="AP23">INDEX($AD$17:$BE$17, 1, MOD(COLUMNS($AD$22:AP23)-1 + INDEX(SHIFT_TBL,1,3), 28) + 1)</f>
        <v>1</v>
      </c>
      <c r="AQ23" cm="1">
        <f t="array" ref="AQ23">INDEX($AD$17:$BE$17, 1, MOD(COLUMNS($AD$22:AQ23)-1 + INDEX(SHIFT_TBL,1,3), 28) + 1)</f>
        <v>1</v>
      </c>
      <c r="AR23" cm="1">
        <f t="array" ref="AR23">INDEX($AD$17:$BE$17, 1, MOD(COLUMNS($AD$22:AR23)-1 + INDEX(SHIFT_TBL,1,3), 28) + 1)</f>
        <v>1</v>
      </c>
      <c r="AS23" cm="1">
        <f t="array" ref="AS23">INDEX($AD$17:$BE$17, 1, MOD(COLUMNS($AD$22:AS23)-1 + INDEX(SHIFT_TBL,1,3), 28) + 1)</f>
        <v>1</v>
      </c>
      <c r="AT23" cm="1">
        <f t="array" ref="AT23">INDEX($AD$17:$BE$17, 1, MOD(COLUMNS($AD$22:AT23)-1 + INDEX(SHIFT_TBL,1,3), 28) + 1)</f>
        <v>0</v>
      </c>
      <c r="AU23" cm="1">
        <f t="array" ref="AU23">INDEX($AD$17:$BE$17, 1, MOD(COLUMNS($AD$22:AU23)-1 + INDEX(SHIFT_TBL,1,3), 28) + 1)</f>
        <v>0</v>
      </c>
      <c r="AV23" cm="1">
        <f t="array" ref="AV23">INDEX($AD$17:$BE$17, 1, MOD(COLUMNS($AD$22:AV23)-1 + INDEX(SHIFT_TBL,1,3), 28) + 1)</f>
        <v>0</v>
      </c>
      <c r="AW23" cm="1">
        <f t="array" ref="AW23">INDEX($AD$17:$BE$17, 1, MOD(COLUMNS($AD$22:AW23)-1 + INDEX(SHIFT_TBL,1,3), 28) + 1)</f>
        <v>0</v>
      </c>
      <c r="AX23" cm="1">
        <f t="array" ref="AX23">INDEX($AD$17:$BE$17, 1, MOD(COLUMNS($AD$22:AX23)-1 + INDEX(SHIFT_TBL,1,3), 28) + 1)</f>
        <v>1</v>
      </c>
      <c r="AY23" cm="1">
        <f t="array" ref="AY23">INDEX($AD$17:$BE$17, 1, MOD(COLUMNS($AD$22:AY23)-1 + INDEX(SHIFT_TBL,1,3), 28) + 1)</f>
        <v>0</v>
      </c>
      <c r="AZ23" cm="1">
        <f t="array" ref="AZ23">INDEX($AD$17:$BE$17, 1, MOD(COLUMNS($AD$22:AZ23)-1 + INDEX(SHIFT_TBL,1,3), 28) + 1)</f>
        <v>1</v>
      </c>
      <c r="BA23" cm="1">
        <f t="array" ref="BA23">INDEX($AD$17:$BE$17, 1, MOD(COLUMNS($AD$22:BA23)-1 + INDEX(SHIFT_TBL,1,3), 28) + 1)</f>
        <v>0</v>
      </c>
      <c r="BB23" cm="1">
        <f t="array" ref="BB23">INDEX($AD$17:$BE$17, 1, MOD(COLUMNS($AD$22:BB23)-1 + INDEX(SHIFT_TBL,1,3), 28) + 1)</f>
        <v>1</v>
      </c>
      <c r="BC23" cm="1">
        <f t="array" ref="BC23">INDEX($AD$17:$BE$17, 1, MOD(COLUMNS($AD$22:BC23)-1 + INDEX(SHIFT_TBL,1,3), 28) + 1)</f>
        <v>0</v>
      </c>
      <c r="BD23" cm="1">
        <f t="array" ref="BD23">INDEX($AD$17:$BE$17, 1, MOD(COLUMNS($AD$22:BD23)-1 + INDEX(SHIFT_TBL,1,3), 28) + 1)</f>
        <v>1</v>
      </c>
      <c r="BE23" cm="1">
        <f t="array" ref="BE23">INDEX($AD$17:$BE$17, 1, MOD(COLUMNS($AD$22:BE23)-1 + INDEX(SHIFT_TBL,1,3), 28) + 1)</f>
        <v>0</v>
      </c>
    </row>
    <row r="24" spans="1:57" x14ac:dyDescent="0.35">
      <c r="A24" s="3" t="s">
        <v>34</v>
      </c>
      <c r="B24" cm="1">
        <f t="array" aca="1" ref="B24" ca="1">B24:AE24=INDEX($B$22:$BE$22, 1, INDEX(PC2_TBL, COLUMNS($B$24:B24)))</f>
        <v>0</v>
      </c>
      <c r="C24" cm="1">
        <f t="array" ref="C24">INDEX($B$22:$BE$22, 1, INDEX(PC2_TBL, COLUMNS($B$24:C24)))</f>
        <v>1</v>
      </c>
      <c r="D24" cm="1">
        <f t="array" ref="D24">INDEX($B$22:$BE$22, 1, INDEX(PC2_TBL, COLUMNS($B$24:D24)))</f>
        <v>0</v>
      </c>
      <c r="E24" cm="1">
        <f t="array" ref="E24">INDEX($B$22:$BE$22, 1, INDEX(PC2_TBL, COLUMNS($B$24:E24)))</f>
        <v>1</v>
      </c>
      <c r="F24" cm="1">
        <f t="array" ref="F24">INDEX($B$22:$BE$22, 1, INDEX(PC2_TBL, COLUMNS($B$24:F24)))</f>
        <v>0</v>
      </c>
      <c r="G24" cm="1">
        <f t="array" ref="G24">INDEX($B$22:$BE$22, 1, INDEX(PC2_TBL, COLUMNS($B$24:G24)))</f>
        <v>1</v>
      </c>
      <c r="H24" cm="1">
        <f t="array" ref="H24">INDEX($B$22:$BE$22, 1, INDEX(PC2_TBL, COLUMNS($B$24:H24)))</f>
        <v>0</v>
      </c>
      <c r="I24" cm="1">
        <f t="array" ref="I24">INDEX($B$22:$BE$22, 1, INDEX(PC2_TBL, COLUMNS($B$24:I24)))</f>
        <v>1</v>
      </c>
      <c r="J24" cm="1">
        <f t="array" ref="J24">INDEX($B$22:$BE$22, 1, INDEX(PC2_TBL, COLUMNS($B$24:J24)))</f>
        <v>1</v>
      </c>
      <c r="K24" cm="1">
        <f t="array" ref="K24">INDEX($B$22:$BE$22, 1, INDEX(PC2_TBL, COLUMNS($B$24:K24)))</f>
        <v>1</v>
      </c>
      <c r="L24" cm="1">
        <f t="array" ref="L24">INDEX($B$22:$BE$22, 1, INDEX(PC2_TBL, COLUMNS($B$24:L24)))</f>
        <v>1</v>
      </c>
      <c r="M24" cm="1">
        <f t="array" ref="M24">INDEX($B$22:$BE$22, 1, INDEX(PC2_TBL, COLUMNS($B$24:M24)))</f>
        <v>1</v>
      </c>
      <c r="N24" cm="1">
        <f t="array" ref="N24">INDEX($B$22:$BE$22, 1, INDEX(PC2_TBL, COLUMNS($B$24:N24)))</f>
        <v>1</v>
      </c>
      <c r="O24" cm="1">
        <f t="array" ref="O24">INDEX($B$22:$BE$22, 1, INDEX(PC2_TBL, COLUMNS($B$24:O24)))</f>
        <v>1</v>
      </c>
      <c r="P24" cm="1">
        <f t="array" ref="P24">INDEX($B$22:$BE$22, 1, INDEX(PC2_TBL, COLUMNS($B$24:P24)))</f>
        <v>0</v>
      </c>
      <c r="Q24" cm="1">
        <f t="array" ref="Q24">INDEX($B$22:$BE$22, 1, INDEX(PC2_TBL, COLUMNS($B$24:Q24)))</f>
        <v>0</v>
      </c>
      <c r="R24" cm="1">
        <f t="array" ref="R24">INDEX($B$22:$BE$22, 1, INDEX(PC2_TBL, COLUMNS($B$24:R24)))</f>
        <v>1</v>
      </c>
      <c r="S24" cm="1">
        <f t="array" ref="S24">INDEX($B$22:$BE$22, 1, INDEX(PC2_TBL, COLUMNS($B$24:S24)))</f>
        <v>0</v>
      </c>
      <c r="T24" cm="1">
        <f t="array" ref="T24">INDEX($B$22:$BE$22, 1, INDEX(PC2_TBL, COLUMNS($B$24:T24)))</f>
        <v>0</v>
      </c>
      <c r="U24" cm="1">
        <f t="array" ref="U24">INDEX($B$22:$BE$22, 1, INDEX(PC2_TBL, COLUMNS($B$24:U24)))</f>
        <v>0</v>
      </c>
      <c r="V24" cm="1">
        <f t="array" ref="V24">INDEX($B$22:$BE$22, 1, INDEX(PC2_TBL, COLUMNS($B$24:V24)))</f>
        <v>1</v>
      </c>
      <c r="W24" cm="1">
        <f t="array" ref="W24">INDEX($B$22:$BE$22, 1, INDEX(PC2_TBL, COLUMNS($B$24:W24)))</f>
        <v>0</v>
      </c>
      <c r="X24" cm="1">
        <f t="array" ref="X24">INDEX($B$22:$BE$22, 1, INDEX(PC2_TBL, COLUMNS($B$24:X24)))</f>
        <v>1</v>
      </c>
      <c r="Y24" cm="1">
        <f t="array" ref="Y24">INDEX($B$22:$BE$22, 1, INDEX(PC2_TBL, COLUMNS($B$24:Y24)))</f>
        <v>0</v>
      </c>
      <c r="Z24" cm="1">
        <f t="array" ref="Z24">INDEX($B$22:$BE$22, 1, INDEX(PC2_TBL, COLUMNS($B$24:Z24)))</f>
        <v>1</v>
      </c>
      <c r="AA24" cm="1">
        <f t="array" ref="AA24">INDEX($B$22:$BE$22, 1, INDEX(PC2_TBL, COLUMNS($B$24:AA24)))</f>
        <v>0</v>
      </c>
      <c r="AB24" cm="1">
        <f t="array" ref="AB24">INDEX($B$22:$BE$22, 1, INDEX(PC2_TBL, COLUMNS($B$24:AB24)))</f>
        <v>1</v>
      </c>
      <c r="AC24" cm="1">
        <f t="array" ref="AC24">INDEX($B$22:$BE$22, 1, INDEX(PC2_TBL, COLUMNS($B$24:AC24)))</f>
        <v>1</v>
      </c>
      <c r="AD24" cm="1">
        <f t="array" ref="AD24">INDEX($B$22:$BE$22, 1, INDEX(PC2_TBL, COLUMNS($B$24:AD24)))</f>
        <v>0</v>
      </c>
      <c r="AE24" cm="1">
        <f t="array" ref="AE24">INDEX($B$22:$BE$22, 1, INDEX(PC2_TBL, COLUMNS($B$24:AE24)))</f>
        <v>1</v>
      </c>
      <c r="AF24" cm="1">
        <f t="array" ref="AF24">INDEX($B$22:$BE$22, 1, INDEX(PC2_TBL, COLUMNS($B$24:AF24)))</f>
        <v>0</v>
      </c>
      <c r="AG24" cm="1">
        <f t="array" ref="AG24">INDEX($B$22:$BE$22, 1, INDEX(PC2_TBL, COLUMNS($B$24:AG24)))</f>
        <v>0</v>
      </c>
      <c r="AH24" cm="1">
        <f t="array" ref="AH24">INDEX($B$22:$BE$22, 1, INDEX(PC2_TBL, COLUMNS($B$24:AH24)))</f>
        <v>1</v>
      </c>
      <c r="AI24" cm="1">
        <f t="array" ref="AI24">INDEX($B$22:$BE$22, 1, INDEX(PC2_TBL, COLUMNS($B$24:AI24)))</f>
        <v>0</v>
      </c>
      <c r="AJ24" cm="1">
        <f t="array" ref="AJ24">INDEX($B$22:$BE$22, 1, INDEX(PC2_TBL, COLUMNS($B$24:AJ24)))</f>
        <v>1</v>
      </c>
      <c r="AK24" cm="1">
        <f t="array" ref="AK24">INDEX($B$22:$BE$22, 1, INDEX(PC2_TBL, COLUMNS($B$24:AK24)))</f>
        <v>0</v>
      </c>
      <c r="AL24" cm="1">
        <f t="array" ref="AL24">INDEX($B$22:$BE$22, 1, INDEX(PC2_TBL, COLUMNS($B$24:AL24)))</f>
        <v>1</v>
      </c>
      <c r="AM24" cm="1">
        <f t="array" ref="AM24">INDEX($B$22:$BE$22, 1, INDEX(PC2_TBL, COLUMNS($B$24:AM24)))</f>
        <v>1</v>
      </c>
      <c r="AN24" cm="1">
        <f t="array" ref="AN24">INDEX($B$22:$BE$22, 1, INDEX(PC2_TBL, COLUMNS($B$24:AN24)))</f>
        <v>0</v>
      </c>
      <c r="AO24" cm="1">
        <f t="array" ref="AO24">INDEX($B$22:$BE$22, 1, INDEX(PC2_TBL, COLUMNS($B$24:AO24)))</f>
        <v>0</v>
      </c>
      <c r="AP24" cm="1">
        <f t="array" ref="AP24">INDEX($B$22:$BE$22, 1, INDEX(PC2_TBL, COLUMNS($B$24:AP24)))</f>
        <v>1</v>
      </c>
      <c r="AQ24" cm="1">
        <f t="array" ref="AQ24">INDEX($B$22:$BE$22, 1, INDEX(PC2_TBL, COLUMNS($B$24:AQ24)))</f>
        <v>1</v>
      </c>
      <c r="AR24" cm="1">
        <f t="array" ref="AR24">INDEX($B$22:$BE$22, 1, INDEX(PC2_TBL, COLUMNS($B$24:AR24)))</f>
        <v>0</v>
      </c>
      <c r="AS24" cm="1">
        <f t="array" ref="AS24">INDEX($B$22:$BE$22, 1, INDEX(PC2_TBL, COLUMNS($B$24:AS24)))</f>
        <v>1</v>
      </c>
      <c r="AT24" cm="1">
        <f t="array" ref="AT24">INDEX($B$22:$BE$22, 1, INDEX(PC2_TBL, COLUMNS($B$24:AT24)))</f>
        <v>0</v>
      </c>
      <c r="AU24" cm="1">
        <f t="array" ref="AU24">INDEX($B$22:$BE$22, 1, INDEX(PC2_TBL, COLUMNS($B$24:AU24)))</f>
        <v>0</v>
      </c>
      <c r="AV24" cm="1">
        <f t="array" ref="AV24">INDEX($B$22:$BE$22, 1, INDEX(PC2_TBL, COLUMNS($B$24:AV24)))</f>
        <v>1</v>
      </c>
      <c r="AW24" cm="1">
        <f t="array" ref="AW24">INDEX($B$22:$BE$22, 1, INDEX(PC2_TBL, COLUMNS($B$24:AW24)))</f>
        <v>0</v>
      </c>
    </row>
    <row r="26" spans="1:57" x14ac:dyDescent="0.35">
      <c r="A26" t="s">
        <v>36</v>
      </c>
      <c r="AD26" t="s">
        <v>40</v>
      </c>
    </row>
    <row r="27" spans="1:57" x14ac:dyDescent="0.35">
      <c r="A27" s="3" t="s">
        <v>37</v>
      </c>
      <c r="B27" cm="1">
        <f t="array" ref="B27">INDEX($B$22:$AC$22, 1, MOD(COLUMNS($B$27:B27)-1 + INDEX(SHIFT_TBL,1,4), 28) + 1)</f>
        <v>0</v>
      </c>
      <c r="C27" cm="1">
        <f t="array" ref="C27">INDEX($B$22:$AC$22, 1, MOD(COLUMNS($B$27:C27)-1 + INDEX(SHIFT_TBL,1,4), 28) + 1)</f>
        <v>0</v>
      </c>
      <c r="D27" cm="1">
        <f t="array" ref="D27">INDEX($B$22:$AC$22, 1, MOD(COLUMNS($B$27:D27)-1 + INDEX(SHIFT_TBL,1,4), 28) + 1)</f>
        <v>1</v>
      </c>
      <c r="E27" cm="1">
        <f t="array" ref="E27">INDEX($B$22:$AC$22, 1, MOD(COLUMNS($B$27:E27)-1 + INDEX(SHIFT_TBL,1,4), 28) + 1)</f>
        <v>1</v>
      </c>
      <c r="F27" cm="1">
        <f t="array" ref="F27">INDEX($B$22:$AC$22, 1, MOD(COLUMNS($B$27:F27)-1 + INDEX(SHIFT_TBL,1,4), 28) + 1)</f>
        <v>0</v>
      </c>
      <c r="G27" cm="1">
        <f t="array" ref="G27">INDEX($B$22:$AC$22, 1, MOD(COLUMNS($B$27:G27)-1 + INDEX(SHIFT_TBL,1,4), 28) + 1)</f>
        <v>0</v>
      </c>
      <c r="H27" cm="1">
        <f t="array" ref="H27">INDEX($B$22:$AC$22, 1, MOD(COLUMNS($B$27:H27)-1 + INDEX(SHIFT_TBL,1,4), 28) + 1)</f>
        <v>1</v>
      </c>
      <c r="I27" cm="1">
        <f t="array" ref="I27">INDEX($B$22:$AC$22, 1, MOD(COLUMNS($B$27:I27)-1 + INDEX(SHIFT_TBL,1,4), 28) + 1)</f>
        <v>1</v>
      </c>
      <c r="J27" cm="1">
        <f t="array" ref="J27">INDEX($B$22:$AC$22, 1, MOD(COLUMNS($B$27:J27)-1 + INDEX(SHIFT_TBL,1,4), 28) + 1)</f>
        <v>0</v>
      </c>
      <c r="K27" cm="1">
        <f t="array" ref="K27">INDEX($B$22:$AC$22, 1, MOD(COLUMNS($B$27:K27)-1 + INDEX(SHIFT_TBL,1,4), 28) + 1)</f>
        <v>0</v>
      </c>
      <c r="L27" cm="1">
        <f t="array" ref="L27">INDEX($B$22:$AC$22, 1, MOD(COLUMNS($B$27:L27)-1 + INDEX(SHIFT_TBL,1,4), 28) + 1)</f>
        <v>1</v>
      </c>
      <c r="M27" cm="1">
        <f t="array" ref="M27">INDEX($B$22:$AC$22, 1, MOD(COLUMNS($B$27:M27)-1 + INDEX(SHIFT_TBL,1,4), 28) + 1)</f>
        <v>0</v>
      </c>
      <c r="N27" cm="1">
        <f t="array" ref="N27">INDEX($B$22:$AC$22, 1, MOD(COLUMNS($B$27:N27)-1 + INDEX(SHIFT_TBL,1,4), 28) + 1)</f>
        <v>1</v>
      </c>
      <c r="O27" cm="1">
        <f t="array" ref="O27">INDEX($B$22:$AC$22, 1, MOD(COLUMNS($B$27:O27)-1 + INDEX(SHIFT_TBL,1,4), 28) + 1)</f>
        <v>0</v>
      </c>
      <c r="P27" cm="1">
        <f t="array" ref="P27">INDEX($B$22:$AC$22, 1, MOD(COLUMNS($B$27:P27)-1 + INDEX(SHIFT_TBL,1,4), 28) + 1)</f>
        <v>1</v>
      </c>
      <c r="Q27" cm="1">
        <f t="array" ref="Q27">INDEX($B$22:$AC$22, 1, MOD(COLUMNS($B$27:Q27)-1 + INDEX(SHIFT_TBL,1,4), 28) + 1)</f>
        <v>0</v>
      </c>
      <c r="R27" cm="1">
        <f t="array" ref="R27">INDEX($B$22:$AC$22, 1, MOD(COLUMNS($B$27:R27)-1 + INDEX(SHIFT_TBL,1,4), 28) + 1)</f>
        <v>1</v>
      </c>
      <c r="S27" cm="1">
        <f t="array" ref="S27">INDEX($B$22:$AC$22, 1, MOD(COLUMNS($B$27:S27)-1 + INDEX(SHIFT_TBL,1,4), 28) + 1)</f>
        <v>0</v>
      </c>
      <c r="T27" cm="1">
        <f t="array" ref="T27">INDEX($B$22:$AC$22, 1, MOD(COLUMNS($B$27:T27)-1 + INDEX(SHIFT_TBL,1,4), 28) + 1)</f>
        <v>1</v>
      </c>
      <c r="U27" cm="1">
        <f t="array" ref="U27">INDEX($B$22:$AC$22, 1, MOD(COLUMNS($B$27:U27)-1 + INDEX(SHIFT_TBL,1,4), 28) + 1)</f>
        <v>0</v>
      </c>
      <c r="V27" cm="1">
        <f t="array" ref="V27">INDEX($B$22:$AC$22, 1, MOD(COLUMNS($B$27:V27)-1 + INDEX(SHIFT_TBL,1,4), 28) + 1)</f>
        <v>1</v>
      </c>
      <c r="W27" cm="1">
        <f t="array" ref="W27">INDEX($B$22:$AC$22, 1, MOD(COLUMNS($B$27:W27)-1 + INDEX(SHIFT_TBL,1,4), 28) + 1)</f>
        <v>1</v>
      </c>
      <c r="X27" cm="1">
        <f t="array" ref="X27">INDEX($B$22:$AC$22, 1, MOD(COLUMNS($B$27:X27)-1 + INDEX(SHIFT_TBL,1,4), 28) + 1)</f>
        <v>1</v>
      </c>
      <c r="Y27" cm="1">
        <f t="array" ref="Y27">INDEX($B$22:$AC$22, 1, MOD(COLUMNS($B$27:Y27)-1 + INDEX(SHIFT_TBL,1,4), 28) + 1)</f>
        <v>1</v>
      </c>
      <c r="Z27" cm="1">
        <f t="array" ref="Z27">INDEX($B$22:$AC$22, 1, MOD(COLUMNS($B$27:Z27)-1 + INDEX(SHIFT_TBL,1,4), 28) + 1)</f>
        <v>1</v>
      </c>
      <c r="AA27" cm="1">
        <f t="array" ref="AA27">INDEX($B$22:$AC$22, 1, MOD(COLUMNS($B$27:AA27)-1 + INDEX(SHIFT_TBL,1,4), 28) + 1)</f>
        <v>1</v>
      </c>
      <c r="AB27" cm="1">
        <f t="array" ref="AB27">INDEX($B$22:$AC$22, 1, MOD(COLUMNS($B$27:AB27)-1 + INDEX(SHIFT_TBL,1,4), 28) + 1)</f>
        <v>0</v>
      </c>
      <c r="AC27" cm="1">
        <f t="array" ref="AC27">INDEX($B$22:$AC$22, 1, MOD(COLUMNS($B$27:AC27)-1 + INDEX(SHIFT_TBL,1,4), 28) + 1)</f>
        <v>0</v>
      </c>
      <c r="AD27" cm="1">
        <f t="array" ref="AD27">INDEX($AD$22:$BE$22, 1, MOD(COLUMNS($AD$27:AD27)-1 + INDEX(SHIFT_TBL,1,4), 28) + 1)</f>
        <v>1</v>
      </c>
      <c r="AE27" cm="1">
        <f t="array" ref="AE27">INDEX($AD$22:$BE$22, 1, MOD(COLUMNS($AD$27:AE27)-1 + INDEX(SHIFT_TBL,1,4), 28) + 1)</f>
        <v>0</v>
      </c>
      <c r="AF27" cm="1">
        <f t="array" ref="AF27">INDEX($AD$22:$BE$22, 1, MOD(COLUMNS($AD$27:AF27)-1 + INDEX(SHIFT_TBL,1,4), 28) + 1)</f>
        <v>1</v>
      </c>
      <c r="AG27" cm="1">
        <f t="array" ref="AG27">INDEX($AD$22:$BE$22, 1, MOD(COLUMNS($AD$27:AG27)-1 + INDEX(SHIFT_TBL,1,4), 28) + 1)</f>
        <v>1</v>
      </c>
      <c r="AH27" cm="1">
        <f t="array" ref="AH27">INDEX($AD$22:$BE$22, 1, MOD(COLUMNS($AD$27:AH27)-1 + INDEX(SHIFT_TBL,1,4), 28) + 1)</f>
        <v>0</v>
      </c>
      <c r="AI27" cm="1">
        <f t="array" ref="AI27">INDEX($AD$22:$BE$22, 1, MOD(COLUMNS($AD$27:AI27)-1 + INDEX(SHIFT_TBL,1,4), 28) + 1)</f>
        <v>0</v>
      </c>
      <c r="AJ27" cm="1">
        <f t="array" ref="AJ27">INDEX($AD$22:$BE$22, 1, MOD(COLUMNS($AD$27:AJ27)-1 + INDEX(SHIFT_TBL,1,4), 28) + 1)</f>
        <v>1</v>
      </c>
      <c r="AK27" cm="1">
        <f t="array" ref="AK27">INDEX($AD$22:$BE$22, 1, MOD(COLUMNS($AD$27:AK27)-1 + INDEX(SHIFT_TBL,1,4), 28) + 1)</f>
        <v>1</v>
      </c>
      <c r="AL27" cm="1">
        <f t="array" ref="AL27">INDEX($AD$22:$BE$22, 1, MOD(COLUMNS($AD$27:AL27)-1 + INDEX(SHIFT_TBL,1,4), 28) + 1)</f>
        <v>0</v>
      </c>
      <c r="AM27" cm="1">
        <f t="array" ref="AM27">INDEX($AD$22:$BE$22, 1, MOD(COLUMNS($AD$27:AM27)-1 + INDEX(SHIFT_TBL,1,4), 28) + 1)</f>
        <v>0</v>
      </c>
      <c r="AN27" cm="1">
        <f t="array" ref="AN27">INDEX($AD$22:$BE$22, 1, MOD(COLUMNS($AD$27:AN27)-1 + INDEX(SHIFT_TBL,1,4), 28) + 1)</f>
        <v>1</v>
      </c>
      <c r="AO27" cm="1">
        <f t="array" ref="AO27">INDEX($AD$22:$BE$22, 1, MOD(COLUMNS($AD$27:AO27)-1 + INDEX(SHIFT_TBL,1,4), 28) + 1)</f>
        <v>1</v>
      </c>
      <c r="AP27" cm="1">
        <f t="array" ref="AP27">INDEX($AD$22:$BE$22, 1, MOD(COLUMNS($AD$27:AP27)-1 + INDEX(SHIFT_TBL,1,4), 28) + 1)</f>
        <v>1</v>
      </c>
      <c r="AQ27" cm="1">
        <f t="array" ref="AQ27">INDEX($AD$22:$BE$22, 1, MOD(COLUMNS($AD$27:AQ27)-1 + INDEX(SHIFT_TBL,1,4), 28) + 1)</f>
        <v>1</v>
      </c>
      <c r="AR27" cm="1">
        <f t="array" ref="AR27">INDEX($AD$22:$BE$22, 1, MOD(COLUMNS($AD$27:AR27)-1 + INDEX(SHIFT_TBL,1,4), 28) + 1)</f>
        <v>0</v>
      </c>
      <c r="AS27" cm="1">
        <f t="array" ref="AS27">INDEX($AD$22:$BE$22, 1, MOD(COLUMNS($AD$27:AS27)-1 + INDEX(SHIFT_TBL,1,4), 28) + 1)</f>
        <v>0</v>
      </c>
      <c r="AT27" cm="1">
        <f t="array" ref="AT27">INDEX($AD$22:$BE$22, 1, MOD(COLUMNS($AD$27:AT27)-1 + INDEX(SHIFT_TBL,1,4), 28) + 1)</f>
        <v>0</v>
      </c>
      <c r="AU27" cm="1">
        <f t="array" ref="AU27">INDEX($AD$22:$BE$22, 1, MOD(COLUMNS($AD$27:AU27)-1 + INDEX(SHIFT_TBL,1,4), 28) + 1)</f>
        <v>0</v>
      </c>
      <c r="AV27" cm="1">
        <f t="array" ref="AV27">INDEX($AD$22:$BE$22, 1, MOD(COLUMNS($AD$27:AV27)-1 + INDEX(SHIFT_TBL,1,4), 28) + 1)</f>
        <v>1</v>
      </c>
      <c r="AW27" cm="1">
        <f t="array" ref="AW27">INDEX($AD$22:$BE$22, 1, MOD(COLUMNS($AD$27:AW27)-1 + INDEX(SHIFT_TBL,1,4), 28) + 1)</f>
        <v>0</v>
      </c>
      <c r="AX27" cm="1">
        <f t="array" ref="AX27">INDEX($AD$22:$BE$22, 1, MOD(COLUMNS($AD$27:AX27)-1 + INDEX(SHIFT_TBL,1,4), 28) + 1)</f>
        <v>1</v>
      </c>
      <c r="AY27" cm="1">
        <f t="array" ref="AY27">INDEX($AD$22:$BE$22, 1, MOD(COLUMNS($AD$27:AY27)-1 + INDEX(SHIFT_TBL,1,4), 28) + 1)</f>
        <v>0</v>
      </c>
      <c r="AZ27" cm="1">
        <f t="array" ref="AZ27">INDEX($AD$22:$BE$22, 1, MOD(COLUMNS($AD$27:AZ27)-1 + INDEX(SHIFT_TBL,1,4), 28) + 1)</f>
        <v>1</v>
      </c>
      <c r="BA27" cm="1">
        <f t="array" ref="BA27">INDEX($AD$22:$BE$22, 1, MOD(COLUMNS($AD$27:BA27)-1 + INDEX(SHIFT_TBL,1,4), 28) + 1)</f>
        <v>0</v>
      </c>
      <c r="BB27" cm="1">
        <f t="array" ref="BB27">INDEX($AD$22:$BE$22, 1, MOD(COLUMNS($AD$27:BB27)-1 + INDEX(SHIFT_TBL,1,4), 28) + 1)</f>
        <v>1</v>
      </c>
      <c r="BC27" cm="1">
        <f t="array" ref="BC27">INDEX($AD$22:$BE$22, 1, MOD(COLUMNS($AD$27:BC27)-1 + INDEX(SHIFT_TBL,1,4), 28) + 1)</f>
        <v>0</v>
      </c>
      <c r="BD27" cm="1">
        <f t="array" ref="BD27">INDEX($AD$22:$BE$22, 1, MOD(COLUMNS($AD$27:BD27)-1 + INDEX(SHIFT_TBL,1,4), 28) + 1)</f>
        <v>1</v>
      </c>
      <c r="BE27" cm="1">
        <f t="array" ref="BE27">INDEX($AD$22:$BE$22, 1, MOD(COLUMNS($AD$27:BE27)-1 + INDEX(SHIFT_TBL,1,4), 28) + 1)</f>
        <v>0</v>
      </c>
    </row>
    <row r="28" spans="1:57" x14ac:dyDescent="0.35">
      <c r="A28" s="3" t="s">
        <v>38</v>
      </c>
      <c r="B28" cm="1">
        <f t="array" ref="B28">INDEX($B$22:$AC$22, 1, MOD(COLUMNS($B$27:B28)-1 + INDEX(SHIFT_TBL,1,4), 28) + 1)</f>
        <v>0</v>
      </c>
      <c r="C28" cm="1">
        <f t="array" ref="C28">INDEX($B$22:$AC$22, 1, MOD(COLUMNS($B$27:C28)-1 + INDEX(SHIFT_TBL,1,4), 28) + 1)</f>
        <v>0</v>
      </c>
      <c r="D28" cm="1">
        <f t="array" ref="D28">INDEX($B$22:$AC$22, 1, MOD(COLUMNS($B$27:D28)-1 + INDEX(SHIFT_TBL,1,4), 28) + 1)</f>
        <v>1</v>
      </c>
      <c r="E28" cm="1">
        <f t="array" ref="E28">INDEX($B$22:$AC$22, 1, MOD(COLUMNS($B$27:E28)-1 + INDEX(SHIFT_TBL,1,4), 28) + 1)</f>
        <v>1</v>
      </c>
      <c r="F28" cm="1">
        <f t="array" ref="F28">INDEX($B$22:$AC$22, 1, MOD(COLUMNS($B$27:F28)-1 + INDEX(SHIFT_TBL,1,4), 28) + 1)</f>
        <v>0</v>
      </c>
      <c r="G28" cm="1">
        <f t="array" ref="G28">INDEX($B$22:$AC$22, 1, MOD(COLUMNS($B$27:G28)-1 + INDEX(SHIFT_TBL,1,4), 28) + 1)</f>
        <v>0</v>
      </c>
      <c r="H28" cm="1">
        <f t="array" ref="H28">INDEX($B$22:$AC$22, 1, MOD(COLUMNS($B$27:H28)-1 + INDEX(SHIFT_TBL,1,4), 28) + 1)</f>
        <v>1</v>
      </c>
      <c r="I28" cm="1">
        <f t="array" ref="I28">INDEX($B$22:$AC$22, 1, MOD(COLUMNS($B$27:I28)-1 + INDEX(SHIFT_TBL,1,4), 28) + 1)</f>
        <v>1</v>
      </c>
      <c r="J28" cm="1">
        <f t="array" ref="J28">INDEX($B$22:$AC$22, 1, MOD(COLUMNS($B$27:J28)-1 + INDEX(SHIFT_TBL,1,4), 28) + 1)</f>
        <v>0</v>
      </c>
      <c r="K28" cm="1">
        <f t="array" ref="K28">INDEX($B$22:$AC$22, 1, MOD(COLUMNS($B$27:K28)-1 + INDEX(SHIFT_TBL,1,4), 28) + 1)</f>
        <v>0</v>
      </c>
      <c r="L28" cm="1">
        <f t="array" ref="L28">INDEX($B$22:$AC$22, 1, MOD(COLUMNS($B$27:L28)-1 + INDEX(SHIFT_TBL,1,4), 28) + 1)</f>
        <v>1</v>
      </c>
      <c r="M28" cm="1">
        <f t="array" ref="M28">INDEX($B$22:$AC$22, 1, MOD(COLUMNS($B$27:M28)-1 + INDEX(SHIFT_TBL,1,4), 28) + 1)</f>
        <v>0</v>
      </c>
      <c r="N28" cm="1">
        <f t="array" ref="N28">INDEX($B$22:$AC$22, 1, MOD(COLUMNS($B$27:N28)-1 + INDEX(SHIFT_TBL,1,4), 28) + 1)</f>
        <v>1</v>
      </c>
      <c r="O28" cm="1">
        <f t="array" ref="O28">INDEX($B$22:$AC$22, 1, MOD(COLUMNS($B$27:O28)-1 + INDEX(SHIFT_TBL,1,4), 28) + 1)</f>
        <v>0</v>
      </c>
      <c r="P28" cm="1">
        <f t="array" ref="P28">INDEX($B$22:$AC$22, 1, MOD(COLUMNS($B$27:P28)-1 + INDEX(SHIFT_TBL,1,4), 28) + 1)</f>
        <v>1</v>
      </c>
      <c r="Q28" cm="1">
        <f t="array" ref="Q28">INDEX($B$22:$AC$22, 1, MOD(COLUMNS($B$27:Q28)-1 + INDEX(SHIFT_TBL,1,4), 28) + 1)</f>
        <v>0</v>
      </c>
      <c r="R28" cm="1">
        <f t="array" ref="R28">INDEX($B$22:$AC$22, 1, MOD(COLUMNS($B$27:R28)-1 + INDEX(SHIFT_TBL,1,4), 28) + 1)</f>
        <v>1</v>
      </c>
      <c r="S28" cm="1">
        <f t="array" ref="S28">INDEX($B$22:$AC$22, 1, MOD(COLUMNS($B$27:S28)-1 + INDEX(SHIFT_TBL,1,4), 28) + 1)</f>
        <v>0</v>
      </c>
      <c r="T28" cm="1">
        <f t="array" ref="T28">INDEX($B$22:$AC$22, 1, MOD(COLUMNS($B$27:T28)-1 + INDEX(SHIFT_TBL,1,4), 28) + 1)</f>
        <v>1</v>
      </c>
      <c r="U28" cm="1">
        <f t="array" ref="U28">INDEX($B$22:$AC$22, 1, MOD(COLUMNS($B$27:U28)-1 + INDEX(SHIFT_TBL,1,4), 28) + 1)</f>
        <v>0</v>
      </c>
      <c r="V28" cm="1">
        <f t="array" ref="V28">INDEX($B$22:$AC$22, 1, MOD(COLUMNS($B$27:V28)-1 + INDEX(SHIFT_TBL,1,4), 28) + 1)</f>
        <v>1</v>
      </c>
      <c r="W28" cm="1">
        <f t="array" ref="W28">INDEX($B$22:$AC$22, 1, MOD(COLUMNS($B$27:W28)-1 + INDEX(SHIFT_TBL,1,4), 28) + 1)</f>
        <v>1</v>
      </c>
      <c r="X28" cm="1">
        <f t="array" ref="X28">INDEX($B$22:$AC$22, 1, MOD(COLUMNS($B$27:X28)-1 + INDEX(SHIFT_TBL,1,4), 28) + 1)</f>
        <v>1</v>
      </c>
      <c r="Y28" cm="1">
        <f t="array" ref="Y28">INDEX($B$22:$AC$22, 1, MOD(COLUMNS($B$27:Y28)-1 + INDEX(SHIFT_TBL,1,4), 28) + 1)</f>
        <v>1</v>
      </c>
      <c r="Z28" cm="1">
        <f t="array" ref="Z28">INDEX($B$22:$AC$22, 1, MOD(COLUMNS($B$27:Z28)-1 + INDEX(SHIFT_TBL,1,4), 28) + 1)</f>
        <v>1</v>
      </c>
      <c r="AA28" cm="1">
        <f t="array" ref="AA28">INDEX($B$22:$AC$22, 1, MOD(COLUMNS($B$27:AA28)-1 + INDEX(SHIFT_TBL,1,4), 28) + 1)</f>
        <v>1</v>
      </c>
      <c r="AB28" cm="1">
        <f t="array" ref="AB28">INDEX($B$22:$AC$22, 1, MOD(COLUMNS($B$27:AB28)-1 + INDEX(SHIFT_TBL,1,4), 28) + 1)</f>
        <v>0</v>
      </c>
      <c r="AC28" cm="1">
        <f t="array" ref="AC28">INDEX($B$22:$AC$22, 1, MOD(COLUMNS($B$27:AC28)-1 + INDEX(SHIFT_TBL,1,4), 28) + 1)</f>
        <v>0</v>
      </c>
      <c r="AD28" cm="1">
        <f t="array" ref="AD28">INDEX($AD$22:$BE$22, 1, MOD(COLUMNS($AD$27:AD28)-1 + INDEX(SHIFT_TBL,1,4), 28) + 1)</f>
        <v>1</v>
      </c>
      <c r="AE28" cm="1">
        <f t="array" ref="AE28">INDEX($AD$22:$BE$22, 1, MOD(COLUMNS($AD$27:AE28)-1 + INDEX(SHIFT_TBL,1,4), 28) + 1)</f>
        <v>0</v>
      </c>
      <c r="AF28" cm="1">
        <f t="array" ref="AF28">INDEX($AD$22:$BE$22, 1, MOD(COLUMNS($AD$27:AF28)-1 + INDEX(SHIFT_TBL,1,4), 28) + 1)</f>
        <v>1</v>
      </c>
      <c r="AG28" cm="1">
        <f t="array" ref="AG28">INDEX($AD$22:$BE$22, 1, MOD(COLUMNS($AD$27:AG28)-1 + INDEX(SHIFT_TBL,1,4), 28) + 1)</f>
        <v>1</v>
      </c>
      <c r="AH28" cm="1">
        <f t="array" ref="AH28">INDEX($AD$22:$BE$22, 1, MOD(COLUMNS($AD$27:AH28)-1 + INDEX(SHIFT_TBL,1,4), 28) + 1)</f>
        <v>0</v>
      </c>
      <c r="AI28" cm="1">
        <f t="array" ref="AI28">INDEX($AD$22:$BE$22, 1, MOD(COLUMNS($AD$27:AI28)-1 + INDEX(SHIFT_TBL,1,4), 28) + 1)</f>
        <v>0</v>
      </c>
      <c r="AJ28" cm="1">
        <f t="array" ref="AJ28">INDEX($AD$22:$BE$22, 1, MOD(COLUMNS($AD$27:AJ28)-1 + INDEX(SHIFT_TBL,1,4), 28) + 1)</f>
        <v>1</v>
      </c>
      <c r="AK28" cm="1">
        <f t="array" ref="AK28">INDEX($AD$22:$BE$22, 1, MOD(COLUMNS($AD$27:AK28)-1 + INDEX(SHIFT_TBL,1,4), 28) + 1)</f>
        <v>1</v>
      </c>
      <c r="AL28" cm="1">
        <f t="array" ref="AL28">INDEX($AD$22:$BE$22, 1, MOD(COLUMNS($AD$27:AL28)-1 + INDEX(SHIFT_TBL,1,4), 28) + 1)</f>
        <v>0</v>
      </c>
      <c r="AM28" cm="1">
        <f t="array" ref="AM28">INDEX($AD$22:$BE$22, 1, MOD(COLUMNS($AD$27:AM28)-1 + INDEX(SHIFT_TBL,1,4), 28) + 1)</f>
        <v>0</v>
      </c>
      <c r="AN28" cm="1">
        <f t="array" ref="AN28">INDEX($AD$22:$BE$22, 1, MOD(COLUMNS($AD$27:AN28)-1 + INDEX(SHIFT_TBL,1,4), 28) + 1)</f>
        <v>1</v>
      </c>
      <c r="AO28" cm="1">
        <f t="array" ref="AO28">INDEX($AD$22:$BE$22, 1, MOD(COLUMNS($AD$27:AO28)-1 + INDEX(SHIFT_TBL,1,4), 28) + 1)</f>
        <v>1</v>
      </c>
      <c r="AP28" cm="1">
        <f t="array" ref="AP28">INDEX($AD$22:$BE$22, 1, MOD(COLUMNS($AD$27:AP28)-1 + INDEX(SHIFT_TBL,1,4), 28) + 1)</f>
        <v>1</v>
      </c>
      <c r="AQ28" cm="1">
        <f t="array" ref="AQ28">INDEX($AD$22:$BE$22, 1, MOD(COLUMNS($AD$27:AQ28)-1 + INDEX(SHIFT_TBL,1,4), 28) + 1)</f>
        <v>1</v>
      </c>
      <c r="AR28" cm="1">
        <f t="array" ref="AR28">INDEX($AD$22:$BE$22, 1, MOD(COLUMNS($AD$27:AR28)-1 + INDEX(SHIFT_TBL,1,4), 28) + 1)</f>
        <v>0</v>
      </c>
      <c r="AS28" cm="1">
        <f t="array" ref="AS28">INDEX($AD$22:$BE$22, 1, MOD(COLUMNS($AD$27:AS28)-1 + INDEX(SHIFT_TBL,1,4), 28) + 1)</f>
        <v>0</v>
      </c>
      <c r="AT28" cm="1">
        <f t="array" ref="AT28">INDEX($AD$22:$BE$22, 1, MOD(COLUMNS($AD$27:AT28)-1 + INDEX(SHIFT_TBL,1,4), 28) + 1)</f>
        <v>0</v>
      </c>
      <c r="AU28" cm="1">
        <f t="array" ref="AU28">INDEX($AD$22:$BE$22, 1, MOD(COLUMNS($AD$27:AU28)-1 + INDEX(SHIFT_TBL,1,4), 28) + 1)</f>
        <v>0</v>
      </c>
      <c r="AV28" cm="1">
        <f t="array" ref="AV28">INDEX($AD$22:$BE$22, 1, MOD(COLUMNS($AD$27:AV28)-1 + INDEX(SHIFT_TBL,1,4), 28) + 1)</f>
        <v>1</v>
      </c>
      <c r="AW28" cm="1">
        <f t="array" ref="AW28">INDEX($AD$22:$BE$22, 1, MOD(COLUMNS($AD$27:AW28)-1 + INDEX(SHIFT_TBL,1,4), 28) + 1)</f>
        <v>0</v>
      </c>
      <c r="AX28" cm="1">
        <f t="array" ref="AX28">INDEX($AD$22:$BE$22, 1, MOD(COLUMNS($AD$27:AX28)-1 + INDEX(SHIFT_TBL,1,4), 28) + 1)</f>
        <v>1</v>
      </c>
      <c r="AY28" cm="1">
        <f t="array" ref="AY28">INDEX($AD$22:$BE$22, 1, MOD(COLUMNS($AD$27:AY28)-1 + INDEX(SHIFT_TBL,1,4), 28) + 1)</f>
        <v>0</v>
      </c>
      <c r="AZ28" cm="1">
        <f t="array" ref="AZ28">INDEX($AD$22:$BE$22, 1, MOD(COLUMNS($AD$27:AZ28)-1 + INDEX(SHIFT_TBL,1,4), 28) + 1)</f>
        <v>1</v>
      </c>
      <c r="BA28" cm="1">
        <f t="array" ref="BA28">INDEX($AD$22:$BE$22, 1, MOD(COLUMNS($AD$27:BA28)-1 + INDEX(SHIFT_TBL,1,4), 28) + 1)</f>
        <v>0</v>
      </c>
      <c r="BB28" cm="1">
        <f t="array" ref="BB28">INDEX($AD$22:$BE$22, 1, MOD(COLUMNS($AD$27:BB28)-1 + INDEX(SHIFT_TBL,1,4), 28) + 1)</f>
        <v>1</v>
      </c>
      <c r="BC28" cm="1">
        <f t="array" ref="BC28">INDEX($AD$22:$BE$22, 1, MOD(COLUMNS($AD$27:BC28)-1 + INDEX(SHIFT_TBL,1,4), 28) + 1)</f>
        <v>0</v>
      </c>
      <c r="BD28" cm="1">
        <f t="array" ref="BD28">INDEX($AD$22:$BE$22, 1, MOD(COLUMNS($AD$27:BD28)-1 + INDEX(SHIFT_TBL,1,4), 28) + 1)</f>
        <v>1</v>
      </c>
      <c r="BE28" cm="1">
        <f t="array" ref="BE28">INDEX($AD$22:$BE$22, 1, MOD(COLUMNS($AD$27:BE28)-1 + INDEX(SHIFT_TBL,1,4), 28) + 1)</f>
        <v>0</v>
      </c>
    </row>
    <row r="29" spans="1:57" x14ac:dyDescent="0.35">
      <c r="A29" s="3" t="s">
        <v>39</v>
      </c>
      <c r="B29" cm="1">
        <f t="array" ref="B29">INDEX($B$28:$BE$28, 1, INDEX(PC2_TBL, COLUMNS($B$29:B29)))</f>
        <v>0</v>
      </c>
      <c r="C29" cm="1">
        <f t="array" ref="C29">INDEX($B$28:$BE$28, 1, INDEX(PC2_TBL, COLUMNS($B$29:C29)))</f>
        <v>1</v>
      </c>
      <c r="D29" cm="1">
        <f t="array" ref="D29">INDEX($B$28:$BE$28, 1, INDEX(PC2_TBL, COLUMNS($B$29:D29)))</f>
        <v>1</v>
      </c>
      <c r="E29" cm="1">
        <f t="array" ref="E29">INDEX($B$28:$BE$28, 1, INDEX(PC2_TBL, COLUMNS($B$29:E29)))</f>
        <v>1</v>
      </c>
      <c r="F29" cm="1">
        <f t="array" ref="F29">INDEX($B$28:$BE$28, 1, INDEX(PC2_TBL, COLUMNS($B$29:F29)))</f>
        <v>0</v>
      </c>
      <c r="G29" cm="1">
        <f t="array" ref="G29">INDEX($B$28:$BE$28, 1, INDEX(PC2_TBL, COLUMNS($B$29:G29)))</f>
        <v>0</v>
      </c>
      <c r="H29" cm="1">
        <f t="array" ref="H29">INDEX($B$28:$BE$28, 1, INDEX(PC2_TBL, COLUMNS($B$29:H29)))</f>
        <v>1</v>
      </c>
      <c r="I29" cm="1">
        <f t="array" ref="I29">INDEX($B$28:$BE$28, 1, INDEX(PC2_TBL, COLUMNS($B$29:I29)))</f>
        <v>0</v>
      </c>
      <c r="J29" cm="1">
        <f t="array" ref="J29">INDEX($B$28:$BE$28, 1, INDEX(PC2_TBL, COLUMNS($B$29:J29)))</f>
        <v>1</v>
      </c>
      <c r="K29" cm="1">
        <f t="array" ref="K29">INDEX($B$28:$BE$28, 1, INDEX(PC2_TBL, COLUMNS($B$29:K29)))</f>
        <v>0</v>
      </c>
      <c r="L29" cm="1">
        <f t="array" ref="L29">INDEX($B$28:$BE$28, 1, INDEX(PC2_TBL, COLUMNS($B$29:L29)))</f>
        <v>1</v>
      </c>
      <c r="M29" cm="1">
        <f t="array" ref="M29">INDEX($B$28:$BE$28, 1, INDEX(PC2_TBL, COLUMNS($B$29:M29)))</f>
        <v>0</v>
      </c>
      <c r="N29" cm="1">
        <f t="array" ref="N29">INDEX($B$28:$BE$28, 1, INDEX(PC2_TBL, COLUMNS($B$29:N29)))</f>
        <v>1</v>
      </c>
      <c r="O29" cm="1">
        <f t="array" ref="O29">INDEX($B$28:$BE$28, 1, INDEX(PC2_TBL, COLUMNS($B$29:O29)))</f>
        <v>1</v>
      </c>
      <c r="P29" cm="1">
        <f t="array" ref="P29">INDEX($B$28:$BE$28, 1, INDEX(PC2_TBL, COLUMNS($B$29:P29)))</f>
        <v>0</v>
      </c>
      <c r="Q29" cm="1">
        <f t="array" ref="Q29">INDEX($B$28:$BE$28, 1, INDEX(PC2_TBL, COLUMNS($B$29:Q29)))</f>
        <v>1</v>
      </c>
      <c r="R29" cm="1">
        <f t="array" ref="R29">INDEX($B$28:$BE$28, 1, INDEX(PC2_TBL, COLUMNS($B$29:R29)))</f>
        <v>1</v>
      </c>
      <c r="S29" cm="1">
        <f t="array" ref="S29">INDEX($B$28:$BE$28, 1, INDEX(PC2_TBL, COLUMNS($B$29:S29)))</f>
        <v>1</v>
      </c>
      <c r="T29" cm="1">
        <f t="array" ref="T29">INDEX($B$28:$BE$28, 1, INDEX(PC2_TBL, COLUMNS($B$29:T29)))</f>
        <v>0</v>
      </c>
      <c r="U29" cm="1">
        <f t="array" ref="U29">INDEX($B$28:$BE$28, 1, INDEX(PC2_TBL, COLUMNS($B$29:U29)))</f>
        <v>1</v>
      </c>
      <c r="V29" cm="1">
        <f t="array" ref="V29">INDEX($B$28:$BE$28, 1, INDEX(PC2_TBL, COLUMNS($B$29:V29)))</f>
        <v>0</v>
      </c>
      <c r="W29" cm="1">
        <f t="array" ref="W29">INDEX($B$28:$BE$28, 1, INDEX(PC2_TBL, COLUMNS($B$29:W29)))</f>
        <v>0</v>
      </c>
      <c r="X29" cm="1">
        <f t="array" ref="X29">INDEX($B$28:$BE$28, 1, INDEX(PC2_TBL, COLUMNS($B$29:X29)))</f>
        <v>1</v>
      </c>
      <c r="Y29" cm="1">
        <f t="array" ref="Y29">INDEX($B$28:$BE$28, 1, INDEX(PC2_TBL, COLUMNS($B$29:Y29)))</f>
        <v>0</v>
      </c>
      <c r="Z29" cm="1">
        <f t="array" ref="Z29">INDEX($B$28:$BE$28, 1, INDEX(PC2_TBL, COLUMNS($B$29:Z29)))</f>
        <v>1</v>
      </c>
      <c r="AA29" cm="1">
        <f t="array" ref="AA29">INDEX($B$28:$BE$28, 1, INDEX(PC2_TBL, COLUMNS($B$29:AA29)))</f>
        <v>0</v>
      </c>
      <c r="AB29" cm="1">
        <f t="array" ref="AB29">INDEX($B$28:$BE$28, 1, INDEX(PC2_TBL, COLUMNS($B$29:AB29)))</f>
        <v>1</v>
      </c>
      <c r="AC29" cm="1">
        <f t="array" ref="AC29">INDEX($B$28:$BE$28, 1, INDEX(PC2_TBL, COLUMNS($B$29:AC29)))</f>
        <v>0</v>
      </c>
      <c r="AD29" cm="1">
        <f t="array" ref="AD29">INDEX($B$28:$BE$28, 1, INDEX(PC2_TBL, COLUMNS($B$29:AD29)))</f>
        <v>1</v>
      </c>
      <c r="AE29" cm="1">
        <f t="array" ref="AE29">INDEX($B$28:$BE$28, 1, INDEX(PC2_TBL, COLUMNS($B$29:AE29)))</f>
        <v>1</v>
      </c>
      <c r="AF29" cm="1">
        <f t="array" ref="AF29">INDEX($B$28:$BE$28, 1, INDEX(PC2_TBL, COLUMNS($B$29:AF29)))</f>
        <v>0</v>
      </c>
      <c r="AG29" cm="1">
        <f t="array" ref="AG29">INDEX($B$28:$BE$28, 1, INDEX(PC2_TBL, COLUMNS($B$29:AG29)))</f>
        <v>1</v>
      </c>
      <c r="AH29" cm="1">
        <f t="array" ref="AH29">INDEX($B$28:$BE$28, 1, INDEX(PC2_TBL, COLUMNS($B$29:AH29)))</f>
        <v>1</v>
      </c>
      <c r="AI29" cm="1">
        <f t="array" ref="AI29">INDEX($B$28:$BE$28, 1, INDEX(PC2_TBL, COLUMNS($B$29:AI29)))</f>
        <v>0</v>
      </c>
      <c r="AJ29" cm="1">
        <f t="array" ref="AJ29">INDEX($B$28:$BE$28, 1, INDEX(PC2_TBL, COLUMNS($B$29:AJ29)))</f>
        <v>0</v>
      </c>
      <c r="AK29" cm="1">
        <f t="array" ref="AK29">INDEX($B$28:$BE$28, 1, INDEX(PC2_TBL, COLUMNS($B$29:AK29)))</f>
        <v>0</v>
      </c>
      <c r="AL29" cm="1">
        <f t="array" ref="AL29">INDEX($B$28:$BE$28, 1, INDEX(PC2_TBL, COLUMNS($B$29:AL29)))</f>
        <v>0</v>
      </c>
      <c r="AM29" cm="1">
        <f t="array" ref="AM29">INDEX($B$28:$BE$28, 1, INDEX(PC2_TBL, COLUMNS($B$29:AM29)))</f>
        <v>1</v>
      </c>
      <c r="AN29" cm="1">
        <f t="array" ref="AN29">INDEX($B$28:$BE$28, 1, INDEX(PC2_TBL, COLUMNS($B$29:AN29)))</f>
        <v>1</v>
      </c>
      <c r="AO29" cm="1">
        <f t="array" ref="AO29">INDEX($B$28:$BE$28, 1, INDEX(PC2_TBL, COLUMNS($B$29:AO29)))</f>
        <v>0</v>
      </c>
      <c r="AP29" cm="1">
        <f t="array" ref="AP29">INDEX($B$28:$BE$28, 1, INDEX(PC2_TBL, COLUMNS($B$29:AP29)))</f>
        <v>0</v>
      </c>
      <c r="AQ29" cm="1">
        <f t="array" ref="AQ29">INDEX($B$28:$BE$28, 1, INDEX(PC2_TBL, COLUMNS($B$29:AQ29)))</f>
        <v>1</v>
      </c>
      <c r="AR29" cm="1">
        <f t="array" ref="AR29">INDEX($B$28:$BE$28, 1, INDEX(PC2_TBL, COLUMNS($B$29:AR29)))</f>
        <v>0</v>
      </c>
      <c r="AS29" cm="1">
        <f t="array" ref="AS29">INDEX($B$28:$BE$28, 1, INDEX(PC2_TBL, COLUMNS($B$29:AS29)))</f>
        <v>1</v>
      </c>
      <c r="AT29" cm="1">
        <f t="array" ref="AT29">INDEX($B$28:$BE$28, 1, INDEX(PC2_TBL, COLUMNS($B$29:AT29)))</f>
        <v>0</v>
      </c>
      <c r="AU29" cm="1">
        <f t="array" ref="AU29">INDEX($B$28:$BE$28, 1, INDEX(PC2_TBL, COLUMNS($B$29:AU29)))</f>
        <v>1</v>
      </c>
      <c r="AV29" cm="1">
        <f t="array" ref="AV29">INDEX($B$28:$BE$28, 1, INDEX(PC2_TBL, COLUMNS($B$29:AV29)))</f>
        <v>1</v>
      </c>
      <c r="AW29" cm="1">
        <f t="array" ref="AW29">INDEX($B$28:$BE$28, 1, INDEX(PC2_TBL, COLUMNS($B$29:AW29)))</f>
        <v>1</v>
      </c>
    </row>
    <row r="31" spans="1:57" x14ac:dyDescent="0.35">
      <c r="A31" t="s">
        <v>41</v>
      </c>
      <c r="AD31" t="s">
        <v>43</v>
      </c>
    </row>
    <row r="32" spans="1:57" x14ac:dyDescent="0.35">
      <c r="A32" s="3" t="s">
        <v>42</v>
      </c>
      <c r="B32" cm="1">
        <f t="array" ref="B32">INDEX($B$27:$AC$27, 1, MOD(COLUMNS($B$32:B32)-1 + INDEX(SHIFT_TBL,1,5), 28) + 1)</f>
        <v>1</v>
      </c>
      <c r="C32" cm="1">
        <f t="array" ref="C32">INDEX($B$27:$AC$27, 1, MOD(COLUMNS($B$32:C32)-1 + INDEX(SHIFT_TBL,1,5), 28) + 1)</f>
        <v>1</v>
      </c>
      <c r="D32" cm="1">
        <f t="array" ref="D32">INDEX($B$27:$AC$27, 1, MOD(COLUMNS($B$32:D32)-1 + INDEX(SHIFT_TBL,1,5), 28) + 1)</f>
        <v>0</v>
      </c>
      <c r="E32" cm="1">
        <f t="array" ref="E32">INDEX($B$27:$AC$27, 1, MOD(COLUMNS($B$32:E32)-1 + INDEX(SHIFT_TBL,1,5), 28) + 1)</f>
        <v>0</v>
      </c>
      <c r="F32" cm="1">
        <f t="array" ref="F32">INDEX($B$27:$AC$27, 1, MOD(COLUMNS($B$32:F32)-1 + INDEX(SHIFT_TBL,1,5), 28) + 1)</f>
        <v>1</v>
      </c>
      <c r="G32" cm="1">
        <f t="array" ref="G32">INDEX($B$27:$AC$27, 1, MOD(COLUMNS($B$32:G32)-1 + INDEX(SHIFT_TBL,1,5), 28) + 1)</f>
        <v>1</v>
      </c>
      <c r="H32" cm="1">
        <f t="array" ref="H32">INDEX($B$27:$AC$27, 1, MOD(COLUMNS($B$32:H32)-1 + INDEX(SHIFT_TBL,1,5), 28) + 1)</f>
        <v>0</v>
      </c>
      <c r="I32" cm="1">
        <f t="array" ref="I32">INDEX($B$27:$AC$27, 1, MOD(COLUMNS($B$32:I32)-1 + INDEX(SHIFT_TBL,1,5), 28) + 1)</f>
        <v>0</v>
      </c>
      <c r="J32" cm="1">
        <f t="array" ref="J32">INDEX($B$27:$AC$27, 1, MOD(COLUMNS($B$32:J32)-1 + INDEX(SHIFT_TBL,1,5), 28) + 1)</f>
        <v>1</v>
      </c>
      <c r="K32" cm="1">
        <f t="array" ref="K32">INDEX($B$27:$AC$27, 1, MOD(COLUMNS($B$32:K32)-1 + INDEX(SHIFT_TBL,1,5), 28) + 1)</f>
        <v>0</v>
      </c>
      <c r="L32" cm="1">
        <f t="array" ref="L32">INDEX($B$27:$AC$27, 1, MOD(COLUMNS($B$32:L32)-1 + INDEX(SHIFT_TBL,1,5), 28) + 1)</f>
        <v>1</v>
      </c>
      <c r="M32" cm="1">
        <f t="array" ref="M32">INDEX($B$27:$AC$27, 1, MOD(COLUMNS($B$32:M32)-1 + INDEX(SHIFT_TBL,1,5), 28) + 1)</f>
        <v>0</v>
      </c>
      <c r="N32" cm="1">
        <f t="array" ref="N32">INDEX($B$27:$AC$27, 1, MOD(COLUMNS($B$32:N32)-1 + INDEX(SHIFT_TBL,1,5), 28) + 1)</f>
        <v>1</v>
      </c>
      <c r="O32" cm="1">
        <f t="array" ref="O32">INDEX($B$27:$AC$27, 1, MOD(COLUMNS($B$32:O32)-1 + INDEX(SHIFT_TBL,1,5), 28) + 1)</f>
        <v>0</v>
      </c>
      <c r="P32" cm="1">
        <f t="array" ref="P32">INDEX($B$27:$AC$27, 1, MOD(COLUMNS($B$32:P32)-1 + INDEX(SHIFT_TBL,1,5), 28) + 1)</f>
        <v>1</v>
      </c>
      <c r="Q32" cm="1">
        <f t="array" ref="Q32">INDEX($B$27:$AC$27, 1, MOD(COLUMNS($B$32:Q32)-1 + INDEX(SHIFT_TBL,1,5), 28) + 1)</f>
        <v>0</v>
      </c>
      <c r="R32" cm="1">
        <f t="array" ref="R32">INDEX($B$27:$AC$27, 1, MOD(COLUMNS($B$32:R32)-1 + INDEX(SHIFT_TBL,1,5), 28) + 1)</f>
        <v>1</v>
      </c>
      <c r="S32" cm="1">
        <f t="array" ref="S32">INDEX($B$27:$AC$27, 1, MOD(COLUMNS($B$32:S32)-1 + INDEX(SHIFT_TBL,1,5), 28) + 1)</f>
        <v>0</v>
      </c>
      <c r="T32" cm="1">
        <f t="array" ref="T32">INDEX($B$27:$AC$27, 1, MOD(COLUMNS($B$32:T32)-1 + INDEX(SHIFT_TBL,1,5), 28) + 1)</f>
        <v>1</v>
      </c>
      <c r="U32" cm="1">
        <f t="array" ref="U32">INDEX($B$27:$AC$27, 1, MOD(COLUMNS($B$32:U32)-1 + INDEX(SHIFT_TBL,1,5), 28) + 1)</f>
        <v>1</v>
      </c>
      <c r="V32" cm="1">
        <f t="array" ref="V32">INDEX($B$27:$AC$27, 1, MOD(COLUMNS($B$32:V32)-1 + INDEX(SHIFT_TBL,1,5), 28) + 1)</f>
        <v>1</v>
      </c>
      <c r="W32" cm="1">
        <f t="array" ref="W32">INDEX($B$27:$AC$27, 1, MOD(COLUMNS($B$32:W32)-1 + INDEX(SHIFT_TBL,1,5), 28) + 1)</f>
        <v>1</v>
      </c>
      <c r="X32" cm="1">
        <f t="array" ref="X32">INDEX($B$27:$AC$27, 1, MOD(COLUMNS($B$32:X32)-1 + INDEX(SHIFT_TBL,1,5), 28) + 1)</f>
        <v>1</v>
      </c>
      <c r="Y32" cm="1">
        <f t="array" ref="Y32">INDEX($B$27:$AC$27, 1, MOD(COLUMNS($B$32:Y32)-1 + INDEX(SHIFT_TBL,1,5), 28) + 1)</f>
        <v>1</v>
      </c>
      <c r="Z32" cm="1">
        <f t="array" ref="Z32">INDEX($B$27:$AC$27, 1, MOD(COLUMNS($B$32:Z32)-1 + INDEX(SHIFT_TBL,1,5), 28) + 1)</f>
        <v>0</v>
      </c>
      <c r="AA32" cm="1">
        <f t="array" ref="AA32">INDEX($B$27:$AC$27, 1, MOD(COLUMNS($B$32:AA32)-1 + INDEX(SHIFT_TBL,1,5), 28) + 1)</f>
        <v>0</v>
      </c>
      <c r="AB32" cm="1">
        <f t="array" ref="AB32">INDEX($B$27:$AC$27, 1, MOD(COLUMNS($B$32:AB32)-1 + INDEX(SHIFT_TBL,1,5), 28) + 1)</f>
        <v>0</v>
      </c>
      <c r="AC32" cm="1">
        <f t="array" ref="AC32">INDEX($B$27:$AC$27, 1, MOD(COLUMNS($B$32:AC32)-1 + INDEX(SHIFT_TBL,1,5), 28) + 1)</f>
        <v>0</v>
      </c>
      <c r="AD32" cm="1">
        <f t="array" ref="AD32">INDEX($AD$27:$BE$27, 1, MOD(COLUMNS($AD$32:AD32)-1 + INDEX(SHIFT_TBL,1,5), 28) + 1)</f>
        <v>1</v>
      </c>
      <c r="AE32" cm="1">
        <f t="array" ref="AE32">INDEX($AD$27:$BE$27, 1, MOD(COLUMNS($AD$32:AE32)-1 + INDEX(SHIFT_TBL,1,5), 28) + 1)</f>
        <v>1</v>
      </c>
      <c r="AF32" cm="1">
        <f t="array" ref="AF32">INDEX($AD$27:$BE$27, 1, MOD(COLUMNS($AD$32:AF32)-1 + INDEX(SHIFT_TBL,1,5), 28) + 1)</f>
        <v>0</v>
      </c>
      <c r="AG32" cm="1">
        <f t="array" ref="AG32">INDEX($AD$27:$BE$27, 1, MOD(COLUMNS($AD$32:AG32)-1 + INDEX(SHIFT_TBL,1,5), 28) + 1)</f>
        <v>0</v>
      </c>
      <c r="AH32" cm="1">
        <f t="array" ref="AH32">INDEX($AD$27:$BE$27, 1, MOD(COLUMNS($AD$32:AH32)-1 + INDEX(SHIFT_TBL,1,5), 28) + 1)</f>
        <v>1</v>
      </c>
      <c r="AI32" cm="1">
        <f t="array" ref="AI32">INDEX($AD$27:$BE$27, 1, MOD(COLUMNS($AD$32:AI32)-1 + INDEX(SHIFT_TBL,1,5), 28) + 1)</f>
        <v>1</v>
      </c>
      <c r="AJ32" cm="1">
        <f t="array" ref="AJ32">INDEX($AD$27:$BE$27, 1, MOD(COLUMNS($AD$32:AJ32)-1 + INDEX(SHIFT_TBL,1,5), 28) + 1)</f>
        <v>0</v>
      </c>
      <c r="AK32" cm="1">
        <f t="array" ref="AK32">INDEX($AD$27:$BE$27, 1, MOD(COLUMNS($AD$32:AK32)-1 + INDEX(SHIFT_TBL,1,5), 28) + 1)</f>
        <v>0</v>
      </c>
      <c r="AL32" cm="1">
        <f t="array" ref="AL32">INDEX($AD$27:$BE$27, 1, MOD(COLUMNS($AD$32:AL32)-1 + INDEX(SHIFT_TBL,1,5), 28) + 1)</f>
        <v>1</v>
      </c>
      <c r="AM32" cm="1">
        <f t="array" ref="AM32">INDEX($AD$27:$BE$27, 1, MOD(COLUMNS($AD$32:AM32)-1 + INDEX(SHIFT_TBL,1,5), 28) + 1)</f>
        <v>1</v>
      </c>
      <c r="AN32" cm="1">
        <f t="array" ref="AN32">INDEX($AD$27:$BE$27, 1, MOD(COLUMNS($AD$32:AN32)-1 + INDEX(SHIFT_TBL,1,5), 28) + 1)</f>
        <v>1</v>
      </c>
      <c r="AO32" cm="1">
        <f t="array" ref="AO32">INDEX($AD$27:$BE$27, 1, MOD(COLUMNS($AD$32:AO32)-1 + INDEX(SHIFT_TBL,1,5), 28) + 1)</f>
        <v>1</v>
      </c>
      <c r="AP32" cm="1">
        <f t="array" ref="AP32">INDEX($AD$27:$BE$27, 1, MOD(COLUMNS($AD$32:AP32)-1 + INDEX(SHIFT_TBL,1,5), 28) + 1)</f>
        <v>0</v>
      </c>
      <c r="AQ32" cm="1">
        <f t="array" ref="AQ32">INDEX($AD$27:$BE$27, 1, MOD(COLUMNS($AD$32:AQ32)-1 + INDEX(SHIFT_TBL,1,5), 28) + 1)</f>
        <v>0</v>
      </c>
      <c r="AR32" cm="1">
        <f t="array" ref="AR32">INDEX($AD$27:$BE$27, 1, MOD(COLUMNS($AD$32:AR32)-1 + INDEX(SHIFT_TBL,1,5), 28) + 1)</f>
        <v>0</v>
      </c>
      <c r="AS32" cm="1">
        <f t="array" ref="AS32">INDEX($AD$27:$BE$27, 1, MOD(COLUMNS($AD$32:AS32)-1 + INDEX(SHIFT_TBL,1,5), 28) + 1)</f>
        <v>0</v>
      </c>
      <c r="AT32" cm="1">
        <f t="array" ref="AT32">INDEX($AD$27:$BE$27, 1, MOD(COLUMNS($AD$32:AT32)-1 + INDEX(SHIFT_TBL,1,5), 28) + 1)</f>
        <v>1</v>
      </c>
      <c r="AU32" cm="1">
        <f t="array" ref="AU32">INDEX($AD$27:$BE$27, 1, MOD(COLUMNS($AD$32:AU32)-1 + INDEX(SHIFT_TBL,1,5), 28) + 1)</f>
        <v>0</v>
      </c>
      <c r="AV32" cm="1">
        <f t="array" ref="AV32">INDEX($AD$27:$BE$27, 1, MOD(COLUMNS($AD$32:AV32)-1 + INDEX(SHIFT_TBL,1,5), 28) + 1)</f>
        <v>1</v>
      </c>
      <c r="AW32" cm="1">
        <f t="array" ref="AW32">INDEX($AD$27:$BE$27, 1, MOD(COLUMNS($AD$32:AW32)-1 + INDEX(SHIFT_TBL,1,5), 28) + 1)</f>
        <v>0</v>
      </c>
      <c r="AX32" cm="1">
        <f t="array" ref="AX32">INDEX($AD$27:$BE$27, 1, MOD(COLUMNS($AD$32:AX32)-1 + INDEX(SHIFT_TBL,1,5), 28) + 1)</f>
        <v>1</v>
      </c>
      <c r="AY32" cm="1">
        <f t="array" ref="AY32">INDEX($AD$27:$BE$27, 1, MOD(COLUMNS($AD$32:AY32)-1 + INDEX(SHIFT_TBL,1,5), 28) + 1)</f>
        <v>0</v>
      </c>
      <c r="AZ32" cm="1">
        <f t="array" ref="AZ32">INDEX($AD$27:$BE$27, 1, MOD(COLUMNS($AD$32:AZ32)-1 + INDEX(SHIFT_TBL,1,5), 28) + 1)</f>
        <v>1</v>
      </c>
      <c r="BA32" cm="1">
        <f t="array" ref="BA32">INDEX($AD$27:$BE$27, 1, MOD(COLUMNS($AD$32:BA32)-1 + INDEX(SHIFT_TBL,1,5), 28) + 1)</f>
        <v>0</v>
      </c>
      <c r="BB32" cm="1">
        <f t="array" ref="BB32">INDEX($AD$27:$BE$27, 1, MOD(COLUMNS($AD$32:BB32)-1 + INDEX(SHIFT_TBL,1,5), 28) + 1)</f>
        <v>1</v>
      </c>
      <c r="BC32" cm="1">
        <f t="array" ref="BC32">INDEX($AD$27:$BE$27, 1, MOD(COLUMNS($AD$32:BC32)-1 + INDEX(SHIFT_TBL,1,5), 28) + 1)</f>
        <v>0</v>
      </c>
      <c r="BD32" cm="1">
        <f t="array" ref="BD32">INDEX($AD$27:$BE$27, 1, MOD(COLUMNS($AD$32:BD32)-1 + INDEX(SHIFT_TBL,1,5), 28) + 1)</f>
        <v>1</v>
      </c>
      <c r="BE32" cm="1">
        <f t="array" ref="BE32">INDEX($AD$27:$BE$27, 1, MOD(COLUMNS($AD$32:BE32)-1 + INDEX(SHIFT_TBL,1,5), 28) + 1)</f>
        <v>0</v>
      </c>
    </row>
    <row r="33" spans="1:57" x14ac:dyDescent="0.35">
      <c r="A33" s="3"/>
    </row>
    <row r="34" spans="1:57" x14ac:dyDescent="0.35">
      <c r="A34" s="3" t="s">
        <v>44</v>
      </c>
      <c r="B34" cm="1">
        <f t="array" ref="B34">INDEX($B$27:$AC$27, 1, MOD(COLUMNS($B$32:B34)-1 + INDEX(SHIFT_TBL,1,5), 28) + 1)</f>
        <v>1</v>
      </c>
      <c r="C34" cm="1">
        <f t="array" ref="C34">INDEX($B$27:$AC$27, 1, MOD(COLUMNS($B$32:C34)-1 + INDEX(SHIFT_TBL,1,5), 28) + 1)</f>
        <v>1</v>
      </c>
      <c r="D34" cm="1">
        <f t="array" ref="D34">INDEX($B$27:$AC$27, 1, MOD(COLUMNS($B$32:D34)-1 + INDEX(SHIFT_TBL,1,5), 28) + 1)</f>
        <v>0</v>
      </c>
      <c r="E34" cm="1">
        <f t="array" ref="E34">INDEX($B$27:$AC$27, 1, MOD(COLUMNS($B$32:E34)-1 + INDEX(SHIFT_TBL,1,5), 28) + 1)</f>
        <v>0</v>
      </c>
      <c r="F34" cm="1">
        <f t="array" ref="F34">INDEX($B$27:$AC$27, 1, MOD(COLUMNS($B$32:F34)-1 + INDEX(SHIFT_TBL,1,5), 28) + 1)</f>
        <v>1</v>
      </c>
      <c r="G34" cm="1">
        <f t="array" ref="G34">INDEX($B$27:$AC$27, 1, MOD(COLUMNS($B$32:G34)-1 + INDEX(SHIFT_TBL,1,5), 28) + 1)</f>
        <v>1</v>
      </c>
      <c r="H34" cm="1">
        <f t="array" ref="H34">INDEX($B$27:$AC$27, 1, MOD(COLUMNS($B$32:H34)-1 + INDEX(SHIFT_TBL,1,5), 28) + 1)</f>
        <v>0</v>
      </c>
      <c r="I34" cm="1">
        <f t="array" ref="I34">INDEX($B$27:$AC$27, 1, MOD(COLUMNS($B$32:I34)-1 + INDEX(SHIFT_TBL,1,5), 28) + 1)</f>
        <v>0</v>
      </c>
      <c r="J34" cm="1">
        <f t="array" ref="J34">INDEX($B$27:$AC$27, 1, MOD(COLUMNS($B$32:J34)-1 + INDEX(SHIFT_TBL,1,5), 28) + 1)</f>
        <v>1</v>
      </c>
      <c r="K34" cm="1">
        <f t="array" ref="K34">INDEX($B$27:$AC$27, 1, MOD(COLUMNS($B$32:K34)-1 + INDEX(SHIFT_TBL,1,5), 28) + 1)</f>
        <v>0</v>
      </c>
      <c r="L34" cm="1">
        <f t="array" ref="L34">INDEX($B$27:$AC$27, 1, MOD(COLUMNS($B$32:L34)-1 + INDEX(SHIFT_TBL,1,5), 28) + 1)</f>
        <v>1</v>
      </c>
      <c r="M34" cm="1">
        <f t="array" ref="M34">INDEX($B$27:$AC$27, 1, MOD(COLUMNS($B$32:M34)-1 + INDEX(SHIFT_TBL,1,5), 28) + 1)</f>
        <v>0</v>
      </c>
      <c r="N34" cm="1">
        <f t="array" ref="N34">INDEX($B$27:$AC$27, 1, MOD(COLUMNS($B$32:N34)-1 + INDEX(SHIFT_TBL,1,5), 28) + 1)</f>
        <v>1</v>
      </c>
      <c r="O34" cm="1">
        <f t="array" ref="O34">INDEX($B$27:$AC$27, 1, MOD(COLUMNS($B$32:O34)-1 + INDEX(SHIFT_TBL,1,5), 28) + 1)</f>
        <v>0</v>
      </c>
      <c r="P34" cm="1">
        <f t="array" ref="P34">INDEX($B$27:$AC$27, 1, MOD(COLUMNS($B$32:P34)-1 + INDEX(SHIFT_TBL,1,5), 28) + 1)</f>
        <v>1</v>
      </c>
      <c r="Q34" cm="1">
        <f t="array" ref="Q34">INDEX($B$27:$AC$27, 1, MOD(COLUMNS($B$32:Q34)-1 + INDEX(SHIFT_TBL,1,5), 28) + 1)</f>
        <v>0</v>
      </c>
      <c r="R34" cm="1">
        <f t="array" ref="R34">INDEX($B$27:$AC$27, 1, MOD(COLUMNS($B$32:R34)-1 + INDEX(SHIFT_TBL,1,5), 28) + 1)</f>
        <v>1</v>
      </c>
      <c r="S34" cm="1">
        <f t="array" ref="S34">INDEX($B$27:$AC$27, 1, MOD(COLUMNS($B$32:S34)-1 + INDEX(SHIFT_TBL,1,5), 28) + 1)</f>
        <v>0</v>
      </c>
      <c r="T34" cm="1">
        <f t="array" ref="T34">INDEX($B$27:$AC$27, 1, MOD(COLUMNS($B$32:T34)-1 + INDEX(SHIFT_TBL,1,5), 28) + 1)</f>
        <v>1</v>
      </c>
      <c r="U34" cm="1">
        <f t="array" ref="U34">INDEX($B$27:$AC$27, 1, MOD(COLUMNS($B$32:U34)-1 + INDEX(SHIFT_TBL,1,5), 28) + 1)</f>
        <v>1</v>
      </c>
      <c r="V34" cm="1">
        <f t="array" ref="V34">INDEX($B$27:$AC$27, 1, MOD(COLUMNS($B$32:V34)-1 + INDEX(SHIFT_TBL,1,5), 28) + 1)</f>
        <v>1</v>
      </c>
      <c r="W34" cm="1">
        <f t="array" ref="W34">INDEX($B$27:$AC$27, 1, MOD(COLUMNS($B$32:W34)-1 + INDEX(SHIFT_TBL,1,5), 28) + 1)</f>
        <v>1</v>
      </c>
      <c r="X34" cm="1">
        <f t="array" ref="X34">INDEX($B$27:$AC$27, 1, MOD(COLUMNS($B$32:X34)-1 + INDEX(SHIFT_TBL,1,5), 28) + 1)</f>
        <v>1</v>
      </c>
      <c r="Y34" cm="1">
        <f t="array" ref="Y34">INDEX($B$27:$AC$27, 1, MOD(COLUMNS($B$32:Y34)-1 + INDEX(SHIFT_TBL,1,5), 28) + 1)</f>
        <v>1</v>
      </c>
      <c r="Z34" cm="1">
        <f t="array" ref="Z34">INDEX($B$27:$AC$27, 1, MOD(COLUMNS($B$32:Z34)-1 + INDEX(SHIFT_TBL,1,5), 28) + 1)</f>
        <v>0</v>
      </c>
      <c r="AA34" cm="1">
        <f t="array" ref="AA34">INDEX($B$27:$AC$27, 1, MOD(COLUMNS($B$32:AA34)-1 + INDEX(SHIFT_TBL,1,5), 28) + 1)</f>
        <v>0</v>
      </c>
      <c r="AB34" cm="1">
        <f t="array" ref="AB34">INDEX($B$27:$AC$27, 1, MOD(COLUMNS($B$32:AB34)-1 + INDEX(SHIFT_TBL,1,5), 28) + 1)</f>
        <v>0</v>
      </c>
      <c r="AC34" cm="1">
        <f t="array" ref="AC34">INDEX($B$27:$AC$27, 1, MOD(COLUMNS($B$32:AC34)-1 + INDEX(SHIFT_TBL,1,5), 28) + 1)</f>
        <v>0</v>
      </c>
      <c r="AD34" cm="1">
        <f t="array" ref="AD34">INDEX($AD$27:$BE$27, 1, MOD(COLUMNS($AD$32:AD34)-1 + INDEX(SHIFT_TBL,1,5), 28) + 1)</f>
        <v>1</v>
      </c>
      <c r="AE34" cm="1">
        <f t="array" ref="AE34">INDEX($AD$27:$BE$27, 1, MOD(COLUMNS($AD$32:AE34)-1 + INDEX(SHIFT_TBL,1,5), 28) + 1)</f>
        <v>1</v>
      </c>
      <c r="AF34" cm="1">
        <f t="array" ref="AF34">INDEX($AD$27:$BE$27, 1, MOD(COLUMNS($AD$32:AF34)-1 + INDEX(SHIFT_TBL,1,5), 28) + 1)</f>
        <v>0</v>
      </c>
      <c r="AG34" cm="1">
        <f t="array" ref="AG34">INDEX($AD$27:$BE$27, 1, MOD(COLUMNS($AD$32:AG34)-1 + INDEX(SHIFT_TBL,1,5), 28) + 1)</f>
        <v>0</v>
      </c>
      <c r="AH34" cm="1">
        <f t="array" ref="AH34">INDEX($AD$27:$BE$27, 1, MOD(COLUMNS($AD$32:AH34)-1 + INDEX(SHIFT_TBL,1,5), 28) + 1)</f>
        <v>1</v>
      </c>
      <c r="AI34" cm="1">
        <f t="array" ref="AI34">INDEX($AD$27:$BE$27, 1, MOD(COLUMNS($AD$32:AI34)-1 + INDEX(SHIFT_TBL,1,5), 28) + 1)</f>
        <v>1</v>
      </c>
      <c r="AJ34" cm="1">
        <f t="array" ref="AJ34">INDEX($AD$27:$BE$27, 1, MOD(COLUMNS($AD$32:AJ34)-1 + INDEX(SHIFT_TBL,1,5), 28) + 1)</f>
        <v>0</v>
      </c>
      <c r="AK34" cm="1">
        <f t="array" ref="AK34">INDEX($AD$27:$BE$27, 1, MOD(COLUMNS($AD$32:AK34)-1 + INDEX(SHIFT_TBL,1,5), 28) + 1)</f>
        <v>0</v>
      </c>
      <c r="AL34" cm="1">
        <f t="array" ref="AL34">INDEX($AD$27:$BE$27, 1, MOD(COLUMNS($AD$32:AL34)-1 + INDEX(SHIFT_TBL,1,5), 28) + 1)</f>
        <v>1</v>
      </c>
      <c r="AM34" cm="1">
        <f t="array" ref="AM34">INDEX($AD$27:$BE$27, 1, MOD(COLUMNS($AD$32:AM34)-1 + INDEX(SHIFT_TBL,1,5), 28) + 1)</f>
        <v>1</v>
      </c>
      <c r="AN34" cm="1">
        <f t="array" ref="AN34">INDEX($AD$27:$BE$27, 1, MOD(COLUMNS($AD$32:AN34)-1 + INDEX(SHIFT_TBL,1,5), 28) + 1)</f>
        <v>1</v>
      </c>
      <c r="AO34" cm="1">
        <f t="array" ref="AO34">INDEX($AD$27:$BE$27, 1, MOD(COLUMNS($AD$32:AO34)-1 + INDEX(SHIFT_TBL,1,5), 28) + 1)</f>
        <v>1</v>
      </c>
      <c r="AP34" cm="1">
        <f t="array" ref="AP34">INDEX($AD$27:$BE$27, 1, MOD(COLUMNS($AD$32:AP34)-1 + INDEX(SHIFT_TBL,1,5), 28) + 1)</f>
        <v>0</v>
      </c>
      <c r="AQ34" cm="1">
        <f t="array" ref="AQ34">INDEX($AD$27:$BE$27, 1, MOD(COLUMNS($AD$32:AQ34)-1 + INDEX(SHIFT_TBL,1,5), 28) + 1)</f>
        <v>0</v>
      </c>
      <c r="AR34" cm="1">
        <f t="array" ref="AR34">INDEX($AD$27:$BE$27, 1, MOD(COLUMNS($AD$32:AR34)-1 + INDEX(SHIFT_TBL,1,5), 28) + 1)</f>
        <v>0</v>
      </c>
      <c r="AS34" cm="1">
        <f t="array" ref="AS34">INDEX($AD$27:$BE$27, 1, MOD(COLUMNS($AD$32:AS34)-1 + INDEX(SHIFT_TBL,1,5), 28) + 1)</f>
        <v>0</v>
      </c>
      <c r="AT34" cm="1">
        <f t="array" ref="AT34">INDEX($AD$27:$BE$27, 1, MOD(COLUMNS($AD$32:AT34)-1 + INDEX(SHIFT_TBL,1,5), 28) + 1)</f>
        <v>1</v>
      </c>
      <c r="AU34" cm="1">
        <f t="array" ref="AU34">INDEX($AD$27:$BE$27, 1, MOD(COLUMNS($AD$32:AU34)-1 + INDEX(SHIFT_TBL,1,5), 28) + 1)</f>
        <v>0</v>
      </c>
      <c r="AV34" cm="1">
        <f t="array" ref="AV34">INDEX($AD$27:$BE$27, 1, MOD(COLUMNS($AD$32:AV34)-1 + INDEX(SHIFT_TBL,1,5), 28) + 1)</f>
        <v>1</v>
      </c>
      <c r="AW34" cm="1">
        <f t="array" ref="AW34">INDEX($AD$27:$BE$27, 1, MOD(COLUMNS($AD$32:AW34)-1 + INDEX(SHIFT_TBL,1,5), 28) + 1)</f>
        <v>0</v>
      </c>
      <c r="AX34" cm="1">
        <f t="array" ref="AX34">INDEX($AD$27:$BE$27, 1, MOD(COLUMNS($AD$32:AX34)-1 + INDEX(SHIFT_TBL,1,5), 28) + 1)</f>
        <v>1</v>
      </c>
      <c r="AY34" cm="1">
        <f t="array" ref="AY34">INDEX($AD$27:$BE$27, 1, MOD(COLUMNS($AD$32:AY34)-1 + INDEX(SHIFT_TBL,1,5), 28) + 1)</f>
        <v>0</v>
      </c>
      <c r="AZ34" cm="1">
        <f t="array" ref="AZ34">INDEX($AD$27:$BE$27, 1, MOD(COLUMNS($AD$32:AZ34)-1 + INDEX(SHIFT_TBL,1,5), 28) + 1)</f>
        <v>1</v>
      </c>
      <c r="BA34" cm="1">
        <f t="array" ref="BA34">INDEX($AD$27:$BE$27, 1, MOD(COLUMNS($AD$32:BA34)-1 + INDEX(SHIFT_TBL,1,5), 28) + 1)</f>
        <v>0</v>
      </c>
      <c r="BB34" cm="1">
        <f t="array" ref="BB34">INDEX($AD$27:$BE$27, 1, MOD(COLUMNS($AD$32:BB34)-1 + INDEX(SHIFT_TBL,1,5), 28) + 1)</f>
        <v>1</v>
      </c>
      <c r="BC34" cm="1">
        <f t="array" ref="BC34">INDEX($AD$27:$BE$27, 1, MOD(COLUMNS($AD$32:BC34)-1 + INDEX(SHIFT_TBL,1,5), 28) + 1)</f>
        <v>0</v>
      </c>
      <c r="BD34" cm="1">
        <f t="array" ref="BD34">INDEX($AD$27:$BE$27, 1, MOD(COLUMNS($AD$32:BD34)-1 + INDEX(SHIFT_TBL,1,5), 28) + 1)</f>
        <v>1</v>
      </c>
      <c r="BE34" cm="1">
        <f t="array" ref="BE34">INDEX($AD$27:$BE$27, 1, MOD(COLUMNS($AD$32:BE34)-1 + INDEX(SHIFT_TBL,1,5), 28) + 1)</f>
        <v>0</v>
      </c>
    </row>
    <row r="35" spans="1:57" x14ac:dyDescent="0.35">
      <c r="A35" s="3" t="s">
        <v>45</v>
      </c>
      <c r="B35" cm="1">
        <f t="array" ref="B35">INDEX($B$32:$BE$32, 1, INDEX(PC2_TBL, COLUMNS($B$35:B45)))</f>
        <v>0</v>
      </c>
      <c r="C35" cm="1">
        <f t="array" ref="C35">INDEX($B$32:$BE$32, 1, INDEX(PC2_TBL, COLUMNS($B$35:C45)))</f>
        <v>1</v>
      </c>
      <c r="D35" cm="1">
        <f t="array" ref="D35">INDEX($B$32:$BE$32, 1, INDEX(PC2_TBL, COLUMNS($B$35:D45)))</f>
        <v>1</v>
      </c>
      <c r="E35" cm="1">
        <f t="array" ref="E35">INDEX($B$32:$BE$32, 1, INDEX(PC2_TBL, COLUMNS($B$35:E45)))</f>
        <v>1</v>
      </c>
      <c r="F35" cm="1">
        <f t="array" ref="F35">INDEX($B$32:$BE$32, 1, INDEX(PC2_TBL, COLUMNS($B$35:F45)))</f>
        <v>1</v>
      </c>
      <c r="G35" cm="1">
        <f t="array" ref="G35">INDEX($B$32:$BE$32, 1, INDEX(PC2_TBL, COLUMNS($B$35:G45)))</f>
        <v>1</v>
      </c>
      <c r="H35" cm="1">
        <f t="array" ref="H35">INDEX($B$32:$BE$32, 1, INDEX(PC2_TBL, COLUMNS($B$35:H45)))</f>
        <v>0</v>
      </c>
      <c r="I35" cm="1">
        <f t="array" ref="I35">INDEX($B$32:$BE$32, 1, INDEX(PC2_TBL, COLUMNS($B$35:I45)))</f>
        <v>0</v>
      </c>
      <c r="J35" cm="1">
        <f t="array" ref="J35">INDEX($B$32:$BE$32, 1, INDEX(PC2_TBL, COLUMNS($B$35:J45)))</f>
        <v>1</v>
      </c>
      <c r="K35" cm="1">
        <f t="array" ref="K35">INDEX($B$32:$BE$32, 1, INDEX(PC2_TBL, COLUMNS($B$35:K45)))</f>
        <v>1</v>
      </c>
      <c r="L35" cm="1">
        <f t="array" ref="L35">INDEX($B$32:$BE$32, 1, INDEX(PC2_TBL, COLUMNS($B$35:L45)))</f>
        <v>1</v>
      </c>
      <c r="M35" cm="1">
        <f t="array" ref="M35">INDEX($B$32:$BE$32, 1, INDEX(PC2_TBL, COLUMNS($B$35:M45)))</f>
        <v>0</v>
      </c>
      <c r="N35" cm="1">
        <f t="array" ref="N35">INDEX($B$32:$BE$32, 1, INDEX(PC2_TBL, COLUMNS($B$35:N45)))</f>
        <v>1</v>
      </c>
      <c r="O35" cm="1">
        <f t="array" ref="O35">INDEX($B$32:$BE$32, 1, INDEX(PC2_TBL, COLUMNS($B$35:O45)))</f>
        <v>1</v>
      </c>
      <c r="P35" cm="1">
        <f t="array" ref="P35">INDEX($B$32:$BE$32, 1, INDEX(PC2_TBL, COLUMNS($B$35:P45)))</f>
        <v>0</v>
      </c>
      <c r="Q35" cm="1">
        <f t="array" ref="Q35">INDEX($B$32:$BE$32, 1, INDEX(PC2_TBL, COLUMNS($B$35:Q45)))</f>
        <v>0</v>
      </c>
      <c r="R35" cm="1">
        <f t="array" ref="R35">INDEX($B$32:$BE$32, 1, INDEX(PC2_TBL, COLUMNS($B$35:R45)))</f>
        <v>0</v>
      </c>
      <c r="S35" cm="1">
        <f t="array" ref="S35">INDEX($B$32:$BE$32, 1, INDEX(PC2_TBL, COLUMNS($B$35:S45)))</f>
        <v>0</v>
      </c>
      <c r="T35" cm="1">
        <f t="array" ref="T35">INDEX($B$32:$BE$32, 1, INDEX(PC2_TBL, COLUMNS($B$35:T45)))</f>
        <v>0</v>
      </c>
      <c r="U35" cm="1">
        <f t="array" ref="U35">INDEX($B$32:$BE$32, 1, INDEX(PC2_TBL, COLUMNS($B$35:U45)))</f>
        <v>0</v>
      </c>
      <c r="V35" cm="1">
        <f t="array" ref="V35">INDEX($B$32:$BE$32, 1, INDEX(PC2_TBL, COLUMNS($B$35:V45)))</f>
        <v>0</v>
      </c>
      <c r="W35" cm="1">
        <f t="array" ref="W35">INDEX($B$32:$BE$32, 1, INDEX(PC2_TBL, COLUMNS($B$35:W45)))</f>
        <v>1</v>
      </c>
      <c r="X35" cm="1">
        <f t="array" ref="X35">INDEX($B$32:$BE$32, 1, INDEX(PC2_TBL, COLUMNS($B$35:X45)))</f>
        <v>1</v>
      </c>
      <c r="Y35" cm="1">
        <f t="array" ref="Y35">INDEX($B$32:$BE$32, 1, INDEX(PC2_TBL, COLUMNS($B$35:Y45)))</f>
        <v>1</v>
      </c>
      <c r="Z35" cm="1">
        <f t="array" ref="Z35">INDEX($B$32:$BE$32, 1, INDEX(PC2_TBL, COLUMNS($B$35:Z45)))</f>
        <v>0</v>
      </c>
      <c r="AA35" cm="1">
        <f t="array" ref="AA35">INDEX($B$32:$BE$32, 1, INDEX(PC2_TBL, COLUMNS($B$35:AA45)))</f>
        <v>0</v>
      </c>
      <c r="AB35" cm="1">
        <f t="array" ref="AB35">INDEX($B$32:$BE$32, 1, INDEX(PC2_TBL, COLUMNS($B$35:AB45)))</f>
        <v>0</v>
      </c>
      <c r="AC35" cm="1">
        <f t="array" ref="AC35">INDEX($B$32:$BE$32, 1, INDEX(PC2_TBL, COLUMNS($B$35:AC45)))</f>
        <v>1</v>
      </c>
      <c r="AD35" cm="1">
        <f t="array" ref="AD35">INDEX($B$32:$BE$32, 1, INDEX(PC2_TBL, COLUMNS($B$35:AD45)))</f>
        <v>1</v>
      </c>
      <c r="AE35" cm="1">
        <f t="array" ref="AE35">INDEX($B$32:$BE$32, 1, INDEX(PC2_TBL, COLUMNS($B$35:AE45)))</f>
        <v>1</v>
      </c>
      <c r="AF35" cm="1">
        <f t="array" ref="AF35">INDEX($B$32:$BE$32, 1, INDEX(PC2_TBL, COLUMNS($B$35:AF45)))</f>
        <v>1</v>
      </c>
      <c r="AG35" cm="1">
        <f t="array" ref="AG35">INDEX($B$32:$BE$32, 1, INDEX(PC2_TBL, COLUMNS($B$35:AG45)))</f>
        <v>1</v>
      </c>
      <c r="AH35" cm="1">
        <f t="array" ref="AH35">INDEX($B$32:$BE$32, 1, INDEX(PC2_TBL, COLUMNS($B$35:AH45)))</f>
        <v>1</v>
      </c>
      <c r="AI35" cm="1">
        <f t="array" ref="AI35">INDEX($B$32:$BE$32, 1, INDEX(PC2_TBL, COLUMNS($B$35:AI45)))</f>
        <v>1</v>
      </c>
      <c r="AJ35" cm="1">
        <f t="array" ref="AJ35">INDEX($B$32:$BE$32, 1, INDEX(PC2_TBL, COLUMNS($B$35:AJ45)))</f>
        <v>1</v>
      </c>
      <c r="AK35" cm="1">
        <f t="array" ref="AK35">INDEX($B$32:$BE$32, 1, INDEX(PC2_TBL, COLUMNS($B$35:AK45)))</f>
        <v>0</v>
      </c>
      <c r="AL35" cm="1">
        <f t="array" ref="AL35">INDEX($B$32:$BE$32, 1, INDEX(PC2_TBL, COLUMNS($B$35:AL45)))</f>
        <v>0</v>
      </c>
      <c r="AM35" cm="1">
        <f t="array" ref="AM35">INDEX($B$32:$BE$32, 1, INDEX(PC2_TBL, COLUMNS($B$35:AM45)))</f>
        <v>1</v>
      </c>
      <c r="AN35" cm="1">
        <f t="array" ref="AN35">INDEX($B$32:$BE$32, 1, INDEX(PC2_TBL, COLUMNS($B$35:AN45)))</f>
        <v>1</v>
      </c>
      <c r="AO35" cm="1">
        <f t="array" ref="AO35">INDEX($B$32:$BE$32, 1, INDEX(PC2_TBL, COLUMNS($B$35:AO45)))</f>
        <v>0</v>
      </c>
      <c r="AP35" cm="1">
        <f t="array" ref="AP35">INDEX($B$32:$BE$32, 1, INDEX(PC2_TBL, COLUMNS($B$35:AP45)))</f>
        <v>1</v>
      </c>
      <c r="AQ35" cm="1">
        <f t="array" ref="AQ35">INDEX($B$32:$BE$32, 1, INDEX(PC2_TBL, COLUMNS($B$35:AQ45)))</f>
        <v>1</v>
      </c>
      <c r="AR35" cm="1">
        <f t="array" ref="AR35">INDEX($B$32:$BE$32, 1, INDEX(PC2_TBL, COLUMNS($B$35:AR45)))</f>
        <v>0</v>
      </c>
      <c r="AS35" cm="1">
        <f t="array" ref="AS35">INDEX($B$32:$BE$32, 1, INDEX(PC2_TBL, COLUMNS($B$35:AS45)))</f>
        <v>0</v>
      </c>
      <c r="AT35" cm="1">
        <f t="array" ref="AT35">INDEX($B$32:$BE$32, 1, INDEX(PC2_TBL, COLUMNS($B$35:AT45)))</f>
        <v>0</v>
      </c>
      <c r="AU35" cm="1">
        <f t="array" ref="AU35">INDEX($B$32:$BE$32, 1, INDEX(PC2_TBL, COLUMNS($B$35:AU45)))</f>
        <v>0</v>
      </c>
      <c r="AV35" cm="1">
        <f t="array" ref="AV35">INDEX($B$32:$BE$32, 1, INDEX(PC2_TBL, COLUMNS($B$35:AV45)))</f>
        <v>1</v>
      </c>
      <c r="AW35" cm="1">
        <f t="array" ref="AW35">INDEX($B$32:$BE$32, 1, INDEX(PC2_TBL, COLUMNS($B$35:AW45)))</f>
        <v>0</v>
      </c>
    </row>
    <row r="37" spans="1:57" x14ac:dyDescent="0.35">
      <c r="A37" t="s">
        <v>46</v>
      </c>
      <c r="AD37" t="s">
        <v>50</v>
      </c>
    </row>
    <row r="38" spans="1:57" x14ac:dyDescent="0.35">
      <c r="A38" s="3" t="s">
        <v>47</v>
      </c>
      <c r="B38" cm="1">
        <f t="array" ref="B38">INDEX($B$32:$AC$32, 1, MOD(COLUMNS($B$38:B38)-1 + INDEX(SHIFT_TBL,1,6), 28) + 1)</f>
        <v>0</v>
      </c>
      <c r="C38" cm="1">
        <f t="array" ref="C38">INDEX($B$32:$AC$32, 1, MOD(COLUMNS($B$38:C38)-1 + INDEX(SHIFT_TBL,1,6), 28) + 1)</f>
        <v>0</v>
      </c>
      <c r="D38" cm="1">
        <f t="array" ref="D38">INDEX($B$32:$AC$32, 1, MOD(COLUMNS($B$38:D38)-1 + INDEX(SHIFT_TBL,1,6), 28) + 1)</f>
        <v>1</v>
      </c>
      <c r="E38" cm="1">
        <f t="array" ref="E38">INDEX($B$32:$AC$32, 1, MOD(COLUMNS($B$38:E38)-1 + INDEX(SHIFT_TBL,1,6), 28) + 1)</f>
        <v>1</v>
      </c>
      <c r="F38" cm="1">
        <f t="array" ref="F38">INDEX($B$32:$AC$32, 1, MOD(COLUMNS($B$38:F38)-1 + INDEX(SHIFT_TBL,1,6), 28) + 1)</f>
        <v>0</v>
      </c>
      <c r="G38" cm="1">
        <f t="array" ref="G38">INDEX($B$32:$AC$32, 1, MOD(COLUMNS($B$38:G38)-1 + INDEX(SHIFT_TBL,1,6), 28) + 1)</f>
        <v>0</v>
      </c>
      <c r="H38" cm="1">
        <f t="array" ref="H38">INDEX($B$32:$AC$32, 1, MOD(COLUMNS($B$38:H38)-1 + INDEX(SHIFT_TBL,1,6), 28) + 1)</f>
        <v>1</v>
      </c>
      <c r="I38" cm="1">
        <f t="array" ref="I38">INDEX($B$32:$AC$32, 1, MOD(COLUMNS($B$38:I38)-1 + INDEX(SHIFT_TBL,1,6), 28) + 1)</f>
        <v>0</v>
      </c>
      <c r="J38" cm="1">
        <f t="array" ref="J38">INDEX($B$32:$AC$32, 1, MOD(COLUMNS($B$38:J38)-1 + INDEX(SHIFT_TBL,1,6), 28) + 1)</f>
        <v>1</v>
      </c>
      <c r="K38" cm="1">
        <f t="array" ref="K38">INDEX($B$32:$AC$32, 1, MOD(COLUMNS($B$38:K38)-1 + INDEX(SHIFT_TBL,1,6), 28) + 1)</f>
        <v>0</v>
      </c>
      <c r="L38" cm="1">
        <f t="array" ref="L38">INDEX($B$32:$AC$32, 1, MOD(COLUMNS($B$38:L38)-1 + INDEX(SHIFT_TBL,1,6), 28) + 1)</f>
        <v>1</v>
      </c>
      <c r="M38" cm="1">
        <f t="array" ref="M38">INDEX($B$32:$AC$32, 1, MOD(COLUMNS($B$38:M38)-1 + INDEX(SHIFT_TBL,1,6), 28) + 1)</f>
        <v>0</v>
      </c>
      <c r="N38" cm="1">
        <f t="array" ref="N38">INDEX($B$32:$AC$32, 1, MOD(COLUMNS($B$38:N38)-1 + INDEX(SHIFT_TBL,1,6), 28) + 1)</f>
        <v>1</v>
      </c>
      <c r="O38" cm="1">
        <f t="array" ref="O38">INDEX($B$32:$AC$32, 1, MOD(COLUMNS($B$38:O38)-1 + INDEX(SHIFT_TBL,1,6), 28) + 1)</f>
        <v>0</v>
      </c>
      <c r="P38" cm="1">
        <f t="array" ref="P38">INDEX($B$32:$AC$32, 1, MOD(COLUMNS($B$38:P38)-1 + INDEX(SHIFT_TBL,1,6), 28) + 1)</f>
        <v>1</v>
      </c>
      <c r="Q38" cm="1">
        <f t="array" ref="Q38">INDEX($B$32:$AC$32, 1, MOD(COLUMNS($B$38:Q38)-1 + INDEX(SHIFT_TBL,1,6), 28) + 1)</f>
        <v>0</v>
      </c>
      <c r="R38" cm="1">
        <f t="array" ref="R38">INDEX($B$32:$AC$32, 1, MOD(COLUMNS($B$38:R38)-1 + INDEX(SHIFT_TBL,1,6), 28) + 1)</f>
        <v>1</v>
      </c>
      <c r="S38" cm="1">
        <f t="array" ref="S38">INDEX($B$32:$AC$32, 1, MOD(COLUMNS($B$38:S38)-1 + INDEX(SHIFT_TBL,1,6), 28) + 1)</f>
        <v>1</v>
      </c>
      <c r="T38" cm="1">
        <f t="array" ref="T38">INDEX($B$32:$AC$32, 1, MOD(COLUMNS($B$38:T38)-1 + INDEX(SHIFT_TBL,1,6), 28) + 1)</f>
        <v>1</v>
      </c>
      <c r="U38" cm="1">
        <f t="array" ref="U38">INDEX($B$32:$AC$32, 1, MOD(COLUMNS($B$38:U38)-1 + INDEX(SHIFT_TBL,1,6), 28) + 1)</f>
        <v>1</v>
      </c>
      <c r="V38" cm="1">
        <f t="array" ref="V38">INDEX($B$32:$AC$32, 1, MOD(COLUMNS($B$38:V38)-1 + INDEX(SHIFT_TBL,1,6), 28) + 1)</f>
        <v>1</v>
      </c>
      <c r="W38" cm="1">
        <f t="array" ref="W38">INDEX($B$32:$AC$32, 1, MOD(COLUMNS($B$38:W38)-1 + INDEX(SHIFT_TBL,1,6), 28) + 1)</f>
        <v>1</v>
      </c>
      <c r="X38" cm="1">
        <f t="array" ref="X38">INDEX($B$32:$AC$32, 1, MOD(COLUMNS($B$38:X38)-1 + INDEX(SHIFT_TBL,1,6), 28) + 1)</f>
        <v>0</v>
      </c>
      <c r="Y38" cm="1">
        <f t="array" ref="Y38">INDEX($B$32:$AC$32, 1, MOD(COLUMNS($B$38:Y38)-1 + INDEX(SHIFT_TBL,1,6), 28) + 1)</f>
        <v>0</v>
      </c>
      <c r="Z38" cm="1">
        <f t="array" ref="Z38">INDEX($B$32:$AC$32, 1, MOD(COLUMNS($B$38:Z38)-1 + INDEX(SHIFT_TBL,1,6), 28) + 1)</f>
        <v>0</v>
      </c>
      <c r="AA38" cm="1">
        <f t="array" ref="AA38">INDEX($B$32:$AC$32, 1, MOD(COLUMNS($B$38:AA38)-1 + INDEX(SHIFT_TBL,1,6), 28) + 1)</f>
        <v>0</v>
      </c>
      <c r="AB38" cm="1">
        <f t="array" ref="AB38">INDEX($B$32:$AC$32, 1, MOD(COLUMNS($B$38:AB38)-1 + INDEX(SHIFT_TBL,1,6), 28) + 1)</f>
        <v>1</v>
      </c>
      <c r="AC38" cm="1">
        <f t="array" ref="AC38">INDEX($B$32:$AC$32, 1, MOD(COLUMNS($B$38:AC38)-1 + INDEX(SHIFT_TBL,1,6), 28) + 1)</f>
        <v>1</v>
      </c>
      <c r="AD38" cm="1">
        <f t="array" ref="AD38">INDEX($AD$32:$BE$32, 1, MOD(COLUMNS($AD$38:AD38)-1 + INDEX(SHIFT_TBL,1,6), 28) + 1)</f>
        <v>0</v>
      </c>
      <c r="AE38" cm="1">
        <f t="array" ref="AE38">INDEX($AD$32:$BE$32, 1, MOD(COLUMNS($AD$38:AE38)-1 + INDEX(SHIFT_TBL,1,6), 28) + 1)</f>
        <v>0</v>
      </c>
      <c r="AF38" cm="1">
        <f t="array" ref="AF38">INDEX($AD$32:$BE$32, 1, MOD(COLUMNS($AD$38:AF38)-1 + INDEX(SHIFT_TBL,1,6), 28) + 1)</f>
        <v>1</v>
      </c>
      <c r="AG38" cm="1">
        <f t="array" ref="AG38">INDEX($AD$32:$BE$32, 1, MOD(COLUMNS($AD$38:AG38)-1 + INDEX(SHIFT_TBL,1,6), 28) + 1)</f>
        <v>1</v>
      </c>
      <c r="AH38" cm="1">
        <f t="array" ref="AH38">INDEX($AD$32:$BE$32, 1, MOD(COLUMNS($AD$38:AH38)-1 + INDEX(SHIFT_TBL,1,6), 28) + 1)</f>
        <v>0</v>
      </c>
      <c r="AI38" cm="1">
        <f t="array" ref="AI38">INDEX($AD$32:$BE$32, 1, MOD(COLUMNS($AD$38:AI38)-1 + INDEX(SHIFT_TBL,1,6), 28) + 1)</f>
        <v>0</v>
      </c>
      <c r="AJ38" cm="1">
        <f t="array" ref="AJ38">INDEX($AD$32:$BE$32, 1, MOD(COLUMNS($AD$38:AJ38)-1 + INDEX(SHIFT_TBL,1,6), 28) + 1)</f>
        <v>1</v>
      </c>
      <c r="AK38" cm="1">
        <f t="array" ref="AK38">INDEX($AD$32:$BE$32, 1, MOD(COLUMNS($AD$38:AK38)-1 + INDEX(SHIFT_TBL,1,6), 28) + 1)</f>
        <v>1</v>
      </c>
      <c r="AL38" cm="1">
        <f t="array" ref="AL38">INDEX($AD$32:$BE$32, 1, MOD(COLUMNS($AD$38:AL38)-1 + INDEX(SHIFT_TBL,1,6), 28) + 1)</f>
        <v>1</v>
      </c>
      <c r="AM38" cm="1">
        <f t="array" ref="AM38">INDEX($AD$32:$BE$32, 1, MOD(COLUMNS($AD$38:AM38)-1 + INDEX(SHIFT_TBL,1,6), 28) + 1)</f>
        <v>1</v>
      </c>
      <c r="AN38" cm="1">
        <f t="array" ref="AN38">INDEX($AD$32:$BE$32, 1, MOD(COLUMNS($AD$38:AN38)-1 + INDEX(SHIFT_TBL,1,6), 28) + 1)</f>
        <v>0</v>
      </c>
      <c r="AO38" cm="1">
        <f t="array" ref="AO38">INDEX($AD$32:$BE$32, 1, MOD(COLUMNS($AD$38:AO38)-1 + INDEX(SHIFT_TBL,1,6), 28) + 1)</f>
        <v>0</v>
      </c>
      <c r="AP38" cm="1">
        <f t="array" ref="AP38">INDEX($AD$32:$BE$32, 1, MOD(COLUMNS($AD$38:AP38)-1 + INDEX(SHIFT_TBL,1,6), 28) + 1)</f>
        <v>0</v>
      </c>
      <c r="AQ38" cm="1">
        <f t="array" ref="AQ38">INDEX($AD$32:$BE$32, 1, MOD(COLUMNS($AD$38:AQ38)-1 + INDEX(SHIFT_TBL,1,6), 28) + 1)</f>
        <v>0</v>
      </c>
      <c r="AR38" cm="1">
        <f t="array" ref="AR38">INDEX($AD$32:$BE$32, 1, MOD(COLUMNS($AD$38:AR38)-1 + INDEX(SHIFT_TBL,1,6), 28) + 1)</f>
        <v>1</v>
      </c>
      <c r="AS38" cm="1">
        <f t="array" ref="AS38">INDEX($AD$32:$BE$32, 1, MOD(COLUMNS($AD$38:AS38)-1 + INDEX(SHIFT_TBL,1,6), 28) + 1)</f>
        <v>0</v>
      </c>
      <c r="AT38" cm="1">
        <f t="array" ref="AT38">INDEX($AD$32:$BE$32, 1, MOD(COLUMNS($AD$38:AT38)-1 + INDEX(SHIFT_TBL,1,6), 28) + 1)</f>
        <v>1</v>
      </c>
      <c r="AU38" cm="1">
        <f t="array" ref="AU38">INDEX($AD$32:$BE$32, 1, MOD(COLUMNS($AD$38:AU38)-1 + INDEX(SHIFT_TBL,1,6), 28) + 1)</f>
        <v>0</v>
      </c>
      <c r="AV38" cm="1">
        <f t="array" ref="AV38">INDEX($AD$32:$BE$32, 1, MOD(COLUMNS($AD$38:AV38)-1 + INDEX(SHIFT_TBL,1,6), 28) + 1)</f>
        <v>1</v>
      </c>
      <c r="AW38" cm="1">
        <f t="array" ref="AW38">INDEX($AD$32:$BE$32, 1, MOD(COLUMNS($AD$38:AW38)-1 + INDEX(SHIFT_TBL,1,6), 28) + 1)</f>
        <v>0</v>
      </c>
      <c r="AX38" cm="1">
        <f t="array" ref="AX38">INDEX($AD$32:$BE$32, 1, MOD(COLUMNS($AD$38:AX38)-1 + INDEX(SHIFT_TBL,1,6), 28) + 1)</f>
        <v>1</v>
      </c>
      <c r="AY38" cm="1">
        <f t="array" ref="AY38">INDEX($AD$32:$BE$32, 1, MOD(COLUMNS($AD$38:AY38)-1 + INDEX(SHIFT_TBL,1,6), 28) + 1)</f>
        <v>0</v>
      </c>
      <c r="AZ38" cm="1">
        <f t="array" ref="AZ38">INDEX($AD$32:$BE$32, 1, MOD(COLUMNS($AD$38:AZ38)-1 + INDEX(SHIFT_TBL,1,6), 28) + 1)</f>
        <v>1</v>
      </c>
      <c r="BA38" cm="1">
        <f t="array" ref="BA38">INDEX($AD$32:$BE$32, 1, MOD(COLUMNS($AD$38:BA38)-1 + INDEX(SHIFT_TBL,1,6), 28) + 1)</f>
        <v>0</v>
      </c>
      <c r="BB38" cm="1">
        <f t="array" ref="BB38">INDEX($AD$32:$BE$32, 1, MOD(COLUMNS($AD$38:BB38)-1 + INDEX(SHIFT_TBL,1,6), 28) + 1)</f>
        <v>1</v>
      </c>
      <c r="BC38" cm="1">
        <f t="array" ref="BC38">INDEX($AD$32:$BE$32, 1, MOD(COLUMNS($AD$38:BC38)-1 + INDEX(SHIFT_TBL,1,6), 28) + 1)</f>
        <v>0</v>
      </c>
      <c r="BD38" cm="1">
        <f t="array" ref="BD38">INDEX($AD$32:$BE$32, 1, MOD(COLUMNS($AD$38:BD38)-1 + INDEX(SHIFT_TBL,1,6), 28) + 1)</f>
        <v>1</v>
      </c>
      <c r="BE38" cm="1">
        <f t="array" ref="BE38">INDEX($AD$32:$BE$32, 1, MOD(COLUMNS($AD$38:BE38)-1 + INDEX(SHIFT_TBL,1,6), 28) + 1)</f>
        <v>1</v>
      </c>
    </row>
    <row r="39" spans="1:57" x14ac:dyDescent="0.35">
      <c r="A39" s="3" t="s">
        <v>48</v>
      </c>
      <c r="B39" cm="1">
        <f t="array" ref="B39">INDEX($B$32:$AC$32, 1, MOD(COLUMNS($B$38:B39)-1 + INDEX(SHIFT_TBL,1,6), 28) + 1)</f>
        <v>0</v>
      </c>
      <c r="C39" cm="1">
        <f t="array" ref="C39">INDEX($B$32:$AC$32, 1, MOD(COLUMNS($B$38:C39)-1 + INDEX(SHIFT_TBL,1,6), 28) + 1)</f>
        <v>0</v>
      </c>
      <c r="D39" cm="1">
        <f t="array" ref="D39">INDEX($B$32:$AC$32, 1, MOD(COLUMNS($B$38:D39)-1 + INDEX(SHIFT_TBL,1,6), 28) + 1)</f>
        <v>1</v>
      </c>
      <c r="E39" cm="1">
        <f t="array" ref="E39">INDEX($B$32:$AC$32, 1, MOD(COLUMNS($B$38:E39)-1 + INDEX(SHIFT_TBL,1,6), 28) + 1)</f>
        <v>1</v>
      </c>
      <c r="F39" cm="1">
        <f t="array" ref="F39">INDEX($B$32:$AC$32, 1, MOD(COLUMNS($B$38:F39)-1 + INDEX(SHIFT_TBL,1,6), 28) + 1)</f>
        <v>0</v>
      </c>
      <c r="G39" cm="1">
        <f t="array" ref="G39">INDEX($B$32:$AC$32, 1, MOD(COLUMNS($B$38:G39)-1 + INDEX(SHIFT_TBL,1,6), 28) + 1)</f>
        <v>0</v>
      </c>
      <c r="H39" cm="1">
        <f t="array" ref="H39">INDEX($B$32:$AC$32, 1, MOD(COLUMNS($B$38:H39)-1 + INDEX(SHIFT_TBL,1,6), 28) + 1)</f>
        <v>1</v>
      </c>
      <c r="I39" cm="1">
        <f t="array" ref="I39">INDEX($B$32:$AC$32, 1, MOD(COLUMNS($B$38:I39)-1 + INDEX(SHIFT_TBL,1,6), 28) + 1)</f>
        <v>0</v>
      </c>
      <c r="J39" cm="1">
        <f t="array" ref="J39">INDEX($B$32:$AC$32, 1, MOD(COLUMNS($B$38:J39)-1 + INDEX(SHIFT_TBL,1,6), 28) + 1)</f>
        <v>1</v>
      </c>
      <c r="K39" cm="1">
        <f t="array" ref="K39">INDEX($B$32:$AC$32, 1, MOD(COLUMNS($B$38:K39)-1 + INDEX(SHIFT_TBL,1,6), 28) + 1)</f>
        <v>0</v>
      </c>
      <c r="L39" cm="1">
        <f t="array" ref="L39">INDEX($B$32:$AC$32, 1, MOD(COLUMNS($B$38:L39)-1 + INDEX(SHIFT_TBL,1,6), 28) + 1)</f>
        <v>1</v>
      </c>
      <c r="M39" cm="1">
        <f t="array" ref="M39">INDEX($B$32:$AC$32, 1, MOD(COLUMNS($B$38:M39)-1 + INDEX(SHIFT_TBL,1,6), 28) + 1)</f>
        <v>0</v>
      </c>
      <c r="N39" cm="1">
        <f t="array" ref="N39">INDEX($B$32:$AC$32, 1, MOD(COLUMNS($B$38:N39)-1 + INDEX(SHIFT_TBL,1,6), 28) + 1)</f>
        <v>1</v>
      </c>
      <c r="O39" cm="1">
        <f t="array" ref="O39">INDEX($B$32:$AC$32, 1, MOD(COLUMNS($B$38:O39)-1 + INDEX(SHIFT_TBL,1,6), 28) + 1)</f>
        <v>0</v>
      </c>
      <c r="P39" cm="1">
        <f t="array" ref="P39">INDEX($B$32:$AC$32, 1, MOD(COLUMNS($B$38:P39)-1 + INDEX(SHIFT_TBL,1,6), 28) + 1)</f>
        <v>1</v>
      </c>
      <c r="Q39" cm="1">
        <f t="array" ref="Q39">INDEX($B$32:$AC$32, 1, MOD(COLUMNS($B$38:Q39)-1 + INDEX(SHIFT_TBL,1,6), 28) + 1)</f>
        <v>0</v>
      </c>
      <c r="R39" cm="1">
        <f t="array" ref="R39">INDEX($B$32:$AC$32, 1, MOD(COLUMNS($B$38:R39)-1 + INDEX(SHIFT_TBL,1,6), 28) + 1)</f>
        <v>1</v>
      </c>
      <c r="S39" cm="1">
        <f t="array" ref="S39">INDEX($B$32:$AC$32, 1, MOD(COLUMNS($B$38:S39)-1 + INDEX(SHIFT_TBL,1,6), 28) + 1)</f>
        <v>1</v>
      </c>
      <c r="T39" cm="1">
        <f t="array" ref="T39">INDEX($B$32:$AC$32, 1, MOD(COLUMNS($B$38:T39)-1 + INDEX(SHIFT_TBL,1,6), 28) + 1)</f>
        <v>1</v>
      </c>
      <c r="U39" cm="1">
        <f t="array" ref="U39">INDEX($B$32:$AC$32, 1, MOD(COLUMNS($B$38:U39)-1 + INDEX(SHIFT_TBL,1,6), 28) + 1)</f>
        <v>1</v>
      </c>
      <c r="V39" cm="1">
        <f t="array" ref="V39">INDEX($B$32:$AC$32, 1, MOD(COLUMNS($B$38:V39)-1 + INDEX(SHIFT_TBL,1,6), 28) + 1)</f>
        <v>1</v>
      </c>
      <c r="W39" cm="1">
        <f t="array" ref="W39">INDEX($B$32:$AC$32, 1, MOD(COLUMNS($B$38:W39)-1 + INDEX(SHIFT_TBL,1,6), 28) + 1)</f>
        <v>1</v>
      </c>
      <c r="X39" cm="1">
        <f t="array" ref="X39">INDEX($B$32:$AC$32, 1, MOD(COLUMNS($B$38:X39)-1 + INDEX(SHIFT_TBL,1,6), 28) + 1)</f>
        <v>0</v>
      </c>
      <c r="Y39" cm="1">
        <f t="array" ref="Y39">INDEX($B$32:$AC$32, 1, MOD(COLUMNS($B$38:Y39)-1 + INDEX(SHIFT_TBL,1,6), 28) + 1)</f>
        <v>0</v>
      </c>
      <c r="Z39" cm="1">
        <f t="array" ref="Z39">INDEX($B$32:$AC$32, 1, MOD(COLUMNS($B$38:Z39)-1 + INDEX(SHIFT_TBL,1,6), 28) + 1)</f>
        <v>0</v>
      </c>
      <c r="AA39" cm="1">
        <f t="array" ref="AA39">INDEX($B$32:$AC$32, 1, MOD(COLUMNS($B$38:AA39)-1 + INDEX(SHIFT_TBL,1,6), 28) + 1)</f>
        <v>0</v>
      </c>
      <c r="AB39" cm="1">
        <f t="array" ref="AB39">INDEX($B$32:$AC$32, 1, MOD(COLUMNS($B$38:AB39)-1 + INDEX(SHIFT_TBL,1,6), 28) + 1)</f>
        <v>1</v>
      </c>
      <c r="AC39" cm="1">
        <f t="array" ref="AC39">INDEX($B$32:$AC$32, 1, MOD(COLUMNS($B$38:AC39)-1 + INDEX(SHIFT_TBL,1,6), 28) + 1)</f>
        <v>1</v>
      </c>
      <c r="AD39" cm="1">
        <f t="array" ref="AD39">INDEX($AD$32:$BE$32, 1, MOD(COLUMNS($AD$38:AD39)-1 + INDEX(SHIFT_TBL,1,5), 28) + 1)</f>
        <v>0</v>
      </c>
      <c r="AE39" cm="1">
        <f t="array" ref="AE39">INDEX($AD$32:$BE$32, 1, MOD(COLUMNS($AD$38:AE39)-1 + INDEX(SHIFT_TBL,1,5), 28) + 1)</f>
        <v>0</v>
      </c>
      <c r="AF39" cm="1">
        <f t="array" ref="AF39">INDEX($AD$32:$BE$32, 1, MOD(COLUMNS($AD$38:AF39)-1 + INDEX(SHIFT_TBL,1,5), 28) + 1)</f>
        <v>1</v>
      </c>
      <c r="AG39" cm="1">
        <f t="array" ref="AG39">INDEX($AD$32:$BE$32, 1, MOD(COLUMNS($AD$38:AG39)-1 + INDEX(SHIFT_TBL,1,5), 28) + 1)</f>
        <v>1</v>
      </c>
      <c r="AH39" cm="1">
        <f t="array" ref="AH39">INDEX($AD$32:$BE$32, 1, MOD(COLUMNS($AD$38:AH39)-1 + INDEX(SHIFT_TBL,1,5), 28) + 1)</f>
        <v>0</v>
      </c>
      <c r="AI39" cm="1">
        <f t="array" ref="AI39">INDEX($AD$32:$BE$32, 1, MOD(COLUMNS($AD$38:AI39)-1 + INDEX(SHIFT_TBL,1,5), 28) + 1)</f>
        <v>0</v>
      </c>
      <c r="AJ39" cm="1">
        <f t="array" ref="AJ39">INDEX($AD$32:$BE$32, 1, MOD(COLUMNS($AD$38:AJ39)-1 + INDEX(SHIFT_TBL,1,5), 28) + 1)</f>
        <v>1</v>
      </c>
      <c r="AK39" cm="1">
        <f t="array" ref="AK39">INDEX($AD$32:$BE$32, 1, MOD(COLUMNS($AD$38:AK39)-1 + INDEX(SHIFT_TBL,1,5), 28) + 1)</f>
        <v>1</v>
      </c>
      <c r="AL39" cm="1">
        <f t="array" ref="AL39">INDEX($AD$32:$BE$32, 1, MOD(COLUMNS($AD$38:AL39)-1 + INDEX(SHIFT_TBL,1,5), 28) + 1)</f>
        <v>1</v>
      </c>
      <c r="AM39" cm="1">
        <f t="array" ref="AM39">INDEX($AD$32:$BE$32, 1, MOD(COLUMNS($AD$38:AM39)-1 + INDEX(SHIFT_TBL,1,5), 28) + 1)</f>
        <v>1</v>
      </c>
      <c r="AN39" cm="1">
        <f t="array" ref="AN39">INDEX($AD$32:$BE$32, 1, MOD(COLUMNS($AD$38:AN39)-1 + INDEX(SHIFT_TBL,1,5), 28) + 1)</f>
        <v>0</v>
      </c>
      <c r="AO39" cm="1">
        <f t="array" ref="AO39">INDEX($AD$32:$BE$32, 1, MOD(COLUMNS($AD$38:AO39)-1 + INDEX(SHIFT_TBL,1,5), 28) + 1)</f>
        <v>0</v>
      </c>
      <c r="AP39" cm="1">
        <f t="array" ref="AP39">INDEX($AD$32:$BE$32, 1, MOD(COLUMNS($AD$38:AP39)-1 + INDEX(SHIFT_TBL,1,5), 28) + 1)</f>
        <v>0</v>
      </c>
      <c r="AQ39" cm="1">
        <f t="array" ref="AQ39">INDEX($AD$32:$BE$32, 1, MOD(COLUMNS($AD$38:AQ39)-1 + INDEX(SHIFT_TBL,1,5), 28) + 1)</f>
        <v>0</v>
      </c>
      <c r="AR39" cm="1">
        <f t="array" ref="AR39">INDEX($AD$32:$BE$32, 1, MOD(COLUMNS($AD$38:AR39)-1 + INDEX(SHIFT_TBL,1,5), 28) + 1)</f>
        <v>1</v>
      </c>
      <c r="AS39" cm="1">
        <f t="array" ref="AS39">INDEX($AD$32:$BE$32, 1, MOD(COLUMNS($AD$38:AS39)-1 + INDEX(SHIFT_TBL,1,5), 28) + 1)</f>
        <v>0</v>
      </c>
      <c r="AT39" cm="1">
        <f t="array" ref="AT39">INDEX($AD$32:$BE$32, 1, MOD(COLUMNS($AD$38:AT39)-1 + INDEX(SHIFT_TBL,1,5), 28) + 1)</f>
        <v>1</v>
      </c>
      <c r="AU39" cm="1">
        <f t="array" ref="AU39">INDEX($AD$32:$BE$32, 1, MOD(COLUMNS($AD$38:AU39)-1 + INDEX(SHIFT_TBL,1,5), 28) + 1)</f>
        <v>0</v>
      </c>
      <c r="AV39" cm="1">
        <f t="array" ref="AV39">INDEX($AD$32:$BE$32, 1, MOD(COLUMNS($AD$38:AV39)-1 + INDEX(SHIFT_TBL,1,5), 28) + 1)</f>
        <v>1</v>
      </c>
      <c r="AW39" cm="1">
        <f t="array" ref="AW39">INDEX($AD$32:$BE$32, 1, MOD(COLUMNS($AD$38:AW39)-1 + INDEX(SHIFT_TBL,1,5), 28) + 1)</f>
        <v>0</v>
      </c>
      <c r="AX39" cm="1">
        <f t="array" ref="AX39">INDEX($AD$32:$BE$32, 1, MOD(COLUMNS($AD$38:AX39)-1 + INDEX(SHIFT_TBL,1,5), 28) + 1)</f>
        <v>1</v>
      </c>
      <c r="AY39" cm="1">
        <f t="array" ref="AY39">INDEX($AD$32:$BE$32, 1, MOD(COLUMNS($AD$38:AY39)-1 + INDEX(SHIFT_TBL,1,5), 28) + 1)</f>
        <v>0</v>
      </c>
      <c r="AZ39" cm="1">
        <f t="array" ref="AZ39">INDEX($AD$32:$BE$32, 1, MOD(COLUMNS($AD$38:AZ39)-1 + INDEX(SHIFT_TBL,1,5), 28) + 1)</f>
        <v>1</v>
      </c>
      <c r="BA39" cm="1">
        <f t="array" ref="BA39">INDEX($AD$32:$BE$32, 1, MOD(COLUMNS($AD$38:BA39)-1 + INDEX(SHIFT_TBL,1,5), 28) + 1)</f>
        <v>0</v>
      </c>
      <c r="BB39" cm="1">
        <f t="array" ref="BB39">INDEX($AD$32:$BE$32, 1, MOD(COLUMNS($AD$38:BB39)-1 + INDEX(SHIFT_TBL,1,5), 28) + 1)</f>
        <v>1</v>
      </c>
      <c r="BC39" cm="1">
        <f t="array" ref="BC39">INDEX($AD$32:$BE$32, 1, MOD(COLUMNS($AD$38:BC39)-1 + INDEX(SHIFT_TBL,1,5), 28) + 1)</f>
        <v>0</v>
      </c>
      <c r="BD39" cm="1">
        <f t="array" ref="BD39">INDEX($AD$32:$BE$32, 1, MOD(COLUMNS($AD$38:BD39)-1 + INDEX(SHIFT_TBL,1,5), 28) + 1)</f>
        <v>1</v>
      </c>
      <c r="BE39" cm="1">
        <f t="array" ref="BE39">INDEX($AD$32:$BE$32, 1, MOD(COLUMNS($AD$38:BE39)-1 + INDEX(SHIFT_TBL,1,5), 28) + 1)</f>
        <v>1</v>
      </c>
    </row>
    <row r="40" spans="1:57" x14ac:dyDescent="0.35">
      <c r="A40" s="3" t="s">
        <v>49</v>
      </c>
      <c r="B40" cm="1">
        <f t="array" ref="B40">INDEX($B$38:$BE$38, 1, INDEX(PC2_TBL, COLUMNS($B$40:B40)))</f>
        <v>0</v>
      </c>
      <c r="C40" cm="1">
        <f t="array" ref="C40">INDEX($B$38:$BE$38, 1, INDEX(PC2_TBL, COLUMNS($B$40:C40)))</f>
        <v>1</v>
      </c>
      <c r="D40" cm="1">
        <f t="array" ref="D40">INDEX($B$38:$BE$38, 1, INDEX(PC2_TBL, COLUMNS($B$40:D40)))</f>
        <v>1</v>
      </c>
      <c r="E40" cm="1">
        <f t="array" ref="E40">INDEX($B$38:$BE$38, 1, INDEX(PC2_TBL, COLUMNS($B$40:E40)))</f>
        <v>0</v>
      </c>
      <c r="F40" cm="1">
        <f t="array" ref="F40">INDEX($B$38:$BE$38, 1, INDEX(PC2_TBL, COLUMNS($B$40:F40)))</f>
        <v>0</v>
      </c>
      <c r="G40" cm="1">
        <f t="array" ref="G40">INDEX($B$38:$BE$38, 1, INDEX(PC2_TBL, COLUMNS($B$40:G40)))</f>
        <v>0</v>
      </c>
      <c r="H40" cm="1">
        <f t="array" ref="H40">INDEX($B$38:$BE$38, 1, INDEX(PC2_TBL, COLUMNS($B$40:H40)))</f>
        <v>1</v>
      </c>
      <c r="I40" cm="1">
        <f t="array" ref="I40">INDEX($B$38:$BE$38, 1, INDEX(PC2_TBL, COLUMNS($B$40:I40)))</f>
        <v>1</v>
      </c>
      <c r="J40" cm="1">
        <f t="array" ref="J40">INDEX($B$38:$BE$38, 1, INDEX(PC2_TBL, COLUMNS($B$40:J40)))</f>
        <v>1</v>
      </c>
      <c r="K40" cm="1">
        <f t="array" ref="K40">INDEX($B$38:$BE$38, 1, INDEX(PC2_TBL, COLUMNS($B$40:K40)))</f>
        <v>0</v>
      </c>
      <c r="L40" cm="1">
        <f t="array" ref="L40">INDEX($B$38:$BE$38, 1, INDEX(PC2_TBL, COLUMNS($B$40:L40)))</f>
        <v>1</v>
      </c>
      <c r="M40" cm="1">
        <f t="array" ref="M40">INDEX($B$38:$BE$38, 1, INDEX(PC2_TBL, COLUMNS($B$40:M40)))</f>
        <v>0</v>
      </c>
      <c r="N40" cm="1">
        <f t="array" ref="N40">INDEX($B$38:$BE$38, 1, INDEX(PC2_TBL, COLUMNS($B$40:N40)))</f>
        <v>0</v>
      </c>
      <c r="O40" cm="1">
        <f t="array" ref="O40">INDEX($B$38:$BE$38, 1, INDEX(PC2_TBL, COLUMNS($B$40:O40)))</f>
        <v>1</v>
      </c>
      <c r="P40" cm="1">
        <f t="array" ref="P40">INDEX($B$38:$BE$38, 1, INDEX(PC2_TBL, COLUMNS($B$40:P40)))</f>
        <v>0</v>
      </c>
      <c r="Q40" cm="1">
        <f t="array" ref="Q40">INDEX($B$38:$BE$38, 1, INDEX(PC2_TBL, COLUMNS($B$40:Q40)))</f>
        <v>1</v>
      </c>
      <c r="R40" cm="1">
        <f t="array" ref="R40">INDEX($B$38:$BE$38, 1, INDEX(PC2_TBL, COLUMNS($B$40:R40)))</f>
        <v>0</v>
      </c>
      <c r="S40" cm="1">
        <f t="array" ref="S40">INDEX($B$38:$BE$38, 1, INDEX(PC2_TBL, COLUMNS($B$40:S40)))</f>
        <v>0</v>
      </c>
      <c r="T40" cm="1">
        <f t="array" ref="T40">INDEX($B$38:$BE$38, 1, INDEX(PC2_TBL, COLUMNS($B$40:T40)))</f>
        <v>0</v>
      </c>
      <c r="U40" cm="1">
        <f t="array" ref="U40">INDEX($B$38:$BE$38, 1, INDEX(PC2_TBL, COLUMNS($B$40:U40)))</f>
        <v>1</v>
      </c>
      <c r="V40" cm="1">
        <f t="array" ref="V40">INDEX($B$38:$BE$38, 1, INDEX(PC2_TBL, COLUMNS($B$40:V40)))</f>
        <v>1</v>
      </c>
      <c r="W40" cm="1">
        <f t="array" ref="W40">INDEX($B$38:$BE$38, 1, INDEX(PC2_TBL, COLUMNS($B$40:W40)))</f>
        <v>1</v>
      </c>
      <c r="X40" cm="1">
        <f t="array" ref="X40">INDEX($B$38:$BE$38, 1, INDEX(PC2_TBL, COLUMNS($B$40:X40)))</f>
        <v>1</v>
      </c>
      <c r="Y40" cm="1">
        <f t="array" ref="Y40">INDEX($B$38:$BE$38, 1, INDEX(PC2_TBL, COLUMNS($B$40:Y40)))</f>
        <v>0</v>
      </c>
      <c r="Z40" cm="1">
        <f t="array" ref="Z40">INDEX($B$38:$BE$38, 1, INDEX(PC2_TBL, COLUMNS($B$40:Z40)))</f>
        <v>0</v>
      </c>
      <c r="AA40" cm="1">
        <f t="array" ref="AA40">INDEX($B$38:$BE$38, 1, INDEX(PC2_TBL, COLUMNS($B$40:AA40)))</f>
        <v>0</v>
      </c>
      <c r="AB40" cm="1">
        <f t="array" ref="AB40">INDEX($B$38:$BE$38, 1, INDEX(PC2_TBL, COLUMNS($B$40:AB40)))</f>
        <v>1</v>
      </c>
      <c r="AC40" cm="1">
        <f t="array" ref="AC40">INDEX($B$38:$BE$38, 1, INDEX(PC2_TBL, COLUMNS($B$40:AC40)))</f>
        <v>1</v>
      </c>
      <c r="AD40" cm="1">
        <f t="array" ref="AD40">INDEX($B$38:$BE$38, 1, INDEX(PC2_TBL, COLUMNS($B$40:AD40)))</f>
        <v>1</v>
      </c>
      <c r="AE40" cm="1">
        <f t="array" ref="AE40">INDEX($B$38:$BE$38, 1, INDEX(PC2_TBL, COLUMNS($B$40:AE40)))</f>
        <v>1</v>
      </c>
      <c r="AF40" cm="1">
        <f t="array" ref="AF40">INDEX($B$38:$BE$38, 1, INDEX(PC2_TBL, COLUMNS($B$40:AF40)))</f>
        <v>0</v>
      </c>
      <c r="AG40" cm="1">
        <f t="array" ref="AG40">INDEX($B$38:$BE$38, 1, INDEX(PC2_TBL, COLUMNS($B$40:AG40)))</f>
        <v>0</v>
      </c>
      <c r="AH40" cm="1">
        <f t="array" ref="AH40">INDEX($B$38:$BE$38, 1, INDEX(PC2_TBL, COLUMNS($B$40:AH40)))</f>
        <v>1</v>
      </c>
      <c r="AI40" cm="1">
        <f t="array" ref="AI40">INDEX($B$38:$BE$38, 1, INDEX(PC2_TBL, COLUMNS($B$40:AI40)))</f>
        <v>1</v>
      </c>
      <c r="AJ40" cm="1">
        <f t="array" ref="AJ40">INDEX($B$38:$BE$38, 1, INDEX(PC2_TBL, COLUMNS($B$40:AJ40)))</f>
        <v>0</v>
      </c>
      <c r="AK40" cm="1">
        <f t="array" ref="AK40">INDEX($B$38:$BE$38, 1, INDEX(PC2_TBL, COLUMNS($B$40:AK40)))</f>
        <v>0</v>
      </c>
      <c r="AL40" cm="1">
        <f t="array" ref="AL40">INDEX($B$38:$BE$38, 1, INDEX(PC2_TBL, COLUMNS($B$40:AL40)))</f>
        <v>0</v>
      </c>
      <c r="AM40" cm="1">
        <f t="array" ref="AM40">INDEX($B$38:$BE$38, 1, INDEX(PC2_TBL, COLUMNS($B$40:AM40)))</f>
        <v>1</v>
      </c>
      <c r="AN40" cm="1">
        <f t="array" ref="AN40">INDEX($B$38:$BE$38, 1, INDEX(PC2_TBL, COLUMNS($B$40:AN40)))</f>
        <v>0</v>
      </c>
      <c r="AO40" cm="1">
        <f t="array" ref="AO40">INDEX($B$38:$BE$38, 1, INDEX(PC2_TBL, COLUMNS($B$40:AO40)))</f>
        <v>1</v>
      </c>
      <c r="AP40" cm="1">
        <f t="array" ref="AP40">INDEX($B$38:$BE$38, 1, INDEX(PC2_TBL, COLUMNS($B$40:AP40)))</f>
        <v>0</v>
      </c>
      <c r="AQ40" cm="1">
        <f t="array" ref="AQ40">INDEX($B$38:$BE$38, 1, INDEX(PC2_TBL, COLUMNS($B$40:AQ40)))</f>
        <v>1</v>
      </c>
      <c r="AR40" cm="1">
        <f t="array" ref="AR40">INDEX($B$38:$BE$38, 1, INDEX(PC2_TBL, COLUMNS($B$40:AR40)))</f>
        <v>0</v>
      </c>
      <c r="AS40" cm="1">
        <f t="array" ref="AS40">INDEX($B$38:$BE$38, 1, INDEX(PC2_TBL, COLUMNS($B$40:AS40)))</f>
        <v>0</v>
      </c>
      <c r="AT40" cm="1">
        <f t="array" ref="AT40">INDEX($B$38:$BE$38, 1, INDEX(PC2_TBL, COLUMNS($B$40:AT40)))</f>
        <v>0</v>
      </c>
      <c r="AU40" cm="1">
        <f t="array" ref="AU40">INDEX($B$38:$BE$38, 1, INDEX(PC2_TBL, COLUMNS($B$40:AU40)))</f>
        <v>1</v>
      </c>
      <c r="AV40" cm="1">
        <f t="array" ref="AV40">INDEX($B$38:$BE$38, 1, INDEX(PC2_TBL, COLUMNS($B$40:AV40)))</f>
        <v>0</v>
      </c>
      <c r="AW40" cm="1">
        <f t="array" ref="AW40">INDEX($B$38:$BE$38, 1, INDEX(PC2_TBL, COLUMNS($B$40:AW40)))</f>
        <v>1</v>
      </c>
    </row>
    <row r="41" spans="1:57" x14ac:dyDescent="0.35">
      <c r="A41" s="3"/>
    </row>
    <row r="42" spans="1:57" x14ac:dyDescent="0.35">
      <c r="A42" t="s">
        <v>51</v>
      </c>
      <c r="AD42" t="s">
        <v>60</v>
      </c>
    </row>
    <row r="43" spans="1:57" x14ac:dyDescent="0.35">
      <c r="A43" s="3" t="s">
        <v>52</v>
      </c>
      <c r="B43" cm="1">
        <f t="array" ref="B43">INDEX($B$38:$AC$38, 1, MOD(COLUMNS($B$43:B43)-1 + INDEX(SHIFT_TBL,1,7), 28) + 1)</f>
        <v>1</v>
      </c>
      <c r="C43" cm="1">
        <f t="array" ref="C43">INDEX($B$38:$AC$38, 1, MOD(COLUMNS($B$43:C43)-1 + INDEX(SHIFT_TBL,1,7), 28) + 1)</f>
        <v>1</v>
      </c>
      <c r="D43" cm="1">
        <f t="array" ref="D43">INDEX($B$38:$AC$38, 1, MOD(COLUMNS($B$43:D43)-1 + INDEX(SHIFT_TBL,1,7), 28) + 1)</f>
        <v>0</v>
      </c>
      <c r="E43" cm="1">
        <f t="array" ref="E43">INDEX($B$38:$AC$38, 1, MOD(COLUMNS($B$43:E43)-1 + INDEX(SHIFT_TBL,1,7), 28) + 1)</f>
        <v>0</v>
      </c>
      <c r="F43" cm="1">
        <f t="array" ref="F43">INDEX($B$38:$AC$38, 1, MOD(COLUMNS($B$43:F43)-1 + INDEX(SHIFT_TBL,1,7), 28) + 1)</f>
        <v>1</v>
      </c>
      <c r="G43" cm="1">
        <f t="array" ref="G43">INDEX($B$38:$AC$38, 1, MOD(COLUMNS($B$43:G43)-1 + INDEX(SHIFT_TBL,1,7), 28) + 1)</f>
        <v>0</v>
      </c>
      <c r="H43" cm="1">
        <f t="array" ref="H43">INDEX($B$38:$AC$38, 1, MOD(COLUMNS($B$43:H43)-1 + INDEX(SHIFT_TBL,1,7), 28) + 1)</f>
        <v>1</v>
      </c>
      <c r="I43" cm="1">
        <f t="array" ref="I43">INDEX($B$38:$AC$38, 1, MOD(COLUMNS($B$43:I43)-1 + INDEX(SHIFT_TBL,1,7), 28) + 1)</f>
        <v>0</v>
      </c>
      <c r="J43" cm="1">
        <f t="array" ref="J43">INDEX($B$38:$AC$38, 1, MOD(COLUMNS($B$43:J43)-1 + INDEX(SHIFT_TBL,1,7), 28) + 1)</f>
        <v>1</v>
      </c>
      <c r="K43" cm="1">
        <f t="array" ref="K43">INDEX($B$38:$AC$38, 1, MOD(COLUMNS($B$43:K43)-1 + INDEX(SHIFT_TBL,1,7), 28) + 1)</f>
        <v>0</v>
      </c>
      <c r="L43" cm="1">
        <f t="array" ref="L43">INDEX($B$38:$AC$38, 1, MOD(COLUMNS($B$43:L43)-1 + INDEX(SHIFT_TBL,1,7), 28) + 1)</f>
        <v>1</v>
      </c>
      <c r="M43" cm="1">
        <f t="array" ref="M43">INDEX($B$38:$AC$38, 1, MOD(COLUMNS($B$43:M43)-1 + INDEX(SHIFT_TBL,1,7), 28) + 1)</f>
        <v>0</v>
      </c>
      <c r="N43" cm="1">
        <f t="array" ref="N43">INDEX($B$38:$AC$38, 1, MOD(COLUMNS($B$43:N43)-1 + INDEX(SHIFT_TBL,1,7), 28) + 1)</f>
        <v>1</v>
      </c>
      <c r="O43" cm="1">
        <f t="array" ref="O43">INDEX($B$38:$AC$38, 1, MOD(COLUMNS($B$43:O43)-1 + INDEX(SHIFT_TBL,1,7), 28) + 1)</f>
        <v>0</v>
      </c>
      <c r="P43" cm="1">
        <f t="array" ref="P43">INDEX($B$38:$AC$38, 1, MOD(COLUMNS($B$43:P43)-1 + INDEX(SHIFT_TBL,1,7), 28) + 1)</f>
        <v>1</v>
      </c>
      <c r="Q43" cm="1">
        <f t="array" ref="Q43">INDEX($B$38:$AC$38, 1, MOD(COLUMNS($B$43:Q43)-1 + INDEX(SHIFT_TBL,1,7), 28) + 1)</f>
        <v>1</v>
      </c>
      <c r="R43" cm="1">
        <f t="array" ref="R43">INDEX($B$38:$AC$38, 1, MOD(COLUMNS($B$43:R43)-1 + INDEX(SHIFT_TBL,1,7), 28) + 1)</f>
        <v>1</v>
      </c>
      <c r="S43" cm="1">
        <f t="array" ref="S43">INDEX($B$38:$AC$38, 1, MOD(COLUMNS($B$43:S43)-1 + INDEX(SHIFT_TBL,1,7), 28) + 1)</f>
        <v>1</v>
      </c>
      <c r="T43" cm="1">
        <f t="array" ref="T43">INDEX($B$38:$AC$38, 1, MOD(COLUMNS($B$43:T43)-1 + INDEX(SHIFT_TBL,1,7), 28) + 1)</f>
        <v>1</v>
      </c>
      <c r="U43" cm="1">
        <f t="array" ref="U43">INDEX($B$38:$AC$38, 1, MOD(COLUMNS($B$43:U43)-1 + INDEX(SHIFT_TBL,1,7), 28) + 1)</f>
        <v>1</v>
      </c>
      <c r="V43" cm="1">
        <f t="array" ref="V43">INDEX($B$38:$AC$38, 1, MOD(COLUMNS($B$43:V43)-1 + INDEX(SHIFT_TBL,1,7), 28) + 1)</f>
        <v>0</v>
      </c>
      <c r="W43" cm="1">
        <f t="array" ref="W43">INDEX($B$38:$AC$38, 1, MOD(COLUMNS($B$43:W43)-1 + INDEX(SHIFT_TBL,1,7), 28) + 1)</f>
        <v>0</v>
      </c>
      <c r="X43" cm="1">
        <f t="array" ref="X43">INDEX($B$38:$AC$38, 1, MOD(COLUMNS($B$43:X43)-1 + INDEX(SHIFT_TBL,1,7), 28) + 1)</f>
        <v>0</v>
      </c>
      <c r="Y43" cm="1">
        <f t="array" ref="Y43">INDEX($B$38:$AC$38, 1, MOD(COLUMNS($B$43:Y43)-1 + INDEX(SHIFT_TBL,1,7), 28) + 1)</f>
        <v>0</v>
      </c>
      <c r="Z43" cm="1">
        <f t="array" ref="Z43">INDEX($B$38:$AC$38, 1, MOD(COLUMNS($B$43:Z43)-1 + INDEX(SHIFT_TBL,1,7), 28) + 1)</f>
        <v>1</v>
      </c>
      <c r="AA43" cm="1">
        <f t="array" ref="AA43">INDEX($B$38:$AC$38, 1, MOD(COLUMNS($B$43:AA43)-1 + INDEX(SHIFT_TBL,1,7), 28) + 1)</f>
        <v>1</v>
      </c>
      <c r="AB43" cm="1">
        <f t="array" ref="AB43">INDEX($B$38:$AC$38, 1, MOD(COLUMNS($B$43:AB43)-1 + INDEX(SHIFT_TBL,1,7), 28) + 1)</f>
        <v>0</v>
      </c>
      <c r="AC43" cm="1">
        <f t="array" ref="AC43">INDEX($B$38:$AC$38, 1, MOD(COLUMNS($B$43:AC43)-1 + INDEX(SHIFT_TBL,1,7), 28) + 1)</f>
        <v>0</v>
      </c>
      <c r="AD43" cm="1">
        <f t="array" ref="AD43">INDEX($AD$38:$BE$38, 1, MOD(COLUMNS($AD$43:AD43)-1 + INDEX(SHIFT_TBL,1,7), 28) + 1)</f>
        <v>1</v>
      </c>
      <c r="AE43" cm="1">
        <f t="array" ref="AE43">INDEX($AD$38:$BE$38, 1, MOD(COLUMNS($AD$43:AE43)-1 + INDEX(SHIFT_TBL,1,7), 28) + 1)</f>
        <v>1</v>
      </c>
      <c r="AF43" cm="1">
        <f t="array" ref="AF43">INDEX($AD$38:$BE$38, 1, MOD(COLUMNS($AD$43:AF43)-1 + INDEX(SHIFT_TBL,1,7), 28) + 1)</f>
        <v>0</v>
      </c>
      <c r="AG43" cm="1">
        <f t="array" ref="AG43">INDEX($AD$38:$BE$38, 1, MOD(COLUMNS($AD$43:AG43)-1 + INDEX(SHIFT_TBL,1,7), 28) + 1)</f>
        <v>0</v>
      </c>
      <c r="AH43" cm="1">
        <f t="array" ref="AH43">INDEX($AD$38:$BE$38, 1, MOD(COLUMNS($AD$43:AH43)-1 + INDEX(SHIFT_TBL,1,7), 28) + 1)</f>
        <v>1</v>
      </c>
      <c r="AI43" cm="1">
        <f t="array" ref="AI43">INDEX($AD$38:$BE$38, 1, MOD(COLUMNS($AD$43:AI43)-1 + INDEX(SHIFT_TBL,1,7), 28) + 1)</f>
        <v>1</v>
      </c>
      <c r="AJ43" cm="1">
        <f t="array" ref="AJ43">INDEX($AD$38:$BE$38, 1, MOD(COLUMNS($AD$43:AJ43)-1 + INDEX(SHIFT_TBL,1,7), 28) + 1)</f>
        <v>1</v>
      </c>
      <c r="AK43" cm="1">
        <f t="array" ref="AK43">INDEX($AD$38:$BE$38, 1, MOD(COLUMNS($AD$43:AK43)-1 + INDEX(SHIFT_TBL,1,7), 28) + 1)</f>
        <v>1</v>
      </c>
      <c r="AL43" cm="1">
        <f t="array" ref="AL43">INDEX($AD$38:$BE$38, 1, MOD(COLUMNS($AD$43:AL43)-1 + INDEX(SHIFT_TBL,1,7), 28) + 1)</f>
        <v>0</v>
      </c>
      <c r="AM43" cm="1">
        <f t="array" ref="AM43">INDEX($AD$38:$BE$38, 1, MOD(COLUMNS($AD$43:AM43)-1 + INDEX(SHIFT_TBL,1,7), 28) + 1)</f>
        <v>0</v>
      </c>
      <c r="AN43" cm="1">
        <f t="array" ref="AN43">INDEX($AD$38:$BE$38, 1, MOD(COLUMNS($AD$43:AN43)-1 + INDEX(SHIFT_TBL,1,7), 28) + 1)</f>
        <v>0</v>
      </c>
      <c r="AO43" cm="1">
        <f t="array" ref="AO43">INDEX($AD$38:$BE$38, 1, MOD(COLUMNS($AD$43:AO43)-1 + INDEX(SHIFT_TBL,1,7), 28) + 1)</f>
        <v>0</v>
      </c>
      <c r="AP43" cm="1">
        <f t="array" ref="AP43">INDEX($AD$38:$BE$38, 1, MOD(COLUMNS($AD$43:AP43)-1 + INDEX(SHIFT_TBL,1,7), 28) + 1)</f>
        <v>1</v>
      </c>
      <c r="AQ43" cm="1">
        <f t="array" ref="AQ43">INDEX($AD$38:$BE$38, 1, MOD(COLUMNS($AD$43:AQ43)-1 + INDEX(SHIFT_TBL,1,7), 28) + 1)</f>
        <v>0</v>
      </c>
      <c r="AR43" cm="1">
        <f t="array" ref="AR43">INDEX($AD$38:$BE$38, 1, MOD(COLUMNS($AD$43:AR43)-1 + INDEX(SHIFT_TBL,1,7), 28) + 1)</f>
        <v>1</v>
      </c>
      <c r="AS43" cm="1">
        <f t="array" ref="AS43">INDEX($AD$38:$BE$38, 1, MOD(COLUMNS($AD$43:AS43)-1 + INDEX(SHIFT_TBL,1,7), 28) + 1)</f>
        <v>0</v>
      </c>
      <c r="AT43" cm="1">
        <f t="array" ref="AT43">INDEX($AD$38:$BE$38, 1, MOD(COLUMNS($AD$43:AT43)-1 + INDEX(SHIFT_TBL,1,7), 28) + 1)</f>
        <v>1</v>
      </c>
      <c r="AU43" cm="1">
        <f t="array" ref="AU43">INDEX($AD$38:$BE$38, 1, MOD(COLUMNS($AD$43:AU43)-1 + INDEX(SHIFT_TBL,1,7), 28) + 1)</f>
        <v>0</v>
      </c>
      <c r="AV43" cm="1">
        <f t="array" ref="AV43">INDEX($AD$38:$BE$38, 1, MOD(COLUMNS($AD$43:AV43)-1 + INDEX(SHIFT_TBL,1,7), 28) + 1)</f>
        <v>1</v>
      </c>
      <c r="AW43" cm="1">
        <f t="array" ref="AW43">INDEX($AD$38:$BE$38, 1, MOD(COLUMNS($AD$43:AW43)-1 + INDEX(SHIFT_TBL,1,7), 28) + 1)</f>
        <v>0</v>
      </c>
      <c r="AX43" cm="1">
        <f t="array" ref="AX43">INDEX($AD$38:$BE$38, 1, MOD(COLUMNS($AD$43:AX43)-1 + INDEX(SHIFT_TBL,1,7), 28) + 1)</f>
        <v>1</v>
      </c>
      <c r="AY43" cm="1">
        <f t="array" ref="AY43">INDEX($AD$38:$BE$38, 1, MOD(COLUMNS($AD$43:AY43)-1 + INDEX(SHIFT_TBL,1,7), 28) + 1)</f>
        <v>0</v>
      </c>
      <c r="AZ43" cm="1">
        <f t="array" ref="AZ43">INDEX($AD$38:$BE$38, 1, MOD(COLUMNS($AD$43:AZ43)-1 + INDEX(SHIFT_TBL,1,7), 28) + 1)</f>
        <v>1</v>
      </c>
      <c r="BA43" cm="1">
        <f t="array" ref="BA43">INDEX($AD$38:$BE$38, 1, MOD(COLUMNS($AD$43:BA43)-1 + INDEX(SHIFT_TBL,1,7), 28) + 1)</f>
        <v>0</v>
      </c>
      <c r="BB43" cm="1">
        <f t="array" ref="BB43">INDEX($AD$38:$BE$38, 1, MOD(COLUMNS($AD$43:BB43)-1 + INDEX(SHIFT_TBL,1,7), 28) + 1)</f>
        <v>1</v>
      </c>
      <c r="BC43" cm="1">
        <f t="array" ref="BC43">INDEX($AD$38:$BE$38, 1, MOD(COLUMNS($AD$43:BC43)-1 + INDEX(SHIFT_TBL,1,7), 28) + 1)</f>
        <v>1</v>
      </c>
      <c r="BD43" cm="1">
        <f t="array" ref="BD43">INDEX($AD$38:$BE$38, 1, MOD(COLUMNS($AD$43:BD43)-1 + INDEX(SHIFT_TBL,1,7), 28) + 1)</f>
        <v>0</v>
      </c>
      <c r="BE43" cm="1">
        <f t="array" ref="BE43">INDEX($AD$38:$BE$38, 1, MOD(COLUMNS($AD$43:BE43)-1 + INDEX(SHIFT_TBL,1,7), 28) + 1)</f>
        <v>0</v>
      </c>
    </row>
    <row r="44" spans="1:57" x14ac:dyDescent="0.35">
      <c r="A44" s="3" t="s">
        <v>53</v>
      </c>
      <c r="B44" cm="1">
        <f t="array" ref="B44">INDEX($B$38:$AC$38, 1, MOD(COLUMNS($B$43:B44)-1 + INDEX(SHIFT_TBL,1,7), 28) + 1)</f>
        <v>1</v>
      </c>
      <c r="C44" cm="1">
        <f t="array" ref="C44">INDEX($B$38:$AC$38, 1, MOD(COLUMNS($B$43:C44)-1 + INDEX(SHIFT_TBL,1,7), 28) + 1)</f>
        <v>1</v>
      </c>
      <c r="D44" cm="1">
        <f t="array" ref="D44">INDEX($B$38:$AC$38, 1, MOD(COLUMNS($B$43:D44)-1 + INDEX(SHIFT_TBL,1,7), 28) + 1)</f>
        <v>0</v>
      </c>
      <c r="E44" cm="1">
        <f t="array" ref="E44">INDEX($B$38:$AC$38, 1, MOD(COLUMNS($B$43:E44)-1 + INDEX(SHIFT_TBL,1,7), 28) + 1)</f>
        <v>0</v>
      </c>
      <c r="F44" cm="1">
        <f t="array" ref="F44">INDEX($B$38:$AC$38, 1, MOD(COLUMNS($B$43:F44)-1 + INDEX(SHIFT_TBL,1,7), 28) + 1)</f>
        <v>1</v>
      </c>
      <c r="G44" cm="1">
        <f t="array" ref="G44">INDEX($B$38:$AC$38, 1, MOD(COLUMNS($B$43:G44)-1 + INDEX(SHIFT_TBL,1,7), 28) + 1)</f>
        <v>0</v>
      </c>
      <c r="H44" cm="1">
        <f t="array" ref="H44">INDEX($B$38:$AC$38, 1, MOD(COLUMNS($B$43:H44)-1 + INDEX(SHIFT_TBL,1,7), 28) + 1)</f>
        <v>1</v>
      </c>
      <c r="I44" cm="1">
        <f t="array" ref="I44">INDEX($B$38:$AC$38, 1, MOD(COLUMNS($B$43:I44)-1 + INDEX(SHIFT_TBL,1,7), 28) + 1)</f>
        <v>0</v>
      </c>
      <c r="J44" cm="1">
        <f t="array" ref="J44">INDEX($B$38:$AC$38, 1, MOD(COLUMNS($B$43:J44)-1 + INDEX(SHIFT_TBL,1,7), 28) + 1)</f>
        <v>1</v>
      </c>
      <c r="K44" cm="1">
        <f t="array" ref="K44">INDEX($B$38:$AC$38, 1, MOD(COLUMNS($B$43:K44)-1 + INDEX(SHIFT_TBL,1,7), 28) + 1)</f>
        <v>0</v>
      </c>
      <c r="L44" cm="1">
        <f t="array" ref="L44">INDEX($B$38:$AC$38, 1, MOD(COLUMNS($B$43:L44)-1 + INDEX(SHIFT_TBL,1,7), 28) + 1)</f>
        <v>1</v>
      </c>
      <c r="M44" cm="1">
        <f t="array" ref="M44">INDEX($B$38:$AC$38, 1, MOD(COLUMNS($B$43:M44)-1 + INDEX(SHIFT_TBL,1,7), 28) + 1)</f>
        <v>0</v>
      </c>
      <c r="N44" cm="1">
        <f t="array" ref="N44">INDEX($B$38:$AC$38, 1, MOD(COLUMNS($B$43:N44)-1 + INDEX(SHIFT_TBL,1,7), 28) + 1)</f>
        <v>1</v>
      </c>
      <c r="O44" cm="1">
        <f t="array" ref="O44">INDEX($B$38:$AC$38, 1, MOD(COLUMNS($B$43:O44)-1 + INDEX(SHIFT_TBL,1,7), 28) + 1)</f>
        <v>0</v>
      </c>
      <c r="P44" cm="1">
        <f t="array" ref="P44">INDEX($B$38:$AC$38, 1, MOD(COLUMNS($B$43:P44)-1 + INDEX(SHIFT_TBL,1,7), 28) + 1)</f>
        <v>1</v>
      </c>
      <c r="Q44" cm="1">
        <f t="array" ref="Q44">INDEX($B$38:$AC$38, 1, MOD(COLUMNS($B$43:Q44)-1 + INDEX(SHIFT_TBL,1,7), 28) + 1)</f>
        <v>1</v>
      </c>
      <c r="R44" cm="1">
        <f t="array" ref="R44">INDEX($B$38:$AC$38, 1, MOD(COLUMNS($B$43:R44)-1 + INDEX(SHIFT_TBL,1,7), 28) + 1)</f>
        <v>1</v>
      </c>
      <c r="S44" cm="1">
        <f t="array" ref="S44">INDEX($B$38:$AC$38, 1, MOD(COLUMNS($B$43:S44)-1 + INDEX(SHIFT_TBL,1,7), 28) + 1)</f>
        <v>1</v>
      </c>
      <c r="T44" cm="1">
        <f t="array" ref="T44">INDEX($B$38:$AC$38, 1, MOD(COLUMNS($B$43:T44)-1 + INDEX(SHIFT_TBL,1,7), 28) + 1)</f>
        <v>1</v>
      </c>
      <c r="U44" cm="1">
        <f t="array" ref="U44">INDEX($B$38:$AC$38, 1, MOD(COLUMNS($B$43:U44)-1 + INDEX(SHIFT_TBL,1,7), 28) + 1)</f>
        <v>1</v>
      </c>
      <c r="V44" cm="1">
        <f t="array" ref="V44">INDEX($B$38:$AC$38, 1, MOD(COLUMNS($B$43:V44)-1 + INDEX(SHIFT_TBL,1,7), 28) + 1)</f>
        <v>0</v>
      </c>
      <c r="W44" cm="1">
        <f t="array" ref="W44">INDEX($B$38:$AC$38, 1, MOD(COLUMNS($B$43:W44)-1 + INDEX(SHIFT_TBL,1,7), 28) + 1)</f>
        <v>0</v>
      </c>
      <c r="X44" cm="1">
        <f t="array" ref="X44">INDEX($B$38:$AC$38, 1, MOD(COLUMNS($B$43:X44)-1 + INDEX(SHIFT_TBL,1,7), 28) + 1)</f>
        <v>0</v>
      </c>
      <c r="Y44" cm="1">
        <f t="array" ref="Y44">INDEX($B$38:$AC$38, 1, MOD(COLUMNS($B$43:Y44)-1 + INDEX(SHIFT_TBL,1,7), 28) + 1)</f>
        <v>0</v>
      </c>
      <c r="Z44" cm="1">
        <f t="array" ref="Z44">INDEX($B$38:$AC$38, 1, MOD(COLUMNS($B$43:Z44)-1 + INDEX(SHIFT_TBL,1,7), 28) + 1)</f>
        <v>1</v>
      </c>
      <c r="AA44" cm="1">
        <f t="array" ref="AA44">INDEX($B$38:$AC$38, 1, MOD(COLUMNS($B$43:AA44)-1 + INDEX(SHIFT_TBL,1,7), 28) + 1)</f>
        <v>1</v>
      </c>
      <c r="AB44" cm="1">
        <f t="array" ref="AB44">INDEX($B$38:$AC$38, 1, MOD(COLUMNS($B$43:AB44)-1 + INDEX(SHIFT_TBL,1,7), 28) + 1)</f>
        <v>0</v>
      </c>
      <c r="AC44" cm="1">
        <f t="array" ref="AC44">INDEX($B$38:$AC$38, 1, MOD(COLUMNS($B$43:AC44)-1 + INDEX(SHIFT_TBL,1,7), 28) + 1)</f>
        <v>0</v>
      </c>
      <c r="AD44" cm="1">
        <f t="array" ref="AD44">INDEX($AD$38:$BE$38, 1, MOD(COLUMNS($AD$43:AD44)-1 + INDEX(SHIFT_TBL,1,7), 28) + 1)</f>
        <v>1</v>
      </c>
      <c r="AE44" cm="1">
        <f t="array" ref="AE44">INDEX($AD$38:$BE$38, 1, MOD(COLUMNS($AD$43:AE44)-1 + INDEX(SHIFT_TBL,1,7), 28) + 1)</f>
        <v>1</v>
      </c>
      <c r="AF44" cm="1">
        <f t="array" ref="AF44">INDEX($AD$38:$BE$38, 1, MOD(COLUMNS($AD$43:AF44)-1 + INDEX(SHIFT_TBL,1,7), 28) + 1)</f>
        <v>0</v>
      </c>
      <c r="AG44" cm="1">
        <f t="array" ref="AG44">INDEX($AD$38:$BE$38, 1, MOD(COLUMNS($AD$43:AG44)-1 + INDEX(SHIFT_TBL,1,7), 28) + 1)</f>
        <v>0</v>
      </c>
      <c r="AH44" cm="1">
        <f t="array" ref="AH44">INDEX($AD$38:$BE$38, 1, MOD(COLUMNS($AD$43:AH44)-1 + INDEX(SHIFT_TBL,1,7), 28) + 1)</f>
        <v>1</v>
      </c>
      <c r="AI44" cm="1">
        <f t="array" ref="AI44">INDEX($AD$38:$BE$38, 1, MOD(COLUMNS($AD$43:AI44)-1 + INDEX(SHIFT_TBL,1,7), 28) + 1)</f>
        <v>1</v>
      </c>
      <c r="AJ44" cm="1">
        <f t="array" ref="AJ44">INDEX($AD$38:$BE$38, 1, MOD(COLUMNS($AD$43:AJ44)-1 + INDEX(SHIFT_TBL,1,7), 28) + 1)</f>
        <v>1</v>
      </c>
      <c r="AK44" cm="1">
        <f t="array" ref="AK44">INDEX($AD$38:$BE$38, 1, MOD(COLUMNS($AD$43:AK44)-1 + INDEX(SHIFT_TBL,1,7), 28) + 1)</f>
        <v>1</v>
      </c>
      <c r="AL44" cm="1">
        <f t="array" ref="AL44">INDEX($AD$38:$BE$38, 1, MOD(COLUMNS($AD$43:AL44)-1 + INDEX(SHIFT_TBL,1,7), 28) + 1)</f>
        <v>0</v>
      </c>
      <c r="AM44" cm="1">
        <f t="array" ref="AM44">INDEX($AD$38:$BE$38, 1, MOD(COLUMNS($AD$43:AM44)-1 + INDEX(SHIFT_TBL,1,7), 28) + 1)</f>
        <v>0</v>
      </c>
      <c r="AN44" cm="1">
        <f t="array" ref="AN44">INDEX($AD$38:$BE$38, 1, MOD(COLUMNS($AD$43:AN44)-1 + INDEX(SHIFT_TBL,1,7), 28) + 1)</f>
        <v>0</v>
      </c>
      <c r="AO44" cm="1">
        <f t="array" ref="AO44">INDEX($AD$38:$BE$38, 1, MOD(COLUMNS($AD$43:AO44)-1 + INDEX(SHIFT_TBL,1,7), 28) + 1)</f>
        <v>0</v>
      </c>
      <c r="AP44" cm="1">
        <f t="array" ref="AP44">INDEX($AD$38:$BE$38, 1, MOD(COLUMNS($AD$43:AP44)-1 + INDEX(SHIFT_TBL,1,7), 28) + 1)</f>
        <v>1</v>
      </c>
      <c r="AQ44" cm="1">
        <f t="array" ref="AQ44">INDEX($AD$38:$BE$38, 1, MOD(COLUMNS($AD$43:AQ44)-1 + INDEX(SHIFT_TBL,1,7), 28) + 1)</f>
        <v>0</v>
      </c>
      <c r="AR44" cm="1">
        <f t="array" ref="AR44">INDEX($AD$38:$BE$38, 1, MOD(COLUMNS($AD$43:AR44)-1 + INDEX(SHIFT_TBL,1,7), 28) + 1)</f>
        <v>1</v>
      </c>
      <c r="AS44" cm="1">
        <f t="array" ref="AS44">INDEX($AD$38:$BE$38, 1, MOD(COLUMNS($AD$43:AS44)-1 + INDEX(SHIFT_TBL,1,7), 28) + 1)</f>
        <v>0</v>
      </c>
      <c r="AT44" cm="1">
        <f t="array" ref="AT44">INDEX($AD$38:$BE$38, 1, MOD(COLUMNS($AD$43:AT44)-1 + INDEX(SHIFT_TBL,1,7), 28) + 1)</f>
        <v>1</v>
      </c>
      <c r="AU44" cm="1">
        <f t="array" ref="AU44">INDEX($AD$38:$BE$38, 1, MOD(COLUMNS($AD$43:AU44)-1 + INDEX(SHIFT_TBL,1,7), 28) + 1)</f>
        <v>0</v>
      </c>
      <c r="AV44" cm="1">
        <f t="array" ref="AV44">INDEX($AD$38:$BE$38, 1, MOD(COLUMNS($AD$43:AV44)-1 + INDEX(SHIFT_TBL,1,7), 28) + 1)</f>
        <v>1</v>
      </c>
      <c r="AW44" cm="1">
        <f t="array" ref="AW44">INDEX($AD$38:$BE$38, 1, MOD(COLUMNS($AD$43:AW44)-1 + INDEX(SHIFT_TBL,1,7), 28) + 1)</f>
        <v>0</v>
      </c>
      <c r="AX44" cm="1">
        <f t="array" ref="AX44">INDEX($AD$38:$BE$38, 1, MOD(COLUMNS($AD$43:AX44)-1 + INDEX(SHIFT_TBL,1,7), 28) + 1)</f>
        <v>1</v>
      </c>
      <c r="AY44" cm="1">
        <f t="array" ref="AY44">INDEX($AD$38:$BE$38, 1, MOD(COLUMNS($AD$43:AY44)-1 + INDEX(SHIFT_TBL,1,7), 28) + 1)</f>
        <v>0</v>
      </c>
      <c r="AZ44" cm="1">
        <f t="array" ref="AZ44">INDEX($AD$38:$BE$38, 1, MOD(COLUMNS($AD$43:AZ44)-1 + INDEX(SHIFT_TBL,1,7), 28) + 1)</f>
        <v>1</v>
      </c>
      <c r="BA44" cm="1">
        <f t="array" ref="BA44">INDEX($AD$38:$BE$38, 1, MOD(COLUMNS($AD$43:BA44)-1 + INDEX(SHIFT_TBL,1,7), 28) + 1)</f>
        <v>0</v>
      </c>
      <c r="BB44" cm="1">
        <f t="array" ref="BB44">INDEX($AD$38:$BE$38, 1, MOD(COLUMNS($AD$43:BB44)-1 + INDEX(SHIFT_TBL,1,7), 28) + 1)</f>
        <v>1</v>
      </c>
      <c r="BC44" cm="1">
        <f t="array" ref="BC44">INDEX($AD$38:$BE$38, 1, MOD(COLUMNS($AD$43:BC44)-1 + INDEX(SHIFT_TBL,1,7), 28) + 1)</f>
        <v>1</v>
      </c>
      <c r="BD44" cm="1">
        <f t="array" ref="BD44">INDEX($AD$38:$BE$38, 1, MOD(COLUMNS($AD$43:BD44)-1 + INDEX(SHIFT_TBL,1,7), 28) + 1)</f>
        <v>0</v>
      </c>
      <c r="BE44" cm="1">
        <f t="array" ref="BE44">INDEX($AD$38:$BE$38, 1, MOD(COLUMNS($AD$43:BE44)-1 + INDEX(SHIFT_TBL,1,7), 28) + 1)</f>
        <v>0</v>
      </c>
    </row>
    <row r="45" spans="1:57" x14ac:dyDescent="0.35">
      <c r="A45" s="3" t="s">
        <v>54</v>
      </c>
      <c r="B45" cm="1">
        <f t="array" ref="B45">INDEX($B$43:$BE$43, 1, INDEX(PC2_TBL, COLUMNS($B$45:B45)))</f>
        <v>0</v>
      </c>
      <c r="C45" cm="1">
        <f t="array" ref="C45">INDEX($B$43:$BE$43, 1, INDEX(PC2_TBL, COLUMNS($B$45:C45)))</f>
        <v>1</v>
      </c>
      <c r="D45" cm="1">
        <f t="array" ref="D45">INDEX($B$43:$BE$43, 1, INDEX(PC2_TBL, COLUMNS($B$45:D45)))</f>
        <v>1</v>
      </c>
      <c r="E45" cm="1">
        <f t="array" ref="E45">INDEX($B$43:$BE$43, 1, INDEX(PC2_TBL, COLUMNS($B$45:E45)))</f>
        <v>0</v>
      </c>
      <c r="F45" cm="1">
        <f t="array" ref="F45">INDEX($B$43:$BE$43, 1, INDEX(PC2_TBL, COLUMNS($B$45:F45)))</f>
        <v>1</v>
      </c>
      <c r="G45" cm="1">
        <f t="array" ref="G45">INDEX($B$43:$BE$43, 1, INDEX(PC2_TBL, COLUMNS($B$45:G45)))</f>
        <v>1</v>
      </c>
      <c r="H45" cm="1">
        <f t="array" ref="H45">INDEX($B$43:$BE$43, 1, INDEX(PC2_TBL, COLUMNS($B$45:H45)))</f>
        <v>0</v>
      </c>
      <c r="I45" cm="1">
        <f t="array" ref="I45">INDEX($B$43:$BE$43, 1, INDEX(PC2_TBL, COLUMNS($B$45:I45)))</f>
        <v>0</v>
      </c>
      <c r="J45" cm="1">
        <f t="array" ref="J45">INDEX($B$43:$BE$43, 1, INDEX(PC2_TBL, COLUMNS($B$45:J45)))</f>
        <v>1</v>
      </c>
      <c r="K45" cm="1">
        <f t="array" ref="K45">INDEX($B$43:$BE$43, 1, INDEX(PC2_TBL, COLUMNS($B$45:K45)))</f>
        <v>0</v>
      </c>
      <c r="L45" cm="1">
        <f t="array" ref="L45">INDEX($B$43:$BE$43, 1, INDEX(PC2_TBL, COLUMNS($B$45:L45)))</f>
        <v>0</v>
      </c>
      <c r="M45" cm="1">
        <f t="array" ref="M45">INDEX($B$43:$BE$43, 1, INDEX(PC2_TBL, COLUMNS($B$45:M45)))</f>
        <v>0</v>
      </c>
      <c r="N45" cm="1">
        <f t="array" ref="N45">INDEX($B$43:$BE$43, 1, INDEX(PC2_TBL, COLUMNS($B$45:N45)))</f>
        <v>0</v>
      </c>
      <c r="O45" cm="1">
        <f t="array" ref="O45">INDEX($B$43:$BE$43, 1, INDEX(PC2_TBL, COLUMNS($B$45:O45)))</f>
        <v>1</v>
      </c>
      <c r="P45" cm="1">
        <f t="array" ref="P45">INDEX($B$43:$BE$43, 1, INDEX(PC2_TBL, COLUMNS($B$45:P45)))</f>
        <v>0</v>
      </c>
      <c r="Q45" cm="1">
        <f t="array" ref="Q45">INDEX($B$43:$BE$43, 1, INDEX(PC2_TBL, COLUMNS($B$45:Q45)))</f>
        <v>0</v>
      </c>
      <c r="R45" cm="1">
        <f t="array" ref="R45">INDEX($B$43:$BE$43, 1, INDEX(PC2_TBL, COLUMNS($B$45:R45)))</f>
        <v>1</v>
      </c>
      <c r="S45" cm="1">
        <f t="array" ref="S45">INDEX($B$43:$BE$43, 1, INDEX(PC2_TBL, COLUMNS($B$45:S45)))</f>
        <v>0</v>
      </c>
      <c r="T45" cm="1">
        <f t="array" ref="T45">INDEX($B$43:$BE$43, 1, INDEX(PC2_TBL, COLUMNS($B$45:T45)))</f>
        <v>1</v>
      </c>
      <c r="U45" cm="1">
        <f t="array" ref="U45">INDEX($B$43:$BE$43, 1, INDEX(PC2_TBL, COLUMNS($B$45:U45)))</f>
        <v>1</v>
      </c>
      <c r="V45" cm="1">
        <f t="array" ref="V45">INDEX($B$43:$BE$43, 1, INDEX(PC2_TBL, COLUMNS($B$45:V45)))</f>
        <v>0</v>
      </c>
      <c r="W45" cm="1">
        <f t="array" ref="W45">INDEX($B$43:$BE$43, 1, INDEX(PC2_TBL, COLUMNS($B$45:W45)))</f>
        <v>1</v>
      </c>
      <c r="X45" cm="1">
        <f t="array" ref="X45">INDEX($B$43:$BE$43, 1, INDEX(PC2_TBL, COLUMNS($B$45:X45)))</f>
        <v>1</v>
      </c>
      <c r="Y45" cm="1">
        <f t="array" ref="Y45">INDEX($B$43:$BE$43, 1, INDEX(PC2_TBL, COLUMNS($B$45:Y45)))</f>
        <v>1</v>
      </c>
      <c r="Z45" cm="1">
        <f t="array" ref="Z45">INDEX($B$43:$BE$43, 1, INDEX(PC2_TBL, COLUMNS($B$45:Z45)))</f>
        <v>1</v>
      </c>
      <c r="AA45" cm="1">
        <f t="array" ref="AA45">INDEX($B$43:$BE$43, 1, INDEX(PC2_TBL, COLUMNS($B$45:AA45)))</f>
        <v>0</v>
      </c>
      <c r="AB45" cm="1">
        <f t="array" ref="AB45">INDEX($B$43:$BE$43, 1, INDEX(PC2_TBL, COLUMNS($B$45:AB45)))</f>
        <v>0</v>
      </c>
      <c r="AC45" cm="1">
        <f t="array" ref="AC45">INDEX($B$43:$BE$43, 1, INDEX(PC2_TBL, COLUMNS($B$45:AC45)))</f>
        <v>0</v>
      </c>
      <c r="AD45" cm="1">
        <f t="array" ref="AD45">INDEX($B$43:$BE$43, 1, INDEX(PC2_TBL, COLUMNS($B$45:AD45)))</f>
        <v>1</v>
      </c>
      <c r="AE45" cm="1">
        <f t="array" ref="AE45">INDEX($B$43:$BE$43, 1, INDEX(PC2_TBL, COLUMNS($B$45:AE45)))</f>
        <v>0</v>
      </c>
      <c r="AF45" cm="1">
        <f t="array" ref="AF45">INDEX($B$43:$BE$43, 1, INDEX(PC2_TBL, COLUMNS($B$45:AF45)))</f>
        <v>1</v>
      </c>
      <c r="AG45" cm="1">
        <f t="array" ref="AG45">INDEX($B$43:$BE$43, 1, INDEX(PC2_TBL, COLUMNS($B$45:AG45)))</f>
        <v>0</v>
      </c>
      <c r="AH45" cm="1">
        <f t="array" ref="AH45">INDEX($B$43:$BE$43, 1, INDEX(PC2_TBL, COLUMNS($B$45:AH45)))</f>
        <v>1</v>
      </c>
      <c r="AI45" cm="1">
        <f t="array" ref="AI45">INDEX($B$43:$BE$43, 1, INDEX(PC2_TBL, COLUMNS($B$45:AI45)))</f>
        <v>1</v>
      </c>
      <c r="AJ45" cm="1">
        <f t="array" ref="AJ45">INDEX($B$43:$BE$43, 1, INDEX(PC2_TBL, COLUMNS($B$45:AJ45)))</f>
        <v>1</v>
      </c>
      <c r="AK45" cm="1">
        <f t="array" ref="AK45">INDEX($B$43:$BE$43, 1, INDEX(PC2_TBL, COLUMNS($B$45:AK45)))</f>
        <v>0</v>
      </c>
      <c r="AL45" cm="1">
        <f t="array" ref="AL45">INDEX($B$43:$BE$43, 1, INDEX(PC2_TBL, COLUMNS($B$45:AL45)))</f>
        <v>0</v>
      </c>
      <c r="AM45" cm="1">
        <f t="array" ref="AM45">INDEX($B$43:$BE$43, 1, INDEX(PC2_TBL, COLUMNS($B$45:AM45)))</f>
        <v>1</v>
      </c>
      <c r="AN45" cm="1">
        <f t="array" ref="AN45">INDEX($B$43:$BE$43, 1, INDEX(PC2_TBL, COLUMNS($B$45:AN45)))</f>
        <v>0</v>
      </c>
      <c r="AO45" cm="1">
        <f t="array" ref="AO45">INDEX($B$43:$BE$43, 1, INDEX(PC2_TBL, COLUMNS($B$45:AO45)))</f>
        <v>0</v>
      </c>
      <c r="AP45" cm="1">
        <f t="array" ref="AP45">INDEX($B$43:$BE$43, 1, INDEX(PC2_TBL, COLUMNS($B$45:AP45)))</f>
        <v>1</v>
      </c>
      <c r="AQ45" cm="1">
        <f t="array" ref="AQ45">INDEX($B$43:$BE$43, 1, INDEX(PC2_TBL, COLUMNS($B$45:AQ45)))</f>
        <v>1</v>
      </c>
      <c r="AR45" cm="1">
        <f t="array" ref="AR45">INDEX($B$43:$BE$43, 1, INDEX(PC2_TBL, COLUMNS($B$45:AR45)))</f>
        <v>0</v>
      </c>
      <c r="AS45" cm="1">
        <f t="array" ref="AS45">INDEX($B$43:$BE$43, 1, INDEX(PC2_TBL, COLUMNS($B$45:AS45)))</f>
        <v>0</v>
      </c>
      <c r="AT45" cm="1">
        <f t="array" ref="AT45">INDEX($B$43:$BE$43, 1, INDEX(PC2_TBL, COLUMNS($B$45:AT45)))</f>
        <v>0</v>
      </c>
      <c r="AU45" cm="1">
        <f t="array" ref="AU45">INDEX($B$43:$BE$43, 1, INDEX(PC2_TBL, COLUMNS($B$45:AU45)))</f>
        <v>1</v>
      </c>
      <c r="AV45" cm="1">
        <f t="array" ref="AV45">INDEX($B$43:$BE$43, 1, INDEX(PC2_TBL, COLUMNS($B$45:AV45)))</f>
        <v>1</v>
      </c>
      <c r="AW45" cm="1">
        <f t="array" ref="AW45">INDEX($B$43:$BE$43, 1, INDEX(PC2_TBL, COLUMNS($B$45:AW45)))</f>
        <v>0</v>
      </c>
    </row>
    <row r="47" spans="1:57" x14ac:dyDescent="0.35">
      <c r="A47" t="s">
        <v>55</v>
      </c>
      <c r="AD47" t="s">
        <v>59</v>
      </c>
    </row>
    <row r="48" spans="1:57" x14ac:dyDescent="0.35">
      <c r="A48" s="3" t="s">
        <v>56</v>
      </c>
      <c r="B48" cm="1">
        <f t="array" ref="B48">INDEX($B$43:$AC$43, 1, MOD(COLUMNS($B$48:B48)-1 + INDEX(SHIFT_TBL,1,8), 28) + 1)</f>
        <v>0</v>
      </c>
      <c r="C48" cm="1">
        <f t="array" ref="C48">INDEX($B$43:$AC$43, 1, MOD(COLUMNS($B$48:C48)-1 + INDEX(SHIFT_TBL,1,8), 28) + 1)</f>
        <v>0</v>
      </c>
      <c r="D48" cm="1">
        <f t="array" ref="D48">INDEX($B$43:$AC$43, 1, MOD(COLUMNS($B$48:D48)-1 + INDEX(SHIFT_TBL,1,8), 28) + 1)</f>
        <v>1</v>
      </c>
      <c r="E48" cm="1">
        <f t="array" ref="E48">INDEX($B$43:$AC$43, 1, MOD(COLUMNS($B$48:E48)-1 + INDEX(SHIFT_TBL,1,8), 28) + 1)</f>
        <v>0</v>
      </c>
      <c r="F48" cm="1">
        <f t="array" ref="F48">INDEX($B$43:$AC$43, 1, MOD(COLUMNS($B$48:F48)-1 + INDEX(SHIFT_TBL,1,8), 28) + 1)</f>
        <v>1</v>
      </c>
      <c r="G48" cm="1">
        <f t="array" ref="G48">INDEX($B$43:$AC$43, 1, MOD(COLUMNS($B$48:G48)-1 + INDEX(SHIFT_TBL,1,8), 28) + 1)</f>
        <v>0</v>
      </c>
      <c r="H48" cm="1">
        <f t="array" ref="H48">INDEX($B$43:$AC$43, 1, MOD(COLUMNS($B$48:H48)-1 + INDEX(SHIFT_TBL,1,8), 28) + 1)</f>
        <v>1</v>
      </c>
      <c r="I48" cm="1">
        <f t="array" ref="I48">INDEX($B$43:$AC$43, 1, MOD(COLUMNS($B$48:I48)-1 + INDEX(SHIFT_TBL,1,8), 28) + 1)</f>
        <v>0</v>
      </c>
      <c r="J48" cm="1">
        <f t="array" ref="J48">INDEX($B$43:$AC$43, 1, MOD(COLUMNS($B$48:J48)-1 + INDEX(SHIFT_TBL,1,8), 28) + 1)</f>
        <v>1</v>
      </c>
      <c r="K48" cm="1">
        <f t="array" ref="K48">INDEX($B$43:$AC$43, 1, MOD(COLUMNS($B$48:K48)-1 + INDEX(SHIFT_TBL,1,8), 28) + 1)</f>
        <v>0</v>
      </c>
      <c r="L48" cm="1">
        <f t="array" ref="L48">INDEX($B$43:$AC$43, 1, MOD(COLUMNS($B$48:L48)-1 + INDEX(SHIFT_TBL,1,8), 28) + 1)</f>
        <v>1</v>
      </c>
      <c r="M48" cm="1">
        <f t="array" ref="M48">INDEX($B$43:$AC$43, 1, MOD(COLUMNS($B$48:M48)-1 + INDEX(SHIFT_TBL,1,8), 28) + 1)</f>
        <v>0</v>
      </c>
      <c r="N48" cm="1">
        <f t="array" ref="N48">INDEX($B$43:$AC$43, 1, MOD(COLUMNS($B$48:N48)-1 + INDEX(SHIFT_TBL,1,8), 28) + 1)</f>
        <v>1</v>
      </c>
      <c r="O48" cm="1">
        <f t="array" ref="O48">INDEX($B$43:$AC$43, 1, MOD(COLUMNS($B$48:O48)-1 + INDEX(SHIFT_TBL,1,8), 28) + 1)</f>
        <v>1</v>
      </c>
      <c r="P48" cm="1">
        <f t="array" ref="P48">INDEX($B$43:$AC$43, 1, MOD(COLUMNS($B$48:P48)-1 + INDEX(SHIFT_TBL,1,8), 28) + 1)</f>
        <v>1</v>
      </c>
      <c r="Q48" cm="1">
        <f t="array" ref="Q48">INDEX($B$43:$AC$43, 1, MOD(COLUMNS($B$48:Q48)-1 + INDEX(SHIFT_TBL,1,8), 28) + 1)</f>
        <v>1</v>
      </c>
      <c r="R48" cm="1">
        <f t="array" ref="R48">INDEX($B$43:$AC$43, 1, MOD(COLUMNS($B$48:R48)-1 + INDEX(SHIFT_TBL,1,8), 28) + 1)</f>
        <v>1</v>
      </c>
      <c r="S48" cm="1">
        <f t="array" ref="S48">INDEX($B$43:$AC$43, 1, MOD(COLUMNS($B$48:S48)-1 + INDEX(SHIFT_TBL,1,8), 28) + 1)</f>
        <v>1</v>
      </c>
      <c r="T48" cm="1">
        <f t="array" ref="T48">INDEX($B$43:$AC$43, 1, MOD(COLUMNS($B$48:T48)-1 + INDEX(SHIFT_TBL,1,8), 28) + 1)</f>
        <v>0</v>
      </c>
      <c r="U48" cm="1">
        <f t="array" ref="U48">INDEX($B$43:$AC$43, 1, MOD(COLUMNS($B$48:U48)-1 + INDEX(SHIFT_TBL,1,8), 28) + 1)</f>
        <v>0</v>
      </c>
      <c r="V48" cm="1">
        <f t="array" ref="V48">INDEX($B$43:$AC$43, 1, MOD(COLUMNS($B$48:V48)-1 + INDEX(SHIFT_TBL,1,8), 28) + 1)</f>
        <v>0</v>
      </c>
      <c r="W48" cm="1">
        <f t="array" ref="W48">INDEX($B$43:$AC$43, 1, MOD(COLUMNS($B$48:W48)-1 + INDEX(SHIFT_TBL,1,8), 28) + 1)</f>
        <v>0</v>
      </c>
      <c r="X48" cm="1">
        <f t="array" ref="X48">INDEX($B$43:$AC$43, 1, MOD(COLUMNS($B$48:X48)-1 + INDEX(SHIFT_TBL,1,8), 28) + 1)</f>
        <v>1</v>
      </c>
      <c r="Y48" cm="1">
        <f t="array" ref="Y48">INDEX($B$43:$AC$43, 1, MOD(COLUMNS($B$48:Y48)-1 + INDEX(SHIFT_TBL,1,8), 28) + 1)</f>
        <v>1</v>
      </c>
      <c r="Z48" cm="1">
        <f t="array" ref="Z48">INDEX($B$43:$AC$43, 1, MOD(COLUMNS($B$48:Z48)-1 + INDEX(SHIFT_TBL,1,8), 28) + 1)</f>
        <v>0</v>
      </c>
      <c r="AA48" cm="1">
        <f t="array" ref="AA48">INDEX($B$43:$AC$43, 1, MOD(COLUMNS($B$48:AA48)-1 + INDEX(SHIFT_TBL,1,8), 28) + 1)</f>
        <v>0</v>
      </c>
      <c r="AB48" cm="1">
        <f t="array" ref="AB48">INDEX($B$43:$AC$43, 1, MOD(COLUMNS($B$48:AB48)-1 + INDEX(SHIFT_TBL,1,8), 28) + 1)</f>
        <v>1</v>
      </c>
      <c r="AC48" cm="1">
        <f t="array" ref="AC48">INDEX($B$43:$AC$43, 1, MOD(COLUMNS($B$48:AC48)-1 + INDEX(SHIFT_TBL,1,8), 28) + 1)</f>
        <v>1</v>
      </c>
      <c r="AD48" cm="1">
        <f t="array" ref="AD48">INDEX($AD$43:$BE$43, 1, MOD(COLUMNS($AD$48:AD48)-1 + INDEX(SHIFT_TBL,1,8), 28) + 1)</f>
        <v>0</v>
      </c>
      <c r="AE48" cm="1">
        <f t="array" ref="AE48">INDEX($AD$43:$BE$43, 1, MOD(COLUMNS($AD$48:AE48)-1 + INDEX(SHIFT_TBL,1,8), 28) + 1)</f>
        <v>0</v>
      </c>
      <c r="AF48" cm="1">
        <f t="array" ref="AF48">INDEX($AD$43:$BE$43, 1, MOD(COLUMNS($AD$48:AF48)-1 + INDEX(SHIFT_TBL,1,8), 28) + 1)</f>
        <v>1</v>
      </c>
      <c r="AG48" cm="1">
        <f t="array" ref="AG48">INDEX($AD$43:$BE$43, 1, MOD(COLUMNS($AD$48:AG48)-1 + INDEX(SHIFT_TBL,1,8), 28) + 1)</f>
        <v>1</v>
      </c>
      <c r="AH48" cm="1">
        <f t="array" ref="AH48">INDEX($AD$43:$BE$43, 1, MOD(COLUMNS($AD$48:AH48)-1 + INDEX(SHIFT_TBL,1,8), 28) + 1)</f>
        <v>1</v>
      </c>
      <c r="AI48" cm="1">
        <f t="array" ref="AI48">INDEX($AD$43:$BE$43, 1, MOD(COLUMNS($AD$48:AI48)-1 + INDEX(SHIFT_TBL,1,8), 28) + 1)</f>
        <v>1</v>
      </c>
      <c r="AJ48" cm="1">
        <f t="array" ref="AJ48">INDEX($AD$43:$BE$43, 1, MOD(COLUMNS($AD$48:AJ48)-1 + INDEX(SHIFT_TBL,1,8), 28) + 1)</f>
        <v>0</v>
      </c>
      <c r="AK48" cm="1">
        <f t="array" ref="AK48">INDEX($AD$43:$BE$43, 1, MOD(COLUMNS($AD$48:AK48)-1 + INDEX(SHIFT_TBL,1,8), 28) + 1)</f>
        <v>0</v>
      </c>
      <c r="AL48" cm="1">
        <f t="array" ref="AL48">INDEX($AD$43:$BE$43, 1, MOD(COLUMNS($AD$48:AL48)-1 + INDEX(SHIFT_TBL,1,8), 28) + 1)</f>
        <v>0</v>
      </c>
      <c r="AM48" cm="1">
        <f t="array" ref="AM48">INDEX($AD$43:$BE$43, 1, MOD(COLUMNS($AD$48:AM48)-1 + INDEX(SHIFT_TBL,1,8), 28) + 1)</f>
        <v>0</v>
      </c>
      <c r="AN48" cm="1">
        <f t="array" ref="AN48">INDEX($AD$43:$BE$43, 1, MOD(COLUMNS($AD$48:AN48)-1 + INDEX(SHIFT_TBL,1,8), 28) + 1)</f>
        <v>1</v>
      </c>
      <c r="AO48" cm="1">
        <f t="array" ref="AO48">INDEX($AD$43:$BE$43, 1, MOD(COLUMNS($AD$48:AO48)-1 + INDEX(SHIFT_TBL,1,8), 28) + 1)</f>
        <v>0</v>
      </c>
      <c r="AP48" cm="1">
        <f t="array" ref="AP48">INDEX($AD$43:$BE$43, 1, MOD(COLUMNS($AD$48:AP48)-1 + INDEX(SHIFT_TBL,1,8), 28) + 1)</f>
        <v>1</v>
      </c>
      <c r="AQ48" cm="1">
        <f t="array" ref="AQ48">INDEX($AD$43:$BE$43, 1, MOD(COLUMNS($AD$48:AQ48)-1 + INDEX(SHIFT_TBL,1,8), 28) + 1)</f>
        <v>0</v>
      </c>
      <c r="AR48" cm="1">
        <f t="array" ref="AR48">INDEX($AD$43:$BE$43, 1, MOD(COLUMNS($AD$48:AR48)-1 + INDEX(SHIFT_TBL,1,8), 28) + 1)</f>
        <v>1</v>
      </c>
      <c r="AS48" cm="1">
        <f t="array" ref="AS48">INDEX($AD$43:$BE$43, 1, MOD(COLUMNS($AD$48:AS48)-1 + INDEX(SHIFT_TBL,1,8), 28) + 1)</f>
        <v>0</v>
      </c>
      <c r="AT48" cm="1">
        <f t="array" ref="AT48">INDEX($AD$43:$BE$43, 1, MOD(COLUMNS($AD$48:AT48)-1 + INDEX(SHIFT_TBL,1,8), 28) + 1)</f>
        <v>1</v>
      </c>
      <c r="AU48" cm="1">
        <f t="array" ref="AU48">INDEX($AD$43:$BE$43, 1, MOD(COLUMNS($AD$48:AU48)-1 + INDEX(SHIFT_TBL,1,8), 28) + 1)</f>
        <v>0</v>
      </c>
      <c r="AV48" cm="1">
        <f t="array" ref="AV48">INDEX($AD$43:$BE$43, 1, MOD(COLUMNS($AD$48:AV48)-1 + INDEX(SHIFT_TBL,1,8), 28) + 1)</f>
        <v>1</v>
      </c>
      <c r="AW48" cm="1">
        <f t="array" ref="AW48">INDEX($AD$43:$BE$43, 1, MOD(COLUMNS($AD$48:AW48)-1 + INDEX(SHIFT_TBL,1,8), 28) + 1)</f>
        <v>0</v>
      </c>
      <c r="AX48" cm="1">
        <f t="array" ref="AX48">INDEX($AD$43:$BE$43, 1, MOD(COLUMNS($AD$48:AX48)-1 + INDEX(SHIFT_TBL,1,8), 28) + 1)</f>
        <v>1</v>
      </c>
      <c r="AY48" cm="1">
        <f t="array" ref="AY48">INDEX($AD$43:$BE$43, 1, MOD(COLUMNS($AD$48:AY48)-1 + INDEX(SHIFT_TBL,1,8), 28) + 1)</f>
        <v>0</v>
      </c>
      <c r="AZ48" cm="1">
        <f t="array" ref="AZ48">INDEX($AD$43:$BE$43, 1, MOD(COLUMNS($AD$48:AZ48)-1 + INDEX(SHIFT_TBL,1,8), 28) + 1)</f>
        <v>1</v>
      </c>
      <c r="BA48" cm="1">
        <f t="array" ref="BA48">INDEX($AD$43:$BE$43, 1, MOD(COLUMNS($AD$48:BA48)-1 + INDEX(SHIFT_TBL,1,8), 28) + 1)</f>
        <v>1</v>
      </c>
      <c r="BB48" cm="1">
        <f t="array" ref="BB48">INDEX($AD$43:$BE$43, 1, MOD(COLUMNS($AD$48:BB48)-1 + INDEX(SHIFT_TBL,1,8), 28) + 1)</f>
        <v>0</v>
      </c>
      <c r="BC48" cm="1">
        <f t="array" ref="BC48">INDEX($AD$43:$BE$43, 1, MOD(COLUMNS($AD$48:BC48)-1 + INDEX(SHIFT_TBL,1,8), 28) + 1)</f>
        <v>0</v>
      </c>
      <c r="BD48" cm="1">
        <f t="array" ref="BD48">INDEX($AD$43:$BE$43, 1, MOD(COLUMNS($AD$48:BD48)-1 + INDEX(SHIFT_TBL,1,8), 28) + 1)</f>
        <v>1</v>
      </c>
      <c r="BE48" cm="1">
        <f t="array" ref="BE48">INDEX($AD$43:$BE$43, 1, MOD(COLUMNS($AD$48:BE48)-1 + INDEX(SHIFT_TBL,1,8), 28) + 1)</f>
        <v>1</v>
      </c>
    </row>
    <row r="49" spans="1:57" x14ac:dyDescent="0.35">
      <c r="A49" s="3" t="s">
        <v>57</v>
      </c>
      <c r="B49" cm="1">
        <f t="array" ref="B49">INDEX($B$43:$AC$43, 1, MOD(COLUMNS($B$48:B49)-1 + INDEX(SHIFT_TBL,1,8), 28) + 1)</f>
        <v>0</v>
      </c>
      <c r="C49" cm="1">
        <f t="array" ref="C49">INDEX($B$43:$AC$43, 1, MOD(COLUMNS($B$48:C49)-1 + INDEX(SHIFT_TBL,1,8), 28) + 1)</f>
        <v>0</v>
      </c>
      <c r="D49" cm="1">
        <f t="array" ref="D49">INDEX($B$43:$AC$43, 1, MOD(COLUMNS($B$48:D49)-1 + INDEX(SHIFT_TBL,1,8), 28) + 1)</f>
        <v>1</v>
      </c>
      <c r="E49" cm="1">
        <f t="array" ref="E49">INDEX($B$43:$AC$43, 1, MOD(COLUMNS($B$48:E49)-1 + INDEX(SHIFT_TBL,1,8), 28) + 1)</f>
        <v>0</v>
      </c>
      <c r="F49" cm="1">
        <f t="array" ref="F49">INDEX($B$43:$AC$43, 1, MOD(COLUMNS($B$48:F49)-1 + INDEX(SHIFT_TBL,1,8), 28) + 1)</f>
        <v>1</v>
      </c>
      <c r="G49" cm="1">
        <f t="array" ref="G49">INDEX($B$43:$AC$43, 1, MOD(COLUMNS($B$48:G49)-1 + INDEX(SHIFT_TBL,1,8), 28) + 1)</f>
        <v>0</v>
      </c>
      <c r="H49" cm="1">
        <f t="array" ref="H49">INDEX($B$43:$AC$43, 1, MOD(COLUMNS($B$48:H49)-1 + INDEX(SHIFT_TBL,1,8), 28) + 1)</f>
        <v>1</v>
      </c>
      <c r="I49" cm="1">
        <f t="array" ref="I49">INDEX($B$43:$AC$43, 1, MOD(COLUMNS($B$48:I49)-1 + INDEX(SHIFT_TBL,1,8), 28) + 1)</f>
        <v>0</v>
      </c>
      <c r="J49" cm="1">
        <f t="array" ref="J49">INDEX($B$43:$AC$43, 1, MOD(COLUMNS($B$48:J49)-1 + INDEX(SHIFT_TBL,1,8), 28) + 1)</f>
        <v>1</v>
      </c>
      <c r="K49" cm="1">
        <f t="array" ref="K49">INDEX($B$43:$AC$43, 1, MOD(COLUMNS($B$48:K49)-1 + INDEX(SHIFT_TBL,1,8), 28) + 1)</f>
        <v>0</v>
      </c>
      <c r="L49" cm="1">
        <f t="array" ref="L49">INDEX($B$43:$AC$43, 1, MOD(COLUMNS($B$48:L49)-1 + INDEX(SHIFT_TBL,1,8), 28) + 1)</f>
        <v>1</v>
      </c>
      <c r="M49" cm="1">
        <f t="array" ref="M49">INDEX($B$43:$AC$43, 1, MOD(COLUMNS($B$48:M49)-1 + INDEX(SHIFT_TBL,1,8), 28) + 1)</f>
        <v>0</v>
      </c>
      <c r="N49" cm="1">
        <f t="array" ref="N49">INDEX($B$43:$AC$43, 1, MOD(COLUMNS($B$48:N49)-1 + INDEX(SHIFT_TBL,1,8), 28) + 1)</f>
        <v>1</v>
      </c>
      <c r="O49" cm="1">
        <f t="array" ref="O49">INDEX($B$43:$AC$43, 1, MOD(COLUMNS($B$48:O49)-1 + INDEX(SHIFT_TBL,1,8), 28) + 1)</f>
        <v>1</v>
      </c>
      <c r="P49" cm="1">
        <f t="array" ref="P49">INDEX($B$43:$AC$43, 1, MOD(COLUMNS($B$48:P49)-1 + INDEX(SHIFT_TBL,1,8), 28) + 1)</f>
        <v>1</v>
      </c>
      <c r="Q49" cm="1">
        <f t="array" ref="Q49">INDEX($B$43:$AC$43, 1, MOD(COLUMNS($B$48:Q49)-1 + INDEX(SHIFT_TBL,1,8), 28) + 1)</f>
        <v>1</v>
      </c>
      <c r="R49" cm="1">
        <f t="array" ref="R49">INDEX($B$43:$AC$43, 1, MOD(COLUMNS($B$48:R49)-1 + INDEX(SHIFT_TBL,1,8), 28) + 1)</f>
        <v>1</v>
      </c>
      <c r="S49" cm="1">
        <f t="array" ref="S49">INDEX($B$43:$AC$43, 1, MOD(COLUMNS($B$48:S49)-1 + INDEX(SHIFT_TBL,1,8), 28) + 1)</f>
        <v>1</v>
      </c>
      <c r="T49" cm="1">
        <f t="array" ref="T49">INDEX($B$43:$AC$43, 1, MOD(COLUMNS($B$48:T49)-1 + INDEX(SHIFT_TBL,1,8), 28) + 1)</f>
        <v>0</v>
      </c>
      <c r="U49" cm="1">
        <f t="array" ref="U49">INDEX($B$43:$AC$43, 1, MOD(COLUMNS($B$48:U49)-1 + INDEX(SHIFT_TBL,1,8), 28) + 1)</f>
        <v>0</v>
      </c>
      <c r="V49" cm="1">
        <f t="array" ref="V49">INDEX($B$43:$AC$43, 1, MOD(COLUMNS($B$48:V49)-1 + INDEX(SHIFT_TBL,1,8), 28) + 1)</f>
        <v>0</v>
      </c>
      <c r="W49" cm="1">
        <f t="array" ref="W49">INDEX($B$43:$AC$43, 1, MOD(COLUMNS($B$48:W49)-1 + INDEX(SHIFT_TBL,1,8), 28) + 1)</f>
        <v>0</v>
      </c>
      <c r="X49" cm="1">
        <f t="array" ref="X49">INDEX($B$43:$AC$43, 1, MOD(COLUMNS($B$48:X49)-1 + INDEX(SHIFT_TBL,1,8), 28) + 1)</f>
        <v>1</v>
      </c>
      <c r="Y49" cm="1">
        <f t="array" ref="Y49">INDEX($B$43:$AC$43, 1, MOD(COLUMNS($B$48:Y49)-1 + INDEX(SHIFT_TBL,1,8), 28) + 1)</f>
        <v>1</v>
      </c>
      <c r="Z49" cm="1">
        <f t="array" ref="Z49">INDEX($B$43:$AC$43, 1, MOD(COLUMNS($B$48:Z49)-1 + INDEX(SHIFT_TBL,1,8), 28) + 1)</f>
        <v>0</v>
      </c>
      <c r="AA49" cm="1">
        <f t="array" ref="AA49">INDEX($B$43:$AC$43, 1, MOD(COLUMNS($B$48:AA49)-1 + INDEX(SHIFT_TBL,1,8), 28) + 1)</f>
        <v>0</v>
      </c>
      <c r="AB49" cm="1">
        <f t="array" ref="AB49">INDEX($B$43:$AC$43, 1, MOD(COLUMNS($B$48:AB49)-1 + INDEX(SHIFT_TBL,1,8), 28) + 1)</f>
        <v>1</v>
      </c>
      <c r="AC49" cm="1">
        <f t="array" ref="AC49">INDEX($B$43:$AC$43, 1, MOD(COLUMNS($B$48:AC49)-1 + INDEX(SHIFT_TBL,1,8), 28) + 1)</f>
        <v>1</v>
      </c>
      <c r="AD49" cm="1">
        <f t="array" ref="AD49">INDEX($AD$43:$BE$43, 1, MOD(COLUMNS($AD$48:AD49)-1 + INDEX(SHIFT_TBL,1,8), 28) + 1)</f>
        <v>0</v>
      </c>
      <c r="AE49" cm="1">
        <f t="array" ref="AE49">INDEX($AD$43:$BE$43, 1, MOD(COLUMNS($AD$48:AE49)-1 + INDEX(SHIFT_TBL,1,8), 28) + 1)</f>
        <v>0</v>
      </c>
      <c r="AF49" cm="1">
        <f t="array" ref="AF49">INDEX($AD$43:$BE$43, 1, MOD(COLUMNS($AD$48:AF49)-1 + INDEX(SHIFT_TBL,1,8), 28) + 1)</f>
        <v>1</v>
      </c>
      <c r="AG49" cm="1">
        <f t="array" ref="AG49">INDEX($AD$43:$BE$43, 1, MOD(COLUMNS($AD$48:AG49)-1 + INDEX(SHIFT_TBL,1,8), 28) + 1)</f>
        <v>1</v>
      </c>
      <c r="AH49" cm="1">
        <f t="array" ref="AH49">INDEX($AD$43:$BE$43, 1, MOD(COLUMNS($AD$48:AH49)-1 + INDEX(SHIFT_TBL,1,8), 28) + 1)</f>
        <v>1</v>
      </c>
      <c r="AI49" cm="1">
        <f t="array" ref="AI49">INDEX($AD$43:$BE$43, 1, MOD(COLUMNS($AD$48:AI49)-1 + INDEX(SHIFT_TBL,1,8), 28) + 1)</f>
        <v>1</v>
      </c>
      <c r="AJ49" cm="1">
        <f t="array" ref="AJ49">INDEX($AD$43:$BE$43, 1, MOD(COLUMNS($AD$48:AJ49)-1 + INDEX(SHIFT_TBL,1,8), 28) + 1)</f>
        <v>0</v>
      </c>
      <c r="AK49" cm="1">
        <f t="array" ref="AK49">INDEX($AD$43:$BE$43, 1, MOD(COLUMNS($AD$48:AK49)-1 + INDEX(SHIFT_TBL,1,8), 28) + 1)</f>
        <v>0</v>
      </c>
      <c r="AL49" cm="1">
        <f t="array" ref="AL49">INDEX($AD$43:$BE$43, 1, MOD(COLUMNS($AD$48:AL49)-1 + INDEX(SHIFT_TBL,1,8), 28) + 1)</f>
        <v>0</v>
      </c>
      <c r="AM49" cm="1">
        <f t="array" ref="AM49">INDEX($AD$43:$BE$43, 1, MOD(COLUMNS($AD$48:AM49)-1 + INDEX(SHIFT_TBL,1,8), 28) + 1)</f>
        <v>0</v>
      </c>
      <c r="AN49" cm="1">
        <f t="array" ref="AN49">INDEX($AD$43:$BE$43, 1, MOD(COLUMNS($AD$48:AN49)-1 + INDEX(SHIFT_TBL,1,8), 28) + 1)</f>
        <v>1</v>
      </c>
      <c r="AO49" cm="1">
        <f t="array" ref="AO49">INDEX($AD$43:$BE$43, 1, MOD(COLUMNS($AD$48:AO49)-1 + INDEX(SHIFT_TBL,1,8), 28) + 1)</f>
        <v>0</v>
      </c>
      <c r="AP49" cm="1">
        <f t="array" ref="AP49">INDEX($AD$43:$BE$43, 1, MOD(COLUMNS($AD$48:AP49)-1 + INDEX(SHIFT_TBL,1,8), 28) + 1)</f>
        <v>1</v>
      </c>
      <c r="AQ49" cm="1">
        <f t="array" ref="AQ49">INDEX($AD$43:$BE$43, 1, MOD(COLUMNS($AD$48:AQ49)-1 + INDEX(SHIFT_TBL,1,8), 28) + 1)</f>
        <v>0</v>
      </c>
      <c r="AR49" cm="1">
        <f t="array" ref="AR49">INDEX($AD$43:$BE$43, 1, MOD(COLUMNS($AD$48:AR49)-1 + INDEX(SHIFT_TBL,1,8), 28) + 1)</f>
        <v>1</v>
      </c>
      <c r="AS49" cm="1">
        <f t="array" ref="AS49">INDEX($AD$43:$BE$43, 1, MOD(COLUMNS($AD$48:AS49)-1 + INDEX(SHIFT_TBL,1,8), 28) + 1)</f>
        <v>0</v>
      </c>
      <c r="AT49" cm="1">
        <f t="array" ref="AT49">INDEX($AD$43:$BE$43, 1, MOD(COLUMNS($AD$48:AT49)-1 + INDEX(SHIFT_TBL,1,8), 28) + 1)</f>
        <v>1</v>
      </c>
      <c r="AU49" cm="1">
        <f t="array" ref="AU49">INDEX($AD$43:$BE$43, 1, MOD(COLUMNS($AD$48:AU49)-1 + INDEX(SHIFT_TBL,1,8), 28) + 1)</f>
        <v>0</v>
      </c>
      <c r="AV49" cm="1">
        <f t="array" ref="AV49">INDEX($AD$43:$BE$43, 1, MOD(COLUMNS($AD$48:AV49)-1 + INDEX(SHIFT_TBL,1,8), 28) + 1)</f>
        <v>1</v>
      </c>
      <c r="AW49" cm="1">
        <f t="array" ref="AW49">INDEX($AD$43:$BE$43, 1, MOD(COLUMNS($AD$48:AW49)-1 + INDEX(SHIFT_TBL,1,8), 28) + 1)</f>
        <v>0</v>
      </c>
      <c r="AX49" cm="1">
        <f t="array" ref="AX49">INDEX($AD$43:$BE$43, 1, MOD(COLUMNS($AD$48:AX49)-1 + INDEX(SHIFT_TBL,1,8), 28) + 1)</f>
        <v>1</v>
      </c>
      <c r="AY49" cm="1">
        <f t="array" ref="AY49">INDEX($AD$43:$BE$43, 1, MOD(COLUMNS($AD$48:AY49)-1 + INDEX(SHIFT_TBL,1,8), 28) + 1)</f>
        <v>0</v>
      </c>
      <c r="AZ49" cm="1">
        <f t="array" ref="AZ49">INDEX($AD$43:$BE$43, 1, MOD(COLUMNS($AD$48:AZ49)-1 + INDEX(SHIFT_TBL,1,8), 28) + 1)</f>
        <v>1</v>
      </c>
      <c r="BA49" cm="1">
        <f t="array" ref="BA49">INDEX($AD$43:$BE$43, 1, MOD(COLUMNS($AD$48:BA49)-1 + INDEX(SHIFT_TBL,1,8), 28) + 1)</f>
        <v>1</v>
      </c>
      <c r="BB49" cm="1">
        <f t="array" ref="BB49">INDEX($AD$43:$BE$43, 1, MOD(COLUMNS($AD$48:BB49)-1 + INDEX(SHIFT_TBL,1,8), 28) + 1)</f>
        <v>0</v>
      </c>
      <c r="BC49" cm="1">
        <f t="array" ref="BC49">INDEX($AD$43:$BE$43, 1, MOD(COLUMNS($AD$48:BC49)-1 + INDEX(SHIFT_TBL,1,8), 28) + 1)</f>
        <v>0</v>
      </c>
      <c r="BD49" cm="1">
        <f t="array" ref="BD49">INDEX($AD$43:$BE$43, 1, MOD(COLUMNS($AD$48:BD49)-1 + INDEX(SHIFT_TBL,1,8), 28) + 1)</f>
        <v>1</v>
      </c>
      <c r="BE49" cm="1">
        <f t="array" ref="BE49">INDEX($AD$43:$BE$43, 1, MOD(COLUMNS($AD$48:BE49)-1 + INDEX(SHIFT_TBL,1,8), 28) + 1)</f>
        <v>1</v>
      </c>
    </row>
    <row r="50" spans="1:57" x14ac:dyDescent="0.35">
      <c r="A50" s="3" t="s">
        <v>58</v>
      </c>
      <c r="B50" cm="1">
        <f t="array" ref="B50">INDEX($B$48:$BE$48, 1, INDEX(PC2_TBL, COLUMNS($B$50:B50)))</f>
        <v>1</v>
      </c>
      <c r="C50" cm="1">
        <f t="array" ref="C50">INDEX($B$48:$BE$48, 1, INDEX(PC2_TBL, COLUMNS($B$50:C50)))</f>
        <v>1</v>
      </c>
      <c r="D50" cm="1">
        <f t="array" ref="D50">INDEX($B$48:$BE$48, 1, INDEX(PC2_TBL, COLUMNS($B$50:D50)))</f>
        <v>1</v>
      </c>
      <c r="E50" cm="1">
        <f t="array" ref="E50">INDEX($B$48:$BE$48, 1, INDEX(PC2_TBL, COLUMNS($B$50:E50)))</f>
        <v>1</v>
      </c>
      <c r="F50" cm="1">
        <f t="array" ref="F50">INDEX($B$48:$BE$48, 1, INDEX(PC2_TBL, COLUMNS($B$50:F50)))</f>
        <v>0</v>
      </c>
      <c r="G50" cm="1">
        <f t="array" ref="G50">INDEX($B$48:$BE$48, 1, INDEX(PC2_TBL, COLUMNS($B$50:G50)))</f>
        <v>1</v>
      </c>
      <c r="H50" cm="1">
        <f t="array" ref="H50">INDEX($B$48:$BE$48, 1, INDEX(PC2_TBL, COLUMNS($B$50:H50)))</f>
        <v>1</v>
      </c>
      <c r="I50" cm="1">
        <f t="array" ref="I50">INDEX($B$48:$BE$48, 1, INDEX(PC2_TBL, COLUMNS($B$50:I50)))</f>
        <v>1</v>
      </c>
      <c r="J50" cm="1">
        <f t="array" ref="J50">INDEX($B$48:$BE$48, 1, INDEX(PC2_TBL, COLUMNS($B$50:J50)))</f>
        <v>1</v>
      </c>
      <c r="K50" cm="1">
        <f t="array" ref="K50">INDEX($B$48:$BE$48, 1, INDEX(PC2_TBL, COLUMNS($B$50:K50)))</f>
        <v>0</v>
      </c>
      <c r="L50" cm="1">
        <f t="array" ref="L50">INDEX($B$48:$BE$48, 1, INDEX(PC2_TBL, COLUMNS($B$50:L50)))</f>
        <v>0</v>
      </c>
      <c r="M50" cm="1">
        <f t="array" ref="M50">INDEX($B$48:$BE$48, 1, INDEX(PC2_TBL, COLUMNS($B$50:M50)))</f>
        <v>0</v>
      </c>
      <c r="N50" cm="1">
        <f t="array" ref="N50">INDEX($B$48:$BE$48, 1, INDEX(PC2_TBL, COLUMNS($B$50:N50)))</f>
        <v>1</v>
      </c>
      <c r="O50" cm="1">
        <f t="array" ref="O50">INDEX($B$48:$BE$48, 1, INDEX(PC2_TBL, COLUMNS($B$50:O50)))</f>
        <v>0</v>
      </c>
      <c r="P50" cm="1">
        <f t="array" ref="P50">INDEX($B$48:$BE$48, 1, INDEX(PC2_TBL, COLUMNS($B$50:P50)))</f>
        <v>0</v>
      </c>
      <c r="Q50" cm="1">
        <f t="array" ref="Q50">INDEX($B$48:$BE$48, 1, INDEX(PC2_TBL, COLUMNS($B$50:Q50)))</f>
        <v>0</v>
      </c>
      <c r="R50" cm="1">
        <f t="array" ref="R50">INDEX($B$48:$BE$48, 1, INDEX(PC2_TBL, COLUMNS($B$50:R50)))</f>
        <v>0</v>
      </c>
      <c r="S50" cm="1">
        <f t="array" ref="S50">INDEX($B$48:$BE$48, 1, INDEX(PC2_TBL, COLUMNS($B$50:S50)))</f>
        <v>0</v>
      </c>
      <c r="T50" cm="1">
        <f t="array" ref="T50">INDEX($B$48:$BE$48, 1, INDEX(PC2_TBL, COLUMNS($B$50:T50)))</f>
        <v>1</v>
      </c>
      <c r="U50" cm="1">
        <f t="array" ref="U50">INDEX($B$48:$BE$48, 1, INDEX(PC2_TBL, COLUMNS($B$50:U50)))</f>
        <v>1</v>
      </c>
      <c r="V50" cm="1">
        <f t="array" ref="V50">INDEX($B$48:$BE$48, 1, INDEX(PC2_TBL, COLUMNS($B$50:V50)))</f>
        <v>1</v>
      </c>
      <c r="W50" cm="1">
        <f t="array" ref="W50">INDEX($B$48:$BE$48, 1, INDEX(PC2_TBL, COLUMNS($B$50:W50)))</f>
        <v>0</v>
      </c>
      <c r="X50" cm="1">
        <f t="array" ref="X50">INDEX($B$48:$BE$48, 1, INDEX(PC2_TBL, COLUMNS($B$50:X50)))</f>
        <v>1</v>
      </c>
      <c r="Y50" cm="1">
        <f t="array" ref="Y50">INDEX($B$48:$BE$48, 1, INDEX(PC2_TBL, COLUMNS($B$50:Y50)))</f>
        <v>0</v>
      </c>
      <c r="Z50" cm="1">
        <f t="array" ref="Z50">INDEX($B$48:$BE$48, 1, INDEX(PC2_TBL, COLUMNS($B$50:Z50)))</f>
        <v>1</v>
      </c>
      <c r="AA50" cm="1">
        <f t="array" ref="AA50">INDEX($B$48:$BE$48, 1, INDEX(PC2_TBL, COLUMNS($B$50:AA50)))</f>
        <v>1</v>
      </c>
      <c r="AB50" cm="1">
        <f t="array" ref="AB50">INDEX($B$48:$BE$48, 1, INDEX(PC2_TBL, COLUMNS($B$50:AB50)))</f>
        <v>1</v>
      </c>
      <c r="AC50" cm="1">
        <f t="array" ref="AC50">INDEX($B$48:$BE$48, 1, INDEX(PC2_TBL, COLUMNS($B$50:AC50)))</f>
        <v>0</v>
      </c>
      <c r="AD50" cm="1">
        <f t="array" ref="AD50">INDEX($B$48:$BE$48, 1, INDEX(PC2_TBL, COLUMNS($B$50:AD50)))</f>
        <v>1</v>
      </c>
      <c r="AE50" cm="1">
        <f t="array" ref="AE50">INDEX($B$48:$BE$48, 1, INDEX(PC2_TBL, COLUMNS($B$50:AE50)))</f>
        <v>1</v>
      </c>
      <c r="AF50" cm="1">
        <f t="array" ref="AF50">INDEX($B$48:$BE$48, 1, INDEX(PC2_TBL, COLUMNS($B$50:AF50)))</f>
        <v>0</v>
      </c>
      <c r="AG50" cm="1">
        <f t="array" ref="AG50">INDEX($B$48:$BE$48, 1, INDEX(PC2_TBL, COLUMNS($B$50:AG50)))</f>
        <v>0</v>
      </c>
      <c r="AH50" cm="1">
        <f t="array" ref="AH50">INDEX($B$48:$BE$48, 1, INDEX(PC2_TBL, COLUMNS($B$50:AH50)))</f>
        <v>1</v>
      </c>
      <c r="AI50" cm="1">
        <f t="array" ref="AI50">INDEX($B$48:$BE$48, 1, INDEX(PC2_TBL, COLUMNS($B$50:AI50)))</f>
        <v>1</v>
      </c>
      <c r="AJ50" cm="1">
        <f t="array" ref="AJ50">INDEX($B$48:$BE$48, 1, INDEX(PC2_TBL, COLUMNS($B$50:AJ50)))</f>
        <v>1</v>
      </c>
      <c r="AK50" cm="1">
        <f t="array" ref="AK50">INDEX($B$48:$BE$48, 1, INDEX(PC2_TBL, COLUMNS($B$50:AK50)))</f>
        <v>0</v>
      </c>
      <c r="AL50" cm="1">
        <f t="array" ref="AL50">INDEX($B$48:$BE$48, 1, INDEX(PC2_TBL, COLUMNS($B$50:AL50)))</f>
        <v>0</v>
      </c>
      <c r="AM50" cm="1">
        <f t="array" ref="AM50">INDEX($B$48:$BE$48, 1, INDEX(PC2_TBL, COLUMNS($B$50:AM50)))</f>
        <v>1</v>
      </c>
      <c r="AN50" cm="1">
        <f t="array" ref="AN50">INDEX($B$48:$BE$48, 1, INDEX(PC2_TBL, COLUMNS($B$50:AN50)))</f>
        <v>1</v>
      </c>
      <c r="AO50" cm="1">
        <f t="array" ref="AO50">INDEX($B$48:$BE$48, 1, INDEX(PC2_TBL, COLUMNS($B$50:AO50)))</f>
        <v>1</v>
      </c>
      <c r="AP50" cm="1">
        <f t="array" ref="AP50">INDEX($B$48:$BE$48, 1, INDEX(PC2_TBL, COLUMNS($B$50:AP50)))</f>
        <v>1</v>
      </c>
      <c r="AQ50" cm="1">
        <f t="array" ref="AQ50">INDEX($B$48:$BE$48, 1, INDEX(PC2_TBL, COLUMNS($B$50:AQ50)))</f>
        <v>0</v>
      </c>
      <c r="AR50" cm="1">
        <f t="array" ref="AR50">INDEX($B$48:$BE$48, 1, INDEX(PC2_TBL, COLUMNS($B$50:AR50)))</f>
        <v>0</v>
      </c>
      <c r="AS50" cm="1">
        <f t="array" ref="AS50">INDEX($B$48:$BE$48, 1, INDEX(PC2_TBL, COLUMNS($B$50:AS50)))</f>
        <v>0</v>
      </c>
      <c r="AT50" cm="1">
        <f t="array" ref="AT50">INDEX($B$48:$BE$48, 1, INDEX(PC2_TBL, COLUMNS($B$50:AT50)))</f>
        <v>0</v>
      </c>
      <c r="AU50" cm="1">
        <f t="array" ref="AU50">INDEX($B$48:$BE$48, 1, INDEX(PC2_TBL, COLUMNS($B$50:AU50)))</f>
        <v>0</v>
      </c>
      <c r="AV50" cm="1">
        <f t="array" ref="AV50">INDEX($B$48:$BE$48, 1, INDEX(PC2_TBL, COLUMNS($B$50:AV50)))</f>
        <v>0</v>
      </c>
      <c r="AW50" cm="1">
        <f t="array" ref="AW50">INDEX($B$48:$BE$48, 1, INDEX(PC2_TBL, COLUMNS($B$50:AW50)))</f>
        <v>1</v>
      </c>
    </row>
    <row r="51" spans="1:57" x14ac:dyDescent="0.35">
      <c r="A51" s="3"/>
    </row>
    <row r="52" spans="1:57" x14ac:dyDescent="0.35">
      <c r="A52" t="s">
        <v>61</v>
      </c>
      <c r="AD52" t="s">
        <v>69</v>
      </c>
    </row>
    <row r="53" spans="1:57" x14ac:dyDescent="0.35">
      <c r="A53" s="3" t="s">
        <v>62</v>
      </c>
      <c r="B53" cm="1">
        <f t="array" ref="B53">INDEX($B$48:$AC$48, 1, MOD(COLUMNS($B$53:B53)-1 + INDEX(SHIFT_TBL,1,9), 28) + 1)</f>
        <v>0</v>
      </c>
      <c r="C53" cm="1">
        <f t="array" ref="C53">INDEX($B$48:$AC$48, 1, MOD(COLUMNS($B$53:C53)-1 + INDEX(SHIFT_TBL,1,9), 28) + 1)</f>
        <v>1</v>
      </c>
      <c r="D53" cm="1">
        <f t="array" ref="D53">INDEX($B$48:$AC$48, 1, MOD(COLUMNS($B$53:D53)-1 + INDEX(SHIFT_TBL,1,9), 28) + 1)</f>
        <v>0</v>
      </c>
      <c r="E53" cm="1">
        <f t="array" ref="E53">INDEX($B$48:$AC$48, 1, MOD(COLUMNS($B$53:E53)-1 + INDEX(SHIFT_TBL,1,9), 28) + 1)</f>
        <v>1</v>
      </c>
      <c r="F53" cm="1">
        <f t="array" ref="F53">INDEX($B$48:$AC$48, 1, MOD(COLUMNS($B$53:F53)-1 + INDEX(SHIFT_TBL,1,9), 28) + 1)</f>
        <v>0</v>
      </c>
      <c r="G53" cm="1">
        <f t="array" ref="G53">INDEX($B$48:$AC$48, 1, MOD(COLUMNS($B$53:G53)-1 + INDEX(SHIFT_TBL,1,9), 28) + 1)</f>
        <v>1</v>
      </c>
      <c r="H53" cm="1">
        <f t="array" ref="H53">INDEX($B$48:$AC$48, 1, MOD(COLUMNS($B$53:H53)-1 + INDEX(SHIFT_TBL,1,9), 28) + 1)</f>
        <v>0</v>
      </c>
      <c r="I53" cm="1">
        <f t="array" ref="I53">INDEX($B$48:$AC$48, 1, MOD(COLUMNS($B$53:I53)-1 + INDEX(SHIFT_TBL,1,9), 28) + 1)</f>
        <v>1</v>
      </c>
      <c r="J53" cm="1">
        <f t="array" ref="J53">INDEX($B$48:$AC$48, 1, MOD(COLUMNS($B$53:J53)-1 + INDEX(SHIFT_TBL,1,9), 28) + 1)</f>
        <v>0</v>
      </c>
      <c r="K53" cm="1">
        <f t="array" ref="K53">INDEX($B$48:$AC$48, 1, MOD(COLUMNS($B$53:K53)-1 + INDEX(SHIFT_TBL,1,9), 28) + 1)</f>
        <v>1</v>
      </c>
      <c r="L53" cm="1">
        <f t="array" ref="L53">INDEX($B$48:$AC$48, 1, MOD(COLUMNS($B$53:L53)-1 + INDEX(SHIFT_TBL,1,9), 28) + 1)</f>
        <v>0</v>
      </c>
      <c r="M53" cm="1">
        <f t="array" ref="M53">INDEX($B$48:$AC$48, 1, MOD(COLUMNS($B$53:M53)-1 + INDEX(SHIFT_TBL,1,9), 28) + 1)</f>
        <v>1</v>
      </c>
      <c r="N53" cm="1">
        <f t="array" ref="N53">INDEX($B$48:$AC$48, 1, MOD(COLUMNS($B$53:N53)-1 + INDEX(SHIFT_TBL,1,9), 28) + 1)</f>
        <v>1</v>
      </c>
      <c r="O53" cm="1">
        <f t="array" ref="O53">INDEX($B$48:$AC$48, 1, MOD(COLUMNS($B$53:O53)-1 + INDEX(SHIFT_TBL,1,9), 28) + 1)</f>
        <v>1</v>
      </c>
      <c r="P53" cm="1">
        <f t="array" ref="P53">INDEX($B$48:$AC$48, 1, MOD(COLUMNS($B$53:P53)-1 + INDEX(SHIFT_TBL,1,9), 28) + 1)</f>
        <v>1</v>
      </c>
      <c r="Q53" cm="1">
        <f t="array" ref="Q53">INDEX($B$48:$AC$48, 1, MOD(COLUMNS($B$53:Q53)-1 + INDEX(SHIFT_TBL,1,9), 28) + 1)</f>
        <v>1</v>
      </c>
      <c r="R53" cm="1">
        <f t="array" ref="R53">INDEX($B$48:$AC$48, 1, MOD(COLUMNS($B$53:R53)-1 + INDEX(SHIFT_TBL,1,9), 28) + 1)</f>
        <v>1</v>
      </c>
      <c r="S53" cm="1">
        <f t="array" ref="S53">INDEX($B$48:$AC$48, 1, MOD(COLUMNS($B$53:S53)-1 + INDEX(SHIFT_TBL,1,9), 28) + 1)</f>
        <v>0</v>
      </c>
      <c r="T53" cm="1">
        <f t="array" ref="T53">INDEX($B$48:$AC$48, 1, MOD(COLUMNS($B$53:T53)-1 + INDEX(SHIFT_TBL,1,9), 28) + 1)</f>
        <v>0</v>
      </c>
      <c r="U53" cm="1">
        <f t="array" ref="U53">INDEX($B$48:$AC$48, 1, MOD(COLUMNS($B$53:U53)-1 + INDEX(SHIFT_TBL,1,9), 28) + 1)</f>
        <v>0</v>
      </c>
      <c r="V53" cm="1">
        <f t="array" ref="V53">INDEX($B$48:$AC$48, 1, MOD(COLUMNS($B$53:V53)-1 + INDEX(SHIFT_TBL,1,9), 28) + 1)</f>
        <v>0</v>
      </c>
      <c r="W53" cm="1">
        <f t="array" ref="W53">INDEX($B$48:$AC$48, 1, MOD(COLUMNS($B$53:W53)-1 + INDEX(SHIFT_TBL,1,9), 28) + 1)</f>
        <v>1</v>
      </c>
      <c r="X53" cm="1">
        <f t="array" ref="X53">INDEX($B$48:$AC$48, 1, MOD(COLUMNS($B$53:X53)-1 + INDEX(SHIFT_TBL,1,9), 28) + 1)</f>
        <v>1</v>
      </c>
      <c r="Y53" cm="1">
        <f t="array" ref="Y53">INDEX($B$48:$AC$48, 1, MOD(COLUMNS($B$53:Y53)-1 + INDEX(SHIFT_TBL,1,9), 28) + 1)</f>
        <v>0</v>
      </c>
      <c r="Z53" cm="1">
        <f t="array" ref="Z53">INDEX($B$48:$AC$48, 1, MOD(COLUMNS($B$53:Z53)-1 + INDEX(SHIFT_TBL,1,9), 28) + 1)</f>
        <v>0</v>
      </c>
      <c r="AA53" cm="1">
        <f t="array" ref="AA53">INDEX($B$48:$AC$48, 1, MOD(COLUMNS($B$53:AA53)-1 + INDEX(SHIFT_TBL,1,9), 28) + 1)</f>
        <v>1</v>
      </c>
      <c r="AB53" cm="1">
        <f t="array" ref="AB53">INDEX($B$48:$AC$48, 1, MOD(COLUMNS($B$53:AB53)-1 + INDEX(SHIFT_TBL,1,9), 28) + 1)</f>
        <v>1</v>
      </c>
      <c r="AC53" cm="1">
        <f t="array" ref="AC53">INDEX($B$48:$AC$48, 1, MOD(COLUMNS($B$53:AC53)-1 + INDEX(SHIFT_TBL,1,9), 28) + 1)</f>
        <v>0</v>
      </c>
      <c r="AD53" cm="1">
        <f t="array" ref="AD53">INDEX($AD$48:$BE$48, 1, MOD(COLUMNS($AD$53:AD53)-1 + INDEX(SHIFT_TBL,1,9), 28) + 1)</f>
        <v>0</v>
      </c>
      <c r="AE53" cm="1">
        <f t="array" ref="AE53">INDEX($AD$48:$BE$48, 1, MOD(COLUMNS($AD$53:AE53)-1 + INDEX(SHIFT_TBL,1,9), 28) + 1)</f>
        <v>1</v>
      </c>
      <c r="AF53" cm="1">
        <f t="array" ref="AF53">INDEX($AD$48:$BE$48, 1, MOD(COLUMNS($AD$53:AF53)-1 + INDEX(SHIFT_TBL,1,9), 28) + 1)</f>
        <v>1</v>
      </c>
      <c r="AG53" cm="1">
        <f t="array" ref="AG53">INDEX($AD$48:$BE$48, 1, MOD(COLUMNS($AD$53:AG53)-1 + INDEX(SHIFT_TBL,1,9), 28) + 1)</f>
        <v>1</v>
      </c>
      <c r="AH53" cm="1">
        <f t="array" ref="AH53">INDEX($AD$48:$BE$48, 1, MOD(COLUMNS($AD$53:AH53)-1 + INDEX(SHIFT_TBL,1,9), 28) + 1)</f>
        <v>1</v>
      </c>
      <c r="AI53" cm="1">
        <f t="array" ref="AI53">INDEX($AD$48:$BE$48, 1, MOD(COLUMNS($AD$53:AI53)-1 + INDEX(SHIFT_TBL,1,9), 28) + 1)</f>
        <v>0</v>
      </c>
      <c r="AJ53" cm="1">
        <f t="array" ref="AJ53">INDEX($AD$48:$BE$48, 1, MOD(COLUMNS($AD$53:AJ53)-1 + INDEX(SHIFT_TBL,1,9), 28) + 1)</f>
        <v>0</v>
      </c>
      <c r="AK53" cm="1">
        <f t="array" ref="AK53">INDEX($AD$48:$BE$48, 1, MOD(COLUMNS($AD$53:AK53)-1 + INDEX(SHIFT_TBL,1,9), 28) + 1)</f>
        <v>0</v>
      </c>
      <c r="AL53" cm="1">
        <f t="array" ref="AL53">INDEX($AD$48:$BE$48, 1, MOD(COLUMNS($AD$53:AL53)-1 + INDEX(SHIFT_TBL,1,9), 28) + 1)</f>
        <v>0</v>
      </c>
      <c r="AM53" cm="1">
        <f t="array" ref="AM53">INDEX($AD$48:$BE$48, 1, MOD(COLUMNS($AD$53:AM53)-1 + INDEX(SHIFT_TBL,1,9), 28) + 1)</f>
        <v>1</v>
      </c>
      <c r="AN53" cm="1">
        <f t="array" ref="AN53">INDEX($AD$48:$BE$48, 1, MOD(COLUMNS($AD$53:AN53)-1 + INDEX(SHIFT_TBL,1,9), 28) + 1)</f>
        <v>0</v>
      </c>
      <c r="AO53" cm="1">
        <f t="array" ref="AO53">INDEX($AD$48:$BE$48, 1, MOD(COLUMNS($AD$53:AO53)-1 + INDEX(SHIFT_TBL,1,9), 28) + 1)</f>
        <v>1</v>
      </c>
      <c r="AP53" cm="1">
        <f t="array" ref="AP53">INDEX($AD$48:$BE$48, 1, MOD(COLUMNS($AD$53:AP53)-1 + INDEX(SHIFT_TBL,1,9), 28) + 1)</f>
        <v>0</v>
      </c>
      <c r="AQ53" cm="1">
        <f t="array" ref="AQ53">INDEX($AD$48:$BE$48, 1, MOD(COLUMNS($AD$53:AQ53)-1 + INDEX(SHIFT_TBL,1,9), 28) + 1)</f>
        <v>1</v>
      </c>
      <c r="AR53" cm="1">
        <f t="array" ref="AR53">INDEX($AD$48:$BE$48, 1, MOD(COLUMNS($AD$53:AR53)-1 + INDEX(SHIFT_TBL,1,9), 28) + 1)</f>
        <v>0</v>
      </c>
      <c r="AS53" cm="1">
        <f t="array" ref="AS53">INDEX($AD$48:$BE$48, 1, MOD(COLUMNS($AD$53:AS53)-1 + INDEX(SHIFT_TBL,1,9), 28) + 1)</f>
        <v>1</v>
      </c>
      <c r="AT53" cm="1">
        <f t="array" ref="AT53">INDEX($AD$48:$BE$48, 1, MOD(COLUMNS($AD$53:AT53)-1 + INDEX(SHIFT_TBL,1,9), 28) + 1)</f>
        <v>0</v>
      </c>
      <c r="AU53" cm="1">
        <f t="array" ref="AU53">INDEX($AD$48:$BE$48, 1, MOD(COLUMNS($AD$53:AU53)-1 + INDEX(SHIFT_TBL,1,9), 28) + 1)</f>
        <v>1</v>
      </c>
      <c r="AV53" cm="1">
        <f t="array" ref="AV53">INDEX($AD$48:$BE$48, 1, MOD(COLUMNS($AD$53:AV53)-1 + INDEX(SHIFT_TBL,1,9), 28) + 1)</f>
        <v>0</v>
      </c>
      <c r="AW53" cm="1">
        <f t="array" ref="AW53">INDEX($AD$48:$BE$48, 1, MOD(COLUMNS($AD$53:AW53)-1 + INDEX(SHIFT_TBL,1,9), 28) + 1)</f>
        <v>1</v>
      </c>
      <c r="AX53" cm="1">
        <f t="array" ref="AX53">INDEX($AD$48:$BE$48, 1, MOD(COLUMNS($AD$53:AX53)-1 + INDEX(SHIFT_TBL,1,9), 28) + 1)</f>
        <v>0</v>
      </c>
      <c r="AY53" cm="1">
        <f t="array" ref="AY53">INDEX($AD$48:$BE$48, 1, MOD(COLUMNS($AD$53:AY53)-1 + INDEX(SHIFT_TBL,1,9), 28) + 1)</f>
        <v>1</v>
      </c>
      <c r="AZ53" cm="1">
        <f t="array" ref="AZ53">INDEX($AD$48:$BE$48, 1, MOD(COLUMNS($AD$53:AZ53)-1 + INDEX(SHIFT_TBL,1,9), 28) + 1)</f>
        <v>1</v>
      </c>
      <c r="BA53" cm="1">
        <f t="array" ref="BA53">INDEX($AD$48:$BE$48, 1, MOD(COLUMNS($AD$53:BA53)-1 + INDEX(SHIFT_TBL,1,9), 28) + 1)</f>
        <v>0</v>
      </c>
      <c r="BB53" cm="1">
        <f t="array" ref="BB53">INDEX($AD$48:$BE$48, 1, MOD(COLUMNS($AD$53:BB53)-1 + INDEX(SHIFT_TBL,1,9), 28) + 1)</f>
        <v>0</v>
      </c>
      <c r="BC53" cm="1">
        <f t="array" ref="BC53">INDEX($AD$48:$BE$48, 1, MOD(COLUMNS($AD$53:BC53)-1 + INDEX(SHIFT_TBL,1,9), 28) + 1)</f>
        <v>1</v>
      </c>
      <c r="BD53" cm="1">
        <f t="array" ref="BD53">INDEX($AD$48:$BE$48, 1, MOD(COLUMNS($AD$53:BD53)-1 + INDEX(SHIFT_TBL,1,9), 28) + 1)</f>
        <v>1</v>
      </c>
      <c r="BE53" cm="1">
        <f t="array" ref="BE53">INDEX($AD$48:$BE$48, 1, MOD(COLUMNS($AD$53:BE53)-1 + INDEX(SHIFT_TBL,1,9), 28) + 1)</f>
        <v>0</v>
      </c>
    </row>
    <row r="54" spans="1:57" x14ac:dyDescent="0.35">
      <c r="A54" s="3" t="s">
        <v>63</v>
      </c>
      <c r="B54" cm="1">
        <f t="array" ref="B54">INDEX($B$48:$AC$48, 1, MOD(COLUMNS($B$53:B54)-1 + INDEX(SHIFT_TBL,1,9), 28) + 1)</f>
        <v>0</v>
      </c>
      <c r="C54" cm="1">
        <f t="array" ref="C54">INDEX($B$48:$AC$48, 1, MOD(COLUMNS($B$53:C54)-1 + INDEX(SHIFT_TBL,1,9), 28) + 1)</f>
        <v>1</v>
      </c>
      <c r="D54" cm="1">
        <f t="array" ref="D54">INDEX($B$48:$AC$48, 1, MOD(COLUMNS($B$53:D54)-1 + INDEX(SHIFT_TBL,1,9), 28) + 1)</f>
        <v>0</v>
      </c>
      <c r="E54" cm="1">
        <f t="array" ref="E54">INDEX($B$48:$AC$48, 1, MOD(COLUMNS($B$53:E54)-1 + INDEX(SHIFT_TBL,1,9), 28) + 1)</f>
        <v>1</v>
      </c>
      <c r="F54" cm="1">
        <f t="array" ref="F54">INDEX($B$48:$AC$48, 1, MOD(COLUMNS($B$53:F54)-1 + INDEX(SHIFT_TBL,1,9), 28) + 1)</f>
        <v>0</v>
      </c>
      <c r="G54" cm="1">
        <f t="array" ref="G54">INDEX($B$48:$AC$48, 1, MOD(COLUMNS($B$53:G54)-1 + INDEX(SHIFT_TBL,1,9), 28) + 1)</f>
        <v>1</v>
      </c>
      <c r="H54" cm="1">
        <f t="array" ref="H54">INDEX($B$48:$AC$48, 1, MOD(COLUMNS($B$53:H54)-1 + INDEX(SHIFT_TBL,1,9), 28) + 1)</f>
        <v>0</v>
      </c>
      <c r="I54" cm="1">
        <f t="array" ref="I54">INDEX($B$48:$AC$48, 1, MOD(COLUMNS($B$53:I54)-1 + INDEX(SHIFT_TBL,1,9), 28) + 1)</f>
        <v>1</v>
      </c>
      <c r="J54" cm="1">
        <f t="array" ref="J54">INDEX($B$48:$AC$48, 1, MOD(COLUMNS($B$53:J54)-1 + INDEX(SHIFT_TBL,1,9), 28) + 1)</f>
        <v>0</v>
      </c>
      <c r="K54" cm="1">
        <f t="array" ref="K54">INDEX($B$48:$AC$48, 1, MOD(COLUMNS($B$53:K54)-1 + INDEX(SHIFT_TBL,1,9), 28) + 1)</f>
        <v>1</v>
      </c>
      <c r="L54" cm="1">
        <f t="array" ref="L54">INDEX($B$48:$AC$48, 1, MOD(COLUMNS($B$53:L54)-1 + INDEX(SHIFT_TBL,1,9), 28) + 1)</f>
        <v>0</v>
      </c>
      <c r="M54" cm="1">
        <f t="array" ref="M54">INDEX($B$48:$AC$48, 1, MOD(COLUMNS($B$53:M54)-1 + INDEX(SHIFT_TBL,1,9), 28) + 1)</f>
        <v>1</v>
      </c>
      <c r="N54" cm="1">
        <f t="array" ref="N54">INDEX($B$48:$AC$48, 1, MOD(COLUMNS($B$53:N54)-1 + INDEX(SHIFT_TBL,1,9), 28) + 1)</f>
        <v>1</v>
      </c>
      <c r="O54" cm="1">
        <f t="array" ref="O54">INDEX($B$48:$AC$48, 1, MOD(COLUMNS($B$53:O54)-1 + INDEX(SHIFT_TBL,1,9), 28) + 1)</f>
        <v>1</v>
      </c>
      <c r="P54" cm="1">
        <f t="array" ref="P54">INDEX($B$48:$AC$48, 1, MOD(COLUMNS($B$53:P54)-1 + INDEX(SHIFT_TBL,1,9), 28) + 1)</f>
        <v>1</v>
      </c>
      <c r="Q54" cm="1">
        <f t="array" ref="Q54">INDEX($B$48:$AC$48, 1, MOD(COLUMNS($B$53:Q54)-1 + INDEX(SHIFT_TBL,1,9), 28) + 1)</f>
        <v>1</v>
      </c>
      <c r="R54" cm="1">
        <f t="array" ref="R54">INDEX($B$48:$AC$48, 1, MOD(COLUMNS($B$53:R54)-1 + INDEX(SHIFT_TBL,1,9), 28) + 1)</f>
        <v>1</v>
      </c>
      <c r="S54" cm="1">
        <f t="array" ref="S54">INDEX($B$48:$AC$48, 1, MOD(COLUMNS($B$53:S54)-1 + INDEX(SHIFT_TBL,1,9), 28) + 1)</f>
        <v>0</v>
      </c>
      <c r="T54" cm="1">
        <f t="array" ref="T54">INDEX($B$48:$AC$48, 1, MOD(COLUMNS($B$53:T54)-1 + INDEX(SHIFT_TBL,1,9), 28) + 1)</f>
        <v>0</v>
      </c>
      <c r="U54" cm="1">
        <f t="array" ref="U54">INDEX($B$48:$AC$48, 1, MOD(COLUMNS($B$53:U54)-1 + INDEX(SHIFT_TBL,1,9), 28) + 1)</f>
        <v>0</v>
      </c>
      <c r="V54" cm="1">
        <f t="array" ref="V54">INDEX($B$48:$AC$48, 1, MOD(COLUMNS($B$53:V54)-1 + INDEX(SHIFT_TBL,1,9), 28) + 1)</f>
        <v>0</v>
      </c>
      <c r="W54" cm="1">
        <f t="array" ref="W54">INDEX($B$48:$AC$48, 1, MOD(COLUMNS($B$53:W54)-1 + INDEX(SHIFT_TBL,1,9), 28) + 1)</f>
        <v>1</v>
      </c>
      <c r="X54" cm="1">
        <f t="array" ref="X54">INDEX($B$48:$AC$48, 1, MOD(COLUMNS($B$53:X54)-1 + INDEX(SHIFT_TBL,1,9), 28) + 1)</f>
        <v>1</v>
      </c>
      <c r="Y54" cm="1">
        <f t="array" ref="Y54">INDEX($B$48:$AC$48, 1, MOD(COLUMNS($B$53:Y54)-1 + INDEX(SHIFT_TBL,1,9), 28) + 1)</f>
        <v>0</v>
      </c>
      <c r="Z54" cm="1">
        <f t="array" ref="Z54">INDEX($B$48:$AC$48, 1, MOD(COLUMNS($B$53:Z54)-1 + INDEX(SHIFT_TBL,1,9), 28) + 1)</f>
        <v>0</v>
      </c>
      <c r="AA54" cm="1">
        <f t="array" ref="AA54">INDEX($B$48:$AC$48, 1, MOD(COLUMNS($B$53:AA54)-1 + INDEX(SHIFT_TBL,1,9), 28) + 1)</f>
        <v>1</v>
      </c>
      <c r="AB54" cm="1">
        <f t="array" ref="AB54">INDEX($B$48:$AC$48, 1, MOD(COLUMNS($B$53:AB54)-1 + INDEX(SHIFT_TBL,1,9), 28) + 1)</f>
        <v>1</v>
      </c>
      <c r="AC54" cm="1">
        <f t="array" ref="AC54">INDEX($B$48:$AC$48, 1, MOD(COLUMNS($B$53:AC54)-1 + INDEX(SHIFT_TBL,1,9), 28) + 1)</f>
        <v>0</v>
      </c>
      <c r="AD54" cm="1">
        <f t="array" ref="AD54">INDEX($AD$48:$BE$48, 1, MOD(COLUMNS($AD$53:AD54)-1 + INDEX(SHIFT_TBL,1,9), 28) + 1)</f>
        <v>0</v>
      </c>
      <c r="AE54" cm="1">
        <f t="array" ref="AE54">INDEX($AD$48:$BE$48, 1, MOD(COLUMNS($AD$53:AE54)-1 + INDEX(SHIFT_TBL,1,9), 28) + 1)</f>
        <v>1</v>
      </c>
      <c r="AF54" cm="1">
        <f t="array" ref="AF54">INDEX($AD$48:$BE$48, 1, MOD(COLUMNS($AD$53:AF54)-1 + INDEX(SHIFT_TBL,1,9), 28) + 1)</f>
        <v>1</v>
      </c>
      <c r="AG54" cm="1">
        <f t="array" ref="AG54">INDEX($AD$48:$BE$48, 1, MOD(COLUMNS($AD$53:AG54)-1 + INDEX(SHIFT_TBL,1,9), 28) + 1)</f>
        <v>1</v>
      </c>
      <c r="AH54" cm="1">
        <f t="array" ref="AH54">INDEX($AD$48:$BE$48, 1, MOD(COLUMNS($AD$53:AH54)-1 + INDEX(SHIFT_TBL,1,9), 28) + 1)</f>
        <v>1</v>
      </c>
      <c r="AI54" cm="1">
        <f t="array" ref="AI54">INDEX($AD$48:$BE$48, 1, MOD(COLUMNS($AD$53:AI54)-1 + INDEX(SHIFT_TBL,1,9), 28) + 1)</f>
        <v>0</v>
      </c>
      <c r="AJ54" cm="1">
        <f t="array" ref="AJ54">INDEX($AD$48:$BE$48, 1, MOD(COLUMNS($AD$53:AJ54)-1 + INDEX(SHIFT_TBL,1,9), 28) + 1)</f>
        <v>0</v>
      </c>
      <c r="AK54" cm="1">
        <f t="array" ref="AK54">INDEX($AD$48:$BE$48, 1, MOD(COLUMNS($AD$53:AK54)-1 + INDEX(SHIFT_TBL,1,9), 28) + 1)</f>
        <v>0</v>
      </c>
      <c r="AL54" cm="1">
        <f t="array" ref="AL54">INDEX($AD$48:$BE$48, 1, MOD(COLUMNS($AD$53:AL54)-1 + INDEX(SHIFT_TBL,1,9), 28) + 1)</f>
        <v>0</v>
      </c>
      <c r="AM54" cm="1">
        <f t="array" ref="AM54">INDEX($AD$48:$BE$48, 1, MOD(COLUMNS($AD$53:AM54)-1 + INDEX(SHIFT_TBL,1,9), 28) + 1)</f>
        <v>1</v>
      </c>
      <c r="AN54" cm="1">
        <f t="array" ref="AN54">INDEX($AD$48:$BE$48, 1, MOD(COLUMNS($AD$53:AN54)-1 + INDEX(SHIFT_TBL,1,9), 28) + 1)</f>
        <v>0</v>
      </c>
      <c r="AO54" cm="1">
        <f t="array" ref="AO54">INDEX($AD$48:$BE$48, 1, MOD(COLUMNS($AD$53:AO54)-1 + INDEX(SHIFT_TBL,1,9), 28) + 1)</f>
        <v>1</v>
      </c>
      <c r="AP54" cm="1">
        <f t="array" ref="AP54">INDEX($AD$48:$BE$48, 1, MOD(COLUMNS($AD$53:AP54)-1 + INDEX(SHIFT_TBL,1,9), 28) + 1)</f>
        <v>0</v>
      </c>
      <c r="AQ54" cm="1">
        <f t="array" ref="AQ54">INDEX($AD$48:$BE$48, 1, MOD(COLUMNS($AD$53:AQ54)-1 + INDEX(SHIFT_TBL,1,9), 28) + 1)</f>
        <v>1</v>
      </c>
      <c r="AR54" cm="1">
        <f t="array" ref="AR54">INDEX($AD$48:$BE$48, 1, MOD(COLUMNS($AD$53:AR54)-1 + INDEX(SHIFT_TBL,1,9), 28) + 1)</f>
        <v>0</v>
      </c>
      <c r="AS54" cm="1">
        <f t="array" ref="AS54">INDEX($AD$48:$BE$48, 1, MOD(COLUMNS($AD$53:AS54)-1 + INDEX(SHIFT_TBL,1,9), 28) + 1)</f>
        <v>1</v>
      </c>
      <c r="AT54" cm="1">
        <f t="array" ref="AT54">INDEX($AD$48:$BE$48, 1, MOD(COLUMNS($AD$53:AT54)-1 + INDEX(SHIFT_TBL,1,9), 28) + 1)</f>
        <v>0</v>
      </c>
      <c r="AU54" cm="1">
        <f t="array" ref="AU54">INDEX($AD$48:$BE$48, 1, MOD(COLUMNS($AD$53:AU54)-1 + INDEX(SHIFT_TBL,1,9), 28) + 1)</f>
        <v>1</v>
      </c>
      <c r="AV54" cm="1">
        <f t="array" ref="AV54">INDEX($AD$48:$BE$48, 1, MOD(COLUMNS($AD$53:AV54)-1 + INDEX(SHIFT_TBL,1,9), 28) + 1)</f>
        <v>0</v>
      </c>
      <c r="AW54" cm="1">
        <f t="array" ref="AW54">INDEX($AD$48:$BE$48, 1, MOD(COLUMNS($AD$53:AW54)-1 + INDEX(SHIFT_TBL,1,9), 28) + 1)</f>
        <v>1</v>
      </c>
      <c r="AX54" cm="1">
        <f t="array" ref="AX54">INDEX($AD$48:$BE$48, 1, MOD(COLUMNS($AD$53:AX54)-1 + INDEX(SHIFT_TBL,1,9), 28) + 1)</f>
        <v>0</v>
      </c>
      <c r="AY54" cm="1">
        <f t="array" ref="AY54">INDEX($AD$48:$BE$48, 1, MOD(COLUMNS($AD$53:AY54)-1 + INDEX(SHIFT_TBL,1,9), 28) + 1)</f>
        <v>1</v>
      </c>
      <c r="AZ54" cm="1">
        <f t="array" ref="AZ54">INDEX($AD$48:$BE$48, 1, MOD(COLUMNS($AD$53:AZ54)-1 + INDEX(SHIFT_TBL,1,9), 28) + 1)</f>
        <v>1</v>
      </c>
      <c r="BA54" cm="1">
        <f t="array" ref="BA54">INDEX($AD$48:$BE$48, 1, MOD(COLUMNS($AD$53:BA54)-1 + INDEX(SHIFT_TBL,1,9), 28) + 1)</f>
        <v>0</v>
      </c>
      <c r="BB54" cm="1">
        <f t="array" ref="BB54">INDEX($AD$48:$BE$48, 1, MOD(COLUMNS($AD$53:BB54)-1 + INDEX(SHIFT_TBL,1,9), 28) + 1)</f>
        <v>0</v>
      </c>
      <c r="BC54" cm="1">
        <f t="array" ref="BC54">INDEX($AD$48:$BE$48, 1, MOD(COLUMNS($AD$53:BC54)-1 + INDEX(SHIFT_TBL,1,9), 28) + 1)</f>
        <v>1</v>
      </c>
      <c r="BD54" cm="1">
        <f t="array" ref="BD54">INDEX($AD$48:$BE$48, 1, MOD(COLUMNS($AD$53:BD54)-1 + INDEX(SHIFT_TBL,1,9), 28) + 1)</f>
        <v>1</v>
      </c>
      <c r="BE54" cm="1">
        <f t="array" ref="BE54">INDEX($AD$48:$BE$48, 1, MOD(COLUMNS($AD$53:BE54)-1 + INDEX(SHIFT_TBL,1,9), 28) + 1)</f>
        <v>0</v>
      </c>
    </row>
    <row r="55" spans="1:57" x14ac:dyDescent="0.35">
      <c r="A55" s="3" t="s">
        <v>64</v>
      </c>
      <c r="B55" cm="1">
        <f t="array" ref="B55">INDEX($B$53:$BE$53, 1, INDEX(PC2_TBL, COLUMNS($B$55:B55)))</f>
        <v>1</v>
      </c>
      <c r="C55" cm="1">
        <f t="array" ref="C55">INDEX($B$53:$BE$53, 1, INDEX(PC2_TBL, COLUMNS($B$55:C55)))</f>
        <v>1</v>
      </c>
      <c r="D55" cm="1">
        <f t="array" ref="D55">INDEX($B$53:$BE$53, 1, INDEX(PC2_TBL, COLUMNS($B$55:D55)))</f>
        <v>0</v>
      </c>
      <c r="E55" cm="1">
        <f t="array" ref="E55">INDEX($B$53:$BE$53, 1, INDEX(PC2_TBL, COLUMNS($B$55:E55)))</f>
        <v>0</v>
      </c>
      <c r="F55" cm="1">
        <f t="array" ref="F55">INDEX($B$53:$BE$53, 1, INDEX(PC2_TBL, COLUMNS($B$55:F55)))</f>
        <v>0</v>
      </c>
      <c r="G55" cm="1">
        <f t="array" ref="G55">INDEX($B$53:$BE$53, 1, INDEX(PC2_TBL, COLUMNS($B$55:G55)))</f>
        <v>0</v>
      </c>
      <c r="H55" cm="1">
        <f t="array" ref="H55">INDEX($B$53:$BE$53, 1, INDEX(PC2_TBL, COLUMNS($B$55:H55)))</f>
        <v>0</v>
      </c>
      <c r="I55" cm="1">
        <f t="array" ref="I55">INDEX($B$53:$BE$53, 1, INDEX(PC2_TBL, COLUMNS($B$55:I55)))</f>
        <v>0</v>
      </c>
      <c r="J55" cm="1">
        <f t="array" ref="J55">INDEX($B$53:$BE$53, 1, INDEX(PC2_TBL, COLUMNS($B$55:J55)))</f>
        <v>1</v>
      </c>
      <c r="K55" cm="1">
        <f t="array" ref="K55">INDEX($B$53:$BE$53, 1, INDEX(PC2_TBL, COLUMNS($B$55:K55)))</f>
        <v>1</v>
      </c>
      <c r="L55" cm="1">
        <f t="array" ref="L55">INDEX($B$53:$BE$53, 1, INDEX(PC2_TBL, COLUMNS($B$55:L55)))</f>
        <v>0</v>
      </c>
      <c r="M55" cm="1">
        <f t="array" ref="M55">INDEX($B$53:$BE$53, 1, INDEX(PC2_TBL, COLUMNS($B$55:M55)))</f>
        <v>1</v>
      </c>
      <c r="N55" cm="1">
        <f t="array" ref="N55">INDEX($B$53:$BE$53, 1, INDEX(PC2_TBL, COLUMNS($B$55:N55)))</f>
        <v>1</v>
      </c>
      <c r="O55" cm="1">
        <f t="array" ref="O55">INDEX($B$53:$BE$53, 1, INDEX(PC2_TBL, COLUMNS($B$55:O55)))</f>
        <v>0</v>
      </c>
      <c r="P55" cm="1">
        <f t="array" ref="P55">INDEX($B$53:$BE$53, 1, INDEX(PC2_TBL, COLUMNS($B$55:P55)))</f>
        <v>1</v>
      </c>
      <c r="Q55" cm="1">
        <f t="array" ref="Q55">INDEX($B$53:$BE$53, 1, INDEX(PC2_TBL, COLUMNS($B$55:Q55)))</f>
        <v>1</v>
      </c>
      <c r="R55" cm="1">
        <f t="array" ref="R55">INDEX($B$53:$BE$53, 1, INDEX(PC2_TBL, COLUMNS($B$55:R55)))</f>
        <v>1</v>
      </c>
      <c r="S55" cm="1">
        <f t="array" ref="S55">INDEX($B$53:$BE$53, 1, INDEX(PC2_TBL, COLUMNS($B$55:S55)))</f>
        <v>1</v>
      </c>
      <c r="T55" cm="1">
        <f t="array" ref="T55">INDEX($B$53:$BE$53, 1, INDEX(PC2_TBL, COLUMNS($B$55:T55)))</f>
        <v>1</v>
      </c>
      <c r="U55" cm="1">
        <f t="array" ref="U55">INDEX($B$53:$BE$53, 1, INDEX(PC2_TBL, COLUMNS($B$55:U55)))</f>
        <v>0</v>
      </c>
      <c r="V55" cm="1">
        <f t="array" ref="V55">INDEX($B$53:$BE$53, 1, INDEX(PC2_TBL, COLUMNS($B$55:V55)))</f>
        <v>1</v>
      </c>
      <c r="W55" cm="1">
        <f t="array" ref="W55">INDEX($B$53:$BE$53, 1, INDEX(PC2_TBL, COLUMNS($B$55:W55)))</f>
        <v>0</v>
      </c>
      <c r="X55" cm="1">
        <f t="array" ref="X55">INDEX($B$53:$BE$53, 1, INDEX(PC2_TBL, COLUMNS($B$55:X55)))</f>
        <v>1</v>
      </c>
      <c r="Y55" cm="1">
        <f t="array" ref="Y55">INDEX($B$53:$BE$53, 1, INDEX(PC2_TBL, COLUMNS($B$55:Y55)))</f>
        <v>1</v>
      </c>
      <c r="Z55" cm="1">
        <f t="array" ref="Z55">INDEX($B$53:$BE$53, 1, INDEX(PC2_TBL, COLUMNS($B$55:Z55)))</f>
        <v>0</v>
      </c>
      <c r="AA55" cm="1">
        <f t="array" ref="AA55">INDEX($B$53:$BE$53, 1, INDEX(PC2_TBL, COLUMNS($B$55:AA55)))</f>
        <v>0</v>
      </c>
      <c r="AB55" cm="1">
        <f t="array" ref="AB55">INDEX($B$53:$BE$53, 1, INDEX(PC2_TBL, COLUMNS($B$55:AB55)))</f>
        <v>1</v>
      </c>
      <c r="AC55" cm="1">
        <f t="array" ref="AC55">INDEX($B$53:$BE$53, 1, INDEX(PC2_TBL, COLUMNS($B$55:AC55)))</f>
        <v>0</v>
      </c>
      <c r="AD55" cm="1">
        <f t="array" ref="AD55">INDEX($B$53:$BE$53, 1, INDEX(PC2_TBL, COLUMNS($B$55:AD55)))</f>
        <v>0</v>
      </c>
      <c r="AE55" cm="1">
        <f t="array" ref="AE55">INDEX($B$53:$BE$53, 1, INDEX(PC2_TBL, COLUMNS($B$55:AE55)))</f>
        <v>1</v>
      </c>
      <c r="AF55" cm="1">
        <f t="array" ref="AF55">INDEX($B$53:$BE$53, 1, INDEX(PC2_TBL, COLUMNS($B$55:AF55)))</f>
        <v>1</v>
      </c>
      <c r="AG55" cm="1">
        <f t="array" ref="AG55">INDEX($B$53:$BE$53, 1, INDEX(PC2_TBL, COLUMNS($B$55:AG55)))</f>
        <v>1</v>
      </c>
      <c r="AH55" cm="1">
        <f t="array" ref="AH55">INDEX($B$53:$BE$53, 1, INDEX(PC2_TBL, COLUMNS($B$55:AH55)))</f>
        <v>1</v>
      </c>
      <c r="AI55" cm="1">
        <f t="array" ref="AI55">INDEX($B$53:$BE$53, 1, INDEX(PC2_TBL, COLUMNS($B$55:AI55)))</f>
        <v>0</v>
      </c>
      <c r="AJ55" cm="1">
        <f t="array" ref="AJ55">INDEX($B$53:$BE$53, 1, INDEX(PC2_TBL, COLUMNS($B$55:AJ55)))</f>
        <v>1</v>
      </c>
      <c r="AK55" cm="1">
        <f t="array" ref="AK55">INDEX($B$53:$BE$53, 1, INDEX(PC2_TBL, COLUMNS($B$55:AK55)))</f>
        <v>1</v>
      </c>
      <c r="AL55" cm="1">
        <f t="array" ref="AL55">INDEX($B$53:$BE$53, 1, INDEX(PC2_TBL, COLUMNS($B$55:AL55)))</f>
        <v>1</v>
      </c>
      <c r="AM55" cm="1">
        <f t="array" ref="AM55">INDEX($B$53:$BE$53, 1, INDEX(PC2_TBL, COLUMNS($B$55:AM55)))</f>
        <v>0</v>
      </c>
      <c r="AN55" cm="1">
        <f t="array" ref="AN55">INDEX($B$53:$BE$53, 1, INDEX(PC2_TBL, COLUMNS($B$55:AN55)))</f>
        <v>0</v>
      </c>
      <c r="AO55" cm="1">
        <f t="array" ref="AO55">INDEX($B$53:$BE$53, 1, INDEX(PC2_TBL, COLUMNS($B$55:AO55)))</f>
        <v>0</v>
      </c>
      <c r="AP55" cm="1">
        <f t="array" ref="AP55">INDEX($B$53:$BE$53, 1, INDEX(PC2_TBL, COLUMNS($B$55:AP55)))</f>
        <v>0</v>
      </c>
      <c r="AQ55" cm="1">
        <f t="array" ref="AQ55">INDEX($B$53:$BE$53, 1, INDEX(PC2_TBL, COLUMNS($B$55:AQ55)))</f>
        <v>0</v>
      </c>
      <c r="AR55" cm="1">
        <f t="array" ref="AR55">INDEX($B$53:$BE$53, 1, INDEX(PC2_TBL, COLUMNS($B$55:AR55)))</f>
        <v>1</v>
      </c>
      <c r="AS55" cm="1">
        <f t="array" ref="AS55">INDEX($B$53:$BE$53, 1, INDEX(PC2_TBL, COLUMNS($B$55:AS55)))</f>
        <v>1</v>
      </c>
      <c r="AT55" cm="1">
        <f t="array" ref="AT55">INDEX($B$53:$BE$53, 1, INDEX(PC2_TBL, COLUMNS($B$55:AT55)))</f>
        <v>1</v>
      </c>
      <c r="AU55" cm="1">
        <f t="array" ref="AU55">INDEX($B$53:$BE$53, 1, INDEX(PC2_TBL, COLUMNS($B$55:AU55)))</f>
        <v>0</v>
      </c>
      <c r="AV55" cm="1">
        <f t="array" ref="AV55">INDEX($B$53:$BE$53, 1, INDEX(PC2_TBL, COLUMNS($B$55:AV55)))</f>
        <v>0</v>
      </c>
      <c r="AW55" cm="1">
        <f t="array" ref="AW55">INDEX($B$53:$BE$53, 1, INDEX(PC2_TBL, COLUMNS($B$55:AW55)))</f>
        <v>1</v>
      </c>
    </row>
    <row r="57" spans="1:57" x14ac:dyDescent="0.35">
      <c r="A57" t="s">
        <v>65</v>
      </c>
      <c r="AD57" t="s">
        <v>69</v>
      </c>
    </row>
    <row r="58" spans="1:57" x14ac:dyDescent="0.35">
      <c r="A58" s="3" t="s">
        <v>66</v>
      </c>
      <c r="B58" cm="1">
        <f t="array" ref="B58">INDEX($B$53:$AC$53, 1, MOD(COLUMNS($B$58:B58)-1 + INDEX(SHIFT_TBL,1,10), 28) + 1)</f>
        <v>0</v>
      </c>
      <c r="C58" cm="1">
        <f t="array" ref="C58">INDEX($B$53:$AC$53, 1, MOD(COLUMNS($B$58:C58)-1 + INDEX(SHIFT_TBL,1,10), 28) + 1)</f>
        <v>1</v>
      </c>
      <c r="D58" cm="1">
        <f t="array" ref="D58">INDEX($B$53:$AC$53, 1, MOD(COLUMNS($B$58:D58)-1 + INDEX(SHIFT_TBL,1,10), 28) + 1)</f>
        <v>0</v>
      </c>
      <c r="E58" cm="1">
        <f t="array" ref="E58">INDEX($B$53:$AC$53, 1, MOD(COLUMNS($B$58:E58)-1 + INDEX(SHIFT_TBL,1,10), 28) + 1)</f>
        <v>1</v>
      </c>
      <c r="F58" cm="1">
        <f t="array" ref="F58">INDEX($B$53:$AC$53, 1, MOD(COLUMNS($B$58:F58)-1 + INDEX(SHIFT_TBL,1,10), 28) + 1)</f>
        <v>0</v>
      </c>
      <c r="G58" cm="1">
        <f t="array" ref="G58">INDEX($B$53:$AC$53, 1, MOD(COLUMNS($B$58:G58)-1 + INDEX(SHIFT_TBL,1,10), 28) + 1)</f>
        <v>1</v>
      </c>
      <c r="H58" cm="1">
        <f t="array" ref="H58">INDEX($B$53:$AC$53, 1, MOD(COLUMNS($B$58:H58)-1 + INDEX(SHIFT_TBL,1,10), 28) + 1)</f>
        <v>0</v>
      </c>
      <c r="I58" cm="1">
        <f t="array" ref="I58">INDEX($B$53:$AC$53, 1, MOD(COLUMNS($B$58:I58)-1 + INDEX(SHIFT_TBL,1,10), 28) + 1)</f>
        <v>1</v>
      </c>
      <c r="J58" cm="1">
        <f t="array" ref="J58">INDEX($B$53:$AC$53, 1, MOD(COLUMNS($B$58:J58)-1 + INDEX(SHIFT_TBL,1,10), 28) + 1)</f>
        <v>0</v>
      </c>
      <c r="K58" cm="1">
        <f t="array" ref="K58">INDEX($B$53:$AC$53, 1, MOD(COLUMNS($B$58:K58)-1 + INDEX(SHIFT_TBL,1,10), 28) + 1)</f>
        <v>1</v>
      </c>
      <c r="L58" cm="1">
        <f t="array" ref="L58">INDEX($B$53:$AC$53, 1, MOD(COLUMNS($B$58:L58)-1 + INDEX(SHIFT_TBL,1,10), 28) + 1)</f>
        <v>1</v>
      </c>
      <c r="M58" cm="1">
        <f t="array" ref="M58">INDEX($B$53:$AC$53, 1, MOD(COLUMNS($B$58:M58)-1 + INDEX(SHIFT_TBL,1,10), 28) + 1)</f>
        <v>1</v>
      </c>
      <c r="N58" cm="1">
        <f t="array" ref="N58">INDEX($B$53:$AC$53, 1, MOD(COLUMNS($B$58:N58)-1 + INDEX(SHIFT_TBL,1,10), 28) + 1)</f>
        <v>1</v>
      </c>
      <c r="O58" cm="1">
        <f t="array" ref="O58">INDEX($B$53:$AC$53, 1, MOD(COLUMNS($B$58:O58)-1 + INDEX(SHIFT_TBL,1,10), 28) + 1)</f>
        <v>1</v>
      </c>
      <c r="P58" cm="1">
        <f t="array" ref="P58">INDEX($B$53:$AC$53, 1, MOD(COLUMNS($B$58:P58)-1 + INDEX(SHIFT_TBL,1,10), 28) + 1)</f>
        <v>1</v>
      </c>
      <c r="Q58" cm="1">
        <f t="array" ref="Q58">INDEX($B$53:$AC$53, 1, MOD(COLUMNS($B$58:Q58)-1 + INDEX(SHIFT_TBL,1,10), 28) + 1)</f>
        <v>0</v>
      </c>
      <c r="R58" cm="1">
        <f t="array" ref="R58">INDEX($B$53:$AC$53, 1, MOD(COLUMNS($B$58:R58)-1 + INDEX(SHIFT_TBL,1,10), 28) + 1)</f>
        <v>0</v>
      </c>
      <c r="S58" cm="1">
        <f t="array" ref="S58">INDEX($B$53:$AC$53, 1, MOD(COLUMNS($B$58:S58)-1 + INDEX(SHIFT_TBL,1,10), 28) + 1)</f>
        <v>0</v>
      </c>
      <c r="T58" cm="1">
        <f t="array" ref="T58">INDEX($B$53:$AC$53, 1, MOD(COLUMNS($B$58:T58)-1 + INDEX(SHIFT_TBL,1,10), 28) + 1)</f>
        <v>0</v>
      </c>
      <c r="U58" cm="1">
        <f t="array" ref="U58">INDEX($B$53:$AC$53, 1, MOD(COLUMNS($B$58:U58)-1 + INDEX(SHIFT_TBL,1,10), 28) + 1)</f>
        <v>1</v>
      </c>
      <c r="V58" cm="1">
        <f t="array" ref="V58">INDEX($B$53:$AC$53, 1, MOD(COLUMNS($B$58:V58)-1 + INDEX(SHIFT_TBL,1,10), 28) + 1)</f>
        <v>1</v>
      </c>
      <c r="W58" cm="1">
        <f t="array" ref="W58">INDEX($B$53:$AC$53, 1, MOD(COLUMNS($B$58:W58)-1 + INDEX(SHIFT_TBL,1,10), 28) + 1)</f>
        <v>0</v>
      </c>
      <c r="X58" cm="1">
        <f t="array" ref="X58">INDEX($B$53:$AC$53, 1, MOD(COLUMNS($B$58:X58)-1 + INDEX(SHIFT_TBL,1,10), 28) + 1)</f>
        <v>0</v>
      </c>
      <c r="Y58" cm="1">
        <f t="array" ref="Y58">INDEX($B$53:$AC$53, 1, MOD(COLUMNS($B$58:Y58)-1 + INDEX(SHIFT_TBL,1,10), 28) + 1)</f>
        <v>1</v>
      </c>
      <c r="Z58" cm="1">
        <f t="array" ref="Z58">INDEX($B$53:$AC$53, 1, MOD(COLUMNS($B$58:Z58)-1 + INDEX(SHIFT_TBL,1,10), 28) + 1)</f>
        <v>1</v>
      </c>
      <c r="AA58" cm="1">
        <f t="array" ref="AA58">INDEX($B$53:$AC$53, 1, MOD(COLUMNS($B$58:AA58)-1 + INDEX(SHIFT_TBL,1,10), 28) + 1)</f>
        <v>0</v>
      </c>
      <c r="AB58" cm="1">
        <f t="array" ref="AB58">INDEX($B$53:$AC$53, 1, MOD(COLUMNS($B$58:AB58)-1 + INDEX(SHIFT_TBL,1,10), 28) + 1)</f>
        <v>0</v>
      </c>
      <c r="AC58" cm="1">
        <f t="array" ref="AC58">INDEX($B$53:$AC$53, 1, MOD(COLUMNS($B$58:AC58)-1 + INDEX(SHIFT_TBL,1,10), 28) + 1)</f>
        <v>1</v>
      </c>
      <c r="AD58" cm="1">
        <f t="array" ref="AD58">INDEX($AD$53:$BE$53, 1, MOD(COLUMNS($AD$58:AD58)-1 + INDEX(SHIFT_TBL,1,10), 28) + 1)</f>
        <v>1</v>
      </c>
      <c r="AE58" cm="1">
        <f t="array" ref="AE58">INDEX($AD$53:$BE$53, 1, MOD(COLUMNS($AD$58:AE58)-1 + INDEX(SHIFT_TBL,1,10), 28) + 1)</f>
        <v>1</v>
      </c>
      <c r="AF58" cm="1">
        <f t="array" ref="AF58">INDEX($AD$53:$BE$53, 1, MOD(COLUMNS($AD$58:AF58)-1 + INDEX(SHIFT_TBL,1,10), 28) + 1)</f>
        <v>1</v>
      </c>
      <c r="AG58" cm="1">
        <f t="array" ref="AG58">INDEX($AD$53:$BE$53, 1, MOD(COLUMNS($AD$58:AG58)-1 + INDEX(SHIFT_TBL,1,10), 28) + 1)</f>
        <v>0</v>
      </c>
      <c r="AH58" cm="1">
        <f t="array" ref="AH58">INDEX($AD$53:$BE$53, 1, MOD(COLUMNS($AD$58:AH58)-1 + INDEX(SHIFT_TBL,1,10), 28) + 1)</f>
        <v>0</v>
      </c>
      <c r="AI58" cm="1">
        <f t="array" ref="AI58">INDEX($AD$53:$BE$53, 1, MOD(COLUMNS($AD$58:AI58)-1 + INDEX(SHIFT_TBL,1,10), 28) + 1)</f>
        <v>0</v>
      </c>
      <c r="AJ58" cm="1">
        <f t="array" ref="AJ58">INDEX($AD$53:$BE$53, 1, MOD(COLUMNS($AD$58:AJ58)-1 + INDEX(SHIFT_TBL,1,10), 28) + 1)</f>
        <v>0</v>
      </c>
      <c r="AK58" cm="1">
        <f t="array" ref="AK58">INDEX($AD$53:$BE$53, 1, MOD(COLUMNS($AD$58:AK58)-1 + INDEX(SHIFT_TBL,1,10), 28) + 1)</f>
        <v>1</v>
      </c>
      <c r="AL58" cm="1">
        <f t="array" ref="AL58">INDEX($AD$53:$BE$53, 1, MOD(COLUMNS($AD$58:AL58)-1 + INDEX(SHIFT_TBL,1,10), 28) + 1)</f>
        <v>0</v>
      </c>
      <c r="AM58" cm="1">
        <f t="array" ref="AM58">INDEX($AD$53:$BE$53, 1, MOD(COLUMNS($AD$58:AM58)-1 + INDEX(SHIFT_TBL,1,10), 28) + 1)</f>
        <v>1</v>
      </c>
      <c r="AN58" cm="1">
        <f t="array" ref="AN58">INDEX($AD$53:$BE$53, 1, MOD(COLUMNS($AD$58:AN58)-1 + INDEX(SHIFT_TBL,1,10), 28) + 1)</f>
        <v>0</v>
      </c>
      <c r="AO58" cm="1">
        <f t="array" ref="AO58">INDEX($AD$53:$BE$53, 1, MOD(COLUMNS($AD$58:AO58)-1 + INDEX(SHIFT_TBL,1,10), 28) + 1)</f>
        <v>1</v>
      </c>
      <c r="AP58" cm="1">
        <f t="array" ref="AP58">INDEX($AD$53:$BE$53, 1, MOD(COLUMNS($AD$58:AP58)-1 + INDEX(SHIFT_TBL,1,10), 28) + 1)</f>
        <v>0</v>
      </c>
      <c r="AQ58" cm="1">
        <f t="array" ref="AQ58">INDEX($AD$53:$BE$53, 1, MOD(COLUMNS($AD$58:AQ58)-1 + INDEX(SHIFT_TBL,1,10), 28) + 1)</f>
        <v>1</v>
      </c>
      <c r="AR58" cm="1">
        <f t="array" ref="AR58">INDEX($AD$53:$BE$53, 1, MOD(COLUMNS($AD$58:AR58)-1 + INDEX(SHIFT_TBL,1,10), 28) + 1)</f>
        <v>0</v>
      </c>
      <c r="AS58" cm="1">
        <f t="array" ref="AS58">INDEX($AD$53:$BE$53, 1, MOD(COLUMNS($AD$58:AS58)-1 + INDEX(SHIFT_TBL,1,10), 28) + 1)</f>
        <v>1</v>
      </c>
      <c r="AT58" cm="1">
        <f t="array" ref="AT58">INDEX($AD$53:$BE$53, 1, MOD(COLUMNS($AD$58:AT58)-1 + INDEX(SHIFT_TBL,1,10), 28) + 1)</f>
        <v>0</v>
      </c>
      <c r="AU58" cm="1">
        <f t="array" ref="AU58">INDEX($AD$53:$BE$53, 1, MOD(COLUMNS($AD$58:AU58)-1 + INDEX(SHIFT_TBL,1,10), 28) + 1)</f>
        <v>1</v>
      </c>
      <c r="AV58" cm="1">
        <f t="array" ref="AV58">INDEX($AD$53:$BE$53, 1, MOD(COLUMNS($AD$58:AV58)-1 + INDEX(SHIFT_TBL,1,10), 28) + 1)</f>
        <v>0</v>
      </c>
      <c r="AW58" cm="1">
        <f t="array" ref="AW58">INDEX($AD$53:$BE$53, 1, MOD(COLUMNS($AD$58:AW58)-1 + INDEX(SHIFT_TBL,1,10), 28) + 1)</f>
        <v>1</v>
      </c>
      <c r="AX58" cm="1">
        <f t="array" ref="AX58">INDEX($AD$53:$BE$53, 1, MOD(COLUMNS($AD$58:AX58)-1 + INDEX(SHIFT_TBL,1,10), 28) + 1)</f>
        <v>1</v>
      </c>
      <c r="AY58" cm="1">
        <f t="array" ref="AY58">INDEX($AD$53:$BE$53, 1, MOD(COLUMNS($AD$58:AY58)-1 + INDEX(SHIFT_TBL,1,10), 28) + 1)</f>
        <v>0</v>
      </c>
      <c r="AZ58" cm="1">
        <f t="array" ref="AZ58">INDEX($AD$53:$BE$53, 1, MOD(COLUMNS($AD$58:AZ58)-1 + INDEX(SHIFT_TBL,1,10), 28) + 1)</f>
        <v>0</v>
      </c>
      <c r="BA58" cm="1">
        <f t="array" ref="BA58">INDEX($AD$53:$BE$53, 1, MOD(COLUMNS($AD$58:BA58)-1 + INDEX(SHIFT_TBL,1,10), 28) + 1)</f>
        <v>1</v>
      </c>
      <c r="BB58" cm="1">
        <f t="array" ref="BB58">INDEX($AD$53:$BE$53, 1, MOD(COLUMNS($AD$58:BB58)-1 + INDEX(SHIFT_TBL,1,10), 28) + 1)</f>
        <v>1</v>
      </c>
      <c r="BC58" cm="1">
        <f t="array" ref="BC58">INDEX($AD$53:$BE$53, 1, MOD(COLUMNS($AD$58:BC58)-1 + INDEX(SHIFT_TBL,1,10), 28) + 1)</f>
        <v>0</v>
      </c>
      <c r="BD58" cm="1">
        <f t="array" ref="BD58">INDEX($AD$53:$BE$53, 1, MOD(COLUMNS($AD$58:BD58)-1 + INDEX(SHIFT_TBL,1,10), 28) + 1)</f>
        <v>0</v>
      </c>
      <c r="BE58" cm="1">
        <f t="array" ref="BE58">INDEX($AD$53:$BE$53, 1, MOD(COLUMNS($AD$58:BE58)-1 + INDEX(SHIFT_TBL,1,10), 28) + 1)</f>
        <v>1</v>
      </c>
    </row>
    <row r="59" spans="1:57" x14ac:dyDescent="0.35">
      <c r="A59" s="3" t="s">
        <v>67</v>
      </c>
      <c r="B59" cm="1">
        <f t="array" ref="B59">INDEX($B$53:$AC$53, 1, MOD(COLUMNS($B$58:B59)-1 + INDEX(SHIFT_TBL,1,10), 28) + 1)</f>
        <v>0</v>
      </c>
      <c r="C59" cm="1">
        <f t="array" ref="C59">INDEX($B$53:$AC$53, 1, MOD(COLUMNS($B$58:C59)-1 + INDEX(SHIFT_TBL,1,10), 28) + 1)</f>
        <v>1</v>
      </c>
      <c r="D59" cm="1">
        <f t="array" ref="D59">INDEX($B$53:$AC$53, 1, MOD(COLUMNS($B$58:D59)-1 + INDEX(SHIFT_TBL,1,10), 28) + 1)</f>
        <v>0</v>
      </c>
      <c r="E59" cm="1">
        <f t="array" ref="E59">INDEX($B$53:$AC$53, 1, MOD(COLUMNS($B$58:E59)-1 + INDEX(SHIFT_TBL,1,10), 28) + 1)</f>
        <v>1</v>
      </c>
      <c r="F59" cm="1">
        <f t="array" ref="F59">INDEX($B$53:$AC$53, 1, MOD(COLUMNS($B$58:F59)-1 + INDEX(SHIFT_TBL,1,10), 28) + 1)</f>
        <v>0</v>
      </c>
      <c r="G59" cm="1">
        <f t="array" ref="G59">INDEX($B$53:$AC$53, 1, MOD(COLUMNS($B$58:G59)-1 + INDEX(SHIFT_TBL,1,10), 28) + 1)</f>
        <v>1</v>
      </c>
      <c r="H59" cm="1">
        <f t="array" ref="H59">INDEX($B$53:$AC$53, 1, MOD(COLUMNS($B$58:H59)-1 + INDEX(SHIFT_TBL,1,10), 28) + 1)</f>
        <v>0</v>
      </c>
      <c r="I59" cm="1">
        <f t="array" ref="I59">INDEX($B$53:$AC$53, 1, MOD(COLUMNS($B$58:I59)-1 + INDEX(SHIFT_TBL,1,10), 28) + 1)</f>
        <v>1</v>
      </c>
      <c r="J59" cm="1">
        <f t="array" ref="J59">INDEX($B$53:$AC$53, 1, MOD(COLUMNS($B$58:J59)-1 + INDEX(SHIFT_TBL,1,10), 28) + 1)</f>
        <v>0</v>
      </c>
      <c r="K59" cm="1">
        <f t="array" ref="K59">INDEX($B$53:$AC$53, 1, MOD(COLUMNS($B$58:K59)-1 + INDEX(SHIFT_TBL,1,10), 28) + 1)</f>
        <v>1</v>
      </c>
      <c r="L59" cm="1">
        <f t="array" ref="L59">INDEX($B$53:$AC$53, 1, MOD(COLUMNS($B$58:L59)-1 + INDEX(SHIFT_TBL,1,10), 28) + 1)</f>
        <v>1</v>
      </c>
      <c r="M59" cm="1">
        <f t="array" ref="M59">INDEX($B$53:$AC$53, 1, MOD(COLUMNS($B$58:M59)-1 + INDEX(SHIFT_TBL,1,10), 28) + 1)</f>
        <v>1</v>
      </c>
      <c r="N59" cm="1">
        <f t="array" ref="N59">INDEX($B$53:$AC$53, 1, MOD(COLUMNS($B$58:N59)-1 + INDEX(SHIFT_TBL,1,10), 28) + 1)</f>
        <v>1</v>
      </c>
      <c r="O59" cm="1">
        <f t="array" ref="O59">INDEX($B$53:$AC$53, 1, MOD(COLUMNS($B$58:O59)-1 + INDEX(SHIFT_TBL,1,10), 28) + 1)</f>
        <v>1</v>
      </c>
      <c r="P59" cm="1">
        <f t="array" ref="P59">INDEX($B$53:$AC$53, 1, MOD(COLUMNS($B$58:P59)-1 + INDEX(SHIFT_TBL,1,10), 28) + 1)</f>
        <v>1</v>
      </c>
      <c r="Q59" cm="1">
        <f t="array" ref="Q59">INDEX($B$53:$AC$53, 1, MOD(COLUMNS($B$58:Q59)-1 + INDEX(SHIFT_TBL,1,10), 28) + 1)</f>
        <v>0</v>
      </c>
      <c r="R59" cm="1">
        <f t="array" ref="R59">INDEX($B$53:$AC$53, 1, MOD(COLUMNS($B$58:R59)-1 + INDEX(SHIFT_TBL,1,10), 28) + 1)</f>
        <v>0</v>
      </c>
      <c r="S59" cm="1">
        <f t="array" ref="S59">INDEX($B$53:$AC$53, 1, MOD(COLUMNS($B$58:S59)-1 + INDEX(SHIFT_TBL,1,10), 28) + 1)</f>
        <v>0</v>
      </c>
      <c r="T59" cm="1">
        <f t="array" ref="T59">INDEX($B$53:$AC$53, 1, MOD(COLUMNS($B$58:T59)-1 + INDEX(SHIFT_TBL,1,10), 28) + 1)</f>
        <v>0</v>
      </c>
      <c r="U59" cm="1">
        <f t="array" ref="U59">INDEX($B$53:$AC$53, 1, MOD(COLUMNS($B$58:U59)-1 + INDEX(SHIFT_TBL,1,10), 28) + 1)</f>
        <v>1</v>
      </c>
      <c r="V59" cm="1">
        <f t="array" ref="V59">INDEX($B$53:$AC$53, 1, MOD(COLUMNS($B$58:V59)-1 + INDEX(SHIFT_TBL,1,10), 28) + 1)</f>
        <v>1</v>
      </c>
      <c r="W59" cm="1">
        <f t="array" ref="W59">INDEX($B$53:$AC$53, 1, MOD(COLUMNS($B$58:W59)-1 + INDEX(SHIFT_TBL,1,10), 28) + 1)</f>
        <v>0</v>
      </c>
      <c r="X59" cm="1">
        <f t="array" ref="X59">INDEX($B$53:$AC$53, 1, MOD(COLUMNS($B$58:X59)-1 + INDEX(SHIFT_TBL,1,10), 28) + 1)</f>
        <v>0</v>
      </c>
      <c r="Y59" cm="1">
        <f t="array" ref="Y59">INDEX($B$53:$AC$53, 1, MOD(COLUMNS($B$58:Y59)-1 + INDEX(SHIFT_TBL,1,10), 28) + 1)</f>
        <v>1</v>
      </c>
      <c r="Z59" cm="1">
        <f t="array" ref="Z59">INDEX($B$53:$AC$53, 1, MOD(COLUMNS($B$58:Z59)-1 + INDEX(SHIFT_TBL,1,10), 28) + 1)</f>
        <v>1</v>
      </c>
      <c r="AA59" cm="1">
        <f t="array" ref="AA59">INDEX($B$53:$AC$53, 1, MOD(COLUMNS($B$58:AA59)-1 + INDEX(SHIFT_TBL,1,10), 28) + 1)</f>
        <v>0</v>
      </c>
      <c r="AB59" cm="1">
        <f t="array" ref="AB59">INDEX($B$53:$AC$53, 1, MOD(COLUMNS($B$58:AB59)-1 + INDEX(SHIFT_TBL,1,10), 28) + 1)</f>
        <v>0</v>
      </c>
      <c r="AC59" cm="1">
        <f t="array" ref="AC59">INDEX($B$53:$AC$53, 1, MOD(COLUMNS($B$58:AC59)-1 + INDEX(SHIFT_TBL,1,10), 28) + 1)</f>
        <v>1</v>
      </c>
      <c r="AD59" cm="1">
        <f t="array" ref="AD59">INDEX($AD$53:$BE$53, 1, MOD(COLUMNS($AD$58:AD59)-1 + INDEX(SHIFT_TBL,1,10), 28) + 1)</f>
        <v>1</v>
      </c>
      <c r="AE59" cm="1">
        <f t="array" ref="AE59">INDEX($AD$53:$BE$53, 1, MOD(COLUMNS($AD$58:AE59)-1 + INDEX(SHIFT_TBL,1,10), 28) + 1)</f>
        <v>1</v>
      </c>
      <c r="AF59" cm="1">
        <f t="array" ref="AF59">INDEX($AD$53:$BE$53, 1, MOD(COLUMNS($AD$58:AF59)-1 + INDEX(SHIFT_TBL,1,10), 28) + 1)</f>
        <v>1</v>
      </c>
      <c r="AG59" cm="1">
        <f t="array" ref="AG59">INDEX($AD$53:$BE$53, 1, MOD(COLUMNS($AD$58:AG59)-1 + INDEX(SHIFT_TBL,1,10), 28) + 1)</f>
        <v>0</v>
      </c>
      <c r="AH59" cm="1">
        <f t="array" ref="AH59">INDEX($AD$53:$BE$53, 1, MOD(COLUMNS($AD$58:AH59)-1 + INDEX(SHIFT_TBL,1,10), 28) + 1)</f>
        <v>0</v>
      </c>
      <c r="AI59" cm="1">
        <f t="array" ref="AI59">INDEX($AD$53:$BE$53, 1, MOD(COLUMNS($AD$58:AI59)-1 + INDEX(SHIFT_TBL,1,10), 28) + 1)</f>
        <v>0</v>
      </c>
      <c r="AJ59" cm="1">
        <f t="array" ref="AJ59">INDEX($AD$53:$BE$53, 1, MOD(COLUMNS($AD$58:AJ59)-1 + INDEX(SHIFT_TBL,1,10), 28) + 1)</f>
        <v>0</v>
      </c>
      <c r="AK59" cm="1">
        <f t="array" ref="AK59">INDEX($AD$53:$BE$53, 1, MOD(COLUMNS($AD$58:AK59)-1 + INDEX(SHIFT_TBL,1,10), 28) + 1)</f>
        <v>1</v>
      </c>
      <c r="AL59" cm="1">
        <f t="array" ref="AL59">INDEX($AD$53:$BE$53, 1, MOD(COLUMNS($AD$58:AL59)-1 + INDEX(SHIFT_TBL,1,10), 28) + 1)</f>
        <v>0</v>
      </c>
      <c r="AM59" cm="1">
        <f t="array" ref="AM59">INDEX($AD$53:$BE$53, 1, MOD(COLUMNS($AD$58:AM59)-1 + INDEX(SHIFT_TBL,1,10), 28) + 1)</f>
        <v>1</v>
      </c>
      <c r="AN59" cm="1">
        <f t="array" ref="AN59">INDEX($AD$53:$BE$53, 1, MOD(COLUMNS($AD$58:AN59)-1 + INDEX(SHIFT_TBL,1,10), 28) + 1)</f>
        <v>0</v>
      </c>
      <c r="AO59" cm="1">
        <f t="array" ref="AO59">INDEX($AD$53:$BE$53, 1, MOD(COLUMNS($AD$58:AO59)-1 + INDEX(SHIFT_TBL,1,10), 28) + 1)</f>
        <v>1</v>
      </c>
      <c r="AP59" cm="1">
        <f t="array" ref="AP59">INDEX($AD$53:$BE$53, 1, MOD(COLUMNS($AD$58:AP59)-1 + INDEX(SHIFT_TBL,1,10), 28) + 1)</f>
        <v>0</v>
      </c>
      <c r="AQ59" cm="1">
        <f t="array" ref="AQ59">INDEX($AD$53:$BE$53, 1, MOD(COLUMNS($AD$58:AQ59)-1 + INDEX(SHIFT_TBL,1,10), 28) + 1)</f>
        <v>1</v>
      </c>
      <c r="AR59" cm="1">
        <f t="array" ref="AR59">INDEX($AD$53:$BE$53, 1, MOD(COLUMNS($AD$58:AR59)-1 + INDEX(SHIFT_TBL,1,10), 28) + 1)</f>
        <v>0</v>
      </c>
      <c r="AS59" cm="1">
        <f t="array" ref="AS59">INDEX($AD$53:$BE$53, 1, MOD(COLUMNS($AD$58:AS59)-1 + INDEX(SHIFT_TBL,1,10), 28) + 1)</f>
        <v>1</v>
      </c>
      <c r="AT59" cm="1">
        <f t="array" ref="AT59">INDEX($AD$53:$BE$53, 1, MOD(COLUMNS($AD$58:AT59)-1 + INDEX(SHIFT_TBL,1,10), 28) + 1)</f>
        <v>0</v>
      </c>
      <c r="AU59" cm="1">
        <f t="array" ref="AU59">INDEX($AD$53:$BE$53, 1, MOD(COLUMNS($AD$58:AU59)-1 + INDEX(SHIFT_TBL,1,10), 28) + 1)</f>
        <v>1</v>
      </c>
      <c r="AV59" cm="1">
        <f t="array" ref="AV59">INDEX($AD$53:$BE$53, 1, MOD(COLUMNS($AD$58:AV59)-1 + INDEX(SHIFT_TBL,1,10), 28) + 1)</f>
        <v>0</v>
      </c>
      <c r="AW59" cm="1">
        <f t="array" ref="AW59">INDEX($AD$53:$BE$53, 1, MOD(COLUMNS($AD$58:AW59)-1 + INDEX(SHIFT_TBL,1,10), 28) + 1)</f>
        <v>1</v>
      </c>
      <c r="AX59" cm="1">
        <f t="array" ref="AX59">INDEX($AD$53:$BE$53, 1, MOD(COLUMNS($AD$58:AX59)-1 + INDEX(SHIFT_TBL,1,10), 28) + 1)</f>
        <v>1</v>
      </c>
      <c r="AY59" cm="1">
        <f t="array" ref="AY59">INDEX($AD$53:$BE$53, 1, MOD(COLUMNS($AD$58:AY59)-1 + INDEX(SHIFT_TBL,1,10), 28) + 1)</f>
        <v>0</v>
      </c>
      <c r="AZ59" cm="1">
        <f t="array" ref="AZ59">INDEX($AD$53:$BE$53, 1, MOD(COLUMNS($AD$58:AZ59)-1 + INDEX(SHIFT_TBL,1,10), 28) + 1)</f>
        <v>0</v>
      </c>
      <c r="BA59" cm="1">
        <f t="array" ref="BA59">INDEX($AD$53:$BE$53, 1, MOD(COLUMNS($AD$58:BA59)-1 + INDEX(SHIFT_TBL,1,10), 28) + 1)</f>
        <v>1</v>
      </c>
      <c r="BB59" cm="1">
        <f t="array" ref="BB59">INDEX($AD$53:$BE$53, 1, MOD(COLUMNS($AD$58:BB59)-1 + INDEX(SHIFT_TBL,1,10), 28) + 1)</f>
        <v>1</v>
      </c>
      <c r="BC59" cm="1">
        <f t="array" ref="BC59">INDEX($AD$53:$BE$53, 1, MOD(COLUMNS($AD$58:BC59)-1 + INDEX(SHIFT_TBL,1,10), 28) + 1)</f>
        <v>0</v>
      </c>
      <c r="BD59" cm="1">
        <f t="array" ref="BD59">INDEX($AD$53:$BE$53, 1, MOD(COLUMNS($AD$58:BD59)-1 + INDEX(SHIFT_TBL,1,10), 28) + 1)</f>
        <v>0</v>
      </c>
      <c r="BE59" cm="1">
        <f t="array" ref="BE59">INDEX($AD$53:$BE$53, 1, MOD(COLUMNS($AD$58:BE59)-1 + INDEX(SHIFT_TBL,1,10), 28) + 1)</f>
        <v>1</v>
      </c>
    </row>
    <row r="60" spans="1:57" x14ac:dyDescent="0.35">
      <c r="A60" s="3" t="s">
        <v>68</v>
      </c>
      <c r="B60" cm="1">
        <f t="array" ref="B60">INDEX($B$58:$BE$58, 1, INDEX(PC2_TBL, COLUMNS($B$60:B60)))</f>
        <v>1</v>
      </c>
      <c r="C60" cm="1">
        <f t="array" ref="C60">INDEX($B$58:$BE$58, 1, INDEX(PC2_TBL, COLUMNS($B$60:C60)))</f>
        <v>0</v>
      </c>
      <c r="D60" cm="1">
        <f t="array" ref="D60">INDEX($B$58:$BE$58, 1, INDEX(PC2_TBL, COLUMNS($B$60:D60)))</f>
        <v>1</v>
      </c>
      <c r="E60" cm="1">
        <f t="array" ref="E60">INDEX($B$58:$BE$58, 1, INDEX(PC2_TBL, COLUMNS($B$60:E60)))</f>
        <v>1</v>
      </c>
      <c r="F60" cm="1">
        <f t="array" ref="F60">INDEX($B$58:$BE$58, 1, INDEX(PC2_TBL, COLUMNS($B$60:F60)))</f>
        <v>0</v>
      </c>
      <c r="G60" cm="1">
        <f t="array" ref="G60">INDEX($B$58:$BE$58, 1, INDEX(PC2_TBL, COLUMNS($B$60:G60)))</f>
        <v>0</v>
      </c>
      <c r="H60" cm="1">
        <f t="array" ref="H60">INDEX($B$58:$BE$58, 1, INDEX(PC2_TBL, COLUMNS($B$60:H60)))</f>
        <v>0</v>
      </c>
      <c r="I60" cm="1">
        <f t="array" ref="I60">INDEX($B$58:$BE$58, 1, INDEX(PC2_TBL, COLUMNS($B$60:I60)))</f>
        <v>1</v>
      </c>
      <c r="J60" cm="1">
        <f t="array" ref="J60">INDEX($B$58:$BE$58, 1, INDEX(PC2_TBL, COLUMNS($B$60:J60)))</f>
        <v>1</v>
      </c>
      <c r="K60" cm="1">
        <f t="array" ref="K60">INDEX($B$58:$BE$58, 1, INDEX(PC2_TBL, COLUMNS($B$60:K60)))</f>
        <v>1</v>
      </c>
      <c r="L60" cm="1">
        <f t="array" ref="L60">INDEX($B$58:$BE$58, 1, INDEX(PC2_TBL, COLUMNS($B$60:L60)))</f>
        <v>1</v>
      </c>
      <c r="M60" cm="1">
        <f t="array" ref="M60">INDEX($B$58:$BE$58, 1, INDEX(PC2_TBL, COLUMNS($B$60:M60)))</f>
        <v>1</v>
      </c>
      <c r="N60" cm="1">
        <f t="array" ref="N60">INDEX($B$58:$BE$58, 1, INDEX(PC2_TBL, COLUMNS($B$60:N60)))</f>
        <v>0</v>
      </c>
      <c r="O60" cm="1">
        <f t="array" ref="O60">INDEX($B$58:$BE$58, 1, INDEX(PC2_TBL, COLUMNS($B$60:O60)))</f>
        <v>0</v>
      </c>
      <c r="P60" cm="1">
        <f t="array" ref="P60">INDEX($B$58:$BE$58, 1, INDEX(PC2_TBL, COLUMNS($B$60:P60)))</f>
        <v>1</v>
      </c>
      <c r="Q60" cm="1">
        <f t="array" ref="Q60">INDEX($B$58:$BE$58, 1, INDEX(PC2_TBL, COLUMNS($B$60:Q60)))</f>
        <v>1</v>
      </c>
      <c r="R60" cm="1">
        <f t="array" ref="R60">INDEX($B$58:$BE$58, 1, INDEX(PC2_TBL, COLUMNS($B$60:R60)))</f>
        <v>0</v>
      </c>
      <c r="S60" cm="1">
        <f t="array" ref="S60">INDEX($B$58:$BE$58, 1, INDEX(PC2_TBL, COLUMNS($B$60:S60)))</f>
        <v>1</v>
      </c>
      <c r="T60" cm="1">
        <f t="array" ref="T60">INDEX($B$58:$BE$58, 1, INDEX(PC2_TBL, COLUMNS($B$60:T60)))</f>
        <v>0</v>
      </c>
      <c r="U60" cm="1">
        <f t="array" ref="U60">INDEX($B$58:$BE$58, 1, INDEX(PC2_TBL, COLUMNS($B$60:U60)))</f>
        <v>0</v>
      </c>
      <c r="V60" cm="1">
        <f t="array" ref="V60">INDEX($B$58:$BE$58, 1, INDEX(PC2_TBL, COLUMNS($B$60:V60)))</f>
        <v>0</v>
      </c>
      <c r="W60" cm="1">
        <f t="array" ref="W60">INDEX($B$58:$BE$58, 1, INDEX(PC2_TBL, COLUMNS($B$60:W60)))</f>
        <v>1</v>
      </c>
      <c r="X60" cm="1">
        <f t="array" ref="X60">INDEX($B$58:$BE$58, 1, INDEX(PC2_TBL, COLUMNS($B$60:X60)))</f>
        <v>1</v>
      </c>
      <c r="Y60" cm="1">
        <f t="array" ref="Y60">INDEX($B$58:$BE$58, 1, INDEX(PC2_TBL, COLUMNS($B$60:Y60)))</f>
        <v>1</v>
      </c>
      <c r="Z60" cm="1">
        <f t="array" ref="Z60">INDEX($B$58:$BE$58, 1, INDEX(PC2_TBL, COLUMNS($B$60:Z60)))</f>
        <v>0</v>
      </c>
      <c r="AA60" cm="1">
        <f t="array" ref="AA60">INDEX($B$58:$BE$58, 1, INDEX(PC2_TBL, COLUMNS($B$60:AA60)))</f>
        <v>1</v>
      </c>
      <c r="AB60" cm="1">
        <f t="array" ref="AB60">INDEX($B$58:$BE$58, 1, INDEX(PC2_TBL, COLUMNS($B$60:AB60)))</f>
        <v>1</v>
      </c>
      <c r="AC60" cm="1">
        <f t="array" ref="AC60">INDEX($B$58:$BE$58, 1, INDEX(PC2_TBL, COLUMNS($B$60:AC60)))</f>
        <v>0</v>
      </c>
      <c r="AD60" cm="1">
        <f t="array" ref="AD60">INDEX($B$58:$BE$58, 1, INDEX(PC2_TBL, COLUMNS($B$60:AD60)))</f>
        <v>0</v>
      </c>
      <c r="AE60" cm="1">
        <f t="array" ref="AE60">INDEX($B$58:$BE$58, 1, INDEX(PC2_TBL, COLUMNS($B$60:AE60)))</f>
        <v>0</v>
      </c>
      <c r="AF60" cm="1">
        <f t="array" ref="AF60">INDEX($B$58:$BE$58, 1, INDEX(PC2_TBL, COLUMNS($B$60:AF60)))</f>
        <v>1</v>
      </c>
      <c r="AG60" cm="1">
        <f t="array" ref="AG60">INDEX($B$58:$BE$58, 1, INDEX(PC2_TBL, COLUMNS($B$60:AG60)))</f>
        <v>1</v>
      </c>
      <c r="AH60" cm="1">
        <f t="array" ref="AH60">INDEX($B$58:$BE$58, 1, INDEX(PC2_TBL, COLUMNS($B$60:AH60)))</f>
        <v>0</v>
      </c>
      <c r="AI60" cm="1">
        <f t="array" ref="AI60">INDEX($B$58:$BE$58, 1, INDEX(PC2_TBL, COLUMNS($B$60:AI60)))</f>
        <v>0</v>
      </c>
      <c r="AJ60" cm="1">
        <f t="array" ref="AJ60">INDEX($B$58:$BE$58, 1, INDEX(PC2_TBL, COLUMNS($B$60:AJ60)))</f>
        <v>0</v>
      </c>
      <c r="AK60" cm="1">
        <f t="array" ref="AK60">INDEX($B$58:$BE$58, 1, INDEX(PC2_TBL, COLUMNS($B$60:AK60)))</f>
        <v>1</v>
      </c>
      <c r="AL60" cm="1">
        <f t="array" ref="AL60">INDEX($B$58:$BE$58, 1, INDEX(PC2_TBL, COLUMNS($B$60:AL60)))</f>
        <v>1</v>
      </c>
      <c r="AM60" cm="1">
        <f t="array" ref="AM60">INDEX($B$58:$BE$58, 1, INDEX(PC2_TBL, COLUMNS($B$60:AM60)))</f>
        <v>1</v>
      </c>
      <c r="AN60" cm="1">
        <f t="array" ref="AN60">INDEX($B$58:$BE$58, 1, INDEX(PC2_TBL, COLUMNS($B$60:AN60)))</f>
        <v>0</v>
      </c>
      <c r="AO60" cm="1">
        <f t="array" ref="AO60">INDEX($B$58:$BE$58, 1, INDEX(PC2_TBL, COLUMNS($B$60:AO60)))</f>
        <v>1</v>
      </c>
      <c r="AP60" cm="1">
        <f t="array" ref="AP60">INDEX($B$58:$BE$58, 1, INDEX(PC2_TBL, COLUMNS($B$60:AP60)))</f>
        <v>0</v>
      </c>
      <c r="AQ60" cm="1">
        <f t="array" ref="AQ60">INDEX($B$58:$BE$58, 1, INDEX(PC2_TBL, COLUMNS($B$60:AQ60)))</f>
        <v>1</v>
      </c>
      <c r="AR60" cm="1">
        <f t="array" ref="AR60">INDEX($B$58:$BE$58, 1, INDEX(PC2_TBL, COLUMNS($B$60:AR60)))</f>
        <v>1</v>
      </c>
      <c r="AS60" cm="1">
        <f t="array" ref="AS60">INDEX($B$58:$BE$58, 1, INDEX(PC2_TBL, COLUMNS($B$60:AS60)))</f>
        <v>1</v>
      </c>
      <c r="AT60" cm="1">
        <f t="array" ref="AT60">INDEX($B$58:$BE$58, 1, INDEX(PC2_TBL, COLUMNS($B$60:AT60)))</f>
        <v>0</v>
      </c>
      <c r="AU60" cm="1">
        <f t="array" ref="AU60">INDEX($B$58:$BE$58, 1, INDEX(PC2_TBL, COLUMNS($B$60:AU60)))</f>
        <v>1</v>
      </c>
      <c r="AV60" cm="1">
        <f t="array" ref="AV60">INDEX($B$58:$BE$58, 1, INDEX(PC2_TBL, COLUMNS($B$60:AV60)))</f>
        <v>1</v>
      </c>
      <c r="AW60" cm="1">
        <f t="array" ref="AW60">INDEX($B$58:$BE$58, 1, INDEX(PC2_TBL, COLUMNS($B$60:AW60)))</f>
        <v>0</v>
      </c>
    </row>
    <row r="62" spans="1:57" x14ac:dyDescent="0.35">
      <c r="A62" t="s">
        <v>70</v>
      </c>
      <c r="AD62" t="s">
        <v>74</v>
      </c>
    </row>
    <row r="63" spans="1:57" x14ac:dyDescent="0.35">
      <c r="A63" s="3" t="s">
        <v>71</v>
      </c>
      <c r="B63" cm="1">
        <f t="array" ref="B63">INDEX($B$58:$AC$58, 1, MOD(COLUMNS($B$63:B63)-1 + INDEX(SHIFT_TBL,1,11), 28) + 1)</f>
        <v>0</v>
      </c>
      <c r="C63" cm="1">
        <f t="array" ref="C63">INDEX($B$58:$AC$58, 1, MOD(COLUMNS($B$63:C63)-1 + INDEX(SHIFT_TBL,1,11), 28) + 1)</f>
        <v>1</v>
      </c>
      <c r="D63" cm="1">
        <f t="array" ref="D63">INDEX($B$58:$AC$58, 1, MOD(COLUMNS($B$63:D63)-1 + INDEX(SHIFT_TBL,1,11), 28) + 1)</f>
        <v>0</v>
      </c>
      <c r="E63" cm="1">
        <f t="array" ref="E63">INDEX($B$58:$AC$58, 1, MOD(COLUMNS($B$63:E63)-1 + INDEX(SHIFT_TBL,1,11), 28) + 1)</f>
        <v>1</v>
      </c>
      <c r="F63" cm="1">
        <f t="array" ref="F63">INDEX($B$58:$AC$58, 1, MOD(COLUMNS($B$63:F63)-1 + INDEX(SHIFT_TBL,1,11), 28) + 1)</f>
        <v>0</v>
      </c>
      <c r="G63" cm="1">
        <f t="array" ref="G63">INDEX($B$58:$AC$58, 1, MOD(COLUMNS($B$63:G63)-1 + INDEX(SHIFT_TBL,1,11), 28) + 1)</f>
        <v>1</v>
      </c>
      <c r="H63" cm="1">
        <f t="array" ref="H63">INDEX($B$58:$AC$58, 1, MOD(COLUMNS($B$63:H63)-1 + INDEX(SHIFT_TBL,1,11), 28) + 1)</f>
        <v>0</v>
      </c>
      <c r="I63" cm="1">
        <f t="array" ref="I63">INDEX($B$58:$AC$58, 1, MOD(COLUMNS($B$63:I63)-1 + INDEX(SHIFT_TBL,1,11), 28) + 1)</f>
        <v>1</v>
      </c>
      <c r="J63" cm="1">
        <f t="array" ref="J63">INDEX($B$58:$AC$58, 1, MOD(COLUMNS($B$63:J63)-1 + INDEX(SHIFT_TBL,1,11), 28) + 1)</f>
        <v>1</v>
      </c>
      <c r="K63" cm="1">
        <f t="array" ref="K63">INDEX($B$58:$AC$58, 1, MOD(COLUMNS($B$63:K63)-1 + INDEX(SHIFT_TBL,1,11), 28) + 1)</f>
        <v>1</v>
      </c>
      <c r="L63" cm="1">
        <f t="array" ref="L63">INDEX($B$58:$AC$58, 1, MOD(COLUMNS($B$63:L63)-1 + INDEX(SHIFT_TBL,1,11), 28) + 1)</f>
        <v>1</v>
      </c>
      <c r="M63" cm="1">
        <f t="array" ref="M63">INDEX($B$58:$AC$58, 1, MOD(COLUMNS($B$63:M63)-1 + INDEX(SHIFT_TBL,1,11), 28) + 1)</f>
        <v>1</v>
      </c>
      <c r="N63" cm="1">
        <f t="array" ref="N63">INDEX($B$58:$AC$58, 1, MOD(COLUMNS($B$63:N63)-1 + INDEX(SHIFT_TBL,1,11), 28) + 1)</f>
        <v>1</v>
      </c>
      <c r="O63" cm="1">
        <f t="array" ref="O63">INDEX($B$58:$AC$58, 1, MOD(COLUMNS($B$63:O63)-1 + INDEX(SHIFT_TBL,1,11), 28) + 1)</f>
        <v>0</v>
      </c>
      <c r="P63" cm="1">
        <f t="array" ref="P63">INDEX($B$58:$AC$58, 1, MOD(COLUMNS($B$63:P63)-1 + INDEX(SHIFT_TBL,1,11), 28) + 1)</f>
        <v>0</v>
      </c>
      <c r="Q63" cm="1">
        <f t="array" ref="Q63">INDEX($B$58:$AC$58, 1, MOD(COLUMNS($B$63:Q63)-1 + INDEX(SHIFT_TBL,1,11), 28) + 1)</f>
        <v>0</v>
      </c>
      <c r="R63" cm="1">
        <f t="array" ref="R63">INDEX($B$58:$AC$58, 1, MOD(COLUMNS($B$63:R63)-1 + INDEX(SHIFT_TBL,1,11), 28) + 1)</f>
        <v>0</v>
      </c>
      <c r="S63" cm="1">
        <f t="array" ref="S63">INDEX($B$58:$AC$58, 1, MOD(COLUMNS($B$63:S63)-1 + INDEX(SHIFT_TBL,1,11), 28) + 1)</f>
        <v>1</v>
      </c>
      <c r="T63" cm="1">
        <f t="array" ref="T63">INDEX($B$58:$AC$58, 1, MOD(COLUMNS($B$63:T63)-1 + INDEX(SHIFT_TBL,1,11), 28) + 1)</f>
        <v>1</v>
      </c>
      <c r="U63" cm="1">
        <f t="array" ref="U63">INDEX($B$58:$AC$58, 1, MOD(COLUMNS($B$63:U63)-1 + INDEX(SHIFT_TBL,1,11), 28) + 1)</f>
        <v>0</v>
      </c>
      <c r="V63" cm="1">
        <f t="array" ref="V63">INDEX($B$58:$AC$58, 1, MOD(COLUMNS($B$63:V63)-1 + INDEX(SHIFT_TBL,1,11), 28) + 1)</f>
        <v>0</v>
      </c>
      <c r="W63" cm="1">
        <f t="array" ref="W63">INDEX($B$58:$AC$58, 1, MOD(COLUMNS($B$63:W63)-1 + INDEX(SHIFT_TBL,1,11), 28) + 1)</f>
        <v>1</v>
      </c>
      <c r="X63" cm="1">
        <f t="array" ref="X63">INDEX($B$58:$AC$58, 1, MOD(COLUMNS($B$63:X63)-1 + INDEX(SHIFT_TBL,1,11), 28) + 1)</f>
        <v>1</v>
      </c>
      <c r="Y63" cm="1">
        <f t="array" ref="Y63">INDEX($B$58:$AC$58, 1, MOD(COLUMNS($B$63:Y63)-1 + INDEX(SHIFT_TBL,1,11), 28) + 1)</f>
        <v>0</v>
      </c>
      <c r="Z63" cm="1">
        <f t="array" ref="Z63">INDEX($B$58:$AC$58, 1, MOD(COLUMNS($B$63:Z63)-1 + INDEX(SHIFT_TBL,1,11), 28) + 1)</f>
        <v>0</v>
      </c>
      <c r="AA63" cm="1">
        <f t="array" ref="AA63">INDEX($B$58:$AC$58, 1, MOD(COLUMNS($B$63:AA63)-1 + INDEX(SHIFT_TBL,1,11), 28) + 1)</f>
        <v>1</v>
      </c>
      <c r="AB63" cm="1">
        <f t="array" ref="AB63">INDEX($B$58:$AC$58, 1, MOD(COLUMNS($B$63:AB63)-1 + INDEX(SHIFT_TBL,1,11), 28) + 1)</f>
        <v>0</v>
      </c>
      <c r="AC63" cm="1">
        <f t="array" ref="AC63">INDEX($B$58:$AC$58, 1, MOD(COLUMNS($B$63:AC63)-1 + INDEX(SHIFT_TBL,1,11), 28) + 1)</f>
        <v>1</v>
      </c>
      <c r="AD63" cm="1">
        <f t="array" ref="AD63">INDEX($AD$58:$BE$58, 1, MOD(COLUMNS($AD$63:AD63)-1 + INDEX(SHIFT_TBL,1,11), 28) + 1)</f>
        <v>1</v>
      </c>
      <c r="AE63" cm="1">
        <f t="array" ref="AE63">INDEX($AD$58:$BE$58, 1, MOD(COLUMNS($AD$63:AE63)-1 + INDEX(SHIFT_TBL,1,11), 28) + 1)</f>
        <v>0</v>
      </c>
      <c r="AF63" cm="1">
        <f t="array" ref="AF63">INDEX($AD$58:$BE$58, 1, MOD(COLUMNS($AD$63:AF63)-1 + INDEX(SHIFT_TBL,1,11), 28) + 1)</f>
        <v>0</v>
      </c>
      <c r="AG63" cm="1">
        <f t="array" ref="AG63">INDEX($AD$58:$BE$58, 1, MOD(COLUMNS($AD$63:AG63)-1 + INDEX(SHIFT_TBL,1,11), 28) + 1)</f>
        <v>0</v>
      </c>
      <c r="AH63" cm="1">
        <f t="array" ref="AH63">INDEX($AD$58:$BE$58, 1, MOD(COLUMNS($AD$63:AH63)-1 + INDEX(SHIFT_TBL,1,11), 28) + 1)</f>
        <v>0</v>
      </c>
      <c r="AI63" cm="1">
        <f t="array" ref="AI63">INDEX($AD$58:$BE$58, 1, MOD(COLUMNS($AD$63:AI63)-1 + INDEX(SHIFT_TBL,1,11), 28) + 1)</f>
        <v>1</v>
      </c>
      <c r="AJ63" cm="1">
        <f t="array" ref="AJ63">INDEX($AD$58:$BE$58, 1, MOD(COLUMNS($AD$63:AJ63)-1 + INDEX(SHIFT_TBL,1,11), 28) + 1)</f>
        <v>0</v>
      </c>
      <c r="AK63" cm="1">
        <f t="array" ref="AK63">INDEX($AD$58:$BE$58, 1, MOD(COLUMNS($AD$63:AK63)-1 + INDEX(SHIFT_TBL,1,11), 28) + 1)</f>
        <v>1</v>
      </c>
      <c r="AL63" cm="1">
        <f t="array" ref="AL63">INDEX($AD$58:$BE$58, 1, MOD(COLUMNS($AD$63:AL63)-1 + INDEX(SHIFT_TBL,1,11), 28) + 1)</f>
        <v>0</v>
      </c>
      <c r="AM63" cm="1">
        <f t="array" ref="AM63">INDEX($AD$58:$BE$58, 1, MOD(COLUMNS($AD$63:AM63)-1 + INDEX(SHIFT_TBL,1,11), 28) + 1)</f>
        <v>1</v>
      </c>
      <c r="AN63" cm="1">
        <f t="array" ref="AN63">INDEX($AD$58:$BE$58, 1, MOD(COLUMNS($AD$63:AN63)-1 + INDEX(SHIFT_TBL,1,11), 28) + 1)</f>
        <v>0</v>
      </c>
      <c r="AO63" cm="1">
        <f t="array" ref="AO63">INDEX($AD$58:$BE$58, 1, MOD(COLUMNS($AD$63:AO63)-1 + INDEX(SHIFT_TBL,1,11), 28) + 1)</f>
        <v>1</v>
      </c>
      <c r="AP63" cm="1">
        <f t="array" ref="AP63">INDEX($AD$58:$BE$58, 1, MOD(COLUMNS($AD$63:AP63)-1 + INDEX(SHIFT_TBL,1,11), 28) + 1)</f>
        <v>0</v>
      </c>
      <c r="AQ63" cm="1">
        <f t="array" ref="AQ63">INDEX($AD$58:$BE$58, 1, MOD(COLUMNS($AD$63:AQ63)-1 + INDEX(SHIFT_TBL,1,11), 28) + 1)</f>
        <v>1</v>
      </c>
      <c r="AR63" cm="1">
        <f t="array" ref="AR63">INDEX($AD$58:$BE$58, 1, MOD(COLUMNS($AD$63:AR63)-1 + INDEX(SHIFT_TBL,1,11), 28) + 1)</f>
        <v>0</v>
      </c>
      <c r="AS63" cm="1">
        <f t="array" ref="AS63">INDEX($AD$58:$BE$58, 1, MOD(COLUMNS($AD$63:AS63)-1 + INDEX(SHIFT_TBL,1,11), 28) + 1)</f>
        <v>1</v>
      </c>
      <c r="AT63" cm="1">
        <f t="array" ref="AT63">INDEX($AD$58:$BE$58, 1, MOD(COLUMNS($AD$63:AT63)-1 + INDEX(SHIFT_TBL,1,11), 28) + 1)</f>
        <v>0</v>
      </c>
      <c r="AU63" cm="1">
        <f t="array" ref="AU63">INDEX($AD$58:$BE$58, 1, MOD(COLUMNS($AD$63:AU63)-1 + INDEX(SHIFT_TBL,1,11), 28) + 1)</f>
        <v>1</v>
      </c>
      <c r="AV63" cm="1">
        <f t="array" ref="AV63">INDEX($AD$58:$BE$58, 1, MOD(COLUMNS($AD$63:AV63)-1 + INDEX(SHIFT_TBL,1,11), 28) + 1)</f>
        <v>1</v>
      </c>
      <c r="AW63" cm="1">
        <f t="array" ref="AW63">INDEX($AD$58:$BE$58, 1, MOD(COLUMNS($AD$63:AW63)-1 + INDEX(SHIFT_TBL,1,11), 28) + 1)</f>
        <v>0</v>
      </c>
      <c r="AX63" cm="1">
        <f t="array" ref="AX63">INDEX($AD$58:$BE$58, 1, MOD(COLUMNS($AD$63:AX63)-1 + INDEX(SHIFT_TBL,1,11), 28) + 1)</f>
        <v>0</v>
      </c>
      <c r="AY63" cm="1">
        <f t="array" ref="AY63">INDEX($AD$58:$BE$58, 1, MOD(COLUMNS($AD$63:AY63)-1 + INDEX(SHIFT_TBL,1,11), 28) + 1)</f>
        <v>1</v>
      </c>
      <c r="AZ63" cm="1">
        <f t="array" ref="AZ63">INDEX($AD$58:$BE$58, 1, MOD(COLUMNS($AD$63:AZ63)-1 + INDEX(SHIFT_TBL,1,11), 28) + 1)</f>
        <v>1</v>
      </c>
      <c r="BA63" cm="1">
        <f t="array" ref="BA63">INDEX($AD$58:$BE$58, 1, MOD(COLUMNS($AD$63:BA63)-1 + INDEX(SHIFT_TBL,1,11), 28) + 1)</f>
        <v>0</v>
      </c>
      <c r="BB63" cm="1">
        <f t="array" ref="BB63">INDEX($AD$58:$BE$58, 1, MOD(COLUMNS($AD$63:BB63)-1 + INDEX(SHIFT_TBL,1,11), 28) + 1)</f>
        <v>0</v>
      </c>
      <c r="BC63" cm="1">
        <f t="array" ref="BC63">INDEX($AD$58:$BE$58, 1, MOD(COLUMNS($AD$63:BC63)-1 + INDEX(SHIFT_TBL,1,11), 28) + 1)</f>
        <v>1</v>
      </c>
      <c r="BD63" cm="1">
        <f t="array" ref="BD63">INDEX($AD$58:$BE$58, 1, MOD(COLUMNS($AD$63:BD63)-1 + INDEX(SHIFT_TBL,1,11), 28) + 1)</f>
        <v>1</v>
      </c>
      <c r="BE63" cm="1">
        <f t="array" ref="BE63">INDEX($AD$58:$BE$58, 1, MOD(COLUMNS($AD$63:BE63)-1 + INDEX(SHIFT_TBL,1,11), 28) + 1)</f>
        <v>1</v>
      </c>
    </row>
    <row r="64" spans="1:57" x14ac:dyDescent="0.35">
      <c r="A64" s="3" t="s">
        <v>72</v>
      </c>
      <c r="B64" cm="1">
        <f t="array" ref="B64">INDEX($B$58:$AC$58, 1, MOD(COLUMNS($B$63:B64)-1 + INDEX(SHIFT_TBL,1,11), 28) + 1)</f>
        <v>0</v>
      </c>
      <c r="C64" cm="1">
        <f t="array" ref="C64">INDEX($B$58:$AC$58, 1, MOD(COLUMNS($B$63:C64)-1 + INDEX(SHIFT_TBL,1,11), 28) + 1)</f>
        <v>1</v>
      </c>
      <c r="D64" cm="1">
        <f t="array" ref="D64">INDEX($B$58:$AC$58, 1, MOD(COLUMNS($B$63:D64)-1 + INDEX(SHIFT_TBL,1,11), 28) + 1)</f>
        <v>0</v>
      </c>
      <c r="E64" cm="1">
        <f t="array" ref="E64">INDEX($B$58:$AC$58, 1, MOD(COLUMNS($B$63:E64)-1 + INDEX(SHIFT_TBL,1,11), 28) + 1)</f>
        <v>1</v>
      </c>
      <c r="F64" cm="1">
        <f t="array" ref="F64">INDEX($B$58:$AC$58, 1, MOD(COLUMNS($B$63:F64)-1 + INDEX(SHIFT_TBL,1,11), 28) + 1)</f>
        <v>0</v>
      </c>
      <c r="G64" cm="1">
        <f t="array" ref="G64">INDEX($B$58:$AC$58, 1, MOD(COLUMNS($B$63:G64)-1 + INDEX(SHIFT_TBL,1,11), 28) + 1)</f>
        <v>1</v>
      </c>
      <c r="H64" cm="1">
        <f t="array" ref="H64">INDEX($B$58:$AC$58, 1, MOD(COLUMNS($B$63:H64)-1 + INDEX(SHIFT_TBL,1,11), 28) + 1)</f>
        <v>0</v>
      </c>
      <c r="I64" cm="1">
        <f t="array" ref="I64">INDEX($B$58:$AC$58, 1, MOD(COLUMNS($B$63:I64)-1 + INDEX(SHIFT_TBL,1,11), 28) + 1)</f>
        <v>1</v>
      </c>
      <c r="J64" cm="1">
        <f t="array" ref="J64">INDEX($B$58:$AC$58, 1, MOD(COLUMNS($B$63:J64)-1 + INDEX(SHIFT_TBL,1,11), 28) + 1)</f>
        <v>1</v>
      </c>
      <c r="K64" cm="1">
        <f t="array" ref="K64">INDEX($B$58:$AC$58, 1, MOD(COLUMNS($B$63:K64)-1 + INDEX(SHIFT_TBL,1,11), 28) + 1)</f>
        <v>1</v>
      </c>
      <c r="L64" cm="1">
        <f t="array" ref="L64">INDEX($B$58:$AC$58, 1, MOD(COLUMNS($B$63:L64)-1 + INDEX(SHIFT_TBL,1,11), 28) + 1)</f>
        <v>1</v>
      </c>
      <c r="M64" cm="1">
        <f t="array" ref="M64">INDEX($B$58:$AC$58, 1, MOD(COLUMNS($B$63:M64)-1 + INDEX(SHIFT_TBL,1,11), 28) + 1)</f>
        <v>1</v>
      </c>
      <c r="N64" cm="1">
        <f t="array" ref="N64">INDEX($B$58:$AC$58, 1, MOD(COLUMNS($B$63:N64)-1 + INDEX(SHIFT_TBL,1,11), 28) + 1)</f>
        <v>1</v>
      </c>
      <c r="O64" cm="1">
        <f t="array" ref="O64">INDEX($B$58:$AC$58, 1, MOD(COLUMNS($B$63:O64)-1 + INDEX(SHIFT_TBL,1,11), 28) + 1)</f>
        <v>0</v>
      </c>
      <c r="P64" cm="1">
        <f t="array" ref="P64">INDEX($B$58:$AC$58, 1, MOD(COLUMNS($B$63:P64)-1 + INDEX(SHIFT_TBL,1,11), 28) + 1)</f>
        <v>0</v>
      </c>
      <c r="Q64" cm="1">
        <f t="array" ref="Q64">INDEX($B$58:$AC$58, 1, MOD(COLUMNS($B$63:Q64)-1 + INDEX(SHIFT_TBL,1,11), 28) + 1)</f>
        <v>0</v>
      </c>
      <c r="R64" cm="1">
        <f t="array" ref="R64">INDEX($B$58:$AC$58, 1, MOD(COLUMNS($B$63:R64)-1 + INDEX(SHIFT_TBL,1,11), 28) + 1)</f>
        <v>0</v>
      </c>
      <c r="S64" cm="1">
        <f t="array" ref="S64">INDEX($B$58:$AC$58, 1, MOD(COLUMNS($B$63:S64)-1 + INDEX(SHIFT_TBL,1,11), 28) + 1)</f>
        <v>1</v>
      </c>
      <c r="T64" cm="1">
        <f t="array" ref="T64">INDEX($B$58:$AC$58, 1, MOD(COLUMNS($B$63:T64)-1 + INDEX(SHIFT_TBL,1,11), 28) + 1)</f>
        <v>1</v>
      </c>
      <c r="U64" cm="1">
        <f t="array" ref="U64">INDEX($B$58:$AC$58, 1, MOD(COLUMNS($B$63:U64)-1 + INDEX(SHIFT_TBL,1,11), 28) + 1)</f>
        <v>0</v>
      </c>
      <c r="V64" cm="1">
        <f t="array" ref="V64">INDEX($B$58:$AC$58, 1, MOD(COLUMNS($B$63:V64)-1 + INDEX(SHIFT_TBL,1,11), 28) + 1)</f>
        <v>0</v>
      </c>
      <c r="W64" cm="1">
        <f t="array" ref="W64">INDEX($B$58:$AC$58, 1, MOD(COLUMNS($B$63:W64)-1 + INDEX(SHIFT_TBL,1,11), 28) + 1)</f>
        <v>1</v>
      </c>
      <c r="X64" cm="1">
        <f t="array" ref="X64">INDEX($B$58:$AC$58, 1, MOD(COLUMNS($B$63:X64)-1 + INDEX(SHIFT_TBL,1,11), 28) + 1)</f>
        <v>1</v>
      </c>
      <c r="Y64" cm="1">
        <f t="array" ref="Y64">INDEX($B$58:$AC$58, 1, MOD(COLUMNS($B$63:Y64)-1 + INDEX(SHIFT_TBL,1,11), 28) + 1)</f>
        <v>0</v>
      </c>
      <c r="Z64" cm="1">
        <f t="array" ref="Z64">INDEX($B$58:$AC$58, 1, MOD(COLUMNS($B$63:Z64)-1 + INDEX(SHIFT_TBL,1,11), 28) + 1)</f>
        <v>0</v>
      </c>
      <c r="AA64" cm="1">
        <f t="array" ref="AA64">INDEX($B$58:$AC$58, 1, MOD(COLUMNS($B$63:AA64)-1 + INDEX(SHIFT_TBL,1,11), 28) + 1)</f>
        <v>1</v>
      </c>
      <c r="AB64" cm="1">
        <f t="array" ref="AB64">INDEX($B$58:$AC$58, 1, MOD(COLUMNS($B$63:AB64)-1 + INDEX(SHIFT_TBL,1,11), 28) + 1)</f>
        <v>0</v>
      </c>
      <c r="AC64" cm="1">
        <f t="array" ref="AC64">INDEX($B$58:$AC$58, 1, MOD(COLUMNS($B$63:AC64)-1 + INDEX(SHIFT_TBL,1,11), 28) + 1)</f>
        <v>1</v>
      </c>
      <c r="AD64" cm="1">
        <f t="array" ref="AD64">INDEX($AD$58:$BE$58, 1, MOD(COLUMNS($AD$63:AD64)-1 + INDEX(SHIFT_TBL,1,11), 28) + 1)</f>
        <v>1</v>
      </c>
      <c r="AE64" cm="1">
        <f t="array" ref="AE64">INDEX($AD$58:$BE$58, 1, MOD(COLUMNS($AD$63:AE64)-1 + INDEX(SHIFT_TBL,1,11), 28) + 1)</f>
        <v>0</v>
      </c>
      <c r="AF64" cm="1">
        <f t="array" ref="AF64">INDEX($AD$58:$BE$58, 1, MOD(COLUMNS($AD$63:AF64)-1 + INDEX(SHIFT_TBL,1,11), 28) + 1)</f>
        <v>0</v>
      </c>
      <c r="AG64" cm="1">
        <f t="array" ref="AG64">INDEX($AD$58:$BE$58, 1, MOD(COLUMNS($AD$63:AG64)-1 + INDEX(SHIFT_TBL,1,11), 28) + 1)</f>
        <v>0</v>
      </c>
      <c r="AH64" cm="1">
        <f t="array" ref="AH64">INDEX($AD$58:$BE$58, 1, MOD(COLUMNS($AD$63:AH64)-1 + INDEX(SHIFT_TBL,1,11), 28) + 1)</f>
        <v>0</v>
      </c>
      <c r="AI64" cm="1">
        <f t="array" ref="AI64">INDEX($AD$58:$BE$58, 1, MOD(COLUMNS($AD$63:AI64)-1 + INDEX(SHIFT_TBL,1,11), 28) + 1)</f>
        <v>1</v>
      </c>
      <c r="AJ64" cm="1">
        <f t="array" ref="AJ64">INDEX($AD$58:$BE$58, 1, MOD(COLUMNS($AD$63:AJ64)-1 + INDEX(SHIFT_TBL,1,11), 28) + 1)</f>
        <v>0</v>
      </c>
      <c r="AK64" cm="1">
        <f t="array" ref="AK64">INDEX($AD$58:$BE$58, 1, MOD(COLUMNS($AD$63:AK64)-1 + INDEX(SHIFT_TBL,1,11), 28) + 1)</f>
        <v>1</v>
      </c>
      <c r="AL64" cm="1">
        <f t="array" ref="AL64">INDEX($AD$58:$BE$58, 1, MOD(COLUMNS($AD$63:AL64)-1 + INDEX(SHIFT_TBL,1,11), 28) + 1)</f>
        <v>0</v>
      </c>
      <c r="AM64" cm="1">
        <f t="array" ref="AM64">INDEX($AD$58:$BE$58, 1, MOD(COLUMNS($AD$63:AM64)-1 + INDEX(SHIFT_TBL,1,11), 28) + 1)</f>
        <v>1</v>
      </c>
      <c r="AN64" cm="1">
        <f t="array" ref="AN64">INDEX($AD$58:$BE$58, 1, MOD(COLUMNS($AD$63:AN64)-1 + INDEX(SHIFT_TBL,1,11), 28) + 1)</f>
        <v>0</v>
      </c>
      <c r="AO64" cm="1">
        <f t="array" ref="AO64">INDEX($AD$58:$BE$58, 1, MOD(COLUMNS($AD$63:AO64)-1 + INDEX(SHIFT_TBL,1,11), 28) + 1)</f>
        <v>1</v>
      </c>
      <c r="AP64" cm="1">
        <f t="array" ref="AP64">INDEX($AD$58:$BE$58, 1, MOD(COLUMNS($AD$63:AP64)-1 + INDEX(SHIFT_TBL,1,11), 28) + 1)</f>
        <v>0</v>
      </c>
      <c r="AQ64" cm="1">
        <f t="array" ref="AQ64">INDEX($AD$58:$BE$58, 1, MOD(COLUMNS($AD$63:AQ64)-1 + INDEX(SHIFT_TBL,1,11), 28) + 1)</f>
        <v>1</v>
      </c>
      <c r="AR64" cm="1">
        <f t="array" ref="AR64">INDEX($AD$58:$BE$58, 1, MOD(COLUMNS($AD$63:AR64)-1 + INDEX(SHIFT_TBL,1,11), 28) + 1)</f>
        <v>0</v>
      </c>
      <c r="AS64" cm="1">
        <f t="array" ref="AS64">INDEX($AD$58:$BE$58, 1, MOD(COLUMNS($AD$63:AS64)-1 + INDEX(SHIFT_TBL,1,11), 28) + 1)</f>
        <v>1</v>
      </c>
      <c r="AT64" cm="1">
        <f t="array" ref="AT64">INDEX($AD$58:$BE$58, 1, MOD(COLUMNS($AD$63:AT64)-1 + INDEX(SHIFT_TBL,1,11), 28) + 1)</f>
        <v>0</v>
      </c>
      <c r="AU64" cm="1">
        <f t="array" ref="AU64">INDEX($AD$58:$BE$58, 1, MOD(COLUMNS($AD$63:AU64)-1 + INDEX(SHIFT_TBL,1,11), 28) + 1)</f>
        <v>1</v>
      </c>
      <c r="AV64" cm="1">
        <f t="array" ref="AV64">INDEX($AD$58:$BE$58, 1, MOD(COLUMNS($AD$63:AV64)-1 + INDEX(SHIFT_TBL,1,11), 28) + 1)</f>
        <v>1</v>
      </c>
      <c r="AW64" cm="1">
        <f t="array" ref="AW64">INDEX($AD$58:$BE$58, 1, MOD(COLUMNS($AD$63:AW64)-1 + INDEX(SHIFT_TBL,1,11), 28) + 1)</f>
        <v>0</v>
      </c>
      <c r="AX64" cm="1">
        <f t="array" ref="AX64">INDEX($AD$58:$BE$58, 1, MOD(COLUMNS($AD$63:AX64)-1 + INDEX(SHIFT_TBL,1,11), 28) + 1)</f>
        <v>0</v>
      </c>
      <c r="AY64" cm="1">
        <f t="array" ref="AY64">INDEX($AD$58:$BE$58, 1, MOD(COLUMNS($AD$63:AY64)-1 + INDEX(SHIFT_TBL,1,11), 28) + 1)</f>
        <v>1</v>
      </c>
      <c r="AZ64" cm="1">
        <f t="array" ref="AZ64">INDEX($AD$58:$BE$58, 1, MOD(COLUMNS($AD$63:AZ64)-1 + INDEX(SHIFT_TBL,1,11), 28) + 1)</f>
        <v>1</v>
      </c>
      <c r="BA64" cm="1">
        <f t="array" ref="BA64">INDEX($AD$58:$BE$58, 1, MOD(COLUMNS($AD$63:BA64)-1 + INDEX(SHIFT_TBL,1,11), 28) + 1)</f>
        <v>0</v>
      </c>
      <c r="BB64" cm="1">
        <f t="array" ref="BB64">INDEX($AD$58:$BE$58, 1, MOD(COLUMNS($AD$63:BB64)-1 + INDEX(SHIFT_TBL,1,11), 28) + 1)</f>
        <v>0</v>
      </c>
      <c r="BC64" cm="1">
        <f t="array" ref="BC64">INDEX($AD$58:$BE$58, 1, MOD(COLUMNS($AD$63:BC64)-1 + INDEX(SHIFT_TBL,1,11), 28) + 1)</f>
        <v>1</v>
      </c>
      <c r="BD64" cm="1">
        <f t="array" ref="BD64">INDEX($AD$58:$BE$58, 1, MOD(COLUMNS($AD$63:BD64)-1 + INDEX(SHIFT_TBL,1,11), 28) + 1)</f>
        <v>1</v>
      </c>
      <c r="BE64" cm="1">
        <f t="array" ref="BE64">INDEX($AD$58:$BE$58, 1, MOD(COLUMNS($AD$63:BE64)-1 + INDEX(SHIFT_TBL,1,11), 28) + 1)</f>
        <v>1</v>
      </c>
    </row>
    <row r="65" spans="1:57" x14ac:dyDescent="0.35">
      <c r="A65" s="3" t="s">
        <v>73</v>
      </c>
      <c r="B65" cm="1">
        <f t="array" ref="B65">INDEX($B$63:$BE$63, 1, INDEX(PC2_TBL, COLUMNS($B$65:B65)))</f>
        <v>0</v>
      </c>
      <c r="C65" cm="1">
        <f t="array" ref="C65">INDEX($B$63:$BE$63, 1, INDEX(PC2_TBL, COLUMNS($B$65:C65)))</f>
        <v>0</v>
      </c>
      <c r="D65" cm="1">
        <f t="array" ref="D65">INDEX($B$63:$BE$63, 1, INDEX(PC2_TBL, COLUMNS($B$65:D65)))</f>
        <v>1</v>
      </c>
      <c r="E65" cm="1">
        <f t="array" ref="E65">INDEX($B$63:$BE$63, 1, INDEX(PC2_TBL, COLUMNS($B$65:E65)))</f>
        <v>0</v>
      </c>
      <c r="F65" cm="1">
        <f t="array" ref="F65">INDEX($B$63:$BE$63, 1, INDEX(PC2_TBL, COLUMNS($B$65:F65)))</f>
        <v>0</v>
      </c>
      <c r="G65" cm="1">
        <f t="array" ref="G65">INDEX($B$63:$BE$63, 1, INDEX(PC2_TBL, COLUMNS($B$65:G65)))</f>
        <v>0</v>
      </c>
      <c r="H65" cm="1">
        <f t="array" ref="H65">INDEX($B$63:$BE$63, 1, INDEX(PC2_TBL, COLUMNS($B$65:H65)))</f>
        <v>0</v>
      </c>
      <c r="I65" cm="1">
        <f t="array" ref="I65">INDEX($B$63:$BE$63, 1, INDEX(PC2_TBL, COLUMNS($B$65:I65)))</f>
        <v>1</v>
      </c>
      <c r="J65" cm="1">
        <f t="array" ref="J65">INDEX($B$63:$BE$63, 1, INDEX(PC2_TBL, COLUMNS($B$65:J65)))</f>
        <v>0</v>
      </c>
      <c r="K65" cm="1">
        <f t="array" ref="K65">INDEX($B$63:$BE$63, 1, INDEX(PC2_TBL, COLUMNS($B$65:K65)))</f>
        <v>1</v>
      </c>
      <c r="L65" cm="1">
        <f t="array" ref="L65">INDEX($B$63:$BE$63, 1, INDEX(PC2_TBL, COLUMNS($B$65:L65)))</f>
        <v>0</v>
      </c>
      <c r="M65" cm="1">
        <f t="array" ref="M65">INDEX($B$63:$BE$63, 1, INDEX(PC2_TBL, COLUMNS($B$65:M65)))</f>
        <v>1</v>
      </c>
      <c r="N65" cm="1">
        <f t="array" ref="N65">INDEX($B$63:$BE$63, 1, INDEX(PC2_TBL, COLUMNS($B$65:N65)))</f>
        <v>1</v>
      </c>
      <c r="O65" cm="1">
        <f t="array" ref="O65">INDEX($B$63:$BE$63, 1, INDEX(PC2_TBL, COLUMNS($B$65:O65)))</f>
        <v>1</v>
      </c>
      <c r="P65" cm="1">
        <f t="array" ref="P65">INDEX($B$63:$BE$63, 1, INDEX(PC2_TBL, COLUMNS($B$65:P65)))</f>
        <v>1</v>
      </c>
      <c r="Q65" cm="1">
        <f t="array" ref="Q65">INDEX($B$63:$BE$63, 1, INDEX(PC2_TBL, COLUMNS($B$65:Q65)))</f>
        <v>1</v>
      </c>
      <c r="R65" cm="1">
        <f t="array" ref="R65">INDEX($B$63:$BE$63, 1, INDEX(PC2_TBL, COLUMNS($B$65:R65)))</f>
        <v>1</v>
      </c>
      <c r="S65" cm="1">
        <f t="array" ref="S65">INDEX($B$63:$BE$63, 1, INDEX(PC2_TBL, COLUMNS($B$65:S65)))</f>
        <v>1</v>
      </c>
      <c r="T65" cm="1">
        <f t="array" ref="T65">INDEX($B$63:$BE$63, 1, INDEX(PC2_TBL, COLUMNS($B$65:T65)))</f>
        <v>0</v>
      </c>
      <c r="U65" cm="1">
        <f t="array" ref="U65">INDEX($B$63:$BE$63, 1, INDEX(PC2_TBL, COLUMNS($B$65:U65)))</f>
        <v>0</v>
      </c>
      <c r="V65" cm="1">
        <f t="array" ref="V65">INDEX($B$63:$BE$63, 1, INDEX(PC2_TBL, COLUMNS($B$65:V65)))</f>
        <v>0</v>
      </c>
      <c r="W65" cm="1">
        <f t="array" ref="W65">INDEX($B$63:$BE$63, 1, INDEX(PC2_TBL, COLUMNS($B$65:W65)))</f>
        <v>0</v>
      </c>
      <c r="X65" cm="1">
        <f t="array" ref="X65">INDEX($B$63:$BE$63, 1, INDEX(PC2_TBL, COLUMNS($B$65:X65)))</f>
        <v>1</v>
      </c>
      <c r="Y65" cm="1">
        <f t="array" ref="Y65">INDEX($B$63:$BE$63, 1, INDEX(PC2_TBL, COLUMNS($B$65:Y65)))</f>
        <v>1</v>
      </c>
      <c r="Z65" cm="1">
        <f t="array" ref="Z65">INDEX($B$63:$BE$63, 1, INDEX(PC2_TBL, COLUMNS($B$65:Z65)))</f>
        <v>0</v>
      </c>
      <c r="AA65" cm="1">
        <f t="array" ref="AA65">INDEX($B$63:$BE$63, 1, INDEX(PC2_TBL, COLUMNS($B$65:AA65)))</f>
        <v>0</v>
      </c>
      <c r="AB65" cm="1">
        <f t="array" ref="AB65">INDEX($B$63:$BE$63, 1, INDEX(PC2_TBL, COLUMNS($B$65:AB65)))</f>
        <v>0</v>
      </c>
      <c r="AC65" cm="1">
        <f t="array" ref="AC65">INDEX($B$63:$BE$63, 1, INDEX(PC2_TBL, COLUMNS($B$65:AC65)))</f>
        <v>0</v>
      </c>
      <c r="AD65" cm="1">
        <f t="array" ref="AD65">INDEX($B$63:$BE$63, 1, INDEX(PC2_TBL, COLUMNS($B$65:AD65)))</f>
        <v>1</v>
      </c>
      <c r="AE65" cm="1">
        <f t="array" ref="AE65">INDEX($B$63:$BE$63, 1, INDEX(PC2_TBL, COLUMNS($B$65:AE65)))</f>
        <v>1</v>
      </c>
      <c r="AF65" cm="1">
        <f t="array" ref="AF65">INDEX($B$63:$BE$63, 1, INDEX(PC2_TBL, COLUMNS($B$65:AF65)))</f>
        <v>0</v>
      </c>
      <c r="AG65" cm="1">
        <f t="array" ref="AG65">INDEX($B$63:$BE$63, 1, INDEX(PC2_TBL, COLUMNS($B$65:AG65)))</f>
        <v>1</v>
      </c>
      <c r="AH65" cm="1">
        <f t="array" ref="AH65">INDEX($B$63:$BE$63, 1, INDEX(PC2_TBL, COLUMNS($B$65:AH65)))</f>
        <v>1</v>
      </c>
      <c r="AI65" cm="1">
        <f t="array" ref="AI65">INDEX($B$63:$BE$63, 1, INDEX(PC2_TBL, COLUMNS($B$65:AI65)))</f>
        <v>0</v>
      </c>
      <c r="AJ65" cm="1">
        <f t="array" ref="AJ65">INDEX($B$63:$BE$63, 1, INDEX(PC2_TBL, COLUMNS($B$65:AJ65)))</f>
        <v>0</v>
      </c>
      <c r="AK65" cm="1">
        <f t="array" ref="AK65">INDEX($B$63:$BE$63, 1, INDEX(PC2_TBL, COLUMNS($B$65:AK65)))</f>
        <v>0</v>
      </c>
      <c r="AL65" cm="1">
        <f t="array" ref="AL65">INDEX($B$63:$BE$63, 1, INDEX(PC2_TBL, COLUMNS($B$65:AL65)))</f>
        <v>1</v>
      </c>
      <c r="AM65" cm="1">
        <f t="array" ref="AM65">INDEX($B$63:$BE$63, 1, INDEX(PC2_TBL, COLUMNS($B$65:AM65)))</f>
        <v>0</v>
      </c>
      <c r="AN65" cm="1">
        <f t="array" ref="AN65">INDEX($B$63:$BE$63, 1, INDEX(PC2_TBL, COLUMNS($B$65:AN65)))</f>
        <v>0</v>
      </c>
      <c r="AO65" cm="1">
        <f t="array" ref="AO65">INDEX($B$63:$BE$63, 1, INDEX(PC2_TBL, COLUMNS($B$65:AO65)))</f>
        <v>1</v>
      </c>
      <c r="AP65" cm="1">
        <f t="array" ref="AP65">INDEX($B$63:$BE$63, 1, INDEX(PC2_TBL, COLUMNS($B$65:AP65)))</f>
        <v>1</v>
      </c>
      <c r="AQ65" cm="1">
        <f t="array" ref="AQ65">INDEX($B$63:$BE$63, 1, INDEX(PC2_TBL, COLUMNS($B$65:AQ65)))</f>
        <v>0</v>
      </c>
      <c r="AR65" cm="1">
        <f t="array" ref="AR65">INDEX($B$63:$BE$63, 1, INDEX(PC2_TBL, COLUMNS($B$65:AR65)))</f>
        <v>1</v>
      </c>
      <c r="AS65" cm="1">
        <f t="array" ref="AS65">INDEX($B$63:$BE$63, 1, INDEX(PC2_TBL, COLUMNS($B$65:AS65)))</f>
        <v>1</v>
      </c>
      <c r="AT65" cm="1">
        <f t="array" ref="AT65">INDEX($B$63:$BE$63, 1, INDEX(PC2_TBL, COLUMNS($B$65:AT65)))</f>
        <v>1</v>
      </c>
      <c r="AU65" cm="1">
        <f t="array" ref="AU65">INDEX($B$63:$BE$63, 1, INDEX(PC2_TBL, COLUMNS($B$65:AU65)))</f>
        <v>1</v>
      </c>
      <c r="AV65" cm="1">
        <f t="array" ref="AV65">INDEX($B$63:$BE$63, 1, INDEX(PC2_TBL, COLUMNS($B$65:AV65)))</f>
        <v>1</v>
      </c>
      <c r="AW65" cm="1">
        <f t="array" ref="AW65">INDEX($B$63:$BE$63, 1, INDEX(PC2_TBL, COLUMNS($B$65:AW65)))</f>
        <v>0</v>
      </c>
    </row>
    <row r="67" spans="1:57" x14ac:dyDescent="0.35">
      <c r="A67" t="s">
        <v>75</v>
      </c>
      <c r="AD67" t="s">
        <v>94</v>
      </c>
    </row>
    <row r="68" spans="1:57" x14ac:dyDescent="0.35">
      <c r="A68" s="3" t="s">
        <v>76</v>
      </c>
      <c r="B68" cm="1">
        <f t="array" ref="B68">INDEX($B$63:$AC$63, 1, MOD(COLUMNS($B$68:B68)-1 + INDEX(SHIFT_TBL,1,12), 28) + 1)</f>
        <v>0</v>
      </c>
      <c r="C68" cm="1">
        <f t="array" ref="C68">INDEX($B$63:$AC$63, 1, MOD(COLUMNS($B$68:C68)-1 + INDEX(SHIFT_TBL,1,12), 28) + 1)</f>
        <v>1</v>
      </c>
      <c r="D68" cm="1">
        <f t="array" ref="D68">INDEX($B$63:$AC$63, 1, MOD(COLUMNS($B$68:D68)-1 + INDEX(SHIFT_TBL,1,12), 28) + 1)</f>
        <v>0</v>
      </c>
      <c r="E68" cm="1">
        <f t="array" ref="E68">INDEX($B$63:$AC$63, 1, MOD(COLUMNS($B$68:E68)-1 + INDEX(SHIFT_TBL,1,12), 28) + 1)</f>
        <v>1</v>
      </c>
      <c r="F68" cm="1">
        <f t="array" ref="F68">INDEX($B$63:$AC$63, 1, MOD(COLUMNS($B$68:F68)-1 + INDEX(SHIFT_TBL,1,12), 28) + 1)</f>
        <v>0</v>
      </c>
      <c r="G68" cm="1">
        <f t="array" ref="G68">INDEX($B$63:$AC$63, 1, MOD(COLUMNS($B$68:G68)-1 + INDEX(SHIFT_TBL,1,12), 28) + 1)</f>
        <v>1</v>
      </c>
      <c r="H68" cm="1">
        <f t="array" ref="H68">INDEX($B$63:$AC$63, 1, MOD(COLUMNS($B$68:H68)-1 + INDEX(SHIFT_TBL,1,12), 28) + 1)</f>
        <v>1</v>
      </c>
      <c r="I68" cm="1">
        <f t="array" ref="I68">INDEX($B$63:$AC$63, 1, MOD(COLUMNS($B$68:I68)-1 + INDEX(SHIFT_TBL,1,12), 28) + 1)</f>
        <v>1</v>
      </c>
      <c r="J68" cm="1">
        <f t="array" ref="J68">INDEX($B$63:$AC$63, 1, MOD(COLUMNS($B$68:J68)-1 + INDEX(SHIFT_TBL,1,12), 28) + 1)</f>
        <v>1</v>
      </c>
      <c r="K68" cm="1">
        <f t="array" ref="K68">INDEX($B$63:$AC$63, 1, MOD(COLUMNS($B$68:K68)-1 + INDEX(SHIFT_TBL,1,12), 28) + 1)</f>
        <v>1</v>
      </c>
      <c r="L68" cm="1">
        <f t="array" ref="L68">INDEX($B$63:$AC$63, 1, MOD(COLUMNS($B$68:L68)-1 + INDEX(SHIFT_TBL,1,12), 28) + 1)</f>
        <v>1</v>
      </c>
      <c r="M68" cm="1">
        <f t="array" ref="M68">INDEX($B$63:$AC$63, 1, MOD(COLUMNS($B$68:M68)-1 + INDEX(SHIFT_TBL,1,12), 28) + 1)</f>
        <v>0</v>
      </c>
      <c r="N68" cm="1">
        <f t="array" ref="N68">INDEX($B$63:$AC$63, 1, MOD(COLUMNS($B$68:N68)-1 + INDEX(SHIFT_TBL,1,12), 28) + 1)</f>
        <v>0</v>
      </c>
      <c r="O68" cm="1">
        <f t="array" ref="O68">INDEX($B$63:$AC$63, 1, MOD(COLUMNS($B$68:O68)-1 + INDEX(SHIFT_TBL,1,12), 28) + 1)</f>
        <v>0</v>
      </c>
      <c r="P68" cm="1">
        <f t="array" ref="P68">INDEX($B$63:$AC$63, 1, MOD(COLUMNS($B$68:P68)-1 + INDEX(SHIFT_TBL,1,12), 28) + 1)</f>
        <v>0</v>
      </c>
      <c r="Q68" cm="1">
        <f t="array" ref="Q68">INDEX($B$63:$AC$63, 1, MOD(COLUMNS($B$68:Q68)-1 + INDEX(SHIFT_TBL,1,12), 28) + 1)</f>
        <v>1</v>
      </c>
      <c r="R68" cm="1">
        <f t="array" ref="R68">INDEX($B$63:$AC$63, 1, MOD(COLUMNS($B$68:R68)-1 + INDEX(SHIFT_TBL,1,12), 28) + 1)</f>
        <v>1</v>
      </c>
      <c r="S68" cm="1">
        <f t="array" ref="S68">INDEX($B$63:$AC$63, 1, MOD(COLUMNS($B$68:S68)-1 + INDEX(SHIFT_TBL,1,12), 28) + 1)</f>
        <v>0</v>
      </c>
      <c r="T68" cm="1">
        <f t="array" ref="T68">INDEX($B$63:$AC$63, 1, MOD(COLUMNS($B$68:T68)-1 + INDEX(SHIFT_TBL,1,12), 28) + 1)</f>
        <v>0</v>
      </c>
      <c r="U68" cm="1">
        <f t="array" ref="U68">INDEX($B$63:$AC$63, 1, MOD(COLUMNS($B$68:U68)-1 + INDEX(SHIFT_TBL,1,12), 28) + 1)</f>
        <v>1</v>
      </c>
      <c r="V68" cm="1">
        <f t="array" ref="V68">INDEX($B$63:$AC$63, 1, MOD(COLUMNS($B$68:V68)-1 + INDEX(SHIFT_TBL,1,12), 28) + 1)</f>
        <v>1</v>
      </c>
      <c r="W68" cm="1">
        <f t="array" ref="W68">INDEX($B$63:$AC$63, 1, MOD(COLUMNS($B$68:W68)-1 + INDEX(SHIFT_TBL,1,12), 28) + 1)</f>
        <v>0</v>
      </c>
      <c r="X68" cm="1">
        <f t="array" ref="X68">INDEX($B$63:$AC$63, 1, MOD(COLUMNS($B$68:X68)-1 + INDEX(SHIFT_TBL,1,12), 28) + 1)</f>
        <v>0</v>
      </c>
      <c r="Y68" cm="1">
        <f t="array" ref="Y68">INDEX($B$63:$AC$63, 1, MOD(COLUMNS($B$68:Y68)-1 + INDEX(SHIFT_TBL,1,12), 28) + 1)</f>
        <v>1</v>
      </c>
      <c r="Z68" cm="1">
        <f t="array" ref="Z68">INDEX($B$63:$AC$63, 1, MOD(COLUMNS($B$68:Z68)-1 + INDEX(SHIFT_TBL,1,12), 28) + 1)</f>
        <v>0</v>
      </c>
      <c r="AA68" cm="1">
        <f t="array" ref="AA68">INDEX($B$63:$AC$63, 1, MOD(COLUMNS($B$68:AA68)-1 + INDEX(SHIFT_TBL,1,12), 28) + 1)</f>
        <v>1</v>
      </c>
      <c r="AB68" cm="1">
        <f t="array" ref="AB68">INDEX($B$63:$AC$63, 1, MOD(COLUMNS($B$68:AB68)-1 + INDEX(SHIFT_TBL,1,12), 28) + 1)</f>
        <v>0</v>
      </c>
      <c r="AC68" cm="1">
        <f t="array" ref="AC68">INDEX($B$63:$AC$63, 1, MOD(COLUMNS($B$68:AC68)-1 + INDEX(SHIFT_TBL,1,12), 28) + 1)</f>
        <v>1</v>
      </c>
      <c r="AD68" cm="1">
        <f t="array" ref="AD68">INDEX($AD$63:$BE$63, 1, MOD(COLUMNS($AD$68:AD68)-1 + INDEX(SHIFT_TBL,1,12), 28) + 1)</f>
        <v>0</v>
      </c>
      <c r="AE68" cm="1">
        <f t="array" ref="AE68">INDEX($AD$63:$BE$63, 1, MOD(COLUMNS($AD$68:AE68)-1 + INDEX(SHIFT_TBL,1,12), 28) + 1)</f>
        <v>0</v>
      </c>
      <c r="AF68" cm="1">
        <f t="array" ref="AF68">INDEX($AD$63:$BE$63, 1, MOD(COLUMNS($AD$68:AF68)-1 + INDEX(SHIFT_TBL,1,12), 28) + 1)</f>
        <v>0</v>
      </c>
      <c r="AG68" cm="1">
        <f t="array" ref="AG68">INDEX($AD$63:$BE$63, 1, MOD(COLUMNS($AD$68:AG68)-1 + INDEX(SHIFT_TBL,1,12), 28) + 1)</f>
        <v>1</v>
      </c>
      <c r="AH68" cm="1">
        <f t="array" ref="AH68">INDEX($AD$63:$BE$63, 1, MOD(COLUMNS($AD$68:AH68)-1 + INDEX(SHIFT_TBL,1,12), 28) + 1)</f>
        <v>0</v>
      </c>
      <c r="AI68" cm="1">
        <f t="array" ref="AI68">INDEX($AD$63:$BE$63, 1, MOD(COLUMNS($AD$68:AI68)-1 + INDEX(SHIFT_TBL,1,12), 28) + 1)</f>
        <v>1</v>
      </c>
      <c r="AJ68" cm="1">
        <f t="array" ref="AJ68">INDEX($AD$63:$BE$63, 1, MOD(COLUMNS($AD$68:AJ68)-1 + INDEX(SHIFT_TBL,1,12), 28) + 1)</f>
        <v>0</v>
      </c>
      <c r="AK68" cm="1">
        <f t="array" ref="AK68">INDEX($AD$63:$BE$63, 1, MOD(COLUMNS($AD$68:AK68)-1 + INDEX(SHIFT_TBL,1,12), 28) + 1)</f>
        <v>1</v>
      </c>
      <c r="AL68" cm="1">
        <f t="array" ref="AL68">INDEX($AD$63:$BE$63, 1, MOD(COLUMNS($AD$68:AL68)-1 + INDEX(SHIFT_TBL,1,12), 28) + 1)</f>
        <v>0</v>
      </c>
      <c r="AM68" cm="1">
        <f t="array" ref="AM68">INDEX($AD$63:$BE$63, 1, MOD(COLUMNS($AD$68:AM68)-1 + INDEX(SHIFT_TBL,1,12), 28) + 1)</f>
        <v>1</v>
      </c>
      <c r="AN68" cm="1">
        <f t="array" ref="AN68">INDEX($AD$63:$BE$63, 1, MOD(COLUMNS($AD$68:AN68)-1 + INDEX(SHIFT_TBL,1,12), 28) + 1)</f>
        <v>0</v>
      </c>
      <c r="AO68" cm="1">
        <f t="array" ref="AO68">INDEX($AD$63:$BE$63, 1, MOD(COLUMNS($AD$68:AO68)-1 + INDEX(SHIFT_TBL,1,12), 28) + 1)</f>
        <v>1</v>
      </c>
      <c r="AP68" cm="1">
        <f t="array" ref="AP68">INDEX($AD$63:$BE$63, 1, MOD(COLUMNS($AD$68:AP68)-1 + INDEX(SHIFT_TBL,1,12), 28) + 1)</f>
        <v>0</v>
      </c>
      <c r="AQ68" cm="1">
        <f t="array" ref="AQ68">INDEX($AD$63:$BE$63, 1, MOD(COLUMNS($AD$68:AQ68)-1 + INDEX(SHIFT_TBL,1,12), 28) + 1)</f>
        <v>1</v>
      </c>
      <c r="AR68" cm="1">
        <f t="array" ref="AR68">INDEX($AD$63:$BE$63, 1, MOD(COLUMNS($AD$68:AR68)-1 + INDEX(SHIFT_TBL,1,12), 28) + 1)</f>
        <v>0</v>
      </c>
      <c r="AS68" cm="1">
        <f t="array" ref="AS68">INDEX($AD$63:$BE$63, 1, MOD(COLUMNS($AD$68:AS68)-1 + INDEX(SHIFT_TBL,1,12), 28) + 1)</f>
        <v>1</v>
      </c>
      <c r="AT68" cm="1">
        <f t="array" ref="AT68">INDEX($AD$63:$BE$63, 1, MOD(COLUMNS($AD$68:AT68)-1 + INDEX(SHIFT_TBL,1,12), 28) + 1)</f>
        <v>1</v>
      </c>
      <c r="AU68" cm="1">
        <f t="array" ref="AU68">INDEX($AD$63:$BE$63, 1, MOD(COLUMNS($AD$68:AU68)-1 + INDEX(SHIFT_TBL,1,12), 28) + 1)</f>
        <v>0</v>
      </c>
      <c r="AV68" cm="1">
        <f t="array" ref="AV68">INDEX($AD$63:$BE$63, 1, MOD(COLUMNS($AD$68:AV68)-1 + INDEX(SHIFT_TBL,1,12), 28) + 1)</f>
        <v>0</v>
      </c>
      <c r="AW68" cm="1">
        <f t="array" ref="AW68">INDEX($AD$63:$BE$63, 1, MOD(COLUMNS($AD$68:AW68)-1 + INDEX(SHIFT_TBL,1,12), 28) + 1)</f>
        <v>1</v>
      </c>
      <c r="AX68" cm="1">
        <f t="array" ref="AX68">INDEX($AD$63:$BE$63, 1, MOD(COLUMNS($AD$68:AX68)-1 + INDEX(SHIFT_TBL,1,12), 28) + 1)</f>
        <v>1</v>
      </c>
      <c r="AY68" cm="1">
        <f t="array" ref="AY68">INDEX($AD$63:$BE$63, 1, MOD(COLUMNS($AD$68:AY68)-1 + INDEX(SHIFT_TBL,1,12), 28) + 1)</f>
        <v>0</v>
      </c>
      <c r="AZ68" cm="1">
        <f t="array" ref="AZ68">INDEX($AD$63:$BE$63, 1, MOD(COLUMNS($AD$68:AZ68)-1 + INDEX(SHIFT_TBL,1,12), 28) + 1)</f>
        <v>0</v>
      </c>
      <c r="BA68" cm="1">
        <f t="array" ref="BA68">INDEX($AD$63:$BE$63, 1, MOD(COLUMNS($AD$68:BA68)-1 + INDEX(SHIFT_TBL,1,12), 28) + 1)</f>
        <v>1</v>
      </c>
      <c r="BB68" cm="1">
        <f t="array" ref="BB68">INDEX($AD$63:$BE$63, 1, MOD(COLUMNS($AD$68:BB68)-1 + INDEX(SHIFT_TBL,1,12), 28) + 1)</f>
        <v>1</v>
      </c>
      <c r="BC68" cm="1">
        <f t="array" ref="BC68">INDEX($AD$63:$BE$63, 1, MOD(COLUMNS($AD$68:BC68)-1 + INDEX(SHIFT_TBL,1,12), 28) + 1)</f>
        <v>1</v>
      </c>
      <c r="BD68" cm="1">
        <f t="array" ref="BD68">INDEX($AD$63:$BE$63, 1, MOD(COLUMNS($AD$68:BD68)-1 + INDEX(SHIFT_TBL,1,12), 28) + 1)</f>
        <v>1</v>
      </c>
      <c r="BE68" cm="1">
        <f t="array" ref="BE68">INDEX($AD$63:$BE$63, 1, MOD(COLUMNS($AD$68:BE68)-1 + INDEX(SHIFT_TBL,1,12), 28) + 1)</f>
        <v>0</v>
      </c>
    </row>
    <row r="69" spans="1:57" x14ac:dyDescent="0.35">
      <c r="A69" s="3" t="s">
        <v>77</v>
      </c>
      <c r="B69" cm="1">
        <f t="array" ref="B69">INDEX($B$63:$AC$63, 1, MOD(COLUMNS($B$68:B69)-1 + INDEX(SHIFT_TBL,1,12), 28) + 1)</f>
        <v>0</v>
      </c>
      <c r="C69" cm="1">
        <f t="array" ref="C69">INDEX($B$63:$AC$63, 1, MOD(COLUMNS($B$68:C69)-1 + INDEX(SHIFT_TBL,1,12), 28) + 1)</f>
        <v>1</v>
      </c>
      <c r="D69" cm="1">
        <f t="array" ref="D69">INDEX($B$63:$AC$63, 1, MOD(COLUMNS($B$68:D69)-1 + INDEX(SHIFT_TBL,1,12), 28) + 1)</f>
        <v>0</v>
      </c>
      <c r="E69" cm="1">
        <f t="array" ref="E69">INDEX($B$63:$AC$63, 1, MOD(COLUMNS($B$68:E69)-1 + INDEX(SHIFT_TBL,1,12), 28) + 1)</f>
        <v>1</v>
      </c>
      <c r="F69" cm="1">
        <f t="array" ref="F69">INDEX($B$63:$AC$63, 1, MOD(COLUMNS($B$68:F69)-1 + INDEX(SHIFT_TBL,1,12), 28) + 1)</f>
        <v>0</v>
      </c>
      <c r="G69" cm="1">
        <f t="array" ref="G69">INDEX($B$63:$AC$63, 1, MOD(COLUMNS($B$68:G69)-1 + INDEX(SHIFT_TBL,1,12), 28) + 1)</f>
        <v>1</v>
      </c>
      <c r="H69" cm="1">
        <f t="array" ref="H69">INDEX($B$63:$AC$63, 1, MOD(COLUMNS($B$68:H69)-1 + INDEX(SHIFT_TBL,1,12), 28) + 1)</f>
        <v>1</v>
      </c>
      <c r="I69" cm="1">
        <f t="array" ref="I69">INDEX($B$63:$AC$63, 1, MOD(COLUMNS($B$68:I69)-1 + INDEX(SHIFT_TBL,1,12), 28) + 1)</f>
        <v>1</v>
      </c>
      <c r="J69" cm="1">
        <f t="array" ref="J69">INDEX($B$63:$AC$63, 1, MOD(COLUMNS($B$68:J69)-1 + INDEX(SHIFT_TBL,1,12), 28) + 1)</f>
        <v>1</v>
      </c>
      <c r="K69" cm="1">
        <f t="array" ref="K69">INDEX($B$63:$AC$63, 1, MOD(COLUMNS($B$68:K69)-1 + INDEX(SHIFT_TBL,1,12), 28) + 1)</f>
        <v>1</v>
      </c>
      <c r="L69" cm="1">
        <f t="array" ref="L69">INDEX($B$63:$AC$63, 1, MOD(COLUMNS($B$68:L69)-1 + INDEX(SHIFT_TBL,1,12), 28) + 1)</f>
        <v>1</v>
      </c>
      <c r="M69" cm="1">
        <f t="array" ref="M69">INDEX($B$63:$AC$63, 1, MOD(COLUMNS($B$68:M69)-1 + INDEX(SHIFT_TBL,1,12), 28) + 1)</f>
        <v>0</v>
      </c>
      <c r="N69" cm="1">
        <f t="array" ref="N69">INDEX($B$63:$AC$63, 1, MOD(COLUMNS($B$68:N69)-1 + INDEX(SHIFT_TBL,1,12), 28) + 1)</f>
        <v>0</v>
      </c>
      <c r="O69" cm="1">
        <f t="array" ref="O69">INDEX($B$63:$AC$63, 1, MOD(COLUMNS($B$68:O69)-1 + INDEX(SHIFT_TBL,1,12), 28) + 1)</f>
        <v>0</v>
      </c>
      <c r="P69" cm="1">
        <f t="array" ref="P69">INDEX($B$63:$AC$63, 1, MOD(COLUMNS($B$68:P69)-1 + INDEX(SHIFT_TBL,1,12), 28) + 1)</f>
        <v>0</v>
      </c>
      <c r="Q69" cm="1">
        <f t="array" ref="Q69">INDEX($B$63:$AC$63, 1, MOD(COLUMNS($B$68:Q69)-1 + INDEX(SHIFT_TBL,1,12), 28) + 1)</f>
        <v>1</v>
      </c>
      <c r="R69" cm="1">
        <f t="array" ref="R69">INDEX($B$63:$AC$63, 1, MOD(COLUMNS($B$68:R69)-1 + INDEX(SHIFT_TBL,1,12), 28) + 1)</f>
        <v>1</v>
      </c>
      <c r="S69" cm="1">
        <f t="array" ref="S69">INDEX($B$63:$AC$63, 1, MOD(COLUMNS($B$68:S69)-1 + INDEX(SHIFT_TBL,1,12), 28) + 1)</f>
        <v>0</v>
      </c>
      <c r="T69" cm="1">
        <f t="array" ref="T69">INDEX($B$63:$AC$63, 1, MOD(COLUMNS($B$68:T69)-1 + INDEX(SHIFT_TBL,1,12), 28) + 1)</f>
        <v>0</v>
      </c>
      <c r="U69" cm="1">
        <f t="array" ref="U69">INDEX($B$63:$AC$63, 1, MOD(COLUMNS($B$68:U69)-1 + INDEX(SHIFT_TBL,1,12), 28) + 1)</f>
        <v>1</v>
      </c>
      <c r="V69" cm="1">
        <f t="array" ref="V69">INDEX($B$63:$AC$63, 1, MOD(COLUMNS($B$68:V69)-1 + INDEX(SHIFT_TBL,1,12), 28) + 1)</f>
        <v>1</v>
      </c>
      <c r="W69" cm="1">
        <f t="array" ref="W69">INDEX($B$63:$AC$63, 1, MOD(COLUMNS($B$68:W69)-1 + INDEX(SHIFT_TBL,1,12), 28) + 1)</f>
        <v>0</v>
      </c>
      <c r="X69" cm="1">
        <f t="array" ref="X69">INDEX($B$63:$AC$63, 1, MOD(COLUMNS($B$68:X69)-1 + INDEX(SHIFT_TBL,1,12), 28) + 1)</f>
        <v>0</v>
      </c>
      <c r="Y69" cm="1">
        <f t="array" ref="Y69">INDEX($B$63:$AC$63, 1, MOD(COLUMNS($B$68:Y69)-1 + INDEX(SHIFT_TBL,1,12), 28) + 1)</f>
        <v>1</v>
      </c>
      <c r="Z69" cm="1">
        <f t="array" ref="Z69">INDEX($B$63:$AC$63, 1, MOD(COLUMNS($B$68:Z69)-1 + INDEX(SHIFT_TBL,1,12), 28) + 1)</f>
        <v>0</v>
      </c>
      <c r="AA69" cm="1">
        <f t="array" ref="AA69">INDEX($B$63:$AC$63, 1, MOD(COLUMNS($B$68:AA69)-1 + INDEX(SHIFT_TBL,1,12), 28) + 1)</f>
        <v>1</v>
      </c>
      <c r="AB69" cm="1">
        <f t="array" ref="AB69">INDEX($B$63:$AC$63, 1, MOD(COLUMNS($B$68:AB69)-1 + INDEX(SHIFT_TBL,1,12), 28) + 1)</f>
        <v>0</v>
      </c>
      <c r="AC69" cm="1">
        <f t="array" ref="AC69">INDEX($B$63:$AC$63, 1, MOD(COLUMNS($B$68:AC69)-1 + INDEX(SHIFT_TBL,1,12), 28) + 1)</f>
        <v>1</v>
      </c>
      <c r="AD69" cm="1">
        <f t="array" ref="AD69">INDEX($AD$63:$BE$63, 1, MOD(COLUMNS($AD$68:AD69)-1 + INDEX(SHIFT_TBL,1,12), 28) + 1)</f>
        <v>0</v>
      </c>
      <c r="AE69" cm="1">
        <f t="array" ref="AE69">INDEX($AD$63:$BE$63, 1, MOD(COLUMNS($AD$68:AE69)-1 + INDEX(SHIFT_TBL,1,12), 28) + 1)</f>
        <v>0</v>
      </c>
      <c r="AF69" cm="1">
        <f t="array" ref="AF69">INDEX($AD$63:$BE$63, 1, MOD(COLUMNS($AD$68:AF69)-1 + INDEX(SHIFT_TBL,1,12), 28) + 1)</f>
        <v>0</v>
      </c>
      <c r="AG69" cm="1">
        <f t="array" ref="AG69">INDEX($AD$63:$BE$63, 1, MOD(COLUMNS($AD$68:AG69)-1 + INDEX(SHIFT_TBL,1,12), 28) + 1)</f>
        <v>1</v>
      </c>
      <c r="AH69" cm="1">
        <f t="array" ref="AH69">INDEX($AD$63:$BE$63, 1, MOD(COLUMNS($AD$68:AH69)-1 + INDEX(SHIFT_TBL,1,12), 28) + 1)</f>
        <v>0</v>
      </c>
      <c r="AI69" cm="1">
        <f t="array" ref="AI69">INDEX($AD$63:$BE$63, 1, MOD(COLUMNS($AD$68:AI69)-1 + INDEX(SHIFT_TBL,1,12), 28) + 1)</f>
        <v>1</v>
      </c>
      <c r="AJ69" cm="1">
        <f t="array" ref="AJ69">INDEX($AD$63:$BE$63, 1, MOD(COLUMNS($AD$68:AJ69)-1 + INDEX(SHIFT_TBL,1,12), 28) + 1)</f>
        <v>0</v>
      </c>
      <c r="AK69" cm="1">
        <f t="array" ref="AK69">INDEX($AD$63:$BE$63, 1, MOD(COLUMNS($AD$68:AK69)-1 + INDEX(SHIFT_TBL,1,12), 28) + 1)</f>
        <v>1</v>
      </c>
      <c r="AL69" cm="1">
        <f t="array" ref="AL69">INDEX($AD$63:$BE$63, 1, MOD(COLUMNS($AD$68:AL69)-1 + INDEX(SHIFT_TBL,1,12), 28) + 1)</f>
        <v>0</v>
      </c>
      <c r="AM69" cm="1">
        <f t="array" ref="AM69">INDEX($AD$63:$BE$63, 1, MOD(COLUMNS($AD$68:AM69)-1 + INDEX(SHIFT_TBL,1,12), 28) + 1)</f>
        <v>1</v>
      </c>
      <c r="AN69" cm="1">
        <f t="array" ref="AN69">INDEX($AD$63:$BE$63, 1, MOD(COLUMNS($AD$68:AN69)-1 + INDEX(SHIFT_TBL,1,12), 28) + 1)</f>
        <v>0</v>
      </c>
      <c r="AO69" cm="1">
        <f t="array" ref="AO69">INDEX($AD$63:$BE$63, 1, MOD(COLUMNS($AD$68:AO69)-1 + INDEX(SHIFT_TBL,1,12), 28) + 1)</f>
        <v>1</v>
      </c>
      <c r="AP69" cm="1">
        <f t="array" ref="AP69">INDEX($AD$63:$BE$63, 1, MOD(COLUMNS($AD$68:AP69)-1 + INDEX(SHIFT_TBL,1,12), 28) + 1)</f>
        <v>0</v>
      </c>
      <c r="AQ69" cm="1">
        <f t="array" ref="AQ69">INDEX($AD$63:$BE$63, 1, MOD(COLUMNS($AD$68:AQ69)-1 + INDEX(SHIFT_TBL,1,12), 28) + 1)</f>
        <v>1</v>
      </c>
      <c r="AR69" cm="1">
        <f t="array" ref="AR69">INDEX($AD$63:$BE$63, 1, MOD(COLUMNS($AD$68:AR69)-1 + INDEX(SHIFT_TBL,1,12), 28) + 1)</f>
        <v>0</v>
      </c>
      <c r="AS69" cm="1">
        <f t="array" ref="AS69">INDEX($AD$63:$BE$63, 1, MOD(COLUMNS($AD$68:AS69)-1 + INDEX(SHIFT_TBL,1,12), 28) + 1)</f>
        <v>1</v>
      </c>
      <c r="AT69" cm="1">
        <f t="array" ref="AT69">INDEX($AD$63:$BE$63, 1, MOD(COLUMNS($AD$68:AT69)-1 + INDEX(SHIFT_TBL,1,12), 28) + 1)</f>
        <v>1</v>
      </c>
      <c r="AU69" cm="1">
        <f t="array" ref="AU69">INDEX($AD$63:$BE$63, 1, MOD(COLUMNS($AD$68:AU69)-1 + INDEX(SHIFT_TBL,1,12), 28) + 1)</f>
        <v>0</v>
      </c>
      <c r="AV69" cm="1">
        <f t="array" ref="AV69">INDEX($AD$63:$BE$63, 1, MOD(COLUMNS($AD$68:AV69)-1 + INDEX(SHIFT_TBL,1,12), 28) + 1)</f>
        <v>0</v>
      </c>
      <c r="AW69" cm="1">
        <f t="array" ref="AW69">INDEX($AD$63:$BE$63, 1, MOD(COLUMNS($AD$68:AW69)-1 + INDEX(SHIFT_TBL,1,12), 28) + 1)</f>
        <v>1</v>
      </c>
      <c r="AX69" cm="1">
        <f t="array" ref="AX69">INDEX($AD$63:$BE$63, 1, MOD(COLUMNS($AD$68:AX69)-1 + INDEX(SHIFT_TBL,1,12), 28) + 1)</f>
        <v>1</v>
      </c>
      <c r="AY69" cm="1">
        <f t="array" ref="AY69">INDEX($AD$63:$BE$63, 1, MOD(COLUMNS($AD$68:AY69)-1 + INDEX(SHIFT_TBL,1,12), 28) + 1)</f>
        <v>0</v>
      </c>
      <c r="AZ69" cm="1">
        <f t="array" ref="AZ69">INDEX($AD$63:$BE$63, 1, MOD(COLUMNS($AD$68:AZ69)-1 + INDEX(SHIFT_TBL,1,12), 28) + 1)</f>
        <v>0</v>
      </c>
      <c r="BA69" cm="1">
        <f t="array" ref="BA69">INDEX($AD$63:$BE$63, 1, MOD(COLUMNS($AD$68:BA69)-1 + INDEX(SHIFT_TBL,1,12), 28) + 1)</f>
        <v>1</v>
      </c>
      <c r="BB69" cm="1">
        <f t="array" ref="BB69">INDEX($AD$63:$BE$63, 1, MOD(COLUMNS($AD$68:BB69)-1 + INDEX(SHIFT_TBL,1,12), 28) + 1)</f>
        <v>1</v>
      </c>
      <c r="BC69" cm="1">
        <f t="array" ref="BC69">INDEX($AD$63:$BE$63, 1, MOD(COLUMNS($AD$68:BC69)-1 + INDEX(SHIFT_TBL,1,12), 28) + 1)</f>
        <v>1</v>
      </c>
      <c r="BD69" cm="1">
        <f t="array" ref="BD69">INDEX($AD$63:$BE$63, 1, MOD(COLUMNS($AD$68:BD69)-1 + INDEX(SHIFT_TBL,1,12), 28) + 1)</f>
        <v>1</v>
      </c>
      <c r="BE69" cm="1">
        <f t="array" ref="BE69">INDEX($AD$63:$BE$63, 1, MOD(COLUMNS($AD$68:BE69)-1 + INDEX(SHIFT_TBL,1,12), 28) + 1)</f>
        <v>0</v>
      </c>
    </row>
    <row r="70" spans="1:57" x14ac:dyDescent="0.35">
      <c r="A70" s="3" t="s">
        <v>78</v>
      </c>
      <c r="B70" cm="1">
        <f t="array" ref="B70">INDEX($B$68:$BE$68, 1, INDEX(PC2_TBL, COLUMNS($B$70:B70)))</f>
        <v>0</v>
      </c>
      <c r="C70" cm="1">
        <f t="array" ref="C70">INDEX($B$68:$BE$68, 1, INDEX(PC2_TBL, COLUMNS($B$70:C70)))</f>
        <v>1</v>
      </c>
      <c r="D70" cm="1">
        <f t="array" ref="D70">INDEX($B$68:$BE$68, 1, INDEX(PC2_TBL, COLUMNS($B$70:D70)))</f>
        <v>1</v>
      </c>
      <c r="E70" cm="1">
        <f t="array" ref="E70">INDEX($B$68:$BE$68, 1, INDEX(PC2_TBL, COLUMNS($B$70:E70)))</f>
        <v>1</v>
      </c>
      <c r="F70" cm="1">
        <f t="array" ref="F70">INDEX($B$68:$BE$68, 1, INDEX(PC2_TBL, COLUMNS($B$70:F70)))</f>
        <v>0</v>
      </c>
      <c r="G70" cm="1">
        <f t="array" ref="G70">INDEX($B$68:$BE$68, 1, INDEX(PC2_TBL, COLUMNS($B$70:G70)))</f>
        <v>0</v>
      </c>
      <c r="H70" cm="1">
        <f t="array" ref="H70">INDEX($B$68:$BE$68, 1, INDEX(PC2_TBL, COLUMNS($B$70:H70)))</f>
        <v>0</v>
      </c>
      <c r="I70" cm="1">
        <f t="array" ref="I70">INDEX($B$68:$BE$68, 1, INDEX(PC2_TBL, COLUMNS($B$70:I70)))</f>
        <v>1</v>
      </c>
      <c r="J70" cm="1">
        <f t="array" ref="J70">INDEX($B$68:$BE$68, 1, INDEX(PC2_TBL, COLUMNS($B$70:J70)))</f>
        <v>0</v>
      </c>
      <c r="K70" cm="1">
        <f t="array" ref="K70">INDEX($B$68:$BE$68, 1, INDEX(PC2_TBL, COLUMNS($B$70:K70)))</f>
        <v>1</v>
      </c>
      <c r="L70" cm="1">
        <f t="array" ref="L70">INDEX($B$68:$BE$68, 1, INDEX(PC2_TBL, COLUMNS($B$70:L70)))</f>
        <v>1</v>
      </c>
      <c r="M70" cm="1">
        <f t="array" ref="M70">INDEX($B$68:$BE$68, 1, INDEX(PC2_TBL, COLUMNS($B$70:M70)))</f>
        <v>1</v>
      </c>
      <c r="N70" cm="1">
        <f t="array" ref="N70">INDEX($B$68:$BE$68, 1, INDEX(PC2_TBL, COLUMNS($B$70:N70)))</f>
        <v>0</v>
      </c>
      <c r="O70" cm="1">
        <f t="array" ref="O70">INDEX($B$68:$BE$68, 1, INDEX(PC2_TBL, COLUMNS($B$70:O70)))</f>
        <v>0</v>
      </c>
      <c r="P70" cm="1">
        <f t="array" ref="P70">INDEX($B$68:$BE$68, 1, INDEX(PC2_TBL, COLUMNS($B$70:P70)))</f>
        <v>0</v>
      </c>
      <c r="Q70" cm="1">
        <f t="array" ref="Q70">INDEX($B$68:$BE$68, 1, INDEX(PC2_TBL, COLUMNS($B$70:Q70)))</f>
        <v>1</v>
      </c>
      <c r="R70" cm="1">
        <f t="array" ref="R70">INDEX($B$68:$BE$68, 1, INDEX(PC2_TBL, COLUMNS($B$70:R70)))</f>
        <v>1</v>
      </c>
      <c r="S70" cm="1">
        <f t="array" ref="S70">INDEX($B$68:$BE$68, 1, INDEX(PC2_TBL, COLUMNS($B$70:S70)))</f>
        <v>1</v>
      </c>
      <c r="T70" cm="1">
        <f t="array" ref="T70">INDEX($B$68:$BE$68, 1, INDEX(PC2_TBL, COLUMNS($B$70:T70)))</f>
        <v>1</v>
      </c>
      <c r="U70" cm="1">
        <f t="array" ref="U70">INDEX($B$68:$BE$68, 1, INDEX(PC2_TBL, COLUMNS($B$70:U70)))</f>
        <v>1</v>
      </c>
      <c r="V70" cm="1">
        <f t="array" ref="V70">INDEX($B$68:$BE$68, 1, INDEX(PC2_TBL, COLUMNS($B$70:V70)))</f>
        <v>0</v>
      </c>
      <c r="W70" cm="1">
        <f t="array" ref="W70">INDEX($B$68:$BE$68, 1, INDEX(PC2_TBL, COLUMNS($B$70:W70)))</f>
        <v>1</v>
      </c>
      <c r="X70" cm="1">
        <f t="array" ref="X70">INDEX($B$68:$BE$68, 1, INDEX(PC2_TBL, COLUMNS($B$70:X70)))</f>
        <v>0</v>
      </c>
      <c r="Y70" cm="1">
        <f t="array" ref="Y70">INDEX($B$68:$BE$68, 1, INDEX(PC2_TBL, COLUMNS($B$70:Y70)))</f>
        <v>1</v>
      </c>
      <c r="Z70" cm="1">
        <f t="array" ref="Z70">INDEX($B$68:$BE$68, 1, INDEX(PC2_TBL, COLUMNS($B$70:Z70)))</f>
        <v>0</v>
      </c>
      <c r="AA70" cm="1">
        <f t="array" ref="AA70">INDEX($B$68:$BE$68, 1, INDEX(PC2_TBL, COLUMNS($B$70:AA70)))</f>
        <v>1</v>
      </c>
      <c r="AB70" cm="1">
        <f t="array" ref="AB70">INDEX($B$68:$BE$68, 1, INDEX(PC2_TBL, COLUMNS($B$70:AB70)))</f>
        <v>0</v>
      </c>
      <c r="AC70" cm="1">
        <f t="array" ref="AC70">INDEX($B$68:$BE$68, 1, INDEX(PC2_TBL, COLUMNS($B$70:AC70)))</f>
        <v>0</v>
      </c>
      <c r="AD70" cm="1">
        <f t="array" ref="AD70">INDEX($B$68:$BE$68, 1, INDEX(PC2_TBL, COLUMNS($B$70:AD70)))</f>
        <v>0</v>
      </c>
      <c r="AE70" cm="1">
        <f t="array" ref="AE70">INDEX($B$68:$BE$68, 1, INDEX(PC2_TBL, COLUMNS($B$70:AE70)))</f>
        <v>1</v>
      </c>
      <c r="AF70" cm="1">
        <f t="array" ref="AF70">INDEX($B$68:$BE$68, 1, INDEX(PC2_TBL, COLUMNS($B$70:AF70)))</f>
        <v>0</v>
      </c>
      <c r="AG70" cm="1">
        <f t="array" ref="AG70">INDEX($B$68:$BE$68, 1, INDEX(PC2_TBL, COLUMNS($B$70:AG70)))</f>
        <v>1</v>
      </c>
      <c r="AH70" cm="1">
        <f t="array" ref="AH70">INDEX($B$68:$BE$68, 1, INDEX(PC2_TBL, COLUMNS($B$70:AH70)))</f>
        <v>0</v>
      </c>
      <c r="AI70" cm="1">
        <f t="array" ref="AI70">INDEX($B$68:$BE$68, 1, INDEX(PC2_TBL, COLUMNS($B$70:AI70)))</f>
        <v>1</v>
      </c>
      <c r="AJ70" cm="1">
        <f t="array" ref="AJ70">INDEX($B$68:$BE$68, 1, INDEX(PC2_TBL, COLUMNS($B$70:AJ70)))</f>
        <v>0</v>
      </c>
      <c r="AK70" cm="1">
        <f t="array" ref="AK70">INDEX($B$68:$BE$68, 1, INDEX(PC2_TBL, COLUMNS($B$70:AK70)))</f>
        <v>1</v>
      </c>
      <c r="AL70" cm="1">
        <f t="array" ref="AL70">INDEX($B$68:$BE$68, 1, INDEX(PC2_TBL, COLUMNS($B$70:AL70)))</f>
        <v>1</v>
      </c>
      <c r="AM70" cm="1">
        <f t="array" ref="AM70">INDEX($B$68:$BE$68, 1, INDEX(PC2_TBL, COLUMNS($B$70:AM70)))</f>
        <v>1</v>
      </c>
      <c r="AN70" cm="1">
        <f t="array" ref="AN70">INDEX($B$68:$BE$68, 1, INDEX(PC2_TBL, COLUMNS($B$70:AN70)))</f>
        <v>0</v>
      </c>
      <c r="AO70" cm="1">
        <f t="array" ref="AO70">INDEX($B$68:$BE$68, 1, INDEX(PC2_TBL, COLUMNS($B$70:AO70)))</f>
        <v>0</v>
      </c>
      <c r="AP70" cm="1">
        <f t="array" ref="AP70">INDEX($B$68:$BE$68, 1, INDEX(PC2_TBL, COLUMNS($B$70:AP70)))</f>
        <v>1</v>
      </c>
      <c r="AQ70" cm="1">
        <f t="array" ref="AQ70">INDEX($B$68:$BE$68, 1, INDEX(PC2_TBL, COLUMNS($B$70:AQ70)))</f>
        <v>1</v>
      </c>
      <c r="AR70" cm="1">
        <f t="array" ref="AR70">INDEX($B$68:$BE$68, 1, INDEX(PC2_TBL, COLUMNS($B$70:AR70)))</f>
        <v>0</v>
      </c>
      <c r="AS70" cm="1">
        <f t="array" ref="AS70">INDEX($B$68:$BE$68, 1, INDEX(PC2_TBL, COLUMNS($B$70:AS70)))</f>
        <v>1</v>
      </c>
      <c r="AT70" cm="1">
        <f t="array" ref="AT70">INDEX($B$68:$BE$68, 1, INDEX(PC2_TBL, COLUMNS($B$70:AT70)))</f>
        <v>0</v>
      </c>
      <c r="AU70" cm="1">
        <f t="array" ref="AU70">INDEX($B$68:$BE$68, 1, INDEX(PC2_TBL, COLUMNS($B$70:AU70)))</f>
        <v>1</v>
      </c>
      <c r="AV70" cm="1">
        <f t="array" ref="AV70">INDEX($B$68:$BE$68, 1, INDEX(PC2_TBL, COLUMNS($B$70:AV70)))</f>
        <v>0</v>
      </c>
      <c r="AW70" cm="1">
        <f t="array" ref="AW70">INDEX($B$68:$BE$68, 1, INDEX(PC2_TBL, COLUMNS($B$70:AW70)))</f>
        <v>1</v>
      </c>
    </row>
    <row r="72" spans="1:57" x14ac:dyDescent="0.35">
      <c r="A72" t="s">
        <v>79</v>
      </c>
      <c r="AD72" t="s">
        <v>95</v>
      </c>
    </row>
    <row r="73" spans="1:57" x14ac:dyDescent="0.35">
      <c r="A73" s="3" t="s">
        <v>80</v>
      </c>
      <c r="B73" cm="1">
        <f t="array" ref="B73">INDEX($B$68:$AC$68, 1, MOD(COLUMNS($B$73:B73)-1 + INDEX(SHIFT_TBL,1,13), 28) + 1)</f>
        <v>0</v>
      </c>
      <c r="C73" cm="1">
        <f t="array" ref="C73">INDEX($B$68:$AC$68, 1, MOD(COLUMNS($B$73:C73)-1 + INDEX(SHIFT_TBL,1,13), 28) + 1)</f>
        <v>1</v>
      </c>
      <c r="D73" cm="1">
        <f t="array" ref="D73">INDEX($B$68:$AC$68, 1, MOD(COLUMNS($B$73:D73)-1 + INDEX(SHIFT_TBL,1,13), 28) + 1)</f>
        <v>0</v>
      </c>
      <c r="E73" cm="1">
        <f t="array" ref="E73">INDEX($B$68:$AC$68, 1, MOD(COLUMNS($B$73:E73)-1 + INDEX(SHIFT_TBL,1,13), 28) + 1)</f>
        <v>1</v>
      </c>
      <c r="F73" cm="1">
        <f t="array" ref="F73">INDEX($B$68:$AC$68, 1, MOD(COLUMNS($B$73:F73)-1 + INDEX(SHIFT_TBL,1,13), 28) + 1)</f>
        <v>1</v>
      </c>
      <c r="G73" cm="1">
        <f t="array" ref="G73">INDEX($B$68:$AC$68, 1, MOD(COLUMNS($B$73:G73)-1 + INDEX(SHIFT_TBL,1,13), 28) + 1)</f>
        <v>1</v>
      </c>
      <c r="H73" cm="1">
        <f t="array" ref="H73">INDEX($B$68:$AC$68, 1, MOD(COLUMNS($B$73:H73)-1 + INDEX(SHIFT_TBL,1,13), 28) + 1)</f>
        <v>1</v>
      </c>
      <c r="I73" cm="1">
        <f t="array" ref="I73">INDEX($B$68:$AC$68, 1, MOD(COLUMNS($B$73:I73)-1 + INDEX(SHIFT_TBL,1,13), 28) + 1)</f>
        <v>1</v>
      </c>
      <c r="J73" cm="1">
        <f t="array" ref="J73">INDEX($B$68:$AC$68, 1, MOD(COLUMNS($B$73:J73)-1 + INDEX(SHIFT_TBL,1,13), 28) + 1)</f>
        <v>1</v>
      </c>
      <c r="K73" cm="1">
        <f t="array" ref="K73">INDEX($B$68:$AC$68, 1, MOD(COLUMNS($B$73:K73)-1 + INDEX(SHIFT_TBL,1,13), 28) + 1)</f>
        <v>0</v>
      </c>
      <c r="L73" cm="1">
        <f t="array" ref="L73">INDEX($B$68:$AC$68, 1, MOD(COLUMNS($B$73:L73)-1 + INDEX(SHIFT_TBL,1,13), 28) + 1)</f>
        <v>0</v>
      </c>
      <c r="M73" cm="1">
        <f t="array" ref="M73">INDEX($B$68:$AC$68, 1, MOD(COLUMNS($B$73:M73)-1 + INDEX(SHIFT_TBL,1,13), 28) + 1)</f>
        <v>0</v>
      </c>
      <c r="N73" cm="1">
        <f t="array" ref="N73">INDEX($B$68:$AC$68, 1, MOD(COLUMNS($B$73:N73)-1 + INDEX(SHIFT_TBL,1,13), 28) + 1)</f>
        <v>0</v>
      </c>
      <c r="O73" cm="1">
        <f t="array" ref="O73">INDEX($B$68:$AC$68, 1, MOD(COLUMNS($B$73:O73)-1 + INDEX(SHIFT_TBL,1,13), 28) + 1)</f>
        <v>1</v>
      </c>
      <c r="P73" cm="1">
        <f t="array" ref="P73">INDEX($B$68:$AC$68, 1, MOD(COLUMNS($B$73:P73)-1 + INDEX(SHIFT_TBL,1,13), 28) + 1)</f>
        <v>1</v>
      </c>
      <c r="Q73" cm="1">
        <f t="array" ref="Q73">INDEX($B$68:$AC$68, 1, MOD(COLUMNS($B$73:Q73)-1 + INDEX(SHIFT_TBL,1,13), 28) + 1)</f>
        <v>0</v>
      </c>
      <c r="R73" cm="1">
        <f t="array" ref="R73">INDEX($B$68:$AC$68, 1, MOD(COLUMNS($B$73:R73)-1 + INDEX(SHIFT_TBL,1,13), 28) + 1)</f>
        <v>0</v>
      </c>
      <c r="S73" cm="1">
        <f t="array" ref="S73">INDEX($B$68:$AC$68, 1, MOD(COLUMNS($B$73:S73)-1 + INDEX(SHIFT_TBL,1,13), 28) + 1)</f>
        <v>1</v>
      </c>
      <c r="T73" cm="1">
        <f t="array" ref="T73">INDEX($B$68:$AC$68, 1, MOD(COLUMNS($B$73:T73)-1 + INDEX(SHIFT_TBL,1,13), 28) + 1)</f>
        <v>1</v>
      </c>
      <c r="U73" cm="1">
        <f t="array" ref="U73">INDEX($B$68:$AC$68, 1, MOD(COLUMNS($B$73:U73)-1 + INDEX(SHIFT_TBL,1,13), 28) + 1)</f>
        <v>0</v>
      </c>
      <c r="V73" cm="1">
        <f t="array" ref="V73">INDEX($B$68:$AC$68, 1, MOD(COLUMNS($B$73:V73)-1 + INDEX(SHIFT_TBL,1,13), 28) + 1)</f>
        <v>0</v>
      </c>
      <c r="W73" cm="1">
        <f t="array" ref="W73">INDEX($B$68:$AC$68, 1, MOD(COLUMNS($B$73:W73)-1 + INDEX(SHIFT_TBL,1,13), 28) + 1)</f>
        <v>1</v>
      </c>
      <c r="X73" cm="1">
        <f t="array" ref="X73">INDEX($B$68:$AC$68, 1, MOD(COLUMNS($B$73:X73)-1 + INDEX(SHIFT_TBL,1,13), 28) + 1)</f>
        <v>0</v>
      </c>
      <c r="Y73" cm="1">
        <f t="array" ref="Y73">INDEX($B$68:$AC$68, 1, MOD(COLUMNS($B$73:Y73)-1 + INDEX(SHIFT_TBL,1,13), 28) + 1)</f>
        <v>1</v>
      </c>
      <c r="Z73" cm="1">
        <f t="array" ref="Z73">INDEX($B$68:$AC$68, 1, MOD(COLUMNS($B$73:Z73)-1 + INDEX(SHIFT_TBL,1,13), 28) + 1)</f>
        <v>0</v>
      </c>
      <c r="AA73" cm="1">
        <f t="array" ref="AA73">INDEX($B$68:$AC$68, 1, MOD(COLUMNS($B$73:AA73)-1 + INDEX(SHIFT_TBL,1,13), 28) + 1)</f>
        <v>1</v>
      </c>
      <c r="AB73" cm="1">
        <f t="array" ref="AB73">INDEX($B$68:$AC$68, 1, MOD(COLUMNS($B$73:AB73)-1 + INDEX(SHIFT_TBL,1,13), 28) + 1)</f>
        <v>0</v>
      </c>
      <c r="AC73" cm="1">
        <f t="array" ref="AC73">INDEX($B$68:$AC$68, 1, MOD(COLUMNS($B$73:AC73)-1 + INDEX(SHIFT_TBL,1,13), 28) + 1)</f>
        <v>1</v>
      </c>
      <c r="AD73" cm="1">
        <f t="array" ref="AD73">INDEX($AD$68:$BE$68, 1, MOD(COLUMNS($AD$73:AD73)-1 + INDEX(SHIFT_TBL,1,13), 28) + 1)</f>
        <v>0</v>
      </c>
      <c r="AE73" cm="1">
        <f t="array" ref="AE73">INDEX($AD$68:$BE$68, 1, MOD(COLUMNS($AD$73:AE73)-1 + INDEX(SHIFT_TBL,1,13), 28) + 1)</f>
        <v>1</v>
      </c>
      <c r="AF73" cm="1">
        <f t="array" ref="AF73">INDEX($AD$68:$BE$68, 1, MOD(COLUMNS($AD$73:AF73)-1 + INDEX(SHIFT_TBL,1,13), 28) + 1)</f>
        <v>0</v>
      </c>
      <c r="AG73" cm="1">
        <f t="array" ref="AG73">INDEX($AD$68:$BE$68, 1, MOD(COLUMNS($AD$73:AG73)-1 + INDEX(SHIFT_TBL,1,13), 28) + 1)</f>
        <v>1</v>
      </c>
      <c r="AH73" cm="1">
        <f t="array" ref="AH73">INDEX($AD$68:$BE$68, 1, MOD(COLUMNS($AD$73:AH73)-1 + INDEX(SHIFT_TBL,1,13), 28) + 1)</f>
        <v>0</v>
      </c>
      <c r="AI73" cm="1">
        <f t="array" ref="AI73">INDEX($AD$68:$BE$68, 1, MOD(COLUMNS($AD$73:AI73)-1 + INDEX(SHIFT_TBL,1,13), 28) + 1)</f>
        <v>1</v>
      </c>
      <c r="AJ73" cm="1">
        <f t="array" ref="AJ73">INDEX($AD$68:$BE$68, 1, MOD(COLUMNS($AD$73:AJ73)-1 + INDEX(SHIFT_TBL,1,13), 28) + 1)</f>
        <v>0</v>
      </c>
      <c r="AK73" cm="1">
        <f t="array" ref="AK73">INDEX($AD$68:$BE$68, 1, MOD(COLUMNS($AD$73:AK73)-1 + INDEX(SHIFT_TBL,1,13), 28) + 1)</f>
        <v>1</v>
      </c>
      <c r="AL73" cm="1">
        <f t="array" ref="AL73">INDEX($AD$68:$BE$68, 1, MOD(COLUMNS($AD$73:AL73)-1 + INDEX(SHIFT_TBL,1,13), 28) + 1)</f>
        <v>0</v>
      </c>
      <c r="AM73" cm="1">
        <f t="array" ref="AM73">INDEX($AD$68:$BE$68, 1, MOD(COLUMNS($AD$73:AM73)-1 + INDEX(SHIFT_TBL,1,13), 28) + 1)</f>
        <v>1</v>
      </c>
      <c r="AN73" cm="1">
        <f t="array" ref="AN73">INDEX($AD$68:$BE$68, 1, MOD(COLUMNS($AD$73:AN73)-1 + INDEX(SHIFT_TBL,1,13), 28) + 1)</f>
        <v>0</v>
      </c>
      <c r="AO73" cm="1">
        <f t="array" ref="AO73">INDEX($AD$68:$BE$68, 1, MOD(COLUMNS($AD$73:AO73)-1 + INDEX(SHIFT_TBL,1,13), 28) + 1)</f>
        <v>1</v>
      </c>
      <c r="AP73" cm="1">
        <f t="array" ref="AP73">INDEX($AD$68:$BE$68, 1, MOD(COLUMNS($AD$73:AP73)-1 + INDEX(SHIFT_TBL,1,13), 28) + 1)</f>
        <v>0</v>
      </c>
      <c r="AQ73" cm="1">
        <f t="array" ref="AQ73">INDEX($AD$68:$BE$68, 1, MOD(COLUMNS($AD$73:AQ73)-1 + INDEX(SHIFT_TBL,1,13), 28) + 1)</f>
        <v>1</v>
      </c>
      <c r="AR73" cm="1">
        <f t="array" ref="AR73">INDEX($AD$68:$BE$68, 1, MOD(COLUMNS($AD$73:AR73)-1 + INDEX(SHIFT_TBL,1,13), 28) + 1)</f>
        <v>1</v>
      </c>
      <c r="AS73" cm="1">
        <f t="array" ref="AS73">INDEX($AD$68:$BE$68, 1, MOD(COLUMNS($AD$73:AS73)-1 + INDEX(SHIFT_TBL,1,13), 28) + 1)</f>
        <v>0</v>
      </c>
      <c r="AT73" cm="1">
        <f t="array" ref="AT73">INDEX($AD$68:$BE$68, 1, MOD(COLUMNS($AD$73:AT73)-1 + INDEX(SHIFT_TBL,1,13), 28) + 1)</f>
        <v>0</v>
      </c>
      <c r="AU73" cm="1">
        <f t="array" ref="AU73">INDEX($AD$68:$BE$68, 1, MOD(COLUMNS($AD$73:AU73)-1 + INDEX(SHIFT_TBL,1,13), 28) + 1)</f>
        <v>1</v>
      </c>
      <c r="AV73" cm="1">
        <f t="array" ref="AV73">INDEX($AD$68:$BE$68, 1, MOD(COLUMNS($AD$73:AV73)-1 + INDEX(SHIFT_TBL,1,13), 28) + 1)</f>
        <v>1</v>
      </c>
      <c r="AW73" cm="1">
        <f t="array" ref="AW73">INDEX($AD$68:$BE$68, 1, MOD(COLUMNS($AD$73:AW73)-1 + INDEX(SHIFT_TBL,1,13), 28) + 1)</f>
        <v>0</v>
      </c>
      <c r="AX73" cm="1">
        <f t="array" ref="AX73">INDEX($AD$68:$BE$68, 1, MOD(COLUMNS($AD$73:AX73)-1 + INDEX(SHIFT_TBL,1,13), 28) + 1)</f>
        <v>0</v>
      </c>
      <c r="AY73" cm="1">
        <f t="array" ref="AY73">INDEX($AD$68:$BE$68, 1, MOD(COLUMNS($AD$73:AY73)-1 + INDEX(SHIFT_TBL,1,13), 28) + 1)</f>
        <v>1</v>
      </c>
      <c r="AZ73" cm="1">
        <f t="array" ref="AZ73">INDEX($AD$68:$BE$68, 1, MOD(COLUMNS($AD$73:AZ73)-1 + INDEX(SHIFT_TBL,1,13), 28) + 1)</f>
        <v>1</v>
      </c>
      <c r="BA73" cm="1">
        <f t="array" ref="BA73">INDEX($AD$68:$BE$68, 1, MOD(COLUMNS($AD$73:BA73)-1 + INDEX(SHIFT_TBL,1,13), 28) + 1)</f>
        <v>1</v>
      </c>
      <c r="BB73" cm="1">
        <f t="array" ref="BB73">INDEX($AD$68:$BE$68, 1, MOD(COLUMNS($AD$73:BB73)-1 + INDEX(SHIFT_TBL,1,13), 28) + 1)</f>
        <v>1</v>
      </c>
      <c r="BC73" cm="1">
        <f t="array" ref="BC73">INDEX($AD$68:$BE$68, 1, MOD(COLUMNS($AD$73:BC73)-1 + INDEX(SHIFT_TBL,1,13), 28) + 1)</f>
        <v>0</v>
      </c>
      <c r="BD73" cm="1">
        <f t="array" ref="BD73">INDEX($AD$68:$BE$68, 1, MOD(COLUMNS($AD$73:BD73)-1 + INDEX(SHIFT_TBL,1,13), 28) + 1)</f>
        <v>0</v>
      </c>
      <c r="BE73" cm="1">
        <f t="array" ref="BE73">INDEX($AD$68:$BE$68, 1, MOD(COLUMNS($AD$73:BE73)-1 + INDEX(SHIFT_TBL,1,13), 28) + 1)</f>
        <v>0</v>
      </c>
    </row>
    <row r="74" spans="1:57" x14ac:dyDescent="0.35">
      <c r="A74" s="3" t="s">
        <v>81</v>
      </c>
      <c r="B74" cm="1">
        <f t="array" ref="B74">INDEX($B$68:$AC$68, 1, MOD(COLUMNS($B$73:B74)-1 + INDEX(SHIFT_TBL,1,13), 28) + 1)</f>
        <v>0</v>
      </c>
      <c r="C74" cm="1">
        <f t="array" ref="C74">INDEX($B$68:$AC$68, 1, MOD(COLUMNS($B$73:C74)-1 + INDEX(SHIFT_TBL,1,13), 28) + 1)</f>
        <v>1</v>
      </c>
      <c r="D74" cm="1">
        <f t="array" ref="D74">INDEX($B$68:$AC$68, 1, MOD(COLUMNS($B$73:D74)-1 + INDEX(SHIFT_TBL,1,13), 28) + 1)</f>
        <v>0</v>
      </c>
      <c r="E74" cm="1">
        <f t="array" ref="E74">INDEX($B$68:$AC$68, 1, MOD(COLUMNS($B$73:E74)-1 + INDEX(SHIFT_TBL,1,13), 28) + 1)</f>
        <v>1</v>
      </c>
      <c r="F74" cm="1">
        <f t="array" ref="F74">INDEX($B$68:$AC$68, 1, MOD(COLUMNS($B$73:F74)-1 + INDEX(SHIFT_TBL,1,13), 28) + 1)</f>
        <v>1</v>
      </c>
      <c r="G74" cm="1">
        <f t="array" ref="G74">INDEX($B$68:$AC$68, 1, MOD(COLUMNS($B$73:G74)-1 + INDEX(SHIFT_TBL,1,13), 28) + 1)</f>
        <v>1</v>
      </c>
      <c r="H74" cm="1">
        <f t="array" ref="H74">INDEX($B$68:$AC$68, 1, MOD(COLUMNS($B$73:H74)-1 + INDEX(SHIFT_TBL,1,13), 28) + 1)</f>
        <v>1</v>
      </c>
      <c r="I74" cm="1">
        <f t="array" ref="I74">INDEX($B$68:$AC$68, 1, MOD(COLUMNS($B$73:I74)-1 + INDEX(SHIFT_TBL,1,13), 28) + 1)</f>
        <v>1</v>
      </c>
      <c r="J74" cm="1">
        <f t="array" ref="J74">INDEX($B$68:$AC$68, 1, MOD(COLUMNS($B$73:J74)-1 + INDEX(SHIFT_TBL,1,13), 28) + 1)</f>
        <v>1</v>
      </c>
      <c r="K74" cm="1">
        <f t="array" ref="K74">INDEX($B$68:$AC$68, 1, MOD(COLUMNS($B$73:K74)-1 + INDEX(SHIFT_TBL,1,13), 28) + 1)</f>
        <v>0</v>
      </c>
      <c r="L74" cm="1">
        <f t="array" ref="L74">INDEX($B$68:$AC$68, 1, MOD(COLUMNS($B$73:L74)-1 + INDEX(SHIFT_TBL,1,13), 28) + 1)</f>
        <v>0</v>
      </c>
      <c r="M74" cm="1">
        <f t="array" ref="M74">INDEX($B$68:$AC$68, 1, MOD(COLUMNS($B$73:M74)-1 + INDEX(SHIFT_TBL,1,13), 28) + 1)</f>
        <v>0</v>
      </c>
      <c r="N74" cm="1">
        <f t="array" ref="N74">INDEX($B$68:$AC$68, 1, MOD(COLUMNS($B$73:N74)-1 + INDEX(SHIFT_TBL,1,13), 28) + 1)</f>
        <v>0</v>
      </c>
      <c r="O74" cm="1">
        <f t="array" ref="O74">INDEX($B$68:$AC$68, 1, MOD(COLUMNS($B$73:O74)-1 + INDEX(SHIFT_TBL,1,13), 28) + 1)</f>
        <v>1</v>
      </c>
      <c r="P74" cm="1">
        <f t="array" ref="P74">INDEX($B$68:$AC$68, 1, MOD(COLUMNS($B$73:P74)-1 + INDEX(SHIFT_TBL,1,13), 28) + 1)</f>
        <v>1</v>
      </c>
      <c r="Q74" cm="1">
        <f t="array" ref="Q74">INDEX($B$68:$AC$68, 1, MOD(COLUMNS($B$73:Q74)-1 + INDEX(SHIFT_TBL,1,13), 28) + 1)</f>
        <v>0</v>
      </c>
      <c r="R74" cm="1">
        <f t="array" ref="R74">INDEX($B$68:$AC$68, 1, MOD(COLUMNS($B$73:R74)-1 + INDEX(SHIFT_TBL,1,13), 28) + 1)</f>
        <v>0</v>
      </c>
      <c r="S74" cm="1">
        <f t="array" ref="S74">INDEX($B$68:$AC$68, 1, MOD(COLUMNS($B$73:S74)-1 + INDEX(SHIFT_TBL,1,13), 28) + 1)</f>
        <v>1</v>
      </c>
      <c r="T74" cm="1">
        <f t="array" ref="T74">INDEX($B$68:$AC$68, 1, MOD(COLUMNS($B$73:T74)-1 + INDEX(SHIFT_TBL,1,13), 28) + 1)</f>
        <v>1</v>
      </c>
      <c r="U74" cm="1">
        <f t="array" ref="U74">INDEX($B$68:$AC$68, 1, MOD(COLUMNS($B$73:U74)-1 + INDEX(SHIFT_TBL,1,13), 28) + 1)</f>
        <v>0</v>
      </c>
      <c r="V74" cm="1">
        <f t="array" ref="V74">INDEX($B$68:$AC$68, 1, MOD(COLUMNS($B$73:V74)-1 + INDEX(SHIFT_TBL,1,13), 28) + 1)</f>
        <v>0</v>
      </c>
      <c r="W74" cm="1">
        <f t="array" ref="W74">INDEX($B$68:$AC$68, 1, MOD(COLUMNS($B$73:W74)-1 + INDEX(SHIFT_TBL,1,13), 28) + 1)</f>
        <v>1</v>
      </c>
      <c r="X74" cm="1">
        <f t="array" ref="X74">INDEX($B$68:$AC$68, 1, MOD(COLUMNS($B$73:X74)-1 + INDEX(SHIFT_TBL,1,13), 28) + 1)</f>
        <v>0</v>
      </c>
      <c r="Y74" cm="1">
        <f t="array" ref="Y74">INDEX($B$68:$AC$68, 1, MOD(COLUMNS($B$73:Y74)-1 + INDEX(SHIFT_TBL,1,13), 28) + 1)</f>
        <v>1</v>
      </c>
      <c r="Z74" cm="1">
        <f t="array" ref="Z74">INDEX($B$68:$AC$68, 1, MOD(COLUMNS($B$73:Z74)-1 + INDEX(SHIFT_TBL,1,13), 28) + 1)</f>
        <v>0</v>
      </c>
      <c r="AA74" cm="1">
        <f t="array" ref="AA74">INDEX($B$68:$AC$68, 1, MOD(COLUMNS($B$73:AA74)-1 + INDEX(SHIFT_TBL,1,13), 28) + 1)</f>
        <v>1</v>
      </c>
      <c r="AB74" cm="1">
        <f t="array" ref="AB74">INDEX($B$68:$AC$68, 1, MOD(COLUMNS($B$73:AB74)-1 + INDEX(SHIFT_TBL,1,13), 28) + 1)</f>
        <v>0</v>
      </c>
      <c r="AC74" cm="1">
        <f t="array" ref="AC74">INDEX($B$68:$AC$68, 1, MOD(COLUMNS($B$73:AC74)-1 + INDEX(SHIFT_TBL,1,13), 28) + 1)</f>
        <v>1</v>
      </c>
      <c r="AD74" cm="1">
        <f t="array" ref="AD74">INDEX($AD$68:$BE$68, 1, MOD(COLUMNS($AD$73:AD74)-1 + INDEX(SHIFT_TBL,1,13), 28) + 1)</f>
        <v>0</v>
      </c>
      <c r="AE74" cm="1">
        <f t="array" ref="AE74">INDEX($AD$68:$BE$68, 1, MOD(COLUMNS($AD$73:AE74)-1 + INDEX(SHIFT_TBL,1,13), 28) + 1)</f>
        <v>1</v>
      </c>
      <c r="AF74" cm="1">
        <f t="array" ref="AF74">INDEX($AD$68:$BE$68, 1, MOD(COLUMNS($AD$73:AF74)-1 + INDEX(SHIFT_TBL,1,13), 28) + 1)</f>
        <v>0</v>
      </c>
      <c r="AG74" cm="1">
        <f t="array" ref="AG74">INDEX($AD$68:$BE$68, 1, MOD(COLUMNS($AD$73:AG74)-1 + INDEX(SHIFT_TBL,1,13), 28) + 1)</f>
        <v>1</v>
      </c>
      <c r="AH74" cm="1">
        <f t="array" ref="AH74">INDEX($AD$68:$BE$68, 1, MOD(COLUMNS($AD$73:AH74)-1 + INDEX(SHIFT_TBL,1,13), 28) + 1)</f>
        <v>0</v>
      </c>
      <c r="AI74" cm="1">
        <f t="array" ref="AI74">INDEX($AD$68:$BE$68, 1, MOD(COLUMNS($AD$73:AI74)-1 + INDEX(SHIFT_TBL,1,13), 28) + 1)</f>
        <v>1</v>
      </c>
      <c r="AJ74" cm="1">
        <f t="array" ref="AJ74">INDEX($AD$68:$BE$68, 1, MOD(COLUMNS($AD$73:AJ74)-1 + INDEX(SHIFT_TBL,1,13), 28) + 1)</f>
        <v>0</v>
      </c>
      <c r="AK74" cm="1">
        <f t="array" ref="AK74">INDEX($AD$68:$BE$68, 1, MOD(COLUMNS($AD$73:AK74)-1 + INDEX(SHIFT_TBL,1,13), 28) + 1)</f>
        <v>1</v>
      </c>
      <c r="AL74" cm="1">
        <f t="array" ref="AL74">INDEX($AD$68:$BE$68, 1, MOD(COLUMNS($AD$73:AL74)-1 + INDEX(SHIFT_TBL,1,13), 28) + 1)</f>
        <v>0</v>
      </c>
      <c r="AM74" cm="1">
        <f t="array" ref="AM74">INDEX($AD$68:$BE$68, 1, MOD(COLUMNS($AD$73:AM74)-1 + INDEX(SHIFT_TBL,1,13), 28) + 1)</f>
        <v>1</v>
      </c>
      <c r="AN74" cm="1">
        <f t="array" ref="AN74">INDEX($AD$68:$BE$68, 1, MOD(COLUMNS($AD$73:AN74)-1 + INDEX(SHIFT_TBL,1,13), 28) + 1)</f>
        <v>0</v>
      </c>
      <c r="AO74" cm="1">
        <f t="array" ref="AO74">INDEX($AD$68:$BE$68, 1, MOD(COLUMNS($AD$73:AO74)-1 + INDEX(SHIFT_TBL,1,13), 28) + 1)</f>
        <v>1</v>
      </c>
      <c r="AP74" cm="1">
        <f t="array" ref="AP74">INDEX($AD$68:$BE$68, 1, MOD(COLUMNS($AD$73:AP74)-1 + INDEX(SHIFT_TBL,1,13), 28) + 1)</f>
        <v>0</v>
      </c>
      <c r="AQ74" cm="1">
        <f t="array" ref="AQ74">INDEX($AD$68:$BE$68, 1, MOD(COLUMNS($AD$73:AQ74)-1 + INDEX(SHIFT_TBL,1,13), 28) + 1)</f>
        <v>1</v>
      </c>
      <c r="AR74" cm="1">
        <f t="array" ref="AR74">INDEX($AD$68:$BE$68, 1, MOD(COLUMNS($AD$73:AR74)-1 + INDEX(SHIFT_TBL,1,13), 28) + 1)</f>
        <v>1</v>
      </c>
      <c r="AS74" cm="1">
        <f t="array" ref="AS74">INDEX($AD$68:$BE$68, 1, MOD(COLUMNS($AD$73:AS74)-1 + INDEX(SHIFT_TBL,1,13), 28) + 1)</f>
        <v>0</v>
      </c>
      <c r="AT74" cm="1">
        <f t="array" ref="AT74">INDEX($AD$68:$BE$68, 1, MOD(COLUMNS($AD$73:AT74)-1 + INDEX(SHIFT_TBL,1,13), 28) + 1)</f>
        <v>0</v>
      </c>
      <c r="AU74" cm="1">
        <f t="array" ref="AU74">INDEX($AD$68:$BE$68, 1, MOD(COLUMNS($AD$73:AU74)-1 + INDEX(SHIFT_TBL,1,13), 28) + 1)</f>
        <v>1</v>
      </c>
      <c r="AV74" cm="1">
        <f t="array" ref="AV74">INDEX($AD$68:$BE$68, 1, MOD(COLUMNS($AD$73:AV74)-1 + INDEX(SHIFT_TBL,1,13), 28) + 1)</f>
        <v>1</v>
      </c>
      <c r="AW74" cm="1">
        <f t="array" ref="AW74">INDEX($AD$68:$BE$68, 1, MOD(COLUMNS($AD$73:AW74)-1 + INDEX(SHIFT_TBL,1,13), 28) + 1)</f>
        <v>0</v>
      </c>
      <c r="AX74" cm="1">
        <f t="array" ref="AX74">INDEX($AD$68:$BE$68, 1, MOD(COLUMNS($AD$73:AX74)-1 + INDEX(SHIFT_TBL,1,13), 28) + 1)</f>
        <v>0</v>
      </c>
      <c r="AY74" cm="1">
        <f t="array" ref="AY74">INDEX($AD$68:$BE$68, 1, MOD(COLUMNS($AD$73:AY74)-1 + INDEX(SHIFT_TBL,1,13), 28) + 1)</f>
        <v>1</v>
      </c>
      <c r="AZ74" cm="1">
        <f t="array" ref="AZ74">INDEX($AD$68:$BE$68, 1, MOD(COLUMNS($AD$73:AZ74)-1 + INDEX(SHIFT_TBL,1,13), 28) + 1)</f>
        <v>1</v>
      </c>
      <c r="BA74" cm="1">
        <f t="array" ref="BA74">INDEX($AD$68:$BE$68, 1, MOD(COLUMNS($AD$73:BA74)-1 + INDEX(SHIFT_TBL,1,13), 28) + 1)</f>
        <v>1</v>
      </c>
      <c r="BB74" cm="1">
        <f t="array" ref="BB74">INDEX($AD$68:$BE$68, 1, MOD(COLUMNS($AD$73:BB74)-1 + INDEX(SHIFT_TBL,1,13), 28) + 1)</f>
        <v>1</v>
      </c>
      <c r="BC74" cm="1">
        <f t="array" ref="BC74">INDEX($AD$68:$BE$68, 1, MOD(COLUMNS($AD$73:BC74)-1 + INDEX(SHIFT_TBL,1,13), 28) + 1)</f>
        <v>0</v>
      </c>
      <c r="BD74" cm="1">
        <f t="array" ref="BD74">INDEX($AD$68:$BE$68, 1, MOD(COLUMNS($AD$73:BD74)-1 + INDEX(SHIFT_TBL,1,13), 28) + 1)</f>
        <v>0</v>
      </c>
      <c r="BE74" cm="1">
        <f t="array" ref="BE74">INDEX($AD$68:$BE$68, 1, MOD(COLUMNS($AD$73:BE74)-1 + INDEX(SHIFT_TBL,1,13), 28) + 1)</f>
        <v>0</v>
      </c>
    </row>
    <row r="75" spans="1:57" x14ac:dyDescent="0.35">
      <c r="A75" s="3" t="s">
        <v>82</v>
      </c>
      <c r="B75" cm="1">
        <f t="array" ref="B75">INDEX($B$73:$BE$73, 1, INDEX(PC2_TBL, COLUMNS($B$75:B75)))</f>
        <v>1</v>
      </c>
      <c r="C75" cm="1">
        <f t="array" ref="C75">INDEX($B$73:$BE$73, 1, INDEX(PC2_TBL, COLUMNS($B$75:C75)))</f>
        <v>0</v>
      </c>
      <c r="D75" cm="1">
        <f t="array" ref="D75">INDEX($B$73:$BE$73, 1, INDEX(PC2_TBL, COLUMNS($B$75:D75)))</f>
        <v>0</v>
      </c>
      <c r="E75" cm="1">
        <f t="array" ref="E75">INDEX($B$73:$BE$73, 1, INDEX(PC2_TBL, COLUMNS($B$75:E75)))</f>
        <v>1</v>
      </c>
      <c r="F75" cm="1">
        <f t="array" ref="F75">INDEX($B$73:$BE$73, 1, INDEX(PC2_TBL, COLUMNS($B$75:F75)))</f>
        <v>0</v>
      </c>
      <c r="G75" cm="1">
        <f t="array" ref="G75">INDEX($B$73:$BE$73, 1, INDEX(PC2_TBL, COLUMNS($B$75:G75)))</f>
        <v>1</v>
      </c>
      <c r="H75" cm="1">
        <f t="array" ref="H75">INDEX($B$73:$BE$73, 1, INDEX(PC2_TBL, COLUMNS($B$75:H75)))</f>
        <v>0</v>
      </c>
      <c r="I75" cm="1">
        <f t="array" ref="I75">INDEX($B$73:$BE$73, 1, INDEX(PC2_TBL, COLUMNS($B$75:I75)))</f>
        <v>1</v>
      </c>
      <c r="J75" cm="1">
        <f t="array" ref="J75">INDEX($B$73:$BE$73, 1, INDEX(PC2_TBL, COLUMNS($B$75:J75)))</f>
        <v>1</v>
      </c>
      <c r="K75" cm="1">
        <f t="array" ref="K75">INDEX($B$73:$BE$73, 1, INDEX(PC2_TBL, COLUMNS($B$75:K75)))</f>
        <v>1</v>
      </c>
      <c r="L75" cm="1">
        <f t="array" ref="L75">INDEX($B$73:$BE$73, 1, INDEX(PC2_TBL, COLUMNS($B$75:L75)))</f>
        <v>0</v>
      </c>
      <c r="M75" cm="1">
        <f t="array" ref="M75">INDEX($B$73:$BE$73, 1, INDEX(PC2_TBL, COLUMNS($B$75:M75)))</f>
        <v>0</v>
      </c>
      <c r="N75" cm="1">
        <f t="array" ref="N75">INDEX($B$73:$BE$73, 1, INDEX(PC2_TBL, COLUMNS($B$75:N75)))</f>
        <v>0</v>
      </c>
      <c r="O75" cm="1">
        <f t="array" ref="O75">INDEX($B$73:$BE$73, 1, INDEX(PC2_TBL, COLUMNS($B$75:O75)))</f>
        <v>1</v>
      </c>
      <c r="P75" cm="1">
        <f t="array" ref="P75">INDEX($B$73:$BE$73, 1, INDEX(PC2_TBL, COLUMNS($B$75:P75)))</f>
        <v>0</v>
      </c>
      <c r="Q75" cm="1">
        <f t="array" ref="Q75">INDEX($B$73:$BE$73, 1, INDEX(PC2_TBL, COLUMNS($B$75:Q75)))</f>
        <v>1</v>
      </c>
      <c r="R75" cm="1">
        <f t="array" ref="R75">INDEX($B$73:$BE$73, 1, INDEX(PC2_TBL, COLUMNS($B$75:R75)))</f>
        <v>1</v>
      </c>
      <c r="S75" cm="1">
        <f t="array" ref="S75">INDEX($B$73:$BE$73, 1, INDEX(PC2_TBL, COLUMNS($B$75:S75)))</f>
        <v>1</v>
      </c>
      <c r="T75" cm="1">
        <f t="array" ref="T75">INDEX($B$73:$BE$73, 1, INDEX(PC2_TBL, COLUMNS($B$75:T75)))</f>
        <v>0</v>
      </c>
      <c r="U75" cm="1">
        <f t="array" ref="U75">INDEX($B$73:$BE$73, 1, INDEX(PC2_TBL, COLUMNS($B$75:U75)))</f>
        <v>1</v>
      </c>
      <c r="V75" cm="1">
        <f t="array" ref="V75">INDEX($B$73:$BE$73, 1, INDEX(PC2_TBL, COLUMNS($B$75:V75)))</f>
        <v>0</v>
      </c>
      <c r="W75" cm="1">
        <f t="array" ref="W75">INDEX($B$73:$BE$73, 1, INDEX(PC2_TBL, COLUMNS($B$75:W75)))</f>
        <v>0</v>
      </c>
      <c r="X75" cm="1">
        <f t="array" ref="X75">INDEX($B$73:$BE$73, 1, INDEX(PC2_TBL, COLUMNS($B$75:X75)))</f>
        <v>0</v>
      </c>
      <c r="Y75" cm="1">
        <f t="array" ref="Y75">INDEX($B$73:$BE$73, 1, INDEX(PC2_TBL, COLUMNS($B$75:Y75)))</f>
        <v>1</v>
      </c>
      <c r="Z75" cm="1">
        <f t="array" ref="Z75">INDEX($B$73:$BE$73, 1, INDEX(PC2_TBL, COLUMNS($B$75:Z75)))</f>
        <v>0</v>
      </c>
      <c r="AA75" cm="1">
        <f t="array" ref="AA75">INDEX($B$73:$BE$73, 1, INDEX(PC2_TBL, COLUMNS($B$75:AA75)))</f>
        <v>1</v>
      </c>
      <c r="AB75" cm="1">
        <f t="array" ref="AB75">INDEX($B$73:$BE$73, 1, INDEX(PC2_TBL, COLUMNS($B$75:AB75)))</f>
        <v>0</v>
      </c>
      <c r="AC75" cm="1">
        <f t="array" ref="AC75">INDEX($B$73:$BE$73, 1, INDEX(PC2_TBL, COLUMNS($B$75:AC75)))</f>
        <v>0</v>
      </c>
      <c r="AD75" cm="1">
        <f t="array" ref="AD75">INDEX($B$73:$BE$73, 1, INDEX(PC2_TBL, COLUMNS($B$75:AD75)))</f>
        <v>1</v>
      </c>
      <c r="AE75" cm="1">
        <f t="array" ref="AE75">INDEX($B$73:$BE$73, 1, INDEX(PC2_TBL, COLUMNS($B$75:AE75)))</f>
        <v>0</v>
      </c>
      <c r="AF75" cm="1">
        <f t="array" ref="AF75">INDEX($B$73:$BE$73, 1, INDEX(PC2_TBL, COLUMNS($B$75:AF75)))</f>
        <v>1</v>
      </c>
      <c r="AG75" cm="1">
        <f t="array" ref="AG75">INDEX($B$73:$BE$73, 1, INDEX(PC2_TBL, COLUMNS($B$75:AG75)))</f>
        <v>1</v>
      </c>
      <c r="AH75" cm="1">
        <f t="array" ref="AH75">INDEX($B$73:$BE$73, 1, INDEX(PC2_TBL, COLUMNS($B$75:AH75)))</f>
        <v>1</v>
      </c>
      <c r="AI75" cm="1">
        <f t="array" ref="AI75">INDEX($B$73:$BE$73, 1, INDEX(PC2_TBL, COLUMNS($B$75:AI75)))</f>
        <v>0</v>
      </c>
      <c r="AJ75" cm="1">
        <f t="array" ref="AJ75">INDEX($B$73:$BE$73, 1, INDEX(PC2_TBL, COLUMNS($B$75:AJ75)))</f>
        <v>0</v>
      </c>
      <c r="AK75" cm="1">
        <f t="array" ref="AK75">INDEX($B$73:$BE$73, 1, INDEX(PC2_TBL, COLUMNS($B$75:AK75)))</f>
        <v>0</v>
      </c>
      <c r="AL75" cm="1">
        <f t="array" ref="AL75">INDEX($B$73:$BE$73, 1, INDEX(PC2_TBL, COLUMNS($B$75:AL75)))</f>
        <v>0</v>
      </c>
      <c r="AM75" cm="1">
        <f t="array" ref="AM75">INDEX($B$73:$BE$73, 1, INDEX(PC2_TBL, COLUMNS($B$75:AM75)))</f>
        <v>0</v>
      </c>
      <c r="AN75" cm="1">
        <f t="array" ref="AN75">INDEX($B$73:$BE$73, 1, INDEX(PC2_TBL, COLUMNS($B$75:AN75)))</f>
        <v>0</v>
      </c>
      <c r="AO75" cm="1">
        <f t="array" ref="AO75">INDEX($B$73:$BE$73, 1, INDEX(PC2_TBL, COLUMNS($B$75:AO75)))</f>
        <v>0</v>
      </c>
      <c r="AP75" cm="1">
        <f t="array" ref="AP75">INDEX($B$73:$BE$73, 1, INDEX(PC2_TBL, COLUMNS($B$75:AP75)))</f>
        <v>1</v>
      </c>
      <c r="AQ75" cm="1">
        <f t="array" ref="AQ75">INDEX($B$73:$BE$73, 1, INDEX(PC2_TBL, COLUMNS($B$75:AQ75)))</f>
        <v>1</v>
      </c>
      <c r="AR75" cm="1">
        <f t="array" ref="AR75">INDEX($B$73:$BE$73, 1, INDEX(PC2_TBL, COLUMNS($B$75:AR75)))</f>
        <v>1</v>
      </c>
      <c r="AS75" cm="1">
        <f t="array" ref="AS75">INDEX($B$73:$BE$73, 1, INDEX(PC2_TBL, COLUMNS($B$75:AS75)))</f>
        <v>1</v>
      </c>
      <c r="AT75" cm="1">
        <f t="array" ref="AT75">INDEX($B$73:$BE$73, 1, INDEX(PC2_TBL, COLUMNS($B$75:AT75)))</f>
        <v>1</v>
      </c>
      <c r="AU75" cm="1">
        <f t="array" ref="AU75">INDEX($B$73:$BE$73, 1, INDEX(PC2_TBL, COLUMNS($B$75:AU75)))</f>
        <v>1</v>
      </c>
      <c r="AV75" cm="1">
        <f t="array" ref="AV75">INDEX($B$73:$BE$73, 1, INDEX(PC2_TBL, COLUMNS($B$75:AV75)))</f>
        <v>0</v>
      </c>
      <c r="AW75" cm="1">
        <f t="array" ref="AW75">INDEX($B$73:$BE$73, 1, INDEX(PC2_TBL, COLUMNS($B$75:AW75)))</f>
        <v>1</v>
      </c>
    </row>
    <row r="77" spans="1:57" x14ac:dyDescent="0.35">
      <c r="A77" t="s">
        <v>83</v>
      </c>
      <c r="B77" cm="1">
        <f t="array" ref="B77">INDEX($B$73:$AC$73, 1, MOD(COLUMNS($B$77:B77)-1 + INDEX(SHIFT_TBL,1,14), 28) + 1)</f>
        <v>0</v>
      </c>
      <c r="C77" cm="1">
        <f t="array" ref="C77">INDEX($B$73:$AC$73, 1, MOD(COLUMNS($B$77:C77)-1 + INDEX(SHIFT_TBL,1,14), 28) + 1)</f>
        <v>1</v>
      </c>
      <c r="D77" cm="1">
        <f t="array" ref="D77">INDEX($B$73:$AC$73, 1, MOD(COLUMNS($B$77:D77)-1 + INDEX(SHIFT_TBL,1,14), 28) + 1)</f>
        <v>1</v>
      </c>
      <c r="E77" cm="1">
        <f t="array" ref="E77">INDEX($B$73:$AC$73, 1, MOD(COLUMNS($B$77:E77)-1 + INDEX(SHIFT_TBL,1,14), 28) + 1)</f>
        <v>1</v>
      </c>
      <c r="F77" cm="1">
        <f t="array" ref="F77">INDEX($B$73:$AC$73, 1, MOD(COLUMNS($B$77:F77)-1 + INDEX(SHIFT_TBL,1,14), 28) + 1)</f>
        <v>1</v>
      </c>
      <c r="G77" cm="1">
        <f t="array" ref="G77">INDEX($B$73:$AC$73, 1, MOD(COLUMNS($B$77:G77)-1 + INDEX(SHIFT_TBL,1,14), 28) + 1)</f>
        <v>1</v>
      </c>
      <c r="H77" cm="1">
        <f t="array" ref="H77">INDEX($B$73:$AC$73, 1, MOD(COLUMNS($B$77:H77)-1 + INDEX(SHIFT_TBL,1,14), 28) + 1)</f>
        <v>1</v>
      </c>
      <c r="I77" cm="1">
        <f t="array" ref="I77">INDEX($B$73:$AC$73, 1, MOD(COLUMNS($B$77:I77)-1 + INDEX(SHIFT_TBL,1,14), 28) + 1)</f>
        <v>0</v>
      </c>
      <c r="J77" cm="1">
        <f t="array" ref="J77">INDEX($B$73:$AC$73, 1, MOD(COLUMNS($B$77:J77)-1 + INDEX(SHIFT_TBL,1,14), 28) + 1)</f>
        <v>0</v>
      </c>
      <c r="K77" cm="1">
        <f t="array" ref="K77">INDEX($B$73:$AC$73, 1, MOD(COLUMNS($B$77:K77)-1 + INDEX(SHIFT_TBL,1,14), 28) + 1)</f>
        <v>0</v>
      </c>
      <c r="L77" cm="1">
        <f t="array" ref="L77">INDEX($B$73:$AC$73, 1, MOD(COLUMNS($B$77:L77)-1 + INDEX(SHIFT_TBL,1,14), 28) + 1)</f>
        <v>0</v>
      </c>
      <c r="M77" cm="1">
        <f t="array" ref="M77">INDEX($B$73:$AC$73, 1, MOD(COLUMNS($B$77:M77)-1 + INDEX(SHIFT_TBL,1,14), 28) + 1)</f>
        <v>1</v>
      </c>
      <c r="N77" cm="1">
        <f t="array" ref="N77">INDEX($B$73:$AC$73, 1, MOD(COLUMNS($B$77:N77)-1 + INDEX(SHIFT_TBL,1,14), 28) + 1)</f>
        <v>1</v>
      </c>
      <c r="O77" cm="1">
        <f t="array" ref="O77">INDEX($B$73:$AC$73, 1, MOD(COLUMNS($B$77:O77)-1 + INDEX(SHIFT_TBL,1,14), 28) + 1)</f>
        <v>0</v>
      </c>
      <c r="P77" cm="1">
        <f t="array" ref="P77">INDEX($B$73:$AC$73, 1, MOD(COLUMNS($B$77:P77)-1 + INDEX(SHIFT_TBL,1,14), 28) + 1)</f>
        <v>0</v>
      </c>
      <c r="Q77" cm="1">
        <f t="array" ref="Q77">INDEX($B$73:$AC$73, 1, MOD(COLUMNS($B$77:Q77)-1 + INDEX(SHIFT_TBL,1,14), 28) + 1)</f>
        <v>1</v>
      </c>
      <c r="R77" cm="1">
        <f t="array" ref="R77">INDEX($B$73:$AC$73, 1, MOD(COLUMNS($B$77:R77)-1 + INDEX(SHIFT_TBL,1,14), 28) + 1)</f>
        <v>1</v>
      </c>
      <c r="S77" cm="1">
        <f t="array" ref="S77">INDEX($B$73:$AC$73, 1, MOD(COLUMNS($B$77:S77)-1 + INDEX(SHIFT_TBL,1,14), 28) + 1)</f>
        <v>0</v>
      </c>
      <c r="T77" cm="1">
        <f t="array" ref="T77">INDEX($B$73:$AC$73, 1, MOD(COLUMNS($B$77:T77)-1 + INDEX(SHIFT_TBL,1,14), 28) + 1)</f>
        <v>0</v>
      </c>
      <c r="U77" cm="1">
        <f t="array" ref="U77">INDEX($B$73:$AC$73, 1, MOD(COLUMNS($B$77:U77)-1 + INDEX(SHIFT_TBL,1,14), 28) + 1)</f>
        <v>1</v>
      </c>
      <c r="V77" cm="1">
        <f t="array" ref="V77">INDEX($B$73:$AC$73, 1, MOD(COLUMNS($B$77:V77)-1 + INDEX(SHIFT_TBL,1,14), 28) + 1)</f>
        <v>0</v>
      </c>
      <c r="W77" cm="1">
        <f t="array" ref="W77">INDEX($B$73:$AC$73, 1, MOD(COLUMNS($B$77:W77)-1 + INDEX(SHIFT_TBL,1,14), 28) + 1)</f>
        <v>1</v>
      </c>
      <c r="X77" cm="1">
        <f t="array" ref="X77">INDEX($B$73:$AC$73, 1, MOD(COLUMNS($B$77:X77)-1 + INDEX(SHIFT_TBL,1,14), 28) + 1)</f>
        <v>0</v>
      </c>
      <c r="Y77" cm="1">
        <f t="array" ref="Y77">INDEX($B$73:$AC$73, 1, MOD(COLUMNS($B$77:Y77)-1 + INDEX(SHIFT_TBL,1,14), 28) + 1)</f>
        <v>1</v>
      </c>
      <c r="Z77" cm="1">
        <f t="array" ref="Z77">INDEX($B$73:$AC$73, 1, MOD(COLUMNS($B$77:Z77)-1 + INDEX(SHIFT_TBL,1,14), 28) + 1)</f>
        <v>0</v>
      </c>
      <c r="AA77" cm="1">
        <f t="array" ref="AA77">INDEX($B$73:$AC$73, 1, MOD(COLUMNS($B$77:AA77)-1 + INDEX(SHIFT_TBL,1,14), 28) + 1)</f>
        <v>1</v>
      </c>
      <c r="AB77" cm="1">
        <f t="array" ref="AB77">INDEX($B$73:$AC$73, 1, MOD(COLUMNS($B$77:AB77)-1 + INDEX(SHIFT_TBL,1,14), 28) + 1)</f>
        <v>0</v>
      </c>
      <c r="AC77" cm="1">
        <f t="array" ref="AC77">INDEX($B$73:$AC$73, 1, MOD(COLUMNS($B$77:AC77)-1 + INDEX(SHIFT_TBL,1,14), 28) + 1)</f>
        <v>1</v>
      </c>
      <c r="AD77" cm="1">
        <f t="array" ref="AD77">INDEX($AD$73:$BE$73, 1, MOD(COLUMNS($AD$77:AD77)-1 + INDEX(SHIFT_TBL,1,14), 28) + 1)</f>
        <v>0</v>
      </c>
      <c r="AE77" cm="1">
        <f t="array" ref="AE77">INDEX($AD$73:$BE$73, 1, MOD(COLUMNS($AD$77:AE77)-1 + INDEX(SHIFT_TBL,1,14), 28) + 1)</f>
        <v>1</v>
      </c>
      <c r="AF77" cm="1">
        <f t="array" ref="AF77">INDEX($AD$73:$BE$73, 1, MOD(COLUMNS($AD$77:AF77)-1 + INDEX(SHIFT_TBL,1,14), 28) + 1)</f>
        <v>0</v>
      </c>
      <c r="AG77" cm="1">
        <f t="array" ref="AG77">INDEX($AD$73:$BE$73, 1, MOD(COLUMNS($AD$77:AG77)-1 + INDEX(SHIFT_TBL,1,14), 28) + 1)</f>
        <v>1</v>
      </c>
      <c r="AH77" cm="1">
        <f t="array" ref="AH77">INDEX($AD$73:$BE$73, 1, MOD(COLUMNS($AD$77:AH77)-1 + INDEX(SHIFT_TBL,1,14), 28) + 1)</f>
        <v>0</v>
      </c>
      <c r="AI77" cm="1">
        <f t="array" ref="AI77">INDEX($AD$73:$BE$73, 1, MOD(COLUMNS($AD$77:AI77)-1 + INDEX(SHIFT_TBL,1,14), 28) + 1)</f>
        <v>1</v>
      </c>
      <c r="AJ77" cm="1">
        <f t="array" ref="AJ77">INDEX($AD$73:$BE$73, 1, MOD(COLUMNS($AD$77:AJ77)-1 + INDEX(SHIFT_TBL,1,14), 28) + 1)</f>
        <v>0</v>
      </c>
      <c r="AK77" cm="1">
        <f t="array" ref="AK77">INDEX($AD$73:$BE$73, 1, MOD(COLUMNS($AD$77:AK77)-1 + INDEX(SHIFT_TBL,1,14), 28) + 1)</f>
        <v>1</v>
      </c>
      <c r="AL77" cm="1">
        <f t="array" ref="AL77">INDEX($AD$73:$BE$73, 1, MOD(COLUMNS($AD$77:AL77)-1 + INDEX(SHIFT_TBL,1,14), 28) + 1)</f>
        <v>0</v>
      </c>
      <c r="AM77" cm="1">
        <f t="array" ref="AM77">INDEX($AD$73:$BE$73, 1, MOD(COLUMNS($AD$77:AM77)-1 + INDEX(SHIFT_TBL,1,14), 28) + 1)</f>
        <v>1</v>
      </c>
      <c r="AN77" cm="1">
        <f t="array" ref="AN77">INDEX($AD$73:$BE$73, 1, MOD(COLUMNS($AD$77:AN77)-1 + INDEX(SHIFT_TBL,1,14), 28) + 1)</f>
        <v>0</v>
      </c>
      <c r="AO77" cm="1">
        <f t="array" ref="AO77">INDEX($AD$73:$BE$73, 1, MOD(COLUMNS($AD$77:AO77)-1 + INDEX(SHIFT_TBL,1,14), 28) + 1)</f>
        <v>1</v>
      </c>
      <c r="AP77" cm="1">
        <f t="array" ref="AP77">INDEX($AD$73:$BE$73, 1, MOD(COLUMNS($AD$77:AP77)-1 + INDEX(SHIFT_TBL,1,14), 28) + 1)</f>
        <v>1</v>
      </c>
      <c r="AQ77" cm="1">
        <f t="array" ref="AQ77">INDEX($AD$73:$BE$73, 1, MOD(COLUMNS($AD$77:AQ77)-1 + INDEX(SHIFT_TBL,1,14), 28) + 1)</f>
        <v>0</v>
      </c>
      <c r="AR77" cm="1">
        <f t="array" ref="AR77">INDEX($AD$73:$BE$73, 1, MOD(COLUMNS($AD$77:AR77)-1 + INDEX(SHIFT_TBL,1,14), 28) + 1)</f>
        <v>0</v>
      </c>
      <c r="AS77" cm="1">
        <f t="array" ref="AS77">INDEX($AD$73:$BE$73, 1, MOD(COLUMNS($AD$77:AS77)-1 + INDEX(SHIFT_TBL,1,14), 28) + 1)</f>
        <v>1</v>
      </c>
      <c r="AT77" cm="1">
        <f t="array" ref="AT77">INDEX($AD$73:$BE$73, 1, MOD(COLUMNS($AD$77:AT77)-1 + INDEX(SHIFT_TBL,1,14), 28) + 1)</f>
        <v>1</v>
      </c>
      <c r="AU77" cm="1">
        <f t="array" ref="AU77">INDEX($AD$73:$BE$73, 1, MOD(COLUMNS($AD$77:AU77)-1 + INDEX(SHIFT_TBL,1,14), 28) + 1)</f>
        <v>0</v>
      </c>
      <c r="AV77" cm="1">
        <f t="array" ref="AV77">INDEX($AD$73:$BE$73, 1, MOD(COLUMNS($AD$77:AV77)-1 + INDEX(SHIFT_TBL,1,14), 28) + 1)</f>
        <v>0</v>
      </c>
      <c r="AW77" cm="1">
        <f t="array" ref="AW77">INDEX($AD$73:$BE$73, 1, MOD(COLUMNS($AD$77:AW77)-1 + INDEX(SHIFT_TBL,1,14), 28) + 1)</f>
        <v>1</v>
      </c>
      <c r="AX77" cm="1">
        <f t="array" ref="AX77">INDEX($AD$73:$BE$73, 1, MOD(COLUMNS($AD$77:AX77)-1 + INDEX(SHIFT_TBL,1,14), 28) + 1)</f>
        <v>1</v>
      </c>
      <c r="AY77" cm="1">
        <f t="array" ref="AY77">INDEX($AD$73:$BE$73, 1, MOD(COLUMNS($AD$77:AY77)-1 + INDEX(SHIFT_TBL,1,14), 28) + 1)</f>
        <v>1</v>
      </c>
      <c r="AZ77" cm="1">
        <f t="array" ref="AZ77">INDEX($AD$73:$BE$73, 1, MOD(COLUMNS($AD$77:AZ77)-1 + INDEX(SHIFT_TBL,1,14), 28) + 1)</f>
        <v>1</v>
      </c>
      <c r="BA77" cm="1">
        <f t="array" ref="BA77">INDEX($AD$73:$BE$73, 1, MOD(COLUMNS($AD$77:BA77)-1 + INDEX(SHIFT_TBL,1,14), 28) + 1)</f>
        <v>0</v>
      </c>
      <c r="BB77" cm="1">
        <f t="array" ref="BB77">INDEX($AD$73:$BE$73, 1, MOD(COLUMNS($AD$77:BB77)-1 + INDEX(SHIFT_TBL,1,14), 28) + 1)</f>
        <v>0</v>
      </c>
      <c r="BC77" cm="1">
        <f t="array" ref="BC77">INDEX($AD$73:$BE$73, 1, MOD(COLUMNS($AD$77:BC77)-1 + INDEX(SHIFT_TBL,1,14), 28) + 1)</f>
        <v>0</v>
      </c>
      <c r="BD77" cm="1">
        <f t="array" ref="BD77">INDEX($AD$73:$BE$73, 1, MOD(COLUMNS($AD$77:BD77)-1 + INDEX(SHIFT_TBL,1,14), 28) + 1)</f>
        <v>0</v>
      </c>
      <c r="BE77" cm="1">
        <f t="array" ref="BE77">INDEX($AD$73:$BE$73, 1, MOD(COLUMNS($AD$77:BE77)-1 + INDEX(SHIFT_TBL,1,14), 28) + 1)</f>
        <v>1</v>
      </c>
    </row>
    <row r="78" spans="1:57" x14ac:dyDescent="0.35">
      <c r="A78" s="3" t="s">
        <v>84</v>
      </c>
    </row>
    <row r="79" spans="1:57" x14ac:dyDescent="0.35">
      <c r="A79" s="3" t="s">
        <v>85</v>
      </c>
      <c r="B79" cm="1">
        <f t="array" ref="B79">INDEX($B$73:$AC$73, 1, MOD(COLUMNS($B$77:B79)-1 + INDEX(SHIFT_TBL,1,14), 28) + 1)</f>
        <v>0</v>
      </c>
      <c r="C79" cm="1">
        <f t="array" ref="C79">INDEX($B$73:$AC$73, 1, MOD(COLUMNS($B$77:C79)-1 + INDEX(SHIFT_TBL,1,14), 28) + 1)</f>
        <v>1</v>
      </c>
      <c r="D79" cm="1">
        <f t="array" ref="D79">INDEX($B$73:$AC$73, 1, MOD(COLUMNS($B$77:D79)-1 + INDEX(SHIFT_TBL,1,14), 28) + 1)</f>
        <v>1</v>
      </c>
      <c r="E79" cm="1">
        <f t="array" ref="E79">INDEX($B$73:$AC$73, 1, MOD(COLUMNS($B$77:E79)-1 + INDEX(SHIFT_TBL,1,14), 28) + 1)</f>
        <v>1</v>
      </c>
      <c r="F79" cm="1">
        <f t="array" ref="F79">INDEX($B$73:$AC$73, 1, MOD(COLUMNS($B$77:F79)-1 + INDEX(SHIFT_TBL,1,14), 28) + 1)</f>
        <v>1</v>
      </c>
      <c r="G79" cm="1">
        <f t="array" ref="G79">INDEX($B$73:$AC$73, 1, MOD(COLUMNS($B$77:G79)-1 + INDEX(SHIFT_TBL,1,14), 28) + 1)</f>
        <v>1</v>
      </c>
      <c r="H79" cm="1">
        <f t="array" ref="H79">INDEX($B$73:$AC$73, 1, MOD(COLUMNS($B$77:H79)-1 + INDEX(SHIFT_TBL,1,14), 28) + 1)</f>
        <v>1</v>
      </c>
      <c r="I79" cm="1">
        <f t="array" ref="I79">INDEX($B$73:$AC$73, 1, MOD(COLUMNS($B$77:I79)-1 + INDEX(SHIFT_TBL,1,14), 28) + 1)</f>
        <v>0</v>
      </c>
      <c r="J79" cm="1">
        <f t="array" ref="J79">INDEX($B$73:$AC$73, 1, MOD(COLUMNS($B$77:J79)-1 + INDEX(SHIFT_TBL,1,14), 28) + 1)</f>
        <v>0</v>
      </c>
      <c r="K79" cm="1">
        <f t="array" ref="K79">INDEX($B$73:$AC$73, 1, MOD(COLUMNS($B$77:K79)-1 + INDEX(SHIFT_TBL,1,14), 28) + 1)</f>
        <v>0</v>
      </c>
      <c r="L79" cm="1">
        <f t="array" ref="L79">INDEX($B$73:$AC$73, 1, MOD(COLUMNS($B$77:L79)-1 + INDEX(SHIFT_TBL,1,14), 28) + 1)</f>
        <v>0</v>
      </c>
      <c r="M79" cm="1">
        <f t="array" ref="M79">INDEX($B$73:$AC$73, 1, MOD(COLUMNS($B$77:M79)-1 + INDEX(SHIFT_TBL,1,14), 28) + 1)</f>
        <v>1</v>
      </c>
      <c r="N79" cm="1">
        <f t="array" ref="N79">INDEX($B$73:$AC$73, 1, MOD(COLUMNS($B$77:N79)-1 + INDEX(SHIFT_TBL,1,14), 28) + 1)</f>
        <v>1</v>
      </c>
      <c r="O79" cm="1">
        <f t="array" ref="O79">INDEX($B$73:$AC$73, 1, MOD(COLUMNS($B$77:O79)-1 + INDEX(SHIFT_TBL,1,14), 28) + 1)</f>
        <v>0</v>
      </c>
      <c r="P79" cm="1">
        <f t="array" ref="P79">INDEX($B$73:$AC$73, 1, MOD(COLUMNS($B$77:P79)-1 + INDEX(SHIFT_TBL,1,14), 28) + 1)</f>
        <v>0</v>
      </c>
      <c r="Q79" cm="1">
        <f t="array" ref="Q79">INDEX($B$73:$AC$73, 1, MOD(COLUMNS($B$77:Q79)-1 + INDEX(SHIFT_TBL,1,14), 28) + 1)</f>
        <v>1</v>
      </c>
      <c r="R79" cm="1">
        <f t="array" ref="R79">INDEX($B$73:$AC$73, 1, MOD(COLUMNS($B$77:R79)-1 + INDEX(SHIFT_TBL,1,14), 28) + 1)</f>
        <v>1</v>
      </c>
      <c r="S79" cm="1">
        <f t="array" ref="S79">INDEX($B$73:$AC$73, 1, MOD(COLUMNS($B$77:S79)-1 + INDEX(SHIFT_TBL,1,14), 28) + 1)</f>
        <v>0</v>
      </c>
      <c r="T79" cm="1">
        <f t="array" ref="T79">INDEX($B$73:$AC$73, 1, MOD(COLUMNS($B$77:T79)-1 + INDEX(SHIFT_TBL,1,14), 28) + 1)</f>
        <v>0</v>
      </c>
      <c r="U79" cm="1">
        <f t="array" ref="U79">INDEX($B$73:$AC$73, 1, MOD(COLUMNS($B$77:U79)-1 + INDEX(SHIFT_TBL,1,14), 28) + 1)</f>
        <v>1</v>
      </c>
      <c r="V79" cm="1">
        <f t="array" ref="V79">INDEX($B$73:$AC$73, 1, MOD(COLUMNS($B$77:V79)-1 + INDEX(SHIFT_TBL,1,14), 28) + 1)</f>
        <v>0</v>
      </c>
      <c r="W79" cm="1">
        <f t="array" ref="W79">INDEX($B$73:$AC$73, 1, MOD(COLUMNS($B$77:W79)-1 + INDEX(SHIFT_TBL,1,14), 28) + 1)</f>
        <v>1</v>
      </c>
      <c r="X79" cm="1">
        <f t="array" ref="X79">INDEX($B$73:$AC$73, 1, MOD(COLUMNS($B$77:X79)-1 + INDEX(SHIFT_TBL,1,14), 28) + 1)</f>
        <v>0</v>
      </c>
      <c r="Y79" cm="1">
        <f t="array" ref="Y79">INDEX($B$73:$AC$73, 1, MOD(COLUMNS($B$77:Y79)-1 + INDEX(SHIFT_TBL,1,14), 28) + 1)</f>
        <v>1</v>
      </c>
      <c r="Z79" cm="1">
        <f t="array" ref="Z79">INDEX($B$73:$AC$73, 1, MOD(COLUMNS($B$77:Z79)-1 + INDEX(SHIFT_TBL,1,14), 28) + 1)</f>
        <v>0</v>
      </c>
      <c r="AA79" cm="1">
        <f t="array" ref="AA79">INDEX($B$73:$AC$73, 1, MOD(COLUMNS($B$77:AA79)-1 + INDEX(SHIFT_TBL,1,14), 28) + 1)</f>
        <v>1</v>
      </c>
      <c r="AB79" cm="1">
        <f t="array" ref="AB79">INDEX($B$73:$AC$73, 1, MOD(COLUMNS($B$77:AB79)-1 + INDEX(SHIFT_TBL,1,14), 28) + 1)</f>
        <v>0</v>
      </c>
      <c r="AC79" cm="1">
        <f t="array" ref="AC79">INDEX($B$73:$AC$73, 1, MOD(COLUMNS($B$77:AC79)-1 + INDEX(SHIFT_TBL,1,14), 28) + 1)</f>
        <v>1</v>
      </c>
      <c r="AD79" cm="1">
        <f t="array" ref="AD79">INDEX($AD$73:$BE$73, 1, MOD(COLUMNS($AD$77:AD79)-1 + INDEX(SHIFT_TBL,1,14), 28) + 1)</f>
        <v>0</v>
      </c>
      <c r="AE79" cm="1">
        <f t="array" ref="AE79">INDEX($AD$73:$BE$73, 1, MOD(COLUMNS($AD$77:AE79)-1 + INDEX(SHIFT_TBL,1,14), 28) + 1)</f>
        <v>1</v>
      </c>
      <c r="AF79" cm="1">
        <f t="array" ref="AF79">INDEX($AD$73:$BE$73, 1, MOD(COLUMNS($AD$77:AF79)-1 + INDEX(SHIFT_TBL,1,14), 28) + 1)</f>
        <v>0</v>
      </c>
      <c r="AG79" cm="1">
        <f t="array" ref="AG79">INDEX($AD$73:$BE$73, 1, MOD(COLUMNS($AD$77:AG79)-1 + INDEX(SHIFT_TBL,1,14), 28) + 1)</f>
        <v>1</v>
      </c>
      <c r="AH79" cm="1">
        <f t="array" ref="AH79">INDEX($AD$73:$BE$73, 1, MOD(COLUMNS($AD$77:AH79)-1 + INDEX(SHIFT_TBL,1,14), 28) + 1)</f>
        <v>0</v>
      </c>
      <c r="AI79" cm="1">
        <f t="array" ref="AI79">INDEX($AD$73:$BE$73, 1, MOD(COLUMNS($AD$77:AI79)-1 + INDEX(SHIFT_TBL,1,14), 28) + 1)</f>
        <v>1</v>
      </c>
      <c r="AJ79" cm="1">
        <f t="array" ref="AJ79">INDEX($AD$73:$BE$73, 1, MOD(COLUMNS($AD$77:AJ79)-1 + INDEX(SHIFT_TBL,1,14), 28) + 1)</f>
        <v>0</v>
      </c>
      <c r="AK79" cm="1">
        <f t="array" ref="AK79">INDEX($AD$73:$BE$73, 1, MOD(COLUMNS($AD$77:AK79)-1 + INDEX(SHIFT_TBL,1,14), 28) + 1)</f>
        <v>1</v>
      </c>
      <c r="AL79" cm="1">
        <f t="array" ref="AL79">INDEX($AD$73:$BE$73, 1, MOD(COLUMNS($AD$77:AL79)-1 + INDEX(SHIFT_TBL,1,14), 28) + 1)</f>
        <v>0</v>
      </c>
      <c r="AM79" cm="1">
        <f t="array" ref="AM79">INDEX($AD$73:$BE$73, 1, MOD(COLUMNS($AD$77:AM79)-1 + INDEX(SHIFT_TBL,1,14), 28) + 1)</f>
        <v>1</v>
      </c>
      <c r="AN79" cm="1">
        <f t="array" ref="AN79">INDEX($AD$73:$BE$73, 1, MOD(COLUMNS($AD$77:AN79)-1 + INDEX(SHIFT_TBL,1,14), 28) + 1)</f>
        <v>0</v>
      </c>
      <c r="AO79" cm="1">
        <f t="array" ref="AO79">INDEX($AD$73:$BE$73, 1, MOD(COLUMNS($AD$77:AO79)-1 + INDEX(SHIFT_TBL,1,14), 28) + 1)</f>
        <v>1</v>
      </c>
      <c r="AP79" cm="1">
        <f t="array" ref="AP79">INDEX($AD$73:$BE$73, 1, MOD(COLUMNS($AD$77:AP79)-1 + INDEX(SHIFT_TBL,1,14), 28) + 1)</f>
        <v>1</v>
      </c>
      <c r="AQ79" cm="1">
        <f t="array" ref="AQ79">INDEX($AD$73:$BE$73, 1, MOD(COLUMNS($AD$77:AQ79)-1 + INDEX(SHIFT_TBL,1,14), 28) + 1)</f>
        <v>0</v>
      </c>
      <c r="AR79" cm="1">
        <f t="array" ref="AR79">INDEX($AD$73:$BE$73, 1, MOD(COLUMNS($AD$77:AR79)-1 + INDEX(SHIFT_TBL,1,14), 28) + 1)</f>
        <v>0</v>
      </c>
      <c r="AS79" cm="1">
        <f t="array" ref="AS79">INDEX($AD$73:$BE$73, 1, MOD(COLUMNS($AD$77:AS79)-1 + INDEX(SHIFT_TBL,1,14), 28) + 1)</f>
        <v>1</v>
      </c>
      <c r="AT79" cm="1">
        <f t="array" ref="AT79">INDEX($AD$73:$BE$73, 1, MOD(COLUMNS($AD$77:AT79)-1 + INDEX(SHIFT_TBL,1,14), 28) + 1)</f>
        <v>1</v>
      </c>
      <c r="AU79" cm="1">
        <f t="array" ref="AU79">INDEX($AD$73:$BE$73, 1, MOD(COLUMNS($AD$77:AU79)-1 + INDEX(SHIFT_TBL,1,14), 28) + 1)</f>
        <v>0</v>
      </c>
      <c r="AV79" cm="1">
        <f t="array" ref="AV79">INDEX($AD$73:$BE$73, 1, MOD(COLUMNS($AD$77:AV79)-1 + INDEX(SHIFT_TBL,1,14), 28) + 1)</f>
        <v>0</v>
      </c>
      <c r="AW79" cm="1">
        <f t="array" ref="AW79">INDEX($AD$73:$BE$73, 1, MOD(COLUMNS($AD$77:AW79)-1 + INDEX(SHIFT_TBL,1,14), 28) + 1)</f>
        <v>1</v>
      </c>
      <c r="AX79" cm="1">
        <f t="array" ref="AX79">INDEX($AD$73:$BE$73, 1, MOD(COLUMNS($AD$77:AX79)-1 + INDEX(SHIFT_TBL,1,14), 28) + 1)</f>
        <v>1</v>
      </c>
      <c r="AY79" cm="1">
        <f t="array" ref="AY79">INDEX($AD$73:$BE$73, 1, MOD(COLUMNS($AD$77:AY79)-1 + INDEX(SHIFT_TBL,1,14), 28) + 1)</f>
        <v>1</v>
      </c>
      <c r="AZ79" cm="1">
        <f t="array" ref="AZ79">INDEX($AD$73:$BE$73, 1, MOD(COLUMNS($AD$77:AZ79)-1 + INDEX(SHIFT_TBL,1,14), 28) + 1)</f>
        <v>1</v>
      </c>
      <c r="BA79" cm="1">
        <f t="array" ref="BA79">INDEX($AD$73:$BE$73, 1, MOD(COLUMNS($AD$77:BA79)-1 + INDEX(SHIFT_TBL,1,14), 28) + 1)</f>
        <v>0</v>
      </c>
      <c r="BB79" cm="1">
        <f t="array" ref="BB79">INDEX($AD$73:$BE$73, 1, MOD(COLUMNS($AD$77:BB79)-1 + INDEX(SHIFT_TBL,1,14), 28) + 1)</f>
        <v>0</v>
      </c>
      <c r="BC79" cm="1">
        <f t="array" ref="BC79">INDEX($AD$73:$BE$73, 1, MOD(COLUMNS($AD$77:BC79)-1 + INDEX(SHIFT_TBL,1,14), 28) + 1)</f>
        <v>0</v>
      </c>
      <c r="BD79" cm="1">
        <f t="array" ref="BD79">INDEX($AD$73:$BE$73, 1, MOD(COLUMNS($AD$77:BD79)-1 + INDEX(SHIFT_TBL,1,14), 28) + 1)</f>
        <v>0</v>
      </c>
      <c r="BE79" cm="1">
        <f t="array" ref="BE79">INDEX($AD$73:$BE$73, 1, MOD(COLUMNS($AD$77:BE79)-1 + INDEX(SHIFT_TBL,1,14), 28) + 1)</f>
        <v>1</v>
      </c>
    </row>
    <row r="80" spans="1:57" x14ac:dyDescent="0.35">
      <c r="A80" s="3" t="s">
        <v>86</v>
      </c>
      <c r="B80" cm="1">
        <f t="array" ref="B80">INDEX($B$77:$BE$77, 1, INDEX(PC2_TBL, COLUMNS($B$80:B80)))</f>
        <v>0</v>
      </c>
      <c r="C80" cm="1">
        <f t="array" ref="C80">INDEX($B$77:$BE$77, 1, INDEX(PC2_TBL, COLUMNS($B$80:C80)))</f>
        <v>1</v>
      </c>
      <c r="D80" cm="1">
        <f t="array" ref="D80">INDEX($B$77:$BE$77, 1, INDEX(PC2_TBL, COLUMNS($B$80:D80)))</f>
        <v>0</v>
      </c>
      <c r="E80" cm="1">
        <f t="array" ref="E80">INDEX($B$77:$BE$77, 1, INDEX(PC2_TBL, COLUMNS($B$80:E80)))</f>
        <v>1</v>
      </c>
      <c r="F80" cm="1">
        <f t="array" ref="F80">INDEX($B$77:$BE$77, 1, INDEX(PC2_TBL, COLUMNS($B$80:F80)))</f>
        <v>0</v>
      </c>
      <c r="G80" cm="1">
        <f t="array" ref="G80">INDEX($B$77:$BE$77, 1, INDEX(PC2_TBL, COLUMNS($B$80:G80)))</f>
        <v>1</v>
      </c>
      <c r="H80" cm="1">
        <f t="array" ref="H80">INDEX($B$77:$BE$77, 1, INDEX(PC2_TBL, COLUMNS($B$80:H80)))</f>
        <v>1</v>
      </c>
      <c r="I80" cm="1">
        <f t="array" ref="I80">INDEX($B$77:$BE$77, 1, INDEX(PC2_TBL, COLUMNS($B$80:I80)))</f>
        <v>1</v>
      </c>
      <c r="J80" cm="1">
        <f t="array" ref="J80">INDEX($B$77:$BE$77, 1, INDEX(PC2_TBL, COLUMNS($B$80:J80)))</f>
        <v>0</v>
      </c>
      <c r="K80" cm="1">
        <f t="array" ref="K80">INDEX($B$77:$BE$77, 1, INDEX(PC2_TBL, COLUMNS($B$80:K80)))</f>
        <v>1</v>
      </c>
      <c r="L80" cm="1">
        <f t="array" ref="L80">INDEX($B$77:$BE$77, 1, INDEX(PC2_TBL, COLUMNS($B$80:L80)))</f>
        <v>0</v>
      </c>
      <c r="M80" cm="1">
        <f t="array" ref="M80">INDEX($B$77:$BE$77, 1, INDEX(PC2_TBL, COLUMNS($B$80:M80)))</f>
        <v>0</v>
      </c>
      <c r="N80" cm="1">
        <f t="array" ref="N80">INDEX($B$77:$BE$77, 1, INDEX(PC2_TBL, COLUMNS($B$80:N80)))</f>
        <v>0</v>
      </c>
      <c r="O80" cm="1">
        <f t="array" ref="O80">INDEX($B$77:$BE$77, 1, INDEX(PC2_TBL, COLUMNS($B$80:O80)))</f>
        <v>0</v>
      </c>
      <c r="P80" cm="1">
        <f t="array" ref="P80">INDEX($B$77:$BE$77, 1, INDEX(PC2_TBL, COLUMNS($B$80:P80)))</f>
        <v>1</v>
      </c>
      <c r="Q80" cm="1">
        <f t="array" ref="Q80">INDEX($B$77:$BE$77, 1, INDEX(PC2_TBL, COLUMNS($B$80:Q80)))</f>
        <v>1</v>
      </c>
      <c r="R80" cm="1">
        <f t="array" ref="R80">INDEX($B$77:$BE$77, 1, INDEX(PC2_TBL, COLUMNS($B$80:R80)))</f>
        <v>1</v>
      </c>
      <c r="S80" cm="1">
        <f t="array" ref="S80">INDEX($B$77:$BE$77, 1, INDEX(PC2_TBL, COLUMNS($B$80:S80)))</f>
        <v>0</v>
      </c>
      <c r="T80" cm="1">
        <f t="array" ref="T80">INDEX($B$77:$BE$77, 1, INDEX(PC2_TBL, COLUMNS($B$80:T80)))</f>
        <v>1</v>
      </c>
      <c r="U80" cm="1">
        <f t="array" ref="U80">INDEX($B$77:$BE$77, 1, INDEX(PC2_TBL, COLUMNS($B$80:U80)))</f>
        <v>1</v>
      </c>
      <c r="V80" cm="1">
        <f t="array" ref="V80">INDEX($B$77:$BE$77, 1, INDEX(PC2_TBL, COLUMNS($B$80:V80)))</f>
        <v>0</v>
      </c>
      <c r="W80" cm="1">
        <f t="array" ref="W80">INDEX($B$77:$BE$77, 1, INDEX(PC2_TBL, COLUMNS($B$80:W80)))</f>
        <v>1</v>
      </c>
      <c r="X80" cm="1">
        <f t="array" ref="X80">INDEX($B$77:$BE$77, 1, INDEX(PC2_TBL, COLUMNS($B$80:X80)))</f>
        <v>1</v>
      </c>
      <c r="Y80" cm="1">
        <f t="array" ref="Y80">INDEX($B$77:$BE$77, 1, INDEX(PC2_TBL, COLUMNS($B$80:Y80)))</f>
        <v>1</v>
      </c>
      <c r="Z80" cm="1">
        <f t="array" ref="Z80">INDEX($B$77:$BE$77, 1, INDEX(PC2_TBL, COLUMNS($B$80:Z80)))</f>
        <v>1</v>
      </c>
      <c r="AA80" cm="1">
        <f t="array" ref="AA80">INDEX($B$77:$BE$77, 1, INDEX(PC2_TBL, COLUMNS($B$80:AA80)))</f>
        <v>0</v>
      </c>
      <c r="AB80" cm="1">
        <f t="array" ref="AB80">INDEX($B$77:$BE$77, 1, INDEX(PC2_TBL, COLUMNS($B$80:AB80)))</f>
        <v>0</v>
      </c>
      <c r="AC80" cm="1">
        <f t="array" ref="AC80">INDEX($B$77:$BE$77, 1, INDEX(PC2_TBL, COLUMNS($B$80:AC80)))</f>
        <v>0</v>
      </c>
      <c r="AD80" cm="1">
        <f t="array" ref="AD80">INDEX($B$77:$BE$77, 1, INDEX(PC2_TBL, COLUMNS($B$80:AD80)))</f>
        <v>0</v>
      </c>
      <c r="AE80" cm="1">
        <f t="array" ref="AE80">INDEX($B$77:$BE$77, 1, INDEX(PC2_TBL, COLUMNS($B$80:AE80)))</f>
        <v>0</v>
      </c>
      <c r="AF80" cm="1">
        <f t="array" ref="AF80">INDEX($B$77:$BE$77, 1, INDEX(PC2_TBL, COLUMNS($B$80:AF80)))</f>
        <v>1</v>
      </c>
      <c r="AG80" cm="1">
        <f t="array" ref="AG80">INDEX($B$77:$BE$77, 1, INDEX(PC2_TBL, COLUMNS($B$80:AG80)))</f>
        <v>1</v>
      </c>
      <c r="AH80" cm="1">
        <f t="array" ref="AH80">INDEX($B$77:$BE$77, 1, INDEX(PC2_TBL, COLUMNS($B$80:AH80)))</f>
        <v>1</v>
      </c>
      <c r="AI80" cm="1">
        <f t="array" ref="AI80">INDEX($B$77:$BE$77, 1, INDEX(PC2_TBL, COLUMNS($B$80:AI80)))</f>
        <v>1</v>
      </c>
      <c r="AJ80" cm="1">
        <f t="array" ref="AJ80">INDEX($B$77:$BE$77, 1, INDEX(PC2_TBL, COLUMNS($B$80:AJ80)))</f>
        <v>0</v>
      </c>
      <c r="AK80" cm="1">
        <f t="array" ref="AK80">INDEX($B$77:$BE$77, 1, INDEX(PC2_TBL, COLUMNS($B$80:AK80)))</f>
        <v>1</v>
      </c>
      <c r="AL80" cm="1">
        <f t="array" ref="AL80">INDEX($B$77:$BE$77, 1, INDEX(PC2_TBL, COLUMNS($B$80:AL80)))</f>
        <v>1</v>
      </c>
      <c r="AM80" cm="1">
        <f t="array" ref="AM80">INDEX($B$77:$BE$77, 1, INDEX(PC2_TBL, COLUMNS($B$80:AM80)))</f>
        <v>1</v>
      </c>
      <c r="AN80" cm="1">
        <f t="array" ref="AN80">INDEX($B$77:$BE$77, 1, INDEX(PC2_TBL, COLUMNS($B$80:AN80)))</f>
        <v>0</v>
      </c>
      <c r="AO80" cm="1">
        <f t="array" ref="AO80">INDEX($B$77:$BE$77, 1, INDEX(PC2_TBL, COLUMNS($B$80:AO80)))</f>
        <v>1</v>
      </c>
      <c r="AP80" cm="1">
        <f t="array" ref="AP80">INDEX($B$77:$BE$77, 1, INDEX(PC2_TBL, COLUMNS($B$80:AP80)))</f>
        <v>1</v>
      </c>
      <c r="AQ80" cm="1">
        <f t="array" ref="AQ80">INDEX($B$77:$BE$77, 1, INDEX(PC2_TBL, COLUMNS($B$80:AQ80)))</f>
        <v>0</v>
      </c>
      <c r="AR80" cm="1">
        <f t="array" ref="AR80">INDEX($B$77:$BE$77, 1, INDEX(PC2_TBL, COLUMNS($B$80:AR80)))</f>
        <v>0</v>
      </c>
      <c r="AS80" cm="1">
        <f t="array" ref="AS80">INDEX($B$77:$BE$77, 1, INDEX(PC2_TBL, COLUMNS($B$80:AS80)))</f>
        <v>0</v>
      </c>
      <c r="AT80" cm="1">
        <f t="array" ref="AT80">INDEX($B$77:$BE$77, 1, INDEX(PC2_TBL, COLUMNS($B$80:AT80)))</f>
        <v>1</v>
      </c>
      <c r="AU80" cm="1">
        <f t="array" ref="AU80">INDEX($B$77:$BE$77, 1, INDEX(PC2_TBL, COLUMNS($B$80:AU80)))</f>
        <v>1</v>
      </c>
      <c r="AV80" cm="1">
        <f t="array" ref="AV80">INDEX($B$77:$BE$77, 1, INDEX(PC2_TBL, COLUMNS($B$80:AV80)))</f>
        <v>0</v>
      </c>
      <c r="AW80" cm="1">
        <f t="array" ref="AW80">INDEX($B$77:$BE$77, 1, INDEX(PC2_TBL, COLUMNS($B$80:AW80)))</f>
        <v>1</v>
      </c>
    </row>
    <row r="82" spans="1:57" x14ac:dyDescent="0.35">
      <c r="A82" t="s">
        <v>89</v>
      </c>
      <c r="AD82" t="s">
        <v>97</v>
      </c>
    </row>
    <row r="83" spans="1:57" x14ac:dyDescent="0.35">
      <c r="A83" s="3" t="s">
        <v>96</v>
      </c>
      <c r="B83" cm="1">
        <f t="array" ref="B83">INDEX($B$77:$AC$77, 1, MOD(COLUMNS($B$83:B83)-1 + INDEX(SHIFT_TBL,1,15), 28) + 1)</f>
        <v>1</v>
      </c>
      <c r="C83" cm="1">
        <f t="array" ref="C83">INDEX($B$77:$AC$77, 1, MOD(COLUMNS($B$83:C83)-1 + INDEX(SHIFT_TBL,1,15), 28) + 1)</f>
        <v>1</v>
      </c>
      <c r="D83" cm="1">
        <f t="array" ref="D83">INDEX($B$77:$AC$77, 1, MOD(COLUMNS($B$83:D83)-1 + INDEX(SHIFT_TBL,1,15), 28) + 1)</f>
        <v>1</v>
      </c>
      <c r="E83" cm="1">
        <f t="array" ref="E83">INDEX($B$77:$AC$77, 1, MOD(COLUMNS($B$83:E83)-1 + INDEX(SHIFT_TBL,1,15), 28) + 1)</f>
        <v>1</v>
      </c>
      <c r="F83" cm="1">
        <f t="array" ref="F83">INDEX($B$77:$AC$77, 1, MOD(COLUMNS($B$83:F83)-1 + INDEX(SHIFT_TBL,1,15), 28) + 1)</f>
        <v>1</v>
      </c>
      <c r="G83" cm="1">
        <f t="array" ref="G83">INDEX($B$77:$AC$77, 1, MOD(COLUMNS($B$83:G83)-1 + INDEX(SHIFT_TBL,1,15), 28) + 1)</f>
        <v>0</v>
      </c>
      <c r="H83" cm="1">
        <f t="array" ref="H83">INDEX($B$77:$AC$77, 1, MOD(COLUMNS($B$83:H83)-1 + INDEX(SHIFT_TBL,1,15), 28) + 1)</f>
        <v>0</v>
      </c>
      <c r="I83" cm="1">
        <f t="array" ref="I83">INDEX($B$77:$AC$77, 1, MOD(COLUMNS($B$83:I83)-1 + INDEX(SHIFT_TBL,1,15), 28) + 1)</f>
        <v>0</v>
      </c>
      <c r="J83" cm="1">
        <f t="array" ref="J83">INDEX($B$77:$AC$77, 1, MOD(COLUMNS($B$83:J83)-1 + INDEX(SHIFT_TBL,1,15), 28) + 1)</f>
        <v>0</v>
      </c>
      <c r="K83" cm="1">
        <f t="array" ref="K83">INDEX($B$77:$AC$77, 1, MOD(COLUMNS($B$83:K83)-1 + INDEX(SHIFT_TBL,1,15), 28) + 1)</f>
        <v>1</v>
      </c>
      <c r="L83" cm="1">
        <f t="array" ref="L83">INDEX($B$77:$AC$77, 1, MOD(COLUMNS($B$83:L83)-1 + INDEX(SHIFT_TBL,1,15), 28) + 1)</f>
        <v>1</v>
      </c>
      <c r="M83" cm="1">
        <f t="array" ref="M83">INDEX($B$77:$AC$77, 1, MOD(COLUMNS($B$83:M83)-1 + INDEX(SHIFT_TBL,1,15), 28) + 1)</f>
        <v>0</v>
      </c>
      <c r="N83" cm="1">
        <f t="array" ref="N83">INDEX($B$77:$AC$77, 1, MOD(COLUMNS($B$83:N83)-1 + INDEX(SHIFT_TBL,1,15), 28) + 1)</f>
        <v>0</v>
      </c>
      <c r="O83" cm="1">
        <f t="array" ref="O83">INDEX($B$77:$AC$77, 1, MOD(COLUMNS($B$83:O83)-1 + INDEX(SHIFT_TBL,1,15), 28) + 1)</f>
        <v>1</v>
      </c>
      <c r="P83" cm="1">
        <f t="array" ref="P83">INDEX($B$77:$AC$77, 1, MOD(COLUMNS($B$83:P83)-1 + INDEX(SHIFT_TBL,1,15), 28) + 1)</f>
        <v>1</v>
      </c>
      <c r="Q83" cm="1">
        <f t="array" ref="Q83">INDEX($B$77:$AC$77, 1, MOD(COLUMNS($B$83:Q83)-1 + INDEX(SHIFT_TBL,1,15), 28) + 1)</f>
        <v>0</v>
      </c>
      <c r="R83" cm="1">
        <f t="array" ref="R83">INDEX($B$77:$AC$77, 1, MOD(COLUMNS($B$83:R83)-1 + INDEX(SHIFT_TBL,1,15), 28) + 1)</f>
        <v>0</v>
      </c>
      <c r="S83" cm="1">
        <f t="array" ref="S83">INDEX($B$77:$AC$77, 1, MOD(COLUMNS($B$83:S83)-1 + INDEX(SHIFT_TBL,1,15), 28) + 1)</f>
        <v>1</v>
      </c>
      <c r="T83" cm="1">
        <f t="array" ref="T83">INDEX($B$77:$AC$77, 1, MOD(COLUMNS($B$83:T83)-1 + INDEX(SHIFT_TBL,1,15), 28) + 1)</f>
        <v>0</v>
      </c>
      <c r="U83" cm="1">
        <f t="array" ref="U83">INDEX($B$77:$AC$77, 1, MOD(COLUMNS($B$83:U83)-1 + INDEX(SHIFT_TBL,1,15), 28) + 1)</f>
        <v>1</v>
      </c>
      <c r="V83" cm="1">
        <f t="array" ref="V83">INDEX($B$77:$AC$77, 1, MOD(COLUMNS($B$83:V83)-1 + INDEX(SHIFT_TBL,1,15), 28) + 1)</f>
        <v>0</v>
      </c>
      <c r="W83" cm="1">
        <f t="array" ref="W83">INDEX($B$77:$AC$77, 1, MOD(COLUMNS($B$83:W83)-1 + INDEX(SHIFT_TBL,1,15), 28) + 1)</f>
        <v>1</v>
      </c>
      <c r="X83" cm="1">
        <f t="array" ref="X83">INDEX($B$77:$AC$77, 1, MOD(COLUMNS($B$83:X83)-1 + INDEX(SHIFT_TBL,1,15), 28) + 1)</f>
        <v>0</v>
      </c>
      <c r="Y83" cm="1">
        <f t="array" ref="Y83">INDEX($B$77:$AC$77, 1, MOD(COLUMNS($B$83:Y83)-1 + INDEX(SHIFT_TBL,1,15), 28) + 1)</f>
        <v>1</v>
      </c>
      <c r="Z83" cm="1">
        <f t="array" ref="Z83">INDEX($B$77:$AC$77, 1, MOD(COLUMNS($B$83:Z83)-1 + INDEX(SHIFT_TBL,1,15), 28) + 1)</f>
        <v>0</v>
      </c>
      <c r="AA83" cm="1">
        <f t="array" ref="AA83">INDEX($B$77:$AC$77, 1, MOD(COLUMNS($B$83:AA83)-1 + INDEX(SHIFT_TBL,1,15), 28) + 1)</f>
        <v>1</v>
      </c>
      <c r="AB83" cm="1">
        <f t="array" ref="AB83">INDEX($B$77:$AC$77, 1, MOD(COLUMNS($B$83:AB83)-1 + INDEX(SHIFT_TBL,1,15), 28) + 1)</f>
        <v>0</v>
      </c>
      <c r="AC83" cm="1">
        <f t="array" ref="AC83">INDEX($B$77:$AC$77, 1, MOD(COLUMNS($B$83:AC83)-1 + INDEX(SHIFT_TBL,1,15), 28) + 1)</f>
        <v>1</v>
      </c>
      <c r="AD83" cm="1">
        <f t="array" ref="AD83">INDEX($AD$77:$BE$77, 1, MOD(COLUMNS($AD$83:AD83)-1 + INDEX(SHIFT_TBL,1,15), 28) + 1)</f>
        <v>0</v>
      </c>
      <c r="AE83" cm="1">
        <f t="array" ref="AE83">INDEX($AD$77:$BE$77, 1, MOD(COLUMNS($AD$83:AE83)-1 + INDEX(SHIFT_TBL,1,15), 28) + 1)</f>
        <v>1</v>
      </c>
      <c r="AF83" cm="1">
        <f t="array" ref="AF83">INDEX($AD$77:$BE$77, 1, MOD(COLUMNS($AD$83:AF83)-1 + INDEX(SHIFT_TBL,1,15), 28) + 1)</f>
        <v>0</v>
      </c>
      <c r="AG83" cm="1">
        <f t="array" ref="AG83">INDEX($AD$77:$BE$77, 1, MOD(COLUMNS($AD$83:AG83)-1 + INDEX(SHIFT_TBL,1,15), 28) + 1)</f>
        <v>1</v>
      </c>
      <c r="AH83" cm="1">
        <f t="array" ref="AH83">INDEX($AD$77:$BE$77, 1, MOD(COLUMNS($AD$83:AH83)-1 + INDEX(SHIFT_TBL,1,15), 28) + 1)</f>
        <v>0</v>
      </c>
      <c r="AI83" cm="1">
        <f t="array" ref="AI83">INDEX($AD$77:$BE$77, 1, MOD(COLUMNS($AD$83:AI83)-1 + INDEX(SHIFT_TBL,1,15), 28) + 1)</f>
        <v>1</v>
      </c>
      <c r="AJ83" cm="1">
        <f t="array" ref="AJ83">INDEX($AD$77:$BE$77, 1, MOD(COLUMNS($AD$83:AJ83)-1 + INDEX(SHIFT_TBL,1,15), 28) + 1)</f>
        <v>0</v>
      </c>
      <c r="AK83" cm="1">
        <f t="array" ref="AK83">INDEX($AD$77:$BE$77, 1, MOD(COLUMNS($AD$83:AK83)-1 + INDEX(SHIFT_TBL,1,15), 28) + 1)</f>
        <v>1</v>
      </c>
      <c r="AL83" cm="1">
        <f t="array" ref="AL83">INDEX($AD$77:$BE$77, 1, MOD(COLUMNS($AD$83:AL83)-1 + INDEX(SHIFT_TBL,1,15), 28) + 1)</f>
        <v>0</v>
      </c>
      <c r="AM83" cm="1">
        <f t="array" ref="AM83">INDEX($AD$77:$BE$77, 1, MOD(COLUMNS($AD$83:AM83)-1 + INDEX(SHIFT_TBL,1,15), 28) + 1)</f>
        <v>1</v>
      </c>
      <c r="AN83" cm="1">
        <f t="array" ref="AN83">INDEX($AD$77:$BE$77, 1, MOD(COLUMNS($AD$83:AN83)-1 + INDEX(SHIFT_TBL,1,15), 28) + 1)</f>
        <v>1</v>
      </c>
      <c r="AO83" cm="1">
        <f t="array" ref="AO83">INDEX($AD$77:$BE$77, 1, MOD(COLUMNS($AD$83:AO83)-1 + INDEX(SHIFT_TBL,1,15), 28) + 1)</f>
        <v>0</v>
      </c>
      <c r="AP83" cm="1">
        <f t="array" ref="AP83">INDEX($AD$77:$BE$77, 1, MOD(COLUMNS($AD$83:AP83)-1 + INDEX(SHIFT_TBL,1,15), 28) + 1)</f>
        <v>0</v>
      </c>
      <c r="AQ83" cm="1">
        <f t="array" ref="AQ83">INDEX($AD$77:$BE$77, 1, MOD(COLUMNS($AD$83:AQ83)-1 + INDEX(SHIFT_TBL,1,15), 28) + 1)</f>
        <v>1</v>
      </c>
      <c r="AR83" cm="1">
        <f t="array" ref="AR83">INDEX($AD$77:$BE$77, 1, MOD(COLUMNS($AD$83:AR83)-1 + INDEX(SHIFT_TBL,1,15), 28) + 1)</f>
        <v>1</v>
      </c>
      <c r="AS83" cm="1">
        <f t="array" ref="AS83">INDEX($AD$77:$BE$77, 1, MOD(COLUMNS($AD$83:AS83)-1 + INDEX(SHIFT_TBL,1,15), 28) + 1)</f>
        <v>0</v>
      </c>
      <c r="AT83" cm="1">
        <f t="array" ref="AT83">INDEX($AD$77:$BE$77, 1, MOD(COLUMNS($AD$83:AT83)-1 + INDEX(SHIFT_TBL,1,15), 28) + 1)</f>
        <v>0</v>
      </c>
      <c r="AU83" cm="1">
        <f t="array" ref="AU83">INDEX($AD$77:$BE$77, 1, MOD(COLUMNS($AD$83:AU83)-1 + INDEX(SHIFT_TBL,1,15), 28) + 1)</f>
        <v>1</v>
      </c>
      <c r="AV83" cm="1">
        <f t="array" ref="AV83">INDEX($AD$77:$BE$77, 1, MOD(COLUMNS($AD$83:AV83)-1 + INDEX(SHIFT_TBL,1,15), 28) + 1)</f>
        <v>1</v>
      </c>
      <c r="AW83" cm="1">
        <f t="array" ref="AW83">INDEX($AD$77:$BE$77, 1, MOD(COLUMNS($AD$83:AW83)-1 + INDEX(SHIFT_TBL,1,15), 28) + 1)</f>
        <v>1</v>
      </c>
      <c r="AX83" cm="1">
        <f t="array" ref="AX83">INDEX($AD$77:$BE$77, 1, MOD(COLUMNS($AD$83:AX83)-1 + INDEX(SHIFT_TBL,1,15), 28) + 1)</f>
        <v>1</v>
      </c>
      <c r="AY83" cm="1">
        <f t="array" ref="AY83">INDEX($AD$77:$BE$77, 1, MOD(COLUMNS($AD$83:AY83)-1 + INDEX(SHIFT_TBL,1,15), 28) + 1)</f>
        <v>0</v>
      </c>
      <c r="AZ83" cm="1">
        <f t="array" ref="AZ83">INDEX($AD$77:$BE$77, 1, MOD(COLUMNS($AD$83:AZ83)-1 + INDEX(SHIFT_TBL,1,15), 28) + 1)</f>
        <v>0</v>
      </c>
      <c r="BA83" cm="1">
        <f t="array" ref="BA83">INDEX($AD$77:$BE$77, 1, MOD(COLUMNS($AD$83:BA83)-1 + INDEX(SHIFT_TBL,1,15), 28) + 1)</f>
        <v>0</v>
      </c>
      <c r="BB83" cm="1">
        <f t="array" ref="BB83">INDEX($AD$77:$BE$77, 1, MOD(COLUMNS($AD$83:BB83)-1 + INDEX(SHIFT_TBL,1,15), 28) + 1)</f>
        <v>0</v>
      </c>
      <c r="BC83" cm="1">
        <f t="array" ref="BC83">INDEX($AD$77:$BE$77, 1, MOD(COLUMNS($AD$83:BC83)-1 + INDEX(SHIFT_TBL,1,15), 28) + 1)</f>
        <v>1</v>
      </c>
      <c r="BD83" cm="1">
        <f t="array" ref="BD83">INDEX($AD$77:$BE$77, 1, MOD(COLUMNS($AD$83:BD83)-1 + INDEX(SHIFT_TBL,1,15), 28) + 1)</f>
        <v>0</v>
      </c>
      <c r="BE83" cm="1">
        <f t="array" ref="BE83">INDEX($AD$77:$BE$77, 1, MOD(COLUMNS($AD$83:BE83)-1 + INDEX(SHIFT_TBL,1,15), 28) + 1)</f>
        <v>1</v>
      </c>
    </row>
    <row r="84" spans="1:57" x14ac:dyDescent="0.35">
      <c r="A84" s="3" t="s">
        <v>88</v>
      </c>
      <c r="B84" cm="1">
        <f t="array" ref="B84">INDEX($B$77:$AC$77, 1, MOD(COLUMNS($B$83:B84)-1 + INDEX(SHIFT_TBL,1,15), 28) + 1)</f>
        <v>1</v>
      </c>
      <c r="C84" cm="1">
        <f t="array" ref="C84">INDEX($B$77:$AC$77, 1, MOD(COLUMNS($B$83:C84)-1 + INDEX(SHIFT_TBL,1,15), 28) + 1)</f>
        <v>1</v>
      </c>
      <c r="D84" cm="1">
        <f t="array" ref="D84">INDEX($B$77:$AC$77, 1, MOD(COLUMNS($B$83:D84)-1 + INDEX(SHIFT_TBL,1,15), 28) + 1)</f>
        <v>1</v>
      </c>
      <c r="E84" cm="1">
        <f t="array" ref="E84">INDEX($B$77:$AC$77, 1, MOD(COLUMNS($B$83:E84)-1 + INDEX(SHIFT_TBL,1,15), 28) + 1)</f>
        <v>1</v>
      </c>
      <c r="F84" cm="1">
        <f t="array" ref="F84">INDEX($B$77:$AC$77, 1, MOD(COLUMNS($B$83:F84)-1 + INDEX(SHIFT_TBL,1,15), 28) + 1)</f>
        <v>1</v>
      </c>
      <c r="G84" cm="1">
        <f t="array" ref="G84">INDEX($B$77:$AC$77, 1, MOD(COLUMNS($B$83:G84)-1 + INDEX(SHIFT_TBL,1,15), 28) + 1)</f>
        <v>0</v>
      </c>
      <c r="H84" cm="1">
        <f t="array" ref="H84">INDEX($B$77:$AC$77, 1, MOD(COLUMNS($B$83:H84)-1 + INDEX(SHIFT_TBL,1,15), 28) + 1)</f>
        <v>0</v>
      </c>
      <c r="I84" cm="1">
        <f t="array" ref="I84">INDEX($B$77:$AC$77, 1, MOD(COLUMNS($B$83:I84)-1 + INDEX(SHIFT_TBL,1,15), 28) + 1)</f>
        <v>0</v>
      </c>
      <c r="J84" cm="1">
        <f t="array" ref="J84">INDEX($B$77:$AC$77, 1, MOD(COLUMNS($B$83:J84)-1 + INDEX(SHIFT_TBL,1,15), 28) + 1)</f>
        <v>0</v>
      </c>
      <c r="K84" cm="1">
        <f t="array" ref="K84">INDEX($B$77:$AC$77, 1, MOD(COLUMNS($B$83:K84)-1 + INDEX(SHIFT_TBL,1,15), 28) + 1)</f>
        <v>1</v>
      </c>
      <c r="L84" cm="1">
        <f t="array" ref="L84">INDEX($B$77:$AC$77, 1, MOD(COLUMNS($B$83:L84)-1 + INDEX(SHIFT_TBL,1,15), 28) + 1)</f>
        <v>1</v>
      </c>
      <c r="M84" cm="1">
        <f t="array" ref="M84">INDEX($B$77:$AC$77, 1, MOD(COLUMNS($B$83:M84)-1 + INDEX(SHIFT_TBL,1,15), 28) + 1)</f>
        <v>0</v>
      </c>
      <c r="N84" cm="1">
        <f t="array" ref="N84">INDEX($B$77:$AC$77, 1, MOD(COLUMNS($B$83:N84)-1 + INDEX(SHIFT_TBL,1,15), 28) + 1)</f>
        <v>0</v>
      </c>
      <c r="O84" cm="1">
        <f t="array" ref="O84">INDEX($B$77:$AC$77, 1, MOD(COLUMNS($B$83:O84)-1 + INDEX(SHIFT_TBL,1,15), 28) + 1)</f>
        <v>1</v>
      </c>
      <c r="P84" cm="1">
        <f t="array" ref="P84">INDEX($B$77:$AC$77, 1, MOD(COLUMNS($B$83:P84)-1 + INDEX(SHIFT_TBL,1,15), 28) + 1)</f>
        <v>1</v>
      </c>
      <c r="Q84" cm="1">
        <f t="array" ref="Q84">INDEX($B$77:$AC$77, 1, MOD(COLUMNS($B$83:Q84)-1 + INDEX(SHIFT_TBL,1,15), 28) + 1)</f>
        <v>0</v>
      </c>
      <c r="R84" cm="1">
        <f t="array" ref="R84">INDEX($B$77:$AC$77, 1, MOD(COLUMNS($B$83:R84)-1 + INDEX(SHIFT_TBL,1,15), 28) + 1)</f>
        <v>0</v>
      </c>
      <c r="S84" cm="1">
        <f t="array" ref="S84">INDEX($B$77:$AC$77, 1, MOD(COLUMNS($B$83:S84)-1 + INDEX(SHIFT_TBL,1,15), 28) + 1)</f>
        <v>1</v>
      </c>
      <c r="T84" cm="1">
        <f t="array" ref="T84">INDEX($B$77:$AC$77, 1, MOD(COLUMNS($B$83:T84)-1 + INDEX(SHIFT_TBL,1,15), 28) + 1)</f>
        <v>0</v>
      </c>
      <c r="U84" cm="1">
        <f t="array" ref="U84">INDEX($B$77:$AC$77, 1, MOD(COLUMNS($B$83:U84)-1 + INDEX(SHIFT_TBL,1,15), 28) + 1)</f>
        <v>1</v>
      </c>
      <c r="V84" cm="1">
        <f t="array" ref="V84">INDEX($B$77:$AC$77, 1, MOD(COLUMNS($B$83:V84)-1 + INDEX(SHIFT_TBL,1,15), 28) + 1)</f>
        <v>0</v>
      </c>
      <c r="W84" cm="1">
        <f t="array" ref="W84">INDEX($B$77:$AC$77, 1, MOD(COLUMNS($B$83:W84)-1 + INDEX(SHIFT_TBL,1,15), 28) + 1)</f>
        <v>1</v>
      </c>
      <c r="X84" cm="1">
        <f t="array" ref="X84">INDEX($B$77:$AC$77, 1, MOD(COLUMNS($B$83:X84)-1 + INDEX(SHIFT_TBL,1,15), 28) + 1)</f>
        <v>0</v>
      </c>
      <c r="Y84" cm="1">
        <f t="array" ref="Y84">INDEX($B$77:$AC$77, 1, MOD(COLUMNS($B$83:Y84)-1 + INDEX(SHIFT_TBL,1,15), 28) + 1)</f>
        <v>1</v>
      </c>
      <c r="Z84" cm="1">
        <f t="array" ref="Z84">INDEX($B$77:$AC$77, 1, MOD(COLUMNS($B$83:Z84)-1 + INDEX(SHIFT_TBL,1,15), 28) + 1)</f>
        <v>0</v>
      </c>
      <c r="AA84" cm="1">
        <f t="array" ref="AA84">INDEX($B$77:$AC$77, 1, MOD(COLUMNS($B$83:AA84)-1 + INDEX(SHIFT_TBL,1,15), 28) + 1)</f>
        <v>1</v>
      </c>
      <c r="AB84" cm="1">
        <f t="array" ref="AB84">INDEX($B$77:$AC$77, 1, MOD(COLUMNS($B$83:AB84)-1 + INDEX(SHIFT_TBL,1,15), 28) + 1)</f>
        <v>0</v>
      </c>
      <c r="AC84" cm="1">
        <f t="array" ref="AC84">INDEX($B$77:$AC$77, 1, MOD(COLUMNS($B$83:AC84)-1 + INDEX(SHIFT_TBL,1,15), 28) + 1)</f>
        <v>1</v>
      </c>
      <c r="AD84" cm="1">
        <f t="array" ref="AD84">INDEX($AD$77:$BE$77, 1, MOD(COLUMNS($AD$83:AD84)-1 + INDEX(SHIFT_TBL,1,15), 28) + 1)</f>
        <v>0</v>
      </c>
      <c r="AE84" cm="1">
        <f t="array" ref="AE84">INDEX($AD$77:$BE$77, 1, MOD(COLUMNS($AD$83:AE84)-1 + INDEX(SHIFT_TBL,1,15), 28) + 1)</f>
        <v>1</v>
      </c>
      <c r="AF84" cm="1">
        <f t="array" ref="AF84">INDEX($AD$77:$BE$77, 1, MOD(COLUMNS($AD$83:AF84)-1 + INDEX(SHIFT_TBL,1,15), 28) + 1)</f>
        <v>0</v>
      </c>
      <c r="AG84" cm="1">
        <f t="array" ref="AG84">INDEX($AD$77:$BE$77, 1, MOD(COLUMNS($AD$83:AG84)-1 + INDEX(SHIFT_TBL,1,15), 28) + 1)</f>
        <v>1</v>
      </c>
      <c r="AH84" cm="1">
        <f t="array" ref="AH84">INDEX($AD$77:$BE$77, 1, MOD(COLUMNS($AD$83:AH84)-1 + INDEX(SHIFT_TBL,1,15), 28) + 1)</f>
        <v>0</v>
      </c>
      <c r="AI84" cm="1">
        <f t="array" ref="AI84">INDEX($AD$77:$BE$77, 1, MOD(COLUMNS($AD$83:AI84)-1 + INDEX(SHIFT_TBL,1,15), 28) + 1)</f>
        <v>1</v>
      </c>
      <c r="AJ84" cm="1">
        <f t="array" ref="AJ84">INDEX($AD$77:$BE$77, 1, MOD(COLUMNS($AD$83:AJ84)-1 + INDEX(SHIFT_TBL,1,15), 28) + 1)</f>
        <v>0</v>
      </c>
      <c r="AK84" cm="1">
        <f t="array" ref="AK84">INDEX($AD$77:$BE$77, 1, MOD(COLUMNS($AD$83:AK84)-1 + INDEX(SHIFT_TBL,1,15), 28) + 1)</f>
        <v>1</v>
      </c>
      <c r="AL84" cm="1">
        <f t="array" ref="AL84">INDEX($AD$77:$BE$77, 1, MOD(COLUMNS($AD$83:AL84)-1 + INDEX(SHIFT_TBL,1,15), 28) + 1)</f>
        <v>0</v>
      </c>
      <c r="AM84" cm="1">
        <f t="array" ref="AM84">INDEX($AD$77:$BE$77, 1, MOD(COLUMNS($AD$83:AM84)-1 + INDEX(SHIFT_TBL,1,15), 28) + 1)</f>
        <v>1</v>
      </c>
      <c r="AN84" cm="1">
        <f t="array" ref="AN84">INDEX($AD$77:$BE$77, 1, MOD(COLUMNS($AD$83:AN84)-1 + INDEX(SHIFT_TBL,1,15), 28) + 1)</f>
        <v>1</v>
      </c>
      <c r="AO84" cm="1">
        <f t="array" ref="AO84">INDEX($AD$77:$BE$77, 1, MOD(COLUMNS($AD$83:AO84)-1 + INDEX(SHIFT_TBL,1,15), 28) + 1)</f>
        <v>0</v>
      </c>
      <c r="AP84" cm="1">
        <f t="array" ref="AP84">INDEX($AD$77:$BE$77, 1, MOD(COLUMNS($AD$83:AP84)-1 + INDEX(SHIFT_TBL,1,15), 28) + 1)</f>
        <v>0</v>
      </c>
      <c r="AQ84" cm="1">
        <f t="array" ref="AQ84">INDEX($AD$77:$BE$77, 1, MOD(COLUMNS($AD$83:AQ84)-1 + INDEX(SHIFT_TBL,1,15), 28) + 1)</f>
        <v>1</v>
      </c>
      <c r="AR84" cm="1">
        <f t="array" ref="AR84">INDEX($AD$77:$BE$77, 1, MOD(COLUMNS($AD$83:AR84)-1 + INDEX(SHIFT_TBL,1,15), 28) + 1)</f>
        <v>1</v>
      </c>
      <c r="AS84" cm="1">
        <f t="array" ref="AS84">INDEX($AD$77:$BE$77, 1, MOD(COLUMNS($AD$83:AS84)-1 + INDEX(SHIFT_TBL,1,15), 28) + 1)</f>
        <v>0</v>
      </c>
      <c r="AT84" cm="1">
        <f t="array" ref="AT84">INDEX($AD$77:$BE$77, 1, MOD(COLUMNS($AD$83:AT84)-1 + INDEX(SHIFT_TBL,1,15), 28) + 1)</f>
        <v>0</v>
      </c>
      <c r="AU84" cm="1">
        <f t="array" ref="AU84">INDEX($AD$77:$BE$77, 1, MOD(COLUMNS($AD$83:AU84)-1 + INDEX(SHIFT_TBL,1,15), 28) + 1)</f>
        <v>1</v>
      </c>
      <c r="AV84" cm="1">
        <f t="array" ref="AV84">INDEX($AD$77:$BE$77, 1, MOD(COLUMNS($AD$83:AV84)-1 + INDEX(SHIFT_TBL,1,15), 28) + 1)</f>
        <v>1</v>
      </c>
      <c r="AW84" cm="1">
        <f t="array" ref="AW84">INDEX($AD$77:$BE$77, 1, MOD(COLUMNS($AD$83:AW84)-1 + INDEX(SHIFT_TBL,1,15), 28) + 1)</f>
        <v>1</v>
      </c>
      <c r="AX84" cm="1">
        <f t="array" ref="AX84">INDEX($AD$77:$BE$77, 1, MOD(COLUMNS($AD$83:AX84)-1 + INDEX(SHIFT_TBL,1,15), 28) + 1)</f>
        <v>1</v>
      </c>
      <c r="AY84" cm="1">
        <f t="array" ref="AY84">INDEX($AD$77:$BE$77, 1, MOD(COLUMNS($AD$83:AY84)-1 + INDEX(SHIFT_TBL,1,15), 28) + 1)</f>
        <v>0</v>
      </c>
      <c r="AZ84" cm="1">
        <f t="array" ref="AZ84">INDEX($AD$77:$BE$77, 1, MOD(COLUMNS($AD$83:AZ84)-1 + INDEX(SHIFT_TBL,1,15), 28) + 1)</f>
        <v>0</v>
      </c>
      <c r="BA84" cm="1">
        <f t="array" ref="BA84">INDEX($AD$77:$BE$77, 1, MOD(COLUMNS($AD$83:BA84)-1 + INDEX(SHIFT_TBL,1,15), 28) + 1)</f>
        <v>0</v>
      </c>
      <c r="BB84" cm="1">
        <f t="array" ref="BB84">INDEX($AD$77:$BE$77, 1, MOD(COLUMNS($AD$83:BB84)-1 + INDEX(SHIFT_TBL,1,15), 28) + 1)</f>
        <v>0</v>
      </c>
      <c r="BC84" cm="1">
        <f t="array" ref="BC84">INDEX($AD$77:$BE$77, 1, MOD(COLUMNS($AD$83:BC84)-1 + INDEX(SHIFT_TBL,1,15), 28) + 1)</f>
        <v>1</v>
      </c>
      <c r="BD84" cm="1">
        <f t="array" ref="BD84">INDEX($AD$77:$BE$77, 1, MOD(COLUMNS($AD$83:BD84)-1 + INDEX(SHIFT_TBL,1,15), 28) + 1)</f>
        <v>0</v>
      </c>
      <c r="BE84" cm="1">
        <f t="array" ref="BE84">INDEX($AD$77:$BE$77, 1, MOD(COLUMNS($AD$83:BE84)-1 + INDEX(SHIFT_TBL,1,15), 28) + 1)</f>
        <v>1</v>
      </c>
    </row>
    <row r="85" spans="1:57" x14ac:dyDescent="0.35">
      <c r="A85" s="3" t="s">
        <v>87</v>
      </c>
      <c r="B85" cm="1">
        <f t="array" ref="B85">INDEX($B$83:$BE$83, 1, INDEX(PC2_TBL, COLUMNS($B$85:B85)))</f>
        <v>1</v>
      </c>
      <c r="C85" cm="1">
        <f t="array" ref="C85">INDEX($B$83:$BE$83, 1, INDEX(PC2_TBL, COLUMNS($B$85:C85)))</f>
        <v>0</v>
      </c>
      <c r="D85" cm="1">
        <f t="array" ref="D85">INDEX($B$83:$BE$83, 1, INDEX(PC2_TBL, COLUMNS($B$85:D85)))</f>
        <v>1</v>
      </c>
      <c r="E85" cm="1">
        <f t="array" ref="E85">INDEX($B$83:$BE$83, 1, INDEX(PC2_TBL, COLUMNS($B$85:E85)))</f>
        <v>1</v>
      </c>
      <c r="F85" cm="1">
        <f t="array" ref="F85">INDEX($B$83:$BE$83, 1, INDEX(PC2_TBL, COLUMNS($B$85:F85)))</f>
        <v>1</v>
      </c>
      <c r="G85" cm="1">
        <f t="array" ref="G85">INDEX($B$83:$BE$83, 1, INDEX(PC2_TBL, COLUMNS($B$85:G85)))</f>
        <v>1</v>
      </c>
      <c r="H85" cm="1">
        <f t="array" ref="H85">INDEX($B$83:$BE$83, 1, INDEX(PC2_TBL, COLUMNS($B$85:H85)))</f>
        <v>1</v>
      </c>
      <c r="I85" cm="1">
        <f t="array" ref="I85">INDEX($B$83:$BE$83, 1, INDEX(PC2_TBL, COLUMNS($B$85:I85)))</f>
        <v>1</v>
      </c>
      <c r="J85" cm="1">
        <f t="array" ref="J85">INDEX($B$83:$BE$83, 1, INDEX(PC2_TBL, COLUMNS($B$85:J85)))</f>
        <v>1</v>
      </c>
      <c r="K85" cm="1">
        <f t="array" ref="K85">INDEX($B$83:$BE$83, 1, INDEX(PC2_TBL, COLUMNS($B$85:K85)))</f>
        <v>0</v>
      </c>
      <c r="L85" cm="1">
        <f t="array" ref="L85">INDEX($B$83:$BE$83, 1, INDEX(PC2_TBL, COLUMNS($B$85:L85)))</f>
        <v>0</v>
      </c>
      <c r="M85" cm="1">
        <f t="array" ref="M85">INDEX($B$83:$BE$83, 1, INDEX(PC2_TBL, COLUMNS($B$85:M85)))</f>
        <v>1</v>
      </c>
      <c r="N85" cm="1">
        <f t="array" ref="N85">INDEX($B$83:$BE$83, 1, INDEX(PC2_TBL, COLUMNS($B$85:N85)))</f>
        <v>0</v>
      </c>
      <c r="O85" cm="1">
        <f t="array" ref="O85">INDEX($B$83:$BE$83, 1, INDEX(PC2_TBL, COLUMNS($B$85:O85)))</f>
        <v>0</v>
      </c>
      <c r="P85" cm="1">
        <f t="array" ref="P85">INDEX($B$83:$BE$83, 1, INDEX(PC2_TBL, COLUMNS($B$85:P85)))</f>
        <v>0</v>
      </c>
      <c r="Q85" cm="1">
        <f t="array" ref="Q85">INDEX($B$83:$BE$83, 1, INDEX(PC2_TBL, COLUMNS($B$85:Q85)))</f>
        <v>1</v>
      </c>
      <c r="R85" cm="1">
        <f t="array" ref="R85">INDEX($B$83:$BE$83, 1, INDEX(PC2_TBL, COLUMNS($B$85:R85)))</f>
        <v>1</v>
      </c>
      <c r="S85" cm="1">
        <f t="array" ref="S85">INDEX($B$83:$BE$83, 1, INDEX(PC2_TBL, COLUMNS($B$85:S85)))</f>
        <v>0</v>
      </c>
      <c r="T85" cm="1">
        <f t="array" ref="T85">INDEX($B$83:$BE$83, 1, INDEX(PC2_TBL, COLUMNS($B$85:T85)))</f>
        <v>0</v>
      </c>
      <c r="U85" cm="1">
        <f t="array" ref="U85">INDEX($B$83:$BE$83, 1, INDEX(PC2_TBL, COLUMNS($B$85:U85)))</f>
        <v>0</v>
      </c>
      <c r="V85" cm="1">
        <f t="array" ref="V85">INDEX($B$83:$BE$83, 1, INDEX(PC2_TBL, COLUMNS($B$85:V85)))</f>
        <v>0</v>
      </c>
      <c r="W85" cm="1">
        <f t="array" ref="W85">INDEX($B$83:$BE$83, 1, INDEX(PC2_TBL, COLUMNS($B$85:W85)))</f>
        <v>1</v>
      </c>
      <c r="X85" cm="1">
        <f t="array" ref="X85">INDEX($B$83:$BE$83, 1, INDEX(PC2_TBL, COLUMNS($B$85:X85)))</f>
        <v>0</v>
      </c>
      <c r="Y85" cm="1">
        <f t="array" ref="Y85">INDEX($B$83:$BE$83, 1, INDEX(PC2_TBL, COLUMNS($B$85:Y85)))</f>
        <v>1</v>
      </c>
      <c r="Z85" cm="1">
        <f t="array" ref="Z85">INDEX($B$83:$BE$83, 1, INDEX(PC2_TBL, COLUMNS($B$85:Z85)))</f>
        <v>0</v>
      </c>
      <c r="AA85" cm="1">
        <f t="array" ref="AA85">INDEX($B$83:$BE$83, 1, INDEX(PC2_TBL, COLUMNS($B$85:AA85)))</f>
        <v>0</v>
      </c>
      <c r="AB85" cm="1">
        <f t="array" ref="AB85">INDEX($B$83:$BE$83, 1, INDEX(PC2_TBL, COLUMNS($B$85:AB85)))</f>
        <v>0</v>
      </c>
      <c r="AC85" cm="1">
        <f t="array" ref="AC85">INDEX($B$83:$BE$83, 1, INDEX(PC2_TBL, COLUMNS($B$85:AC85)))</f>
        <v>0</v>
      </c>
      <c r="AD85" cm="1">
        <f t="array" ref="AD85">INDEX($B$83:$BE$83, 1, INDEX(PC2_TBL, COLUMNS($B$85:AD85)))</f>
        <v>1</v>
      </c>
      <c r="AE85" cm="1">
        <f t="array" ref="AE85">INDEX($B$83:$BE$83, 1, INDEX(PC2_TBL, COLUMNS($B$85:AE85)))</f>
        <v>0</v>
      </c>
      <c r="AF85" cm="1">
        <f t="array" ref="AF85">INDEX($B$83:$BE$83, 1, INDEX(PC2_TBL, COLUMNS($B$85:AF85)))</f>
        <v>1</v>
      </c>
      <c r="AG85" cm="1">
        <f t="array" ref="AG85">INDEX($B$83:$BE$83, 1, INDEX(PC2_TBL, COLUMNS($B$85:AG85)))</f>
        <v>0</v>
      </c>
      <c r="AH85" cm="1">
        <f t="array" ref="AH85">INDEX($B$83:$BE$83, 1, INDEX(PC2_TBL, COLUMNS($B$85:AH85)))</f>
        <v>0</v>
      </c>
      <c r="AI85" cm="1">
        <f t="array" ref="AI85">INDEX($B$83:$BE$83, 1, INDEX(PC2_TBL, COLUMNS($B$85:AI85)))</f>
        <v>0</v>
      </c>
      <c r="AJ85" cm="1">
        <f t="array" ref="AJ85">INDEX($B$83:$BE$83, 1, INDEX(PC2_TBL, COLUMNS($B$85:AJ85)))</f>
        <v>0</v>
      </c>
      <c r="AK85" cm="1">
        <f t="array" ref="AK85">INDEX($B$83:$BE$83, 1, INDEX(PC2_TBL, COLUMNS($B$85:AK85)))</f>
        <v>1</v>
      </c>
      <c r="AL85" cm="1">
        <f t="array" ref="AL85">INDEX($B$83:$BE$83, 1, INDEX(PC2_TBL, COLUMNS($B$85:AL85)))</f>
        <v>0</v>
      </c>
      <c r="AM85" cm="1">
        <f t="array" ref="AM85">INDEX($B$83:$BE$83, 1, INDEX(PC2_TBL, COLUMNS($B$85:AM85)))</f>
        <v>1</v>
      </c>
      <c r="AN85" cm="1">
        <f t="array" ref="AN85">INDEX($B$83:$BE$83, 1, INDEX(PC2_TBL, COLUMNS($B$85:AN85)))</f>
        <v>1</v>
      </c>
      <c r="AO85" cm="1">
        <f t="array" ref="AO85">INDEX($B$83:$BE$83, 1, INDEX(PC2_TBL, COLUMNS($B$85:AO85)))</f>
        <v>1</v>
      </c>
      <c r="AP85" cm="1">
        <f t="array" ref="AP85">INDEX($B$83:$BE$83, 1, INDEX(PC2_TBL, COLUMNS($B$85:AP85)))</f>
        <v>1</v>
      </c>
      <c r="AQ85" cm="1">
        <f t="array" ref="AQ85">INDEX($B$83:$BE$83, 1, INDEX(PC2_TBL, COLUMNS($B$85:AQ85)))</f>
        <v>0</v>
      </c>
      <c r="AR85" cm="1">
        <f t="array" ref="AR85">INDEX($B$83:$BE$83, 1, INDEX(PC2_TBL, COLUMNS($B$85:AR85)))</f>
        <v>1</v>
      </c>
      <c r="AS85" cm="1">
        <f t="array" ref="AS85">INDEX($B$83:$BE$83, 1, INDEX(PC2_TBL, COLUMNS($B$85:AS85)))</f>
        <v>1</v>
      </c>
      <c r="AT85" cm="1">
        <f t="array" ref="AT85">INDEX($B$83:$BE$83, 1, INDEX(PC2_TBL, COLUMNS($B$85:AT85)))</f>
        <v>0</v>
      </c>
      <c r="AU85" cm="1">
        <f t="array" ref="AU85">INDEX($B$83:$BE$83, 1, INDEX(PC2_TBL, COLUMNS($B$85:AU85)))</f>
        <v>1</v>
      </c>
      <c r="AV85" cm="1">
        <f t="array" ref="AV85">INDEX($B$83:$BE$83, 1, INDEX(PC2_TBL, COLUMNS($B$85:AV85)))</f>
        <v>0</v>
      </c>
      <c r="AW85" cm="1">
        <f t="array" ref="AW85">INDEX($B$83:$BE$83, 1, INDEX(PC2_TBL, COLUMNS($B$85:AW85)))</f>
        <v>1</v>
      </c>
    </row>
    <row r="87" spans="1:57" x14ac:dyDescent="0.35">
      <c r="A87" t="s">
        <v>90</v>
      </c>
      <c r="AD87" t="s">
        <v>98</v>
      </c>
    </row>
    <row r="88" spans="1:57" x14ac:dyDescent="0.35">
      <c r="A88" s="3" t="s">
        <v>91</v>
      </c>
      <c r="B88" cm="1">
        <f t="array" ref="B88">INDEX($B$83:$AC$83, 1, MOD(COLUMNS($B$88:B88)-1 + INDEX(SHIFT_TBL,1,16), 28) + 1)</f>
        <v>1</v>
      </c>
      <c r="C88" cm="1">
        <f t="array" ref="C88">INDEX($B$83:$AC$83, 1, MOD(COLUMNS($B$88:C88)-1 + INDEX(SHIFT_TBL,1,16), 28) + 1)</f>
        <v>1</v>
      </c>
      <c r="D88" cm="1">
        <f t="array" ref="D88">INDEX($B$83:$AC$83, 1, MOD(COLUMNS($B$88:D88)-1 + INDEX(SHIFT_TBL,1,16), 28) + 1)</f>
        <v>1</v>
      </c>
      <c r="E88" cm="1">
        <f t="array" ref="E88">INDEX($B$83:$AC$83, 1, MOD(COLUMNS($B$88:E88)-1 + INDEX(SHIFT_TBL,1,16), 28) + 1)</f>
        <v>1</v>
      </c>
      <c r="F88" cm="1">
        <f t="array" ref="F88">INDEX($B$83:$AC$83, 1, MOD(COLUMNS($B$88:F88)-1 + INDEX(SHIFT_TBL,1,16), 28) + 1)</f>
        <v>0</v>
      </c>
      <c r="G88" cm="1">
        <f t="array" ref="G88">INDEX($B$83:$AC$83, 1, MOD(COLUMNS($B$88:G88)-1 + INDEX(SHIFT_TBL,1,16), 28) + 1)</f>
        <v>0</v>
      </c>
      <c r="H88" cm="1">
        <f t="array" ref="H88">INDEX($B$83:$AC$83, 1, MOD(COLUMNS($B$88:H88)-1 + INDEX(SHIFT_TBL,1,16), 28) + 1)</f>
        <v>0</v>
      </c>
      <c r="I88" cm="1">
        <f t="array" ref="I88">INDEX($B$83:$AC$83, 1, MOD(COLUMNS($B$88:I88)-1 + INDEX(SHIFT_TBL,1,16), 28) + 1)</f>
        <v>0</v>
      </c>
      <c r="J88" cm="1">
        <f t="array" ref="J88">INDEX($B$83:$AC$83, 1, MOD(COLUMNS($B$88:J88)-1 + INDEX(SHIFT_TBL,1,16), 28) + 1)</f>
        <v>1</v>
      </c>
      <c r="K88" cm="1">
        <f t="array" ref="K88">INDEX($B$83:$AC$83, 1, MOD(COLUMNS($B$88:K88)-1 + INDEX(SHIFT_TBL,1,16), 28) + 1)</f>
        <v>1</v>
      </c>
      <c r="L88" cm="1">
        <f t="array" ref="L88">INDEX($B$83:$AC$83, 1, MOD(COLUMNS($B$88:L88)-1 + INDEX(SHIFT_TBL,1,16), 28) + 1)</f>
        <v>0</v>
      </c>
      <c r="M88" cm="1">
        <f t="array" ref="M88">INDEX($B$83:$AC$83, 1, MOD(COLUMNS($B$88:M88)-1 + INDEX(SHIFT_TBL,1,16), 28) + 1)</f>
        <v>0</v>
      </c>
      <c r="N88" cm="1">
        <f t="array" ref="N88">INDEX($B$83:$AC$83, 1, MOD(COLUMNS($B$88:N88)-1 + INDEX(SHIFT_TBL,1,16), 28) + 1)</f>
        <v>1</v>
      </c>
      <c r="O88" cm="1">
        <f t="array" ref="O88">INDEX($B$83:$AC$83, 1, MOD(COLUMNS($B$88:O88)-1 + INDEX(SHIFT_TBL,1,16), 28) + 1)</f>
        <v>1</v>
      </c>
      <c r="P88" cm="1">
        <f t="array" ref="P88">INDEX($B$83:$AC$83, 1, MOD(COLUMNS($B$88:P88)-1 + INDEX(SHIFT_TBL,1,16), 28) + 1)</f>
        <v>0</v>
      </c>
      <c r="Q88" cm="1">
        <f t="array" ref="Q88">INDEX($B$83:$AC$83, 1, MOD(COLUMNS($B$88:Q88)-1 + INDEX(SHIFT_TBL,1,16), 28) + 1)</f>
        <v>0</v>
      </c>
      <c r="R88" cm="1">
        <f t="array" ref="R88">INDEX($B$83:$AC$83, 1, MOD(COLUMNS($B$88:R88)-1 + INDEX(SHIFT_TBL,1,16), 28) + 1)</f>
        <v>1</v>
      </c>
      <c r="S88" cm="1">
        <f t="array" ref="S88">INDEX($B$83:$AC$83, 1, MOD(COLUMNS($B$88:S88)-1 + INDEX(SHIFT_TBL,1,16), 28) + 1)</f>
        <v>0</v>
      </c>
      <c r="T88" cm="1">
        <f t="array" ref="T88">INDEX($B$83:$AC$83, 1, MOD(COLUMNS($B$88:T88)-1 + INDEX(SHIFT_TBL,1,16), 28) + 1)</f>
        <v>1</v>
      </c>
      <c r="U88" cm="1">
        <f t="array" ref="U88">INDEX($B$83:$AC$83, 1, MOD(COLUMNS($B$88:U88)-1 + INDEX(SHIFT_TBL,1,16), 28) + 1)</f>
        <v>0</v>
      </c>
      <c r="V88" cm="1">
        <f t="array" ref="V88">INDEX($B$83:$AC$83, 1, MOD(COLUMNS($B$88:V88)-1 + INDEX(SHIFT_TBL,1,16), 28) + 1)</f>
        <v>1</v>
      </c>
      <c r="W88" cm="1">
        <f t="array" ref="W88">INDEX($B$83:$AC$83, 1, MOD(COLUMNS($B$88:W88)-1 + INDEX(SHIFT_TBL,1,16), 28) + 1)</f>
        <v>0</v>
      </c>
      <c r="X88" cm="1">
        <f t="array" ref="X88">INDEX($B$83:$AC$83, 1, MOD(COLUMNS($B$88:X88)-1 + INDEX(SHIFT_TBL,1,16), 28) + 1)</f>
        <v>1</v>
      </c>
      <c r="Y88" cm="1">
        <f t="array" ref="Y88">INDEX($B$83:$AC$83, 1, MOD(COLUMNS($B$88:Y88)-1 + INDEX(SHIFT_TBL,1,16), 28) + 1)</f>
        <v>0</v>
      </c>
      <c r="Z88" cm="1">
        <f t="array" ref="Z88">INDEX($B$83:$AC$83, 1, MOD(COLUMNS($B$88:Z88)-1 + INDEX(SHIFT_TBL,1,16), 28) + 1)</f>
        <v>1</v>
      </c>
      <c r="AA88" cm="1">
        <f t="array" ref="AA88">INDEX($B$83:$AC$83, 1, MOD(COLUMNS($B$88:AA88)-1 + INDEX(SHIFT_TBL,1,16), 28) + 1)</f>
        <v>0</v>
      </c>
      <c r="AB88" cm="1">
        <f t="array" ref="AB88">INDEX($B$83:$AC$83, 1, MOD(COLUMNS($B$88:AB88)-1 + INDEX(SHIFT_TBL,1,16), 28) + 1)</f>
        <v>1</v>
      </c>
      <c r="AC88" cm="1">
        <f t="array" ref="AC88">INDEX($B$83:$AC$83, 1, MOD(COLUMNS($B$88:AC88)-1 + INDEX(SHIFT_TBL,1,16), 28) + 1)</f>
        <v>1</v>
      </c>
      <c r="AD88" cm="1">
        <f t="array" ref="AD88">INDEX($AD$83:$BE$83, 1, MOD(COLUMNS($AD$88:AD88)-1 + INDEX(SHIFT_TBL,1,16), 28) + 1)</f>
        <v>1</v>
      </c>
      <c r="AE88" cm="1">
        <f t="array" ref="AE88">INDEX($AD$83:$BE$83, 1, MOD(COLUMNS($AD$88:AE88)-1 + INDEX(SHIFT_TBL,1,16), 28) + 1)</f>
        <v>0</v>
      </c>
      <c r="AF88" cm="1">
        <f t="array" ref="AF88">INDEX($AD$83:$BE$83, 1, MOD(COLUMNS($AD$88:AF88)-1 + INDEX(SHIFT_TBL,1,16), 28) + 1)</f>
        <v>1</v>
      </c>
      <c r="AG88" cm="1">
        <f t="array" ref="AG88">INDEX($AD$83:$BE$83, 1, MOD(COLUMNS($AD$88:AG88)-1 + INDEX(SHIFT_TBL,1,16), 28) + 1)</f>
        <v>0</v>
      </c>
      <c r="AH88" cm="1">
        <f t="array" ref="AH88">INDEX($AD$83:$BE$83, 1, MOD(COLUMNS($AD$88:AH88)-1 + INDEX(SHIFT_TBL,1,16), 28) + 1)</f>
        <v>1</v>
      </c>
      <c r="AI88" cm="1">
        <f t="array" ref="AI88">INDEX($AD$83:$BE$83, 1, MOD(COLUMNS($AD$88:AI88)-1 + INDEX(SHIFT_TBL,1,16), 28) + 1)</f>
        <v>0</v>
      </c>
      <c r="AJ88" cm="1">
        <f t="array" ref="AJ88">INDEX($AD$83:$BE$83, 1, MOD(COLUMNS($AD$88:AJ88)-1 + INDEX(SHIFT_TBL,1,16), 28) + 1)</f>
        <v>1</v>
      </c>
      <c r="AK88" cm="1">
        <f t="array" ref="AK88">INDEX($AD$83:$BE$83, 1, MOD(COLUMNS($AD$88:AK88)-1 + INDEX(SHIFT_TBL,1,16), 28) + 1)</f>
        <v>0</v>
      </c>
      <c r="AL88" cm="1">
        <f t="array" ref="AL88">INDEX($AD$83:$BE$83, 1, MOD(COLUMNS($AD$88:AL88)-1 + INDEX(SHIFT_TBL,1,16), 28) + 1)</f>
        <v>1</v>
      </c>
      <c r="AM88" cm="1">
        <f t="array" ref="AM88">INDEX($AD$83:$BE$83, 1, MOD(COLUMNS($AD$88:AM88)-1 + INDEX(SHIFT_TBL,1,16), 28) + 1)</f>
        <v>1</v>
      </c>
      <c r="AN88" cm="1">
        <f t="array" ref="AN88">INDEX($AD$83:$BE$83, 1, MOD(COLUMNS($AD$88:AN88)-1 + INDEX(SHIFT_TBL,1,16), 28) + 1)</f>
        <v>0</v>
      </c>
      <c r="AO88" cm="1">
        <f t="array" ref="AO88">INDEX($AD$83:$BE$83, 1, MOD(COLUMNS($AD$88:AO88)-1 + INDEX(SHIFT_TBL,1,16), 28) + 1)</f>
        <v>0</v>
      </c>
      <c r="AP88" cm="1">
        <f t="array" ref="AP88">INDEX($AD$83:$BE$83, 1, MOD(COLUMNS($AD$88:AP88)-1 + INDEX(SHIFT_TBL,1,16), 28) + 1)</f>
        <v>1</v>
      </c>
      <c r="AQ88" cm="1">
        <f t="array" ref="AQ88">INDEX($AD$83:$BE$83, 1, MOD(COLUMNS($AD$88:AQ88)-1 + INDEX(SHIFT_TBL,1,16), 28) + 1)</f>
        <v>1</v>
      </c>
      <c r="AR88" cm="1">
        <f t="array" ref="AR88">INDEX($AD$83:$BE$83, 1, MOD(COLUMNS($AD$88:AR88)-1 + INDEX(SHIFT_TBL,1,16), 28) + 1)</f>
        <v>0</v>
      </c>
      <c r="AS88" cm="1">
        <f t="array" ref="AS88">INDEX($AD$83:$BE$83, 1, MOD(COLUMNS($AD$88:AS88)-1 + INDEX(SHIFT_TBL,1,16), 28) + 1)</f>
        <v>0</v>
      </c>
      <c r="AT88" cm="1">
        <f t="array" ref="AT88">INDEX($AD$83:$BE$83, 1, MOD(COLUMNS($AD$88:AT88)-1 + INDEX(SHIFT_TBL,1,16), 28) + 1)</f>
        <v>1</v>
      </c>
      <c r="AU88" cm="1">
        <f t="array" ref="AU88">INDEX($AD$83:$BE$83, 1, MOD(COLUMNS($AD$88:AU88)-1 + INDEX(SHIFT_TBL,1,16), 28) + 1)</f>
        <v>1</v>
      </c>
      <c r="AV88" cm="1">
        <f t="array" ref="AV88">INDEX($AD$83:$BE$83, 1, MOD(COLUMNS($AD$88:AV88)-1 + INDEX(SHIFT_TBL,1,16), 28) + 1)</f>
        <v>1</v>
      </c>
      <c r="AW88" cm="1">
        <f t="array" ref="AW88">INDEX($AD$83:$BE$83, 1, MOD(COLUMNS($AD$88:AW88)-1 + INDEX(SHIFT_TBL,1,16), 28) + 1)</f>
        <v>1</v>
      </c>
      <c r="AX88" cm="1">
        <f t="array" ref="AX88">INDEX($AD$83:$BE$83, 1, MOD(COLUMNS($AD$88:AX88)-1 + INDEX(SHIFT_TBL,1,16), 28) + 1)</f>
        <v>0</v>
      </c>
      <c r="AY88" cm="1">
        <f t="array" ref="AY88">INDEX($AD$83:$BE$83, 1, MOD(COLUMNS($AD$88:AY88)-1 + INDEX(SHIFT_TBL,1,16), 28) + 1)</f>
        <v>0</v>
      </c>
      <c r="AZ88" cm="1">
        <f t="array" ref="AZ88">INDEX($AD$83:$BE$83, 1, MOD(COLUMNS($AD$88:AZ88)-1 + INDEX(SHIFT_TBL,1,16), 28) + 1)</f>
        <v>0</v>
      </c>
      <c r="BA88" cm="1">
        <f t="array" ref="BA88">INDEX($AD$83:$BE$83, 1, MOD(COLUMNS($AD$88:BA88)-1 + INDEX(SHIFT_TBL,1,16), 28) + 1)</f>
        <v>0</v>
      </c>
      <c r="BB88" cm="1">
        <f t="array" ref="BB88">INDEX($AD$83:$BE$83, 1, MOD(COLUMNS($AD$88:BB88)-1 + INDEX(SHIFT_TBL,1,16), 28) + 1)</f>
        <v>1</v>
      </c>
      <c r="BC88" cm="1">
        <f t="array" ref="BC88">INDEX($AD$83:$BE$83, 1, MOD(COLUMNS($AD$88:BC88)-1 + INDEX(SHIFT_TBL,1,16), 28) + 1)</f>
        <v>0</v>
      </c>
      <c r="BD88" cm="1">
        <f t="array" ref="BD88">INDEX($AD$83:$BE$83, 1, MOD(COLUMNS($AD$88:BD88)-1 + INDEX(SHIFT_TBL,1,16), 28) + 1)</f>
        <v>1</v>
      </c>
      <c r="BE88" cm="1">
        <f t="array" ref="BE88">INDEX($AD$83:$BE$83, 1, MOD(COLUMNS($AD$88:BE88)-1 + INDEX(SHIFT_TBL,1,16), 28) + 1)</f>
        <v>0</v>
      </c>
    </row>
    <row r="89" spans="1:57" x14ac:dyDescent="0.35">
      <c r="A89" s="3" t="s">
        <v>92</v>
      </c>
      <c r="B89" cm="1">
        <f t="array" ref="B89">INDEX($B$83:$AC$83, 1, MOD(COLUMNS($B$88:B89)-1 + INDEX(SHIFT_TBL,1,16), 28) + 1)</f>
        <v>1</v>
      </c>
      <c r="C89" cm="1">
        <f t="array" ref="C89">INDEX($B$83:$AC$83, 1, MOD(COLUMNS($B$88:C89)-1 + INDEX(SHIFT_TBL,1,16), 28) + 1)</f>
        <v>1</v>
      </c>
      <c r="D89" cm="1">
        <f t="array" ref="D89">INDEX($B$83:$AC$83, 1, MOD(COLUMNS($B$88:D89)-1 + INDEX(SHIFT_TBL,1,16), 28) + 1)</f>
        <v>1</v>
      </c>
      <c r="E89" cm="1">
        <f t="array" ref="E89">INDEX($B$83:$AC$83, 1, MOD(COLUMNS($B$88:E89)-1 + INDEX(SHIFT_TBL,1,16), 28) + 1)</f>
        <v>1</v>
      </c>
      <c r="F89" cm="1">
        <f t="array" ref="F89">INDEX($B$83:$AC$83, 1, MOD(COLUMNS($B$88:F89)-1 + INDEX(SHIFT_TBL,1,16), 28) + 1)</f>
        <v>0</v>
      </c>
      <c r="G89" cm="1">
        <f t="array" ref="G89">INDEX($B$83:$AC$83, 1, MOD(COLUMNS($B$88:G89)-1 + INDEX(SHIFT_TBL,1,16), 28) + 1)</f>
        <v>0</v>
      </c>
      <c r="H89" cm="1">
        <f t="array" ref="H89">INDEX($B$83:$AC$83, 1, MOD(COLUMNS($B$88:H89)-1 + INDEX(SHIFT_TBL,1,16), 28) + 1)</f>
        <v>0</v>
      </c>
      <c r="I89" cm="1">
        <f t="array" ref="I89">INDEX($B$83:$AC$83, 1, MOD(COLUMNS($B$88:I89)-1 + INDEX(SHIFT_TBL,1,16), 28) + 1)</f>
        <v>0</v>
      </c>
      <c r="J89" cm="1">
        <f t="array" ref="J89">INDEX($B$83:$AC$83, 1, MOD(COLUMNS($B$88:J89)-1 + INDEX(SHIFT_TBL,1,16), 28) + 1)</f>
        <v>1</v>
      </c>
      <c r="K89" cm="1">
        <f t="array" ref="K89">INDEX($B$83:$AC$83, 1, MOD(COLUMNS($B$88:K89)-1 + INDEX(SHIFT_TBL,1,16), 28) + 1)</f>
        <v>1</v>
      </c>
      <c r="L89" cm="1">
        <f t="array" ref="L89">INDEX($B$83:$AC$83, 1, MOD(COLUMNS($B$88:L89)-1 + INDEX(SHIFT_TBL,1,16), 28) + 1)</f>
        <v>0</v>
      </c>
      <c r="M89" cm="1">
        <f t="array" ref="M89">INDEX($B$83:$AC$83, 1, MOD(COLUMNS($B$88:M89)-1 + INDEX(SHIFT_TBL,1,16), 28) + 1)</f>
        <v>0</v>
      </c>
      <c r="N89" cm="1">
        <f t="array" ref="N89">INDEX($B$83:$AC$83, 1, MOD(COLUMNS($B$88:N89)-1 + INDEX(SHIFT_TBL,1,16), 28) + 1)</f>
        <v>1</v>
      </c>
      <c r="O89" cm="1">
        <f t="array" ref="O89">INDEX($B$83:$AC$83, 1, MOD(COLUMNS($B$88:O89)-1 + INDEX(SHIFT_TBL,1,16), 28) + 1)</f>
        <v>1</v>
      </c>
      <c r="P89" cm="1">
        <f t="array" ref="P89">INDEX($B$83:$AC$83, 1, MOD(COLUMNS($B$88:P89)-1 + INDEX(SHIFT_TBL,1,16), 28) + 1)</f>
        <v>0</v>
      </c>
      <c r="Q89" cm="1">
        <f t="array" ref="Q89">INDEX($B$83:$AC$83, 1, MOD(COLUMNS($B$88:Q89)-1 + INDEX(SHIFT_TBL,1,16), 28) + 1)</f>
        <v>0</v>
      </c>
      <c r="R89" cm="1">
        <f t="array" ref="R89">INDEX($B$83:$AC$83, 1, MOD(COLUMNS($B$88:R89)-1 + INDEX(SHIFT_TBL,1,16), 28) + 1)</f>
        <v>1</v>
      </c>
      <c r="S89" cm="1">
        <f t="array" ref="S89">INDEX($B$83:$AC$83, 1, MOD(COLUMNS($B$88:S89)-1 + INDEX(SHIFT_TBL,1,16), 28) + 1)</f>
        <v>0</v>
      </c>
      <c r="T89" cm="1">
        <f t="array" ref="T89">INDEX($B$83:$AC$83, 1, MOD(COLUMNS($B$88:T89)-1 + INDEX(SHIFT_TBL,1,16), 28) + 1)</f>
        <v>1</v>
      </c>
      <c r="U89" cm="1">
        <f t="array" ref="U89">INDEX($B$83:$AC$83, 1, MOD(COLUMNS($B$88:U89)-1 + INDEX(SHIFT_TBL,1,16), 28) + 1)</f>
        <v>0</v>
      </c>
      <c r="V89" cm="1">
        <f t="array" ref="V89">INDEX($B$83:$AC$83, 1, MOD(COLUMNS($B$88:V89)-1 + INDEX(SHIFT_TBL,1,16), 28) + 1)</f>
        <v>1</v>
      </c>
      <c r="W89" cm="1">
        <f t="array" ref="W89">INDEX($B$83:$AC$83, 1, MOD(COLUMNS($B$88:W89)-1 + INDEX(SHIFT_TBL,1,16), 28) + 1)</f>
        <v>0</v>
      </c>
      <c r="X89" cm="1">
        <f t="array" ref="X89">INDEX($B$83:$AC$83, 1, MOD(COLUMNS($B$88:X89)-1 + INDEX(SHIFT_TBL,1,16), 28) + 1)</f>
        <v>1</v>
      </c>
      <c r="Y89" cm="1">
        <f t="array" ref="Y89">INDEX($B$83:$AC$83, 1, MOD(COLUMNS($B$88:Y89)-1 + INDEX(SHIFT_TBL,1,16), 28) + 1)</f>
        <v>0</v>
      </c>
      <c r="Z89" cm="1">
        <f t="array" ref="Z89">INDEX($B$83:$AC$83, 1, MOD(COLUMNS($B$88:Z89)-1 + INDEX(SHIFT_TBL,1,16), 28) + 1)</f>
        <v>1</v>
      </c>
      <c r="AA89" cm="1">
        <f t="array" ref="AA89">INDEX($B$83:$AC$83, 1, MOD(COLUMNS($B$88:AA89)-1 + INDEX(SHIFT_TBL,1,16), 28) + 1)</f>
        <v>0</v>
      </c>
      <c r="AB89" cm="1">
        <f t="array" ref="AB89">INDEX($B$83:$AC$83, 1, MOD(COLUMNS($B$88:AB89)-1 + INDEX(SHIFT_TBL,1,16), 28) + 1)</f>
        <v>1</v>
      </c>
      <c r="AC89" cm="1">
        <f t="array" ref="AC89">INDEX($B$83:$AC$83, 1, MOD(COLUMNS($B$88:AC89)-1 + INDEX(SHIFT_TBL,1,16), 28) + 1)</f>
        <v>1</v>
      </c>
      <c r="AD89" cm="1">
        <f t="array" ref="AD89">INDEX($AD$83:$BE$83, 1, MOD(COLUMNS($AD$88:AD89)-1 + INDEX(SHIFT_TBL,1,16), 28) + 1)</f>
        <v>1</v>
      </c>
      <c r="AE89" cm="1">
        <f t="array" ref="AE89">INDEX($AD$83:$BE$83, 1, MOD(COLUMNS($AD$88:AE89)-1 + INDEX(SHIFT_TBL,1,16), 28) + 1)</f>
        <v>0</v>
      </c>
      <c r="AF89" cm="1">
        <f t="array" ref="AF89">INDEX($AD$83:$BE$83, 1, MOD(COLUMNS($AD$88:AF89)-1 + INDEX(SHIFT_TBL,1,16), 28) + 1)</f>
        <v>1</v>
      </c>
      <c r="AG89" cm="1">
        <f t="array" ref="AG89">INDEX($AD$83:$BE$83, 1, MOD(COLUMNS($AD$88:AG89)-1 + INDEX(SHIFT_TBL,1,16), 28) + 1)</f>
        <v>0</v>
      </c>
      <c r="AH89" cm="1">
        <f t="array" ref="AH89">INDEX($AD$83:$BE$83, 1, MOD(COLUMNS($AD$88:AH89)-1 + INDEX(SHIFT_TBL,1,16), 28) + 1)</f>
        <v>1</v>
      </c>
      <c r="AI89" cm="1">
        <f t="array" ref="AI89">INDEX($AD$83:$BE$83, 1, MOD(COLUMNS($AD$88:AI89)-1 + INDEX(SHIFT_TBL,1,16), 28) + 1)</f>
        <v>0</v>
      </c>
      <c r="AJ89" cm="1">
        <f t="array" ref="AJ89">INDEX($AD$83:$BE$83, 1, MOD(COLUMNS($AD$88:AJ89)-1 + INDEX(SHIFT_TBL,1,16), 28) + 1)</f>
        <v>1</v>
      </c>
      <c r="AK89" cm="1">
        <f t="array" ref="AK89">INDEX($AD$83:$BE$83, 1, MOD(COLUMNS($AD$88:AK89)-1 + INDEX(SHIFT_TBL,1,16), 28) + 1)</f>
        <v>0</v>
      </c>
      <c r="AL89" cm="1">
        <f t="array" ref="AL89">INDEX($AD$83:$BE$83, 1, MOD(COLUMNS($AD$88:AL89)-1 + INDEX(SHIFT_TBL,1,16), 28) + 1)</f>
        <v>1</v>
      </c>
      <c r="AM89" cm="1">
        <f t="array" ref="AM89">INDEX($AD$83:$BE$83, 1, MOD(COLUMNS($AD$88:AM89)-1 + INDEX(SHIFT_TBL,1,16), 28) + 1)</f>
        <v>1</v>
      </c>
      <c r="AN89" cm="1">
        <f t="array" ref="AN89">INDEX($AD$83:$BE$83, 1, MOD(COLUMNS($AD$88:AN89)-1 + INDEX(SHIFT_TBL,1,16), 28) + 1)</f>
        <v>0</v>
      </c>
      <c r="AO89" cm="1">
        <f t="array" ref="AO89">INDEX($AD$83:$BE$83, 1, MOD(COLUMNS($AD$88:AO89)-1 + INDEX(SHIFT_TBL,1,16), 28) + 1)</f>
        <v>0</v>
      </c>
      <c r="AP89" cm="1">
        <f t="array" ref="AP89">INDEX($AD$83:$BE$83, 1, MOD(COLUMNS($AD$88:AP89)-1 + INDEX(SHIFT_TBL,1,16), 28) + 1)</f>
        <v>1</v>
      </c>
      <c r="AQ89" cm="1">
        <f t="array" ref="AQ89">INDEX($AD$83:$BE$83, 1, MOD(COLUMNS($AD$88:AQ89)-1 + INDEX(SHIFT_TBL,1,16), 28) + 1)</f>
        <v>1</v>
      </c>
      <c r="AR89" cm="1">
        <f t="array" ref="AR89">INDEX($AD$83:$BE$83, 1, MOD(COLUMNS($AD$88:AR89)-1 + INDEX(SHIFT_TBL,1,16), 28) + 1)</f>
        <v>0</v>
      </c>
      <c r="AS89" cm="1">
        <f t="array" ref="AS89">INDEX($AD$83:$BE$83, 1, MOD(COLUMNS($AD$88:AS89)-1 + INDEX(SHIFT_TBL,1,16), 28) + 1)</f>
        <v>0</v>
      </c>
      <c r="AT89" cm="1">
        <f t="array" ref="AT89">INDEX($AD$83:$BE$83, 1, MOD(COLUMNS($AD$88:AT89)-1 + INDEX(SHIFT_TBL,1,16), 28) + 1)</f>
        <v>1</v>
      </c>
      <c r="AU89" cm="1">
        <f t="array" ref="AU89">INDEX($AD$83:$BE$83, 1, MOD(COLUMNS($AD$88:AU89)-1 + INDEX(SHIFT_TBL,1,16), 28) + 1)</f>
        <v>1</v>
      </c>
      <c r="AV89" cm="1">
        <f t="array" ref="AV89">INDEX($AD$83:$BE$83, 1, MOD(COLUMNS($AD$88:AV89)-1 + INDEX(SHIFT_TBL,1,16), 28) + 1)</f>
        <v>1</v>
      </c>
      <c r="AW89" cm="1">
        <f t="array" ref="AW89">INDEX($AD$83:$BE$83, 1, MOD(COLUMNS($AD$88:AW89)-1 + INDEX(SHIFT_TBL,1,16), 28) + 1)</f>
        <v>1</v>
      </c>
      <c r="AX89" cm="1">
        <f t="array" ref="AX89">INDEX($AD$83:$BE$83, 1, MOD(COLUMNS($AD$88:AX89)-1 + INDEX(SHIFT_TBL,1,16), 28) + 1)</f>
        <v>0</v>
      </c>
      <c r="AY89" cm="1">
        <f t="array" ref="AY89">INDEX($AD$83:$BE$83, 1, MOD(COLUMNS($AD$88:AY89)-1 + INDEX(SHIFT_TBL,1,16), 28) + 1)</f>
        <v>0</v>
      </c>
      <c r="AZ89" cm="1">
        <f t="array" ref="AZ89">INDEX($AD$83:$BE$83, 1, MOD(COLUMNS($AD$88:AZ89)-1 + INDEX(SHIFT_TBL,1,16), 28) + 1)</f>
        <v>0</v>
      </c>
      <c r="BA89" cm="1">
        <f t="array" ref="BA89">INDEX($AD$83:$BE$83, 1, MOD(COLUMNS($AD$88:BA89)-1 + INDEX(SHIFT_TBL,1,16), 28) + 1)</f>
        <v>0</v>
      </c>
      <c r="BB89" cm="1">
        <f t="array" ref="BB89">INDEX($AD$83:$BE$83, 1, MOD(COLUMNS($AD$88:BB89)-1 + INDEX(SHIFT_TBL,1,16), 28) + 1)</f>
        <v>1</v>
      </c>
      <c r="BC89" cm="1">
        <f t="array" ref="BC89">INDEX($AD$83:$BE$83, 1, MOD(COLUMNS($AD$88:BC89)-1 + INDEX(SHIFT_TBL,1,16), 28) + 1)</f>
        <v>0</v>
      </c>
      <c r="BD89" cm="1">
        <f t="array" ref="BD89">INDEX($AD$83:$BE$83, 1, MOD(COLUMNS($AD$88:BD89)-1 + INDEX(SHIFT_TBL,1,16), 28) + 1)</f>
        <v>1</v>
      </c>
      <c r="BE89" cm="1">
        <f t="array" ref="BE89">INDEX($AD$83:$BE$83, 1, MOD(COLUMNS($AD$88:BE89)-1 + INDEX(SHIFT_TBL,1,16), 28) + 1)</f>
        <v>0</v>
      </c>
    </row>
    <row r="90" spans="1:57" x14ac:dyDescent="0.35">
      <c r="A90" s="3" t="s">
        <v>93</v>
      </c>
      <c r="B90" cm="1">
        <f t="array" ref="B90">INDEX($B$88:$BE$88, 1, INDEX(PC2_TBL, COLUMNS($B$90:B90)))</f>
        <v>1</v>
      </c>
      <c r="C90" cm="1">
        <f t="array" ref="C90">INDEX($B$88:$BE$88, 1, INDEX(PC2_TBL, COLUMNS($B$90:C90)))</f>
        <v>1</v>
      </c>
      <c r="D90" cm="1">
        <f t="array" ref="D90">INDEX($B$88:$BE$88, 1, INDEX(PC2_TBL, COLUMNS($B$90:D90)))</f>
        <v>0</v>
      </c>
      <c r="E90" cm="1">
        <f t="array" ref="E90">INDEX($B$88:$BE$88, 1, INDEX(PC2_TBL, COLUMNS($B$90:E90)))</f>
        <v>0</v>
      </c>
      <c r="F90" cm="1">
        <f t="array" ref="F90">INDEX($B$88:$BE$88, 1, INDEX(PC2_TBL, COLUMNS($B$90:F90)))</f>
        <v>1</v>
      </c>
      <c r="G90" cm="1">
        <f t="array" ref="G90">INDEX($B$88:$BE$88, 1, INDEX(PC2_TBL, COLUMNS($B$90:G90)))</f>
        <v>0</v>
      </c>
      <c r="H90" cm="1">
        <f t="array" ref="H90">INDEX($B$88:$BE$88, 1, INDEX(PC2_TBL, COLUMNS($B$90:H90)))</f>
        <v>1</v>
      </c>
      <c r="I90" cm="1">
        <f t="array" ref="I90">INDEX($B$88:$BE$88, 1, INDEX(PC2_TBL, COLUMNS($B$90:I90)))</f>
        <v>1</v>
      </c>
      <c r="J90" cm="1">
        <f t="array" ref="J90">INDEX($B$88:$BE$88, 1, INDEX(PC2_TBL, COLUMNS($B$90:J90)))</f>
        <v>0</v>
      </c>
      <c r="K90" cm="1">
        <f t="array" ref="K90">INDEX($B$88:$BE$88, 1, INDEX(PC2_TBL, COLUMNS($B$90:K90)))</f>
        <v>0</v>
      </c>
      <c r="L90" cm="1">
        <f t="array" ref="L90">INDEX($B$88:$BE$88, 1, INDEX(PC2_TBL, COLUMNS($B$90:L90)))</f>
        <v>1</v>
      </c>
      <c r="M90" cm="1">
        <f t="array" ref="M90">INDEX($B$88:$BE$88, 1, INDEX(PC2_TBL, COLUMNS($B$90:M90)))</f>
        <v>1</v>
      </c>
      <c r="N90" cm="1">
        <f t="array" ref="N90">INDEX($B$88:$BE$88, 1, INDEX(PC2_TBL, COLUMNS($B$90:N90)))</f>
        <v>1</v>
      </c>
      <c r="O90" cm="1">
        <f t="array" ref="O90">INDEX($B$88:$BE$88, 1, INDEX(PC2_TBL, COLUMNS($B$90:O90)))</f>
        <v>1</v>
      </c>
      <c r="P90" cm="1">
        <f t="array" ref="P90">INDEX($B$88:$BE$88, 1, INDEX(PC2_TBL, COLUMNS($B$90:P90)))</f>
        <v>0</v>
      </c>
      <c r="Q90" cm="1">
        <f t="array" ref="Q90">INDEX($B$88:$BE$88, 1, INDEX(PC2_TBL, COLUMNS($B$90:Q90)))</f>
        <v>1</v>
      </c>
      <c r="R90" cm="1">
        <f t="array" ref="R90">INDEX($B$88:$BE$88, 1, INDEX(PC2_TBL, COLUMNS($B$90:R90)))</f>
        <v>0</v>
      </c>
      <c r="S90" cm="1">
        <f t="array" ref="S90">INDEX($B$88:$BE$88, 1, INDEX(PC2_TBL, COLUMNS($B$90:S90)))</f>
        <v>0</v>
      </c>
      <c r="T90" cm="1">
        <f t="array" ref="T90">INDEX($B$88:$BE$88, 1, INDEX(PC2_TBL, COLUMNS($B$90:T90)))</f>
        <v>0</v>
      </c>
      <c r="U90" cm="1">
        <f t="array" ref="U90">INDEX($B$88:$BE$88, 1, INDEX(PC2_TBL, COLUMNS($B$90:U90)))</f>
        <v>0</v>
      </c>
      <c r="V90" cm="1">
        <f t="array" ref="V90">INDEX($B$88:$BE$88, 1, INDEX(PC2_TBL, COLUMNS($B$90:V90)))</f>
        <v>1</v>
      </c>
      <c r="W90" cm="1">
        <f t="array" ref="W90">INDEX($B$88:$BE$88, 1, INDEX(PC2_TBL, COLUMNS($B$90:W90)))</f>
        <v>0</v>
      </c>
      <c r="X90" cm="1">
        <f t="array" ref="X90">INDEX($B$88:$BE$88, 1, INDEX(PC2_TBL, COLUMNS($B$90:X90)))</f>
        <v>1</v>
      </c>
      <c r="Y90" cm="1">
        <f t="array" ref="Y90">INDEX($B$88:$BE$88, 1, INDEX(PC2_TBL, COLUMNS($B$90:Y90)))</f>
        <v>1</v>
      </c>
      <c r="Z90" cm="1">
        <f t="array" ref="Z90">INDEX($B$88:$BE$88, 1, INDEX(PC2_TBL, COLUMNS($B$90:Z90)))</f>
        <v>1</v>
      </c>
      <c r="AA90" cm="1">
        <f t="array" ref="AA90">INDEX($B$88:$BE$88, 1, INDEX(PC2_TBL, COLUMNS($B$90:AA90)))</f>
        <v>0</v>
      </c>
      <c r="AB90" cm="1">
        <f t="array" ref="AB90">INDEX($B$88:$BE$88, 1, INDEX(PC2_TBL, COLUMNS($B$90:AB90)))</f>
        <v>1</v>
      </c>
      <c r="AC90" cm="1">
        <f t="array" ref="AC90">INDEX($B$88:$BE$88, 1, INDEX(PC2_TBL, COLUMNS($B$90:AC90)))</f>
        <v>1</v>
      </c>
      <c r="AD90" cm="1">
        <f t="array" ref="AD90">INDEX($B$88:$BE$88, 1, INDEX(PC2_TBL, COLUMNS($B$90:AD90)))</f>
        <v>1</v>
      </c>
      <c r="AE90" cm="1">
        <f t="array" ref="AE90">INDEX($B$88:$BE$88, 1, INDEX(PC2_TBL, COLUMNS($B$90:AE90)))</f>
        <v>1</v>
      </c>
      <c r="AF90" cm="1">
        <f t="array" ref="AF90">INDEX($B$88:$BE$88, 1, INDEX(PC2_TBL, COLUMNS($B$90:AF90)))</f>
        <v>0</v>
      </c>
      <c r="AG90" cm="1">
        <f t="array" ref="AG90">INDEX($B$88:$BE$88, 1, INDEX(PC2_TBL, COLUMNS($B$90:AG90)))</f>
        <v>0</v>
      </c>
      <c r="AH90" cm="1">
        <f t="array" ref="AH90">INDEX($B$88:$BE$88, 1, INDEX(PC2_TBL, COLUMNS($B$90:AH90)))</f>
        <v>0</v>
      </c>
      <c r="AI90" cm="1">
        <f t="array" ref="AI90">INDEX($B$88:$BE$88, 1, INDEX(PC2_TBL, COLUMNS($B$90:AI90)))</f>
        <v>1</v>
      </c>
      <c r="AJ90" cm="1">
        <f t="array" ref="AJ90">INDEX($B$88:$BE$88, 1, INDEX(PC2_TBL, COLUMNS($B$90:AJ90)))</f>
        <v>1</v>
      </c>
      <c r="AK90" cm="1">
        <f t="array" ref="AK90">INDEX($B$88:$BE$88, 1, INDEX(PC2_TBL, COLUMNS($B$90:AK90)))</f>
        <v>1</v>
      </c>
      <c r="AL90" cm="1">
        <f t="array" ref="AL90">INDEX($B$88:$BE$88, 1, INDEX(PC2_TBL, COLUMNS($B$90:AL90)))</f>
        <v>0</v>
      </c>
      <c r="AM90" cm="1">
        <f t="array" ref="AM90">INDEX($B$88:$BE$88, 1, INDEX(PC2_TBL, COLUMNS($B$90:AM90)))</f>
        <v>0</v>
      </c>
      <c r="AN90" cm="1">
        <f t="array" ref="AN90">INDEX($B$88:$BE$88, 1, INDEX(PC2_TBL, COLUMNS($B$90:AN90)))</f>
        <v>0</v>
      </c>
      <c r="AO90" cm="1">
        <f t="array" ref="AO90">INDEX($B$88:$BE$88, 1, INDEX(PC2_TBL, COLUMNS($B$90:AO90)))</f>
        <v>0</v>
      </c>
      <c r="AP90" cm="1">
        <f t="array" ref="AP90">INDEX($B$88:$BE$88, 1, INDEX(PC2_TBL, COLUMNS($B$90:AP90)))</f>
        <v>0</v>
      </c>
      <c r="AQ90" cm="1">
        <f t="array" ref="AQ90">INDEX($B$88:$BE$88, 1, INDEX(PC2_TBL, COLUMNS($B$90:AQ90)))</f>
        <v>1</v>
      </c>
      <c r="AR90" cm="1">
        <f t="array" ref="AR90">INDEX($B$88:$BE$88, 1, INDEX(PC2_TBL, COLUMNS($B$90:AR90)))</f>
        <v>1</v>
      </c>
      <c r="AS90" cm="1">
        <f t="array" ref="AS90">INDEX($B$88:$BE$88, 1, INDEX(PC2_TBL, COLUMNS($B$90:AS90)))</f>
        <v>1</v>
      </c>
      <c r="AT90" cm="1">
        <f t="array" ref="AT90">INDEX($B$88:$BE$88, 1, INDEX(PC2_TBL, COLUMNS($B$90:AT90)))</f>
        <v>0</v>
      </c>
      <c r="AU90" cm="1">
        <f t="array" ref="AU90">INDEX($B$88:$BE$88, 1, INDEX(PC2_TBL, COLUMNS($B$90:AU90)))</f>
        <v>0</v>
      </c>
      <c r="AV90" cm="1">
        <f t="array" ref="AV90">INDEX($B$88:$BE$88, 1, INDEX(PC2_TBL, COLUMNS($B$90:AV90)))</f>
        <v>1</v>
      </c>
      <c r="AW90" cm="1">
        <f t="array" ref="AW90">INDEX($B$88:$BE$88, 1, INDEX(PC2_TBL, COLUMNS($B$90:AW90)))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D965F-3956-4C34-9E8F-7A03A366F386}">
  <dimension ref="A5:BM108"/>
  <sheetViews>
    <sheetView zoomScale="70" zoomScaleNormal="70" workbookViewId="0">
      <selection activeCell="B111" sqref="B111"/>
    </sheetView>
  </sheetViews>
  <sheetFormatPr defaultRowHeight="14.5" x14ac:dyDescent="0.35"/>
  <cols>
    <col min="2" max="2" width="12.1796875" bestFit="1" customWidth="1"/>
  </cols>
  <sheetData>
    <row r="5" spans="1:65" x14ac:dyDescent="0.35">
      <c r="B5" t="s">
        <v>99</v>
      </c>
      <c r="AH5" t="s">
        <v>100</v>
      </c>
    </row>
    <row r="6" spans="1:65" x14ac:dyDescent="0.35">
      <c r="B6" cm="1">
        <f t="array" ref="B6">INDEX(M_BITS, 1, INDEX(IP_TBL, COLUMNS($B$6:B6)))</f>
        <v>1</v>
      </c>
      <c r="C6" cm="1">
        <f t="array" ref="C6">INDEX(M_BITS, 1, INDEX(IP_TBL, COLUMNS($B$6:C6)))</f>
        <v>0</v>
      </c>
      <c r="D6" cm="1">
        <f t="array" ref="D6">INDEX(M_BITS, 1, INDEX(IP_TBL, COLUMNS($B$6:D6)))</f>
        <v>0</v>
      </c>
      <c r="E6" cm="1">
        <f t="array" ref="E6">INDEX(M_BITS, 1, INDEX(IP_TBL, COLUMNS($B$6:E6)))</f>
        <v>1</v>
      </c>
      <c r="F6" cm="1">
        <f t="array" ref="F6">INDEX(M_BITS, 1, INDEX(IP_TBL, COLUMNS($B$6:F6)))</f>
        <v>1</v>
      </c>
      <c r="G6" cm="1">
        <f t="array" ref="G6">INDEX(M_BITS, 1, INDEX(IP_TBL, COLUMNS($B$6:G6)))</f>
        <v>0</v>
      </c>
      <c r="H6" cm="1">
        <f t="array" ref="H6">INDEX(M_BITS, 1, INDEX(IP_TBL, COLUMNS($B$6:H6)))</f>
        <v>0</v>
      </c>
      <c r="I6" cm="1">
        <f t="array" ref="I6">INDEX(M_BITS, 1, INDEX(IP_TBL, COLUMNS($B$6:I6)))</f>
        <v>0</v>
      </c>
      <c r="J6" cm="1">
        <f t="array" ref="J6">INDEX(M_BITS, 1, INDEX(IP_TBL, COLUMNS($B$6:J6)))</f>
        <v>1</v>
      </c>
      <c r="K6" cm="1">
        <f t="array" ref="K6">INDEX(M_BITS, 1, INDEX(IP_TBL, COLUMNS($B$6:K6)))</f>
        <v>1</v>
      </c>
      <c r="L6" cm="1">
        <f t="array" ref="L6">INDEX(M_BITS, 1, INDEX(IP_TBL, COLUMNS($B$6:L6)))</f>
        <v>1</v>
      </c>
      <c r="M6" cm="1">
        <f t="array" ref="M6">INDEX(M_BITS, 1, INDEX(IP_TBL, COLUMNS($B$6:M6)))</f>
        <v>1</v>
      </c>
      <c r="N6" cm="1">
        <f t="array" ref="N6">INDEX(M_BITS, 1, INDEX(IP_TBL, COLUMNS($B$6:N6)))</f>
        <v>1</v>
      </c>
      <c r="O6" cm="1">
        <f t="array" ref="O6">INDEX(M_BITS, 1, INDEX(IP_TBL, COLUMNS($B$6:O6)))</f>
        <v>1</v>
      </c>
      <c r="P6" cm="1">
        <f t="array" ref="P6">INDEX(M_BITS, 1, INDEX(IP_TBL, COLUMNS($B$6:P6)))</f>
        <v>1</v>
      </c>
      <c r="Q6" cm="1">
        <f t="array" ref="Q6">INDEX(M_BITS, 1, INDEX(IP_TBL, COLUMNS($B$6:Q6)))</f>
        <v>0</v>
      </c>
      <c r="R6" cm="1">
        <f t="array" ref="R6">INDEX(M_BITS, 1, INDEX(IP_TBL, COLUMNS($B$6:R6)))</f>
        <v>1</v>
      </c>
      <c r="S6" cm="1">
        <f t="array" ref="S6">INDEX(M_BITS, 1, INDEX(IP_TBL, COLUMNS($B$6:S6)))</f>
        <v>1</v>
      </c>
      <c r="T6" cm="1">
        <f t="array" ref="T6">INDEX(M_BITS, 1, INDEX(IP_TBL, COLUMNS($B$6:T6)))</f>
        <v>0</v>
      </c>
      <c r="U6" cm="1">
        <f t="array" ref="U6">INDEX(M_BITS, 1, INDEX(IP_TBL, COLUMNS($B$6:U6)))</f>
        <v>0</v>
      </c>
      <c r="V6" cm="1">
        <f t="array" ref="V6">INDEX(M_BITS, 1, INDEX(IP_TBL, COLUMNS($B$6:V6)))</f>
        <v>1</v>
      </c>
      <c r="W6" cm="1">
        <f t="array" ref="W6">INDEX(M_BITS, 1, INDEX(IP_TBL, COLUMNS($B$6:W6)))</f>
        <v>1</v>
      </c>
      <c r="X6" cm="1">
        <f t="array" ref="X6">INDEX(M_BITS, 1, INDEX(IP_TBL, COLUMNS($B$6:X6)))</f>
        <v>0</v>
      </c>
      <c r="Y6" cm="1">
        <f t="array" ref="Y6">INDEX(M_BITS, 1, INDEX(IP_TBL, COLUMNS($B$6:Y6)))</f>
        <v>0</v>
      </c>
      <c r="Z6" cm="1">
        <f t="array" ref="Z6">INDEX(M_BITS, 1, INDEX(IP_TBL, COLUMNS($B$6:Z6)))</f>
        <v>0</v>
      </c>
      <c r="AA6" cm="1">
        <f t="array" ref="AA6">INDEX(M_BITS, 1, INDEX(IP_TBL, COLUMNS($B$6:AA6)))</f>
        <v>0</v>
      </c>
      <c r="AB6" cm="1">
        <f t="array" ref="AB6">INDEX(M_BITS, 1, INDEX(IP_TBL, COLUMNS($B$6:AB6)))</f>
        <v>0</v>
      </c>
      <c r="AC6" cm="1">
        <f t="array" ref="AC6">INDEX(M_BITS, 1, INDEX(IP_TBL, COLUMNS($B$6:AC6)))</f>
        <v>0</v>
      </c>
      <c r="AD6" cm="1">
        <f t="array" ref="AD6">INDEX(M_BITS, 1, INDEX(IP_TBL, COLUMNS($B$6:AD6)))</f>
        <v>0</v>
      </c>
      <c r="AE6" cm="1">
        <f t="array" ref="AE6">INDEX(M_BITS, 1, INDEX(IP_TBL, COLUMNS($B$6:AE6)))</f>
        <v>0</v>
      </c>
      <c r="AF6" cm="1">
        <f t="array" ref="AF6">INDEX(M_BITS, 1, INDEX(IP_TBL, COLUMNS($B$6:AF6)))</f>
        <v>0</v>
      </c>
      <c r="AG6" cm="1">
        <f t="array" ref="AG6">INDEX(M_BITS, 1, INDEX(IP_TBL, COLUMNS($B$6:AG6)))</f>
        <v>0</v>
      </c>
      <c r="AH6" cm="1">
        <f t="array" ref="AH6">INDEX(M_BITS, 1, INDEX(IP_TBL, COLUMNS($B$6:AH6)))</f>
        <v>1</v>
      </c>
      <c r="AI6" cm="1">
        <f t="array" ref="AI6">INDEX(M_BITS, 1, INDEX(IP_TBL, COLUMNS($B$6:AI6)))</f>
        <v>1</v>
      </c>
      <c r="AJ6" cm="1">
        <f t="array" ref="AJ6">INDEX(M_BITS, 1, INDEX(IP_TBL, COLUMNS($B$6:AJ6)))</f>
        <v>1</v>
      </c>
      <c r="AK6" cm="1">
        <f t="array" ref="AK6">INDEX(M_BITS, 1, INDEX(IP_TBL, COLUMNS($B$6:AK6)))</f>
        <v>0</v>
      </c>
      <c r="AL6" cm="1">
        <f t="array" ref="AL6">INDEX(M_BITS, 1, INDEX(IP_TBL, COLUMNS($B$6:AL6)))</f>
        <v>0</v>
      </c>
      <c r="AM6" cm="1">
        <f t="array" ref="AM6">INDEX(M_BITS, 1, INDEX(IP_TBL, COLUMNS($B$6:AM6)))</f>
        <v>0</v>
      </c>
      <c r="AN6" cm="1">
        <f t="array" ref="AN6">INDEX(M_BITS, 1, INDEX(IP_TBL, COLUMNS($B$6:AN6)))</f>
        <v>0</v>
      </c>
      <c r="AO6" cm="1">
        <f t="array" ref="AO6">INDEX(M_BITS, 1, INDEX(IP_TBL, COLUMNS($B$6:AO6)))</f>
        <v>0</v>
      </c>
      <c r="AP6" cm="1">
        <f t="array" ref="AP6">INDEX(M_BITS, 1, INDEX(IP_TBL, COLUMNS($B$6:AP6)))</f>
        <v>0</v>
      </c>
      <c r="AQ6" cm="1">
        <f t="array" ref="AQ6">INDEX(M_BITS, 1, INDEX(IP_TBL, COLUMNS($B$6:AQ6)))</f>
        <v>1</v>
      </c>
      <c r="AR6" cm="1">
        <f t="array" ref="AR6">INDEX(M_BITS, 1, INDEX(IP_TBL, COLUMNS($B$6:AR6)))</f>
        <v>0</v>
      </c>
      <c r="AS6" cm="1">
        <f t="array" ref="AS6">INDEX(M_BITS, 1, INDEX(IP_TBL, COLUMNS($B$6:AS6)))</f>
        <v>1</v>
      </c>
      <c r="AT6" cm="1">
        <f t="array" ref="AT6">INDEX(M_BITS, 1, INDEX(IP_TBL, COLUMNS($B$6:AT6)))</f>
        <v>0</v>
      </c>
      <c r="AU6" cm="1">
        <f t="array" ref="AU6">INDEX(M_BITS, 1, INDEX(IP_TBL, COLUMNS($B$6:AU6)))</f>
        <v>1</v>
      </c>
      <c r="AV6" cm="1">
        <f t="array" ref="AV6">INDEX(M_BITS, 1, INDEX(IP_TBL, COLUMNS($B$6:AV6)))</f>
        <v>0</v>
      </c>
      <c r="AW6" cm="1">
        <f t="array" ref="AW6">INDEX(M_BITS, 1, INDEX(IP_TBL, COLUMNS($B$6:AW6)))</f>
        <v>0</v>
      </c>
      <c r="AX6" cm="1">
        <f t="array" ref="AX6">INDEX(M_BITS, 1, INDEX(IP_TBL, COLUMNS($B$6:AX6)))</f>
        <v>1</v>
      </c>
      <c r="AY6" cm="1">
        <f t="array" ref="AY6">INDEX(M_BITS, 1, INDEX(IP_TBL, COLUMNS($B$6:AY6)))</f>
        <v>1</v>
      </c>
      <c r="AZ6" cm="1">
        <f t="array" ref="AZ6">INDEX(M_BITS, 1, INDEX(IP_TBL, COLUMNS($B$6:AZ6)))</f>
        <v>1</v>
      </c>
      <c r="BA6" cm="1">
        <f t="array" ref="BA6">INDEX(M_BITS, 1, INDEX(IP_TBL, COLUMNS($B$6:BA6)))</f>
        <v>1</v>
      </c>
      <c r="BB6" cm="1">
        <f t="array" ref="BB6">INDEX(M_BITS, 1, INDEX(IP_TBL, COLUMNS($B$6:BB6)))</f>
        <v>0</v>
      </c>
      <c r="BC6" cm="1">
        <f t="array" ref="BC6">INDEX(M_BITS, 1, INDEX(IP_TBL, COLUMNS($B$6:BC6)))</f>
        <v>0</v>
      </c>
      <c r="BD6" cm="1">
        <f t="array" ref="BD6">INDEX(M_BITS, 1, INDEX(IP_TBL, COLUMNS($B$6:BD6)))</f>
        <v>0</v>
      </c>
      <c r="BE6" cm="1">
        <f t="array" ref="BE6">INDEX(M_BITS, 1, INDEX(IP_TBL, COLUMNS($B$6:BE6)))</f>
        <v>0</v>
      </c>
      <c r="BF6" cm="1">
        <f t="array" ref="BF6">INDEX(M_BITS, 1, INDEX(IP_TBL, COLUMNS($B$6:BF6)))</f>
        <v>1</v>
      </c>
      <c r="BG6" cm="1">
        <f t="array" ref="BG6">INDEX(M_BITS, 1, INDEX(IP_TBL, COLUMNS($B$6:BG6)))</f>
        <v>0</v>
      </c>
      <c r="BH6" cm="1">
        <f t="array" ref="BH6">INDEX(M_BITS, 1, INDEX(IP_TBL, COLUMNS($B$6:BH6)))</f>
        <v>1</v>
      </c>
      <c r="BI6" cm="1">
        <f t="array" ref="BI6">INDEX(M_BITS, 1, INDEX(IP_TBL, COLUMNS($B$6:BI6)))</f>
        <v>0</v>
      </c>
      <c r="BJ6" cm="1">
        <f t="array" ref="BJ6">INDEX(M_BITS, 1, INDEX(IP_TBL, COLUMNS($B$6:BJ6)))</f>
        <v>1</v>
      </c>
      <c r="BK6" cm="1">
        <f t="array" ref="BK6">INDEX(M_BITS, 1, INDEX(IP_TBL, COLUMNS($B$6:BK6)))</f>
        <v>0</v>
      </c>
      <c r="BL6" cm="1">
        <f t="array" ref="BL6">INDEX(M_BITS, 1, INDEX(IP_TBL, COLUMNS($B$6:BL6)))</f>
        <v>1</v>
      </c>
      <c r="BM6" cm="1">
        <f t="array" ref="BM6">INDEX(M_BITS, 1, INDEX(IP_TBL, COLUMNS($B$6:BM6)))</f>
        <v>0</v>
      </c>
    </row>
    <row r="11" spans="1:65" x14ac:dyDescent="0.35">
      <c r="A11" t="s">
        <v>101</v>
      </c>
    </row>
    <row r="12" spans="1:65" x14ac:dyDescent="0.35">
      <c r="A12" t="s">
        <v>102</v>
      </c>
      <c r="B12" cm="1">
        <f t="array" ref="B12">INDEX($AH$6:$BM$6, 1, INDEX(E_TBL, COLUMNS($B$12:B12)))</f>
        <v>0</v>
      </c>
      <c r="C12" cm="1">
        <f t="array" ref="C12">INDEX($AH$6:$BM$6, 1, INDEX(E_TBL, COLUMNS($B$12:C12)))</f>
        <v>1</v>
      </c>
      <c r="D12" cm="1">
        <f t="array" ref="D12">INDEX($AH$6:$BM$6, 1, INDEX(E_TBL, COLUMNS($B$12:D12)))</f>
        <v>1</v>
      </c>
      <c r="E12" cm="1">
        <f t="array" ref="E12">INDEX($AH$6:$BM$6, 1, INDEX(E_TBL, COLUMNS($B$12:E12)))</f>
        <v>1</v>
      </c>
      <c r="F12" cm="1">
        <f t="array" ref="F12">INDEX($AH$6:$BM$6, 1, INDEX(E_TBL, COLUMNS($B$12:F12)))</f>
        <v>0</v>
      </c>
      <c r="G12" cm="1">
        <f t="array" ref="G12">INDEX($AH$6:$BM$6, 1, INDEX(E_TBL, COLUMNS($B$12:G12)))</f>
        <v>0</v>
      </c>
      <c r="H12" cm="1">
        <f t="array" ref="H12">INDEX($AH$6:$BM$6, 1, INDEX(E_TBL, COLUMNS($B$12:H12)))</f>
        <v>0</v>
      </c>
      <c r="I12" cm="1">
        <f t="array" ref="I12">INDEX($AH$6:$BM$6, 1, INDEX(E_TBL, COLUMNS($B$12:I12)))</f>
        <v>0</v>
      </c>
      <c r="J12" cm="1">
        <f t="array" ref="J12">INDEX($AH$6:$BM$6, 1, INDEX(E_TBL, COLUMNS($B$12:J12)))</f>
        <v>0</v>
      </c>
      <c r="K12" cm="1">
        <f t="array" ref="K12">INDEX($AH$6:$BM$6, 1, INDEX(E_TBL, COLUMNS($B$12:K12)))</f>
        <v>0</v>
      </c>
      <c r="L12" cm="1">
        <f t="array" ref="L12">INDEX($AH$6:$BM$6, 1, INDEX(E_TBL, COLUMNS($B$12:L12)))</f>
        <v>0</v>
      </c>
      <c r="M12" cm="1">
        <f t="array" ref="M12">INDEX($AH$6:$BM$6, 1, INDEX(E_TBL, COLUMNS($B$12:M12)))</f>
        <v>0</v>
      </c>
      <c r="N12" cm="1">
        <f t="array" ref="N12">INDEX($AH$6:$BM$6, 1, INDEX(E_TBL, COLUMNS($B$12:N12)))</f>
        <v>0</v>
      </c>
      <c r="O12" cm="1">
        <f t="array" ref="O12">INDEX($AH$6:$BM$6, 1, INDEX(E_TBL, COLUMNS($B$12:O12)))</f>
        <v>0</v>
      </c>
      <c r="P12" cm="1">
        <f t="array" ref="P12">INDEX($AH$6:$BM$6, 1, INDEX(E_TBL, COLUMNS($B$12:P12)))</f>
        <v>1</v>
      </c>
      <c r="Q12" cm="1">
        <f t="array" ref="Q12">INDEX($AH$6:$BM$6, 1, INDEX(E_TBL, COLUMNS($B$12:Q12)))</f>
        <v>0</v>
      </c>
      <c r="R12" cm="1">
        <f t="array" ref="R12">INDEX($AH$6:$BM$6, 1, INDEX(E_TBL, COLUMNS($B$12:R12)))</f>
        <v>1</v>
      </c>
      <c r="S12" cm="1">
        <f t="array" ref="S12">INDEX($AH$6:$BM$6, 1, INDEX(E_TBL, COLUMNS($B$12:S12)))</f>
        <v>0</v>
      </c>
      <c r="T12" cm="1">
        <f t="array" ref="T12">INDEX($AH$6:$BM$6, 1, INDEX(E_TBL, COLUMNS($B$12:T12)))</f>
        <v>1</v>
      </c>
      <c r="U12" cm="1">
        <f t="array" ref="U12">INDEX($AH$6:$BM$6, 1, INDEX(E_TBL, COLUMNS($B$12:U12)))</f>
        <v>0</v>
      </c>
      <c r="V12" cm="1">
        <f t="array" ref="V12">INDEX($AH$6:$BM$6, 1, INDEX(E_TBL, COLUMNS($B$12:V12)))</f>
        <v>1</v>
      </c>
      <c r="W12" cm="1">
        <f t="array" ref="W12">INDEX($AH$6:$BM$6, 1, INDEX(E_TBL, COLUMNS($B$12:W12)))</f>
        <v>0</v>
      </c>
      <c r="X12" cm="1">
        <f t="array" ref="X12">INDEX($AH$6:$BM$6, 1, INDEX(E_TBL, COLUMNS($B$12:X12)))</f>
        <v>0</v>
      </c>
      <c r="Y12" cm="1">
        <f t="array" ref="Y12">INDEX($AH$6:$BM$6, 1, INDEX(E_TBL, COLUMNS($B$12:Y12)))</f>
        <v>1</v>
      </c>
      <c r="Z12" cm="1">
        <f t="array" ref="Z12">INDEX($AH$6:$BM$6, 1, INDEX(E_TBL, COLUMNS($B$12:Z12)))</f>
        <v>0</v>
      </c>
      <c r="AA12" cm="1">
        <f t="array" ref="AA12">INDEX($AH$6:$BM$6, 1, INDEX(E_TBL, COLUMNS($B$12:AA12)))</f>
        <v>1</v>
      </c>
      <c r="AB12" cm="1">
        <f t="array" ref="AB12">INDEX($AH$6:$BM$6, 1, INDEX(E_TBL, COLUMNS($B$12:AB12)))</f>
        <v>1</v>
      </c>
      <c r="AC12" cm="1">
        <f t="array" ref="AC12">INDEX($AH$6:$BM$6, 1, INDEX(E_TBL, COLUMNS($B$12:AC12)))</f>
        <v>1</v>
      </c>
      <c r="AD12" cm="1">
        <f t="array" ref="AD12">INDEX($AH$6:$BM$6, 1, INDEX(E_TBL, COLUMNS($B$12:AD12)))</f>
        <v>1</v>
      </c>
      <c r="AE12" cm="1">
        <f t="array" ref="AE12">INDEX($AH$6:$BM$6, 1, INDEX(E_TBL, COLUMNS($B$12:AE12)))</f>
        <v>0</v>
      </c>
      <c r="AF12" cm="1">
        <f t="array" ref="AF12">INDEX($AH$6:$BM$6, 1, INDEX(E_TBL, COLUMNS($B$12:AF12)))</f>
        <v>1</v>
      </c>
      <c r="AG12" cm="1">
        <f t="array" ref="AG12">INDEX($AH$6:$BM$6, 1, INDEX(E_TBL, COLUMNS($B$12:AG12)))</f>
        <v>0</v>
      </c>
      <c r="AH12" cm="1">
        <f t="array" ref="AH12">INDEX($AH$6:$BM$6, 1, INDEX(E_TBL, COLUMNS($B$12:AH12)))</f>
        <v>0</v>
      </c>
      <c r="AI12" cm="1">
        <f t="array" ref="AI12">INDEX($AH$6:$BM$6, 1, INDEX(E_TBL, COLUMNS($B$12:AI12)))</f>
        <v>0</v>
      </c>
      <c r="AJ12" cm="1">
        <f t="array" ref="AJ12">INDEX($AH$6:$BM$6, 1, INDEX(E_TBL, COLUMNS($B$12:AJ12)))</f>
        <v>0</v>
      </c>
      <c r="AK12" cm="1">
        <f t="array" ref="AK12">INDEX($AH$6:$BM$6, 1, INDEX(E_TBL, COLUMNS($B$12:AK12)))</f>
        <v>1</v>
      </c>
      <c r="AL12" cm="1">
        <f t="array" ref="AL12">INDEX($AH$6:$BM$6, 1, INDEX(E_TBL, COLUMNS($B$12:AL12)))</f>
        <v>0</v>
      </c>
      <c r="AM12" cm="1">
        <f t="array" ref="AM12">INDEX($AH$6:$BM$6, 1, INDEX(E_TBL, COLUMNS($B$12:AM12)))</f>
        <v>1</v>
      </c>
      <c r="AN12" cm="1">
        <f t="array" ref="AN12">INDEX($AH$6:$BM$6, 1, INDEX(E_TBL, COLUMNS($B$12:AN12)))</f>
        <v>0</v>
      </c>
      <c r="AO12" cm="1">
        <f t="array" ref="AO12">INDEX($AH$6:$BM$6, 1, INDEX(E_TBL, COLUMNS($B$12:AO12)))</f>
        <v>1</v>
      </c>
      <c r="AP12" cm="1">
        <f t="array" ref="AP12">INDEX($AH$6:$BM$6, 1, INDEX(E_TBL, COLUMNS($B$12:AP12)))</f>
        <v>0</v>
      </c>
      <c r="AQ12" cm="1">
        <f t="array" ref="AQ12">INDEX($AH$6:$BM$6, 1, INDEX(E_TBL, COLUMNS($B$12:AQ12)))</f>
        <v>1</v>
      </c>
      <c r="AR12" cm="1">
        <f t="array" ref="AR12">INDEX($AH$6:$BM$6, 1, INDEX(E_TBL, COLUMNS($B$12:AR12)))</f>
        <v>0</v>
      </c>
      <c r="AS12" cm="1">
        <f t="array" ref="AS12">INDEX($AH$6:$BM$6, 1, INDEX(E_TBL, COLUMNS($B$12:AS12)))</f>
        <v>1</v>
      </c>
      <c r="AT12" cm="1">
        <f t="array" ref="AT12">INDEX($AH$6:$BM$6, 1, INDEX(E_TBL, COLUMNS($B$12:AT12)))</f>
        <v>0</v>
      </c>
      <c r="AU12" cm="1">
        <f t="array" ref="AU12">INDEX($AH$6:$BM$6, 1, INDEX(E_TBL, COLUMNS($B$12:AU12)))</f>
        <v>1</v>
      </c>
      <c r="AV12" cm="1">
        <f t="array" ref="AV12">INDEX($AH$6:$BM$6, 1, INDEX(E_TBL, COLUMNS($B$12:AV12)))</f>
        <v>0</v>
      </c>
      <c r="AW12" cm="1">
        <f t="array" ref="AW12">INDEX($AH$6:$BM$6, 1, INDEX(E_TBL, COLUMNS($B$12:AW12)))</f>
        <v>1</v>
      </c>
    </row>
    <row r="13" spans="1:65" x14ac:dyDescent="0.35">
      <c r="A13" t="s">
        <v>103</v>
      </c>
      <c r="B13">
        <f>MOD(B12 + Key!B14, 2)</f>
        <v>0</v>
      </c>
      <c r="C13">
        <f>MOD(C12 + Key!C14, 2)</f>
        <v>1</v>
      </c>
      <c r="D13">
        <f>MOD(D12 + Key!D14, 2)</f>
        <v>1</v>
      </c>
      <c r="E13">
        <f>MOD(E12 + Key!E14, 2)</f>
        <v>0</v>
      </c>
      <c r="F13">
        <f>MOD(F12 + Key!F14, 2)</f>
        <v>1</v>
      </c>
      <c r="G13">
        <f>MOD(G12 + Key!G14, 2)</f>
        <v>0</v>
      </c>
      <c r="H13">
        <f>MOD(H12 + Key!H14, 2)</f>
        <v>1</v>
      </c>
      <c r="I13">
        <f>MOD(I12 + Key!I14, 2)</f>
        <v>1</v>
      </c>
      <c r="J13">
        <f>MOD(J12 + Key!J14, 2)</f>
        <v>0</v>
      </c>
      <c r="K13">
        <f>MOD(K12 + Key!K14, 2)</f>
        <v>0</v>
      </c>
      <c r="L13">
        <f>MOD(L12 + Key!L14, 2)</f>
        <v>0</v>
      </c>
      <c r="M13">
        <f>MOD(M12 + Key!M14, 2)</f>
        <v>0</v>
      </c>
      <c r="N13">
        <f>MOD(N12 + Key!N14, 2)</f>
        <v>0</v>
      </c>
      <c r="O13">
        <f>MOD(O12 + Key!O14, 2)</f>
        <v>0</v>
      </c>
      <c r="P13">
        <f>MOD(P12 + Key!P14, 2)</f>
        <v>0</v>
      </c>
      <c r="Q13">
        <f>MOD(Q12 + Key!Q14, 2)</f>
        <v>0</v>
      </c>
      <c r="R13">
        <f>MOD(R12 + Key!R14, 2)</f>
        <v>0</v>
      </c>
      <c r="S13">
        <f>MOD(S12 + Key!S14, 2)</f>
        <v>1</v>
      </c>
      <c r="T13">
        <f>MOD(T12 + Key!T14, 2)</f>
        <v>0</v>
      </c>
      <c r="U13">
        <f>MOD(U12 + Key!U14, 2)</f>
        <v>0</v>
      </c>
      <c r="V13">
        <f>MOD(V12 + Key!V14, 2)</f>
        <v>0</v>
      </c>
      <c r="W13">
        <f>MOD(W12 + Key!W14, 2)</f>
        <v>1</v>
      </c>
      <c r="X13">
        <f>MOD(X12 + Key!X14, 2)</f>
        <v>1</v>
      </c>
      <c r="Y13">
        <f>MOD(Y12 + Key!Y14, 2)</f>
        <v>0</v>
      </c>
      <c r="Z13">
        <f>MOD(Z12 + Key!Z14, 2)</f>
        <v>1</v>
      </c>
      <c r="AA13">
        <f>MOD(AA12 + Key!AA14, 2)</f>
        <v>0</v>
      </c>
      <c r="AB13">
        <f>MOD(AB12 + Key!AB14, 2)</f>
        <v>1</v>
      </c>
      <c r="AC13">
        <f>MOD(AC12 + Key!AC14, 2)</f>
        <v>0</v>
      </c>
      <c r="AD13">
        <f>MOD(AD12 + Key!AD14, 2)</f>
        <v>0</v>
      </c>
      <c r="AE13">
        <f>MOD(AE12 + Key!AE14, 2)</f>
        <v>0</v>
      </c>
      <c r="AF13">
        <f>MOD(AF12 + Key!AF14, 2)</f>
        <v>0</v>
      </c>
      <c r="AG13">
        <f>MOD(AG12 + Key!AG14, 2)</f>
        <v>1</v>
      </c>
      <c r="AH13">
        <f>MOD(AH12 + Key!AH14, 2)</f>
        <v>0</v>
      </c>
      <c r="AI13">
        <f>MOD(AI12 + Key!AI14, 2)</f>
        <v>1</v>
      </c>
      <c r="AJ13">
        <f>MOD(AJ12 + Key!AJ14, 2)</f>
        <v>0</v>
      </c>
      <c r="AK13">
        <f>MOD(AK12 + Key!AK14, 2)</f>
        <v>1</v>
      </c>
      <c r="AL13">
        <f>MOD(AL12 + Key!AL14, 2)</f>
        <v>1</v>
      </c>
      <c r="AM13">
        <f>MOD(AM12 + Key!AM14, 2)</f>
        <v>1</v>
      </c>
      <c r="AN13">
        <f>MOD(AN12 + Key!AN14, 2)</f>
        <v>0</v>
      </c>
      <c r="AO13">
        <f>MOD(AO12 + Key!AO14, 2)</f>
        <v>0</v>
      </c>
      <c r="AP13">
        <f>MOD(AP12 + Key!AP14, 2)</f>
        <v>1</v>
      </c>
      <c r="AQ13">
        <f>MOD(AQ12 + Key!AQ14, 2)</f>
        <v>1</v>
      </c>
      <c r="AR13">
        <f>MOD(AR12 + Key!AR14, 2)</f>
        <v>1</v>
      </c>
      <c r="AS13">
        <f>MOD(AS12 + Key!AS14, 2)</f>
        <v>1</v>
      </c>
      <c r="AT13">
        <f>MOD(AT12 + Key!AT14, 2)</f>
        <v>0</v>
      </c>
      <c r="AU13">
        <f>MOD(AU12 + Key!AU14, 2)</f>
        <v>0</v>
      </c>
      <c r="AV13">
        <f>MOD(AV12 + Key!AV14, 2)</f>
        <v>0</v>
      </c>
      <c r="AW13">
        <f>MOD(AW12 + Key!AW14, 2)</f>
        <v>0</v>
      </c>
    </row>
    <row r="14" spans="1:65" x14ac:dyDescent="0.35">
      <c r="B14" t="s">
        <v>14</v>
      </c>
      <c r="H14" t="s">
        <v>15</v>
      </c>
      <c r="N14" t="s">
        <v>16</v>
      </c>
      <c r="T14" t="s">
        <v>17</v>
      </c>
      <c r="Z14" t="s">
        <v>18</v>
      </c>
      <c r="AF14" t="s">
        <v>19</v>
      </c>
      <c r="AL14" t="s">
        <v>20</v>
      </c>
      <c r="AR14" t="s">
        <v>21</v>
      </c>
    </row>
    <row r="15" spans="1:65" x14ac:dyDescent="0.35">
      <c r="B15">
        <v>1001</v>
      </c>
      <c r="H15" s="1" t="s">
        <v>104</v>
      </c>
      <c r="N15">
        <v>1101</v>
      </c>
      <c r="T15" s="1" t="s">
        <v>106</v>
      </c>
      <c r="Z15">
        <v>1010</v>
      </c>
      <c r="AF15">
        <v>1101</v>
      </c>
      <c r="AL15" s="1" t="s">
        <v>104</v>
      </c>
      <c r="AR15" s="1" t="s">
        <v>105</v>
      </c>
    </row>
    <row r="16" spans="1:65" x14ac:dyDescent="0.35">
      <c r="A16" t="s">
        <v>107</v>
      </c>
      <c r="B16">
        <v>1001</v>
      </c>
      <c r="C16" s="1" t="s">
        <v>108</v>
      </c>
      <c r="D16" s="1" t="s">
        <v>109</v>
      </c>
      <c r="E16" s="1" t="s">
        <v>110</v>
      </c>
      <c r="F16" s="1" t="s">
        <v>111</v>
      </c>
      <c r="G16" s="1" t="s">
        <v>110</v>
      </c>
      <c r="H16" s="1" t="s">
        <v>112</v>
      </c>
      <c r="I16" s="1" t="s">
        <v>113</v>
      </c>
    </row>
    <row r="17" spans="1:49" x14ac:dyDescent="0.35">
      <c r="A17" t="s">
        <v>114</v>
      </c>
      <c r="B17" s="1" t="s">
        <v>105</v>
      </c>
      <c r="C17" s="1" t="s">
        <v>115</v>
      </c>
      <c r="D17" s="1" t="s">
        <v>116</v>
      </c>
      <c r="E17" s="1" t="s">
        <v>115</v>
      </c>
      <c r="F17" s="1" t="s">
        <v>113</v>
      </c>
      <c r="G17" s="1" t="s">
        <v>109</v>
      </c>
      <c r="H17" s="1" t="s">
        <v>112</v>
      </c>
      <c r="I17" s="1" t="s">
        <v>113</v>
      </c>
    </row>
    <row r="19" spans="1:49" x14ac:dyDescent="0.35">
      <c r="A19" t="s">
        <v>117</v>
      </c>
    </row>
    <row r="20" spans="1:49" x14ac:dyDescent="0.35">
      <c r="A20" t="s">
        <v>118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1</v>
      </c>
      <c r="J20">
        <v>1</v>
      </c>
      <c r="K20">
        <v>1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1</v>
      </c>
      <c r="T20">
        <v>0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0</v>
      </c>
      <c r="AC20">
        <v>1</v>
      </c>
      <c r="AD20">
        <v>0</v>
      </c>
      <c r="AE20">
        <v>1</v>
      </c>
      <c r="AF20">
        <v>0</v>
      </c>
      <c r="AG20">
        <v>1</v>
      </c>
      <c r="AH20">
        <v>1</v>
      </c>
      <c r="AI20">
        <v>0</v>
      </c>
      <c r="AJ20">
        <v>1</v>
      </c>
      <c r="AK20">
        <v>1</v>
      </c>
      <c r="AL20">
        <v>1</v>
      </c>
      <c r="AM20">
        <v>1</v>
      </c>
      <c r="AN20">
        <v>0</v>
      </c>
      <c r="AO20">
        <v>0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1</v>
      </c>
      <c r="AV20">
        <v>0</v>
      </c>
      <c r="AW20">
        <v>0</v>
      </c>
    </row>
    <row r="21" spans="1:49" x14ac:dyDescent="0.35">
      <c r="A21" t="s">
        <v>119</v>
      </c>
      <c r="B21">
        <f>MOD(B20 + Key!B19, 2)</f>
        <v>0</v>
      </c>
      <c r="C21">
        <f>MOD(C20 + Key!C19, 2)</f>
        <v>1</v>
      </c>
      <c r="D21">
        <f>MOD(D20 + Key!D19, 2)</f>
        <v>1</v>
      </c>
      <c r="E21">
        <f>MOD(E20 + Key!E19, 2)</f>
        <v>0</v>
      </c>
      <c r="F21">
        <f>MOD(F20 + Key!F19, 2)</f>
        <v>1</v>
      </c>
      <c r="G21">
        <f>MOD(G20 + Key!G19, 2)</f>
        <v>1</v>
      </c>
      <c r="H21">
        <f>MOD(H20 + Key!H19, 2)</f>
        <v>0</v>
      </c>
      <c r="I21">
        <f>MOD(I20 + Key!I19, 2)</f>
        <v>0</v>
      </c>
      <c r="J21">
        <f>MOD(J20 + Key!J19, 2)</f>
        <v>0</v>
      </c>
      <c r="K21">
        <f>MOD(K20 + Key!K19, 2)</f>
        <v>1</v>
      </c>
      <c r="L21">
        <f>MOD(L20 + Key!L19, 2)</f>
        <v>0</v>
      </c>
      <c r="M21">
        <f>MOD(M20 + Key!M19, 2)</f>
        <v>0</v>
      </c>
      <c r="N21">
        <f>MOD(N20 + Key!N19, 2)</f>
        <v>0</v>
      </c>
      <c r="O21">
        <f>MOD(O20 + Key!O19, 2)</f>
        <v>1</v>
      </c>
      <c r="P21">
        <f>MOD(P20 + Key!P19, 2)</f>
        <v>1</v>
      </c>
      <c r="Q21">
        <f>MOD(Q20 + Key!Q19, 2)</f>
        <v>1</v>
      </c>
      <c r="R21">
        <f>MOD(R20 + Key!R19, 2)</f>
        <v>1</v>
      </c>
      <c r="S21">
        <f>MOD(S20 + Key!S19, 2)</f>
        <v>0</v>
      </c>
      <c r="T21">
        <f>MOD(T20 + Key!T19, 2)</f>
        <v>0</v>
      </c>
      <c r="U21">
        <f>MOD(U20 + Key!U19, 2)</f>
        <v>0</v>
      </c>
      <c r="V21">
        <f>MOD(V20 + Key!V19, 2)</f>
        <v>0</v>
      </c>
      <c r="W21">
        <f>MOD(W20 + Key!W19, 2)</f>
        <v>1</v>
      </c>
      <c r="X21">
        <f>MOD(X20 + Key!X19, 2)</f>
        <v>1</v>
      </c>
      <c r="Y21">
        <f>MOD(Y20 + Key!Y19, 2)</f>
        <v>0</v>
      </c>
      <c r="Z21">
        <f>MOD(Z20 + Key!Z19, 2)</f>
        <v>1</v>
      </c>
      <c r="AA21">
        <f>MOD(AA20 + Key!AA19, 2)</f>
        <v>1</v>
      </c>
      <c r="AB21">
        <f>MOD(AB20 + Key!AB19, 2)</f>
        <v>1</v>
      </c>
      <c r="AC21">
        <f>MOD(AC20 + Key!AC19, 2)</f>
        <v>1</v>
      </c>
      <c r="AD21">
        <f>MOD(AD20 + Key!AD19, 2)</f>
        <v>0</v>
      </c>
      <c r="AE21">
        <f>MOD(AE20 + Key!AE19, 2)</f>
        <v>0</v>
      </c>
      <c r="AF21">
        <f>MOD(AF20 + Key!AF19, 2)</f>
        <v>0</v>
      </c>
      <c r="AG21">
        <f>MOD(AG20 + Key!AG19, 2)</f>
        <v>0</v>
      </c>
      <c r="AH21">
        <f>MOD(AH20 + Key!AH19, 2)</f>
        <v>0</v>
      </c>
      <c r="AI21">
        <f>MOD(AI20 + Key!AI19, 2)</f>
        <v>1</v>
      </c>
      <c r="AJ21">
        <f>MOD(AJ20 + Key!AJ19, 2)</f>
        <v>0</v>
      </c>
      <c r="AK21">
        <f>MOD(AK20 + Key!AK19, 2)</f>
        <v>1</v>
      </c>
      <c r="AL21">
        <f>MOD(AL20 + Key!AL19, 2)</f>
        <v>0</v>
      </c>
      <c r="AM21">
        <f>MOD(AM20 + Key!AM19, 2)</f>
        <v>1</v>
      </c>
      <c r="AN21">
        <f>MOD(AN20 + Key!AN19, 2)</f>
        <v>1</v>
      </c>
      <c r="AO21">
        <f>MOD(AO20 + Key!AO19, 2)</f>
        <v>0</v>
      </c>
      <c r="AP21">
        <f>MOD(AP20 + Key!AP19, 2)</f>
        <v>1</v>
      </c>
      <c r="AQ21">
        <f>MOD(AQ20 + Key!AQ19, 2)</f>
        <v>0</v>
      </c>
      <c r="AR21">
        <f>MOD(AR20 + Key!AR19, 2)</f>
        <v>0</v>
      </c>
      <c r="AS21">
        <f>MOD(AS20 + Key!AS19, 2)</f>
        <v>1</v>
      </c>
      <c r="AT21">
        <f>MOD(AT20 + Key!AT19, 2)</f>
        <v>0</v>
      </c>
      <c r="AU21">
        <f>MOD(AU20 + Key!AU19, 2)</f>
        <v>0</v>
      </c>
      <c r="AV21">
        <f>MOD(AV20 + Key!AV19, 2)</f>
        <v>1</v>
      </c>
      <c r="AW21">
        <f>MOD(AW20 + Key!AW19, 2)</f>
        <v>0</v>
      </c>
    </row>
    <row r="22" spans="1:49" x14ac:dyDescent="0.35">
      <c r="A22" t="s">
        <v>107</v>
      </c>
      <c r="B22" s="1" t="s">
        <v>104</v>
      </c>
      <c r="C22" s="1" t="s">
        <v>120</v>
      </c>
      <c r="D22" s="1" t="s">
        <v>120</v>
      </c>
      <c r="E22" s="1" t="s">
        <v>106</v>
      </c>
      <c r="F22" s="1" t="s">
        <v>105</v>
      </c>
      <c r="G22" s="1" t="s">
        <v>121</v>
      </c>
      <c r="H22" s="1" t="s">
        <v>104</v>
      </c>
      <c r="I22">
        <v>1001</v>
      </c>
    </row>
    <row r="23" spans="1:49" x14ac:dyDescent="0.35">
      <c r="A23" t="s">
        <v>122</v>
      </c>
      <c r="B23" s="1" t="s">
        <v>111</v>
      </c>
      <c r="C23" s="1" t="s">
        <v>120</v>
      </c>
      <c r="D23" s="1" t="s">
        <v>110</v>
      </c>
      <c r="E23" s="1" t="s">
        <v>123</v>
      </c>
      <c r="F23" s="1" t="s">
        <v>108</v>
      </c>
      <c r="G23" s="1" t="s">
        <v>109</v>
      </c>
      <c r="H23" s="1" t="s">
        <v>113</v>
      </c>
      <c r="I23" s="1" t="s">
        <v>110</v>
      </c>
    </row>
    <row r="25" spans="1:49" x14ac:dyDescent="0.35">
      <c r="A25" t="s">
        <v>124</v>
      </c>
    </row>
    <row r="26" spans="1:49" x14ac:dyDescent="0.35">
      <c r="A26" t="s">
        <v>126</v>
      </c>
      <c r="B26" s="1" t="s">
        <v>127</v>
      </c>
      <c r="C26" s="1" t="s">
        <v>104</v>
      </c>
      <c r="D26" s="1" t="s">
        <v>105</v>
      </c>
      <c r="E26" s="1" t="s">
        <v>105</v>
      </c>
      <c r="F26">
        <v>1111</v>
      </c>
      <c r="G26" s="1" t="s">
        <v>120</v>
      </c>
      <c r="H26" s="1" t="s">
        <v>106</v>
      </c>
      <c r="I26" s="1" t="s">
        <v>115</v>
      </c>
      <c r="J26" s="1" t="s">
        <v>127</v>
      </c>
      <c r="K26" s="1" t="s">
        <v>109</v>
      </c>
      <c r="L26" s="1" t="s">
        <v>105</v>
      </c>
      <c r="M26" s="1" t="s">
        <v>116</v>
      </c>
    </row>
    <row r="27" spans="1:49" x14ac:dyDescent="0.35">
      <c r="A27" t="s">
        <v>119</v>
      </c>
      <c r="B27">
        <v>1110</v>
      </c>
      <c r="C27" s="1" t="s">
        <v>105</v>
      </c>
      <c r="D27" s="1" t="s">
        <v>115</v>
      </c>
      <c r="E27" s="1" t="s">
        <v>123</v>
      </c>
      <c r="F27" s="1" t="s">
        <v>108</v>
      </c>
      <c r="G27" s="1" t="s">
        <v>116</v>
      </c>
      <c r="H27" s="1" t="s">
        <v>120</v>
      </c>
      <c r="I27" s="1" t="s">
        <v>127</v>
      </c>
      <c r="J27" s="1" t="s">
        <v>110</v>
      </c>
      <c r="K27" s="1" t="s">
        <v>110</v>
      </c>
      <c r="L27" s="1" t="s">
        <v>109</v>
      </c>
      <c r="M27" s="1" t="s">
        <v>105</v>
      </c>
    </row>
    <row r="28" spans="1:49" x14ac:dyDescent="0.35">
      <c r="A28" t="s">
        <v>107</v>
      </c>
      <c r="B28">
        <v>1101</v>
      </c>
      <c r="C28" s="1" t="s">
        <v>113</v>
      </c>
      <c r="D28" s="1" t="s">
        <v>106</v>
      </c>
      <c r="E28" s="1" t="s">
        <v>127</v>
      </c>
      <c r="F28" s="1" t="s">
        <v>116</v>
      </c>
      <c r="G28" s="1" t="s">
        <v>111</v>
      </c>
      <c r="H28" s="1" t="s">
        <v>112</v>
      </c>
      <c r="I28" s="1" t="s">
        <v>116</v>
      </c>
    </row>
    <row r="29" spans="1:49" x14ac:dyDescent="0.35">
      <c r="A29" t="s">
        <v>128</v>
      </c>
      <c r="B29">
        <v>1101</v>
      </c>
      <c r="C29" s="1" t="s">
        <v>104</v>
      </c>
      <c r="D29" s="1" t="s">
        <v>110</v>
      </c>
      <c r="E29" s="1" t="s">
        <v>121</v>
      </c>
      <c r="F29" s="1" t="s">
        <v>120</v>
      </c>
      <c r="G29" s="1" t="s">
        <v>127</v>
      </c>
      <c r="H29" s="1" t="s">
        <v>105</v>
      </c>
      <c r="I29" s="1" t="s">
        <v>120</v>
      </c>
    </row>
    <row r="31" spans="1:49" x14ac:dyDescent="0.35">
      <c r="A31" t="s">
        <v>125</v>
      </c>
    </row>
    <row r="32" spans="1:49" x14ac:dyDescent="0.35">
      <c r="A32" t="s">
        <v>129</v>
      </c>
      <c r="B32" t="s">
        <v>155</v>
      </c>
    </row>
    <row r="33" spans="1:2" x14ac:dyDescent="0.35">
      <c r="A33" t="s">
        <v>119</v>
      </c>
      <c r="B33" t="s">
        <v>156</v>
      </c>
    </row>
    <row r="34" spans="1:2" x14ac:dyDescent="0.35">
      <c r="A34" t="s">
        <v>107</v>
      </c>
      <c r="B34" t="s">
        <v>157</v>
      </c>
    </row>
    <row r="35" spans="1:2" x14ac:dyDescent="0.35">
      <c r="A35" t="s">
        <v>130</v>
      </c>
      <c r="B35" t="s">
        <v>158</v>
      </c>
    </row>
    <row r="37" spans="1:2" x14ac:dyDescent="0.35">
      <c r="A37" t="s">
        <v>131</v>
      </c>
    </row>
    <row r="38" spans="1:2" x14ac:dyDescent="0.35">
      <c r="A38" t="s">
        <v>132</v>
      </c>
      <c r="B38" t="s">
        <v>159</v>
      </c>
    </row>
    <row r="39" spans="1:2" x14ac:dyDescent="0.35">
      <c r="A39" t="s">
        <v>119</v>
      </c>
      <c r="B39" t="s">
        <v>160</v>
      </c>
    </row>
    <row r="40" spans="1:2" x14ac:dyDescent="0.35">
      <c r="A40" t="s">
        <v>107</v>
      </c>
      <c r="B40" t="s">
        <v>161</v>
      </c>
    </row>
    <row r="41" spans="1:2" x14ac:dyDescent="0.35">
      <c r="A41" t="s">
        <v>133</v>
      </c>
      <c r="B41" s="1" t="s">
        <v>162</v>
      </c>
    </row>
    <row r="43" spans="1:2" x14ac:dyDescent="0.35">
      <c r="A43" t="s">
        <v>46</v>
      </c>
    </row>
    <row r="44" spans="1:2" x14ac:dyDescent="0.35">
      <c r="A44" t="s">
        <v>134</v>
      </c>
      <c r="B44" t="s">
        <v>163</v>
      </c>
    </row>
    <row r="45" spans="1:2" x14ac:dyDescent="0.35">
      <c r="A45" t="s">
        <v>119</v>
      </c>
      <c r="B45" t="s">
        <v>164</v>
      </c>
    </row>
    <row r="46" spans="1:2" x14ac:dyDescent="0.35">
      <c r="A46" t="s">
        <v>107</v>
      </c>
      <c r="B46" t="s">
        <v>165</v>
      </c>
    </row>
    <row r="47" spans="1:2" x14ac:dyDescent="0.35">
      <c r="A47" t="s">
        <v>135</v>
      </c>
      <c r="B47" t="s">
        <v>166</v>
      </c>
    </row>
    <row r="49" spans="1:2" x14ac:dyDescent="0.35">
      <c r="A49" t="s">
        <v>51</v>
      </c>
    </row>
    <row r="50" spans="1:2" x14ac:dyDescent="0.35">
      <c r="A50" t="s">
        <v>136</v>
      </c>
      <c r="B50" t="s">
        <v>167</v>
      </c>
    </row>
    <row r="51" spans="1:2" x14ac:dyDescent="0.35">
      <c r="A51" t="s">
        <v>119</v>
      </c>
      <c r="B51" t="s">
        <v>168</v>
      </c>
    </row>
    <row r="52" spans="1:2" x14ac:dyDescent="0.35">
      <c r="A52" t="s">
        <v>107</v>
      </c>
      <c r="B52" t="s">
        <v>169</v>
      </c>
    </row>
    <row r="53" spans="1:2" x14ac:dyDescent="0.35">
      <c r="A53" t="s">
        <v>137</v>
      </c>
      <c r="B53" t="s">
        <v>170</v>
      </c>
    </row>
    <row r="55" spans="1:2" x14ac:dyDescent="0.35">
      <c r="A55" t="s">
        <v>55</v>
      </c>
    </row>
    <row r="56" spans="1:2" x14ac:dyDescent="0.35">
      <c r="A56" t="s">
        <v>138</v>
      </c>
      <c r="B56" t="s">
        <v>171</v>
      </c>
    </row>
    <row r="57" spans="1:2" x14ac:dyDescent="0.35">
      <c r="A57" t="s">
        <v>119</v>
      </c>
      <c r="B57" t="s">
        <v>172</v>
      </c>
    </row>
    <row r="58" spans="1:2" x14ac:dyDescent="0.35">
      <c r="A58" t="s">
        <v>107</v>
      </c>
      <c r="B58" t="s">
        <v>173</v>
      </c>
    </row>
    <row r="59" spans="1:2" x14ac:dyDescent="0.35">
      <c r="A59" t="s">
        <v>139</v>
      </c>
      <c r="B59" t="s">
        <v>174</v>
      </c>
    </row>
    <row r="61" spans="1:2" x14ac:dyDescent="0.35">
      <c r="A61" t="s">
        <v>61</v>
      </c>
    </row>
    <row r="62" spans="1:2" x14ac:dyDescent="0.35">
      <c r="A62" t="s">
        <v>140</v>
      </c>
      <c r="B62" t="s">
        <v>175</v>
      </c>
    </row>
    <row r="63" spans="1:2" x14ac:dyDescent="0.35">
      <c r="A63" t="s">
        <v>119</v>
      </c>
      <c r="B63" t="s">
        <v>176</v>
      </c>
    </row>
    <row r="64" spans="1:2" x14ac:dyDescent="0.35">
      <c r="A64" t="s">
        <v>107</v>
      </c>
      <c r="B64" t="s">
        <v>177</v>
      </c>
    </row>
    <row r="65" spans="1:2" x14ac:dyDescent="0.35">
      <c r="A65" t="s">
        <v>141</v>
      </c>
      <c r="B65" t="s">
        <v>178</v>
      </c>
    </row>
    <row r="67" spans="1:2" x14ac:dyDescent="0.35">
      <c r="A67" t="s">
        <v>65</v>
      </c>
    </row>
    <row r="68" spans="1:2" x14ac:dyDescent="0.35">
      <c r="A68" t="s">
        <v>142</v>
      </c>
      <c r="B68" t="s">
        <v>179</v>
      </c>
    </row>
    <row r="69" spans="1:2" x14ac:dyDescent="0.35">
      <c r="A69" t="s">
        <v>119</v>
      </c>
      <c r="B69" t="s">
        <v>180</v>
      </c>
    </row>
    <row r="70" spans="1:2" x14ac:dyDescent="0.35">
      <c r="A70" t="s">
        <v>107</v>
      </c>
      <c r="B70" t="s">
        <v>181</v>
      </c>
    </row>
    <row r="71" spans="1:2" x14ac:dyDescent="0.35">
      <c r="A71" t="s">
        <v>143</v>
      </c>
      <c r="B71" t="s">
        <v>182</v>
      </c>
    </row>
    <row r="73" spans="1:2" x14ac:dyDescent="0.35">
      <c r="A73" t="s">
        <v>70</v>
      </c>
    </row>
    <row r="74" spans="1:2" x14ac:dyDescent="0.35">
      <c r="A74" t="s">
        <v>144</v>
      </c>
      <c r="B74" t="s">
        <v>183</v>
      </c>
    </row>
    <row r="75" spans="1:2" x14ac:dyDescent="0.35">
      <c r="A75" t="s">
        <v>119</v>
      </c>
      <c r="B75" t="s">
        <v>184</v>
      </c>
    </row>
    <row r="76" spans="1:2" x14ac:dyDescent="0.35">
      <c r="A76" t="s">
        <v>107</v>
      </c>
      <c r="B76" t="s">
        <v>185</v>
      </c>
    </row>
    <row r="77" spans="1:2" x14ac:dyDescent="0.35">
      <c r="A77" t="s">
        <v>145</v>
      </c>
      <c r="B77" t="s">
        <v>186</v>
      </c>
    </row>
    <row r="80" spans="1:2" x14ac:dyDescent="0.35">
      <c r="A80" t="s">
        <v>75</v>
      </c>
    </row>
    <row r="81" spans="1:2" x14ac:dyDescent="0.35">
      <c r="A81" t="s">
        <v>146</v>
      </c>
      <c r="B81" t="s">
        <v>187</v>
      </c>
    </row>
    <row r="82" spans="1:2" x14ac:dyDescent="0.35">
      <c r="A82" t="s">
        <v>119</v>
      </c>
      <c r="B82" t="s">
        <v>188</v>
      </c>
    </row>
    <row r="83" spans="1:2" x14ac:dyDescent="0.35">
      <c r="A83" t="s">
        <v>107</v>
      </c>
      <c r="B83" t="s">
        <v>189</v>
      </c>
    </row>
    <row r="84" spans="1:2" x14ac:dyDescent="0.35">
      <c r="A84" t="s">
        <v>147</v>
      </c>
      <c r="B84" t="s">
        <v>190</v>
      </c>
    </row>
    <row r="86" spans="1:2" x14ac:dyDescent="0.35">
      <c r="A86" t="s">
        <v>79</v>
      </c>
    </row>
    <row r="87" spans="1:2" x14ac:dyDescent="0.35">
      <c r="A87" t="s">
        <v>148</v>
      </c>
      <c r="B87" t="s">
        <v>191</v>
      </c>
    </row>
    <row r="88" spans="1:2" x14ac:dyDescent="0.35">
      <c r="A88" t="s">
        <v>119</v>
      </c>
      <c r="B88" t="s">
        <v>192</v>
      </c>
    </row>
    <row r="89" spans="1:2" x14ac:dyDescent="0.35">
      <c r="A89" t="s">
        <v>107</v>
      </c>
      <c r="B89" t="s">
        <v>193</v>
      </c>
    </row>
    <row r="90" spans="1:2" x14ac:dyDescent="0.35">
      <c r="A90" t="s">
        <v>149</v>
      </c>
      <c r="B90" t="s">
        <v>194</v>
      </c>
    </row>
    <row r="92" spans="1:2" x14ac:dyDescent="0.35">
      <c r="A92" t="s">
        <v>83</v>
      </c>
    </row>
    <row r="93" spans="1:2" x14ac:dyDescent="0.35">
      <c r="A93" t="s">
        <v>148</v>
      </c>
      <c r="B93" t="s">
        <v>195</v>
      </c>
    </row>
    <row r="94" spans="1:2" x14ac:dyDescent="0.35">
      <c r="A94" t="s">
        <v>119</v>
      </c>
      <c r="B94" t="s">
        <v>196</v>
      </c>
    </row>
    <row r="95" spans="1:2" x14ac:dyDescent="0.35">
      <c r="A95" t="s">
        <v>107</v>
      </c>
      <c r="B95" t="s">
        <v>197</v>
      </c>
    </row>
    <row r="96" spans="1:2" x14ac:dyDescent="0.35">
      <c r="A96" t="s">
        <v>150</v>
      </c>
      <c r="B96" t="s">
        <v>198</v>
      </c>
    </row>
    <row r="98" spans="1:2" x14ac:dyDescent="0.35">
      <c r="A98" t="s">
        <v>89</v>
      </c>
    </row>
    <row r="99" spans="1:2" x14ac:dyDescent="0.35">
      <c r="A99" t="s">
        <v>153</v>
      </c>
      <c r="B99" t="s">
        <v>199</v>
      </c>
    </row>
    <row r="100" spans="1:2" x14ac:dyDescent="0.35">
      <c r="A100" t="s">
        <v>119</v>
      </c>
      <c r="B100" t="s">
        <v>200</v>
      </c>
    </row>
    <row r="101" spans="1:2" x14ac:dyDescent="0.35">
      <c r="A101" t="s">
        <v>107</v>
      </c>
      <c r="B101" t="s">
        <v>201</v>
      </c>
    </row>
    <row r="102" spans="1:2" x14ac:dyDescent="0.35">
      <c r="A102" t="s">
        <v>152</v>
      </c>
      <c r="B102" t="s">
        <v>202</v>
      </c>
    </row>
    <row r="104" spans="1:2" x14ac:dyDescent="0.35">
      <c r="A104" t="s">
        <v>90</v>
      </c>
    </row>
    <row r="105" spans="1:2" x14ac:dyDescent="0.35">
      <c r="A105" t="s">
        <v>151</v>
      </c>
      <c r="B105" t="s">
        <v>203</v>
      </c>
    </row>
    <row r="106" spans="1:2" x14ac:dyDescent="0.35">
      <c r="A106" t="s">
        <v>119</v>
      </c>
      <c r="B106" t="s">
        <v>204</v>
      </c>
    </row>
    <row r="107" spans="1:2" x14ac:dyDescent="0.35">
      <c r="A107" t="s">
        <v>107</v>
      </c>
      <c r="B107" t="s">
        <v>205</v>
      </c>
    </row>
    <row r="108" spans="1:2" x14ac:dyDescent="0.35">
      <c r="A108" t="s">
        <v>154</v>
      </c>
      <c r="B108" t="s">
        <v>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E8638-AEAA-4273-B397-2254900FDC82}">
  <dimension ref="B4:BN8"/>
  <sheetViews>
    <sheetView workbookViewId="0">
      <selection activeCell="Q9" sqref="Q9"/>
    </sheetView>
  </sheetViews>
  <sheetFormatPr defaultRowHeight="14.5" x14ac:dyDescent="0.35"/>
  <sheetData>
    <row r="4" spans="2:66" x14ac:dyDescent="0.35">
      <c r="B4" t="s">
        <v>107</v>
      </c>
      <c r="C4">
        <v>0</v>
      </c>
      <c r="D4">
        <v>0</v>
      </c>
      <c r="E4">
        <v>0</v>
      </c>
      <c r="F4">
        <v>1</v>
      </c>
      <c r="G4">
        <v>1</v>
      </c>
      <c r="H4">
        <v>0</v>
      </c>
      <c r="I4">
        <v>1</v>
      </c>
      <c r="J4">
        <v>0</v>
      </c>
      <c r="K4">
        <v>1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0</v>
      </c>
      <c r="X4">
        <v>1</v>
      </c>
      <c r="Y4">
        <v>1</v>
      </c>
      <c r="Z4">
        <v>0</v>
      </c>
      <c r="AA4">
        <v>1</v>
      </c>
      <c r="AB4">
        <v>0</v>
      </c>
      <c r="AC4">
        <v>0</v>
      </c>
      <c r="AD4">
        <v>1</v>
      </c>
      <c r="AE4">
        <v>1</v>
      </c>
      <c r="AF4">
        <v>1</v>
      </c>
      <c r="AG4">
        <v>0</v>
      </c>
      <c r="AH4">
        <v>1</v>
      </c>
      <c r="AI4">
        <v>0</v>
      </c>
      <c r="AJ4">
        <v>1</v>
      </c>
      <c r="AK4">
        <v>0</v>
      </c>
      <c r="AL4">
        <v>1</v>
      </c>
      <c r="AM4">
        <v>1</v>
      </c>
      <c r="AN4">
        <v>0</v>
      </c>
      <c r="AO4">
        <v>1</v>
      </c>
      <c r="AP4">
        <v>0</v>
      </c>
      <c r="AQ4">
        <v>1</v>
      </c>
      <c r="AR4">
        <v>0</v>
      </c>
      <c r="AS4">
        <v>0</v>
      </c>
      <c r="AT4">
        <v>1</v>
      </c>
      <c r="AU4">
        <v>0</v>
      </c>
      <c r="AV4">
        <v>0</v>
      </c>
      <c r="AW4">
        <v>1</v>
      </c>
      <c r="AX4">
        <v>1</v>
      </c>
      <c r="AY4">
        <v>1</v>
      </c>
      <c r="AZ4">
        <v>1</v>
      </c>
      <c r="BA4">
        <v>1</v>
      </c>
      <c r="BB4">
        <v>0</v>
      </c>
      <c r="BC4">
        <v>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1</v>
      </c>
      <c r="BN4">
        <v>1</v>
      </c>
    </row>
    <row r="6" spans="2:66" x14ac:dyDescent="0.35">
      <c r="B6" t="s">
        <v>207</v>
      </c>
    </row>
    <row r="7" spans="2:66" x14ac:dyDescent="0.35">
      <c r="B7" s="1" t="s">
        <v>110</v>
      </c>
      <c r="C7">
        <v>1010</v>
      </c>
      <c r="D7">
        <v>1011</v>
      </c>
      <c r="E7">
        <v>1111</v>
      </c>
      <c r="F7">
        <v>1111</v>
      </c>
      <c r="G7" s="1" t="s">
        <v>111</v>
      </c>
      <c r="H7">
        <v>1001</v>
      </c>
      <c r="I7" s="1" t="s">
        <v>109</v>
      </c>
      <c r="J7" s="1" t="s">
        <v>104</v>
      </c>
      <c r="K7" s="1" t="s">
        <v>113</v>
      </c>
      <c r="L7" s="1" t="s">
        <v>112</v>
      </c>
      <c r="M7" s="1" t="s">
        <v>106</v>
      </c>
      <c r="N7" s="1" t="s">
        <v>208</v>
      </c>
      <c r="O7" s="1" t="s">
        <v>120</v>
      </c>
      <c r="P7" s="1" t="s">
        <v>105</v>
      </c>
      <c r="Q7" s="1" t="s">
        <v>127</v>
      </c>
    </row>
    <row r="8" spans="2:66" x14ac:dyDescent="0.35">
      <c r="B8">
        <v>1</v>
      </c>
      <c r="C8" t="s">
        <v>209</v>
      </c>
      <c r="D8" t="s">
        <v>210</v>
      </c>
      <c r="E8" t="s">
        <v>211</v>
      </c>
      <c r="F8" t="s">
        <v>211</v>
      </c>
      <c r="G8">
        <v>6</v>
      </c>
      <c r="H8">
        <v>9</v>
      </c>
      <c r="I8" t="s">
        <v>212</v>
      </c>
      <c r="J8">
        <v>5</v>
      </c>
      <c r="K8" t="s">
        <v>209</v>
      </c>
      <c r="L8">
        <v>9</v>
      </c>
      <c r="M8">
        <v>3</v>
      </c>
      <c r="N8" t="s">
        <v>25</v>
      </c>
      <c r="O8">
        <v>8</v>
      </c>
      <c r="P8">
        <v>0</v>
      </c>
      <c r="Q8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38</vt:i4>
      </vt:variant>
    </vt:vector>
  </HeadingPairs>
  <TitlesOfParts>
    <vt:vector size="43" baseType="lpstr">
      <vt:lpstr>Inputs</vt:lpstr>
      <vt:lpstr>Tables</vt:lpstr>
      <vt:lpstr>Key</vt:lpstr>
      <vt:lpstr>Rounds</vt:lpstr>
      <vt:lpstr>Output</vt:lpstr>
      <vt:lpstr>C_0</vt:lpstr>
      <vt:lpstr>D_0</vt:lpstr>
      <vt:lpstr>E_TBL</vt:lpstr>
      <vt:lpstr>FB_TBL</vt:lpstr>
      <vt:lpstr>IP_TBL</vt:lpstr>
      <vt:lpstr>K_1</vt:lpstr>
      <vt:lpstr>K_10BITS</vt:lpstr>
      <vt:lpstr>K_11BITS</vt:lpstr>
      <vt:lpstr>K_12BITS</vt:lpstr>
      <vt:lpstr>K_14BITS</vt:lpstr>
      <vt:lpstr>K_15BITS</vt:lpstr>
      <vt:lpstr>K_16BITS</vt:lpstr>
      <vt:lpstr>K_1BITS</vt:lpstr>
      <vt:lpstr>K_2</vt:lpstr>
      <vt:lpstr>K_2BITS</vt:lpstr>
      <vt:lpstr>K_3BITS</vt:lpstr>
      <vt:lpstr>K_4BITS</vt:lpstr>
      <vt:lpstr>K_6BITS</vt:lpstr>
      <vt:lpstr>K_7BITS</vt:lpstr>
      <vt:lpstr>K_8BITS</vt:lpstr>
      <vt:lpstr>K_9BITS</vt:lpstr>
      <vt:lpstr>K_BITS</vt:lpstr>
      <vt:lpstr>K1_BITS</vt:lpstr>
      <vt:lpstr>K13_BITS</vt:lpstr>
      <vt:lpstr>K5_BITS</vt:lpstr>
      <vt:lpstr>M_BITS</vt:lpstr>
      <vt:lpstr>P_TBL</vt:lpstr>
      <vt:lpstr>PC1_TBL</vt:lpstr>
      <vt:lpstr>PC2_TBL</vt:lpstr>
      <vt:lpstr>S_1</vt:lpstr>
      <vt:lpstr>S_2</vt:lpstr>
      <vt:lpstr>S_3</vt:lpstr>
      <vt:lpstr>S_4</vt:lpstr>
      <vt:lpstr>S_5</vt:lpstr>
      <vt:lpstr>S_6</vt:lpstr>
      <vt:lpstr>S_7</vt:lpstr>
      <vt:lpstr>S_8</vt:lpstr>
      <vt:lpstr>SHIFT_TBL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Đồng Văn Hảo - 67CS2</dc:creator>
  <cp:lastModifiedBy>Đồng Văn Hảo - 67CS2</cp:lastModifiedBy>
  <dcterms:created xsi:type="dcterms:W3CDTF">2025-08-21T12:13:09Z</dcterms:created>
  <dcterms:modified xsi:type="dcterms:W3CDTF">2025-08-21T17:30:50Z</dcterms:modified>
</cp:coreProperties>
</file>