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"/>
    </mc:Choice>
  </mc:AlternateContent>
  <xr:revisionPtr revIDLastSave="0" documentId="13_ncr:1_{F6602D57-8C4C-44A9-A469-46BB8C885A3B}" xr6:coauthVersionLast="47" xr6:coauthVersionMax="47" xr10:uidLastSave="{00000000-0000-0000-0000-000000000000}"/>
  <bookViews>
    <workbookView xWindow="-108" yWindow="-108" windowWidth="23256" windowHeight="12456" activeTab="2" xr2:uid="{034CC208-73FA-4606-A8A0-996FF95DA75E}"/>
  </bookViews>
  <sheets>
    <sheet name="SBox" sheetId="6" r:id="rId1"/>
    <sheet name="K1_16" sheetId="3" r:id="rId2"/>
    <sheet name="Ham_f(RxorK)" sheetId="4" r:id="rId3"/>
    <sheet name="R0_L0" sheetId="5" r:id="rId4"/>
  </sheets>
  <definedNames>
    <definedName name="S_1">SBox!$B$4:$Q$7</definedName>
    <definedName name="S_2">SBox!$B$11:$Q$14</definedName>
    <definedName name="S_3">SBox!$B$18:$Q$21</definedName>
    <definedName name="S_4">SBox!$B$25:$Q$28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4" l="1"/>
  <c r="J5" i="4" s="1"/>
  <c r="B1" i="5" s="1"/>
  <c r="I2" i="5" s="1"/>
  <c r="A53" i="5" s="1"/>
  <c r="B18" i="5" s="1"/>
  <c r="C57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8" i="3"/>
  <c r="C59" i="3"/>
  <c r="C4" i="3"/>
  <c r="C62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3" i="4"/>
  <c r="C64" i="4"/>
  <c r="C65" i="4"/>
  <c r="C66" i="4"/>
  <c r="C67" i="4"/>
  <c r="C68" i="4"/>
  <c r="C69" i="4"/>
  <c r="H74" i="4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C64" i="3" l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D58" i="3"/>
  <c r="D57" i="3" s="1"/>
  <c r="D56" i="3" s="1"/>
  <c r="D55" i="3" s="1"/>
  <c r="D54" i="3" s="1"/>
  <c r="D53" i="3" s="1"/>
  <c r="D52" i="3" s="1"/>
  <c r="D51" i="3" s="1"/>
  <c r="D50" i="3" s="1"/>
  <c r="D49" i="3" s="1"/>
  <c r="D48" i="3" s="1"/>
  <c r="D47" i="3" s="1"/>
  <c r="D46" i="3" s="1"/>
  <c r="D45" i="3" s="1"/>
  <c r="D44" i="3" s="1"/>
  <c r="D43" i="3" s="1"/>
  <c r="D42" i="3" s="1"/>
  <c r="D41" i="3" s="1"/>
  <c r="D40" i="3" s="1"/>
  <c r="D39" i="3" s="1"/>
  <c r="D38" i="3" s="1"/>
  <c r="D37" i="3" s="1"/>
  <c r="D36" i="3" s="1"/>
  <c r="D35" i="3" s="1"/>
  <c r="D34" i="3" s="1"/>
  <c r="D33" i="3" s="1"/>
  <c r="D32" i="3" s="1"/>
  <c r="D31" i="3" s="1"/>
  <c r="D30" i="3" s="1"/>
  <c r="D29" i="3" s="1"/>
  <c r="D28" i="3" s="1"/>
  <c r="D27" i="3" s="1"/>
  <c r="D26" i="3" s="1"/>
  <c r="D25" i="3" s="1"/>
  <c r="D24" i="3" s="1"/>
  <c r="D23" i="3" s="1"/>
  <c r="D22" i="3" s="1"/>
  <c r="D21" i="3" s="1"/>
  <c r="D20" i="3" s="1"/>
  <c r="D19" i="3" s="1"/>
  <c r="D18" i="3" s="1"/>
  <c r="D17" i="3" s="1"/>
  <c r="D16" i="3" s="1"/>
  <c r="D15" i="3" s="1"/>
  <c r="D14" i="3" s="1"/>
  <c r="D13" i="3" s="1"/>
  <c r="D12" i="3" s="1"/>
  <c r="D11" i="3" s="1"/>
  <c r="D10" i="3" s="1"/>
  <c r="D9" i="3" s="1"/>
  <c r="D8" i="3" s="1"/>
  <c r="D7" i="3" s="1"/>
  <c r="D6" i="3" s="1"/>
  <c r="D5" i="3" s="1"/>
  <c r="D4" i="3" s="1"/>
  <c r="B2" i="5"/>
  <c r="A10" i="5" s="1"/>
  <c r="A46" i="5"/>
  <c r="B11" i="5" s="1"/>
  <c r="A60" i="5"/>
  <c r="B25" i="5" s="1"/>
  <c r="A63" i="5"/>
  <c r="B28" i="5" s="1"/>
  <c r="A76" i="5"/>
  <c r="A75" i="5"/>
  <c r="B40" i="5" s="1"/>
  <c r="A74" i="5"/>
  <c r="B39" i="5" s="1"/>
  <c r="A52" i="5"/>
  <c r="B17" i="5" s="1"/>
  <c r="A58" i="5"/>
  <c r="B23" i="5" s="1"/>
  <c r="A73" i="5"/>
  <c r="B38" i="5" s="1"/>
  <c r="A51" i="5"/>
  <c r="B16" i="5" s="1"/>
  <c r="A59" i="5"/>
  <c r="B24" i="5" s="1"/>
  <c r="A72" i="5"/>
  <c r="B37" i="5" s="1"/>
  <c r="A50" i="5"/>
  <c r="B15" i="5" s="1"/>
  <c r="A71" i="5"/>
  <c r="B36" i="5" s="1"/>
  <c r="A49" i="5"/>
  <c r="B14" i="5" s="1"/>
  <c r="A62" i="5"/>
  <c r="B27" i="5" s="1"/>
  <c r="A61" i="5"/>
  <c r="B26" i="5" s="1"/>
  <c r="A70" i="5"/>
  <c r="B35" i="5" s="1"/>
  <c r="A48" i="5"/>
  <c r="B13" i="5" s="1"/>
  <c r="A64" i="5"/>
  <c r="B29" i="5" s="1"/>
  <c r="A47" i="5"/>
  <c r="B12" i="5" s="1"/>
  <c r="A69" i="5"/>
  <c r="B34" i="5" s="1"/>
  <c r="A57" i="5"/>
  <c r="B22" i="5" s="1"/>
  <c r="A45" i="5"/>
  <c r="B10" i="5" s="1"/>
  <c r="A68" i="5"/>
  <c r="B33" i="5" s="1"/>
  <c r="A56" i="5"/>
  <c r="B21" i="5" s="1"/>
  <c r="A67" i="5"/>
  <c r="B32" i="5" s="1"/>
  <c r="A55" i="5"/>
  <c r="B20" i="5" s="1"/>
  <c r="A66" i="5"/>
  <c r="B31" i="5" s="1"/>
  <c r="A54" i="5"/>
  <c r="B19" i="5" s="1"/>
  <c r="A44" i="5"/>
  <c r="B9" i="5" s="1"/>
  <c r="A65" i="5"/>
  <c r="B30" i="5" s="1"/>
  <c r="A21" i="5"/>
  <c r="A19" i="5"/>
  <c r="A33" i="5"/>
  <c r="A16" i="5"/>
  <c r="A39" i="5"/>
  <c r="A27" i="5"/>
  <c r="A15" i="5"/>
  <c r="A32" i="5"/>
  <c r="A17" i="5"/>
  <c r="A40" i="5"/>
  <c r="A14" i="5"/>
  <c r="A37" i="5"/>
  <c r="A25" i="5"/>
  <c r="A13" i="5"/>
  <c r="A30" i="5"/>
  <c r="A29" i="5"/>
  <c r="A26" i="5"/>
  <c r="A36" i="5"/>
  <c r="A24" i="5"/>
  <c r="A12" i="5"/>
  <c r="A31" i="5"/>
  <c r="A9" i="5"/>
  <c r="A35" i="5"/>
  <c r="A23" i="5"/>
  <c r="A11" i="5"/>
  <c r="A20" i="5"/>
  <c r="A18" i="5"/>
  <c r="A28" i="5"/>
  <c r="A38" i="5"/>
  <c r="A34" i="5"/>
  <c r="A22" i="5"/>
  <c r="H68" i="3" l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L79" i="5"/>
  <c r="J8" i="4"/>
  <c r="Q8" i="4"/>
  <c r="B91" i="3" l="1"/>
  <c r="D127" i="3" s="1"/>
  <c r="B90" i="3"/>
  <c r="C130" i="3" s="1"/>
  <c r="B89" i="3"/>
  <c r="B155" i="3" s="1"/>
  <c r="H58" i="4" s="1"/>
  <c r="AA23" i="4"/>
  <c r="AA35" i="4"/>
  <c r="AA47" i="4"/>
  <c r="AA11" i="4"/>
  <c r="AA12" i="4"/>
  <c r="AA24" i="4"/>
  <c r="AA36" i="4"/>
  <c r="AA48" i="4"/>
  <c r="AA14" i="4"/>
  <c r="AA26" i="4"/>
  <c r="AA38" i="4"/>
  <c r="AA50" i="4"/>
  <c r="AA15" i="4"/>
  <c r="AA27" i="4"/>
  <c r="AA39" i="4"/>
  <c r="AA51" i="4"/>
  <c r="AA16" i="4"/>
  <c r="AA28" i="4"/>
  <c r="AA40" i="4"/>
  <c r="AA52" i="4"/>
  <c r="AA19" i="4"/>
  <c r="AA31" i="4"/>
  <c r="AA55" i="4"/>
  <c r="AA58" i="4"/>
  <c r="AA37" i="4"/>
  <c r="AA17" i="4"/>
  <c r="AA29" i="4"/>
  <c r="AA41" i="4"/>
  <c r="AA53" i="4"/>
  <c r="AA13" i="4"/>
  <c r="AA18" i="4"/>
  <c r="AA30" i="4"/>
  <c r="AA42" i="4"/>
  <c r="AA54" i="4"/>
  <c r="AA43" i="4"/>
  <c r="AA25" i="4"/>
  <c r="AA20" i="4"/>
  <c r="AA32" i="4"/>
  <c r="AA44" i="4"/>
  <c r="AA56" i="4"/>
  <c r="AA21" i="4"/>
  <c r="AA33" i="4"/>
  <c r="AA45" i="4"/>
  <c r="AA57" i="4"/>
  <c r="AA22" i="4"/>
  <c r="AA34" i="4"/>
  <c r="AA46" i="4"/>
  <c r="AA49" i="4"/>
  <c r="B135" i="3"/>
  <c r="H38" i="4" s="1"/>
  <c r="B148" i="3"/>
  <c r="H51" i="4" s="1"/>
  <c r="B113" i="3"/>
  <c r="H16" i="4" s="1"/>
  <c r="B125" i="3"/>
  <c r="H28" i="4" s="1"/>
  <c r="B141" i="3"/>
  <c r="H44" i="4" s="1"/>
  <c r="B108" i="3"/>
  <c r="H11" i="4" s="1"/>
  <c r="C125" i="3"/>
  <c r="C123" i="3"/>
  <c r="C151" i="3"/>
  <c r="C113" i="3"/>
  <c r="C111" i="3"/>
  <c r="C144" i="3"/>
  <c r="C139" i="3"/>
  <c r="C119" i="3"/>
  <c r="C154" i="3"/>
  <c r="C132" i="3"/>
  <c r="C115" i="3"/>
  <c r="C148" i="3"/>
  <c r="C134" i="3"/>
  <c r="C127" i="3"/>
  <c r="C120" i="3"/>
  <c r="C153" i="3"/>
  <c r="C155" i="3"/>
  <c r="C136" i="3"/>
  <c r="C122" i="3"/>
  <c r="C124" i="3"/>
  <c r="C141" i="3"/>
  <c r="C150" i="3"/>
  <c r="C110" i="3"/>
  <c r="C129" i="3"/>
  <c r="C138" i="3"/>
  <c r="C112" i="3"/>
  <c r="C143" i="3"/>
  <c r="C117" i="3"/>
  <c r="C126" i="3"/>
  <c r="C131" i="3"/>
  <c r="C145" i="3"/>
  <c r="C142" i="3"/>
  <c r="C152" i="3"/>
  <c r="C114" i="3"/>
  <c r="C118" i="3"/>
  <c r="C133" i="3"/>
  <c r="C108" i="3"/>
  <c r="C140" i="3"/>
  <c r="C149" i="3"/>
  <c r="C147" i="3"/>
  <c r="C121" i="3"/>
  <c r="C146" i="3"/>
  <c r="C128" i="3"/>
  <c r="C137" i="3"/>
  <c r="C135" i="3"/>
  <c r="C109" i="3"/>
  <c r="C116" i="3"/>
  <c r="D121" i="3"/>
  <c r="D146" i="3"/>
  <c r="D150" i="3"/>
  <c r="D130" i="3"/>
  <c r="B92" i="3"/>
  <c r="B131" i="3" l="1"/>
  <c r="H34" i="4" s="1"/>
  <c r="B132" i="3"/>
  <c r="H35" i="4" s="1"/>
  <c r="B117" i="3"/>
  <c r="H20" i="4" s="1"/>
  <c r="B133" i="3"/>
  <c r="H36" i="4" s="1"/>
  <c r="B124" i="3"/>
  <c r="H27" i="4" s="1"/>
  <c r="B122" i="3"/>
  <c r="H25" i="4" s="1"/>
  <c r="B140" i="3"/>
  <c r="H43" i="4" s="1"/>
  <c r="B146" i="3"/>
  <c r="H49" i="4" s="1"/>
  <c r="B109" i="3"/>
  <c r="H12" i="4" s="1"/>
  <c r="B110" i="3"/>
  <c r="H13" i="4" s="1"/>
  <c r="B111" i="3"/>
  <c r="H14" i="4" s="1"/>
  <c r="B119" i="3"/>
  <c r="H22" i="4" s="1"/>
  <c r="B151" i="3"/>
  <c r="H54" i="4" s="1"/>
  <c r="B153" i="3"/>
  <c r="H56" i="4" s="1"/>
  <c r="B114" i="3"/>
  <c r="H17" i="4" s="1"/>
  <c r="B150" i="3"/>
  <c r="H53" i="4" s="1"/>
  <c r="B130" i="3"/>
  <c r="H33" i="4" s="1"/>
  <c r="D138" i="3"/>
  <c r="D149" i="3"/>
  <c r="D155" i="3"/>
  <c r="D134" i="3"/>
  <c r="D109" i="3"/>
  <c r="B126" i="3"/>
  <c r="H29" i="4" s="1"/>
  <c r="D141" i="3"/>
  <c r="D132" i="3"/>
  <c r="D122" i="3"/>
  <c r="D118" i="3"/>
  <c r="B115" i="3"/>
  <c r="H18" i="4" s="1"/>
  <c r="B143" i="3"/>
  <c r="H46" i="4" s="1"/>
  <c r="B129" i="3"/>
  <c r="H32" i="4" s="1"/>
  <c r="B118" i="3"/>
  <c r="H21" i="4" s="1"/>
  <c r="D148" i="3"/>
  <c r="B123" i="3"/>
  <c r="H26" i="4" s="1"/>
  <c r="B152" i="3"/>
  <c r="H55" i="4" s="1"/>
  <c r="B120" i="3"/>
  <c r="H23" i="4" s="1"/>
  <c r="B127" i="3"/>
  <c r="H30" i="4" s="1"/>
  <c r="D115" i="3"/>
  <c r="D144" i="3"/>
  <c r="D120" i="3"/>
  <c r="D112" i="3"/>
  <c r="D113" i="3"/>
  <c r="D142" i="3"/>
  <c r="D129" i="3"/>
  <c r="D151" i="3"/>
  <c r="B136" i="3"/>
  <c r="H39" i="4" s="1"/>
  <c r="B128" i="3"/>
  <c r="H31" i="4" s="1"/>
  <c r="B121" i="3"/>
  <c r="H24" i="4" s="1"/>
  <c r="B139" i="3"/>
  <c r="H42" i="4" s="1"/>
  <c r="D108" i="3"/>
  <c r="D140" i="3"/>
  <c r="D128" i="3"/>
  <c r="D137" i="3"/>
  <c r="D153" i="3"/>
  <c r="D135" i="3"/>
  <c r="D110" i="3"/>
  <c r="B138" i="3"/>
  <c r="H41" i="4" s="1"/>
  <c r="B142" i="3"/>
  <c r="H45" i="4" s="1"/>
  <c r="B154" i="3"/>
  <c r="H57" i="4" s="1"/>
  <c r="D119" i="3"/>
  <c r="D124" i="3"/>
  <c r="D116" i="3"/>
  <c r="D154" i="3"/>
  <c r="D131" i="3"/>
  <c r="D123" i="3"/>
  <c r="D145" i="3"/>
  <c r="D147" i="3"/>
  <c r="D114" i="3"/>
  <c r="D111" i="3"/>
  <c r="D139" i="3"/>
  <c r="B134" i="3"/>
  <c r="H37" i="4" s="1"/>
  <c r="B137" i="3"/>
  <c r="H40" i="4" s="1"/>
  <c r="B116" i="3"/>
  <c r="H19" i="4" s="1"/>
  <c r="B144" i="3"/>
  <c r="H47" i="4" s="1"/>
  <c r="D136" i="3"/>
  <c r="D143" i="3"/>
  <c r="D117" i="3"/>
  <c r="D133" i="3"/>
  <c r="D125" i="3"/>
  <c r="D126" i="3"/>
  <c r="D152" i="3"/>
  <c r="B147" i="3"/>
  <c r="H50" i="4" s="1"/>
  <c r="B149" i="3"/>
  <c r="H52" i="4" s="1"/>
  <c r="B145" i="3"/>
  <c r="H48" i="4" s="1"/>
  <c r="B112" i="3"/>
  <c r="H15" i="4" s="1"/>
  <c r="B159" i="3"/>
  <c r="E112" i="3"/>
  <c r="E113" i="3"/>
  <c r="E119" i="3"/>
  <c r="E125" i="3"/>
  <c r="E131" i="3"/>
  <c r="E137" i="3"/>
  <c r="E109" i="3"/>
  <c r="E115" i="3"/>
  <c r="E121" i="3"/>
  <c r="E110" i="3"/>
  <c r="E116" i="3"/>
  <c r="E122" i="3"/>
  <c r="E128" i="3"/>
  <c r="E134" i="3"/>
  <c r="E140" i="3"/>
  <c r="E146" i="3"/>
  <c r="E152" i="3"/>
  <c r="E118" i="3"/>
  <c r="E129" i="3"/>
  <c r="E135" i="3"/>
  <c r="E139" i="3"/>
  <c r="E153" i="3"/>
  <c r="E141" i="3"/>
  <c r="E120" i="3"/>
  <c r="E124" i="3"/>
  <c r="E132" i="3"/>
  <c r="E145" i="3"/>
  <c r="E111" i="3"/>
  <c r="E151" i="3"/>
  <c r="E149" i="3"/>
  <c r="E138" i="3"/>
  <c r="E144" i="3"/>
  <c r="E126" i="3"/>
  <c r="E143" i="3"/>
  <c r="E114" i="3"/>
  <c r="E142" i="3"/>
  <c r="E108" i="3"/>
  <c r="E150" i="3"/>
  <c r="E117" i="3"/>
  <c r="E123" i="3"/>
  <c r="E155" i="3"/>
  <c r="E130" i="3"/>
  <c r="E148" i="3"/>
  <c r="E147" i="3"/>
  <c r="E133" i="3"/>
  <c r="E136" i="3"/>
  <c r="E127" i="3"/>
  <c r="E154" i="3"/>
  <c r="B93" i="3"/>
  <c r="H70" i="4" l="1"/>
  <c r="H83" i="4" s="1"/>
  <c r="B160" i="3"/>
  <c r="H73" i="4"/>
  <c r="H86" i="4" s="1"/>
  <c r="H69" i="4"/>
  <c r="H82" i="4" s="1"/>
  <c r="H72" i="4"/>
  <c r="H85" i="4" s="1"/>
  <c r="H66" i="4"/>
  <c r="H79" i="4" s="1"/>
  <c r="B158" i="3"/>
  <c r="B176" i="3" s="1"/>
  <c r="H68" i="4"/>
  <c r="H81" i="4" s="1"/>
  <c r="H67" i="4"/>
  <c r="H80" i="4" s="1"/>
  <c r="H71" i="4"/>
  <c r="H84" i="4" s="1"/>
  <c r="D180" i="3"/>
  <c r="D181" i="3"/>
  <c r="D176" i="3"/>
  <c r="D177" i="3"/>
  <c r="D179" i="3"/>
  <c r="D178" i="3"/>
  <c r="C180" i="3"/>
  <c r="C178" i="3"/>
  <c r="C179" i="3"/>
  <c r="C176" i="3"/>
  <c r="C181" i="3"/>
  <c r="C177" i="3"/>
  <c r="F111" i="3"/>
  <c r="F117" i="3"/>
  <c r="F123" i="3"/>
  <c r="F129" i="3"/>
  <c r="F114" i="3"/>
  <c r="F120" i="3"/>
  <c r="F126" i="3"/>
  <c r="F132" i="3"/>
  <c r="F138" i="3"/>
  <c r="F144" i="3"/>
  <c r="F150" i="3"/>
  <c r="F109" i="3"/>
  <c r="F115" i="3"/>
  <c r="F121" i="3"/>
  <c r="F127" i="3"/>
  <c r="F133" i="3"/>
  <c r="F139" i="3"/>
  <c r="F145" i="3"/>
  <c r="F151" i="3"/>
  <c r="F134" i="3"/>
  <c r="F140" i="3"/>
  <c r="F110" i="3"/>
  <c r="F116" i="3"/>
  <c r="F122" i="3"/>
  <c r="F128" i="3"/>
  <c r="F113" i="3"/>
  <c r="F154" i="3"/>
  <c r="F118" i="3"/>
  <c r="F135" i="3"/>
  <c r="F153" i="3"/>
  <c r="F124" i="3"/>
  <c r="F152" i="3"/>
  <c r="F108" i="3"/>
  <c r="F141" i="3"/>
  <c r="F147" i="3"/>
  <c r="F131" i="3"/>
  <c r="F143" i="3"/>
  <c r="F137" i="3"/>
  <c r="F142" i="3"/>
  <c r="F136" i="3"/>
  <c r="F112" i="3"/>
  <c r="F119" i="3"/>
  <c r="F149" i="3"/>
  <c r="F125" i="3"/>
  <c r="F130" i="3"/>
  <c r="F148" i="3"/>
  <c r="F146" i="3"/>
  <c r="F155" i="3"/>
  <c r="B161" i="3"/>
  <c r="B94" i="3"/>
  <c r="I88" i="4" l="1" a="1"/>
  <c r="I88" i="4" s="1"/>
  <c r="B178" i="3"/>
  <c r="B177" i="3"/>
  <c r="B181" i="3"/>
  <c r="B180" i="3"/>
  <c r="B179" i="3"/>
  <c r="E180" i="3"/>
  <c r="E177" i="3"/>
  <c r="E178" i="3"/>
  <c r="E179" i="3"/>
  <c r="E181" i="3"/>
  <c r="E176" i="3"/>
  <c r="G111" i="3"/>
  <c r="G112" i="3"/>
  <c r="G118" i="3"/>
  <c r="G124" i="3"/>
  <c r="G130" i="3"/>
  <c r="G136" i="3"/>
  <c r="G114" i="3"/>
  <c r="G120" i="3"/>
  <c r="G109" i="3"/>
  <c r="G115" i="3"/>
  <c r="G121" i="3"/>
  <c r="G127" i="3"/>
  <c r="G133" i="3"/>
  <c r="G139" i="3"/>
  <c r="G145" i="3"/>
  <c r="G151" i="3"/>
  <c r="G146" i="3"/>
  <c r="G155" i="3"/>
  <c r="G113" i="3"/>
  <c r="G122" i="3"/>
  <c r="G129" i="3"/>
  <c r="G154" i="3"/>
  <c r="G110" i="3"/>
  <c r="G116" i="3"/>
  <c r="G132" i="3"/>
  <c r="G135" i="3"/>
  <c r="G153" i="3"/>
  <c r="G152" i="3"/>
  <c r="G108" i="3"/>
  <c r="G131" i="3"/>
  <c r="G138" i="3"/>
  <c r="G144" i="3"/>
  <c r="G128" i="3"/>
  <c r="G142" i="3"/>
  <c r="G150" i="3"/>
  <c r="G149" i="3"/>
  <c r="G126" i="3"/>
  <c r="G134" i="3"/>
  <c r="G143" i="3"/>
  <c r="G137" i="3"/>
  <c r="G125" i="3"/>
  <c r="G117" i="3"/>
  <c r="G123" i="3"/>
  <c r="G119" i="3"/>
  <c r="G141" i="3"/>
  <c r="G140" i="3"/>
  <c r="G147" i="3"/>
  <c r="G148" i="3"/>
  <c r="B162" i="3"/>
  <c r="B95" i="3"/>
  <c r="B63" i="5" l="1"/>
  <c r="C28" i="5" s="1"/>
  <c r="B44" i="5"/>
  <c r="C9" i="5" s="1"/>
  <c r="B70" i="5"/>
  <c r="C35" i="5" s="1"/>
  <c r="B68" i="5"/>
  <c r="C33" i="5" s="1"/>
  <c r="B61" i="5"/>
  <c r="C26" i="5" s="1"/>
  <c r="B50" i="5"/>
  <c r="C15" i="5" s="1"/>
  <c r="B75" i="5"/>
  <c r="C40" i="5" s="1"/>
  <c r="B71" i="5"/>
  <c r="C36" i="5" s="1"/>
  <c r="B69" i="5"/>
  <c r="C34" i="5" s="1"/>
  <c r="B47" i="5"/>
  <c r="C12" i="5" s="1"/>
  <c r="B48" i="5"/>
  <c r="C13" i="5" s="1"/>
  <c r="B51" i="5"/>
  <c r="C16" i="5" s="1"/>
  <c r="B67" i="5"/>
  <c r="C32" i="5" s="1"/>
  <c r="B56" i="5"/>
  <c r="C21" i="5" s="1"/>
  <c r="B59" i="5"/>
  <c r="C24" i="5" s="1"/>
  <c r="B52" i="5"/>
  <c r="C17" i="5" s="1"/>
  <c r="B58" i="5"/>
  <c r="C23" i="5" s="1"/>
  <c r="B55" i="5"/>
  <c r="C20" i="5" s="1"/>
  <c r="B62" i="5"/>
  <c r="C27" i="5" s="1"/>
  <c r="B74" i="5"/>
  <c r="C39" i="5" s="1"/>
  <c r="B49" i="5"/>
  <c r="C14" i="5" s="1"/>
  <c r="B66" i="5"/>
  <c r="C31" i="5" s="1"/>
  <c r="B60" i="5"/>
  <c r="C25" i="5" s="1"/>
  <c r="B72" i="5"/>
  <c r="C37" i="5" s="1"/>
  <c r="B46" i="5"/>
  <c r="C11" i="5" s="1"/>
  <c r="B57" i="5"/>
  <c r="C22" i="5" s="1"/>
  <c r="B64" i="5"/>
  <c r="C29" i="5" s="1"/>
  <c r="B73" i="5"/>
  <c r="C38" i="5" s="1"/>
  <c r="B45" i="5"/>
  <c r="C10" i="5" s="1"/>
  <c r="B54" i="5"/>
  <c r="C19" i="5" s="1"/>
  <c r="B65" i="5"/>
  <c r="C30" i="5" s="1"/>
  <c r="B53" i="5"/>
  <c r="C18" i="5" s="1"/>
  <c r="F180" i="3"/>
  <c r="F181" i="3"/>
  <c r="F176" i="3"/>
  <c r="F177" i="3"/>
  <c r="F178" i="3"/>
  <c r="F179" i="3"/>
  <c r="B163" i="3"/>
  <c r="H110" i="3"/>
  <c r="H116" i="3"/>
  <c r="H122" i="3"/>
  <c r="H128" i="3"/>
  <c r="H113" i="3"/>
  <c r="H119" i="3"/>
  <c r="H125" i="3"/>
  <c r="H131" i="3"/>
  <c r="H137" i="3"/>
  <c r="H143" i="3"/>
  <c r="H149" i="3"/>
  <c r="H155" i="3"/>
  <c r="H114" i="3"/>
  <c r="H120" i="3"/>
  <c r="H126" i="3"/>
  <c r="H132" i="3"/>
  <c r="H138" i="3"/>
  <c r="H144" i="3"/>
  <c r="H150" i="3"/>
  <c r="H109" i="3"/>
  <c r="H115" i="3"/>
  <c r="H121" i="3"/>
  <c r="H127" i="3"/>
  <c r="H133" i="3"/>
  <c r="H139" i="3"/>
  <c r="H147" i="3"/>
  <c r="H146" i="3"/>
  <c r="H151" i="3"/>
  <c r="H118" i="3"/>
  <c r="H129" i="3"/>
  <c r="H145" i="3"/>
  <c r="H154" i="3"/>
  <c r="H108" i="3"/>
  <c r="H111" i="3"/>
  <c r="H124" i="3"/>
  <c r="H135" i="3"/>
  <c r="H153" i="3"/>
  <c r="H152" i="3"/>
  <c r="H134" i="3"/>
  <c r="H130" i="3"/>
  <c r="H112" i="3"/>
  <c r="H117" i="3"/>
  <c r="H123" i="3"/>
  <c r="H142" i="3"/>
  <c r="H140" i="3"/>
  <c r="H141" i="3"/>
  <c r="H136" i="3"/>
  <c r="H148" i="3"/>
  <c r="B96" i="3"/>
  <c r="L80" i="5" l="1"/>
  <c r="C79" i="5"/>
  <c r="G180" i="3"/>
  <c r="G179" i="3"/>
  <c r="G181" i="3"/>
  <c r="G177" i="3"/>
  <c r="G178" i="3"/>
  <c r="G176" i="3"/>
  <c r="B164" i="3"/>
  <c r="I110" i="3"/>
  <c r="I116" i="3"/>
  <c r="I111" i="3"/>
  <c r="I117" i="3"/>
  <c r="I123" i="3"/>
  <c r="I129" i="3"/>
  <c r="I135" i="3"/>
  <c r="I113" i="3"/>
  <c r="I119" i="3"/>
  <c r="I114" i="3"/>
  <c r="I120" i="3"/>
  <c r="I126" i="3"/>
  <c r="I132" i="3"/>
  <c r="I138" i="3"/>
  <c r="I144" i="3"/>
  <c r="I150" i="3"/>
  <c r="I127" i="3"/>
  <c r="I136" i="3"/>
  <c r="I148" i="3"/>
  <c r="I108" i="3"/>
  <c r="I153" i="3"/>
  <c r="I134" i="3"/>
  <c r="I139" i="3"/>
  <c r="I147" i="3"/>
  <c r="I155" i="3"/>
  <c r="I122" i="3"/>
  <c r="I146" i="3"/>
  <c r="I118" i="3"/>
  <c r="I145" i="3"/>
  <c r="I154" i="3"/>
  <c r="I124" i="3"/>
  <c r="I151" i="3"/>
  <c r="I133" i="3"/>
  <c r="I152" i="3"/>
  <c r="I109" i="3"/>
  <c r="I143" i="3"/>
  <c r="I149" i="3"/>
  <c r="I121" i="3"/>
  <c r="I128" i="3"/>
  <c r="I131" i="3"/>
  <c r="I137" i="3"/>
  <c r="I115" i="3"/>
  <c r="I112" i="3"/>
  <c r="I142" i="3"/>
  <c r="I125" i="3"/>
  <c r="I130" i="3"/>
  <c r="I140" i="3"/>
  <c r="I141" i="3"/>
  <c r="B97" i="3"/>
  <c r="I21" i="4" l="1"/>
  <c r="I33" i="4"/>
  <c r="I45" i="4"/>
  <c r="I57" i="4"/>
  <c r="I12" i="4"/>
  <c r="I38" i="4"/>
  <c r="I51" i="4"/>
  <c r="I13" i="4"/>
  <c r="I26" i="4"/>
  <c r="I39" i="4"/>
  <c r="I52" i="4"/>
  <c r="I15" i="4"/>
  <c r="I28" i="4"/>
  <c r="I41" i="4"/>
  <c r="I54" i="4"/>
  <c r="I17" i="4"/>
  <c r="I30" i="4"/>
  <c r="I43" i="4"/>
  <c r="I56" i="4"/>
  <c r="I31" i="4"/>
  <c r="I44" i="4"/>
  <c r="I18" i="4"/>
  <c r="I58" i="4"/>
  <c r="I35" i="4"/>
  <c r="I19" i="4"/>
  <c r="I32" i="4"/>
  <c r="I46" i="4"/>
  <c r="I11" i="4"/>
  <c r="I48" i="4"/>
  <c r="I20" i="4"/>
  <c r="I34" i="4"/>
  <c r="I47" i="4"/>
  <c r="I22" i="4"/>
  <c r="I24" i="4"/>
  <c r="I37" i="4"/>
  <c r="I50" i="4"/>
  <c r="I25" i="4"/>
  <c r="I49" i="4"/>
  <c r="I16" i="4"/>
  <c r="I53" i="4"/>
  <c r="I55" i="4"/>
  <c r="I14" i="4"/>
  <c r="I23" i="4"/>
  <c r="I36" i="4"/>
  <c r="I40" i="4"/>
  <c r="I27" i="4"/>
  <c r="I29" i="4"/>
  <c r="I42" i="4"/>
  <c r="H180" i="3"/>
  <c r="H181" i="3"/>
  <c r="H177" i="3"/>
  <c r="H179" i="3"/>
  <c r="H178" i="3"/>
  <c r="H176" i="3"/>
  <c r="B165" i="3"/>
  <c r="J109" i="3"/>
  <c r="J115" i="3"/>
  <c r="J121" i="3"/>
  <c r="J127" i="3"/>
  <c r="J112" i="3"/>
  <c r="J118" i="3"/>
  <c r="J124" i="3"/>
  <c r="J130" i="3"/>
  <c r="J136" i="3"/>
  <c r="J142" i="3"/>
  <c r="J148" i="3"/>
  <c r="J154" i="3"/>
  <c r="J113" i="3"/>
  <c r="J119" i="3"/>
  <c r="J125" i="3"/>
  <c r="J131" i="3"/>
  <c r="J137" i="3"/>
  <c r="J143" i="3"/>
  <c r="J149" i="3"/>
  <c r="J155" i="3"/>
  <c r="J120" i="3"/>
  <c r="J138" i="3"/>
  <c r="J114" i="3"/>
  <c r="J126" i="3"/>
  <c r="J132" i="3"/>
  <c r="J140" i="3"/>
  <c r="J108" i="3"/>
  <c r="J152" i="3"/>
  <c r="J139" i="3"/>
  <c r="J147" i="3"/>
  <c r="J151" i="3"/>
  <c r="J116" i="3"/>
  <c r="J122" i="3"/>
  <c r="J129" i="3"/>
  <c r="J146" i="3"/>
  <c r="J153" i="3"/>
  <c r="J111" i="3"/>
  <c r="J135" i="3"/>
  <c r="J145" i="3"/>
  <c r="J144" i="3"/>
  <c r="J128" i="3"/>
  <c r="J134" i="3"/>
  <c r="J150" i="3"/>
  <c r="J117" i="3"/>
  <c r="J123" i="3"/>
  <c r="J110" i="3"/>
  <c r="J133" i="3"/>
  <c r="J141" i="3"/>
  <c r="B98" i="3"/>
  <c r="I66" i="4" l="1"/>
  <c r="I79" i="4" s="1"/>
  <c r="I71" i="4"/>
  <c r="I84" i="4" s="1"/>
  <c r="I69" i="4"/>
  <c r="I82" i="4" s="1"/>
  <c r="I70" i="4"/>
  <c r="I83" i="4" s="1"/>
  <c r="I72" i="4"/>
  <c r="I85" i="4" s="1"/>
  <c r="I73" i="4"/>
  <c r="I86" i="4" s="1"/>
  <c r="I68" i="4"/>
  <c r="I81" i="4" s="1"/>
  <c r="I67" i="4"/>
  <c r="I80" i="4" s="1"/>
  <c r="I180" i="3"/>
  <c r="I181" i="3"/>
  <c r="I176" i="3"/>
  <c r="I177" i="3"/>
  <c r="I178" i="3"/>
  <c r="I179" i="3"/>
  <c r="B166" i="3"/>
  <c r="K109" i="3"/>
  <c r="K115" i="3"/>
  <c r="K110" i="3"/>
  <c r="K116" i="3"/>
  <c r="K122" i="3"/>
  <c r="K128" i="3"/>
  <c r="K134" i="3"/>
  <c r="K112" i="3"/>
  <c r="K118" i="3"/>
  <c r="K113" i="3"/>
  <c r="K119" i="3"/>
  <c r="K125" i="3"/>
  <c r="K131" i="3"/>
  <c r="K137" i="3"/>
  <c r="K143" i="3"/>
  <c r="K149" i="3"/>
  <c r="K155" i="3"/>
  <c r="K130" i="3"/>
  <c r="K133" i="3"/>
  <c r="K141" i="3"/>
  <c r="K127" i="3"/>
  <c r="K136" i="3"/>
  <c r="K140" i="3"/>
  <c r="K148" i="3"/>
  <c r="K120" i="3"/>
  <c r="K126" i="3"/>
  <c r="K153" i="3"/>
  <c r="K150" i="3"/>
  <c r="K142" i="3"/>
  <c r="K132" i="3"/>
  <c r="K139" i="3"/>
  <c r="K147" i="3"/>
  <c r="K145" i="3"/>
  <c r="K129" i="3"/>
  <c r="K146" i="3"/>
  <c r="K154" i="3"/>
  <c r="K111" i="3"/>
  <c r="K124" i="3"/>
  <c r="K135" i="3"/>
  <c r="K138" i="3"/>
  <c r="K114" i="3"/>
  <c r="K144" i="3"/>
  <c r="K152" i="3"/>
  <c r="K123" i="3"/>
  <c r="K121" i="3"/>
  <c r="K151" i="3"/>
  <c r="K117" i="3"/>
  <c r="K108" i="3"/>
  <c r="B99" i="3"/>
  <c r="I89" i="4" l="1" a="1"/>
  <c r="I89" i="4" s="1"/>
  <c r="J180" i="3"/>
  <c r="J177" i="3"/>
  <c r="J179" i="3"/>
  <c r="J181" i="3"/>
  <c r="J178" i="3"/>
  <c r="J176" i="3"/>
  <c r="L114" i="3"/>
  <c r="L120" i="3"/>
  <c r="L126" i="3"/>
  <c r="L111" i="3"/>
  <c r="L117" i="3"/>
  <c r="L123" i="3"/>
  <c r="L129" i="3"/>
  <c r="L135" i="3"/>
  <c r="L141" i="3"/>
  <c r="L147" i="3"/>
  <c r="L153" i="3"/>
  <c r="L112" i="3"/>
  <c r="L118" i="3"/>
  <c r="L124" i="3"/>
  <c r="L130" i="3"/>
  <c r="L136" i="3"/>
  <c r="L142" i="3"/>
  <c r="L148" i="3"/>
  <c r="L154" i="3"/>
  <c r="L125" i="3"/>
  <c r="L108" i="3"/>
  <c r="L113" i="3"/>
  <c r="L119" i="3"/>
  <c r="L131" i="3"/>
  <c r="L137" i="3"/>
  <c r="L110" i="3"/>
  <c r="L146" i="3"/>
  <c r="L145" i="3"/>
  <c r="L150" i="3"/>
  <c r="L133" i="3"/>
  <c r="L127" i="3"/>
  <c r="L140" i="3"/>
  <c r="L155" i="3"/>
  <c r="L116" i="3"/>
  <c r="L122" i="3"/>
  <c r="L132" i="3"/>
  <c r="L139" i="3"/>
  <c r="L138" i="3"/>
  <c r="L109" i="3"/>
  <c r="L144" i="3"/>
  <c r="L143" i="3"/>
  <c r="L152" i="3"/>
  <c r="L134" i="3"/>
  <c r="L121" i="3"/>
  <c r="L128" i="3"/>
  <c r="L151" i="3"/>
  <c r="L115" i="3"/>
  <c r="L149" i="3"/>
  <c r="B167" i="3"/>
  <c r="B100" i="3"/>
  <c r="K180" i="3" l="1"/>
  <c r="K181" i="3"/>
  <c r="K176" i="3"/>
  <c r="K179" i="3"/>
  <c r="K177" i="3"/>
  <c r="K178" i="3"/>
  <c r="B168" i="3"/>
  <c r="M114" i="3"/>
  <c r="M109" i="3"/>
  <c r="M115" i="3"/>
  <c r="M121" i="3"/>
  <c r="M127" i="3"/>
  <c r="M133" i="3"/>
  <c r="M111" i="3"/>
  <c r="M117" i="3"/>
  <c r="M108" i="3"/>
  <c r="M112" i="3"/>
  <c r="M118" i="3"/>
  <c r="M124" i="3"/>
  <c r="M130" i="3"/>
  <c r="M136" i="3"/>
  <c r="M142" i="3"/>
  <c r="M148" i="3"/>
  <c r="M154" i="3"/>
  <c r="M125" i="3"/>
  <c r="M149" i="3"/>
  <c r="M110" i="3"/>
  <c r="M141" i="3"/>
  <c r="M113" i="3"/>
  <c r="M145" i="3"/>
  <c r="M120" i="3"/>
  <c r="M140" i="3"/>
  <c r="M155" i="3"/>
  <c r="M146" i="3"/>
  <c r="M147" i="3"/>
  <c r="M153" i="3"/>
  <c r="M116" i="3"/>
  <c r="M122" i="3"/>
  <c r="M129" i="3"/>
  <c r="M132" i="3"/>
  <c r="M139" i="3"/>
  <c r="M151" i="3"/>
  <c r="M135" i="3"/>
  <c r="M128" i="3"/>
  <c r="M126" i="3"/>
  <c r="M138" i="3"/>
  <c r="M131" i="3"/>
  <c r="M144" i="3"/>
  <c r="M152" i="3"/>
  <c r="M119" i="3"/>
  <c r="M137" i="3"/>
  <c r="M143" i="3"/>
  <c r="M123" i="3"/>
  <c r="M150" i="3"/>
  <c r="M134" i="3"/>
  <c r="B101" i="3"/>
  <c r="L180" i="3" l="1"/>
  <c r="L177" i="3"/>
  <c r="L181" i="3"/>
  <c r="L176" i="3"/>
  <c r="L178" i="3"/>
  <c r="L179" i="3"/>
  <c r="B169" i="3"/>
  <c r="N113" i="3"/>
  <c r="N119" i="3"/>
  <c r="N125" i="3"/>
  <c r="N110" i="3"/>
  <c r="N116" i="3"/>
  <c r="N122" i="3"/>
  <c r="N128" i="3"/>
  <c r="N134" i="3"/>
  <c r="N140" i="3"/>
  <c r="N146" i="3"/>
  <c r="N152" i="3"/>
  <c r="N111" i="3"/>
  <c r="N117" i="3"/>
  <c r="N123" i="3"/>
  <c r="N129" i="3"/>
  <c r="N135" i="3"/>
  <c r="N141" i="3"/>
  <c r="N147" i="3"/>
  <c r="N153" i="3"/>
  <c r="N112" i="3"/>
  <c r="N130" i="3"/>
  <c r="N136" i="3"/>
  <c r="N118" i="3"/>
  <c r="N124" i="3"/>
  <c r="N115" i="3"/>
  <c r="N150" i="3"/>
  <c r="N132" i="3"/>
  <c r="N149" i="3"/>
  <c r="N133" i="3"/>
  <c r="N148" i="3"/>
  <c r="N154" i="3"/>
  <c r="N127" i="3"/>
  <c r="N155" i="3"/>
  <c r="N120" i="3"/>
  <c r="N139" i="3"/>
  <c r="N143" i="3"/>
  <c r="N114" i="3"/>
  <c r="N109" i="3"/>
  <c r="N126" i="3"/>
  <c r="N138" i="3"/>
  <c r="N145" i="3"/>
  <c r="N131" i="3"/>
  <c r="N144" i="3"/>
  <c r="N137" i="3"/>
  <c r="N142" i="3"/>
  <c r="N151" i="3"/>
  <c r="N121" i="3"/>
  <c r="N108" i="3"/>
  <c r="B102" i="3"/>
  <c r="M180" i="3" l="1"/>
  <c r="M181" i="3"/>
  <c r="M176" i="3"/>
  <c r="M177" i="3"/>
  <c r="M178" i="3"/>
  <c r="M179" i="3"/>
  <c r="O113" i="3"/>
  <c r="O114" i="3"/>
  <c r="O120" i="3"/>
  <c r="O126" i="3"/>
  <c r="O132" i="3"/>
  <c r="O108" i="3"/>
  <c r="O110" i="3"/>
  <c r="O116" i="3"/>
  <c r="O122" i="3"/>
  <c r="O111" i="3"/>
  <c r="O117" i="3"/>
  <c r="O123" i="3"/>
  <c r="O129" i="3"/>
  <c r="O135" i="3"/>
  <c r="O141" i="3"/>
  <c r="O147" i="3"/>
  <c r="O153" i="3"/>
  <c r="O142" i="3"/>
  <c r="O151" i="3"/>
  <c r="O136" i="3"/>
  <c r="O115" i="3"/>
  <c r="O125" i="3"/>
  <c r="O130" i="3"/>
  <c r="O150" i="3"/>
  <c r="O155" i="3"/>
  <c r="O139" i="3"/>
  <c r="O149" i="3"/>
  <c r="O112" i="3"/>
  <c r="O133" i="3"/>
  <c r="O148" i="3"/>
  <c r="O154" i="3"/>
  <c r="O152" i="3"/>
  <c r="O118" i="3"/>
  <c r="O127" i="3"/>
  <c r="O140" i="3"/>
  <c r="O146" i="3"/>
  <c r="O119" i="3"/>
  <c r="O124" i="3"/>
  <c r="O131" i="3"/>
  <c r="O144" i="3"/>
  <c r="O109" i="3"/>
  <c r="O138" i="3"/>
  <c r="O145" i="3"/>
  <c r="O121" i="3"/>
  <c r="O128" i="3"/>
  <c r="O134" i="3"/>
  <c r="O137" i="3"/>
  <c r="O143" i="3"/>
  <c r="B170" i="3"/>
  <c r="B103" i="3"/>
  <c r="B104" i="3"/>
  <c r="N180" i="3" l="1"/>
  <c r="N177" i="3"/>
  <c r="N178" i="3"/>
  <c r="N176" i="3"/>
  <c r="N179" i="3"/>
  <c r="N181" i="3"/>
  <c r="B171" i="3"/>
  <c r="P129" i="3"/>
  <c r="P112" i="3"/>
  <c r="P118" i="3"/>
  <c r="P124" i="3"/>
  <c r="P109" i="3"/>
  <c r="P115" i="3"/>
  <c r="P121" i="3"/>
  <c r="P127" i="3"/>
  <c r="P133" i="3"/>
  <c r="P139" i="3"/>
  <c r="P145" i="3"/>
  <c r="P151" i="3"/>
  <c r="P110" i="3"/>
  <c r="P116" i="3"/>
  <c r="P122" i="3"/>
  <c r="P128" i="3"/>
  <c r="P134" i="3"/>
  <c r="P140" i="3"/>
  <c r="P146" i="3"/>
  <c r="P152" i="3"/>
  <c r="P111" i="3"/>
  <c r="P117" i="3"/>
  <c r="P123" i="3"/>
  <c r="P135" i="3"/>
  <c r="P137" i="3"/>
  <c r="P143" i="3"/>
  <c r="P142" i="3"/>
  <c r="P150" i="3"/>
  <c r="P125" i="3"/>
  <c r="P130" i="3"/>
  <c r="P141" i="3"/>
  <c r="P154" i="3"/>
  <c r="P113" i="3"/>
  <c r="P136" i="3"/>
  <c r="P149" i="3"/>
  <c r="P148" i="3"/>
  <c r="P147" i="3"/>
  <c r="P120" i="3"/>
  <c r="P155" i="3"/>
  <c r="P108" i="3"/>
  <c r="P138" i="3"/>
  <c r="P132" i="3"/>
  <c r="P114" i="3"/>
  <c r="P153" i="3"/>
  <c r="P126" i="3"/>
  <c r="P119" i="3"/>
  <c r="P131" i="3"/>
  <c r="P144" i="3"/>
  <c r="Q112" i="3"/>
  <c r="Q113" i="3"/>
  <c r="Q119" i="3"/>
  <c r="Q125" i="3"/>
  <c r="Q131" i="3"/>
  <c r="Q109" i="3"/>
  <c r="Q115" i="3"/>
  <c r="Q110" i="3"/>
  <c r="Q116" i="3"/>
  <c r="Q122" i="3"/>
  <c r="Q128" i="3"/>
  <c r="Q134" i="3"/>
  <c r="Q140" i="3"/>
  <c r="Q146" i="3"/>
  <c r="Q152" i="3"/>
  <c r="Q121" i="3"/>
  <c r="Q123" i="3"/>
  <c r="Q144" i="3"/>
  <c r="Q137" i="3"/>
  <c r="Q143" i="3"/>
  <c r="Q151" i="3"/>
  <c r="Q149" i="3"/>
  <c r="Q129" i="3"/>
  <c r="Q147" i="3"/>
  <c r="Q155" i="3"/>
  <c r="Q145" i="3"/>
  <c r="Q142" i="3"/>
  <c r="Q130" i="3"/>
  <c r="Q141" i="3"/>
  <c r="Q150" i="3"/>
  <c r="Q135" i="3"/>
  <c r="Q133" i="3"/>
  <c r="Q136" i="3"/>
  <c r="Q118" i="3"/>
  <c r="Q127" i="3"/>
  <c r="Q148" i="3"/>
  <c r="Q111" i="3"/>
  <c r="Q120" i="3"/>
  <c r="Q126" i="3"/>
  <c r="Q124" i="3"/>
  <c r="Q132" i="3"/>
  <c r="Q139" i="3"/>
  <c r="Q154" i="3"/>
  <c r="Q108" i="3"/>
  <c r="Q114" i="3"/>
  <c r="Q153" i="3"/>
  <c r="Q117" i="3"/>
  <c r="Q138" i="3"/>
  <c r="O180" i="3" l="1"/>
  <c r="O181" i="3"/>
  <c r="O176" i="3"/>
  <c r="O178" i="3"/>
  <c r="O177" i="3"/>
  <c r="O179" i="3"/>
  <c r="B173" i="3"/>
  <c r="B172" i="3"/>
  <c r="P180" i="3" l="1"/>
  <c r="P177" i="3"/>
  <c r="P178" i="3"/>
  <c r="P179" i="3"/>
  <c r="P176" i="3"/>
  <c r="P181" i="3"/>
  <c r="Q180" i="3"/>
  <c r="Q181" i="3"/>
  <c r="Q176" i="3"/>
  <c r="Q177" i="3"/>
  <c r="Q178" i="3"/>
  <c r="Q179" i="3"/>
  <c r="C50" i="5"/>
  <c r="D15" i="5" s="1"/>
  <c r="C47" i="5"/>
  <c r="D12" i="5" s="1"/>
  <c r="C55" i="5"/>
  <c r="D20" i="5" s="1"/>
  <c r="C58" i="5"/>
  <c r="D23" i="5" s="1"/>
  <c r="C74" i="5"/>
  <c r="D39" i="5" s="1"/>
  <c r="C70" i="5"/>
  <c r="D35" i="5" s="1"/>
  <c r="C64" i="5"/>
  <c r="D29" i="5" s="1"/>
  <c r="C52" i="5"/>
  <c r="D17" i="5" s="1"/>
  <c r="C63" i="5"/>
  <c r="D28" i="5" s="1"/>
  <c r="C68" i="5"/>
  <c r="D33" i="5" s="1"/>
  <c r="C73" i="5"/>
  <c r="D38" i="5" s="1"/>
  <c r="C72" i="5"/>
  <c r="D37" i="5" s="1"/>
  <c r="C61" i="5"/>
  <c r="D26" i="5" s="1"/>
  <c r="C54" i="5"/>
  <c r="D19" i="5" s="1"/>
  <c r="C56" i="5"/>
  <c r="D21" i="5" s="1"/>
  <c r="C57" i="5"/>
  <c r="D22" i="5" s="1"/>
  <c r="C59" i="5"/>
  <c r="D24" i="5" s="1"/>
  <c r="C49" i="5"/>
  <c r="D14" i="5" s="1"/>
  <c r="C53" i="5"/>
  <c r="D18" i="5" s="1"/>
  <c r="C69" i="5"/>
  <c r="D34" i="5" s="1"/>
  <c r="C71" i="5"/>
  <c r="D36" i="5" s="1"/>
  <c r="C67" i="5"/>
  <c r="D32" i="5" s="1"/>
  <c r="C51" i="5"/>
  <c r="D16" i="5" s="1"/>
  <c r="C65" i="5"/>
  <c r="D30" i="5" s="1"/>
  <c r="C66" i="5"/>
  <c r="D31" i="5" s="1"/>
  <c r="C48" i="5"/>
  <c r="D13" i="5" s="1"/>
  <c r="C62" i="5"/>
  <c r="D27" i="5" s="1"/>
  <c r="C60" i="5"/>
  <c r="D25" i="5" s="1"/>
  <c r="C46" i="5"/>
  <c r="D11" i="5" s="1"/>
  <c r="C45" i="5"/>
  <c r="D10" i="5" s="1"/>
  <c r="C75" i="5"/>
  <c r="D40" i="5" s="1"/>
  <c r="C44" i="5"/>
  <c r="C80" i="5" l="1"/>
  <c r="D9" i="5"/>
  <c r="J21" i="4" l="1"/>
  <c r="J33" i="4"/>
  <c r="J45" i="4"/>
  <c r="J57" i="4"/>
  <c r="J20" i="4"/>
  <c r="J34" i="4"/>
  <c r="J47" i="4"/>
  <c r="J22" i="4"/>
  <c r="J35" i="4"/>
  <c r="J48" i="4"/>
  <c r="J24" i="4"/>
  <c r="J37" i="4"/>
  <c r="J50" i="4"/>
  <c r="J13" i="4"/>
  <c r="J26" i="4"/>
  <c r="J39" i="4"/>
  <c r="J52" i="4"/>
  <c r="J27" i="4"/>
  <c r="J53" i="4"/>
  <c r="J43" i="4"/>
  <c r="J14" i="4"/>
  <c r="J40" i="4"/>
  <c r="J15" i="4"/>
  <c r="J28" i="4"/>
  <c r="J41" i="4"/>
  <c r="J54" i="4"/>
  <c r="J30" i="4"/>
  <c r="J56" i="4"/>
  <c r="J16" i="4"/>
  <c r="J29" i="4"/>
  <c r="J42" i="4"/>
  <c r="J55" i="4"/>
  <c r="J17" i="4"/>
  <c r="J19" i="4"/>
  <c r="J32" i="4"/>
  <c r="J46" i="4"/>
  <c r="J11" i="4"/>
  <c r="J44" i="4"/>
  <c r="J18" i="4"/>
  <c r="J25" i="4"/>
  <c r="J49" i="4"/>
  <c r="J58" i="4"/>
  <c r="J12" i="4"/>
  <c r="J51" i="4"/>
  <c r="J36" i="4"/>
  <c r="J23" i="4"/>
  <c r="J38" i="4"/>
  <c r="J31" i="4"/>
  <c r="L81" i="5"/>
  <c r="J66" i="4" l="1"/>
  <c r="J79" i="4" s="1"/>
  <c r="J68" i="4"/>
  <c r="J81" i="4" s="1"/>
  <c r="J71" i="4"/>
  <c r="J84" i="4" s="1"/>
  <c r="J72" i="4"/>
  <c r="J85" i="4" s="1"/>
  <c r="J67" i="4"/>
  <c r="J80" i="4" s="1"/>
  <c r="J70" i="4"/>
  <c r="J83" i="4" s="1"/>
  <c r="J69" i="4"/>
  <c r="J82" i="4" s="1"/>
  <c r="J73" i="4"/>
  <c r="J86" i="4" s="1"/>
  <c r="I90" i="4" l="1" a="1"/>
  <c r="I90" i="4" s="1"/>
  <c r="D52" i="5" s="1"/>
  <c r="E17" i="5" s="1"/>
  <c r="D61" i="5" l="1"/>
  <c r="E26" i="5" s="1"/>
  <c r="D58" i="5"/>
  <c r="E23" i="5" s="1"/>
  <c r="D57" i="5"/>
  <c r="E22" i="5" s="1"/>
  <c r="D66" i="5"/>
  <c r="E31" i="5" s="1"/>
  <c r="D62" i="5"/>
  <c r="E27" i="5" s="1"/>
  <c r="D75" i="5"/>
  <c r="E40" i="5" s="1"/>
  <c r="D56" i="5"/>
  <c r="E21" i="5" s="1"/>
  <c r="D59" i="5"/>
  <c r="E24" i="5" s="1"/>
  <c r="D44" i="5"/>
  <c r="D74" i="5"/>
  <c r="E39" i="5" s="1"/>
  <c r="D73" i="5"/>
  <c r="E38" i="5" s="1"/>
  <c r="D70" i="5"/>
  <c r="E35" i="5" s="1"/>
  <c r="D45" i="5"/>
  <c r="E10" i="5" s="1"/>
  <c r="D46" i="5"/>
  <c r="E11" i="5" s="1"/>
  <c r="D69" i="5"/>
  <c r="E34" i="5" s="1"/>
  <c r="D65" i="5"/>
  <c r="E30" i="5" s="1"/>
  <c r="D71" i="5"/>
  <c r="E36" i="5" s="1"/>
  <c r="D49" i="5"/>
  <c r="E14" i="5" s="1"/>
  <c r="D55" i="5"/>
  <c r="E20" i="5" s="1"/>
  <c r="D50" i="5"/>
  <c r="E15" i="5" s="1"/>
  <c r="D72" i="5"/>
  <c r="E37" i="5" s="1"/>
  <c r="D68" i="5"/>
  <c r="E33" i="5" s="1"/>
  <c r="D53" i="5"/>
  <c r="E18" i="5" s="1"/>
  <c r="D63" i="5"/>
  <c r="E28" i="5" s="1"/>
  <c r="D54" i="5"/>
  <c r="E19" i="5" s="1"/>
  <c r="D64" i="5"/>
  <c r="E29" i="5" s="1"/>
  <c r="D51" i="5"/>
  <c r="E16" i="5" s="1"/>
  <c r="D47" i="5"/>
  <c r="E12" i="5" s="1"/>
  <c r="D60" i="5"/>
  <c r="E25" i="5" s="1"/>
  <c r="D67" i="5"/>
  <c r="E32" i="5" s="1"/>
  <c r="D48" i="5"/>
  <c r="E13" i="5" s="1"/>
  <c r="C81" i="5" l="1"/>
  <c r="E9" i="5"/>
  <c r="L82" i="5" s="1"/>
  <c r="K21" i="4" l="1"/>
  <c r="K33" i="4"/>
  <c r="K45" i="4"/>
  <c r="K57" i="4"/>
  <c r="K16" i="4"/>
  <c r="K29" i="4"/>
  <c r="K42" i="4"/>
  <c r="K17" i="4"/>
  <c r="K30" i="4"/>
  <c r="K43" i="4"/>
  <c r="K56" i="4"/>
  <c r="K19" i="4"/>
  <c r="K32" i="4"/>
  <c r="K46" i="4"/>
  <c r="K11" i="4"/>
  <c r="K22" i="4"/>
  <c r="K35" i="4"/>
  <c r="K48" i="4"/>
  <c r="K23" i="4"/>
  <c r="K49" i="4"/>
  <c r="K36" i="4"/>
  <c r="K24" i="4"/>
  <c r="K37" i="4"/>
  <c r="K50" i="4"/>
  <c r="K26" i="4"/>
  <c r="K52" i="4"/>
  <c r="K12" i="4"/>
  <c r="K25" i="4"/>
  <c r="K38" i="4"/>
  <c r="K51" i="4"/>
  <c r="K13" i="4"/>
  <c r="K67" i="4" s="1"/>
  <c r="K80" i="4" s="1"/>
  <c r="K39" i="4"/>
  <c r="K15" i="4"/>
  <c r="K28" i="4"/>
  <c r="K41" i="4"/>
  <c r="K54" i="4"/>
  <c r="K55" i="4"/>
  <c r="K40" i="4"/>
  <c r="K44" i="4"/>
  <c r="K18" i="4"/>
  <c r="K27" i="4"/>
  <c r="K47" i="4"/>
  <c r="K53" i="4"/>
  <c r="K14" i="4"/>
  <c r="K69" i="4" s="1"/>
  <c r="K82" i="4" s="1"/>
  <c r="K34" i="4"/>
  <c r="K58" i="4"/>
  <c r="K20" i="4"/>
  <c r="K31" i="4"/>
  <c r="K71" i="4" l="1"/>
  <c r="K84" i="4" s="1"/>
  <c r="K70" i="4"/>
  <c r="K83" i="4" s="1"/>
  <c r="K73" i="4"/>
  <c r="K86" i="4" s="1"/>
  <c r="K72" i="4"/>
  <c r="K85" i="4" s="1"/>
  <c r="K68" i="4"/>
  <c r="K81" i="4" s="1"/>
  <c r="K66" i="4"/>
  <c r="K79" i="4" s="1"/>
  <c r="I91" i="4" s="1" a="1"/>
  <c r="I91" i="4" s="1"/>
  <c r="E53" i="5" s="1"/>
  <c r="F18" i="5" s="1"/>
  <c r="E60" i="5" l="1"/>
  <c r="F25" i="5" s="1"/>
  <c r="E63" i="5"/>
  <c r="F28" i="5" s="1"/>
  <c r="E48" i="5"/>
  <c r="F13" i="5" s="1"/>
  <c r="E59" i="5"/>
  <c r="F24" i="5" s="1"/>
  <c r="E69" i="5"/>
  <c r="F34" i="5" s="1"/>
  <c r="E56" i="5"/>
  <c r="F21" i="5" s="1"/>
  <c r="E44" i="5"/>
  <c r="F9" i="5" s="1"/>
  <c r="E55" i="5"/>
  <c r="F20" i="5" s="1"/>
  <c r="E45" i="5"/>
  <c r="F10" i="5" s="1"/>
  <c r="E62" i="5"/>
  <c r="F27" i="5" s="1"/>
  <c r="E61" i="5"/>
  <c r="F26" i="5" s="1"/>
  <c r="E73" i="5"/>
  <c r="F38" i="5" s="1"/>
  <c r="E74" i="5"/>
  <c r="F39" i="5" s="1"/>
  <c r="E54" i="5"/>
  <c r="F19" i="5" s="1"/>
  <c r="E72" i="5"/>
  <c r="F37" i="5" s="1"/>
  <c r="E75" i="5"/>
  <c r="F40" i="5" s="1"/>
  <c r="E67" i="5"/>
  <c r="F32" i="5" s="1"/>
  <c r="E64" i="5"/>
  <c r="F29" i="5" s="1"/>
  <c r="E68" i="5"/>
  <c r="F33" i="5" s="1"/>
  <c r="E71" i="5"/>
  <c r="F36" i="5" s="1"/>
  <c r="E70" i="5"/>
  <c r="F35" i="5" s="1"/>
  <c r="E65" i="5"/>
  <c r="F30" i="5" s="1"/>
  <c r="E52" i="5"/>
  <c r="F17" i="5" s="1"/>
  <c r="E51" i="5"/>
  <c r="F16" i="5" s="1"/>
  <c r="E49" i="5"/>
  <c r="F14" i="5" s="1"/>
  <c r="E46" i="5"/>
  <c r="F11" i="5" s="1"/>
  <c r="E50" i="5"/>
  <c r="F15" i="5" s="1"/>
  <c r="E58" i="5"/>
  <c r="F23" i="5" s="1"/>
  <c r="E47" i="5"/>
  <c r="F12" i="5" s="1"/>
  <c r="E66" i="5"/>
  <c r="F31" i="5" s="1"/>
  <c r="E57" i="5"/>
  <c r="F22" i="5" s="1"/>
  <c r="C82" i="5" l="1"/>
  <c r="L83" i="5"/>
  <c r="L21" i="4" l="1"/>
  <c r="L33" i="4"/>
  <c r="L45" i="4"/>
  <c r="L57" i="4"/>
  <c r="L12" i="4"/>
  <c r="L25" i="4"/>
  <c r="L51" i="4"/>
  <c r="L13" i="4"/>
  <c r="L26" i="4"/>
  <c r="L39" i="4"/>
  <c r="L52" i="4"/>
  <c r="L27" i="4"/>
  <c r="L40" i="4"/>
  <c r="L15" i="4"/>
  <c r="L28" i="4"/>
  <c r="L41" i="4"/>
  <c r="L54" i="4"/>
  <c r="L29" i="4"/>
  <c r="L42" i="4"/>
  <c r="L16" i="4"/>
  <c r="L17" i="4"/>
  <c r="L30" i="4"/>
  <c r="L43" i="4"/>
  <c r="L56" i="4"/>
  <c r="L18" i="4"/>
  <c r="L44" i="4"/>
  <c r="L31" i="4"/>
  <c r="L58" i="4"/>
  <c r="L19" i="4"/>
  <c r="L32" i="4"/>
  <c r="L46" i="4"/>
  <c r="L11" i="4"/>
  <c r="L68" i="4" s="1"/>
  <c r="L81" i="4" s="1"/>
  <c r="L22" i="4"/>
  <c r="L48" i="4"/>
  <c r="L20" i="4"/>
  <c r="L73" i="4" s="1"/>
  <c r="L86" i="4" s="1"/>
  <c r="L34" i="4"/>
  <c r="L47" i="4"/>
  <c r="L35" i="4"/>
  <c r="L24" i="4"/>
  <c r="L37" i="4"/>
  <c r="L50" i="4"/>
  <c r="L38" i="4"/>
  <c r="L14" i="4"/>
  <c r="L49" i="4"/>
  <c r="L55" i="4"/>
  <c r="L23" i="4"/>
  <c r="L53" i="4"/>
  <c r="L36" i="4"/>
  <c r="L70" i="4" l="1"/>
  <c r="L83" i="4" s="1"/>
  <c r="L71" i="4"/>
  <c r="L84" i="4" s="1"/>
  <c r="L69" i="4"/>
  <c r="L82" i="4" s="1"/>
  <c r="L66" i="4"/>
  <c r="L79" i="4" s="1"/>
  <c r="I92" i="4" s="1" a="1"/>
  <c r="I92" i="4" s="1"/>
  <c r="F61" i="5" s="1"/>
  <c r="G26" i="5" s="1"/>
  <c r="L72" i="4"/>
  <c r="L85" i="4" s="1"/>
  <c r="L67" i="4"/>
  <c r="L80" i="4" s="1"/>
  <c r="F49" i="5" l="1"/>
  <c r="G14" i="5" s="1"/>
  <c r="F74" i="5"/>
  <c r="G39" i="5" s="1"/>
  <c r="F59" i="5"/>
  <c r="G24" i="5" s="1"/>
  <c r="F53" i="5"/>
  <c r="G18" i="5" s="1"/>
  <c r="F64" i="5"/>
  <c r="G29" i="5" s="1"/>
  <c r="F73" i="5"/>
  <c r="G38" i="5" s="1"/>
  <c r="F56" i="5"/>
  <c r="G21" i="5" s="1"/>
  <c r="F50" i="5"/>
  <c r="G15" i="5" s="1"/>
  <c r="F60" i="5"/>
  <c r="G25" i="5" s="1"/>
  <c r="F47" i="5"/>
  <c r="G12" i="5" s="1"/>
  <c r="F58" i="5"/>
  <c r="G23" i="5" s="1"/>
  <c r="F67" i="5"/>
  <c r="G32" i="5" s="1"/>
  <c r="F66" i="5"/>
  <c r="G31" i="5" s="1"/>
  <c r="F63" i="5"/>
  <c r="G28" i="5" s="1"/>
  <c r="F72" i="5"/>
  <c r="G37" i="5" s="1"/>
  <c r="F44" i="5"/>
  <c r="G9" i="5" s="1"/>
  <c r="F65" i="5"/>
  <c r="G30" i="5" s="1"/>
  <c r="F62" i="5"/>
  <c r="G27" i="5" s="1"/>
  <c r="F69" i="5"/>
  <c r="G34" i="5" s="1"/>
  <c r="F51" i="5"/>
  <c r="G16" i="5" s="1"/>
  <c r="F70" i="5"/>
  <c r="G35" i="5" s="1"/>
  <c r="F48" i="5"/>
  <c r="G13" i="5" s="1"/>
  <c r="F52" i="5"/>
  <c r="G17" i="5" s="1"/>
  <c r="F57" i="5"/>
  <c r="G22" i="5" s="1"/>
  <c r="F45" i="5"/>
  <c r="G10" i="5" s="1"/>
  <c r="F71" i="5"/>
  <c r="G36" i="5" s="1"/>
  <c r="F75" i="5"/>
  <c r="G40" i="5" s="1"/>
  <c r="F68" i="5"/>
  <c r="G33" i="5" s="1"/>
  <c r="F55" i="5"/>
  <c r="G20" i="5" s="1"/>
  <c r="F54" i="5"/>
  <c r="G19" i="5" s="1"/>
  <c r="F46" i="5"/>
  <c r="G11" i="5" s="1"/>
  <c r="C83" i="5" l="1"/>
  <c r="L84" i="5"/>
  <c r="M21" i="4" l="1"/>
  <c r="M33" i="4"/>
  <c r="M45" i="4"/>
  <c r="M57" i="4"/>
  <c r="M34" i="4"/>
  <c r="M47" i="4"/>
  <c r="M23" i="4"/>
  <c r="M22" i="4"/>
  <c r="M35" i="4"/>
  <c r="M48" i="4"/>
  <c r="M49" i="4"/>
  <c r="M36" i="4"/>
  <c r="M24" i="4"/>
  <c r="M37" i="4"/>
  <c r="M50" i="4"/>
  <c r="M12" i="4"/>
  <c r="M38" i="4"/>
  <c r="M51" i="4"/>
  <c r="M25" i="4"/>
  <c r="M13" i="4"/>
  <c r="M26" i="4"/>
  <c r="M39" i="4"/>
  <c r="M52" i="4"/>
  <c r="M14" i="4"/>
  <c r="M70" i="4" s="1"/>
  <c r="M83" i="4" s="1"/>
  <c r="M40" i="4"/>
  <c r="M27" i="4"/>
  <c r="M53" i="4"/>
  <c r="M15" i="4"/>
  <c r="M28" i="4"/>
  <c r="M41" i="4"/>
  <c r="M54" i="4"/>
  <c r="M17" i="4"/>
  <c r="M43" i="4"/>
  <c r="M16" i="4"/>
  <c r="M29" i="4"/>
  <c r="M42" i="4"/>
  <c r="M55" i="4"/>
  <c r="M30" i="4"/>
  <c r="M56" i="4"/>
  <c r="M19" i="4"/>
  <c r="M32" i="4"/>
  <c r="M46" i="4"/>
  <c r="M11" i="4"/>
  <c r="M66" i="4" s="1"/>
  <c r="M79" i="4" s="1"/>
  <c r="M20" i="4"/>
  <c r="M58" i="4"/>
  <c r="M31" i="4"/>
  <c r="M44" i="4"/>
  <c r="M18" i="4"/>
  <c r="M71" i="4" l="1"/>
  <c r="M84" i="4" s="1"/>
  <c r="M68" i="4"/>
  <c r="M81" i="4" s="1"/>
  <c r="M69" i="4"/>
  <c r="M82" i="4" s="1"/>
  <c r="M67" i="4"/>
  <c r="M80" i="4" s="1"/>
  <c r="I93" i="4" s="1" a="1"/>
  <c r="I93" i="4" s="1"/>
  <c r="G52" i="5" s="1"/>
  <c r="H17" i="5" s="1"/>
  <c r="M73" i="4"/>
  <c r="M86" i="4" s="1"/>
  <c r="M72" i="4"/>
  <c r="M85" i="4" s="1"/>
  <c r="G74" i="5" l="1"/>
  <c r="H39" i="5" s="1"/>
  <c r="G48" i="5"/>
  <c r="H13" i="5" s="1"/>
  <c r="G67" i="5"/>
  <c r="H32" i="5" s="1"/>
  <c r="G73" i="5"/>
  <c r="H38" i="5" s="1"/>
  <c r="G47" i="5"/>
  <c r="H12" i="5" s="1"/>
  <c r="G68" i="5"/>
  <c r="H33" i="5" s="1"/>
  <c r="G60" i="5"/>
  <c r="H25" i="5" s="1"/>
  <c r="G55" i="5"/>
  <c r="H20" i="5" s="1"/>
  <c r="G44" i="5"/>
  <c r="G61" i="5"/>
  <c r="H26" i="5" s="1"/>
  <c r="G58" i="5"/>
  <c r="H23" i="5" s="1"/>
  <c r="G45" i="5"/>
  <c r="H10" i="5" s="1"/>
  <c r="G70" i="5"/>
  <c r="H35" i="5" s="1"/>
  <c r="G63" i="5"/>
  <c r="H28" i="5" s="1"/>
  <c r="G46" i="5"/>
  <c r="H11" i="5" s="1"/>
  <c r="G75" i="5"/>
  <c r="H40" i="5" s="1"/>
  <c r="G49" i="5"/>
  <c r="H14" i="5" s="1"/>
  <c r="G54" i="5"/>
  <c r="H19" i="5" s="1"/>
  <c r="G53" i="5"/>
  <c r="H18" i="5" s="1"/>
  <c r="G51" i="5"/>
  <c r="H16" i="5" s="1"/>
  <c r="G59" i="5"/>
  <c r="H24" i="5" s="1"/>
  <c r="G71" i="5"/>
  <c r="H36" i="5" s="1"/>
  <c r="G50" i="5"/>
  <c r="H15" i="5" s="1"/>
  <c r="G72" i="5"/>
  <c r="H37" i="5" s="1"/>
  <c r="G56" i="5"/>
  <c r="H21" i="5" s="1"/>
  <c r="G64" i="5"/>
  <c r="H29" i="5" s="1"/>
  <c r="G66" i="5"/>
  <c r="H31" i="5" s="1"/>
  <c r="G65" i="5"/>
  <c r="H30" i="5" s="1"/>
  <c r="G69" i="5"/>
  <c r="H34" i="5" s="1"/>
  <c r="G62" i="5"/>
  <c r="H27" i="5" s="1"/>
  <c r="G57" i="5"/>
  <c r="H22" i="5" s="1"/>
  <c r="C84" i="5" l="1"/>
  <c r="H9" i="5"/>
  <c r="L85" i="5" s="1"/>
  <c r="N21" i="4" l="1"/>
  <c r="N33" i="4"/>
  <c r="N45" i="4"/>
  <c r="N57" i="4"/>
  <c r="N16" i="4"/>
  <c r="N29" i="4"/>
  <c r="N42" i="4"/>
  <c r="N55" i="4"/>
  <c r="N17" i="4"/>
  <c r="N30" i="4"/>
  <c r="N43" i="4"/>
  <c r="N56" i="4"/>
  <c r="N31" i="4"/>
  <c r="N44" i="4"/>
  <c r="N58" i="4"/>
  <c r="N18" i="4"/>
  <c r="N19" i="4"/>
  <c r="N32" i="4"/>
  <c r="N46" i="4"/>
  <c r="N11" i="4"/>
  <c r="N68" i="4" s="1"/>
  <c r="N81" i="4" s="1"/>
  <c r="N20" i="4"/>
  <c r="N47" i="4"/>
  <c r="N34" i="4"/>
  <c r="N22" i="4"/>
  <c r="N35" i="4"/>
  <c r="N48" i="4"/>
  <c r="N36" i="4"/>
  <c r="N23" i="4"/>
  <c r="N49" i="4"/>
  <c r="N24" i="4"/>
  <c r="N37" i="4"/>
  <c r="N50" i="4"/>
  <c r="N13" i="4"/>
  <c r="N39" i="4"/>
  <c r="N12" i="4"/>
  <c r="N25" i="4"/>
  <c r="N38" i="4"/>
  <c r="N51" i="4"/>
  <c r="N26" i="4"/>
  <c r="N52" i="4"/>
  <c r="N15" i="4"/>
  <c r="N28" i="4"/>
  <c r="N41" i="4"/>
  <c r="N54" i="4"/>
  <c r="N14" i="4"/>
  <c r="N53" i="4"/>
  <c r="N40" i="4"/>
  <c r="N27" i="4"/>
  <c r="N67" i="4" l="1"/>
  <c r="N80" i="4" s="1"/>
  <c r="N73" i="4"/>
  <c r="N86" i="4" s="1"/>
  <c r="N69" i="4"/>
  <c r="N82" i="4" s="1"/>
  <c r="N72" i="4"/>
  <c r="N85" i="4" s="1"/>
  <c r="N71" i="4"/>
  <c r="N84" i="4" s="1"/>
  <c r="N70" i="4"/>
  <c r="N83" i="4" s="1"/>
  <c r="N66" i="4"/>
  <c r="N79" i="4" s="1"/>
  <c r="I94" i="4" s="1" a="1"/>
  <c r="I94" i="4" s="1"/>
  <c r="H63" i="5" s="1"/>
  <c r="I28" i="5" s="1"/>
  <c r="H65" i="5" l="1"/>
  <c r="I30" i="5" s="1"/>
  <c r="H74" i="5"/>
  <c r="I39" i="5" s="1"/>
  <c r="H56" i="5"/>
  <c r="I21" i="5" s="1"/>
  <c r="H67" i="5"/>
  <c r="I32" i="5" s="1"/>
  <c r="H68" i="5"/>
  <c r="I33" i="5" s="1"/>
  <c r="H53" i="5"/>
  <c r="I18" i="5" s="1"/>
  <c r="H72" i="5"/>
  <c r="I37" i="5" s="1"/>
  <c r="H49" i="5"/>
  <c r="I14" i="5" s="1"/>
  <c r="H54" i="5"/>
  <c r="I19" i="5" s="1"/>
  <c r="H60" i="5"/>
  <c r="I25" i="5" s="1"/>
  <c r="H62" i="5"/>
  <c r="I27" i="5" s="1"/>
  <c r="H58" i="5"/>
  <c r="I23" i="5" s="1"/>
  <c r="H46" i="5"/>
  <c r="I11" i="5" s="1"/>
  <c r="H51" i="5"/>
  <c r="I16" i="5" s="1"/>
  <c r="H69" i="5"/>
  <c r="I34" i="5" s="1"/>
  <c r="H66" i="5"/>
  <c r="I31" i="5" s="1"/>
  <c r="H70" i="5"/>
  <c r="I35" i="5" s="1"/>
  <c r="H44" i="5"/>
  <c r="I9" i="5" s="1"/>
  <c r="H50" i="5"/>
  <c r="I15" i="5" s="1"/>
  <c r="H48" i="5"/>
  <c r="I13" i="5" s="1"/>
  <c r="H75" i="5"/>
  <c r="I40" i="5" s="1"/>
  <c r="H55" i="5"/>
  <c r="I20" i="5" s="1"/>
  <c r="H61" i="5"/>
  <c r="I26" i="5" s="1"/>
  <c r="H45" i="5"/>
  <c r="I10" i="5" s="1"/>
  <c r="H47" i="5"/>
  <c r="I12" i="5" s="1"/>
  <c r="H73" i="5"/>
  <c r="I38" i="5" s="1"/>
  <c r="H64" i="5"/>
  <c r="I29" i="5" s="1"/>
  <c r="H57" i="5"/>
  <c r="I22" i="5" s="1"/>
  <c r="H71" i="5"/>
  <c r="I36" i="5" s="1"/>
  <c r="H52" i="5"/>
  <c r="I17" i="5" s="1"/>
  <c r="H59" i="5"/>
  <c r="I24" i="5" s="1"/>
  <c r="C85" i="5" l="1"/>
  <c r="L86" i="5"/>
  <c r="O21" i="4" l="1"/>
  <c r="O33" i="4"/>
  <c r="O45" i="4"/>
  <c r="O57" i="4"/>
  <c r="O12" i="4"/>
  <c r="O25" i="4"/>
  <c r="O38" i="4"/>
  <c r="O14" i="4"/>
  <c r="O13" i="4"/>
  <c r="O26" i="4"/>
  <c r="O39" i="4"/>
  <c r="O52" i="4"/>
  <c r="O27" i="4"/>
  <c r="O53" i="4"/>
  <c r="O15" i="4"/>
  <c r="O28" i="4"/>
  <c r="O41" i="4"/>
  <c r="O54" i="4"/>
  <c r="O16" i="4"/>
  <c r="O42" i="4"/>
  <c r="O55" i="4"/>
  <c r="O29" i="4"/>
  <c r="O17" i="4"/>
  <c r="O30" i="4"/>
  <c r="O43" i="4"/>
  <c r="O56" i="4"/>
  <c r="O31" i="4"/>
  <c r="O58" i="4"/>
  <c r="O18" i="4"/>
  <c r="O44" i="4"/>
  <c r="O19" i="4"/>
  <c r="O32" i="4"/>
  <c r="O46" i="4"/>
  <c r="O11" i="4"/>
  <c r="O71" i="4" s="1"/>
  <c r="O84" i="4" s="1"/>
  <c r="O35" i="4"/>
  <c r="O20" i="4"/>
  <c r="O34" i="4"/>
  <c r="O47" i="4"/>
  <c r="O22" i="4"/>
  <c r="O48" i="4"/>
  <c r="O24" i="4"/>
  <c r="O37" i="4"/>
  <c r="O50" i="4"/>
  <c r="O51" i="4"/>
  <c r="O40" i="4"/>
  <c r="O36" i="4"/>
  <c r="O49" i="4"/>
  <c r="O23" i="4"/>
  <c r="O67" i="4" l="1"/>
  <c r="O80" i="4" s="1"/>
  <c r="O72" i="4"/>
  <c r="O85" i="4" s="1"/>
  <c r="O68" i="4"/>
  <c r="O81" i="4" s="1"/>
  <c r="O69" i="4"/>
  <c r="O82" i="4" s="1"/>
  <c r="O70" i="4"/>
  <c r="O83" i="4" s="1"/>
  <c r="O66" i="4"/>
  <c r="O79" i="4" s="1"/>
  <c r="I95" i="4" s="1" a="1"/>
  <c r="I95" i="4" s="1"/>
  <c r="I50" i="5" s="1"/>
  <c r="J15" i="5" s="1"/>
  <c r="O73" i="4"/>
  <c r="O86" i="4" s="1"/>
  <c r="I63" i="5" l="1"/>
  <c r="J28" i="5" s="1"/>
  <c r="I55" i="5"/>
  <c r="J20" i="5" s="1"/>
  <c r="I70" i="5"/>
  <c r="J35" i="5" s="1"/>
  <c r="I65" i="5"/>
  <c r="J30" i="5" s="1"/>
  <c r="I73" i="5"/>
  <c r="J38" i="5" s="1"/>
  <c r="I60" i="5"/>
  <c r="J25" i="5" s="1"/>
  <c r="I66" i="5"/>
  <c r="J31" i="5" s="1"/>
  <c r="I64" i="5"/>
  <c r="J29" i="5" s="1"/>
  <c r="I68" i="5"/>
  <c r="J33" i="5" s="1"/>
  <c r="I46" i="5"/>
  <c r="J11" i="5" s="1"/>
  <c r="I72" i="5"/>
  <c r="J37" i="5" s="1"/>
  <c r="I71" i="5"/>
  <c r="J36" i="5" s="1"/>
  <c r="I67" i="5"/>
  <c r="J32" i="5" s="1"/>
  <c r="I69" i="5"/>
  <c r="J34" i="5" s="1"/>
  <c r="I44" i="5"/>
  <c r="I61" i="5"/>
  <c r="J26" i="5" s="1"/>
  <c r="I49" i="5"/>
  <c r="J14" i="5" s="1"/>
  <c r="I48" i="5"/>
  <c r="J13" i="5" s="1"/>
  <c r="I62" i="5"/>
  <c r="J27" i="5" s="1"/>
  <c r="I51" i="5"/>
  <c r="J16" i="5" s="1"/>
  <c r="I45" i="5"/>
  <c r="J10" i="5" s="1"/>
  <c r="I47" i="5"/>
  <c r="J12" i="5" s="1"/>
  <c r="I54" i="5"/>
  <c r="J19" i="5" s="1"/>
  <c r="I52" i="5"/>
  <c r="J17" i="5" s="1"/>
  <c r="I74" i="5"/>
  <c r="J39" i="5" s="1"/>
  <c r="I75" i="5"/>
  <c r="J40" i="5" s="1"/>
  <c r="I57" i="5"/>
  <c r="J22" i="5" s="1"/>
  <c r="I58" i="5"/>
  <c r="J23" i="5" s="1"/>
  <c r="I56" i="5"/>
  <c r="J21" i="5" s="1"/>
  <c r="I53" i="5"/>
  <c r="J18" i="5" s="1"/>
  <c r="I59" i="5"/>
  <c r="J24" i="5" s="1"/>
  <c r="J9" i="5"/>
  <c r="L87" i="5" l="1"/>
  <c r="C86" i="5"/>
  <c r="P21" i="4" l="1"/>
  <c r="P33" i="4"/>
  <c r="P45" i="4"/>
  <c r="P57" i="4"/>
  <c r="P34" i="4"/>
  <c r="P47" i="4"/>
  <c r="P22" i="4"/>
  <c r="P35" i="4"/>
  <c r="P48" i="4"/>
  <c r="P23" i="4"/>
  <c r="P36" i="4"/>
  <c r="P49" i="4"/>
  <c r="P24" i="4"/>
  <c r="P37" i="4"/>
  <c r="P50" i="4"/>
  <c r="P25" i="4"/>
  <c r="P38" i="4"/>
  <c r="P12" i="4"/>
  <c r="P51" i="4"/>
  <c r="P13" i="4"/>
  <c r="P26" i="4"/>
  <c r="P39" i="4"/>
  <c r="P52" i="4"/>
  <c r="P14" i="4"/>
  <c r="P70" i="4" s="1"/>
  <c r="P83" i="4" s="1"/>
  <c r="P27" i="4"/>
  <c r="P40" i="4"/>
  <c r="P53" i="4"/>
  <c r="P15" i="4"/>
  <c r="P28" i="4"/>
  <c r="P41" i="4"/>
  <c r="P54" i="4"/>
  <c r="P17" i="4"/>
  <c r="P56" i="4"/>
  <c r="P16" i="4"/>
  <c r="P29" i="4"/>
  <c r="P42" i="4"/>
  <c r="P55" i="4"/>
  <c r="P30" i="4"/>
  <c r="P43" i="4"/>
  <c r="P19" i="4"/>
  <c r="P32" i="4"/>
  <c r="P46" i="4"/>
  <c r="P11" i="4"/>
  <c r="P73" i="4" s="1"/>
  <c r="P86" i="4" s="1"/>
  <c r="P20" i="4"/>
  <c r="P44" i="4"/>
  <c r="P58" i="4"/>
  <c r="P18" i="4"/>
  <c r="P31" i="4"/>
  <c r="P69" i="4" l="1"/>
  <c r="P82" i="4" s="1"/>
  <c r="P71" i="4"/>
  <c r="P84" i="4" s="1"/>
  <c r="P67" i="4"/>
  <c r="P80" i="4" s="1"/>
  <c r="P68" i="4"/>
  <c r="P81" i="4" s="1"/>
  <c r="P66" i="4"/>
  <c r="P79" i="4" s="1"/>
  <c r="I96" i="4" s="1" a="1"/>
  <c r="I96" i="4" s="1"/>
  <c r="J46" i="5" s="1"/>
  <c r="K11" i="5" s="1"/>
  <c r="P72" i="4"/>
  <c r="P85" i="4" s="1"/>
  <c r="J67" i="5" l="1"/>
  <c r="K32" i="5" s="1"/>
  <c r="J52" i="5"/>
  <c r="K17" i="5" s="1"/>
  <c r="J50" i="5"/>
  <c r="K15" i="5" s="1"/>
  <c r="J60" i="5"/>
  <c r="K25" i="5" s="1"/>
  <c r="J63" i="5"/>
  <c r="K28" i="5" s="1"/>
  <c r="J54" i="5"/>
  <c r="K19" i="5" s="1"/>
  <c r="J56" i="5"/>
  <c r="K21" i="5" s="1"/>
  <c r="J59" i="5"/>
  <c r="K24" i="5" s="1"/>
  <c r="J45" i="5"/>
  <c r="K10" i="5" s="1"/>
  <c r="J66" i="5"/>
  <c r="K31" i="5" s="1"/>
  <c r="J64" i="5"/>
  <c r="K29" i="5" s="1"/>
  <c r="J69" i="5"/>
  <c r="K34" i="5" s="1"/>
  <c r="J47" i="5"/>
  <c r="K12" i="5" s="1"/>
  <c r="J58" i="5"/>
  <c r="K23" i="5" s="1"/>
  <c r="J44" i="5"/>
  <c r="J73" i="5"/>
  <c r="K38" i="5" s="1"/>
  <c r="J49" i="5"/>
  <c r="K14" i="5" s="1"/>
  <c r="J57" i="5"/>
  <c r="K22" i="5" s="1"/>
  <c r="J74" i="5"/>
  <c r="K39" i="5" s="1"/>
  <c r="J55" i="5"/>
  <c r="K20" i="5" s="1"/>
  <c r="J51" i="5"/>
  <c r="K16" i="5" s="1"/>
  <c r="J62" i="5"/>
  <c r="K27" i="5" s="1"/>
  <c r="J71" i="5"/>
  <c r="K36" i="5" s="1"/>
  <c r="J72" i="5"/>
  <c r="K37" i="5" s="1"/>
  <c r="J75" i="5"/>
  <c r="K40" i="5" s="1"/>
  <c r="J61" i="5"/>
  <c r="K26" i="5" s="1"/>
  <c r="J70" i="5"/>
  <c r="K35" i="5" s="1"/>
  <c r="J53" i="5"/>
  <c r="K18" i="5" s="1"/>
  <c r="J68" i="5"/>
  <c r="K33" i="5" s="1"/>
  <c r="J48" i="5"/>
  <c r="K13" i="5" s="1"/>
  <c r="J65" i="5"/>
  <c r="K30" i="5" s="1"/>
  <c r="K9" i="5"/>
  <c r="C87" i="5" l="1"/>
  <c r="L88" i="5"/>
  <c r="Q21" i="4" l="1"/>
  <c r="Q33" i="4"/>
  <c r="Q45" i="4"/>
  <c r="Q57" i="4"/>
  <c r="Q16" i="4"/>
  <c r="Q29" i="4"/>
  <c r="Q42" i="4"/>
  <c r="Q55" i="4"/>
  <c r="Q17" i="4"/>
  <c r="Q30" i="4"/>
  <c r="Q43" i="4"/>
  <c r="Q56" i="4"/>
  <c r="Q18" i="4"/>
  <c r="Q44" i="4"/>
  <c r="Q31" i="4"/>
  <c r="Q58" i="4"/>
  <c r="Q19" i="4"/>
  <c r="Q32" i="4"/>
  <c r="Q46" i="4"/>
  <c r="Q11" i="4"/>
  <c r="Q66" i="4" s="1"/>
  <c r="Q79" i="4" s="1"/>
  <c r="Q34" i="4"/>
  <c r="Q47" i="4"/>
  <c r="Q20" i="4"/>
  <c r="Q22" i="4"/>
  <c r="Q35" i="4"/>
  <c r="Q48" i="4"/>
  <c r="Q36" i="4"/>
  <c r="Q23" i="4"/>
  <c r="Q49" i="4"/>
  <c r="Q24" i="4"/>
  <c r="Q37" i="4"/>
  <c r="Q50" i="4"/>
  <c r="Q13" i="4"/>
  <c r="Q39" i="4"/>
  <c r="Q12" i="4"/>
  <c r="Q71" i="4" s="1"/>
  <c r="Q84" i="4" s="1"/>
  <c r="Q25" i="4"/>
  <c r="Q38" i="4"/>
  <c r="Q51" i="4"/>
  <c r="Q26" i="4"/>
  <c r="Q52" i="4"/>
  <c r="Q15" i="4"/>
  <c r="Q28" i="4"/>
  <c r="Q41" i="4"/>
  <c r="Q54" i="4"/>
  <c r="Q27" i="4"/>
  <c r="Q53" i="4"/>
  <c r="Q40" i="4"/>
  <c r="Q14" i="4"/>
  <c r="Q68" i="4" l="1"/>
  <c r="Q81" i="4" s="1"/>
  <c r="Q73" i="4"/>
  <c r="Q86" i="4" s="1"/>
  <c r="Q70" i="4"/>
  <c r="Q83" i="4" s="1"/>
  <c r="Q72" i="4"/>
  <c r="Q85" i="4" s="1"/>
  <c r="Q69" i="4"/>
  <c r="Q82" i="4" s="1"/>
  <c r="Q67" i="4"/>
  <c r="Q80" i="4" s="1"/>
  <c r="I97" i="4" s="1" a="1"/>
  <c r="I97" i="4" s="1"/>
  <c r="K49" i="5" s="1"/>
  <c r="L14" i="5" s="1"/>
  <c r="K57" i="5" l="1"/>
  <c r="L22" i="5" s="1"/>
  <c r="K58" i="5"/>
  <c r="L23" i="5" s="1"/>
  <c r="K65" i="5"/>
  <c r="L30" i="5" s="1"/>
  <c r="K67" i="5"/>
  <c r="L32" i="5" s="1"/>
  <c r="K70" i="5"/>
  <c r="L35" i="5" s="1"/>
  <c r="K68" i="5"/>
  <c r="L33" i="5" s="1"/>
  <c r="K44" i="5"/>
  <c r="L9" i="5" s="1"/>
  <c r="K59" i="5"/>
  <c r="L24" i="5" s="1"/>
  <c r="K62" i="5"/>
  <c r="L27" i="5" s="1"/>
  <c r="K60" i="5"/>
  <c r="L25" i="5" s="1"/>
  <c r="K47" i="5"/>
  <c r="L12" i="5" s="1"/>
  <c r="K63" i="5"/>
  <c r="L28" i="5" s="1"/>
  <c r="K66" i="5"/>
  <c r="L31" i="5" s="1"/>
  <c r="K71" i="5"/>
  <c r="L36" i="5" s="1"/>
  <c r="K61" i="5"/>
  <c r="L26" i="5" s="1"/>
  <c r="K51" i="5"/>
  <c r="L16" i="5" s="1"/>
  <c r="K73" i="5"/>
  <c r="L38" i="5" s="1"/>
  <c r="K46" i="5"/>
  <c r="L11" i="5" s="1"/>
  <c r="K50" i="5"/>
  <c r="L15" i="5" s="1"/>
  <c r="K64" i="5"/>
  <c r="L29" i="5" s="1"/>
  <c r="K69" i="5"/>
  <c r="L34" i="5" s="1"/>
  <c r="K55" i="5"/>
  <c r="L20" i="5" s="1"/>
  <c r="K48" i="5"/>
  <c r="L13" i="5" s="1"/>
  <c r="K52" i="5"/>
  <c r="L17" i="5" s="1"/>
  <c r="K54" i="5"/>
  <c r="L19" i="5" s="1"/>
  <c r="K45" i="5"/>
  <c r="L10" i="5" s="1"/>
  <c r="K72" i="5"/>
  <c r="L37" i="5" s="1"/>
  <c r="K75" i="5"/>
  <c r="L40" i="5" s="1"/>
  <c r="K74" i="5"/>
  <c r="L39" i="5" s="1"/>
  <c r="K53" i="5"/>
  <c r="L18" i="5" s="1"/>
  <c r="K56" i="5"/>
  <c r="L21" i="5" s="1"/>
  <c r="C88" i="5" l="1"/>
  <c r="L89" i="5"/>
  <c r="R21" i="4" l="1"/>
  <c r="R33" i="4"/>
  <c r="R45" i="4"/>
  <c r="R57" i="4"/>
  <c r="R12" i="4"/>
  <c r="R25" i="4"/>
  <c r="R38" i="4"/>
  <c r="R51" i="4"/>
  <c r="R13" i="4"/>
  <c r="R26" i="4"/>
  <c r="R39" i="4"/>
  <c r="R52" i="4"/>
  <c r="R27" i="4"/>
  <c r="R53" i="4"/>
  <c r="R40" i="4"/>
  <c r="R15" i="4"/>
  <c r="R28" i="4"/>
  <c r="R41" i="4"/>
  <c r="R54" i="4"/>
  <c r="R29" i="4"/>
  <c r="R42" i="4"/>
  <c r="R55" i="4"/>
  <c r="R16" i="4"/>
  <c r="R17" i="4"/>
  <c r="R30" i="4"/>
  <c r="R43" i="4"/>
  <c r="R56" i="4"/>
  <c r="R18" i="4"/>
  <c r="R31" i="4"/>
  <c r="R44" i="4"/>
  <c r="R58" i="4"/>
  <c r="R19" i="4"/>
  <c r="R32" i="4"/>
  <c r="R46" i="4"/>
  <c r="R11" i="4"/>
  <c r="R67" i="4" s="1"/>
  <c r="R80" i="4" s="1"/>
  <c r="R35" i="4"/>
  <c r="R20" i="4"/>
  <c r="R34" i="4"/>
  <c r="R47" i="4"/>
  <c r="R22" i="4"/>
  <c r="R48" i="4"/>
  <c r="R24" i="4"/>
  <c r="R37" i="4"/>
  <c r="R50" i="4"/>
  <c r="R14" i="4"/>
  <c r="R49" i="4"/>
  <c r="R23" i="4"/>
  <c r="R36" i="4"/>
  <c r="R69" i="4" l="1"/>
  <c r="R82" i="4" s="1"/>
  <c r="R70" i="4"/>
  <c r="R83" i="4" s="1"/>
  <c r="R66" i="4"/>
  <c r="R79" i="4" s="1"/>
  <c r="I98" i="4" s="1" a="1"/>
  <c r="I98" i="4" s="1"/>
  <c r="L48" i="5" s="1"/>
  <c r="M13" i="5" s="1"/>
  <c r="R73" i="4"/>
  <c r="R86" i="4" s="1"/>
  <c r="R68" i="4"/>
  <c r="R81" i="4" s="1"/>
  <c r="R71" i="4"/>
  <c r="R84" i="4" s="1"/>
  <c r="R72" i="4"/>
  <c r="R85" i="4" s="1"/>
  <c r="L57" i="5" l="1"/>
  <c r="M22" i="5" s="1"/>
  <c r="L44" i="5"/>
  <c r="L71" i="5"/>
  <c r="M36" i="5" s="1"/>
  <c r="L67" i="5"/>
  <c r="M32" i="5" s="1"/>
  <c r="L61" i="5"/>
  <c r="M26" i="5" s="1"/>
  <c r="L49" i="5"/>
  <c r="M14" i="5" s="1"/>
  <c r="L62" i="5"/>
  <c r="M27" i="5" s="1"/>
  <c r="L51" i="5"/>
  <c r="M16" i="5" s="1"/>
  <c r="L65" i="5"/>
  <c r="M30" i="5" s="1"/>
  <c r="L73" i="5"/>
  <c r="M38" i="5" s="1"/>
  <c r="L59" i="5"/>
  <c r="M24" i="5" s="1"/>
  <c r="L50" i="5"/>
  <c r="M15" i="5" s="1"/>
  <c r="L54" i="5"/>
  <c r="M19" i="5" s="1"/>
  <c r="L72" i="5"/>
  <c r="M37" i="5" s="1"/>
  <c r="L46" i="5"/>
  <c r="M11" i="5" s="1"/>
  <c r="L53" i="5"/>
  <c r="M18" i="5" s="1"/>
  <c r="L64" i="5"/>
  <c r="M29" i="5" s="1"/>
  <c r="L52" i="5"/>
  <c r="M17" i="5" s="1"/>
  <c r="L68" i="5"/>
  <c r="M33" i="5" s="1"/>
  <c r="L45" i="5"/>
  <c r="M10" i="5" s="1"/>
  <c r="L66" i="5"/>
  <c r="M31" i="5" s="1"/>
  <c r="L58" i="5"/>
  <c r="M23" i="5" s="1"/>
  <c r="L74" i="5"/>
  <c r="M39" i="5" s="1"/>
  <c r="L56" i="5"/>
  <c r="M21" i="5" s="1"/>
  <c r="L63" i="5"/>
  <c r="M28" i="5" s="1"/>
  <c r="L60" i="5"/>
  <c r="M25" i="5" s="1"/>
  <c r="L75" i="5"/>
  <c r="M40" i="5" s="1"/>
  <c r="L47" i="5"/>
  <c r="M12" i="5" s="1"/>
  <c r="L69" i="5"/>
  <c r="M34" i="5" s="1"/>
  <c r="L55" i="5"/>
  <c r="M20" i="5" s="1"/>
  <c r="L70" i="5"/>
  <c r="M35" i="5" s="1"/>
  <c r="M9" i="5"/>
  <c r="C89" i="5" l="1"/>
  <c r="L90" i="5"/>
  <c r="S21" i="4" l="1"/>
  <c r="S33" i="4"/>
  <c r="S45" i="4"/>
  <c r="S57" i="4"/>
  <c r="S20" i="4"/>
  <c r="S34" i="4"/>
  <c r="S47" i="4"/>
  <c r="S22" i="4"/>
  <c r="S35" i="4"/>
  <c r="S48" i="4"/>
  <c r="S36" i="4"/>
  <c r="S23" i="4"/>
  <c r="S49" i="4"/>
  <c r="S24" i="4"/>
  <c r="S37" i="4"/>
  <c r="S50" i="4"/>
  <c r="S25" i="4"/>
  <c r="S51" i="4"/>
  <c r="S12" i="4"/>
  <c r="S38" i="4"/>
  <c r="S13" i="4"/>
  <c r="S26" i="4"/>
  <c r="S39" i="4"/>
  <c r="S52" i="4"/>
  <c r="S14" i="4"/>
  <c r="S27" i="4"/>
  <c r="S40" i="4"/>
  <c r="S53" i="4"/>
  <c r="S18" i="4"/>
  <c r="S15" i="4"/>
  <c r="S28" i="4"/>
  <c r="S41" i="4"/>
  <c r="S54" i="4"/>
  <c r="S17" i="4"/>
  <c r="S56" i="4"/>
  <c r="S16" i="4"/>
  <c r="S29" i="4"/>
  <c r="S42" i="4"/>
  <c r="S55" i="4"/>
  <c r="S30" i="4"/>
  <c r="S43" i="4"/>
  <c r="S19" i="4"/>
  <c r="S32" i="4"/>
  <c r="S46" i="4"/>
  <c r="S11" i="4"/>
  <c r="S73" i="4" s="1"/>
  <c r="S86" i="4" s="1"/>
  <c r="S31" i="4"/>
  <c r="S44" i="4"/>
  <c r="S58" i="4"/>
  <c r="S71" i="4" l="1"/>
  <c r="S84" i="4" s="1"/>
  <c r="S68" i="4"/>
  <c r="S81" i="4" s="1"/>
  <c r="S69" i="4"/>
  <c r="S82" i="4" s="1"/>
  <c r="S72" i="4"/>
  <c r="S85" i="4" s="1"/>
  <c r="S67" i="4"/>
  <c r="S80" i="4" s="1"/>
  <c r="S66" i="4"/>
  <c r="S79" i="4" s="1"/>
  <c r="I99" i="4" s="1" a="1"/>
  <c r="I99" i="4" s="1"/>
  <c r="M60" i="5" s="1"/>
  <c r="N25" i="5" s="1"/>
  <c r="S70" i="4"/>
  <c r="S83" i="4" s="1"/>
  <c r="M69" i="5" l="1"/>
  <c r="N34" i="5" s="1"/>
  <c r="M62" i="5"/>
  <c r="N27" i="5" s="1"/>
  <c r="M56" i="5"/>
  <c r="N21" i="5" s="1"/>
  <c r="M66" i="5"/>
  <c r="N31" i="5" s="1"/>
  <c r="M49" i="5"/>
  <c r="N14" i="5" s="1"/>
  <c r="M45" i="5"/>
  <c r="N10" i="5" s="1"/>
  <c r="M71" i="5"/>
  <c r="N36" i="5" s="1"/>
  <c r="M50" i="5"/>
  <c r="N15" i="5" s="1"/>
  <c r="M54" i="5"/>
  <c r="N19" i="5" s="1"/>
  <c r="M59" i="5"/>
  <c r="N24" i="5" s="1"/>
  <c r="M55" i="5"/>
  <c r="N20" i="5" s="1"/>
  <c r="M67" i="5"/>
  <c r="N32" i="5" s="1"/>
  <c r="M52" i="5"/>
  <c r="N17" i="5" s="1"/>
  <c r="M51" i="5"/>
  <c r="N16" i="5" s="1"/>
  <c r="M58" i="5"/>
  <c r="N23" i="5" s="1"/>
  <c r="M73" i="5"/>
  <c r="N38" i="5" s="1"/>
  <c r="M64" i="5"/>
  <c r="N29" i="5" s="1"/>
  <c r="M74" i="5"/>
  <c r="N39" i="5" s="1"/>
  <c r="M44" i="5"/>
  <c r="N9" i="5" s="1"/>
  <c r="M72" i="5"/>
  <c r="N37" i="5" s="1"/>
  <c r="M57" i="5"/>
  <c r="N22" i="5" s="1"/>
  <c r="M61" i="5"/>
  <c r="N26" i="5" s="1"/>
  <c r="M63" i="5"/>
  <c r="N28" i="5" s="1"/>
  <c r="M68" i="5"/>
  <c r="N33" i="5" s="1"/>
  <c r="M47" i="5"/>
  <c r="N12" i="5" s="1"/>
  <c r="M46" i="5"/>
  <c r="N11" i="5" s="1"/>
  <c r="M65" i="5"/>
  <c r="N30" i="5" s="1"/>
  <c r="M53" i="5"/>
  <c r="N18" i="5" s="1"/>
  <c r="M70" i="5"/>
  <c r="N35" i="5" s="1"/>
  <c r="M75" i="5"/>
  <c r="N40" i="5" s="1"/>
  <c r="M48" i="5"/>
  <c r="N13" i="5" s="1"/>
  <c r="C90" i="5" l="1"/>
  <c r="L91" i="5"/>
  <c r="T21" i="4" l="1"/>
  <c r="T33" i="4"/>
  <c r="T45" i="4"/>
  <c r="T57" i="4"/>
  <c r="T22" i="4"/>
  <c r="T15" i="4"/>
  <c r="T29" i="4"/>
  <c r="T42" i="4"/>
  <c r="T55" i="4"/>
  <c r="T44" i="4"/>
  <c r="T16" i="4"/>
  <c r="T30" i="4"/>
  <c r="T43" i="4"/>
  <c r="T56" i="4"/>
  <c r="T58" i="4"/>
  <c r="T17" i="4"/>
  <c r="T31" i="4"/>
  <c r="T18" i="4"/>
  <c r="T32" i="4"/>
  <c r="T46" i="4"/>
  <c r="T11" i="4"/>
  <c r="T70" i="4" s="1"/>
  <c r="T83" i="4" s="1"/>
  <c r="T47" i="4"/>
  <c r="T19" i="4"/>
  <c r="T34" i="4"/>
  <c r="T20" i="4"/>
  <c r="T35" i="4"/>
  <c r="T48" i="4"/>
  <c r="T13" i="4"/>
  <c r="T23" i="4"/>
  <c r="T36" i="4"/>
  <c r="T49" i="4"/>
  <c r="T27" i="4"/>
  <c r="T24" i="4"/>
  <c r="T37" i="4"/>
  <c r="T50" i="4"/>
  <c r="T40" i="4"/>
  <c r="T25" i="4"/>
  <c r="T38" i="4"/>
  <c r="T51" i="4"/>
  <c r="T12" i="4"/>
  <c r="T26" i="4"/>
  <c r="T39" i="4"/>
  <c r="T52" i="4"/>
  <c r="T53" i="4"/>
  <c r="T14" i="4"/>
  <c r="T28" i="4"/>
  <c r="T41" i="4"/>
  <c r="T54" i="4"/>
  <c r="T73" i="4" l="1"/>
  <c r="T86" i="4" s="1"/>
  <c r="T71" i="4"/>
  <c r="T84" i="4" s="1"/>
  <c r="T69" i="4"/>
  <c r="T82" i="4" s="1"/>
  <c r="T67" i="4"/>
  <c r="T80" i="4" s="1"/>
  <c r="T66" i="4"/>
  <c r="T79" i="4" s="1"/>
  <c r="I100" i="4" s="1" a="1"/>
  <c r="I100" i="4" s="1"/>
  <c r="N57" i="5" s="1"/>
  <c r="O22" i="5" s="1"/>
  <c r="T68" i="4"/>
  <c r="T81" i="4" s="1"/>
  <c r="T72" i="4"/>
  <c r="T85" i="4" s="1"/>
  <c r="N75" i="5" l="1"/>
  <c r="O40" i="5" s="1"/>
  <c r="N50" i="5"/>
  <c r="O15" i="5" s="1"/>
  <c r="N46" i="5"/>
  <c r="O11" i="5" s="1"/>
  <c r="N59" i="5"/>
  <c r="O24" i="5" s="1"/>
  <c r="N62" i="5"/>
  <c r="O27" i="5" s="1"/>
  <c r="N44" i="5"/>
  <c r="O9" i="5" s="1"/>
  <c r="N71" i="5"/>
  <c r="O36" i="5" s="1"/>
  <c r="N49" i="5"/>
  <c r="O14" i="5" s="1"/>
  <c r="N70" i="5"/>
  <c r="O35" i="5" s="1"/>
  <c r="N54" i="5"/>
  <c r="O19" i="5" s="1"/>
  <c r="N65" i="5"/>
  <c r="O30" i="5" s="1"/>
  <c r="N58" i="5"/>
  <c r="O23" i="5" s="1"/>
  <c r="N56" i="5"/>
  <c r="O21" i="5" s="1"/>
  <c r="N60" i="5"/>
  <c r="O25" i="5" s="1"/>
  <c r="N68" i="5"/>
  <c r="O33" i="5" s="1"/>
  <c r="N51" i="5"/>
  <c r="O16" i="5" s="1"/>
  <c r="N74" i="5"/>
  <c r="O39" i="5" s="1"/>
  <c r="N45" i="5"/>
  <c r="O10" i="5" s="1"/>
  <c r="N73" i="5"/>
  <c r="O38" i="5" s="1"/>
  <c r="N67" i="5"/>
  <c r="O32" i="5" s="1"/>
  <c r="N61" i="5"/>
  <c r="O26" i="5" s="1"/>
  <c r="N64" i="5"/>
  <c r="O29" i="5" s="1"/>
  <c r="N47" i="5"/>
  <c r="O12" i="5" s="1"/>
  <c r="N53" i="5"/>
  <c r="O18" i="5" s="1"/>
  <c r="N63" i="5"/>
  <c r="O28" i="5" s="1"/>
  <c r="N69" i="5"/>
  <c r="O34" i="5" s="1"/>
  <c r="N55" i="5"/>
  <c r="O20" i="5" s="1"/>
  <c r="N72" i="5"/>
  <c r="O37" i="5" s="1"/>
  <c r="N52" i="5"/>
  <c r="O17" i="5" s="1"/>
  <c r="N66" i="5"/>
  <c r="O31" i="5" s="1"/>
  <c r="N48" i="5"/>
  <c r="O13" i="5" s="1"/>
  <c r="C91" i="5" l="1"/>
  <c r="L92" i="5"/>
  <c r="U21" i="4" l="1"/>
  <c r="U33" i="4"/>
  <c r="U45" i="4"/>
  <c r="U57" i="4"/>
  <c r="U22" i="4"/>
  <c r="U34" i="4"/>
  <c r="U46" i="4"/>
  <c r="U58" i="4"/>
  <c r="U19" i="4"/>
  <c r="U49" i="4"/>
  <c r="U20" i="4"/>
  <c r="U36" i="4"/>
  <c r="U50" i="4"/>
  <c r="U51" i="4"/>
  <c r="U23" i="4"/>
  <c r="U37" i="4"/>
  <c r="U24" i="4"/>
  <c r="U38" i="4"/>
  <c r="U52" i="4"/>
  <c r="U39" i="4"/>
  <c r="U25" i="4"/>
  <c r="U53" i="4"/>
  <c r="U12" i="4"/>
  <c r="U71" i="4" s="1"/>
  <c r="U84" i="4" s="1"/>
  <c r="U26" i="4"/>
  <c r="U40" i="4"/>
  <c r="U54" i="4"/>
  <c r="U13" i="4"/>
  <c r="U27" i="4"/>
  <c r="U41" i="4"/>
  <c r="U55" i="4"/>
  <c r="U31" i="4"/>
  <c r="U14" i="4"/>
  <c r="U28" i="4"/>
  <c r="U42" i="4"/>
  <c r="U56" i="4"/>
  <c r="U47" i="4"/>
  <c r="U15" i="4"/>
  <c r="U29" i="4"/>
  <c r="U43" i="4"/>
  <c r="U11" i="4"/>
  <c r="U73" i="4" s="1"/>
  <c r="U86" i="4" s="1"/>
  <c r="U16" i="4"/>
  <c r="U30" i="4"/>
  <c r="U44" i="4"/>
  <c r="U17" i="4"/>
  <c r="U18" i="4"/>
  <c r="U32" i="4"/>
  <c r="U48" i="4"/>
  <c r="U35" i="4"/>
  <c r="U72" i="4" l="1"/>
  <c r="U85" i="4" s="1"/>
  <c r="U70" i="4"/>
  <c r="U83" i="4" s="1"/>
  <c r="U66" i="4"/>
  <c r="U79" i="4" s="1"/>
  <c r="I101" i="4" s="1" a="1"/>
  <c r="I101" i="4" s="1"/>
  <c r="O49" i="5" s="1"/>
  <c r="P14" i="5" s="1"/>
  <c r="U68" i="4"/>
  <c r="U81" i="4" s="1"/>
  <c r="U69" i="4"/>
  <c r="U82" i="4" s="1"/>
  <c r="U67" i="4"/>
  <c r="U80" i="4" s="1"/>
  <c r="O69" i="5" l="1"/>
  <c r="P34" i="5" s="1"/>
  <c r="O74" i="5"/>
  <c r="P39" i="5" s="1"/>
  <c r="O71" i="5"/>
  <c r="P36" i="5" s="1"/>
  <c r="O55" i="5"/>
  <c r="P20" i="5" s="1"/>
  <c r="O52" i="5"/>
  <c r="P17" i="5" s="1"/>
  <c r="O44" i="5"/>
  <c r="P9" i="5" s="1"/>
  <c r="O58" i="5"/>
  <c r="P23" i="5" s="1"/>
  <c r="O60" i="5"/>
  <c r="P25" i="5" s="1"/>
  <c r="O61" i="5"/>
  <c r="P26" i="5" s="1"/>
  <c r="O66" i="5"/>
  <c r="P31" i="5" s="1"/>
  <c r="O50" i="5"/>
  <c r="P15" i="5" s="1"/>
  <c r="O75" i="5"/>
  <c r="P40" i="5" s="1"/>
  <c r="O54" i="5"/>
  <c r="P19" i="5" s="1"/>
  <c r="O53" i="5"/>
  <c r="P18" i="5" s="1"/>
  <c r="O68" i="5"/>
  <c r="P33" i="5" s="1"/>
  <c r="O47" i="5"/>
  <c r="P12" i="5" s="1"/>
  <c r="O56" i="5"/>
  <c r="P21" i="5" s="1"/>
  <c r="O45" i="5"/>
  <c r="P10" i="5" s="1"/>
  <c r="O63" i="5"/>
  <c r="P28" i="5" s="1"/>
  <c r="O72" i="5"/>
  <c r="P37" i="5" s="1"/>
  <c r="O57" i="5"/>
  <c r="P22" i="5" s="1"/>
  <c r="O70" i="5"/>
  <c r="P35" i="5" s="1"/>
  <c r="O46" i="5"/>
  <c r="P11" i="5" s="1"/>
  <c r="O65" i="5"/>
  <c r="P30" i="5" s="1"/>
  <c r="O62" i="5"/>
  <c r="P27" i="5" s="1"/>
  <c r="O64" i="5"/>
  <c r="P29" i="5" s="1"/>
  <c r="O73" i="5"/>
  <c r="P38" i="5" s="1"/>
  <c r="O51" i="5"/>
  <c r="P16" i="5" s="1"/>
  <c r="O59" i="5"/>
  <c r="P24" i="5" s="1"/>
  <c r="O48" i="5"/>
  <c r="P13" i="5" s="1"/>
  <c r="O67" i="5"/>
  <c r="P32" i="5" s="1"/>
  <c r="C92" i="5" l="1"/>
  <c r="L93" i="5"/>
  <c r="V21" i="4" l="1"/>
  <c r="V33" i="4"/>
  <c r="V45" i="4"/>
  <c r="V57" i="4"/>
  <c r="V22" i="4"/>
  <c r="V34" i="4"/>
  <c r="V46" i="4"/>
  <c r="V58" i="4"/>
  <c r="V25" i="4"/>
  <c r="V39" i="4"/>
  <c r="V53" i="4"/>
  <c r="V12" i="4"/>
  <c r="V26" i="4"/>
  <c r="V40" i="4"/>
  <c r="V54" i="4"/>
  <c r="V13" i="4"/>
  <c r="V27" i="4"/>
  <c r="V41" i="4"/>
  <c r="V55" i="4"/>
  <c r="V14" i="4"/>
  <c r="V28" i="4"/>
  <c r="V42" i="4"/>
  <c r="V56" i="4"/>
  <c r="V15" i="4"/>
  <c r="V29" i="4"/>
  <c r="V43" i="4"/>
  <c r="V11" i="4"/>
  <c r="V70" i="4" s="1"/>
  <c r="V83" i="4" s="1"/>
  <c r="V16" i="4"/>
  <c r="V30" i="4"/>
  <c r="V44" i="4"/>
  <c r="V17" i="4"/>
  <c r="V31" i="4"/>
  <c r="V47" i="4"/>
  <c r="V37" i="4"/>
  <c r="V18" i="4"/>
  <c r="V32" i="4"/>
  <c r="V48" i="4"/>
  <c r="V51" i="4"/>
  <c r="V19" i="4"/>
  <c r="V35" i="4"/>
  <c r="V49" i="4"/>
  <c r="V20" i="4"/>
  <c r="V36" i="4"/>
  <c r="V50" i="4"/>
  <c r="V23" i="4"/>
  <c r="V24" i="4"/>
  <c r="V38" i="4"/>
  <c r="V52" i="4"/>
  <c r="V68" i="4" l="1"/>
  <c r="V81" i="4" s="1"/>
  <c r="V71" i="4"/>
  <c r="V84" i="4" s="1"/>
  <c r="V72" i="4"/>
  <c r="V85" i="4" s="1"/>
  <c r="V66" i="4"/>
  <c r="V79" i="4" s="1"/>
  <c r="V69" i="4"/>
  <c r="V82" i="4" s="1"/>
  <c r="V67" i="4"/>
  <c r="V80" i="4" s="1"/>
  <c r="V73" i="4"/>
  <c r="V86" i="4" s="1"/>
  <c r="I102" i="4" l="1" a="1"/>
  <c r="I102" i="4" s="1"/>
  <c r="P54" i="5" s="1"/>
  <c r="Q19" i="5" s="1"/>
  <c r="P46" i="5" l="1"/>
  <c r="Q11" i="5" s="1"/>
  <c r="P71" i="5"/>
  <c r="Q36" i="5" s="1"/>
  <c r="P63" i="5"/>
  <c r="Q28" i="5" s="1"/>
  <c r="P58" i="5"/>
  <c r="Q23" i="5" s="1"/>
  <c r="P66" i="5"/>
  <c r="Q31" i="5" s="1"/>
  <c r="P45" i="5"/>
  <c r="Q10" i="5" s="1"/>
  <c r="P61" i="5"/>
  <c r="Q26" i="5" s="1"/>
  <c r="P68" i="5"/>
  <c r="Q33" i="5" s="1"/>
  <c r="P47" i="5"/>
  <c r="Q12" i="5" s="1"/>
  <c r="P62" i="5"/>
  <c r="Q27" i="5" s="1"/>
  <c r="P70" i="5"/>
  <c r="Q35" i="5" s="1"/>
  <c r="P49" i="5"/>
  <c r="Q14" i="5" s="1"/>
  <c r="P53" i="5"/>
  <c r="Q18" i="5" s="1"/>
  <c r="P50" i="5"/>
  <c r="Q15" i="5" s="1"/>
  <c r="P60" i="5"/>
  <c r="Q25" i="5" s="1"/>
  <c r="P56" i="5"/>
  <c r="Q21" i="5" s="1"/>
  <c r="P44" i="5"/>
  <c r="P64" i="5"/>
  <c r="Q29" i="5" s="1"/>
  <c r="P65" i="5"/>
  <c r="Q30" i="5" s="1"/>
  <c r="P73" i="5"/>
  <c r="Q38" i="5" s="1"/>
  <c r="P52" i="5"/>
  <c r="Q17" i="5" s="1"/>
  <c r="P48" i="5"/>
  <c r="Q13" i="5" s="1"/>
  <c r="P51" i="5"/>
  <c r="Q16" i="5" s="1"/>
  <c r="P55" i="5"/>
  <c r="Q20" i="5" s="1"/>
  <c r="P59" i="5"/>
  <c r="Q24" i="5" s="1"/>
  <c r="P69" i="5"/>
  <c r="Q34" i="5" s="1"/>
  <c r="P72" i="5"/>
  <c r="Q37" i="5" s="1"/>
  <c r="P67" i="5"/>
  <c r="Q32" i="5" s="1"/>
  <c r="P74" i="5"/>
  <c r="Q39" i="5" s="1"/>
  <c r="P57" i="5"/>
  <c r="Q22" i="5" s="1"/>
  <c r="P75" i="5"/>
  <c r="Q40" i="5" s="1"/>
  <c r="Q9" i="5"/>
  <c r="L94" i="5" l="1"/>
  <c r="C93" i="5"/>
  <c r="W21" i="4" l="1"/>
  <c r="W33" i="4"/>
  <c r="W45" i="4"/>
  <c r="W57" i="4"/>
  <c r="W22" i="4"/>
  <c r="W34" i="4"/>
  <c r="W46" i="4"/>
  <c r="W58" i="4"/>
  <c r="W15" i="4"/>
  <c r="W29" i="4"/>
  <c r="W43" i="4"/>
  <c r="W11" i="4"/>
  <c r="W70" i="4" s="1"/>
  <c r="W83" i="4" s="1"/>
  <c r="W16" i="4"/>
  <c r="W30" i="4"/>
  <c r="W44" i="4"/>
  <c r="W17" i="4"/>
  <c r="W31" i="4"/>
  <c r="W47" i="4"/>
  <c r="W18" i="4"/>
  <c r="W32" i="4"/>
  <c r="W48" i="4"/>
  <c r="W19" i="4"/>
  <c r="W35" i="4"/>
  <c r="W49" i="4"/>
  <c r="W20" i="4"/>
  <c r="W36" i="4"/>
  <c r="W50" i="4"/>
  <c r="W23" i="4"/>
  <c r="W37" i="4"/>
  <c r="W51" i="4"/>
  <c r="W41" i="4"/>
  <c r="W24" i="4"/>
  <c r="W38" i="4"/>
  <c r="W52" i="4"/>
  <c r="W54" i="4"/>
  <c r="W13" i="4"/>
  <c r="W55" i="4"/>
  <c r="W25" i="4"/>
  <c r="W39" i="4"/>
  <c r="W53" i="4"/>
  <c r="W12" i="4"/>
  <c r="W26" i="4"/>
  <c r="W40" i="4"/>
  <c r="W27" i="4"/>
  <c r="W14" i="4"/>
  <c r="W28" i="4"/>
  <c r="W42" i="4"/>
  <c r="W56" i="4"/>
  <c r="W66" i="4" l="1"/>
  <c r="W79" i="4" s="1"/>
  <c r="I103" i="4" s="1" a="1"/>
  <c r="I103" i="4" s="1"/>
  <c r="Q54" i="5" s="1"/>
  <c r="W67" i="4"/>
  <c r="W80" i="4" s="1"/>
  <c r="W69" i="4"/>
  <c r="W82" i="4" s="1"/>
  <c r="W71" i="4"/>
  <c r="W84" i="4" s="1"/>
  <c r="W68" i="4"/>
  <c r="W81" i="4" s="1"/>
  <c r="W72" i="4"/>
  <c r="W85" i="4" s="1"/>
  <c r="W73" i="4"/>
  <c r="W86" i="4" s="1"/>
  <c r="Q45" i="5" l="1"/>
  <c r="Q63" i="5"/>
  <c r="Q75" i="5"/>
  <c r="Q68" i="5"/>
  <c r="Q69" i="5"/>
  <c r="Q44" i="5"/>
  <c r="Q50" i="5"/>
  <c r="Q46" i="5"/>
  <c r="Q64" i="5"/>
  <c r="Q57" i="5"/>
  <c r="Q65" i="5"/>
  <c r="Q60" i="5"/>
  <c r="Q47" i="5"/>
  <c r="Q74" i="5"/>
  <c r="Q61" i="5"/>
  <c r="Q52" i="5"/>
  <c r="Q49" i="5"/>
  <c r="Q73" i="5"/>
  <c r="Q67" i="5"/>
  <c r="Q48" i="5"/>
  <c r="Q62" i="5"/>
  <c r="Q55" i="5"/>
  <c r="Q53" i="5"/>
  <c r="Q72" i="5"/>
  <c r="Q71" i="5"/>
  <c r="Q70" i="5"/>
  <c r="Q66" i="5"/>
  <c r="Q58" i="5"/>
  <c r="Q51" i="5"/>
  <c r="Q56" i="5"/>
  <c r="Q59" i="5"/>
  <c r="C94" i="5" l="1"/>
  <c r="F97" i="5" s="1"/>
  <c r="E102" i="5" l="1"/>
  <c r="E114" i="5"/>
  <c r="E126" i="5"/>
  <c r="E138" i="5"/>
  <c r="E150" i="5"/>
  <c r="E162" i="5"/>
  <c r="E103" i="5"/>
  <c r="E115" i="5"/>
  <c r="E127" i="5"/>
  <c r="E139" i="5"/>
  <c r="E151" i="5"/>
  <c r="E163" i="5"/>
  <c r="E110" i="5"/>
  <c r="E124" i="5"/>
  <c r="E140" i="5"/>
  <c r="E154" i="5"/>
  <c r="E111" i="5"/>
  <c r="E125" i="5"/>
  <c r="E141" i="5"/>
  <c r="E155" i="5"/>
  <c r="E112" i="5"/>
  <c r="E128" i="5"/>
  <c r="E142" i="5"/>
  <c r="E156" i="5"/>
  <c r="E113" i="5"/>
  <c r="E129" i="5"/>
  <c r="E143" i="5"/>
  <c r="E157" i="5"/>
  <c r="E116" i="5"/>
  <c r="E130" i="5"/>
  <c r="E144" i="5"/>
  <c r="E158" i="5"/>
  <c r="E101" i="5"/>
  <c r="E117" i="5"/>
  <c r="E131" i="5"/>
  <c r="E145" i="5"/>
  <c r="E159" i="5"/>
  <c r="E108" i="5"/>
  <c r="E104" i="5"/>
  <c r="E118" i="5"/>
  <c r="E132" i="5"/>
  <c r="E146" i="5"/>
  <c r="E160" i="5"/>
  <c r="E152" i="5"/>
  <c r="E105" i="5"/>
  <c r="E119" i="5"/>
  <c r="E133" i="5"/>
  <c r="E147" i="5"/>
  <c r="E161" i="5"/>
  <c r="E136" i="5"/>
  <c r="E106" i="5"/>
  <c r="E120" i="5"/>
  <c r="E134" i="5"/>
  <c r="E148" i="5"/>
  <c r="E107" i="5"/>
  <c r="E121" i="5"/>
  <c r="E135" i="5"/>
  <c r="E149" i="5"/>
  <c r="E122" i="5"/>
  <c r="E109" i="5"/>
  <c r="E123" i="5"/>
  <c r="E137" i="5"/>
  <c r="E153" i="5"/>
  <c r="E100" i="5"/>
  <c r="I100" i="5" l="1"/>
  <c r="I102" i="5"/>
  <c r="I104" i="5"/>
  <c r="J104" i="5" s="1"/>
  <c r="I103" i="5"/>
  <c r="J103" i="5" s="1"/>
  <c r="I105" i="5"/>
  <c r="J105" i="5" s="1"/>
  <c r="I106" i="5"/>
  <c r="J106" i="5" s="1"/>
  <c r="I107" i="5"/>
  <c r="J107" i="5" s="1"/>
  <c r="I101" i="5"/>
  <c r="J100" i="5"/>
  <c r="J102" i="5"/>
  <c r="J101" i="5"/>
  <c r="O101" i="5" l="1"/>
  <c r="O10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<sst xmlns="http://schemas.openxmlformats.org/spreadsheetml/2006/main" count="257" uniqueCount="147">
  <si>
    <t>0000000100110011010001010111011110011001101110111100110111111111</t>
  </si>
  <si>
    <t>0000000000010010001101000101011001111000100110101011110011011110</t>
  </si>
  <si>
    <t>stt</t>
  </si>
  <si>
    <t>IP</t>
  </si>
  <si>
    <t>byte thứ</t>
  </si>
  <si>
    <t>hexa</t>
  </si>
  <si>
    <t>Ma trận E</t>
  </si>
  <si>
    <t xml:space="preserve">Khóa- k = </t>
  </si>
  <si>
    <t xml:space="preserve">0133457799bbcdff = </t>
  </si>
  <si>
    <t>stt k</t>
  </si>
  <si>
    <t>PC - 1</t>
  </si>
  <si>
    <t xml:space="preserve">C0 = </t>
  </si>
  <si>
    <t>D0 =</t>
  </si>
  <si>
    <t>C1 =</t>
  </si>
  <si>
    <t>D1 =</t>
  </si>
  <si>
    <t>Bảng dịch trái</t>
  </si>
  <si>
    <t>k1</t>
  </si>
  <si>
    <t>k2</t>
  </si>
  <si>
    <t>Khóa K Khi dịch trái</t>
  </si>
  <si>
    <t>pc2</t>
  </si>
  <si>
    <t xml:space="preserve">C2 = </t>
  </si>
  <si>
    <t>D2=</t>
  </si>
  <si>
    <t xml:space="preserve">C3 = </t>
  </si>
  <si>
    <t xml:space="preserve">C4 = </t>
  </si>
  <si>
    <t xml:space="preserve">C5 = </t>
  </si>
  <si>
    <t xml:space="preserve">C6 = </t>
  </si>
  <si>
    <t xml:space="preserve">C7 = </t>
  </si>
  <si>
    <t xml:space="preserve">C8 = </t>
  </si>
  <si>
    <t xml:space="preserve">C9 = </t>
  </si>
  <si>
    <t xml:space="preserve">C10 = </t>
  </si>
  <si>
    <t xml:space="preserve">C11 = </t>
  </si>
  <si>
    <t xml:space="preserve">C12 = </t>
  </si>
  <si>
    <t xml:space="preserve">C13 = </t>
  </si>
  <si>
    <t xml:space="preserve">C14 = </t>
  </si>
  <si>
    <t xml:space="preserve">C15 = </t>
  </si>
  <si>
    <t>C16 =</t>
  </si>
  <si>
    <t xml:space="preserve">D3 = </t>
  </si>
  <si>
    <t xml:space="preserve">D4 = </t>
  </si>
  <si>
    <t xml:space="preserve">D5 = </t>
  </si>
  <si>
    <t xml:space="preserve">D6 = </t>
  </si>
  <si>
    <t xml:space="preserve">D7 = </t>
  </si>
  <si>
    <t xml:space="preserve">D8 = </t>
  </si>
  <si>
    <t xml:space="preserve">D9 = </t>
  </si>
  <si>
    <t xml:space="preserve">D10 = </t>
  </si>
  <si>
    <t xml:space="preserve">D11 = </t>
  </si>
  <si>
    <t xml:space="preserve">D12 = </t>
  </si>
  <si>
    <t xml:space="preserve">D13 = </t>
  </si>
  <si>
    <t xml:space="preserve">D14 = </t>
  </si>
  <si>
    <t xml:space="preserve">D15 = </t>
  </si>
  <si>
    <t>D16 =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</si>
  <si>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</si>
  <si>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</si>
  <si>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</si>
  <si>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</si>
  <si>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</si>
  <si>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</si>
  <si>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</si>
  <si>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</si>
  <si>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</si>
  <si>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</si>
  <si>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</si>
  <si>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</si>
  <si>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</si>
  <si>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</si>
  <si>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</t>
  </si>
  <si>
    <t xml:space="preserve">bản rõ </t>
  </si>
  <si>
    <t>Input M = 00123456789abcde =</t>
  </si>
  <si>
    <t>IP^-1</t>
  </si>
  <si>
    <t>Ip(M) =</t>
  </si>
  <si>
    <t>L0 =</t>
  </si>
  <si>
    <t>R0 =</t>
  </si>
  <si>
    <t>R0</t>
  </si>
  <si>
    <t>L0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</si>
  <si>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</si>
  <si>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</si>
  <si>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</si>
  <si>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</si>
  <si>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</si>
  <si>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</si>
  <si>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</si>
  <si>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</si>
  <si>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</si>
  <si>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</si>
  <si>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</si>
  <si>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</si>
  <si>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</si>
  <si>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Sau PC-1 có k0 =</t>
  </si>
  <si>
    <t>k0</t>
  </si>
  <si>
    <t>L14</t>
  </si>
  <si>
    <t>L15</t>
  </si>
  <si>
    <t>L16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</si>
  <si>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</si>
  <si>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</si>
  <si>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</si>
  <si>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</si>
  <si>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</si>
  <si>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</si>
  <si>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</si>
  <si>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</si>
  <si>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</si>
  <si>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</si>
  <si>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</si>
  <si>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</si>
  <si>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</si>
  <si>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</si>
  <si>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</si>
  <si>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</si>
  <si>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48 bit</t>
  </si>
  <si>
    <t>i=</t>
  </si>
  <si>
    <t>IP(M)</t>
  </si>
  <si>
    <t>S_1</t>
  </si>
  <si>
    <t>S_2</t>
  </si>
  <si>
    <t>S_3</t>
  </si>
  <si>
    <t>S_4</t>
  </si>
  <si>
    <t>S_5</t>
  </si>
  <si>
    <t>S_6</t>
  </si>
  <si>
    <t>S_7</t>
  </si>
  <si>
    <t>S_8</t>
  </si>
  <si>
    <t>CHIA THÀNH CÁC KÍ TỰ 6 Bit</t>
  </si>
  <si>
    <t>SAU KHI ĐI QUA S_BOX thì kết quả là</t>
  </si>
  <si>
    <t>E(Ri) XOR Ki+1</t>
  </si>
  <si>
    <t xml:space="preserve">Kết quả sau khi L R đi qua fitsle 16 vòng là </t>
  </si>
  <si>
    <t>đi qua ip^-1</t>
  </si>
  <si>
    <t xml:space="preserve">Kết quả là </t>
  </si>
  <si>
    <t xml:space="preserve">binary </t>
  </si>
  <si>
    <t>stt byte</t>
  </si>
  <si>
    <t>kết quả là</t>
  </si>
  <si>
    <t>binary</t>
  </si>
  <si>
    <t>0</t>
  </si>
  <si>
    <t>1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</si>
  <si>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</si>
  <si>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</si>
  <si>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</si>
  <si>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</si>
  <si>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</si>
  <si>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</si>
  <si>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</si>
  <si>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</si>
  <si>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</si>
  <si>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</si>
  <si>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</si>
  <si>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</si>
  <si>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</si>
  <si>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</si>
  <si>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</si>
  <si>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</si>
  <si>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kết quả của P(S(E(R0) xor k1)) là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</si>
</sst>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49" fontId="0" fillId="2" borderId="0" xfId="0" applyNumberFormat="1" applyFill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vertical="center" wrapText="1"/>
    </xf>
    <xf numFmtId="0" fontId="0" fillId="2" borderId="0" xfId="0" applyFill="1" applyAlignment="1"/>
    <xf numFmtId="49" fontId="0" fillId="2" borderId="0" xfId="0" applyNumberFormat="1" applyFill="1" applyAlignment="1"/>
    <xf numFmtId="0" fontId="0" fillId="0" borderId="0" xfId="0" applyAlignment="1"/>
    <xf numFmtId="0" fontId="0" fillId="2" borderId="2" xfId="0" applyFill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/>
    <xf numFmtId="0" fontId="0" fillId="2" borderId="1" xfId="0" applyFill="1" applyBorder="1" applyAlignmen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DA8E-A8BF-407A-9626-26879368644F}">
  <dimension ref="A3:Q56"/>
  <sheetViews>
    <sheetView topLeftCell="A43" workbookViewId="0">
      <selection activeCell="B53" sqref="B53:Q56"/>
    </sheetView>
  </sheetViews>
  <sheetFormatPr defaultRowHeight="14.4" x14ac:dyDescent="0.3"/>
  <sheetData>
    <row r="3" spans="1:17" x14ac:dyDescent="0.3">
      <c r="A3" t="s">
        <v>110</v>
      </c>
      <c r="B3" s="11">
        <v>0</v>
      </c>
      <c r="C3" s="11">
        <v>1</v>
      </c>
      <c r="D3" s="11">
        <v>2</v>
      </c>
      <c r="E3" s="11">
        <v>3</v>
      </c>
      <c r="F3" s="11">
        <v>4</v>
      </c>
      <c r="G3" s="11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</row>
    <row r="4" spans="1:17" x14ac:dyDescent="0.3">
      <c r="A4" s="4">
        <v>0</v>
      </c>
      <c r="B4" s="12">
        <v>14</v>
      </c>
      <c r="C4" s="12">
        <v>4</v>
      </c>
      <c r="D4" s="12">
        <v>13</v>
      </c>
      <c r="E4" s="12">
        <v>1</v>
      </c>
      <c r="F4" s="12">
        <v>2</v>
      </c>
      <c r="G4" s="12">
        <v>15</v>
      </c>
      <c r="H4" s="12">
        <v>11</v>
      </c>
      <c r="I4" s="12">
        <v>8</v>
      </c>
      <c r="J4" s="12">
        <v>3</v>
      </c>
      <c r="K4" s="12">
        <v>10</v>
      </c>
      <c r="L4" s="12">
        <v>6</v>
      </c>
      <c r="M4" s="12">
        <v>12</v>
      </c>
      <c r="N4" s="12">
        <v>5</v>
      </c>
      <c r="O4" s="12">
        <v>9</v>
      </c>
      <c r="P4" s="12">
        <v>0</v>
      </c>
      <c r="Q4" s="12">
        <v>7</v>
      </c>
    </row>
    <row r="5" spans="1:17" x14ac:dyDescent="0.3">
      <c r="A5" s="4">
        <v>1</v>
      </c>
      <c r="B5" s="12">
        <v>0</v>
      </c>
      <c r="C5" s="12">
        <v>15</v>
      </c>
      <c r="D5" s="12">
        <v>7</v>
      </c>
      <c r="E5" s="12">
        <v>4</v>
      </c>
      <c r="F5" s="12">
        <v>14</v>
      </c>
      <c r="G5" s="12">
        <v>2</v>
      </c>
      <c r="H5" s="12">
        <v>13</v>
      </c>
      <c r="I5" s="12">
        <v>1</v>
      </c>
      <c r="J5" s="12">
        <v>10</v>
      </c>
      <c r="K5" s="12">
        <v>6</v>
      </c>
      <c r="L5" s="12">
        <v>12</v>
      </c>
      <c r="M5" s="12">
        <v>11</v>
      </c>
      <c r="N5" s="12">
        <v>9</v>
      </c>
      <c r="O5" s="12">
        <v>5</v>
      </c>
      <c r="P5" s="12">
        <v>3</v>
      </c>
      <c r="Q5" s="12">
        <v>8</v>
      </c>
    </row>
    <row r="6" spans="1:17" x14ac:dyDescent="0.3">
      <c r="A6" s="4">
        <v>2</v>
      </c>
      <c r="B6" s="12">
        <v>4</v>
      </c>
      <c r="C6" s="12">
        <v>1</v>
      </c>
      <c r="D6" s="12">
        <v>14</v>
      </c>
      <c r="E6" s="12">
        <v>8</v>
      </c>
      <c r="F6" s="12">
        <v>13</v>
      </c>
      <c r="G6" s="12">
        <v>6</v>
      </c>
      <c r="H6" s="12">
        <v>2</v>
      </c>
      <c r="I6" s="12">
        <v>11</v>
      </c>
      <c r="J6" s="12">
        <v>15</v>
      </c>
      <c r="K6" s="12">
        <v>12</v>
      </c>
      <c r="L6" s="12">
        <v>9</v>
      </c>
      <c r="M6" s="12">
        <v>7</v>
      </c>
      <c r="N6" s="12">
        <v>3</v>
      </c>
      <c r="O6" s="12">
        <v>10</v>
      </c>
      <c r="P6" s="12">
        <v>5</v>
      </c>
      <c r="Q6" s="12">
        <v>0</v>
      </c>
    </row>
    <row r="7" spans="1:17" x14ac:dyDescent="0.3">
      <c r="A7" s="4">
        <v>3</v>
      </c>
      <c r="B7" s="12">
        <v>15</v>
      </c>
      <c r="C7" s="12">
        <v>12</v>
      </c>
      <c r="D7" s="12">
        <v>8</v>
      </c>
      <c r="E7" s="12">
        <v>2</v>
      </c>
      <c r="F7" s="12">
        <v>4</v>
      </c>
      <c r="G7" s="12">
        <v>9</v>
      </c>
      <c r="H7" s="12">
        <v>1</v>
      </c>
      <c r="I7" s="12">
        <v>7</v>
      </c>
      <c r="J7" s="12">
        <v>5</v>
      </c>
      <c r="K7" s="12">
        <v>11</v>
      </c>
      <c r="L7" s="12">
        <v>3</v>
      </c>
      <c r="M7" s="12">
        <v>14</v>
      </c>
      <c r="N7" s="12">
        <v>10</v>
      </c>
      <c r="O7" s="12">
        <v>0</v>
      </c>
      <c r="P7" s="12">
        <v>6</v>
      </c>
      <c r="Q7" s="12">
        <v>13</v>
      </c>
    </row>
    <row r="10" spans="1:17" x14ac:dyDescent="0.3">
      <c r="A10" t="s">
        <v>111</v>
      </c>
      <c r="B10" s="11">
        <v>0</v>
      </c>
      <c r="C10" s="11">
        <v>1</v>
      </c>
      <c r="D10" s="11">
        <v>2</v>
      </c>
      <c r="E10" s="11">
        <v>3</v>
      </c>
      <c r="F10" s="11">
        <v>4</v>
      </c>
      <c r="G10" s="11">
        <v>5</v>
      </c>
      <c r="H10" s="11">
        <v>6</v>
      </c>
      <c r="I10" s="11">
        <v>7</v>
      </c>
      <c r="J10" s="11">
        <v>8</v>
      </c>
      <c r="K10" s="11">
        <v>9</v>
      </c>
      <c r="L10" s="11">
        <v>10</v>
      </c>
      <c r="M10" s="11">
        <v>11</v>
      </c>
      <c r="N10" s="11">
        <v>12</v>
      </c>
      <c r="O10" s="11">
        <v>13</v>
      </c>
      <c r="P10" s="11">
        <v>14</v>
      </c>
      <c r="Q10" s="11">
        <v>15</v>
      </c>
    </row>
    <row r="11" spans="1:17" x14ac:dyDescent="0.3">
      <c r="A11" s="4">
        <v>0</v>
      </c>
      <c r="B11" s="12">
        <v>15</v>
      </c>
      <c r="C11" s="12">
        <v>1</v>
      </c>
      <c r="D11" s="12">
        <v>8</v>
      </c>
      <c r="E11" s="12">
        <v>14</v>
      </c>
      <c r="F11" s="12">
        <v>6</v>
      </c>
      <c r="G11" s="12">
        <v>11</v>
      </c>
      <c r="H11" s="12">
        <v>3</v>
      </c>
      <c r="I11" s="12">
        <v>4</v>
      </c>
      <c r="J11" s="12">
        <v>9</v>
      </c>
      <c r="K11" s="12">
        <v>7</v>
      </c>
      <c r="L11" s="12">
        <v>2</v>
      </c>
      <c r="M11" s="12">
        <v>13</v>
      </c>
      <c r="N11" s="12">
        <v>12</v>
      </c>
      <c r="O11" s="12">
        <v>0</v>
      </c>
      <c r="P11" s="12">
        <v>5</v>
      </c>
      <c r="Q11" s="12">
        <v>10</v>
      </c>
    </row>
    <row r="12" spans="1:17" x14ac:dyDescent="0.3">
      <c r="A12" s="4">
        <v>1</v>
      </c>
      <c r="B12" s="12">
        <v>3</v>
      </c>
      <c r="C12" s="12">
        <v>13</v>
      </c>
      <c r="D12" s="12">
        <v>4</v>
      </c>
      <c r="E12" s="12">
        <v>7</v>
      </c>
      <c r="F12" s="12">
        <v>15</v>
      </c>
      <c r="G12" s="12">
        <v>2</v>
      </c>
      <c r="H12" s="12">
        <v>8</v>
      </c>
      <c r="I12" s="12">
        <v>14</v>
      </c>
      <c r="J12" s="12">
        <v>12</v>
      </c>
      <c r="K12" s="12">
        <v>0</v>
      </c>
      <c r="L12" s="12">
        <v>1</v>
      </c>
      <c r="M12" s="12">
        <v>10</v>
      </c>
      <c r="N12" s="12">
        <v>6</v>
      </c>
      <c r="O12" s="12">
        <v>9</v>
      </c>
      <c r="P12" s="12">
        <v>11</v>
      </c>
      <c r="Q12" s="12">
        <v>5</v>
      </c>
    </row>
    <row r="13" spans="1:17" x14ac:dyDescent="0.3">
      <c r="A13" s="4">
        <v>2</v>
      </c>
      <c r="B13" s="12">
        <v>0</v>
      </c>
      <c r="C13" s="12">
        <v>14</v>
      </c>
      <c r="D13" s="12">
        <v>7</v>
      </c>
      <c r="E13" s="12">
        <v>11</v>
      </c>
      <c r="F13" s="12">
        <v>10</v>
      </c>
      <c r="G13" s="12">
        <v>4</v>
      </c>
      <c r="H13" s="12">
        <v>13</v>
      </c>
      <c r="I13" s="12">
        <v>1</v>
      </c>
      <c r="J13" s="12">
        <v>5</v>
      </c>
      <c r="K13" s="12">
        <v>8</v>
      </c>
      <c r="L13" s="12">
        <v>12</v>
      </c>
      <c r="M13" s="12">
        <v>6</v>
      </c>
      <c r="N13" s="12">
        <v>9</v>
      </c>
      <c r="O13" s="12">
        <v>3</v>
      </c>
      <c r="P13" s="12">
        <v>2</v>
      </c>
      <c r="Q13" s="12">
        <v>15</v>
      </c>
    </row>
    <row r="14" spans="1:17" x14ac:dyDescent="0.3">
      <c r="A14" s="4">
        <v>3</v>
      </c>
      <c r="B14" s="12">
        <v>13</v>
      </c>
      <c r="C14" s="12">
        <v>8</v>
      </c>
      <c r="D14" s="12">
        <v>10</v>
      </c>
      <c r="E14" s="12">
        <v>1</v>
      </c>
      <c r="F14" s="12">
        <v>3</v>
      </c>
      <c r="G14" s="12">
        <v>15</v>
      </c>
      <c r="H14" s="12">
        <v>4</v>
      </c>
      <c r="I14" s="12">
        <v>2</v>
      </c>
      <c r="J14" s="12">
        <v>11</v>
      </c>
      <c r="K14" s="12">
        <v>6</v>
      </c>
      <c r="L14" s="12">
        <v>7</v>
      </c>
      <c r="M14" s="12">
        <v>12</v>
      </c>
      <c r="N14" s="12">
        <v>0</v>
      </c>
      <c r="O14" s="12">
        <v>5</v>
      </c>
      <c r="P14" s="12">
        <v>14</v>
      </c>
      <c r="Q14" s="12">
        <v>9</v>
      </c>
    </row>
    <row r="17" spans="1:17" x14ac:dyDescent="0.3">
      <c r="A17" t="s">
        <v>112</v>
      </c>
      <c r="B17" s="11">
        <v>0</v>
      </c>
      <c r="C17" s="11">
        <v>1</v>
      </c>
      <c r="D17" s="11">
        <v>2</v>
      </c>
      <c r="E17" s="11">
        <v>3</v>
      </c>
      <c r="F17" s="11">
        <v>4</v>
      </c>
      <c r="G17" s="11">
        <v>5</v>
      </c>
      <c r="H17" s="11">
        <v>6</v>
      </c>
      <c r="I17" s="11">
        <v>7</v>
      </c>
      <c r="J17" s="11">
        <v>8</v>
      </c>
      <c r="K17" s="11">
        <v>9</v>
      </c>
      <c r="L17" s="11">
        <v>10</v>
      </c>
      <c r="M17" s="11">
        <v>11</v>
      </c>
      <c r="N17" s="11">
        <v>12</v>
      </c>
      <c r="O17" s="11">
        <v>13</v>
      </c>
      <c r="P17" s="11">
        <v>14</v>
      </c>
      <c r="Q17" s="11">
        <v>15</v>
      </c>
    </row>
    <row r="18" spans="1:17" x14ac:dyDescent="0.3">
      <c r="A18" s="4">
        <v>0</v>
      </c>
      <c r="B18" s="12">
        <v>10</v>
      </c>
      <c r="C18" s="12">
        <v>0</v>
      </c>
      <c r="D18" s="12">
        <v>9</v>
      </c>
      <c r="E18" s="12">
        <v>14</v>
      </c>
      <c r="F18" s="12">
        <v>6</v>
      </c>
      <c r="G18" s="12">
        <v>3</v>
      </c>
      <c r="H18" s="12">
        <v>15</v>
      </c>
      <c r="I18" s="12">
        <v>5</v>
      </c>
      <c r="J18" s="12">
        <v>1</v>
      </c>
      <c r="K18" s="12">
        <v>13</v>
      </c>
      <c r="L18" s="12">
        <v>12</v>
      </c>
      <c r="M18" s="12">
        <v>7</v>
      </c>
      <c r="N18" s="12">
        <v>11</v>
      </c>
      <c r="O18" s="12">
        <v>4</v>
      </c>
      <c r="P18" s="12">
        <v>2</v>
      </c>
      <c r="Q18" s="12">
        <v>8</v>
      </c>
    </row>
    <row r="19" spans="1:17" x14ac:dyDescent="0.3">
      <c r="A19" s="4">
        <v>1</v>
      </c>
      <c r="B19" s="12">
        <v>13</v>
      </c>
      <c r="C19" s="12">
        <v>7</v>
      </c>
      <c r="D19" s="12">
        <v>0</v>
      </c>
      <c r="E19" s="12">
        <v>9</v>
      </c>
      <c r="F19" s="12">
        <v>3</v>
      </c>
      <c r="G19" s="12">
        <v>4</v>
      </c>
      <c r="H19" s="12">
        <v>6</v>
      </c>
      <c r="I19" s="12">
        <v>10</v>
      </c>
      <c r="J19" s="12">
        <v>2</v>
      </c>
      <c r="K19" s="12">
        <v>8</v>
      </c>
      <c r="L19" s="12">
        <v>5</v>
      </c>
      <c r="M19" s="12">
        <v>14</v>
      </c>
      <c r="N19" s="12">
        <v>12</v>
      </c>
      <c r="O19" s="12">
        <v>11</v>
      </c>
      <c r="P19" s="12">
        <v>15</v>
      </c>
      <c r="Q19" s="12">
        <v>1</v>
      </c>
    </row>
    <row r="20" spans="1:17" x14ac:dyDescent="0.3">
      <c r="A20" s="4">
        <v>2</v>
      </c>
      <c r="B20" s="12">
        <v>13</v>
      </c>
      <c r="C20" s="12">
        <v>6</v>
      </c>
      <c r="D20" s="12">
        <v>4</v>
      </c>
      <c r="E20" s="12">
        <v>9</v>
      </c>
      <c r="F20" s="12">
        <v>8</v>
      </c>
      <c r="G20" s="12">
        <v>15</v>
      </c>
      <c r="H20" s="12">
        <v>3</v>
      </c>
      <c r="I20" s="12">
        <v>0</v>
      </c>
      <c r="J20" s="12">
        <v>11</v>
      </c>
      <c r="K20" s="12">
        <v>1</v>
      </c>
      <c r="L20" s="12">
        <v>2</v>
      </c>
      <c r="M20" s="12">
        <v>12</v>
      </c>
      <c r="N20" s="12">
        <v>5</v>
      </c>
      <c r="O20" s="12">
        <v>10</v>
      </c>
      <c r="P20" s="12">
        <v>14</v>
      </c>
      <c r="Q20" s="12">
        <v>7</v>
      </c>
    </row>
    <row r="21" spans="1:17" x14ac:dyDescent="0.3">
      <c r="A21" s="4">
        <v>3</v>
      </c>
      <c r="B21" s="12">
        <v>1</v>
      </c>
      <c r="C21" s="12">
        <v>10</v>
      </c>
      <c r="D21" s="12">
        <v>13</v>
      </c>
      <c r="E21" s="12">
        <v>0</v>
      </c>
      <c r="F21" s="12">
        <v>6</v>
      </c>
      <c r="G21" s="12">
        <v>9</v>
      </c>
      <c r="H21" s="12">
        <v>8</v>
      </c>
      <c r="I21" s="12">
        <v>7</v>
      </c>
      <c r="J21" s="12">
        <v>4</v>
      </c>
      <c r="K21" s="12">
        <v>15</v>
      </c>
      <c r="L21" s="12">
        <v>14</v>
      </c>
      <c r="M21" s="12">
        <v>3</v>
      </c>
      <c r="N21" s="12">
        <v>11</v>
      </c>
      <c r="O21" s="12">
        <v>5</v>
      </c>
      <c r="P21" s="12">
        <v>2</v>
      </c>
      <c r="Q21" s="12">
        <v>12</v>
      </c>
    </row>
    <row r="24" spans="1:17" x14ac:dyDescent="0.3">
      <c r="A24" t="s">
        <v>113</v>
      </c>
      <c r="B24" s="11">
        <v>0</v>
      </c>
      <c r="C24" s="11">
        <v>1</v>
      </c>
      <c r="D24" s="11">
        <v>2</v>
      </c>
      <c r="E24" s="11">
        <v>3</v>
      </c>
      <c r="F24" s="11">
        <v>4</v>
      </c>
      <c r="G24" s="11">
        <v>5</v>
      </c>
      <c r="H24" s="11">
        <v>6</v>
      </c>
      <c r="I24" s="11">
        <v>7</v>
      </c>
      <c r="J24" s="11">
        <v>8</v>
      </c>
      <c r="K24" s="11">
        <v>9</v>
      </c>
      <c r="L24" s="11">
        <v>10</v>
      </c>
      <c r="M24" s="11">
        <v>11</v>
      </c>
      <c r="N24" s="11">
        <v>12</v>
      </c>
      <c r="O24" s="11">
        <v>13</v>
      </c>
      <c r="P24" s="11">
        <v>14</v>
      </c>
      <c r="Q24" s="11">
        <v>15</v>
      </c>
    </row>
    <row r="25" spans="1:17" x14ac:dyDescent="0.3">
      <c r="A25" s="4">
        <v>0</v>
      </c>
      <c r="B25" s="12">
        <v>7</v>
      </c>
      <c r="C25" s="12">
        <v>13</v>
      </c>
      <c r="D25" s="12">
        <v>14</v>
      </c>
      <c r="E25" s="12">
        <v>3</v>
      </c>
      <c r="F25" s="12">
        <v>0</v>
      </c>
      <c r="G25" s="12">
        <v>6</v>
      </c>
      <c r="H25" s="12">
        <v>9</v>
      </c>
      <c r="I25" s="12">
        <v>10</v>
      </c>
      <c r="J25" s="12">
        <v>1</v>
      </c>
      <c r="K25" s="12">
        <v>2</v>
      </c>
      <c r="L25" s="12">
        <v>8</v>
      </c>
      <c r="M25" s="12">
        <v>5</v>
      </c>
      <c r="N25" s="12">
        <v>11</v>
      </c>
      <c r="O25" s="12">
        <v>12</v>
      </c>
      <c r="P25" s="12">
        <v>4</v>
      </c>
      <c r="Q25" s="12">
        <v>15</v>
      </c>
    </row>
    <row r="26" spans="1:17" x14ac:dyDescent="0.3">
      <c r="A26" s="4">
        <v>1</v>
      </c>
      <c r="B26" s="12">
        <v>13</v>
      </c>
      <c r="C26" s="12">
        <v>8</v>
      </c>
      <c r="D26" s="12">
        <v>11</v>
      </c>
      <c r="E26" s="12">
        <v>5</v>
      </c>
      <c r="F26" s="12">
        <v>6</v>
      </c>
      <c r="G26" s="12">
        <v>15</v>
      </c>
      <c r="H26" s="12">
        <v>0</v>
      </c>
      <c r="I26" s="12">
        <v>3</v>
      </c>
      <c r="J26" s="12">
        <v>4</v>
      </c>
      <c r="K26" s="12">
        <v>7</v>
      </c>
      <c r="L26" s="12">
        <v>2</v>
      </c>
      <c r="M26" s="12">
        <v>12</v>
      </c>
      <c r="N26" s="12">
        <v>1</v>
      </c>
      <c r="O26" s="12">
        <v>10</v>
      </c>
      <c r="P26" s="12">
        <v>14</v>
      </c>
      <c r="Q26" s="12">
        <v>9</v>
      </c>
    </row>
    <row r="27" spans="1:17" x14ac:dyDescent="0.3">
      <c r="A27" s="4">
        <v>2</v>
      </c>
      <c r="B27" s="12">
        <v>10</v>
      </c>
      <c r="C27" s="12">
        <v>6</v>
      </c>
      <c r="D27" s="12">
        <v>9</v>
      </c>
      <c r="E27" s="12">
        <v>0</v>
      </c>
      <c r="F27" s="12">
        <v>12</v>
      </c>
      <c r="G27" s="12">
        <v>11</v>
      </c>
      <c r="H27" s="12">
        <v>7</v>
      </c>
      <c r="I27" s="12">
        <v>13</v>
      </c>
      <c r="J27" s="12">
        <v>15</v>
      </c>
      <c r="K27" s="12">
        <v>1</v>
      </c>
      <c r="L27" s="12">
        <v>3</v>
      </c>
      <c r="M27" s="12">
        <v>14</v>
      </c>
      <c r="N27" s="12">
        <v>5</v>
      </c>
      <c r="O27" s="12">
        <v>2</v>
      </c>
      <c r="P27" s="12">
        <v>8</v>
      </c>
      <c r="Q27" s="12">
        <v>4</v>
      </c>
    </row>
    <row r="28" spans="1:17" x14ac:dyDescent="0.3">
      <c r="A28" s="4">
        <v>3</v>
      </c>
      <c r="B28" s="12">
        <v>3</v>
      </c>
      <c r="C28" s="12">
        <v>15</v>
      </c>
      <c r="D28" s="12">
        <v>0</v>
      </c>
      <c r="E28" s="12">
        <v>6</v>
      </c>
      <c r="F28" s="12">
        <v>10</v>
      </c>
      <c r="G28" s="12">
        <v>1</v>
      </c>
      <c r="H28" s="12">
        <v>13</v>
      </c>
      <c r="I28" s="12">
        <v>8</v>
      </c>
      <c r="J28" s="12">
        <v>9</v>
      </c>
      <c r="K28" s="12">
        <v>4</v>
      </c>
      <c r="L28" s="12">
        <v>5</v>
      </c>
      <c r="M28" s="12">
        <v>11</v>
      </c>
      <c r="N28" s="12">
        <v>12</v>
      </c>
      <c r="O28" s="12">
        <v>7</v>
      </c>
      <c r="P28" s="12">
        <v>2</v>
      </c>
      <c r="Q28" s="12">
        <v>14</v>
      </c>
    </row>
    <row r="31" spans="1:17" x14ac:dyDescent="0.3">
      <c r="A31" t="s">
        <v>114</v>
      </c>
      <c r="B31" s="11">
        <v>0</v>
      </c>
      <c r="C31" s="11">
        <v>1</v>
      </c>
      <c r="D31" s="11">
        <v>2</v>
      </c>
      <c r="E31" s="11">
        <v>3</v>
      </c>
      <c r="F31" s="11">
        <v>4</v>
      </c>
      <c r="G31" s="11">
        <v>5</v>
      </c>
      <c r="H31" s="11">
        <v>6</v>
      </c>
      <c r="I31" s="11">
        <v>7</v>
      </c>
      <c r="J31" s="11">
        <v>8</v>
      </c>
      <c r="K31" s="11">
        <v>9</v>
      </c>
      <c r="L31" s="11">
        <v>10</v>
      </c>
      <c r="M31" s="11">
        <v>11</v>
      </c>
      <c r="N31" s="11">
        <v>12</v>
      </c>
      <c r="O31" s="11">
        <v>13</v>
      </c>
      <c r="P31" s="11">
        <v>14</v>
      </c>
      <c r="Q31" s="11">
        <v>15</v>
      </c>
    </row>
    <row r="32" spans="1:17" x14ac:dyDescent="0.3">
      <c r="A32" s="4">
        <v>0</v>
      </c>
      <c r="B32" s="12">
        <v>2</v>
      </c>
      <c r="C32" s="12">
        <v>12</v>
      </c>
      <c r="D32" s="12">
        <v>4</v>
      </c>
      <c r="E32" s="12">
        <v>1</v>
      </c>
      <c r="F32" s="12">
        <v>7</v>
      </c>
      <c r="G32" s="12">
        <v>10</v>
      </c>
      <c r="H32" s="12">
        <v>11</v>
      </c>
      <c r="I32" s="12">
        <v>6</v>
      </c>
      <c r="J32" s="12">
        <v>8</v>
      </c>
      <c r="K32" s="12">
        <v>5</v>
      </c>
      <c r="L32" s="12">
        <v>3</v>
      </c>
      <c r="M32" s="12">
        <v>15</v>
      </c>
      <c r="N32" s="12">
        <v>13</v>
      </c>
      <c r="O32" s="12">
        <v>0</v>
      </c>
      <c r="P32" s="12">
        <v>14</v>
      </c>
      <c r="Q32" s="12">
        <v>9</v>
      </c>
    </row>
    <row r="33" spans="1:17" x14ac:dyDescent="0.3">
      <c r="A33" s="4">
        <v>1</v>
      </c>
      <c r="B33" s="12">
        <v>14</v>
      </c>
      <c r="C33" s="12">
        <v>11</v>
      </c>
      <c r="D33" s="12">
        <v>2</v>
      </c>
      <c r="E33" s="12">
        <v>12</v>
      </c>
      <c r="F33" s="12">
        <v>4</v>
      </c>
      <c r="G33" s="12">
        <v>7</v>
      </c>
      <c r="H33" s="12">
        <v>13</v>
      </c>
      <c r="I33" s="12">
        <v>1</v>
      </c>
      <c r="J33" s="12">
        <v>5</v>
      </c>
      <c r="K33" s="12">
        <v>0</v>
      </c>
      <c r="L33" s="12">
        <v>15</v>
      </c>
      <c r="M33" s="12">
        <v>10</v>
      </c>
      <c r="N33" s="12">
        <v>3</v>
      </c>
      <c r="O33" s="12">
        <v>9</v>
      </c>
      <c r="P33" s="12">
        <v>8</v>
      </c>
      <c r="Q33" s="12">
        <v>6</v>
      </c>
    </row>
    <row r="34" spans="1:17" x14ac:dyDescent="0.3">
      <c r="A34" s="4">
        <v>2</v>
      </c>
      <c r="B34" s="12">
        <v>4</v>
      </c>
      <c r="C34" s="12">
        <v>2</v>
      </c>
      <c r="D34" s="12">
        <v>1</v>
      </c>
      <c r="E34" s="12">
        <v>11</v>
      </c>
      <c r="F34" s="12">
        <v>10</v>
      </c>
      <c r="G34" s="12">
        <v>13</v>
      </c>
      <c r="H34" s="12">
        <v>7</v>
      </c>
      <c r="I34" s="12">
        <v>8</v>
      </c>
      <c r="J34" s="12">
        <v>15</v>
      </c>
      <c r="K34" s="12">
        <v>9</v>
      </c>
      <c r="L34" s="12">
        <v>12</v>
      </c>
      <c r="M34" s="12">
        <v>5</v>
      </c>
      <c r="N34" s="12">
        <v>6</v>
      </c>
      <c r="O34" s="12">
        <v>3</v>
      </c>
      <c r="P34" s="12">
        <v>0</v>
      </c>
      <c r="Q34" s="12">
        <v>14</v>
      </c>
    </row>
    <row r="35" spans="1:17" x14ac:dyDescent="0.3">
      <c r="A35" s="4">
        <v>3</v>
      </c>
      <c r="B35" s="12">
        <v>11</v>
      </c>
      <c r="C35" s="12">
        <v>8</v>
      </c>
      <c r="D35" s="12">
        <v>12</v>
      </c>
      <c r="E35" s="12">
        <v>7</v>
      </c>
      <c r="F35" s="12">
        <v>1</v>
      </c>
      <c r="G35" s="12">
        <v>14</v>
      </c>
      <c r="H35" s="12">
        <v>2</v>
      </c>
      <c r="I35" s="12">
        <v>13</v>
      </c>
      <c r="J35" s="12">
        <v>6</v>
      </c>
      <c r="K35" s="12">
        <v>15</v>
      </c>
      <c r="L35" s="12">
        <v>0</v>
      </c>
      <c r="M35" s="12">
        <v>9</v>
      </c>
      <c r="N35" s="12">
        <v>10</v>
      </c>
      <c r="O35" s="12">
        <v>4</v>
      </c>
      <c r="P35" s="12">
        <v>5</v>
      </c>
      <c r="Q35" s="12">
        <v>3</v>
      </c>
    </row>
    <row r="38" spans="1:17" x14ac:dyDescent="0.3">
      <c r="A38" t="s">
        <v>115</v>
      </c>
      <c r="B38" s="11">
        <v>0</v>
      </c>
      <c r="C38" s="11">
        <v>1</v>
      </c>
      <c r="D38" s="11">
        <v>2</v>
      </c>
      <c r="E38" s="11">
        <v>3</v>
      </c>
      <c r="F38" s="11">
        <v>4</v>
      </c>
      <c r="G38" s="11">
        <v>5</v>
      </c>
      <c r="H38" s="11">
        <v>6</v>
      </c>
      <c r="I38" s="11">
        <v>7</v>
      </c>
      <c r="J38" s="11">
        <v>8</v>
      </c>
      <c r="K38" s="11">
        <v>9</v>
      </c>
      <c r="L38" s="11">
        <v>10</v>
      </c>
      <c r="M38" s="11">
        <v>11</v>
      </c>
      <c r="N38" s="11">
        <v>12</v>
      </c>
      <c r="O38" s="11">
        <v>13</v>
      </c>
      <c r="P38" s="11">
        <v>14</v>
      </c>
      <c r="Q38" s="11">
        <v>15</v>
      </c>
    </row>
    <row r="39" spans="1:17" x14ac:dyDescent="0.3">
      <c r="A39" s="4">
        <v>0</v>
      </c>
      <c r="B39" s="12">
        <v>12</v>
      </c>
      <c r="C39" s="12">
        <v>1</v>
      </c>
      <c r="D39" s="12">
        <v>10</v>
      </c>
      <c r="E39" s="12">
        <v>15</v>
      </c>
      <c r="F39" s="12">
        <v>9</v>
      </c>
      <c r="G39" s="12">
        <v>2</v>
      </c>
      <c r="H39" s="12">
        <v>6</v>
      </c>
      <c r="I39" s="12">
        <v>8</v>
      </c>
      <c r="J39" s="12">
        <v>0</v>
      </c>
      <c r="K39" s="12">
        <v>13</v>
      </c>
      <c r="L39" s="12">
        <v>3</v>
      </c>
      <c r="M39" s="12">
        <v>4</v>
      </c>
      <c r="N39" s="12">
        <v>14</v>
      </c>
      <c r="O39" s="12">
        <v>7</v>
      </c>
      <c r="P39" s="12">
        <v>5</v>
      </c>
      <c r="Q39" s="12">
        <v>11</v>
      </c>
    </row>
    <row r="40" spans="1:17" x14ac:dyDescent="0.3">
      <c r="A40" s="4">
        <v>1</v>
      </c>
      <c r="B40" s="12">
        <v>10</v>
      </c>
      <c r="C40" s="12">
        <v>15</v>
      </c>
      <c r="D40" s="12">
        <v>4</v>
      </c>
      <c r="E40" s="12">
        <v>2</v>
      </c>
      <c r="F40" s="12">
        <v>7</v>
      </c>
      <c r="G40" s="12">
        <v>12</v>
      </c>
      <c r="H40" s="12">
        <v>9</v>
      </c>
      <c r="I40" s="12">
        <v>5</v>
      </c>
      <c r="J40" s="12">
        <v>6</v>
      </c>
      <c r="K40" s="12">
        <v>1</v>
      </c>
      <c r="L40" s="12">
        <v>13</v>
      </c>
      <c r="M40" s="12">
        <v>14</v>
      </c>
      <c r="N40" s="12">
        <v>0</v>
      </c>
      <c r="O40" s="12">
        <v>11</v>
      </c>
      <c r="P40" s="12">
        <v>3</v>
      </c>
      <c r="Q40" s="12">
        <v>8</v>
      </c>
    </row>
    <row r="41" spans="1:17" x14ac:dyDescent="0.3">
      <c r="A41" s="4">
        <v>2</v>
      </c>
      <c r="B41" s="12">
        <v>9</v>
      </c>
      <c r="C41" s="12">
        <v>14</v>
      </c>
      <c r="D41" s="12">
        <v>15</v>
      </c>
      <c r="E41" s="12">
        <v>5</v>
      </c>
      <c r="F41" s="12">
        <v>2</v>
      </c>
      <c r="G41" s="12">
        <v>8</v>
      </c>
      <c r="H41" s="12">
        <v>12</v>
      </c>
      <c r="I41" s="12">
        <v>3</v>
      </c>
      <c r="J41" s="12">
        <v>7</v>
      </c>
      <c r="K41" s="12">
        <v>0</v>
      </c>
      <c r="L41" s="12">
        <v>4</v>
      </c>
      <c r="M41" s="12">
        <v>10</v>
      </c>
      <c r="N41" s="12">
        <v>1</v>
      </c>
      <c r="O41" s="12">
        <v>13</v>
      </c>
      <c r="P41" s="12">
        <v>11</v>
      </c>
      <c r="Q41" s="12">
        <v>6</v>
      </c>
    </row>
    <row r="42" spans="1:17" x14ac:dyDescent="0.3">
      <c r="A42" s="4">
        <v>3</v>
      </c>
      <c r="B42" s="12">
        <v>4</v>
      </c>
      <c r="C42" s="12">
        <v>3</v>
      </c>
      <c r="D42" s="12">
        <v>2</v>
      </c>
      <c r="E42" s="12">
        <v>12</v>
      </c>
      <c r="F42" s="12">
        <v>9</v>
      </c>
      <c r="G42" s="12">
        <v>5</v>
      </c>
      <c r="H42" s="12">
        <v>15</v>
      </c>
      <c r="I42" s="12">
        <v>10</v>
      </c>
      <c r="J42" s="12">
        <v>11</v>
      </c>
      <c r="K42" s="12">
        <v>14</v>
      </c>
      <c r="L42" s="12">
        <v>1</v>
      </c>
      <c r="M42" s="12">
        <v>7</v>
      </c>
      <c r="N42" s="12">
        <v>6</v>
      </c>
      <c r="O42" s="12">
        <v>0</v>
      </c>
      <c r="P42" s="12">
        <v>8</v>
      </c>
      <c r="Q42" s="12">
        <v>13</v>
      </c>
    </row>
    <row r="45" spans="1:17" x14ac:dyDescent="0.3">
      <c r="A45" t="s">
        <v>116</v>
      </c>
      <c r="B45" s="11">
        <v>0</v>
      </c>
      <c r="C45" s="11">
        <v>1</v>
      </c>
      <c r="D45" s="11">
        <v>2</v>
      </c>
      <c r="E45" s="11">
        <v>3</v>
      </c>
      <c r="F45" s="11">
        <v>4</v>
      </c>
      <c r="G45" s="11">
        <v>5</v>
      </c>
      <c r="H45" s="11">
        <v>6</v>
      </c>
      <c r="I45" s="11">
        <v>7</v>
      </c>
      <c r="J45" s="11">
        <v>8</v>
      </c>
      <c r="K45" s="11">
        <v>9</v>
      </c>
      <c r="L45" s="11">
        <v>10</v>
      </c>
      <c r="M45" s="11">
        <v>11</v>
      </c>
      <c r="N45" s="11">
        <v>12</v>
      </c>
      <c r="O45" s="11">
        <v>13</v>
      </c>
      <c r="P45" s="11">
        <v>14</v>
      </c>
      <c r="Q45" s="11">
        <v>15</v>
      </c>
    </row>
    <row r="46" spans="1:17" x14ac:dyDescent="0.3">
      <c r="A46" s="4">
        <v>0</v>
      </c>
      <c r="B46" s="12">
        <v>4</v>
      </c>
      <c r="C46" s="12">
        <v>11</v>
      </c>
      <c r="D46" s="12">
        <v>2</v>
      </c>
      <c r="E46" s="12">
        <v>14</v>
      </c>
      <c r="F46" s="12">
        <v>15</v>
      </c>
      <c r="G46" s="12">
        <v>0</v>
      </c>
      <c r="H46" s="12">
        <v>8</v>
      </c>
      <c r="I46" s="12">
        <v>13</v>
      </c>
      <c r="J46" s="12">
        <v>3</v>
      </c>
      <c r="K46" s="12">
        <v>12</v>
      </c>
      <c r="L46" s="12">
        <v>9</v>
      </c>
      <c r="M46" s="12">
        <v>7</v>
      </c>
      <c r="N46" s="12">
        <v>5</v>
      </c>
      <c r="O46" s="12">
        <v>10</v>
      </c>
      <c r="P46" s="12">
        <v>6</v>
      </c>
      <c r="Q46" s="12">
        <v>1</v>
      </c>
    </row>
    <row r="47" spans="1:17" x14ac:dyDescent="0.3">
      <c r="A47" s="4">
        <v>1</v>
      </c>
      <c r="B47" s="12">
        <v>13</v>
      </c>
      <c r="C47" s="12">
        <v>0</v>
      </c>
      <c r="D47" s="12">
        <v>11</v>
      </c>
      <c r="E47" s="12">
        <v>7</v>
      </c>
      <c r="F47" s="12">
        <v>4</v>
      </c>
      <c r="G47" s="12">
        <v>9</v>
      </c>
      <c r="H47" s="12">
        <v>1</v>
      </c>
      <c r="I47" s="12">
        <v>10</v>
      </c>
      <c r="J47" s="12">
        <v>14</v>
      </c>
      <c r="K47" s="12">
        <v>3</v>
      </c>
      <c r="L47" s="12">
        <v>5</v>
      </c>
      <c r="M47" s="12">
        <v>12</v>
      </c>
      <c r="N47" s="12">
        <v>2</v>
      </c>
      <c r="O47" s="12">
        <v>15</v>
      </c>
      <c r="P47" s="12">
        <v>8</v>
      </c>
      <c r="Q47" s="12">
        <v>6</v>
      </c>
    </row>
    <row r="48" spans="1:17" x14ac:dyDescent="0.3">
      <c r="A48" s="4">
        <v>2</v>
      </c>
      <c r="B48" s="12">
        <v>1</v>
      </c>
      <c r="C48" s="12">
        <v>4</v>
      </c>
      <c r="D48" s="12">
        <v>11</v>
      </c>
      <c r="E48" s="12">
        <v>13</v>
      </c>
      <c r="F48" s="12">
        <v>12</v>
      </c>
      <c r="G48" s="12">
        <v>3</v>
      </c>
      <c r="H48" s="12">
        <v>7</v>
      </c>
      <c r="I48" s="12">
        <v>14</v>
      </c>
      <c r="J48" s="12">
        <v>10</v>
      </c>
      <c r="K48" s="12">
        <v>15</v>
      </c>
      <c r="L48" s="12">
        <v>6</v>
      </c>
      <c r="M48" s="12">
        <v>8</v>
      </c>
      <c r="N48" s="12">
        <v>0</v>
      </c>
      <c r="O48" s="12">
        <v>5</v>
      </c>
      <c r="P48" s="12">
        <v>9</v>
      </c>
      <c r="Q48" s="12">
        <v>2</v>
      </c>
    </row>
    <row r="49" spans="1:17" x14ac:dyDescent="0.3">
      <c r="A49" s="4">
        <v>3</v>
      </c>
      <c r="B49" s="12">
        <v>6</v>
      </c>
      <c r="C49" s="12">
        <v>11</v>
      </c>
      <c r="D49" s="12">
        <v>13</v>
      </c>
      <c r="E49" s="12">
        <v>8</v>
      </c>
      <c r="F49" s="12">
        <v>1</v>
      </c>
      <c r="G49" s="12">
        <v>4</v>
      </c>
      <c r="H49" s="12">
        <v>10</v>
      </c>
      <c r="I49" s="12">
        <v>7</v>
      </c>
      <c r="J49" s="12">
        <v>9</v>
      </c>
      <c r="K49" s="12">
        <v>5</v>
      </c>
      <c r="L49" s="12">
        <v>0</v>
      </c>
      <c r="M49" s="12">
        <v>15</v>
      </c>
      <c r="N49" s="12">
        <v>14</v>
      </c>
      <c r="O49" s="12">
        <v>2</v>
      </c>
      <c r="P49" s="12">
        <v>3</v>
      </c>
      <c r="Q49" s="12">
        <v>12</v>
      </c>
    </row>
    <row r="52" spans="1:17" x14ac:dyDescent="0.3">
      <c r="A52" t="s">
        <v>117</v>
      </c>
      <c r="B52" s="11">
        <v>0</v>
      </c>
      <c r="C52" s="11">
        <v>1</v>
      </c>
      <c r="D52" s="11">
        <v>2</v>
      </c>
      <c r="E52" s="11">
        <v>3</v>
      </c>
      <c r="F52" s="11">
        <v>4</v>
      </c>
      <c r="G52" s="11">
        <v>5</v>
      </c>
      <c r="H52" s="11">
        <v>6</v>
      </c>
      <c r="I52" s="11">
        <v>7</v>
      </c>
      <c r="J52" s="11">
        <v>8</v>
      </c>
      <c r="K52" s="11">
        <v>9</v>
      </c>
      <c r="L52" s="11">
        <v>10</v>
      </c>
      <c r="M52" s="11">
        <v>11</v>
      </c>
      <c r="N52" s="11">
        <v>12</v>
      </c>
      <c r="O52" s="11">
        <v>13</v>
      </c>
      <c r="P52" s="11">
        <v>14</v>
      </c>
      <c r="Q52" s="11">
        <v>15</v>
      </c>
    </row>
    <row r="53" spans="1:17" x14ac:dyDescent="0.3">
      <c r="A53" s="4">
        <v>0</v>
      </c>
      <c r="B53" s="12">
        <v>13</v>
      </c>
      <c r="C53" s="12">
        <v>2</v>
      </c>
      <c r="D53" s="12">
        <v>8</v>
      </c>
      <c r="E53" s="12">
        <v>4</v>
      </c>
      <c r="F53" s="12">
        <v>6</v>
      </c>
      <c r="G53" s="12">
        <v>15</v>
      </c>
      <c r="H53" s="12">
        <v>11</v>
      </c>
      <c r="I53" s="12">
        <v>1</v>
      </c>
      <c r="J53" s="12">
        <v>10</v>
      </c>
      <c r="K53" s="12">
        <v>9</v>
      </c>
      <c r="L53" s="12">
        <v>3</v>
      </c>
      <c r="M53" s="12">
        <v>14</v>
      </c>
      <c r="N53" s="12">
        <v>5</v>
      </c>
      <c r="O53" s="12">
        <v>0</v>
      </c>
      <c r="P53" s="12">
        <v>12</v>
      </c>
      <c r="Q53" s="12">
        <v>7</v>
      </c>
    </row>
    <row r="54" spans="1:17" x14ac:dyDescent="0.3">
      <c r="A54" s="4">
        <v>1</v>
      </c>
      <c r="B54" s="12">
        <v>1</v>
      </c>
      <c r="C54" s="12">
        <v>15</v>
      </c>
      <c r="D54" s="12">
        <v>13</v>
      </c>
      <c r="E54" s="12">
        <v>8</v>
      </c>
      <c r="F54" s="12">
        <v>10</v>
      </c>
      <c r="G54" s="12">
        <v>3</v>
      </c>
      <c r="H54" s="12">
        <v>7</v>
      </c>
      <c r="I54" s="12">
        <v>4</v>
      </c>
      <c r="J54" s="12">
        <v>12</v>
      </c>
      <c r="K54" s="12">
        <v>5</v>
      </c>
      <c r="L54" s="12">
        <v>6</v>
      </c>
      <c r="M54" s="12">
        <v>11</v>
      </c>
      <c r="N54" s="12">
        <v>0</v>
      </c>
      <c r="O54" s="12">
        <v>14</v>
      </c>
      <c r="P54" s="12">
        <v>9</v>
      </c>
      <c r="Q54" s="12">
        <v>2</v>
      </c>
    </row>
    <row r="55" spans="1:17" x14ac:dyDescent="0.3">
      <c r="A55" s="4">
        <v>2</v>
      </c>
      <c r="B55" s="12">
        <v>7</v>
      </c>
      <c r="C55" s="12">
        <v>11</v>
      </c>
      <c r="D55" s="12">
        <v>4</v>
      </c>
      <c r="E55" s="12">
        <v>1</v>
      </c>
      <c r="F55" s="12">
        <v>9</v>
      </c>
      <c r="G55" s="12">
        <v>12</v>
      </c>
      <c r="H55" s="12">
        <v>14</v>
      </c>
      <c r="I55" s="12">
        <v>2</v>
      </c>
      <c r="J55" s="12">
        <v>0</v>
      </c>
      <c r="K55" s="12">
        <v>6</v>
      </c>
      <c r="L55" s="12">
        <v>10</v>
      </c>
      <c r="M55" s="12">
        <v>13</v>
      </c>
      <c r="N55" s="12">
        <v>15</v>
      </c>
      <c r="O55" s="12">
        <v>3</v>
      </c>
      <c r="P55" s="12">
        <v>5</v>
      </c>
      <c r="Q55" s="12">
        <v>8</v>
      </c>
    </row>
    <row r="56" spans="1:17" x14ac:dyDescent="0.3">
      <c r="A56" s="4">
        <v>3</v>
      </c>
      <c r="B56" s="12">
        <v>2</v>
      </c>
      <c r="C56" s="12">
        <v>1</v>
      </c>
      <c r="D56" s="12">
        <v>14</v>
      </c>
      <c r="E56" s="12">
        <v>7</v>
      </c>
      <c r="F56" s="12">
        <v>4</v>
      </c>
      <c r="G56" s="12">
        <v>10</v>
      </c>
      <c r="H56" s="12">
        <v>8</v>
      </c>
      <c r="I56" s="12">
        <v>13</v>
      </c>
      <c r="J56" s="12">
        <v>15</v>
      </c>
      <c r="K56" s="12">
        <v>12</v>
      </c>
      <c r="L56" s="12">
        <v>9</v>
      </c>
      <c r="M56" s="12">
        <v>0</v>
      </c>
      <c r="N56" s="12">
        <v>3</v>
      </c>
      <c r="O56" s="12">
        <v>5</v>
      </c>
      <c r="P56" s="12">
        <v>6</v>
      </c>
      <c r="Q56" s="12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5DA0-AFB0-4413-94C7-C9A101C112CA}">
  <dimension ref="A1:Q181"/>
  <sheetViews>
    <sheetView workbookViewId="0">
      <selection activeCell="O4" sqref="O4"/>
    </sheetView>
  </sheetViews>
  <sheetFormatPr defaultRowHeight="14.4" x14ac:dyDescent="0.3"/>
  <sheetData>
    <row r="1" spans="1:11" x14ac:dyDescent="0.3">
      <c r="A1" s="7" t="s">
        <v>7</v>
      </c>
      <c r="B1" s="7" t="s">
        <v>8</v>
      </c>
      <c r="C1" s="7"/>
      <c r="D1" s="8" t="s">
        <v>0</v>
      </c>
      <c r="E1" s="1"/>
      <c r="F1" s="1"/>
      <c r="G1" s="1"/>
      <c r="H1" s="1"/>
      <c r="I1" s="1"/>
      <c r="J1" s="1"/>
      <c r="K1" s="1"/>
    </row>
    <row r="3" spans="1:11" x14ac:dyDescent="0.3">
      <c r="A3" s="13" t="s">
        <v>9</v>
      </c>
      <c r="B3" s="13" t="s">
        <v>10</v>
      </c>
      <c r="C3" s="14" t="s">
        <v>87</v>
      </c>
      <c r="D3" s="9"/>
    </row>
    <row r="4" spans="1:11" x14ac:dyDescent="0.3">
      <c r="A4" s="13">
        <v>1</v>
      </c>
      <c r="B4" s="13">
        <v>57</v>
      </c>
      <c r="C4" s="14" t="str">
        <f>MID($D$1,B4,1)</f>
        <v>1</v>
      </c>
      <c r="D4" s="9" t="str">
        <f t="shared" ref="D4:D56" si="0">C4&amp;D5</f>
        <v>11110000110011001010101010111010101011001100111100001010</v>
      </c>
    </row>
    <row r="5" spans="1:11" x14ac:dyDescent="0.3">
      <c r="A5" s="13">
        <f t="shared" ref="A5:A36" si="1">A4+1</f>
        <v>2</v>
      </c>
      <c r="B5" s="13">
        <v>49</v>
      </c>
      <c r="C5" s="14" t="str">
        <f t="shared" ref="C5:C59" si="2">MID($D$1,B5,1)</f>
        <v>1</v>
      </c>
      <c r="D5" s="9" t="str">
        <f t="shared" si="0"/>
        <v>1110000110011001010101010111010101011001100111100001010</v>
      </c>
    </row>
    <row r="6" spans="1:11" x14ac:dyDescent="0.3">
      <c r="A6" s="13">
        <f t="shared" si="1"/>
        <v>3</v>
      </c>
      <c r="B6" s="13">
        <v>41</v>
      </c>
      <c r="C6" s="14" t="str">
        <f t="shared" si="2"/>
        <v>1</v>
      </c>
      <c r="D6" s="9" t="str">
        <f t="shared" si="0"/>
        <v>110000110011001010101010111010101011001100111100001010</v>
      </c>
    </row>
    <row r="7" spans="1:11" x14ac:dyDescent="0.3">
      <c r="A7" s="13">
        <f t="shared" si="1"/>
        <v>4</v>
      </c>
      <c r="B7" s="13">
        <v>33</v>
      </c>
      <c r="C7" s="14" t="str">
        <f t="shared" si="2"/>
        <v>1</v>
      </c>
      <c r="D7" s="9" t="str">
        <f t="shared" si="0"/>
        <v>10000110011001010101010111010101011001100111100001010</v>
      </c>
    </row>
    <row r="8" spans="1:11" x14ac:dyDescent="0.3">
      <c r="A8" s="13">
        <f t="shared" si="1"/>
        <v>5</v>
      </c>
      <c r="B8" s="13">
        <v>25</v>
      </c>
      <c r="C8" s="14" t="str">
        <f t="shared" si="2"/>
        <v>0</v>
      </c>
      <c r="D8" s="9" t="str">
        <f t="shared" si="0"/>
        <v>0000110011001010101010111010101011001100111100001010</v>
      </c>
    </row>
    <row r="9" spans="1:11" x14ac:dyDescent="0.3">
      <c r="A9" s="13">
        <f t="shared" si="1"/>
        <v>6</v>
      </c>
      <c r="B9" s="13">
        <v>17</v>
      </c>
      <c r="C9" s="14" t="str">
        <f t="shared" si="2"/>
        <v>0</v>
      </c>
      <c r="D9" s="9" t="str">
        <f t="shared" si="0"/>
        <v>000110011001010101010111010101011001100111100001010</v>
      </c>
    </row>
    <row r="10" spans="1:11" x14ac:dyDescent="0.3">
      <c r="A10" s="13">
        <f t="shared" si="1"/>
        <v>7</v>
      </c>
      <c r="B10" s="13">
        <v>9</v>
      </c>
      <c r="C10" s="14" t="str">
        <f t="shared" si="2"/>
        <v>0</v>
      </c>
      <c r="D10" s="9" t="str">
        <f t="shared" si="0"/>
        <v>00110011001010101010111010101011001100111100001010</v>
      </c>
    </row>
    <row r="11" spans="1:11" x14ac:dyDescent="0.3">
      <c r="A11" s="13">
        <f t="shared" si="1"/>
        <v>8</v>
      </c>
      <c r="B11" s="13">
        <v>1</v>
      </c>
      <c r="C11" s="14" t="str">
        <f t="shared" si="2"/>
        <v>0</v>
      </c>
      <c r="D11" s="9" t="str">
        <f t="shared" si="0"/>
        <v>0110011001010101010111010101011001100111100001010</v>
      </c>
    </row>
    <row r="12" spans="1:11" x14ac:dyDescent="0.3">
      <c r="A12" s="13">
        <f t="shared" si="1"/>
        <v>9</v>
      </c>
      <c r="B12" s="13">
        <v>58</v>
      </c>
      <c r="C12" s="14" t="str">
        <f t="shared" si="2"/>
        <v>1</v>
      </c>
      <c r="D12" s="9" t="str">
        <f t="shared" si="0"/>
        <v>110011001010101010111010101011001100111100001010</v>
      </c>
    </row>
    <row r="13" spans="1:11" x14ac:dyDescent="0.3">
      <c r="A13" s="13">
        <f t="shared" si="1"/>
        <v>10</v>
      </c>
      <c r="B13" s="13">
        <v>50</v>
      </c>
      <c r="C13" s="14" t="str">
        <f t="shared" si="2"/>
        <v>1</v>
      </c>
      <c r="D13" s="9" t="str">
        <f t="shared" si="0"/>
        <v>10011001010101010111010101011001100111100001010</v>
      </c>
    </row>
    <row r="14" spans="1:11" x14ac:dyDescent="0.3">
      <c r="A14" s="13">
        <f t="shared" si="1"/>
        <v>11</v>
      </c>
      <c r="B14" s="13">
        <v>42</v>
      </c>
      <c r="C14" s="14" t="str">
        <f t="shared" si="2"/>
        <v>0</v>
      </c>
      <c r="D14" s="9" t="str">
        <f t="shared" si="0"/>
        <v>0011001010101010111010101011001100111100001010</v>
      </c>
    </row>
    <row r="15" spans="1:11" x14ac:dyDescent="0.3">
      <c r="A15" s="13">
        <f t="shared" si="1"/>
        <v>12</v>
      </c>
      <c r="B15" s="13">
        <v>34</v>
      </c>
      <c r="C15" s="14" t="str">
        <f t="shared" si="2"/>
        <v>0</v>
      </c>
      <c r="D15" s="9" t="str">
        <f t="shared" si="0"/>
        <v>011001010101010111010101011001100111100001010</v>
      </c>
    </row>
    <row r="16" spans="1:11" x14ac:dyDescent="0.3">
      <c r="A16" s="13">
        <f t="shared" si="1"/>
        <v>13</v>
      </c>
      <c r="B16" s="13">
        <v>26</v>
      </c>
      <c r="C16" s="14" t="str">
        <f t="shared" si="2"/>
        <v>1</v>
      </c>
      <c r="D16" s="9" t="str">
        <f t="shared" si="0"/>
        <v>11001010101010111010101011001100111100001010</v>
      </c>
    </row>
    <row r="17" spans="1:4" x14ac:dyDescent="0.3">
      <c r="A17" s="13">
        <f t="shared" si="1"/>
        <v>14</v>
      </c>
      <c r="B17" s="13">
        <v>18</v>
      </c>
      <c r="C17" s="14" t="str">
        <f t="shared" si="2"/>
        <v>1</v>
      </c>
      <c r="D17" s="9" t="str">
        <f t="shared" si="0"/>
        <v>1001010101010111010101011001100111100001010</v>
      </c>
    </row>
    <row r="18" spans="1:4" x14ac:dyDescent="0.3">
      <c r="A18" s="13">
        <f t="shared" si="1"/>
        <v>15</v>
      </c>
      <c r="B18" s="13">
        <v>10</v>
      </c>
      <c r="C18" s="14" t="str">
        <f t="shared" si="2"/>
        <v>0</v>
      </c>
      <c r="D18" s="9" t="str">
        <f t="shared" si="0"/>
        <v>001010101010111010101011001100111100001010</v>
      </c>
    </row>
    <row r="19" spans="1:4" x14ac:dyDescent="0.3">
      <c r="A19" s="13">
        <f t="shared" si="1"/>
        <v>16</v>
      </c>
      <c r="B19" s="13">
        <v>2</v>
      </c>
      <c r="C19" s="14" t="str">
        <f t="shared" si="2"/>
        <v>0</v>
      </c>
      <c r="D19" s="9" t="str">
        <f t="shared" si="0"/>
        <v>01010101010111010101011001100111100001010</v>
      </c>
    </row>
    <row r="20" spans="1:4" x14ac:dyDescent="0.3">
      <c r="A20" s="13">
        <f t="shared" si="1"/>
        <v>17</v>
      </c>
      <c r="B20" s="13">
        <v>59</v>
      </c>
      <c r="C20" s="14" t="str">
        <f t="shared" si="2"/>
        <v>1</v>
      </c>
      <c r="D20" s="9" t="str">
        <f t="shared" si="0"/>
        <v>1010101010111010101011001100111100001010</v>
      </c>
    </row>
    <row r="21" spans="1:4" x14ac:dyDescent="0.3">
      <c r="A21" s="13">
        <f t="shared" si="1"/>
        <v>18</v>
      </c>
      <c r="B21" s="13">
        <v>51</v>
      </c>
      <c r="C21" s="14" t="str">
        <f t="shared" si="2"/>
        <v>0</v>
      </c>
      <c r="D21" s="9" t="str">
        <f t="shared" si="0"/>
        <v>010101010111010101011001100111100001010</v>
      </c>
    </row>
    <row r="22" spans="1:4" x14ac:dyDescent="0.3">
      <c r="A22" s="13">
        <f t="shared" si="1"/>
        <v>19</v>
      </c>
      <c r="B22" s="13">
        <v>43</v>
      </c>
      <c r="C22" s="14" t="str">
        <f t="shared" si="2"/>
        <v>1</v>
      </c>
      <c r="D22" s="9" t="str">
        <f t="shared" si="0"/>
        <v>10101010111010101011001100111100001010</v>
      </c>
    </row>
    <row r="23" spans="1:4" x14ac:dyDescent="0.3">
      <c r="A23" s="13">
        <f t="shared" si="1"/>
        <v>20</v>
      </c>
      <c r="B23" s="13">
        <v>35</v>
      </c>
      <c r="C23" s="14" t="str">
        <f t="shared" si="2"/>
        <v>0</v>
      </c>
      <c r="D23" s="9" t="str">
        <f t="shared" si="0"/>
        <v>0101010111010101011001100111100001010</v>
      </c>
    </row>
    <row r="24" spans="1:4" x14ac:dyDescent="0.3">
      <c r="A24" s="13">
        <f t="shared" si="1"/>
        <v>21</v>
      </c>
      <c r="B24" s="13">
        <v>27</v>
      </c>
      <c r="C24" s="14" t="str">
        <f t="shared" si="2"/>
        <v>1</v>
      </c>
      <c r="D24" s="9" t="str">
        <f t="shared" si="0"/>
        <v>101010111010101011001100111100001010</v>
      </c>
    </row>
    <row r="25" spans="1:4" x14ac:dyDescent="0.3">
      <c r="A25" s="13">
        <f t="shared" si="1"/>
        <v>22</v>
      </c>
      <c r="B25" s="13">
        <v>19</v>
      </c>
      <c r="C25" s="14" t="str">
        <f t="shared" si="2"/>
        <v>0</v>
      </c>
      <c r="D25" s="9" t="str">
        <f t="shared" si="0"/>
        <v>01010111010101011001100111100001010</v>
      </c>
    </row>
    <row r="26" spans="1:4" x14ac:dyDescent="0.3">
      <c r="A26" s="13">
        <f t="shared" si="1"/>
        <v>23</v>
      </c>
      <c r="B26" s="13">
        <v>11</v>
      </c>
      <c r="C26" s="14" t="str">
        <f t="shared" si="2"/>
        <v>1</v>
      </c>
      <c r="D26" s="9" t="str">
        <f t="shared" si="0"/>
        <v>1010111010101011001100111100001010</v>
      </c>
    </row>
    <row r="27" spans="1:4" x14ac:dyDescent="0.3">
      <c r="A27" s="13">
        <f t="shared" si="1"/>
        <v>24</v>
      </c>
      <c r="B27" s="13">
        <v>3</v>
      </c>
      <c r="C27" s="14" t="str">
        <f t="shared" si="2"/>
        <v>0</v>
      </c>
      <c r="D27" s="9" t="str">
        <f t="shared" si="0"/>
        <v>010111010101011001100111100001010</v>
      </c>
    </row>
    <row r="28" spans="1:4" x14ac:dyDescent="0.3">
      <c r="A28" s="13">
        <f t="shared" si="1"/>
        <v>25</v>
      </c>
      <c r="B28" s="13">
        <v>60</v>
      </c>
      <c r="C28" s="14" t="str">
        <f t="shared" si="2"/>
        <v>1</v>
      </c>
      <c r="D28" s="9" t="str">
        <f t="shared" si="0"/>
        <v>10111010101011001100111100001010</v>
      </c>
    </row>
    <row r="29" spans="1:4" x14ac:dyDescent="0.3">
      <c r="A29" s="13">
        <f t="shared" si="1"/>
        <v>26</v>
      </c>
      <c r="B29" s="13">
        <v>52</v>
      </c>
      <c r="C29" s="14" t="str">
        <f t="shared" si="2"/>
        <v>0</v>
      </c>
      <c r="D29" s="9" t="str">
        <f t="shared" si="0"/>
        <v>0111010101011001100111100001010</v>
      </c>
    </row>
    <row r="30" spans="1:4" x14ac:dyDescent="0.3">
      <c r="A30" s="13">
        <f t="shared" si="1"/>
        <v>27</v>
      </c>
      <c r="B30" s="13">
        <v>44</v>
      </c>
      <c r="C30" s="14" t="str">
        <f t="shared" si="2"/>
        <v>1</v>
      </c>
      <c r="D30" s="9" t="str">
        <f t="shared" si="0"/>
        <v>111010101011001100111100001010</v>
      </c>
    </row>
    <row r="31" spans="1:4" x14ac:dyDescent="0.3">
      <c r="A31" s="13">
        <f t="shared" si="1"/>
        <v>28</v>
      </c>
      <c r="B31" s="13">
        <v>36</v>
      </c>
      <c r="C31" s="14" t="str">
        <f t="shared" si="2"/>
        <v>1</v>
      </c>
      <c r="D31" s="9" t="str">
        <f t="shared" si="0"/>
        <v>11010101011001100111100001010</v>
      </c>
    </row>
    <row r="32" spans="1:4" x14ac:dyDescent="0.3">
      <c r="A32" s="13">
        <f t="shared" si="1"/>
        <v>29</v>
      </c>
      <c r="B32" s="13">
        <v>63</v>
      </c>
      <c r="C32" s="14" t="str">
        <f t="shared" si="2"/>
        <v>1</v>
      </c>
      <c r="D32" s="9" t="str">
        <f t="shared" si="0"/>
        <v>1010101011001100111100001010</v>
      </c>
    </row>
    <row r="33" spans="1:4" x14ac:dyDescent="0.3">
      <c r="A33" s="13">
        <f t="shared" si="1"/>
        <v>30</v>
      </c>
      <c r="B33" s="13">
        <v>55</v>
      </c>
      <c r="C33" s="14" t="str">
        <f t="shared" si="2"/>
        <v>0</v>
      </c>
      <c r="D33" s="9" t="str">
        <f t="shared" si="0"/>
        <v>010101011001100111100001010</v>
      </c>
    </row>
    <row r="34" spans="1:4" x14ac:dyDescent="0.3">
      <c r="A34" s="13">
        <f t="shared" si="1"/>
        <v>31</v>
      </c>
      <c r="B34" s="13">
        <v>47</v>
      </c>
      <c r="C34" s="14" t="str">
        <f t="shared" si="2"/>
        <v>1</v>
      </c>
      <c r="D34" s="9" t="str">
        <f t="shared" si="0"/>
        <v>10101011001100111100001010</v>
      </c>
    </row>
    <row r="35" spans="1:4" x14ac:dyDescent="0.3">
      <c r="A35" s="13">
        <f t="shared" si="1"/>
        <v>32</v>
      </c>
      <c r="B35" s="13">
        <v>39</v>
      </c>
      <c r="C35" s="14" t="str">
        <f t="shared" si="2"/>
        <v>0</v>
      </c>
      <c r="D35" s="9" t="str">
        <f t="shared" si="0"/>
        <v>0101011001100111100001010</v>
      </c>
    </row>
    <row r="36" spans="1:4" x14ac:dyDescent="0.3">
      <c r="A36" s="13">
        <f t="shared" si="1"/>
        <v>33</v>
      </c>
      <c r="B36" s="13">
        <v>31</v>
      </c>
      <c r="C36" s="14" t="str">
        <f t="shared" si="2"/>
        <v>1</v>
      </c>
      <c r="D36" s="9" t="str">
        <f t="shared" si="0"/>
        <v>101011001100111100001010</v>
      </c>
    </row>
    <row r="37" spans="1:4" x14ac:dyDescent="0.3">
      <c r="A37" s="13">
        <f t="shared" ref="A37:A59" si="3">A36+1</f>
        <v>34</v>
      </c>
      <c r="B37" s="13">
        <v>23</v>
      </c>
      <c r="C37" s="14" t="str">
        <f t="shared" si="2"/>
        <v>0</v>
      </c>
      <c r="D37" s="9" t="str">
        <f t="shared" si="0"/>
        <v>01011001100111100001010</v>
      </c>
    </row>
    <row r="38" spans="1:4" x14ac:dyDescent="0.3">
      <c r="A38" s="13">
        <f t="shared" si="3"/>
        <v>35</v>
      </c>
      <c r="B38" s="13">
        <v>15</v>
      </c>
      <c r="C38" s="14" t="str">
        <f t="shared" si="2"/>
        <v>1</v>
      </c>
      <c r="D38" s="9" t="str">
        <f t="shared" si="0"/>
        <v>1011001100111100001010</v>
      </c>
    </row>
    <row r="39" spans="1:4" x14ac:dyDescent="0.3">
      <c r="A39" s="13">
        <f t="shared" si="3"/>
        <v>36</v>
      </c>
      <c r="B39" s="13">
        <v>7</v>
      </c>
      <c r="C39" s="14" t="str">
        <f t="shared" si="2"/>
        <v>0</v>
      </c>
      <c r="D39" s="9" t="str">
        <f t="shared" si="0"/>
        <v>011001100111100001010</v>
      </c>
    </row>
    <row r="40" spans="1:4" x14ac:dyDescent="0.3">
      <c r="A40" s="13">
        <f t="shared" si="3"/>
        <v>37</v>
      </c>
      <c r="B40" s="13">
        <v>62</v>
      </c>
      <c r="C40" s="14" t="str">
        <f t="shared" si="2"/>
        <v>1</v>
      </c>
      <c r="D40" s="9" t="str">
        <f t="shared" si="0"/>
        <v>11001100111100001010</v>
      </c>
    </row>
    <row r="41" spans="1:4" x14ac:dyDescent="0.3">
      <c r="A41" s="13">
        <f t="shared" si="3"/>
        <v>38</v>
      </c>
      <c r="B41" s="13">
        <v>54</v>
      </c>
      <c r="C41" s="14" t="str">
        <f t="shared" si="2"/>
        <v>1</v>
      </c>
      <c r="D41" s="9" t="str">
        <f t="shared" si="0"/>
        <v>1001100111100001010</v>
      </c>
    </row>
    <row r="42" spans="1:4" x14ac:dyDescent="0.3">
      <c r="A42" s="13">
        <f t="shared" si="3"/>
        <v>39</v>
      </c>
      <c r="B42" s="13">
        <v>46</v>
      </c>
      <c r="C42" s="14" t="str">
        <f t="shared" si="2"/>
        <v>0</v>
      </c>
      <c r="D42" s="9" t="str">
        <f t="shared" si="0"/>
        <v>001100111100001010</v>
      </c>
    </row>
    <row r="43" spans="1:4" x14ac:dyDescent="0.3">
      <c r="A43" s="13">
        <f t="shared" si="3"/>
        <v>40</v>
      </c>
      <c r="B43" s="13">
        <v>38</v>
      </c>
      <c r="C43" s="14" t="str">
        <f t="shared" si="2"/>
        <v>0</v>
      </c>
      <c r="D43" s="9" t="str">
        <f t="shared" si="0"/>
        <v>01100111100001010</v>
      </c>
    </row>
    <row r="44" spans="1:4" x14ac:dyDescent="0.3">
      <c r="A44" s="13">
        <f t="shared" si="3"/>
        <v>41</v>
      </c>
      <c r="B44" s="13">
        <v>30</v>
      </c>
      <c r="C44" s="14" t="str">
        <f t="shared" si="2"/>
        <v>1</v>
      </c>
      <c r="D44" s="9" t="str">
        <f t="shared" si="0"/>
        <v>1100111100001010</v>
      </c>
    </row>
    <row r="45" spans="1:4" x14ac:dyDescent="0.3">
      <c r="A45" s="13">
        <f t="shared" si="3"/>
        <v>42</v>
      </c>
      <c r="B45" s="13">
        <v>22</v>
      </c>
      <c r="C45" s="14" t="str">
        <f t="shared" si="2"/>
        <v>1</v>
      </c>
      <c r="D45" s="9" t="str">
        <f t="shared" si="0"/>
        <v>100111100001010</v>
      </c>
    </row>
    <row r="46" spans="1:4" x14ac:dyDescent="0.3">
      <c r="A46" s="13">
        <f t="shared" si="3"/>
        <v>43</v>
      </c>
      <c r="B46" s="13">
        <v>14</v>
      </c>
      <c r="C46" s="14" t="str">
        <f t="shared" si="2"/>
        <v>0</v>
      </c>
      <c r="D46" s="9" t="str">
        <f t="shared" si="0"/>
        <v>00111100001010</v>
      </c>
    </row>
    <row r="47" spans="1:4" x14ac:dyDescent="0.3">
      <c r="A47" s="13">
        <f t="shared" si="3"/>
        <v>44</v>
      </c>
      <c r="B47" s="13">
        <v>6</v>
      </c>
      <c r="C47" s="14" t="str">
        <f t="shared" si="2"/>
        <v>0</v>
      </c>
      <c r="D47" s="9" t="str">
        <f t="shared" si="0"/>
        <v>0111100001010</v>
      </c>
    </row>
    <row r="48" spans="1:4" x14ac:dyDescent="0.3">
      <c r="A48" s="13">
        <f t="shared" si="3"/>
        <v>45</v>
      </c>
      <c r="B48" s="13">
        <v>61</v>
      </c>
      <c r="C48" s="14" t="str">
        <f t="shared" si="2"/>
        <v>1</v>
      </c>
      <c r="D48" s="9" t="str">
        <f t="shared" si="0"/>
        <v>111100001010</v>
      </c>
    </row>
    <row r="49" spans="1:9" x14ac:dyDescent="0.3">
      <c r="A49" s="13">
        <f t="shared" si="3"/>
        <v>46</v>
      </c>
      <c r="B49" s="13">
        <v>53</v>
      </c>
      <c r="C49" s="14" t="str">
        <f t="shared" si="2"/>
        <v>1</v>
      </c>
      <c r="D49" s="9" t="str">
        <f t="shared" si="0"/>
        <v>11100001010</v>
      </c>
    </row>
    <row r="50" spans="1:9" x14ac:dyDescent="0.3">
      <c r="A50" s="13">
        <f t="shared" si="3"/>
        <v>47</v>
      </c>
      <c r="B50" s="13">
        <v>45</v>
      </c>
      <c r="C50" s="14" t="str">
        <f t="shared" si="2"/>
        <v>1</v>
      </c>
      <c r="D50" s="9" t="str">
        <f t="shared" si="0"/>
        <v>1100001010</v>
      </c>
    </row>
    <row r="51" spans="1:9" x14ac:dyDescent="0.3">
      <c r="A51" s="13">
        <f t="shared" si="3"/>
        <v>48</v>
      </c>
      <c r="B51" s="13">
        <v>37</v>
      </c>
      <c r="C51" s="14" t="str">
        <f t="shared" si="2"/>
        <v>1</v>
      </c>
      <c r="D51" s="9" t="str">
        <f t="shared" si="0"/>
        <v>100001010</v>
      </c>
    </row>
    <row r="52" spans="1:9" x14ac:dyDescent="0.3">
      <c r="A52" s="13">
        <f t="shared" si="3"/>
        <v>49</v>
      </c>
      <c r="B52" s="13">
        <v>29</v>
      </c>
      <c r="C52" s="14" t="str">
        <f t="shared" si="2"/>
        <v>0</v>
      </c>
      <c r="D52" s="9" t="str">
        <f t="shared" si="0"/>
        <v>00001010</v>
      </c>
    </row>
    <row r="53" spans="1:9" x14ac:dyDescent="0.3">
      <c r="A53" s="13">
        <f t="shared" si="3"/>
        <v>50</v>
      </c>
      <c r="B53" s="13">
        <v>21</v>
      </c>
      <c r="C53" s="14" t="str">
        <f t="shared" si="2"/>
        <v>0</v>
      </c>
      <c r="D53" s="9" t="str">
        <f t="shared" si="0"/>
        <v>0001010</v>
      </c>
    </row>
    <row r="54" spans="1:9" x14ac:dyDescent="0.3">
      <c r="A54" s="13">
        <f t="shared" si="3"/>
        <v>51</v>
      </c>
      <c r="B54" s="13">
        <v>13</v>
      </c>
      <c r="C54" s="14" t="str">
        <f t="shared" si="2"/>
        <v>0</v>
      </c>
      <c r="D54" s="9" t="str">
        <f t="shared" si="0"/>
        <v>001010</v>
      </c>
    </row>
    <row r="55" spans="1:9" x14ac:dyDescent="0.3">
      <c r="A55" s="13">
        <f t="shared" si="3"/>
        <v>52</v>
      </c>
      <c r="B55" s="13">
        <v>5</v>
      </c>
      <c r="C55" s="14" t="str">
        <f t="shared" si="2"/>
        <v>0</v>
      </c>
      <c r="D55" s="9" t="str">
        <f t="shared" si="0"/>
        <v>01010</v>
      </c>
    </row>
    <row r="56" spans="1:9" x14ac:dyDescent="0.3">
      <c r="A56" s="13">
        <f t="shared" si="3"/>
        <v>53</v>
      </c>
      <c r="B56" s="13">
        <v>28</v>
      </c>
      <c r="C56" s="14" t="str">
        <f t="shared" si="2"/>
        <v>1</v>
      </c>
      <c r="D56" s="9" t="str">
        <f t="shared" si="0"/>
        <v>1010</v>
      </c>
    </row>
    <row r="57" spans="1:9" x14ac:dyDescent="0.3">
      <c r="A57" s="13">
        <f t="shared" si="3"/>
        <v>54</v>
      </c>
      <c r="B57" s="13">
        <v>20</v>
      </c>
      <c r="C57" s="14" t="str">
        <f>MID($D$1,B57,1)</f>
        <v>0</v>
      </c>
      <c r="D57" s="9" t="str">
        <f>C57&amp;D58</f>
        <v>010</v>
      </c>
    </row>
    <row r="58" spans="1:9" x14ac:dyDescent="0.3">
      <c r="A58" s="13">
        <f t="shared" si="3"/>
        <v>55</v>
      </c>
      <c r="B58" s="13">
        <v>12</v>
      </c>
      <c r="C58" s="14" t="str">
        <f t="shared" si="2"/>
        <v>1</v>
      </c>
      <c r="D58" s="15" t="str">
        <f>C58&amp;C59</f>
        <v>10</v>
      </c>
    </row>
    <row r="59" spans="1:9" x14ac:dyDescent="0.3">
      <c r="A59" s="13">
        <f t="shared" si="3"/>
        <v>56</v>
      </c>
      <c r="B59" s="13">
        <v>4</v>
      </c>
      <c r="C59" s="14" t="str">
        <f t="shared" si="2"/>
        <v>0</v>
      </c>
      <c r="D59" s="9"/>
    </row>
    <row r="64" spans="1:9" x14ac:dyDescent="0.3">
      <c r="A64" t="s">
        <v>86</v>
      </c>
      <c r="C64" s="9" t="str">
        <f>_xlfn.TEXTJOIN("",TRUE,C4:C59)</f>
        <v>11110000110011001010101010111010101011001100111100001010</v>
      </c>
      <c r="D64" s="1"/>
      <c r="E64" s="1"/>
      <c r="F64" s="1"/>
      <c r="G64" s="1"/>
      <c r="H64" s="1"/>
      <c r="I64" s="1"/>
    </row>
    <row r="67" spans="1:14" x14ac:dyDescent="0.3">
      <c r="M67" t="s">
        <v>15</v>
      </c>
    </row>
    <row r="68" spans="1:14" x14ac:dyDescent="0.3">
      <c r="A68" s="1" t="s">
        <v>11</v>
      </c>
      <c r="B68" t="str">
        <f>LEFT(C64,28)</f>
        <v>1111000011001100101010101011</v>
      </c>
      <c r="G68" s="1" t="s">
        <v>12</v>
      </c>
      <c r="H68" t="str">
        <f>RIGHT(C64,28)</f>
        <v>1010101011001100111100001010</v>
      </c>
      <c r="M68" s="6">
        <v>1</v>
      </c>
      <c r="N68">
        <v>1</v>
      </c>
    </row>
    <row r="69" spans="1:14" x14ac:dyDescent="0.3">
      <c r="A69" s="1" t="s">
        <v>13</v>
      </c>
      <c r="B69" t="str">
        <f>MID(B68, N68+1, LEN(B68)-N68) &amp; LEFT(B68, N68)</f>
        <v>1110000110011001010101010111</v>
      </c>
      <c r="G69" s="1" t="s">
        <v>14</v>
      </c>
      <c r="H69" t="str">
        <f>MID(H68, N68+1, LEN(H68)-N68) &amp; LEFT(H68, N68)</f>
        <v>0101010110011001111000010101</v>
      </c>
      <c r="M69" s="6">
        <v>2</v>
      </c>
      <c r="N69" s="6">
        <v>1</v>
      </c>
    </row>
    <row r="70" spans="1:14" x14ac:dyDescent="0.3">
      <c r="A70" s="1" t="s">
        <v>20</v>
      </c>
      <c r="B70" t="str">
        <f t="shared" ref="B70:B84" si="4">MID(B69, N69+1, LEN(B69)-N69) &amp; LEFT(B69, N69)</f>
        <v>1100001100110010101010101111</v>
      </c>
      <c r="G70" s="1" t="s">
        <v>21</v>
      </c>
      <c r="H70" t="str">
        <f t="shared" ref="H70:H84" si="5">MID(H69, N69+1, LEN(H69)-N69) &amp; LEFT(H69, N69)</f>
        <v>1010101100110011110000101010</v>
      </c>
      <c r="M70" s="6">
        <v>3</v>
      </c>
      <c r="N70" s="6">
        <v>2</v>
      </c>
    </row>
    <row r="71" spans="1:14" x14ac:dyDescent="0.3">
      <c r="A71" s="1" t="s">
        <v>22</v>
      </c>
      <c r="B71" t="str">
        <f t="shared" si="4"/>
        <v>0000110011001010101010111111</v>
      </c>
      <c r="G71" s="1" t="s">
        <v>36</v>
      </c>
      <c r="H71" t="str">
        <f t="shared" si="5"/>
        <v>1010110011001111000010101010</v>
      </c>
      <c r="M71" s="6">
        <v>4</v>
      </c>
      <c r="N71" s="6">
        <v>2</v>
      </c>
    </row>
    <row r="72" spans="1:14" x14ac:dyDescent="0.3">
      <c r="A72" s="1" t="s">
        <v>23</v>
      </c>
      <c r="B72" t="str">
        <f t="shared" si="4"/>
        <v>0011001100101010101011111100</v>
      </c>
      <c r="G72" s="1" t="s">
        <v>37</v>
      </c>
      <c r="H72" t="str">
        <f t="shared" si="5"/>
        <v>1011001100111100001010101010</v>
      </c>
      <c r="M72" s="6">
        <v>5</v>
      </c>
      <c r="N72" s="6">
        <v>2</v>
      </c>
    </row>
    <row r="73" spans="1:14" x14ac:dyDescent="0.3">
      <c r="A73" s="1" t="s">
        <v>24</v>
      </c>
      <c r="B73" t="str">
        <f t="shared" si="4"/>
        <v>1100110010101010101111110000</v>
      </c>
      <c r="G73" s="1" t="s">
        <v>38</v>
      </c>
      <c r="H73" t="str">
        <f t="shared" si="5"/>
        <v>1100110011110000101010101010</v>
      </c>
      <c r="M73" s="6">
        <v>6</v>
      </c>
      <c r="N73" s="6">
        <v>2</v>
      </c>
    </row>
    <row r="74" spans="1:14" x14ac:dyDescent="0.3">
      <c r="A74" s="1" t="s">
        <v>25</v>
      </c>
      <c r="B74" t="str">
        <f t="shared" si="4"/>
        <v>0011001010101010111111000011</v>
      </c>
      <c r="G74" s="1" t="s">
        <v>39</v>
      </c>
      <c r="H74" t="str">
        <f t="shared" si="5"/>
        <v>0011001111000010101010101011</v>
      </c>
      <c r="M74" s="6">
        <v>7</v>
      </c>
      <c r="N74" s="6">
        <v>2</v>
      </c>
    </row>
    <row r="75" spans="1:14" x14ac:dyDescent="0.3">
      <c r="A75" s="1" t="s">
        <v>26</v>
      </c>
      <c r="B75" t="str">
        <f t="shared" si="4"/>
        <v>1100101010101011111100001100</v>
      </c>
      <c r="G75" s="1" t="s">
        <v>40</v>
      </c>
      <c r="H75" t="str">
        <f t="shared" si="5"/>
        <v>1100111100001010101010101100</v>
      </c>
      <c r="M75" s="6">
        <v>8</v>
      </c>
      <c r="N75" s="6">
        <v>2</v>
      </c>
    </row>
    <row r="76" spans="1:14" x14ac:dyDescent="0.3">
      <c r="A76" s="1" t="s">
        <v>27</v>
      </c>
      <c r="B76" t="str">
        <f t="shared" si="4"/>
        <v>0010101010101111110000110011</v>
      </c>
      <c r="G76" s="1" t="s">
        <v>41</v>
      </c>
      <c r="H76" t="str">
        <f t="shared" si="5"/>
        <v>0011110000101010101010110011</v>
      </c>
      <c r="M76" s="6">
        <v>9</v>
      </c>
      <c r="N76" s="6">
        <v>1</v>
      </c>
    </row>
    <row r="77" spans="1:14" x14ac:dyDescent="0.3">
      <c r="A77" s="1" t="s">
        <v>28</v>
      </c>
      <c r="B77" t="str">
        <f t="shared" si="4"/>
        <v>0101010101011111100001100110</v>
      </c>
      <c r="G77" s="1" t="s">
        <v>42</v>
      </c>
      <c r="H77" t="str">
        <f t="shared" si="5"/>
        <v>0111100001010101010101100110</v>
      </c>
      <c r="M77" s="6">
        <v>10</v>
      </c>
      <c r="N77" s="6">
        <v>2</v>
      </c>
    </row>
    <row r="78" spans="1:14" x14ac:dyDescent="0.3">
      <c r="A78" s="1" t="s">
        <v>29</v>
      </c>
      <c r="B78" t="str">
        <f t="shared" si="4"/>
        <v>0101010101111110000110011001</v>
      </c>
      <c r="G78" s="1" t="s">
        <v>43</v>
      </c>
      <c r="H78" t="str">
        <f t="shared" si="5"/>
        <v>1110000101010101010110011001</v>
      </c>
      <c r="M78" s="6">
        <v>11</v>
      </c>
      <c r="N78" s="6">
        <v>2</v>
      </c>
    </row>
    <row r="79" spans="1:14" x14ac:dyDescent="0.3">
      <c r="A79" s="1" t="s">
        <v>30</v>
      </c>
      <c r="B79" t="str">
        <f t="shared" si="4"/>
        <v>0101010111111000011001100101</v>
      </c>
      <c r="G79" s="1" t="s">
        <v>44</v>
      </c>
      <c r="H79" t="str">
        <f t="shared" si="5"/>
        <v>1000010101010101011001100111</v>
      </c>
      <c r="M79" s="6">
        <v>12</v>
      </c>
      <c r="N79" s="6">
        <v>2</v>
      </c>
    </row>
    <row r="80" spans="1:14" x14ac:dyDescent="0.3">
      <c r="A80" s="1" t="s">
        <v>31</v>
      </c>
      <c r="B80" t="str">
        <f t="shared" si="4"/>
        <v>0101011111100001100110010101</v>
      </c>
      <c r="G80" s="1" t="s">
        <v>45</v>
      </c>
      <c r="H80" t="str">
        <f t="shared" si="5"/>
        <v>0001010101010101100110011110</v>
      </c>
      <c r="M80" s="6">
        <v>13</v>
      </c>
      <c r="N80" s="6">
        <v>2</v>
      </c>
    </row>
    <row r="81" spans="1:14" x14ac:dyDescent="0.3">
      <c r="A81" s="1" t="s">
        <v>32</v>
      </c>
      <c r="B81" t="str">
        <f t="shared" si="4"/>
        <v>0101111110000110011001010101</v>
      </c>
      <c r="G81" s="1" t="s">
        <v>46</v>
      </c>
      <c r="H81" t="str">
        <f t="shared" si="5"/>
        <v>0101010101010110011001111000</v>
      </c>
      <c r="M81" s="6">
        <v>14</v>
      </c>
      <c r="N81" s="6">
        <v>2</v>
      </c>
    </row>
    <row r="82" spans="1:14" x14ac:dyDescent="0.3">
      <c r="A82" s="1" t="s">
        <v>33</v>
      </c>
      <c r="B82" t="str">
        <f t="shared" si="4"/>
        <v>0111111000011001100101010101</v>
      </c>
      <c r="G82" s="1" t="s">
        <v>47</v>
      </c>
      <c r="H82" t="str">
        <f t="shared" si="5"/>
        <v>0101010101011001100111100001</v>
      </c>
      <c r="M82" s="6">
        <v>15</v>
      </c>
      <c r="N82" s="6">
        <v>2</v>
      </c>
    </row>
    <row r="83" spans="1:14" x14ac:dyDescent="0.3">
      <c r="A83" s="1" t="s">
        <v>34</v>
      </c>
      <c r="B83" t="str">
        <f t="shared" si="4"/>
        <v>1111100001100110010101010101</v>
      </c>
      <c r="G83" s="1" t="s">
        <v>48</v>
      </c>
      <c r="H83" t="str">
        <f t="shared" si="5"/>
        <v>0101010101100110011110000101</v>
      </c>
      <c r="M83" s="6">
        <v>16</v>
      </c>
      <c r="N83" s="6">
        <v>1</v>
      </c>
    </row>
    <row r="84" spans="1:14" x14ac:dyDescent="0.3">
      <c r="A84" s="1" t="s">
        <v>35</v>
      </c>
      <c r="B84" t="str">
        <f t="shared" si="4"/>
        <v>1111000011001100101010101011</v>
      </c>
      <c r="G84" s="1" t="s">
        <v>49</v>
      </c>
      <c r="H84" t="str">
        <f t="shared" si="5"/>
        <v>1010101011001100111100001010</v>
      </c>
    </row>
    <row r="88" spans="1:14" x14ac:dyDescent="0.3">
      <c r="A88" s="1" t="s">
        <v>18</v>
      </c>
      <c r="B88" s="1"/>
    </row>
    <row r="89" spans="1:14" x14ac:dyDescent="0.3">
      <c r="A89" s="1">
        <v>1</v>
      </c>
      <c r="B89" t="str">
        <f t="shared" ref="B89:B104" si="6">B69&amp;H69</f>
        <v>11100001100110010101010101110101010110011001111000010101</v>
      </c>
    </row>
    <row r="90" spans="1:14" x14ac:dyDescent="0.3">
      <c r="A90" s="1">
        <v>2</v>
      </c>
      <c r="B90" t="str">
        <f t="shared" si="6"/>
        <v>11000011001100101010101011111010101100110011110000101010</v>
      </c>
    </row>
    <row r="91" spans="1:14" x14ac:dyDescent="0.3">
      <c r="A91" s="1">
        <v>3</v>
      </c>
      <c r="B91" t="str">
        <f t="shared" si="6"/>
        <v>00001100110010101010101111111010110011001111000010101010</v>
      </c>
    </row>
    <row r="92" spans="1:14" x14ac:dyDescent="0.3">
      <c r="A92" s="1">
        <v>4</v>
      </c>
      <c r="B92" t="str">
        <f t="shared" si="6"/>
        <v>00110011001010101010111111001011001100111100001010101010</v>
      </c>
    </row>
    <row r="93" spans="1:14" x14ac:dyDescent="0.3">
      <c r="A93" s="1">
        <v>5</v>
      </c>
      <c r="B93" t="str">
        <f t="shared" si="6"/>
        <v>11001100101010101011111100001100110011110000101010101010</v>
      </c>
    </row>
    <row r="94" spans="1:14" x14ac:dyDescent="0.3">
      <c r="A94" s="1">
        <v>6</v>
      </c>
      <c r="B94" t="str">
        <f t="shared" si="6"/>
        <v>00110010101010101111110000110011001111000010101010101011</v>
      </c>
    </row>
    <row r="95" spans="1:14" x14ac:dyDescent="0.3">
      <c r="A95" s="1">
        <v>7</v>
      </c>
      <c r="B95" t="str">
        <f t="shared" si="6"/>
        <v>11001010101010111111000011001100111100001010101010101100</v>
      </c>
    </row>
    <row r="96" spans="1:14" x14ac:dyDescent="0.3">
      <c r="A96" s="1">
        <v>8</v>
      </c>
      <c r="B96" t="str">
        <f t="shared" si="6"/>
        <v>00101010101011111100001100110011110000101010101010110011</v>
      </c>
    </row>
    <row r="97" spans="1:17" x14ac:dyDescent="0.3">
      <c r="A97" s="1">
        <v>9</v>
      </c>
      <c r="B97" t="str">
        <f t="shared" si="6"/>
        <v>01010101010111111000011001100111100001010101010101100110</v>
      </c>
    </row>
    <row r="98" spans="1:17" x14ac:dyDescent="0.3">
      <c r="A98" s="1">
        <v>10</v>
      </c>
      <c r="B98" t="str">
        <f t="shared" si="6"/>
        <v>01010101011111100001100110011110000101010101010110011001</v>
      </c>
    </row>
    <row r="99" spans="1:17" x14ac:dyDescent="0.3">
      <c r="A99" s="1">
        <v>11</v>
      </c>
      <c r="B99" t="str">
        <f t="shared" si="6"/>
        <v>01010101111110000110011001011000010101010101011001100111</v>
      </c>
    </row>
    <row r="100" spans="1:17" x14ac:dyDescent="0.3">
      <c r="A100" s="1">
        <v>12</v>
      </c>
      <c r="B100" t="str">
        <f t="shared" si="6"/>
        <v>01010111111000011001100101010001010101010101100110011110</v>
      </c>
    </row>
    <row r="101" spans="1:17" x14ac:dyDescent="0.3">
      <c r="A101" s="1">
        <v>13</v>
      </c>
      <c r="B101" t="str">
        <f t="shared" si="6"/>
        <v>01011111100001100110010101010101010101010110011001111000</v>
      </c>
    </row>
    <row r="102" spans="1:17" x14ac:dyDescent="0.3">
      <c r="A102" s="1">
        <v>14</v>
      </c>
      <c r="B102" t="str">
        <f t="shared" si="6"/>
        <v>01111110000110011001010101010101010101011001100111100001</v>
      </c>
    </row>
    <row r="103" spans="1:17" x14ac:dyDescent="0.3">
      <c r="A103" s="1">
        <v>15</v>
      </c>
      <c r="B103" t="str">
        <f t="shared" si="6"/>
        <v>11111000011001100101010101010101010101100110011110000101</v>
      </c>
    </row>
    <row r="104" spans="1:17" x14ac:dyDescent="0.3">
      <c r="A104" s="1">
        <v>16</v>
      </c>
      <c r="B104" t="str">
        <f t="shared" si="6"/>
        <v>11110000110011001010101010111010101011001100111100001010</v>
      </c>
    </row>
    <row r="107" spans="1:17" x14ac:dyDescent="0.3">
      <c r="A107" s="3" t="s">
        <v>19</v>
      </c>
      <c r="B107" s="3" t="s">
        <v>16</v>
      </c>
      <c r="C107" s="3" t="s">
        <v>17</v>
      </c>
      <c r="D107" s="3" t="s">
        <v>50</v>
      </c>
      <c r="E107" s="3" t="s">
        <v>51</v>
      </c>
      <c r="F107" s="3" t="s">
        <v>52</v>
      </c>
      <c r="G107" s="3" t="s">
        <v>53</v>
      </c>
      <c r="H107" s="3" t="s">
        <v>54</v>
      </c>
      <c r="I107" s="3" t="s">
        <v>55</v>
      </c>
      <c r="J107" s="3" t="s">
        <v>56</v>
      </c>
      <c r="K107" s="3" t="s">
        <v>57</v>
      </c>
      <c r="L107" s="3" t="s">
        <v>58</v>
      </c>
      <c r="M107" s="3" t="s">
        <v>59</v>
      </c>
      <c r="N107" s="3" t="s">
        <v>60</v>
      </c>
      <c r="O107" s="3" t="s">
        <v>61</v>
      </c>
      <c r="P107" s="3" t="s">
        <v>62</v>
      </c>
      <c r="Q107" s="3" t="s">
        <v>63</v>
      </c>
    </row>
    <row r="108" spans="1:17" x14ac:dyDescent="0.3">
      <c r="A108" s="3">
        <v>14</v>
      </c>
      <c r="B108" s="4" t="str">
        <f t="shared" ref="B108:B154" si="7">MID($B$89,A108,1)</f>
        <v>0</v>
      </c>
      <c r="C108" s="4" t="str">
        <f>MID($B$90,$A108,1)</f>
        <v>0</v>
      </c>
      <c r="D108" s="4" t="str">
        <f t="shared" ref="D108:D155" si="8">MID($B$91,$A108,1)</f>
        <v>0</v>
      </c>
      <c r="E108" s="4" t="str">
        <f t="shared" ref="E108:E155" si="9">MID($B$92,$A108,1)</f>
        <v>0</v>
      </c>
      <c r="F108" s="4" t="str">
        <f t="shared" ref="F108:F155" si="10">MID($B$93,$A108,1)</f>
        <v>0</v>
      </c>
      <c r="G108" s="4" t="str">
        <f t="shared" ref="G108:G155" si="11">MID($B$94,$A108,1)</f>
        <v>0</v>
      </c>
      <c r="H108" s="4" t="str">
        <f t="shared" ref="H108:H155" si="12">MID($B$95,$A108,1)</f>
        <v>0</v>
      </c>
      <c r="I108" s="4" t="str">
        <f t="shared" ref="I108:I155" si="13">MID($B$96,$A108,1)</f>
        <v>1</v>
      </c>
      <c r="J108" s="4" t="str">
        <f t="shared" ref="J108:J155" si="14">MID($B$97,$A108,1)</f>
        <v>1</v>
      </c>
      <c r="K108" s="4" t="str">
        <f t="shared" ref="K108:K155" si="15">MID($B$98,$A108,1)</f>
        <v>1</v>
      </c>
      <c r="L108" s="4" t="str">
        <f t="shared" ref="L108:L155" si="16">MID($B$99,$A108,1)</f>
        <v>0</v>
      </c>
      <c r="M108" s="4" t="str">
        <f t="shared" ref="M108:M155" si="17">MID($B$100,$A108,1)</f>
        <v>0</v>
      </c>
      <c r="N108" s="4" t="str">
        <f t="shared" ref="N108:N155" si="18">MID($B$101,$A108,1)</f>
        <v>1</v>
      </c>
      <c r="O108" s="4" t="str">
        <f t="shared" ref="O108:O155" si="19">MID($B$102,$A108,1)</f>
        <v>0</v>
      </c>
      <c r="P108" s="4" t="str">
        <f t="shared" ref="P108:P155" si="20">MID($B$103,$A108,1)</f>
        <v>1</v>
      </c>
      <c r="Q108" s="4" t="str">
        <f t="shared" ref="Q108:Q155" si="21">MID($B$104,$A108,1)</f>
        <v>1</v>
      </c>
    </row>
    <row r="109" spans="1:17" x14ac:dyDescent="0.3">
      <c r="A109" s="3">
        <v>17</v>
      </c>
      <c r="B109" s="4" t="str">
        <f t="shared" si="7"/>
        <v>0</v>
      </c>
      <c r="C109" s="4" t="str">
        <f t="shared" ref="C109:C155" si="22">MID($B$90,A109,1)</f>
        <v>1</v>
      </c>
      <c r="D109" s="4" t="str">
        <f t="shared" si="8"/>
        <v>1</v>
      </c>
      <c r="E109" s="4" t="str">
        <f t="shared" si="9"/>
        <v>1</v>
      </c>
      <c r="F109" s="4" t="str">
        <f t="shared" si="10"/>
        <v>1</v>
      </c>
      <c r="G109" s="4" t="str">
        <f t="shared" si="11"/>
        <v>1</v>
      </c>
      <c r="H109" s="4" t="str">
        <f t="shared" si="12"/>
        <v>1</v>
      </c>
      <c r="I109" s="4" t="str">
        <f t="shared" si="13"/>
        <v>1</v>
      </c>
      <c r="J109" s="4" t="str">
        <f t="shared" si="14"/>
        <v>1</v>
      </c>
      <c r="K109" s="4" t="str">
        <f t="shared" si="15"/>
        <v>0</v>
      </c>
      <c r="L109" s="4" t="str">
        <f t="shared" si="16"/>
        <v>0</v>
      </c>
      <c r="M109" s="4" t="str">
        <f t="shared" si="17"/>
        <v>1</v>
      </c>
      <c r="N109" s="4" t="str">
        <f t="shared" si="18"/>
        <v>0</v>
      </c>
      <c r="O109" s="4" t="str">
        <f t="shared" si="19"/>
        <v>1</v>
      </c>
      <c r="P109" s="4" t="str">
        <f t="shared" si="20"/>
        <v>0</v>
      </c>
      <c r="Q109" s="4" t="str">
        <f t="shared" si="21"/>
        <v>1</v>
      </c>
    </row>
    <row r="110" spans="1:17" x14ac:dyDescent="0.3">
      <c r="A110" s="3">
        <v>11</v>
      </c>
      <c r="B110" s="4" t="str">
        <f t="shared" si="7"/>
        <v>0</v>
      </c>
      <c r="C110" s="4" t="str">
        <f t="shared" si="22"/>
        <v>1</v>
      </c>
      <c r="D110" s="4" t="str">
        <f t="shared" si="8"/>
        <v>0</v>
      </c>
      <c r="E110" s="4" t="str">
        <f t="shared" si="9"/>
        <v>1</v>
      </c>
      <c r="F110" s="4" t="str">
        <f t="shared" si="10"/>
        <v>1</v>
      </c>
      <c r="G110" s="4" t="str">
        <f t="shared" si="11"/>
        <v>1</v>
      </c>
      <c r="H110" s="4" t="str">
        <f t="shared" si="12"/>
        <v>1</v>
      </c>
      <c r="I110" s="4" t="str">
        <f t="shared" si="13"/>
        <v>1</v>
      </c>
      <c r="J110" s="4" t="str">
        <f t="shared" si="14"/>
        <v>0</v>
      </c>
      <c r="K110" s="4" t="str">
        <f t="shared" si="15"/>
        <v>1</v>
      </c>
      <c r="L110" s="4" t="str">
        <f t="shared" si="16"/>
        <v>1</v>
      </c>
      <c r="M110" s="4" t="str">
        <f t="shared" si="17"/>
        <v>1</v>
      </c>
      <c r="N110" s="4" t="str">
        <f t="shared" si="18"/>
        <v>0</v>
      </c>
      <c r="O110" s="4" t="str">
        <f t="shared" si="19"/>
        <v>0</v>
      </c>
      <c r="P110" s="4" t="str">
        <f t="shared" si="20"/>
        <v>1</v>
      </c>
      <c r="Q110" s="4" t="str">
        <f t="shared" si="21"/>
        <v>0</v>
      </c>
    </row>
    <row r="111" spans="1:17" x14ac:dyDescent="0.3">
      <c r="A111" s="3">
        <v>24</v>
      </c>
      <c r="B111" s="4" t="str">
        <f t="shared" si="7"/>
        <v>1</v>
      </c>
      <c r="C111" s="4" t="str">
        <f t="shared" si="22"/>
        <v>0</v>
      </c>
      <c r="D111" s="4" t="str">
        <f t="shared" si="8"/>
        <v>1</v>
      </c>
      <c r="E111" s="4" t="str">
        <f t="shared" si="9"/>
        <v>1</v>
      </c>
      <c r="F111" s="4" t="str">
        <f t="shared" si="10"/>
        <v>1</v>
      </c>
      <c r="G111" s="4" t="str">
        <f t="shared" si="11"/>
        <v>0</v>
      </c>
      <c r="H111" s="4" t="str">
        <f t="shared" si="12"/>
        <v>0</v>
      </c>
      <c r="I111" s="4" t="str">
        <f t="shared" si="13"/>
        <v>1</v>
      </c>
      <c r="J111" s="4" t="str">
        <f t="shared" si="14"/>
        <v>0</v>
      </c>
      <c r="K111" s="4" t="str">
        <f t="shared" si="15"/>
        <v>1</v>
      </c>
      <c r="L111" s="4" t="str">
        <f t="shared" si="16"/>
        <v>0</v>
      </c>
      <c r="M111" s="4" t="str">
        <f t="shared" si="17"/>
        <v>1</v>
      </c>
      <c r="N111" s="4" t="str">
        <f t="shared" si="18"/>
        <v>1</v>
      </c>
      <c r="O111" s="4" t="str">
        <f t="shared" si="19"/>
        <v>1</v>
      </c>
      <c r="P111" s="4" t="str">
        <f t="shared" si="20"/>
        <v>1</v>
      </c>
      <c r="Q111" s="4" t="str">
        <f t="shared" si="21"/>
        <v>0</v>
      </c>
    </row>
    <row r="112" spans="1:17" x14ac:dyDescent="0.3">
      <c r="A112" s="3">
        <v>1</v>
      </c>
      <c r="B112" s="4" t="str">
        <f t="shared" si="7"/>
        <v>1</v>
      </c>
      <c r="C112" s="4" t="str">
        <f t="shared" si="22"/>
        <v>1</v>
      </c>
      <c r="D112" s="4" t="str">
        <f t="shared" si="8"/>
        <v>0</v>
      </c>
      <c r="E112" s="4" t="str">
        <f t="shared" si="9"/>
        <v>0</v>
      </c>
      <c r="F112" s="4" t="str">
        <f t="shared" si="10"/>
        <v>1</v>
      </c>
      <c r="G112" s="4" t="str">
        <f t="shared" si="11"/>
        <v>0</v>
      </c>
      <c r="H112" s="4" t="str">
        <f t="shared" si="12"/>
        <v>1</v>
      </c>
      <c r="I112" s="4" t="str">
        <f t="shared" si="13"/>
        <v>0</v>
      </c>
      <c r="J112" s="4" t="str">
        <f t="shared" si="14"/>
        <v>0</v>
      </c>
      <c r="K112" s="4" t="str">
        <f t="shared" si="15"/>
        <v>0</v>
      </c>
      <c r="L112" s="4" t="str">
        <f t="shared" si="16"/>
        <v>0</v>
      </c>
      <c r="M112" s="4" t="str">
        <f t="shared" si="17"/>
        <v>0</v>
      </c>
      <c r="N112" s="4" t="str">
        <f t="shared" si="18"/>
        <v>0</v>
      </c>
      <c r="O112" s="4" t="str">
        <f t="shared" si="19"/>
        <v>0</v>
      </c>
      <c r="P112" s="4" t="str">
        <f t="shared" si="20"/>
        <v>1</v>
      </c>
      <c r="Q112" s="4" t="str">
        <f t="shared" si="21"/>
        <v>1</v>
      </c>
    </row>
    <row r="113" spans="1:17" x14ac:dyDescent="0.3">
      <c r="A113" s="3">
        <v>5</v>
      </c>
      <c r="B113" s="4" t="str">
        <f t="shared" si="7"/>
        <v>0</v>
      </c>
      <c r="C113" s="4" t="str">
        <f t="shared" si="22"/>
        <v>0</v>
      </c>
      <c r="D113" s="4" t="str">
        <f t="shared" si="8"/>
        <v>1</v>
      </c>
      <c r="E113" s="4" t="str">
        <f t="shared" si="9"/>
        <v>0</v>
      </c>
      <c r="F113" s="4" t="str">
        <f t="shared" si="10"/>
        <v>1</v>
      </c>
      <c r="G113" s="4" t="str">
        <f t="shared" si="11"/>
        <v>0</v>
      </c>
      <c r="H113" s="4" t="str">
        <f t="shared" si="12"/>
        <v>1</v>
      </c>
      <c r="I113" s="4" t="str">
        <f t="shared" si="13"/>
        <v>1</v>
      </c>
      <c r="J113" s="4" t="str">
        <f t="shared" si="14"/>
        <v>0</v>
      </c>
      <c r="K113" s="4" t="str">
        <f t="shared" si="15"/>
        <v>0</v>
      </c>
      <c r="L113" s="4" t="str">
        <f t="shared" si="16"/>
        <v>0</v>
      </c>
      <c r="M113" s="4" t="str">
        <f t="shared" si="17"/>
        <v>0</v>
      </c>
      <c r="N113" s="4" t="str">
        <f t="shared" si="18"/>
        <v>1</v>
      </c>
      <c r="O113" s="4" t="str">
        <f t="shared" si="19"/>
        <v>1</v>
      </c>
      <c r="P113" s="4" t="str">
        <f t="shared" si="20"/>
        <v>1</v>
      </c>
      <c r="Q113" s="4" t="str">
        <f t="shared" si="21"/>
        <v>0</v>
      </c>
    </row>
    <row r="114" spans="1:17" x14ac:dyDescent="0.3">
      <c r="A114" s="3">
        <v>3</v>
      </c>
      <c r="B114" s="4" t="str">
        <f t="shared" si="7"/>
        <v>1</v>
      </c>
      <c r="C114" s="4" t="str">
        <f t="shared" si="22"/>
        <v>0</v>
      </c>
      <c r="D114" s="4" t="str">
        <f t="shared" si="8"/>
        <v>0</v>
      </c>
      <c r="E114" s="4" t="str">
        <f t="shared" si="9"/>
        <v>1</v>
      </c>
      <c r="F114" s="4" t="str">
        <f t="shared" si="10"/>
        <v>0</v>
      </c>
      <c r="G114" s="4" t="str">
        <f t="shared" si="11"/>
        <v>1</v>
      </c>
      <c r="H114" s="4" t="str">
        <f t="shared" si="12"/>
        <v>0</v>
      </c>
      <c r="I114" s="4" t="str">
        <f t="shared" si="13"/>
        <v>1</v>
      </c>
      <c r="J114" s="4" t="str">
        <f t="shared" si="14"/>
        <v>0</v>
      </c>
      <c r="K114" s="4" t="str">
        <f t="shared" si="15"/>
        <v>0</v>
      </c>
      <c r="L114" s="4" t="str">
        <f t="shared" si="16"/>
        <v>0</v>
      </c>
      <c r="M114" s="4" t="str">
        <f t="shared" si="17"/>
        <v>0</v>
      </c>
      <c r="N114" s="4" t="str">
        <f t="shared" si="18"/>
        <v>0</v>
      </c>
      <c r="O114" s="4" t="str">
        <f t="shared" si="19"/>
        <v>1</v>
      </c>
      <c r="P114" s="4" t="str">
        <f t="shared" si="20"/>
        <v>1</v>
      </c>
      <c r="Q114" s="4" t="str">
        <f t="shared" si="21"/>
        <v>1</v>
      </c>
    </row>
    <row r="115" spans="1:17" x14ac:dyDescent="0.3">
      <c r="A115" s="3">
        <v>28</v>
      </c>
      <c r="B115" s="4" t="str">
        <f t="shared" si="7"/>
        <v>1</v>
      </c>
      <c r="C115" s="4" t="str">
        <f t="shared" si="22"/>
        <v>1</v>
      </c>
      <c r="D115" s="4" t="str">
        <f t="shared" si="8"/>
        <v>1</v>
      </c>
      <c r="E115" s="4" t="str">
        <f t="shared" si="9"/>
        <v>0</v>
      </c>
      <c r="F115" s="4" t="str">
        <f t="shared" si="10"/>
        <v>0</v>
      </c>
      <c r="G115" s="4" t="str">
        <f t="shared" si="11"/>
        <v>1</v>
      </c>
      <c r="H115" s="4" t="str">
        <f t="shared" si="12"/>
        <v>0</v>
      </c>
      <c r="I115" s="4" t="str">
        <f t="shared" si="13"/>
        <v>1</v>
      </c>
      <c r="J115" s="4" t="str">
        <f t="shared" si="14"/>
        <v>0</v>
      </c>
      <c r="K115" s="4" t="str">
        <f t="shared" si="15"/>
        <v>1</v>
      </c>
      <c r="L115" s="4" t="str">
        <f t="shared" si="16"/>
        <v>1</v>
      </c>
      <c r="M115" s="4" t="str">
        <f t="shared" si="17"/>
        <v>1</v>
      </c>
      <c r="N115" s="4" t="str">
        <f t="shared" si="18"/>
        <v>1</v>
      </c>
      <c r="O115" s="4" t="str">
        <f t="shared" si="19"/>
        <v>1</v>
      </c>
      <c r="P115" s="4" t="str">
        <f t="shared" si="20"/>
        <v>1</v>
      </c>
      <c r="Q115" s="4" t="str">
        <f t="shared" si="21"/>
        <v>1</v>
      </c>
    </row>
    <row r="116" spans="1:17" x14ac:dyDescent="0.3">
      <c r="A116" s="3">
        <v>15</v>
      </c>
      <c r="B116" s="4" t="str">
        <f t="shared" si="7"/>
        <v>0</v>
      </c>
      <c r="C116" s="4" t="str">
        <f t="shared" si="22"/>
        <v>1</v>
      </c>
      <c r="D116" s="4" t="str">
        <f t="shared" si="8"/>
        <v>1</v>
      </c>
      <c r="E116" s="4" t="str">
        <f t="shared" si="9"/>
        <v>1</v>
      </c>
      <c r="F116" s="4" t="str">
        <f t="shared" si="10"/>
        <v>1</v>
      </c>
      <c r="G116" s="4" t="str">
        <f t="shared" si="11"/>
        <v>1</v>
      </c>
      <c r="H116" s="4" t="str">
        <f t="shared" si="12"/>
        <v>1</v>
      </c>
      <c r="I116" s="4" t="str">
        <f t="shared" si="13"/>
        <v>1</v>
      </c>
      <c r="J116" s="4" t="str">
        <f t="shared" si="14"/>
        <v>1</v>
      </c>
      <c r="K116" s="4" t="str">
        <f t="shared" si="15"/>
        <v>1</v>
      </c>
      <c r="L116" s="4" t="str">
        <f t="shared" si="16"/>
        <v>0</v>
      </c>
      <c r="M116" s="4" t="str">
        <f t="shared" si="17"/>
        <v>0</v>
      </c>
      <c r="N116" s="4" t="str">
        <f t="shared" si="18"/>
        <v>1</v>
      </c>
      <c r="O116" s="4" t="str">
        <f t="shared" si="19"/>
        <v>0</v>
      </c>
      <c r="P116" s="4" t="str">
        <f t="shared" si="20"/>
        <v>1</v>
      </c>
      <c r="Q116" s="4" t="str">
        <f t="shared" si="21"/>
        <v>0</v>
      </c>
    </row>
    <row r="117" spans="1:17" x14ac:dyDescent="0.3">
      <c r="A117" s="3">
        <v>6</v>
      </c>
      <c r="B117" s="4" t="str">
        <f t="shared" si="7"/>
        <v>0</v>
      </c>
      <c r="C117" s="4" t="str">
        <f t="shared" si="22"/>
        <v>0</v>
      </c>
      <c r="D117" s="4" t="str">
        <f t="shared" si="8"/>
        <v>1</v>
      </c>
      <c r="E117" s="4" t="str">
        <f t="shared" si="9"/>
        <v>0</v>
      </c>
      <c r="F117" s="4" t="str">
        <f t="shared" si="10"/>
        <v>1</v>
      </c>
      <c r="G117" s="4" t="str">
        <f t="shared" si="11"/>
        <v>0</v>
      </c>
      <c r="H117" s="4" t="str">
        <f t="shared" si="12"/>
        <v>0</v>
      </c>
      <c r="I117" s="4" t="str">
        <f t="shared" si="13"/>
        <v>0</v>
      </c>
      <c r="J117" s="4" t="str">
        <f t="shared" si="14"/>
        <v>1</v>
      </c>
      <c r="K117" s="4" t="str">
        <f t="shared" si="15"/>
        <v>1</v>
      </c>
      <c r="L117" s="4" t="str">
        <f t="shared" si="16"/>
        <v>1</v>
      </c>
      <c r="M117" s="4" t="str">
        <f t="shared" si="17"/>
        <v>1</v>
      </c>
      <c r="N117" s="4" t="str">
        <f t="shared" si="18"/>
        <v>1</v>
      </c>
      <c r="O117" s="4" t="str">
        <f t="shared" si="19"/>
        <v>1</v>
      </c>
      <c r="P117" s="4" t="str">
        <f t="shared" si="20"/>
        <v>0</v>
      </c>
      <c r="Q117" s="4" t="str">
        <f t="shared" si="21"/>
        <v>0</v>
      </c>
    </row>
    <row r="118" spans="1:17" x14ac:dyDescent="0.3">
      <c r="A118" s="3">
        <v>21</v>
      </c>
      <c r="B118" s="4" t="str">
        <f t="shared" si="7"/>
        <v>0</v>
      </c>
      <c r="C118" s="4" t="str">
        <f t="shared" si="22"/>
        <v>1</v>
      </c>
      <c r="D118" s="4" t="str">
        <f t="shared" si="8"/>
        <v>1</v>
      </c>
      <c r="E118" s="4" t="str">
        <f t="shared" si="9"/>
        <v>1</v>
      </c>
      <c r="F118" s="4" t="str">
        <f t="shared" si="10"/>
        <v>1</v>
      </c>
      <c r="G118" s="4" t="str">
        <f t="shared" si="11"/>
        <v>1</v>
      </c>
      <c r="H118" s="4" t="str">
        <f t="shared" si="12"/>
        <v>0</v>
      </c>
      <c r="I118" s="4" t="str">
        <f t="shared" si="13"/>
        <v>0</v>
      </c>
      <c r="J118" s="4" t="str">
        <f t="shared" si="14"/>
        <v>0</v>
      </c>
      <c r="K118" s="4" t="str">
        <f t="shared" si="15"/>
        <v>1</v>
      </c>
      <c r="L118" s="4" t="str">
        <f t="shared" si="16"/>
        <v>0</v>
      </c>
      <c r="M118" s="4" t="str">
        <f t="shared" si="17"/>
        <v>1</v>
      </c>
      <c r="N118" s="4" t="str">
        <f t="shared" si="18"/>
        <v>0</v>
      </c>
      <c r="O118" s="4" t="str">
        <f t="shared" si="19"/>
        <v>0</v>
      </c>
      <c r="P118" s="4" t="str">
        <f t="shared" si="20"/>
        <v>0</v>
      </c>
      <c r="Q118" s="4" t="str">
        <f t="shared" si="21"/>
        <v>1</v>
      </c>
    </row>
    <row r="119" spans="1:17" x14ac:dyDescent="0.3">
      <c r="A119" s="3">
        <v>10</v>
      </c>
      <c r="B119" s="4" t="str">
        <f t="shared" si="7"/>
        <v>0</v>
      </c>
      <c r="C119" s="4" t="str">
        <f t="shared" si="22"/>
        <v>0</v>
      </c>
      <c r="D119" s="4" t="str">
        <f t="shared" si="8"/>
        <v>1</v>
      </c>
      <c r="E119" s="4" t="str">
        <f t="shared" si="9"/>
        <v>0</v>
      </c>
      <c r="F119" s="4" t="str">
        <f t="shared" si="10"/>
        <v>0</v>
      </c>
      <c r="G119" s="4" t="str">
        <f t="shared" si="11"/>
        <v>0</v>
      </c>
      <c r="H119" s="4" t="str">
        <f t="shared" si="12"/>
        <v>0</v>
      </c>
      <c r="I119" s="4" t="str">
        <f t="shared" si="13"/>
        <v>0</v>
      </c>
      <c r="J119" s="4" t="str">
        <f t="shared" si="14"/>
        <v>1</v>
      </c>
      <c r="K119" s="4" t="str">
        <f t="shared" si="15"/>
        <v>1</v>
      </c>
      <c r="L119" s="4" t="str">
        <f t="shared" si="16"/>
        <v>1</v>
      </c>
      <c r="M119" s="4" t="str">
        <f t="shared" si="17"/>
        <v>1</v>
      </c>
      <c r="N119" s="4" t="str">
        <f t="shared" si="18"/>
        <v>0</v>
      </c>
      <c r="O119" s="4" t="str">
        <f t="shared" si="19"/>
        <v>0</v>
      </c>
      <c r="P119" s="4" t="str">
        <f t="shared" si="20"/>
        <v>1</v>
      </c>
      <c r="Q119" s="4" t="str">
        <f t="shared" si="21"/>
        <v>1</v>
      </c>
    </row>
    <row r="120" spans="1:17" x14ac:dyDescent="0.3">
      <c r="A120" s="3">
        <v>23</v>
      </c>
      <c r="B120" s="4" t="str">
        <f t="shared" si="7"/>
        <v>0</v>
      </c>
      <c r="C120" s="4" t="str">
        <f t="shared" si="22"/>
        <v>1</v>
      </c>
      <c r="D120" s="4" t="str">
        <f t="shared" si="8"/>
        <v>1</v>
      </c>
      <c r="E120" s="4" t="str">
        <f t="shared" si="9"/>
        <v>1</v>
      </c>
      <c r="F120" s="4" t="str">
        <f t="shared" si="10"/>
        <v>1</v>
      </c>
      <c r="G120" s="4" t="str">
        <f t="shared" si="11"/>
        <v>0</v>
      </c>
      <c r="H120" s="4" t="str">
        <f t="shared" si="12"/>
        <v>0</v>
      </c>
      <c r="I120" s="4" t="str">
        <f t="shared" si="13"/>
        <v>1</v>
      </c>
      <c r="J120" s="4" t="str">
        <f t="shared" si="14"/>
        <v>1</v>
      </c>
      <c r="K120" s="4" t="str">
        <f t="shared" si="15"/>
        <v>0</v>
      </c>
      <c r="L120" s="4" t="str">
        <f t="shared" si="16"/>
        <v>1</v>
      </c>
      <c r="M120" s="4" t="str">
        <f t="shared" si="17"/>
        <v>0</v>
      </c>
      <c r="N120" s="4" t="str">
        <f t="shared" si="18"/>
        <v>0</v>
      </c>
      <c r="O120" s="4" t="str">
        <f t="shared" si="19"/>
        <v>0</v>
      </c>
      <c r="P120" s="4" t="str">
        <f t="shared" si="20"/>
        <v>0</v>
      </c>
      <c r="Q120" s="4" t="str">
        <f t="shared" si="21"/>
        <v>1</v>
      </c>
    </row>
    <row r="121" spans="1:17" x14ac:dyDescent="0.3">
      <c r="A121" s="3">
        <v>19</v>
      </c>
      <c r="B121" s="4" t="str">
        <f t="shared" si="7"/>
        <v>0</v>
      </c>
      <c r="C121" s="4" t="str">
        <f t="shared" si="22"/>
        <v>1</v>
      </c>
      <c r="D121" s="4" t="str">
        <f t="shared" si="8"/>
        <v>1</v>
      </c>
      <c r="E121" s="4" t="str">
        <f t="shared" si="9"/>
        <v>1</v>
      </c>
      <c r="F121" s="4" t="str">
        <f t="shared" si="10"/>
        <v>1</v>
      </c>
      <c r="G121" s="4" t="str">
        <f t="shared" si="11"/>
        <v>1</v>
      </c>
      <c r="H121" s="4" t="str">
        <f t="shared" si="12"/>
        <v>1</v>
      </c>
      <c r="I121" s="4" t="str">
        <f t="shared" si="13"/>
        <v>0</v>
      </c>
      <c r="J121" s="4" t="str">
        <f t="shared" si="14"/>
        <v>0</v>
      </c>
      <c r="K121" s="4" t="str">
        <f t="shared" si="15"/>
        <v>0</v>
      </c>
      <c r="L121" s="4" t="str">
        <f t="shared" si="16"/>
        <v>1</v>
      </c>
      <c r="M121" s="4" t="str">
        <f t="shared" si="17"/>
        <v>0</v>
      </c>
      <c r="N121" s="4" t="str">
        <f t="shared" si="18"/>
        <v>1</v>
      </c>
      <c r="O121" s="4" t="str">
        <f t="shared" si="19"/>
        <v>0</v>
      </c>
      <c r="P121" s="4" t="str">
        <f t="shared" si="20"/>
        <v>0</v>
      </c>
      <c r="Q121" s="4" t="str">
        <f t="shared" si="21"/>
        <v>1</v>
      </c>
    </row>
    <row r="122" spans="1:17" x14ac:dyDescent="0.3">
      <c r="A122" s="3">
        <v>12</v>
      </c>
      <c r="B122" s="4" t="str">
        <f t="shared" si="7"/>
        <v>1</v>
      </c>
      <c r="C122" s="4" t="str">
        <f t="shared" si="22"/>
        <v>1</v>
      </c>
      <c r="D122" s="4" t="str">
        <f t="shared" si="8"/>
        <v>0</v>
      </c>
      <c r="E122" s="4" t="str">
        <f t="shared" si="9"/>
        <v>0</v>
      </c>
      <c r="F122" s="4" t="str">
        <f t="shared" si="10"/>
        <v>0</v>
      </c>
      <c r="G122" s="4" t="str">
        <f t="shared" si="11"/>
        <v>0</v>
      </c>
      <c r="H122" s="4" t="str">
        <f t="shared" si="12"/>
        <v>0</v>
      </c>
      <c r="I122" s="4" t="str">
        <f t="shared" si="13"/>
        <v>0</v>
      </c>
      <c r="J122" s="4" t="str">
        <f t="shared" si="14"/>
        <v>1</v>
      </c>
      <c r="K122" s="4" t="str">
        <f t="shared" si="15"/>
        <v>1</v>
      </c>
      <c r="L122" s="4" t="str">
        <f t="shared" si="16"/>
        <v>1</v>
      </c>
      <c r="M122" s="4" t="str">
        <f t="shared" si="17"/>
        <v>0</v>
      </c>
      <c r="N122" s="4" t="str">
        <f t="shared" si="18"/>
        <v>0</v>
      </c>
      <c r="O122" s="4" t="str">
        <f t="shared" si="19"/>
        <v>1</v>
      </c>
      <c r="P122" s="4" t="str">
        <f t="shared" si="20"/>
        <v>0</v>
      </c>
      <c r="Q122" s="4" t="str">
        <f t="shared" si="21"/>
        <v>0</v>
      </c>
    </row>
    <row r="123" spans="1:17" x14ac:dyDescent="0.3">
      <c r="A123" s="3">
        <v>4</v>
      </c>
      <c r="B123" s="4" t="str">
        <f t="shared" si="7"/>
        <v>0</v>
      </c>
      <c r="C123" s="4" t="str">
        <f t="shared" si="22"/>
        <v>0</v>
      </c>
      <c r="D123" s="4" t="str">
        <f t="shared" si="8"/>
        <v>0</v>
      </c>
      <c r="E123" s="4" t="str">
        <f t="shared" si="9"/>
        <v>1</v>
      </c>
      <c r="F123" s="4" t="str">
        <f t="shared" si="10"/>
        <v>0</v>
      </c>
      <c r="G123" s="4" t="str">
        <f t="shared" si="11"/>
        <v>1</v>
      </c>
      <c r="H123" s="4" t="str">
        <f t="shared" si="12"/>
        <v>0</v>
      </c>
      <c r="I123" s="4" t="str">
        <f t="shared" si="13"/>
        <v>0</v>
      </c>
      <c r="J123" s="4" t="str">
        <f t="shared" si="14"/>
        <v>1</v>
      </c>
      <c r="K123" s="4" t="str">
        <f t="shared" si="15"/>
        <v>1</v>
      </c>
      <c r="L123" s="4" t="str">
        <f t="shared" si="16"/>
        <v>1</v>
      </c>
      <c r="M123" s="4" t="str">
        <f t="shared" si="17"/>
        <v>1</v>
      </c>
      <c r="N123" s="4" t="str">
        <f t="shared" si="18"/>
        <v>1</v>
      </c>
      <c r="O123" s="4" t="str">
        <f t="shared" si="19"/>
        <v>1</v>
      </c>
      <c r="P123" s="4" t="str">
        <f t="shared" si="20"/>
        <v>1</v>
      </c>
      <c r="Q123" s="4" t="str">
        <f t="shared" si="21"/>
        <v>1</v>
      </c>
    </row>
    <row r="124" spans="1:17" x14ac:dyDescent="0.3">
      <c r="A124" s="3">
        <v>26</v>
      </c>
      <c r="B124" s="4" t="str">
        <f t="shared" si="7"/>
        <v>1</v>
      </c>
      <c r="C124" s="4" t="str">
        <f t="shared" si="22"/>
        <v>1</v>
      </c>
      <c r="D124" s="4" t="str">
        <f t="shared" si="8"/>
        <v>1</v>
      </c>
      <c r="E124" s="4" t="str">
        <f t="shared" si="9"/>
        <v>1</v>
      </c>
      <c r="F124" s="4" t="str">
        <f t="shared" si="10"/>
        <v>0</v>
      </c>
      <c r="G124" s="4" t="str">
        <f t="shared" si="11"/>
        <v>0</v>
      </c>
      <c r="H124" s="4" t="str">
        <f t="shared" si="12"/>
        <v>1</v>
      </c>
      <c r="I124" s="4" t="str">
        <f t="shared" si="13"/>
        <v>0</v>
      </c>
      <c r="J124" s="4" t="str">
        <f t="shared" si="14"/>
        <v>1</v>
      </c>
      <c r="K124" s="4" t="str">
        <f t="shared" si="15"/>
        <v>0</v>
      </c>
      <c r="L124" s="4" t="str">
        <f t="shared" si="16"/>
        <v>1</v>
      </c>
      <c r="M124" s="4" t="str">
        <f t="shared" si="17"/>
        <v>1</v>
      </c>
      <c r="N124" s="4" t="str">
        <f t="shared" si="18"/>
        <v>1</v>
      </c>
      <c r="O124" s="4" t="str">
        <f t="shared" si="19"/>
        <v>1</v>
      </c>
      <c r="P124" s="4" t="str">
        <f t="shared" si="20"/>
        <v>1</v>
      </c>
      <c r="Q124" s="4" t="str">
        <f t="shared" si="21"/>
        <v>0</v>
      </c>
    </row>
    <row r="125" spans="1:17" x14ac:dyDescent="0.3">
      <c r="A125" s="3">
        <v>8</v>
      </c>
      <c r="B125" s="4" t="str">
        <f t="shared" si="7"/>
        <v>1</v>
      </c>
      <c r="C125" s="4" t="str">
        <f t="shared" si="22"/>
        <v>1</v>
      </c>
      <c r="D125" s="4" t="str">
        <f t="shared" si="8"/>
        <v>0</v>
      </c>
      <c r="E125" s="4" t="str">
        <f t="shared" si="9"/>
        <v>1</v>
      </c>
      <c r="F125" s="4" t="str">
        <f t="shared" si="10"/>
        <v>0</v>
      </c>
      <c r="G125" s="4" t="str">
        <f t="shared" si="11"/>
        <v>0</v>
      </c>
      <c r="H125" s="4" t="str">
        <f t="shared" si="12"/>
        <v>0</v>
      </c>
      <c r="I125" s="4" t="str">
        <f t="shared" si="13"/>
        <v>0</v>
      </c>
      <c r="J125" s="4" t="str">
        <f t="shared" si="14"/>
        <v>1</v>
      </c>
      <c r="K125" s="4" t="str">
        <f t="shared" si="15"/>
        <v>1</v>
      </c>
      <c r="L125" s="4" t="str">
        <f t="shared" si="16"/>
        <v>1</v>
      </c>
      <c r="M125" s="4" t="str">
        <f t="shared" si="17"/>
        <v>1</v>
      </c>
      <c r="N125" s="4" t="str">
        <f t="shared" si="18"/>
        <v>1</v>
      </c>
      <c r="O125" s="4" t="str">
        <f t="shared" si="19"/>
        <v>0</v>
      </c>
      <c r="P125" s="4" t="str">
        <f t="shared" si="20"/>
        <v>0</v>
      </c>
      <c r="Q125" s="4" t="str">
        <f t="shared" si="21"/>
        <v>0</v>
      </c>
    </row>
    <row r="126" spans="1:17" x14ac:dyDescent="0.3">
      <c r="A126" s="3">
        <v>16</v>
      </c>
      <c r="B126" s="4" t="str">
        <f t="shared" si="7"/>
        <v>1</v>
      </c>
      <c r="C126" s="4" t="str">
        <f t="shared" si="22"/>
        <v>0</v>
      </c>
      <c r="D126" s="4" t="str">
        <f t="shared" si="8"/>
        <v>0</v>
      </c>
      <c r="E126" s="4" t="str">
        <f t="shared" si="9"/>
        <v>0</v>
      </c>
      <c r="F126" s="4" t="str">
        <f t="shared" si="10"/>
        <v>0</v>
      </c>
      <c r="G126" s="4" t="str">
        <f t="shared" si="11"/>
        <v>0</v>
      </c>
      <c r="H126" s="4" t="str">
        <f t="shared" si="12"/>
        <v>1</v>
      </c>
      <c r="I126" s="4" t="str">
        <f t="shared" si="13"/>
        <v>1</v>
      </c>
      <c r="J126" s="4" t="str">
        <f t="shared" si="14"/>
        <v>1</v>
      </c>
      <c r="K126" s="4" t="str">
        <f t="shared" si="15"/>
        <v>0</v>
      </c>
      <c r="L126" s="4" t="str">
        <f t="shared" si="16"/>
        <v>0</v>
      </c>
      <c r="M126" s="4" t="str">
        <f t="shared" si="17"/>
        <v>1</v>
      </c>
      <c r="N126" s="4" t="str">
        <f t="shared" si="18"/>
        <v>0</v>
      </c>
      <c r="O126" s="4" t="str">
        <f t="shared" si="19"/>
        <v>1</v>
      </c>
      <c r="P126" s="4" t="str">
        <f t="shared" si="20"/>
        <v>0</v>
      </c>
      <c r="Q126" s="4" t="str">
        <f t="shared" si="21"/>
        <v>0</v>
      </c>
    </row>
    <row r="127" spans="1:17" x14ac:dyDescent="0.3">
      <c r="A127" s="3">
        <v>7</v>
      </c>
      <c r="B127" s="4" t="str">
        <f t="shared" si="7"/>
        <v>0</v>
      </c>
      <c r="C127" s="4" t="str">
        <f t="shared" si="22"/>
        <v>1</v>
      </c>
      <c r="D127" s="4" t="str">
        <f t="shared" si="8"/>
        <v>0</v>
      </c>
      <c r="E127" s="4" t="str">
        <f t="shared" si="9"/>
        <v>1</v>
      </c>
      <c r="F127" s="4" t="str">
        <f t="shared" si="10"/>
        <v>0</v>
      </c>
      <c r="G127" s="4" t="str">
        <f t="shared" si="11"/>
        <v>1</v>
      </c>
      <c r="H127" s="4" t="str">
        <f t="shared" si="12"/>
        <v>1</v>
      </c>
      <c r="I127" s="4" t="str">
        <f t="shared" si="13"/>
        <v>1</v>
      </c>
      <c r="J127" s="4" t="str">
        <f t="shared" si="14"/>
        <v>0</v>
      </c>
      <c r="K127" s="4" t="str">
        <f t="shared" si="15"/>
        <v>0</v>
      </c>
      <c r="L127" s="4" t="str">
        <f t="shared" si="16"/>
        <v>0</v>
      </c>
      <c r="M127" s="4" t="str">
        <f t="shared" si="17"/>
        <v>1</v>
      </c>
      <c r="N127" s="4" t="str">
        <f t="shared" si="18"/>
        <v>1</v>
      </c>
      <c r="O127" s="4" t="str">
        <f t="shared" si="19"/>
        <v>1</v>
      </c>
      <c r="P127" s="4" t="str">
        <f t="shared" si="20"/>
        <v>0</v>
      </c>
      <c r="Q127" s="4" t="str">
        <f t="shared" si="21"/>
        <v>0</v>
      </c>
    </row>
    <row r="128" spans="1:17" x14ac:dyDescent="0.3">
      <c r="A128" s="3">
        <v>27</v>
      </c>
      <c r="B128" s="4" t="str">
        <f t="shared" si="7"/>
        <v>1</v>
      </c>
      <c r="C128" s="4" t="str">
        <f t="shared" si="22"/>
        <v>1</v>
      </c>
      <c r="D128" s="4" t="str">
        <f t="shared" si="8"/>
        <v>1</v>
      </c>
      <c r="E128" s="4" t="str">
        <f t="shared" si="9"/>
        <v>0</v>
      </c>
      <c r="F128" s="4" t="str">
        <f t="shared" si="10"/>
        <v>0</v>
      </c>
      <c r="G128" s="4" t="str">
        <f t="shared" si="11"/>
        <v>1</v>
      </c>
      <c r="H128" s="4" t="str">
        <f t="shared" si="12"/>
        <v>0</v>
      </c>
      <c r="I128" s="4" t="str">
        <f t="shared" si="13"/>
        <v>1</v>
      </c>
      <c r="J128" s="4" t="str">
        <f t="shared" si="14"/>
        <v>1</v>
      </c>
      <c r="K128" s="4" t="str">
        <f t="shared" si="15"/>
        <v>0</v>
      </c>
      <c r="L128" s="4" t="str">
        <f t="shared" si="16"/>
        <v>0</v>
      </c>
      <c r="M128" s="4" t="str">
        <f t="shared" si="17"/>
        <v>0</v>
      </c>
      <c r="N128" s="4" t="str">
        <f t="shared" si="18"/>
        <v>0</v>
      </c>
      <c r="O128" s="4" t="str">
        <f t="shared" si="19"/>
        <v>0</v>
      </c>
      <c r="P128" s="4" t="str">
        <f t="shared" si="20"/>
        <v>0</v>
      </c>
      <c r="Q128" s="4" t="str">
        <f t="shared" si="21"/>
        <v>1</v>
      </c>
    </row>
    <row r="129" spans="1:17" x14ac:dyDescent="0.3">
      <c r="A129" s="3">
        <v>20</v>
      </c>
      <c r="B129" s="4" t="str">
        <f t="shared" si="7"/>
        <v>1</v>
      </c>
      <c r="C129" s="4" t="str">
        <f t="shared" si="22"/>
        <v>0</v>
      </c>
      <c r="D129" s="4" t="str">
        <f t="shared" si="8"/>
        <v>0</v>
      </c>
      <c r="E129" s="4" t="str">
        <f t="shared" si="9"/>
        <v>0</v>
      </c>
      <c r="F129" s="4" t="str">
        <f t="shared" si="10"/>
        <v>1</v>
      </c>
      <c r="G129" s="4" t="str">
        <f t="shared" si="11"/>
        <v>1</v>
      </c>
      <c r="H129" s="4" t="str">
        <f t="shared" si="12"/>
        <v>1</v>
      </c>
      <c r="I129" s="4" t="str">
        <f t="shared" si="13"/>
        <v>0</v>
      </c>
      <c r="J129" s="4" t="str">
        <f t="shared" si="14"/>
        <v>0</v>
      </c>
      <c r="K129" s="4" t="str">
        <f t="shared" si="15"/>
        <v>1</v>
      </c>
      <c r="L129" s="4" t="str">
        <f t="shared" si="16"/>
        <v>0</v>
      </c>
      <c r="M129" s="4" t="str">
        <f t="shared" si="17"/>
        <v>1</v>
      </c>
      <c r="N129" s="4" t="str">
        <f t="shared" si="18"/>
        <v>0</v>
      </c>
      <c r="O129" s="4" t="str">
        <f t="shared" si="19"/>
        <v>1</v>
      </c>
      <c r="P129" s="4" t="str">
        <f t="shared" si="20"/>
        <v>1</v>
      </c>
      <c r="Q129" s="4" t="str">
        <f t="shared" si="21"/>
        <v>0</v>
      </c>
    </row>
    <row r="130" spans="1:17" x14ac:dyDescent="0.3">
      <c r="A130" s="3">
        <v>13</v>
      </c>
      <c r="B130" s="4" t="str">
        <f t="shared" si="7"/>
        <v>1</v>
      </c>
      <c r="C130" s="4" t="str">
        <f t="shared" si="22"/>
        <v>0</v>
      </c>
      <c r="D130" s="4" t="str">
        <f t="shared" si="8"/>
        <v>1</v>
      </c>
      <c r="E130" s="4" t="str">
        <f t="shared" si="9"/>
        <v>1</v>
      </c>
      <c r="F130" s="4" t="str">
        <f t="shared" si="10"/>
        <v>1</v>
      </c>
      <c r="G130" s="4" t="str">
        <f t="shared" si="11"/>
        <v>1</v>
      </c>
      <c r="H130" s="4" t="str">
        <f t="shared" si="12"/>
        <v>1</v>
      </c>
      <c r="I130" s="4" t="str">
        <f t="shared" si="13"/>
        <v>1</v>
      </c>
      <c r="J130" s="4" t="str">
        <f t="shared" si="14"/>
        <v>1</v>
      </c>
      <c r="K130" s="4" t="str">
        <f t="shared" si="15"/>
        <v>1</v>
      </c>
      <c r="L130" s="4" t="str">
        <f t="shared" si="16"/>
        <v>1</v>
      </c>
      <c r="M130" s="4" t="str">
        <f t="shared" si="17"/>
        <v>0</v>
      </c>
      <c r="N130" s="4" t="str">
        <f t="shared" si="18"/>
        <v>0</v>
      </c>
      <c r="O130" s="4" t="str">
        <f t="shared" si="19"/>
        <v>1</v>
      </c>
      <c r="P130" s="4" t="str">
        <f t="shared" si="20"/>
        <v>0</v>
      </c>
      <c r="Q130" s="4" t="str">
        <f t="shared" si="21"/>
        <v>1</v>
      </c>
    </row>
    <row r="131" spans="1:17" x14ac:dyDescent="0.3">
      <c r="A131" s="3">
        <v>2</v>
      </c>
      <c r="B131" s="4" t="str">
        <f t="shared" si="7"/>
        <v>1</v>
      </c>
      <c r="C131" s="4" t="str">
        <f t="shared" si="22"/>
        <v>1</v>
      </c>
      <c r="D131" s="4" t="str">
        <f t="shared" si="8"/>
        <v>0</v>
      </c>
      <c r="E131" s="4" t="str">
        <f t="shared" si="9"/>
        <v>0</v>
      </c>
      <c r="F131" s="4" t="str">
        <f t="shared" si="10"/>
        <v>1</v>
      </c>
      <c r="G131" s="4" t="str">
        <f t="shared" si="11"/>
        <v>0</v>
      </c>
      <c r="H131" s="4" t="str">
        <f t="shared" si="12"/>
        <v>1</v>
      </c>
      <c r="I131" s="4" t="str">
        <f t="shared" si="13"/>
        <v>0</v>
      </c>
      <c r="J131" s="4" t="str">
        <f t="shared" si="14"/>
        <v>1</v>
      </c>
      <c r="K131" s="4" t="str">
        <f t="shared" si="15"/>
        <v>1</v>
      </c>
      <c r="L131" s="4" t="str">
        <f t="shared" si="16"/>
        <v>1</v>
      </c>
      <c r="M131" s="4" t="str">
        <f t="shared" si="17"/>
        <v>1</v>
      </c>
      <c r="N131" s="4" t="str">
        <f t="shared" si="18"/>
        <v>1</v>
      </c>
      <c r="O131" s="4" t="str">
        <f t="shared" si="19"/>
        <v>1</v>
      </c>
      <c r="P131" s="4" t="str">
        <f t="shared" si="20"/>
        <v>1</v>
      </c>
      <c r="Q131" s="4" t="str">
        <f t="shared" si="21"/>
        <v>1</v>
      </c>
    </row>
    <row r="132" spans="1:17" x14ac:dyDescent="0.3">
      <c r="A132" s="3">
        <v>41</v>
      </c>
      <c r="B132" s="4" t="str">
        <f t="shared" si="7"/>
        <v>1</v>
      </c>
      <c r="C132" s="4" t="str">
        <f t="shared" si="22"/>
        <v>0</v>
      </c>
      <c r="D132" s="4" t="str">
        <f t="shared" si="8"/>
        <v>1</v>
      </c>
      <c r="E132" s="4" t="str">
        <f t="shared" si="9"/>
        <v>1</v>
      </c>
      <c r="F132" s="4" t="str">
        <f t="shared" si="10"/>
        <v>0</v>
      </c>
      <c r="G132" s="4" t="str">
        <f t="shared" si="11"/>
        <v>0</v>
      </c>
      <c r="H132" s="4" t="str">
        <f t="shared" si="12"/>
        <v>1</v>
      </c>
      <c r="I132" s="4" t="str">
        <f t="shared" si="13"/>
        <v>1</v>
      </c>
      <c r="J132" s="4" t="str">
        <f t="shared" si="14"/>
        <v>0</v>
      </c>
      <c r="K132" s="4" t="str">
        <f t="shared" si="15"/>
        <v>0</v>
      </c>
      <c r="L132" s="4" t="str">
        <f t="shared" si="16"/>
        <v>0</v>
      </c>
      <c r="M132" s="4" t="str">
        <f t="shared" si="17"/>
        <v>0</v>
      </c>
      <c r="N132" s="4" t="str">
        <f t="shared" si="18"/>
        <v>0</v>
      </c>
      <c r="O132" s="4" t="str">
        <f t="shared" si="19"/>
        <v>1</v>
      </c>
      <c r="P132" s="4" t="str">
        <f t="shared" si="20"/>
        <v>0</v>
      </c>
      <c r="Q132" s="4" t="str">
        <f t="shared" si="21"/>
        <v>1</v>
      </c>
    </row>
    <row r="133" spans="1:17" x14ac:dyDescent="0.3">
      <c r="A133" s="3">
        <v>52</v>
      </c>
      <c r="B133" s="4" t="str">
        <f t="shared" si="7"/>
        <v>1</v>
      </c>
      <c r="C133" s="4" t="str">
        <f t="shared" si="22"/>
        <v>0</v>
      </c>
      <c r="D133" s="4" t="str">
        <f t="shared" si="8"/>
        <v>0</v>
      </c>
      <c r="E133" s="4" t="str">
        <f t="shared" si="9"/>
        <v>0</v>
      </c>
      <c r="F133" s="4" t="str">
        <f t="shared" si="10"/>
        <v>0</v>
      </c>
      <c r="G133" s="4" t="str">
        <f t="shared" si="11"/>
        <v>0</v>
      </c>
      <c r="H133" s="4" t="str">
        <f t="shared" si="12"/>
        <v>0</v>
      </c>
      <c r="I133" s="4" t="str">
        <f t="shared" si="13"/>
        <v>1</v>
      </c>
      <c r="J133" s="4" t="str">
        <f t="shared" si="14"/>
        <v>0</v>
      </c>
      <c r="K133" s="4" t="str">
        <f t="shared" si="15"/>
        <v>1</v>
      </c>
      <c r="L133" s="4" t="str">
        <f t="shared" si="16"/>
        <v>0</v>
      </c>
      <c r="M133" s="4" t="str">
        <f t="shared" si="17"/>
        <v>1</v>
      </c>
      <c r="N133" s="4" t="str">
        <f t="shared" si="18"/>
        <v>1</v>
      </c>
      <c r="O133" s="4" t="str">
        <f t="shared" si="19"/>
        <v>0</v>
      </c>
      <c r="P133" s="4" t="str">
        <f t="shared" si="20"/>
        <v>0</v>
      </c>
      <c r="Q133" s="4" t="str">
        <f t="shared" si="21"/>
        <v>0</v>
      </c>
    </row>
    <row r="134" spans="1:17" x14ac:dyDescent="0.3">
      <c r="A134" s="3">
        <v>31</v>
      </c>
      <c r="B134" s="4" t="str">
        <f t="shared" si="7"/>
        <v>0</v>
      </c>
      <c r="C134" s="4" t="str">
        <f t="shared" si="22"/>
        <v>1</v>
      </c>
      <c r="D134" s="4" t="str">
        <f t="shared" si="8"/>
        <v>1</v>
      </c>
      <c r="E134" s="4" t="str">
        <f t="shared" si="9"/>
        <v>1</v>
      </c>
      <c r="F134" s="4" t="str">
        <f t="shared" si="10"/>
        <v>0</v>
      </c>
      <c r="G134" s="4" t="str">
        <f t="shared" si="11"/>
        <v>1</v>
      </c>
      <c r="H134" s="4" t="str">
        <f t="shared" si="12"/>
        <v>0</v>
      </c>
      <c r="I134" s="4" t="str">
        <f t="shared" si="13"/>
        <v>1</v>
      </c>
      <c r="J134" s="4" t="str">
        <f t="shared" si="14"/>
        <v>1</v>
      </c>
      <c r="K134" s="4" t="str">
        <f t="shared" si="15"/>
        <v>1</v>
      </c>
      <c r="L134" s="4" t="str">
        <f t="shared" si="16"/>
        <v>0</v>
      </c>
      <c r="M134" s="4" t="str">
        <f t="shared" si="17"/>
        <v>0</v>
      </c>
      <c r="N134" s="4" t="str">
        <f t="shared" si="18"/>
        <v>0</v>
      </c>
      <c r="O134" s="4" t="str">
        <f t="shared" si="19"/>
        <v>0</v>
      </c>
      <c r="P134" s="4" t="str">
        <f t="shared" si="20"/>
        <v>0</v>
      </c>
      <c r="Q134" s="4" t="str">
        <f t="shared" si="21"/>
        <v>1</v>
      </c>
    </row>
    <row r="135" spans="1:17" x14ac:dyDescent="0.3">
      <c r="A135" s="3">
        <v>37</v>
      </c>
      <c r="B135" s="4" t="str">
        <f t="shared" si="7"/>
        <v>1</v>
      </c>
      <c r="C135" s="4" t="str">
        <f t="shared" si="22"/>
        <v>0</v>
      </c>
      <c r="D135" s="4" t="str">
        <f t="shared" si="8"/>
        <v>1</v>
      </c>
      <c r="E135" s="4" t="str">
        <f t="shared" si="9"/>
        <v>0</v>
      </c>
      <c r="F135" s="4" t="str">
        <f t="shared" si="10"/>
        <v>1</v>
      </c>
      <c r="G135" s="4" t="str">
        <f t="shared" si="11"/>
        <v>1</v>
      </c>
      <c r="H135" s="4" t="str">
        <f t="shared" si="12"/>
        <v>0</v>
      </c>
      <c r="I135" s="4" t="str">
        <f t="shared" si="13"/>
        <v>0</v>
      </c>
      <c r="J135" s="4" t="str">
        <f t="shared" si="14"/>
        <v>0</v>
      </c>
      <c r="K135" s="4" t="str">
        <f t="shared" si="15"/>
        <v>0</v>
      </c>
      <c r="L135" s="4" t="str">
        <f t="shared" si="16"/>
        <v>0</v>
      </c>
      <c r="M135" s="4" t="str">
        <f t="shared" si="17"/>
        <v>0</v>
      </c>
      <c r="N135" s="4" t="str">
        <f t="shared" si="18"/>
        <v>0</v>
      </c>
      <c r="O135" s="4" t="str">
        <f t="shared" si="19"/>
        <v>0</v>
      </c>
      <c r="P135" s="4" t="str">
        <f t="shared" si="20"/>
        <v>0</v>
      </c>
      <c r="Q135" s="4" t="str">
        <f t="shared" si="21"/>
        <v>1</v>
      </c>
    </row>
    <row r="136" spans="1:17" x14ac:dyDescent="0.3">
      <c r="A136" s="3">
        <v>47</v>
      </c>
      <c r="B136" s="4" t="str">
        <f t="shared" si="7"/>
        <v>1</v>
      </c>
      <c r="C136" s="4" t="str">
        <f t="shared" si="22"/>
        <v>0</v>
      </c>
      <c r="D136" s="4" t="str">
        <f t="shared" si="8"/>
        <v>0</v>
      </c>
      <c r="E136" s="4" t="str">
        <f t="shared" si="9"/>
        <v>1</v>
      </c>
      <c r="F136" s="4" t="str">
        <f t="shared" si="10"/>
        <v>1</v>
      </c>
      <c r="G136" s="4" t="str">
        <f t="shared" si="11"/>
        <v>1</v>
      </c>
      <c r="H136" s="4" t="str">
        <f t="shared" si="12"/>
        <v>1</v>
      </c>
      <c r="I136" s="4" t="str">
        <f t="shared" si="13"/>
        <v>1</v>
      </c>
      <c r="J136" s="4" t="str">
        <f t="shared" si="14"/>
        <v>0</v>
      </c>
      <c r="K136" s="4" t="str">
        <f t="shared" si="15"/>
        <v>0</v>
      </c>
      <c r="L136" s="4" t="str">
        <f t="shared" si="16"/>
        <v>1</v>
      </c>
      <c r="M136" s="4" t="str">
        <f t="shared" si="17"/>
        <v>0</v>
      </c>
      <c r="N136" s="4" t="str">
        <f t="shared" si="18"/>
        <v>1</v>
      </c>
      <c r="O136" s="4" t="str">
        <f t="shared" si="19"/>
        <v>0</v>
      </c>
      <c r="P136" s="4" t="str">
        <f t="shared" si="20"/>
        <v>1</v>
      </c>
      <c r="Q136" s="4" t="str">
        <f t="shared" si="21"/>
        <v>1</v>
      </c>
    </row>
    <row r="137" spans="1:17" x14ac:dyDescent="0.3">
      <c r="A137" s="3">
        <v>55</v>
      </c>
      <c r="B137" s="4" t="str">
        <f t="shared" si="7"/>
        <v>0</v>
      </c>
      <c r="C137" s="4" t="str">
        <f t="shared" si="22"/>
        <v>1</v>
      </c>
      <c r="D137" s="4" t="str">
        <f t="shared" si="8"/>
        <v>1</v>
      </c>
      <c r="E137" s="4" t="str">
        <f t="shared" si="9"/>
        <v>1</v>
      </c>
      <c r="F137" s="4" t="str">
        <f t="shared" si="10"/>
        <v>1</v>
      </c>
      <c r="G137" s="4" t="str">
        <f t="shared" si="11"/>
        <v>1</v>
      </c>
      <c r="H137" s="4" t="str">
        <f t="shared" si="12"/>
        <v>0</v>
      </c>
      <c r="I137" s="4" t="str">
        <f t="shared" si="13"/>
        <v>1</v>
      </c>
      <c r="J137" s="4" t="str">
        <f t="shared" si="14"/>
        <v>1</v>
      </c>
      <c r="K137" s="4" t="str">
        <f t="shared" si="15"/>
        <v>0</v>
      </c>
      <c r="L137" s="4" t="str">
        <f t="shared" si="16"/>
        <v>1</v>
      </c>
      <c r="M137" s="4" t="str">
        <f t="shared" si="17"/>
        <v>1</v>
      </c>
      <c r="N137" s="4" t="str">
        <f t="shared" si="18"/>
        <v>0</v>
      </c>
      <c r="O137" s="4" t="str">
        <f t="shared" si="19"/>
        <v>0</v>
      </c>
      <c r="P137" s="4" t="str">
        <f t="shared" si="20"/>
        <v>0</v>
      </c>
      <c r="Q137" s="4" t="str">
        <f t="shared" si="21"/>
        <v>1</v>
      </c>
    </row>
    <row r="138" spans="1:17" x14ac:dyDescent="0.3">
      <c r="A138" s="3">
        <v>30</v>
      </c>
      <c r="B138" s="4" t="str">
        <f t="shared" si="7"/>
        <v>1</v>
      </c>
      <c r="C138" s="4" t="str">
        <f t="shared" si="22"/>
        <v>0</v>
      </c>
      <c r="D138" s="4" t="str">
        <f t="shared" si="8"/>
        <v>0</v>
      </c>
      <c r="E138" s="4" t="str">
        <f t="shared" si="9"/>
        <v>0</v>
      </c>
      <c r="F138" s="4" t="str">
        <f t="shared" si="10"/>
        <v>1</v>
      </c>
      <c r="G138" s="4" t="str">
        <f t="shared" si="11"/>
        <v>0</v>
      </c>
      <c r="H138" s="4" t="str">
        <f t="shared" si="12"/>
        <v>1</v>
      </c>
      <c r="I138" s="4" t="str">
        <f t="shared" si="13"/>
        <v>0</v>
      </c>
      <c r="J138" s="4" t="str">
        <f t="shared" si="14"/>
        <v>1</v>
      </c>
      <c r="K138" s="4" t="str">
        <f t="shared" si="15"/>
        <v>1</v>
      </c>
      <c r="L138" s="4" t="str">
        <f t="shared" si="16"/>
        <v>0</v>
      </c>
      <c r="M138" s="4" t="str">
        <f t="shared" si="17"/>
        <v>0</v>
      </c>
      <c r="N138" s="4" t="str">
        <f t="shared" si="18"/>
        <v>1</v>
      </c>
      <c r="O138" s="4" t="str">
        <f t="shared" si="19"/>
        <v>1</v>
      </c>
      <c r="P138" s="4" t="str">
        <f t="shared" si="20"/>
        <v>1</v>
      </c>
      <c r="Q138" s="4" t="str">
        <f t="shared" si="21"/>
        <v>0</v>
      </c>
    </row>
    <row r="139" spans="1:17" x14ac:dyDescent="0.3">
      <c r="A139" s="3">
        <v>40</v>
      </c>
      <c r="B139" s="4" t="str">
        <f t="shared" si="7"/>
        <v>1</v>
      </c>
      <c r="C139" s="4" t="str">
        <f t="shared" si="22"/>
        <v>1</v>
      </c>
      <c r="D139" s="4" t="str">
        <f t="shared" si="8"/>
        <v>0</v>
      </c>
      <c r="E139" s="4" t="str">
        <f t="shared" si="9"/>
        <v>1</v>
      </c>
      <c r="F139" s="4" t="str">
        <f t="shared" si="10"/>
        <v>1</v>
      </c>
      <c r="G139" s="4" t="str">
        <f t="shared" si="11"/>
        <v>0</v>
      </c>
      <c r="H139" s="4" t="str">
        <f t="shared" si="12"/>
        <v>0</v>
      </c>
      <c r="I139" s="4" t="str">
        <f t="shared" si="13"/>
        <v>0</v>
      </c>
      <c r="J139" s="4" t="str">
        <f t="shared" si="14"/>
        <v>1</v>
      </c>
      <c r="K139" s="4" t="str">
        <f t="shared" si="15"/>
        <v>1</v>
      </c>
      <c r="L139" s="4" t="str">
        <f t="shared" si="16"/>
        <v>1</v>
      </c>
      <c r="M139" s="4" t="str">
        <f t="shared" si="17"/>
        <v>1</v>
      </c>
      <c r="N139" s="4" t="str">
        <f t="shared" si="18"/>
        <v>1</v>
      </c>
      <c r="O139" s="4" t="str">
        <f t="shared" si="19"/>
        <v>1</v>
      </c>
      <c r="P139" s="4" t="str">
        <f t="shared" si="20"/>
        <v>0</v>
      </c>
      <c r="Q139" s="4" t="str">
        <f t="shared" si="21"/>
        <v>0</v>
      </c>
    </row>
    <row r="140" spans="1:17" x14ac:dyDescent="0.3">
      <c r="A140" s="3">
        <v>51</v>
      </c>
      <c r="B140" s="4" t="str">
        <f t="shared" si="7"/>
        <v>0</v>
      </c>
      <c r="C140" s="4" t="str">
        <f t="shared" si="22"/>
        <v>1</v>
      </c>
      <c r="D140" s="4" t="str">
        <f t="shared" si="8"/>
        <v>1</v>
      </c>
      <c r="E140" s="4" t="str">
        <f t="shared" si="9"/>
        <v>1</v>
      </c>
      <c r="F140" s="4" t="str">
        <f t="shared" si="10"/>
        <v>1</v>
      </c>
      <c r="G140" s="4" t="str">
        <f t="shared" si="11"/>
        <v>1</v>
      </c>
      <c r="H140" s="4" t="str">
        <f t="shared" si="12"/>
        <v>1</v>
      </c>
      <c r="I140" s="4" t="str">
        <f t="shared" si="13"/>
        <v>1</v>
      </c>
      <c r="J140" s="4" t="str">
        <f t="shared" si="14"/>
        <v>1</v>
      </c>
      <c r="K140" s="4" t="str">
        <f t="shared" si="15"/>
        <v>0</v>
      </c>
      <c r="L140" s="4" t="str">
        <f t="shared" si="16"/>
        <v>1</v>
      </c>
      <c r="M140" s="4" t="str">
        <f t="shared" si="17"/>
        <v>0</v>
      </c>
      <c r="N140" s="4" t="str">
        <f t="shared" si="18"/>
        <v>1</v>
      </c>
      <c r="O140" s="4" t="str">
        <f t="shared" si="19"/>
        <v>1</v>
      </c>
      <c r="P140" s="4" t="str">
        <f t="shared" si="20"/>
        <v>0</v>
      </c>
      <c r="Q140" s="4" t="str">
        <f t="shared" si="21"/>
        <v>0</v>
      </c>
    </row>
    <row r="141" spans="1:17" x14ac:dyDescent="0.3">
      <c r="A141" s="3">
        <v>45</v>
      </c>
      <c r="B141" s="4" t="str">
        <f t="shared" si="7"/>
        <v>1</v>
      </c>
      <c r="C141" s="4" t="str">
        <f t="shared" si="22"/>
        <v>1</v>
      </c>
      <c r="D141" s="4" t="str">
        <f t="shared" si="8"/>
        <v>0</v>
      </c>
      <c r="E141" s="4" t="str">
        <f t="shared" si="9"/>
        <v>0</v>
      </c>
      <c r="F141" s="4" t="str">
        <f t="shared" si="10"/>
        <v>1</v>
      </c>
      <c r="G141" s="4" t="str">
        <f t="shared" si="11"/>
        <v>1</v>
      </c>
      <c r="H141" s="4" t="str">
        <f t="shared" si="12"/>
        <v>1</v>
      </c>
      <c r="I141" s="4" t="str">
        <f t="shared" si="13"/>
        <v>1</v>
      </c>
      <c r="J141" s="4" t="str">
        <f t="shared" si="14"/>
        <v>0</v>
      </c>
      <c r="K141" s="4" t="str">
        <f t="shared" si="15"/>
        <v>0</v>
      </c>
      <c r="L141" s="4" t="str">
        <f t="shared" si="16"/>
        <v>0</v>
      </c>
      <c r="M141" s="4" t="str">
        <f t="shared" si="17"/>
        <v>1</v>
      </c>
      <c r="N141" s="4" t="str">
        <f t="shared" si="18"/>
        <v>0</v>
      </c>
      <c r="O141" s="4" t="str">
        <f t="shared" si="19"/>
        <v>1</v>
      </c>
      <c r="P141" s="4" t="str">
        <f t="shared" si="20"/>
        <v>0</v>
      </c>
      <c r="Q141" s="4" t="str">
        <f t="shared" si="21"/>
        <v>1</v>
      </c>
    </row>
    <row r="142" spans="1:17" x14ac:dyDescent="0.3">
      <c r="A142" s="3">
        <v>33</v>
      </c>
      <c r="B142" s="4" t="str">
        <f t="shared" si="7"/>
        <v>0</v>
      </c>
      <c r="C142" s="4" t="str">
        <f t="shared" si="22"/>
        <v>1</v>
      </c>
      <c r="D142" s="4" t="str">
        <f t="shared" si="8"/>
        <v>1</v>
      </c>
      <c r="E142" s="4" t="str">
        <f t="shared" si="9"/>
        <v>0</v>
      </c>
      <c r="F142" s="4" t="str">
        <f t="shared" si="10"/>
        <v>1</v>
      </c>
      <c r="G142" s="4" t="str">
        <f t="shared" si="11"/>
        <v>0</v>
      </c>
      <c r="H142" s="4" t="str">
        <f t="shared" si="12"/>
        <v>1</v>
      </c>
      <c r="I142" s="4" t="str">
        <f t="shared" si="13"/>
        <v>1</v>
      </c>
      <c r="J142" s="4" t="str">
        <f t="shared" si="14"/>
        <v>1</v>
      </c>
      <c r="K142" s="4" t="str">
        <f t="shared" si="15"/>
        <v>0</v>
      </c>
      <c r="L142" s="4" t="str">
        <f t="shared" si="16"/>
        <v>0</v>
      </c>
      <c r="M142" s="4" t="str">
        <f t="shared" si="17"/>
        <v>0</v>
      </c>
      <c r="N142" s="4" t="str">
        <f t="shared" si="18"/>
        <v>0</v>
      </c>
      <c r="O142" s="4" t="str">
        <f t="shared" si="19"/>
        <v>0</v>
      </c>
      <c r="P142" s="4" t="str">
        <f t="shared" si="20"/>
        <v>0</v>
      </c>
      <c r="Q142" s="4" t="str">
        <f t="shared" si="21"/>
        <v>1</v>
      </c>
    </row>
    <row r="143" spans="1:17" x14ac:dyDescent="0.3">
      <c r="A143" s="3">
        <v>48</v>
      </c>
      <c r="B143" s="4" t="str">
        <f t="shared" si="7"/>
        <v>0</v>
      </c>
      <c r="C143" s="4" t="str">
        <f t="shared" si="22"/>
        <v>0</v>
      </c>
      <c r="D143" s="4" t="str">
        <f t="shared" si="8"/>
        <v>0</v>
      </c>
      <c r="E143" s="4" t="str">
        <f t="shared" si="9"/>
        <v>0</v>
      </c>
      <c r="F143" s="4" t="str">
        <f t="shared" si="10"/>
        <v>0</v>
      </c>
      <c r="G143" s="4" t="str">
        <f t="shared" si="11"/>
        <v>0</v>
      </c>
      <c r="H143" s="4" t="str">
        <f t="shared" si="12"/>
        <v>0</v>
      </c>
      <c r="I143" s="4" t="str">
        <f t="shared" si="13"/>
        <v>0</v>
      </c>
      <c r="J143" s="4" t="str">
        <f t="shared" si="14"/>
        <v>1</v>
      </c>
      <c r="K143" s="4" t="str">
        <f t="shared" si="15"/>
        <v>1</v>
      </c>
      <c r="L143" s="4" t="str">
        <f t="shared" si="16"/>
        <v>0</v>
      </c>
      <c r="M143" s="4" t="str">
        <f t="shared" si="17"/>
        <v>1</v>
      </c>
      <c r="N143" s="4" t="str">
        <f t="shared" si="18"/>
        <v>0</v>
      </c>
      <c r="O143" s="4" t="str">
        <f t="shared" si="19"/>
        <v>1</v>
      </c>
      <c r="P143" s="4" t="str">
        <f t="shared" si="20"/>
        <v>1</v>
      </c>
      <c r="Q143" s="4" t="str">
        <f t="shared" si="21"/>
        <v>1</v>
      </c>
    </row>
    <row r="144" spans="1:17" x14ac:dyDescent="0.3">
      <c r="A144" s="3">
        <v>44</v>
      </c>
      <c r="B144" s="4" t="str">
        <f t="shared" si="7"/>
        <v>1</v>
      </c>
      <c r="C144" s="4" t="str">
        <f t="shared" si="22"/>
        <v>1</v>
      </c>
      <c r="D144" s="4" t="str">
        <f t="shared" si="8"/>
        <v>1</v>
      </c>
      <c r="E144" s="4" t="str">
        <f t="shared" si="9"/>
        <v>0</v>
      </c>
      <c r="F144" s="4" t="str">
        <f t="shared" si="10"/>
        <v>0</v>
      </c>
      <c r="G144" s="4" t="str">
        <f t="shared" si="11"/>
        <v>0</v>
      </c>
      <c r="H144" s="4" t="str">
        <f t="shared" si="12"/>
        <v>0</v>
      </c>
      <c r="I144" s="4" t="str">
        <f t="shared" si="13"/>
        <v>0</v>
      </c>
      <c r="J144" s="4" t="str">
        <f t="shared" si="14"/>
        <v>1</v>
      </c>
      <c r="K144" s="4" t="str">
        <f t="shared" si="15"/>
        <v>1</v>
      </c>
      <c r="L144" s="4" t="str">
        <f t="shared" si="16"/>
        <v>1</v>
      </c>
      <c r="M144" s="4" t="str">
        <f t="shared" si="17"/>
        <v>1</v>
      </c>
      <c r="N144" s="4" t="str">
        <f t="shared" si="18"/>
        <v>0</v>
      </c>
      <c r="O144" s="4" t="str">
        <f t="shared" si="19"/>
        <v>1</v>
      </c>
      <c r="P144" s="4" t="str">
        <f t="shared" si="20"/>
        <v>0</v>
      </c>
      <c r="Q144" s="4" t="str">
        <f t="shared" si="21"/>
        <v>0</v>
      </c>
    </row>
    <row r="145" spans="1:17" x14ac:dyDescent="0.3">
      <c r="A145" s="3">
        <v>49</v>
      </c>
      <c r="B145" s="4" t="str">
        <f t="shared" si="7"/>
        <v>0</v>
      </c>
      <c r="C145" s="4" t="str">
        <f t="shared" si="22"/>
        <v>0</v>
      </c>
      <c r="D145" s="4" t="str">
        <f t="shared" si="8"/>
        <v>1</v>
      </c>
      <c r="E145" s="4" t="str">
        <f t="shared" si="9"/>
        <v>1</v>
      </c>
      <c r="F145" s="4" t="str">
        <f t="shared" si="10"/>
        <v>1</v>
      </c>
      <c r="G145" s="4" t="str">
        <f t="shared" si="11"/>
        <v>1</v>
      </c>
      <c r="H145" s="4" t="str">
        <f t="shared" si="12"/>
        <v>1</v>
      </c>
      <c r="I145" s="4" t="str">
        <f t="shared" si="13"/>
        <v>1</v>
      </c>
      <c r="J145" s="4" t="str">
        <f t="shared" si="14"/>
        <v>0</v>
      </c>
      <c r="K145" s="4" t="str">
        <f t="shared" si="15"/>
        <v>1</v>
      </c>
      <c r="L145" s="4" t="str">
        <f t="shared" si="16"/>
        <v>0</v>
      </c>
      <c r="M145" s="4" t="str">
        <f t="shared" si="17"/>
        <v>1</v>
      </c>
      <c r="N145" s="4" t="str">
        <f t="shared" si="18"/>
        <v>0</v>
      </c>
      <c r="O145" s="4" t="str">
        <f t="shared" si="19"/>
        <v>1</v>
      </c>
      <c r="P145" s="4" t="str">
        <f t="shared" si="20"/>
        <v>1</v>
      </c>
      <c r="Q145" s="4" t="str">
        <f t="shared" si="21"/>
        <v>0</v>
      </c>
    </row>
    <row r="146" spans="1:17" x14ac:dyDescent="0.3">
      <c r="A146" s="3">
        <v>39</v>
      </c>
      <c r="B146" s="4" t="str">
        <f t="shared" si="7"/>
        <v>0</v>
      </c>
      <c r="C146" s="4" t="str">
        <f t="shared" si="22"/>
        <v>1</v>
      </c>
      <c r="D146" s="4" t="str">
        <f t="shared" si="8"/>
        <v>0</v>
      </c>
      <c r="E146" s="4" t="str">
        <f t="shared" si="9"/>
        <v>1</v>
      </c>
      <c r="F146" s="4" t="str">
        <f t="shared" si="10"/>
        <v>1</v>
      </c>
      <c r="G146" s="4" t="str">
        <f t="shared" si="11"/>
        <v>0</v>
      </c>
      <c r="H146" s="4" t="str">
        <f t="shared" si="12"/>
        <v>0</v>
      </c>
      <c r="I146" s="4" t="str">
        <f t="shared" si="13"/>
        <v>1</v>
      </c>
      <c r="J146" s="4" t="str">
        <f t="shared" si="14"/>
        <v>0</v>
      </c>
      <c r="K146" s="4" t="str">
        <f t="shared" si="15"/>
        <v>0</v>
      </c>
      <c r="L146" s="4" t="str">
        <f t="shared" si="16"/>
        <v>0</v>
      </c>
      <c r="M146" s="4" t="str">
        <f t="shared" si="17"/>
        <v>0</v>
      </c>
      <c r="N146" s="4" t="str">
        <f t="shared" si="18"/>
        <v>0</v>
      </c>
      <c r="O146" s="4" t="str">
        <f t="shared" si="19"/>
        <v>0</v>
      </c>
      <c r="P146" s="4" t="str">
        <f t="shared" si="20"/>
        <v>1</v>
      </c>
      <c r="Q146" s="4" t="str">
        <f t="shared" si="21"/>
        <v>0</v>
      </c>
    </row>
    <row r="147" spans="1:17" x14ac:dyDescent="0.3">
      <c r="A147" s="3">
        <v>56</v>
      </c>
      <c r="B147" s="4" t="str">
        <f t="shared" si="7"/>
        <v>1</v>
      </c>
      <c r="C147" s="4" t="str">
        <f t="shared" si="22"/>
        <v>0</v>
      </c>
      <c r="D147" s="4" t="str">
        <f t="shared" si="8"/>
        <v>0</v>
      </c>
      <c r="E147" s="4" t="str">
        <f t="shared" si="9"/>
        <v>0</v>
      </c>
      <c r="F147" s="4" t="str">
        <f t="shared" si="10"/>
        <v>0</v>
      </c>
      <c r="G147" s="4" t="str">
        <f t="shared" si="11"/>
        <v>1</v>
      </c>
      <c r="H147" s="4" t="str">
        <f t="shared" si="12"/>
        <v>0</v>
      </c>
      <c r="I147" s="4" t="str">
        <f t="shared" si="13"/>
        <v>1</v>
      </c>
      <c r="J147" s="4" t="str">
        <f t="shared" si="14"/>
        <v>0</v>
      </c>
      <c r="K147" s="4" t="str">
        <f t="shared" si="15"/>
        <v>1</v>
      </c>
      <c r="L147" s="4" t="str">
        <f t="shared" si="16"/>
        <v>1</v>
      </c>
      <c r="M147" s="4" t="str">
        <f t="shared" si="17"/>
        <v>0</v>
      </c>
      <c r="N147" s="4" t="str">
        <f t="shared" si="18"/>
        <v>0</v>
      </c>
      <c r="O147" s="4" t="str">
        <f t="shared" si="19"/>
        <v>1</v>
      </c>
      <c r="P147" s="4" t="str">
        <f t="shared" si="20"/>
        <v>1</v>
      </c>
      <c r="Q147" s="4" t="str">
        <f t="shared" si="21"/>
        <v>0</v>
      </c>
    </row>
    <row r="148" spans="1:17" x14ac:dyDescent="0.3">
      <c r="A148" s="3">
        <v>34</v>
      </c>
      <c r="B148" s="4" t="str">
        <f t="shared" si="7"/>
        <v>1</v>
      </c>
      <c r="C148" s="4" t="str">
        <f t="shared" si="22"/>
        <v>0</v>
      </c>
      <c r="D148" s="4" t="str">
        <f t="shared" si="8"/>
        <v>1</v>
      </c>
      <c r="E148" s="4" t="str">
        <f t="shared" si="9"/>
        <v>0</v>
      </c>
      <c r="F148" s="4" t="str">
        <f t="shared" si="10"/>
        <v>1</v>
      </c>
      <c r="G148" s="4" t="str">
        <f t="shared" si="11"/>
        <v>0</v>
      </c>
      <c r="H148" s="4" t="str">
        <f t="shared" si="12"/>
        <v>1</v>
      </c>
      <c r="I148" s="4" t="str">
        <f t="shared" si="13"/>
        <v>1</v>
      </c>
      <c r="J148" s="4" t="str">
        <f t="shared" si="14"/>
        <v>0</v>
      </c>
      <c r="K148" s="4" t="str">
        <f t="shared" si="15"/>
        <v>0</v>
      </c>
      <c r="L148" s="4" t="str">
        <f t="shared" si="16"/>
        <v>1</v>
      </c>
      <c r="M148" s="4" t="str">
        <f t="shared" si="17"/>
        <v>1</v>
      </c>
      <c r="N148" s="4" t="str">
        <f t="shared" si="18"/>
        <v>1</v>
      </c>
      <c r="O148" s="4" t="str">
        <f t="shared" si="19"/>
        <v>1</v>
      </c>
      <c r="P148" s="4" t="str">
        <f t="shared" si="20"/>
        <v>1</v>
      </c>
      <c r="Q148" s="4" t="str">
        <f t="shared" si="21"/>
        <v>0</v>
      </c>
    </row>
    <row r="149" spans="1:17" x14ac:dyDescent="0.3">
      <c r="A149" s="3">
        <v>53</v>
      </c>
      <c r="B149" s="4" t="str">
        <f t="shared" si="7"/>
        <v>0</v>
      </c>
      <c r="C149" s="4" t="str">
        <f t="shared" si="22"/>
        <v>1</v>
      </c>
      <c r="D149" s="4" t="str">
        <f t="shared" si="8"/>
        <v>1</v>
      </c>
      <c r="E149" s="4" t="str">
        <f t="shared" si="9"/>
        <v>1</v>
      </c>
      <c r="F149" s="4" t="str">
        <f t="shared" si="10"/>
        <v>1</v>
      </c>
      <c r="G149" s="4" t="str">
        <f t="shared" si="11"/>
        <v>1</v>
      </c>
      <c r="H149" s="4" t="str">
        <f t="shared" si="12"/>
        <v>1</v>
      </c>
      <c r="I149" s="4" t="str">
        <f t="shared" si="13"/>
        <v>0</v>
      </c>
      <c r="J149" s="4" t="str">
        <f t="shared" si="14"/>
        <v>0</v>
      </c>
      <c r="K149" s="4" t="str">
        <f t="shared" si="15"/>
        <v>1</v>
      </c>
      <c r="L149" s="4" t="str">
        <f t="shared" si="16"/>
        <v>0</v>
      </c>
      <c r="M149" s="4" t="str">
        <f t="shared" si="17"/>
        <v>1</v>
      </c>
      <c r="N149" s="4" t="str">
        <f t="shared" si="18"/>
        <v>1</v>
      </c>
      <c r="O149" s="4" t="str">
        <f t="shared" si="19"/>
        <v>0</v>
      </c>
      <c r="P149" s="4" t="str">
        <f t="shared" si="20"/>
        <v>0</v>
      </c>
      <c r="Q149" s="4" t="str">
        <f t="shared" si="21"/>
        <v>1</v>
      </c>
    </row>
    <row r="150" spans="1:17" x14ac:dyDescent="0.3">
      <c r="A150" s="3">
        <v>46</v>
      </c>
      <c r="B150" s="4" t="str">
        <f t="shared" si="7"/>
        <v>1</v>
      </c>
      <c r="C150" s="4" t="str">
        <f t="shared" si="22"/>
        <v>1</v>
      </c>
      <c r="D150" s="4" t="str">
        <f t="shared" si="8"/>
        <v>0</v>
      </c>
      <c r="E150" s="4" t="str">
        <f t="shared" si="9"/>
        <v>0</v>
      </c>
      <c r="F150" s="4" t="str">
        <f t="shared" si="10"/>
        <v>0</v>
      </c>
      <c r="G150" s="4" t="str">
        <f t="shared" si="11"/>
        <v>0</v>
      </c>
      <c r="H150" s="4" t="str">
        <f t="shared" si="12"/>
        <v>0</v>
      </c>
      <c r="I150" s="4" t="str">
        <f t="shared" si="13"/>
        <v>0</v>
      </c>
      <c r="J150" s="4" t="str">
        <f t="shared" si="14"/>
        <v>1</v>
      </c>
      <c r="K150" s="4" t="str">
        <f t="shared" si="15"/>
        <v>1</v>
      </c>
      <c r="L150" s="4" t="str">
        <f t="shared" si="16"/>
        <v>1</v>
      </c>
      <c r="M150" s="4" t="str">
        <f t="shared" si="17"/>
        <v>0</v>
      </c>
      <c r="N150" s="4" t="str">
        <f t="shared" si="18"/>
        <v>1</v>
      </c>
      <c r="O150" s="4" t="str">
        <f t="shared" si="19"/>
        <v>0</v>
      </c>
      <c r="P150" s="4" t="str">
        <f t="shared" si="20"/>
        <v>1</v>
      </c>
      <c r="Q150" s="4" t="str">
        <f t="shared" si="21"/>
        <v>1</v>
      </c>
    </row>
    <row r="151" spans="1:17" x14ac:dyDescent="0.3">
      <c r="A151" s="3">
        <v>42</v>
      </c>
      <c r="B151" s="4" t="str">
        <f t="shared" si="7"/>
        <v>0</v>
      </c>
      <c r="C151" s="4" t="str">
        <f t="shared" si="22"/>
        <v>0</v>
      </c>
      <c r="D151" s="4" t="str">
        <f t="shared" si="8"/>
        <v>1</v>
      </c>
      <c r="E151" s="4" t="str">
        <f t="shared" si="9"/>
        <v>1</v>
      </c>
      <c r="F151" s="4" t="str">
        <f t="shared" si="10"/>
        <v>0</v>
      </c>
      <c r="G151" s="4" t="str">
        <f t="shared" si="11"/>
        <v>0</v>
      </c>
      <c r="H151" s="4" t="str">
        <f t="shared" si="12"/>
        <v>0</v>
      </c>
      <c r="I151" s="4" t="str">
        <f t="shared" si="13"/>
        <v>0</v>
      </c>
      <c r="J151" s="4" t="str">
        <f t="shared" si="14"/>
        <v>1</v>
      </c>
      <c r="K151" s="4" t="str">
        <f t="shared" si="15"/>
        <v>1</v>
      </c>
      <c r="L151" s="4" t="str">
        <f t="shared" si="16"/>
        <v>1</v>
      </c>
      <c r="M151" s="4" t="str">
        <f t="shared" si="17"/>
        <v>1</v>
      </c>
      <c r="N151" s="4" t="str">
        <f t="shared" si="18"/>
        <v>1</v>
      </c>
      <c r="O151" s="4" t="str">
        <f t="shared" si="19"/>
        <v>0</v>
      </c>
      <c r="P151" s="4" t="str">
        <f t="shared" si="20"/>
        <v>1</v>
      </c>
      <c r="Q151" s="4" t="str">
        <f t="shared" si="21"/>
        <v>1</v>
      </c>
    </row>
    <row r="152" spans="1:17" x14ac:dyDescent="0.3">
      <c r="A152" s="3">
        <v>50</v>
      </c>
      <c r="B152" s="4" t="str">
        <f t="shared" si="7"/>
        <v>0</v>
      </c>
      <c r="C152" s="4" t="str">
        <f t="shared" si="22"/>
        <v>0</v>
      </c>
      <c r="D152" s="4" t="str">
        <f t="shared" si="8"/>
        <v>0</v>
      </c>
      <c r="E152" s="4" t="str">
        <f t="shared" si="9"/>
        <v>0</v>
      </c>
      <c r="F152" s="4" t="str">
        <f t="shared" si="10"/>
        <v>0</v>
      </c>
      <c r="G152" s="4" t="str">
        <f t="shared" si="11"/>
        <v>0</v>
      </c>
      <c r="H152" s="4" t="str">
        <f t="shared" si="12"/>
        <v>0</v>
      </c>
      <c r="I152" s="4" t="str">
        <f t="shared" si="13"/>
        <v>0</v>
      </c>
      <c r="J152" s="4" t="str">
        <f t="shared" si="14"/>
        <v>1</v>
      </c>
      <c r="K152" s="4" t="str">
        <f t="shared" si="15"/>
        <v>0</v>
      </c>
      <c r="L152" s="4" t="str">
        <f t="shared" si="16"/>
        <v>1</v>
      </c>
      <c r="M152" s="4" t="str">
        <f t="shared" si="17"/>
        <v>0</v>
      </c>
      <c r="N152" s="4" t="str">
        <f t="shared" si="18"/>
        <v>1</v>
      </c>
      <c r="O152" s="4" t="str">
        <f t="shared" si="19"/>
        <v>1</v>
      </c>
      <c r="P152" s="4" t="str">
        <f t="shared" si="20"/>
        <v>0</v>
      </c>
      <c r="Q152" s="4" t="str">
        <f t="shared" si="21"/>
        <v>0</v>
      </c>
    </row>
    <row r="153" spans="1:17" x14ac:dyDescent="0.3">
      <c r="A153" s="3">
        <v>36</v>
      </c>
      <c r="B153" s="4" t="str">
        <f t="shared" si="7"/>
        <v>1</v>
      </c>
      <c r="C153" s="4" t="str">
        <f t="shared" si="22"/>
        <v>1</v>
      </c>
      <c r="D153" s="4" t="str">
        <f t="shared" si="8"/>
        <v>0</v>
      </c>
      <c r="E153" s="4" t="str">
        <f t="shared" si="9"/>
        <v>1</v>
      </c>
      <c r="F153" s="4" t="str">
        <f t="shared" si="10"/>
        <v>0</v>
      </c>
      <c r="G153" s="4" t="str">
        <f t="shared" si="11"/>
        <v>1</v>
      </c>
      <c r="H153" s="4" t="str">
        <f t="shared" si="12"/>
        <v>1</v>
      </c>
      <c r="I153" s="4" t="str">
        <f t="shared" si="13"/>
        <v>0</v>
      </c>
      <c r="J153" s="4" t="str">
        <f t="shared" si="14"/>
        <v>0</v>
      </c>
      <c r="K153" s="4" t="str">
        <f t="shared" si="15"/>
        <v>1</v>
      </c>
      <c r="L153" s="4" t="str">
        <f t="shared" si="16"/>
        <v>1</v>
      </c>
      <c r="M153" s="4" t="str">
        <f t="shared" si="17"/>
        <v>1</v>
      </c>
      <c r="N153" s="4" t="str">
        <f t="shared" si="18"/>
        <v>1</v>
      </c>
      <c r="O153" s="4" t="str">
        <f t="shared" si="19"/>
        <v>1</v>
      </c>
      <c r="P153" s="4" t="str">
        <f t="shared" si="20"/>
        <v>1</v>
      </c>
      <c r="Q153" s="4" t="str">
        <f t="shared" si="21"/>
        <v>0</v>
      </c>
    </row>
    <row r="154" spans="1:17" x14ac:dyDescent="0.3">
      <c r="A154" s="3">
        <v>29</v>
      </c>
      <c r="B154" s="4" t="str">
        <f t="shared" si="7"/>
        <v>0</v>
      </c>
      <c r="C154" s="4" t="str">
        <f t="shared" si="22"/>
        <v>1</v>
      </c>
      <c r="D154" s="4" t="str">
        <f t="shared" si="8"/>
        <v>1</v>
      </c>
      <c r="E154" s="4" t="str">
        <f t="shared" si="9"/>
        <v>1</v>
      </c>
      <c r="F154" s="4" t="str">
        <f t="shared" si="10"/>
        <v>1</v>
      </c>
      <c r="G154" s="4" t="str">
        <f t="shared" si="11"/>
        <v>0</v>
      </c>
      <c r="H154" s="4" t="str">
        <f t="shared" si="12"/>
        <v>1</v>
      </c>
      <c r="I154" s="4" t="str">
        <f t="shared" si="13"/>
        <v>0</v>
      </c>
      <c r="J154" s="4" t="str">
        <f t="shared" si="14"/>
        <v>0</v>
      </c>
      <c r="K154" s="4" t="str">
        <f t="shared" si="15"/>
        <v>1</v>
      </c>
      <c r="L154" s="4" t="str">
        <f t="shared" si="16"/>
        <v>1</v>
      </c>
      <c r="M154" s="4" t="str">
        <f t="shared" si="17"/>
        <v>0</v>
      </c>
      <c r="N154" s="4" t="str">
        <f t="shared" si="18"/>
        <v>0</v>
      </c>
      <c r="O154" s="4" t="str">
        <f t="shared" si="19"/>
        <v>0</v>
      </c>
      <c r="P154" s="4" t="str">
        <f t="shared" si="20"/>
        <v>0</v>
      </c>
      <c r="Q154" s="4" t="str">
        <f t="shared" si="21"/>
        <v>1</v>
      </c>
    </row>
    <row r="155" spans="1:17" x14ac:dyDescent="0.3">
      <c r="A155" s="3">
        <v>32</v>
      </c>
      <c r="B155" s="4" t="str">
        <f>MID($B$89,A155,1)</f>
        <v>1</v>
      </c>
      <c r="C155" s="4" t="str">
        <f t="shared" si="22"/>
        <v>0</v>
      </c>
      <c r="D155" s="4" t="str">
        <f t="shared" si="8"/>
        <v>0</v>
      </c>
      <c r="E155" s="4" t="str">
        <f t="shared" si="9"/>
        <v>1</v>
      </c>
      <c r="F155" s="4" t="str">
        <f t="shared" si="10"/>
        <v>0</v>
      </c>
      <c r="G155" s="4" t="str">
        <f t="shared" si="11"/>
        <v>1</v>
      </c>
      <c r="H155" s="4" t="str">
        <f t="shared" si="12"/>
        <v>0</v>
      </c>
      <c r="I155" s="4" t="str">
        <f t="shared" si="13"/>
        <v>1</v>
      </c>
      <c r="J155" s="4" t="str">
        <f t="shared" si="14"/>
        <v>1</v>
      </c>
      <c r="K155" s="4" t="str">
        <f t="shared" si="15"/>
        <v>0</v>
      </c>
      <c r="L155" s="4" t="str">
        <f t="shared" si="16"/>
        <v>0</v>
      </c>
      <c r="M155" s="4" t="str">
        <f t="shared" si="17"/>
        <v>1</v>
      </c>
      <c r="N155" s="4" t="str">
        <f t="shared" si="18"/>
        <v>1</v>
      </c>
      <c r="O155" s="4" t="str">
        <f t="shared" si="19"/>
        <v>1</v>
      </c>
      <c r="P155" s="4" t="str">
        <f t="shared" si="20"/>
        <v>1</v>
      </c>
      <c r="Q155" s="4" t="str">
        <f t="shared" si="21"/>
        <v>0</v>
      </c>
    </row>
    <row r="157" spans="1:17" x14ac:dyDescent="0.3">
      <c r="A157" t="s">
        <v>107</v>
      </c>
    </row>
    <row r="158" spans="1:17" x14ac:dyDescent="0.3">
      <c r="A158" s="3" t="s">
        <v>64</v>
      </c>
      <c r="B158" s="4" t="str">
        <f>_xlfn.TEXTJOIN("", TRUE, B$108:B$155)</f>
        <v>000110110000001011101111110110110100100110100101</v>
      </c>
      <c r="C158" s="4"/>
      <c r="D158" s="4"/>
      <c r="E158" s="4"/>
      <c r="F158" s="4"/>
      <c r="G158" s="4"/>
    </row>
    <row r="159" spans="1:17" x14ac:dyDescent="0.3">
      <c r="A159" s="3" t="s">
        <v>17</v>
      </c>
      <c r="B159" s="4" t="str">
        <f>_xlfn.TEXTJOIN("", TRUE, C$108:C$155)</f>
        <v>011010011010111011011001001001011110101001100110</v>
      </c>
      <c r="C159" s="4"/>
      <c r="D159" s="4"/>
      <c r="E159" s="4"/>
      <c r="F159" s="4"/>
      <c r="G159" s="4"/>
    </row>
    <row r="160" spans="1:17" x14ac:dyDescent="0.3">
      <c r="A160" s="3" t="s">
        <v>50</v>
      </c>
      <c r="B160" s="4" t="str">
        <f>_xlfn.TEXTJOIN("", TRUE, D$108:D$155)</f>
        <v>010101011111110010001010101101001010110011010010</v>
      </c>
      <c r="C160" s="4"/>
      <c r="D160" s="4"/>
      <c r="E160" s="4"/>
      <c r="F160" s="4"/>
      <c r="G160" s="4"/>
    </row>
    <row r="161" spans="1:17" x14ac:dyDescent="0.3">
      <c r="A161" s="3" t="s">
        <v>51</v>
      </c>
      <c r="B161" s="4" t="str">
        <f>_xlfn.TEXTJOIN("", TRUE, E$108:E$155)</f>
        <v>011100101010110111010010101011011000011001010111</v>
      </c>
      <c r="C161" s="4"/>
      <c r="D161" s="4"/>
      <c r="E161" s="4"/>
      <c r="F161" s="4"/>
      <c r="G161" s="4"/>
    </row>
    <row r="162" spans="1:17" x14ac:dyDescent="0.3">
      <c r="A162" s="3" t="s">
        <v>52</v>
      </c>
      <c r="B162" s="4" t="str">
        <f>_xlfn.TEXTJOIN("", TRUE, F$108:F$155)</f>
        <v>011111001110110000000111000111111110011011000010</v>
      </c>
      <c r="C162" s="4"/>
      <c r="D162" s="4"/>
      <c r="E162" s="4"/>
      <c r="F162" s="4"/>
      <c r="G162" s="4"/>
    </row>
    <row r="163" spans="1:17" x14ac:dyDescent="0.3">
      <c r="A163" s="3" t="s">
        <v>53</v>
      </c>
      <c r="B163" s="4" t="str">
        <f>_xlfn.TEXTJOIN("", TRUE, G$108:G$155)</f>
        <v>011000111010010100011110001111001100010101000101</v>
      </c>
      <c r="C163" s="4"/>
      <c r="D163" s="4"/>
      <c r="E163" s="4"/>
      <c r="F163" s="4"/>
      <c r="G163" s="4"/>
    </row>
    <row r="164" spans="1:17" x14ac:dyDescent="0.3">
      <c r="A164" s="3" t="s">
        <v>54</v>
      </c>
      <c r="B164" s="4" t="str">
        <f>_xlfn.TEXTJOIN("", TRUE, H$108:H$155)</f>
        <v>011011001000010010110111100010101110010011000110</v>
      </c>
      <c r="C164" s="4"/>
      <c r="D164" s="4"/>
      <c r="E164" s="4"/>
      <c r="F164" s="4"/>
      <c r="G164" s="4"/>
    </row>
    <row r="165" spans="1:17" x14ac:dyDescent="0.3">
      <c r="A165" s="3" t="s">
        <v>55</v>
      </c>
      <c r="B165" s="4" t="str">
        <f>_xlfn.TEXTJOIN("", TRUE, I$108:I$155)</f>
        <v>111101111000100000111010111011001110011110000001</v>
      </c>
      <c r="C165" s="4"/>
      <c r="D165" s="4"/>
      <c r="E165" s="4"/>
      <c r="F165" s="4"/>
      <c r="G165" s="4"/>
    </row>
    <row r="166" spans="1:17" x14ac:dyDescent="0.3">
      <c r="A166" s="3" t="s">
        <v>56</v>
      </c>
      <c r="B166" s="4" t="str">
        <f>_xlfn.TEXTJOIN("", TRUE, J$108:J$155)</f>
        <v>110000001101101111101011001001111011100000111001</v>
      </c>
      <c r="C166" s="4"/>
      <c r="D166" s="4"/>
      <c r="E166" s="4"/>
      <c r="F166" s="4"/>
      <c r="G166" s="4"/>
    </row>
    <row r="167" spans="1:17" x14ac:dyDescent="0.3">
      <c r="A167" s="3" t="s">
        <v>57</v>
      </c>
      <c r="B167" s="4" t="str">
        <f>_xlfn.TEXTJOIN("", TRUE,K$108:K$155)</f>
        <v>101100011111001101000111011000110001110101110110</v>
      </c>
      <c r="C167" s="4"/>
      <c r="D167" s="4"/>
      <c r="E167" s="4"/>
      <c r="F167" s="4"/>
      <c r="G167" s="4"/>
    </row>
    <row r="168" spans="1:17" x14ac:dyDescent="0.3">
      <c r="A168" s="3" t="s">
        <v>58</v>
      </c>
      <c r="B168" s="4" t="str">
        <f>_xlfn.TEXTJOIN("", TRUE, L$108:L$155)</f>
        <v>001000010101111111000011000011011000100110111110</v>
      </c>
      <c r="C168" s="4"/>
      <c r="D168" s="4"/>
      <c r="E168" s="4"/>
      <c r="F168" s="4"/>
      <c r="G168" s="4"/>
    </row>
    <row r="169" spans="1:17" x14ac:dyDescent="0.3">
      <c r="A169" s="3" t="s">
        <v>59</v>
      </c>
      <c r="B169" s="4" t="str">
        <f>_xlfn.TEXTJOIN("", TRUE, M$108:M$155)</f>
        <v>011100010111000111110101010001010101110011010101</v>
      </c>
      <c r="C169" s="4"/>
      <c r="D169" s="4"/>
      <c r="E169" s="4"/>
      <c r="F169" s="4"/>
      <c r="G169" s="4"/>
    </row>
    <row r="170" spans="1:17" x14ac:dyDescent="0.3">
      <c r="A170" s="3" t="s">
        <v>60</v>
      </c>
      <c r="B170" s="4" t="str">
        <f>_xlfn.TEXTJOIN("", TRUE, N$108:N$155)</f>
        <v>100101011100010111010001010010111000000011111101</v>
      </c>
      <c r="C170" s="4"/>
      <c r="D170" s="4"/>
      <c r="E170" s="4"/>
      <c r="F170" s="4"/>
      <c r="G170" s="4"/>
    </row>
    <row r="171" spans="1:17" x14ac:dyDescent="0.3">
      <c r="A171" s="3" t="s">
        <v>61</v>
      </c>
      <c r="B171" s="4" t="str">
        <f>_xlfn.TEXTJOIN("", TRUE, O$108:O$155)</f>
        <v>010101110100001110110111100000111101110110001101</v>
      </c>
      <c r="C171" s="4"/>
      <c r="D171" s="4"/>
      <c r="E171" s="4"/>
      <c r="F171" s="4"/>
      <c r="G171" s="4"/>
    </row>
    <row r="172" spans="1:17" x14ac:dyDescent="0.3">
      <c r="A172" s="3" t="s">
        <v>62</v>
      </c>
      <c r="B172" s="4" t="str">
        <f>_xlfn.TEXTJOIN("", TRUE, P$108:P$155)</f>
        <v>101111111001000110000101000010100001011110110101</v>
      </c>
      <c r="C172" s="4"/>
      <c r="D172" s="4"/>
      <c r="E172" s="4"/>
      <c r="F172" s="4"/>
      <c r="G172" s="4"/>
    </row>
    <row r="173" spans="1:17" x14ac:dyDescent="0.3">
      <c r="A173" s="3" t="s">
        <v>63</v>
      </c>
      <c r="B173" s="4" t="str">
        <f>_xlfn.TEXTJOIN("", TRUE, Q$108:Q$155)</f>
        <v>110010110011110100001011101111000111000001110010</v>
      </c>
      <c r="C173" s="4"/>
      <c r="D173" s="4"/>
      <c r="E173" s="4"/>
      <c r="F173" s="4"/>
      <c r="G173" s="4"/>
    </row>
    <row r="175" spans="1:17" x14ac:dyDescent="0.3">
      <c r="A175" s="3" t="s">
        <v>4</v>
      </c>
      <c r="B175" s="3" t="s">
        <v>16</v>
      </c>
      <c r="C175" s="3" t="s">
        <v>17</v>
      </c>
      <c r="D175" s="3" t="s">
        <v>50</v>
      </c>
      <c r="E175" s="3" t="s">
        <v>51</v>
      </c>
      <c r="F175" s="3" t="s">
        <v>52</v>
      </c>
      <c r="G175" s="3" t="s">
        <v>53</v>
      </c>
      <c r="H175" s="3" t="s">
        <v>54</v>
      </c>
      <c r="I175" s="3" t="s">
        <v>55</v>
      </c>
      <c r="J175" s="3" t="s">
        <v>56</v>
      </c>
      <c r="K175" s="3" t="s">
        <v>57</v>
      </c>
      <c r="L175" s="3" t="s">
        <v>58</v>
      </c>
      <c r="M175" s="3" t="s">
        <v>59</v>
      </c>
      <c r="N175" s="3" t="s">
        <v>60</v>
      </c>
      <c r="O175" s="3" t="s">
        <v>61</v>
      </c>
      <c r="P175" s="3" t="s">
        <v>62</v>
      </c>
      <c r="Q175" s="3" t="s">
        <v>63</v>
      </c>
    </row>
    <row r="176" spans="1:17" x14ac:dyDescent="0.3">
      <c r="A176" s="3">
        <v>1</v>
      </c>
      <c r="B176" s="4" t="str">
        <f>BIN2HEX(MID(K1_16!$B$158,(A176-1)*8+1,8),2)</f>
        <v>1B</v>
      </c>
      <c r="C176" s="4" t="str">
        <f>BIN2HEX(MID(K1_16!$B$159,($A176-1)*8+1,8),2)</f>
        <v>69</v>
      </c>
      <c r="D176" s="4" t="str">
        <f>BIN2HEX(MID(K1_16!$B$160,($A176-1)*8+1,8),2)</f>
        <v>55</v>
      </c>
      <c r="E176" s="4" t="str">
        <f>BIN2HEX(MID(K1_16!$B$161,($A176-1)*8+1,8),2)</f>
        <v>72</v>
      </c>
      <c r="F176" s="4" t="str">
        <f>BIN2HEX(MID(K1_16!$B$162,($A176-1)*8+1,8),2)</f>
        <v>7C</v>
      </c>
      <c r="G176" s="4" t="str">
        <f>BIN2HEX(MID(K1_16!$B$163,($A176-1)*8+1,8),2)</f>
        <v>63</v>
      </c>
      <c r="H176" s="4" t="str">
        <f>BIN2HEX(MID(K1_16!$B$164,($A176-1)*8+1,8),2)</f>
        <v>6C</v>
      </c>
      <c r="I176" s="4" t="str">
        <f>BIN2HEX(MID(K1_16!$B$165,($A176-1)*8+1,8),2)</f>
        <v>F7</v>
      </c>
      <c r="J176" s="4" t="str">
        <f>BIN2HEX(MID(K1_16!$B$166,($A176-1)*8+1,8),2)</f>
        <v>C0</v>
      </c>
      <c r="K176" s="4" t="str">
        <f>BIN2HEX(MID(K1_16!$B$167,($A176-1)*8+1,8),2)</f>
        <v>B1</v>
      </c>
      <c r="L176" s="4" t="str">
        <f>BIN2HEX(MID(K1_16!$B$168,($A176-1)*8+1,8),2)</f>
        <v>21</v>
      </c>
      <c r="M176" s="4" t="str">
        <f>BIN2HEX(MID(K1_16!$B$169,($A176-1)*8+1,8),2)</f>
        <v>71</v>
      </c>
      <c r="N176" s="4" t="str">
        <f>BIN2HEX(MID(K1_16!$B$170,($A176-1)*8+1,8),2)</f>
        <v>95</v>
      </c>
      <c r="O176" s="4" t="str">
        <f>BIN2HEX(MID(K1_16!$B$171,($A176-1)*8+1,8),2)</f>
        <v>57</v>
      </c>
      <c r="P176" s="4" t="str">
        <f>BIN2HEX(MID(K1_16!$B$172,($A176-1)*8+1,8),2)</f>
        <v>BF</v>
      </c>
      <c r="Q176" s="4" t="str">
        <f>BIN2HEX(MID(K1_16!$B$173,($A176-1)*8+1,8),2)</f>
        <v>CB</v>
      </c>
    </row>
    <row r="177" spans="1:17" x14ac:dyDescent="0.3">
      <c r="A177" s="3">
        <v>2</v>
      </c>
      <c r="B177" s="4" t="str">
        <f>BIN2HEX(MID(K1_16!$B$158,(A177-1)*8+1,8),2)</f>
        <v>02</v>
      </c>
      <c r="C177" s="4" t="str">
        <f>BIN2HEX(MID(K1_16!$B$159,($A177-1)*8+1,8),2)</f>
        <v>AE</v>
      </c>
      <c r="D177" s="4" t="str">
        <f>BIN2HEX(MID(K1_16!$B$160,($A177-1)*8+1,8),2)</f>
        <v>FC</v>
      </c>
      <c r="E177" s="4" t="str">
        <f>BIN2HEX(MID(K1_16!$B$161,($A177-1)*8+1,8),2)</f>
        <v>AD</v>
      </c>
      <c r="F177" s="4" t="str">
        <f>BIN2HEX(MID(K1_16!$B$162,($A177-1)*8+1,8),2)</f>
        <v>EC</v>
      </c>
      <c r="G177" s="4" t="str">
        <f>BIN2HEX(MID(K1_16!$B$163,($A177-1)*8+1,8),2)</f>
        <v>A5</v>
      </c>
      <c r="H177" s="4" t="str">
        <f>BIN2HEX(MID(K1_16!$B$164,($A177-1)*8+1,8),2)</f>
        <v>84</v>
      </c>
      <c r="I177" s="4" t="str">
        <f>BIN2HEX(MID(K1_16!$B$165,($A177-1)*8+1,8),2)</f>
        <v>88</v>
      </c>
      <c r="J177" s="4" t="str">
        <f>BIN2HEX(MID(K1_16!$B$166,($A177-1)*8+1,8),2)</f>
        <v>DB</v>
      </c>
      <c r="K177" s="4" t="str">
        <f>BIN2HEX(MID(K1_16!$B$167,($A177-1)*8+1,8),2)</f>
        <v>F3</v>
      </c>
      <c r="L177" s="4" t="str">
        <f>BIN2HEX(MID(K1_16!$B$168,($A177-1)*8+1,8),2)</f>
        <v>5F</v>
      </c>
      <c r="M177" s="4" t="str">
        <f>BIN2HEX(MID(K1_16!$B$169,($A177-1)*8+1,8),2)</f>
        <v>71</v>
      </c>
      <c r="N177" s="4" t="str">
        <f>BIN2HEX(MID(K1_16!$B$170,($A177-1)*8+1,8),2)</f>
        <v>C5</v>
      </c>
      <c r="O177" s="4" t="str">
        <f>BIN2HEX(MID(K1_16!$B$171,($A177-1)*8+1,8),2)</f>
        <v>43</v>
      </c>
      <c r="P177" s="4" t="str">
        <f>BIN2HEX(MID(K1_16!$B$172,($A177-1)*8+1,8),2)</f>
        <v>91</v>
      </c>
      <c r="Q177" s="4" t="str">
        <f>BIN2HEX(MID(K1_16!$B$173,($A177-1)*8+1,8),2)</f>
        <v>3D</v>
      </c>
    </row>
    <row r="178" spans="1:17" x14ac:dyDescent="0.3">
      <c r="A178" s="3">
        <v>3</v>
      </c>
      <c r="B178" s="4" t="str">
        <f>BIN2HEX(MID(K1_16!$B$158,(A178-1)*8+1,8),2)</f>
        <v>EF</v>
      </c>
      <c r="C178" s="4" t="str">
        <f>BIN2HEX(MID(K1_16!$B$159,($A178-1)*8+1,8),2)</f>
        <v>D9</v>
      </c>
      <c r="D178" s="4" t="str">
        <f>BIN2HEX(MID(K1_16!$B$160,($A178-1)*8+1,8),2)</f>
        <v>8A</v>
      </c>
      <c r="E178" s="4" t="str">
        <f>BIN2HEX(MID(K1_16!$B$161,($A178-1)*8+1,8),2)</f>
        <v>D2</v>
      </c>
      <c r="F178" s="4" t="str">
        <f>BIN2HEX(MID(K1_16!$B$162,($A178-1)*8+1,8),2)</f>
        <v>07</v>
      </c>
      <c r="G178" s="4" t="str">
        <f>BIN2HEX(MID(K1_16!$B$163,($A178-1)*8+1,8),2)</f>
        <v>1E</v>
      </c>
      <c r="H178" s="4" t="str">
        <f>BIN2HEX(MID(K1_16!$B$164,($A178-1)*8+1,8),2)</f>
        <v>B7</v>
      </c>
      <c r="I178" s="4" t="str">
        <f>BIN2HEX(MID(K1_16!$B$165,($A178-1)*8+1,8),2)</f>
        <v>3A</v>
      </c>
      <c r="J178" s="4" t="str">
        <f>BIN2HEX(MID(K1_16!$B$166,($A178-1)*8+1,8),2)</f>
        <v>EB</v>
      </c>
      <c r="K178" s="4" t="str">
        <f>BIN2HEX(MID(K1_16!$B$167,($A178-1)*8+1,8),2)</f>
        <v>47</v>
      </c>
      <c r="L178" s="4" t="str">
        <f>BIN2HEX(MID(K1_16!$B$168,($A178-1)*8+1,8),2)</f>
        <v>C3</v>
      </c>
      <c r="M178" s="4" t="str">
        <f>BIN2HEX(MID(K1_16!$B$169,($A178-1)*8+1,8),2)</f>
        <v>F5</v>
      </c>
      <c r="N178" s="4" t="str">
        <f>BIN2HEX(MID(K1_16!$B$170,($A178-1)*8+1,8),2)</f>
        <v>D1</v>
      </c>
      <c r="O178" s="4" t="str">
        <f>BIN2HEX(MID(K1_16!$B$171,($A178-1)*8+1,8),2)</f>
        <v>B7</v>
      </c>
      <c r="P178" s="4" t="str">
        <f>BIN2HEX(MID(K1_16!$B$172,($A178-1)*8+1,8),2)</f>
        <v>85</v>
      </c>
      <c r="Q178" s="4" t="str">
        <f>BIN2HEX(MID(K1_16!$B$173,($A178-1)*8+1,8),2)</f>
        <v>0B</v>
      </c>
    </row>
    <row r="179" spans="1:17" x14ac:dyDescent="0.3">
      <c r="A179" s="3">
        <v>4</v>
      </c>
      <c r="B179" s="4" t="str">
        <f>BIN2HEX(MID(K1_16!$B$158,(A179-1)*8+1,8),2)</f>
        <v>DB</v>
      </c>
      <c r="C179" s="4" t="str">
        <f>BIN2HEX(MID(K1_16!$B$159,($A179-1)*8+1,8),2)</f>
        <v>25</v>
      </c>
      <c r="D179" s="4" t="str">
        <f>BIN2HEX(MID(K1_16!$B$160,($A179-1)*8+1,8),2)</f>
        <v>B4</v>
      </c>
      <c r="E179" s="4" t="str">
        <f>BIN2HEX(MID(K1_16!$B$161,($A179-1)*8+1,8),2)</f>
        <v>AD</v>
      </c>
      <c r="F179" s="4" t="str">
        <f>BIN2HEX(MID(K1_16!$B$162,($A179-1)*8+1,8),2)</f>
        <v>1F</v>
      </c>
      <c r="G179" s="4" t="str">
        <f>BIN2HEX(MID(K1_16!$B$163,($A179-1)*8+1,8),2)</f>
        <v>3C</v>
      </c>
      <c r="H179" s="4" t="str">
        <f>BIN2HEX(MID(K1_16!$B$164,($A179-1)*8+1,8),2)</f>
        <v>8A</v>
      </c>
      <c r="I179" s="4" t="str">
        <f>BIN2HEX(MID(K1_16!$B$165,($A179-1)*8+1,8),2)</f>
        <v>EC</v>
      </c>
      <c r="J179" s="4" t="str">
        <f>BIN2HEX(MID(K1_16!$B$166,($A179-1)*8+1,8),2)</f>
        <v>27</v>
      </c>
      <c r="K179" s="4" t="str">
        <f>BIN2HEX(MID(K1_16!$B$167,($A179-1)*8+1,8),2)</f>
        <v>63</v>
      </c>
      <c r="L179" s="4" t="str">
        <f>BIN2HEX(MID(K1_16!$B$168,($A179-1)*8+1,8),2)</f>
        <v>0D</v>
      </c>
      <c r="M179" s="4" t="str">
        <f>BIN2HEX(MID(K1_16!$B$169,($A179-1)*8+1,8),2)</f>
        <v>45</v>
      </c>
      <c r="N179" s="4" t="str">
        <f>BIN2HEX(MID(K1_16!$B$170,($A179-1)*8+1,8),2)</f>
        <v>4B</v>
      </c>
      <c r="O179" s="4" t="str">
        <f>BIN2HEX(MID(K1_16!$B$171,($A179-1)*8+1,8),2)</f>
        <v>83</v>
      </c>
      <c r="P179" s="4" t="str">
        <f>BIN2HEX(MID(K1_16!$B$172,($A179-1)*8+1,8),2)</f>
        <v>0A</v>
      </c>
      <c r="Q179" s="4" t="str">
        <f>BIN2HEX(MID(K1_16!$B$173,($A179-1)*8+1,8),2)</f>
        <v>BC</v>
      </c>
    </row>
    <row r="180" spans="1:17" x14ac:dyDescent="0.3">
      <c r="A180" s="3">
        <v>5</v>
      </c>
      <c r="B180" s="4" t="str">
        <f>BIN2HEX(MID(K1_16!$B$158,(A180-1)*8+1,8),2)</f>
        <v>49</v>
      </c>
      <c r="C180" s="4" t="str">
        <f>BIN2HEX(MID(K1_16!$B$159,($A180-1)*8+1,8),2)</f>
        <v>EA</v>
      </c>
      <c r="D180" s="4" t="str">
        <f>BIN2HEX(MID(K1_16!$B$160,($A180-1)*8+1,8),2)</f>
        <v>AC</v>
      </c>
      <c r="E180" s="4" t="str">
        <f>BIN2HEX(MID(K1_16!$B$161,($A180-1)*8+1,8),2)</f>
        <v>86</v>
      </c>
      <c r="F180" s="4" t="str">
        <f>BIN2HEX(MID(K1_16!$B$162,($A180-1)*8+1,8),2)</f>
        <v>E6</v>
      </c>
      <c r="G180" s="4" t="str">
        <f>BIN2HEX(MID(K1_16!$B$163,($A180-1)*8+1,8),2)</f>
        <v>C5</v>
      </c>
      <c r="H180" s="4" t="str">
        <f>BIN2HEX(MID(K1_16!$B$164,($A180-1)*8+1,8),2)</f>
        <v>E4</v>
      </c>
      <c r="I180" s="4" t="str">
        <f>BIN2HEX(MID(K1_16!$B$165,($A180-1)*8+1,8),2)</f>
        <v>E7</v>
      </c>
      <c r="J180" s="4" t="str">
        <f>BIN2HEX(MID(K1_16!$B$166,($A180-1)*8+1,8),2)</f>
        <v>B8</v>
      </c>
      <c r="K180" s="4" t="str">
        <f>BIN2HEX(MID(K1_16!$B$167,($A180-1)*8+1,8),2)</f>
        <v>1D</v>
      </c>
      <c r="L180" s="4" t="str">
        <f>BIN2HEX(MID(K1_16!$B$168,($A180-1)*8+1,8),2)</f>
        <v>89</v>
      </c>
      <c r="M180" s="4" t="str">
        <f>BIN2HEX(MID(K1_16!$B$169,($A180-1)*8+1,8),2)</f>
        <v>5C</v>
      </c>
      <c r="N180" s="4" t="str">
        <f>BIN2HEX(MID(K1_16!$B$170,($A180-1)*8+1,8),2)</f>
        <v>80</v>
      </c>
      <c r="O180" s="4" t="str">
        <f>BIN2HEX(MID(K1_16!$B$171,($A180-1)*8+1,8),2)</f>
        <v>DD</v>
      </c>
      <c r="P180" s="4" t="str">
        <f>BIN2HEX(MID(K1_16!$B$172,($A180-1)*8+1,8),2)</f>
        <v>17</v>
      </c>
      <c r="Q180" s="4" t="str">
        <f>BIN2HEX(MID(K1_16!$B$173,($A180-1)*8+1,8),2)</f>
        <v>70</v>
      </c>
    </row>
    <row r="181" spans="1:17" x14ac:dyDescent="0.3">
      <c r="A181" s="3">
        <v>6</v>
      </c>
      <c r="B181" s="4" t="str">
        <f>BIN2HEX(MID(K1_16!$B$158,(A181-1)*8+1,8),2)</f>
        <v>A5</v>
      </c>
      <c r="C181" s="4" t="str">
        <f>BIN2HEX(MID(K1_16!$B$159,($A181-1)*8+1,8),2)</f>
        <v>66</v>
      </c>
      <c r="D181" s="4" t="str">
        <f>BIN2HEX(MID(K1_16!$B$160,($A181-1)*8+1,8),2)</f>
        <v>D2</v>
      </c>
      <c r="E181" s="4" t="str">
        <f>BIN2HEX(MID(K1_16!$B$161,($A181-1)*8+1,8),2)</f>
        <v>57</v>
      </c>
      <c r="F181" s="4" t="str">
        <f>BIN2HEX(MID(K1_16!$B$162,($A181-1)*8+1,8),2)</f>
        <v>C2</v>
      </c>
      <c r="G181" s="4" t="str">
        <f>BIN2HEX(MID(K1_16!$B$163,($A181-1)*8+1,8),2)</f>
        <v>45</v>
      </c>
      <c r="H181" s="4" t="str">
        <f>BIN2HEX(MID(K1_16!$B$164,($A181-1)*8+1,8),2)</f>
        <v>C6</v>
      </c>
      <c r="I181" s="4" t="str">
        <f>BIN2HEX(MID(K1_16!$B$165,($A181-1)*8+1,8),2)</f>
        <v>81</v>
      </c>
      <c r="J181" s="4" t="str">
        <f>BIN2HEX(MID(K1_16!$B$166,($A181-1)*8+1,8),2)</f>
        <v>39</v>
      </c>
      <c r="K181" s="4" t="str">
        <f>BIN2HEX(MID(K1_16!$B$167,($A181-1)*8+1,8),2)</f>
        <v>76</v>
      </c>
      <c r="L181" s="4" t="str">
        <f>BIN2HEX(MID(K1_16!$B$168,($A181-1)*8+1,8),2)</f>
        <v>BE</v>
      </c>
      <c r="M181" s="4" t="str">
        <f>BIN2HEX(MID(K1_16!$B$169,($A181-1)*8+1,8),2)</f>
        <v>D5</v>
      </c>
      <c r="N181" s="4" t="str">
        <f>BIN2HEX(MID(K1_16!$B$170,($A181-1)*8+1,8),2)</f>
        <v>FD</v>
      </c>
      <c r="O181" s="4" t="str">
        <f>BIN2HEX(MID(K1_16!$B$171,($A181-1)*8+1,8),2)</f>
        <v>8D</v>
      </c>
      <c r="P181" s="4" t="str">
        <f>BIN2HEX(MID(K1_16!$B$172,($A181-1)*8+1,8),2)</f>
        <v>B5</v>
      </c>
      <c r="Q181" s="4" t="str">
        <f>BIN2HEX(MID(K1_16!$B$173,($A181-1)*8+1,8),2)</f>
        <v>72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4E38-D9E9-484A-A074-F7400603758D}">
  <dimension ref="A1:AA103"/>
  <sheetViews>
    <sheetView tabSelected="1" topLeftCell="A73" zoomScale="85" zoomScaleNormal="85" workbookViewId="0">
      <selection activeCell="O90" sqref="O90"/>
    </sheetView>
  </sheetViews>
  <sheetFormatPr defaultRowHeight="14.4" x14ac:dyDescent="0.3"/>
  <sheetData>
    <row r="1" spans="1:27" x14ac:dyDescent="0.3">
      <c r="A1" s="1" t="s">
        <v>65</v>
      </c>
      <c r="B1" s="1" t="s">
        <v>66</v>
      </c>
      <c r="C1" s="1"/>
      <c r="D1" s="1"/>
      <c r="E1" s="2" t="s">
        <v>1</v>
      </c>
      <c r="F1" s="1"/>
      <c r="G1" s="1"/>
      <c r="H1" s="1"/>
      <c r="I1" s="1"/>
      <c r="J1" s="1"/>
      <c r="K1" s="1"/>
      <c r="L1" s="1"/>
    </row>
    <row r="5" spans="1:27" x14ac:dyDescent="0.3">
      <c r="A5" s="4" t="s">
        <v>2</v>
      </c>
      <c r="B5" s="5" t="s">
        <v>3</v>
      </c>
      <c r="C5" s="5" t="s">
        <v>109</v>
      </c>
      <c r="D5" s="4" t="s">
        <v>6</v>
      </c>
      <c r="E5" s="4" t="s">
        <v>67</v>
      </c>
      <c r="I5" s="1" t="s">
        <v>68</v>
      </c>
      <c r="J5" s="1" t="str">
        <f>_xlfn.TEXTJOIN("", TRUE,C6:C69)</f>
        <v>1001100011111110110011000000000011100000010101001111000010101010</v>
      </c>
      <c r="K5" s="1"/>
      <c r="L5" s="1"/>
      <c r="M5" s="1"/>
      <c r="N5" s="1"/>
      <c r="O5" s="1"/>
      <c r="P5" s="1"/>
      <c r="Q5" s="1"/>
    </row>
    <row r="6" spans="1:27" x14ac:dyDescent="0.3">
      <c r="A6" s="4">
        <v>1</v>
      </c>
      <c r="B6" s="5">
        <v>58</v>
      </c>
      <c r="C6" s="5" t="str">
        <f>MID($E$1,B6,1)</f>
        <v>1</v>
      </c>
      <c r="D6" s="4">
        <v>32</v>
      </c>
      <c r="E6" s="4">
        <v>40</v>
      </c>
    </row>
    <row r="7" spans="1:27" x14ac:dyDescent="0.3">
      <c r="A7" s="4">
        <v>2</v>
      </c>
      <c r="B7" s="5">
        <v>50</v>
      </c>
      <c r="C7" s="5" t="str">
        <f t="shared" ref="C7:C69" si="0">MID($E$1,B7,1)</f>
        <v>0</v>
      </c>
      <c r="D7" s="4">
        <v>1</v>
      </c>
      <c r="E7" s="4">
        <v>8</v>
      </c>
    </row>
    <row r="8" spans="1:27" x14ac:dyDescent="0.3">
      <c r="A8" s="4">
        <v>3</v>
      </c>
      <c r="B8" s="5">
        <v>42</v>
      </c>
      <c r="C8" s="5" t="str">
        <f t="shared" si="0"/>
        <v>0</v>
      </c>
      <c r="D8" s="4">
        <v>2</v>
      </c>
      <c r="E8" s="4">
        <v>48</v>
      </c>
      <c r="I8" t="s">
        <v>69</v>
      </c>
      <c r="J8" t="str">
        <f>LEFT(J5,32)</f>
        <v>10011000111111101100110000000000</v>
      </c>
      <c r="P8" t="s">
        <v>70</v>
      </c>
      <c r="Q8" t="str">
        <f>RIGHT(J5,32)</f>
        <v>11100000010101001111000010101010</v>
      </c>
    </row>
    <row r="9" spans="1:27" x14ac:dyDescent="0.3">
      <c r="A9" s="4">
        <v>4</v>
      </c>
      <c r="B9" s="5">
        <v>34</v>
      </c>
      <c r="C9" s="5" t="str">
        <f t="shared" si="0"/>
        <v>1</v>
      </c>
      <c r="D9" s="4">
        <v>3</v>
      </c>
      <c r="E9" s="4">
        <v>16</v>
      </c>
      <c r="H9" s="1" t="s">
        <v>120</v>
      </c>
      <c r="I9" s="1"/>
    </row>
    <row r="10" spans="1:27" x14ac:dyDescent="0.3">
      <c r="A10" s="4">
        <v>5</v>
      </c>
      <c r="B10" s="5">
        <v>26</v>
      </c>
      <c r="C10" s="5" t="str">
        <f t="shared" si="0"/>
        <v>1</v>
      </c>
      <c r="D10" s="4">
        <v>4</v>
      </c>
      <c r="E10" s="4">
        <v>56</v>
      </c>
      <c r="G10" s="3" t="s">
        <v>108</v>
      </c>
      <c r="H10" s="3">
        <v>0</v>
      </c>
      <c r="I10" s="3">
        <v>1</v>
      </c>
      <c r="J10" s="3">
        <v>2</v>
      </c>
      <c r="K10" s="3">
        <v>3</v>
      </c>
      <c r="L10" s="3">
        <v>4</v>
      </c>
      <c r="M10" s="3">
        <v>5</v>
      </c>
      <c r="N10" s="3">
        <v>6</v>
      </c>
      <c r="O10" s="3">
        <v>7</v>
      </c>
      <c r="P10" s="3">
        <v>8</v>
      </c>
      <c r="Q10" s="3">
        <v>9</v>
      </c>
      <c r="R10" s="3">
        <v>10</v>
      </c>
      <c r="S10" s="3">
        <v>11</v>
      </c>
      <c r="T10" s="3">
        <v>12</v>
      </c>
      <c r="U10" s="3">
        <v>13</v>
      </c>
      <c r="V10" s="3">
        <v>14</v>
      </c>
      <c r="W10" s="3">
        <v>15</v>
      </c>
    </row>
    <row r="11" spans="1:27" x14ac:dyDescent="0.3">
      <c r="A11" s="4">
        <v>6</v>
      </c>
      <c r="B11" s="5">
        <v>18</v>
      </c>
      <c r="C11" s="5" t="str">
        <f t="shared" si="0"/>
        <v>0</v>
      </c>
      <c r="D11" s="4">
        <v>5</v>
      </c>
      <c r="E11" s="4">
        <v>24</v>
      </c>
      <c r="H11" s="10">
        <f>MOD(VALUE(MID($Q$8,D6,1)) + VALUE(K1_16!$B108), 2)</f>
        <v>0</v>
      </c>
      <c r="I11" s="10">
        <f>MOD(VALUE(MID(R0_L0!$C$79,D6,1)) + VALUE(K1_16!$C108), 2)</f>
        <v>0</v>
      </c>
      <c r="J11" s="10">
        <f>MOD(VALUE(MID(R0_L0!$C$80,$D6,1)) + VALUE(K1_16!D108), 2)</f>
        <v>1</v>
      </c>
      <c r="K11" s="10">
        <f>MOD(VALUE(MID(R0_L0!$C$81,$D6,1)) + VALUE(K1_16!E108), 2)</f>
        <v>0</v>
      </c>
      <c r="L11" s="10">
        <f>MOD(VALUE(MID(R0_L0!$C$82,$D6,1)) + VALUE(K1_16!F108), 2)</f>
        <v>1</v>
      </c>
      <c r="M11" s="10">
        <f>MOD(VALUE(MID(R0_L0!$C$83,$D6,1)) + VALUE(K1_16!G108), 2)</f>
        <v>1</v>
      </c>
      <c r="N11" s="10">
        <f>MOD(VALUE(MID(R0_L0!$C$84,$D6,1)) + VALUE(K1_16!H108), 2)</f>
        <v>0</v>
      </c>
      <c r="O11" s="10">
        <f>MOD(VALUE(MID(R0_L0!$C$85,$D6,1)) + VALUE(K1_16!I108), 2)</f>
        <v>0</v>
      </c>
      <c r="P11" s="10">
        <f>MOD(VALUE(MID(R0_L0!$C$86,$D6,1)) + VALUE(K1_16!J108), 2)</f>
        <v>1</v>
      </c>
      <c r="Q11" s="10">
        <f>MOD(VALUE(MID(R0_L0!$C$87,$D6,1)) + VALUE(K1_16!K108), 2)</f>
        <v>1</v>
      </c>
      <c r="R11" s="10">
        <f>MOD(VALUE(MID(R0_L0!$C$88,$D6,1)) + VALUE(K1_16!L108), 2)</f>
        <v>0</v>
      </c>
      <c r="S11" s="10">
        <f>MOD(VALUE(MID(R0_L0!$C$89,$D6,1)) + VALUE(K1_16!M108), 2)</f>
        <v>0</v>
      </c>
      <c r="T11" s="10">
        <f>MOD(VALUE(MID(R0_L0!$C$90,$D6,1)) + VALUE(K1_16!N108), 2)</f>
        <v>0</v>
      </c>
      <c r="U11" s="10">
        <f>MOD(VALUE(MID(R0_L0!$C$91,$D6,1)) + VALUE(K1_16!O108), 2)</f>
        <v>0</v>
      </c>
      <c r="V11" s="10">
        <f>MOD(VALUE(MID(R0_L0!$C$92,$D6,1)) + VALUE(K1_16!P108), 2)</f>
        <v>0</v>
      </c>
      <c r="W11" s="10">
        <f>MOD(VALUE(MID(R0_L0!$C$93,$D6,1)) + VALUE(K1_16!Q108), 2)</f>
        <v>0</v>
      </c>
      <c r="AA11" t="str">
        <f>MID($Q$8,D6,1)</f>
        <v>0</v>
      </c>
    </row>
    <row r="12" spans="1:27" x14ac:dyDescent="0.3">
      <c r="A12" s="4">
        <v>7</v>
      </c>
      <c r="B12" s="5">
        <v>10</v>
      </c>
      <c r="C12" s="5" t="str">
        <f t="shared" si="0"/>
        <v>0</v>
      </c>
      <c r="D12" s="4">
        <v>4</v>
      </c>
      <c r="E12" s="4">
        <v>64</v>
      </c>
      <c r="H12" s="3">
        <f>MOD(VALUE(MID($Q$8,D7,1)) + VALUE(K1_16!$B109), 2)</f>
        <v>1</v>
      </c>
      <c r="I12" s="10">
        <f>MOD(VALUE(MID(R0_L0!$C$79,D7,1)) + VALUE(K1_16!$C109), 2)</f>
        <v>1</v>
      </c>
      <c r="J12" s="10">
        <f>MOD(VALUE(MID(R0_L0!$C$80,$D7,1)) + VALUE(K1_16!D109), 2)</f>
        <v>1</v>
      </c>
      <c r="K12" s="10">
        <f>MOD(VALUE(MID(R0_L0!$C$81,$D7,1)) + VALUE(K1_16!E109), 2)</f>
        <v>0</v>
      </c>
      <c r="L12" s="10">
        <f>MOD(VALUE(MID(R0_L0!$C$82,$D7,1)) + VALUE(K1_16!F109), 2)</f>
        <v>0</v>
      </c>
      <c r="M12" s="10">
        <f>MOD(VALUE(MID(R0_L0!$C$83,$D7,1)) + VALUE(K1_16!G109), 2)</f>
        <v>1</v>
      </c>
      <c r="N12" s="10">
        <f>MOD(VALUE(MID(R0_L0!$C$84,$D7,1)) + VALUE(K1_16!H109), 2)</f>
        <v>1</v>
      </c>
      <c r="O12" s="10">
        <f>MOD(VALUE(MID(R0_L0!$C$85,$D7,1)) + VALUE(K1_16!I109), 2)</f>
        <v>1</v>
      </c>
      <c r="P12" s="10">
        <f>MOD(VALUE(MID(R0_L0!$C$86,$D7,1)) + VALUE(K1_16!J109), 2)</f>
        <v>1</v>
      </c>
      <c r="Q12" s="10">
        <f>MOD(VALUE(MID(R0_L0!$C$87,$D7,1)) + VALUE(K1_16!K109), 2)</f>
        <v>1</v>
      </c>
      <c r="R12" s="10">
        <f>MOD(VALUE(MID(R0_L0!$C$88,$D7,1)) + VALUE(K1_16!L109), 2)</f>
        <v>1</v>
      </c>
      <c r="S12" s="10">
        <f>MOD(VALUE(MID(R0_L0!$C$89,$D7,1)) + VALUE(K1_16!M109), 2)</f>
        <v>1</v>
      </c>
      <c r="T12" s="10">
        <f>MOD(VALUE(MID(R0_L0!$C$90,$D7,1)) + VALUE(K1_16!N109), 2)</f>
        <v>1</v>
      </c>
      <c r="U12" s="10">
        <f>MOD(VALUE(MID(R0_L0!$C$91,$D7,1)) + VALUE(K1_16!O109), 2)</f>
        <v>1</v>
      </c>
      <c r="V12" s="10">
        <f>MOD(VALUE(MID(R0_L0!$C$92,$D7,1)) + VALUE(K1_16!P109), 2)</f>
        <v>1</v>
      </c>
      <c r="W12" s="10">
        <f>MOD(VALUE(MID(R0_L0!$C$93,$D7,1)) + VALUE(K1_16!Q109), 2)</f>
        <v>1</v>
      </c>
      <c r="AA12" t="str">
        <f t="shared" ref="AA12:AA58" si="1">MID($Q$8,D7,1)</f>
        <v>1</v>
      </c>
    </row>
    <row r="13" spans="1:27" x14ac:dyDescent="0.3">
      <c r="A13" s="4">
        <v>8</v>
      </c>
      <c r="B13" s="5">
        <v>2</v>
      </c>
      <c r="C13" s="5" t="str">
        <f t="shared" si="0"/>
        <v>0</v>
      </c>
      <c r="D13" s="4">
        <v>5</v>
      </c>
      <c r="E13" s="4">
        <v>32</v>
      </c>
      <c r="H13" s="3">
        <f>MOD(VALUE(MID($Q$8,D8,1)) + VALUE(K1_16!$B110), 2)</f>
        <v>1</v>
      </c>
      <c r="I13" s="10">
        <f>MOD(VALUE(MID(R0_L0!$C$79,D8,1)) + VALUE(K1_16!$C110), 2)</f>
        <v>1</v>
      </c>
      <c r="J13" s="10">
        <f>MOD(VALUE(MID(R0_L0!$C$80,$D8,1)) + VALUE(K1_16!D110), 2)</f>
        <v>1</v>
      </c>
      <c r="K13" s="10">
        <f>MOD(VALUE(MID(R0_L0!$C$81,$D8,1)) + VALUE(K1_16!E110), 2)</f>
        <v>0</v>
      </c>
      <c r="L13" s="10">
        <f>MOD(VALUE(MID(R0_L0!$C$82,$D8,1)) + VALUE(K1_16!F110), 2)</f>
        <v>1</v>
      </c>
      <c r="M13" s="10">
        <f>MOD(VALUE(MID(R0_L0!$C$83,$D8,1)) + VALUE(K1_16!G110), 2)</f>
        <v>1</v>
      </c>
      <c r="N13" s="10">
        <f>MOD(VALUE(MID(R0_L0!$C$84,$D8,1)) + VALUE(K1_16!H110), 2)</f>
        <v>1</v>
      </c>
      <c r="O13" s="10">
        <f>MOD(VALUE(MID(R0_L0!$C$85,$D8,1)) + VALUE(K1_16!I110), 2)</f>
        <v>0</v>
      </c>
      <c r="P13" s="10">
        <f>MOD(VALUE(MID(R0_L0!$C$86,$D8,1)) + VALUE(K1_16!J110), 2)</f>
        <v>1</v>
      </c>
      <c r="Q13" s="10">
        <f>MOD(VALUE(MID(R0_L0!$C$87,$D8,1)) + VALUE(K1_16!K110), 2)</f>
        <v>1</v>
      </c>
      <c r="R13" s="10">
        <f>MOD(VALUE(MID(R0_L0!$C$88,$D8,1)) + VALUE(K1_16!L110), 2)</f>
        <v>1</v>
      </c>
      <c r="S13" s="10">
        <f>MOD(VALUE(MID(R0_L0!$C$89,$D8,1)) + VALUE(K1_16!M110), 2)</f>
        <v>0</v>
      </c>
      <c r="T13" s="10">
        <f>MOD(VALUE(MID(R0_L0!$C$90,$D8,1)) + VALUE(K1_16!N110), 2)</f>
        <v>1</v>
      </c>
      <c r="U13" s="10">
        <f>MOD(VALUE(MID(R0_L0!$C$91,$D8,1)) + VALUE(K1_16!O110), 2)</f>
        <v>0</v>
      </c>
      <c r="V13" s="10">
        <f>MOD(VALUE(MID(R0_L0!$C$92,$D8,1)) + VALUE(K1_16!P110), 2)</f>
        <v>1</v>
      </c>
      <c r="W13" s="10">
        <f>MOD(VALUE(MID(R0_L0!$C$93,$D8,1)) + VALUE(K1_16!Q110), 2)</f>
        <v>1</v>
      </c>
      <c r="AA13" t="str">
        <f t="shared" si="1"/>
        <v>1</v>
      </c>
    </row>
    <row r="14" spans="1:27" x14ac:dyDescent="0.3">
      <c r="A14" s="4">
        <v>9</v>
      </c>
      <c r="B14" s="5">
        <v>60</v>
      </c>
      <c r="C14" s="5" t="str">
        <f t="shared" si="0"/>
        <v>1</v>
      </c>
      <c r="D14" s="4">
        <v>6</v>
      </c>
      <c r="E14" s="4">
        <v>39</v>
      </c>
      <c r="H14" s="3">
        <f>MOD(VALUE(MID($Q$8,D9,1)) + VALUE(K1_16!$B111), 2)</f>
        <v>0</v>
      </c>
      <c r="I14" s="10">
        <f>MOD(VALUE(MID(R0_L0!$C$79,D9,1)) + VALUE(K1_16!$C111), 2)</f>
        <v>0</v>
      </c>
      <c r="J14" s="10">
        <f>MOD(VALUE(MID(R0_L0!$C$80,$D9,1)) + VALUE(K1_16!D111), 2)</f>
        <v>0</v>
      </c>
      <c r="K14" s="10">
        <f>MOD(VALUE(MID(R0_L0!$C$81,$D9,1)) + VALUE(K1_16!E111), 2)</f>
        <v>1</v>
      </c>
      <c r="L14" s="10">
        <f>MOD(VALUE(MID(R0_L0!$C$82,$D9,1)) + VALUE(K1_16!F111), 2)</f>
        <v>1</v>
      </c>
      <c r="M14" s="10">
        <f>MOD(VALUE(MID(R0_L0!$C$83,$D9,1)) + VALUE(K1_16!G111), 2)</f>
        <v>0</v>
      </c>
      <c r="N14" s="10">
        <f>MOD(VALUE(MID(R0_L0!$C$84,$D9,1)) + VALUE(K1_16!H111), 2)</f>
        <v>1</v>
      </c>
      <c r="O14" s="10">
        <f>MOD(VALUE(MID(R0_L0!$C$85,$D9,1)) + VALUE(K1_16!I111), 2)</f>
        <v>1</v>
      </c>
      <c r="P14" s="10">
        <f>MOD(VALUE(MID(R0_L0!$C$86,$D9,1)) + VALUE(K1_16!J111), 2)</f>
        <v>0</v>
      </c>
      <c r="Q14" s="10">
        <f>MOD(VALUE(MID(R0_L0!$C$87,$D9,1)) + VALUE(K1_16!K111), 2)</f>
        <v>0</v>
      </c>
      <c r="R14" s="10">
        <f>MOD(VALUE(MID(R0_L0!$C$88,$D9,1)) + VALUE(K1_16!L111), 2)</f>
        <v>0</v>
      </c>
      <c r="S14" s="10">
        <f>MOD(VALUE(MID(R0_L0!$C$89,$D9,1)) + VALUE(K1_16!M111), 2)</f>
        <v>1</v>
      </c>
      <c r="T14" s="10">
        <f>MOD(VALUE(MID(R0_L0!$C$90,$D9,1)) + VALUE(K1_16!N111), 2)</f>
        <v>0</v>
      </c>
      <c r="U14" s="10">
        <f>MOD(VALUE(MID(R0_L0!$C$91,$D9,1)) + VALUE(K1_16!O111), 2)</f>
        <v>0</v>
      </c>
      <c r="V14" s="10">
        <f>MOD(VALUE(MID(R0_L0!$C$92,$D9,1)) + VALUE(K1_16!P111), 2)</f>
        <v>1</v>
      </c>
      <c r="W14" s="10">
        <f>MOD(VALUE(MID(R0_L0!$C$93,$D9,1)) + VALUE(K1_16!Q111), 2)</f>
        <v>1</v>
      </c>
      <c r="AA14" t="str">
        <f t="shared" si="1"/>
        <v>1</v>
      </c>
    </row>
    <row r="15" spans="1:27" x14ac:dyDescent="0.3">
      <c r="A15" s="4">
        <v>10</v>
      </c>
      <c r="B15" s="5">
        <v>52</v>
      </c>
      <c r="C15" s="5" t="str">
        <f t="shared" si="0"/>
        <v>1</v>
      </c>
      <c r="D15" s="4">
        <v>7</v>
      </c>
      <c r="E15" s="4">
        <v>7</v>
      </c>
      <c r="H15" s="3">
        <f>MOD(VALUE(MID($Q$8,D10,1)) + VALUE(K1_16!$B112), 2)</f>
        <v>1</v>
      </c>
      <c r="I15" s="10">
        <f>MOD(VALUE(MID(R0_L0!$C$79,D10,1)) + VALUE(K1_16!$C112), 2)</f>
        <v>1</v>
      </c>
      <c r="J15" s="10">
        <f>MOD(VALUE(MID(R0_L0!$C$80,$D10,1)) + VALUE(K1_16!D112), 2)</f>
        <v>0</v>
      </c>
      <c r="K15" s="10">
        <f>MOD(VALUE(MID(R0_L0!$C$81,$D10,1)) + VALUE(K1_16!E112), 2)</f>
        <v>1</v>
      </c>
      <c r="L15" s="10">
        <f>MOD(VALUE(MID(R0_L0!$C$82,$D10,1)) + VALUE(K1_16!F112), 2)</f>
        <v>0</v>
      </c>
      <c r="M15" s="10">
        <f>MOD(VALUE(MID(R0_L0!$C$83,$D10,1)) + VALUE(K1_16!G112), 2)</f>
        <v>0</v>
      </c>
      <c r="N15" s="10">
        <f>MOD(VALUE(MID(R0_L0!$C$84,$D10,1)) + VALUE(K1_16!H112), 2)</f>
        <v>0</v>
      </c>
      <c r="O15" s="10">
        <f>MOD(VALUE(MID(R0_L0!$C$85,$D10,1)) + VALUE(K1_16!I112), 2)</f>
        <v>0</v>
      </c>
      <c r="P15" s="10">
        <f>MOD(VALUE(MID(R0_L0!$C$86,$D10,1)) + VALUE(K1_16!J112), 2)</f>
        <v>1</v>
      </c>
      <c r="Q15" s="10">
        <f>MOD(VALUE(MID(R0_L0!$C$87,$D10,1)) + VALUE(K1_16!K112), 2)</f>
        <v>1</v>
      </c>
      <c r="R15" s="10">
        <f>MOD(VALUE(MID(R0_L0!$C$88,$D10,1)) + VALUE(K1_16!L112), 2)</f>
        <v>0</v>
      </c>
      <c r="S15" s="10">
        <f>MOD(VALUE(MID(R0_L0!$C$89,$D10,1)) + VALUE(K1_16!M112), 2)</f>
        <v>0</v>
      </c>
      <c r="T15" s="10">
        <f>MOD(VALUE(MID(R0_L0!$C$90,$D10,1)) + VALUE(K1_16!N112), 2)</f>
        <v>1</v>
      </c>
      <c r="U15" s="10">
        <f>MOD(VALUE(MID(R0_L0!$C$91,$D10,1)) + VALUE(K1_16!O112), 2)</f>
        <v>1</v>
      </c>
      <c r="V15" s="10">
        <f>MOD(VALUE(MID(R0_L0!$C$92,$D10,1)) + VALUE(K1_16!P112), 2)</f>
        <v>0</v>
      </c>
      <c r="W15" s="10">
        <f>MOD(VALUE(MID(R0_L0!$C$93,$D10,1)) + VALUE(K1_16!Q112), 2)</f>
        <v>1</v>
      </c>
      <c r="AA15" t="str">
        <f t="shared" si="1"/>
        <v>0</v>
      </c>
    </row>
    <row r="16" spans="1:27" x14ac:dyDescent="0.3">
      <c r="A16" s="4">
        <v>11</v>
      </c>
      <c r="B16" s="5">
        <v>44</v>
      </c>
      <c r="C16" s="5" t="str">
        <f t="shared" si="0"/>
        <v>1</v>
      </c>
      <c r="D16" s="4">
        <v>8</v>
      </c>
      <c r="E16" s="4">
        <v>47</v>
      </c>
      <c r="H16" s="3">
        <f>MOD(VALUE(MID($Q$8,D11,1)) + VALUE(K1_16!$B113), 2)</f>
        <v>0</v>
      </c>
      <c r="I16" s="10">
        <f>MOD(VALUE(MID(R0_L0!$C$79,D11,1)) + VALUE(K1_16!$C113), 2)</f>
        <v>1</v>
      </c>
      <c r="J16" s="10">
        <f>MOD(VALUE(MID(R0_L0!$C$80,$D11,1)) + VALUE(K1_16!D113), 2)</f>
        <v>0</v>
      </c>
      <c r="K16" s="10">
        <f>MOD(VALUE(MID(R0_L0!$C$81,$D11,1)) + VALUE(K1_16!E113), 2)</f>
        <v>0</v>
      </c>
      <c r="L16" s="10">
        <f>MOD(VALUE(MID(R0_L0!$C$82,$D11,1)) + VALUE(K1_16!F113), 2)</f>
        <v>0</v>
      </c>
      <c r="M16" s="10">
        <f>MOD(VALUE(MID(R0_L0!$C$83,$D11,1)) + VALUE(K1_16!G113), 2)</f>
        <v>1</v>
      </c>
      <c r="N16" s="10">
        <f>MOD(VALUE(MID(R0_L0!$C$84,$D11,1)) + VALUE(K1_16!H113), 2)</f>
        <v>1</v>
      </c>
      <c r="O16" s="10">
        <f>MOD(VALUE(MID(R0_L0!$C$85,$D11,1)) + VALUE(K1_16!I113), 2)</f>
        <v>1</v>
      </c>
      <c r="P16" s="10">
        <f>MOD(VALUE(MID(R0_L0!$C$86,$D11,1)) + VALUE(K1_16!J113), 2)</f>
        <v>1</v>
      </c>
      <c r="Q16" s="10">
        <f>MOD(VALUE(MID(R0_L0!$C$87,$D11,1)) + VALUE(K1_16!K113), 2)</f>
        <v>1</v>
      </c>
      <c r="R16" s="10">
        <f>MOD(VALUE(MID(R0_L0!$C$88,$D11,1)) + VALUE(K1_16!L113), 2)</f>
        <v>1</v>
      </c>
      <c r="S16" s="10">
        <f>MOD(VALUE(MID(R0_L0!$C$89,$D11,1)) + VALUE(K1_16!M113), 2)</f>
        <v>0</v>
      </c>
      <c r="T16" s="10">
        <f>MOD(VALUE(MID(R0_L0!$C$90,$D11,1)) + VALUE(K1_16!N113), 2)</f>
        <v>0</v>
      </c>
      <c r="U16" s="10">
        <f>MOD(VALUE(MID(R0_L0!$C$91,$D11,1)) + VALUE(K1_16!O113), 2)</f>
        <v>0</v>
      </c>
      <c r="V16" s="10">
        <f>MOD(VALUE(MID(R0_L0!$C$92,$D11,1)) + VALUE(K1_16!P113), 2)</f>
        <v>0</v>
      </c>
      <c r="W16" s="10">
        <f>MOD(VALUE(MID(R0_L0!$C$93,$D11,1)) + VALUE(K1_16!Q113), 2)</f>
        <v>1</v>
      </c>
      <c r="Z16" t="s">
        <v>129</v>
      </c>
      <c r="AA16" t="str">
        <f t="shared" si="1"/>
        <v>0</v>
      </c>
    </row>
    <row r="17" spans="1:27" x14ac:dyDescent="0.3">
      <c r="A17" s="4">
        <v>12</v>
      </c>
      <c r="B17" s="5">
        <v>36</v>
      </c>
      <c r="C17" s="5" t="str">
        <f t="shared" si="0"/>
        <v>1</v>
      </c>
      <c r="D17" s="4">
        <v>9</v>
      </c>
      <c r="E17" s="4">
        <v>15</v>
      </c>
      <c r="H17" s="3">
        <f>MOD(VALUE(MID($Q$8,D12,1)) + VALUE(K1_16!$B114), 2)</f>
        <v>1</v>
      </c>
      <c r="I17" s="10">
        <f>MOD(VALUE(MID(R0_L0!$C$79,D12,1)) + VALUE(K1_16!$C114), 2)</f>
        <v>0</v>
      </c>
      <c r="J17" s="10">
        <f>MOD(VALUE(MID(R0_L0!$C$80,$D12,1)) + VALUE(K1_16!D114), 2)</f>
        <v>0</v>
      </c>
      <c r="K17" s="10">
        <f>MOD(VALUE(MID(R0_L0!$C$81,$D12,1)) + VALUE(K1_16!E114), 2)</f>
        <v>0</v>
      </c>
      <c r="L17" s="10">
        <f>MOD(VALUE(MID(R0_L0!$C$82,$D12,1)) + VALUE(K1_16!F114), 2)</f>
        <v>1</v>
      </c>
      <c r="M17" s="10">
        <f>MOD(VALUE(MID(R0_L0!$C$83,$D12,1)) + VALUE(K1_16!G114), 2)</f>
        <v>1</v>
      </c>
      <c r="N17" s="10">
        <f>MOD(VALUE(MID(R0_L0!$C$84,$D12,1)) + VALUE(K1_16!H114), 2)</f>
        <v>1</v>
      </c>
      <c r="O17" s="10">
        <f>MOD(VALUE(MID(R0_L0!$C$85,$D12,1)) + VALUE(K1_16!I114), 2)</f>
        <v>1</v>
      </c>
      <c r="P17" s="10">
        <f>MOD(VALUE(MID(R0_L0!$C$86,$D12,1)) + VALUE(K1_16!J114), 2)</f>
        <v>1</v>
      </c>
      <c r="Q17" s="10">
        <f>MOD(VALUE(MID(R0_L0!$C$87,$D12,1)) + VALUE(K1_16!K114), 2)</f>
        <v>1</v>
      </c>
      <c r="R17" s="10">
        <f>MOD(VALUE(MID(R0_L0!$C$88,$D12,1)) + VALUE(K1_16!L114), 2)</f>
        <v>0</v>
      </c>
      <c r="S17" s="10">
        <f>MOD(VALUE(MID(R0_L0!$C$89,$D12,1)) + VALUE(K1_16!M114), 2)</f>
        <v>0</v>
      </c>
      <c r="T17" s="10">
        <f>MOD(VALUE(MID(R0_L0!$C$90,$D12,1)) + VALUE(K1_16!N114), 2)</f>
        <v>1</v>
      </c>
      <c r="U17" s="10">
        <f>MOD(VALUE(MID(R0_L0!$C$91,$D12,1)) + VALUE(K1_16!O114), 2)</f>
        <v>0</v>
      </c>
      <c r="V17" s="10">
        <f>MOD(VALUE(MID(R0_L0!$C$92,$D12,1)) + VALUE(K1_16!P114), 2)</f>
        <v>0</v>
      </c>
      <c r="W17" s="10">
        <f>MOD(VALUE(MID(R0_L0!$C$93,$D12,1)) + VALUE(K1_16!Q114), 2)</f>
        <v>1</v>
      </c>
      <c r="Z17" t="s">
        <v>129</v>
      </c>
      <c r="AA17" t="str">
        <f t="shared" si="1"/>
        <v>0</v>
      </c>
    </row>
    <row r="18" spans="1:27" x14ac:dyDescent="0.3">
      <c r="A18" s="4">
        <v>13</v>
      </c>
      <c r="B18" s="5">
        <v>28</v>
      </c>
      <c r="C18" s="5" t="str">
        <f t="shared" si="0"/>
        <v>1</v>
      </c>
      <c r="D18" s="4">
        <v>8</v>
      </c>
      <c r="E18" s="4">
        <v>55</v>
      </c>
      <c r="H18" s="3">
        <f>MOD(VALUE(MID($Q$8,D13,1)) + VALUE(K1_16!$B115), 2)</f>
        <v>1</v>
      </c>
      <c r="I18" s="10">
        <f>MOD(VALUE(MID(R0_L0!$C$79,D13,1)) + VALUE(K1_16!$C115), 2)</f>
        <v>0</v>
      </c>
      <c r="J18" s="10">
        <f>MOD(VALUE(MID(R0_L0!$C$80,$D13,1)) + VALUE(K1_16!D115), 2)</f>
        <v>0</v>
      </c>
      <c r="K18" s="10">
        <f>MOD(VALUE(MID(R0_L0!$C$81,$D13,1)) + VALUE(K1_16!E115), 2)</f>
        <v>0</v>
      </c>
      <c r="L18" s="10">
        <f>MOD(VALUE(MID(R0_L0!$C$82,$D13,1)) + VALUE(K1_16!F115), 2)</f>
        <v>1</v>
      </c>
      <c r="M18" s="10">
        <f>MOD(VALUE(MID(R0_L0!$C$83,$D13,1)) + VALUE(K1_16!G115), 2)</f>
        <v>0</v>
      </c>
      <c r="N18" s="10">
        <f>MOD(VALUE(MID(R0_L0!$C$84,$D13,1)) + VALUE(K1_16!H115), 2)</f>
        <v>0</v>
      </c>
      <c r="O18" s="10">
        <f>MOD(VALUE(MID(R0_L0!$C$85,$D13,1)) + VALUE(K1_16!I115), 2)</f>
        <v>1</v>
      </c>
      <c r="P18" s="10">
        <f>MOD(VALUE(MID(R0_L0!$C$86,$D13,1)) + VALUE(K1_16!J115), 2)</f>
        <v>1</v>
      </c>
      <c r="Q18" s="10">
        <f>MOD(VALUE(MID(R0_L0!$C$87,$D13,1)) + VALUE(K1_16!K115), 2)</f>
        <v>0</v>
      </c>
      <c r="R18" s="10">
        <f>MOD(VALUE(MID(R0_L0!$C$88,$D13,1)) + VALUE(K1_16!L115), 2)</f>
        <v>0</v>
      </c>
      <c r="S18" s="10">
        <f>MOD(VALUE(MID(R0_L0!$C$89,$D13,1)) + VALUE(K1_16!M115), 2)</f>
        <v>1</v>
      </c>
      <c r="T18" s="10">
        <f>MOD(VALUE(MID(R0_L0!$C$90,$D13,1)) + VALUE(K1_16!N115), 2)</f>
        <v>0</v>
      </c>
      <c r="U18" s="10">
        <f>MOD(VALUE(MID(R0_L0!$C$91,$D13,1)) + VALUE(K1_16!O115), 2)</f>
        <v>0</v>
      </c>
      <c r="V18" s="10">
        <f>MOD(VALUE(MID(R0_L0!$C$92,$D13,1)) + VALUE(K1_16!P115), 2)</f>
        <v>0</v>
      </c>
      <c r="W18" s="10">
        <f>MOD(VALUE(MID(R0_L0!$C$93,$D13,1)) + VALUE(K1_16!Q115), 2)</f>
        <v>0</v>
      </c>
      <c r="Z18" t="s">
        <v>128</v>
      </c>
      <c r="AA18" t="str">
        <f t="shared" si="1"/>
        <v>0</v>
      </c>
    </row>
    <row r="19" spans="1:27" x14ac:dyDescent="0.3">
      <c r="A19" s="4">
        <v>14</v>
      </c>
      <c r="B19" s="5">
        <v>20</v>
      </c>
      <c r="C19" s="5" t="str">
        <f t="shared" si="0"/>
        <v>1</v>
      </c>
      <c r="D19" s="4">
        <v>9</v>
      </c>
      <c r="E19" s="4">
        <v>23</v>
      </c>
      <c r="H19" s="3">
        <f>MOD(VALUE(MID($Q$8,D14,1)) + VALUE(K1_16!$B116), 2)</f>
        <v>0</v>
      </c>
      <c r="I19" s="10">
        <f>MOD(VALUE(MID(R0_L0!$C$79,D14,1)) + VALUE(K1_16!$C116), 2)</f>
        <v>0</v>
      </c>
      <c r="J19" s="10">
        <f>MOD(VALUE(MID(R0_L0!$C$80,$D14,1)) + VALUE(K1_16!D116), 2)</f>
        <v>1</v>
      </c>
      <c r="K19" s="10">
        <f>MOD(VALUE(MID(R0_L0!$C$81,$D14,1)) + VALUE(K1_16!E116), 2)</f>
        <v>0</v>
      </c>
      <c r="L19" s="10">
        <f>MOD(VALUE(MID(R0_L0!$C$82,$D14,1)) + VALUE(K1_16!F116), 2)</f>
        <v>0</v>
      </c>
      <c r="M19" s="10">
        <f>MOD(VALUE(MID(R0_L0!$C$83,$D14,1)) + VALUE(K1_16!G116), 2)</f>
        <v>0</v>
      </c>
      <c r="N19" s="10">
        <f>MOD(VALUE(MID(R0_L0!$C$84,$D14,1)) + VALUE(K1_16!H116), 2)</f>
        <v>1</v>
      </c>
      <c r="O19" s="10">
        <f>MOD(VALUE(MID(R0_L0!$C$85,$D14,1)) + VALUE(K1_16!I116), 2)</f>
        <v>1</v>
      </c>
      <c r="P19" s="10">
        <f>MOD(VALUE(MID(R0_L0!$C$86,$D14,1)) + VALUE(K1_16!J116), 2)</f>
        <v>0</v>
      </c>
      <c r="Q19" s="10">
        <f>MOD(VALUE(MID(R0_L0!$C$87,$D14,1)) + VALUE(K1_16!K116), 2)</f>
        <v>1</v>
      </c>
      <c r="R19" s="10">
        <f>MOD(VALUE(MID(R0_L0!$C$88,$D14,1)) + VALUE(K1_16!L116), 2)</f>
        <v>0</v>
      </c>
      <c r="S19" s="10">
        <f>MOD(VALUE(MID(R0_L0!$C$89,$D14,1)) + VALUE(K1_16!M116), 2)</f>
        <v>1</v>
      </c>
      <c r="T19" s="10">
        <f>MOD(VALUE(MID(R0_L0!$C$90,$D14,1)) + VALUE(K1_16!N116), 2)</f>
        <v>1</v>
      </c>
      <c r="U19" s="10">
        <f>MOD(VALUE(MID(R0_L0!$C$91,$D14,1)) + VALUE(K1_16!O116), 2)</f>
        <v>1</v>
      </c>
      <c r="V19" s="10">
        <f>MOD(VALUE(MID(R0_L0!$C$92,$D14,1)) + VALUE(K1_16!P116), 2)</f>
        <v>0</v>
      </c>
      <c r="W19" s="10">
        <f>MOD(VALUE(MID(R0_L0!$C$93,$D14,1)) + VALUE(K1_16!Q116), 2)</f>
        <v>1</v>
      </c>
      <c r="Z19" t="s">
        <v>128</v>
      </c>
      <c r="AA19" t="str">
        <f t="shared" si="1"/>
        <v>0</v>
      </c>
    </row>
    <row r="20" spans="1:27" x14ac:dyDescent="0.3">
      <c r="A20" s="4">
        <v>15</v>
      </c>
      <c r="B20" s="5">
        <v>12</v>
      </c>
      <c r="C20" s="5" t="str">
        <f t="shared" si="0"/>
        <v>1</v>
      </c>
      <c r="D20" s="4">
        <v>10</v>
      </c>
      <c r="E20" s="4">
        <v>63</v>
      </c>
      <c r="H20" s="3">
        <f>MOD(VALUE(MID($Q$8,D15,1)) + VALUE(K1_16!$B117), 2)</f>
        <v>0</v>
      </c>
      <c r="I20" s="10">
        <f>MOD(VALUE(MID(R0_L0!$C$79,D15,1)) + VALUE(K1_16!$C117), 2)</f>
        <v>1</v>
      </c>
      <c r="J20" s="10">
        <f>MOD(VALUE(MID(R0_L0!$C$80,$D15,1)) + VALUE(K1_16!D117), 2)</f>
        <v>1</v>
      </c>
      <c r="K20" s="10">
        <f>MOD(VALUE(MID(R0_L0!$C$81,$D15,1)) + VALUE(K1_16!E117), 2)</f>
        <v>0</v>
      </c>
      <c r="L20" s="10">
        <f>MOD(VALUE(MID(R0_L0!$C$82,$D15,1)) + VALUE(K1_16!F117), 2)</f>
        <v>1</v>
      </c>
      <c r="M20" s="10">
        <f>MOD(VALUE(MID(R0_L0!$C$83,$D15,1)) + VALUE(K1_16!G117), 2)</f>
        <v>0</v>
      </c>
      <c r="N20" s="10">
        <f>MOD(VALUE(MID(R0_L0!$C$84,$D15,1)) + VALUE(K1_16!H117), 2)</f>
        <v>1</v>
      </c>
      <c r="O20" s="10">
        <f>MOD(VALUE(MID(R0_L0!$C$85,$D15,1)) + VALUE(K1_16!I117), 2)</f>
        <v>1</v>
      </c>
      <c r="P20" s="10">
        <f>MOD(VALUE(MID(R0_L0!$C$86,$D15,1)) + VALUE(K1_16!J117), 2)</f>
        <v>0</v>
      </c>
      <c r="Q20" s="10">
        <f>MOD(VALUE(MID(R0_L0!$C$87,$D15,1)) + VALUE(K1_16!K117), 2)</f>
        <v>1</v>
      </c>
      <c r="R20" s="10">
        <f>MOD(VALUE(MID(R0_L0!$C$88,$D15,1)) + VALUE(K1_16!L117), 2)</f>
        <v>0</v>
      </c>
      <c r="S20" s="10">
        <f>MOD(VALUE(MID(R0_L0!$C$89,$D15,1)) + VALUE(K1_16!M117), 2)</f>
        <v>1</v>
      </c>
      <c r="T20" s="10">
        <f>MOD(VALUE(MID(R0_L0!$C$90,$D15,1)) + VALUE(K1_16!N117), 2)</f>
        <v>0</v>
      </c>
      <c r="U20" s="10">
        <f>MOD(VALUE(MID(R0_L0!$C$91,$D15,1)) + VALUE(K1_16!O117), 2)</f>
        <v>0</v>
      </c>
      <c r="V20" s="10">
        <f>MOD(VALUE(MID(R0_L0!$C$92,$D15,1)) + VALUE(K1_16!P117), 2)</f>
        <v>1</v>
      </c>
      <c r="W20" s="10">
        <f>MOD(VALUE(MID(R0_L0!$C$93,$D15,1)) + VALUE(K1_16!Q117), 2)</f>
        <v>1</v>
      </c>
      <c r="Z20" t="s">
        <v>128</v>
      </c>
      <c r="AA20" t="str">
        <f t="shared" si="1"/>
        <v>0</v>
      </c>
    </row>
    <row r="21" spans="1:27" x14ac:dyDescent="0.3">
      <c r="A21" s="4">
        <v>16</v>
      </c>
      <c r="B21" s="4">
        <v>4</v>
      </c>
      <c r="C21" s="5" t="str">
        <f t="shared" si="0"/>
        <v>0</v>
      </c>
      <c r="D21" s="4">
        <v>11</v>
      </c>
      <c r="E21" s="4">
        <v>31</v>
      </c>
      <c r="H21" s="3">
        <f>MOD(VALUE(MID($Q$8,D16,1)) + VALUE(K1_16!$B118), 2)</f>
        <v>0</v>
      </c>
      <c r="I21" s="10">
        <f>MOD(VALUE(MID(R0_L0!$C$79,D16,1)) + VALUE(K1_16!$C118), 2)</f>
        <v>0</v>
      </c>
      <c r="J21" s="10">
        <f>MOD(VALUE(MID(R0_L0!$C$80,$D16,1)) + VALUE(K1_16!D118), 2)</f>
        <v>1</v>
      </c>
      <c r="K21" s="10">
        <f>MOD(VALUE(MID(R0_L0!$C$81,$D16,1)) + VALUE(K1_16!E118), 2)</f>
        <v>0</v>
      </c>
      <c r="L21" s="10">
        <f>MOD(VALUE(MID(R0_L0!$C$82,$D16,1)) + VALUE(K1_16!F118), 2)</f>
        <v>1</v>
      </c>
      <c r="M21" s="10">
        <f>MOD(VALUE(MID(R0_L0!$C$83,$D16,1)) + VALUE(K1_16!G118), 2)</f>
        <v>0</v>
      </c>
      <c r="N21" s="10">
        <f>MOD(VALUE(MID(R0_L0!$C$84,$D16,1)) + VALUE(K1_16!H118), 2)</f>
        <v>1</v>
      </c>
      <c r="O21" s="10">
        <f>MOD(VALUE(MID(R0_L0!$C$85,$D16,1)) + VALUE(K1_16!I118), 2)</f>
        <v>1</v>
      </c>
      <c r="P21" s="10">
        <f>MOD(VALUE(MID(R0_L0!$C$86,$D16,1)) + VALUE(K1_16!J118), 2)</f>
        <v>1</v>
      </c>
      <c r="Q21" s="10">
        <f>MOD(VALUE(MID(R0_L0!$C$87,$D16,1)) + VALUE(K1_16!K118), 2)</f>
        <v>1</v>
      </c>
      <c r="R21" s="10">
        <f>MOD(VALUE(MID(R0_L0!$C$88,$D16,1)) + VALUE(K1_16!L118), 2)</f>
        <v>0</v>
      </c>
      <c r="S21" s="10">
        <f>MOD(VALUE(MID(R0_L0!$C$89,$D16,1)) + VALUE(K1_16!M118), 2)</f>
        <v>1</v>
      </c>
      <c r="T21" s="10">
        <f>MOD(VALUE(MID(R0_L0!$C$90,$D16,1)) + VALUE(K1_16!N118), 2)</f>
        <v>0</v>
      </c>
      <c r="U21" s="10">
        <f>MOD(VALUE(MID(R0_L0!$C$91,$D16,1)) + VALUE(K1_16!O118), 2)</f>
        <v>1</v>
      </c>
      <c r="V21" s="10">
        <f>MOD(VALUE(MID(R0_L0!$C$92,$D16,1)) + VALUE(K1_16!P118), 2)</f>
        <v>1</v>
      </c>
      <c r="W21" s="10">
        <f>MOD(VALUE(MID(R0_L0!$C$93,$D16,1)) + VALUE(K1_16!Q118), 2)</f>
        <v>1</v>
      </c>
      <c r="Z21" t="s">
        <v>128</v>
      </c>
      <c r="AA21" t="str">
        <f t="shared" si="1"/>
        <v>0</v>
      </c>
    </row>
    <row r="22" spans="1:27" x14ac:dyDescent="0.3">
      <c r="A22" s="4">
        <v>17</v>
      </c>
      <c r="B22" s="4">
        <v>62</v>
      </c>
      <c r="C22" s="5" t="str">
        <f t="shared" si="0"/>
        <v>1</v>
      </c>
      <c r="D22" s="4">
        <v>12</v>
      </c>
      <c r="E22" s="4">
        <v>38</v>
      </c>
      <c r="H22" s="3">
        <f>MOD(VALUE(MID($Q$8,D17,1)) + VALUE(K1_16!$B119), 2)</f>
        <v>0</v>
      </c>
      <c r="I22" s="10">
        <f>MOD(VALUE(MID(R0_L0!$C$79,D17,1)) + VALUE(K1_16!$C119), 2)</f>
        <v>0</v>
      </c>
      <c r="J22" s="10">
        <f>MOD(VALUE(MID(R0_L0!$C$80,$D17,1)) + VALUE(K1_16!D119), 2)</f>
        <v>1</v>
      </c>
      <c r="K22" s="10">
        <f>MOD(VALUE(MID(R0_L0!$C$81,$D17,1)) + VALUE(K1_16!E119), 2)</f>
        <v>0</v>
      </c>
      <c r="L22" s="10">
        <f>MOD(VALUE(MID(R0_L0!$C$82,$D17,1)) + VALUE(K1_16!F119), 2)</f>
        <v>0</v>
      </c>
      <c r="M22" s="10">
        <f>MOD(VALUE(MID(R0_L0!$C$83,$D17,1)) + VALUE(K1_16!G119), 2)</f>
        <v>0</v>
      </c>
      <c r="N22" s="10">
        <f>MOD(VALUE(MID(R0_L0!$C$84,$D17,1)) + VALUE(K1_16!H119), 2)</f>
        <v>1</v>
      </c>
      <c r="O22" s="10">
        <f>MOD(VALUE(MID(R0_L0!$C$85,$D17,1)) + VALUE(K1_16!I119), 2)</f>
        <v>0</v>
      </c>
      <c r="P22" s="10">
        <f>MOD(VALUE(MID(R0_L0!$C$86,$D17,1)) + VALUE(K1_16!J119), 2)</f>
        <v>1</v>
      </c>
      <c r="Q22" s="10">
        <f>MOD(VALUE(MID(R0_L0!$C$87,$D17,1)) + VALUE(K1_16!K119), 2)</f>
        <v>1</v>
      </c>
      <c r="R22" s="10">
        <f>MOD(VALUE(MID(R0_L0!$C$88,$D17,1)) + VALUE(K1_16!L119), 2)</f>
        <v>1</v>
      </c>
      <c r="S22" s="10">
        <f>MOD(VALUE(MID(R0_L0!$C$89,$D17,1)) + VALUE(K1_16!M119), 2)</f>
        <v>0</v>
      </c>
      <c r="T22" s="10">
        <f>MOD(VALUE(MID(R0_L0!$C$90,$D17,1)) + VALUE(K1_16!N119), 2)</f>
        <v>0</v>
      </c>
      <c r="U22" s="10">
        <f>MOD(VALUE(MID(R0_L0!$C$91,$D17,1)) + VALUE(K1_16!O119), 2)</f>
        <v>0</v>
      </c>
      <c r="V22" s="10">
        <f>MOD(VALUE(MID(R0_L0!$C$92,$D17,1)) + VALUE(K1_16!P119), 2)</f>
        <v>0</v>
      </c>
      <c r="W22" s="10">
        <f>MOD(VALUE(MID(R0_L0!$C$93,$D17,1)) + VALUE(K1_16!Q119), 2)</f>
        <v>1</v>
      </c>
      <c r="Z22" t="s">
        <v>128</v>
      </c>
      <c r="AA22" t="str">
        <f t="shared" si="1"/>
        <v>0</v>
      </c>
    </row>
    <row r="23" spans="1:27" x14ac:dyDescent="0.3">
      <c r="A23" s="4">
        <v>18</v>
      </c>
      <c r="B23" s="4">
        <v>54</v>
      </c>
      <c r="C23" s="5" t="str">
        <f t="shared" si="0"/>
        <v>1</v>
      </c>
      <c r="D23" s="4">
        <v>13</v>
      </c>
      <c r="E23" s="4">
        <v>6</v>
      </c>
      <c r="H23" s="3">
        <f>MOD(VALUE(MID($Q$8,D18,1)) + VALUE(K1_16!$B120), 2)</f>
        <v>0</v>
      </c>
      <c r="I23" s="10">
        <f>MOD(VALUE(MID(R0_L0!$C$79,D18,1)) + VALUE(K1_16!$C120), 2)</f>
        <v>0</v>
      </c>
      <c r="J23" s="10">
        <f>MOD(VALUE(MID(R0_L0!$C$80,$D18,1)) + VALUE(K1_16!D120), 2)</f>
        <v>1</v>
      </c>
      <c r="K23" s="10">
        <f>MOD(VALUE(MID(R0_L0!$C$81,$D18,1)) + VALUE(K1_16!E120), 2)</f>
        <v>0</v>
      </c>
      <c r="L23" s="10">
        <f>MOD(VALUE(MID(R0_L0!$C$82,$D18,1)) + VALUE(K1_16!F120), 2)</f>
        <v>1</v>
      </c>
      <c r="M23" s="10">
        <f>MOD(VALUE(MID(R0_L0!$C$83,$D18,1)) + VALUE(K1_16!G120), 2)</f>
        <v>1</v>
      </c>
      <c r="N23" s="10">
        <f>MOD(VALUE(MID(R0_L0!$C$84,$D18,1)) + VALUE(K1_16!H120), 2)</f>
        <v>1</v>
      </c>
      <c r="O23" s="10">
        <f>MOD(VALUE(MID(R0_L0!$C$85,$D18,1)) + VALUE(K1_16!I120), 2)</f>
        <v>0</v>
      </c>
      <c r="P23" s="10">
        <f>MOD(VALUE(MID(R0_L0!$C$86,$D18,1)) + VALUE(K1_16!J120), 2)</f>
        <v>0</v>
      </c>
      <c r="Q23" s="10">
        <f>MOD(VALUE(MID(R0_L0!$C$87,$D18,1)) + VALUE(K1_16!K120), 2)</f>
        <v>0</v>
      </c>
      <c r="R23" s="10">
        <f>MOD(VALUE(MID(R0_L0!$C$88,$D18,1)) + VALUE(K1_16!L120), 2)</f>
        <v>1</v>
      </c>
      <c r="S23" s="10">
        <f>MOD(VALUE(MID(R0_L0!$C$89,$D18,1)) + VALUE(K1_16!M120), 2)</f>
        <v>0</v>
      </c>
      <c r="T23" s="10">
        <f>MOD(VALUE(MID(R0_L0!$C$90,$D18,1)) + VALUE(K1_16!N120), 2)</f>
        <v>0</v>
      </c>
      <c r="U23" s="10">
        <f>MOD(VALUE(MID(R0_L0!$C$91,$D18,1)) + VALUE(K1_16!O120), 2)</f>
        <v>1</v>
      </c>
      <c r="V23" s="10">
        <f>MOD(VALUE(MID(R0_L0!$C$92,$D18,1)) + VALUE(K1_16!P120), 2)</f>
        <v>1</v>
      </c>
      <c r="W23" s="10">
        <f>MOD(VALUE(MID(R0_L0!$C$93,$D18,1)) + VALUE(K1_16!Q120), 2)</f>
        <v>1</v>
      </c>
      <c r="Z23" t="s">
        <v>128</v>
      </c>
      <c r="AA23" t="str">
        <f t="shared" si="1"/>
        <v>0</v>
      </c>
    </row>
    <row r="24" spans="1:27" x14ac:dyDescent="0.3">
      <c r="A24" s="4">
        <v>19</v>
      </c>
      <c r="B24" s="4">
        <v>46</v>
      </c>
      <c r="C24" s="5" t="str">
        <f t="shared" si="0"/>
        <v>0</v>
      </c>
      <c r="D24" s="4">
        <v>12</v>
      </c>
      <c r="E24" s="4">
        <v>46</v>
      </c>
      <c r="H24" s="3">
        <f>MOD(VALUE(MID($Q$8,D19,1)) + VALUE(K1_16!$B121), 2)</f>
        <v>0</v>
      </c>
      <c r="I24" s="10">
        <f>MOD(VALUE(MID(R0_L0!$C$79,D19,1)) + VALUE(K1_16!$C121), 2)</f>
        <v>1</v>
      </c>
      <c r="J24" s="10">
        <f>MOD(VALUE(MID(R0_L0!$C$80,$D19,1)) + VALUE(K1_16!D121), 2)</f>
        <v>1</v>
      </c>
      <c r="K24" s="10">
        <f>MOD(VALUE(MID(R0_L0!$C$81,$D19,1)) + VALUE(K1_16!E121), 2)</f>
        <v>1</v>
      </c>
      <c r="L24" s="10">
        <f>MOD(VALUE(MID(R0_L0!$C$82,$D19,1)) + VALUE(K1_16!F121), 2)</f>
        <v>1</v>
      </c>
      <c r="M24" s="10">
        <f>MOD(VALUE(MID(R0_L0!$C$83,$D19,1)) + VALUE(K1_16!G121), 2)</f>
        <v>1</v>
      </c>
      <c r="N24" s="10">
        <f>MOD(VALUE(MID(R0_L0!$C$84,$D19,1)) + VALUE(K1_16!H121), 2)</f>
        <v>0</v>
      </c>
      <c r="O24" s="10">
        <f>MOD(VALUE(MID(R0_L0!$C$85,$D19,1)) + VALUE(K1_16!I121), 2)</f>
        <v>0</v>
      </c>
      <c r="P24" s="10">
        <f>MOD(VALUE(MID(R0_L0!$C$86,$D19,1)) + VALUE(K1_16!J121), 2)</f>
        <v>0</v>
      </c>
      <c r="Q24" s="10">
        <f>MOD(VALUE(MID(R0_L0!$C$87,$D19,1)) + VALUE(K1_16!K121), 2)</f>
        <v>0</v>
      </c>
      <c r="R24" s="10">
        <f>MOD(VALUE(MID(R0_L0!$C$88,$D19,1)) + VALUE(K1_16!L121), 2)</f>
        <v>1</v>
      </c>
      <c r="S24" s="10">
        <f>MOD(VALUE(MID(R0_L0!$C$89,$D19,1)) + VALUE(K1_16!M121), 2)</f>
        <v>1</v>
      </c>
      <c r="T24" s="10">
        <f>MOD(VALUE(MID(R0_L0!$C$90,$D19,1)) + VALUE(K1_16!N121), 2)</f>
        <v>1</v>
      </c>
      <c r="U24" s="10">
        <f>MOD(VALUE(MID(R0_L0!$C$91,$D19,1)) + VALUE(K1_16!O121), 2)</f>
        <v>0</v>
      </c>
      <c r="V24" s="10">
        <f>MOD(VALUE(MID(R0_L0!$C$92,$D19,1)) + VALUE(K1_16!P121), 2)</f>
        <v>1</v>
      </c>
      <c r="W24" s="10">
        <f>MOD(VALUE(MID(R0_L0!$C$93,$D19,1)) + VALUE(K1_16!Q121), 2)</f>
        <v>1</v>
      </c>
      <c r="Z24" t="s">
        <v>129</v>
      </c>
      <c r="AA24" t="str">
        <f t="shared" si="1"/>
        <v>0</v>
      </c>
    </row>
    <row r="25" spans="1:27" x14ac:dyDescent="0.3">
      <c r="A25" s="4">
        <v>20</v>
      </c>
      <c r="B25" s="4">
        <v>38</v>
      </c>
      <c r="C25" s="5" t="str">
        <f t="shared" si="0"/>
        <v>0</v>
      </c>
      <c r="D25" s="4">
        <v>13</v>
      </c>
      <c r="E25" s="4">
        <v>14</v>
      </c>
      <c r="H25" s="3">
        <f>MOD(VALUE(MID($Q$8,D20,1)) + VALUE(K1_16!$B122), 2)</f>
        <v>0</v>
      </c>
      <c r="I25" s="10">
        <f>MOD(VALUE(MID(R0_L0!$C$79,D20,1)) + VALUE(K1_16!$C122), 2)</f>
        <v>1</v>
      </c>
      <c r="J25" s="10">
        <f>MOD(VALUE(MID(R0_L0!$C$80,$D20,1)) + VALUE(K1_16!D122), 2)</f>
        <v>0</v>
      </c>
      <c r="K25" s="10">
        <f>MOD(VALUE(MID(R0_L0!$C$81,$D20,1)) + VALUE(K1_16!E122), 2)</f>
        <v>0</v>
      </c>
      <c r="L25" s="10">
        <f>MOD(VALUE(MID(R0_L0!$C$82,$D20,1)) + VALUE(K1_16!F122), 2)</f>
        <v>1</v>
      </c>
      <c r="M25" s="10">
        <f>MOD(VALUE(MID(R0_L0!$C$83,$D20,1)) + VALUE(K1_16!G122), 2)</f>
        <v>0</v>
      </c>
      <c r="N25" s="10">
        <f>MOD(VALUE(MID(R0_L0!$C$84,$D20,1)) + VALUE(K1_16!H122), 2)</f>
        <v>0</v>
      </c>
      <c r="O25" s="10">
        <f>MOD(VALUE(MID(R0_L0!$C$85,$D20,1)) + VALUE(K1_16!I122), 2)</f>
        <v>1</v>
      </c>
      <c r="P25" s="10">
        <f>MOD(VALUE(MID(R0_L0!$C$86,$D20,1)) + VALUE(K1_16!J122), 2)</f>
        <v>0</v>
      </c>
      <c r="Q25" s="10">
        <f>MOD(VALUE(MID(R0_L0!$C$87,$D20,1)) + VALUE(K1_16!K122), 2)</f>
        <v>0</v>
      </c>
      <c r="R25" s="10">
        <f>MOD(VALUE(MID(R0_L0!$C$88,$D20,1)) + VALUE(K1_16!L122), 2)</f>
        <v>0</v>
      </c>
      <c r="S25" s="10">
        <f>MOD(VALUE(MID(R0_L0!$C$89,$D20,1)) + VALUE(K1_16!M122), 2)</f>
        <v>0</v>
      </c>
      <c r="T25" s="10">
        <f>MOD(VALUE(MID(R0_L0!$C$90,$D20,1)) + VALUE(K1_16!N122), 2)</f>
        <v>0</v>
      </c>
      <c r="U25" s="10">
        <f>MOD(VALUE(MID(R0_L0!$C$91,$D20,1)) + VALUE(K1_16!O122), 2)</f>
        <v>0</v>
      </c>
      <c r="V25" s="10">
        <f>MOD(VALUE(MID(R0_L0!$C$92,$D20,1)) + VALUE(K1_16!P122), 2)</f>
        <v>1</v>
      </c>
      <c r="W25" s="10">
        <f>MOD(VALUE(MID(R0_L0!$C$93,$D20,1)) + VALUE(K1_16!Q122), 2)</f>
        <v>1</v>
      </c>
      <c r="Z25" t="s">
        <v>128</v>
      </c>
      <c r="AA25" t="str">
        <f t="shared" si="1"/>
        <v>1</v>
      </c>
    </row>
    <row r="26" spans="1:27" x14ac:dyDescent="0.3">
      <c r="A26" s="4">
        <v>21</v>
      </c>
      <c r="B26" s="4">
        <v>30</v>
      </c>
      <c r="C26" s="5" t="str">
        <f t="shared" si="0"/>
        <v>1</v>
      </c>
      <c r="D26" s="4">
        <v>14</v>
      </c>
      <c r="E26" s="4">
        <v>54</v>
      </c>
      <c r="H26" s="3">
        <f>MOD(VALUE(MID($Q$8,D21,1)) + VALUE(K1_16!$B123), 2)</f>
        <v>0</v>
      </c>
      <c r="I26" s="10">
        <f>MOD(VALUE(MID(R0_L0!$C$79,D21,1)) + VALUE(K1_16!$C123), 2)</f>
        <v>1</v>
      </c>
      <c r="J26" s="10">
        <f>MOD(VALUE(MID(R0_L0!$C$80,$D21,1)) + VALUE(K1_16!D123), 2)</f>
        <v>0</v>
      </c>
      <c r="K26" s="10">
        <f>MOD(VALUE(MID(R0_L0!$C$81,$D21,1)) + VALUE(K1_16!E123), 2)</f>
        <v>1</v>
      </c>
      <c r="L26" s="10">
        <f>MOD(VALUE(MID(R0_L0!$C$82,$D21,1)) + VALUE(K1_16!F123), 2)</f>
        <v>0</v>
      </c>
      <c r="M26" s="10">
        <f>MOD(VALUE(MID(R0_L0!$C$83,$D21,1)) + VALUE(K1_16!G123), 2)</f>
        <v>0</v>
      </c>
      <c r="N26" s="10">
        <f>MOD(VALUE(MID(R0_L0!$C$84,$D21,1)) + VALUE(K1_16!H123), 2)</f>
        <v>0</v>
      </c>
      <c r="O26" s="10">
        <f>MOD(VALUE(MID(R0_L0!$C$85,$D21,1)) + VALUE(K1_16!I123), 2)</f>
        <v>1</v>
      </c>
      <c r="P26" s="10">
        <f>MOD(VALUE(MID(R0_L0!$C$86,$D21,1)) + VALUE(K1_16!J123), 2)</f>
        <v>0</v>
      </c>
      <c r="Q26" s="10">
        <f>MOD(VALUE(MID(R0_L0!$C$87,$D21,1)) + VALUE(K1_16!K123), 2)</f>
        <v>0</v>
      </c>
      <c r="R26" s="10">
        <f>MOD(VALUE(MID(R0_L0!$C$88,$D21,1)) + VALUE(K1_16!L123), 2)</f>
        <v>0</v>
      </c>
      <c r="S26" s="10">
        <f>MOD(VALUE(MID(R0_L0!$C$89,$D21,1)) + VALUE(K1_16!M123), 2)</f>
        <v>1</v>
      </c>
      <c r="T26" s="10">
        <f>MOD(VALUE(MID(R0_L0!$C$90,$D21,1)) + VALUE(K1_16!N123), 2)</f>
        <v>0</v>
      </c>
      <c r="U26" s="10">
        <f>MOD(VALUE(MID(R0_L0!$C$91,$D21,1)) + VALUE(K1_16!O123), 2)</f>
        <v>0</v>
      </c>
      <c r="V26" s="10">
        <f>MOD(VALUE(MID(R0_L0!$C$92,$D21,1)) + VALUE(K1_16!P123), 2)</f>
        <v>1</v>
      </c>
      <c r="W26" s="10">
        <f>MOD(VALUE(MID(R0_L0!$C$93,$D21,1)) + VALUE(K1_16!Q123), 2)</f>
        <v>1</v>
      </c>
      <c r="Z26" t="s">
        <v>129</v>
      </c>
      <c r="AA26" t="str">
        <f t="shared" si="1"/>
        <v>0</v>
      </c>
    </row>
    <row r="27" spans="1:27" x14ac:dyDescent="0.3">
      <c r="A27" s="4">
        <v>22</v>
      </c>
      <c r="B27" s="4">
        <v>22</v>
      </c>
      <c r="C27" s="5" t="str">
        <f t="shared" si="0"/>
        <v>1</v>
      </c>
      <c r="D27" s="4">
        <v>15</v>
      </c>
      <c r="E27" s="4">
        <v>22</v>
      </c>
      <c r="H27" s="3">
        <f>MOD(VALUE(MID($Q$8,D22,1)) + VALUE(K1_16!$B124), 2)</f>
        <v>0</v>
      </c>
      <c r="I27" s="10">
        <f>MOD(VALUE(MID(R0_L0!$C$79,D22,1)) + VALUE(K1_16!$C124), 2)</f>
        <v>1</v>
      </c>
      <c r="J27" s="10">
        <f>MOD(VALUE(MID(R0_L0!$C$80,$D22,1)) + VALUE(K1_16!D124), 2)</f>
        <v>0</v>
      </c>
      <c r="K27" s="10">
        <f>MOD(VALUE(MID(R0_L0!$C$81,$D22,1)) + VALUE(K1_16!E124), 2)</f>
        <v>0</v>
      </c>
      <c r="L27" s="10">
        <f>MOD(VALUE(MID(R0_L0!$C$82,$D22,1)) + VALUE(K1_16!F124), 2)</f>
        <v>1</v>
      </c>
      <c r="M27" s="10">
        <f>MOD(VALUE(MID(R0_L0!$C$83,$D22,1)) + VALUE(K1_16!G124), 2)</f>
        <v>0</v>
      </c>
      <c r="N27" s="10">
        <f>MOD(VALUE(MID(R0_L0!$C$84,$D22,1)) + VALUE(K1_16!H124), 2)</f>
        <v>0</v>
      </c>
      <c r="O27" s="10">
        <f>MOD(VALUE(MID(R0_L0!$C$85,$D22,1)) + VALUE(K1_16!I124), 2)</f>
        <v>1</v>
      </c>
      <c r="P27" s="10">
        <f>MOD(VALUE(MID(R0_L0!$C$86,$D22,1)) + VALUE(K1_16!J124), 2)</f>
        <v>1</v>
      </c>
      <c r="Q27" s="10">
        <f>MOD(VALUE(MID(R0_L0!$C$87,$D22,1)) + VALUE(K1_16!K124), 2)</f>
        <v>1</v>
      </c>
      <c r="R27" s="10">
        <f>MOD(VALUE(MID(R0_L0!$C$88,$D22,1)) + VALUE(K1_16!L124), 2)</f>
        <v>0</v>
      </c>
      <c r="S27" s="10">
        <f>MOD(VALUE(MID(R0_L0!$C$89,$D22,1)) + VALUE(K1_16!M124), 2)</f>
        <v>1</v>
      </c>
      <c r="T27" s="10">
        <f>MOD(VALUE(MID(R0_L0!$C$90,$D22,1)) + VALUE(K1_16!N124), 2)</f>
        <v>0</v>
      </c>
      <c r="U27" s="10">
        <f>MOD(VALUE(MID(R0_L0!$C$91,$D22,1)) + VALUE(K1_16!O124), 2)</f>
        <v>0</v>
      </c>
      <c r="V27" s="10">
        <f>MOD(VALUE(MID(R0_L0!$C$92,$D22,1)) + VALUE(K1_16!P124), 2)</f>
        <v>1</v>
      </c>
      <c r="W27" s="10">
        <f>MOD(VALUE(MID(R0_L0!$C$93,$D22,1)) + VALUE(K1_16!Q124), 2)</f>
        <v>0</v>
      </c>
      <c r="Z27" t="s">
        <v>129</v>
      </c>
      <c r="AA27" t="str">
        <f t="shared" si="1"/>
        <v>1</v>
      </c>
    </row>
    <row r="28" spans="1:27" x14ac:dyDescent="0.3">
      <c r="A28" s="4">
        <v>23</v>
      </c>
      <c r="B28" s="4">
        <v>14</v>
      </c>
      <c r="C28" s="5" t="str">
        <f t="shared" si="0"/>
        <v>0</v>
      </c>
      <c r="D28" s="4">
        <v>16</v>
      </c>
      <c r="E28" s="4">
        <v>62</v>
      </c>
      <c r="H28" s="3">
        <f>MOD(VALUE(MID($Q$8,D23,1)) + VALUE(K1_16!$B125), 2)</f>
        <v>1</v>
      </c>
      <c r="I28" s="10">
        <f>MOD(VALUE(MID(R0_L0!$C$79,D23,1)) + VALUE(K1_16!$C125), 2)</f>
        <v>0</v>
      </c>
      <c r="J28" s="10">
        <f>MOD(VALUE(MID(R0_L0!$C$80,$D23,1)) + VALUE(K1_16!D125), 2)</f>
        <v>1</v>
      </c>
      <c r="K28" s="10">
        <f>MOD(VALUE(MID(R0_L0!$C$81,$D23,1)) + VALUE(K1_16!E125), 2)</f>
        <v>1</v>
      </c>
      <c r="L28" s="10">
        <f>MOD(VALUE(MID(R0_L0!$C$82,$D23,1)) + VALUE(K1_16!F125), 2)</f>
        <v>0</v>
      </c>
      <c r="M28" s="10">
        <f>MOD(VALUE(MID(R0_L0!$C$83,$D23,1)) + VALUE(K1_16!G125), 2)</f>
        <v>0</v>
      </c>
      <c r="N28" s="10">
        <f>MOD(VALUE(MID(R0_L0!$C$84,$D23,1)) + VALUE(K1_16!H125), 2)</f>
        <v>0</v>
      </c>
      <c r="O28" s="10">
        <f>MOD(VALUE(MID(R0_L0!$C$85,$D23,1)) + VALUE(K1_16!I125), 2)</f>
        <v>0</v>
      </c>
      <c r="P28" s="10">
        <f>MOD(VALUE(MID(R0_L0!$C$86,$D23,1)) + VALUE(K1_16!J125), 2)</f>
        <v>0</v>
      </c>
      <c r="Q28" s="10">
        <f>MOD(VALUE(MID(R0_L0!$C$87,$D23,1)) + VALUE(K1_16!K125), 2)</f>
        <v>1</v>
      </c>
      <c r="R28" s="10">
        <f>MOD(VALUE(MID(R0_L0!$C$88,$D23,1)) + VALUE(K1_16!L125), 2)</f>
        <v>0</v>
      </c>
      <c r="S28" s="10">
        <f>MOD(VALUE(MID(R0_L0!$C$89,$D23,1)) + VALUE(K1_16!M125), 2)</f>
        <v>1</v>
      </c>
      <c r="T28" s="10">
        <f>MOD(VALUE(MID(R0_L0!$C$90,$D23,1)) + VALUE(K1_16!N125), 2)</f>
        <v>1</v>
      </c>
      <c r="U28" s="10">
        <f>MOD(VALUE(MID(R0_L0!$C$91,$D23,1)) + VALUE(K1_16!O125), 2)</f>
        <v>1</v>
      </c>
      <c r="V28" s="10">
        <f>MOD(VALUE(MID(R0_L0!$C$92,$D23,1)) + VALUE(K1_16!P125), 2)</f>
        <v>1</v>
      </c>
      <c r="W28" s="10">
        <f>MOD(VALUE(MID(R0_L0!$C$93,$D23,1)) + VALUE(K1_16!Q125), 2)</f>
        <v>0</v>
      </c>
      <c r="Z28" t="s">
        <v>129</v>
      </c>
      <c r="AA28" t="str">
        <f t="shared" si="1"/>
        <v>0</v>
      </c>
    </row>
    <row r="29" spans="1:27" x14ac:dyDescent="0.3">
      <c r="A29" s="4">
        <v>24</v>
      </c>
      <c r="B29" s="4">
        <v>6</v>
      </c>
      <c r="C29" s="5" t="str">
        <f t="shared" si="0"/>
        <v>0</v>
      </c>
      <c r="D29" s="4">
        <v>17</v>
      </c>
      <c r="E29" s="4">
        <v>30</v>
      </c>
      <c r="H29" s="3">
        <f>MOD(VALUE(MID($Q$8,D24,1)) + VALUE(K1_16!$B126), 2)</f>
        <v>0</v>
      </c>
      <c r="I29" s="10">
        <f>MOD(VALUE(MID(R0_L0!$C$79,D24,1)) + VALUE(K1_16!$C126), 2)</f>
        <v>0</v>
      </c>
      <c r="J29" s="10">
        <f>MOD(VALUE(MID(R0_L0!$C$80,$D24,1)) + VALUE(K1_16!D126), 2)</f>
        <v>1</v>
      </c>
      <c r="K29" s="10">
        <f>MOD(VALUE(MID(R0_L0!$C$81,$D24,1)) + VALUE(K1_16!E126), 2)</f>
        <v>1</v>
      </c>
      <c r="L29" s="10">
        <f>MOD(VALUE(MID(R0_L0!$C$82,$D24,1)) + VALUE(K1_16!F126), 2)</f>
        <v>1</v>
      </c>
      <c r="M29" s="10">
        <f>MOD(VALUE(MID(R0_L0!$C$83,$D24,1)) + VALUE(K1_16!G126), 2)</f>
        <v>0</v>
      </c>
      <c r="N29" s="10">
        <f>MOD(VALUE(MID(R0_L0!$C$84,$D24,1)) + VALUE(K1_16!H126), 2)</f>
        <v>0</v>
      </c>
      <c r="O29" s="10">
        <f>MOD(VALUE(MID(R0_L0!$C$85,$D24,1)) + VALUE(K1_16!I126), 2)</f>
        <v>0</v>
      </c>
      <c r="P29" s="10">
        <f>MOD(VALUE(MID(R0_L0!$C$86,$D24,1)) + VALUE(K1_16!J126), 2)</f>
        <v>1</v>
      </c>
      <c r="Q29" s="10">
        <f>MOD(VALUE(MID(R0_L0!$C$87,$D24,1)) + VALUE(K1_16!K126), 2)</f>
        <v>1</v>
      </c>
      <c r="R29" s="10">
        <f>MOD(VALUE(MID(R0_L0!$C$88,$D24,1)) + VALUE(K1_16!L126), 2)</f>
        <v>1</v>
      </c>
      <c r="S29" s="10">
        <f>MOD(VALUE(MID(R0_L0!$C$89,$D24,1)) + VALUE(K1_16!M126), 2)</f>
        <v>1</v>
      </c>
      <c r="T29" s="10">
        <f>MOD(VALUE(MID(R0_L0!$C$90,$D24,1)) + VALUE(K1_16!N126), 2)</f>
        <v>1</v>
      </c>
      <c r="U29" s="10">
        <f>MOD(VALUE(MID(R0_L0!$C$91,$D24,1)) + VALUE(K1_16!O126), 2)</f>
        <v>0</v>
      </c>
      <c r="V29" s="10">
        <f>MOD(VALUE(MID(R0_L0!$C$92,$D24,1)) + VALUE(K1_16!P126), 2)</f>
        <v>0</v>
      </c>
      <c r="W29" s="10">
        <f>MOD(VALUE(MID(R0_L0!$C$93,$D24,1)) + VALUE(K1_16!Q126), 2)</f>
        <v>0</v>
      </c>
      <c r="Z29" t="s">
        <v>128</v>
      </c>
      <c r="AA29" t="str">
        <f t="shared" si="1"/>
        <v>1</v>
      </c>
    </row>
    <row r="30" spans="1:27" x14ac:dyDescent="0.3">
      <c r="A30" s="4">
        <v>25</v>
      </c>
      <c r="B30" s="4">
        <v>64</v>
      </c>
      <c r="C30" s="5" t="str">
        <f t="shared" si="0"/>
        <v>0</v>
      </c>
      <c r="D30" s="4">
        <v>16</v>
      </c>
      <c r="E30" s="4">
        <v>37</v>
      </c>
      <c r="H30" s="3">
        <f>MOD(VALUE(MID($Q$8,D25,1)) + VALUE(K1_16!$B127), 2)</f>
        <v>0</v>
      </c>
      <c r="I30" s="10">
        <f>MOD(VALUE(MID(R0_L0!$C$79,D25,1)) + VALUE(K1_16!$C127), 2)</f>
        <v>0</v>
      </c>
      <c r="J30" s="10">
        <f>MOD(VALUE(MID(R0_L0!$C$80,$D25,1)) + VALUE(K1_16!D127), 2)</f>
        <v>1</v>
      </c>
      <c r="K30" s="10">
        <f>MOD(VALUE(MID(R0_L0!$C$81,$D25,1)) + VALUE(K1_16!E127), 2)</f>
        <v>1</v>
      </c>
      <c r="L30" s="10">
        <f>MOD(VALUE(MID(R0_L0!$C$82,$D25,1)) + VALUE(K1_16!F127), 2)</f>
        <v>0</v>
      </c>
      <c r="M30" s="10">
        <f>MOD(VALUE(MID(R0_L0!$C$83,$D25,1)) + VALUE(K1_16!G127), 2)</f>
        <v>1</v>
      </c>
      <c r="N30" s="10">
        <f>MOD(VALUE(MID(R0_L0!$C$84,$D25,1)) + VALUE(K1_16!H127), 2)</f>
        <v>1</v>
      </c>
      <c r="O30" s="10">
        <f>MOD(VALUE(MID(R0_L0!$C$85,$D25,1)) + VALUE(K1_16!I127), 2)</f>
        <v>1</v>
      </c>
      <c r="P30" s="10">
        <f>MOD(VALUE(MID(R0_L0!$C$86,$D25,1)) + VALUE(K1_16!J127), 2)</f>
        <v>1</v>
      </c>
      <c r="Q30" s="10">
        <f>MOD(VALUE(MID(R0_L0!$C$87,$D25,1)) + VALUE(K1_16!K127), 2)</f>
        <v>0</v>
      </c>
      <c r="R30" s="10">
        <f>MOD(VALUE(MID(R0_L0!$C$88,$D25,1)) + VALUE(K1_16!L127), 2)</f>
        <v>1</v>
      </c>
      <c r="S30" s="10">
        <f>MOD(VALUE(MID(R0_L0!$C$89,$D25,1)) + VALUE(K1_16!M127), 2)</f>
        <v>1</v>
      </c>
      <c r="T30" s="10">
        <f>MOD(VALUE(MID(R0_L0!$C$90,$D25,1)) + VALUE(K1_16!N127), 2)</f>
        <v>1</v>
      </c>
      <c r="U30" s="10">
        <f>MOD(VALUE(MID(R0_L0!$C$91,$D25,1)) + VALUE(K1_16!O127), 2)</f>
        <v>0</v>
      </c>
      <c r="V30" s="10">
        <f>MOD(VALUE(MID(R0_L0!$C$92,$D25,1)) + VALUE(K1_16!P127), 2)</f>
        <v>1</v>
      </c>
      <c r="W30" s="10">
        <f>MOD(VALUE(MID(R0_L0!$C$93,$D25,1)) + VALUE(K1_16!Q127), 2)</f>
        <v>0</v>
      </c>
      <c r="Z30" t="s">
        <v>129</v>
      </c>
      <c r="AA30" t="str">
        <f t="shared" si="1"/>
        <v>0</v>
      </c>
    </row>
    <row r="31" spans="1:27" x14ac:dyDescent="0.3">
      <c r="A31" s="4">
        <v>26</v>
      </c>
      <c r="B31" s="4">
        <v>56</v>
      </c>
      <c r="C31" s="5" t="str">
        <f t="shared" si="0"/>
        <v>0</v>
      </c>
      <c r="D31" s="4">
        <v>17</v>
      </c>
      <c r="E31" s="4">
        <v>5</v>
      </c>
      <c r="H31" s="3">
        <f>MOD(VALUE(MID($Q$8,D26,1)) + VALUE(K1_16!$B128), 2)</f>
        <v>0</v>
      </c>
      <c r="I31" s="10">
        <f>MOD(VALUE(MID(R0_L0!$C$79,D26,1)) + VALUE(K1_16!$C128), 2)</f>
        <v>0</v>
      </c>
      <c r="J31" s="10">
        <f>MOD(VALUE(MID(R0_L0!$C$80,$D26,1)) + VALUE(K1_16!D128), 2)</f>
        <v>0</v>
      </c>
      <c r="K31" s="10">
        <f>MOD(VALUE(MID(R0_L0!$C$81,$D26,1)) + VALUE(K1_16!E128), 2)</f>
        <v>1</v>
      </c>
      <c r="L31" s="10">
        <f>MOD(VALUE(MID(R0_L0!$C$82,$D26,1)) + VALUE(K1_16!F128), 2)</f>
        <v>1</v>
      </c>
      <c r="M31" s="10">
        <f>MOD(VALUE(MID(R0_L0!$C$83,$D26,1)) + VALUE(K1_16!G128), 2)</f>
        <v>0</v>
      </c>
      <c r="N31" s="10">
        <f>MOD(VALUE(MID(R0_L0!$C$84,$D26,1)) + VALUE(K1_16!H128), 2)</f>
        <v>0</v>
      </c>
      <c r="O31" s="10">
        <f>MOD(VALUE(MID(R0_L0!$C$85,$D26,1)) + VALUE(K1_16!I128), 2)</f>
        <v>0</v>
      </c>
      <c r="P31" s="10">
        <f>MOD(VALUE(MID(R0_L0!$C$86,$D26,1)) + VALUE(K1_16!J128), 2)</f>
        <v>0</v>
      </c>
      <c r="Q31" s="10">
        <f>MOD(VALUE(MID(R0_L0!$C$87,$D26,1)) + VALUE(K1_16!K128), 2)</f>
        <v>0</v>
      </c>
      <c r="R31" s="10">
        <f>MOD(VALUE(MID(R0_L0!$C$88,$D26,1)) + VALUE(K1_16!L128), 2)</f>
        <v>0</v>
      </c>
      <c r="S31" s="10">
        <f>MOD(VALUE(MID(R0_L0!$C$89,$D26,1)) + VALUE(K1_16!M128), 2)</f>
        <v>1</v>
      </c>
      <c r="T31" s="10">
        <f>MOD(VALUE(MID(R0_L0!$C$90,$D26,1)) + VALUE(K1_16!N128), 2)</f>
        <v>1</v>
      </c>
      <c r="U31" s="10">
        <f>MOD(VALUE(MID(R0_L0!$C$91,$D26,1)) + VALUE(K1_16!O128), 2)</f>
        <v>0</v>
      </c>
      <c r="V31" s="10">
        <f>MOD(VALUE(MID(R0_L0!$C$92,$D26,1)) + VALUE(K1_16!P128), 2)</f>
        <v>0</v>
      </c>
      <c r="W31" s="10">
        <f>MOD(VALUE(MID(R0_L0!$C$93,$D26,1)) + VALUE(K1_16!Q128), 2)</f>
        <v>0</v>
      </c>
      <c r="Z31" t="s">
        <v>129</v>
      </c>
      <c r="AA31" t="str">
        <f t="shared" si="1"/>
        <v>1</v>
      </c>
    </row>
    <row r="32" spans="1:27" x14ac:dyDescent="0.3">
      <c r="A32" s="4">
        <v>27</v>
      </c>
      <c r="B32" s="4">
        <v>48</v>
      </c>
      <c r="C32" s="5" t="str">
        <f t="shared" si="0"/>
        <v>0</v>
      </c>
      <c r="D32" s="4">
        <v>18</v>
      </c>
      <c r="E32" s="4">
        <v>45</v>
      </c>
      <c r="H32" s="3">
        <f>MOD(VALUE(MID($Q$8,D27,1)) + VALUE(K1_16!$B129), 2)</f>
        <v>1</v>
      </c>
      <c r="I32" s="10">
        <f>MOD(VALUE(MID(R0_L0!$C$79,D27,1)) + VALUE(K1_16!$C129), 2)</f>
        <v>1</v>
      </c>
      <c r="J32" s="10">
        <f>MOD(VALUE(MID(R0_L0!$C$80,$D27,1)) + VALUE(K1_16!D129), 2)</f>
        <v>0</v>
      </c>
      <c r="K32" s="10">
        <f>MOD(VALUE(MID(R0_L0!$C$81,$D27,1)) + VALUE(K1_16!E129), 2)</f>
        <v>0</v>
      </c>
      <c r="L32" s="10">
        <f>MOD(VALUE(MID(R0_L0!$C$82,$D27,1)) + VALUE(K1_16!F129), 2)</f>
        <v>1</v>
      </c>
      <c r="M32" s="10">
        <f>MOD(VALUE(MID(R0_L0!$C$83,$D27,1)) + VALUE(K1_16!G129), 2)</f>
        <v>0</v>
      </c>
      <c r="N32" s="10">
        <f>MOD(VALUE(MID(R0_L0!$C$84,$D27,1)) + VALUE(K1_16!H129), 2)</f>
        <v>1</v>
      </c>
      <c r="O32" s="10">
        <f>MOD(VALUE(MID(R0_L0!$C$85,$D27,1)) + VALUE(K1_16!I129), 2)</f>
        <v>1</v>
      </c>
      <c r="P32" s="10">
        <f>MOD(VALUE(MID(R0_L0!$C$86,$D27,1)) + VALUE(K1_16!J129), 2)</f>
        <v>0</v>
      </c>
      <c r="Q32" s="10">
        <f>MOD(VALUE(MID(R0_L0!$C$87,$D27,1)) + VALUE(K1_16!K129), 2)</f>
        <v>1</v>
      </c>
      <c r="R32" s="10">
        <f>MOD(VALUE(MID(R0_L0!$C$88,$D27,1)) + VALUE(K1_16!L129), 2)</f>
        <v>0</v>
      </c>
      <c r="S32" s="10">
        <f>MOD(VALUE(MID(R0_L0!$C$89,$D27,1)) + VALUE(K1_16!M129), 2)</f>
        <v>0</v>
      </c>
      <c r="T32" s="10">
        <f>MOD(VALUE(MID(R0_L0!$C$90,$D27,1)) + VALUE(K1_16!N129), 2)</f>
        <v>1</v>
      </c>
      <c r="U32" s="10">
        <f>MOD(VALUE(MID(R0_L0!$C$91,$D27,1)) + VALUE(K1_16!O129), 2)</f>
        <v>1</v>
      </c>
      <c r="V32" s="10">
        <f>MOD(VALUE(MID(R0_L0!$C$92,$D27,1)) + VALUE(K1_16!P129), 2)</f>
        <v>0</v>
      </c>
      <c r="W32" s="10">
        <f>MOD(VALUE(MID(R0_L0!$C$93,$D27,1)) + VALUE(K1_16!Q129), 2)</f>
        <v>1</v>
      </c>
      <c r="Z32" t="s">
        <v>129</v>
      </c>
      <c r="AA32" t="str">
        <f t="shared" si="1"/>
        <v>0</v>
      </c>
    </row>
    <row r="33" spans="1:27" x14ac:dyDescent="0.3">
      <c r="A33" s="4">
        <v>28</v>
      </c>
      <c r="B33" s="4">
        <v>40</v>
      </c>
      <c r="C33" s="5" t="str">
        <f t="shared" si="0"/>
        <v>0</v>
      </c>
      <c r="D33" s="4">
        <v>19</v>
      </c>
      <c r="E33" s="4">
        <v>13</v>
      </c>
      <c r="H33" s="3">
        <f>MOD(VALUE(MID($Q$8,D28,1)) + VALUE(K1_16!$B130), 2)</f>
        <v>1</v>
      </c>
      <c r="I33" s="10">
        <f>MOD(VALUE(MID(R0_L0!$C$79,D28,1)) + VALUE(K1_16!$C130), 2)</f>
        <v>1</v>
      </c>
      <c r="J33" s="10">
        <f>MOD(VALUE(MID(R0_L0!$C$80,$D28,1)) + VALUE(K1_16!D130), 2)</f>
        <v>1</v>
      </c>
      <c r="K33" s="10">
        <f>MOD(VALUE(MID(R0_L0!$C$81,$D28,1)) + VALUE(K1_16!E130), 2)</f>
        <v>1</v>
      </c>
      <c r="L33" s="10">
        <f>MOD(VALUE(MID(R0_L0!$C$82,$D28,1)) + VALUE(K1_16!F130), 2)</f>
        <v>0</v>
      </c>
      <c r="M33" s="10">
        <f>MOD(VALUE(MID(R0_L0!$C$83,$D28,1)) + VALUE(K1_16!G130), 2)</f>
        <v>1</v>
      </c>
      <c r="N33" s="10">
        <f>MOD(VALUE(MID(R0_L0!$C$84,$D28,1)) + VALUE(K1_16!H130), 2)</f>
        <v>0</v>
      </c>
      <c r="O33" s="10">
        <f>MOD(VALUE(MID(R0_L0!$C$85,$D28,1)) + VALUE(K1_16!I130), 2)</f>
        <v>0</v>
      </c>
      <c r="P33" s="10">
        <f>MOD(VALUE(MID(R0_L0!$C$86,$D28,1)) + VALUE(K1_16!J130), 2)</f>
        <v>1</v>
      </c>
      <c r="Q33" s="10">
        <f>MOD(VALUE(MID(R0_L0!$C$87,$D28,1)) + VALUE(K1_16!K130), 2)</f>
        <v>0</v>
      </c>
      <c r="R33" s="10">
        <f>MOD(VALUE(MID(R0_L0!$C$88,$D28,1)) + VALUE(K1_16!L130), 2)</f>
        <v>0</v>
      </c>
      <c r="S33" s="10">
        <f>MOD(VALUE(MID(R0_L0!$C$89,$D28,1)) + VALUE(K1_16!M130), 2)</f>
        <v>1</v>
      </c>
      <c r="T33" s="10">
        <f>MOD(VALUE(MID(R0_L0!$C$90,$D28,1)) + VALUE(K1_16!N130), 2)</f>
        <v>0</v>
      </c>
      <c r="U33" s="10">
        <f>MOD(VALUE(MID(R0_L0!$C$91,$D28,1)) + VALUE(K1_16!O130), 2)</f>
        <v>0</v>
      </c>
      <c r="V33" s="10">
        <f>MOD(VALUE(MID(R0_L0!$C$92,$D28,1)) + VALUE(K1_16!P130), 2)</f>
        <v>0</v>
      </c>
      <c r="W33" s="10">
        <f>MOD(VALUE(MID(R0_L0!$C$93,$D28,1)) + VALUE(K1_16!Q130), 2)</f>
        <v>1</v>
      </c>
      <c r="Z33" t="s">
        <v>129</v>
      </c>
      <c r="AA33" t="str">
        <f t="shared" si="1"/>
        <v>0</v>
      </c>
    </row>
    <row r="34" spans="1:27" x14ac:dyDescent="0.3">
      <c r="A34" s="4">
        <v>29</v>
      </c>
      <c r="B34" s="4">
        <v>32</v>
      </c>
      <c r="C34" s="5" t="str">
        <f t="shared" si="0"/>
        <v>0</v>
      </c>
      <c r="D34" s="4">
        <v>20</v>
      </c>
      <c r="E34" s="4">
        <v>53</v>
      </c>
      <c r="H34" s="3">
        <f>MOD(VALUE(MID($Q$8,D29,1)) + VALUE(K1_16!$B131), 2)</f>
        <v>0</v>
      </c>
      <c r="I34" s="10">
        <f>MOD(VALUE(MID(R0_L0!$C$79,D29,1)) + VALUE(K1_16!$C131), 2)</f>
        <v>0</v>
      </c>
      <c r="J34" s="10">
        <f>MOD(VALUE(MID(R0_L0!$C$80,$D29,1)) + VALUE(K1_16!D131), 2)</f>
        <v>0</v>
      </c>
      <c r="K34" s="10">
        <f>MOD(VALUE(MID(R0_L0!$C$81,$D29,1)) + VALUE(K1_16!E131), 2)</f>
        <v>1</v>
      </c>
      <c r="L34" s="10">
        <f>MOD(VALUE(MID(R0_L0!$C$82,$D29,1)) + VALUE(K1_16!F131), 2)</f>
        <v>1</v>
      </c>
      <c r="M34" s="10">
        <f>MOD(VALUE(MID(R0_L0!$C$83,$D29,1)) + VALUE(K1_16!G131), 2)</f>
        <v>1</v>
      </c>
      <c r="N34" s="10">
        <f>MOD(VALUE(MID(R0_L0!$C$84,$D29,1)) + VALUE(K1_16!H131), 2)</f>
        <v>1</v>
      </c>
      <c r="O34" s="10">
        <f>MOD(VALUE(MID(R0_L0!$C$85,$D29,1)) + VALUE(K1_16!I131), 2)</f>
        <v>1</v>
      </c>
      <c r="P34" s="10">
        <f>MOD(VALUE(MID(R0_L0!$C$86,$D29,1)) + VALUE(K1_16!J131), 2)</f>
        <v>0</v>
      </c>
      <c r="Q34" s="10">
        <f>MOD(VALUE(MID(R0_L0!$C$87,$D29,1)) + VALUE(K1_16!K131), 2)</f>
        <v>0</v>
      </c>
      <c r="R34" s="10">
        <f>MOD(VALUE(MID(R0_L0!$C$88,$D29,1)) + VALUE(K1_16!L131), 2)</f>
        <v>0</v>
      </c>
      <c r="S34" s="10">
        <f>MOD(VALUE(MID(R0_L0!$C$89,$D29,1)) + VALUE(K1_16!M131), 2)</f>
        <v>0</v>
      </c>
      <c r="T34" s="10">
        <f>MOD(VALUE(MID(R0_L0!$C$90,$D29,1)) + VALUE(K1_16!N131), 2)</f>
        <v>1</v>
      </c>
      <c r="U34" s="10">
        <f>MOD(VALUE(MID(R0_L0!$C$91,$D29,1)) + VALUE(K1_16!O131), 2)</f>
        <v>0</v>
      </c>
      <c r="V34" s="10">
        <f>MOD(VALUE(MID(R0_L0!$C$92,$D29,1)) + VALUE(K1_16!P131), 2)</f>
        <v>1</v>
      </c>
      <c r="W34" s="10">
        <f>MOD(VALUE(MID(R0_L0!$C$93,$D29,1)) + VALUE(K1_16!Q131), 2)</f>
        <v>0</v>
      </c>
      <c r="Z34" t="s">
        <v>129</v>
      </c>
      <c r="AA34" t="str">
        <f t="shared" si="1"/>
        <v>1</v>
      </c>
    </row>
    <row r="35" spans="1:27" x14ac:dyDescent="0.3">
      <c r="A35" s="4">
        <v>30</v>
      </c>
      <c r="B35" s="4">
        <v>24</v>
      </c>
      <c r="C35" s="5" t="str">
        <f t="shared" si="0"/>
        <v>0</v>
      </c>
      <c r="D35" s="4">
        <v>21</v>
      </c>
      <c r="E35" s="4">
        <v>21</v>
      </c>
      <c r="H35" s="3">
        <f>MOD(VALUE(MID($Q$8,D30,1)) + VALUE(K1_16!$B132), 2)</f>
        <v>1</v>
      </c>
      <c r="I35" s="10">
        <f>MOD(VALUE(MID(R0_L0!$C$79,D30,1)) + VALUE(K1_16!$C132), 2)</f>
        <v>1</v>
      </c>
      <c r="J35" s="10">
        <f>MOD(VALUE(MID(R0_L0!$C$80,$D30,1)) + VALUE(K1_16!D132), 2)</f>
        <v>1</v>
      </c>
      <c r="K35" s="10">
        <f>MOD(VALUE(MID(R0_L0!$C$81,$D30,1)) + VALUE(K1_16!E132), 2)</f>
        <v>1</v>
      </c>
      <c r="L35" s="10">
        <f>MOD(VALUE(MID(R0_L0!$C$82,$D30,1)) + VALUE(K1_16!F132), 2)</f>
        <v>1</v>
      </c>
      <c r="M35" s="10">
        <f>MOD(VALUE(MID(R0_L0!$C$83,$D30,1)) + VALUE(K1_16!G132), 2)</f>
        <v>0</v>
      </c>
      <c r="N35" s="10">
        <f>MOD(VALUE(MID(R0_L0!$C$84,$D30,1)) + VALUE(K1_16!H132), 2)</f>
        <v>0</v>
      </c>
      <c r="O35" s="10">
        <f>MOD(VALUE(MID(R0_L0!$C$85,$D30,1)) + VALUE(K1_16!I132), 2)</f>
        <v>0</v>
      </c>
      <c r="P35" s="10">
        <f>MOD(VALUE(MID(R0_L0!$C$86,$D30,1)) + VALUE(K1_16!J132), 2)</f>
        <v>0</v>
      </c>
      <c r="Q35" s="10">
        <f>MOD(VALUE(MID(R0_L0!$C$87,$D30,1)) + VALUE(K1_16!K132), 2)</f>
        <v>1</v>
      </c>
      <c r="R35" s="10">
        <f>MOD(VALUE(MID(R0_L0!$C$88,$D30,1)) + VALUE(K1_16!L132), 2)</f>
        <v>1</v>
      </c>
      <c r="S35" s="10">
        <f>MOD(VALUE(MID(R0_L0!$C$89,$D30,1)) + VALUE(K1_16!M132), 2)</f>
        <v>1</v>
      </c>
      <c r="T35" s="10">
        <f>MOD(VALUE(MID(R0_L0!$C$90,$D30,1)) + VALUE(K1_16!N132), 2)</f>
        <v>0</v>
      </c>
      <c r="U35" s="10">
        <f>MOD(VALUE(MID(R0_L0!$C$91,$D30,1)) + VALUE(K1_16!O132), 2)</f>
        <v>0</v>
      </c>
      <c r="V35" s="10">
        <f>MOD(VALUE(MID(R0_L0!$C$92,$D30,1)) + VALUE(K1_16!P132), 2)</f>
        <v>0</v>
      </c>
      <c r="W35" s="10">
        <f>MOD(VALUE(MID(R0_L0!$C$93,$D30,1)) + VALUE(K1_16!Q132), 2)</f>
        <v>1</v>
      </c>
      <c r="Z35" t="s">
        <v>129</v>
      </c>
      <c r="AA35" t="str">
        <f t="shared" si="1"/>
        <v>0</v>
      </c>
    </row>
    <row r="36" spans="1:27" x14ac:dyDescent="0.3">
      <c r="A36" s="4">
        <v>31</v>
      </c>
      <c r="B36" s="4">
        <v>16</v>
      </c>
      <c r="C36" s="5" t="str">
        <f t="shared" si="0"/>
        <v>0</v>
      </c>
      <c r="D36" s="4">
        <v>20</v>
      </c>
      <c r="E36" s="4">
        <v>61</v>
      </c>
      <c r="H36" s="3">
        <f>MOD(VALUE(MID($Q$8,D31,1)) + VALUE(K1_16!$B133), 2)</f>
        <v>0</v>
      </c>
      <c r="I36" s="10">
        <f>MOD(VALUE(MID(R0_L0!$C$79,D31,1)) + VALUE(K1_16!$C133), 2)</f>
        <v>1</v>
      </c>
      <c r="J36" s="10">
        <f>MOD(VALUE(MID(R0_L0!$C$80,$D31,1)) + VALUE(K1_16!D133), 2)</f>
        <v>0</v>
      </c>
      <c r="K36" s="10">
        <f>MOD(VALUE(MID(R0_L0!$C$81,$D31,1)) + VALUE(K1_16!E133), 2)</f>
        <v>1</v>
      </c>
      <c r="L36" s="10">
        <f>MOD(VALUE(MID(R0_L0!$C$82,$D31,1)) + VALUE(K1_16!F133), 2)</f>
        <v>0</v>
      </c>
      <c r="M36" s="10">
        <f>MOD(VALUE(MID(R0_L0!$C$83,$D31,1)) + VALUE(K1_16!G133), 2)</f>
        <v>1</v>
      </c>
      <c r="N36" s="10">
        <f>MOD(VALUE(MID(R0_L0!$C$84,$D31,1)) + VALUE(K1_16!H133), 2)</f>
        <v>0</v>
      </c>
      <c r="O36" s="10">
        <f>MOD(VALUE(MID(R0_L0!$C$85,$D31,1)) + VALUE(K1_16!I133), 2)</f>
        <v>0</v>
      </c>
      <c r="P36" s="10">
        <f>MOD(VALUE(MID(R0_L0!$C$86,$D31,1)) + VALUE(K1_16!J133), 2)</f>
        <v>1</v>
      </c>
      <c r="Q36" s="10">
        <f>MOD(VALUE(MID(R0_L0!$C$87,$D31,1)) + VALUE(K1_16!K133), 2)</f>
        <v>0</v>
      </c>
      <c r="R36" s="10">
        <f>MOD(VALUE(MID(R0_L0!$C$88,$D31,1)) + VALUE(K1_16!L133), 2)</f>
        <v>1</v>
      </c>
      <c r="S36" s="10">
        <f>MOD(VALUE(MID(R0_L0!$C$89,$D31,1)) + VALUE(K1_16!M133), 2)</f>
        <v>0</v>
      </c>
      <c r="T36" s="10">
        <f>MOD(VALUE(MID(R0_L0!$C$90,$D31,1)) + VALUE(K1_16!N133), 2)</f>
        <v>1</v>
      </c>
      <c r="U36" s="10">
        <f>MOD(VALUE(MID(R0_L0!$C$91,$D31,1)) + VALUE(K1_16!O133), 2)</f>
        <v>1</v>
      </c>
      <c r="V36" s="10">
        <f>MOD(VALUE(MID(R0_L0!$C$92,$D31,1)) + VALUE(K1_16!P133), 2)</f>
        <v>0</v>
      </c>
      <c r="W36" s="10">
        <f>MOD(VALUE(MID(R0_L0!$C$93,$D31,1)) + VALUE(K1_16!Q133), 2)</f>
        <v>1</v>
      </c>
      <c r="Z36" t="s">
        <v>128</v>
      </c>
      <c r="AA36" t="str">
        <f t="shared" si="1"/>
        <v>1</v>
      </c>
    </row>
    <row r="37" spans="1:27" x14ac:dyDescent="0.3">
      <c r="A37" s="4">
        <v>32</v>
      </c>
      <c r="B37" s="4">
        <v>8</v>
      </c>
      <c r="C37" s="5" t="str">
        <f t="shared" si="0"/>
        <v>0</v>
      </c>
      <c r="D37" s="4">
        <v>21</v>
      </c>
      <c r="E37" s="4">
        <v>29</v>
      </c>
      <c r="H37" s="3">
        <f>MOD(VALUE(MID($Q$8,D32,1)) + VALUE(K1_16!$B134), 2)</f>
        <v>1</v>
      </c>
      <c r="I37" s="10">
        <f>MOD(VALUE(MID(R0_L0!$C$79,D32,1)) + VALUE(K1_16!$C134), 2)</f>
        <v>1</v>
      </c>
      <c r="J37" s="10">
        <f>MOD(VALUE(MID(R0_L0!$C$80,$D32,1)) + VALUE(K1_16!D134), 2)</f>
        <v>0</v>
      </c>
      <c r="K37" s="10">
        <f>MOD(VALUE(MID(R0_L0!$C$81,$D32,1)) + VALUE(K1_16!E134), 2)</f>
        <v>1</v>
      </c>
      <c r="L37" s="10">
        <f>MOD(VALUE(MID(R0_L0!$C$82,$D32,1)) + VALUE(K1_16!F134), 2)</f>
        <v>0</v>
      </c>
      <c r="M37" s="10">
        <f>MOD(VALUE(MID(R0_L0!$C$83,$D32,1)) + VALUE(K1_16!G134), 2)</f>
        <v>1</v>
      </c>
      <c r="N37" s="10">
        <f>MOD(VALUE(MID(R0_L0!$C$84,$D32,1)) + VALUE(K1_16!H134), 2)</f>
        <v>0</v>
      </c>
      <c r="O37" s="10">
        <f>MOD(VALUE(MID(R0_L0!$C$85,$D32,1)) + VALUE(K1_16!I134), 2)</f>
        <v>1</v>
      </c>
      <c r="P37" s="10">
        <f>MOD(VALUE(MID(R0_L0!$C$86,$D32,1)) + VALUE(K1_16!J134), 2)</f>
        <v>0</v>
      </c>
      <c r="Q37" s="10">
        <f>MOD(VALUE(MID(R0_L0!$C$87,$D32,1)) + VALUE(K1_16!K134), 2)</f>
        <v>1</v>
      </c>
      <c r="R37" s="10">
        <f>MOD(VALUE(MID(R0_L0!$C$88,$D32,1)) + VALUE(K1_16!L134), 2)</f>
        <v>1</v>
      </c>
      <c r="S37" s="10">
        <f>MOD(VALUE(MID(R0_L0!$C$89,$D32,1)) + VALUE(K1_16!M134), 2)</f>
        <v>1</v>
      </c>
      <c r="T37" s="10">
        <f>MOD(VALUE(MID(R0_L0!$C$90,$D32,1)) + VALUE(K1_16!N134), 2)</f>
        <v>1</v>
      </c>
      <c r="U37" s="10">
        <f>MOD(VALUE(MID(R0_L0!$C$91,$D32,1)) + VALUE(K1_16!O134), 2)</f>
        <v>1</v>
      </c>
      <c r="V37" s="10">
        <f>MOD(VALUE(MID(R0_L0!$C$92,$D32,1)) + VALUE(K1_16!P134), 2)</f>
        <v>0</v>
      </c>
      <c r="W37" s="10">
        <f>MOD(VALUE(MID(R0_L0!$C$93,$D32,1)) + VALUE(K1_16!Q134), 2)</f>
        <v>0</v>
      </c>
      <c r="Z37" t="s">
        <v>129</v>
      </c>
      <c r="AA37" t="str">
        <f t="shared" si="1"/>
        <v>1</v>
      </c>
    </row>
    <row r="38" spans="1:27" x14ac:dyDescent="0.3">
      <c r="A38" s="4">
        <v>33</v>
      </c>
      <c r="B38" s="4">
        <v>57</v>
      </c>
      <c r="C38" s="5" t="str">
        <f t="shared" si="0"/>
        <v>1</v>
      </c>
      <c r="D38" s="4">
        <v>22</v>
      </c>
      <c r="E38" s="4">
        <v>36</v>
      </c>
      <c r="H38" s="3">
        <f>MOD(VALUE(MID($Q$8,D33,1)) + VALUE(K1_16!$B135), 2)</f>
        <v>0</v>
      </c>
      <c r="I38" s="10">
        <f>MOD(VALUE(MID(R0_L0!$C$79,D33,1)) + VALUE(K1_16!$C135), 2)</f>
        <v>1</v>
      </c>
      <c r="J38" s="10">
        <f>MOD(VALUE(MID(R0_L0!$C$80,$D33,1)) + VALUE(K1_16!D135), 2)</f>
        <v>0</v>
      </c>
      <c r="K38" s="10">
        <f>MOD(VALUE(MID(R0_L0!$C$81,$D33,1)) + VALUE(K1_16!E135), 2)</f>
        <v>0</v>
      </c>
      <c r="L38" s="10">
        <f>MOD(VALUE(MID(R0_L0!$C$82,$D33,1)) + VALUE(K1_16!F135), 2)</f>
        <v>0</v>
      </c>
      <c r="M38" s="10">
        <f>MOD(VALUE(MID(R0_L0!$C$83,$D33,1)) + VALUE(K1_16!G135), 2)</f>
        <v>0</v>
      </c>
      <c r="N38" s="10">
        <f>MOD(VALUE(MID(R0_L0!$C$84,$D33,1)) + VALUE(K1_16!H135), 2)</f>
        <v>0</v>
      </c>
      <c r="O38" s="10">
        <f>MOD(VALUE(MID(R0_L0!$C$85,$D33,1)) + VALUE(K1_16!I135), 2)</f>
        <v>0</v>
      </c>
      <c r="P38" s="10">
        <f>MOD(VALUE(MID(R0_L0!$C$86,$D33,1)) + VALUE(K1_16!J135), 2)</f>
        <v>1</v>
      </c>
      <c r="Q38" s="10">
        <f>MOD(VALUE(MID(R0_L0!$C$87,$D33,1)) + VALUE(K1_16!K135), 2)</f>
        <v>0</v>
      </c>
      <c r="R38" s="10">
        <f>MOD(VALUE(MID(R0_L0!$C$88,$D33,1)) + VALUE(K1_16!L135), 2)</f>
        <v>1</v>
      </c>
      <c r="S38" s="10">
        <f>MOD(VALUE(MID(R0_L0!$C$89,$D33,1)) + VALUE(K1_16!M135), 2)</f>
        <v>1</v>
      </c>
      <c r="T38" s="10">
        <f>MOD(VALUE(MID(R0_L0!$C$90,$D33,1)) + VALUE(K1_16!N135), 2)</f>
        <v>0</v>
      </c>
      <c r="U38" s="10">
        <f>MOD(VALUE(MID(R0_L0!$C$91,$D33,1)) + VALUE(K1_16!O135), 2)</f>
        <v>0</v>
      </c>
      <c r="V38" s="10">
        <f>MOD(VALUE(MID(R0_L0!$C$92,$D33,1)) + VALUE(K1_16!P135), 2)</f>
        <v>1</v>
      </c>
      <c r="W38" s="10">
        <f>MOD(VALUE(MID(R0_L0!$C$93,$D33,1)) + VALUE(K1_16!Q135), 2)</f>
        <v>1</v>
      </c>
      <c r="Z38" t="s">
        <v>129</v>
      </c>
      <c r="AA38" t="str">
        <f t="shared" si="1"/>
        <v>1</v>
      </c>
    </row>
    <row r="39" spans="1:27" x14ac:dyDescent="0.3">
      <c r="A39" s="4">
        <v>34</v>
      </c>
      <c r="B39" s="4">
        <v>49</v>
      </c>
      <c r="C39" s="5" t="str">
        <f t="shared" si="0"/>
        <v>1</v>
      </c>
      <c r="D39" s="4">
        <v>23</v>
      </c>
      <c r="E39" s="4">
        <v>4</v>
      </c>
      <c r="H39" s="3">
        <f>MOD(VALUE(MID($Q$8,D34,1)) + VALUE(K1_16!$B136), 2)</f>
        <v>0</v>
      </c>
      <c r="I39" s="10">
        <f>MOD(VALUE(MID(R0_L0!$C$79,D34,1)) + VALUE(K1_16!$C136), 2)</f>
        <v>0</v>
      </c>
      <c r="J39" s="10">
        <f>MOD(VALUE(MID(R0_L0!$C$80,$D34,1)) + VALUE(K1_16!D136), 2)</f>
        <v>1</v>
      </c>
      <c r="K39" s="10">
        <f>MOD(VALUE(MID(R0_L0!$C$81,$D34,1)) + VALUE(K1_16!E136), 2)</f>
        <v>1</v>
      </c>
      <c r="L39" s="10">
        <f>MOD(VALUE(MID(R0_L0!$C$82,$D34,1)) + VALUE(K1_16!F136), 2)</f>
        <v>1</v>
      </c>
      <c r="M39" s="10">
        <f>MOD(VALUE(MID(R0_L0!$C$83,$D34,1)) + VALUE(K1_16!G136), 2)</f>
        <v>0</v>
      </c>
      <c r="N39" s="10">
        <f>MOD(VALUE(MID(R0_L0!$C$84,$D34,1)) + VALUE(K1_16!H136), 2)</f>
        <v>0</v>
      </c>
      <c r="O39" s="10">
        <f>MOD(VALUE(MID(R0_L0!$C$85,$D34,1)) + VALUE(K1_16!I136), 2)</f>
        <v>0</v>
      </c>
      <c r="P39" s="10">
        <f>MOD(VALUE(MID(R0_L0!$C$86,$D34,1)) + VALUE(K1_16!J136), 2)</f>
        <v>1</v>
      </c>
      <c r="Q39" s="10">
        <f>MOD(VALUE(MID(R0_L0!$C$87,$D34,1)) + VALUE(K1_16!K136), 2)</f>
        <v>1</v>
      </c>
      <c r="R39" s="10">
        <f>MOD(VALUE(MID(R0_L0!$C$88,$D34,1)) + VALUE(K1_16!L136), 2)</f>
        <v>0</v>
      </c>
      <c r="S39" s="10">
        <f>MOD(VALUE(MID(R0_L0!$C$89,$D34,1)) + VALUE(K1_16!M136), 2)</f>
        <v>0</v>
      </c>
      <c r="T39" s="10">
        <f>MOD(VALUE(MID(R0_L0!$C$90,$D34,1)) + VALUE(K1_16!N136), 2)</f>
        <v>0</v>
      </c>
      <c r="U39" s="10">
        <f>MOD(VALUE(MID(R0_L0!$C$91,$D34,1)) + VALUE(K1_16!O136), 2)</f>
        <v>0</v>
      </c>
      <c r="V39" s="10">
        <f>MOD(VALUE(MID(R0_L0!$C$92,$D34,1)) + VALUE(K1_16!P136), 2)</f>
        <v>1</v>
      </c>
      <c r="W39" s="10">
        <f>MOD(VALUE(MID(R0_L0!$C$93,$D34,1)) + VALUE(K1_16!Q136), 2)</f>
        <v>0</v>
      </c>
      <c r="Z39" t="s">
        <v>128</v>
      </c>
      <c r="AA39" t="str">
        <f t="shared" si="1"/>
        <v>1</v>
      </c>
    </row>
    <row r="40" spans="1:27" x14ac:dyDescent="0.3">
      <c r="A40" s="4">
        <v>35</v>
      </c>
      <c r="B40" s="4">
        <v>41</v>
      </c>
      <c r="C40" s="5" t="str">
        <f t="shared" si="0"/>
        <v>1</v>
      </c>
      <c r="D40" s="4">
        <v>24</v>
      </c>
      <c r="E40" s="4">
        <v>44</v>
      </c>
      <c r="H40" s="3">
        <f>MOD(VALUE(MID($Q$8,D35,1)) + VALUE(K1_16!$B137), 2)</f>
        <v>0</v>
      </c>
      <c r="I40" s="10">
        <f>MOD(VALUE(MID(R0_L0!$C$79,D35,1)) + VALUE(K1_16!$C137), 2)</f>
        <v>0</v>
      </c>
      <c r="J40" s="10">
        <f>MOD(VALUE(MID(R0_L0!$C$80,$D35,1)) + VALUE(K1_16!D137), 2)</f>
        <v>0</v>
      </c>
      <c r="K40" s="10">
        <f>MOD(VALUE(MID(R0_L0!$C$81,$D35,1)) + VALUE(K1_16!E137), 2)</f>
        <v>0</v>
      </c>
      <c r="L40" s="10">
        <f>MOD(VALUE(MID(R0_L0!$C$82,$D35,1)) + VALUE(K1_16!F137), 2)</f>
        <v>0</v>
      </c>
      <c r="M40" s="10">
        <f>MOD(VALUE(MID(R0_L0!$C$83,$D35,1)) + VALUE(K1_16!G137), 2)</f>
        <v>0</v>
      </c>
      <c r="N40" s="10">
        <f>MOD(VALUE(MID(R0_L0!$C$84,$D35,1)) + VALUE(K1_16!H137), 2)</f>
        <v>0</v>
      </c>
      <c r="O40" s="10">
        <f>MOD(VALUE(MID(R0_L0!$C$85,$D35,1)) + VALUE(K1_16!I137), 2)</f>
        <v>0</v>
      </c>
      <c r="P40" s="10">
        <f>MOD(VALUE(MID(R0_L0!$C$86,$D35,1)) + VALUE(K1_16!J137), 2)</f>
        <v>0</v>
      </c>
      <c r="Q40" s="10">
        <f>MOD(VALUE(MID(R0_L0!$C$87,$D35,1)) + VALUE(K1_16!K137), 2)</f>
        <v>1</v>
      </c>
      <c r="R40" s="10">
        <f>MOD(VALUE(MID(R0_L0!$C$88,$D35,1)) + VALUE(K1_16!L137), 2)</f>
        <v>1</v>
      </c>
      <c r="S40" s="10">
        <f>MOD(VALUE(MID(R0_L0!$C$89,$D35,1)) + VALUE(K1_16!M137), 2)</f>
        <v>0</v>
      </c>
      <c r="T40" s="10">
        <f>MOD(VALUE(MID(R0_L0!$C$90,$D35,1)) + VALUE(K1_16!N137), 2)</f>
        <v>0</v>
      </c>
      <c r="U40" s="10">
        <f>MOD(VALUE(MID(R0_L0!$C$91,$D35,1)) + VALUE(K1_16!O137), 2)</f>
        <v>0</v>
      </c>
      <c r="V40" s="10">
        <f>MOD(VALUE(MID(R0_L0!$C$92,$D35,1)) + VALUE(K1_16!P137), 2)</f>
        <v>1</v>
      </c>
      <c r="W40" s="10">
        <f>MOD(VALUE(MID(R0_L0!$C$93,$D35,1)) + VALUE(K1_16!Q137), 2)</f>
        <v>0</v>
      </c>
      <c r="Z40" t="s">
        <v>129</v>
      </c>
      <c r="AA40" t="str">
        <f t="shared" si="1"/>
        <v>0</v>
      </c>
    </row>
    <row r="41" spans="1:27" x14ac:dyDescent="0.3">
      <c r="A41" s="4">
        <v>36</v>
      </c>
      <c r="B41" s="4">
        <v>33</v>
      </c>
      <c r="C41" s="5" t="str">
        <f t="shared" si="0"/>
        <v>0</v>
      </c>
      <c r="D41" s="4">
        <v>25</v>
      </c>
      <c r="E41" s="4">
        <v>12</v>
      </c>
      <c r="H41" s="3">
        <f>MOD(VALUE(MID($Q$8,D36,1)) + VALUE(K1_16!$B138), 2)</f>
        <v>0</v>
      </c>
      <c r="I41" s="10">
        <f>MOD(VALUE(MID(R0_L0!$C$79,D36,1)) + VALUE(K1_16!$C138), 2)</f>
        <v>0</v>
      </c>
      <c r="J41" s="10">
        <f>MOD(VALUE(MID(R0_L0!$C$80,$D36,1)) + VALUE(K1_16!D138), 2)</f>
        <v>1</v>
      </c>
      <c r="K41" s="10">
        <f>MOD(VALUE(MID(R0_L0!$C$81,$D36,1)) + VALUE(K1_16!E138), 2)</f>
        <v>0</v>
      </c>
      <c r="L41" s="10">
        <f>MOD(VALUE(MID(R0_L0!$C$82,$D36,1)) + VALUE(K1_16!F138), 2)</f>
        <v>1</v>
      </c>
      <c r="M41" s="10">
        <f>MOD(VALUE(MID(R0_L0!$C$83,$D36,1)) + VALUE(K1_16!G138), 2)</f>
        <v>1</v>
      </c>
      <c r="N41" s="10">
        <f>MOD(VALUE(MID(R0_L0!$C$84,$D36,1)) + VALUE(K1_16!H138), 2)</f>
        <v>0</v>
      </c>
      <c r="O41" s="10">
        <f>MOD(VALUE(MID(R0_L0!$C$85,$D36,1)) + VALUE(K1_16!I138), 2)</f>
        <v>1</v>
      </c>
      <c r="P41" s="10">
        <f>MOD(VALUE(MID(R0_L0!$C$86,$D36,1)) + VALUE(K1_16!J138), 2)</f>
        <v>0</v>
      </c>
      <c r="Q41" s="10">
        <f>MOD(VALUE(MID(R0_L0!$C$87,$D36,1)) + VALUE(K1_16!K138), 2)</f>
        <v>0</v>
      </c>
      <c r="R41" s="10">
        <f>MOD(VALUE(MID(R0_L0!$C$88,$D36,1)) + VALUE(K1_16!L138), 2)</f>
        <v>1</v>
      </c>
      <c r="S41" s="10">
        <f>MOD(VALUE(MID(R0_L0!$C$89,$D36,1)) + VALUE(K1_16!M138), 2)</f>
        <v>0</v>
      </c>
      <c r="T41" s="10">
        <f>MOD(VALUE(MID(R0_L0!$C$90,$D36,1)) + VALUE(K1_16!N138), 2)</f>
        <v>0</v>
      </c>
      <c r="U41" s="10">
        <f>MOD(VALUE(MID(R0_L0!$C$91,$D36,1)) + VALUE(K1_16!O138), 2)</f>
        <v>1</v>
      </c>
      <c r="V41" s="10">
        <f>MOD(VALUE(MID(R0_L0!$C$92,$D36,1)) + VALUE(K1_16!P138), 2)</f>
        <v>1</v>
      </c>
      <c r="W41" s="10">
        <f>MOD(VALUE(MID(R0_L0!$C$93,$D36,1)) + VALUE(K1_16!Q138), 2)</f>
        <v>1</v>
      </c>
      <c r="Z41" t="s">
        <v>129</v>
      </c>
      <c r="AA41" t="str">
        <f t="shared" si="1"/>
        <v>1</v>
      </c>
    </row>
    <row r="42" spans="1:27" x14ac:dyDescent="0.3">
      <c r="A42" s="4">
        <v>37</v>
      </c>
      <c r="B42" s="4">
        <v>25</v>
      </c>
      <c r="C42" s="5" t="str">
        <f t="shared" si="0"/>
        <v>0</v>
      </c>
      <c r="D42" s="4">
        <v>24</v>
      </c>
      <c r="E42" s="4">
        <v>52</v>
      </c>
      <c r="H42" s="3">
        <f>MOD(VALUE(MID($Q$8,D37,1)) + VALUE(K1_16!$B139), 2)</f>
        <v>1</v>
      </c>
      <c r="I42" s="10">
        <f>MOD(VALUE(MID(R0_L0!$C$79,D37,1)) + VALUE(K1_16!$C139), 2)</f>
        <v>0</v>
      </c>
      <c r="J42" s="10">
        <f>MOD(VALUE(MID(R0_L0!$C$80,$D37,1)) + VALUE(K1_16!D139), 2)</f>
        <v>1</v>
      </c>
      <c r="K42" s="10">
        <f>MOD(VALUE(MID(R0_L0!$C$81,$D37,1)) + VALUE(K1_16!E139), 2)</f>
        <v>0</v>
      </c>
      <c r="L42" s="10">
        <f>MOD(VALUE(MID(R0_L0!$C$82,$D37,1)) + VALUE(K1_16!F139), 2)</f>
        <v>0</v>
      </c>
      <c r="M42" s="10">
        <f>MOD(VALUE(MID(R0_L0!$C$83,$D37,1)) + VALUE(K1_16!G139), 2)</f>
        <v>1</v>
      </c>
      <c r="N42" s="10">
        <f>MOD(VALUE(MID(R0_L0!$C$84,$D37,1)) + VALUE(K1_16!H139), 2)</f>
        <v>0</v>
      </c>
      <c r="O42" s="10">
        <f>MOD(VALUE(MID(R0_L0!$C$85,$D37,1)) + VALUE(K1_16!I139), 2)</f>
        <v>1</v>
      </c>
      <c r="P42" s="10">
        <f>MOD(VALUE(MID(R0_L0!$C$86,$D37,1)) + VALUE(K1_16!J139), 2)</f>
        <v>0</v>
      </c>
      <c r="Q42" s="10">
        <f>MOD(VALUE(MID(R0_L0!$C$87,$D37,1)) + VALUE(K1_16!K139), 2)</f>
        <v>0</v>
      </c>
      <c r="R42" s="10">
        <f>MOD(VALUE(MID(R0_L0!$C$88,$D37,1)) + VALUE(K1_16!L139), 2)</f>
        <v>1</v>
      </c>
      <c r="S42" s="10">
        <f>MOD(VALUE(MID(R0_L0!$C$89,$D37,1)) + VALUE(K1_16!M139), 2)</f>
        <v>0</v>
      </c>
      <c r="T42" s="10">
        <f>MOD(VALUE(MID(R0_L0!$C$90,$D37,1)) + VALUE(K1_16!N139), 2)</f>
        <v>1</v>
      </c>
      <c r="U42" s="10">
        <f>MOD(VALUE(MID(R0_L0!$C$91,$D37,1)) + VALUE(K1_16!O139), 2)</f>
        <v>1</v>
      </c>
      <c r="V42" s="10">
        <f>MOD(VALUE(MID(R0_L0!$C$92,$D37,1)) + VALUE(K1_16!P139), 2)</f>
        <v>1</v>
      </c>
      <c r="W42" s="10">
        <f>MOD(VALUE(MID(R0_L0!$C$93,$D37,1)) + VALUE(K1_16!Q139), 2)</f>
        <v>1</v>
      </c>
      <c r="Z42" t="s">
        <v>128</v>
      </c>
      <c r="AA42" t="str">
        <f t="shared" si="1"/>
        <v>0</v>
      </c>
    </row>
    <row r="43" spans="1:27" x14ac:dyDescent="0.3">
      <c r="A43" s="4">
        <v>38</v>
      </c>
      <c r="B43" s="4">
        <v>17</v>
      </c>
      <c r="C43" s="5" t="str">
        <f t="shared" si="0"/>
        <v>0</v>
      </c>
      <c r="D43" s="4">
        <v>25</v>
      </c>
      <c r="E43" s="4">
        <v>20</v>
      </c>
      <c r="H43" s="3">
        <f>MOD(VALUE(MID($Q$8,D38,1)) + VALUE(K1_16!$B140), 2)</f>
        <v>0</v>
      </c>
      <c r="I43" s="10">
        <f>MOD(VALUE(MID(R0_L0!$C$79,D38,1)) + VALUE(K1_16!$C140), 2)</f>
        <v>0</v>
      </c>
      <c r="J43" s="10">
        <f>MOD(VALUE(MID(R0_L0!$C$80,$D38,1)) + VALUE(K1_16!D140), 2)</f>
        <v>0</v>
      </c>
      <c r="K43" s="10">
        <f>MOD(VALUE(MID(R0_L0!$C$81,$D38,1)) + VALUE(K1_16!E140), 2)</f>
        <v>1</v>
      </c>
      <c r="L43" s="10">
        <f>MOD(VALUE(MID(R0_L0!$C$82,$D38,1)) + VALUE(K1_16!F140), 2)</f>
        <v>0</v>
      </c>
      <c r="M43" s="10">
        <f>MOD(VALUE(MID(R0_L0!$C$83,$D38,1)) + VALUE(K1_16!G140), 2)</f>
        <v>0</v>
      </c>
      <c r="N43" s="10">
        <f>MOD(VALUE(MID(R0_L0!$C$84,$D38,1)) + VALUE(K1_16!H140), 2)</f>
        <v>0</v>
      </c>
      <c r="O43" s="10">
        <f>MOD(VALUE(MID(R0_L0!$C$85,$D38,1)) + VALUE(K1_16!I140), 2)</f>
        <v>0</v>
      </c>
      <c r="P43" s="10">
        <f>MOD(VALUE(MID(R0_L0!$C$86,$D38,1)) + VALUE(K1_16!J140), 2)</f>
        <v>1</v>
      </c>
      <c r="Q43" s="10">
        <f>MOD(VALUE(MID(R0_L0!$C$87,$D38,1)) + VALUE(K1_16!K140), 2)</f>
        <v>1</v>
      </c>
      <c r="R43" s="10">
        <f>MOD(VALUE(MID(R0_L0!$C$88,$D38,1)) + VALUE(K1_16!L140), 2)</f>
        <v>1</v>
      </c>
      <c r="S43" s="10">
        <f>MOD(VALUE(MID(R0_L0!$C$89,$D38,1)) + VALUE(K1_16!M140), 2)</f>
        <v>1</v>
      </c>
      <c r="T43" s="10">
        <f>MOD(VALUE(MID(R0_L0!$C$90,$D38,1)) + VALUE(K1_16!N140), 2)</f>
        <v>1</v>
      </c>
      <c r="U43" s="10">
        <f>MOD(VALUE(MID(R0_L0!$C$91,$D38,1)) + VALUE(K1_16!O140), 2)</f>
        <v>0</v>
      </c>
      <c r="V43" s="10">
        <f>MOD(VALUE(MID(R0_L0!$C$92,$D38,1)) + VALUE(K1_16!P140), 2)</f>
        <v>0</v>
      </c>
      <c r="W43" s="10">
        <f>MOD(VALUE(MID(R0_L0!$C$93,$D38,1)) + VALUE(K1_16!Q140), 2)</f>
        <v>0</v>
      </c>
      <c r="Z43" t="s">
        <v>129</v>
      </c>
      <c r="AA43" t="str">
        <f t="shared" si="1"/>
        <v>0</v>
      </c>
    </row>
    <row r="44" spans="1:27" x14ac:dyDescent="0.3">
      <c r="A44" s="4">
        <v>39</v>
      </c>
      <c r="B44" s="4">
        <v>9</v>
      </c>
      <c r="C44" s="5" t="str">
        <f t="shared" si="0"/>
        <v>0</v>
      </c>
      <c r="D44" s="4">
        <v>26</v>
      </c>
      <c r="E44" s="4">
        <v>60</v>
      </c>
      <c r="H44" s="3">
        <f>MOD(VALUE(MID($Q$8,D39,1)) + VALUE(K1_16!$B141), 2)</f>
        <v>1</v>
      </c>
      <c r="I44" s="10">
        <f>MOD(VALUE(MID(R0_L0!$C$79,D39,1)) + VALUE(K1_16!$C141), 2)</f>
        <v>1</v>
      </c>
      <c r="J44" s="10">
        <f>MOD(VALUE(MID(R0_L0!$C$80,$D39,1)) + VALUE(K1_16!D141), 2)</f>
        <v>0</v>
      </c>
      <c r="K44" s="10">
        <f>MOD(VALUE(MID(R0_L0!$C$81,$D39,1)) + VALUE(K1_16!E141), 2)</f>
        <v>1</v>
      </c>
      <c r="L44" s="10">
        <f>MOD(VALUE(MID(R0_L0!$C$82,$D39,1)) + VALUE(K1_16!F141), 2)</f>
        <v>1</v>
      </c>
      <c r="M44" s="10">
        <f>MOD(VALUE(MID(R0_L0!$C$83,$D39,1)) + VALUE(K1_16!G141), 2)</f>
        <v>1</v>
      </c>
      <c r="N44" s="10">
        <f>MOD(VALUE(MID(R0_L0!$C$84,$D39,1)) + VALUE(K1_16!H141), 2)</f>
        <v>0</v>
      </c>
      <c r="O44" s="10">
        <f>MOD(VALUE(MID(R0_L0!$C$85,$D39,1)) + VALUE(K1_16!I141), 2)</f>
        <v>0</v>
      </c>
      <c r="P44" s="10">
        <f>MOD(VALUE(MID(R0_L0!$C$86,$D39,1)) + VALUE(K1_16!J141), 2)</f>
        <v>1</v>
      </c>
      <c r="Q44" s="10">
        <f>MOD(VALUE(MID(R0_L0!$C$87,$D39,1)) + VALUE(K1_16!K141), 2)</f>
        <v>1</v>
      </c>
      <c r="R44" s="10">
        <f>MOD(VALUE(MID(R0_L0!$C$88,$D39,1)) + VALUE(K1_16!L141), 2)</f>
        <v>1</v>
      </c>
      <c r="S44" s="10">
        <f>MOD(VALUE(MID(R0_L0!$C$89,$D39,1)) + VALUE(K1_16!M141), 2)</f>
        <v>0</v>
      </c>
      <c r="T44" s="10">
        <f>MOD(VALUE(MID(R0_L0!$C$90,$D39,1)) + VALUE(K1_16!N141), 2)</f>
        <v>0</v>
      </c>
      <c r="U44" s="10">
        <f>MOD(VALUE(MID(R0_L0!$C$91,$D39,1)) + VALUE(K1_16!O141), 2)</f>
        <v>0</v>
      </c>
      <c r="V44" s="10">
        <f>MOD(VALUE(MID(R0_L0!$C$92,$D39,1)) + VALUE(K1_16!P141), 2)</f>
        <v>1</v>
      </c>
      <c r="W44" s="10">
        <f>MOD(VALUE(MID(R0_L0!$C$93,$D39,1)) + VALUE(K1_16!Q141), 2)</f>
        <v>0</v>
      </c>
      <c r="Z44" t="s">
        <v>128</v>
      </c>
      <c r="AA44" t="str">
        <f t="shared" si="1"/>
        <v>0</v>
      </c>
    </row>
    <row r="45" spans="1:27" x14ac:dyDescent="0.3">
      <c r="A45" s="4">
        <v>40</v>
      </c>
      <c r="B45" s="4">
        <v>1</v>
      </c>
      <c r="C45" s="5" t="str">
        <f t="shared" si="0"/>
        <v>0</v>
      </c>
      <c r="D45" s="4">
        <v>27</v>
      </c>
      <c r="E45" s="4">
        <v>28</v>
      </c>
      <c r="H45" s="3">
        <f>MOD(VALUE(MID($Q$8,D40,1)) + VALUE(K1_16!$B142), 2)</f>
        <v>0</v>
      </c>
      <c r="I45" s="10">
        <f>MOD(VALUE(MID(R0_L0!$C$79,D40,1)) + VALUE(K1_16!$C142), 2)</f>
        <v>0</v>
      </c>
      <c r="J45" s="10">
        <f>MOD(VALUE(MID(R0_L0!$C$80,$D40,1)) + VALUE(K1_16!D142), 2)</f>
        <v>0</v>
      </c>
      <c r="K45" s="10">
        <f>MOD(VALUE(MID(R0_L0!$C$81,$D40,1)) + VALUE(K1_16!E142), 2)</f>
        <v>1</v>
      </c>
      <c r="L45" s="10">
        <f>MOD(VALUE(MID(R0_L0!$C$82,$D40,1)) + VALUE(K1_16!F142), 2)</f>
        <v>0</v>
      </c>
      <c r="M45" s="10">
        <f>MOD(VALUE(MID(R0_L0!$C$83,$D40,1)) + VALUE(K1_16!G142), 2)</f>
        <v>0</v>
      </c>
      <c r="N45" s="10">
        <f>MOD(VALUE(MID(R0_L0!$C$84,$D40,1)) + VALUE(K1_16!H142), 2)</f>
        <v>1</v>
      </c>
      <c r="O45" s="10">
        <f>MOD(VALUE(MID(R0_L0!$C$85,$D40,1)) + VALUE(K1_16!I142), 2)</f>
        <v>0</v>
      </c>
      <c r="P45" s="10">
        <f>MOD(VALUE(MID(R0_L0!$C$86,$D40,1)) + VALUE(K1_16!J142), 2)</f>
        <v>1</v>
      </c>
      <c r="Q45" s="10">
        <f>MOD(VALUE(MID(R0_L0!$C$87,$D40,1)) + VALUE(K1_16!K142), 2)</f>
        <v>1</v>
      </c>
      <c r="R45" s="10">
        <f>MOD(VALUE(MID(R0_L0!$C$88,$D40,1)) + VALUE(K1_16!L142), 2)</f>
        <v>0</v>
      </c>
      <c r="S45" s="10">
        <f>MOD(VALUE(MID(R0_L0!$C$89,$D40,1)) + VALUE(K1_16!M142), 2)</f>
        <v>0</v>
      </c>
      <c r="T45" s="10">
        <f>MOD(VALUE(MID(R0_L0!$C$90,$D40,1)) + VALUE(K1_16!N142), 2)</f>
        <v>1</v>
      </c>
      <c r="U45" s="10">
        <f>MOD(VALUE(MID(R0_L0!$C$91,$D40,1)) + VALUE(K1_16!O142), 2)</f>
        <v>0</v>
      </c>
      <c r="V45" s="10">
        <f>MOD(VALUE(MID(R0_L0!$C$92,$D40,1)) + VALUE(K1_16!P142), 2)</f>
        <v>1</v>
      </c>
      <c r="W45" s="10">
        <f>MOD(VALUE(MID(R0_L0!$C$93,$D40,1)) + VALUE(K1_16!Q142), 2)</f>
        <v>0</v>
      </c>
      <c r="Z45" t="s">
        <v>128</v>
      </c>
      <c r="AA45" t="str">
        <f t="shared" si="1"/>
        <v>0</v>
      </c>
    </row>
    <row r="46" spans="1:27" x14ac:dyDescent="0.3">
      <c r="A46" s="4">
        <v>41</v>
      </c>
      <c r="B46" s="4">
        <v>59</v>
      </c>
      <c r="C46" s="5" t="str">
        <f t="shared" si="0"/>
        <v>0</v>
      </c>
      <c r="D46" s="4">
        <v>28</v>
      </c>
      <c r="E46" s="4">
        <v>35</v>
      </c>
      <c r="H46" s="3">
        <f>MOD(VALUE(MID($Q$8,D41,1)) + VALUE(K1_16!$B143), 2)</f>
        <v>1</v>
      </c>
      <c r="I46" s="10">
        <f>MOD(VALUE(MID(R0_L0!$C$79,D41,1)) + VALUE(K1_16!$C143), 2)</f>
        <v>1</v>
      </c>
      <c r="J46" s="10">
        <f>MOD(VALUE(MID(R0_L0!$C$80,$D41,1)) + VALUE(K1_16!D143), 2)</f>
        <v>1</v>
      </c>
      <c r="K46" s="10">
        <f>MOD(VALUE(MID(R0_L0!$C$81,$D41,1)) + VALUE(K1_16!E143), 2)</f>
        <v>0</v>
      </c>
      <c r="L46" s="10">
        <f>MOD(VALUE(MID(R0_L0!$C$82,$D41,1)) + VALUE(K1_16!F143), 2)</f>
        <v>0</v>
      </c>
      <c r="M46" s="10">
        <f>MOD(VALUE(MID(R0_L0!$C$83,$D41,1)) + VALUE(K1_16!G143), 2)</f>
        <v>1</v>
      </c>
      <c r="N46" s="10">
        <f>MOD(VALUE(MID(R0_L0!$C$84,$D41,1)) + VALUE(K1_16!H143), 2)</f>
        <v>0</v>
      </c>
      <c r="O46" s="10">
        <f>MOD(VALUE(MID(R0_L0!$C$85,$D41,1)) + VALUE(K1_16!I143), 2)</f>
        <v>0</v>
      </c>
      <c r="P46" s="10">
        <f>MOD(VALUE(MID(R0_L0!$C$86,$D41,1)) + VALUE(K1_16!J143), 2)</f>
        <v>0</v>
      </c>
      <c r="Q46" s="10">
        <f>MOD(VALUE(MID(R0_L0!$C$87,$D41,1)) + VALUE(K1_16!K143), 2)</f>
        <v>0</v>
      </c>
      <c r="R46" s="10">
        <f>MOD(VALUE(MID(R0_L0!$C$88,$D41,1)) + VALUE(K1_16!L143), 2)</f>
        <v>0</v>
      </c>
      <c r="S46" s="10">
        <f>MOD(VALUE(MID(R0_L0!$C$89,$D41,1)) + VALUE(K1_16!M143), 2)</f>
        <v>0</v>
      </c>
      <c r="T46" s="10">
        <f>MOD(VALUE(MID(R0_L0!$C$90,$D41,1)) + VALUE(K1_16!N143), 2)</f>
        <v>1</v>
      </c>
      <c r="U46" s="10">
        <f>MOD(VALUE(MID(R0_L0!$C$91,$D41,1)) + VALUE(K1_16!O143), 2)</f>
        <v>0</v>
      </c>
      <c r="V46" s="10">
        <f>MOD(VALUE(MID(R0_L0!$C$92,$D41,1)) + VALUE(K1_16!P143), 2)</f>
        <v>0</v>
      </c>
      <c r="W46" s="10">
        <f>MOD(VALUE(MID(R0_L0!$C$93,$D41,1)) + VALUE(K1_16!Q143), 2)</f>
        <v>0</v>
      </c>
      <c r="Z46" t="s">
        <v>129</v>
      </c>
      <c r="AA46" t="str">
        <f t="shared" si="1"/>
        <v>1</v>
      </c>
    </row>
    <row r="47" spans="1:27" x14ac:dyDescent="0.3">
      <c r="A47" s="4">
        <v>42</v>
      </c>
      <c r="B47" s="4">
        <v>51</v>
      </c>
      <c r="C47" s="5" t="str">
        <f t="shared" si="0"/>
        <v>1</v>
      </c>
      <c r="D47" s="4">
        <v>29</v>
      </c>
      <c r="E47" s="4">
        <v>3</v>
      </c>
      <c r="H47" s="3">
        <f>MOD(VALUE(MID($Q$8,D42,1)) + VALUE(K1_16!$B144), 2)</f>
        <v>1</v>
      </c>
      <c r="I47" s="10">
        <f>MOD(VALUE(MID(R0_L0!$C$79,D42,1)) + VALUE(K1_16!$C144), 2)</f>
        <v>0</v>
      </c>
      <c r="J47" s="10">
        <f>MOD(VALUE(MID(R0_L0!$C$80,$D42,1)) + VALUE(K1_16!D144), 2)</f>
        <v>0</v>
      </c>
      <c r="K47" s="10">
        <f>MOD(VALUE(MID(R0_L0!$C$81,$D42,1)) + VALUE(K1_16!E144), 2)</f>
        <v>1</v>
      </c>
      <c r="L47" s="10">
        <f>MOD(VALUE(MID(R0_L0!$C$82,$D42,1)) + VALUE(K1_16!F144), 2)</f>
        <v>1</v>
      </c>
      <c r="M47" s="10">
        <f>MOD(VALUE(MID(R0_L0!$C$83,$D42,1)) + VALUE(K1_16!G144), 2)</f>
        <v>0</v>
      </c>
      <c r="N47" s="10">
        <f>MOD(VALUE(MID(R0_L0!$C$84,$D42,1)) + VALUE(K1_16!H144), 2)</f>
        <v>0</v>
      </c>
      <c r="O47" s="10">
        <f>MOD(VALUE(MID(R0_L0!$C$85,$D42,1)) + VALUE(K1_16!I144), 2)</f>
        <v>1</v>
      </c>
      <c r="P47" s="10">
        <f>MOD(VALUE(MID(R0_L0!$C$86,$D42,1)) + VALUE(K1_16!J144), 2)</f>
        <v>1</v>
      </c>
      <c r="Q47" s="10">
        <f>MOD(VALUE(MID(R0_L0!$C$87,$D42,1)) + VALUE(K1_16!K144), 2)</f>
        <v>0</v>
      </c>
      <c r="R47" s="10">
        <f>MOD(VALUE(MID(R0_L0!$C$88,$D42,1)) + VALUE(K1_16!L144), 2)</f>
        <v>1</v>
      </c>
      <c r="S47" s="10">
        <f>MOD(VALUE(MID(R0_L0!$C$89,$D42,1)) + VALUE(K1_16!M144), 2)</f>
        <v>1</v>
      </c>
      <c r="T47" s="10">
        <f>MOD(VALUE(MID(R0_L0!$C$90,$D42,1)) + VALUE(K1_16!N144), 2)</f>
        <v>1</v>
      </c>
      <c r="U47" s="10">
        <f>MOD(VALUE(MID(R0_L0!$C$91,$D42,1)) + VALUE(K1_16!O144), 2)</f>
        <v>1</v>
      </c>
      <c r="V47" s="10">
        <f>MOD(VALUE(MID(R0_L0!$C$92,$D42,1)) + VALUE(K1_16!P144), 2)</f>
        <v>1</v>
      </c>
      <c r="W47" s="10">
        <f>MOD(VALUE(MID(R0_L0!$C$93,$D42,1)) + VALUE(K1_16!Q144), 2)</f>
        <v>1</v>
      </c>
      <c r="Z47" t="s">
        <v>128</v>
      </c>
      <c r="AA47" t="str">
        <f t="shared" si="1"/>
        <v>0</v>
      </c>
    </row>
    <row r="48" spans="1:27" x14ac:dyDescent="0.3">
      <c r="A48" s="4">
        <v>43</v>
      </c>
      <c r="B48" s="4">
        <v>43</v>
      </c>
      <c r="C48" s="5" t="str">
        <f t="shared" si="0"/>
        <v>0</v>
      </c>
      <c r="D48" s="4">
        <v>28</v>
      </c>
      <c r="E48" s="4">
        <v>43</v>
      </c>
      <c r="H48" s="3">
        <f>MOD(VALUE(MID($Q$8,D43,1)) + VALUE(K1_16!$B145), 2)</f>
        <v>1</v>
      </c>
      <c r="I48" s="10">
        <f>MOD(VALUE(MID(R0_L0!$C$79,D43,1)) + VALUE(K1_16!$C145), 2)</f>
        <v>1</v>
      </c>
      <c r="J48" s="10">
        <f>MOD(VALUE(MID(R0_L0!$C$80,$D43,1)) + VALUE(K1_16!D145), 2)</f>
        <v>0</v>
      </c>
      <c r="K48" s="10">
        <f>MOD(VALUE(MID(R0_L0!$C$81,$D43,1)) + VALUE(K1_16!E145), 2)</f>
        <v>1</v>
      </c>
      <c r="L48" s="10">
        <f>MOD(VALUE(MID(R0_L0!$C$82,$D43,1)) + VALUE(K1_16!F145), 2)</f>
        <v>1</v>
      </c>
      <c r="M48" s="10">
        <f>MOD(VALUE(MID(R0_L0!$C$83,$D43,1)) + VALUE(K1_16!G145), 2)</f>
        <v>0</v>
      </c>
      <c r="N48" s="10">
        <f>MOD(VALUE(MID(R0_L0!$C$84,$D43,1)) + VALUE(K1_16!H145), 2)</f>
        <v>1</v>
      </c>
      <c r="O48" s="10">
        <f>MOD(VALUE(MID(R0_L0!$C$85,$D43,1)) + VALUE(K1_16!I145), 2)</f>
        <v>1</v>
      </c>
      <c r="P48" s="10">
        <f>MOD(VALUE(MID(R0_L0!$C$86,$D43,1)) + VALUE(K1_16!J145), 2)</f>
        <v>1</v>
      </c>
      <c r="Q48" s="10">
        <f>MOD(VALUE(MID(R0_L0!$C$87,$D43,1)) + VALUE(K1_16!K145), 2)</f>
        <v>0</v>
      </c>
      <c r="R48" s="10">
        <f>MOD(VALUE(MID(R0_L0!$C$88,$D43,1)) + VALUE(K1_16!L145), 2)</f>
        <v>0</v>
      </c>
      <c r="S48" s="10">
        <f>MOD(VALUE(MID(R0_L0!$C$89,$D43,1)) + VALUE(K1_16!M145), 2)</f>
        <v>0</v>
      </c>
      <c r="T48" s="10">
        <f>MOD(VALUE(MID(R0_L0!$C$90,$D43,1)) + VALUE(K1_16!N145), 2)</f>
        <v>1</v>
      </c>
      <c r="U48" s="10">
        <f>MOD(VALUE(MID(R0_L0!$C$91,$D43,1)) + VALUE(K1_16!O145), 2)</f>
        <v>0</v>
      </c>
      <c r="V48" s="10">
        <f>MOD(VALUE(MID(R0_L0!$C$92,$D43,1)) + VALUE(K1_16!P145), 2)</f>
        <v>0</v>
      </c>
      <c r="W48" s="10">
        <f>MOD(VALUE(MID(R0_L0!$C$93,$D43,1)) + VALUE(K1_16!Q145), 2)</f>
        <v>1</v>
      </c>
      <c r="Z48" t="s">
        <v>128</v>
      </c>
      <c r="AA48" t="str">
        <f t="shared" si="1"/>
        <v>1</v>
      </c>
    </row>
    <row r="49" spans="1:27" x14ac:dyDescent="0.3">
      <c r="A49" s="4">
        <v>44</v>
      </c>
      <c r="B49" s="4">
        <v>35</v>
      </c>
      <c r="C49" s="5" t="str">
        <f t="shared" si="0"/>
        <v>1</v>
      </c>
      <c r="D49" s="4">
        <v>29</v>
      </c>
      <c r="E49" s="4">
        <v>11</v>
      </c>
      <c r="H49" s="3">
        <f>MOD(VALUE(MID($Q$8,D44,1)) + VALUE(K1_16!$B146), 2)</f>
        <v>0</v>
      </c>
      <c r="I49" s="10">
        <f>MOD(VALUE(MID(R0_L0!$C$79,D44,1)) + VALUE(K1_16!$C146), 2)</f>
        <v>1</v>
      </c>
      <c r="J49" s="10">
        <f>MOD(VALUE(MID(R0_L0!$C$80,$D44,1)) + VALUE(K1_16!D146), 2)</f>
        <v>0</v>
      </c>
      <c r="K49" s="10">
        <f>MOD(VALUE(MID(R0_L0!$C$81,$D44,1)) + VALUE(K1_16!E146), 2)</f>
        <v>1</v>
      </c>
      <c r="L49" s="10">
        <f>MOD(VALUE(MID(R0_L0!$C$82,$D44,1)) + VALUE(K1_16!F146), 2)</f>
        <v>1</v>
      </c>
      <c r="M49" s="10">
        <f>MOD(VALUE(MID(R0_L0!$C$83,$D44,1)) + VALUE(K1_16!G146), 2)</f>
        <v>1</v>
      </c>
      <c r="N49" s="10">
        <f>MOD(VALUE(MID(R0_L0!$C$84,$D44,1)) + VALUE(K1_16!H146), 2)</f>
        <v>0</v>
      </c>
      <c r="O49" s="10">
        <f>MOD(VALUE(MID(R0_L0!$C$85,$D44,1)) + VALUE(K1_16!I146), 2)</f>
        <v>0</v>
      </c>
      <c r="P49" s="10">
        <f>MOD(VALUE(MID(R0_L0!$C$86,$D44,1)) + VALUE(K1_16!J146), 2)</f>
        <v>0</v>
      </c>
      <c r="Q49" s="10">
        <f>MOD(VALUE(MID(R0_L0!$C$87,$D44,1)) + VALUE(K1_16!K146), 2)</f>
        <v>1</v>
      </c>
      <c r="R49" s="10">
        <f>MOD(VALUE(MID(R0_L0!$C$88,$D44,1)) + VALUE(K1_16!L146), 2)</f>
        <v>1</v>
      </c>
      <c r="S49" s="10">
        <f>MOD(VALUE(MID(R0_L0!$C$89,$D44,1)) + VALUE(K1_16!M146), 2)</f>
        <v>0</v>
      </c>
      <c r="T49" s="10">
        <f>MOD(VALUE(MID(R0_L0!$C$90,$D44,1)) + VALUE(K1_16!N146), 2)</f>
        <v>1</v>
      </c>
      <c r="U49" s="10">
        <f>MOD(VALUE(MID(R0_L0!$C$91,$D44,1)) + VALUE(K1_16!O146), 2)</f>
        <v>0</v>
      </c>
      <c r="V49" s="10">
        <f>MOD(VALUE(MID(R0_L0!$C$92,$D44,1)) + VALUE(K1_16!P146), 2)</f>
        <v>1</v>
      </c>
      <c r="W49" s="10">
        <f>MOD(VALUE(MID(R0_L0!$C$93,$D44,1)) + VALUE(K1_16!Q146), 2)</f>
        <v>0</v>
      </c>
      <c r="Z49" t="s">
        <v>129</v>
      </c>
      <c r="AA49" t="str">
        <f t="shared" si="1"/>
        <v>0</v>
      </c>
    </row>
    <row r="50" spans="1:27" x14ac:dyDescent="0.3">
      <c r="A50" s="4">
        <v>45</v>
      </c>
      <c r="B50" s="4">
        <v>27</v>
      </c>
      <c r="C50" s="5" t="str">
        <f t="shared" si="0"/>
        <v>0</v>
      </c>
      <c r="D50" s="4">
        <v>30</v>
      </c>
      <c r="E50" s="4">
        <v>51</v>
      </c>
      <c r="H50" s="3">
        <f>MOD(VALUE(MID($Q$8,D45,1)) + VALUE(K1_16!$B147), 2)</f>
        <v>0</v>
      </c>
      <c r="I50" s="10">
        <f>MOD(VALUE(MID(R0_L0!$C$79,D45,1)) + VALUE(K1_16!$C147), 2)</f>
        <v>0</v>
      </c>
      <c r="J50" s="10">
        <f>MOD(VALUE(MID(R0_L0!$C$80,$D45,1)) + VALUE(K1_16!D147), 2)</f>
        <v>1</v>
      </c>
      <c r="K50" s="10">
        <f>MOD(VALUE(MID(R0_L0!$C$81,$D45,1)) + VALUE(K1_16!E147), 2)</f>
        <v>0</v>
      </c>
      <c r="L50" s="10">
        <f>MOD(VALUE(MID(R0_L0!$C$82,$D45,1)) + VALUE(K1_16!F147), 2)</f>
        <v>0</v>
      </c>
      <c r="M50" s="10">
        <f>MOD(VALUE(MID(R0_L0!$C$83,$D45,1)) + VALUE(K1_16!G147), 2)</f>
        <v>0</v>
      </c>
      <c r="N50" s="10">
        <f>MOD(VALUE(MID(R0_L0!$C$84,$D45,1)) + VALUE(K1_16!H147), 2)</f>
        <v>1</v>
      </c>
      <c r="O50" s="10">
        <f>MOD(VALUE(MID(R0_L0!$C$85,$D45,1)) + VALUE(K1_16!I147), 2)</f>
        <v>1</v>
      </c>
      <c r="P50" s="10">
        <f>MOD(VALUE(MID(R0_L0!$C$86,$D45,1)) + VALUE(K1_16!J147), 2)</f>
        <v>0</v>
      </c>
      <c r="Q50" s="10">
        <f>MOD(VALUE(MID(R0_L0!$C$87,$D45,1)) + VALUE(K1_16!K147), 2)</f>
        <v>0</v>
      </c>
      <c r="R50" s="10">
        <f>MOD(VALUE(MID(R0_L0!$C$88,$D45,1)) + VALUE(K1_16!L147), 2)</f>
        <v>0</v>
      </c>
      <c r="S50" s="10">
        <f>MOD(VALUE(MID(R0_L0!$C$89,$D45,1)) + VALUE(K1_16!M147), 2)</f>
        <v>1</v>
      </c>
      <c r="T50" s="10">
        <f>MOD(VALUE(MID(R0_L0!$C$90,$D45,1)) + VALUE(K1_16!N147), 2)</f>
        <v>0</v>
      </c>
      <c r="U50" s="10">
        <f>MOD(VALUE(MID(R0_L0!$C$91,$D45,1)) + VALUE(K1_16!O147), 2)</f>
        <v>0</v>
      </c>
      <c r="V50" s="10">
        <f>MOD(VALUE(MID(R0_L0!$C$92,$D45,1)) + VALUE(K1_16!P147), 2)</f>
        <v>1</v>
      </c>
      <c r="W50" s="10">
        <f>MOD(VALUE(MID(R0_L0!$C$93,$D45,1)) + VALUE(K1_16!Q147), 2)</f>
        <v>1</v>
      </c>
      <c r="Z50" t="s">
        <v>129</v>
      </c>
      <c r="AA50" t="str">
        <f t="shared" si="1"/>
        <v>1</v>
      </c>
    </row>
    <row r="51" spans="1:27" x14ac:dyDescent="0.3">
      <c r="A51" s="4">
        <v>46</v>
      </c>
      <c r="B51" s="4">
        <v>19</v>
      </c>
      <c r="C51" s="5" t="str">
        <f t="shared" si="0"/>
        <v>1</v>
      </c>
      <c r="D51" s="4">
        <v>31</v>
      </c>
      <c r="E51" s="4">
        <v>19</v>
      </c>
      <c r="H51" s="3">
        <f>MOD(VALUE(MID($Q$8,D46,1)) + VALUE(K1_16!$B148), 2)</f>
        <v>1</v>
      </c>
      <c r="I51" s="10">
        <f>MOD(VALUE(MID(R0_L0!$C$79,D46,1)) + VALUE(K1_16!$C148), 2)</f>
        <v>1</v>
      </c>
      <c r="J51" s="10">
        <f>MOD(VALUE(MID(R0_L0!$C$80,$D46,1)) + VALUE(K1_16!D148), 2)</f>
        <v>1</v>
      </c>
      <c r="K51" s="10">
        <f>MOD(VALUE(MID(R0_L0!$C$81,$D46,1)) + VALUE(K1_16!E148), 2)</f>
        <v>0</v>
      </c>
      <c r="L51" s="10">
        <f>MOD(VALUE(MID(R0_L0!$C$82,$D46,1)) + VALUE(K1_16!F148), 2)</f>
        <v>0</v>
      </c>
      <c r="M51" s="10">
        <f>MOD(VALUE(MID(R0_L0!$C$83,$D46,1)) + VALUE(K1_16!G148), 2)</f>
        <v>1</v>
      </c>
      <c r="N51" s="10">
        <f>MOD(VALUE(MID(R0_L0!$C$84,$D46,1)) + VALUE(K1_16!H148), 2)</f>
        <v>0</v>
      </c>
      <c r="O51" s="10">
        <f>MOD(VALUE(MID(R0_L0!$C$85,$D46,1)) + VALUE(K1_16!I148), 2)</f>
        <v>0</v>
      </c>
      <c r="P51" s="10">
        <f>MOD(VALUE(MID(R0_L0!$C$86,$D46,1)) + VALUE(K1_16!J148), 2)</f>
        <v>0</v>
      </c>
      <c r="Q51" s="10">
        <f>MOD(VALUE(MID(R0_L0!$C$87,$D46,1)) + VALUE(K1_16!K148), 2)</f>
        <v>0</v>
      </c>
      <c r="R51" s="10">
        <f>MOD(VALUE(MID(R0_L0!$C$88,$D46,1)) + VALUE(K1_16!L148), 2)</f>
        <v>1</v>
      </c>
      <c r="S51" s="10">
        <f>MOD(VALUE(MID(R0_L0!$C$89,$D46,1)) + VALUE(K1_16!M148), 2)</f>
        <v>1</v>
      </c>
      <c r="T51" s="10">
        <f>MOD(VALUE(MID(R0_L0!$C$90,$D46,1)) + VALUE(K1_16!N148), 2)</f>
        <v>1</v>
      </c>
      <c r="U51" s="10">
        <f>MOD(VALUE(MID(R0_L0!$C$91,$D46,1)) + VALUE(K1_16!O148), 2)</f>
        <v>1</v>
      </c>
      <c r="V51" s="10">
        <f>MOD(VALUE(MID(R0_L0!$C$92,$D46,1)) + VALUE(K1_16!P148), 2)</f>
        <v>1</v>
      </c>
      <c r="W51" s="10">
        <f>MOD(VALUE(MID(R0_L0!$C$93,$D46,1)) + VALUE(K1_16!Q148), 2)</f>
        <v>1</v>
      </c>
      <c r="Z51" t="s">
        <v>128</v>
      </c>
      <c r="AA51" t="str">
        <f t="shared" si="1"/>
        <v>0</v>
      </c>
    </row>
    <row r="52" spans="1:27" x14ac:dyDescent="0.3">
      <c r="A52" s="4">
        <v>47</v>
      </c>
      <c r="B52" s="4">
        <v>11</v>
      </c>
      <c r="C52" s="5" t="str">
        <f t="shared" si="0"/>
        <v>0</v>
      </c>
      <c r="D52" s="4">
        <v>32</v>
      </c>
      <c r="E52" s="4">
        <v>59</v>
      </c>
      <c r="H52" s="3">
        <f>MOD(VALUE(MID($Q$8,D47,1)) + VALUE(K1_16!$B149), 2)</f>
        <v>1</v>
      </c>
      <c r="I52" s="10">
        <f>MOD(VALUE(MID(R0_L0!$C$79,D47,1)) + VALUE(K1_16!$C149), 2)</f>
        <v>0</v>
      </c>
      <c r="J52" s="10">
        <f>MOD(VALUE(MID(R0_L0!$C$80,$D47,1)) + VALUE(K1_16!D149), 2)</f>
        <v>1</v>
      </c>
      <c r="K52" s="10">
        <f>MOD(VALUE(MID(R0_L0!$C$81,$D47,1)) + VALUE(K1_16!E149), 2)</f>
        <v>0</v>
      </c>
      <c r="L52" s="10">
        <f>MOD(VALUE(MID(R0_L0!$C$82,$D47,1)) + VALUE(K1_16!F149), 2)</f>
        <v>1</v>
      </c>
      <c r="M52" s="10">
        <f>MOD(VALUE(MID(R0_L0!$C$83,$D47,1)) + VALUE(K1_16!G149), 2)</f>
        <v>1</v>
      </c>
      <c r="N52" s="10">
        <f>MOD(VALUE(MID(R0_L0!$C$84,$D47,1)) + VALUE(K1_16!H149), 2)</f>
        <v>1</v>
      </c>
      <c r="O52" s="10">
        <f>MOD(VALUE(MID(R0_L0!$C$85,$D47,1)) + VALUE(K1_16!I149), 2)</f>
        <v>0</v>
      </c>
      <c r="P52" s="10">
        <f>MOD(VALUE(MID(R0_L0!$C$86,$D47,1)) + VALUE(K1_16!J149), 2)</f>
        <v>1</v>
      </c>
      <c r="Q52" s="10">
        <f>MOD(VALUE(MID(R0_L0!$C$87,$D47,1)) + VALUE(K1_16!K149), 2)</f>
        <v>1</v>
      </c>
      <c r="R52" s="10">
        <f>MOD(VALUE(MID(R0_L0!$C$88,$D47,1)) + VALUE(K1_16!L149), 2)</f>
        <v>1</v>
      </c>
      <c r="S52" s="10">
        <f>MOD(VALUE(MID(R0_L0!$C$89,$D47,1)) + VALUE(K1_16!M149), 2)</f>
        <v>1</v>
      </c>
      <c r="T52" s="10">
        <f>MOD(VALUE(MID(R0_L0!$C$90,$D47,1)) + VALUE(K1_16!N149), 2)</f>
        <v>0</v>
      </c>
      <c r="U52" s="10">
        <f>MOD(VALUE(MID(R0_L0!$C$91,$D47,1)) + VALUE(K1_16!O149), 2)</f>
        <v>0</v>
      </c>
      <c r="V52" s="10">
        <f>MOD(VALUE(MID(R0_L0!$C$92,$D47,1)) + VALUE(K1_16!P149), 2)</f>
        <v>0</v>
      </c>
      <c r="W52" s="10">
        <f>MOD(VALUE(MID(R0_L0!$C$93,$D47,1)) + VALUE(K1_16!Q149), 2)</f>
        <v>1</v>
      </c>
      <c r="Z52" t="s">
        <v>129</v>
      </c>
      <c r="AA52" t="str">
        <f t="shared" si="1"/>
        <v>1</v>
      </c>
    </row>
    <row r="53" spans="1:27" x14ac:dyDescent="0.3">
      <c r="A53" s="4">
        <v>48</v>
      </c>
      <c r="B53" s="4">
        <v>3</v>
      </c>
      <c r="C53" s="5" t="str">
        <f t="shared" si="0"/>
        <v>0</v>
      </c>
      <c r="D53" s="4">
        <v>1</v>
      </c>
      <c r="E53" s="4">
        <v>27</v>
      </c>
      <c r="H53" s="3">
        <f>MOD(VALUE(MID($Q$8,D48,1)) + VALUE(K1_16!$B150), 2)</f>
        <v>1</v>
      </c>
      <c r="I53" s="10">
        <f>MOD(VALUE(MID(R0_L0!$C$79,D48,1)) + VALUE(K1_16!$C150), 2)</f>
        <v>0</v>
      </c>
      <c r="J53" s="10">
        <f>MOD(VALUE(MID(R0_L0!$C$80,$D48,1)) + VALUE(K1_16!D150), 2)</f>
        <v>0</v>
      </c>
      <c r="K53" s="10">
        <f>MOD(VALUE(MID(R0_L0!$C$81,$D48,1)) + VALUE(K1_16!E150), 2)</f>
        <v>0</v>
      </c>
      <c r="L53" s="10">
        <f>MOD(VALUE(MID(R0_L0!$C$82,$D48,1)) + VALUE(K1_16!F150), 2)</f>
        <v>1</v>
      </c>
      <c r="M53" s="10">
        <f>MOD(VALUE(MID(R0_L0!$C$83,$D48,1)) + VALUE(K1_16!G150), 2)</f>
        <v>1</v>
      </c>
      <c r="N53" s="10">
        <f>MOD(VALUE(MID(R0_L0!$C$84,$D48,1)) + VALUE(K1_16!H150), 2)</f>
        <v>1</v>
      </c>
      <c r="O53" s="10">
        <f>MOD(VALUE(MID(R0_L0!$C$85,$D48,1)) + VALUE(K1_16!I150), 2)</f>
        <v>1</v>
      </c>
      <c r="P53" s="10">
        <f>MOD(VALUE(MID(R0_L0!$C$86,$D48,1)) + VALUE(K1_16!J150), 2)</f>
        <v>1</v>
      </c>
      <c r="Q53" s="10">
        <f>MOD(VALUE(MID(R0_L0!$C$87,$D48,1)) + VALUE(K1_16!K150), 2)</f>
        <v>1</v>
      </c>
      <c r="R53" s="10">
        <f>MOD(VALUE(MID(R0_L0!$C$88,$D48,1)) + VALUE(K1_16!L150), 2)</f>
        <v>1</v>
      </c>
      <c r="S53" s="10">
        <f>MOD(VALUE(MID(R0_L0!$C$89,$D48,1)) + VALUE(K1_16!M150), 2)</f>
        <v>0</v>
      </c>
      <c r="T53" s="10">
        <f>MOD(VALUE(MID(R0_L0!$C$90,$D48,1)) + VALUE(K1_16!N150), 2)</f>
        <v>1</v>
      </c>
      <c r="U53" s="10">
        <f>MOD(VALUE(MID(R0_L0!$C$91,$D48,1)) + VALUE(K1_16!O150), 2)</f>
        <v>0</v>
      </c>
      <c r="V53" s="10">
        <f>MOD(VALUE(MID(R0_L0!$C$92,$D48,1)) + VALUE(K1_16!P150), 2)</f>
        <v>1</v>
      </c>
      <c r="W53" s="10">
        <f>MOD(VALUE(MID(R0_L0!$C$93,$D48,1)) + VALUE(K1_16!Q150), 2)</f>
        <v>0</v>
      </c>
      <c r="Z53" t="s">
        <v>128</v>
      </c>
      <c r="AA53" t="str">
        <f t="shared" si="1"/>
        <v>0</v>
      </c>
    </row>
    <row r="54" spans="1:27" x14ac:dyDescent="0.3">
      <c r="A54" s="4">
        <v>49</v>
      </c>
      <c r="B54" s="4">
        <v>61</v>
      </c>
      <c r="C54" s="5" t="str">
        <f t="shared" si="0"/>
        <v>1</v>
      </c>
      <c r="D54" s="4"/>
      <c r="E54" s="4">
        <v>34</v>
      </c>
      <c r="H54" s="3">
        <f>MOD(VALUE(MID($Q$8,D49,1)) + VALUE(K1_16!$B151), 2)</f>
        <v>1</v>
      </c>
      <c r="I54" s="10">
        <f>MOD(VALUE(MID(R0_L0!$C$79,D49,1)) + VALUE(K1_16!$C151), 2)</f>
        <v>1</v>
      </c>
      <c r="J54" s="10">
        <f>MOD(VALUE(MID(R0_L0!$C$80,$D49,1)) + VALUE(K1_16!D151), 2)</f>
        <v>1</v>
      </c>
      <c r="K54" s="10">
        <f>MOD(VALUE(MID(R0_L0!$C$81,$D49,1)) + VALUE(K1_16!E151), 2)</f>
        <v>0</v>
      </c>
      <c r="L54" s="10">
        <f>MOD(VALUE(MID(R0_L0!$C$82,$D49,1)) + VALUE(K1_16!F151), 2)</f>
        <v>0</v>
      </c>
      <c r="M54" s="10">
        <f>MOD(VALUE(MID(R0_L0!$C$83,$D49,1)) + VALUE(K1_16!G151), 2)</f>
        <v>0</v>
      </c>
      <c r="N54" s="10">
        <f>MOD(VALUE(MID(R0_L0!$C$84,$D49,1)) + VALUE(K1_16!H151), 2)</f>
        <v>0</v>
      </c>
      <c r="O54" s="10">
        <f>MOD(VALUE(MID(R0_L0!$C$85,$D49,1)) + VALUE(K1_16!I151), 2)</f>
        <v>0</v>
      </c>
      <c r="P54" s="10">
        <f>MOD(VALUE(MID(R0_L0!$C$86,$D49,1)) + VALUE(K1_16!J151), 2)</f>
        <v>0</v>
      </c>
      <c r="Q54" s="10">
        <f>MOD(VALUE(MID(R0_L0!$C$87,$D49,1)) + VALUE(K1_16!K151), 2)</f>
        <v>1</v>
      </c>
      <c r="R54" s="10">
        <f>MOD(VALUE(MID(R0_L0!$C$88,$D49,1)) + VALUE(K1_16!L151), 2)</f>
        <v>0</v>
      </c>
      <c r="S54" s="10">
        <f>MOD(VALUE(MID(R0_L0!$C$89,$D49,1)) + VALUE(K1_16!M151), 2)</f>
        <v>1</v>
      </c>
      <c r="T54" s="10">
        <f>MOD(VALUE(MID(R0_L0!$C$90,$D49,1)) + VALUE(K1_16!N151), 2)</f>
        <v>0</v>
      </c>
      <c r="U54" s="10">
        <f>MOD(VALUE(MID(R0_L0!$C$91,$D49,1)) + VALUE(K1_16!O151), 2)</f>
        <v>0</v>
      </c>
      <c r="V54" s="10">
        <f>MOD(VALUE(MID(R0_L0!$C$92,$D49,1)) + VALUE(K1_16!P151), 2)</f>
        <v>1</v>
      </c>
      <c r="W54" s="10">
        <f>MOD(VALUE(MID(R0_L0!$C$93,$D49,1)) + VALUE(K1_16!Q151), 2)</f>
        <v>1</v>
      </c>
      <c r="Z54" t="s">
        <v>128</v>
      </c>
      <c r="AA54" t="str">
        <f t="shared" si="1"/>
        <v>1</v>
      </c>
    </row>
    <row r="55" spans="1:27" x14ac:dyDescent="0.3">
      <c r="A55" s="4">
        <v>50</v>
      </c>
      <c r="B55" s="4">
        <v>53</v>
      </c>
      <c r="C55" s="5" t="str">
        <f t="shared" si="0"/>
        <v>1</v>
      </c>
      <c r="D55" s="4"/>
      <c r="E55" s="4">
        <v>2</v>
      </c>
      <c r="H55" s="3">
        <f>MOD(VALUE(MID($Q$8,D50,1)) + VALUE(K1_16!$B152), 2)</f>
        <v>0</v>
      </c>
      <c r="I55" s="10">
        <f>MOD(VALUE(MID(R0_L0!$C$79,D50,1)) + VALUE(K1_16!$C152), 2)</f>
        <v>0</v>
      </c>
      <c r="J55" s="10">
        <f>MOD(VALUE(MID(R0_L0!$C$80,$D50,1)) + VALUE(K1_16!D152), 2)</f>
        <v>0</v>
      </c>
      <c r="K55" s="10">
        <f>MOD(VALUE(MID(R0_L0!$C$81,$D50,1)) + VALUE(K1_16!E152), 2)</f>
        <v>0</v>
      </c>
      <c r="L55" s="10">
        <f>MOD(VALUE(MID(R0_L0!$C$82,$D50,1)) + VALUE(K1_16!F152), 2)</f>
        <v>0</v>
      </c>
      <c r="M55" s="10">
        <f>MOD(VALUE(MID(R0_L0!$C$83,$D50,1)) + VALUE(K1_16!G152), 2)</f>
        <v>1</v>
      </c>
      <c r="N55" s="10">
        <f>MOD(VALUE(MID(R0_L0!$C$84,$D50,1)) + VALUE(K1_16!H152), 2)</f>
        <v>1</v>
      </c>
      <c r="O55" s="10">
        <f>MOD(VALUE(MID(R0_L0!$C$85,$D50,1)) + VALUE(K1_16!I152), 2)</f>
        <v>1</v>
      </c>
      <c r="P55" s="10">
        <f>MOD(VALUE(MID(R0_L0!$C$86,$D50,1)) + VALUE(K1_16!J152), 2)</f>
        <v>0</v>
      </c>
      <c r="Q55" s="10">
        <f>MOD(VALUE(MID(R0_L0!$C$87,$D50,1)) + VALUE(K1_16!K152), 2)</f>
        <v>1</v>
      </c>
      <c r="R55" s="10">
        <f>MOD(VALUE(MID(R0_L0!$C$88,$D50,1)) + VALUE(K1_16!L152), 2)</f>
        <v>1</v>
      </c>
      <c r="S55" s="10">
        <f>MOD(VALUE(MID(R0_L0!$C$89,$D50,1)) + VALUE(K1_16!M152), 2)</f>
        <v>0</v>
      </c>
      <c r="T55" s="10">
        <f>MOD(VALUE(MID(R0_L0!$C$90,$D50,1)) + VALUE(K1_16!N152), 2)</f>
        <v>0</v>
      </c>
      <c r="U55" s="10">
        <f>MOD(VALUE(MID(R0_L0!$C$91,$D50,1)) + VALUE(K1_16!O152), 2)</f>
        <v>0</v>
      </c>
      <c r="V55" s="10">
        <f>MOD(VALUE(MID(R0_L0!$C$92,$D50,1)) + VALUE(K1_16!P152), 2)</f>
        <v>1</v>
      </c>
      <c r="W55" s="10">
        <f>MOD(VALUE(MID(R0_L0!$C$93,$D50,1)) + VALUE(K1_16!Q152), 2)</f>
        <v>1</v>
      </c>
      <c r="Z55" t="s">
        <v>129</v>
      </c>
      <c r="AA55" t="str">
        <f t="shared" si="1"/>
        <v>0</v>
      </c>
    </row>
    <row r="56" spans="1:27" x14ac:dyDescent="0.3">
      <c r="A56" s="4">
        <v>51</v>
      </c>
      <c r="B56" s="4">
        <v>45</v>
      </c>
      <c r="C56" s="5" t="str">
        <f t="shared" si="0"/>
        <v>1</v>
      </c>
      <c r="D56" s="4"/>
      <c r="E56" s="4">
        <v>42</v>
      </c>
      <c r="H56" s="3">
        <f>MOD(VALUE(MID($Q$8,D51,1)) + VALUE(K1_16!$B153), 2)</f>
        <v>0</v>
      </c>
      <c r="I56" s="10">
        <f>MOD(VALUE(MID(R0_L0!$C$79,D51,1)) + VALUE(K1_16!$C153), 2)</f>
        <v>0</v>
      </c>
      <c r="J56" s="10">
        <f>MOD(VALUE(MID(R0_L0!$C$80,$D51,1)) + VALUE(K1_16!D153), 2)</f>
        <v>0</v>
      </c>
      <c r="K56" s="10">
        <f>MOD(VALUE(MID(R0_L0!$C$81,$D51,1)) + VALUE(K1_16!E153), 2)</f>
        <v>1</v>
      </c>
      <c r="L56" s="10">
        <f>MOD(VALUE(MID(R0_L0!$C$82,$D51,1)) + VALUE(K1_16!F153), 2)</f>
        <v>1</v>
      </c>
      <c r="M56" s="10">
        <f>MOD(VALUE(MID(R0_L0!$C$83,$D51,1)) + VALUE(K1_16!G153), 2)</f>
        <v>1</v>
      </c>
      <c r="N56" s="10">
        <f>MOD(VALUE(MID(R0_L0!$C$84,$D51,1)) + VALUE(K1_16!H153), 2)</f>
        <v>0</v>
      </c>
      <c r="O56" s="10">
        <f>MOD(VALUE(MID(R0_L0!$C$85,$D51,1)) + VALUE(K1_16!I153), 2)</f>
        <v>1</v>
      </c>
      <c r="P56" s="10">
        <f>MOD(VALUE(MID(R0_L0!$C$86,$D51,1)) + VALUE(K1_16!J153), 2)</f>
        <v>1</v>
      </c>
      <c r="Q56" s="10">
        <f>MOD(VALUE(MID(R0_L0!$C$87,$D51,1)) + VALUE(K1_16!K153), 2)</f>
        <v>0</v>
      </c>
      <c r="R56" s="10">
        <f>MOD(VALUE(MID(R0_L0!$C$88,$D51,1)) + VALUE(K1_16!L153), 2)</f>
        <v>0</v>
      </c>
      <c r="S56" s="10">
        <f>MOD(VALUE(MID(R0_L0!$C$89,$D51,1)) + VALUE(K1_16!M153), 2)</f>
        <v>1</v>
      </c>
      <c r="T56" s="10">
        <f>MOD(VALUE(MID(R0_L0!$C$90,$D51,1)) + VALUE(K1_16!N153), 2)</f>
        <v>0</v>
      </c>
      <c r="U56" s="10">
        <f>MOD(VALUE(MID(R0_L0!$C$91,$D51,1)) + VALUE(K1_16!O153), 2)</f>
        <v>0</v>
      </c>
      <c r="V56" s="10">
        <f>MOD(VALUE(MID(R0_L0!$C$92,$D51,1)) + VALUE(K1_16!P153), 2)</f>
        <v>0</v>
      </c>
      <c r="W56" s="10">
        <f>MOD(VALUE(MID(R0_L0!$C$93,$D51,1)) + VALUE(K1_16!Q153), 2)</f>
        <v>1</v>
      </c>
      <c r="Z56" t="s">
        <v>128</v>
      </c>
      <c r="AA56" t="str">
        <f t="shared" si="1"/>
        <v>1</v>
      </c>
    </row>
    <row r="57" spans="1:27" x14ac:dyDescent="0.3">
      <c r="A57" s="4">
        <v>52</v>
      </c>
      <c r="B57" s="4">
        <v>37</v>
      </c>
      <c r="C57" s="5" t="str">
        <f t="shared" si="0"/>
        <v>1</v>
      </c>
      <c r="D57" s="4"/>
      <c r="E57" s="4">
        <v>10</v>
      </c>
      <c r="H57" s="3">
        <f>MOD(VALUE(MID($Q$8,D52,1)) + VALUE(K1_16!$B154), 2)</f>
        <v>0</v>
      </c>
      <c r="I57" s="10">
        <f>MOD(VALUE(MID(R0_L0!$C$79,D52,1)) + VALUE(K1_16!$C154), 2)</f>
        <v>1</v>
      </c>
      <c r="J57" s="10">
        <f>MOD(VALUE(MID(R0_L0!$C$80,$D52,1)) + VALUE(K1_16!D154), 2)</f>
        <v>0</v>
      </c>
      <c r="K57" s="10">
        <f>MOD(VALUE(MID(R0_L0!$C$81,$D52,1)) + VALUE(K1_16!E154), 2)</f>
        <v>1</v>
      </c>
      <c r="L57" s="10">
        <f>MOD(VALUE(MID(R0_L0!$C$82,$D52,1)) + VALUE(K1_16!F154), 2)</f>
        <v>0</v>
      </c>
      <c r="M57" s="10">
        <f>MOD(VALUE(MID(R0_L0!$C$83,$D52,1)) + VALUE(K1_16!G154), 2)</f>
        <v>1</v>
      </c>
      <c r="N57" s="10">
        <f>MOD(VALUE(MID(R0_L0!$C$84,$D52,1)) + VALUE(K1_16!H154), 2)</f>
        <v>1</v>
      </c>
      <c r="O57" s="10">
        <f>MOD(VALUE(MID(R0_L0!$C$85,$D52,1)) + VALUE(K1_16!I154), 2)</f>
        <v>1</v>
      </c>
      <c r="P57" s="10">
        <f>MOD(VALUE(MID(R0_L0!$C$86,$D52,1)) + VALUE(K1_16!J154), 2)</f>
        <v>0</v>
      </c>
      <c r="Q57" s="10">
        <f>MOD(VALUE(MID(R0_L0!$C$87,$D52,1)) + VALUE(K1_16!K154), 2)</f>
        <v>1</v>
      </c>
      <c r="R57" s="10">
        <f>MOD(VALUE(MID(R0_L0!$C$88,$D52,1)) + VALUE(K1_16!L154), 2)</f>
        <v>1</v>
      </c>
      <c r="S57" s="10">
        <f>MOD(VALUE(MID(R0_L0!$C$89,$D52,1)) + VALUE(K1_16!M154), 2)</f>
        <v>0</v>
      </c>
      <c r="T57" s="10">
        <f>MOD(VALUE(MID(R0_L0!$C$90,$D52,1)) + VALUE(K1_16!N154), 2)</f>
        <v>1</v>
      </c>
      <c r="U57" s="10">
        <f>MOD(VALUE(MID(R0_L0!$C$91,$D52,1)) + VALUE(K1_16!O154), 2)</f>
        <v>0</v>
      </c>
      <c r="V57" s="10">
        <f>MOD(VALUE(MID(R0_L0!$C$92,$D52,1)) + VALUE(K1_16!P154), 2)</f>
        <v>1</v>
      </c>
      <c r="W57" s="10">
        <f>MOD(VALUE(MID(R0_L0!$C$93,$D52,1)) + VALUE(K1_16!Q154), 2)</f>
        <v>0</v>
      </c>
      <c r="Z57" t="s">
        <v>129</v>
      </c>
      <c r="AA57" t="str">
        <f t="shared" si="1"/>
        <v>0</v>
      </c>
    </row>
    <row r="58" spans="1:27" x14ac:dyDescent="0.3">
      <c r="A58" s="4">
        <v>53</v>
      </c>
      <c r="B58" s="4">
        <v>29</v>
      </c>
      <c r="C58" s="5" t="str">
        <f t="shared" si="0"/>
        <v>0</v>
      </c>
      <c r="D58" s="4"/>
      <c r="E58" s="4">
        <v>50</v>
      </c>
      <c r="H58" s="3">
        <f>MOD(VALUE(MID($Q$8,D53,1)) + VALUE(K1_16!$B155), 2)</f>
        <v>0</v>
      </c>
      <c r="I58" s="10">
        <f>MOD(VALUE(MID(R0_L0!$C$79,D53,1)) + VALUE(K1_16!$C155), 2)</f>
        <v>0</v>
      </c>
      <c r="J58" s="10">
        <f>MOD(VALUE(MID(R0_L0!$C$80,$D53,1)) + VALUE(K1_16!D155), 2)</f>
        <v>0</v>
      </c>
      <c r="K58" s="10">
        <f>MOD(VALUE(MID(R0_L0!$C$81,$D53,1)) + VALUE(K1_16!E155), 2)</f>
        <v>0</v>
      </c>
      <c r="L58" s="10">
        <f>MOD(VALUE(MID(R0_L0!$C$82,$D53,1)) + VALUE(K1_16!F155), 2)</f>
        <v>1</v>
      </c>
      <c r="M58" s="10">
        <f>MOD(VALUE(MID(R0_L0!$C$83,$D53,1)) + VALUE(K1_16!G155), 2)</f>
        <v>1</v>
      </c>
      <c r="N58" s="10">
        <f>MOD(VALUE(MID(R0_L0!$C$84,$D53,1)) + VALUE(K1_16!H155), 2)</f>
        <v>0</v>
      </c>
      <c r="O58" s="10">
        <f>MOD(VALUE(MID(R0_L0!$C$85,$D53,1)) + VALUE(K1_16!I155), 2)</f>
        <v>1</v>
      </c>
      <c r="P58" s="10">
        <f>MOD(VALUE(MID(R0_L0!$C$86,$D53,1)) + VALUE(K1_16!J155), 2)</f>
        <v>1</v>
      </c>
      <c r="Q58" s="10">
        <f>MOD(VALUE(MID(R0_L0!$C$87,$D53,1)) + VALUE(K1_16!K155), 2)</f>
        <v>1</v>
      </c>
      <c r="R58" s="10">
        <f>MOD(VALUE(MID(R0_L0!$C$88,$D53,1)) + VALUE(K1_16!L155), 2)</f>
        <v>1</v>
      </c>
      <c r="S58" s="10">
        <f>MOD(VALUE(MID(R0_L0!$C$89,$D53,1)) + VALUE(K1_16!M155), 2)</f>
        <v>1</v>
      </c>
      <c r="T58" s="10">
        <f>MOD(VALUE(MID(R0_L0!$C$90,$D53,1)) + VALUE(K1_16!N155), 2)</f>
        <v>0</v>
      </c>
      <c r="U58" s="10">
        <f>MOD(VALUE(MID(R0_L0!$C$91,$D53,1)) + VALUE(K1_16!O155), 2)</f>
        <v>1</v>
      </c>
      <c r="V58" s="10">
        <f>MOD(VALUE(MID(R0_L0!$C$92,$D53,1)) + VALUE(K1_16!P155), 2)</f>
        <v>0</v>
      </c>
      <c r="W58" s="10">
        <f>MOD(VALUE(MID(R0_L0!$C$93,$D53,1)) + VALUE(K1_16!Q155), 2)</f>
        <v>0</v>
      </c>
      <c r="AA58" t="str">
        <f t="shared" si="1"/>
        <v>1</v>
      </c>
    </row>
    <row r="59" spans="1:27" x14ac:dyDescent="0.3">
      <c r="A59" s="4">
        <v>54</v>
      </c>
      <c r="B59" s="4">
        <v>21</v>
      </c>
      <c r="C59" s="5" t="str">
        <f t="shared" si="0"/>
        <v>0</v>
      </c>
      <c r="D59" s="4"/>
      <c r="E59" s="4">
        <v>18</v>
      </c>
    </row>
    <row r="60" spans="1:27" x14ac:dyDescent="0.3">
      <c r="A60" s="4">
        <v>55</v>
      </c>
      <c r="B60" s="4">
        <v>13</v>
      </c>
      <c r="C60" s="5" t="str">
        <f t="shared" si="0"/>
        <v>0</v>
      </c>
      <c r="D60" s="4"/>
      <c r="E60" s="4">
        <v>58</v>
      </c>
    </row>
    <row r="61" spans="1:27" x14ac:dyDescent="0.3">
      <c r="A61" s="4">
        <v>56</v>
      </c>
      <c r="B61" s="4">
        <v>5</v>
      </c>
      <c r="C61" s="5" t="str">
        <f t="shared" si="0"/>
        <v>0</v>
      </c>
      <c r="D61" s="4"/>
      <c r="E61" s="4">
        <v>26</v>
      </c>
    </row>
    <row r="62" spans="1:27" x14ac:dyDescent="0.3">
      <c r="A62" s="4">
        <v>57</v>
      </c>
      <c r="B62" s="4">
        <v>63</v>
      </c>
      <c r="C62" s="5" t="str">
        <f>MID($E$1,B62,1)</f>
        <v>1</v>
      </c>
      <c r="D62" s="4"/>
      <c r="E62" s="4">
        <v>33</v>
      </c>
    </row>
    <row r="63" spans="1:27" x14ac:dyDescent="0.3">
      <c r="A63" s="4">
        <v>58</v>
      </c>
      <c r="B63" s="4">
        <v>55</v>
      </c>
      <c r="C63" s="5" t="str">
        <f t="shared" si="0"/>
        <v>0</v>
      </c>
      <c r="D63" s="4"/>
      <c r="E63" s="4">
        <v>1</v>
      </c>
      <c r="G63" s="1"/>
      <c r="H63" s="1" t="s">
        <v>118</v>
      </c>
      <c r="I63" s="1"/>
      <c r="J63" s="1"/>
    </row>
    <row r="64" spans="1:27" x14ac:dyDescent="0.3">
      <c r="A64" s="4">
        <v>59</v>
      </c>
      <c r="B64" s="4">
        <v>47</v>
      </c>
      <c r="C64" s="5" t="str">
        <f t="shared" si="0"/>
        <v>1</v>
      </c>
      <c r="D64" s="4"/>
      <c r="E64" s="4">
        <v>41</v>
      </c>
    </row>
    <row r="65" spans="1:23" x14ac:dyDescent="0.3">
      <c r="A65" s="4">
        <v>60</v>
      </c>
      <c r="B65" s="4">
        <v>39</v>
      </c>
      <c r="C65" s="5" t="str">
        <f t="shared" si="0"/>
        <v>0</v>
      </c>
      <c r="D65" s="4"/>
      <c r="E65" s="4">
        <v>9</v>
      </c>
      <c r="G65" s="4" t="s">
        <v>108</v>
      </c>
      <c r="H65" s="4">
        <v>1</v>
      </c>
      <c r="I65" s="4">
        <v>2</v>
      </c>
      <c r="J65" s="4">
        <v>3</v>
      </c>
      <c r="K65" s="4">
        <v>4</v>
      </c>
      <c r="L65" s="4">
        <v>5</v>
      </c>
      <c r="M65" s="4">
        <v>6</v>
      </c>
      <c r="N65" s="4">
        <v>7</v>
      </c>
      <c r="O65" s="4">
        <v>8</v>
      </c>
      <c r="P65" s="4">
        <v>9</v>
      </c>
      <c r="Q65" s="4">
        <v>10</v>
      </c>
      <c r="R65" s="4">
        <v>11</v>
      </c>
      <c r="S65" s="4">
        <v>12</v>
      </c>
      <c r="T65" s="4">
        <v>13</v>
      </c>
      <c r="U65" s="4">
        <v>14</v>
      </c>
      <c r="V65" s="4">
        <v>15</v>
      </c>
      <c r="W65" s="4">
        <v>16</v>
      </c>
    </row>
    <row r="66" spans="1:23" x14ac:dyDescent="0.3">
      <c r="A66" s="4">
        <v>61</v>
      </c>
      <c r="B66" s="4">
        <v>31</v>
      </c>
      <c r="C66" s="5" t="str">
        <f t="shared" si="0"/>
        <v>1</v>
      </c>
      <c r="D66" s="4"/>
      <c r="E66" s="4">
        <v>49</v>
      </c>
      <c r="G66" s="4">
        <v>1</v>
      </c>
      <c r="H66" s="4" t="str">
        <f>MID(_xlfn.TEXTJOIN("",TRUE,H$11:H$58), 1 + 6*($G66-1), 6)</f>
        <v>011010</v>
      </c>
      <c r="I66" s="4" t="str">
        <f t="shared" ref="I66:W73" si="2">MID(_xlfn.TEXTJOIN("",TRUE,I$11:I$58), 1 + 6*($G66-1), 6)</f>
        <v>011011</v>
      </c>
      <c r="J66" s="4" t="str">
        <f t="shared" si="2"/>
        <v>111000</v>
      </c>
      <c r="K66" s="4" t="str">
        <f t="shared" si="2"/>
        <v>000110</v>
      </c>
      <c r="L66" s="4" t="str">
        <f t="shared" si="2"/>
        <v>101100</v>
      </c>
      <c r="M66" s="4" t="str">
        <f t="shared" si="2"/>
        <v>111001</v>
      </c>
      <c r="N66" s="4" t="str">
        <f t="shared" si="2"/>
        <v>011101</v>
      </c>
      <c r="O66" s="4" t="str">
        <f t="shared" si="2"/>
        <v>010101</v>
      </c>
      <c r="P66" s="4" t="str">
        <f t="shared" si="2"/>
        <v>111011</v>
      </c>
      <c r="Q66" s="4" t="str">
        <f t="shared" si="2"/>
        <v>111011</v>
      </c>
      <c r="R66" s="4" t="str">
        <f t="shared" si="2"/>
        <v>011001</v>
      </c>
      <c r="S66" s="4" t="str">
        <f t="shared" si="2"/>
        <v>010100</v>
      </c>
      <c r="T66" s="4" t="str">
        <f t="shared" si="2"/>
        <v>011010</v>
      </c>
      <c r="U66" s="4" t="str">
        <f t="shared" si="2"/>
        <v>010010</v>
      </c>
      <c r="V66" s="4" t="str">
        <f t="shared" si="2"/>
        <v>011100</v>
      </c>
      <c r="W66" s="4" t="str">
        <f t="shared" si="2"/>
        <v>011111</v>
      </c>
    </row>
    <row r="67" spans="1:23" x14ac:dyDescent="0.3">
      <c r="A67" s="4">
        <v>62</v>
      </c>
      <c r="B67" s="4">
        <v>23</v>
      </c>
      <c r="C67" s="5" t="str">
        <f t="shared" si="0"/>
        <v>0</v>
      </c>
      <c r="D67" s="4"/>
      <c r="E67" s="4">
        <v>17</v>
      </c>
      <c r="G67" s="4">
        <v>2</v>
      </c>
      <c r="H67" s="4" t="str">
        <f t="shared" ref="H67:H73" si="3">MID(_xlfn.TEXTJOIN("",TRUE,$H$11:$H$58), 1 + 6*(G67-1), 6)</f>
        <v>110000</v>
      </c>
      <c r="I67" s="4" t="str">
        <f t="shared" ref="I67:I73" si="4">MID(_xlfn.TEXTJOIN("",TRUE,I$11:I$58), 1 + 6*($G67-1), 6)</f>
        <v>000100</v>
      </c>
      <c r="J67" s="4" t="str">
        <f t="shared" ref="J67:M73" si="5">MID(_xlfn.TEXTJOIN("",TRUE,J$11:J$58), 1 + 6*($G67-1), 6)</f>
        <v>001111</v>
      </c>
      <c r="K67" s="4" t="str">
        <f t="shared" si="5"/>
        <v>000000</v>
      </c>
      <c r="L67" s="4" t="str">
        <f t="shared" si="5"/>
        <v>110110</v>
      </c>
      <c r="M67" s="4" t="str">
        <f t="shared" si="5"/>
        <v>100000</v>
      </c>
      <c r="N67" s="4" t="str">
        <f t="shared" si="2"/>
        <v>101111</v>
      </c>
      <c r="O67" s="4" t="str">
        <f t="shared" si="2"/>
        <v>111110</v>
      </c>
      <c r="P67" s="4" t="str">
        <f t="shared" si="2"/>
        <v>110011</v>
      </c>
      <c r="Q67" s="4" t="str">
        <f t="shared" si="2"/>
        <v>101111</v>
      </c>
      <c r="R67" s="4" t="str">
        <f t="shared" si="2"/>
        <v>000001</v>
      </c>
      <c r="S67" s="4" t="str">
        <f t="shared" si="2"/>
        <v>011110</v>
      </c>
      <c r="T67" s="4" t="str">
        <f t="shared" si="2"/>
        <v>101000</v>
      </c>
      <c r="U67" s="4" t="str">
        <f t="shared" si="2"/>
        <v>001010</v>
      </c>
      <c r="V67" s="4" t="str">
        <f t="shared" si="2"/>
        <v>000110</v>
      </c>
      <c r="W67" s="4" t="str">
        <f t="shared" si="2"/>
        <v>101111</v>
      </c>
    </row>
    <row r="68" spans="1:23" x14ac:dyDescent="0.3">
      <c r="A68" s="4">
        <v>63</v>
      </c>
      <c r="B68" s="4">
        <v>15</v>
      </c>
      <c r="C68" s="5" t="str">
        <f t="shared" si="0"/>
        <v>1</v>
      </c>
      <c r="D68" s="4"/>
      <c r="E68" s="4">
        <v>57</v>
      </c>
      <c r="G68" s="4">
        <v>3</v>
      </c>
      <c r="H68" s="4" t="str">
        <f t="shared" si="3"/>
        <v>000001</v>
      </c>
      <c r="I68" s="4" t="str">
        <f t="shared" si="4"/>
        <v>011110</v>
      </c>
      <c r="J68" s="4" t="str">
        <f t="shared" si="5"/>
        <v>110001</v>
      </c>
      <c r="K68" s="4" t="str">
        <f t="shared" si="5"/>
        <v>010101</v>
      </c>
      <c r="L68" s="4" t="str">
        <f t="shared" si="5"/>
        <v>111010</v>
      </c>
      <c r="M68" s="4" t="str">
        <f t="shared" si="5"/>
        <v>110000</v>
      </c>
      <c r="N68" s="4" t="str">
        <f t="shared" si="2"/>
        <v>100000</v>
      </c>
      <c r="O68" s="4" t="str">
        <f t="shared" si="2"/>
        <v>001110</v>
      </c>
      <c r="P68" s="4" t="str">
        <f t="shared" si="2"/>
        <v>000010</v>
      </c>
      <c r="Q68" s="4" t="str">
        <f t="shared" si="2"/>
        <v>000011</v>
      </c>
      <c r="R68" s="4" t="str">
        <f t="shared" si="2"/>
        <v>110000</v>
      </c>
      <c r="S68" s="4" t="str">
        <f t="shared" si="2"/>
        <v>010111</v>
      </c>
      <c r="T68" s="4" t="str">
        <f t="shared" si="2"/>
        <v>010001</v>
      </c>
      <c r="U68" s="4" t="str">
        <f t="shared" si="2"/>
        <v>100001</v>
      </c>
      <c r="V68" s="4" t="str">
        <f t="shared" si="2"/>
        <v>111111</v>
      </c>
      <c r="W68" s="4" t="str">
        <f t="shared" si="2"/>
        <v>111100</v>
      </c>
    </row>
    <row r="69" spans="1:23" x14ac:dyDescent="0.3">
      <c r="A69" s="4">
        <v>64</v>
      </c>
      <c r="B69" s="4">
        <v>7</v>
      </c>
      <c r="C69" s="5" t="str">
        <f t="shared" si="0"/>
        <v>0</v>
      </c>
      <c r="D69" s="4"/>
      <c r="E69" s="4">
        <v>25</v>
      </c>
      <c r="G69" s="4">
        <v>4</v>
      </c>
      <c r="H69" s="4" t="str">
        <f t="shared" si="3"/>
        <v>000110</v>
      </c>
      <c r="I69" s="4" t="str">
        <f t="shared" si="4"/>
        <v>000110</v>
      </c>
      <c r="J69" s="4" t="str">
        <f t="shared" si="5"/>
        <v>110010</v>
      </c>
      <c r="K69" s="4" t="str">
        <f t="shared" si="5"/>
        <v>111011</v>
      </c>
      <c r="L69" s="4" t="str">
        <f t="shared" si="5"/>
        <v>101101</v>
      </c>
      <c r="M69" s="4" t="str">
        <f t="shared" si="5"/>
        <v>010011</v>
      </c>
      <c r="N69" s="4" t="str">
        <f t="shared" si="2"/>
        <v>010101</v>
      </c>
      <c r="O69" s="4" t="str">
        <f t="shared" si="2"/>
        <v>010101</v>
      </c>
      <c r="P69" s="4" t="str">
        <f t="shared" si="2"/>
        <v>110010</v>
      </c>
      <c r="Q69" s="4" t="str">
        <f t="shared" si="2"/>
        <v>100100</v>
      </c>
      <c r="R69" s="4" t="str">
        <f t="shared" si="2"/>
        <v>110000</v>
      </c>
      <c r="S69" s="4" t="str">
        <f t="shared" si="2"/>
        <v>111010</v>
      </c>
      <c r="T69" s="4" t="str">
        <f t="shared" si="2"/>
        <v>111101</v>
      </c>
      <c r="U69" s="4" t="str">
        <f t="shared" si="2"/>
        <v>000100</v>
      </c>
      <c r="V69" s="4" t="str">
        <f t="shared" si="2"/>
        <v>010001</v>
      </c>
      <c r="W69" s="4" t="str">
        <f t="shared" si="2"/>
        <v>000110</v>
      </c>
    </row>
    <row r="70" spans="1:23" x14ac:dyDescent="0.3">
      <c r="G70" s="4">
        <v>5</v>
      </c>
      <c r="H70" s="4" t="str">
        <f t="shared" si="3"/>
        <v>101000</v>
      </c>
      <c r="I70" s="4" t="str">
        <f t="shared" si="4"/>
        <v>111100</v>
      </c>
      <c r="J70" s="4" t="str">
        <f t="shared" si="5"/>
        <v>100010</v>
      </c>
      <c r="K70" s="4" t="str">
        <f t="shared" si="5"/>
        <v>111010</v>
      </c>
      <c r="L70" s="4" t="str">
        <f t="shared" si="5"/>
        <v>100010</v>
      </c>
      <c r="M70" s="4" t="str">
        <f t="shared" si="5"/>
        <v>011000</v>
      </c>
      <c r="N70" s="4" t="str">
        <f t="shared" si="2"/>
        <v>000000</v>
      </c>
      <c r="O70" s="4" t="str">
        <f t="shared" si="2"/>
        <v>001000</v>
      </c>
      <c r="P70" s="4" t="str">
        <f t="shared" si="2"/>
        <v>010110</v>
      </c>
      <c r="Q70" s="4" t="str">
        <f t="shared" si="2"/>
        <v>101011</v>
      </c>
      <c r="R70" s="4" t="str">
        <f t="shared" si="2"/>
        <v>111101</v>
      </c>
      <c r="S70" s="4" t="str">
        <f t="shared" si="2"/>
        <v>101100</v>
      </c>
      <c r="T70" s="4" t="str">
        <f t="shared" si="2"/>
        <v>011000</v>
      </c>
      <c r="U70" s="4" t="str">
        <f t="shared" si="2"/>
        <v>011000</v>
      </c>
      <c r="V70" s="4" t="str">
        <f t="shared" si="2"/>
        <v>000111</v>
      </c>
      <c r="W70" s="4" t="str">
        <f t="shared" si="2"/>
        <v>110100</v>
      </c>
    </row>
    <row r="71" spans="1:23" x14ac:dyDescent="0.3">
      <c r="G71" s="4">
        <v>6</v>
      </c>
      <c r="H71" s="4" t="str">
        <f t="shared" si="3"/>
        <v>010101</v>
      </c>
      <c r="I71" s="4" t="str">
        <f t="shared" si="4"/>
        <v>000101</v>
      </c>
      <c r="J71" s="4" t="str">
        <f t="shared" si="5"/>
        <v>110001</v>
      </c>
      <c r="K71" s="4" t="str">
        <f t="shared" si="5"/>
        <v>001110</v>
      </c>
      <c r="L71" s="4" t="str">
        <f t="shared" si="5"/>
        <v>100100</v>
      </c>
      <c r="M71" s="4" t="str">
        <f t="shared" si="5"/>
        <v>110101</v>
      </c>
      <c r="N71" s="4" t="str">
        <f t="shared" si="2"/>
        <v>000010</v>
      </c>
      <c r="O71" s="4" t="str">
        <f t="shared" si="2"/>
        <v>110000</v>
      </c>
      <c r="P71" s="4" t="str">
        <f t="shared" si="2"/>
        <v>001110</v>
      </c>
      <c r="Q71" s="4" t="str">
        <f t="shared" si="2"/>
        <v>001110</v>
      </c>
      <c r="R71" s="4" t="str">
        <f t="shared" si="2"/>
        <v>111100</v>
      </c>
      <c r="S71" s="4" t="str">
        <f t="shared" si="2"/>
        <v>001000</v>
      </c>
      <c r="T71" s="4" t="str">
        <f t="shared" si="2"/>
        <v>011011</v>
      </c>
      <c r="U71" s="4" t="str">
        <f t="shared" si="2"/>
        <v>110000</v>
      </c>
      <c r="V71" s="4" t="str">
        <f t="shared" si="2"/>
        <v>110110</v>
      </c>
      <c r="W71" s="4" t="str">
        <f t="shared" si="2"/>
        <v>110000</v>
      </c>
    </row>
    <row r="72" spans="1:23" x14ac:dyDescent="0.3">
      <c r="G72" s="4">
        <v>7</v>
      </c>
      <c r="H72" s="4" t="str">
        <f t="shared" si="3"/>
        <v>110011</v>
      </c>
      <c r="I72" s="4" t="str">
        <f t="shared" si="4"/>
        <v>011010</v>
      </c>
      <c r="J72" s="4" t="str">
        <f t="shared" si="5"/>
        <v>000111</v>
      </c>
      <c r="K72" s="4" t="str">
        <f t="shared" si="5"/>
        <v>111000</v>
      </c>
      <c r="L72" s="4" t="str">
        <f t="shared" si="5"/>
        <v>111001</v>
      </c>
      <c r="M72" s="4" t="str">
        <f t="shared" si="5"/>
        <v>001011</v>
      </c>
      <c r="N72" s="4" t="str">
        <f t="shared" si="2"/>
        <v>010101</v>
      </c>
      <c r="O72" s="4" t="str">
        <f t="shared" si="2"/>
        <v>110100</v>
      </c>
      <c r="P72" s="4" t="str">
        <f t="shared" si="2"/>
        <v>110001</v>
      </c>
      <c r="Q72" s="4" t="str">
        <f t="shared" si="2"/>
        <v>001001</v>
      </c>
      <c r="R72" s="4" t="str">
        <f t="shared" si="2"/>
        <v>101011</v>
      </c>
      <c r="S72" s="4" t="str">
        <f t="shared" si="2"/>
        <v>100111</v>
      </c>
      <c r="T72" s="4" t="str">
        <f t="shared" si="2"/>
        <v>111010</v>
      </c>
      <c r="U72" s="4" t="str">
        <f t="shared" si="2"/>
        <v>100010</v>
      </c>
      <c r="V72" s="4" t="str">
        <f t="shared" si="2"/>
        <v>101110</v>
      </c>
      <c r="W72" s="4" t="str">
        <f t="shared" si="2"/>
        <v>110111</v>
      </c>
    </row>
    <row r="73" spans="1:23" x14ac:dyDescent="0.3">
      <c r="G73" s="4">
        <v>8</v>
      </c>
      <c r="H73" s="4" t="str">
        <f t="shared" si="3"/>
        <v>110000</v>
      </c>
      <c r="I73" s="4" t="str">
        <f t="shared" si="4"/>
        <v>010010</v>
      </c>
      <c r="J73" s="4" t="str">
        <f t="shared" si="5"/>
        <v>010000</v>
      </c>
      <c r="K73" s="4" t="str">
        <f t="shared" si="5"/>
        <v>000110</v>
      </c>
      <c r="L73" s="4" t="str">
        <f t="shared" si="5"/>
        <v>100101</v>
      </c>
      <c r="M73" s="4" t="str">
        <f t="shared" si="5"/>
        <v>101111</v>
      </c>
      <c r="N73" s="4" t="str">
        <f t="shared" si="2"/>
        <v>101010</v>
      </c>
      <c r="O73" s="4" t="str">
        <f t="shared" si="2"/>
        <v>101111</v>
      </c>
      <c r="P73" s="4" t="str">
        <f t="shared" si="2"/>
        <v>100101</v>
      </c>
      <c r="Q73" s="4" t="str">
        <f t="shared" si="2"/>
        <v>111011</v>
      </c>
      <c r="R73" s="4" t="str">
        <f t="shared" si="2"/>
        <v>101011</v>
      </c>
      <c r="S73" s="4" t="str">
        <f t="shared" si="2"/>
        <v>010101</v>
      </c>
      <c r="T73" s="4" t="str">
        <f t="shared" si="2"/>
        <v>100010</v>
      </c>
      <c r="U73" s="4" t="str">
        <f t="shared" si="2"/>
        <v>000001</v>
      </c>
      <c r="V73" s="4" t="str">
        <f t="shared" si="2"/>
        <v>111010</v>
      </c>
      <c r="W73" s="4" t="str">
        <f t="shared" si="2"/>
        <v>011100</v>
      </c>
    </row>
    <row r="74" spans="1:23" x14ac:dyDescent="0.3">
      <c r="H74" t="str">
        <f>MID($J$64, 1 + 6*(A14-1), 6)</f>
        <v/>
      </c>
    </row>
    <row r="77" spans="1:23" x14ac:dyDescent="0.3">
      <c r="G77" s="1"/>
      <c r="H77" s="1" t="s">
        <v>119</v>
      </c>
      <c r="I77" s="1"/>
      <c r="J77" s="1"/>
      <c r="K77" s="1"/>
    </row>
    <row r="78" spans="1:23" x14ac:dyDescent="0.3">
      <c r="G78" t="s">
        <v>108</v>
      </c>
      <c r="H78">
        <v>1</v>
      </c>
      <c r="I78">
        <v>2</v>
      </c>
      <c r="J78">
        <v>3</v>
      </c>
      <c r="K78">
        <v>4</v>
      </c>
      <c r="L78">
        <v>5</v>
      </c>
      <c r="M78">
        <v>6</v>
      </c>
      <c r="N78">
        <v>7</v>
      </c>
      <c r="O78">
        <v>8</v>
      </c>
      <c r="P78">
        <v>9</v>
      </c>
      <c r="Q78">
        <v>10</v>
      </c>
      <c r="R78">
        <v>11</v>
      </c>
      <c r="S78">
        <v>12</v>
      </c>
      <c r="T78">
        <v>13</v>
      </c>
      <c r="U78">
        <v>14</v>
      </c>
      <c r="V78">
        <v>15</v>
      </c>
      <c r="W78">
        <v>16</v>
      </c>
    </row>
    <row r="79" spans="1:23" x14ac:dyDescent="0.3">
      <c r="G79">
        <v>1</v>
      </c>
      <c r="H79" t="str">
        <f>DEC2BIN(
   INDEX(SBox!$B$4:$Q$7, BIN2DEC(LEFT(H66,1)&amp;RIGHT(H66,1))+1, BIN2DEC(MID(H66,2,4))+1),
   4
)</f>
        <v>1001</v>
      </c>
      <c r="I79" t="str">
        <f>DEC2BIN(
   INDEX(SBox!$B$4:$Q$7, BIN2DEC(LEFT(I66,1)&amp;RIGHT(I66,1))+1, BIN2DEC(MID(I66,2,4))+1),
   4
)</f>
        <v>0101</v>
      </c>
      <c r="J79" t="str">
        <f>DEC2BIN(
   INDEX(SBox!$B$4:$Q$7, BIN2DEC(LEFT(J66,1)&amp;RIGHT(J66,1))+1, BIN2DEC(MID(J66,2,4))+1),
   4
)</f>
        <v>0011</v>
      </c>
      <c r="K79" t="str">
        <f>DEC2BIN(
   INDEX(SBox!$B$4:$Q$7, BIN2DEC(LEFT(K66,1)&amp;RIGHT(K66,1))+1, BIN2DEC(MID(K66,2,4))+1),
   4
)</f>
        <v>0001</v>
      </c>
      <c r="L79" t="str">
        <f>DEC2BIN(
   INDEX(SBox!$B$4:$Q$7, BIN2DEC(LEFT(L66,1)&amp;RIGHT(L66,1))+1, BIN2DEC(MID(L66,2,4))+1),
   4
)</f>
        <v>0010</v>
      </c>
      <c r="M79" t="str">
        <f>DEC2BIN(
   INDEX(SBox!$B$4:$Q$7, BIN2DEC(LEFT(M66,1)&amp;RIGHT(M66,1))+1, BIN2DEC(MID(M66,2,4))+1),
   4
)</f>
        <v>1010</v>
      </c>
      <c r="N79" t="str">
        <f>DEC2BIN(
   INDEX(SBox!$B$4:$Q$7, BIN2DEC(LEFT(N66,1)&amp;RIGHT(N66,1))+1, BIN2DEC(MID(N66,2,4))+1),
   4
)</f>
        <v>0011</v>
      </c>
      <c r="O79" t="str">
        <f>DEC2BIN(
   INDEX(SBox!$B$4:$Q$7, BIN2DEC(LEFT(O66,1)&amp;RIGHT(O66,1))+1, BIN2DEC(MID(O66,2,4))+1),
   4
)</f>
        <v>1100</v>
      </c>
      <c r="P79" t="str">
        <f>DEC2BIN(
   INDEX(SBox!$B$4:$Q$7, BIN2DEC(LEFT(P66,1)&amp;RIGHT(P66,1))+1, BIN2DEC(MID(P66,2,4))+1),
   4
)</f>
        <v>0000</v>
      </c>
      <c r="Q79" t="str">
        <f>DEC2BIN(
   INDEX(SBox!$B$4:$Q$7, BIN2DEC(LEFT(Q66,1)&amp;RIGHT(Q66,1))+1, BIN2DEC(MID(Q66,2,4))+1),
   4
)</f>
        <v>0000</v>
      </c>
      <c r="R79" t="str">
        <f>DEC2BIN(
   INDEX(SBox!$B$4:$Q$7, BIN2DEC(LEFT(R66,1)&amp;RIGHT(R66,1))+1, BIN2DEC(MID(R66,2,4))+1),
   4
)</f>
        <v>1001</v>
      </c>
      <c r="S79" t="str">
        <f>DEC2BIN(
   INDEX(SBox!$B$4:$Q$7, BIN2DEC(LEFT(S66,1)&amp;RIGHT(S66,1))+1, BIN2DEC(MID(S66,2,4))+1),
   4
)</f>
        <v>0110</v>
      </c>
      <c r="T79" t="str">
        <f>DEC2BIN(
   INDEX(SBox!$B$4:$Q$7, BIN2DEC(LEFT(T66,1)&amp;RIGHT(T66,1))+1, BIN2DEC(MID(T66,2,4))+1),
   4
)</f>
        <v>1001</v>
      </c>
      <c r="U79" t="str">
        <f>DEC2BIN(
   INDEX(SBox!$B$4:$Q$7, BIN2DEC(LEFT(U66,1)&amp;RIGHT(U66,1))+1, BIN2DEC(MID(U66,2,4))+1),
   4
)</f>
        <v>1010</v>
      </c>
      <c r="V79" t="str">
        <f>DEC2BIN(
   INDEX(SBox!$B$4:$Q$7, BIN2DEC(LEFT(V66,1)&amp;RIGHT(V66,1))+1, BIN2DEC(MID(V66,2,4))+1),
   4
)</f>
        <v>0000</v>
      </c>
      <c r="W79" t="str">
        <f>DEC2BIN(
   INDEX(SBox!$B$4:$Q$7, BIN2DEC(LEFT(W66,1)&amp;RIGHT(W66,1))+1, BIN2DEC(MID(W66,2,4))+1),
   4
)</f>
        <v>1000</v>
      </c>
    </row>
    <row r="80" spans="1:23" x14ac:dyDescent="0.3">
      <c r="G80">
        <v>2</v>
      </c>
      <c r="H80" t="str">
        <f>DEC2BIN(
   INDEX(SBox!$B$11:$Q$14, BIN2DEC(LEFT(H67,1)&amp;RIGHT(H67,1))+1, BIN2DEC(MID(H67,2,4))+1),
   4
)</f>
        <v>0101</v>
      </c>
      <c r="I80" t="str">
        <f>DEC2BIN(
   INDEX(SBox!$B$11:$Q$14, BIN2DEC(LEFT(I67,1)&amp;RIGHT(I67,1))+1, BIN2DEC(MID(I67,2,4))+1),
   4
)</f>
        <v>1000</v>
      </c>
      <c r="J80" t="str">
        <f>DEC2BIN(
   INDEX(SBox!$B$11:$Q$14, BIN2DEC(LEFT(J67,1)&amp;RIGHT(J67,1))+1, BIN2DEC(MID(J67,2,4))+1),
   4
)</f>
        <v>1110</v>
      </c>
      <c r="K80" t="str">
        <f>DEC2BIN(
   INDEX(SBox!$B$11:$Q$14, BIN2DEC(LEFT(K67,1)&amp;RIGHT(K67,1))+1, BIN2DEC(MID(K67,2,4))+1),
   4
)</f>
        <v>1111</v>
      </c>
      <c r="L80" t="str">
        <f>DEC2BIN(
   INDEX(SBox!$B$11:$Q$14, BIN2DEC(LEFT(L67,1)&amp;RIGHT(L67,1))+1, BIN2DEC(MID(L67,2,4))+1),
   4
)</f>
        <v>0110</v>
      </c>
      <c r="M80" t="str">
        <f>DEC2BIN(
   INDEX(SBox!$B$11:$Q$14, BIN2DEC(LEFT(M67,1)&amp;RIGHT(M67,1))+1, BIN2DEC(MID(M67,2,4))+1),
   4
)</f>
        <v>0000</v>
      </c>
      <c r="N80" t="str">
        <f>DEC2BIN(
   INDEX(SBox!$B$11:$Q$14, BIN2DEC(LEFT(N67,1)&amp;RIGHT(N67,1))+1, BIN2DEC(MID(N67,2,4))+1),
   4
)</f>
        <v>0010</v>
      </c>
      <c r="O80" t="str">
        <f>DEC2BIN(
   INDEX(SBox!$B$11:$Q$14, BIN2DEC(LEFT(O67,1)&amp;RIGHT(O67,1))+1, BIN2DEC(MID(O67,2,4))+1),
   4
)</f>
        <v>1111</v>
      </c>
      <c r="P80" t="str">
        <f>DEC2BIN(
   INDEX(SBox!$B$11:$Q$14, BIN2DEC(LEFT(P67,1)&amp;RIGHT(P67,1))+1, BIN2DEC(MID(P67,2,4))+1),
   4
)</f>
        <v>0110</v>
      </c>
      <c r="Q80" t="str">
        <f>DEC2BIN(
   INDEX(SBox!$B$11:$Q$14, BIN2DEC(LEFT(Q67,1)&amp;RIGHT(Q67,1))+1, BIN2DEC(MID(Q67,2,4))+1),
   4
)</f>
        <v>0010</v>
      </c>
      <c r="R80" t="str">
        <f>DEC2BIN(
   INDEX(SBox!$B$11:$Q$14, BIN2DEC(LEFT(R67,1)&amp;RIGHT(R67,1))+1, BIN2DEC(MID(R67,2,4))+1),
   4
)</f>
        <v>0011</v>
      </c>
      <c r="S80" t="str">
        <f>DEC2BIN(
   INDEX(SBox!$B$11:$Q$14, BIN2DEC(LEFT(S67,1)&amp;RIGHT(S67,1))+1, BIN2DEC(MID(S67,2,4))+1),
   4
)</f>
        <v>1010</v>
      </c>
      <c r="T80" t="str">
        <f>DEC2BIN(
   INDEX(SBox!$B$11:$Q$14, BIN2DEC(LEFT(T67,1)&amp;RIGHT(T67,1))+1, BIN2DEC(MID(T67,2,4))+1),
   4
)</f>
        <v>1010</v>
      </c>
      <c r="U80" t="str">
        <f>DEC2BIN(
   INDEX(SBox!$B$11:$Q$14, BIN2DEC(LEFT(U67,1)&amp;RIGHT(U67,1))+1, BIN2DEC(MID(U67,2,4))+1),
   4
)</f>
        <v>1011</v>
      </c>
      <c r="V80" t="str">
        <f>DEC2BIN(
   INDEX(SBox!$B$11:$Q$14, BIN2DEC(LEFT(V67,1)&amp;RIGHT(V67,1))+1, BIN2DEC(MID(V67,2,4))+1),
   4
)</f>
        <v>1110</v>
      </c>
      <c r="W80" t="str">
        <f>DEC2BIN(
   INDEX(SBox!$B$11:$Q$14, BIN2DEC(LEFT(W67,1)&amp;RIGHT(W67,1))+1, BIN2DEC(MID(W67,2,4))+1),
   4
)</f>
        <v>0010</v>
      </c>
    </row>
    <row r="81" spans="7:23" x14ac:dyDescent="0.3">
      <c r="G81">
        <v>3</v>
      </c>
      <c r="H81" t="str">
        <f>DEC2BIN(
   INDEX(SBox!$B$18:$Q$21, BIN2DEC(LEFT(H68,1)&amp;RIGHT(H68,1))+1, BIN2DEC(MID(H68,2,4))+1),
   4
)</f>
        <v>1101</v>
      </c>
      <c r="I81" t="str">
        <f>DEC2BIN(
   INDEX(SBox!$B$18:$Q$21, BIN2DEC(LEFT(I68,1)&amp;RIGHT(I68,1))+1, BIN2DEC(MID(I68,2,4))+1),
   4
)</f>
        <v>1000</v>
      </c>
      <c r="J81" t="str">
        <f>DEC2BIN(
   INDEX(SBox!$B$18:$Q$21, BIN2DEC(LEFT(J68,1)&amp;RIGHT(J68,1))+1, BIN2DEC(MID(J68,2,4))+1),
   4
)</f>
        <v>0100</v>
      </c>
      <c r="K81" t="str">
        <f>DEC2BIN(
   INDEX(SBox!$B$18:$Q$21, BIN2DEC(LEFT(K68,1)&amp;RIGHT(K68,1))+1, BIN2DEC(MID(K68,2,4))+1),
   4
)</f>
        <v>0101</v>
      </c>
      <c r="L81" t="str">
        <f>DEC2BIN(
   INDEX(SBox!$B$18:$Q$21, BIN2DEC(LEFT(L68,1)&amp;RIGHT(L68,1))+1, BIN2DEC(MID(L68,2,4))+1),
   4
)</f>
        <v>1010</v>
      </c>
      <c r="M81" t="str">
        <f>DEC2BIN(
   INDEX(SBox!$B$18:$Q$21, BIN2DEC(LEFT(M68,1)&amp;RIGHT(M68,1))+1, BIN2DEC(MID(M68,2,4))+1),
   4
)</f>
        <v>1011</v>
      </c>
      <c r="N81" t="str">
        <f>DEC2BIN(
   INDEX(SBox!$B$18:$Q$21, BIN2DEC(LEFT(N68,1)&amp;RIGHT(N68,1))+1, BIN2DEC(MID(N68,2,4))+1),
   4
)</f>
        <v>1101</v>
      </c>
      <c r="O81" t="str">
        <f>DEC2BIN(
   INDEX(SBox!$B$18:$Q$21, BIN2DEC(LEFT(O68,1)&amp;RIGHT(O68,1))+1, BIN2DEC(MID(O68,2,4))+1),
   4
)</f>
        <v>0101</v>
      </c>
      <c r="P81" t="str">
        <f>DEC2BIN(
   INDEX(SBox!$B$18:$Q$21, BIN2DEC(LEFT(P68,1)&amp;RIGHT(P68,1))+1, BIN2DEC(MID(P68,2,4))+1),
   4
)</f>
        <v>0000</v>
      </c>
      <c r="Q81" t="str">
        <f>DEC2BIN(
   INDEX(SBox!$B$18:$Q$21, BIN2DEC(LEFT(Q68,1)&amp;RIGHT(Q68,1))+1, BIN2DEC(MID(Q68,2,4))+1),
   4
)</f>
        <v>0111</v>
      </c>
      <c r="R81" t="str">
        <f>DEC2BIN(
   INDEX(SBox!$B$18:$Q$21, BIN2DEC(LEFT(R68,1)&amp;RIGHT(R68,1))+1, BIN2DEC(MID(R68,2,4))+1),
   4
)</f>
        <v>1011</v>
      </c>
      <c r="S81" t="str">
        <f>DEC2BIN(
   INDEX(SBox!$B$18:$Q$21, BIN2DEC(LEFT(S68,1)&amp;RIGHT(S68,1))+1, BIN2DEC(MID(S68,2,4))+1),
   4
)</f>
        <v>1110</v>
      </c>
      <c r="T81" t="str">
        <f>DEC2BIN(
   INDEX(SBox!$B$18:$Q$21, BIN2DEC(LEFT(T68,1)&amp;RIGHT(T68,1))+1, BIN2DEC(MID(T68,2,4))+1),
   4
)</f>
        <v>0010</v>
      </c>
      <c r="U81" t="str">
        <f>DEC2BIN(
   INDEX(SBox!$B$18:$Q$21, BIN2DEC(LEFT(U68,1)&amp;RIGHT(U68,1))+1, BIN2DEC(MID(U68,2,4))+1),
   4
)</f>
        <v>0001</v>
      </c>
      <c r="V81" t="str">
        <f>DEC2BIN(
   INDEX(SBox!$B$18:$Q$21, BIN2DEC(LEFT(V68,1)&amp;RIGHT(V68,1))+1, BIN2DEC(MID(V68,2,4))+1),
   4
)</f>
        <v>1100</v>
      </c>
      <c r="W81" t="str">
        <f>DEC2BIN(
   INDEX(SBox!$B$18:$Q$21, BIN2DEC(LEFT(W68,1)&amp;RIGHT(W68,1))+1, BIN2DEC(MID(W68,2,4))+1),
   4
)</f>
        <v>1110</v>
      </c>
    </row>
    <row r="82" spans="7:23" x14ac:dyDescent="0.3">
      <c r="G82">
        <v>4</v>
      </c>
      <c r="H82" t="str">
        <f>DEC2BIN(
   INDEX(SBox!$B$25:$Q$28, BIN2DEC(LEFT(H69,1)&amp;RIGHT(H69,1))+1, BIN2DEC(MID(H69,2,4))+1),
   4
)</f>
        <v>0011</v>
      </c>
      <c r="I82" t="str">
        <f>DEC2BIN(
   INDEX(SBox!$B$25:$Q$28, BIN2DEC(LEFT(I69,1)&amp;RIGHT(I69,1))+1, BIN2DEC(MID(I69,2,4))+1),
   4
)</f>
        <v>0011</v>
      </c>
      <c r="J82" t="str">
        <f>DEC2BIN(
   INDEX(SBox!$B$25:$Q$28, BIN2DEC(LEFT(J69,1)&amp;RIGHT(J69,1))+1, BIN2DEC(MID(J69,2,4))+1),
   4
)</f>
        <v>0001</v>
      </c>
      <c r="K82" t="str">
        <f>DEC2BIN(
   INDEX(SBox!$B$25:$Q$28, BIN2DEC(LEFT(K69,1)&amp;RIGHT(K69,1))+1, BIN2DEC(MID(K69,2,4))+1),
   4
)</f>
        <v>0111</v>
      </c>
      <c r="L82" t="str">
        <f>DEC2BIN(
   INDEX(SBox!$B$25:$Q$28, BIN2DEC(LEFT(L69,1)&amp;RIGHT(L69,1))+1, BIN2DEC(MID(L69,2,4))+1),
   4
)</f>
        <v>1101</v>
      </c>
      <c r="M82" t="str">
        <f>DEC2BIN(
   INDEX(SBox!$B$25:$Q$28, BIN2DEC(LEFT(M69,1)&amp;RIGHT(M69,1))+1, BIN2DEC(MID(M69,2,4))+1),
   4
)</f>
        <v>0111</v>
      </c>
      <c r="N82" t="str">
        <f>DEC2BIN(
   INDEX(SBox!$B$25:$Q$28, BIN2DEC(LEFT(N69,1)&amp;RIGHT(N69,1))+1, BIN2DEC(MID(N69,2,4))+1),
   4
)</f>
        <v>0010</v>
      </c>
      <c r="O82" t="str">
        <f>DEC2BIN(
   INDEX(SBox!$B$25:$Q$28, BIN2DEC(LEFT(O69,1)&amp;RIGHT(O69,1))+1, BIN2DEC(MID(O69,2,4))+1),
   4
)</f>
        <v>0010</v>
      </c>
      <c r="P82" t="str">
        <f>DEC2BIN(
   INDEX(SBox!$B$25:$Q$28, BIN2DEC(LEFT(P69,1)&amp;RIGHT(P69,1))+1, BIN2DEC(MID(P69,2,4))+1),
   4
)</f>
        <v>0001</v>
      </c>
      <c r="Q82" t="str">
        <f>DEC2BIN(
   INDEX(SBox!$B$25:$Q$28, BIN2DEC(LEFT(Q69,1)&amp;RIGHT(Q69,1))+1, BIN2DEC(MID(Q69,2,4))+1),
   4
)</f>
        <v>1001</v>
      </c>
      <c r="R82" t="str">
        <f>DEC2BIN(
   INDEX(SBox!$B$25:$Q$28, BIN2DEC(LEFT(R69,1)&amp;RIGHT(R69,1))+1, BIN2DEC(MID(R69,2,4))+1),
   4
)</f>
        <v>1111</v>
      </c>
      <c r="S82" t="str">
        <f>DEC2BIN(
   INDEX(SBox!$B$25:$Q$28, BIN2DEC(LEFT(S69,1)&amp;RIGHT(S69,1))+1, BIN2DEC(MID(S69,2,4))+1),
   4
)</f>
        <v>0010</v>
      </c>
      <c r="T82" t="str">
        <f>DEC2BIN(
   INDEX(SBox!$B$25:$Q$28, BIN2DEC(LEFT(T69,1)&amp;RIGHT(T69,1))+1, BIN2DEC(MID(T69,2,4))+1),
   4
)</f>
        <v>0010</v>
      </c>
      <c r="U82" t="str">
        <f>DEC2BIN(
   INDEX(SBox!$B$25:$Q$28, BIN2DEC(LEFT(U69,1)&amp;RIGHT(U69,1))+1, BIN2DEC(MID(U69,2,4))+1),
   4
)</f>
        <v>1110</v>
      </c>
      <c r="V82" t="str">
        <f>DEC2BIN(
   INDEX(SBox!$B$25:$Q$28, BIN2DEC(LEFT(V69,1)&amp;RIGHT(V69,1))+1, BIN2DEC(MID(V69,2,4))+1),
   4
)</f>
        <v>0100</v>
      </c>
      <c r="W82" t="str">
        <f>DEC2BIN(
   INDEX(SBox!$B$25:$Q$28, BIN2DEC(LEFT(W69,1)&amp;RIGHT(W69,1))+1, BIN2DEC(MID(W69,2,4))+1),
   4
)</f>
        <v>0011</v>
      </c>
    </row>
    <row r="83" spans="7:23" x14ac:dyDescent="0.3">
      <c r="G83">
        <v>5</v>
      </c>
      <c r="H83" t="str">
        <f>DEC2BIN(
   INDEX(SBox!$B$32:$Q$35, BIN2DEC(LEFT(H70,1)&amp;RIGHT(H70,1))+1, BIN2DEC(MID(H70,2,4))+1),
   4
)</f>
        <v>1010</v>
      </c>
      <c r="I83" t="str">
        <f>DEC2BIN(
   INDEX(SBox!$B$32:$Q$35, BIN2DEC(LEFT(I70,1)&amp;RIGHT(I70,1))+1, BIN2DEC(MID(I70,2,4))+1),
   4
)</f>
        <v>0000</v>
      </c>
      <c r="J83" t="str">
        <f>DEC2BIN(
   INDEX(SBox!$B$32:$Q$35, BIN2DEC(LEFT(J70,1)&amp;RIGHT(J70,1))+1, BIN2DEC(MID(J70,2,4))+1),
   4
)</f>
        <v>0010</v>
      </c>
      <c r="K83" t="str">
        <f>DEC2BIN(
   INDEX(SBox!$B$32:$Q$35, BIN2DEC(LEFT(K70,1)&amp;RIGHT(K70,1))+1, BIN2DEC(MID(K70,2,4))+1),
   4
)</f>
        <v>0011</v>
      </c>
      <c r="L83" t="str">
        <f>DEC2BIN(
   INDEX(SBox!$B$32:$Q$35, BIN2DEC(LEFT(L70,1)&amp;RIGHT(L70,1))+1, BIN2DEC(MID(L70,2,4))+1),
   4
)</f>
        <v>0010</v>
      </c>
      <c r="M83" t="str">
        <f>DEC2BIN(
   INDEX(SBox!$B$32:$Q$35, BIN2DEC(LEFT(M70,1)&amp;RIGHT(M70,1))+1, BIN2DEC(MID(M70,2,4))+1),
   4
)</f>
        <v>1101</v>
      </c>
      <c r="N83" t="str">
        <f>DEC2BIN(
   INDEX(SBox!$B$32:$Q$35, BIN2DEC(LEFT(N70,1)&amp;RIGHT(N70,1))+1, BIN2DEC(MID(N70,2,4))+1),
   4
)</f>
        <v>0010</v>
      </c>
      <c r="O83" t="str">
        <f>DEC2BIN(
   INDEX(SBox!$B$32:$Q$35, BIN2DEC(LEFT(O70,1)&amp;RIGHT(O70,1))+1, BIN2DEC(MID(O70,2,4))+1),
   4
)</f>
        <v>0111</v>
      </c>
      <c r="P83" t="str">
        <f>DEC2BIN(
   INDEX(SBox!$B$32:$Q$35, BIN2DEC(LEFT(P70,1)&amp;RIGHT(P70,1))+1, BIN2DEC(MID(P70,2,4))+1),
   4
)</f>
        <v>1111</v>
      </c>
      <c r="Q83" t="str">
        <f>DEC2BIN(
   INDEX(SBox!$B$32:$Q$35, BIN2DEC(LEFT(Q70,1)&amp;RIGHT(Q70,1))+1, BIN2DEC(MID(Q70,2,4))+1),
   4
)</f>
        <v>1110</v>
      </c>
      <c r="R83" t="str">
        <f>DEC2BIN(
   INDEX(SBox!$B$32:$Q$35, BIN2DEC(LEFT(R70,1)&amp;RIGHT(R70,1))+1, BIN2DEC(MID(R70,2,4))+1),
   4
)</f>
        <v>0101</v>
      </c>
      <c r="S83" t="str">
        <f>DEC2BIN(
   INDEX(SBox!$B$32:$Q$35, BIN2DEC(LEFT(S70,1)&amp;RIGHT(S70,1))+1, BIN2DEC(MID(S70,2,4))+1),
   4
)</f>
        <v>0111</v>
      </c>
      <c r="T83" t="str">
        <f>DEC2BIN(
   INDEX(SBox!$B$32:$Q$35, BIN2DEC(LEFT(T70,1)&amp;RIGHT(T70,1))+1, BIN2DEC(MID(T70,2,4))+1),
   4
)</f>
        <v>1101</v>
      </c>
      <c r="U83" t="str">
        <f>DEC2BIN(
   INDEX(SBox!$B$32:$Q$35, BIN2DEC(LEFT(U70,1)&amp;RIGHT(U70,1))+1, BIN2DEC(MID(U70,2,4))+1),
   4
)</f>
        <v>1101</v>
      </c>
      <c r="V83" t="str">
        <f>DEC2BIN(
   INDEX(SBox!$B$32:$Q$35, BIN2DEC(LEFT(V70,1)&amp;RIGHT(V70,1))+1, BIN2DEC(MID(V70,2,4))+1),
   4
)</f>
        <v>1100</v>
      </c>
      <c r="W83" t="str">
        <f>DEC2BIN(
   INDEX(SBox!$B$32:$Q$35, BIN2DEC(LEFT(W70,1)&amp;RIGHT(W70,1))+1, BIN2DEC(MID(W70,2,4))+1),
   4
)</f>
        <v>1100</v>
      </c>
    </row>
    <row r="84" spans="7:23" x14ac:dyDescent="0.3">
      <c r="G84">
        <v>6</v>
      </c>
      <c r="H84" t="str">
        <f>DEC2BIN(
   INDEX(SBox!$B$39:$Q$42, BIN2DEC(LEFT(H71,1)&amp;RIGHT(H71,1))+1, BIN2DEC(MID(H71,2,4))+1),
   4
)</f>
        <v>1101</v>
      </c>
      <c r="I84" t="str">
        <f>DEC2BIN(
   INDEX(SBox!$B$39:$Q$42, BIN2DEC(LEFT(I71,1)&amp;RIGHT(I71,1))+1, BIN2DEC(MID(I71,2,4))+1),
   4
)</f>
        <v>0100</v>
      </c>
      <c r="J84" t="str">
        <f>DEC2BIN(
   INDEX(SBox!$B$39:$Q$42, BIN2DEC(LEFT(J71,1)&amp;RIGHT(J71,1))+1, BIN2DEC(MID(J71,2,4))+1),
   4
)</f>
        <v>1011</v>
      </c>
      <c r="K84" t="str">
        <f>DEC2BIN(
   INDEX(SBox!$B$39:$Q$42, BIN2DEC(LEFT(K71,1)&amp;RIGHT(K71,1))+1, BIN2DEC(MID(K71,2,4))+1),
   4
)</f>
        <v>1000</v>
      </c>
      <c r="L84" t="str">
        <f>DEC2BIN(
   INDEX(SBox!$B$39:$Q$42, BIN2DEC(LEFT(L71,1)&amp;RIGHT(L71,1))+1, BIN2DEC(MID(L71,2,4))+1),
   4
)</f>
        <v>1111</v>
      </c>
      <c r="M84" t="str">
        <f>DEC2BIN(
   INDEX(SBox!$B$39:$Q$42, BIN2DEC(LEFT(M71,1)&amp;RIGHT(M71,1))+1, BIN2DEC(MID(M71,2,4))+1),
   4
)</f>
        <v>0001</v>
      </c>
      <c r="N84" t="str">
        <f>DEC2BIN(
   INDEX(SBox!$B$39:$Q$42, BIN2DEC(LEFT(N71,1)&amp;RIGHT(N71,1))+1, BIN2DEC(MID(N71,2,4))+1),
   4
)</f>
        <v>0001</v>
      </c>
      <c r="O84" t="str">
        <f>DEC2BIN(
   INDEX(SBox!$B$39:$Q$42, BIN2DEC(LEFT(O71,1)&amp;RIGHT(O71,1))+1, BIN2DEC(MID(O71,2,4))+1),
   4
)</f>
        <v>0111</v>
      </c>
      <c r="P84" t="str">
        <f>DEC2BIN(
   INDEX(SBox!$B$39:$Q$42, BIN2DEC(LEFT(P71,1)&amp;RIGHT(P71,1))+1, BIN2DEC(MID(P71,2,4))+1),
   4
)</f>
        <v>1000</v>
      </c>
      <c r="Q84" t="str">
        <f>DEC2BIN(
   INDEX(SBox!$B$39:$Q$42, BIN2DEC(LEFT(Q71,1)&amp;RIGHT(Q71,1))+1, BIN2DEC(MID(Q71,2,4))+1),
   4
)</f>
        <v>1000</v>
      </c>
      <c r="R84" t="str">
        <f>DEC2BIN(
   INDEX(SBox!$B$39:$Q$42, BIN2DEC(LEFT(R71,1)&amp;RIGHT(R71,1))+1, BIN2DEC(MID(R71,2,4))+1),
   4
)</f>
        <v>1011</v>
      </c>
      <c r="S84" t="str">
        <f>DEC2BIN(
   INDEX(SBox!$B$39:$Q$42, BIN2DEC(LEFT(S71,1)&amp;RIGHT(S71,1))+1, BIN2DEC(MID(S71,2,4))+1),
   4
)</f>
        <v>1001</v>
      </c>
      <c r="T84" t="str">
        <f>DEC2BIN(
   INDEX(SBox!$B$39:$Q$42, BIN2DEC(LEFT(T71,1)&amp;RIGHT(T71,1))+1, BIN2DEC(MID(T71,2,4))+1),
   4
)</f>
        <v>1011</v>
      </c>
      <c r="U84" t="str">
        <f>DEC2BIN(
   INDEX(SBox!$B$39:$Q$42, BIN2DEC(LEFT(U71,1)&amp;RIGHT(U71,1))+1, BIN2DEC(MID(U71,2,4))+1),
   4
)</f>
        <v>0111</v>
      </c>
      <c r="V84" t="str">
        <f>DEC2BIN(
   INDEX(SBox!$B$39:$Q$42, BIN2DEC(LEFT(V71,1)&amp;RIGHT(V71,1))+1, BIN2DEC(MID(V71,2,4))+1),
   4
)</f>
        <v>1010</v>
      </c>
      <c r="W84" t="str">
        <f>DEC2BIN(
   INDEX(SBox!$B$39:$Q$42, BIN2DEC(LEFT(W71,1)&amp;RIGHT(W71,1))+1, BIN2DEC(MID(W71,2,4))+1),
   4
)</f>
        <v>0111</v>
      </c>
    </row>
    <row r="85" spans="7:23" x14ac:dyDescent="0.3">
      <c r="G85">
        <v>7</v>
      </c>
      <c r="H85" t="str">
        <f>DEC2BIN(
   INDEX(SBox!$B$46:$Q$49, BIN2DEC(LEFT(H72,1)&amp;RIGHT(H72,1))+1, BIN2DEC(MID(H72,2,4))+1),
   4
)</f>
        <v>0101</v>
      </c>
      <c r="I85" t="str">
        <f>DEC2BIN(
   INDEX(SBox!$B$46:$Q$49, BIN2DEC(LEFT(I72,1)&amp;RIGHT(I72,1))+1, BIN2DEC(MID(I72,2,4))+1),
   4
)</f>
        <v>1010</v>
      </c>
      <c r="J85" t="str">
        <f>DEC2BIN(
   INDEX(SBox!$B$46:$Q$49, BIN2DEC(LEFT(J72,1)&amp;RIGHT(J72,1))+1, BIN2DEC(MID(J72,2,4))+1),
   4
)</f>
        <v>0111</v>
      </c>
      <c r="K85" t="str">
        <f>DEC2BIN(
   INDEX(SBox!$B$46:$Q$49, BIN2DEC(LEFT(K72,1)&amp;RIGHT(K72,1))+1, BIN2DEC(MID(K72,2,4))+1),
   4
)</f>
        <v>0000</v>
      </c>
      <c r="L85" t="str">
        <f>DEC2BIN(
   INDEX(SBox!$B$46:$Q$49, BIN2DEC(LEFT(L72,1)&amp;RIGHT(L72,1))+1, BIN2DEC(MID(L72,2,4))+1),
   4
)</f>
        <v>1110</v>
      </c>
      <c r="M85" t="str">
        <f>DEC2BIN(
   INDEX(SBox!$B$46:$Q$49, BIN2DEC(LEFT(M72,1)&amp;RIGHT(M72,1))+1, BIN2DEC(MID(M72,2,4))+1),
   4
)</f>
        <v>1001</v>
      </c>
      <c r="N85" t="str">
        <f>DEC2BIN(
   INDEX(SBox!$B$46:$Q$49, BIN2DEC(LEFT(N72,1)&amp;RIGHT(N72,1))+1, BIN2DEC(MID(N72,2,4))+1),
   4
)</f>
        <v>0101</v>
      </c>
      <c r="O85" t="str">
        <f>DEC2BIN(
   INDEX(SBox!$B$46:$Q$49, BIN2DEC(LEFT(O72,1)&amp;RIGHT(O72,1))+1, BIN2DEC(MID(O72,2,4))+1),
   4
)</f>
        <v>0110</v>
      </c>
      <c r="P85" t="str">
        <f>DEC2BIN(
   INDEX(SBox!$B$46:$Q$49, BIN2DEC(LEFT(P72,1)&amp;RIGHT(P72,1))+1, BIN2DEC(MID(P72,2,4))+1),
   4
)</f>
        <v>1001</v>
      </c>
      <c r="Q85" t="str">
        <f>DEC2BIN(
   INDEX(SBox!$B$46:$Q$49, BIN2DEC(LEFT(Q72,1)&amp;RIGHT(Q72,1))+1, BIN2DEC(MID(Q72,2,4))+1),
   4
)</f>
        <v>0100</v>
      </c>
      <c r="R85" t="str">
        <f>DEC2BIN(
   INDEX(SBox!$B$46:$Q$49, BIN2DEC(LEFT(R72,1)&amp;RIGHT(R72,1))+1, BIN2DEC(MID(R72,2,4))+1),
   4
)</f>
        <v>0100</v>
      </c>
      <c r="S85" t="str">
        <f>DEC2BIN(
   INDEX(SBox!$B$46:$Q$49, BIN2DEC(LEFT(S72,1)&amp;RIGHT(S72,1))+1, BIN2DEC(MID(S72,2,4))+1),
   4
)</f>
        <v>1000</v>
      </c>
      <c r="T85" t="str">
        <f>DEC2BIN(
   INDEX(SBox!$B$46:$Q$49, BIN2DEC(LEFT(T72,1)&amp;RIGHT(T72,1))+1, BIN2DEC(MID(T72,2,4))+1),
   4
)</f>
        <v>0101</v>
      </c>
      <c r="U85" t="str">
        <f>DEC2BIN(
   INDEX(SBox!$B$46:$Q$49, BIN2DEC(LEFT(U72,1)&amp;RIGHT(U72,1))+1, BIN2DEC(MID(U72,2,4))+1),
   4
)</f>
        <v>0100</v>
      </c>
      <c r="V85" t="str">
        <f>DEC2BIN(
   INDEX(SBox!$B$46:$Q$49, BIN2DEC(LEFT(V72,1)&amp;RIGHT(V72,1))+1, BIN2DEC(MID(V72,2,4))+1),
   4
)</f>
        <v>1110</v>
      </c>
      <c r="W85" t="str">
        <f>DEC2BIN(
   INDEX(SBox!$B$46:$Q$49, BIN2DEC(LEFT(W72,1)&amp;RIGHT(W72,1))+1, BIN2DEC(MID(W72,2,4))+1),
   4
)</f>
        <v>1111</v>
      </c>
    </row>
    <row r="86" spans="7:23" x14ac:dyDescent="0.3">
      <c r="G86">
        <v>8</v>
      </c>
      <c r="H86" t="str">
        <f>DEC2BIN(
   INDEX(SBox!$B$53:$Q$56, BIN2DEC(LEFT(H73,1)&amp;RIGHT(H73,1))+1, BIN2DEC(MID(H73,2,4))+1),
   4
)</f>
        <v>0000</v>
      </c>
      <c r="I86" t="str">
        <f>DEC2BIN(
   INDEX(SBox!$B$53:$Q$56, BIN2DEC(LEFT(I73,1)&amp;RIGHT(I73,1))+1, BIN2DEC(MID(I73,2,4))+1),
   4
)</f>
        <v>1001</v>
      </c>
      <c r="J86" t="str">
        <f>DEC2BIN(
   INDEX(SBox!$B$53:$Q$56, BIN2DEC(LEFT(J73,1)&amp;RIGHT(J73,1))+1, BIN2DEC(MID(J73,2,4))+1),
   4
)</f>
        <v>1010</v>
      </c>
      <c r="K86" t="str">
        <f>DEC2BIN(
   INDEX(SBox!$B$53:$Q$56, BIN2DEC(LEFT(K73,1)&amp;RIGHT(K73,1))+1, BIN2DEC(MID(K73,2,4))+1),
   4
)</f>
        <v>0100</v>
      </c>
      <c r="L86" t="str">
        <f>DEC2BIN(
   INDEX(SBox!$B$53:$Q$56, BIN2DEC(LEFT(L73,1)&amp;RIGHT(L73,1))+1, BIN2DEC(MID(L73,2,4))+1),
   4
)</f>
        <v>1110</v>
      </c>
      <c r="M86" t="str">
        <f>DEC2BIN(
   INDEX(SBox!$B$53:$Q$56, BIN2DEC(LEFT(M73,1)&amp;RIGHT(M73,1))+1, BIN2DEC(MID(M73,2,4))+1),
   4
)</f>
        <v>1101</v>
      </c>
      <c r="N86" t="str">
        <f>DEC2BIN(
   INDEX(SBox!$B$53:$Q$56, BIN2DEC(LEFT(N73,1)&amp;RIGHT(N73,1))+1, BIN2DEC(MID(N73,2,4))+1),
   4
)</f>
        <v>1100</v>
      </c>
      <c r="O86" t="str">
        <f>DEC2BIN(
   INDEX(SBox!$B$53:$Q$56, BIN2DEC(LEFT(O73,1)&amp;RIGHT(O73,1))+1, BIN2DEC(MID(O73,2,4))+1),
   4
)</f>
        <v>1101</v>
      </c>
      <c r="P86" t="str">
        <f>DEC2BIN(
   INDEX(SBox!$B$53:$Q$56, BIN2DEC(LEFT(P73,1)&amp;RIGHT(P73,1))+1, BIN2DEC(MID(P73,2,4))+1),
   4
)</f>
        <v>1110</v>
      </c>
      <c r="Q86" t="str">
        <f>DEC2BIN(
   INDEX(SBox!$B$53:$Q$56, BIN2DEC(LEFT(Q73,1)&amp;RIGHT(Q73,1))+1, BIN2DEC(MID(Q73,2,4))+1),
   4
)</f>
        <v>0101</v>
      </c>
      <c r="R86" t="str">
        <f>DEC2BIN(
   INDEX(SBox!$B$53:$Q$56, BIN2DEC(LEFT(R73,1)&amp;RIGHT(R73,1))+1, BIN2DEC(MID(R73,2,4))+1),
   4
)</f>
        <v>1010</v>
      </c>
      <c r="S86" t="str">
        <f>DEC2BIN(
   INDEX(SBox!$B$53:$Q$56, BIN2DEC(LEFT(S73,1)&amp;RIGHT(S73,1))+1, BIN2DEC(MID(S73,2,4))+1),
   4
)</f>
        <v>0110</v>
      </c>
      <c r="T86" t="str">
        <f>DEC2BIN(
   INDEX(SBox!$B$53:$Q$56, BIN2DEC(LEFT(T73,1)&amp;RIGHT(T73,1))+1, BIN2DEC(MID(T73,2,4))+1),
   4
)</f>
        <v>1011</v>
      </c>
      <c r="U86" t="str">
        <f>DEC2BIN(
   INDEX(SBox!$B$53:$Q$56, BIN2DEC(LEFT(U73,1)&amp;RIGHT(U73,1))+1, BIN2DEC(MID(U73,2,4))+1),
   4
)</f>
        <v>0001</v>
      </c>
      <c r="V86" t="str">
        <f>DEC2BIN(
   INDEX(SBox!$B$53:$Q$56, BIN2DEC(LEFT(V73,1)&amp;RIGHT(V73,1))+1, BIN2DEC(MID(V73,2,4))+1),
   4
)</f>
        <v>0011</v>
      </c>
      <c r="W86" t="str">
        <f>DEC2BIN(
   INDEX(SBox!$B$53:$Q$56, BIN2DEC(LEFT(W73,1)&amp;RIGHT(W73,1))+1, BIN2DEC(MID(W73,2,4))+1),
   4
)</f>
        <v>1100</v>
      </c>
    </row>
    <row r="87" spans="7:23" x14ac:dyDescent="0.3">
      <c r="G87" s="1"/>
      <c r="H87" s="1" t="s">
        <v>146</v>
      </c>
      <c r="I87" s="1"/>
      <c r="J87" s="1"/>
    </row>
    <row r="88" spans="7:23" x14ac:dyDescent="0.3">
      <c r="H88" t="s">
        <v>130</v>
      </c>
      <c r="I88" t="str" cm="1">
        <f t="array" ref="I88">_xlfn.TEXTJOIN("",TRUE,MID(_xlfn.TEXTJOIN("",TRUE,H$79:H$86),{16,7,20,21,29,12,28,17,1,15,23,26,5,18,31,10,2,8,24,14,32,27,3,9,19,13,30,6,22,11,4,25},1))</f>
        <v>10010111110100010110000110011010</v>
      </c>
    </row>
    <row r="89" spans="7:23" x14ac:dyDescent="0.3">
      <c r="H89" t="s">
        <v>131</v>
      </c>
      <c r="I89" t="str" cm="1">
        <f t="array" ref="I89">_xlfn.TEXTJOIN("",TRUE,MID(_xlfn.TEXTJOIN("",TRUE,I$79:I$86),{16,7,20,21,29,12,28,17,1,15,23,26,5,18,31,10,2,8,24,14,32,27,3,9,19,13,30,6,22,11,4,25},1))</f>
        <v>10001000010010001000110100001011</v>
      </c>
    </row>
    <row r="90" spans="7:23" x14ac:dyDescent="0.3">
      <c r="H90" t="s">
        <v>132</v>
      </c>
      <c r="I90" t="str" cm="1">
        <f t="array" ref="I90">_xlfn.TEXTJOIN("",TRUE,MID(_xlfn.TEXTJOIN("",TRUE,J$79:J$86),{16,7,20,21,29,12,28,17,1,15,23,26,5,18,31,10,2,8,24,14,32,27,3,9,19,13,30,6,22,11,4,25},1))</f>
        <v>11011010001110110010011010010010</v>
      </c>
    </row>
    <row r="91" spans="7:23" x14ac:dyDescent="0.3">
      <c r="H91" t="s">
        <v>133</v>
      </c>
      <c r="I91" t="str" cm="1">
        <f t="array" ref="I91">_xlfn.TEXTJOIN("",TRUE,MID(_xlfn.TEXTJOIN("",TRUE,K$79:K$86),{16,7,20,21,29,12,28,17,1,15,23,26,5,18,31,10,2,8,24,14,32,27,3,9,19,13,30,6,22,11,4,25},1))</f>
        <v>11110100010010010101000010110010</v>
      </c>
    </row>
    <row r="92" spans="7:23" x14ac:dyDescent="0.3">
      <c r="H92" t="s">
        <v>134</v>
      </c>
      <c r="I92" t="str" cm="1">
        <f t="array" ref="I92">_xlfn.TEXTJOIN("",TRUE,MID(_xlfn.TEXTJOIN("",TRUE,L$79:L$86),{16,7,20,21,29,12,28,17,1,15,23,26,5,18,31,10,2,8,24,14,32,27,3,9,19,13,30,6,22,11,4,25},1))</f>
        <v>11011000001100100011011111111101</v>
      </c>
    </row>
    <row r="93" spans="7:23" x14ac:dyDescent="0.3">
      <c r="H93" t="s">
        <v>135</v>
      </c>
      <c r="I93" t="str" cm="1">
        <f t="array" ref="I93">_xlfn.TEXTJOIN("",TRUE,MID(_xlfn.TEXTJOIN("",TRUE,M$79:M$86),{16,7,20,21,29,12,28,17,1,15,23,26,5,18,31,10,2,8,24,14,32,27,3,9,19,13,30,6,22,11,4,25},1))</f>
        <v>10101111110001000011101100100101</v>
      </c>
    </row>
    <row r="94" spans="7:23" x14ac:dyDescent="0.3">
      <c r="H94" t="s">
        <v>136</v>
      </c>
      <c r="I94" t="str" cm="1">
        <f t="array" ref="I94">_xlfn.TEXTJOIN("",TRUE,MID(_xlfn.TEXTJOIN("",TRUE,N$79:N$86),{16,7,20,21,29,12,28,17,1,15,23,26,5,18,31,10,2,8,24,14,32,27,3,9,19,13,30,6,22,11,4,25},1))</f>
        <v>01001110010100010010001110100010</v>
      </c>
    </row>
    <row r="95" spans="7:23" x14ac:dyDescent="0.3">
      <c r="H95" t="s">
        <v>137</v>
      </c>
      <c r="I95" t="str" cm="1">
        <f t="array" ref="I95">_xlfn.TEXTJOIN("",TRUE,MID(_xlfn.TEXTJOIN("",TRUE,O$79:O$86),{16,7,20,21,29,12,28,17,1,15,23,26,5,18,31,10,2,8,24,14,32,27,3,9,19,13,30,6,22,11,4,25},1))</f>
        <v>01101100111111011110110010111000</v>
      </c>
    </row>
    <row r="96" spans="7:23" x14ac:dyDescent="0.3">
      <c r="H96" t="s">
        <v>138</v>
      </c>
      <c r="I96" t="str" cm="1">
        <f t="array" ref="I96">_xlfn.TEXTJOIN("",TRUE,MID(_xlfn.TEXTJOIN("",TRUE,P$79:P$86),{16,7,20,21,29,12,28,17,1,15,23,26,5,18,31,10,2,8,24,14,32,27,3,9,19,13,30,6,22,11,4,25},1))</f>
        <v>11111011000001100000000010110001</v>
      </c>
    </row>
    <row r="97" spans="8:9" x14ac:dyDescent="0.3">
      <c r="H97" t="s">
        <v>139</v>
      </c>
      <c r="I97" t="str" cm="1">
        <f t="array" ref="I97">_xlfn.TEXTJOIN("",TRUE,MID(_xlfn.TEXTJOIN("",TRUE,Q$79:Q$86),{16,7,20,21,29,12,28,17,1,15,23,26,5,18,31,10,2,8,24,14,32,27,3,9,19,13,30,6,22,11,4,25},1))</f>
        <v>11010101000101010000100011100100</v>
      </c>
    </row>
    <row r="98" spans="8:9" x14ac:dyDescent="0.3">
      <c r="H98" t="s">
        <v>140</v>
      </c>
      <c r="I98" t="str" cm="1">
        <f t="array" ref="I98">_xlfn.TEXTJOIN("",TRUE,MID(_xlfn.TEXTJOIN("",TRUE,R$79:R$86),{16,7,20,21,29,12,28,17,1,15,23,26,5,18,31,10,2,8,24,14,32,27,3,9,19,13,30,6,22,11,4,25},1))</f>
        <v>11111100111101100111000101000110</v>
      </c>
    </row>
    <row r="99" spans="8:9" x14ac:dyDescent="0.3">
      <c r="H99" t="s">
        <v>141</v>
      </c>
      <c r="I99" t="str" cm="1">
        <f t="array" ref="I99">_xlfn.TEXTJOIN("",TRUE,MID(_xlfn.TEXTJOIN("",TRUE,S$79:S$86),{16,7,20,21,29,12,28,17,1,15,23,26,5,18,31,10,2,8,24,14,32,27,3,9,19,13,30,6,22,11,4,25},1))</f>
        <v>01110000010011111010001110100101</v>
      </c>
    </row>
    <row r="100" spans="8:9" x14ac:dyDescent="0.3">
      <c r="H100" t="s">
        <v>142</v>
      </c>
      <c r="I100" t="str" cm="1">
        <f t="array" ref="I100">_xlfn.TEXTJOIN("",TRUE,MID(_xlfn.TEXTJOIN("",TRUE,T$79:T$86),{16,7,20,21,29,12,28,17,1,15,23,26,5,18,31,10,2,8,24,14,32,27,3,9,19,13,30,6,22,11,4,25},1))</f>
        <v>01111011111111100010100000000110</v>
      </c>
    </row>
    <row r="101" spans="8:9" x14ac:dyDescent="0.3">
      <c r="H101" t="s">
        <v>143</v>
      </c>
      <c r="I101" t="str" cm="1">
        <f t="array" ref="I101">_xlfn.TEXTJOIN("",TRUE,MID(_xlfn.TEXTJOIN("",TRUE,U$79:U$86),{16,7,20,21,29,12,28,17,1,15,23,26,5,18,31,10,2,8,24,14,32,27,3,9,19,13,30,6,22,11,4,25},1))</f>
        <v>01100101111111000111101001001000</v>
      </c>
    </row>
    <row r="102" spans="8:9" x14ac:dyDescent="0.3">
      <c r="H102" t="s">
        <v>144</v>
      </c>
      <c r="I102" t="str" cm="1">
        <f t="array" ref="I102">_xlfn.TEXTJOIN("",TRUE,MID(_xlfn.TEXTJOIN("",TRUE,V$79:V$86),{16,7,20,21,29,12,28,17,1,15,23,26,5,18,31,10,2,8,24,14,32,27,3,9,19,13,30,6,22,11,4,25},1))</f>
        <v>01010001001111110001110100010001</v>
      </c>
    </row>
    <row r="103" spans="8:9" x14ac:dyDescent="0.3">
      <c r="H103" t="s">
        <v>145</v>
      </c>
      <c r="I103" t="str" cm="1">
        <f t="array" ref="I103">_xlfn.TEXTJOIN("",TRUE,MID(_xlfn.TEXTJOIN("",TRUE,W$79:W$86),{16,7,20,21,29,12,28,17,1,15,23,26,5,18,31,10,2,8,24,14,32,27,3,9,19,13,30,6,22,11,4,25},1))</f>
        <v>11001011111101010010010100101101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BEE4-D18E-479D-8692-B51B25E99F55}">
  <dimension ref="A1:Q163"/>
  <sheetViews>
    <sheetView topLeftCell="A88" workbookViewId="0">
      <selection activeCell="L104" sqref="L104"/>
    </sheetView>
  </sheetViews>
  <sheetFormatPr defaultRowHeight="14.4" x14ac:dyDescent="0.3"/>
  <sheetData>
    <row r="1" spans="1:17" x14ac:dyDescent="0.3">
      <c r="A1" s="1" t="s">
        <v>68</v>
      </c>
      <c r="B1" s="1" t="str">
        <f>'Ham_f(RxorK)'!J5</f>
        <v>1001100011111110110011000000000011100000010101001111000010101010</v>
      </c>
      <c r="C1" s="1"/>
      <c r="D1" s="1"/>
      <c r="E1" s="1"/>
      <c r="F1" s="1"/>
      <c r="G1" s="1"/>
      <c r="H1" s="1"/>
      <c r="I1" s="1"/>
    </row>
    <row r="2" spans="1:17" x14ac:dyDescent="0.3">
      <c r="A2" t="s">
        <v>69</v>
      </c>
      <c r="B2" t="str">
        <f>LEFT(B1,32)</f>
        <v>10011000111111101100110000000000</v>
      </c>
      <c r="H2" t="s">
        <v>70</v>
      </c>
      <c r="I2" t="str">
        <f>RIGHT(B1,32)</f>
        <v>11100000010101001111000010101010</v>
      </c>
    </row>
    <row r="8" spans="1:17" x14ac:dyDescent="0.3">
      <c r="A8" s="3" t="s">
        <v>72</v>
      </c>
      <c r="B8" s="3" t="s">
        <v>73</v>
      </c>
      <c r="C8" s="3" t="s">
        <v>74</v>
      </c>
      <c r="D8" s="3" t="s">
        <v>75</v>
      </c>
      <c r="E8" s="3" t="s">
        <v>76</v>
      </c>
      <c r="F8" s="3" t="s">
        <v>77</v>
      </c>
      <c r="G8" s="3" t="s">
        <v>78</v>
      </c>
      <c r="H8" s="3" t="s">
        <v>79</v>
      </c>
      <c r="I8" s="3" t="s">
        <v>80</v>
      </c>
      <c r="J8" s="3" t="s">
        <v>81</v>
      </c>
      <c r="K8" s="3" t="s">
        <v>82</v>
      </c>
      <c r="L8" s="3" t="s">
        <v>83</v>
      </c>
      <c r="M8" s="3" t="s">
        <v>84</v>
      </c>
      <c r="N8" s="3" t="s">
        <v>85</v>
      </c>
      <c r="O8" s="3" t="s">
        <v>88</v>
      </c>
      <c r="P8" s="3" t="s">
        <v>89</v>
      </c>
      <c r="Q8" s="3" t="s">
        <v>90</v>
      </c>
    </row>
    <row r="9" spans="1:17" x14ac:dyDescent="0.3">
      <c r="A9" s="4" t="str">
        <f>MID($B$2,ROW(A1),1)</f>
        <v>1</v>
      </c>
      <c r="B9" s="4" t="str">
        <f t="shared" ref="B9:F9" si="0">A44</f>
        <v>1</v>
      </c>
      <c r="C9" s="4">
        <f t="shared" si="0"/>
        <v>0</v>
      </c>
      <c r="D9" s="4">
        <f t="shared" si="0"/>
        <v>0</v>
      </c>
      <c r="E9" s="4">
        <f t="shared" si="0"/>
        <v>1</v>
      </c>
      <c r="F9" s="4">
        <f t="shared" si="0"/>
        <v>1</v>
      </c>
      <c r="G9" s="4">
        <f t="shared" ref="G9:Q9" si="1">F44</f>
        <v>0</v>
      </c>
      <c r="H9" s="4">
        <f t="shared" si="1"/>
        <v>0</v>
      </c>
      <c r="I9" s="4">
        <f t="shared" si="1"/>
        <v>0</v>
      </c>
      <c r="J9" s="4">
        <f t="shared" si="1"/>
        <v>0</v>
      </c>
      <c r="K9" s="4">
        <f t="shared" si="1"/>
        <v>1</v>
      </c>
      <c r="L9" s="4">
        <f t="shared" si="1"/>
        <v>1</v>
      </c>
      <c r="M9" s="4">
        <f t="shared" si="1"/>
        <v>0</v>
      </c>
      <c r="N9" s="4">
        <f t="shared" si="1"/>
        <v>1</v>
      </c>
      <c r="O9" s="4">
        <f t="shared" si="1"/>
        <v>0</v>
      </c>
      <c r="P9" s="4">
        <f t="shared" si="1"/>
        <v>1</v>
      </c>
      <c r="Q9" s="4">
        <f t="shared" si="1"/>
        <v>0</v>
      </c>
    </row>
    <row r="10" spans="1:17" x14ac:dyDescent="0.3">
      <c r="A10" s="4" t="str">
        <f t="shared" ref="A10:A40" si="2">MID($B$2,ROW(A2),1)</f>
        <v>0</v>
      </c>
      <c r="B10" s="4" t="str">
        <f t="shared" ref="B10:F40" si="3">A45</f>
        <v>1</v>
      </c>
      <c r="C10" s="4">
        <f t="shared" si="3"/>
        <v>0</v>
      </c>
      <c r="D10" s="4">
        <f t="shared" si="3"/>
        <v>1</v>
      </c>
      <c r="E10" s="4">
        <f t="shared" si="3"/>
        <v>1</v>
      </c>
      <c r="F10" s="4">
        <f t="shared" si="3"/>
        <v>0</v>
      </c>
      <c r="G10" s="4">
        <f t="shared" ref="G10:G40" si="4">F45</f>
        <v>0</v>
      </c>
      <c r="H10" s="4">
        <f t="shared" ref="H10:I40" si="5">G45</f>
        <v>0</v>
      </c>
      <c r="I10" s="4">
        <f t="shared" si="5"/>
        <v>1</v>
      </c>
      <c r="J10" s="4">
        <f t="shared" ref="J10:Q10" si="6">I45</f>
        <v>1</v>
      </c>
      <c r="K10" s="4">
        <f t="shared" si="6"/>
        <v>0</v>
      </c>
      <c r="L10" s="4">
        <f t="shared" si="6"/>
        <v>0</v>
      </c>
      <c r="M10" s="4">
        <f t="shared" si="6"/>
        <v>1</v>
      </c>
      <c r="N10" s="4">
        <f t="shared" si="6"/>
        <v>1</v>
      </c>
      <c r="O10" s="4">
        <f t="shared" si="6"/>
        <v>0</v>
      </c>
      <c r="P10" s="4">
        <f t="shared" si="6"/>
        <v>0</v>
      </c>
      <c r="Q10" s="4">
        <f t="shared" si="6"/>
        <v>1</v>
      </c>
    </row>
    <row r="11" spans="1:17" x14ac:dyDescent="0.3">
      <c r="A11" s="4" t="str">
        <f t="shared" si="2"/>
        <v>0</v>
      </c>
      <c r="B11" s="4" t="str">
        <f t="shared" si="3"/>
        <v>1</v>
      </c>
      <c r="C11" s="4">
        <f t="shared" si="3"/>
        <v>0</v>
      </c>
      <c r="D11" s="4">
        <f t="shared" si="3"/>
        <v>1</v>
      </c>
      <c r="E11" s="4">
        <f t="shared" si="3"/>
        <v>0</v>
      </c>
      <c r="F11" s="4">
        <f t="shared" si="3"/>
        <v>0</v>
      </c>
      <c r="G11" s="4">
        <f t="shared" si="4"/>
        <v>0</v>
      </c>
      <c r="H11" s="4">
        <f t="shared" si="5"/>
        <v>1</v>
      </c>
      <c r="I11" s="4">
        <f t="shared" si="5"/>
        <v>0</v>
      </c>
      <c r="J11" s="4">
        <f t="shared" ref="J11:Q11" si="7">I46</f>
        <v>0</v>
      </c>
      <c r="K11" s="4">
        <f t="shared" si="7"/>
        <v>1</v>
      </c>
      <c r="L11" s="4">
        <f t="shared" si="7"/>
        <v>0</v>
      </c>
      <c r="M11" s="4">
        <f t="shared" si="7"/>
        <v>0</v>
      </c>
      <c r="N11" s="4">
        <f t="shared" si="7"/>
        <v>1</v>
      </c>
      <c r="O11" s="4">
        <f t="shared" si="7"/>
        <v>1</v>
      </c>
      <c r="P11" s="4">
        <f t="shared" si="7"/>
        <v>0</v>
      </c>
      <c r="Q11" s="4">
        <f t="shared" si="7"/>
        <v>1</v>
      </c>
    </row>
    <row r="12" spans="1:17" x14ac:dyDescent="0.3">
      <c r="A12" s="4" t="str">
        <f t="shared" si="2"/>
        <v>1</v>
      </c>
      <c r="B12" s="4" t="str">
        <f t="shared" si="3"/>
        <v>0</v>
      </c>
      <c r="C12" s="4">
        <f t="shared" si="3"/>
        <v>0</v>
      </c>
      <c r="D12" s="4">
        <f t="shared" si="3"/>
        <v>0</v>
      </c>
      <c r="E12" s="4">
        <f t="shared" si="3"/>
        <v>1</v>
      </c>
      <c r="F12" s="4">
        <f t="shared" si="3"/>
        <v>1</v>
      </c>
      <c r="G12" s="4">
        <f t="shared" si="4"/>
        <v>0</v>
      </c>
      <c r="H12" s="4">
        <f t="shared" si="5"/>
        <v>1</v>
      </c>
      <c r="I12" s="4">
        <f t="shared" si="5"/>
        <v>0</v>
      </c>
      <c r="J12" s="4">
        <f t="shared" ref="J12:Q12" si="8">I47</f>
        <v>1</v>
      </c>
      <c r="K12" s="4">
        <f t="shared" si="8"/>
        <v>1</v>
      </c>
      <c r="L12" s="4">
        <f t="shared" si="8"/>
        <v>0</v>
      </c>
      <c r="M12" s="4">
        <f t="shared" si="8"/>
        <v>0</v>
      </c>
      <c r="N12" s="4">
        <f t="shared" si="8"/>
        <v>1</v>
      </c>
      <c r="O12" s="4">
        <f t="shared" si="8"/>
        <v>1</v>
      </c>
      <c r="P12" s="4">
        <f t="shared" si="8"/>
        <v>1</v>
      </c>
      <c r="Q12" s="4">
        <f t="shared" si="8"/>
        <v>0</v>
      </c>
    </row>
    <row r="13" spans="1:17" x14ac:dyDescent="0.3">
      <c r="A13" s="4" t="str">
        <f t="shared" si="2"/>
        <v>1</v>
      </c>
      <c r="B13" s="4" t="str">
        <f t="shared" si="3"/>
        <v>0</v>
      </c>
      <c r="C13" s="4">
        <f t="shared" si="3"/>
        <v>1</v>
      </c>
      <c r="D13" s="4">
        <f t="shared" si="3"/>
        <v>1</v>
      </c>
      <c r="E13" s="4">
        <f t="shared" si="3"/>
        <v>0</v>
      </c>
      <c r="F13" s="4">
        <f t="shared" si="3"/>
        <v>1</v>
      </c>
      <c r="G13" s="4">
        <f t="shared" si="4"/>
        <v>1</v>
      </c>
      <c r="H13" s="4">
        <f t="shared" si="5"/>
        <v>0</v>
      </c>
      <c r="I13" s="4">
        <f t="shared" si="5"/>
        <v>0</v>
      </c>
      <c r="J13" s="4">
        <f t="shared" ref="J13:Q13" si="9">I48</f>
        <v>1</v>
      </c>
      <c r="K13" s="4">
        <f t="shared" si="9"/>
        <v>1</v>
      </c>
      <c r="L13" s="4">
        <f t="shared" si="9"/>
        <v>1</v>
      </c>
      <c r="M13" s="4">
        <f t="shared" si="9"/>
        <v>0</v>
      </c>
      <c r="N13" s="4">
        <f t="shared" si="9"/>
        <v>1</v>
      </c>
      <c r="O13" s="4">
        <f t="shared" si="9"/>
        <v>1</v>
      </c>
      <c r="P13" s="4">
        <f t="shared" si="9"/>
        <v>1</v>
      </c>
      <c r="Q13" s="4">
        <f t="shared" si="9"/>
        <v>1</v>
      </c>
    </row>
    <row r="14" spans="1:17" x14ac:dyDescent="0.3">
      <c r="A14" s="4" t="str">
        <f t="shared" si="2"/>
        <v>0</v>
      </c>
      <c r="B14" s="4" t="str">
        <f t="shared" si="3"/>
        <v>0</v>
      </c>
      <c r="C14" s="4">
        <f t="shared" si="3"/>
        <v>1</v>
      </c>
      <c r="D14" s="4">
        <f t="shared" si="3"/>
        <v>0</v>
      </c>
      <c r="E14" s="4">
        <f t="shared" si="3"/>
        <v>1</v>
      </c>
      <c r="F14" s="4">
        <f t="shared" si="3"/>
        <v>1</v>
      </c>
      <c r="G14" s="4">
        <f t="shared" si="4"/>
        <v>1</v>
      </c>
      <c r="H14" s="4">
        <f t="shared" si="5"/>
        <v>0</v>
      </c>
      <c r="I14" s="4">
        <f t="shared" si="5"/>
        <v>0</v>
      </c>
      <c r="J14" s="4">
        <f t="shared" ref="J14:Q14" si="10">I49</f>
        <v>1</v>
      </c>
      <c r="K14" s="4">
        <f t="shared" si="10"/>
        <v>0</v>
      </c>
      <c r="L14" s="4">
        <f t="shared" si="10"/>
        <v>0</v>
      </c>
      <c r="M14" s="4">
        <f t="shared" si="10"/>
        <v>1</v>
      </c>
      <c r="N14" s="4">
        <f t="shared" si="10"/>
        <v>0</v>
      </c>
      <c r="O14" s="4">
        <f t="shared" si="10"/>
        <v>1</v>
      </c>
      <c r="P14" s="4">
        <f t="shared" si="10"/>
        <v>1</v>
      </c>
      <c r="Q14" s="4">
        <f t="shared" si="10"/>
        <v>1</v>
      </c>
    </row>
    <row r="15" spans="1:17" x14ac:dyDescent="0.3">
      <c r="A15" s="4" t="str">
        <f t="shared" si="2"/>
        <v>0</v>
      </c>
      <c r="B15" s="4" t="str">
        <f t="shared" si="3"/>
        <v>0</v>
      </c>
      <c r="C15" s="4">
        <f t="shared" si="3"/>
        <v>1</v>
      </c>
      <c r="D15" s="4">
        <f t="shared" si="3"/>
        <v>0</v>
      </c>
      <c r="E15" s="4">
        <f t="shared" si="3"/>
        <v>0</v>
      </c>
      <c r="F15" s="4">
        <f t="shared" si="3"/>
        <v>0</v>
      </c>
      <c r="G15" s="4">
        <f t="shared" si="4"/>
        <v>0</v>
      </c>
      <c r="H15" s="4">
        <f t="shared" si="5"/>
        <v>1</v>
      </c>
      <c r="I15" s="4">
        <f t="shared" si="5"/>
        <v>1</v>
      </c>
      <c r="J15" s="4">
        <f t="shared" ref="J15:Q15" si="11">I50</f>
        <v>1</v>
      </c>
      <c r="K15" s="4">
        <f t="shared" si="11"/>
        <v>0</v>
      </c>
      <c r="L15" s="4">
        <f t="shared" si="11"/>
        <v>1</v>
      </c>
      <c r="M15" s="4">
        <f t="shared" si="11"/>
        <v>0</v>
      </c>
      <c r="N15" s="4">
        <f t="shared" si="11"/>
        <v>1</v>
      </c>
      <c r="O15" s="4">
        <f t="shared" si="11"/>
        <v>1</v>
      </c>
      <c r="P15" s="4">
        <f t="shared" si="11"/>
        <v>1</v>
      </c>
      <c r="Q15" s="4">
        <f t="shared" si="11"/>
        <v>1</v>
      </c>
    </row>
    <row r="16" spans="1:17" x14ac:dyDescent="0.3">
      <c r="A16" s="4" t="str">
        <f t="shared" si="2"/>
        <v>0</v>
      </c>
      <c r="B16" s="4" t="str">
        <f t="shared" si="3"/>
        <v>0</v>
      </c>
      <c r="C16" s="4">
        <f t="shared" si="3"/>
        <v>1</v>
      </c>
      <c r="D16" s="4">
        <f t="shared" si="3"/>
        <v>0</v>
      </c>
      <c r="E16" s="4">
        <f t="shared" si="3"/>
        <v>1</v>
      </c>
      <c r="F16" s="4">
        <f t="shared" si="3"/>
        <v>0</v>
      </c>
      <c r="G16" s="4">
        <f t="shared" si="4"/>
        <v>1</v>
      </c>
      <c r="H16" s="4">
        <f t="shared" si="5"/>
        <v>1</v>
      </c>
      <c r="I16" s="4">
        <f t="shared" si="5"/>
        <v>1</v>
      </c>
      <c r="J16" s="4">
        <f t="shared" ref="J16:Q16" si="12">I51</f>
        <v>1</v>
      </c>
      <c r="K16" s="4">
        <f t="shared" si="12"/>
        <v>0</v>
      </c>
      <c r="L16" s="4">
        <f t="shared" si="12"/>
        <v>0</v>
      </c>
      <c r="M16" s="4">
        <f t="shared" si="12"/>
        <v>0</v>
      </c>
      <c r="N16" s="4">
        <f t="shared" si="12"/>
        <v>0</v>
      </c>
      <c r="O16" s="4">
        <f t="shared" si="12"/>
        <v>1</v>
      </c>
      <c r="P16" s="4">
        <f t="shared" si="12"/>
        <v>1</v>
      </c>
      <c r="Q16" s="4">
        <f t="shared" si="12"/>
        <v>0</v>
      </c>
    </row>
    <row r="17" spans="1:17" x14ac:dyDescent="0.3">
      <c r="A17" s="4" t="str">
        <f t="shared" si="2"/>
        <v>1</v>
      </c>
      <c r="B17" s="4" t="str">
        <f t="shared" si="3"/>
        <v>0</v>
      </c>
      <c r="C17" s="4">
        <f t="shared" si="3"/>
        <v>0</v>
      </c>
      <c r="D17" s="4">
        <f t="shared" si="3"/>
        <v>0</v>
      </c>
      <c r="E17" s="4">
        <f t="shared" si="3"/>
        <v>0</v>
      </c>
      <c r="F17" s="4">
        <f t="shared" si="3"/>
        <v>0</v>
      </c>
      <c r="G17" s="4">
        <f t="shared" si="4"/>
        <v>0</v>
      </c>
      <c r="H17" s="4">
        <f t="shared" si="5"/>
        <v>1</v>
      </c>
      <c r="I17" s="4">
        <f t="shared" si="5"/>
        <v>0</v>
      </c>
      <c r="J17" s="4">
        <f t="shared" ref="J17:Q17" si="13">I52</f>
        <v>0</v>
      </c>
      <c r="K17" s="4">
        <f t="shared" si="13"/>
        <v>0</v>
      </c>
      <c r="L17" s="4">
        <f t="shared" si="13"/>
        <v>0</v>
      </c>
      <c r="M17" s="4">
        <f t="shared" si="13"/>
        <v>1</v>
      </c>
      <c r="N17" s="4">
        <f t="shared" si="13"/>
        <v>0</v>
      </c>
      <c r="O17" s="4">
        <f t="shared" si="13"/>
        <v>0</v>
      </c>
      <c r="P17" s="4">
        <f t="shared" si="13"/>
        <v>1</v>
      </c>
      <c r="Q17" s="4">
        <f t="shared" si="13"/>
        <v>0</v>
      </c>
    </row>
    <row r="18" spans="1:17" x14ac:dyDescent="0.3">
      <c r="A18" s="4" t="str">
        <f t="shared" si="2"/>
        <v>1</v>
      </c>
      <c r="B18" s="4" t="str">
        <f t="shared" si="3"/>
        <v>1</v>
      </c>
      <c r="C18" s="4">
        <f t="shared" si="3"/>
        <v>0</v>
      </c>
      <c r="D18" s="4">
        <f t="shared" si="3"/>
        <v>0</v>
      </c>
      <c r="E18" s="4">
        <f t="shared" si="3"/>
        <v>0</v>
      </c>
      <c r="F18" s="4">
        <f t="shared" si="3"/>
        <v>1</v>
      </c>
      <c r="G18" s="4">
        <f t="shared" si="4"/>
        <v>0</v>
      </c>
      <c r="H18" s="4">
        <f t="shared" si="5"/>
        <v>0</v>
      </c>
      <c r="I18" s="4">
        <f t="shared" si="5"/>
        <v>1</v>
      </c>
      <c r="J18" s="4">
        <f t="shared" ref="J18:Q18" si="14">I53</f>
        <v>1</v>
      </c>
      <c r="K18" s="4">
        <f t="shared" si="14"/>
        <v>1</v>
      </c>
      <c r="L18" s="4">
        <f t="shared" si="14"/>
        <v>1</v>
      </c>
      <c r="M18" s="4">
        <f t="shared" si="14"/>
        <v>0</v>
      </c>
      <c r="N18" s="4">
        <f t="shared" si="14"/>
        <v>0</v>
      </c>
      <c r="O18" s="4">
        <f t="shared" si="14"/>
        <v>1</v>
      </c>
      <c r="P18" s="4">
        <f t="shared" si="14"/>
        <v>1</v>
      </c>
      <c r="Q18" s="4">
        <f t="shared" si="14"/>
        <v>1</v>
      </c>
    </row>
    <row r="19" spans="1:17" x14ac:dyDescent="0.3">
      <c r="A19" s="4" t="str">
        <f t="shared" si="2"/>
        <v>1</v>
      </c>
      <c r="B19" s="4" t="str">
        <f t="shared" si="3"/>
        <v>0</v>
      </c>
      <c r="C19" s="4">
        <f t="shared" si="3"/>
        <v>1</v>
      </c>
      <c r="D19" s="4">
        <f t="shared" si="3"/>
        <v>0</v>
      </c>
      <c r="E19" s="4">
        <f t="shared" si="3"/>
        <v>0</v>
      </c>
      <c r="F19" s="4">
        <f t="shared" si="3"/>
        <v>0</v>
      </c>
      <c r="G19" s="4">
        <f t="shared" si="4"/>
        <v>1</v>
      </c>
      <c r="H19" s="4">
        <f t="shared" si="5"/>
        <v>0</v>
      </c>
      <c r="I19" s="4">
        <f t="shared" si="5"/>
        <v>1</v>
      </c>
      <c r="J19" s="4">
        <f t="shared" ref="J19:Q19" si="15">I54</f>
        <v>1</v>
      </c>
      <c r="K19" s="4">
        <f t="shared" si="15"/>
        <v>1</v>
      </c>
      <c r="L19" s="4">
        <f t="shared" si="15"/>
        <v>1</v>
      </c>
      <c r="M19" s="4">
        <f t="shared" si="15"/>
        <v>0</v>
      </c>
      <c r="N19" s="4">
        <f t="shared" si="15"/>
        <v>1</v>
      </c>
      <c r="O19" s="4">
        <f t="shared" si="15"/>
        <v>1</v>
      </c>
      <c r="P19" s="4">
        <f t="shared" si="15"/>
        <v>0</v>
      </c>
      <c r="Q19" s="4">
        <f t="shared" si="15"/>
        <v>0</v>
      </c>
    </row>
    <row r="20" spans="1:17" x14ac:dyDescent="0.3">
      <c r="A20" s="4" t="str">
        <f t="shared" si="2"/>
        <v>1</v>
      </c>
      <c r="B20" s="4" t="str">
        <f t="shared" si="3"/>
        <v>1</v>
      </c>
      <c r="C20" s="4">
        <f t="shared" si="3"/>
        <v>0</v>
      </c>
      <c r="D20" s="4">
        <f t="shared" si="3"/>
        <v>1</v>
      </c>
      <c r="E20" s="4">
        <f t="shared" si="3"/>
        <v>1</v>
      </c>
      <c r="F20" s="4">
        <f t="shared" si="3"/>
        <v>1</v>
      </c>
      <c r="G20" s="4">
        <f t="shared" si="4"/>
        <v>0</v>
      </c>
      <c r="H20" s="4">
        <f t="shared" si="5"/>
        <v>1</v>
      </c>
      <c r="I20" s="4">
        <f t="shared" si="5"/>
        <v>1</v>
      </c>
      <c r="J20" s="4">
        <f t="shared" ref="J20:Q20" si="16">I55</f>
        <v>0</v>
      </c>
      <c r="K20" s="4">
        <f t="shared" si="16"/>
        <v>1</v>
      </c>
      <c r="L20" s="4">
        <f t="shared" si="16"/>
        <v>1</v>
      </c>
      <c r="M20" s="4">
        <f t="shared" si="16"/>
        <v>0</v>
      </c>
      <c r="N20" s="4">
        <f t="shared" si="16"/>
        <v>1</v>
      </c>
      <c r="O20" s="4">
        <f t="shared" si="16"/>
        <v>1</v>
      </c>
      <c r="P20" s="4">
        <f t="shared" si="16"/>
        <v>0</v>
      </c>
      <c r="Q20" s="4">
        <f t="shared" si="16"/>
        <v>0</v>
      </c>
    </row>
    <row r="21" spans="1:17" x14ac:dyDescent="0.3">
      <c r="A21" s="4" t="str">
        <f t="shared" si="2"/>
        <v>1</v>
      </c>
      <c r="B21" s="4" t="str">
        <f t="shared" si="3"/>
        <v>0</v>
      </c>
      <c r="C21" s="4">
        <f t="shared" si="3"/>
        <v>1</v>
      </c>
      <c r="D21" s="4">
        <f t="shared" si="3"/>
        <v>1</v>
      </c>
      <c r="E21" s="4">
        <f t="shared" si="3"/>
        <v>0</v>
      </c>
      <c r="F21" s="4">
        <f t="shared" si="3"/>
        <v>0</v>
      </c>
      <c r="G21" s="4">
        <f t="shared" si="4"/>
        <v>0</v>
      </c>
      <c r="H21" s="4">
        <f t="shared" si="5"/>
        <v>0</v>
      </c>
      <c r="I21" s="4">
        <f t="shared" si="5"/>
        <v>0</v>
      </c>
      <c r="J21" s="4">
        <f t="shared" ref="J21:Q21" si="17">I56</f>
        <v>1</v>
      </c>
      <c r="K21" s="4">
        <f t="shared" si="17"/>
        <v>0</v>
      </c>
      <c r="L21" s="4">
        <f t="shared" si="17"/>
        <v>1</v>
      </c>
      <c r="M21" s="4">
        <f t="shared" si="17"/>
        <v>0</v>
      </c>
      <c r="N21" s="4">
        <f t="shared" si="17"/>
        <v>0</v>
      </c>
      <c r="O21" s="4">
        <f t="shared" si="17"/>
        <v>1</v>
      </c>
      <c r="P21" s="4">
        <f t="shared" si="17"/>
        <v>1</v>
      </c>
      <c r="Q21" s="4">
        <f t="shared" si="17"/>
        <v>0</v>
      </c>
    </row>
    <row r="22" spans="1:17" x14ac:dyDescent="0.3">
      <c r="A22" s="4" t="str">
        <f t="shared" si="2"/>
        <v>1</v>
      </c>
      <c r="B22" s="4" t="str">
        <f t="shared" si="3"/>
        <v>1</v>
      </c>
      <c r="C22" s="4">
        <f t="shared" si="3"/>
        <v>1</v>
      </c>
      <c r="D22" s="4">
        <f t="shared" si="3"/>
        <v>1</v>
      </c>
      <c r="E22" s="4">
        <f t="shared" si="3"/>
        <v>1</v>
      </c>
      <c r="F22" s="4">
        <f t="shared" si="3"/>
        <v>1</v>
      </c>
      <c r="G22" s="4">
        <f t="shared" si="4"/>
        <v>1</v>
      </c>
      <c r="H22" s="4">
        <f t="shared" si="5"/>
        <v>0</v>
      </c>
      <c r="I22" s="4">
        <f t="shared" si="5"/>
        <v>1</v>
      </c>
      <c r="J22" s="4">
        <f t="shared" ref="J22:Q22" si="18">I57</f>
        <v>1</v>
      </c>
      <c r="K22" s="4">
        <f t="shared" si="18"/>
        <v>0</v>
      </c>
      <c r="L22" s="4">
        <f t="shared" si="18"/>
        <v>0</v>
      </c>
      <c r="M22" s="4">
        <f t="shared" si="18"/>
        <v>1</v>
      </c>
      <c r="N22" s="4">
        <f t="shared" si="18"/>
        <v>1</v>
      </c>
      <c r="O22" s="4">
        <f t="shared" si="18"/>
        <v>0</v>
      </c>
      <c r="P22" s="4">
        <f t="shared" si="18"/>
        <v>0</v>
      </c>
      <c r="Q22" s="4">
        <f t="shared" si="18"/>
        <v>1</v>
      </c>
    </row>
    <row r="23" spans="1:17" x14ac:dyDescent="0.3">
      <c r="A23" s="4" t="str">
        <f t="shared" si="2"/>
        <v>1</v>
      </c>
      <c r="B23" s="4" t="str">
        <f t="shared" si="3"/>
        <v>0</v>
      </c>
      <c r="C23" s="4">
        <f t="shared" si="3"/>
        <v>1</v>
      </c>
      <c r="D23" s="4">
        <f t="shared" si="3"/>
        <v>0</v>
      </c>
      <c r="E23" s="4">
        <f t="shared" si="3"/>
        <v>0</v>
      </c>
      <c r="F23" s="4">
        <f t="shared" si="3"/>
        <v>0</v>
      </c>
      <c r="G23" s="4">
        <f t="shared" si="4"/>
        <v>1</v>
      </c>
      <c r="H23" s="4">
        <f t="shared" si="5"/>
        <v>0</v>
      </c>
      <c r="I23" s="4">
        <f t="shared" si="5"/>
        <v>1</v>
      </c>
      <c r="J23" s="4">
        <f t="shared" ref="J23:Q23" si="19">I58</f>
        <v>0</v>
      </c>
      <c r="K23" s="4">
        <f t="shared" si="19"/>
        <v>0</v>
      </c>
      <c r="L23" s="4">
        <f t="shared" si="19"/>
        <v>0</v>
      </c>
      <c r="M23" s="4">
        <f t="shared" si="19"/>
        <v>1</v>
      </c>
      <c r="N23" s="4">
        <f t="shared" si="19"/>
        <v>1</v>
      </c>
      <c r="O23" s="4">
        <f t="shared" si="19"/>
        <v>0</v>
      </c>
      <c r="P23" s="4">
        <f t="shared" si="19"/>
        <v>1</v>
      </c>
      <c r="Q23" s="4">
        <f t="shared" si="19"/>
        <v>1</v>
      </c>
    </row>
    <row r="24" spans="1:17" x14ac:dyDescent="0.3">
      <c r="A24" s="4" t="str">
        <f t="shared" si="2"/>
        <v>0</v>
      </c>
      <c r="B24" s="4" t="str">
        <f t="shared" si="3"/>
        <v>0</v>
      </c>
      <c r="C24" s="4">
        <f t="shared" si="3"/>
        <v>1</v>
      </c>
      <c r="D24" s="4">
        <f t="shared" si="3"/>
        <v>0</v>
      </c>
      <c r="E24" s="4">
        <f t="shared" si="3"/>
        <v>0</v>
      </c>
      <c r="F24" s="4">
        <f t="shared" si="3"/>
        <v>1</v>
      </c>
      <c r="G24" s="4">
        <f t="shared" si="4"/>
        <v>0</v>
      </c>
      <c r="H24" s="4">
        <f t="shared" si="5"/>
        <v>1</v>
      </c>
      <c r="I24" s="4">
        <f t="shared" si="5"/>
        <v>1</v>
      </c>
      <c r="J24" s="4">
        <f t="shared" ref="J24:Q24" si="20">I59</f>
        <v>0</v>
      </c>
      <c r="K24" s="4">
        <f t="shared" si="20"/>
        <v>1</v>
      </c>
      <c r="L24" s="4">
        <f t="shared" si="20"/>
        <v>1</v>
      </c>
      <c r="M24" s="4">
        <f t="shared" si="20"/>
        <v>1</v>
      </c>
      <c r="N24" s="4">
        <f t="shared" si="20"/>
        <v>0</v>
      </c>
      <c r="O24" s="4">
        <f t="shared" si="20"/>
        <v>1</v>
      </c>
      <c r="P24" s="4">
        <f t="shared" si="20"/>
        <v>0</v>
      </c>
      <c r="Q24" s="4">
        <f t="shared" si="20"/>
        <v>0</v>
      </c>
    </row>
    <row r="25" spans="1:17" x14ac:dyDescent="0.3">
      <c r="A25" s="4" t="str">
        <f t="shared" si="2"/>
        <v>1</v>
      </c>
      <c r="B25" s="4" t="str">
        <f t="shared" si="3"/>
        <v>1</v>
      </c>
      <c r="C25" s="4">
        <f t="shared" si="3"/>
        <v>1</v>
      </c>
      <c r="D25" s="4">
        <f t="shared" si="3"/>
        <v>0</v>
      </c>
      <c r="E25" s="4">
        <f t="shared" si="3"/>
        <v>1</v>
      </c>
      <c r="F25" s="4">
        <f t="shared" si="3"/>
        <v>0</v>
      </c>
      <c r="G25" s="4">
        <f t="shared" si="4"/>
        <v>1</v>
      </c>
      <c r="H25" s="4">
        <f t="shared" si="5"/>
        <v>0</v>
      </c>
      <c r="I25" s="4">
        <f t="shared" si="5"/>
        <v>1</v>
      </c>
      <c r="J25" s="4">
        <f t="shared" ref="J25:Q25" si="21">I60</f>
        <v>1</v>
      </c>
      <c r="K25" s="4">
        <f t="shared" si="21"/>
        <v>1</v>
      </c>
      <c r="L25" s="4">
        <f t="shared" si="21"/>
        <v>1</v>
      </c>
      <c r="M25" s="4">
        <f t="shared" si="21"/>
        <v>1</v>
      </c>
      <c r="N25" s="4">
        <f t="shared" si="21"/>
        <v>0</v>
      </c>
      <c r="O25" s="4">
        <f t="shared" si="21"/>
        <v>1</v>
      </c>
      <c r="P25" s="4">
        <f t="shared" si="21"/>
        <v>0</v>
      </c>
      <c r="Q25" s="4">
        <f t="shared" si="21"/>
        <v>1</v>
      </c>
    </row>
    <row r="26" spans="1:17" x14ac:dyDescent="0.3">
      <c r="A26" s="4" t="str">
        <f t="shared" si="2"/>
        <v>1</v>
      </c>
      <c r="B26" s="4" t="str">
        <f t="shared" si="3"/>
        <v>1</v>
      </c>
      <c r="C26" s="4">
        <f t="shared" si="3"/>
        <v>0</v>
      </c>
      <c r="D26" s="4">
        <f t="shared" si="3"/>
        <v>1</v>
      </c>
      <c r="E26" s="4">
        <f t="shared" si="3"/>
        <v>0</v>
      </c>
      <c r="F26" s="4">
        <f t="shared" si="3"/>
        <v>0</v>
      </c>
      <c r="G26" s="4">
        <f t="shared" si="4"/>
        <v>0</v>
      </c>
      <c r="H26" s="4">
        <f t="shared" si="5"/>
        <v>0</v>
      </c>
      <c r="I26" s="4">
        <f t="shared" si="5"/>
        <v>0</v>
      </c>
      <c r="J26" s="4">
        <f t="shared" ref="J26:Q26" si="22">I61</f>
        <v>1</v>
      </c>
      <c r="K26" s="4">
        <f t="shared" si="22"/>
        <v>0</v>
      </c>
      <c r="L26" s="4">
        <f t="shared" si="22"/>
        <v>1</v>
      </c>
      <c r="M26" s="4">
        <f t="shared" si="22"/>
        <v>1</v>
      </c>
      <c r="N26" s="4">
        <f t="shared" si="22"/>
        <v>1</v>
      </c>
      <c r="O26" s="4">
        <f t="shared" si="22"/>
        <v>1</v>
      </c>
      <c r="P26" s="4">
        <f t="shared" si="22"/>
        <v>0</v>
      </c>
      <c r="Q26" s="4">
        <f t="shared" si="22"/>
        <v>1</v>
      </c>
    </row>
    <row r="27" spans="1:17" x14ac:dyDescent="0.3">
      <c r="A27" s="4" t="str">
        <f t="shared" si="2"/>
        <v>0</v>
      </c>
      <c r="B27" s="4" t="str">
        <f t="shared" si="3"/>
        <v>1</v>
      </c>
      <c r="C27" s="4">
        <f t="shared" si="3"/>
        <v>1</v>
      </c>
      <c r="D27" s="4">
        <f t="shared" si="3"/>
        <v>1</v>
      </c>
      <c r="E27" s="4">
        <f t="shared" si="3"/>
        <v>0</v>
      </c>
      <c r="F27" s="4">
        <f t="shared" si="3"/>
        <v>1</v>
      </c>
      <c r="G27" s="4">
        <f t="shared" si="4"/>
        <v>1</v>
      </c>
      <c r="H27" s="4">
        <f t="shared" si="5"/>
        <v>0</v>
      </c>
      <c r="I27" s="4">
        <f t="shared" si="5"/>
        <v>0</v>
      </c>
      <c r="J27" s="4">
        <f t="shared" ref="J27:Q27" si="23">I62</f>
        <v>1</v>
      </c>
      <c r="K27" s="4">
        <f t="shared" si="23"/>
        <v>0</v>
      </c>
      <c r="L27" s="4">
        <f t="shared" si="23"/>
        <v>1</v>
      </c>
      <c r="M27" s="4">
        <f t="shared" si="23"/>
        <v>1</v>
      </c>
      <c r="N27" s="4">
        <f t="shared" si="23"/>
        <v>0</v>
      </c>
      <c r="O27" s="4">
        <f t="shared" si="23"/>
        <v>0</v>
      </c>
      <c r="P27" s="4">
        <f t="shared" si="23"/>
        <v>1</v>
      </c>
      <c r="Q27" s="4">
        <f t="shared" si="23"/>
        <v>0</v>
      </c>
    </row>
    <row r="28" spans="1:17" x14ac:dyDescent="0.3">
      <c r="A28" s="4" t="str">
        <f t="shared" si="2"/>
        <v>0</v>
      </c>
      <c r="B28" s="4" t="str">
        <f t="shared" si="3"/>
        <v>1</v>
      </c>
      <c r="C28" s="4">
        <f t="shared" si="3"/>
        <v>0</v>
      </c>
      <c r="D28" s="4">
        <f t="shared" si="3"/>
        <v>1</v>
      </c>
      <c r="E28" s="4">
        <f t="shared" si="3"/>
        <v>0</v>
      </c>
      <c r="F28" s="4">
        <f t="shared" si="3"/>
        <v>0</v>
      </c>
      <c r="G28" s="4">
        <f t="shared" si="4"/>
        <v>1</v>
      </c>
      <c r="H28" s="4">
        <f t="shared" si="5"/>
        <v>1</v>
      </c>
      <c r="I28" s="4">
        <f t="shared" si="5"/>
        <v>1</v>
      </c>
      <c r="J28" s="4">
        <f t="shared" ref="J28:Q28" si="24">I63</f>
        <v>1</v>
      </c>
      <c r="K28" s="4">
        <f t="shared" si="24"/>
        <v>1</v>
      </c>
      <c r="L28" s="4">
        <f t="shared" si="24"/>
        <v>1</v>
      </c>
      <c r="M28" s="4">
        <f t="shared" si="24"/>
        <v>0</v>
      </c>
      <c r="N28" s="4">
        <f t="shared" si="24"/>
        <v>1</v>
      </c>
      <c r="O28" s="4">
        <f t="shared" si="24"/>
        <v>0</v>
      </c>
      <c r="P28" s="4">
        <f t="shared" si="24"/>
        <v>0</v>
      </c>
      <c r="Q28" s="4">
        <f t="shared" si="24"/>
        <v>1</v>
      </c>
    </row>
    <row r="29" spans="1:17" x14ac:dyDescent="0.3">
      <c r="A29" s="4" t="str">
        <f t="shared" si="2"/>
        <v>1</v>
      </c>
      <c r="B29" s="4" t="str">
        <f t="shared" si="3"/>
        <v>0</v>
      </c>
      <c r="C29" s="4">
        <f t="shared" si="3"/>
        <v>1</v>
      </c>
      <c r="D29" s="4">
        <f t="shared" si="3"/>
        <v>1</v>
      </c>
      <c r="E29" s="4">
        <f t="shared" si="3"/>
        <v>1</v>
      </c>
      <c r="F29" s="4">
        <f t="shared" si="3"/>
        <v>1</v>
      </c>
      <c r="G29" s="4">
        <f t="shared" si="4"/>
        <v>1</v>
      </c>
      <c r="H29" s="4">
        <f t="shared" si="5"/>
        <v>0</v>
      </c>
      <c r="I29" s="4">
        <f t="shared" si="5"/>
        <v>1</v>
      </c>
      <c r="J29" s="4">
        <f t="shared" ref="J29:Q29" si="25">I64</f>
        <v>1</v>
      </c>
      <c r="K29" s="4">
        <f t="shared" si="25"/>
        <v>1</v>
      </c>
      <c r="L29" s="4">
        <f t="shared" si="25"/>
        <v>0</v>
      </c>
      <c r="M29" s="4">
        <f t="shared" si="25"/>
        <v>1</v>
      </c>
      <c r="N29" s="4">
        <f t="shared" si="25"/>
        <v>0</v>
      </c>
      <c r="O29" s="4">
        <f t="shared" si="25"/>
        <v>0</v>
      </c>
      <c r="P29" s="4">
        <f t="shared" si="25"/>
        <v>1</v>
      </c>
      <c r="Q29" s="4">
        <f t="shared" si="25"/>
        <v>1</v>
      </c>
    </row>
    <row r="30" spans="1:17" x14ac:dyDescent="0.3">
      <c r="A30" s="4" t="str">
        <f t="shared" si="2"/>
        <v>1</v>
      </c>
      <c r="B30" s="4" t="str">
        <f t="shared" si="3"/>
        <v>0</v>
      </c>
      <c r="C30" s="4">
        <f t="shared" si="3"/>
        <v>1</v>
      </c>
      <c r="D30" s="4">
        <f t="shared" si="3"/>
        <v>1</v>
      </c>
      <c r="E30" s="4">
        <f t="shared" si="3"/>
        <v>0</v>
      </c>
      <c r="F30" s="4">
        <f t="shared" si="3"/>
        <v>1</v>
      </c>
      <c r="G30" s="4">
        <f t="shared" si="4"/>
        <v>1</v>
      </c>
      <c r="H30" s="4">
        <f t="shared" si="5"/>
        <v>1</v>
      </c>
      <c r="I30" s="4">
        <f t="shared" si="5"/>
        <v>1</v>
      </c>
      <c r="J30" s="4">
        <f t="shared" ref="J30:Q30" si="26">I65</f>
        <v>0</v>
      </c>
      <c r="K30" s="4">
        <f t="shared" si="26"/>
        <v>1</v>
      </c>
      <c r="L30" s="4">
        <f t="shared" si="26"/>
        <v>0</v>
      </c>
      <c r="M30" s="4">
        <f t="shared" si="26"/>
        <v>1</v>
      </c>
      <c r="N30" s="4">
        <f t="shared" si="26"/>
        <v>0</v>
      </c>
      <c r="O30" s="4">
        <f t="shared" si="26"/>
        <v>1</v>
      </c>
      <c r="P30" s="4">
        <f t="shared" si="26"/>
        <v>0</v>
      </c>
      <c r="Q30" s="4">
        <f t="shared" si="26"/>
        <v>0</v>
      </c>
    </row>
    <row r="31" spans="1:17" x14ac:dyDescent="0.3">
      <c r="A31" s="4" t="str">
        <f t="shared" si="2"/>
        <v>0</v>
      </c>
      <c r="B31" s="4" t="str">
        <f t="shared" si="3"/>
        <v>0</v>
      </c>
      <c r="C31" s="4">
        <f t="shared" si="3"/>
        <v>0</v>
      </c>
      <c r="D31" s="4">
        <f t="shared" si="3"/>
        <v>0</v>
      </c>
      <c r="E31" s="4">
        <f t="shared" si="3"/>
        <v>1</v>
      </c>
      <c r="F31" s="4">
        <f t="shared" si="3"/>
        <v>0</v>
      </c>
      <c r="G31" s="4">
        <f t="shared" si="4"/>
        <v>0</v>
      </c>
      <c r="H31" s="4">
        <f t="shared" si="5"/>
        <v>1</v>
      </c>
      <c r="I31" s="4">
        <f t="shared" si="5"/>
        <v>1</v>
      </c>
      <c r="J31" s="4">
        <f t="shared" ref="J31:Q31" si="27">I66</f>
        <v>1</v>
      </c>
      <c r="K31" s="4">
        <f t="shared" si="27"/>
        <v>1</v>
      </c>
      <c r="L31" s="4">
        <f t="shared" si="27"/>
        <v>1</v>
      </c>
      <c r="M31" s="4">
        <f t="shared" si="27"/>
        <v>1</v>
      </c>
      <c r="N31" s="4">
        <f t="shared" si="27"/>
        <v>0</v>
      </c>
      <c r="O31" s="4">
        <f t="shared" si="27"/>
        <v>1</v>
      </c>
      <c r="P31" s="4">
        <f t="shared" si="27"/>
        <v>1</v>
      </c>
      <c r="Q31" s="4">
        <f t="shared" si="27"/>
        <v>1</v>
      </c>
    </row>
    <row r="32" spans="1:17" x14ac:dyDescent="0.3">
      <c r="A32" s="4" t="str">
        <f t="shared" si="2"/>
        <v>0</v>
      </c>
      <c r="B32" s="4" t="str">
        <f t="shared" si="3"/>
        <v>0</v>
      </c>
      <c r="C32" s="4">
        <f t="shared" si="3"/>
        <v>1</v>
      </c>
      <c r="D32" s="4">
        <f t="shared" si="3"/>
        <v>1</v>
      </c>
      <c r="E32" s="4">
        <f t="shared" si="3"/>
        <v>1</v>
      </c>
      <c r="F32" s="4">
        <f t="shared" si="3"/>
        <v>1</v>
      </c>
      <c r="G32" s="4">
        <f t="shared" si="4"/>
        <v>0</v>
      </c>
      <c r="H32" s="4">
        <f t="shared" si="5"/>
        <v>0</v>
      </c>
      <c r="I32" s="4">
        <f t="shared" si="5"/>
        <v>1</v>
      </c>
      <c r="J32" s="4">
        <f t="shared" ref="J32:Q32" si="28">I67</f>
        <v>0</v>
      </c>
      <c r="K32" s="4">
        <f t="shared" si="28"/>
        <v>1</v>
      </c>
      <c r="L32" s="4">
        <f t="shared" si="28"/>
        <v>0</v>
      </c>
      <c r="M32" s="4">
        <f t="shared" si="28"/>
        <v>0</v>
      </c>
      <c r="N32" s="4">
        <f t="shared" si="28"/>
        <v>1</v>
      </c>
      <c r="O32" s="4">
        <f t="shared" si="28"/>
        <v>0</v>
      </c>
      <c r="P32" s="4">
        <f t="shared" si="28"/>
        <v>1</v>
      </c>
      <c r="Q32" s="4">
        <f t="shared" si="28"/>
        <v>1</v>
      </c>
    </row>
    <row r="33" spans="1:17" x14ac:dyDescent="0.3">
      <c r="A33" s="4" t="str">
        <f t="shared" si="2"/>
        <v>0</v>
      </c>
      <c r="B33" s="4" t="str">
        <f t="shared" si="3"/>
        <v>1</v>
      </c>
      <c r="C33" s="4">
        <f t="shared" si="3"/>
        <v>1</v>
      </c>
      <c r="D33" s="4">
        <f t="shared" si="3"/>
        <v>1</v>
      </c>
      <c r="E33" s="4">
        <f t="shared" si="3"/>
        <v>0</v>
      </c>
      <c r="F33" s="4">
        <f t="shared" si="3"/>
        <v>0</v>
      </c>
      <c r="G33" s="4">
        <f t="shared" si="4"/>
        <v>1</v>
      </c>
      <c r="H33" s="4">
        <f t="shared" si="5"/>
        <v>0</v>
      </c>
      <c r="I33" s="4">
        <f t="shared" si="5"/>
        <v>0</v>
      </c>
      <c r="J33" s="4">
        <f t="shared" ref="J33:Q33" si="29">I68</f>
        <v>1</v>
      </c>
      <c r="K33" s="4">
        <f t="shared" si="29"/>
        <v>1</v>
      </c>
      <c r="L33" s="4">
        <f t="shared" si="29"/>
        <v>0</v>
      </c>
      <c r="M33" s="4">
        <f t="shared" si="29"/>
        <v>1</v>
      </c>
      <c r="N33" s="4">
        <f t="shared" si="29"/>
        <v>1</v>
      </c>
      <c r="O33" s="4">
        <f t="shared" si="29"/>
        <v>1</v>
      </c>
      <c r="P33" s="4">
        <f t="shared" si="29"/>
        <v>1</v>
      </c>
      <c r="Q33" s="4">
        <f t="shared" si="29"/>
        <v>1</v>
      </c>
    </row>
    <row r="34" spans="1:17" x14ac:dyDescent="0.3">
      <c r="A34" s="4" t="str">
        <f t="shared" si="2"/>
        <v>0</v>
      </c>
      <c r="B34" s="4" t="str">
        <f t="shared" si="3"/>
        <v>0</v>
      </c>
      <c r="C34" s="4">
        <f t="shared" si="3"/>
        <v>0</v>
      </c>
      <c r="D34" s="4">
        <f t="shared" si="3"/>
        <v>0</v>
      </c>
      <c r="E34" s="4">
        <f t="shared" si="3"/>
        <v>0</v>
      </c>
      <c r="F34" s="4">
        <f t="shared" si="3"/>
        <v>0</v>
      </c>
      <c r="G34" s="4">
        <f t="shared" si="4"/>
        <v>1</v>
      </c>
      <c r="H34" s="4">
        <f t="shared" si="5"/>
        <v>0</v>
      </c>
      <c r="I34" s="4">
        <f t="shared" si="5"/>
        <v>1</v>
      </c>
      <c r="J34" s="4">
        <f t="shared" ref="J34:Q34" si="30">I69</f>
        <v>0</v>
      </c>
      <c r="K34" s="4">
        <f t="shared" si="30"/>
        <v>1</v>
      </c>
      <c r="L34" s="4">
        <f t="shared" si="30"/>
        <v>1</v>
      </c>
      <c r="M34" s="4">
        <f t="shared" si="30"/>
        <v>0</v>
      </c>
      <c r="N34" s="4">
        <f t="shared" si="30"/>
        <v>1</v>
      </c>
      <c r="O34" s="4">
        <f t="shared" si="30"/>
        <v>0</v>
      </c>
      <c r="P34" s="4">
        <f t="shared" si="30"/>
        <v>0</v>
      </c>
      <c r="Q34" s="4">
        <f t="shared" si="30"/>
        <v>0</v>
      </c>
    </row>
    <row r="35" spans="1:17" x14ac:dyDescent="0.3">
      <c r="A35" s="4" t="str">
        <f t="shared" si="2"/>
        <v>0</v>
      </c>
      <c r="B35" s="4" t="str">
        <f t="shared" si="3"/>
        <v>1</v>
      </c>
      <c r="C35" s="4">
        <f t="shared" si="3"/>
        <v>0</v>
      </c>
      <c r="D35" s="4">
        <f t="shared" si="3"/>
        <v>1</v>
      </c>
      <c r="E35" s="4">
        <f t="shared" si="3"/>
        <v>0</v>
      </c>
      <c r="F35" s="4">
        <f t="shared" si="3"/>
        <v>0</v>
      </c>
      <c r="G35" s="4">
        <f t="shared" si="4"/>
        <v>1</v>
      </c>
      <c r="H35" s="4">
        <f t="shared" si="5"/>
        <v>1</v>
      </c>
      <c r="I35" s="4">
        <f t="shared" si="5"/>
        <v>0</v>
      </c>
      <c r="J35" s="4">
        <f t="shared" ref="J35:Q35" si="31">I70</f>
        <v>0</v>
      </c>
      <c r="K35" s="4">
        <f t="shared" si="31"/>
        <v>1</v>
      </c>
      <c r="L35" s="4">
        <f t="shared" si="31"/>
        <v>1</v>
      </c>
      <c r="M35" s="4">
        <f t="shared" si="31"/>
        <v>1</v>
      </c>
      <c r="N35" s="4">
        <f t="shared" si="31"/>
        <v>0</v>
      </c>
      <c r="O35" s="4">
        <f t="shared" si="31"/>
        <v>1</v>
      </c>
      <c r="P35" s="4">
        <f t="shared" si="31"/>
        <v>0</v>
      </c>
      <c r="Q35" s="4">
        <f t="shared" si="31"/>
        <v>1</v>
      </c>
    </row>
    <row r="36" spans="1:17" x14ac:dyDescent="0.3">
      <c r="A36" s="4" t="str">
        <f t="shared" si="2"/>
        <v>0</v>
      </c>
      <c r="B36" s="4" t="str">
        <f t="shared" si="3"/>
        <v>0</v>
      </c>
      <c r="C36" s="4">
        <f t="shared" si="3"/>
        <v>1</v>
      </c>
      <c r="D36" s="4">
        <f t="shared" si="3"/>
        <v>0</v>
      </c>
      <c r="E36" s="4">
        <f t="shared" si="3"/>
        <v>0</v>
      </c>
      <c r="F36" s="4">
        <f t="shared" si="3"/>
        <v>1</v>
      </c>
      <c r="G36" s="4">
        <f t="shared" si="4"/>
        <v>1</v>
      </c>
      <c r="H36" s="4">
        <f t="shared" si="5"/>
        <v>1</v>
      </c>
      <c r="I36" s="4">
        <f t="shared" si="5"/>
        <v>1</v>
      </c>
      <c r="J36" s="4">
        <f t="shared" ref="J36:Q36" si="32">I71</f>
        <v>0</v>
      </c>
      <c r="K36" s="4">
        <f t="shared" si="32"/>
        <v>0</v>
      </c>
      <c r="L36" s="4">
        <f t="shared" si="32"/>
        <v>0</v>
      </c>
      <c r="M36" s="4">
        <f t="shared" si="32"/>
        <v>0</v>
      </c>
      <c r="N36" s="4">
        <f t="shared" si="32"/>
        <v>0</v>
      </c>
      <c r="O36" s="4">
        <f t="shared" si="32"/>
        <v>0</v>
      </c>
      <c r="P36" s="4">
        <f t="shared" si="32"/>
        <v>0</v>
      </c>
      <c r="Q36" s="4">
        <f t="shared" si="32"/>
        <v>1</v>
      </c>
    </row>
    <row r="37" spans="1:17" x14ac:dyDescent="0.3">
      <c r="A37" s="4" t="str">
        <f t="shared" si="2"/>
        <v>0</v>
      </c>
      <c r="B37" s="4" t="str">
        <f t="shared" si="3"/>
        <v>1</v>
      </c>
      <c r="C37" s="4">
        <f t="shared" si="3"/>
        <v>1</v>
      </c>
      <c r="D37" s="4">
        <f t="shared" si="3"/>
        <v>0</v>
      </c>
      <c r="E37" s="4">
        <f t="shared" si="3"/>
        <v>1</v>
      </c>
      <c r="F37" s="4">
        <f t="shared" si="3"/>
        <v>0</v>
      </c>
      <c r="G37" s="4">
        <f t="shared" si="4"/>
        <v>0</v>
      </c>
      <c r="H37" s="4">
        <f t="shared" si="5"/>
        <v>0</v>
      </c>
      <c r="I37" s="4">
        <f t="shared" si="5"/>
        <v>0</v>
      </c>
      <c r="J37" s="4">
        <f t="shared" ref="J37:Q37" si="33">I72</f>
        <v>1</v>
      </c>
      <c r="K37" s="4">
        <f t="shared" si="33"/>
        <v>0</v>
      </c>
      <c r="L37" s="4">
        <f t="shared" si="33"/>
        <v>1</v>
      </c>
      <c r="M37" s="4">
        <f t="shared" si="33"/>
        <v>0</v>
      </c>
      <c r="N37" s="4">
        <f t="shared" si="33"/>
        <v>1</v>
      </c>
      <c r="O37" s="4">
        <f t="shared" si="33"/>
        <v>0</v>
      </c>
      <c r="P37" s="4">
        <f t="shared" si="33"/>
        <v>0</v>
      </c>
      <c r="Q37" s="4">
        <f t="shared" si="33"/>
        <v>0</v>
      </c>
    </row>
    <row r="38" spans="1:17" x14ac:dyDescent="0.3">
      <c r="A38" s="4" t="str">
        <f t="shared" si="2"/>
        <v>0</v>
      </c>
      <c r="B38" s="4" t="str">
        <f t="shared" si="3"/>
        <v>0</v>
      </c>
      <c r="C38" s="4">
        <f t="shared" si="3"/>
        <v>0</v>
      </c>
      <c r="D38" s="4">
        <f t="shared" si="3"/>
        <v>0</v>
      </c>
      <c r="E38" s="4">
        <f t="shared" si="3"/>
        <v>0</v>
      </c>
      <c r="F38" s="4">
        <f t="shared" si="3"/>
        <v>0</v>
      </c>
      <c r="G38" s="4">
        <f t="shared" si="4"/>
        <v>1</v>
      </c>
      <c r="H38" s="4">
        <f t="shared" si="5"/>
        <v>1</v>
      </c>
      <c r="I38" s="4">
        <f t="shared" si="5"/>
        <v>1</v>
      </c>
      <c r="J38" s="4">
        <f t="shared" ref="J38:Q38" si="34">I73</f>
        <v>1</v>
      </c>
      <c r="K38" s="4">
        <f t="shared" si="34"/>
        <v>1</v>
      </c>
      <c r="L38" s="4">
        <f t="shared" si="34"/>
        <v>0</v>
      </c>
      <c r="M38" s="4">
        <f t="shared" si="34"/>
        <v>0</v>
      </c>
      <c r="N38" s="4">
        <f t="shared" si="34"/>
        <v>1</v>
      </c>
      <c r="O38" s="4">
        <f t="shared" si="34"/>
        <v>1</v>
      </c>
      <c r="P38" s="4">
        <f t="shared" si="34"/>
        <v>1</v>
      </c>
      <c r="Q38" s="4">
        <f t="shared" si="34"/>
        <v>1</v>
      </c>
    </row>
    <row r="39" spans="1:17" x14ac:dyDescent="0.3">
      <c r="A39" s="4" t="str">
        <f t="shared" si="2"/>
        <v>0</v>
      </c>
      <c r="B39" s="4" t="str">
        <f t="shared" si="3"/>
        <v>1</v>
      </c>
      <c r="C39" s="4">
        <f t="shared" si="3"/>
        <v>1</v>
      </c>
      <c r="D39" s="4">
        <f t="shared" si="3"/>
        <v>0</v>
      </c>
      <c r="E39" s="4">
        <f t="shared" si="3"/>
        <v>0</v>
      </c>
      <c r="F39" s="4">
        <f t="shared" si="3"/>
        <v>1</v>
      </c>
      <c r="G39" s="4">
        <f t="shared" si="4"/>
        <v>0</v>
      </c>
      <c r="H39" s="4">
        <f t="shared" si="5"/>
        <v>1</v>
      </c>
      <c r="I39" s="4">
        <f t="shared" si="5"/>
        <v>1</v>
      </c>
      <c r="J39" s="4">
        <f t="shared" ref="J39:Q39" si="35">I74</f>
        <v>1</v>
      </c>
      <c r="K39" s="4">
        <f t="shared" si="35"/>
        <v>1</v>
      </c>
      <c r="L39" s="4">
        <f t="shared" si="35"/>
        <v>1</v>
      </c>
      <c r="M39" s="4">
        <f t="shared" si="35"/>
        <v>0</v>
      </c>
      <c r="N39" s="4">
        <f t="shared" si="35"/>
        <v>1</v>
      </c>
      <c r="O39" s="4">
        <f t="shared" si="35"/>
        <v>1</v>
      </c>
      <c r="P39" s="4">
        <f t="shared" si="35"/>
        <v>1</v>
      </c>
      <c r="Q39" s="4">
        <f t="shared" si="35"/>
        <v>1</v>
      </c>
    </row>
    <row r="40" spans="1:17" x14ac:dyDescent="0.3">
      <c r="A40" s="4" t="str">
        <f t="shared" si="2"/>
        <v>0</v>
      </c>
      <c r="B40" s="4" t="str">
        <f t="shared" si="3"/>
        <v>0</v>
      </c>
      <c r="C40" s="4">
        <f t="shared" si="3"/>
        <v>0</v>
      </c>
      <c r="D40" s="4">
        <f t="shared" si="3"/>
        <v>1</v>
      </c>
      <c r="E40" s="4">
        <f t="shared" si="3"/>
        <v>0</v>
      </c>
      <c r="F40" s="4">
        <f t="shared" si="3"/>
        <v>1</v>
      </c>
      <c r="G40" s="4">
        <f t="shared" si="4"/>
        <v>1</v>
      </c>
      <c r="H40" s="4">
        <f t="shared" si="5"/>
        <v>0</v>
      </c>
      <c r="I40" s="4">
        <f t="shared" si="5"/>
        <v>1</v>
      </c>
      <c r="J40" s="4">
        <f t="shared" ref="J40:Q40" si="36">I75</f>
        <v>0</v>
      </c>
      <c r="K40" s="4">
        <f t="shared" si="36"/>
        <v>0</v>
      </c>
      <c r="L40" s="4">
        <f t="shared" si="36"/>
        <v>0</v>
      </c>
      <c r="M40" s="4">
        <f t="shared" si="36"/>
        <v>0</v>
      </c>
      <c r="N40" s="4">
        <f t="shared" si="36"/>
        <v>1</v>
      </c>
      <c r="O40" s="4">
        <f t="shared" si="36"/>
        <v>0</v>
      </c>
      <c r="P40" s="4">
        <f t="shared" si="36"/>
        <v>1</v>
      </c>
      <c r="Q40" s="4">
        <f t="shared" si="36"/>
        <v>1</v>
      </c>
    </row>
    <row r="43" spans="1:17" x14ac:dyDescent="0.3">
      <c r="A43" s="3" t="s">
        <v>71</v>
      </c>
      <c r="B43" s="3" t="s">
        <v>91</v>
      </c>
      <c r="C43" s="3" t="s">
        <v>92</v>
      </c>
      <c r="D43" s="3" t="s">
        <v>93</v>
      </c>
      <c r="E43" s="3" t="s">
        <v>94</v>
      </c>
      <c r="F43" s="3" t="s">
        <v>95</v>
      </c>
      <c r="G43" s="3" t="s">
        <v>96</v>
      </c>
      <c r="H43" s="3" t="s">
        <v>97</v>
      </c>
      <c r="I43" s="3" t="s">
        <v>98</v>
      </c>
      <c r="J43" s="3" t="s">
        <v>99</v>
      </c>
      <c r="K43" s="3" t="s">
        <v>100</v>
      </c>
      <c r="L43" s="3" t="s">
        <v>101</v>
      </c>
      <c r="M43" s="3" t="s">
        <v>102</v>
      </c>
      <c r="N43" s="3" t="s">
        <v>103</v>
      </c>
      <c r="O43" s="3" t="s">
        <v>104</v>
      </c>
      <c r="P43" s="3" t="s">
        <v>105</v>
      </c>
      <c r="Q43" s="3" t="s">
        <v>106</v>
      </c>
    </row>
    <row r="44" spans="1:17" x14ac:dyDescent="0.3">
      <c r="A44" s="4" t="str">
        <f>MID($I$2,ROW(A1),1)</f>
        <v>1</v>
      </c>
      <c r="B44" s="4">
        <f>MOD(A9 + MID('Ham_f(RxorK)'!$I$88, ROW(A1), 1), 2)</f>
        <v>0</v>
      </c>
      <c r="C44" s="4">
        <f>MOD(B9 + MID('Ham_f(RxorK)'!$I$89, ROW($A1), 1), 2)</f>
        <v>0</v>
      </c>
      <c r="D44" s="4">
        <f>MOD(C9 + MID('Ham_f(RxorK)'!$I$90, ROW($A1), 1), 2)</f>
        <v>1</v>
      </c>
      <c r="E44" s="4">
        <f>MOD(D9 + MID('Ham_f(RxorK)'!$I$91, ROW($A1), 1), 2)</f>
        <v>1</v>
      </c>
      <c r="F44" s="4">
        <f>MOD(E9 + MID('Ham_f(RxorK)'!$I$92, ROW($A1), 1), 2)</f>
        <v>0</v>
      </c>
      <c r="G44" s="4">
        <f>MOD(F9 + MID('Ham_f(RxorK)'!$I$93, ROW($A1), 1), 2)</f>
        <v>0</v>
      </c>
      <c r="H44" s="4">
        <f>MOD(G9 + MID('Ham_f(RxorK)'!$I$94, ROW($A1), 1), 2)</f>
        <v>0</v>
      </c>
      <c r="I44" s="4">
        <f>MOD(H9 + MID('Ham_f(RxorK)'!$I$95, ROW($A1), 1), 2)</f>
        <v>0</v>
      </c>
      <c r="J44" s="4">
        <f>MOD(I9 + MID('Ham_f(RxorK)'!$I$96, ROW($A1), 1), 2)</f>
        <v>1</v>
      </c>
      <c r="K44" s="4">
        <f>MOD(J9 + MID('Ham_f(RxorK)'!$I$97, ROW($A1), 1), 2)</f>
        <v>1</v>
      </c>
      <c r="L44" s="4">
        <f>MOD(K9 + MID('Ham_f(RxorK)'!$I$98, ROW($A1), 1), 2)</f>
        <v>0</v>
      </c>
      <c r="M44" s="4">
        <f>MOD(L9 + MID('Ham_f(RxorK)'!$I$99, ROW($A1), 1), 2)</f>
        <v>1</v>
      </c>
      <c r="N44" s="4">
        <f>MOD(M9 + MID('Ham_f(RxorK)'!$I$100, ROW($A1), 1), 2)</f>
        <v>0</v>
      </c>
      <c r="O44" s="4">
        <f>MOD(N9 + MID('Ham_f(RxorK)'!$I$101, ROW($A1), 1), 2)</f>
        <v>1</v>
      </c>
      <c r="P44" s="4">
        <f>MOD(O9 + MID('Ham_f(RxorK)'!$I$102, ROW($A1), 1), 2)</f>
        <v>0</v>
      </c>
      <c r="Q44" s="4">
        <f>MOD(P9 + MID('Ham_f(RxorK)'!$I$103, ROW($A1), 1), 2)</f>
        <v>0</v>
      </c>
    </row>
    <row r="45" spans="1:17" x14ac:dyDescent="0.3">
      <c r="A45" s="4" t="str">
        <f t="shared" ref="A45:A76" si="37">MID($I$2,ROW(A2),1)</f>
        <v>1</v>
      </c>
      <c r="B45" s="4">
        <f>MOD(A10 + MID('Ham_f(RxorK)'!$I$88, ROW(A2), 1), 2)</f>
        <v>0</v>
      </c>
      <c r="C45" s="4">
        <f>MOD(B10 + MID('Ham_f(RxorK)'!$I$89, ROW($A2), 1), 2)</f>
        <v>1</v>
      </c>
      <c r="D45" s="4">
        <f>MOD(C10 + MID('Ham_f(RxorK)'!$I$90, ROW($A2), 1), 2)</f>
        <v>1</v>
      </c>
      <c r="E45" s="4">
        <f>MOD(D10 + MID('Ham_f(RxorK)'!$I$91, ROW($A2), 1), 2)</f>
        <v>0</v>
      </c>
      <c r="F45" s="4">
        <f>MOD(E10 + MID('Ham_f(RxorK)'!$I$92, ROW($A2), 1), 2)</f>
        <v>0</v>
      </c>
      <c r="G45" s="4">
        <f>MOD(F10 + MID('Ham_f(RxorK)'!$I$93, ROW($A2), 1), 2)</f>
        <v>0</v>
      </c>
      <c r="H45" s="4">
        <f>MOD(G10 + MID('Ham_f(RxorK)'!$I$94, ROW($A2), 1), 2)</f>
        <v>1</v>
      </c>
      <c r="I45" s="4">
        <f>MOD(H10 + MID('Ham_f(RxorK)'!$I$95, ROW($A2), 1), 2)</f>
        <v>1</v>
      </c>
      <c r="J45" s="4">
        <f>MOD(I10 + MID('Ham_f(RxorK)'!$I$96, ROW($A2), 1), 2)</f>
        <v>0</v>
      </c>
      <c r="K45" s="4">
        <f>MOD(J10 + MID('Ham_f(RxorK)'!$I$97, ROW($A2), 1), 2)</f>
        <v>0</v>
      </c>
      <c r="L45" s="4">
        <f>MOD(K10 + MID('Ham_f(RxorK)'!$I$98, ROW($A2), 1), 2)</f>
        <v>1</v>
      </c>
      <c r="M45" s="4">
        <f>MOD(L10 + MID('Ham_f(RxorK)'!$I$99, ROW($A2), 1), 2)</f>
        <v>1</v>
      </c>
      <c r="N45" s="4">
        <f>MOD(M10 + MID('Ham_f(RxorK)'!$I$100, ROW($A2), 1), 2)</f>
        <v>0</v>
      </c>
      <c r="O45" s="4">
        <f>MOD(N10 + MID('Ham_f(RxorK)'!$I$101, ROW($A2), 1), 2)</f>
        <v>0</v>
      </c>
      <c r="P45" s="4">
        <f>MOD(O10 + MID('Ham_f(RxorK)'!$I$102, ROW($A2), 1), 2)</f>
        <v>1</v>
      </c>
      <c r="Q45" s="4">
        <f>MOD(P10 + MID('Ham_f(RxorK)'!$I$103, ROW($A2), 1), 2)</f>
        <v>1</v>
      </c>
    </row>
    <row r="46" spans="1:17" x14ac:dyDescent="0.3">
      <c r="A46" s="4" t="str">
        <f t="shared" si="37"/>
        <v>1</v>
      </c>
      <c r="B46" s="4">
        <f>MOD(A11 + MID('Ham_f(RxorK)'!$I$88, ROW(A3), 1), 2)</f>
        <v>0</v>
      </c>
      <c r="C46" s="4">
        <f>MOD(B11 + MID('Ham_f(RxorK)'!$I$89, ROW($A3), 1), 2)</f>
        <v>1</v>
      </c>
      <c r="D46" s="4">
        <f>MOD(C11 + MID('Ham_f(RxorK)'!$I$90, ROW($A3), 1), 2)</f>
        <v>0</v>
      </c>
      <c r="E46" s="4">
        <f>MOD(D11 + MID('Ham_f(RxorK)'!$I$91, ROW($A3), 1), 2)</f>
        <v>0</v>
      </c>
      <c r="F46" s="4">
        <f>MOD(E11 + MID('Ham_f(RxorK)'!$I$92, ROW($A3), 1), 2)</f>
        <v>0</v>
      </c>
      <c r="G46" s="4">
        <f>MOD(F11 + MID('Ham_f(RxorK)'!$I$93, ROW($A3), 1), 2)</f>
        <v>1</v>
      </c>
      <c r="H46" s="4">
        <f>MOD(G11 + MID('Ham_f(RxorK)'!$I$94, ROW($A3), 1), 2)</f>
        <v>0</v>
      </c>
      <c r="I46" s="4">
        <f>MOD(H11 + MID('Ham_f(RxorK)'!$I$95, ROW($A3), 1), 2)</f>
        <v>0</v>
      </c>
      <c r="J46" s="4">
        <f>MOD(I11 + MID('Ham_f(RxorK)'!$I$96, ROW($A3), 1), 2)</f>
        <v>1</v>
      </c>
      <c r="K46" s="4">
        <f>MOD(J11 + MID('Ham_f(RxorK)'!$I$97, ROW($A3), 1), 2)</f>
        <v>0</v>
      </c>
      <c r="L46" s="4">
        <f>MOD(K11 + MID('Ham_f(RxorK)'!$I$98, ROW($A3), 1), 2)</f>
        <v>0</v>
      </c>
      <c r="M46" s="4">
        <f>MOD(L11 + MID('Ham_f(RxorK)'!$I$99, ROW($A3), 1), 2)</f>
        <v>1</v>
      </c>
      <c r="N46" s="4">
        <f>MOD(M11 + MID('Ham_f(RxorK)'!$I$100, ROW($A3), 1), 2)</f>
        <v>1</v>
      </c>
      <c r="O46" s="4">
        <f>MOD(N11 + MID('Ham_f(RxorK)'!$I$101, ROW($A3), 1), 2)</f>
        <v>0</v>
      </c>
      <c r="P46" s="4">
        <f>MOD(O11 + MID('Ham_f(RxorK)'!$I$102, ROW($A3), 1), 2)</f>
        <v>1</v>
      </c>
      <c r="Q46" s="4">
        <f>MOD(P11 + MID('Ham_f(RxorK)'!$I$103, ROW($A3), 1), 2)</f>
        <v>0</v>
      </c>
    </row>
    <row r="47" spans="1:17" x14ac:dyDescent="0.3">
      <c r="A47" s="4" t="str">
        <f t="shared" si="37"/>
        <v>0</v>
      </c>
      <c r="B47" s="4">
        <f>MOD(A12 + MID('Ham_f(RxorK)'!$I$88, ROW(A4), 1), 2)</f>
        <v>0</v>
      </c>
      <c r="C47" s="4">
        <f>MOD(B12 + MID('Ham_f(RxorK)'!$I$89, ROW($A4), 1), 2)</f>
        <v>0</v>
      </c>
      <c r="D47" s="4">
        <f>MOD(C12 + MID('Ham_f(RxorK)'!$I$90, ROW($A4), 1), 2)</f>
        <v>1</v>
      </c>
      <c r="E47" s="4">
        <f>MOD(D12 + MID('Ham_f(RxorK)'!$I$91, ROW($A4), 1), 2)</f>
        <v>1</v>
      </c>
      <c r="F47" s="4">
        <f>MOD(E12 + MID('Ham_f(RxorK)'!$I$92, ROW($A4), 1), 2)</f>
        <v>0</v>
      </c>
      <c r="G47" s="4">
        <f>MOD(F12 + MID('Ham_f(RxorK)'!$I$93, ROW($A4), 1), 2)</f>
        <v>1</v>
      </c>
      <c r="H47" s="4">
        <f>MOD(G12 + MID('Ham_f(RxorK)'!$I$94, ROW($A4), 1), 2)</f>
        <v>0</v>
      </c>
      <c r="I47" s="4">
        <f>MOD(H12 + MID('Ham_f(RxorK)'!$I$95, ROW($A4), 1), 2)</f>
        <v>1</v>
      </c>
      <c r="J47" s="4">
        <f>MOD(I12 + MID('Ham_f(RxorK)'!$I$96, ROW($A4), 1), 2)</f>
        <v>1</v>
      </c>
      <c r="K47" s="4">
        <f>MOD(J12 + MID('Ham_f(RxorK)'!$I$97, ROW($A4), 1), 2)</f>
        <v>0</v>
      </c>
      <c r="L47" s="4">
        <f>MOD(K12 + MID('Ham_f(RxorK)'!$I$98, ROW($A4), 1), 2)</f>
        <v>0</v>
      </c>
      <c r="M47" s="4">
        <f>MOD(L12 + MID('Ham_f(RxorK)'!$I$99, ROW($A4), 1), 2)</f>
        <v>1</v>
      </c>
      <c r="N47" s="4">
        <f>MOD(M12 + MID('Ham_f(RxorK)'!$I$100, ROW($A4), 1), 2)</f>
        <v>1</v>
      </c>
      <c r="O47" s="4">
        <f>MOD(N12 + MID('Ham_f(RxorK)'!$I$101, ROW($A4), 1), 2)</f>
        <v>1</v>
      </c>
      <c r="P47" s="4">
        <f>MOD(O12 + MID('Ham_f(RxorK)'!$I$102, ROW($A4), 1), 2)</f>
        <v>0</v>
      </c>
      <c r="Q47" s="4">
        <f>MOD(P12 + MID('Ham_f(RxorK)'!$I$103, ROW($A4), 1), 2)</f>
        <v>1</v>
      </c>
    </row>
    <row r="48" spans="1:17" x14ac:dyDescent="0.3">
      <c r="A48" s="4" t="str">
        <f t="shared" si="37"/>
        <v>0</v>
      </c>
      <c r="B48" s="4">
        <f>MOD(A13 + MID('Ham_f(RxorK)'!$I$88, ROW(A5), 1), 2)</f>
        <v>1</v>
      </c>
      <c r="C48" s="4">
        <f>MOD(B13 + MID('Ham_f(RxorK)'!$I$89, ROW($A5), 1), 2)</f>
        <v>1</v>
      </c>
      <c r="D48" s="4">
        <f>MOD(C13 + MID('Ham_f(RxorK)'!$I$90, ROW($A5), 1), 2)</f>
        <v>0</v>
      </c>
      <c r="E48" s="4">
        <f>MOD(D13 + MID('Ham_f(RxorK)'!$I$91, ROW($A5), 1), 2)</f>
        <v>1</v>
      </c>
      <c r="F48" s="4">
        <f>MOD(E13 + MID('Ham_f(RxorK)'!$I$92, ROW($A5), 1), 2)</f>
        <v>1</v>
      </c>
      <c r="G48" s="4">
        <f>MOD(F13 + MID('Ham_f(RxorK)'!$I$93, ROW($A5), 1), 2)</f>
        <v>0</v>
      </c>
      <c r="H48" s="4">
        <f>MOD(G13 + MID('Ham_f(RxorK)'!$I$94, ROW($A5), 1), 2)</f>
        <v>0</v>
      </c>
      <c r="I48" s="4">
        <f>MOD(H13 + MID('Ham_f(RxorK)'!$I$95, ROW($A5), 1), 2)</f>
        <v>1</v>
      </c>
      <c r="J48" s="4">
        <f>MOD(I13 + MID('Ham_f(RxorK)'!$I$96, ROW($A5), 1), 2)</f>
        <v>1</v>
      </c>
      <c r="K48" s="4">
        <f>MOD(J13 + MID('Ham_f(RxorK)'!$I$97, ROW($A5), 1), 2)</f>
        <v>1</v>
      </c>
      <c r="L48" s="4">
        <f>MOD(K13 + MID('Ham_f(RxorK)'!$I$98, ROW($A5), 1), 2)</f>
        <v>0</v>
      </c>
      <c r="M48" s="4">
        <f>MOD(L13 + MID('Ham_f(RxorK)'!$I$99, ROW($A5), 1), 2)</f>
        <v>1</v>
      </c>
      <c r="N48" s="4">
        <f>MOD(M13 + MID('Ham_f(RxorK)'!$I$100, ROW($A5), 1), 2)</f>
        <v>1</v>
      </c>
      <c r="O48" s="4">
        <f>MOD(N13 + MID('Ham_f(RxorK)'!$I$101, ROW($A5), 1), 2)</f>
        <v>1</v>
      </c>
      <c r="P48" s="4">
        <f>MOD(O13 + MID('Ham_f(RxorK)'!$I$102, ROW($A5), 1), 2)</f>
        <v>1</v>
      </c>
      <c r="Q48" s="4">
        <f>MOD(P13 + MID('Ham_f(RxorK)'!$I$103, ROW($A5), 1), 2)</f>
        <v>0</v>
      </c>
    </row>
    <row r="49" spans="1:17" x14ac:dyDescent="0.3">
      <c r="A49" s="4" t="str">
        <f t="shared" si="37"/>
        <v>0</v>
      </c>
      <c r="B49" s="4">
        <f>MOD(A14 + MID('Ham_f(RxorK)'!$I$88, ROW(A6), 1), 2)</f>
        <v>1</v>
      </c>
      <c r="C49" s="4">
        <f>MOD(B14 + MID('Ham_f(RxorK)'!$I$89, ROW($A6), 1), 2)</f>
        <v>0</v>
      </c>
      <c r="D49" s="4">
        <f>MOD(C14 + MID('Ham_f(RxorK)'!$I$90, ROW($A6), 1), 2)</f>
        <v>1</v>
      </c>
      <c r="E49" s="4">
        <f>MOD(D14 + MID('Ham_f(RxorK)'!$I$91, ROW($A6), 1), 2)</f>
        <v>1</v>
      </c>
      <c r="F49" s="4">
        <f>MOD(E14 + MID('Ham_f(RxorK)'!$I$92, ROW($A6), 1), 2)</f>
        <v>1</v>
      </c>
      <c r="G49" s="4">
        <f>MOD(F14 + MID('Ham_f(RxorK)'!$I$93, ROW($A6), 1), 2)</f>
        <v>0</v>
      </c>
      <c r="H49" s="4">
        <f>MOD(G14 + MID('Ham_f(RxorK)'!$I$94, ROW($A6), 1), 2)</f>
        <v>0</v>
      </c>
      <c r="I49" s="4">
        <f>MOD(H14 + MID('Ham_f(RxorK)'!$I$95, ROW($A6), 1), 2)</f>
        <v>1</v>
      </c>
      <c r="J49" s="4">
        <f>MOD(I14 + MID('Ham_f(RxorK)'!$I$96, ROW($A6), 1), 2)</f>
        <v>0</v>
      </c>
      <c r="K49" s="4">
        <f>MOD(J14 + MID('Ham_f(RxorK)'!$I$97, ROW($A6), 1), 2)</f>
        <v>0</v>
      </c>
      <c r="L49" s="4">
        <f>MOD(K14 + MID('Ham_f(RxorK)'!$I$98, ROW($A6), 1), 2)</f>
        <v>1</v>
      </c>
      <c r="M49" s="4">
        <f>MOD(L14 + MID('Ham_f(RxorK)'!$I$99, ROW($A6), 1), 2)</f>
        <v>0</v>
      </c>
      <c r="N49" s="4">
        <f>MOD(M14 + MID('Ham_f(RxorK)'!$I$100, ROW($A6), 1), 2)</f>
        <v>1</v>
      </c>
      <c r="O49" s="4">
        <f>MOD(N14 + MID('Ham_f(RxorK)'!$I$101, ROW($A6), 1), 2)</f>
        <v>1</v>
      </c>
      <c r="P49" s="4">
        <f>MOD(O14 + MID('Ham_f(RxorK)'!$I$102, ROW($A6), 1), 2)</f>
        <v>1</v>
      </c>
      <c r="Q49" s="4">
        <f>MOD(P14 + MID('Ham_f(RxorK)'!$I$103, ROW($A6), 1), 2)</f>
        <v>1</v>
      </c>
    </row>
    <row r="50" spans="1:17" x14ac:dyDescent="0.3">
      <c r="A50" s="4" t="str">
        <f t="shared" si="37"/>
        <v>0</v>
      </c>
      <c r="B50" s="4">
        <f>MOD(A15 + MID('Ham_f(RxorK)'!$I$88, ROW(A7), 1), 2)</f>
        <v>1</v>
      </c>
      <c r="C50" s="4">
        <f>MOD(B15 + MID('Ham_f(RxorK)'!$I$89, ROW($A7), 1), 2)</f>
        <v>0</v>
      </c>
      <c r="D50" s="4">
        <f>MOD(C15 + MID('Ham_f(RxorK)'!$I$90, ROW($A7), 1), 2)</f>
        <v>0</v>
      </c>
      <c r="E50" s="4">
        <f>MOD(D15 + MID('Ham_f(RxorK)'!$I$91, ROW($A7), 1), 2)</f>
        <v>0</v>
      </c>
      <c r="F50" s="4">
        <f>MOD(E15 + MID('Ham_f(RxorK)'!$I$92, ROW($A7), 1), 2)</f>
        <v>0</v>
      </c>
      <c r="G50" s="4">
        <f>MOD(F15 + MID('Ham_f(RxorK)'!$I$93, ROW($A7), 1), 2)</f>
        <v>1</v>
      </c>
      <c r="H50" s="4">
        <f>MOD(G15 + MID('Ham_f(RxorK)'!$I$94, ROW($A7), 1), 2)</f>
        <v>1</v>
      </c>
      <c r="I50" s="4">
        <f>MOD(H15 + MID('Ham_f(RxorK)'!$I$95, ROW($A7), 1), 2)</f>
        <v>1</v>
      </c>
      <c r="J50" s="4">
        <f>MOD(I15 + MID('Ham_f(RxorK)'!$I$96, ROW($A7), 1), 2)</f>
        <v>0</v>
      </c>
      <c r="K50" s="4">
        <f>MOD(J15 + MID('Ham_f(RxorK)'!$I$97, ROW($A7), 1), 2)</f>
        <v>1</v>
      </c>
      <c r="L50" s="4">
        <f>MOD(K15 + MID('Ham_f(RxorK)'!$I$98, ROW($A7), 1), 2)</f>
        <v>0</v>
      </c>
      <c r="M50" s="4">
        <f>MOD(L15 + MID('Ham_f(RxorK)'!$I$99, ROW($A7), 1), 2)</f>
        <v>1</v>
      </c>
      <c r="N50" s="4">
        <f>MOD(M15 + MID('Ham_f(RxorK)'!$I$100, ROW($A7), 1), 2)</f>
        <v>1</v>
      </c>
      <c r="O50" s="4">
        <f>MOD(N15 + MID('Ham_f(RxorK)'!$I$101, ROW($A7), 1), 2)</f>
        <v>1</v>
      </c>
      <c r="P50" s="4">
        <f>MOD(O15 + MID('Ham_f(RxorK)'!$I$102, ROW($A7), 1), 2)</f>
        <v>1</v>
      </c>
      <c r="Q50" s="4">
        <f>MOD(P15 + MID('Ham_f(RxorK)'!$I$103, ROW($A7), 1), 2)</f>
        <v>0</v>
      </c>
    </row>
    <row r="51" spans="1:17" x14ac:dyDescent="0.3">
      <c r="A51" s="4" t="str">
        <f t="shared" si="37"/>
        <v>0</v>
      </c>
      <c r="B51" s="4">
        <f>MOD(A16 + MID('Ham_f(RxorK)'!$I$88, ROW(A8), 1), 2)</f>
        <v>1</v>
      </c>
      <c r="C51" s="4">
        <f>MOD(B16 + MID('Ham_f(RxorK)'!$I$89, ROW($A8), 1), 2)</f>
        <v>0</v>
      </c>
      <c r="D51" s="4">
        <f>MOD(C16 + MID('Ham_f(RxorK)'!$I$90, ROW($A8), 1), 2)</f>
        <v>1</v>
      </c>
      <c r="E51" s="4">
        <f>MOD(D16 + MID('Ham_f(RxorK)'!$I$91, ROW($A8), 1), 2)</f>
        <v>0</v>
      </c>
      <c r="F51" s="4">
        <f>MOD(E16 + MID('Ham_f(RxorK)'!$I$92, ROW($A8), 1), 2)</f>
        <v>1</v>
      </c>
      <c r="G51" s="4">
        <f>MOD(F16 + MID('Ham_f(RxorK)'!$I$93, ROW($A8), 1), 2)</f>
        <v>1</v>
      </c>
      <c r="H51" s="4">
        <f>MOD(G16 + MID('Ham_f(RxorK)'!$I$94, ROW($A8), 1), 2)</f>
        <v>1</v>
      </c>
      <c r="I51" s="4">
        <f>MOD(H16 + MID('Ham_f(RxorK)'!$I$95, ROW($A8), 1), 2)</f>
        <v>1</v>
      </c>
      <c r="J51" s="4">
        <f>MOD(I16 + MID('Ham_f(RxorK)'!$I$96, ROW($A8), 1), 2)</f>
        <v>0</v>
      </c>
      <c r="K51" s="4">
        <f>MOD(J16 + MID('Ham_f(RxorK)'!$I$97, ROW($A8), 1), 2)</f>
        <v>0</v>
      </c>
      <c r="L51" s="4">
        <f>MOD(K16 + MID('Ham_f(RxorK)'!$I$98, ROW($A8), 1), 2)</f>
        <v>0</v>
      </c>
      <c r="M51" s="4">
        <f>MOD(L16 + MID('Ham_f(RxorK)'!$I$99, ROW($A8), 1), 2)</f>
        <v>0</v>
      </c>
      <c r="N51" s="4">
        <f>MOD(M16 + MID('Ham_f(RxorK)'!$I$100, ROW($A8), 1), 2)</f>
        <v>1</v>
      </c>
      <c r="O51" s="4">
        <f>MOD(N16 + MID('Ham_f(RxorK)'!$I$101, ROW($A8), 1), 2)</f>
        <v>1</v>
      </c>
      <c r="P51" s="4">
        <f>MOD(O16 + MID('Ham_f(RxorK)'!$I$102, ROW($A8), 1), 2)</f>
        <v>0</v>
      </c>
      <c r="Q51" s="4">
        <f>MOD(P16 + MID('Ham_f(RxorK)'!$I$103, ROW($A8), 1), 2)</f>
        <v>0</v>
      </c>
    </row>
    <row r="52" spans="1:17" x14ac:dyDescent="0.3">
      <c r="A52" s="4" t="str">
        <f t="shared" si="37"/>
        <v>0</v>
      </c>
      <c r="B52" s="4">
        <f>MOD(A17 + MID('Ham_f(RxorK)'!$I$88, ROW(A9), 1), 2)</f>
        <v>0</v>
      </c>
      <c r="C52" s="4">
        <f>MOD(B17 + MID('Ham_f(RxorK)'!$I$89, ROW($A9), 1), 2)</f>
        <v>0</v>
      </c>
      <c r="D52" s="4">
        <f>MOD(C17 + MID('Ham_f(RxorK)'!$I$90, ROW($A9), 1), 2)</f>
        <v>0</v>
      </c>
      <c r="E52" s="4">
        <f>MOD(D17 + MID('Ham_f(RxorK)'!$I$91, ROW($A9), 1), 2)</f>
        <v>0</v>
      </c>
      <c r="F52" s="4">
        <f>MOD(E17 + MID('Ham_f(RxorK)'!$I$92, ROW($A9), 1), 2)</f>
        <v>0</v>
      </c>
      <c r="G52" s="4">
        <f>MOD(F17 + MID('Ham_f(RxorK)'!$I$93, ROW($A9), 1), 2)</f>
        <v>1</v>
      </c>
      <c r="H52" s="4">
        <f>MOD(G17 + MID('Ham_f(RxorK)'!$I$94, ROW($A9), 1), 2)</f>
        <v>0</v>
      </c>
      <c r="I52" s="4">
        <f>MOD(H17 + MID('Ham_f(RxorK)'!$I$95, ROW($A9), 1), 2)</f>
        <v>0</v>
      </c>
      <c r="J52" s="4">
        <f>MOD(I17 + MID('Ham_f(RxorK)'!$I$96, ROW($A9), 1), 2)</f>
        <v>0</v>
      </c>
      <c r="K52" s="4">
        <f>MOD(J17 + MID('Ham_f(RxorK)'!$I$97, ROW($A9), 1), 2)</f>
        <v>0</v>
      </c>
      <c r="L52" s="4">
        <f>MOD(K17 + MID('Ham_f(RxorK)'!$I$98, ROW($A9), 1), 2)</f>
        <v>1</v>
      </c>
      <c r="M52" s="4">
        <f>MOD(L17 + MID('Ham_f(RxorK)'!$I$99, ROW($A9), 1), 2)</f>
        <v>0</v>
      </c>
      <c r="N52" s="4">
        <f>MOD(M17 + MID('Ham_f(RxorK)'!$I$100, ROW($A9), 1), 2)</f>
        <v>0</v>
      </c>
      <c r="O52" s="4">
        <f>MOD(N17 + MID('Ham_f(RxorK)'!$I$101, ROW($A9), 1), 2)</f>
        <v>1</v>
      </c>
      <c r="P52" s="4">
        <f>MOD(O17 + MID('Ham_f(RxorK)'!$I$102, ROW($A9), 1), 2)</f>
        <v>0</v>
      </c>
      <c r="Q52" s="4">
        <f>MOD(P17 + MID('Ham_f(RxorK)'!$I$103, ROW($A9), 1), 2)</f>
        <v>0</v>
      </c>
    </row>
    <row r="53" spans="1:17" x14ac:dyDescent="0.3">
      <c r="A53" s="4" t="str">
        <f t="shared" si="37"/>
        <v>1</v>
      </c>
      <c r="B53" s="4">
        <f>MOD(A18 + MID('Ham_f(RxorK)'!$I$88, ROW(A10), 1), 2)</f>
        <v>0</v>
      </c>
      <c r="C53" s="4">
        <f>MOD(B18 + MID('Ham_f(RxorK)'!$I$89, ROW($A10), 1), 2)</f>
        <v>0</v>
      </c>
      <c r="D53" s="4">
        <f>MOD(C18 + MID('Ham_f(RxorK)'!$I$90, ROW($A10), 1), 2)</f>
        <v>0</v>
      </c>
      <c r="E53" s="4">
        <f>MOD(D18 + MID('Ham_f(RxorK)'!$I$91, ROW($A10), 1), 2)</f>
        <v>1</v>
      </c>
      <c r="F53" s="4">
        <f>MOD(E18 + MID('Ham_f(RxorK)'!$I$92, ROW($A10), 1), 2)</f>
        <v>0</v>
      </c>
      <c r="G53" s="4">
        <f>MOD(F18 + MID('Ham_f(RxorK)'!$I$93, ROW($A10), 1), 2)</f>
        <v>0</v>
      </c>
      <c r="H53" s="4">
        <f>MOD(G18 + MID('Ham_f(RxorK)'!$I$94, ROW($A10), 1), 2)</f>
        <v>1</v>
      </c>
      <c r="I53" s="4">
        <f>MOD(H18 + MID('Ham_f(RxorK)'!$I$95, ROW($A10), 1), 2)</f>
        <v>1</v>
      </c>
      <c r="J53" s="4">
        <f>MOD(I18 + MID('Ham_f(RxorK)'!$I$96, ROW($A10), 1), 2)</f>
        <v>1</v>
      </c>
      <c r="K53" s="4">
        <f>MOD(J18 + MID('Ham_f(RxorK)'!$I$97, ROW($A10), 1), 2)</f>
        <v>1</v>
      </c>
      <c r="L53" s="4">
        <f>MOD(K18 + MID('Ham_f(RxorK)'!$I$98, ROW($A10), 1), 2)</f>
        <v>0</v>
      </c>
      <c r="M53" s="4">
        <f>MOD(L18 + MID('Ham_f(RxorK)'!$I$99, ROW($A10), 1), 2)</f>
        <v>0</v>
      </c>
      <c r="N53" s="4">
        <f>MOD(M18 + MID('Ham_f(RxorK)'!$I$100, ROW($A10), 1), 2)</f>
        <v>1</v>
      </c>
      <c r="O53" s="4">
        <f>MOD(N18 + MID('Ham_f(RxorK)'!$I$101, ROW($A10), 1), 2)</f>
        <v>1</v>
      </c>
      <c r="P53" s="4">
        <f>MOD(O18 + MID('Ham_f(RxorK)'!$I$102, ROW($A10), 1), 2)</f>
        <v>1</v>
      </c>
      <c r="Q53" s="4">
        <f>MOD(P18 + MID('Ham_f(RxorK)'!$I$103, ROW($A10), 1), 2)</f>
        <v>0</v>
      </c>
    </row>
    <row r="54" spans="1:17" x14ac:dyDescent="0.3">
      <c r="A54" s="4" t="str">
        <f t="shared" si="37"/>
        <v>0</v>
      </c>
      <c r="B54" s="4">
        <f>MOD(A19 + MID('Ham_f(RxorK)'!$I$88, ROW(A11), 1), 2)</f>
        <v>1</v>
      </c>
      <c r="C54" s="4">
        <f>MOD(B19 + MID('Ham_f(RxorK)'!$I$89, ROW($A11), 1), 2)</f>
        <v>0</v>
      </c>
      <c r="D54" s="4">
        <f>MOD(C19 + MID('Ham_f(RxorK)'!$I$90, ROW($A11), 1), 2)</f>
        <v>0</v>
      </c>
      <c r="E54" s="4">
        <f>MOD(D19 + MID('Ham_f(RxorK)'!$I$91, ROW($A11), 1), 2)</f>
        <v>0</v>
      </c>
      <c r="F54" s="4">
        <f>MOD(E19 + MID('Ham_f(RxorK)'!$I$92, ROW($A11), 1), 2)</f>
        <v>1</v>
      </c>
      <c r="G54" s="4">
        <f>MOD(F19 + MID('Ham_f(RxorK)'!$I$93, ROW($A11), 1), 2)</f>
        <v>0</v>
      </c>
      <c r="H54" s="4">
        <f>MOD(G19 + MID('Ham_f(RxorK)'!$I$94, ROW($A11), 1), 2)</f>
        <v>1</v>
      </c>
      <c r="I54" s="4">
        <f>MOD(H19 + MID('Ham_f(RxorK)'!$I$95, ROW($A11), 1), 2)</f>
        <v>1</v>
      </c>
      <c r="J54" s="4">
        <f>MOD(I19 + MID('Ham_f(RxorK)'!$I$96, ROW($A11), 1), 2)</f>
        <v>1</v>
      </c>
      <c r="K54" s="4">
        <f>MOD(J19 + MID('Ham_f(RxorK)'!$I$97, ROW($A11), 1), 2)</f>
        <v>1</v>
      </c>
      <c r="L54" s="4">
        <f>MOD(K19 + MID('Ham_f(RxorK)'!$I$98, ROW($A11), 1), 2)</f>
        <v>0</v>
      </c>
      <c r="M54" s="4">
        <f>MOD(L19 + MID('Ham_f(RxorK)'!$I$99, ROW($A11), 1), 2)</f>
        <v>1</v>
      </c>
      <c r="N54" s="4">
        <f>MOD(M19 + MID('Ham_f(RxorK)'!$I$100, ROW($A11), 1), 2)</f>
        <v>1</v>
      </c>
      <c r="O54" s="4">
        <f>MOD(N19 + MID('Ham_f(RxorK)'!$I$101, ROW($A11), 1), 2)</f>
        <v>0</v>
      </c>
      <c r="P54" s="4">
        <f>MOD(O19 + MID('Ham_f(RxorK)'!$I$102, ROW($A11), 1), 2)</f>
        <v>0</v>
      </c>
      <c r="Q54" s="4">
        <f>MOD(P19 + MID('Ham_f(RxorK)'!$I$103, ROW($A11), 1), 2)</f>
        <v>1</v>
      </c>
    </row>
    <row r="55" spans="1:17" x14ac:dyDescent="0.3">
      <c r="A55" s="4" t="str">
        <f t="shared" si="37"/>
        <v>1</v>
      </c>
      <c r="B55" s="4">
        <f>MOD(A20 + MID('Ham_f(RxorK)'!$I$88, ROW(A12), 1), 2)</f>
        <v>0</v>
      </c>
      <c r="C55" s="4">
        <f>MOD(B20 + MID('Ham_f(RxorK)'!$I$89, ROW($A12), 1), 2)</f>
        <v>1</v>
      </c>
      <c r="D55" s="4">
        <f>MOD(C20 + MID('Ham_f(RxorK)'!$I$90, ROW($A12), 1), 2)</f>
        <v>1</v>
      </c>
      <c r="E55" s="4">
        <f>MOD(D20 + MID('Ham_f(RxorK)'!$I$91, ROW($A12), 1), 2)</f>
        <v>1</v>
      </c>
      <c r="F55" s="4">
        <f>MOD(E20 + MID('Ham_f(RxorK)'!$I$92, ROW($A12), 1), 2)</f>
        <v>0</v>
      </c>
      <c r="G55" s="4">
        <f>MOD(F20 + MID('Ham_f(RxorK)'!$I$93, ROW($A12), 1), 2)</f>
        <v>1</v>
      </c>
      <c r="H55" s="4">
        <f>MOD(G20 + MID('Ham_f(RxorK)'!$I$94, ROW($A12), 1), 2)</f>
        <v>1</v>
      </c>
      <c r="I55" s="4">
        <f>MOD(H20 + MID('Ham_f(RxorK)'!$I$95, ROW($A12), 1), 2)</f>
        <v>0</v>
      </c>
      <c r="J55" s="4">
        <f>MOD(I20 + MID('Ham_f(RxorK)'!$I$96, ROW($A12), 1), 2)</f>
        <v>1</v>
      </c>
      <c r="K55" s="4">
        <f>MOD(J20 + MID('Ham_f(RxorK)'!$I$97, ROW($A12), 1), 2)</f>
        <v>1</v>
      </c>
      <c r="L55" s="4">
        <f>MOD(K20 + MID('Ham_f(RxorK)'!$I$98, ROW($A12), 1), 2)</f>
        <v>0</v>
      </c>
      <c r="M55" s="4">
        <f>MOD(L20 + MID('Ham_f(RxorK)'!$I$99, ROW($A12), 1), 2)</f>
        <v>1</v>
      </c>
      <c r="N55" s="4">
        <f>MOD(M20 + MID('Ham_f(RxorK)'!$I$100, ROW($A12), 1), 2)</f>
        <v>1</v>
      </c>
      <c r="O55" s="4">
        <f>MOD(N20 + MID('Ham_f(RxorK)'!$I$101, ROW($A12), 1), 2)</f>
        <v>0</v>
      </c>
      <c r="P55" s="4">
        <f>MOD(O20 + MID('Ham_f(RxorK)'!$I$102, ROW($A12), 1), 2)</f>
        <v>0</v>
      </c>
      <c r="Q55" s="4">
        <f>MOD(P20 + MID('Ham_f(RxorK)'!$I$103, ROW($A12), 1), 2)</f>
        <v>1</v>
      </c>
    </row>
    <row r="56" spans="1:17" x14ac:dyDescent="0.3">
      <c r="A56" s="4" t="str">
        <f t="shared" si="37"/>
        <v>0</v>
      </c>
      <c r="B56" s="4">
        <f>MOD(A21 + MID('Ham_f(RxorK)'!$I$88, ROW(A13), 1), 2)</f>
        <v>1</v>
      </c>
      <c r="C56" s="4">
        <f>MOD(B21 + MID('Ham_f(RxorK)'!$I$89, ROW($A13), 1), 2)</f>
        <v>1</v>
      </c>
      <c r="D56" s="4">
        <f>MOD(C21 + MID('Ham_f(RxorK)'!$I$90, ROW($A13), 1), 2)</f>
        <v>0</v>
      </c>
      <c r="E56" s="4">
        <f>MOD(D21 + MID('Ham_f(RxorK)'!$I$91, ROW($A13), 1), 2)</f>
        <v>0</v>
      </c>
      <c r="F56" s="4">
        <f>MOD(E21 + MID('Ham_f(RxorK)'!$I$92, ROW($A13), 1), 2)</f>
        <v>0</v>
      </c>
      <c r="G56" s="4">
        <f>MOD(F21 + MID('Ham_f(RxorK)'!$I$93, ROW($A13), 1), 2)</f>
        <v>0</v>
      </c>
      <c r="H56" s="4">
        <f>MOD(G21 + MID('Ham_f(RxorK)'!$I$94, ROW($A13), 1), 2)</f>
        <v>0</v>
      </c>
      <c r="I56" s="4">
        <f>MOD(H21 + MID('Ham_f(RxorK)'!$I$95, ROW($A13), 1), 2)</f>
        <v>1</v>
      </c>
      <c r="J56" s="4">
        <f>MOD(I21 + MID('Ham_f(RxorK)'!$I$96, ROW($A13), 1), 2)</f>
        <v>0</v>
      </c>
      <c r="K56" s="4">
        <f>MOD(J21 + MID('Ham_f(RxorK)'!$I$97, ROW($A13), 1), 2)</f>
        <v>1</v>
      </c>
      <c r="L56" s="4">
        <f>MOD(K21 + MID('Ham_f(RxorK)'!$I$98, ROW($A13), 1), 2)</f>
        <v>0</v>
      </c>
      <c r="M56" s="4">
        <f>MOD(L21 + MID('Ham_f(RxorK)'!$I$99, ROW($A13), 1), 2)</f>
        <v>0</v>
      </c>
      <c r="N56" s="4">
        <f>MOD(M21 + MID('Ham_f(RxorK)'!$I$100, ROW($A13), 1), 2)</f>
        <v>1</v>
      </c>
      <c r="O56" s="4">
        <f>MOD(N21 + MID('Ham_f(RxorK)'!$I$101, ROW($A13), 1), 2)</f>
        <v>1</v>
      </c>
      <c r="P56" s="4">
        <f>MOD(O21 + MID('Ham_f(RxorK)'!$I$102, ROW($A13), 1), 2)</f>
        <v>0</v>
      </c>
      <c r="Q56" s="4">
        <f>MOD(P21 + MID('Ham_f(RxorK)'!$I$103, ROW($A13), 1), 2)</f>
        <v>1</v>
      </c>
    </row>
    <row r="57" spans="1:17" x14ac:dyDescent="0.3">
      <c r="A57" s="4" t="str">
        <f t="shared" si="37"/>
        <v>1</v>
      </c>
      <c r="B57" s="4">
        <f>MOD(A22 + MID('Ham_f(RxorK)'!$I$88, ROW(A14), 1), 2)</f>
        <v>1</v>
      </c>
      <c r="C57" s="4">
        <f>MOD(B22 + MID('Ham_f(RxorK)'!$I$89, ROW($A14), 1), 2)</f>
        <v>1</v>
      </c>
      <c r="D57" s="4">
        <f>MOD(C22 + MID('Ham_f(RxorK)'!$I$90, ROW($A14), 1), 2)</f>
        <v>1</v>
      </c>
      <c r="E57" s="4">
        <f>MOD(D22 + MID('Ham_f(RxorK)'!$I$91, ROW($A14), 1), 2)</f>
        <v>1</v>
      </c>
      <c r="F57" s="4">
        <f>MOD(E22 + MID('Ham_f(RxorK)'!$I$92, ROW($A14), 1), 2)</f>
        <v>1</v>
      </c>
      <c r="G57" s="4">
        <f>MOD(F22 + MID('Ham_f(RxorK)'!$I$93, ROW($A14), 1), 2)</f>
        <v>0</v>
      </c>
      <c r="H57" s="4">
        <f>MOD(G22 + MID('Ham_f(RxorK)'!$I$94, ROW($A14), 1), 2)</f>
        <v>1</v>
      </c>
      <c r="I57" s="4">
        <f>MOD(H22 + MID('Ham_f(RxorK)'!$I$95, ROW($A14), 1), 2)</f>
        <v>1</v>
      </c>
      <c r="J57" s="4">
        <f>MOD(I22 + MID('Ham_f(RxorK)'!$I$96, ROW($A14), 1), 2)</f>
        <v>0</v>
      </c>
      <c r="K57" s="4">
        <f>MOD(J22 + MID('Ham_f(RxorK)'!$I$97, ROW($A14), 1), 2)</f>
        <v>0</v>
      </c>
      <c r="L57" s="4">
        <f>MOD(K22 + MID('Ham_f(RxorK)'!$I$98, ROW($A14), 1), 2)</f>
        <v>1</v>
      </c>
      <c r="M57" s="4">
        <f>MOD(L22 + MID('Ham_f(RxorK)'!$I$99, ROW($A14), 1), 2)</f>
        <v>1</v>
      </c>
      <c r="N57" s="4">
        <f>MOD(M22 + MID('Ham_f(RxorK)'!$I$100, ROW($A14), 1), 2)</f>
        <v>0</v>
      </c>
      <c r="O57" s="4">
        <f>MOD(N22 + MID('Ham_f(RxorK)'!$I$101, ROW($A14), 1), 2)</f>
        <v>0</v>
      </c>
      <c r="P57" s="4">
        <f>MOD(O22 + MID('Ham_f(RxorK)'!$I$102, ROW($A14), 1), 2)</f>
        <v>1</v>
      </c>
      <c r="Q57" s="4">
        <f>MOD(P22 + MID('Ham_f(RxorK)'!$I$103, ROW($A14), 1), 2)</f>
        <v>1</v>
      </c>
    </row>
    <row r="58" spans="1:17" x14ac:dyDescent="0.3">
      <c r="A58" s="4" t="str">
        <f t="shared" si="37"/>
        <v>0</v>
      </c>
      <c r="B58" s="4">
        <f>MOD(A23 + MID('Ham_f(RxorK)'!$I$88, ROW(A15), 1), 2)</f>
        <v>1</v>
      </c>
      <c r="C58" s="4">
        <f>MOD(B23 + MID('Ham_f(RxorK)'!$I$89, ROW($A15), 1), 2)</f>
        <v>0</v>
      </c>
      <c r="D58" s="4">
        <f>MOD(C23 + MID('Ham_f(RxorK)'!$I$90, ROW($A15), 1), 2)</f>
        <v>0</v>
      </c>
      <c r="E58" s="4">
        <f>MOD(D23 + MID('Ham_f(RxorK)'!$I$91, ROW($A15), 1), 2)</f>
        <v>0</v>
      </c>
      <c r="F58" s="4">
        <f>MOD(E23 + MID('Ham_f(RxorK)'!$I$92, ROW($A15), 1), 2)</f>
        <v>1</v>
      </c>
      <c r="G58" s="4">
        <f>MOD(F23 + MID('Ham_f(RxorK)'!$I$93, ROW($A15), 1), 2)</f>
        <v>0</v>
      </c>
      <c r="H58" s="4">
        <f>MOD(G23 + MID('Ham_f(RxorK)'!$I$94, ROW($A15), 1), 2)</f>
        <v>1</v>
      </c>
      <c r="I58" s="4">
        <f>MOD(H23 + MID('Ham_f(RxorK)'!$I$95, ROW($A15), 1), 2)</f>
        <v>0</v>
      </c>
      <c r="J58" s="4">
        <f>MOD(I23 + MID('Ham_f(RxorK)'!$I$96, ROW($A15), 1), 2)</f>
        <v>0</v>
      </c>
      <c r="K58" s="4">
        <f>MOD(J23 + MID('Ham_f(RxorK)'!$I$97, ROW($A15), 1), 2)</f>
        <v>0</v>
      </c>
      <c r="L58" s="4">
        <f>MOD(K23 + MID('Ham_f(RxorK)'!$I$98, ROW($A15), 1), 2)</f>
        <v>1</v>
      </c>
      <c r="M58" s="4">
        <f>MOD(L23 + MID('Ham_f(RxorK)'!$I$99, ROW($A15), 1), 2)</f>
        <v>1</v>
      </c>
      <c r="N58" s="4">
        <f>MOD(M23 + MID('Ham_f(RxorK)'!$I$100, ROW($A15), 1), 2)</f>
        <v>0</v>
      </c>
      <c r="O58" s="4">
        <f>MOD(N23 + MID('Ham_f(RxorK)'!$I$101, ROW($A15), 1), 2)</f>
        <v>1</v>
      </c>
      <c r="P58" s="4">
        <f>MOD(O23 + MID('Ham_f(RxorK)'!$I$102, ROW($A15), 1), 2)</f>
        <v>1</v>
      </c>
      <c r="Q58" s="4">
        <f>MOD(P23 + MID('Ham_f(RxorK)'!$I$103, ROW($A15), 1), 2)</f>
        <v>1</v>
      </c>
    </row>
    <row r="59" spans="1:17" x14ac:dyDescent="0.3">
      <c r="A59" s="4" t="str">
        <f t="shared" si="37"/>
        <v>0</v>
      </c>
      <c r="B59" s="4">
        <f>MOD(A24 + MID('Ham_f(RxorK)'!$I$88, ROW(A16), 1), 2)</f>
        <v>1</v>
      </c>
      <c r="C59" s="4">
        <f>MOD(B24 + MID('Ham_f(RxorK)'!$I$89, ROW($A16), 1), 2)</f>
        <v>0</v>
      </c>
      <c r="D59" s="4">
        <f>MOD(C24 + MID('Ham_f(RxorK)'!$I$90, ROW($A16), 1), 2)</f>
        <v>0</v>
      </c>
      <c r="E59" s="4">
        <f>MOD(D24 + MID('Ham_f(RxorK)'!$I$91, ROW($A16), 1), 2)</f>
        <v>1</v>
      </c>
      <c r="F59" s="4">
        <f>MOD(E24 + MID('Ham_f(RxorK)'!$I$92, ROW($A16), 1), 2)</f>
        <v>0</v>
      </c>
      <c r="G59" s="4">
        <f>MOD(F24 + MID('Ham_f(RxorK)'!$I$93, ROW($A16), 1), 2)</f>
        <v>1</v>
      </c>
      <c r="H59" s="4">
        <f>MOD(G24 + MID('Ham_f(RxorK)'!$I$94, ROW($A16), 1), 2)</f>
        <v>1</v>
      </c>
      <c r="I59" s="4">
        <f>MOD(H24 + MID('Ham_f(RxorK)'!$I$95, ROW($A16), 1), 2)</f>
        <v>0</v>
      </c>
      <c r="J59" s="4">
        <f>MOD(I24 + MID('Ham_f(RxorK)'!$I$96, ROW($A16), 1), 2)</f>
        <v>1</v>
      </c>
      <c r="K59" s="4">
        <f>MOD(J24 + MID('Ham_f(RxorK)'!$I$97, ROW($A16), 1), 2)</f>
        <v>1</v>
      </c>
      <c r="L59" s="4">
        <f>MOD(K24 + MID('Ham_f(RxorK)'!$I$98, ROW($A16), 1), 2)</f>
        <v>1</v>
      </c>
      <c r="M59" s="4">
        <f>MOD(L24 + MID('Ham_f(RxorK)'!$I$99, ROW($A16), 1), 2)</f>
        <v>0</v>
      </c>
      <c r="N59" s="4">
        <f>MOD(M24 + MID('Ham_f(RxorK)'!$I$100, ROW($A16), 1), 2)</f>
        <v>1</v>
      </c>
      <c r="O59" s="4">
        <f>MOD(N24 + MID('Ham_f(RxorK)'!$I$101, ROW($A16), 1), 2)</f>
        <v>0</v>
      </c>
      <c r="P59" s="4">
        <f>MOD(O24 + MID('Ham_f(RxorK)'!$I$102, ROW($A16), 1), 2)</f>
        <v>0</v>
      </c>
      <c r="Q59" s="4">
        <f>MOD(P24 + MID('Ham_f(RxorK)'!$I$103, ROW($A16), 1), 2)</f>
        <v>1</v>
      </c>
    </row>
    <row r="60" spans="1:17" x14ac:dyDescent="0.3">
      <c r="A60" s="4" t="str">
        <f t="shared" si="37"/>
        <v>1</v>
      </c>
      <c r="B60" s="4">
        <f>MOD(A25 + MID('Ham_f(RxorK)'!$I$88, ROW(A17), 1), 2)</f>
        <v>1</v>
      </c>
      <c r="C60" s="4">
        <f>MOD(B25 + MID('Ham_f(RxorK)'!$I$89, ROW($A17), 1), 2)</f>
        <v>0</v>
      </c>
      <c r="D60" s="4">
        <f>MOD(C25 + MID('Ham_f(RxorK)'!$I$90, ROW($A17), 1), 2)</f>
        <v>1</v>
      </c>
      <c r="E60" s="4">
        <f>MOD(D25 + MID('Ham_f(RxorK)'!$I$91, ROW($A17), 1), 2)</f>
        <v>0</v>
      </c>
      <c r="F60" s="4">
        <f>MOD(E25 + MID('Ham_f(RxorK)'!$I$92, ROW($A17), 1), 2)</f>
        <v>1</v>
      </c>
      <c r="G60" s="4">
        <f>MOD(F25 + MID('Ham_f(RxorK)'!$I$93, ROW($A17), 1), 2)</f>
        <v>0</v>
      </c>
      <c r="H60" s="4">
        <f>MOD(G25 + MID('Ham_f(RxorK)'!$I$94, ROW($A17), 1), 2)</f>
        <v>1</v>
      </c>
      <c r="I60" s="4">
        <f>MOD(H25 + MID('Ham_f(RxorK)'!$I$95, ROW($A17), 1), 2)</f>
        <v>1</v>
      </c>
      <c r="J60" s="4">
        <f>MOD(I25 + MID('Ham_f(RxorK)'!$I$96, ROW($A17), 1), 2)</f>
        <v>1</v>
      </c>
      <c r="K60" s="4">
        <f>MOD(J25 + MID('Ham_f(RxorK)'!$I$97, ROW($A17), 1), 2)</f>
        <v>1</v>
      </c>
      <c r="L60" s="4">
        <f>MOD(K25 + MID('Ham_f(RxorK)'!$I$98, ROW($A17), 1), 2)</f>
        <v>1</v>
      </c>
      <c r="M60" s="4">
        <f>MOD(L25 + MID('Ham_f(RxorK)'!$I$99, ROW($A17), 1), 2)</f>
        <v>0</v>
      </c>
      <c r="N60" s="4">
        <f>MOD(M25 + MID('Ham_f(RxorK)'!$I$100, ROW($A17), 1), 2)</f>
        <v>1</v>
      </c>
      <c r="O60" s="4">
        <f>MOD(N25 + MID('Ham_f(RxorK)'!$I$101, ROW($A17), 1), 2)</f>
        <v>0</v>
      </c>
      <c r="P60" s="4">
        <f>MOD(O25 + MID('Ham_f(RxorK)'!$I$102, ROW($A17), 1), 2)</f>
        <v>1</v>
      </c>
      <c r="Q60" s="4">
        <f>MOD(P25 + MID('Ham_f(RxorK)'!$I$103, ROW($A17), 1), 2)</f>
        <v>0</v>
      </c>
    </row>
    <row r="61" spans="1:17" x14ac:dyDescent="0.3">
      <c r="A61" s="4" t="str">
        <f t="shared" si="37"/>
        <v>1</v>
      </c>
      <c r="B61" s="4">
        <f>MOD(A26 + MID('Ham_f(RxorK)'!$I$88, ROW(A18), 1), 2)</f>
        <v>0</v>
      </c>
      <c r="C61" s="4">
        <f>MOD(B26 + MID('Ham_f(RxorK)'!$I$89, ROW($A18), 1), 2)</f>
        <v>1</v>
      </c>
      <c r="D61" s="4">
        <f>MOD(C26 + MID('Ham_f(RxorK)'!$I$90, ROW($A18), 1), 2)</f>
        <v>0</v>
      </c>
      <c r="E61" s="4">
        <f>MOD(D26 + MID('Ham_f(RxorK)'!$I$91, ROW($A18), 1), 2)</f>
        <v>0</v>
      </c>
      <c r="F61" s="4">
        <f>MOD(E26 + MID('Ham_f(RxorK)'!$I$92, ROW($A18), 1), 2)</f>
        <v>0</v>
      </c>
      <c r="G61" s="4">
        <f>MOD(F26 + MID('Ham_f(RxorK)'!$I$93, ROW($A18), 1), 2)</f>
        <v>0</v>
      </c>
      <c r="H61" s="4">
        <f>MOD(G26 + MID('Ham_f(RxorK)'!$I$94, ROW($A18), 1), 2)</f>
        <v>0</v>
      </c>
      <c r="I61" s="4">
        <f>MOD(H26 + MID('Ham_f(RxorK)'!$I$95, ROW($A18), 1), 2)</f>
        <v>1</v>
      </c>
      <c r="J61" s="4">
        <f>MOD(I26 + MID('Ham_f(RxorK)'!$I$96, ROW($A18), 1), 2)</f>
        <v>0</v>
      </c>
      <c r="K61" s="4">
        <f>MOD(J26 + MID('Ham_f(RxorK)'!$I$97, ROW($A18), 1), 2)</f>
        <v>1</v>
      </c>
      <c r="L61" s="4">
        <f>MOD(K26 + MID('Ham_f(RxorK)'!$I$98, ROW($A18), 1), 2)</f>
        <v>1</v>
      </c>
      <c r="M61" s="4">
        <f>MOD(L26 + MID('Ham_f(RxorK)'!$I$99, ROW($A18), 1), 2)</f>
        <v>1</v>
      </c>
      <c r="N61" s="4">
        <f>MOD(M26 + MID('Ham_f(RxorK)'!$I$100, ROW($A18), 1), 2)</f>
        <v>1</v>
      </c>
      <c r="O61" s="4">
        <f>MOD(N26 + MID('Ham_f(RxorK)'!$I$101, ROW($A18), 1), 2)</f>
        <v>0</v>
      </c>
      <c r="P61" s="4">
        <f>MOD(O26 + MID('Ham_f(RxorK)'!$I$102, ROW($A18), 1), 2)</f>
        <v>1</v>
      </c>
      <c r="Q61" s="4">
        <f>MOD(P26 + MID('Ham_f(RxorK)'!$I$103, ROW($A18), 1), 2)</f>
        <v>0</v>
      </c>
    </row>
    <row r="62" spans="1:17" x14ac:dyDescent="0.3">
      <c r="A62" s="4" t="str">
        <f t="shared" si="37"/>
        <v>1</v>
      </c>
      <c r="B62" s="4">
        <f>MOD(A27 + MID('Ham_f(RxorK)'!$I$88, ROW(A19), 1), 2)</f>
        <v>1</v>
      </c>
      <c r="C62" s="4">
        <f>MOD(B27 + MID('Ham_f(RxorK)'!$I$89, ROW($A19), 1), 2)</f>
        <v>1</v>
      </c>
      <c r="D62" s="4">
        <f>MOD(C27 + MID('Ham_f(RxorK)'!$I$90, ROW($A19), 1), 2)</f>
        <v>0</v>
      </c>
      <c r="E62" s="4">
        <f>MOD(D27 + MID('Ham_f(RxorK)'!$I$91, ROW($A19), 1), 2)</f>
        <v>1</v>
      </c>
      <c r="F62" s="4">
        <f>MOD(E27 + MID('Ham_f(RxorK)'!$I$92, ROW($A19), 1), 2)</f>
        <v>1</v>
      </c>
      <c r="G62" s="4">
        <f>MOD(F27 + MID('Ham_f(RxorK)'!$I$93, ROW($A19), 1), 2)</f>
        <v>0</v>
      </c>
      <c r="H62" s="4">
        <f>MOD(G27 + MID('Ham_f(RxorK)'!$I$94, ROW($A19), 1), 2)</f>
        <v>0</v>
      </c>
      <c r="I62" s="4">
        <f>MOD(H27 + MID('Ham_f(RxorK)'!$I$95, ROW($A19), 1), 2)</f>
        <v>1</v>
      </c>
      <c r="J62" s="4">
        <f>MOD(I27 + MID('Ham_f(RxorK)'!$I$96, ROW($A19), 1), 2)</f>
        <v>0</v>
      </c>
      <c r="K62" s="4">
        <f>MOD(J27 + MID('Ham_f(RxorK)'!$I$97, ROW($A19), 1), 2)</f>
        <v>1</v>
      </c>
      <c r="L62" s="4">
        <f>MOD(K27 + MID('Ham_f(RxorK)'!$I$98, ROW($A19), 1), 2)</f>
        <v>1</v>
      </c>
      <c r="M62" s="4">
        <f>MOD(L27 + MID('Ham_f(RxorK)'!$I$99, ROW($A19), 1), 2)</f>
        <v>0</v>
      </c>
      <c r="N62" s="4">
        <f>MOD(M27 + MID('Ham_f(RxorK)'!$I$100, ROW($A19), 1), 2)</f>
        <v>0</v>
      </c>
      <c r="O62" s="4">
        <f>MOD(N27 + MID('Ham_f(RxorK)'!$I$101, ROW($A19), 1), 2)</f>
        <v>1</v>
      </c>
      <c r="P62" s="4">
        <f>MOD(O27 + MID('Ham_f(RxorK)'!$I$102, ROW($A19), 1), 2)</f>
        <v>0</v>
      </c>
      <c r="Q62" s="4">
        <f>MOD(P27 + MID('Ham_f(RxorK)'!$I$103, ROW($A19), 1), 2)</f>
        <v>0</v>
      </c>
    </row>
    <row r="63" spans="1:17" x14ac:dyDescent="0.3">
      <c r="A63" s="4" t="str">
        <f t="shared" si="37"/>
        <v>1</v>
      </c>
      <c r="B63" s="4">
        <f>MOD(A28 + MID('Ham_f(RxorK)'!$I$88, ROW(A20), 1), 2)</f>
        <v>0</v>
      </c>
      <c r="C63" s="4">
        <f>MOD(B28 + MID('Ham_f(RxorK)'!$I$89, ROW($A20), 1), 2)</f>
        <v>1</v>
      </c>
      <c r="D63" s="4">
        <f>MOD(C28 + MID('Ham_f(RxorK)'!$I$90, ROW($A20), 1), 2)</f>
        <v>0</v>
      </c>
      <c r="E63" s="4">
        <f>MOD(D28 + MID('Ham_f(RxorK)'!$I$91, ROW($A20), 1), 2)</f>
        <v>0</v>
      </c>
      <c r="F63" s="4">
        <f>MOD(E28 + MID('Ham_f(RxorK)'!$I$92, ROW($A20), 1), 2)</f>
        <v>1</v>
      </c>
      <c r="G63" s="4">
        <f>MOD(F28 + MID('Ham_f(RxorK)'!$I$93, ROW($A20), 1), 2)</f>
        <v>1</v>
      </c>
      <c r="H63" s="4">
        <f>MOD(G28 + MID('Ham_f(RxorK)'!$I$94, ROW($A20), 1), 2)</f>
        <v>1</v>
      </c>
      <c r="I63" s="4">
        <f>MOD(H28 + MID('Ham_f(RxorK)'!$I$95, ROW($A20), 1), 2)</f>
        <v>1</v>
      </c>
      <c r="J63" s="4">
        <f>MOD(I28 + MID('Ham_f(RxorK)'!$I$96, ROW($A20), 1), 2)</f>
        <v>1</v>
      </c>
      <c r="K63" s="4">
        <f>MOD(J28 + MID('Ham_f(RxorK)'!$I$97, ROW($A20), 1), 2)</f>
        <v>1</v>
      </c>
      <c r="L63" s="4">
        <f>MOD(K28 + MID('Ham_f(RxorK)'!$I$98, ROW($A20), 1), 2)</f>
        <v>0</v>
      </c>
      <c r="M63" s="4">
        <f>MOD(L28 + MID('Ham_f(RxorK)'!$I$99, ROW($A20), 1), 2)</f>
        <v>1</v>
      </c>
      <c r="N63" s="4">
        <f>MOD(M28 + MID('Ham_f(RxorK)'!$I$100, ROW($A20), 1), 2)</f>
        <v>0</v>
      </c>
      <c r="O63" s="4">
        <f>MOD(N28 + MID('Ham_f(RxorK)'!$I$101, ROW($A20), 1), 2)</f>
        <v>0</v>
      </c>
      <c r="P63" s="4">
        <f>MOD(O28 + MID('Ham_f(RxorK)'!$I$102, ROW($A20), 1), 2)</f>
        <v>1</v>
      </c>
      <c r="Q63" s="4">
        <f>MOD(P28 + MID('Ham_f(RxorK)'!$I$103, ROW($A20), 1), 2)</f>
        <v>0</v>
      </c>
    </row>
    <row r="64" spans="1:17" x14ac:dyDescent="0.3">
      <c r="A64" s="4" t="str">
        <f t="shared" si="37"/>
        <v>0</v>
      </c>
      <c r="B64" s="4">
        <f>MOD(A29 + MID('Ham_f(RxorK)'!$I$88, ROW(A21), 1), 2)</f>
        <v>1</v>
      </c>
      <c r="C64" s="4">
        <f>MOD(B29 + MID('Ham_f(RxorK)'!$I$89, ROW($A21), 1), 2)</f>
        <v>1</v>
      </c>
      <c r="D64" s="4">
        <f>MOD(C29 + MID('Ham_f(RxorK)'!$I$90, ROW($A21), 1), 2)</f>
        <v>1</v>
      </c>
      <c r="E64" s="4">
        <f>MOD(D29 + MID('Ham_f(RxorK)'!$I$91, ROW($A21), 1), 2)</f>
        <v>1</v>
      </c>
      <c r="F64" s="4">
        <f>MOD(E29 + MID('Ham_f(RxorK)'!$I$92, ROW($A21), 1), 2)</f>
        <v>1</v>
      </c>
      <c r="G64" s="4">
        <f>MOD(F29 + MID('Ham_f(RxorK)'!$I$93, ROW($A21), 1), 2)</f>
        <v>0</v>
      </c>
      <c r="H64" s="4">
        <f>MOD(G29 + MID('Ham_f(RxorK)'!$I$94, ROW($A21), 1), 2)</f>
        <v>1</v>
      </c>
      <c r="I64" s="4">
        <f>MOD(H29 + MID('Ham_f(RxorK)'!$I$95, ROW($A21), 1), 2)</f>
        <v>1</v>
      </c>
      <c r="J64" s="4">
        <f>MOD(I29 + MID('Ham_f(RxorK)'!$I$96, ROW($A21), 1), 2)</f>
        <v>1</v>
      </c>
      <c r="K64" s="4">
        <f>MOD(J29 + MID('Ham_f(RxorK)'!$I$97, ROW($A21), 1), 2)</f>
        <v>0</v>
      </c>
      <c r="L64" s="4">
        <f>MOD(K29 + MID('Ham_f(RxorK)'!$I$98, ROW($A21), 1), 2)</f>
        <v>1</v>
      </c>
      <c r="M64" s="4">
        <f>MOD(L29 + MID('Ham_f(RxorK)'!$I$99, ROW($A21), 1), 2)</f>
        <v>0</v>
      </c>
      <c r="N64" s="4">
        <f>MOD(M29 + MID('Ham_f(RxorK)'!$I$100, ROW($A21), 1), 2)</f>
        <v>0</v>
      </c>
      <c r="O64" s="4">
        <f>MOD(N29 + MID('Ham_f(RxorK)'!$I$101, ROW($A21), 1), 2)</f>
        <v>1</v>
      </c>
      <c r="P64" s="4">
        <f>MOD(O29 + MID('Ham_f(RxorK)'!$I$102, ROW($A21), 1), 2)</f>
        <v>1</v>
      </c>
      <c r="Q64" s="4">
        <f>MOD(P29 + MID('Ham_f(RxorK)'!$I$103, ROW($A21), 1), 2)</f>
        <v>1</v>
      </c>
    </row>
    <row r="65" spans="1:17" x14ac:dyDescent="0.3">
      <c r="A65" s="4" t="str">
        <f t="shared" si="37"/>
        <v>0</v>
      </c>
      <c r="B65" s="4">
        <f>MOD(A30 + MID('Ham_f(RxorK)'!$I$88, ROW(A22), 1), 2)</f>
        <v>1</v>
      </c>
      <c r="C65" s="4">
        <f>MOD(B30 + MID('Ham_f(RxorK)'!$I$89, ROW($A22), 1), 2)</f>
        <v>1</v>
      </c>
      <c r="D65" s="4">
        <f>MOD(C30 + MID('Ham_f(RxorK)'!$I$90, ROW($A22), 1), 2)</f>
        <v>0</v>
      </c>
      <c r="E65" s="4">
        <f>MOD(D30 + MID('Ham_f(RxorK)'!$I$91, ROW($A22), 1), 2)</f>
        <v>1</v>
      </c>
      <c r="F65" s="4">
        <f>MOD(E30 + MID('Ham_f(RxorK)'!$I$92, ROW($A22), 1), 2)</f>
        <v>1</v>
      </c>
      <c r="G65" s="4">
        <f>MOD(F30 + MID('Ham_f(RxorK)'!$I$93, ROW($A22), 1), 2)</f>
        <v>1</v>
      </c>
      <c r="H65" s="4">
        <f>MOD(G30 + MID('Ham_f(RxorK)'!$I$94, ROW($A22), 1), 2)</f>
        <v>1</v>
      </c>
      <c r="I65" s="4">
        <f>MOD(H30 + MID('Ham_f(RxorK)'!$I$95, ROW($A22), 1), 2)</f>
        <v>0</v>
      </c>
      <c r="J65" s="4">
        <f>MOD(I30 + MID('Ham_f(RxorK)'!$I$96, ROW($A22), 1), 2)</f>
        <v>1</v>
      </c>
      <c r="K65" s="4">
        <f>MOD(J30 + MID('Ham_f(RxorK)'!$I$97, ROW($A22), 1), 2)</f>
        <v>0</v>
      </c>
      <c r="L65" s="4">
        <f>MOD(K30 + MID('Ham_f(RxorK)'!$I$98, ROW($A22), 1), 2)</f>
        <v>1</v>
      </c>
      <c r="M65" s="4">
        <f>MOD(L30 + MID('Ham_f(RxorK)'!$I$99, ROW($A22), 1), 2)</f>
        <v>0</v>
      </c>
      <c r="N65" s="4">
        <f>MOD(M30 + MID('Ham_f(RxorK)'!$I$100, ROW($A22), 1), 2)</f>
        <v>1</v>
      </c>
      <c r="O65" s="4">
        <f>MOD(N30 + MID('Ham_f(RxorK)'!$I$101, ROW($A22), 1), 2)</f>
        <v>0</v>
      </c>
      <c r="P65" s="4">
        <f>MOD(O30 + MID('Ham_f(RxorK)'!$I$102, ROW($A22), 1), 2)</f>
        <v>0</v>
      </c>
      <c r="Q65" s="4">
        <f>MOD(P30 + MID('Ham_f(RxorK)'!$I$103, ROW($A22), 1), 2)</f>
        <v>1</v>
      </c>
    </row>
    <row r="66" spans="1:17" x14ac:dyDescent="0.3">
      <c r="A66" s="4" t="str">
        <f t="shared" si="37"/>
        <v>0</v>
      </c>
      <c r="B66" s="4">
        <f>MOD(A31 + MID('Ham_f(RxorK)'!$I$88, ROW(A23), 1), 2)</f>
        <v>0</v>
      </c>
      <c r="C66" s="4">
        <f>MOD(B31 + MID('Ham_f(RxorK)'!$I$89, ROW($A23), 1), 2)</f>
        <v>0</v>
      </c>
      <c r="D66" s="4">
        <f>MOD(C31 + MID('Ham_f(RxorK)'!$I$90, ROW($A23), 1), 2)</f>
        <v>1</v>
      </c>
      <c r="E66" s="4">
        <f>MOD(D31 + MID('Ham_f(RxorK)'!$I$91, ROW($A23), 1), 2)</f>
        <v>0</v>
      </c>
      <c r="F66" s="4">
        <f>MOD(E31 + MID('Ham_f(RxorK)'!$I$92, ROW($A23), 1), 2)</f>
        <v>0</v>
      </c>
      <c r="G66" s="4">
        <f>MOD(F31 + MID('Ham_f(RxorK)'!$I$93, ROW($A23), 1), 2)</f>
        <v>1</v>
      </c>
      <c r="H66" s="4">
        <f>MOD(G31 + MID('Ham_f(RxorK)'!$I$94, ROW($A23), 1), 2)</f>
        <v>1</v>
      </c>
      <c r="I66" s="4">
        <f>MOD(H31 + MID('Ham_f(RxorK)'!$I$95, ROW($A23), 1), 2)</f>
        <v>1</v>
      </c>
      <c r="J66" s="4">
        <f>MOD(I31 + MID('Ham_f(RxorK)'!$I$96, ROW($A23), 1), 2)</f>
        <v>1</v>
      </c>
      <c r="K66" s="4">
        <f>MOD(J31 + MID('Ham_f(RxorK)'!$I$97, ROW($A23), 1), 2)</f>
        <v>1</v>
      </c>
      <c r="L66" s="4">
        <f>MOD(K31 + MID('Ham_f(RxorK)'!$I$98, ROW($A23), 1), 2)</f>
        <v>1</v>
      </c>
      <c r="M66" s="4">
        <f>MOD(L31 + MID('Ham_f(RxorK)'!$I$99, ROW($A23), 1), 2)</f>
        <v>0</v>
      </c>
      <c r="N66" s="4">
        <f>MOD(M31 + MID('Ham_f(RxorK)'!$I$100, ROW($A23), 1), 2)</f>
        <v>1</v>
      </c>
      <c r="O66" s="4">
        <f>MOD(N31 + MID('Ham_f(RxorK)'!$I$101, ROW($A23), 1), 2)</f>
        <v>1</v>
      </c>
      <c r="P66" s="4">
        <f>MOD(O31 + MID('Ham_f(RxorK)'!$I$102, ROW($A23), 1), 2)</f>
        <v>1</v>
      </c>
      <c r="Q66" s="4">
        <f>MOD(P31 + MID('Ham_f(RxorK)'!$I$103, ROW($A23), 1), 2)</f>
        <v>1</v>
      </c>
    </row>
    <row r="67" spans="1:17" x14ac:dyDescent="0.3">
      <c r="A67" s="4" t="str">
        <f t="shared" si="37"/>
        <v>0</v>
      </c>
      <c r="B67" s="4">
        <f>MOD(A32 + MID('Ham_f(RxorK)'!$I$88, ROW(A24), 1), 2)</f>
        <v>1</v>
      </c>
      <c r="C67" s="4">
        <f>MOD(B32 + MID('Ham_f(RxorK)'!$I$89, ROW($A24), 1), 2)</f>
        <v>1</v>
      </c>
      <c r="D67" s="4">
        <f>MOD(C32 + MID('Ham_f(RxorK)'!$I$90, ROW($A24), 1), 2)</f>
        <v>1</v>
      </c>
      <c r="E67" s="4">
        <f>MOD(D32 + MID('Ham_f(RxorK)'!$I$91, ROW($A24), 1), 2)</f>
        <v>1</v>
      </c>
      <c r="F67" s="4">
        <f>MOD(E32 + MID('Ham_f(RxorK)'!$I$92, ROW($A24), 1), 2)</f>
        <v>0</v>
      </c>
      <c r="G67" s="4">
        <f>MOD(F32 + MID('Ham_f(RxorK)'!$I$93, ROW($A24), 1), 2)</f>
        <v>0</v>
      </c>
      <c r="H67" s="4">
        <f>MOD(G32 + MID('Ham_f(RxorK)'!$I$94, ROW($A24), 1), 2)</f>
        <v>1</v>
      </c>
      <c r="I67" s="4">
        <f>MOD(H32 + MID('Ham_f(RxorK)'!$I$95, ROW($A24), 1), 2)</f>
        <v>0</v>
      </c>
      <c r="J67" s="4">
        <f>MOD(I32 + MID('Ham_f(RxorK)'!$I$96, ROW($A24), 1), 2)</f>
        <v>1</v>
      </c>
      <c r="K67" s="4">
        <f>MOD(J32 + MID('Ham_f(RxorK)'!$I$97, ROW($A24), 1), 2)</f>
        <v>0</v>
      </c>
      <c r="L67" s="4">
        <f>MOD(K32 + MID('Ham_f(RxorK)'!$I$98, ROW($A24), 1), 2)</f>
        <v>0</v>
      </c>
      <c r="M67" s="4">
        <f>MOD(L32 + MID('Ham_f(RxorK)'!$I$99, ROW($A24), 1), 2)</f>
        <v>1</v>
      </c>
      <c r="N67" s="4">
        <f>MOD(M32 + MID('Ham_f(RxorK)'!$I$100, ROW($A24), 1), 2)</f>
        <v>0</v>
      </c>
      <c r="O67" s="4">
        <f>MOD(N32 + MID('Ham_f(RxorK)'!$I$101, ROW($A24), 1), 2)</f>
        <v>1</v>
      </c>
      <c r="P67" s="4">
        <f>MOD(O32 + MID('Ham_f(RxorK)'!$I$102, ROW($A24), 1), 2)</f>
        <v>1</v>
      </c>
      <c r="Q67" s="4">
        <f>MOD(P32 + MID('Ham_f(RxorK)'!$I$103, ROW($A24), 1), 2)</f>
        <v>0</v>
      </c>
    </row>
    <row r="68" spans="1:17" x14ac:dyDescent="0.3">
      <c r="A68" s="4" t="str">
        <f t="shared" si="37"/>
        <v>1</v>
      </c>
      <c r="B68" s="4">
        <f>MOD(A33 + MID('Ham_f(RxorK)'!$I$88, ROW(A25), 1), 2)</f>
        <v>1</v>
      </c>
      <c r="C68" s="4">
        <f>MOD(B33 + MID('Ham_f(RxorK)'!$I$89, ROW($A25), 1), 2)</f>
        <v>1</v>
      </c>
      <c r="D68" s="4">
        <f>MOD(C33 + MID('Ham_f(RxorK)'!$I$90, ROW($A25), 1), 2)</f>
        <v>0</v>
      </c>
      <c r="E68" s="4">
        <f>MOD(D33 + MID('Ham_f(RxorK)'!$I$91, ROW($A25), 1), 2)</f>
        <v>0</v>
      </c>
      <c r="F68" s="4">
        <f>MOD(E33 + MID('Ham_f(RxorK)'!$I$92, ROW($A25), 1), 2)</f>
        <v>1</v>
      </c>
      <c r="G68" s="4">
        <f>MOD(F33 + MID('Ham_f(RxorK)'!$I$93, ROW($A25), 1), 2)</f>
        <v>0</v>
      </c>
      <c r="H68" s="4">
        <f>MOD(G33 + MID('Ham_f(RxorK)'!$I$94, ROW($A25), 1), 2)</f>
        <v>0</v>
      </c>
      <c r="I68" s="4">
        <f>MOD(H33 + MID('Ham_f(RxorK)'!$I$95, ROW($A25), 1), 2)</f>
        <v>1</v>
      </c>
      <c r="J68" s="4">
        <f>MOD(I33 + MID('Ham_f(RxorK)'!$I$96, ROW($A25), 1), 2)</f>
        <v>1</v>
      </c>
      <c r="K68" s="4">
        <f>MOD(J33 + MID('Ham_f(RxorK)'!$I$97, ROW($A25), 1), 2)</f>
        <v>0</v>
      </c>
      <c r="L68" s="4">
        <f>MOD(K33 + MID('Ham_f(RxorK)'!$I$98, ROW($A25), 1), 2)</f>
        <v>1</v>
      </c>
      <c r="M68" s="4">
        <f>MOD(L33 + MID('Ham_f(RxorK)'!$I$99, ROW($A25), 1), 2)</f>
        <v>1</v>
      </c>
      <c r="N68" s="4">
        <f>MOD(M33 + MID('Ham_f(RxorK)'!$I$100, ROW($A25), 1), 2)</f>
        <v>1</v>
      </c>
      <c r="O68" s="4">
        <f>MOD(N33 + MID('Ham_f(RxorK)'!$I$101, ROW($A25), 1), 2)</f>
        <v>1</v>
      </c>
      <c r="P68" s="4">
        <f>MOD(O33 + MID('Ham_f(RxorK)'!$I$102, ROW($A25), 1), 2)</f>
        <v>1</v>
      </c>
      <c r="Q68" s="4">
        <f>MOD(P33 + MID('Ham_f(RxorK)'!$I$103, ROW($A25), 1), 2)</f>
        <v>1</v>
      </c>
    </row>
    <row r="69" spans="1:17" x14ac:dyDescent="0.3">
      <c r="A69" s="4" t="str">
        <f t="shared" si="37"/>
        <v>0</v>
      </c>
      <c r="B69" s="4">
        <f>MOD(A34 + MID('Ham_f(RxorK)'!$I$88, ROW(A26), 1), 2)</f>
        <v>0</v>
      </c>
      <c r="C69" s="4">
        <f>MOD(B34 + MID('Ham_f(RxorK)'!$I$89, ROW($A26), 1), 2)</f>
        <v>0</v>
      </c>
      <c r="D69" s="4">
        <f>MOD(C34 + MID('Ham_f(RxorK)'!$I$90, ROW($A26), 1), 2)</f>
        <v>0</v>
      </c>
      <c r="E69" s="4">
        <f>MOD(D34 + MID('Ham_f(RxorK)'!$I$91, ROW($A26), 1), 2)</f>
        <v>0</v>
      </c>
      <c r="F69" s="4">
        <f>MOD(E34 + MID('Ham_f(RxorK)'!$I$92, ROW($A26), 1), 2)</f>
        <v>1</v>
      </c>
      <c r="G69" s="4">
        <f>MOD(F34 + MID('Ham_f(RxorK)'!$I$93, ROW($A26), 1), 2)</f>
        <v>0</v>
      </c>
      <c r="H69" s="4">
        <f>MOD(G34 + MID('Ham_f(RxorK)'!$I$94, ROW($A26), 1), 2)</f>
        <v>1</v>
      </c>
      <c r="I69" s="4">
        <f>MOD(H34 + MID('Ham_f(RxorK)'!$I$95, ROW($A26), 1), 2)</f>
        <v>0</v>
      </c>
      <c r="J69" s="4">
        <f>MOD(I34 + MID('Ham_f(RxorK)'!$I$96, ROW($A26), 1), 2)</f>
        <v>1</v>
      </c>
      <c r="K69" s="4">
        <f>MOD(J34 + MID('Ham_f(RxorK)'!$I$97, ROW($A26), 1), 2)</f>
        <v>1</v>
      </c>
      <c r="L69" s="4">
        <f>MOD(K34 + MID('Ham_f(RxorK)'!$I$98, ROW($A26), 1), 2)</f>
        <v>0</v>
      </c>
      <c r="M69" s="4">
        <f>MOD(L34 + MID('Ham_f(RxorK)'!$I$99, ROW($A26), 1), 2)</f>
        <v>1</v>
      </c>
      <c r="N69" s="4">
        <f>MOD(M34 + MID('Ham_f(RxorK)'!$I$100, ROW($A26), 1), 2)</f>
        <v>0</v>
      </c>
      <c r="O69" s="4">
        <f>MOD(N34 + MID('Ham_f(RxorK)'!$I$101, ROW($A26), 1), 2)</f>
        <v>0</v>
      </c>
      <c r="P69" s="4">
        <f>MOD(O34 + MID('Ham_f(RxorK)'!$I$102, ROW($A26), 1), 2)</f>
        <v>0</v>
      </c>
      <c r="Q69" s="4">
        <f>MOD(P34 + MID('Ham_f(RxorK)'!$I$103, ROW($A26), 1), 2)</f>
        <v>0</v>
      </c>
    </row>
    <row r="70" spans="1:17" x14ac:dyDescent="0.3">
      <c r="A70" s="4" t="str">
        <f t="shared" si="37"/>
        <v>1</v>
      </c>
      <c r="B70" s="4">
        <f>MOD(A35 + MID('Ham_f(RxorK)'!$I$88, ROW(A27), 1), 2)</f>
        <v>0</v>
      </c>
      <c r="C70" s="4">
        <f>MOD(B35 + MID('Ham_f(RxorK)'!$I$89, ROW($A27), 1), 2)</f>
        <v>1</v>
      </c>
      <c r="D70" s="4">
        <f>MOD(C35 + MID('Ham_f(RxorK)'!$I$90, ROW($A27), 1), 2)</f>
        <v>0</v>
      </c>
      <c r="E70" s="4">
        <f>MOD(D35 + MID('Ham_f(RxorK)'!$I$91, ROW($A27), 1), 2)</f>
        <v>0</v>
      </c>
      <c r="F70" s="4">
        <f>MOD(E35 + MID('Ham_f(RxorK)'!$I$92, ROW($A27), 1), 2)</f>
        <v>1</v>
      </c>
      <c r="G70" s="4">
        <f>MOD(F35 + MID('Ham_f(RxorK)'!$I$93, ROW($A27), 1), 2)</f>
        <v>1</v>
      </c>
      <c r="H70" s="4">
        <f>MOD(G35 + MID('Ham_f(RxorK)'!$I$94, ROW($A27), 1), 2)</f>
        <v>0</v>
      </c>
      <c r="I70" s="4">
        <f>MOD(H35 + MID('Ham_f(RxorK)'!$I$95, ROW($A27), 1), 2)</f>
        <v>0</v>
      </c>
      <c r="J70" s="4">
        <f>MOD(I35 + MID('Ham_f(RxorK)'!$I$96, ROW($A27), 1), 2)</f>
        <v>1</v>
      </c>
      <c r="K70" s="4">
        <f>MOD(J35 + MID('Ham_f(RxorK)'!$I$97, ROW($A27), 1), 2)</f>
        <v>1</v>
      </c>
      <c r="L70" s="4">
        <f>MOD(K35 + MID('Ham_f(RxorK)'!$I$98, ROW($A27), 1), 2)</f>
        <v>1</v>
      </c>
      <c r="M70" s="4">
        <f>MOD(L35 + MID('Ham_f(RxorK)'!$I$99, ROW($A27), 1), 2)</f>
        <v>0</v>
      </c>
      <c r="N70" s="4">
        <f>MOD(M35 + MID('Ham_f(RxorK)'!$I$100, ROW($A27), 1), 2)</f>
        <v>1</v>
      </c>
      <c r="O70" s="4">
        <f>MOD(N35 + MID('Ham_f(RxorK)'!$I$101, ROW($A27), 1), 2)</f>
        <v>0</v>
      </c>
      <c r="P70" s="4">
        <f>MOD(O35 + MID('Ham_f(RxorK)'!$I$102, ROW($A27), 1), 2)</f>
        <v>1</v>
      </c>
      <c r="Q70" s="4">
        <f>MOD(P35 + MID('Ham_f(RxorK)'!$I$103, ROW($A27), 1), 2)</f>
        <v>1</v>
      </c>
    </row>
    <row r="71" spans="1:17" x14ac:dyDescent="0.3">
      <c r="A71" s="4" t="str">
        <f t="shared" si="37"/>
        <v>0</v>
      </c>
      <c r="B71" s="4">
        <f>MOD(A36 + MID('Ham_f(RxorK)'!$I$88, ROW(A28), 1), 2)</f>
        <v>1</v>
      </c>
      <c r="C71" s="4">
        <f>MOD(B36 + MID('Ham_f(RxorK)'!$I$89, ROW($A28), 1), 2)</f>
        <v>0</v>
      </c>
      <c r="D71" s="4">
        <f>MOD(C36 + MID('Ham_f(RxorK)'!$I$90, ROW($A28), 1), 2)</f>
        <v>0</v>
      </c>
      <c r="E71" s="4">
        <f>MOD(D36 + MID('Ham_f(RxorK)'!$I$91, ROW($A28), 1), 2)</f>
        <v>1</v>
      </c>
      <c r="F71" s="4">
        <f>MOD(E36 + MID('Ham_f(RxorK)'!$I$92, ROW($A28), 1), 2)</f>
        <v>1</v>
      </c>
      <c r="G71" s="4">
        <f>MOD(F36 + MID('Ham_f(RxorK)'!$I$93, ROW($A28), 1), 2)</f>
        <v>1</v>
      </c>
      <c r="H71" s="4">
        <f>MOD(G36 + MID('Ham_f(RxorK)'!$I$94, ROW($A28), 1), 2)</f>
        <v>1</v>
      </c>
      <c r="I71" s="4">
        <f>MOD(H36 + MID('Ham_f(RxorK)'!$I$95, ROW($A28), 1), 2)</f>
        <v>0</v>
      </c>
      <c r="J71" s="4">
        <f>MOD(I36 + MID('Ham_f(RxorK)'!$I$96, ROW($A28), 1), 2)</f>
        <v>0</v>
      </c>
      <c r="K71" s="4">
        <f>MOD(J36 + MID('Ham_f(RxorK)'!$I$97, ROW($A28), 1), 2)</f>
        <v>0</v>
      </c>
      <c r="L71" s="4">
        <f>MOD(K36 + MID('Ham_f(RxorK)'!$I$98, ROW($A28), 1), 2)</f>
        <v>0</v>
      </c>
      <c r="M71" s="4">
        <f>MOD(L36 + MID('Ham_f(RxorK)'!$I$99, ROW($A28), 1), 2)</f>
        <v>0</v>
      </c>
      <c r="N71" s="4">
        <f>MOD(M36 + MID('Ham_f(RxorK)'!$I$100, ROW($A28), 1), 2)</f>
        <v>0</v>
      </c>
      <c r="O71" s="4">
        <f>MOD(N36 + MID('Ham_f(RxorK)'!$I$101, ROW($A28), 1), 2)</f>
        <v>0</v>
      </c>
      <c r="P71" s="4">
        <f>MOD(O36 + MID('Ham_f(RxorK)'!$I$102, ROW($A28), 1), 2)</f>
        <v>1</v>
      </c>
      <c r="Q71" s="4">
        <f>MOD(P36 + MID('Ham_f(RxorK)'!$I$103, ROW($A28), 1), 2)</f>
        <v>0</v>
      </c>
    </row>
    <row r="72" spans="1:17" x14ac:dyDescent="0.3">
      <c r="A72" s="4" t="str">
        <f t="shared" si="37"/>
        <v>1</v>
      </c>
      <c r="B72" s="4">
        <f>MOD(A37 + MID('Ham_f(RxorK)'!$I$88, 29, 1), 2)</f>
        <v>1</v>
      </c>
      <c r="C72" s="4">
        <f>MOD(B37 + MID('Ham_f(RxorK)'!$I$89, ROW($A29), 1), 2)</f>
        <v>0</v>
      </c>
      <c r="D72" s="4">
        <f>MOD(C37 + MID('Ham_f(RxorK)'!$I$90, ROW($A29), 1), 2)</f>
        <v>1</v>
      </c>
      <c r="E72" s="4">
        <f>MOD(D37 + MID('Ham_f(RxorK)'!$I$91, ROW($A29), 1), 2)</f>
        <v>0</v>
      </c>
      <c r="F72" s="4">
        <f>MOD(E37 + MID('Ham_f(RxorK)'!$I$92, ROW($A29), 1), 2)</f>
        <v>0</v>
      </c>
      <c r="G72" s="4">
        <f>MOD(F37 + MID('Ham_f(RxorK)'!$I$93, ROW($A29), 1), 2)</f>
        <v>0</v>
      </c>
      <c r="H72" s="4">
        <f>MOD(G37 + MID('Ham_f(RxorK)'!$I$94, ROW($A29), 1), 2)</f>
        <v>0</v>
      </c>
      <c r="I72" s="4">
        <f>MOD(H37 + MID('Ham_f(RxorK)'!$I$95, ROW($A29), 1), 2)</f>
        <v>1</v>
      </c>
      <c r="J72" s="4">
        <f>MOD(I37 + MID('Ham_f(RxorK)'!$I$96, ROW($A29), 1), 2)</f>
        <v>0</v>
      </c>
      <c r="K72" s="4">
        <f>MOD(J37 + MID('Ham_f(RxorK)'!$I$97, ROW($A29), 1), 2)</f>
        <v>1</v>
      </c>
      <c r="L72" s="4">
        <f>MOD(K37 + MID('Ham_f(RxorK)'!$I$98, ROW($A29), 1), 2)</f>
        <v>0</v>
      </c>
      <c r="M72" s="4">
        <f>MOD(L37 + MID('Ham_f(RxorK)'!$I$99, ROW($A29), 1), 2)</f>
        <v>1</v>
      </c>
      <c r="N72" s="4">
        <f>MOD(M37 + MID('Ham_f(RxorK)'!$I$100, ROW($A29), 1), 2)</f>
        <v>0</v>
      </c>
      <c r="O72" s="4">
        <f>MOD(N37 + MID('Ham_f(RxorK)'!$I$101, ROW($A29), 1), 2)</f>
        <v>0</v>
      </c>
      <c r="P72" s="4">
        <f>MOD(O37 + MID('Ham_f(RxorK)'!$I$102, ROW($A29), 1), 2)</f>
        <v>0</v>
      </c>
      <c r="Q72" s="4">
        <f>MOD(P37 + MID('Ham_f(RxorK)'!$I$103, ROW($A29), 1), 2)</f>
        <v>1</v>
      </c>
    </row>
    <row r="73" spans="1:17" x14ac:dyDescent="0.3">
      <c r="A73" s="4" t="str">
        <f t="shared" si="37"/>
        <v>0</v>
      </c>
      <c r="B73" s="4">
        <f>MOD(A38 + MID('Ham_f(RxorK)'!$I$88, ROW(A30), 1), 2)</f>
        <v>0</v>
      </c>
      <c r="C73" s="4">
        <f>MOD(B38 + MID('Ham_f(RxorK)'!$I$89, ROW($A30), 1), 2)</f>
        <v>0</v>
      </c>
      <c r="D73" s="4">
        <f>MOD(C38 + MID('Ham_f(RxorK)'!$I$90, ROW($A30), 1), 2)</f>
        <v>0</v>
      </c>
      <c r="E73" s="4">
        <f>MOD(D38 + MID('Ham_f(RxorK)'!$I$91, ROW($A30), 1), 2)</f>
        <v>0</v>
      </c>
      <c r="F73" s="4">
        <f>MOD(E38 + MID('Ham_f(RxorK)'!$I$92, ROW($A30), 1), 2)</f>
        <v>1</v>
      </c>
      <c r="G73" s="4">
        <f>MOD(F38 + MID('Ham_f(RxorK)'!$I$93, ROW($A30), 1), 2)</f>
        <v>1</v>
      </c>
      <c r="H73" s="4">
        <f>MOD(G38 + MID('Ham_f(RxorK)'!$I$94, ROW($A30), 1), 2)</f>
        <v>1</v>
      </c>
      <c r="I73" s="4">
        <f>MOD(H38 + MID('Ham_f(RxorK)'!$I$95, ROW($A30), 1), 2)</f>
        <v>1</v>
      </c>
      <c r="J73" s="4">
        <f>MOD(I38 + MID('Ham_f(RxorK)'!$I$96, ROW($A30), 1), 2)</f>
        <v>1</v>
      </c>
      <c r="K73" s="4">
        <f>MOD(J38 + MID('Ham_f(RxorK)'!$I$97, ROW($A30), 1), 2)</f>
        <v>0</v>
      </c>
      <c r="L73" s="4">
        <f>MOD(K38 + MID('Ham_f(RxorK)'!$I$98, ROW($A30), 1), 2)</f>
        <v>0</v>
      </c>
      <c r="M73" s="4">
        <f>MOD(L38 + MID('Ham_f(RxorK)'!$I$99, ROW($A30), 1), 2)</f>
        <v>1</v>
      </c>
      <c r="N73" s="4">
        <f>MOD(M38 + MID('Ham_f(RxorK)'!$I$100, ROW($A30), 1), 2)</f>
        <v>1</v>
      </c>
      <c r="O73" s="4">
        <f>MOD(N38 + MID('Ham_f(RxorK)'!$I$101, ROW($A30), 1), 2)</f>
        <v>1</v>
      </c>
      <c r="P73" s="4">
        <f>MOD(O38 + MID('Ham_f(RxorK)'!$I$102, ROW($A30), 1), 2)</f>
        <v>1</v>
      </c>
      <c r="Q73" s="4">
        <f>MOD(P38 + MID('Ham_f(RxorK)'!$I$103, ROW($A30), 1), 2)</f>
        <v>0</v>
      </c>
    </row>
    <row r="74" spans="1:17" x14ac:dyDescent="0.3">
      <c r="A74" s="4" t="str">
        <f t="shared" si="37"/>
        <v>1</v>
      </c>
      <c r="B74" s="4">
        <f>MOD(A39 + MID('Ham_f(RxorK)'!$I$88, ROW(A31), 1), 2)</f>
        <v>1</v>
      </c>
      <c r="C74" s="4">
        <f>MOD(B39 + MID('Ham_f(RxorK)'!$I$89, ROW($A31), 1), 2)</f>
        <v>0</v>
      </c>
      <c r="D74" s="4">
        <f>MOD(C39 + MID('Ham_f(RxorK)'!$I$90, ROW($A31), 1), 2)</f>
        <v>0</v>
      </c>
      <c r="E74" s="4">
        <f>MOD(D39 + MID('Ham_f(RxorK)'!$I$91, ROW($A31), 1), 2)</f>
        <v>1</v>
      </c>
      <c r="F74" s="4">
        <f>MOD(E39 + MID('Ham_f(RxorK)'!$I$92, ROW($A31), 1), 2)</f>
        <v>0</v>
      </c>
      <c r="G74" s="4">
        <f>MOD(F39 + MID('Ham_f(RxorK)'!$I$93, ROW($A31), 1), 2)</f>
        <v>1</v>
      </c>
      <c r="H74" s="4">
        <f>MOD(G39 + MID('Ham_f(RxorK)'!$I$94, ROW($A31), 1), 2)</f>
        <v>1</v>
      </c>
      <c r="I74" s="4">
        <f>MOD(H39 + MID('Ham_f(RxorK)'!$I$95, ROW($A31), 1), 2)</f>
        <v>1</v>
      </c>
      <c r="J74" s="4">
        <f>MOD(I39 + MID('Ham_f(RxorK)'!$I$96, ROW($A31), 1), 2)</f>
        <v>1</v>
      </c>
      <c r="K74" s="4">
        <f>MOD(J39 + MID('Ham_f(RxorK)'!$I$97, ROW($A31), 1), 2)</f>
        <v>1</v>
      </c>
      <c r="L74" s="4">
        <f>MOD(K39 + MID('Ham_f(RxorK)'!$I$98, ROW($A31), 1), 2)</f>
        <v>0</v>
      </c>
      <c r="M74" s="4">
        <f>MOD(L39 + MID('Ham_f(RxorK)'!$I$99, ROW($A31), 1), 2)</f>
        <v>1</v>
      </c>
      <c r="N74" s="4">
        <f>MOD(M39 + MID('Ham_f(RxorK)'!$I$100, ROW($A31), 1), 2)</f>
        <v>1</v>
      </c>
      <c r="O74" s="4">
        <f>MOD(N39 + MID('Ham_f(RxorK)'!$I$101, ROW($A31), 1), 2)</f>
        <v>1</v>
      </c>
      <c r="P74" s="4">
        <f>MOD(O39 + MID('Ham_f(RxorK)'!$I$102, ROW($A31), 1), 2)</f>
        <v>1</v>
      </c>
      <c r="Q74" s="4">
        <f>MOD(P39 + MID('Ham_f(RxorK)'!$I$103, ROW($A31), 1), 2)</f>
        <v>1</v>
      </c>
    </row>
    <row r="75" spans="1:17" x14ac:dyDescent="0.3">
      <c r="A75" s="4" t="str">
        <f t="shared" si="37"/>
        <v>0</v>
      </c>
      <c r="B75" s="4">
        <f>MOD(A40 + MID('Ham_f(RxorK)'!$I$88, ROW(A32), 1), 2)</f>
        <v>0</v>
      </c>
      <c r="C75" s="4">
        <f>MOD(B40 + MID('Ham_f(RxorK)'!$I$89, ROW($A32), 1), 2)</f>
        <v>1</v>
      </c>
      <c r="D75" s="4">
        <f>MOD(C40 + MID('Ham_f(RxorK)'!$I$90, ROW($A32), 1), 2)</f>
        <v>0</v>
      </c>
      <c r="E75" s="4">
        <f>MOD(D40 + MID('Ham_f(RxorK)'!$I$91, ROW($A32), 1), 2)</f>
        <v>1</v>
      </c>
      <c r="F75" s="4">
        <f>MOD(E40 + MID('Ham_f(RxorK)'!$I$92, ROW($A32), 1), 2)</f>
        <v>1</v>
      </c>
      <c r="G75" s="4">
        <f>MOD(F40 + MID('Ham_f(RxorK)'!$I$93, ROW($A32), 1), 2)</f>
        <v>0</v>
      </c>
      <c r="H75" s="4">
        <f>MOD(G40 + MID('Ham_f(RxorK)'!$I$94, ROW($A32), 1), 2)</f>
        <v>1</v>
      </c>
      <c r="I75" s="4">
        <f>MOD(H40 + MID('Ham_f(RxorK)'!$I$95, ROW($A32), 1), 2)</f>
        <v>0</v>
      </c>
      <c r="J75" s="4">
        <f>MOD(I40 + MID('Ham_f(RxorK)'!$I$96, ROW($A32), 1), 2)</f>
        <v>0</v>
      </c>
      <c r="K75" s="4">
        <f>MOD(J40 + MID('Ham_f(RxorK)'!$I$97, ROW($A32), 1), 2)</f>
        <v>0</v>
      </c>
      <c r="L75" s="4">
        <f>MOD(K40 + MID('Ham_f(RxorK)'!$I$98, ROW($A32), 1), 2)</f>
        <v>0</v>
      </c>
      <c r="M75" s="4">
        <f>MOD(L40 + MID('Ham_f(RxorK)'!$I$99, ROW($A32), 1), 2)</f>
        <v>1</v>
      </c>
      <c r="N75" s="4">
        <f>MOD(M40 + MID('Ham_f(RxorK)'!$I$100, ROW($A32), 1), 2)</f>
        <v>0</v>
      </c>
      <c r="O75" s="4">
        <f>MOD(N40 + MID('Ham_f(RxorK)'!$I$101, ROW($A32), 1), 2)</f>
        <v>1</v>
      </c>
      <c r="P75" s="4">
        <f>MOD(O40 + MID('Ham_f(RxorK)'!$I$102, ROW($A32), 1), 2)</f>
        <v>1</v>
      </c>
      <c r="Q75" s="4">
        <f>MOD(P40 + MID('Ham_f(RxorK)'!$I$103, ROW($A32), 1), 2)</f>
        <v>0</v>
      </c>
    </row>
    <row r="76" spans="1:17" x14ac:dyDescent="0.3">
      <c r="A76" t="str">
        <f t="shared" si="37"/>
        <v/>
      </c>
    </row>
    <row r="79" spans="1:17" x14ac:dyDescent="0.3">
      <c r="B79" s="4" t="s">
        <v>91</v>
      </c>
      <c r="C79" s="4" t="str">
        <f>_xlfn.TEXTJOIN("",TRUE,$B$44:$B$75)</f>
        <v>00001111001011111010110110011010</v>
      </c>
      <c r="D79" s="4"/>
      <c r="E79" s="4"/>
      <c r="F79" s="4"/>
      <c r="K79" s="4" t="s">
        <v>73</v>
      </c>
      <c r="L79" s="4" t="str">
        <f>_xlfn.TEXTJOIN("",TRUE,$B$9:$B$40)</f>
        <v>11100000010101001111000010101010</v>
      </c>
      <c r="M79" s="4"/>
      <c r="N79" s="4"/>
      <c r="O79" s="4"/>
    </row>
    <row r="80" spans="1:17" x14ac:dyDescent="0.3">
      <c r="B80" s="4" t="s">
        <v>92</v>
      </c>
      <c r="C80" s="4" t="str">
        <f>_xlfn.TEXTJOIN("",TRUE,C$44:C$75)</f>
        <v>01101000000111000111110110100001</v>
      </c>
      <c r="D80" s="4"/>
      <c r="E80" s="4"/>
      <c r="F80" s="4"/>
      <c r="K80" s="4" t="s">
        <v>74</v>
      </c>
      <c r="L80" s="4" t="str">
        <f>_xlfn.TEXTJOIN("",TRUE,$C$9:$C$40)</f>
        <v>00001111001011111010110110011010</v>
      </c>
      <c r="M80" s="4"/>
      <c r="N80" s="4"/>
      <c r="O80" s="4"/>
    </row>
    <row r="81" spans="2:15" x14ac:dyDescent="0.3">
      <c r="B81" s="4" t="s">
        <v>93</v>
      </c>
      <c r="C81" s="4" t="str">
        <f>_xlfn.TEXTJOIN("",TRUE,D$44:D$75)</f>
        <v>11010101000101001000101100001000</v>
      </c>
      <c r="D81" s="4"/>
      <c r="E81" s="4"/>
      <c r="F81" s="4"/>
      <c r="K81" s="4" t="s">
        <v>75</v>
      </c>
      <c r="L81" s="4" t="str">
        <f>_xlfn.TEXTJOIN("",TRUE,$D$9:$D$40)</f>
        <v>01101000000111000111110110100001</v>
      </c>
      <c r="M81" s="4"/>
      <c r="N81" s="4"/>
      <c r="O81" s="4"/>
    </row>
    <row r="82" spans="2:15" x14ac:dyDescent="0.3">
      <c r="B82" s="4" t="s">
        <v>94</v>
      </c>
      <c r="C82" s="4" t="str">
        <f>_xlfn.TEXTJOIN("",TRUE,E$44:E$75)</f>
        <v>10011100010101010010110100010011</v>
      </c>
      <c r="D82" s="4"/>
      <c r="E82" s="4"/>
      <c r="F82" s="4"/>
      <c r="K82" s="4" t="s">
        <v>76</v>
      </c>
      <c r="L82" s="4" t="str">
        <f>_xlfn.TEXTJOIN("",TRUE,$E$9:$E$40)</f>
        <v>11010101000101001000101100001000</v>
      </c>
      <c r="M82" s="4"/>
      <c r="N82" s="4"/>
      <c r="O82" s="4"/>
    </row>
    <row r="83" spans="2:15" x14ac:dyDescent="0.3">
      <c r="B83" s="4" t="s">
        <v>95</v>
      </c>
      <c r="C83" s="4" t="str">
        <f>_xlfn.TEXTJOIN("",TRUE,F$44:F$75)</f>
        <v>00001101001001101011110011110101</v>
      </c>
      <c r="D83" s="4"/>
      <c r="E83" s="4"/>
      <c r="F83" s="4"/>
      <c r="K83" s="4" t="s">
        <v>77</v>
      </c>
      <c r="L83" s="4" t="str">
        <f>_xlfn.TEXTJOIN("",TRUE,$F$9:$F$40)</f>
        <v>10011100010101010010110100010011</v>
      </c>
      <c r="M83" s="4"/>
      <c r="N83" s="4"/>
      <c r="O83" s="4"/>
    </row>
    <row r="84" spans="2:15" x14ac:dyDescent="0.3">
      <c r="B84" s="4" t="s">
        <v>96</v>
      </c>
      <c r="C84" s="4" t="str">
        <f>_xlfn.TEXTJOIN("",TRUE,G$44:G$75)</f>
        <v>00110011100100010001011000110110</v>
      </c>
      <c r="D84" s="4"/>
      <c r="E84" s="4"/>
      <c r="F84" s="4"/>
      <c r="K84" s="4" t="s">
        <v>78</v>
      </c>
      <c r="L84" s="4" t="str">
        <f>_xlfn.TEXTJOIN("",TRUE,$G$9:$G$40)</f>
        <v>00001101001001101011110011110101</v>
      </c>
      <c r="M84" s="4"/>
      <c r="N84" s="4"/>
      <c r="O84" s="4"/>
    </row>
    <row r="85" spans="2:15" x14ac:dyDescent="0.3">
      <c r="B85" s="4" t="s">
        <v>97</v>
      </c>
      <c r="C85" s="4" t="str">
        <f>_xlfn.TEXTJOIN("",TRUE,H$44:H$75)</f>
        <v>01000011011101111001111101010111</v>
      </c>
      <c r="D85" s="4"/>
      <c r="E85" s="4"/>
      <c r="F85" s="4"/>
      <c r="K85" s="4" t="s">
        <v>79</v>
      </c>
      <c r="L85" s="4" t="str">
        <f>_xlfn.TEXTJOIN("",TRUE,$H$9:$H$40)</f>
        <v>00110011100100010001011000110110</v>
      </c>
      <c r="M85" s="4"/>
      <c r="N85" s="4"/>
      <c r="O85" s="4"/>
    </row>
    <row r="86" spans="2:15" x14ac:dyDescent="0.3">
      <c r="B86" s="4" t="s">
        <v>98</v>
      </c>
      <c r="C86" s="4" t="str">
        <f>_xlfn.TEXTJOIN("",TRUE,I$44:I$75)</f>
        <v>01011111011011001111101010001110</v>
      </c>
      <c r="D86" s="4"/>
      <c r="E86" s="4"/>
      <c r="F86" s="4"/>
      <c r="K86" s="4" t="s">
        <v>80</v>
      </c>
      <c r="L86" s="4" t="str">
        <f>_xlfn.TEXTJOIN("",TRUE,$I$9:$I$40)</f>
        <v>01000011011101111001111101010111</v>
      </c>
      <c r="M86" s="4"/>
      <c r="N86" s="4"/>
      <c r="O86" s="4"/>
    </row>
    <row r="87" spans="2:15" x14ac:dyDescent="0.3">
      <c r="B87" s="4" t="s">
        <v>99</v>
      </c>
      <c r="C87" s="4" t="str">
        <f>_xlfn.TEXTJOIN("",TRUE,J$44:J$75)</f>
        <v>10111000011100011001111111100110</v>
      </c>
      <c r="D87" s="4"/>
      <c r="E87" s="4"/>
      <c r="F87" s="4"/>
      <c r="K87" s="4" t="s">
        <v>81</v>
      </c>
      <c r="L87" s="4" t="str">
        <f>_xlfn.TEXTJOIN("",TRUE,$J$9:$J$40)</f>
        <v>01011111011011001111101010001110</v>
      </c>
      <c r="M87" s="4"/>
      <c r="N87" s="4"/>
      <c r="O87" s="4"/>
    </row>
    <row r="88" spans="2:15" x14ac:dyDescent="0.3">
      <c r="B88" s="4" t="s">
        <v>100</v>
      </c>
      <c r="C88" s="4" t="str">
        <f>_xlfn.TEXTJOIN("",TRUE,K$44:K$75)</f>
        <v>10001010011110011111001001101010</v>
      </c>
      <c r="D88" s="4"/>
      <c r="E88" s="4"/>
      <c r="F88" s="4"/>
      <c r="K88" s="4" t="s">
        <v>82</v>
      </c>
      <c r="L88" s="4" t="str">
        <f>_xlfn.TEXTJOIN("",TRUE,$K$9:$K$40)</f>
        <v>10111000011100011001111111100110</v>
      </c>
      <c r="M88" s="4"/>
      <c r="N88" s="4"/>
      <c r="O88" s="4"/>
    </row>
    <row r="89" spans="2:15" x14ac:dyDescent="0.3">
      <c r="B89" s="4" t="s">
        <v>101</v>
      </c>
      <c r="C89" s="4" t="str">
        <f>_xlfn.TEXTJOIN("",TRUE,L$44:L$75)</f>
        <v>01000100100001111110111010100000</v>
      </c>
      <c r="D89" s="4"/>
      <c r="E89" s="4"/>
      <c r="F89" s="4"/>
      <c r="K89" s="4" t="s">
        <v>83</v>
      </c>
      <c r="L89" s="4" t="str">
        <f>_xlfn.TEXTJOIN("",TRUE,L$9:L$40)</f>
        <v>10001010011110011111001001101010</v>
      </c>
      <c r="M89" s="4"/>
      <c r="N89" s="4"/>
      <c r="O89" s="4"/>
    </row>
    <row r="90" spans="2:15" x14ac:dyDescent="0.3">
      <c r="B90" s="4" t="s">
        <v>102</v>
      </c>
      <c r="C90" s="4" t="str">
        <f>_xlfn.TEXTJOIN("",TRUE,M$44:M$75)</f>
        <v>11111010001101100101000111001111</v>
      </c>
      <c r="D90" s="4"/>
      <c r="E90" s="4"/>
      <c r="F90" s="4"/>
      <c r="K90" s="4" t="s">
        <v>84</v>
      </c>
      <c r="L90" s="4" t="str">
        <f>_xlfn.TEXTJOIN("",TRUE,M$9:M$40)</f>
        <v>01000100100001111110111010100000</v>
      </c>
      <c r="M90" s="4"/>
      <c r="N90" s="4"/>
      <c r="O90" s="4"/>
    </row>
    <row r="91" spans="2:15" x14ac:dyDescent="0.3">
      <c r="B91" s="4" t="s">
        <v>103</v>
      </c>
      <c r="C91" s="4" t="str">
        <f>_xlfn.TEXTJOIN("",TRUE,N$44:N$75)</f>
        <v>00111111011110011100011010100110</v>
      </c>
      <c r="D91" s="4"/>
      <c r="E91" s="4"/>
      <c r="F91" s="4"/>
      <c r="K91" s="4" t="s">
        <v>85</v>
      </c>
      <c r="L91" s="4" t="str">
        <f>_xlfn.TEXTJOIN("",TRUE,N$9:N$40)</f>
        <v>11111010001101100101000111001111</v>
      </c>
      <c r="M91" s="4"/>
      <c r="N91" s="4"/>
      <c r="O91" s="4"/>
    </row>
    <row r="92" spans="2:15" x14ac:dyDescent="0.3">
      <c r="B92" s="4" t="s">
        <v>104</v>
      </c>
      <c r="C92" s="4" t="str">
        <f>_xlfn.TEXTJOIN("",TRUE,O$44:O$75)</f>
        <v>10011111110010100010101110000111</v>
      </c>
      <c r="D92" s="4"/>
      <c r="E92" s="4"/>
      <c r="F92" s="4"/>
      <c r="K92" s="4" t="s">
        <v>88</v>
      </c>
      <c r="L92" s="4" t="str">
        <f>_xlfn.TEXTJOIN("",TRUE,O$9:O$40)</f>
        <v>00111111011110011100011010100110</v>
      </c>
      <c r="M92" s="4"/>
      <c r="N92" s="4"/>
      <c r="O92" s="4"/>
    </row>
    <row r="93" spans="2:15" x14ac:dyDescent="0.3">
      <c r="B93" s="4" t="s">
        <v>105</v>
      </c>
      <c r="C93" s="4" t="str">
        <f>_xlfn.TEXTJOIN("",TRUE,P$44:P$75)</f>
        <v>01101110010001101101101110110111</v>
      </c>
      <c r="D93" s="4"/>
      <c r="E93" s="4"/>
      <c r="F93" s="4"/>
      <c r="K93" s="4" t="s">
        <v>89</v>
      </c>
      <c r="L93" s="4" t="str">
        <f>_xlfn.TEXTJOIN("",TRUE,P$9:P$40)</f>
        <v>10011111110010100010101110000111</v>
      </c>
      <c r="M93" s="4"/>
      <c r="N93" s="4"/>
      <c r="O93" s="4"/>
    </row>
    <row r="94" spans="2:15" x14ac:dyDescent="0.3">
      <c r="B94" s="4" t="s">
        <v>106</v>
      </c>
      <c r="C94" s="4" t="str">
        <f>_xlfn.TEXTJOIN("",TRUE,Q$44:Q$75)</f>
        <v>01010100001111110000111010101010</v>
      </c>
      <c r="D94" s="4"/>
      <c r="E94" s="4"/>
      <c r="F94" s="4"/>
      <c r="K94" s="4" t="s">
        <v>90</v>
      </c>
      <c r="L94" s="4" t="str">
        <f>_xlfn.TEXTJOIN("",TRUE,Q$9:Q$40)</f>
        <v>01101110010001101101101110110111</v>
      </c>
      <c r="M94" s="4"/>
      <c r="N94" s="4"/>
      <c r="O94" s="4"/>
    </row>
    <row r="97" spans="2:15" x14ac:dyDescent="0.3">
      <c r="B97" s="1" t="s">
        <v>121</v>
      </c>
      <c r="C97" s="1"/>
      <c r="D97" s="1"/>
      <c r="E97" s="1"/>
      <c r="F97" s="1" t="str">
        <f>C94&amp;L94</f>
        <v>0101010000111111000011101010101001101110010001101101101110110111</v>
      </c>
      <c r="G97" s="1"/>
      <c r="H97" s="1"/>
      <c r="I97" s="1"/>
      <c r="J97" s="1"/>
      <c r="K97" s="1"/>
      <c r="L97" s="1"/>
      <c r="M97" s="1"/>
    </row>
    <row r="99" spans="2:15" x14ac:dyDescent="0.3">
      <c r="B99" t="s">
        <v>122</v>
      </c>
      <c r="D99" s="4" t="s">
        <v>67</v>
      </c>
      <c r="G99" t="s">
        <v>123</v>
      </c>
      <c r="H99" s="4" t="s">
        <v>125</v>
      </c>
      <c r="I99" s="4" t="s">
        <v>124</v>
      </c>
      <c r="J99" s="4" t="s">
        <v>5</v>
      </c>
      <c r="M99" t="s">
        <v>126</v>
      </c>
    </row>
    <row r="100" spans="2:15" x14ac:dyDescent="0.3">
      <c r="D100" s="4">
        <v>40</v>
      </c>
      <c r="E100" t="str">
        <f>MID($F$97,D100,1)</f>
        <v>0</v>
      </c>
      <c r="H100" s="4">
        <v>1</v>
      </c>
      <c r="I100" s="4" t="str">
        <f>MID(_xlfn.TEXTJOIN("",TRUE,$E$100:$E$163), 1 + 8*(H100-1), 8)</f>
        <v>00011010</v>
      </c>
      <c r="J100" s="4" t="str">
        <f>BIN2HEX(I100)</f>
        <v>1A</v>
      </c>
      <c r="N100" s="1" t="s">
        <v>127</v>
      </c>
      <c r="O100" t="str">
        <f>_xlfn.TEXTJOIN("",TRUE,I100:I107)</f>
        <v>0001101010111111111101101001110101011010100100111110100000001011</v>
      </c>
    </row>
    <row r="101" spans="2:15" x14ac:dyDescent="0.3">
      <c r="D101" s="4">
        <v>8</v>
      </c>
      <c r="E101" t="str">
        <f t="shared" ref="E101:E163" si="38">MID($F$97,D101,1)</f>
        <v>0</v>
      </c>
      <c r="H101" s="4">
        <v>2</v>
      </c>
      <c r="I101" s="4" t="str">
        <f>MID(_xlfn.TEXTJOIN("",TRUE,$E$100:$E$163), 1 + 8*(H101-1), 8)</f>
        <v>10111111</v>
      </c>
      <c r="J101" s="4" t="str">
        <f>BIN2HEX(I101,2)</f>
        <v>BF</v>
      </c>
      <c r="N101" s="1" t="s">
        <v>5</v>
      </c>
      <c r="O101" t="str">
        <f>_xlfn.TEXTJOIN("",TRUE,J100:J107)</f>
        <v>1ABFF69D5A93E80B</v>
      </c>
    </row>
    <row r="102" spans="2:15" x14ac:dyDescent="0.3">
      <c r="D102" s="4">
        <v>48</v>
      </c>
      <c r="E102" t="str">
        <f t="shared" si="38"/>
        <v>0</v>
      </c>
      <c r="H102" s="4">
        <v>3</v>
      </c>
      <c r="I102" s="4" t="str">
        <f t="shared" ref="I102:I107" si="39">MID(_xlfn.TEXTJOIN("",TRUE,$E$100:$E$163), 1 + 8*(H102-1), 8)</f>
        <v>11110110</v>
      </c>
      <c r="J102" s="4" t="str">
        <f t="shared" ref="J102:J107" si="40">BIN2HEX(I102,2)</f>
        <v>F6</v>
      </c>
    </row>
    <row r="103" spans="2:15" x14ac:dyDescent="0.3">
      <c r="D103" s="4">
        <v>16</v>
      </c>
      <c r="E103" t="str">
        <f t="shared" si="38"/>
        <v>1</v>
      </c>
      <c r="H103" s="4">
        <v>4</v>
      </c>
      <c r="I103" s="4" t="str">
        <f t="shared" si="39"/>
        <v>10011101</v>
      </c>
      <c r="J103" s="4" t="str">
        <f t="shared" si="40"/>
        <v>9D</v>
      </c>
    </row>
    <row r="104" spans="2:15" x14ac:dyDescent="0.3">
      <c r="D104" s="4">
        <v>56</v>
      </c>
      <c r="E104" t="str">
        <f t="shared" si="38"/>
        <v>1</v>
      </c>
      <c r="H104" s="4">
        <v>5</v>
      </c>
      <c r="I104" s="4" t="str">
        <f t="shared" si="39"/>
        <v>01011010</v>
      </c>
      <c r="J104" s="4" t="str">
        <f t="shared" si="40"/>
        <v>5A</v>
      </c>
    </row>
    <row r="105" spans="2:15" x14ac:dyDescent="0.3">
      <c r="D105" s="4">
        <v>24</v>
      </c>
      <c r="E105" t="str">
        <f t="shared" si="38"/>
        <v>0</v>
      </c>
      <c r="H105" s="4">
        <v>6</v>
      </c>
      <c r="I105" s="4" t="str">
        <f t="shared" si="39"/>
        <v>10010011</v>
      </c>
      <c r="J105" s="4" t="str">
        <f t="shared" si="40"/>
        <v>93</v>
      </c>
    </row>
    <row r="106" spans="2:15" x14ac:dyDescent="0.3">
      <c r="D106" s="4">
        <v>64</v>
      </c>
      <c r="E106" t="str">
        <f t="shared" si="38"/>
        <v>1</v>
      </c>
      <c r="H106" s="4">
        <v>7</v>
      </c>
      <c r="I106" s="4" t="str">
        <f t="shared" si="39"/>
        <v>11101000</v>
      </c>
      <c r="J106" s="4" t="str">
        <f t="shared" si="40"/>
        <v>E8</v>
      </c>
    </row>
    <row r="107" spans="2:15" x14ac:dyDescent="0.3">
      <c r="D107" s="4">
        <v>32</v>
      </c>
      <c r="E107" t="str">
        <f t="shared" si="38"/>
        <v>0</v>
      </c>
      <c r="H107" s="4">
        <v>8</v>
      </c>
      <c r="I107" s="4" t="str">
        <f t="shared" si="39"/>
        <v>00001011</v>
      </c>
      <c r="J107" s="4" t="str">
        <f t="shared" si="40"/>
        <v>0B</v>
      </c>
    </row>
    <row r="108" spans="2:15" x14ac:dyDescent="0.3">
      <c r="D108" s="4">
        <v>39</v>
      </c>
      <c r="E108" t="str">
        <f t="shared" si="38"/>
        <v>1</v>
      </c>
    </row>
    <row r="109" spans="2:15" x14ac:dyDescent="0.3">
      <c r="D109" s="4">
        <v>7</v>
      </c>
      <c r="E109" t="str">
        <f t="shared" si="38"/>
        <v>0</v>
      </c>
    </row>
    <row r="110" spans="2:15" x14ac:dyDescent="0.3">
      <c r="D110" s="4">
        <v>47</v>
      </c>
      <c r="E110" t="str">
        <f t="shared" si="38"/>
        <v>1</v>
      </c>
    </row>
    <row r="111" spans="2:15" x14ac:dyDescent="0.3">
      <c r="D111" s="4">
        <v>15</v>
      </c>
      <c r="E111" t="str">
        <f t="shared" si="38"/>
        <v>1</v>
      </c>
    </row>
    <row r="112" spans="2:15" x14ac:dyDescent="0.3">
      <c r="D112" s="4">
        <v>55</v>
      </c>
      <c r="E112" t="str">
        <f t="shared" si="38"/>
        <v>1</v>
      </c>
    </row>
    <row r="113" spans="4:5" x14ac:dyDescent="0.3">
      <c r="D113" s="4">
        <v>23</v>
      </c>
      <c r="E113" t="str">
        <f t="shared" si="38"/>
        <v>1</v>
      </c>
    </row>
    <row r="114" spans="4:5" x14ac:dyDescent="0.3">
      <c r="D114" s="4">
        <v>63</v>
      </c>
      <c r="E114" t="str">
        <f t="shared" si="38"/>
        <v>1</v>
      </c>
    </row>
    <row r="115" spans="4:5" x14ac:dyDescent="0.3">
      <c r="D115" s="4">
        <v>31</v>
      </c>
      <c r="E115" t="str">
        <f t="shared" si="38"/>
        <v>1</v>
      </c>
    </row>
    <row r="116" spans="4:5" x14ac:dyDescent="0.3">
      <c r="D116" s="4">
        <v>38</v>
      </c>
      <c r="E116" t="str">
        <f t="shared" si="38"/>
        <v>1</v>
      </c>
    </row>
    <row r="117" spans="4:5" x14ac:dyDescent="0.3">
      <c r="D117" s="4">
        <v>6</v>
      </c>
      <c r="E117" t="str">
        <f t="shared" si="38"/>
        <v>1</v>
      </c>
    </row>
    <row r="118" spans="4:5" x14ac:dyDescent="0.3">
      <c r="D118" s="4">
        <v>46</v>
      </c>
      <c r="E118" t="str">
        <f t="shared" si="38"/>
        <v>1</v>
      </c>
    </row>
    <row r="119" spans="4:5" x14ac:dyDescent="0.3">
      <c r="D119" s="4">
        <v>14</v>
      </c>
      <c r="E119" t="str">
        <f t="shared" si="38"/>
        <v>1</v>
      </c>
    </row>
    <row r="120" spans="4:5" x14ac:dyDescent="0.3">
      <c r="D120" s="4">
        <v>54</v>
      </c>
      <c r="E120" t="str">
        <f t="shared" si="38"/>
        <v>0</v>
      </c>
    </row>
    <row r="121" spans="4:5" x14ac:dyDescent="0.3">
      <c r="D121" s="4">
        <v>22</v>
      </c>
      <c r="E121" t="str">
        <f t="shared" si="38"/>
        <v>1</v>
      </c>
    </row>
    <row r="122" spans="4:5" x14ac:dyDescent="0.3">
      <c r="D122" s="4">
        <v>62</v>
      </c>
      <c r="E122" t="str">
        <f t="shared" si="38"/>
        <v>1</v>
      </c>
    </row>
    <row r="123" spans="4:5" x14ac:dyDescent="0.3">
      <c r="D123" s="4">
        <v>30</v>
      </c>
      <c r="E123" t="str">
        <f t="shared" si="38"/>
        <v>0</v>
      </c>
    </row>
    <row r="124" spans="4:5" x14ac:dyDescent="0.3">
      <c r="D124" s="4">
        <v>37</v>
      </c>
      <c r="E124" t="str">
        <f t="shared" si="38"/>
        <v>1</v>
      </c>
    </row>
    <row r="125" spans="4:5" x14ac:dyDescent="0.3">
      <c r="D125" s="4">
        <v>5</v>
      </c>
      <c r="E125" t="str">
        <f t="shared" si="38"/>
        <v>0</v>
      </c>
    </row>
    <row r="126" spans="4:5" x14ac:dyDescent="0.3">
      <c r="D126" s="4">
        <v>45</v>
      </c>
      <c r="E126" t="str">
        <f t="shared" si="38"/>
        <v>0</v>
      </c>
    </row>
    <row r="127" spans="4:5" x14ac:dyDescent="0.3">
      <c r="D127" s="4">
        <v>13</v>
      </c>
      <c r="E127" t="str">
        <f t="shared" si="38"/>
        <v>1</v>
      </c>
    </row>
    <row r="128" spans="4:5" x14ac:dyDescent="0.3">
      <c r="D128" s="4">
        <v>53</v>
      </c>
      <c r="E128" t="str">
        <f t="shared" si="38"/>
        <v>1</v>
      </c>
    </row>
    <row r="129" spans="4:5" x14ac:dyDescent="0.3">
      <c r="D129" s="4">
        <v>21</v>
      </c>
      <c r="E129" t="str">
        <f t="shared" si="38"/>
        <v>1</v>
      </c>
    </row>
    <row r="130" spans="4:5" x14ac:dyDescent="0.3">
      <c r="D130" s="4">
        <v>61</v>
      </c>
      <c r="E130" t="str">
        <f t="shared" si="38"/>
        <v>0</v>
      </c>
    </row>
    <row r="131" spans="4:5" x14ac:dyDescent="0.3">
      <c r="D131" s="4">
        <v>29</v>
      </c>
      <c r="E131" t="str">
        <f t="shared" si="38"/>
        <v>1</v>
      </c>
    </row>
    <row r="132" spans="4:5" x14ac:dyDescent="0.3">
      <c r="D132" s="4">
        <v>36</v>
      </c>
      <c r="E132" t="str">
        <f t="shared" si="38"/>
        <v>0</v>
      </c>
    </row>
    <row r="133" spans="4:5" x14ac:dyDescent="0.3">
      <c r="D133" s="4">
        <v>4</v>
      </c>
      <c r="E133" t="str">
        <f t="shared" si="38"/>
        <v>1</v>
      </c>
    </row>
    <row r="134" spans="4:5" x14ac:dyDescent="0.3">
      <c r="D134" s="4">
        <v>44</v>
      </c>
      <c r="E134" t="str">
        <f t="shared" si="38"/>
        <v>0</v>
      </c>
    </row>
    <row r="135" spans="4:5" x14ac:dyDescent="0.3">
      <c r="D135" s="4">
        <v>12</v>
      </c>
      <c r="E135" t="str">
        <f t="shared" si="38"/>
        <v>1</v>
      </c>
    </row>
    <row r="136" spans="4:5" x14ac:dyDescent="0.3">
      <c r="D136" s="4">
        <v>52</v>
      </c>
      <c r="E136" t="str">
        <f t="shared" si="38"/>
        <v>1</v>
      </c>
    </row>
    <row r="137" spans="4:5" x14ac:dyDescent="0.3">
      <c r="D137" s="4">
        <v>20</v>
      </c>
      <c r="E137" t="str">
        <f t="shared" si="38"/>
        <v>0</v>
      </c>
    </row>
    <row r="138" spans="4:5" x14ac:dyDescent="0.3">
      <c r="D138" s="4">
        <v>60</v>
      </c>
      <c r="E138" t="str">
        <f t="shared" si="38"/>
        <v>1</v>
      </c>
    </row>
    <row r="139" spans="4:5" x14ac:dyDescent="0.3">
      <c r="D139" s="4">
        <v>28</v>
      </c>
      <c r="E139" t="str">
        <f t="shared" si="38"/>
        <v>0</v>
      </c>
    </row>
    <row r="140" spans="4:5" x14ac:dyDescent="0.3">
      <c r="D140" s="4">
        <v>35</v>
      </c>
      <c r="E140" t="str">
        <f t="shared" si="38"/>
        <v>1</v>
      </c>
    </row>
    <row r="141" spans="4:5" x14ac:dyDescent="0.3">
      <c r="D141" s="4">
        <v>3</v>
      </c>
      <c r="E141" t="str">
        <f t="shared" si="38"/>
        <v>0</v>
      </c>
    </row>
    <row r="142" spans="4:5" x14ac:dyDescent="0.3">
      <c r="D142" s="4">
        <v>43</v>
      </c>
      <c r="E142" t="str">
        <f t="shared" si="38"/>
        <v>0</v>
      </c>
    </row>
    <row r="143" spans="4:5" x14ac:dyDescent="0.3">
      <c r="D143" s="4">
        <v>11</v>
      </c>
      <c r="E143" t="str">
        <f t="shared" si="38"/>
        <v>1</v>
      </c>
    </row>
    <row r="144" spans="4:5" x14ac:dyDescent="0.3">
      <c r="D144" s="4">
        <v>51</v>
      </c>
      <c r="E144" t="str">
        <f t="shared" si="38"/>
        <v>0</v>
      </c>
    </row>
    <row r="145" spans="4:5" x14ac:dyDescent="0.3">
      <c r="D145" s="4">
        <v>19</v>
      </c>
      <c r="E145" t="str">
        <f t="shared" si="38"/>
        <v>0</v>
      </c>
    </row>
    <row r="146" spans="4:5" x14ac:dyDescent="0.3">
      <c r="D146" s="4">
        <v>59</v>
      </c>
      <c r="E146" t="str">
        <f t="shared" si="38"/>
        <v>1</v>
      </c>
    </row>
    <row r="147" spans="4:5" x14ac:dyDescent="0.3">
      <c r="D147" s="4">
        <v>27</v>
      </c>
      <c r="E147" t="str">
        <f t="shared" si="38"/>
        <v>1</v>
      </c>
    </row>
    <row r="148" spans="4:5" x14ac:dyDescent="0.3">
      <c r="D148" s="4">
        <v>34</v>
      </c>
      <c r="E148" t="str">
        <f t="shared" si="38"/>
        <v>1</v>
      </c>
    </row>
    <row r="149" spans="4:5" x14ac:dyDescent="0.3">
      <c r="D149" s="4">
        <v>2</v>
      </c>
      <c r="E149" t="str">
        <f t="shared" si="38"/>
        <v>1</v>
      </c>
    </row>
    <row r="150" spans="4:5" x14ac:dyDescent="0.3">
      <c r="D150" s="4">
        <v>42</v>
      </c>
      <c r="E150" t="str">
        <f t="shared" si="38"/>
        <v>1</v>
      </c>
    </row>
    <row r="151" spans="4:5" x14ac:dyDescent="0.3">
      <c r="D151" s="4">
        <v>10</v>
      </c>
      <c r="E151" t="str">
        <f t="shared" si="38"/>
        <v>0</v>
      </c>
    </row>
    <row r="152" spans="4:5" x14ac:dyDescent="0.3">
      <c r="D152" s="4">
        <v>50</v>
      </c>
      <c r="E152" t="str">
        <f t="shared" si="38"/>
        <v>1</v>
      </c>
    </row>
    <row r="153" spans="4:5" x14ac:dyDescent="0.3">
      <c r="D153" s="4">
        <v>18</v>
      </c>
      <c r="E153" t="str">
        <f t="shared" si="38"/>
        <v>0</v>
      </c>
    </row>
    <row r="154" spans="4:5" x14ac:dyDescent="0.3">
      <c r="D154" s="4">
        <v>58</v>
      </c>
      <c r="E154" t="str">
        <f t="shared" si="38"/>
        <v>0</v>
      </c>
    </row>
    <row r="155" spans="4:5" x14ac:dyDescent="0.3">
      <c r="D155" s="4">
        <v>26</v>
      </c>
      <c r="E155" t="str">
        <f t="shared" si="38"/>
        <v>0</v>
      </c>
    </row>
    <row r="156" spans="4:5" x14ac:dyDescent="0.3">
      <c r="D156" s="4">
        <v>33</v>
      </c>
      <c r="E156" t="str">
        <f t="shared" si="38"/>
        <v>0</v>
      </c>
    </row>
    <row r="157" spans="4:5" x14ac:dyDescent="0.3">
      <c r="D157" s="4">
        <v>1</v>
      </c>
      <c r="E157" t="str">
        <f t="shared" si="38"/>
        <v>0</v>
      </c>
    </row>
    <row r="158" spans="4:5" x14ac:dyDescent="0.3">
      <c r="D158" s="4">
        <v>41</v>
      </c>
      <c r="E158" t="str">
        <f t="shared" si="38"/>
        <v>0</v>
      </c>
    </row>
    <row r="159" spans="4:5" x14ac:dyDescent="0.3">
      <c r="D159" s="4">
        <v>9</v>
      </c>
      <c r="E159" t="str">
        <f t="shared" si="38"/>
        <v>0</v>
      </c>
    </row>
    <row r="160" spans="4:5" x14ac:dyDescent="0.3">
      <c r="D160" s="4">
        <v>49</v>
      </c>
      <c r="E160" t="str">
        <f t="shared" si="38"/>
        <v>1</v>
      </c>
    </row>
    <row r="161" spans="4:5" x14ac:dyDescent="0.3">
      <c r="D161" s="4">
        <v>17</v>
      </c>
      <c r="E161" t="str">
        <f t="shared" si="38"/>
        <v>0</v>
      </c>
    </row>
    <row r="162" spans="4:5" x14ac:dyDescent="0.3">
      <c r="D162" s="4">
        <v>57</v>
      </c>
      <c r="E162" t="str">
        <f t="shared" si="38"/>
        <v>1</v>
      </c>
    </row>
    <row r="163" spans="4:5" x14ac:dyDescent="0.3">
      <c r="D163" s="4">
        <v>25</v>
      </c>
      <c r="E163" t="str">
        <f t="shared" si="38"/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SBox</vt:lpstr>
      <vt:lpstr>K1_16</vt:lpstr>
      <vt:lpstr>Ham_f(RxorK)</vt:lpstr>
      <vt:lpstr>R0_L0</vt:lpstr>
      <vt:lpstr>S_1</vt:lpstr>
      <vt:lpstr>S_2</vt:lpstr>
      <vt:lpstr>S_3</vt:lpstr>
      <vt:lpstr>S_4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Vũ Minh Quang - 67CS3</dc:creator>
  <cp:lastModifiedBy>Trần Vũ Minh Quang - 67CS3</cp:lastModifiedBy>
  <dcterms:created xsi:type="dcterms:W3CDTF">2025-08-17T10:42:45Z</dcterms:created>
  <dcterms:modified xsi:type="dcterms:W3CDTF">2025-08-27T08:19:48Z</dcterms:modified>
</cp:coreProperties>
</file>