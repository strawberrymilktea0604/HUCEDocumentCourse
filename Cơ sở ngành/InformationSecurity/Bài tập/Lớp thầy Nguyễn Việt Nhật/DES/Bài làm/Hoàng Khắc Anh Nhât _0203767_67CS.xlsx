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UfK4vuOGemn0777tNN7a9T7yN1L5lSid4X8C6/cCN4="/>
    </ext>
  </extLst>
</workbook>
</file>

<file path=xl/sharedStrings.xml><?xml version="1.0" encoding="utf-8"?>
<sst xmlns="http://schemas.openxmlformats.org/spreadsheetml/2006/main" count="270" uniqueCount="234">
  <si>
    <t>K:</t>
  </si>
  <si>
    <t>0133457799bbcdff</t>
  </si>
  <si>
    <t>IP(M):</t>
  </si>
  <si>
    <t>1001 1000 1111 1110 1100 1100 0000 0000 1110 0000 0101 0100 1111 0000 1010 1010</t>
  </si>
  <si>
    <t>vị trí</t>
  </si>
  <si>
    <t>kí tự hexan</t>
  </si>
  <si>
    <t>binary</t>
  </si>
  <si>
    <t>C0:</t>
  </si>
  <si>
    <t>1111 0000 1100 1100 1010 1010 1011</t>
  </si>
  <si>
    <t>D0:</t>
  </si>
  <si>
    <t>1010 1010 1100 1100 1111 0000 1010</t>
  </si>
  <si>
    <t>C1:</t>
  </si>
  <si>
    <t>1110 0001 1001 1001 0101 0101 0111</t>
  </si>
  <si>
    <t>E199557</t>
  </si>
  <si>
    <t>C3:</t>
  </si>
  <si>
    <t>0000 1100 1100 1010 1010 1011 1111</t>
  </si>
  <si>
    <t>0CCAABF</t>
  </si>
  <si>
    <t>C5:</t>
  </si>
  <si>
    <t>1100 1100 1010 1010 1011 1111 0000</t>
  </si>
  <si>
    <t>CCAABF0</t>
  </si>
  <si>
    <t>C7:</t>
  </si>
  <si>
    <t>1100 1010 1010 1011 1111 0000 1100</t>
  </si>
  <si>
    <t>CAABF0C</t>
  </si>
  <si>
    <t>C9:</t>
  </si>
  <si>
    <t>0101 0101 0101 1111 1000 0110 0110</t>
  </si>
  <si>
    <t>555F866</t>
  </si>
  <si>
    <t>C11:</t>
  </si>
  <si>
    <t>0101 0101 1111 1000 0110 0110 0101</t>
  </si>
  <si>
    <t>55F8665</t>
  </si>
  <si>
    <t>C13:</t>
  </si>
  <si>
    <t>0101 1111 1000 0110 0110 0101 0101</t>
  </si>
  <si>
    <t>5F86655</t>
  </si>
  <si>
    <t>C15:</t>
  </si>
  <si>
    <t>1111 1000 0110 0110 0101 0101 0101</t>
  </si>
  <si>
    <t>F866555</t>
  </si>
  <si>
    <t>D1:</t>
  </si>
  <si>
    <t>0101 0101 1001 1001 1110 0001 0101</t>
  </si>
  <si>
    <t>5599E15</t>
  </si>
  <si>
    <t>D3:</t>
  </si>
  <si>
    <t>1010 1100 1100 1111 0000 1010 1010</t>
  </si>
  <si>
    <t>ACCF0AA</t>
  </si>
  <si>
    <t>D5:</t>
  </si>
  <si>
    <t>1100 1100 1111 0000 1010 1010 1010</t>
  </si>
  <si>
    <t>CCF0AAA</t>
  </si>
  <si>
    <t>D7:</t>
  </si>
  <si>
    <t>1100 1111 0000 1010 1010 1010 1100</t>
  </si>
  <si>
    <t>CF0AAAC</t>
  </si>
  <si>
    <t>D9:</t>
  </si>
  <si>
    <t>0111 1000 0101 0101 0101 0110 0110</t>
  </si>
  <si>
    <t>D11:</t>
  </si>
  <si>
    <t>1000 0101 0101 0101 0110 0110 0111</t>
  </si>
  <si>
    <t>D13:</t>
  </si>
  <si>
    <t>0101 0101 0101 0110 0110 0111 1000</t>
  </si>
  <si>
    <t>D15:</t>
  </si>
  <si>
    <t>0101 0101 0110 0110 0111 1000 0101</t>
  </si>
  <si>
    <t>56 bit:</t>
  </si>
  <si>
    <t>E1995575599E15</t>
  </si>
  <si>
    <t>56bit:</t>
  </si>
  <si>
    <t>0CCAABFACCF0AA</t>
  </si>
  <si>
    <t>CCAABF0CCF0AAA</t>
  </si>
  <si>
    <t>CAABF0CCF0AAAC</t>
  </si>
  <si>
    <t>555F8667855566</t>
  </si>
  <si>
    <t>55F86658555667</t>
  </si>
  <si>
    <t>5F866555556678</t>
  </si>
  <si>
    <t>F8665555566785</t>
  </si>
  <si>
    <t>K1:</t>
  </si>
  <si>
    <t>1B02EFDB49A5</t>
  </si>
  <si>
    <t>K3:</t>
  </si>
  <si>
    <t>55FC8AB4ACD2</t>
  </si>
  <si>
    <t>K5:</t>
  </si>
  <si>
    <t>7CEC071FE6C2</t>
  </si>
  <si>
    <t>K7:</t>
  </si>
  <si>
    <t>6C84B78AE4C6</t>
  </si>
  <si>
    <t>K9:</t>
  </si>
  <si>
    <t>C0DBEB27B839</t>
  </si>
  <si>
    <t>K11:</t>
  </si>
  <si>
    <t>215FC30D89BE</t>
  </si>
  <si>
    <t>K13:</t>
  </si>
  <si>
    <t>95C5D14B80FD</t>
  </si>
  <si>
    <t>K15:</t>
  </si>
  <si>
    <t>BF91850A17B5</t>
  </si>
  <si>
    <t>C2:</t>
  </si>
  <si>
    <t>1100 0011 0011 0010 1010 1010 1111</t>
  </si>
  <si>
    <t>C332AAF</t>
  </si>
  <si>
    <t>C4:</t>
  </si>
  <si>
    <t>0011 0011 0010 1010 1010 1111 1100</t>
  </si>
  <si>
    <t>332AAFC</t>
  </si>
  <si>
    <t>C6:</t>
  </si>
  <si>
    <t>0011 0010 1010 1010 1111 1100 0011</t>
  </si>
  <si>
    <t>32AAFC3</t>
  </si>
  <si>
    <t>C8:</t>
  </si>
  <si>
    <t>0010 1010 1010 1111 1100 0011 0011</t>
  </si>
  <si>
    <t>2AAFC33</t>
  </si>
  <si>
    <t>C10:</t>
  </si>
  <si>
    <t>0101 0101 0111 1110 0001 1001 1001</t>
  </si>
  <si>
    <t>557E199</t>
  </si>
  <si>
    <t>C12:</t>
  </si>
  <si>
    <t>0101 0111 1110 0001 1001 1001 0101</t>
  </si>
  <si>
    <t>57E1995</t>
  </si>
  <si>
    <t>C14:</t>
  </si>
  <si>
    <t>0111 1110 0001 1001 1001 0101 0101</t>
  </si>
  <si>
    <t>7E19955</t>
  </si>
  <si>
    <t>C16:</t>
  </si>
  <si>
    <t>F0CCAAB</t>
  </si>
  <si>
    <t>D2:</t>
  </si>
  <si>
    <t>1010 1011 0011 0011 1100 0010 1010</t>
  </si>
  <si>
    <t>AB33C2A</t>
  </si>
  <si>
    <t>D4:</t>
  </si>
  <si>
    <t>1011 0011 0011 1100 0010 1010 1010</t>
  </si>
  <si>
    <t>B33C2AA</t>
  </si>
  <si>
    <t>D6</t>
  </si>
  <si>
    <t>0011 0011 1100 0010 1010 1010 1011</t>
  </si>
  <si>
    <t>33C2AAB</t>
  </si>
  <si>
    <t>D8:</t>
  </si>
  <si>
    <t>0011 1100 0010 1010 1010 1011 0011</t>
  </si>
  <si>
    <t>3C2AAB3</t>
  </si>
  <si>
    <t>D10:</t>
  </si>
  <si>
    <t>1110 0001 0101 0101 0101 1001 1001</t>
  </si>
  <si>
    <t>E155599</t>
  </si>
  <si>
    <t>D12:</t>
  </si>
  <si>
    <t>0001 0101 0101 0101 1001 1001 1110</t>
  </si>
  <si>
    <t>155599E</t>
  </si>
  <si>
    <t>D14:</t>
  </si>
  <si>
    <t>0101 0101 0101 1001 1001 1110 0001</t>
  </si>
  <si>
    <t>55599E1</t>
  </si>
  <si>
    <t>D16:</t>
  </si>
  <si>
    <t>AACCF0A</t>
  </si>
  <si>
    <t>C332AAFAB33C2A</t>
  </si>
  <si>
    <t>332AAFCB33C2AA</t>
  </si>
  <si>
    <t>32AAFC333C2AAB</t>
  </si>
  <si>
    <t>2AAFC333C2AAB3</t>
  </si>
  <si>
    <t>557E199E155599</t>
  </si>
  <si>
    <t>57E1995155599E</t>
  </si>
  <si>
    <t>7E1995555599E1</t>
  </si>
  <si>
    <t>F0CCAABAACCF0A</t>
  </si>
  <si>
    <t>K2:</t>
  </si>
  <si>
    <t>69AED925EA66</t>
  </si>
  <si>
    <t>K4:</t>
  </si>
  <si>
    <t>72ADD2AD8657</t>
  </si>
  <si>
    <t>K6:</t>
  </si>
  <si>
    <t>63A51E3CC545</t>
  </si>
  <si>
    <t>K8:</t>
  </si>
  <si>
    <t xml:space="preserve">F7883AECE781 </t>
  </si>
  <si>
    <t>K10:</t>
  </si>
  <si>
    <t>B1F347631D76 </t>
  </si>
  <si>
    <t>K12:</t>
  </si>
  <si>
    <t>7171F5455CD5</t>
  </si>
  <si>
    <t>K14:</t>
  </si>
  <si>
    <t>5743B783DD8D</t>
  </si>
  <si>
    <t>K16:</t>
  </si>
  <si>
    <t>CB3D0BBC7072</t>
  </si>
  <si>
    <t>M:</t>
  </si>
  <si>
    <t>00123456789abcde</t>
  </si>
  <si>
    <t>PC-1:</t>
  </si>
  <si>
    <t>PC-2:</t>
  </si>
  <si>
    <t>Iteration Number</t>
  </si>
  <si>
    <t>Number Of Left Shift</t>
  </si>
  <si>
    <t>R0:</t>
  </si>
  <si>
    <t>1110 0000 0101 0100 1111 0000 1010 1010</t>
  </si>
  <si>
    <t>E054F0AA</t>
  </si>
  <si>
    <t>XOR(E(R0), K1):</t>
  </si>
  <si>
    <t>0111 0000 0000 0010 1010 1001 0111 1010 0001 0101 0101 0101</t>
  </si>
  <si>
    <t>L0:</t>
  </si>
  <si>
    <t>1001 1000 1111 1110 1100 1100 0000 0000</t>
  </si>
  <si>
    <t>98FECC00</t>
  </si>
  <si>
    <t>0001 1011 0000 0010 1110 1111 1101 1011 0100 1001 1010 0101</t>
  </si>
  <si>
    <t>6B0046A15FC0 :</t>
  </si>
  <si>
    <t>0110 1011 0000 0000 0100 0110 1010 0001 0101 1100 1111 0000</t>
  </si>
  <si>
    <t>E:</t>
  </si>
  <si>
    <t>E(R0):</t>
  </si>
  <si>
    <t>7002A97A1555</t>
  </si>
  <si>
    <t>IP-1 :</t>
  </si>
  <si>
    <t>Bảng S :</t>
  </si>
  <si>
    <t>Giá trị đầu vào :</t>
  </si>
  <si>
    <t>Giá trị đầu ra :</t>
  </si>
  <si>
    <t>Vòng lặp thứ n</t>
  </si>
  <si>
    <t>f(R,K)</t>
  </si>
  <si>
    <t>Ln</t>
  </si>
  <si>
    <t>Rn</t>
  </si>
  <si>
    <t>S1</t>
  </si>
  <si>
    <t>011010</t>
  </si>
  <si>
    <t>S2</t>
  </si>
  <si>
    <t>97D1619A</t>
  </si>
  <si>
    <t>0F2FAD9A</t>
  </si>
  <si>
    <t>S3</t>
  </si>
  <si>
    <t>000001</t>
  </si>
  <si>
    <t>D</t>
  </si>
  <si>
    <t>88488D0B</t>
  </si>
  <si>
    <t>681C7DA1</t>
  </si>
  <si>
    <t>S4</t>
  </si>
  <si>
    <t>000110</t>
  </si>
  <si>
    <t>DA3B2692</t>
  </si>
  <si>
    <t>D5148B08</t>
  </si>
  <si>
    <t>S5</t>
  </si>
  <si>
    <t>101000</t>
  </si>
  <si>
    <t>A</t>
  </si>
  <si>
    <t>F44950B2</t>
  </si>
  <si>
    <t>9C552D13</t>
  </si>
  <si>
    <t>S6</t>
  </si>
  <si>
    <t>010101</t>
  </si>
  <si>
    <t>D83237FD</t>
  </si>
  <si>
    <t>0D26BCF5</t>
  </si>
  <si>
    <t>S7</t>
  </si>
  <si>
    <t>AFC43B25</t>
  </si>
  <si>
    <t>33911636</t>
  </si>
  <si>
    <t>S8</t>
  </si>
  <si>
    <t>4E5123A2</t>
  </si>
  <si>
    <t>43779F57</t>
  </si>
  <si>
    <t>6CFDEC8C</t>
  </si>
  <si>
    <t>5F6CFA8E</t>
  </si>
  <si>
    <t>IP-1(R16, K16) :</t>
  </si>
  <si>
    <t>0001 1010 1011 1111 1111 0110 1001 1101 0101 1010 1001 0011 1110 1000 0000 1011</t>
  </si>
  <si>
    <t xml:space="preserve">f(R0, K1): </t>
  </si>
  <si>
    <t>95D3AD50</t>
  </si>
  <si>
    <t>FB0600B1</t>
  </si>
  <si>
    <t>B8719FE6</t>
  </si>
  <si>
    <t>C:</t>
  </si>
  <si>
    <t>1ABFF69D5A93E80B</t>
  </si>
  <si>
    <t>D51508E4</t>
  </si>
  <si>
    <t>8A79F26A</t>
  </si>
  <si>
    <t>Ln = R(n-1)</t>
  </si>
  <si>
    <t>FCF67146</t>
  </si>
  <si>
    <t>4487EEA0</t>
  </si>
  <si>
    <t>Rn = L(n-1) XOR f(R(n-1), Kn)</t>
  </si>
  <si>
    <t>704FA3A5</t>
  </si>
  <si>
    <t>FA3651CF</t>
  </si>
  <si>
    <t>7BFE2806</t>
  </si>
  <si>
    <t>3F79C6A6</t>
  </si>
  <si>
    <t>65FC7A48</t>
  </si>
  <si>
    <t>9FCA2B87</t>
  </si>
  <si>
    <t>513F1D11</t>
  </si>
  <si>
    <t>6E46DBB7</t>
  </si>
  <si>
    <t>CBF5252D</t>
  </si>
  <si>
    <t>543F0EAA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</si>
</sst>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6.0"/>
      <color theme="1"/>
      <name val="Aptos Narrow"/>
    </font>
    <font>
      <sz val="16.0"/>
      <color theme="1"/>
      <name val="Arial"/>
    </font>
    <font/>
    <font>
      <sz val="16.0"/>
      <color rgb="FFFF0000"/>
      <name val="Aptos Narrow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quotePrefix="1" borderId="1" fillId="0" fontId="1" numFmtId="11" xfId="0" applyBorder="1" applyFont="1" applyNumberFormat="1"/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vertical="center"/>
    </xf>
    <xf quotePrefix="1" borderId="1" fillId="0" fontId="1" numFmtId="0" xfId="0" applyBorder="1" applyFont="1"/>
    <xf quotePrefix="1" borderId="2" fillId="0" fontId="1" numFmtId="0" xfId="0" applyAlignment="1" applyBorder="1" applyFont="1">
      <alignment horizontal="center"/>
    </xf>
    <xf borderId="2" fillId="0" fontId="1" numFmtId="11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5" fillId="0" fontId="1" numFmtId="0" xfId="0" applyAlignment="1" applyBorder="1" applyFont="1">
      <alignment vertical="center"/>
    </xf>
    <xf borderId="2" fillId="0" fontId="1" numFmtId="0" xfId="0" applyBorder="1" applyFont="1"/>
    <xf quotePrefix="1" borderId="2" fillId="0" fontId="1" numFmtId="0" xfId="0" applyBorder="1" applyFont="1"/>
    <xf borderId="1" fillId="0" fontId="1" numFmtId="11" xfId="0" applyBorder="1" applyFont="1" applyNumberFormat="1"/>
    <xf borderId="9" fillId="0" fontId="1" numFmtId="0" xfId="0" applyAlignment="1" applyBorder="1" applyFont="1">
      <alignment horizontal="center"/>
    </xf>
    <xf borderId="1" fillId="0" fontId="4" numFmtId="0" xfId="0" applyBorder="1" applyFont="1"/>
    <xf borderId="2" fillId="0" fontId="4" numFmtId="0" xfId="0" applyAlignment="1" applyBorder="1" applyFont="1">
      <alignment horizontal="center"/>
    </xf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5" width="9.13"/>
    <col customWidth="1" min="6" max="6" width="9.25"/>
    <col customWidth="1" min="7" max="7" width="9.13"/>
    <col customWidth="1" min="8" max="8" width="9.25"/>
    <col customWidth="1" min="9" max="10" width="9.13"/>
    <col customWidth="1" min="11" max="11" width="23.75"/>
    <col customWidth="1" min="12" max="12" width="19.13"/>
    <col customWidth="1" min="13" max="14" width="9.13"/>
    <col customWidth="1" min="15" max="18" width="9.25"/>
    <col customWidth="1" min="19" max="19" width="19.88"/>
    <col customWidth="1" min="20" max="22" width="9.25"/>
    <col customWidth="1" min="23" max="25" width="9.13"/>
    <col customWidth="1" min="26" max="26" width="13.0"/>
    <col customWidth="1" min="27" max="27" width="17.38"/>
    <col customWidth="1" min="28" max="28" width="15.63"/>
    <col customWidth="1" min="29" max="34" width="9.13"/>
    <col customWidth="1" min="35" max="35" width="12.75"/>
    <col customWidth="1" min="36" max="36" width="13.13"/>
    <col customWidth="1" min="37" max="42" width="9.13"/>
    <col customWidth="1" min="43" max="43" width="16.38"/>
    <col customWidth="1" min="44" max="44" width="12.25"/>
    <col customWidth="1" min="45" max="46" width="9.13"/>
    <col customWidth="1" min="47" max="47" width="20.38"/>
    <col customWidth="1" min="48" max="48" width="9.13"/>
    <col customWidth="1" min="49" max="49" width="14.0"/>
    <col customWidth="1" min="50" max="50" width="9.13"/>
    <col customWidth="1" min="51" max="51" width="19.88"/>
    <col customWidth="1" min="52" max="52" width="12.25"/>
    <col customWidth="1" min="53" max="58" width="9.13"/>
    <col customWidth="1" min="59" max="59" width="16.0"/>
    <col customWidth="1" min="60" max="60" width="12.25"/>
    <col customWidth="1" min="61" max="66" width="9.13"/>
    <col customWidth="1" min="67" max="67" width="15.75"/>
    <col customWidth="1" min="68" max="68" width="12.25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ht="21.0" customHeight="1">
      <c r="A2" s="1" t="s">
        <v>0</v>
      </c>
      <c r="B2" s="1" t="s">
        <v>1</v>
      </c>
      <c r="C2" s="1"/>
      <c r="D2" s="1"/>
      <c r="E2" s="1"/>
      <c r="F2" s="1"/>
      <c r="G2" s="2" t="s">
        <v>2</v>
      </c>
      <c r="H2" s="1" t="s"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ht="21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ht="21.0" customHeight="1">
      <c r="A4" s="3" t="s">
        <v>4</v>
      </c>
      <c r="B4" s="3" t="s">
        <v>5</v>
      </c>
      <c r="C4" s="3" t="s">
        <v>6</v>
      </c>
      <c r="D4" s="1"/>
      <c r="E4" s="1"/>
      <c r="F4" s="1"/>
      <c r="G4" s="4" t="s">
        <v>7</v>
      </c>
      <c r="H4" s="5" t="s">
        <v>8</v>
      </c>
      <c r="I4" s="6"/>
      <c r="J4" s="6"/>
      <c r="K4" s="6"/>
      <c r="L4" s="6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ht="21.0" customHeight="1">
      <c r="A5" s="4">
        <v>1.0</v>
      </c>
      <c r="B5" s="4" t="str">
        <f>MID($B$2,ROW(B2),1)</f>
        <v>1</v>
      </c>
      <c r="C5" s="4" t="str">
        <f t="shared" ref="C5:C20" si="1">HEX2BIN(B5,4)</f>
        <v>0001</v>
      </c>
      <c r="D5" s="1"/>
      <c r="E5" s="1"/>
      <c r="F5" s="1"/>
      <c r="G5" s="4" t="s">
        <v>9</v>
      </c>
      <c r="H5" s="5" t="s">
        <v>10</v>
      </c>
      <c r="I5" s="6"/>
      <c r="J5" s="6"/>
      <c r="K5" s="6"/>
      <c r="L5" s="6"/>
      <c r="M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ht="21.0" customHeight="1">
      <c r="A6" s="4">
        <v>2.0</v>
      </c>
      <c r="B6" s="4" t="str">
        <f t="shared" ref="B6:B21" si="2">MID($B$2,ROW(B4),1)</f>
        <v>3</v>
      </c>
      <c r="C6" s="4" t="str">
        <f t="shared" si="1"/>
        <v>0011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ht="21.0" customHeight="1">
      <c r="A7" s="4">
        <v>3.0</v>
      </c>
      <c r="B7" s="4" t="str">
        <f t="shared" si="2"/>
        <v>4</v>
      </c>
      <c r="C7" s="4" t="str">
        <f t="shared" si="1"/>
        <v>0100</v>
      </c>
      <c r="D7" s="1"/>
      <c r="E7" s="1"/>
      <c r="F7" s="1"/>
      <c r="G7" s="4" t="s">
        <v>11</v>
      </c>
      <c r="H7" s="4" t="s">
        <v>12</v>
      </c>
      <c r="I7" s="4"/>
      <c r="J7" s="4"/>
      <c r="K7" s="4"/>
      <c r="L7" s="4" t="s">
        <v>13</v>
      </c>
      <c r="M7" s="1"/>
      <c r="N7" s="1"/>
      <c r="O7" s="4" t="s">
        <v>14</v>
      </c>
      <c r="P7" s="4" t="s">
        <v>15</v>
      </c>
      <c r="Q7" s="4"/>
      <c r="R7" s="4"/>
      <c r="S7" s="4"/>
      <c r="T7" s="4" t="s">
        <v>16</v>
      </c>
      <c r="U7" s="4"/>
      <c r="V7" s="1"/>
      <c r="W7" s="4" t="s">
        <v>17</v>
      </c>
      <c r="X7" s="4" t="s">
        <v>18</v>
      </c>
      <c r="Y7" s="4"/>
      <c r="Z7" s="4"/>
      <c r="AA7" s="4"/>
      <c r="AB7" s="4" t="s">
        <v>19</v>
      </c>
      <c r="AC7" s="1"/>
      <c r="AD7" s="1"/>
      <c r="AE7" s="4" t="s">
        <v>20</v>
      </c>
      <c r="AF7" s="4" t="s">
        <v>21</v>
      </c>
      <c r="AG7" s="4"/>
      <c r="AH7" s="4"/>
      <c r="AI7" s="4"/>
      <c r="AJ7" s="4" t="s">
        <v>22</v>
      </c>
      <c r="AK7" s="1"/>
      <c r="AL7" s="1"/>
      <c r="AM7" s="4" t="s">
        <v>23</v>
      </c>
      <c r="AN7" s="4" t="s">
        <v>24</v>
      </c>
      <c r="AO7" s="4"/>
      <c r="AP7" s="4"/>
      <c r="AQ7" s="4"/>
      <c r="AR7" s="4" t="s">
        <v>25</v>
      </c>
      <c r="AS7" s="1"/>
      <c r="AT7" s="1"/>
      <c r="AU7" s="4" t="s">
        <v>26</v>
      </c>
      <c r="AV7" s="4" t="s">
        <v>27</v>
      </c>
      <c r="AW7" s="4"/>
      <c r="AX7" s="4"/>
      <c r="AY7" s="4"/>
      <c r="AZ7" s="4" t="s">
        <v>28</v>
      </c>
      <c r="BA7" s="1"/>
      <c r="BB7" s="1"/>
      <c r="BC7" s="4" t="s">
        <v>29</v>
      </c>
      <c r="BD7" s="4" t="s">
        <v>30</v>
      </c>
      <c r="BE7" s="4"/>
      <c r="BF7" s="4"/>
      <c r="BG7" s="4"/>
      <c r="BH7" s="4" t="s">
        <v>31</v>
      </c>
      <c r="BI7" s="1"/>
      <c r="BJ7" s="1"/>
      <c r="BK7" s="4" t="s">
        <v>32</v>
      </c>
      <c r="BL7" s="4" t="s">
        <v>33</v>
      </c>
      <c r="BM7" s="4"/>
      <c r="BN7" s="4"/>
      <c r="BO7" s="4"/>
      <c r="BP7" s="4" t="s">
        <v>34</v>
      </c>
    </row>
    <row r="8" ht="21.0" customHeight="1">
      <c r="A8" s="4">
        <v>4.0</v>
      </c>
      <c r="B8" s="4" t="str">
        <f t="shared" si="2"/>
        <v>5</v>
      </c>
      <c r="C8" s="4" t="str">
        <f t="shared" si="1"/>
        <v>0101</v>
      </c>
      <c r="D8" s="1"/>
      <c r="E8" s="1"/>
      <c r="F8" s="1"/>
      <c r="G8" s="4" t="s">
        <v>35</v>
      </c>
      <c r="H8" s="4" t="s">
        <v>36</v>
      </c>
      <c r="I8" s="4"/>
      <c r="J8" s="4"/>
      <c r="K8" s="4"/>
      <c r="L8" s="8" t="s">
        <v>37</v>
      </c>
      <c r="M8" s="1"/>
      <c r="N8" s="1"/>
      <c r="O8" s="4" t="s">
        <v>38</v>
      </c>
      <c r="P8" s="4" t="s">
        <v>39</v>
      </c>
      <c r="Q8" s="4"/>
      <c r="R8" s="4"/>
      <c r="S8" s="4"/>
      <c r="T8" s="4" t="s">
        <v>40</v>
      </c>
      <c r="U8" s="4"/>
      <c r="V8" s="1"/>
      <c r="W8" s="4" t="s">
        <v>41</v>
      </c>
      <c r="X8" s="4" t="s">
        <v>42</v>
      </c>
      <c r="Y8" s="4"/>
      <c r="Z8" s="4"/>
      <c r="AA8" s="4"/>
      <c r="AB8" s="4" t="s">
        <v>43</v>
      </c>
      <c r="AC8" s="1"/>
      <c r="AD8" s="1"/>
      <c r="AE8" s="4" t="s">
        <v>44</v>
      </c>
      <c r="AF8" s="4" t="s">
        <v>45</v>
      </c>
      <c r="AG8" s="4"/>
      <c r="AH8" s="4"/>
      <c r="AI8" s="4"/>
      <c r="AJ8" s="4" t="s">
        <v>46</v>
      </c>
      <c r="AK8" s="1"/>
      <c r="AL8" s="1"/>
      <c r="AM8" s="4" t="s">
        <v>47</v>
      </c>
      <c r="AN8" s="4" t="s">
        <v>48</v>
      </c>
      <c r="AO8" s="4"/>
      <c r="AP8" s="4"/>
      <c r="AQ8" s="4"/>
      <c r="AR8" s="9">
        <v>7855566.0</v>
      </c>
      <c r="AS8" s="1"/>
      <c r="AT8" s="1"/>
      <c r="AU8" s="4" t="s">
        <v>49</v>
      </c>
      <c r="AV8" s="4" t="s">
        <v>50</v>
      </c>
      <c r="AW8" s="4"/>
      <c r="AX8" s="4"/>
      <c r="AY8" s="4"/>
      <c r="AZ8" s="9">
        <v>8555667.0</v>
      </c>
      <c r="BA8" s="1"/>
      <c r="BB8" s="1"/>
      <c r="BC8" s="4" t="s">
        <v>51</v>
      </c>
      <c r="BD8" s="4" t="s">
        <v>52</v>
      </c>
      <c r="BE8" s="4"/>
      <c r="BF8" s="4"/>
      <c r="BG8" s="4"/>
      <c r="BH8" s="9">
        <v>5556678.0</v>
      </c>
      <c r="BI8" s="1"/>
      <c r="BJ8" s="1"/>
      <c r="BK8" s="4" t="s">
        <v>53</v>
      </c>
      <c r="BL8" s="4" t="s">
        <v>54</v>
      </c>
      <c r="BM8" s="4"/>
      <c r="BN8" s="4"/>
      <c r="BO8" s="4"/>
      <c r="BP8" s="9">
        <v>5566785.0</v>
      </c>
    </row>
    <row r="9" ht="21.0" customHeight="1">
      <c r="A9" s="4">
        <v>5.0</v>
      </c>
      <c r="B9" s="4" t="str">
        <f t="shared" si="2"/>
        <v>7</v>
      </c>
      <c r="C9" s="4" t="str">
        <f t="shared" si="1"/>
        <v>0111</v>
      </c>
      <c r="D9" s="1"/>
      <c r="E9" s="1"/>
      <c r="F9" s="1"/>
      <c r="G9" s="4" t="s">
        <v>55</v>
      </c>
      <c r="H9" s="10" t="s">
        <v>56</v>
      </c>
      <c r="I9" s="6"/>
      <c r="J9" s="6"/>
      <c r="K9" s="6"/>
      <c r="L9" s="7"/>
      <c r="M9" s="1"/>
      <c r="N9" s="1"/>
      <c r="O9" s="4" t="s">
        <v>57</v>
      </c>
      <c r="P9" s="4" t="s">
        <v>58</v>
      </c>
      <c r="Q9" s="4"/>
      <c r="R9" s="4"/>
      <c r="S9" s="4"/>
      <c r="T9" s="4"/>
      <c r="U9" s="4"/>
      <c r="V9" s="1"/>
      <c r="W9" s="4" t="s">
        <v>57</v>
      </c>
      <c r="X9" s="5" t="s">
        <v>59</v>
      </c>
      <c r="Y9" s="6"/>
      <c r="Z9" s="6"/>
      <c r="AA9" s="6"/>
      <c r="AB9" s="7"/>
      <c r="AC9" s="1"/>
      <c r="AD9" s="1"/>
      <c r="AE9" s="4" t="s">
        <v>57</v>
      </c>
      <c r="AF9" s="5" t="s">
        <v>60</v>
      </c>
      <c r="AG9" s="6"/>
      <c r="AH9" s="6"/>
      <c r="AI9" s="6"/>
      <c r="AJ9" s="7"/>
      <c r="AK9" s="1"/>
      <c r="AL9" s="1"/>
      <c r="AM9" s="4" t="s">
        <v>57</v>
      </c>
      <c r="AN9" s="5" t="s">
        <v>61</v>
      </c>
      <c r="AO9" s="6"/>
      <c r="AP9" s="6"/>
      <c r="AQ9" s="6"/>
      <c r="AR9" s="7"/>
      <c r="AS9" s="1"/>
      <c r="AT9" s="1"/>
      <c r="AU9" s="4" t="s">
        <v>57</v>
      </c>
      <c r="AV9" s="5" t="s">
        <v>62</v>
      </c>
      <c r="AW9" s="6"/>
      <c r="AX9" s="6"/>
      <c r="AY9" s="6"/>
      <c r="AZ9" s="7"/>
      <c r="BA9" s="1"/>
      <c r="BB9" s="1"/>
      <c r="BC9" s="4" t="s">
        <v>57</v>
      </c>
      <c r="BD9" s="5" t="s">
        <v>63</v>
      </c>
      <c r="BE9" s="6"/>
      <c r="BF9" s="6"/>
      <c r="BG9" s="6"/>
      <c r="BH9" s="7"/>
      <c r="BI9" s="1"/>
      <c r="BJ9" s="1"/>
      <c r="BK9" s="4" t="s">
        <v>57</v>
      </c>
      <c r="BL9" s="5" t="s">
        <v>64</v>
      </c>
      <c r="BM9" s="6"/>
      <c r="BN9" s="6"/>
      <c r="BO9" s="6"/>
      <c r="BP9" s="7"/>
    </row>
    <row r="10" ht="21.0" customHeight="1">
      <c r="A10" s="4">
        <v>6.0</v>
      </c>
      <c r="B10" s="4" t="str">
        <f t="shared" si="2"/>
        <v>7</v>
      </c>
      <c r="C10" s="4" t="str">
        <f t="shared" si="1"/>
        <v>0111</v>
      </c>
      <c r="D10" s="1"/>
      <c r="E10" s="1"/>
      <c r="F10" s="1"/>
      <c r="G10" s="4" t="s">
        <v>65</v>
      </c>
      <c r="H10" s="5" t="s">
        <v>66</v>
      </c>
      <c r="I10" s="6"/>
      <c r="J10" s="6"/>
      <c r="K10" s="6"/>
      <c r="L10" s="7"/>
      <c r="M10" s="1"/>
      <c r="N10" s="1"/>
      <c r="O10" s="1" t="s">
        <v>67</v>
      </c>
      <c r="P10" s="1" t="s">
        <v>68</v>
      </c>
      <c r="Q10" s="1"/>
      <c r="R10" s="1"/>
      <c r="S10" s="1"/>
      <c r="T10" s="1"/>
      <c r="U10" s="1"/>
      <c r="V10" s="1"/>
      <c r="W10" s="4" t="s">
        <v>69</v>
      </c>
      <c r="X10" s="5" t="s">
        <v>70</v>
      </c>
      <c r="Y10" s="6"/>
      <c r="Z10" s="6"/>
      <c r="AA10" s="6"/>
      <c r="AB10" s="7"/>
      <c r="AC10" s="1"/>
      <c r="AD10" s="1"/>
      <c r="AE10" s="4" t="s">
        <v>71</v>
      </c>
      <c r="AF10" s="5" t="s">
        <v>72</v>
      </c>
      <c r="AG10" s="6"/>
      <c r="AH10" s="6"/>
      <c r="AI10" s="6"/>
      <c r="AJ10" s="7"/>
      <c r="AK10" s="1"/>
      <c r="AL10" s="1"/>
      <c r="AM10" s="4" t="s">
        <v>73</v>
      </c>
      <c r="AN10" s="5" t="s">
        <v>74</v>
      </c>
      <c r="AO10" s="6"/>
      <c r="AP10" s="6"/>
      <c r="AQ10" s="6"/>
      <c r="AR10" s="7"/>
      <c r="AS10" s="1"/>
      <c r="AT10" s="1"/>
      <c r="AU10" s="4" t="s">
        <v>75</v>
      </c>
      <c r="AV10" s="5" t="s">
        <v>76</v>
      </c>
      <c r="AW10" s="6"/>
      <c r="AX10" s="6"/>
      <c r="AY10" s="6"/>
      <c r="AZ10" s="7"/>
      <c r="BA10" s="1"/>
      <c r="BB10" s="1"/>
      <c r="BC10" s="4" t="s">
        <v>77</v>
      </c>
      <c r="BD10" s="5" t="s">
        <v>78</v>
      </c>
      <c r="BE10" s="6"/>
      <c r="BF10" s="6"/>
      <c r="BG10" s="6"/>
      <c r="BH10" s="7"/>
      <c r="BI10" s="1"/>
      <c r="BJ10" s="1"/>
      <c r="BK10" s="4" t="s">
        <v>79</v>
      </c>
      <c r="BL10" s="5" t="s">
        <v>80</v>
      </c>
      <c r="BM10" s="6"/>
      <c r="BN10" s="6"/>
      <c r="BO10" s="6"/>
      <c r="BP10" s="7"/>
    </row>
    <row r="11" ht="21.0" customHeight="1">
      <c r="A11" s="4">
        <v>7.0</v>
      </c>
      <c r="B11" s="4" t="str">
        <f t="shared" si="2"/>
        <v>9</v>
      </c>
      <c r="C11" s="4" t="str">
        <f t="shared" si="1"/>
        <v>1001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ht="21.0" customHeight="1">
      <c r="A12" s="4">
        <v>8.0</v>
      </c>
      <c r="B12" s="4" t="str">
        <f t="shared" si="2"/>
        <v>9</v>
      </c>
      <c r="C12" s="4" t="str">
        <f t="shared" si="1"/>
        <v>1001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ht="21.0" customHeight="1">
      <c r="A13" s="4">
        <v>9.0</v>
      </c>
      <c r="B13" s="4" t="str">
        <f t="shared" si="2"/>
        <v>b</v>
      </c>
      <c r="C13" s="4" t="str">
        <f t="shared" si="1"/>
        <v>1011</v>
      </c>
      <c r="D13" s="1"/>
      <c r="E13" s="1"/>
      <c r="F13" s="1"/>
      <c r="G13" s="4" t="s">
        <v>81</v>
      </c>
      <c r="H13" s="4" t="s">
        <v>82</v>
      </c>
      <c r="I13" s="4"/>
      <c r="J13" s="4"/>
      <c r="K13" s="4"/>
      <c r="L13" s="4" t="s">
        <v>83</v>
      </c>
      <c r="M13" s="1"/>
      <c r="N13" s="1"/>
      <c r="O13" s="4" t="s">
        <v>84</v>
      </c>
      <c r="P13" s="4" t="s">
        <v>85</v>
      </c>
      <c r="Q13" s="4"/>
      <c r="R13" s="4"/>
      <c r="S13" s="4"/>
      <c r="T13" s="4" t="s">
        <v>86</v>
      </c>
      <c r="U13" s="4"/>
      <c r="V13" s="1"/>
      <c r="W13" s="4" t="s">
        <v>87</v>
      </c>
      <c r="X13" s="4" t="s">
        <v>88</v>
      </c>
      <c r="Y13" s="4"/>
      <c r="Z13" s="4"/>
      <c r="AA13" s="4"/>
      <c r="AB13" s="4" t="s">
        <v>89</v>
      </c>
      <c r="AC13" s="1"/>
      <c r="AD13" s="1"/>
      <c r="AE13" s="4" t="s">
        <v>90</v>
      </c>
      <c r="AF13" s="4" t="s">
        <v>91</v>
      </c>
      <c r="AG13" s="4"/>
      <c r="AH13" s="4"/>
      <c r="AI13" s="4"/>
      <c r="AJ13" s="4" t="s">
        <v>92</v>
      </c>
      <c r="AK13" s="1"/>
      <c r="AL13" s="1"/>
      <c r="AM13" s="4" t="s">
        <v>93</v>
      </c>
      <c r="AN13" s="4" t="s">
        <v>94</v>
      </c>
      <c r="AO13" s="4"/>
      <c r="AP13" s="4"/>
      <c r="AQ13" s="4"/>
      <c r="AR13" s="8" t="s">
        <v>95</v>
      </c>
      <c r="AS13" s="1"/>
      <c r="AT13" s="1"/>
      <c r="AU13" s="4" t="s">
        <v>96</v>
      </c>
      <c r="AV13" s="4" t="s">
        <v>97</v>
      </c>
      <c r="AW13" s="4"/>
      <c r="AX13" s="4"/>
      <c r="AY13" s="4"/>
      <c r="AZ13" s="11" t="s">
        <v>98</v>
      </c>
      <c r="BA13" s="1"/>
      <c r="BB13" s="1"/>
      <c r="BC13" s="4" t="s">
        <v>99</v>
      </c>
      <c r="BD13" s="4" t="s">
        <v>100</v>
      </c>
      <c r="BE13" s="4"/>
      <c r="BF13" s="4"/>
      <c r="BG13" s="4"/>
      <c r="BH13" s="11" t="s">
        <v>101</v>
      </c>
      <c r="BI13" s="1"/>
      <c r="BJ13" s="1"/>
      <c r="BK13" s="4" t="s">
        <v>102</v>
      </c>
      <c r="BL13" s="4" t="s">
        <v>8</v>
      </c>
      <c r="BM13" s="4"/>
      <c r="BN13" s="4"/>
      <c r="BO13" s="4"/>
      <c r="BP13" s="4" t="s">
        <v>103</v>
      </c>
    </row>
    <row r="14" ht="21.0" customHeight="1">
      <c r="A14" s="4">
        <v>10.0</v>
      </c>
      <c r="B14" s="4" t="str">
        <f t="shared" si="2"/>
        <v>b</v>
      </c>
      <c r="C14" s="4" t="str">
        <f t="shared" si="1"/>
        <v>1011</v>
      </c>
      <c r="D14" s="1"/>
      <c r="E14" s="1"/>
      <c r="F14" s="1"/>
      <c r="G14" s="4" t="s">
        <v>104</v>
      </c>
      <c r="H14" s="4" t="s">
        <v>105</v>
      </c>
      <c r="I14" s="4"/>
      <c r="J14" s="4"/>
      <c r="K14" s="4"/>
      <c r="L14" s="4" t="s">
        <v>106</v>
      </c>
      <c r="M14" s="1"/>
      <c r="N14" s="1"/>
      <c r="O14" s="4" t="s">
        <v>107</v>
      </c>
      <c r="P14" s="4" t="s">
        <v>108</v>
      </c>
      <c r="Q14" s="4"/>
      <c r="R14" s="4"/>
      <c r="S14" s="4"/>
      <c r="T14" s="4" t="s">
        <v>109</v>
      </c>
      <c r="U14" s="4"/>
      <c r="V14" s="1"/>
      <c r="W14" s="4" t="s">
        <v>110</v>
      </c>
      <c r="X14" s="4" t="s">
        <v>111</v>
      </c>
      <c r="Y14" s="4"/>
      <c r="Z14" s="4"/>
      <c r="AA14" s="4"/>
      <c r="AB14" s="4" t="s">
        <v>112</v>
      </c>
      <c r="AC14" s="1"/>
      <c r="AD14" s="1"/>
      <c r="AE14" s="4" t="s">
        <v>113</v>
      </c>
      <c r="AF14" s="4" t="s">
        <v>114</v>
      </c>
      <c r="AG14" s="4"/>
      <c r="AH14" s="4"/>
      <c r="AI14" s="4"/>
      <c r="AJ14" s="4" t="s">
        <v>115</v>
      </c>
      <c r="AK14" s="1"/>
      <c r="AL14" s="1"/>
      <c r="AM14" s="4" t="s">
        <v>116</v>
      </c>
      <c r="AN14" s="4" t="s">
        <v>117</v>
      </c>
      <c r="AO14" s="4"/>
      <c r="AP14" s="4"/>
      <c r="AQ14" s="4"/>
      <c r="AR14" s="11" t="s">
        <v>118</v>
      </c>
      <c r="AS14" s="1"/>
      <c r="AT14" s="1"/>
      <c r="AU14" s="4" t="s">
        <v>119</v>
      </c>
      <c r="AV14" s="4" t="s">
        <v>120</v>
      </c>
      <c r="AW14" s="4"/>
      <c r="AX14" s="4"/>
      <c r="AY14" s="4"/>
      <c r="AZ14" s="4" t="s">
        <v>121</v>
      </c>
      <c r="BA14" s="1"/>
      <c r="BB14" s="1"/>
      <c r="BC14" s="4" t="s">
        <v>122</v>
      </c>
      <c r="BD14" s="4" t="s">
        <v>123</v>
      </c>
      <c r="BE14" s="4"/>
      <c r="BF14" s="4"/>
      <c r="BG14" s="4"/>
      <c r="BH14" s="11" t="s">
        <v>124</v>
      </c>
      <c r="BI14" s="1"/>
      <c r="BJ14" s="1"/>
      <c r="BK14" s="4" t="s">
        <v>125</v>
      </c>
      <c r="BL14" s="4" t="s">
        <v>10</v>
      </c>
      <c r="BM14" s="4"/>
      <c r="BN14" s="4"/>
      <c r="BO14" s="4"/>
      <c r="BP14" s="4" t="s">
        <v>126</v>
      </c>
    </row>
    <row r="15" ht="21.0" customHeight="1">
      <c r="A15" s="4">
        <v>11.0</v>
      </c>
      <c r="B15" s="4" t="str">
        <f t="shared" si="2"/>
        <v>c</v>
      </c>
      <c r="C15" s="4" t="str">
        <f t="shared" si="1"/>
        <v>1100</v>
      </c>
      <c r="D15" s="1"/>
      <c r="E15" s="1"/>
      <c r="F15" s="1"/>
      <c r="G15" s="4" t="s">
        <v>57</v>
      </c>
      <c r="H15" s="5" t="s">
        <v>127</v>
      </c>
      <c r="I15" s="6"/>
      <c r="J15" s="6"/>
      <c r="K15" s="6"/>
      <c r="L15" s="7"/>
      <c r="M15" s="1"/>
      <c r="N15" s="1"/>
      <c r="O15" s="4" t="s">
        <v>57</v>
      </c>
      <c r="P15" s="5" t="s">
        <v>128</v>
      </c>
      <c r="Q15" s="6"/>
      <c r="R15" s="6"/>
      <c r="S15" s="6"/>
      <c r="T15" s="6"/>
      <c r="U15" s="7"/>
      <c r="V15" s="1"/>
      <c r="W15" s="4" t="s">
        <v>57</v>
      </c>
      <c r="X15" s="5" t="s">
        <v>129</v>
      </c>
      <c r="Y15" s="6"/>
      <c r="Z15" s="6"/>
      <c r="AA15" s="6"/>
      <c r="AB15" s="7"/>
      <c r="AC15" s="1"/>
      <c r="AD15" s="1"/>
      <c r="AE15" s="4" t="s">
        <v>57</v>
      </c>
      <c r="AF15" s="5" t="s">
        <v>130</v>
      </c>
      <c r="AG15" s="6"/>
      <c r="AH15" s="6"/>
      <c r="AI15" s="6"/>
      <c r="AJ15" s="7"/>
      <c r="AK15" s="1"/>
      <c r="AL15" s="1"/>
      <c r="AM15" s="4" t="s">
        <v>57</v>
      </c>
      <c r="AN15" s="12" t="s">
        <v>131</v>
      </c>
      <c r="AO15" s="6"/>
      <c r="AP15" s="6"/>
      <c r="AQ15" s="6"/>
      <c r="AR15" s="7"/>
      <c r="AS15" s="1"/>
      <c r="AT15" s="1"/>
      <c r="AU15" s="4" t="s">
        <v>57</v>
      </c>
      <c r="AV15" s="13" t="s">
        <v>132</v>
      </c>
      <c r="AW15" s="6"/>
      <c r="AX15" s="6"/>
      <c r="AY15" s="6"/>
      <c r="AZ15" s="7"/>
      <c r="BA15" s="1"/>
      <c r="BB15" s="1"/>
      <c r="BC15" s="4" t="s">
        <v>57</v>
      </c>
      <c r="BD15" s="13" t="s">
        <v>133</v>
      </c>
      <c r="BE15" s="6"/>
      <c r="BF15" s="6"/>
      <c r="BG15" s="6"/>
      <c r="BH15" s="7"/>
      <c r="BI15" s="1"/>
      <c r="BJ15" s="1"/>
      <c r="BK15" s="4" t="s">
        <v>57</v>
      </c>
      <c r="BL15" s="5" t="s">
        <v>134</v>
      </c>
      <c r="BM15" s="6"/>
      <c r="BN15" s="6"/>
      <c r="BO15" s="6"/>
      <c r="BP15" s="7"/>
    </row>
    <row r="16" ht="21.0" customHeight="1">
      <c r="A16" s="4">
        <v>12.0</v>
      </c>
      <c r="B16" s="4" t="str">
        <f t="shared" si="2"/>
        <v>d</v>
      </c>
      <c r="C16" s="4" t="str">
        <f t="shared" si="1"/>
        <v>1101</v>
      </c>
      <c r="D16" s="1"/>
      <c r="E16" s="1"/>
      <c r="F16" s="1"/>
      <c r="G16" s="4" t="s">
        <v>135</v>
      </c>
      <c r="H16" s="5" t="s">
        <v>136</v>
      </c>
      <c r="I16" s="6"/>
      <c r="J16" s="6"/>
      <c r="K16" s="6"/>
      <c r="L16" s="7"/>
      <c r="M16" s="1"/>
      <c r="N16" s="1"/>
      <c r="O16" s="4" t="s">
        <v>137</v>
      </c>
      <c r="P16" s="5" t="s">
        <v>138</v>
      </c>
      <c r="Q16" s="6"/>
      <c r="R16" s="6"/>
      <c r="S16" s="6"/>
      <c r="T16" s="6"/>
      <c r="U16" s="7"/>
      <c r="V16" s="1"/>
      <c r="W16" s="4" t="s">
        <v>139</v>
      </c>
      <c r="X16" s="5" t="s">
        <v>140</v>
      </c>
      <c r="Y16" s="6"/>
      <c r="Z16" s="6"/>
      <c r="AA16" s="6"/>
      <c r="AB16" s="7"/>
      <c r="AC16" s="1"/>
      <c r="AD16" s="1"/>
      <c r="AE16" s="4" t="s">
        <v>141</v>
      </c>
      <c r="AF16" s="5" t="s">
        <v>142</v>
      </c>
      <c r="AG16" s="6"/>
      <c r="AH16" s="6"/>
      <c r="AI16" s="6"/>
      <c r="AJ16" s="7"/>
      <c r="AK16" s="1"/>
      <c r="AL16" s="1"/>
      <c r="AM16" s="4" t="s">
        <v>143</v>
      </c>
      <c r="AN16" s="5" t="s">
        <v>144</v>
      </c>
      <c r="AO16" s="6"/>
      <c r="AP16" s="6"/>
      <c r="AQ16" s="6"/>
      <c r="AR16" s="7"/>
      <c r="AS16" s="1"/>
      <c r="AT16" s="1"/>
      <c r="AU16" s="4" t="s">
        <v>145</v>
      </c>
      <c r="AV16" s="5" t="s">
        <v>146</v>
      </c>
      <c r="AW16" s="6"/>
      <c r="AX16" s="6"/>
      <c r="AY16" s="6"/>
      <c r="AZ16" s="7"/>
      <c r="BA16" s="1"/>
      <c r="BB16" s="1"/>
      <c r="BC16" s="4" t="s">
        <v>147</v>
      </c>
      <c r="BD16" s="5" t="s">
        <v>148</v>
      </c>
      <c r="BE16" s="6"/>
      <c r="BF16" s="6"/>
      <c r="BG16" s="6"/>
      <c r="BH16" s="7"/>
      <c r="BI16" s="1"/>
      <c r="BJ16" s="1"/>
      <c r="BK16" s="4" t="s">
        <v>149</v>
      </c>
      <c r="BL16" s="5" t="s">
        <v>150</v>
      </c>
      <c r="BM16" s="6"/>
      <c r="BN16" s="6"/>
      <c r="BO16" s="6"/>
      <c r="BP16" s="7"/>
    </row>
    <row r="17" ht="21.0" customHeight="1">
      <c r="A17" s="4">
        <v>13.0</v>
      </c>
      <c r="B17" s="4" t="str">
        <f t="shared" si="2"/>
        <v>f</v>
      </c>
      <c r="C17" s="4" t="str">
        <f t="shared" si="1"/>
        <v>1111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ht="21.0" customHeight="1">
      <c r="A18" s="4">
        <v>14.0</v>
      </c>
      <c r="B18" s="4" t="str">
        <f t="shared" si="2"/>
        <v>f</v>
      </c>
      <c r="C18" s="4" t="str">
        <f t="shared" si="1"/>
        <v>1111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ht="21.0" customHeight="1">
      <c r="A19" s="4">
        <v>15.0</v>
      </c>
      <c r="B19" s="4" t="str">
        <f t="shared" si="2"/>
        <v/>
      </c>
      <c r="C19" s="4" t="str">
        <f t="shared" si="1"/>
        <v>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ht="21.0" customHeight="1">
      <c r="A20" s="4">
        <v>16.0</v>
      </c>
      <c r="B20" s="4" t="str">
        <f t="shared" si="2"/>
        <v/>
      </c>
      <c r="C20" s="4" t="str">
        <f t="shared" si="1"/>
        <v>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</row>
    <row r="21" ht="21.0" customHeight="1">
      <c r="A21" s="1"/>
      <c r="B21" s="1" t="str">
        <f t="shared" si="2"/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ht="21.0" customHeight="1">
      <c r="A23" s="1" t="s">
        <v>151</v>
      </c>
      <c r="B23" s="1" t="s">
        <v>152</v>
      </c>
      <c r="C23" s="1"/>
      <c r="D23" s="1"/>
      <c r="E23" s="1"/>
      <c r="F23" s="5" t="s">
        <v>2</v>
      </c>
      <c r="G23" s="6"/>
      <c r="H23" s="7"/>
      <c r="I23" s="1"/>
      <c r="J23" s="1"/>
      <c r="K23" s="5" t="s">
        <v>153</v>
      </c>
      <c r="L23" s="7"/>
      <c r="M23" s="1"/>
      <c r="N23" s="1"/>
      <c r="O23" s="5" t="s">
        <v>154</v>
      </c>
      <c r="P23" s="6"/>
      <c r="Q23" s="6"/>
      <c r="R23" s="6"/>
      <c r="S23" s="6"/>
      <c r="T23" s="6"/>
      <c r="U23" s="6"/>
      <c r="V23" s="7"/>
      <c r="W23" s="1"/>
      <c r="X23" s="1"/>
      <c r="Y23" s="4" t="s">
        <v>155</v>
      </c>
      <c r="Z23" s="4"/>
      <c r="AA23" s="4" t="s">
        <v>156</v>
      </c>
      <c r="AB23" s="4"/>
      <c r="AC23" s="1"/>
      <c r="AD23" s="1"/>
      <c r="AE23" s="1"/>
      <c r="AF23" s="4" t="s">
        <v>157</v>
      </c>
      <c r="AG23" s="4" t="s">
        <v>158</v>
      </c>
      <c r="AH23" s="4"/>
      <c r="AI23" s="4"/>
      <c r="AJ23" s="4"/>
      <c r="AK23" s="4"/>
      <c r="AL23" s="4" t="s">
        <v>159</v>
      </c>
      <c r="AM23" s="4"/>
      <c r="AN23" s="1"/>
      <c r="AO23" s="14" t="s">
        <v>160</v>
      </c>
      <c r="AP23" s="15"/>
      <c r="AQ23" s="4" t="s">
        <v>161</v>
      </c>
      <c r="AR23" s="4"/>
      <c r="AS23" s="4"/>
      <c r="AT23" s="4"/>
      <c r="AU23" s="4"/>
      <c r="AV23" s="4"/>
      <c r="AW23" s="4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ht="21.0" customHeight="1">
      <c r="A24" s="4">
        <v>1.0</v>
      </c>
      <c r="B24" s="4" t="str">
        <f>MID($B$23,ROW(B2),1)</f>
        <v>0</v>
      </c>
      <c r="C24" s="4" t="str">
        <f t="shared" ref="C24:C39" si="3">HEX2BIN(B24,4)</f>
        <v>0000</v>
      </c>
      <c r="D24" s="1"/>
      <c r="E24" s="1"/>
      <c r="F24" s="4">
        <v>58.0</v>
      </c>
      <c r="G24" s="4"/>
      <c r="H24" s="4" t="str">
        <f t="array" ref="H24">MID(INDEX($C$24:$C$39,INT((ROW(A2)-1)/4)+1),MOD(ROW(A2)-1,4)+1,1)</f>
        <v>0</v>
      </c>
      <c r="I24" s="1"/>
      <c r="J24" s="1"/>
      <c r="K24" s="4">
        <v>57.0</v>
      </c>
      <c r="L24" s="4" t="str">
        <f t="array" ref="L24">MID(INDEX($C$5:$C$20,INT((ROW(A2)-1)/4)+1),MOD(ROW(A2)-1,4)+1,1)</f>
        <v>0</v>
      </c>
      <c r="M24" s="1"/>
      <c r="N24" s="1"/>
      <c r="O24" s="4">
        <v>14.0</v>
      </c>
      <c r="P24" s="4">
        <v>17.0</v>
      </c>
      <c r="Q24" s="4">
        <v>11.0</v>
      </c>
      <c r="R24" s="4">
        <v>24.0</v>
      </c>
      <c r="S24" s="4">
        <v>1.0</v>
      </c>
      <c r="T24" s="4">
        <v>5.0</v>
      </c>
      <c r="U24" s="4">
        <v>3.0</v>
      </c>
      <c r="V24" s="4">
        <v>28.0</v>
      </c>
      <c r="W24" s="1"/>
      <c r="X24" s="1"/>
      <c r="Y24" s="5">
        <v>1.0</v>
      </c>
      <c r="Z24" s="7"/>
      <c r="AA24" s="5">
        <v>1.0</v>
      </c>
      <c r="AB24" s="7"/>
      <c r="AC24" s="1"/>
      <c r="AD24" s="1"/>
      <c r="AE24" s="1"/>
      <c r="AF24" s="4" t="s">
        <v>162</v>
      </c>
      <c r="AG24" s="4" t="s">
        <v>163</v>
      </c>
      <c r="AH24" s="4"/>
      <c r="AI24" s="4"/>
      <c r="AJ24" s="4"/>
      <c r="AK24" s="4"/>
      <c r="AL24" s="4" t="s">
        <v>164</v>
      </c>
      <c r="AM24" s="4"/>
      <c r="AN24" s="1"/>
      <c r="AO24" s="16"/>
      <c r="AP24" s="17"/>
      <c r="AQ24" s="4" t="s">
        <v>165</v>
      </c>
      <c r="AR24" s="4"/>
      <c r="AS24" s="4"/>
      <c r="AT24" s="4"/>
      <c r="AU24" s="4"/>
      <c r="AV24" s="4"/>
      <c r="AW24" s="4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ht="21.0" customHeight="1">
      <c r="A25" s="4">
        <v>2.0</v>
      </c>
      <c r="B25" s="4" t="str">
        <f t="shared" ref="B25:B39" si="4">MID($B$23,ROW(B4),1)</f>
        <v>2</v>
      </c>
      <c r="C25" s="4" t="str">
        <f t="shared" si="3"/>
        <v>0010</v>
      </c>
      <c r="D25" s="1"/>
      <c r="E25" s="1"/>
      <c r="F25" s="4">
        <v>50.0</v>
      </c>
      <c r="G25" s="4"/>
      <c r="H25" s="4" t="str">
        <f t="array" ref="H25">MID(INDEX($C$24:$C$39,INT((ROW(A4)-1)/4)+1),MOD(ROW(A4)-1,4)+1,1)</f>
        <v>0</v>
      </c>
      <c r="I25" s="1"/>
      <c r="J25" s="1"/>
      <c r="K25" s="4">
        <v>49.0</v>
      </c>
      <c r="L25" s="4" t="str">
        <f t="array" ref="L25">MID(INDEX($C$5:$C$20,INT((ROW(A4)-1)/4)+1),MOD(ROW(A4)-1,4)+1,1)</f>
        <v>1</v>
      </c>
      <c r="M25" s="1"/>
      <c r="N25" s="1"/>
      <c r="O25" s="4">
        <v>15.0</v>
      </c>
      <c r="P25" s="4">
        <v>6.0</v>
      </c>
      <c r="Q25" s="4">
        <v>21.0</v>
      </c>
      <c r="R25" s="4">
        <v>10.0</v>
      </c>
      <c r="S25" s="4">
        <v>23.0</v>
      </c>
      <c r="T25" s="4">
        <v>19.0</v>
      </c>
      <c r="U25" s="4">
        <v>12.0</v>
      </c>
      <c r="V25" s="4">
        <v>4.0</v>
      </c>
      <c r="W25" s="1"/>
      <c r="X25" s="1"/>
      <c r="Y25" s="5">
        <v>2.0</v>
      </c>
      <c r="Z25" s="7"/>
      <c r="AA25" s="5">
        <v>1.0</v>
      </c>
      <c r="AB25" s="7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 t="s">
        <v>166</v>
      </c>
      <c r="AP25" s="4"/>
      <c r="AQ25" s="4" t="s">
        <v>167</v>
      </c>
      <c r="AR25" s="4"/>
      <c r="AS25" s="4"/>
      <c r="AT25" s="4"/>
      <c r="AU25" s="4"/>
      <c r="AV25" s="4"/>
      <c r="AW25" s="4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ht="21.0" customHeight="1">
      <c r="A26" s="4">
        <v>3.0</v>
      </c>
      <c r="B26" s="4" t="str">
        <f t="shared" si="4"/>
        <v>3</v>
      </c>
      <c r="C26" s="4" t="str">
        <f t="shared" si="3"/>
        <v>0011</v>
      </c>
      <c r="D26" s="1"/>
      <c r="E26" s="1"/>
      <c r="F26" s="4">
        <v>42.0</v>
      </c>
      <c r="G26" s="4"/>
      <c r="H26" s="4" t="str">
        <f t="array" ref="H26">MID(INDEX($C$24:$C$39,INT((ROW(A5)-1)/4)+1),MOD(ROW(A5)-1,4)+1,1)</f>
        <v>0</v>
      </c>
      <c r="I26" s="1"/>
      <c r="J26" s="1"/>
      <c r="K26" s="4">
        <v>41.0</v>
      </c>
      <c r="L26" s="4" t="str">
        <f t="array" ref="L26">MID(INDEX($C$5:$C$20,INT((ROW(A5)-1)/4)+1),MOD(ROW(A5)-1,4)+1,1)</f>
        <v>0</v>
      </c>
      <c r="M26" s="1"/>
      <c r="N26" s="1"/>
      <c r="O26" s="4">
        <v>26.0</v>
      </c>
      <c r="P26" s="4">
        <v>8.0</v>
      </c>
      <c r="Q26" s="4">
        <v>16.0</v>
      </c>
      <c r="R26" s="4">
        <v>7.0</v>
      </c>
      <c r="S26" s="4">
        <v>27.0</v>
      </c>
      <c r="T26" s="4">
        <v>20.0</v>
      </c>
      <c r="U26" s="4">
        <v>13.0</v>
      </c>
      <c r="V26" s="4">
        <v>2.0</v>
      </c>
      <c r="W26" s="1"/>
      <c r="X26" s="1"/>
      <c r="Y26" s="5">
        <v>3.0</v>
      </c>
      <c r="Z26" s="7"/>
      <c r="AA26" s="5">
        <v>2.0</v>
      </c>
      <c r="AB26" s="7"/>
      <c r="AC26" s="1"/>
      <c r="AD26" s="1"/>
      <c r="AE26" s="1"/>
      <c r="AF26" s="4" t="s">
        <v>168</v>
      </c>
      <c r="AG26" s="4" t="s">
        <v>169</v>
      </c>
      <c r="AH26" s="4" t="s">
        <v>170</v>
      </c>
      <c r="AI26" s="4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5" t="s">
        <v>171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7"/>
    </row>
    <row r="27" ht="21.0" customHeight="1">
      <c r="A27" s="4">
        <v>4.0</v>
      </c>
      <c r="B27" s="4" t="str">
        <f t="shared" si="4"/>
        <v>4</v>
      </c>
      <c r="C27" s="4" t="str">
        <f t="shared" si="3"/>
        <v>0100</v>
      </c>
      <c r="D27" s="1"/>
      <c r="E27" s="1"/>
      <c r="F27" s="4">
        <v>34.0</v>
      </c>
      <c r="G27" s="4"/>
      <c r="H27" s="4" t="str">
        <f t="array" ref="H27">MID(INDEX($C$24:$C$39,INT((ROW(A6)-1)/4)+1),MOD(ROW(A6)-1,4)+1,1)</f>
        <v>0</v>
      </c>
      <c r="I27" s="1"/>
      <c r="J27" s="1"/>
      <c r="K27" s="4">
        <v>33.0</v>
      </c>
      <c r="L27" s="4" t="str">
        <f t="array" ref="L27">MID(INDEX($C$5:$C$20,INT((ROW(A6)-1)/4)+1),MOD(ROW(A6)-1,4)+1,1)</f>
        <v>0</v>
      </c>
      <c r="M27" s="1"/>
      <c r="N27" s="1"/>
      <c r="O27" s="4">
        <v>41.0</v>
      </c>
      <c r="P27" s="4">
        <v>52.0</v>
      </c>
      <c r="Q27" s="4">
        <v>31.0</v>
      </c>
      <c r="R27" s="4">
        <v>37.0</v>
      </c>
      <c r="S27" s="4">
        <v>47.0</v>
      </c>
      <c r="T27" s="4">
        <v>55.0</v>
      </c>
      <c r="U27" s="4">
        <v>30.0</v>
      </c>
      <c r="V27" s="4">
        <v>40.0</v>
      </c>
      <c r="W27" s="1"/>
      <c r="X27" s="1"/>
      <c r="Y27" s="5">
        <v>4.0</v>
      </c>
      <c r="Z27" s="7"/>
      <c r="AA27" s="5">
        <v>2.0</v>
      </c>
      <c r="AB27" s="7"/>
      <c r="AC27" s="1"/>
      <c r="AD27" s="1"/>
      <c r="AE27" s="1"/>
      <c r="AF27" s="4">
        <v>32.0</v>
      </c>
      <c r="AG27" s="4">
        <v>0.0</v>
      </c>
      <c r="AH27" s="4"/>
      <c r="AI27" s="4"/>
      <c r="AJ27" s="1"/>
      <c r="AK27" s="1"/>
      <c r="AL27" s="1"/>
      <c r="AM27" s="1"/>
      <c r="AN27" s="4" t="s">
        <v>172</v>
      </c>
      <c r="AO27" s="4" t="s">
        <v>173</v>
      </c>
      <c r="AP27" s="4"/>
      <c r="AQ27" s="4" t="s">
        <v>174</v>
      </c>
      <c r="AR27" s="1"/>
      <c r="AS27" s="1"/>
      <c r="AT27" s="1"/>
      <c r="AU27" s="5" t="s">
        <v>175</v>
      </c>
      <c r="AV27" s="7"/>
      <c r="AW27" s="18" t="s">
        <v>176</v>
      </c>
      <c r="AX27" s="15"/>
      <c r="AY27" s="4" t="s">
        <v>177</v>
      </c>
      <c r="AZ27" s="19" t="s">
        <v>178</v>
      </c>
      <c r="BA27" s="6"/>
      <c r="BB27" s="7"/>
      <c r="BC27" s="1"/>
      <c r="BD27" s="4">
        <v>40.0</v>
      </c>
      <c r="BE27" s="4">
        <v>8.0</v>
      </c>
      <c r="BF27" s="4">
        <v>48.0</v>
      </c>
      <c r="BG27" s="4">
        <v>16.0</v>
      </c>
      <c r="BH27" s="4">
        <v>56.0</v>
      </c>
      <c r="BI27" s="4">
        <v>24.0</v>
      </c>
      <c r="BJ27" s="4">
        <v>64.0</v>
      </c>
      <c r="BK27" s="4">
        <v>32.0</v>
      </c>
      <c r="BL27" s="4"/>
      <c r="BM27" s="4"/>
      <c r="BN27" s="4"/>
      <c r="BO27" s="4"/>
      <c r="BP27" s="4"/>
    </row>
    <row r="28" ht="21.0" customHeight="1">
      <c r="A28" s="4">
        <v>5.0</v>
      </c>
      <c r="B28" s="4" t="str">
        <f t="shared" si="4"/>
        <v>5</v>
      </c>
      <c r="C28" s="4" t="str">
        <f t="shared" si="3"/>
        <v>0101</v>
      </c>
      <c r="D28" s="1"/>
      <c r="E28" s="1"/>
      <c r="F28" s="4">
        <v>26.0</v>
      </c>
      <c r="G28" s="4"/>
      <c r="H28" s="4" t="str">
        <f t="array" ref="H28">MID(INDEX($C$24:$C$39,INT((ROW(A7)-1)/4)+1),MOD(ROW(A7)-1,4)+1,1)</f>
        <v>1</v>
      </c>
      <c r="I28" s="1"/>
      <c r="J28" s="1"/>
      <c r="K28" s="4">
        <v>25.0</v>
      </c>
      <c r="L28" s="4" t="str">
        <f t="array" ref="L28">MID(INDEX($C$5:$C$20,INT((ROW(A7)-1)/4)+1),MOD(ROW(A7)-1,4)+1,1)</f>
        <v>1</v>
      </c>
      <c r="M28" s="1"/>
      <c r="N28" s="1"/>
      <c r="O28" s="4">
        <v>51.0</v>
      </c>
      <c r="P28" s="4">
        <v>45.0</v>
      </c>
      <c r="Q28" s="4">
        <v>33.0</v>
      </c>
      <c r="R28" s="4">
        <v>48.0</v>
      </c>
      <c r="S28" s="4">
        <v>44.0</v>
      </c>
      <c r="T28" s="4">
        <v>49.0</v>
      </c>
      <c r="U28" s="4">
        <v>39.0</v>
      </c>
      <c r="V28" s="4">
        <v>56.0</v>
      </c>
      <c r="W28" s="1"/>
      <c r="X28" s="1"/>
      <c r="Y28" s="5">
        <v>5.0</v>
      </c>
      <c r="Z28" s="7"/>
      <c r="AA28" s="5">
        <v>2.0</v>
      </c>
      <c r="AB28" s="7"/>
      <c r="AC28" s="1"/>
      <c r="AD28" s="1"/>
      <c r="AE28" s="1"/>
      <c r="AF28" s="4">
        <v>1.0</v>
      </c>
      <c r="AG28" s="4">
        <v>1.0</v>
      </c>
      <c r="AH28" s="4"/>
      <c r="AI28" s="4"/>
      <c r="AJ28" s="1"/>
      <c r="AK28" s="1"/>
      <c r="AL28" s="1"/>
      <c r="AM28" s="1"/>
      <c r="AN28" s="4" t="s">
        <v>179</v>
      </c>
      <c r="AO28" s="12" t="s">
        <v>180</v>
      </c>
      <c r="AP28" s="7"/>
      <c r="AQ28" s="9">
        <v>9.0</v>
      </c>
      <c r="AR28" s="1"/>
      <c r="AS28" s="1"/>
      <c r="AT28" s="1"/>
      <c r="AU28" s="19">
        <v>0.0</v>
      </c>
      <c r="AV28" s="7"/>
      <c r="AW28" s="16"/>
      <c r="AX28" s="17"/>
      <c r="AY28" s="4" t="s">
        <v>164</v>
      </c>
      <c r="AZ28" s="19" t="s">
        <v>159</v>
      </c>
      <c r="BA28" s="6"/>
      <c r="BB28" s="7"/>
      <c r="BC28" s="1"/>
      <c r="BD28" s="4">
        <v>39.0</v>
      </c>
      <c r="BE28" s="4">
        <v>7.0</v>
      </c>
      <c r="BF28" s="4">
        <v>47.0</v>
      </c>
      <c r="BG28" s="4">
        <v>15.0</v>
      </c>
      <c r="BH28" s="4">
        <v>55.0</v>
      </c>
      <c r="BI28" s="4">
        <v>23.0</v>
      </c>
      <c r="BJ28" s="4">
        <v>63.0</v>
      </c>
      <c r="BK28" s="4">
        <v>31.0</v>
      </c>
      <c r="BL28" s="4"/>
      <c r="BM28" s="4"/>
      <c r="BN28" s="4"/>
      <c r="BO28" s="4"/>
      <c r="BP28" s="4"/>
    </row>
    <row r="29" ht="21.0" customHeight="1">
      <c r="A29" s="4">
        <v>6.0</v>
      </c>
      <c r="B29" s="4" t="str">
        <f t="shared" si="4"/>
        <v>6</v>
      </c>
      <c r="C29" s="4" t="str">
        <f t="shared" si="3"/>
        <v>0110</v>
      </c>
      <c r="D29" s="1"/>
      <c r="E29" s="1"/>
      <c r="F29" s="4">
        <v>18.0</v>
      </c>
      <c r="G29" s="4"/>
      <c r="H29" s="4" t="str">
        <f t="array" ref="H29">MID(INDEX($C$24:$C$39,INT((ROW(A8)-1)/4)+1),MOD(ROW(A8)-1,4)+1,1)</f>
        <v>0</v>
      </c>
      <c r="I29" s="1"/>
      <c r="J29" s="1"/>
      <c r="K29" s="4">
        <v>17.0</v>
      </c>
      <c r="L29" s="4" t="str">
        <f t="array" ref="L29">MID(INDEX($C$5:$C$20,INT((ROW(A8)-1)/4)+1),MOD(ROW(A8)-1,4)+1,1)</f>
        <v>1</v>
      </c>
      <c r="M29" s="1"/>
      <c r="N29" s="1"/>
      <c r="O29" s="4">
        <v>34.0</v>
      </c>
      <c r="P29" s="4">
        <v>53.0</v>
      </c>
      <c r="Q29" s="4">
        <v>46.0</v>
      </c>
      <c r="R29" s="4">
        <v>42.0</v>
      </c>
      <c r="S29" s="4">
        <v>50.0</v>
      </c>
      <c r="T29" s="4">
        <v>36.0</v>
      </c>
      <c r="U29" s="4">
        <v>29.0</v>
      </c>
      <c r="V29" s="4">
        <v>32.0</v>
      </c>
      <c r="W29" s="1"/>
      <c r="X29" s="1"/>
      <c r="Y29" s="5">
        <v>6.0</v>
      </c>
      <c r="Z29" s="7"/>
      <c r="AA29" s="5">
        <v>2.0</v>
      </c>
      <c r="AB29" s="7"/>
      <c r="AC29" s="1"/>
      <c r="AD29" s="1"/>
      <c r="AE29" s="1"/>
      <c r="AF29" s="4">
        <v>2.0</v>
      </c>
      <c r="AG29" s="4">
        <v>1.0</v>
      </c>
      <c r="AH29" s="4"/>
      <c r="AI29" s="4"/>
      <c r="AJ29" s="1"/>
      <c r="AK29" s="1"/>
      <c r="AL29" s="1"/>
      <c r="AM29" s="1"/>
      <c r="AN29" s="4" t="s">
        <v>181</v>
      </c>
      <c r="AO29" s="5">
        <v>110000.0</v>
      </c>
      <c r="AP29" s="7"/>
      <c r="AQ29" s="9">
        <v>5.0</v>
      </c>
      <c r="AR29" s="1"/>
      <c r="AS29" s="1"/>
      <c r="AT29" s="1"/>
      <c r="AU29" s="19">
        <v>1.0</v>
      </c>
      <c r="AV29" s="7"/>
      <c r="AW29" s="4" t="s">
        <v>182</v>
      </c>
      <c r="AX29" s="4"/>
      <c r="AY29" s="4" t="s">
        <v>159</v>
      </c>
      <c r="AZ29" s="19" t="s">
        <v>183</v>
      </c>
      <c r="BA29" s="6"/>
      <c r="BB29" s="7"/>
      <c r="BC29" s="1"/>
      <c r="BD29" s="4">
        <v>38.0</v>
      </c>
      <c r="BE29" s="4">
        <v>6.0</v>
      </c>
      <c r="BF29" s="4">
        <v>46.0</v>
      </c>
      <c r="BG29" s="4">
        <v>14.0</v>
      </c>
      <c r="BH29" s="4">
        <v>54.0</v>
      </c>
      <c r="BI29" s="4">
        <v>22.0</v>
      </c>
      <c r="BJ29" s="4">
        <v>62.0</v>
      </c>
      <c r="BK29" s="4">
        <v>30.0</v>
      </c>
      <c r="BL29" s="4"/>
      <c r="BM29" s="4"/>
      <c r="BN29" s="4"/>
      <c r="BO29" s="4"/>
      <c r="BP29" s="4"/>
    </row>
    <row r="30" ht="21.0" customHeight="1">
      <c r="A30" s="4">
        <v>7.0</v>
      </c>
      <c r="B30" s="4" t="str">
        <f t="shared" si="4"/>
        <v>7</v>
      </c>
      <c r="C30" s="4" t="str">
        <f t="shared" si="3"/>
        <v>0111</v>
      </c>
      <c r="D30" s="1"/>
      <c r="E30" s="1"/>
      <c r="F30" s="4">
        <v>10.0</v>
      </c>
      <c r="G30" s="4"/>
      <c r="H30" s="4" t="str">
        <f t="array" ref="H30">MID(INDEX($C$24:$C$39,INT((ROW(A9)-1)/4)+1),MOD(ROW(A9)-1,4)+1,1)</f>
        <v>0</v>
      </c>
      <c r="I30" s="1"/>
      <c r="J30" s="1"/>
      <c r="K30" s="4">
        <v>9.0</v>
      </c>
      <c r="L30" s="4" t="str">
        <f t="array" ref="L30">MID(INDEX($C$5:$C$20,INT((ROW(A9)-1)/4)+1),MOD(ROW(A9)-1,4)+1,1)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5">
        <v>7.0</v>
      </c>
      <c r="Z30" s="7"/>
      <c r="AA30" s="5">
        <v>2.0</v>
      </c>
      <c r="AB30" s="7"/>
      <c r="AC30" s="1"/>
      <c r="AD30" s="1"/>
      <c r="AE30" s="1"/>
      <c r="AF30" s="4">
        <v>3.0</v>
      </c>
      <c r="AG30" s="4">
        <v>1.0</v>
      </c>
      <c r="AH30" s="4"/>
      <c r="AI30" s="4"/>
      <c r="AJ30" s="1"/>
      <c r="AK30" s="1"/>
      <c r="AL30" s="1"/>
      <c r="AM30" s="1"/>
      <c r="AN30" s="4" t="s">
        <v>184</v>
      </c>
      <c r="AO30" s="12" t="s">
        <v>185</v>
      </c>
      <c r="AP30" s="7"/>
      <c r="AQ30" s="9" t="s">
        <v>186</v>
      </c>
      <c r="AR30" s="1"/>
      <c r="AS30" s="1"/>
      <c r="AT30" s="1"/>
      <c r="AU30" s="19">
        <v>2.0</v>
      </c>
      <c r="AV30" s="7"/>
      <c r="AW30" s="4" t="s">
        <v>187</v>
      </c>
      <c r="AX30" s="4"/>
      <c r="AY30" s="4" t="s">
        <v>183</v>
      </c>
      <c r="AZ30" s="19" t="s">
        <v>188</v>
      </c>
      <c r="BA30" s="6"/>
      <c r="BB30" s="7"/>
      <c r="BC30" s="1"/>
      <c r="BD30" s="4">
        <v>37.0</v>
      </c>
      <c r="BE30" s="4">
        <v>5.0</v>
      </c>
      <c r="BF30" s="4">
        <v>45.0</v>
      </c>
      <c r="BG30" s="4">
        <v>13.0</v>
      </c>
      <c r="BH30" s="4">
        <v>53.0</v>
      </c>
      <c r="BI30" s="4">
        <v>21.0</v>
      </c>
      <c r="BJ30" s="4">
        <v>61.0</v>
      </c>
      <c r="BK30" s="4">
        <v>29.0</v>
      </c>
      <c r="BL30" s="4"/>
      <c r="BM30" s="4"/>
      <c r="BN30" s="4"/>
      <c r="BO30" s="4"/>
      <c r="BP30" s="4"/>
    </row>
    <row r="31" ht="21.0" customHeight="1">
      <c r="A31" s="4">
        <v>8.0</v>
      </c>
      <c r="B31" s="4" t="str">
        <f t="shared" si="4"/>
        <v>8</v>
      </c>
      <c r="C31" s="4" t="str">
        <f t="shared" si="3"/>
        <v>1000</v>
      </c>
      <c r="D31" s="1"/>
      <c r="E31" s="1"/>
      <c r="F31" s="4">
        <v>2.0</v>
      </c>
      <c r="G31" s="4"/>
      <c r="H31" s="4" t="str">
        <f t="array" ref="H31">MID(INDEX($C$24:$C$39,INT((ROW(A10)-1)/4)+1),MOD(ROW(A10)-1,4)+1,1)</f>
        <v>0</v>
      </c>
      <c r="I31" s="1"/>
      <c r="J31" s="1"/>
      <c r="K31" s="4">
        <v>1.0</v>
      </c>
      <c r="L31" s="4" t="str">
        <f t="array" ref="L31">MID(INDEX($C$5:$C$20,INT((ROW(A10)-1)/4)+1),MOD(ROW(A10)-1,4)+1,1)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5">
        <v>8.0</v>
      </c>
      <c r="Z31" s="7"/>
      <c r="AA31" s="5">
        <v>2.0</v>
      </c>
      <c r="AB31" s="7"/>
      <c r="AC31" s="1"/>
      <c r="AD31" s="1"/>
      <c r="AE31" s="1"/>
      <c r="AF31" s="4">
        <v>4.0</v>
      </c>
      <c r="AG31" s="4">
        <v>0.0</v>
      </c>
      <c r="AH31" s="4"/>
      <c r="AI31" s="4"/>
      <c r="AJ31" s="1"/>
      <c r="AK31" s="1"/>
      <c r="AL31" s="1"/>
      <c r="AM31" s="1"/>
      <c r="AN31" s="4" t="s">
        <v>189</v>
      </c>
      <c r="AO31" s="12" t="s">
        <v>190</v>
      </c>
      <c r="AP31" s="7"/>
      <c r="AQ31" s="9">
        <v>3.0</v>
      </c>
      <c r="AR31" s="1"/>
      <c r="AS31" s="1"/>
      <c r="AT31" s="1"/>
      <c r="AU31" s="19">
        <v>3.0</v>
      </c>
      <c r="AV31" s="7"/>
      <c r="AW31" s="4" t="s">
        <v>191</v>
      </c>
      <c r="AX31" s="4"/>
      <c r="AY31" s="4" t="s">
        <v>188</v>
      </c>
      <c r="AZ31" s="19" t="s">
        <v>192</v>
      </c>
      <c r="BA31" s="6"/>
      <c r="BB31" s="7"/>
      <c r="BC31" s="1"/>
      <c r="BD31" s="4">
        <v>36.0</v>
      </c>
      <c r="BE31" s="4">
        <v>4.0</v>
      </c>
      <c r="BF31" s="4">
        <v>44.0</v>
      </c>
      <c r="BG31" s="4">
        <v>12.0</v>
      </c>
      <c r="BH31" s="4">
        <v>52.0</v>
      </c>
      <c r="BI31" s="4">
        <v>20.0</v>
      </c>
      <c r="BJ31" s="4">
        <v>60.0</v>
      </c>
      <c r="BK31" s="4">
        <v>28.0</v>
      </c>
      <c r="BL31" s="4"/>
      <c r="BM31" s="4"/>
      <c r="BN31" s="4"/>
      <c r="BO31" s="4"/>
      <c r="BP31" s="4"/>
    </row>
    <row r="32" ht="21.0" customHeight="1">
      <c r="A32" s="4">
        <v>9.0</v>
      </c>
      <c r="B32" s="4" t="str">
        <f t="shared" si="4"/>
        <v>9</v>
      </c>
      <c r="C32" s="4" t="str">
        <f t="shared" si="3"/>
        <v>1001</v>
      </c>
      <c r="D32" s="1"/>
      <c r="E32" s="1"/>
      <c r="F32" s="4">
        <v>60.0</v>
      </c>
      <c r="G32" s="4"/>
      <c r="H32" s="4" t="str">
        <f t="array" ref="H32">MID(INDEX($C$24:$C$39,INT((ROW(A11)-1)/4)+1),MOD(ROW(A11)-1,4)+1,1)</f>
        <v>1</v>
      </c>
      <c r="I32" s="1"/>
      <c r="J32" s="1"/>
      <c r="K32" s="4">
        <v>58.0</v>
      </c>
      <c r="L32" s="4" t="str">
        <f t="array" ref="L32">MID(INDEX($C$5:$C$20,INT((ROW(A11)-1)/4)+1),MOD(ROW(A11)-1,4)+1,1)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5">
        <v>9.0</v>
      </c>
      <c r="Z32" s="7"/>
      <c r="AA32" s="5">
        <v>1.0</v>
      </c>
      <c r="AB32" s="7"/>
      <c r="AC32" s="1"/>
      <c r="AD32" s="1"/>
      <c r="AE32" s="1"/>
      <c r="AF32" s="4">
        <v>5.0</v>
      </c>
      <c r="AG32" s="4">
        <v>0.0</v>
      </c>
      <c r="AH32" s="4"/>
      <c r="AI32" s="4"/>
      <c r="AJ32" s="1"/>
      <c r="AK32" s="1"/>
      <c r="AL32" s="1"/>
      <c r="AM32" s="1"/>
      <c r="AN32" s="4" t="s">
        <v>193</v>
      </c>
      <c r="AO32" s="12" t="s">
        <v>194</v>
      </c>
      <c r="AP32" s="7"/>
      <c r="AQ32" s="9" t="s">
        <v>195</v>
      </c>
      <c r="AR32" s="1"/>
      <c r="AS32" s="1"/>
      <c r="AT32" s="1"/>
      <c r="AU32" s="19">
        <v>4.0</v>
      </c>
      <c r="AV32" s="7"/>
      <c r="AW32" s="4" t="s">
        <v>196</v>
      </c>
      <c r="AX32" s="4"/>
      <c r="AY32" s="4" t="s">
        <v>192</v>
      </c>
      <c r="AZ32" s="19" t="s">
        <v>197</v>
      </c>
      <c r="BA32" s="6"/>
      <c r="BB32" s="7"/>
      <c r="BC32" s="1"/>
      <c r="BD32" s="4">
        <v>35.0</v>
      </c>
      <c r="BE32" s="4">
        <v>3.0</v>
      </c>
      <c r="BF32" s="4">
        <v>43.0</v>
      </c>
      <c r="BG32" s="4">
        <v>11.0</v>
      </c>
      <c r="BH32" s="4">
        <v>51.0</v>
      </c>
      <c r="BI32" s="4">
        <v>19.0</v>
      </c>
      <c r="BJ32" s="4">
        <v>59.0</v>
      </c>
      <c r="BK32" s="4">
        <v>27.0</v>
      </c>
      <c r="BL32" s="4"/>
      <c r="BM32" s="4"/>
      <c r="BN32" s="4"/>
      <c r="BO32" s="4"/>
      <c r="BP32" s="4"/>
    </row>
    <row r="33" ht="21.0" customHeight="1">
      <c r="A33" s="4">
        <v>10.0</v>
      </c>
      <c r="B33" s="4" t="str">
        <f t="shared" si="4"/>
        <v>a</v>
      </c>
      <c r="C33" s="4" t="str">
        <f t="shared" si="3"/>
        <v>1010</v>
      </c>
      <c r="D33" s="1"/>
      <c r="E33" s="1"/>
      <c r="F33" s="4">
        <v>52.0</v>
      </c>
      <c r="G33" s="4"/>
      <c r="H33" s="4" t="str">
        <f t="array" ref="H33">MID(INDEX($C$24:$C$39,INT((ROW(A12)-1)/4)+1),MOD(ROW(A12)-1,4)+1,1)</f>
        <v>1</v>
      </c>
      <c r="I33" s="1"/>
      <c r="J33" s="1"/>
      <c r="K33" s="4">
        <v>50.0</v>
      </c>
      <c r="L33" s="4" t="str">
        <f t="array" ref="L33">MID(INDEX($C$5:$C$20,INT((ROW(A12)-1)/4)+1),MOD(ROW(A12)-1,4)+1,1)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5">
        <v>10.0</v>
      </c>
      <c r="Z33" s="7"/>
      <c r="AA33" s="5">
        <v>2.0</v>
      </c>
      <c r="AB33" s="7"/>
      <c r="AC33" s="1"/>
      <c r="AD33" s="1"/>
      <c r="AE33" s="1"/>
      <c r="AF33" s="4">
        <v>4.0</v>
      </c>
      <c r="AG33" s="4">
        <v>0.0</v>
      </c>
      <c r="AH33" s="4"/>
      <c r="AI33" s="4"/>
      <c r="AJ33" s="1"/>
      <c r="AK33" s="1"/>
      <c r="AL33" s="1"/>
      <c r="AM33" s="1"/>
      <c r="AN33" s="4" t="s">
        <v>198</v>
      </c>
      <c r="AO33" s="12" t="s">
        <v>199</v>
      </c>
      <c r="AP33" s="7"/>
      <c r="AQ33" s="9" t="s">
        <v>186</v>
      </c>
      <c r="AR33" s="1"/>
      <c r="AS33" s="1"/>
      <c r="AT33" s="1"/>
      <c r="AU33" s="19">
        <v>5.0</v>
      </c>
      <c r="AV33" s="7"/>
      <c r="AW33" s="4" t="s">
        <v>200</v>
      </c>
      <c r="AX33" s="4"/>
      <c r="AY33" s="4" t="s">
        <v>197</v>
      </c>
      <c r="AZ33" s="19" t="s">
        <v>201</v>
      </c>
      <c r="BA33" s="6"/>
      <c r="BB33" s="7"/>
      <c r="BC33" s="1"/>
      <c r="BD33" s="4">
        <v>34.0</v>
      </c>
      <c r="BE33" s="4">
        <v>2.0</v>
      </c>
      <c r="BF33" s="4">
        <v>42.0</v>
      </c>
      <c r="BG33" s="4">
        <v>10.0</v>
      </c>
      <c r="BH33" s="4">
        <v>50.0</v>
      </c>
      <c r="BI33" s="4">
        <v>18.0</v>
      </c>
      <c r="BJ33" s="4">
        <v>58.0</v>
      </c>
      <c r="BK33" s="4">
        <v>26.0</v>
      </c>
      <c r="BL33" s="4"/>
      <c r="BM33" s="4"/>
      <c r="BN33" s="4"/>
      <c r="BO33" s="4"/>
      <c r="BP33" s="4"/>
    </row>
    <row r="34" ht="21.0" customHeight="1">
      <c r="A34" s="4">
        <v>11.0</v>
      </c>
      <c r="B34" s="4" t="str">
        <f t="shared" si="4"/>
        <v>b</v>
      </c>
      <c r="C34" s="4" t="str">
        <f t="shared" si="3"/>
        <v>1011</v>
      </c>
      <c r="D34" s="1"/>
      <c r="E34" s="1"/>
      <c r="F34" s="4">
        <v>44.0</v>
      </c>
      <c r="G34" s="4"/>
      <c r="H34" s="4" t="str">
        <f t="array" ref="H34">MID(INDEX($C$24:$C$39,INT((ROW(A13)-1)/4)+1),MOD(ROW(A13)-1,4)+1,1)</f>
        <v>0</v>
      </c>
      <c r="I34" s="1"/>
      <c r="J34" s="1"/>
      <c r="K34" s="4">
        <v>42.0</v>
      </c>
      <c r="L34" s="4" t="str">
        <f t="array" ref="L34">MID(INDEX($C$5:$C$20,INT((ROW(A13)-1)/4)+1),MOD(ROW(A13)-1,4)+1,1)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5">
        <v>11.0</v>
      </c>
      <c r="Z34" s="7"/>
      <c r="AA34" s="5">
        <v>2.0</v>
      </c>
      <c r="AB34" s="7"/>
      <c r="AC34" s="1"/>
      <c r="AD34" s="1"/>
      <c r="AE34" s="1"/>
      <c r="AF34" s="4">
        <v>5.0</v>
      </c>
      <c r="AG34" s="4">
        <v>0.0</v>
      </c>
      <c r="AH34" s="4"/>
      <c r="AI34" s="4"/>
      <c r="AJ34" s="1"/>
      <c r="AK34" s="1"/>
      <c r="AL34" s="1"/>
      <c r="AM34" s="1"/>
      <c r="AN34" s="4" t="s">
        <v>202</v>
      </c>
      <c r="AO34" s="5">
        <v>110011.0</v>
      </c>
      <c r="AP34" s="7"/>
      <c r="AQ34" s="9">
        <v>5.0</v>
      </c>
      <c r="AR34" s="1"/>
      <c r="AS34" s="1"/>
      <c r="AT34" s="1"/>
      <c r="AU34" s="19">
        <v>6.0</v>
      </c>
      <c r="AV34" s="7"/>
      <c r="AW34" s="4" t="s">
        <v>203</v>
      </c>
      <c r="AX34" s="4"/>
      <c r="AY34" s="4" t="s">
        <v>201</v>
      </c>
      <c r="AZ34" s="20" t="s">
        <v>204</v>
      </c>
      <c r="BA34" s="6"/>
      <c r="BB34" s="7"/>
      <c r="BC34" s="1"/>
      <c r="BD34" s="4">
        <v>33.0</v>
      </c>
      <c r="BE34" s="4">
        <v>1.0</v>
      </c>
      <c r="BF34" s="4">
        <v>41.0</v>
      </c>
      <c r="BG34" s="4">
        <v>9.0</v>
      </c>
      <c r="BH34" s="4">
        <v>49.0</v>
      </c>
      <c r="BI34" s="4">
        <v>17.0</v>
      </c>
      <c r="BJ34" s="4">
        <v>57.0</v>
      </c>
      <c r="BK34" s="4">
        <v>25.0</v>
      </c>
      <c r="BL34" s="4"/>
      <c r="BM34" s="4"/>
      <c r="BN34" s="4"/>
      <c r="BO34" s="4"/>
      <c r="BP34" s="4"/>
    </row>
    <row r="35" ht="21.0" customHeight="1">
      <c r="A35" s="4">
        <v>12.0</v>
      </c>
      <c r="B35" s="4" t="str">
        <f t="shared" si="4"/>
        <v>c</v>
      </c>
      <c r="C35" s="4" t="str">
        <f t="shared" si="3"/>
        <v>1100</v>
      </c>
      <c r="D35" s="1"/>
      <c r="E35" s="1"/>
      <c r="F35" s="4">
        <v>36.0</v>
      </c>
      <c r="G35" s="4"/>
      <c r="H35" s="4" t="str">
        <f t="array" ref="H35">MID(INDEX($C$24:$C$39,INT((ROW(A14)-1)/4)+1),MOD(ROW(A14)-1,4)+1,1)</f>
        <v>1</v>
      </c>
      <c r="I35" s="1"/>
      <c r="J35" s="1"/>
      <c r="K35" s="4">
        <v>34.0</v>
      </c>
      <c r="L35" s="4" t="str">
        <f t="array" ref="L35">MID(INDEX($C$5:$C$20,INT((ROW(A14)-1)/4)+1),MOD(ROW(A14)-1,4)+1,1)</f>
        <v>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5">
        <v>12.0</v>
      </c>
      <c r="Z35" s="7"/>
      <c r="AA35" s="5">
        <v>2.0</v>
      </c>
      <c r="AB35" s="7"/>
      <c r="AC35" s="1"/>
      <c r="AD35" s="1"/>
      <c r="AE35" s="1"/>
      <c r="AF35" s="4">
        <v>6.0</v>
      </c>
      <c r="AG35" s="4">
        <v>0.0</v>
      </c>
      <c r="AH35" s="4"/>
      <c r="AI35" s="4"/>
      <c r="AJ35" s="1"/>
      <c r="AK35" s="1"/>
      <c r="AL35" s="1"/>
      <c r="AM35" s="1"/>
      <c r="AN35" s="4" t="s">
        <v>205</v>
      </c>
      <c r="AO35" s="5">
        <v>110000.0</v>
      </c>
      <c r="AP35" s="7"/>
      <c r="AQ35" s="9">
        <v>0.0</v>
      </c>
      <c r="AR35" s="1"/>
      <c r="AS35" s="1"/>
      <c r="AT35" s="1"/>
      <c r="AU35" s="19">
        <v>7.0</v>
      </c>
      <c r="AV35" s="7"/>
      <c r="AW35" s="21" t="s">
        <v>206</v>
      </c>
      <c r="AX35" s="4"/>
      <c r="AY35" s="11" t="s">
        <v>204</v>
      </c>
      <c r="AZ35" s="19" t="s">
        <v>207</v>
      </c>
      <c r="BA35" s="6"/>
      <c r="BB35" s="7"/>
      <c r="BC35" s="1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ht="21.0" customHeight="1">
      <c r="A36" s="4">
        <v>13.0</v>
      </c>
      <c r="B36" s="4" t="str">
        <f t="shared" si="4"/>
        <v>d</v>
      </c>
      <c r="C36" s="4" t="str">
        <f t="shared" si="3"/>
        <v>1101</v>
      </c>
      <c r="D36" s="1"/>
      <c r="E36" s="1"/>
      <c r="F36" s="4">
        <v>28.0</v>
      </c>
      <c r="G36" s="4"/>
      <c r="H36" s="4" t="str">
        <f t="array" ref="H36">MID(INDEX($C$24:$C$39,INT((ROW(A15)-1)/4)+1),MOD(ROW(A15)-1,4)+1,1)</f>
        <v>0</v>
      </c>
      <c r="I36" s="1"/>
      <c r="J36" s="1"/>
      <c r="K36" s="4">
        <v>26.0</v>
      </c>
      <c r="L36" s="4" t="str">
        <f t="array" ref="L36">MID(INDEX($C$5:$C$20,INT((ROW(A15)-1)/4)+1),MOD(ROW(A15)-1,4)+1,1)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5">
        <v>13.0</v>
      </c>
      <c r="Z36" s="7"/>
      <c r="AA36" s="5">
        <v>2.0</v>
      </c>
      <c r="AB36" s="7"/>
      <c r="AC36" s="1"/>
      <c r="AD36" s="1"/>
      <c r="AE36" s="1"/>
      <c r="AF36" s="4">
        <v>7.0</v>
      </c>
      <c r="AG36" s="4">
        <v>0.0</v>
      </c>
      <c r="AH36" s="4"/>
      <c r="AI36" s="4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9">
        <v>8.0</v>
      </c>
      <c r="AV36" s="7"/>
      <c r="AW36" s="4" t="s">
        <v>208</v>
      </c>
      <c r="AX36" s="4"/>
      <c r="AY36" s="4" t="s">
        <v>207</v>
      </c>
      <c r="AZ36" s="19" t="s">
        <v>209</v>
      </c>
      <c r="BA36" s="6"/>
      <c r="BB36" s="7"/>
      <c r="BC36" s="1"/>
      <c r="BD36" s="4" t="s">
        <v>210</v>
      </c>
      <c r="BE36" s="4"/>
      <c r="BF36" s="11" t="s">
        <v>211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</row>
    <row r="37" ht="21.0" customHeight="1">
      <c r="A37" s="4">
        <v>14.0</v>
      </c>
      <c r="B37" s="4" t="str">
        <f t="shared" si="4"/>
        <v>e</v>
      </c>
      <c r="C37" s="4" t="str">
        <f t="shared" si="3"/>
        <v>1110</v>
      </c>
      <c r="D37" s="1"/>
      <c r="E37" s="1"/>
      <c r="F37" s="4">
        <v>20.0</v>
      </c>
      <c r="G37" s="4"/>
      <c r="H37" s="4" t="str">
        <f t="array" ref="H37">MID(INDEX($C$24:$C$39,INT((ROW(A16)-1)/4)+1),MOD(ROW(A16)-1,4)+1,1)</f>
        <v>0</v>
      </c>
      <c r="I37" s="1"/>
      <c r="J37" s="1"/>
      <c r="K37" s="4">
        <v>18.0</v>
      </c>
      <c r="L37" s="4" t="str">
        <f t="array" ref="L37">MID(INDEX($C$5:$C$20,INT((ROW(A16)-1)/4)+1),MOD(ROW(A16)-1,4)+1,1)</f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5">
        <v>14.0</v>
      </c>
      <c r="Z37" s="7"/>
      <c r="AA37" s="5">
        <v>2.0</v>
      </c>
      <c r="AB37" s="7"/>
      <c r="AC37" s="1"/>
      <c r="AD37" s="1"/>
      <c r="AE37" s="1"/>
      <c r="AF37" s="4">
        <v>8.0</v>
      </c>
      <c r="AG37" s="4">
        <v>0.0</v>
      </c>
      <c r="AH37" s="4"/>
      <c r="AI37" s="4"/>
      <c r="AJ37" s="1"/>
      <c r="AK37" s="1"/>
      <c r="AL37" s="1"/>
      <c r="AM37" s="1"/>
      <c r="AN37" s="22" t="s">
        <v>212</v>
      </c>
      <c r="AO37" s="5" t="s">
        <v>213</v>
      </c>
      <c r="AP37" s="6"/>
      <c r="AQ37" s="7"/>
      <c r="AR37" s="1"/>
      <c r="AS37" s="1"/>
      <c r="AT37" s="1"/>
      <c r="AU37" s="19">
        <v>9.0</v>
      </c>
      <c r="AV37" s="7"/>
      <c r="AW37" s="4" t="s">
        <v>214</v>
      </c>
      <c r="AX37" s="4"/>
      <c r="AY37" s="4" t="s">
        <v>209</v>
      </c>
      <c r="AZ37" s="19" t="s">
        <v>215</v>
      </c>
      <c r="BA37" s="6"/>
      <c r="BB37" s="7"/>
      <c r="BC37" s="1"/>
      <c r="BD37" s="23" t="s">
        <v>216</v>
      </c>
      <c r="BE37" s="24" t="s">
        <v>217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7"/>
    </row>
    <row r="38" ht="21.0" customHeight="1">
      <c r="A38" s="4">
        <v>15.0</v>
      </c>
      <c r="B38" s="4" t="str">
        <f t="shared" si="4"/>
        <v/>
      </c>
      <c r="C38" s="4" t="str">
        <f t="shared" si="3"/>
        <v>0000</v>
      </c>
      <c r="D38" s="1"/>
      <c r="E38" s="1"/>
      <c r="F38" s="4">
        <v>12.0</v>
      </c>
      <c r="G38" s="4"/>
      <c r="H38" s="4" t="str">
        <f t="array" ref="H38">MID(INDEX($C$24:$C$39,INT((ROW(A17)-1)/4)+1),MOD(ROW(A17)-1,4)+1,1)</f>
        <v>0</v>
      </c>
      <c r="I38" s="1"/>
      <c r="J38" s="1"/>
      <c r="K38" s="4">
        <v>10.0</v>
      </c>
      <c r="L38" s="4" t="str">
        <f t="array" ref="L38">MID(INDEX($C$5:$C$20,INT((ROW(A17)-1)/4)+1),MOD(ROW(A17)-1,4)+1,1)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5">
        <v>15.0</v>
      </c>
      <c r="Z38" s="7"/>
      <c r="AA38" s="5">
        <v>2.0</v>
      </c>
      <c r="AB38" s="7"/>
      <c r="AC38" s="1"/>
      <c r="AD38" s="1"/>
      <c r="AE38" s="1"/>
      <c r="AF38" s="4">
        <v>9.0</v>
      </c>
      <c r="AG38" s="4">
        <v>0.0</v>
      </c>
      <c r="AH38" s="4"/>
      <c r="AI38" s="4"/>
      <c r="AJ38" s="1"/>
      <c r="AK38" s="1"/>
      <c r="AL38" s="1"/>
      <c r="AM38" s="1"/>
      <c r="AN38" s="25"/>
      <c r="AO38" s="4"/>
      <c r="AP38" s="4"/>
      <c r="AQ38" s="4"/>
      <c r="AR38" s="1"/>
      <c r="AS38" s="1"/>
      <c r="AT38" s="1"/>
      <c r="AU38" s="19">
        <v>10.0</v>
      </c>
      <c r="AV38" s="7"/>
      <c r="AW38" s="4" t="s">
        <v>218</v>
      </c>
      <c r="AX38" s="4"/>
      <c r="AY38" s="4" t="s">
        <v>215</v>
      </c>
      <c r="AZ38" s="19" t="s">
        <v>219</v>
      </c>
      <c r="BA38" s="6"/>
      <c r="BB38" s="7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ht="21.0" customHeight="1">
      <c r="A39" s="4">
        <v>16.0</v>
      </c>
      <c r="B39" s="4" t="str">
        <f t="shared" si="4"/>
        <v/>
      </c>
      <c r="C39" s="4" t="str">
        <f t="shared" si="3"/>
        <v>0000</v>
      </c>
      <c r="D39" s="1"/>
      <c r="E39" s="1"/>
      <c r="F39" s="4">
        <v>4.0</v>
      </c>
      <c r="G39" s="4"/>
      <c r="H39" s="4" t="str">
        <f t="array" ref="H39">MID(INDEX($C$24:$C$39,INT((ROW(A18)-1)/4)+1),MOD(ROW(A18)-1,4)+1,1)</f>
        <v>1</v>
      </c>
      <c r="I39" s="1"/>
      <c r="J39" s="1"/>
      <c r="K39" s="4">
        <v>2.0</v>
      </c>
      <c r="L39" s="4" t="str">
        <f t="array" ref="L39">MID(INDEX($C$5:$C$20,INT((ROW(A18)-1)/4)+1),MOD(ROW(A18)-1,4)+1,1)</f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5">
        <v>16.0</v>
      </c>
      <c r="Z39" s="7"/>
      <c r="AA39" s="5">
        <v>1.0</v>
      </c>
      <c r="AB39" s="7"/>
      <c r="AC39" s="1"/>
      <c r="AD39" s="1"/>
      <c r="AE39" s="1"/>
      <c r="AF39" s="4">
        <v>8.0</v>
      </c>
      <c r="AG39" s="4">
        <v>0.0</v>
      </c>
      <c r="AH39" s="4"/>
      <c r="AI39" s="4"/>
      <c r="AJ39" s="1"/>
      <c r="AK39" s="1"/>
      <c r="AL39" s="1"/>
      <c r="AM39" s="1"/>
      <c r="AN39" s="4" t="s">
        <v>220</v>
      </c>
      <c r="AO39" s="4"/>
      <c r="AP39" s="4"/>
      <c r="AQ39" s="4"/>
      <c r="AR39" s="1"/>
      <c r="AS39" s="1"/>
      <c r="AT39" s="1"/>
      <c r="AU39" s="19">
        <v>11.0</v>
      </c>
      <c r="AV39" s="7"/>
      <c r="AW39" s="4" t="s">
        <v>221</v>
      </c>
      <c r="AX39" s="4"/>
      <c r="AY39" s="4" t="s">
        <v>219</v>
      </c>
      <c r="AZ39" s="19" t="s">
        <v>222</v>
      </c>
      <c r="BA39" s="6"/>
      <c r="BB39" s="7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ht="21.0" customHeight="1">
      <c r="A40" s="1"/>
      <c r="B40" s="1"/>
      <c r="C40" s="1"/>
      <c r="D40" s="1"/>
      <c r="E40" s="1"/>
      <c r="F40" s="4">
        <v>62.0</v>
      </c>
      <c r="G40" s="4"/>
      <c r="H40" s="4" t="str">
        <f t="array" ref="H40">MID(INDEX($C$24:$C$39,INT((ROW(A19)-1)/4)+1),MOD(ROW(A19)-1,4)+1,1)</f>
        <v>0</v>
      </c>
      <c r="I40" s="1"/>
      <c r="J40" s="1"/>
      <c r="K40" s="4">
        <v>59.0</v>
      </c>
      <c r="L40" s="4" t="str">
        <f t="array" ref="L40">MID(INDEX($C$5:$C$20,INT((ROW(A19)-1)/4)+1),MOD(ROW(A19)-1,4)+1,1)</f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">
        <v>9.0</v>
      </c>
      <c r="AG40" s="4">
        <v>0.0</v>
      </c>
      <c r="AH40" s="4"/>
      <c r="AI40" s="4"/>
      <c r="AJ40" s="1"/>
      <c r="AK40" s="1"/>
      <c r="AL40" s="1"/>
      <c r="AM40" s="1"/>
      <c r="AN40" s="4" t="s">
        <v>223</v>
      </c>
      <c r="AO40" s="4"/>
      <c r="AP40" s="4"/>
      <c r="AQ40" s="4"/>
      <c r="AR40" s="1"/>
      <c r="AS40" s="1"/>
      <c r="AT40" s="1"/>
      <c r="AU40" s="19">
        <v>12.0</v>
      </c>
      <c r="AV40" s="7"/>
      <c r="AW40" s="4" t="s">
        <v>224</v>
      </c>
      <c r="AX40" s="4"/>
      <c r="AY40" s="4" t="s">
        <v>222</v>
      </c>
      <c r="AZ40" s="19" t="s">
        <v>225</v>
      </c>
      <c r="BA40" s="6"/>
      <c r="BB40" s="7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ht="21.0" customHeight="1">
      <c r="A41" s="1"/>
      <c r="B41" s="1"/>
      <c r="C41" s="1" t="str">
        <f>MID($B$24,ROW(),1)</f>
        <v/>
      </c>
      <c r="D41" s="1"/>
      <c r="E41" s="1"/>
      <c r="F41" s="4">
        <v>54.0</v>
      </c>
      <c r="G41" s="4"/>
      <c r="H41" s="4" t="str">
        <f t="array" ref="H41">MID(INDEX($C$24:$C$39,INT((ROW(A20)-1)/4)+1),MOD(ROW(A20)-1,4)+1,1)</f>
        <v>1</v>
      </c>
      <c r="I41" s="1"/>
      <c r="J41" s="1"/>
      <c r="K41" s="4">
        <v>51.0</v>
      </c>
      <c r="L41" s="4" t="str">
        <f t="array" ref="L41">MID(INDEX($C$5:$C$20,INT((ROW(A20)-1)/4)+1),MOD(ROW(A20)-1,4)+1,1)</f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">
        <v>10.0</v>
      </c>
      <c r="AG41" s="4">
        <v>1.0</v>
      </c>
      <c r="AH41" s="4"/>
      <c r="AI41" s="4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9">
        <v>13.0</v>
      </c>
      <c r="AV41" s="7"/>
      <c r="AW41" s="4" t="s">
        <v>226</v>
      </c>
      <c r="AX41" s="4"/>
      <c r="AY41" s="4" t="s">
        <v>225</v>
      </c>
      <c r="AZ41" s="19" t="s">
        <v>227</v>
      </c>
      <c r="BA41" s="6"/>
      <c r="BB41" s="7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ht="21.0" customHeight="1">
      <c r="A42" s="1"/>
      <c r="B42" s="1"/>
      <c r="C42" s="1"/>
      <c r="D42" s="1"/>
      <c r="E42" s="1"/>
      <c r="F42" s="4">
        <v>46.0</v>
      </c>
      <c r="G42" s="4"/>
      <c r="H42" s="4" t="str">
        <f t="array" ref="H42">MID(INDEX($C$24:$C$39,INT((ROW(A21)-1)/4)+1),MOD(ROW(A21)-1,4)+1,1)</f>
        <v>0</v>
      </c>
      <c r="I42" s="1"/>
      <c r="J42" s="1"/>
      <c r="K42" s="4">
        <v>43.0</v>
      </c>
      <c r="L42" s="4" t="str">
        <f t="array" ref="L42">MID(INDEX($C$5:$C$20,INT((ROW(A21)-1)/4)+1),MOD(ROW(A21)-1,4)+1,1)</f>
        <v>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">
        <v>11.0</v>
      </c>
      <c r="AG42" s="4">
        <v>0.0</v>
      </c>
      <c r="AH42" s="4"/>
      <c r="AI42" s="4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9">
        <v>14.0</v>
      </c>
      <c r="AV42" s="7"/>
      <c r="AW42" s="4" t="s">
        <v>228</v>
      </c>
      <c r="AX42" s="4"/>
      <c r="AY42" s="4" t="s">
        <v>227</v>
      </c>
      <c r="AZ42" s="19" t="s">
        <v>229</v>
      </c>
      <c r="BA42" s="6"/>
      <c r="BB42" s="7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ht="21.0" customHeight="1">
      <c r="A43" s="1"/>
      <c r="B43" s="1"/>
      <c r="C43" s="1"/>
      <c r="D43" s="1"/>
      <c r="E43" s="1"/>
      <c r="F43" s="4">
        <v>38.0</v>
      </c>
      <c r="G43" s="4"/>
      <c r="H43" s="4" t="str">
        <f t="array" ref="H43">MID(INDEX($C$24:$C$39,INT((ROW(A22)-1)/4)+1),MOD(ROW(A22)-1,4)+1,1)</f>
        <v>1</v>
      </c>
      <c r="I43" s="1"/>
      <c r="J43" s="1"/>
      <c r="K43" s="4">
        <v>35.0</v>
      </c>
      <c r="L43" s="4" t="str">
        <f t="array" ref="L43">MID(INDEX($C$5:$C$20,INT((ROW(A22)-1)/4)+1),MOD(ROW(A22)-1,4)+1,1)</f>
        <v>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4">
        <v>12.0</v>
      </c>
      <c r="AG43" s="4">
        <v>1.0</v>
      </c>
      <c r="AH43" s="4"/>
      <c r="AI43" s="4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9">
        <v>15.0</v>
      </c>
      <c r="AV43" s="7"/>
      <c r="AW43" s="4" t="s">
        <v>230</v>
      </c>
      <c r="AX43" s="4"/>
      <c r="AY43" s="4" t="s">
        <v>229</v>
      </c>
      <c r="AZ43" s="19" t="s">
        <v>231</v>
      </c>
      <c r="BA43" s="6"/>
      <c r="BB43" s="7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ht="21.0" customHeight="1">
      <c r="A44" s="1"/>
      <c r="B44" s="1"/>
      <c r="C44" s="1"/>
      <c r="D44" s="1"/>
      <c r="E44" s="1"/>
      <c r="F44" s="4">
        <v>30.0</v>
      </c>
      <c r="G44" s="4"/>
      <c r="H44" s="4" t="str">
        <f t="array" ref="H44">MID(INDEX($C$24:$C$39,INT((ROW(A23)-1)/4)+1),MOD(ROW(A23)-1,4)+1,1)</f>
        <v>1</v>
      </c>
      <c r="I44" s="1"/>
      <c r="J44" s="1"/>
      <c r="K44" s="4">
        <v>27.0</v>
      </c>
      <c r="L44" s="4" t="str">
        <f t="array" ref="L44">MID(INDEX($C$5:$C$20,INT((ROW(A23)-1)/4)+1),MOD(ROW(A23)-1,4)+1,1)</f>
        <v>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">
        <v>13.0</v>
      </c>
      <c r="AG44" s="4">
        <v>0.0</v>
      </c>
      <c r="AH44" s="4"/>
      <c r="AI44" s="4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9">
        <v>16.0</v>
      </c>
      <c r="AV44" s="7"/>
      <c r="AW44" s="4" t="s">
        <v>232</v>
      </c>
      <c r="AX44" s="4"/>
      <c r="AY44" s="4" t="s">
        <v>231</v>
      </c>
      <c r="AZ44" s="19" t="s">
        <v>233</v>
      </c>
      <c r="BA44" s="6"/>
      <c r="BB44" s="7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ht="21.0" customHeight="1">
      <c r="A45" s="1"/>
      <c r="B45" s="1"/>
      <c r="C45" s="1"/>
      <c r="D45" s="1"/>
      <c r="E45" s="1"/>
      <c r="F45" s="4">
        <v>22.0</v>
      </c>
      <c r="G45" s="4"/>
      <c r="H45" s="4" t="str">
        <f t="array" ref="H45">MID(INDEX($C$24:$C$39,INT((ROW(A24)-1)/4)+1),MOD(ROW(A24)-1,4)+1,1)</f>
        <v>0</v>
      </c>
      <c r="I45" s="1"/>
      <c r="J45" s="1"/>
      <c r="K45" s="4">
        <v>19.0</v>
      </c>
      <c r="L45" s="4" t="str">
        <f t="array" ref="L45">MID(INDEX($C$5:$C$20,INT((ROW(A24)-1)/4)+1),MOD(ROW(A24)-1,4)+1,1)</f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">
        <v>12.0</v>
      </c>
      <c r="AG45" s="4">
        <v>1.0</v>
      </c>
      <c r="AH45" s="4"/>
      <c r="AI45" s="4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ht="21.0" customHeight="1">
      <c r="A46" s="1"/>
      <c r="B46" s="1"/>
      <c r="C46" s="1"/>
      <c r="D46" s="1"/>
      <c r="E46" s="1"/>
      <c r="F46" s="4">
        <v>14.0</v>
      </c>
      <c r="G46" s="4"/>
      <c r="H46" s="4" t="str">
        <f t="array" ref="H46">MID(INDEX($C$24:$C$39,INT((ROW(A25)-1)/4)+1),MOD(ROW(A25)-1,4)+1,1)</f>
        <v>0</v>
      </c>
      <c r="I46" s="1"/>
      <c r="J46" s="1"/>
      <c r="K46" s="4">
        <v>11.0</v>
      </c>
      <c r="L46" s="4" t="str">
        <f t="array" ref="L46">MID(INDEX($C$5:$C$20,INT((ROW(A25)-1)/4)+1),MOD(ROW(A25)-1,4)+1,1)</f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4">
        <v>13.0</v>
      </c>
      <c r="AG46" s="4">
        <v>0.0</v>
      </c>
      <c r="AH46" s="4"/>
      <c r="AI46" s="4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ht="21.0" customHeight="1">
      <c r="A47" s="1"/>
      <c r="B47" s="1"/>
      <c r="C47" s="1"/>
      <c r="D47" s="1"/>
      <c r="E47" s="1"/>
      <c r="F47" s="4">
        <v>6.0</v>
      </c>
      <c r="G47" s="4"/>
      <c r="H47" s="4" t="str">
        <f t="array" ref="H47">MID(INDEX($C$24:$C$39,INT((ROW(A26)-1)/4)+1),MOD(ROW(A26)-1,4)+1,1)</f>
        <v>1</v>
      </c>
      <c r="I47" s="1"/>
      <c r="J47" s="1"/>
      <c r="K47" s="4">
        <v>3.0</v>
      </c>
      <c r="L47" s="4" t="str">
        <f t="array" ref="L47">MID(INDEX($C$5:$C$20,INT((ROW(A26)-1)/4)+1),MOD(ROW(A26)-1,4)+1,1)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4">
        <v>14.0</v>
      </c>
      <c r="AG47" s="4">
        <v>1.0</v>
      </c>
      <c r="AH47" s="4"/>
      <c r="AI47" s="4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ht="21.0" customHeight="1">
      <c r="A48" s="1"/>
      <c r="B48" s="1"/>
      <c r="C48" s="1"/>
      <c r="D48" s="1"/>
      <c r="E48" s="1"/>
      <c r="F48" s="4">
        <v>64.0</v>
      </c>
      <c r="G48" s="4"/>
      <c r="H48" s="4" t="str">
        <f t="array" ref="H48">MID(INDEX($C$24:$C$39,INT((ROW(A27)-1)/4)+1),MOD(ROW(A27)-1,4)+1,1)</f>
        <v>1</v>
      </c>
      <c r="I48" s="1"/>
      <c r="J48" s="1"/>
      <c r="K48" s="4">
        <v>60.0</v>
      </c>
      <c r="L48" s="4" t="str">
        <f t="array" ref="L48">MID(INDEX($C$5:$C$20,INT((ROW(A27)-1)/4)+1),MOD(ROW(A27)-1,4)+1,1)</f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">
        <v>15.0</v>
      </c>
      <c r="AG48" s="4">
        <v>0.0</v>
      </c>
      <c r="AH48" s="4"/>
      <c r="AI48" s="4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ht="21.0" customHeight="1">
      <c r="A49" s="1"/>
      <c r="B49" s="1"/>
      <c r="C49" s="1"/>
      <c r="D49" s="1"/>
      <c r="E49" s="1"/>
      <c r="F49" s="4">
        <v>56.0</v>
      </c>
      <c r="G49" s="4"/>
      <c r="H49" s="4" t="str">
        <f t="array" ref="H49">MID(INDEX($C$24:$C$39,INT((ROW(A28)-1)/4)+1),MOD(ROW(A28)-1,4)+1,1)</f>
        <v>1</v>
      </c>
      <c r="I49" s="1"/>
      <c r="J49" s="1"/>
      <c r="K49" s="4">
        <v>52.0</v>
      </c>
      <c r="L49" s="4" t="str">
        <f t="array" ref="L49">MID(INDEX($C$5:$C$20,INT((ROW(A28)-1)/4)+1),MOD(ROW(A28)-1,4)+1,1)</f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4">
        <v>16.0</v>
      </c>
      <c r="AG49" s="4">
        <v>0.0</v>
      </c>
      <c r="AH49" s="4"/>
      <c r="AI49" s="4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ht="21.0" customHeight="1">
      <c r="A50" s="1"/>
      <c r="B50" s="1"/>
      <c r="C50" s="1"/>
      <c r="D50" s="1"/>
      <c r="E50" s="1"/>
      <c r="F50" s="4">
        <v>48.0</v>
      </c>
      <c r="G50" s="4"/>
      <c r="H50" s="4" t="str">
        <f t="array" ref="H50">MID(INDEX($C$24:$C$39,INT((ROW(A29)-1)/4)+1),MOD(ROW(A29)-1,4)+1,1)</f>
        <v>1</v>
      </c>
      <c r="I50" s="1"/>
      <c r="J50" s="1"/>
      <c r="K50" s="4">
        <v>44.0</v>
      </c>
      <c r="L50" s="4" t="str">
        <f t="array" ref="L50">MID(INDEX($C$5:$C$20,INT((ROW(A29)-1)/4)+1),MOD(ROW(A29)-1,4)+1,1)</f>
        <v>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4">
        <v>17.0</v>
      </c>
      <c r="AG50" s="4">
        <v>1.0</v>
      </c>
      <c r="AH50" s="4"/>
      <c r="AI50" s="4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ht="21.0" customHeight="1">
      <c r="A51" s="1"/>
      <c r="B51" s="1"/>
      <c r="C51" s="1"/>
      <c r="D51" s="1"/>
      <c r="E51" s="1"/>
      <c r="F51" s="4">
        <v>40.0</v>
      </c>
      <c r="G51" s="4"/>
      <c r="H51" s="4" t="str">
        <f t="array" ref="H51">MID(INDEX($C$24:$C$39,INT((ROW(A30)-1)/4)+1),MOD(ROW(A30)-1,4)+1,1)</f>
        <v>0</v>
      </c>
      <c r="I51" s="1"/>
      <c r="J51" s="1"/>
      <c r="K51" s="4">
        <v>36.0</v>
      </c>
      <c r="L51" s="4" t="str">
        <f t="array" ref="L51">MID(INDEX($C$5:$C$20,INT((ROW(A30)-1)/4)+1),MOD(ROW(A30)-1,4)+1,1)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4">
        <v>16.0</v>
      </c>
      <c r="AG51" s="4">
        <v>0.0</v>
      </c>
      <c r="AH51" s="4"/>
      <c r="AI51" s="4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ht="21.0" customHeight="1">
      <c r="A52" s="1"/>
      <c r="B52" s="1"/>
      <c r="C52" s="1"/>
      <c r="D52" s="1"/>
      <c r="E52" s="1"/>
      <c r="F52" s="4">
        <v>32.0</v>
      </c>
      <c r="G52" s="4"/>
      <c r="H52" s="4" t="str">
        <f t="array" ref="H52">MID(INDEX($C$24:$C$39,INT((ROW(A31)-1)/4)+1),MOD(ROW(A31)-1,4)+1,1)</f>
        <v>0</v>
      </c>
      <c r="I52" s="1"/>
      <c r="J52" s="1"/>
      <c r="K52" s="4">
        <v>63.0</v>
      </c>
      <c r="L52" s="4" t="str">
        <f t="array" ref="L52">MID(INDEX($C$5:$C$20,INT((ROW(A31)-1)/4)+1),MOD(ROW(A31)-1,4)+1,1)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4">
        <v>17.0</v>
      </c>
      <c r="AG52" s="4">
        <v>1.0</v>
      </c>
      <c r="AH52" s="4"/>
      <c r="AI52" s="4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ht="21.0" customHeight="1">
      <c r="A53" s="1"/>
      <c r="B53" s="1"/>
      <c r="C53" s="1"/>
      <c r="D53" s="1"/>
      <c r="E53" s="1"/>
      <c r="F53" s="4">
        <v>24.0</v>
      </c>
      <c r="G53" s="4"/>
      <c r="H53" s="4" t="str">
        <f t="array" ref="H53">MID(INDEX($C$24:$C$39,INT((ROW(A32)-1)/4)+1),MOD(ROW(A32)-1,4)+1,1)</f>
        <v>0</v>
      </c>
      <c r="I53" s="1"/>
      <c r="J53" s="1"/>
      <c r="K53" s="4">
        <v>55.0</v>
      </c>
      <c r="L53" s="4" t="str">
        <f t="array" ref="L53">MID(INDEX($C$5:$C$20,INT((ROW(A32)-1)/4)+1),MOD(ROW(A32)-1,4)+1,1)</f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4">
        <v>18.0</v>
      </c>
      <c r="AG53" s="4">
        <v>1.0</v>
      </c>
      <c r="AH53" s="4"/>
      <c r="AI53" s="4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ht="21.0" customHeight="1">
      <c r="A54" s="1"/>
      <c r="B54" s="1"/>
      <c r="C54" s="1"/>
      <c r="D54" s="1"/>
      <c r="E54" s="1"/>
      <c r="F54" s="4">
        <v>16.0</v>
      </c>
      <c r="G54" s="4"/>
      <c r="H54" s="4" t="str">
        <f t="array" ref="H54">MID(INDEX($C$24:$C$39,INT((ROW(A33)-1)/4)+1),MOD(ROW(A33)-1,4)+1,1)</f>
        <v>1</v>
      </c>
      <c r="I54" s="1"/>
      <c r="J54" s="1"/>
      <c r="K54" s="4">
        <v>47.0</v>
      </c>
      <c r="L54" s="4" t="str">
        <f t="array" ref="L54">MID(INDEX($C$5:$C$20,INT((ROW(A33)-1)/4)+1),MOD(ROW(A33)-1,4)+1,1)</f>
        <v>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4">
        <v>19.0</v>
      </c>
      <c r="AG54" s="4">
        <v>1.0</v>
      </c>
      <c r="AH54" s="4"/>
      <c r="AI54" s="4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ht="21.0" customHeight="1">
      <c r="A55" s="1"/>
      <c r="B55" s="1"/>
      <c r="C55" s="1"/>
      <c r="D55" s="1"/>
      <c r="E55" s="1"/>
      <c r="F55" s="4">
        <v>8.0</v>
      </c>
      <c r="G55" s="4"/>
      <c r="H55" s="4" t="str">
        <f t="array" ref="H55">MID(INDEX($C$24:$C$39,INT((ROW(A34)-1)/4)+1),MOD(ROW(A34)-1,4)+1,1)</f>
        <v>0</v>
      </c>
      <c r="I55" s="1"/>
      <c r="J55" s="1"/>
      <c r="K55" s="4">
        <v>39.0</v>
      </c>
      <c r="L55" s="4" t="str">
        <f t="array" ref="L55">MID(INDEX($C$5:$C$20,INT((ROW(A34)-1)/4)+1),MOD(ROW(A34)-1,4)+1,1)</f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4">
        <v>20.0</v>
      </c>
      <c r="AG55" s="4">
        <v>1.0</v>
      </c>
      <c r="AH55" s="4"/>
      <c r="AI55" s="4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ht="21.0" customHeight="1">
      <c r="A56" s="1"/>
      <c r="B56" s="1"/>
      <c r="C56" s="1"/>
      <c r="D56" s="1"/>
      <c r="E56" s="1"/>
      <c r="F56" s="4">
        <v>57.0</v>
      </c>
      <c r="G56" s="4"/>
      <c r="H56" s="4" t="str">
        <f t="array" ref="H56">MID(INDEX($C$24:$C$39,INT((ROW(A35)-1)/4)+1),MOD(ROW(A35)-1,4)+1,1)</f>
        <v>0</v>
      </c>
      <c r="I56" s="1"/>
      <c r="J56" s="1"/>
      <c r="K56" s="4">
        <v>31.0</v>
      </c>
      <c r="L56" s="4" t="str">
        <f t="array" ref="L56">MID(INDEX($C$5:$C$20,INT((ROW(A35)-1)/4)+1),MOD(ROW(A35)-1,4)+1,1)</f>
        <v>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4">
        <v>21.0</v>
      </c>
      <c r="AG56" s="4">
        <v>0.0</v>
      </c>
      <c r="AH56" s="4"/>
      <c r="AI56" s="4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ht="21.0" customHeight="1">
      <c r="A57" s="1"/>
      <c r="B57" s="1"/>
      <c r="C57" s="1"/>
      <c r="D57" s="1"/>
      <c r="E57" s="1"/>
      <c r="F57" s="4">
        <v>49.0</v>
      </c>
      <c r="G57" s="4"/>
      <c r="H57" s="4" t="str">
        <f t="array" ref="H57">MID(INDEX($C$24:$C$39,INT((ROW(A36)-1)/4)+1),MOD(ROW(A36)-1,4)+1,1)</f>
        <v>1</v>
      </c>
      <c r="I57" s="1"/>
      <c r="J57" s="1"/>
      <c r="K57" s="4">
        <v>23.0</v>
      </c>
      <c r="L57" s="4" t="str">
        <f t="array" ref="L57">MID(INDEX($C$5:$C$20,INT((ROW(A36)-1)/4)+1),MOD(ROW(A36)-1,4)+1,1)</f>
        <v>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4">
        <v>20.0</v>
      </c>
      <c r="AG57" s="4">
        <v>1.0</v>
      </c>
      <c r="AH57" s="4"/>
      <c r="AI57" s="4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ht="21.0" customHeight="1">
      <c r="A58" s="1"/>
      <c r="B58" s="1"/>
      <c r="C58" s="1"/>
      <c r="D58" s="1"/>
      <c r="E58" s="1"/>
      <c r="F58" s="4">
        <v>41.0</v>
      </c>
      <c r="G58" s="4"/>
      <c r="H58" s="4" t="str">
        <f t="array" ref="H58">MID(INDEX($C$24:$C$39,INT((ROW(A37)-1)/4)+1),MOD(ROW(A37)-1,4)+1,1)</f>
        <v>1</v>
      </c>
      <c r="I58" s="1"/>
      <c r="J58" s="1"/>
      <c r="K58" s="4">
        <v>15.0</v>
      </c>
      <c r="L58" s="4" t="str">
        <f t="array" ref="L58">MID(INDEX($C$5:$C$20,INT((ROW(A37)-1)/4)+1),MOD(ROW(A37)-1,4)+1,1)</f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4">
        <v>21.0</v>
      </c>
      <c r="AG58" s="4">
        <v>0.0</v>
      </c>
      <c r="AH58" s="4"/>
      <c r="AI58" s="4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ht="21.0" customHeight="1">
      <c r="A59" s="1"/>
      <c r="B59" s="1"/>
      <c r="C59" s="1"/>
      <c r="D59" s="1"/>
      <c r="E59" s="1"/>
      <c r="F59" s="4">
        <v>33.0</v>
      </c>
      <c r="G59" s="4"/>
      <c r="H59" s="4" t="str">
        <f t="array" ref="H59">MID(INDEX($C$24:$C$39,INT((ROW(A38)-1)/4)+1),MOD(ROW(A38)-1,4)+1,1)</f>
        <v>0</v>
      </c>
      <c r="I59" s="1"/>
      <c r="J59" s="1"/>
      <c r="K59" s="4">
        <v>7.0</v>
      </c>
      <c r="L59" s="4" t="str">
        <f t="array" ref="L59">MID(INDEX($C$5:$C$20,INT((ROW(A38)-1)/4)+1),MOD(ROW(A38)-1,4)+1,1)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4">
        <v>22.0</v>
      </c>
      <c r="AG59" s="4">
        <v>0.0</v>
      </c>
      <c r="AH59" s="4"/>
      <c r="AI59" s="4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ht="21.0" customHeight="1">
      <c r="A60" s="1"/>
      <c r="B60" s="1"/>
      <c r="C60" s="1"/>
      <c r="D60" s="1"/>
      <c r="E60" s="1"/>
      <c r="F60" s="4">
        <v>25.0</v>
      </c>
      <c r="G60" s="4"/>
      <c r="H60" s="4" t="str">
        <f t="array" ref="H60">MID(INDEX($C$24:$C$39,INT((ROW(A39)-1)/4)+1),MOD(ROW(A39)-1,4)+1,1)</f>
        <v>1</v>
      </c>
      <c r="I60" s="1"/>
      <c r="J60" s="1"/>
      <c r="K60" s="4">
        <v>62.0</v>
      </c>
      <c r="L60" s="4" t="str">
        <f t="array" ref="L60">MID(INDEX($C$5:$C$20,INT((ROW(A39)-1)/4)+1),MOD(ROW(A39)-1,4)+1,1)</f>
        <v>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4">
        <v>23.0</v>
      </c>
      <c r="AG60" s="4">
        <v>0.0</v>
      </c>
      <c r="AH60" s="4"/>
      <c r="AI60" s="4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ht="21.0" customHeight="1">
      <c r="A61" s="1"/>
      <c r="B61" s="1"/>
      <c r="C61" s="1"/>
      <c r="D61" s="1"/>
      <c r="E61" s="1"/>
      <c r="F61" s="4">
        <v>17.0</v>
      </c>
      <c r="G61" s="4"/>
      <c r="H61" s="4" t="str">
        <f t="array" ref="H61">MID(INDEX($C$24:$C$39,INT((ROW(A40)-1)/4)+1),MOD(ROW(A40)-1,4)+1,1)</f>
        <v>0</v>
      </c>
      <c r="I61" s="1"/>
      <c r="J61" s="1"/>
      <c r="K61" s="4">
        <v>54.0</v>
      </c>
      <c r="L61" s="4" t="str">
        <f t="array" ref="L61">MID(INDEX($C$5:$C$20,INT((ROW(A40)-1)/4)+1),MOD(ROW(A40)-1,4)+1,1)</f>
        <v>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4">
        <v>24.0</v>
      </c>
      <c r="AG61" s="4">
        <v>0.0</v>
      </c>
      <c r="AH61" s="4"/>
      <c r="AI61" s="4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ht="21.0" customHeight="1">
      <c r="A62" s="1"/>
      <c r="B62" s="1"/>
      <c r="C62" s="1"/>
      <c r="D62" s="1"/>
      <c r="E62" s="1"/>
      <c r="F62" s="4">
        <v>9.0</v>
      </c>
      <c r="G62" s="4"/>
      <c r="H62" s="4" t="str">
        <f t="array" ref="H62">MID(INDEX($C$24:$C$39,INT((ROW(A41)-1)/4)+1),MOD(ROW(A41)-1,4)+1,1)</f>
        <v>1</v>
      </c>
      <c r="I62" s="1"/>
      <c r="J62" s="1"/>
      <c r="K62" s="4">
        <v>46.0</v>
      </c>
      <c r="L62" s="4" t="str">
        <f t="array" ref="L62">MID(INDEX($C$5:$C$20,INT((ROW(A41)-1)/4)+1),MOD(ROW(A41)-1,4)+1,1)</f>
        <v>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4">
        <v>25.0</v>
      </c>
      <c r="AG62" s="4">
        <v>1.0</v>
      </c>
      <c r="AH62" s="4"/>
      <c r="AI62" s="4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ht="21.0" customHeight="1">
      <c r="A63" s="1"/>
      <c r="B63" s="1"/>
      <c r="C63" s="1"/>
      <c r="D63" s="1"/>
      <c r="E63" s="1"/>
      <c r="F63" s="4">
        <v>1.0</v>
      </c>
      <c r="G63" s="4"/>
      <c r="H63" s="4" t="str">
        <f t="array" ref="H63">MID(INDEX($C$24:$C$39,INT((ROW(A42)-1)/4)+1),MOD(ROW(A42)-1,4)+1,1)</f>
        <v>0</v>
      </c>
      <c r="I63" s="1"/>
      <c r="J63" s="1"/>
      <c r="K63" s="4">
        <v>38.0</v>
      </c>
      <c r="L63" s="4" t="str">
        <f t="array" ref="L63">MID(INDEX($C$5:$C$20,INT((ROW(A42)-1)/4)+1),MOD(ROW(A42)-1,4)+1,1)</f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4">
        <v>24.0</v>
      </c>
      <c r="AG63" s="4">
        <v>0.0</v>
      </c>
      <c r="AH63" s="4"/>
      <c r="AI63" s="4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ht="21.0" customHeight="1">
      <c r="A64" s="1"/>
      <c r="B64" s="1"/>
      <c r="C64" s="1"/>
      <c r="D64" s="1"/>
      <c r="E64" s="1"/>
      <c r="F64" s="4">
        <v>59.0</v>
      </c>
      <c r="G64" s="4"/>
      <c r="H64" s="4" t="str">
        <f t="array" ref="H64">MID(INDEX($C$24:$C$39,INT((ROW(A43)-1)/4)+1),MOD(ROW(A43)-1,4)+1,1)</f>
        <v>1</v>
      </c>
      <c r="I64" s="1"/>
      <c r="J64" s="1"/>
      <c r="K64" s="4">
        <v>30.0</v>
      </c>
      <c r="L64" s="4" t="str">
        <f t="array" ref="L64">MID(INDEX($C$5:$C$20,INT((ROW(A43)-1)/4)+1),MOD(ROW(A43)-1,4)+1,1)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4">
        <v>25.0</v>
      </c>
      <c r="AG64" s="4">
        <v>1.0</v>
      </c>
      <c r="AH64" s="4"/>
      <c r="AI64" s="4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ht="21.0" customHeight="1">
      <c r="A65" s="1"/>
      <c r="B65" s="1"/>
      <c r="C65" s="1"/>
      <c r="D65" s="1"/>
      <c r="E65" s="1"/>
      <c r="F65" s="4">
        <v>51.0</v>
      </c>
      <c r="G65" s="4"/>
      <c r="H65" s="4" t="str">
        <f t="array" ref="H65">MID(INDEX($C$24:$C$39,INT((ROW(A44)-1)/4)+1),MOD(ROW(A44)-1,4)+1,1)</f>
        <v>1</v>
      </c>
      <c r="I65" s="1"/>
      <c r="J65" s="1"/>
      <c r="K65" s="4">
        <v>22.0</v>
      </c>
      <c r="L65" s="4" t="str">
        <f t="array" ref="L65">MID(INDEX($C$5:$C$20,INT((ROW(A44)-1)/4)+1),MOD(ROW(A44)-1,4)+1,1)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4">
        <v>26.0</v>
      </c>
      <c r="AG65" s="4">
        <v>0.0</v>
      </c>
      <c r="AH65" s="4"/>
      <c r="AI65" s="4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ht="21.0" customHeight="1">
      <c r="A66" s="1"/>
      <c r="B66" s="1"/>
      <c r="C66" s="1"/>
      <c r="D66" s="1"/>
      <c r="E66" s="1"/>
      <c r="F66" s="4">
        <v>43.0</v>
      </c>
      <c r="G66" s="4"/>
      <c r="H66" s="4" t="str">
        <f t="array" ref="H66">MID(INDEX($C$24:$C$39,INT((ROW(A45)-1)/4)+1),MOD(ROW(A45)-1,4)+1,1)</f>
        <v>1</v>
      </c>
      <c r="I66" s="1"/>
      <c r="J66" s="1"/>
      <c r="K66" s="4">
        <v>14.0</v>
      </c>
      <c r="L66" s="4" t="str">
        <f t="array" ref="L66">MID(INDEX($C$5:$C$20,INT((ROW(A45)-1)/4)+1),MOD(ROW(A45)-1,4)+1,1)</f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4">
        <v>27.0</v>
      </c>
      <c r="AG66" s="4">
        <v>1.0</v>
      </c>
      <c r="AH66" s="4"/>
      <c r="AI66" s="4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ht="21.0" customHeight="1">
      <c r="A67" s="1"/>
      <c r="B67" s="1"/>
      <c r="C67" s="1"/>
      <c r="D67" s="1"/>
      <c r="E67" s="1"/>
      <c r="F67" s="4">
        <v>35.0</v>
      </c>
      <c r="G67" s="4"/>
      <c r="H67" s="4" t="str">
        <f t="array" ref="H67">MID(INDEX($C$24:$C$39,INT((ROW(A46)-1)/4)+1),MOD(ROW(A46)-1,4)+1,1)</f>
        <v>1</v>
      </c>
      <c r="I67" s="1"/>
      <c r="J67" s="1"/>
      <c r="K67" s="4">
        <v>6.0</v>
      </c>
      <c r="L67" s="4" t="str">
        <f t="array" ref="L67">MID(INDEX($C$5:$C$20,INT((ROW(A46)-1)/4)+1),MOD(ROW(A46)-1,4)+1,1)</f>
        <v>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4">
        <v>28.0</v>
      </c>
      <c r="AG67" s="4">
        <v>0.0</v>
      </c>
      <c r="AH67" s="4"/>
      <c r="AI67" s="4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ht="21.0" customHeight="1">
      <c r="A68" s="1"/>
      <c r="B68" s="1"/>
      <c r="C68" s="1"/>
      <c r="D68" s="1"/>
      <c r="E68" s="1"/>
      <c r="F68" s="4">
        <v>27.0</v>
      </c>
      <c r="G68" s="4"/>
      <c r="H68" s="4" t="str">
        <f t="array" ref="H68">MID(INDEX($C$24:$C$39,INT((ROW(A47)-1)/4)+1),MOD(ROW(A47)-1,4)+1,1)</f>
        <v>0</v>
      </c>
      <c r="I68" s="1"/>
      <c r="J68" s="1"/>
      <c r="K68" s="4">
        <v>61.0</v>
      </c>
      <c r="L68" s="4" t="str">
        <f t="array" ref="L68">MID(INDEX($C$5:$C$20,INT((ROW(A47)-1)/4)+1),MOD(ROW(A47)-1,4)+1,1)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4">
        <v>29.0</v>
      </c>
      <c r="AG68" s="4">
        <v>1.0</v>
      </c>
      <c r="AH68" s="4"/>
      <c r="AI68" s="4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ht="21.0" customHeight="1">
      <c r="A69" s="1"/>
      <c r="B69" s="1"/>
      <c r="C69" s="1"/>
      <c r="D69" s="1"/>
      <c r="E69" s="1"/>
      <c r="F69" s="4">
        <v>19.0</v>
      </c>
      <c r="G69" s="4"/>
      <c r="H69" s="4" t="str">
        <f t="array" ref="H69">MID(INDEX($C$24:$C$39,INT((ROW(A48)-1)/4)+1),MOD(ROW(A48)-1,4)+1,1)</f>
        <v>0</v>
      </c>
      <c r="I69" s="1"/>
      <c r="J69" s="1"/>
      <c r="K69" s="4">
        <v>53.0</v>
      </c>
      <c r="L69" s="4" t="str">
        <f t="array" ref="L69">MID(INDEX($C$5:$C$20,INT((ROW(A48)-1)/4)+1),MOD(ROW(A48)-1,4)+1,1)</f>
        <v>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4">
        <v>28.0</v>
      </c>
      <c r="AG69" s="4">
        <v>0.0</v>
      </c>
      <c r="AH69" s="4"/>
      <c r="AI69" s="4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21.0" customHeight="1">
      <c r="A70" s="1"/>
      <c r="B70" s="1"/>
      <c r="C70" s="1"/>
      <c r="D70" s="1"/>
      <c r="E70" s="1"/>
      <c r="F70" s="4">
        <v>11.0</v>
      </c>
      <c r="G70" s="4"/>
      <c r="H70" s="4" t="str">
        <f t="array" ref="H70">MID(INDEX($C$24:$C$39,INT((ROW(A49)-1)/4)+1),MOD(ROW(A49)-1,4)+1,1)</f>
        <v>1</v>
      </c>
      <c r="I70" s="1"/>
      <c r="J70" s="1"/>
      <c r="K70" s="4">
        <v>45.0</v>
      </c>
      <c r="L70" s="4" t="str">
        <f t="array" ref="L70">MID(INDEX($C$5:$C$20,INT((ROW(A49)-1)/4)+1),MOD(ROW(A49)-1,4)+1,1)</f>
        <v>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4">
        <v>29.0</v>
      </c>
      <c r="AG70" s="4">
        <v>1.0</v>
      </c>
      <c r="AH70" s="4"/>
      <c r="AI70" s="4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21.0" customHeight="1">
      <c r="A71" s="1"/>
      <c r="B71" s="1"/>
      <c r="C71" s="1"/>
      <c r="D71" s="1"/>
      <c r="E71" s="1"/>
      <c r="F71" s="4">
        <v>3.0</v>
      </c>
      <c r="G71" s="4"/>
      <c r="H71" s="4" t="str">
        <f t="array" ref="H71">MID(INDEX($C$24:$C$39,INT((ROW(A50)-1)/4)+1),MOD(ROW(A50)-1,4)+1,1)</f>
        <v>1</v>
      </c>
      <c r="I71" s="1"/>
      <c r="J71" s="1"/>
      <c r="K71" s="4">
        <v>37.0</v>
      </c>
      <c r="L71" s="4" t="str">
        <f t="array" ref="L71">MID(INDEX($C$5:$C$20,INT((ROW(A50)-1)/4)+1),MOD(ROW(A50)-1,4)+1,1)</f>
        <v>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4">
        <v>30.0</v>
      </c>
      <c r="AG71" s="4">
        <v>0.0</v>
      </c>
      <c r="AH71" s="4"/>
      <c r="AI71" s="4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ht="21.0" customHeight="1">
      <c r="A72" s="1"/>
      <c r="B72" s="1"/>
      <c r="C72" s="1"/>
      <c r="D72" s="1"/>
      <c r="E72" s="1"/>
      <c r="F72" s="4">
        <v>61.0</v>
      </c>
      <c r="G72" s="4"/>
      <c r="H72" s="4" t="str">
        <f t="array" ref="H72">MID(INDEX($C$24:$C$39,INT((ROW(A51)-1)/4)+1),MOD(ROW(A51)-1,4)+1,1)</f>
        <v>0</v>
      </c>
      <c r="I72" s="1"/>
      <c r="J72" s="1"/>
      <c r="K72" s="4">
        <v>29.0</v>
      </c>
      <c r="L72" s="4" t="str">
        <f t="array" ref="L72">MID(INDEX($C$5:$C$20,INT((ROW(A51)-1)/4)+1),MOD(ROW(A51)-1,4)+1,1)</f>
        <v>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4">
        <v>31.0</v>
      </c>
      <c r="AG72" s="4">
        <v>1.0</v>
      </c>
      <c r="AH72" s="4"/>
      <c r="AI72" s="4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ht="21.0" customHeight="1">
      <c r="A73" s="1"/>
      <c r="B73" s="1"/>
      <c r="C73" s="1"/>
      <c r="D73" s="1"/>
      <c r="E73" s="1"/>
      <c r="F73" s="4">
        <v>53.0</v>
      </c>
      <c r="G73" s="4"/>
      <c r="H73" s="4" t="str">
        <f t="array" ref="H73">MID(INDEX($C$24:$C$39,INT((ROW(A52)-1)/4)+1),MOD(ROW(A52)-1,4)+1,1)</f>
        <v>1</v>
      </c>
      <c r="I73" s="1"/>
      <c r="J73" s="1"/>
      <c r="K73" s="4">
        <v>21.0</v>
      </c>
      <c r="L73" s="4" t="str">
        <f t="array" ref="L73">MID(INDEX($C$5:$C$20,INT((ROW(A52)-1)/4)+1),MOD(ROW(A52)-1,4)+1,1)</f>
        <v>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4">
        <v>32.0</v>
      </c>
      <c r="AG73" s="4">
        <v>0.0</v>
      </c>
      <c r="AH73" s="4"/>
      <c r="AI73" s="4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ht="21.0" customHeight="1">
      <c r="A74" s="1"/>
      <c r="B74" s="1"/>
      <c r="C74" s="1"/>
      <c r="D74" s="1"/>
      <c r="E74" s="1"/>
      <c r="F74" s="4">
        <v>45.0</v>
      </c>
      <c r="G74" s="4"/>
      <c r="H74" s="4" t="str">
        <f t="array" ref="H74">MID(INDEX($C$24:$C$39,INT((ROW(A53)-1)/4)+1),MOD(ROW(A53)-1,4)+1,1)</f>
        <v>1</v>
      </c>
      <c r="I74" s="1"/>
      <c r="J74" s="1"/>
      <c r="K74" s="4">
        <v>13.0</v>
      </c>
      <c r="L74" s="4" t="str">
        <f t="array" ref="L74">MID(INDEX($C$5:$C$20,INT((ROW(A53)-1)/4)+1),MOD(ROW(A53)-1,4)+1,1)</f>
        <v>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4">
        <v>1.0</v>
      </c>
      <c r="AG74" s="4">
        <v>1.0</v>
      </c>
      <c r="AH74" s="4"/>
      <c r="AI74" s="4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ht="21.0" customHeight="1">
      <c r="A75" s="1"/>
      <c r="B75" s="1"/>
      <c r="C75" s="1"/>
      <c r="D75" s="1"/>
      <c r="E75" s="1"/>
      <c r="F75" s="4">
        <v>37.0</v>
      </c>
      <c r="G75" s="4"/>
      <c r="H75" s="4" t="str">
        <f t="array" ref="H75">MID(INDEX($C$24:$C$39,INT((ROW(A54)-1)/4)+1),MOD(ROW(A54)-1,4)+1,1)</f>
        <v>1</v>
      </c>
      <c r="I75" s="1"/>
      <c r="J75" s="1"/>
      <c r="K75" s="4">
        <v>5.0</v>
      </c>
      <c r="L75" s="4" t="str">
        <f t="array" ref="L75">MID(INDEX($C$5:$C$20,INT((ROW(A54)-1)/4)+1),MOD(ROW(A54)-1,4)+1,1)</f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ht="21.0" customHeight="1">
      <c r="A76" s="1"/>
      <c r="B76" s="1"/>
      <c r="C76" s="1"/>
      <c r="D76" s="1"/>
      <c r="E76" s="1"/>
      <c r="F76" s="4">
        <v>29.0</v>
      </c>
      <c r="G76" s="4"/>
      <c r="H76" s="4" t="str">
        <f t="array" ref="H76">MID(INDEX($C$24:$C$39,INT((ROW(A55)-1)/4)+1),MOD(ROW(A55)-1,4)+1,1)</f>
        <v>1</v>
      </c>
      <c r="I76" s="1"/>
      <c r="J76" s="1"/>
      <c r="K76" s="4">
        <v>28.0</v>
      </c>
      <c r="L76" s="4" t="str">
        <f t="array" ref="L76">MID(INDEX($C$5:$C$20,INT((ROW(A55)-1)/4)+1),MOD(ROW(A55)-1,4)+1,1)</f>
        <v>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ht="21.0" customHeight="1">
      <c r="A77" s="1"/>
      <c r="B77" s="1"/>
      <c r="C77" s="1"/>
      <c r="D77" s="1"/>
      <c r="E77" s="1"/>
      <c r="F77" s="4">
        <v>21.0</v>
      </c>
      <c r="G77" s="4"/>
      <c r="H77" s="4" t="str">
        <f t="array" ref="H77">MID(INDEX($C$24:$C$39,INT((ROW(A56)-1)/4)+1),MOD(ROW(A56)-1,4)+1,1)</f>
        <v>0</v>
      </c>
      <c r="I77" s="1"/>
      <c r="J77" s="1"/>
      <c r="K77" s="4">
        <v>20.0</v>
      </c>
      <c r="L77" s="4" t="str">
        <f t="array" ref="L77">MID(INDEX($C$5:$C$20,INT((ROW(A56)-1)/4)+1),MOD(ROW(A56)-1,4)+1,1)</f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ht="21.0" customHeight="1">
      <c r="A78" s="1"/>
      <c r="B78" s="1"/>
      <c r="C78" s="1"/>
      <c r="D78" s="1"/>
      <c r="E78" s="1"/>
      <c r="F78" s="4">
        <v>13.0</v>
      </c>
      <c r="G78" s="4"/>
      <c r="H78" s="4" t="str">
        <f t="array" ref="H78">MID(INDEX($C$24:$C$39,INT((ROW(A57)-1)/4)+1),MOD(ROW(A57)-1,4)+1,1)</f>
        <v>0</v>
      </c>
      <c r="I78" s="1"/>
      <c r="J78" s="1"/>
      <c r="K78" s="4">
        <v>12.0</v>
      </c>
      <c r="L78" s="4" t="str">
        <f t="array" ref="L78">MID(INDEX($C$5:$C$20,INT((ROW(A57)-1)/4)+1),MOD(ROW(A57)-1,4)+1,1)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ht="21.0" customHeight="1">
      <c r="A79" s="1"/>
      <c r="B79" s="1"/>
      <c r="C79" s="1"/>
      <c r="D79" s="1"/>
      <c r="E79" s="1"/>
      <c r="F79" s="4">
        <v>5.0</v>
      </c>
      <c r="G79" s="4"/>
      <c r="H79" s="4" t="str">
        <f t="array" ref="H79">MID(INDEX($C$24:$C$39,INT((ROW(A58)-1)/4)+1),MOD(ROW(A58)-1,4)+1,1)</f>
        <v>0</v>
      </c>
      <c r="I79" s="1"/>
      <c r="J79" s="1"/>
      <c r="K79" s="4">
        <v>4.0</v>
      </c>
      <c r="L79" s="4" t="str">
        <f t="array" ref="L79">MID(INDEX($C$5:$C$20,INT((ROW(A58)-1)/4)+1),MOD(ROW(A58)-1,4)+1,1)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ht="21.0" customHeight="1">
      <c r="A80" s="1"/>
      <c r="B80" s="1"/>
      <c r="C80" s="1"/>
      <c r="D80" s="1"/>
      <c r="E80" s="1"/>
      <c r="F80" s="4">
        <v>63.0</v>
      </c>
      <c r="G80" s="4"/>
      <c r="H80" s="4" t="str">
        <f t="array" ref="H80">MID(INDEX($C$24:$C$39,INT((ROW(A59)-1)/4)+1),MOD(ROW(A59)-1,4)+1,1)</f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ht="21.0" customHeight="1">
      <c r="A81" s="1"/>
      <c r="B81" s="1"/>
      <c r="C81" s="1"/>
      <c r="D81" s="1"/>
      <c r="E81" s="1"/>
      <c r="F81" s="4">
        <v>55.0</v>
      </c>
      <c r="G81" s="4"/>
      <c r="H81" s="4" t="str">
        <f t="array" ref="H81">MID(INDEX($C$24:$C$39,INT((ROW(A60)-1)/4)+1),MOD(ROW(A60)-1,4)+1,1)</f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ht="21.0" customHeight="1">
      <c r="A82" s="1"/>
      <c r="B82" s="1"/>
      <c r="C82" s="1"/>
      <c r="D82" s="1"/>
      <c r="E82" s="1"/>
      <c r="F82" s="4">
        <v>47.0</v>
      </c>
      <c r="G82" s="4"/>
      <c r="H82" s="4" t="str">
        <f t="array" ref="H82">MID(INDEX($C$24:$C$39,INT((ROW(A61)-1)/4)+1),MOD(ROW(A61)-1,4)+1,1)</f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ht="21.0" customHeight="1">
      <c r="A83" s="1"/>
      <c r="B83" s="1"/>
      <c r="C83" s="1"/>
      <c r="D83" s="1"/>
      <c r="E83" s="1"/>
      <c r="F83" s="4">
        <v>39.0</v>
      </c>
      <c r="G83" s="4"/>
      <c r="H83" s="4" t="str">
        <f t="array" ref="H83">MID(INDEX($C$24:$C$39,INT((ROW(A62)-1)/4)+1),MOD(ROW(A62)-1,4)+1,1)</f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ht="21.0" customHeight="1">
      <c r="A84" s="1"/>
      <c r="B84" s="1"/>
      <c r="C84" s="1"/>
      <c r="D84" s="1"/>
      <c r="E84" s="1"/>
      <c r="F84" s="4">
        <v>31.0</v>
      </c>
      <c r="G84" s="4"/>
      <c r="H84" s="4" t="str">
        <f t="array" ref="H84">MID(INDEX($C$24:$C$39,INT((ROW(A63)-1)/4)+1),MOD(ROW(A63)-1,4)+1,1)</f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ht="21.0" customHeight="1">
      <c r="A85" s="1"/>
      <c r="B85" s="1"/>
      <c r="C85" s="1"/>
      <c r="D85" s="1"/>
      <c r="E85" s="1"/>
      <c r="F85" s="4">
        <v>23.0</v>
      </c>
      <c r="G85" s="4"/>
      <c r="H85" s="4" t="str">
        <f t="array" ref="H85">MID(INDEX($C$24:$C$39,INT((ROW(A64)-1)/4)+1),MOD(ROW(A64)-1,4)+1,1)</f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ht="21.0" customHeight="1">
      <c r="A86" s="1"/>
      <c r="B86" s="1"/>
      <c r="C86" s="1"/>
      <c r="D86" s="1"/>
      <c r="E86" s="1"/>
      <c r="F86" s="4">
        <v>15.0</v>
      </c>
      <c r="G86" s="4"/>
      <c r="H86" s="4" t="str">
        <f t="array" ref="H86">MID(INDEX($C$24:$C$39,INT((ROW(A65)-1)/4)+1),MOD(ROW(A65)-1,4)+1,1)</f>
        <v>#NUM!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ht="21.0" customHeight="1">
      <c r="A87" s="1"/>
      <c r="B87" s="1"/>
      <c r="C87" s="1"/>
      <c r="D87" s="1"/>
      <c r="E87" s="1"/>
      <c r="F87" s="4">
        <v>7.0</v>
      </c>
      <c r="G87" s="4"/>
      <c r="H87" s="4" t="str">
        <f t="array" ref="H87">MID(INDEX($C$24:$C$39,INT((ROW(A66)-1)/4)+1),MOD(ROW(A66)-1,4)+1,1)</f>
        <v>#NUM!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</row>
  </sheetData>
  <mergeCells count="117">
    <mergeCell ref="Y24:Z24"/>
    <mergeCell ref="Y25:Z25"/>
    <mergeCell ref="AA25:AB25"/>
    <mergeCell ref="Y26:Z26"/>
    <mergeCell ref="AA26:AB26"/>
    <mergeCell ref="BD26:BP26"/>
    <mergeCell ref="Y27:Z27"/>
    <mergeCell ref="AZ27:BB27"/>
    <mergeCell ref="AA27:AB27"/>
    <mergeCell ref="AU27:AV27"/>
    <mergeCell ref="AW27:AX28"/>
    <mergeCell ref="AA28:AB28"/>
    <mergeCell ref="AO28:AP28"/>
    <mergeCell ref="AU28:AV28"/>
    <mergeCell ref="AZ28:BB28"/>
    <mergeCell ref="BD9:BH9"/>
    <mergeCell ref="BL9:BP9"/>
    <mergeCell ref="BD10:BH10"/>
    <mergeCell ref="BL10:BP10"/>
    <mergeCell ref="H4:M4"/>
    <mergeCell ref="H5:M5"/>
    <mergeCell ref="H9:L9"/>
    <mergeCell ref="AF9:AJ9"/>
    <mergeCell ref="AV9:AZ9"/>
    <mergeCell ref="H10:L10"/>
    <mergeCell ref="AF10:AJ10"/>
    <mergeCell ref="AV10:AZ10"/>
    <mergeCell ref="X9:AB9"/>
    <mergeCell ref="X10:AB10"/>
    <mergeCell ref="H15:L15"/>
    <mergeCell ref="P15:U15"/>
    <mergeCell ref="AF15:AJ15"/>
    <mergeCell ref="H16:L16"/>
    <mergeCell ref="P16:U16"/>
    <mergeCell ref="AF16:AJ16"/>
    <mergeCell ref="BD15:BH15"/>
    <mergeCell ref="BD16:BH16"/>
    <mergeCell ref="AN9:AR9"/>
    <mergeCell ref="AN10:AR10"/>
    <mergeCell ref="AN15:AR15"/>
    <mergeCell ref="AV15:AZ15"/>
    <mergeCell ref="BL15:BP15"/>
    <mergeCell ref="AN16:AR16"/>
    <mergeCell ref="AV16:AZ16"/>
    <mergeCell ref="BL16:BP16"/>
    <mergeCell ref="X15:AB15"/>
    <mergeCell ref="X16:AB16"/>
    <mergeCell ref="F23:H23"/>
    <mergeCell ref="K23:L23"/>
    <mergeCell ref="O23:V23"/>
    <mergeCell ref="AO23:AP24"/>
    <mergeCell ref="AA24:AB24"/>
    <mergeCell ref="AZ29:BB29"/>
    <mergeCell ref="AZ30:BB30"/>
    <mergeCell ref="AO32:AP32"/>
    <mergeCell ref="AO33:AP33"/>
    <mergeCell ref="AU33:AV33"/>
    <mergeCell ref="AZ33:BB33"/>
    <mergeCell ref="AO34:AP34"/>
    <mergeCell ref="AZ34:BB34"/>
    <mergeCell ref="AO35:AP35"/>
    <mergeCell ref="AU34:AV34"/>
    <mergeCell ref="AU35:AV35"/>
    <mergeCell ref="AU36:AV36"/>
    <mergeCell ref="AN37:AN38"/>
    <mergeCell ref="AO37:AQ37"/>
    <mergeCell ref="AU37:AV37"/>
    <mergeCell ref="AU38:AV38"/>
    <mergeCell ref="AZ42:BB42"/>
    <mergeCell ref="AZ43:BB43"/>
    <mergeCell ref="AU39:AV39"/>
    <mergeCell ref="AU40:AV40"/>
    <mergeCell ref="AZ40:BB40"/>
    <mergeCell ref="AU41:AV41"/>
    <mergeCell ref="AZ41:BB41"/>
    <mergeCell ref="AU42:AV42"/>
    <mergeCell ref="AU43:AV43"/>
    <mergeCell ref="Y28:Z28"/>
    <mergeCell ref="Y29:Z29"/>
    <mergeCell ref="AA29:AB29"/>
    <mergeCell ref="AU29:AV29"/>
    <mergeCell ref="Y30:Z30"/>
    <mergeCell ref="AA30:AB30"/>
    <mergeCell ref="AU30:AV30"/>
    <mergeCell ref="AO29:AP29"/>
    <mergeCell ref="AO30:AP30"/>
    <mergeCell ref="AO31:AP31"/>
    <mergeCell ref="AU31:AV31"/>
    <mergeCell ref="AZ31:BB31"/>
    <mergeCell ref="AU32:AV32"/>
    <mergeCell ref="AZ32:BB32"/>
    <mergeCell ref="Y34:Z34"/>
    <mergeCell ref="Y35:Z35"/>
    <mergeCell ref="Y36:Z36"/>
    <mergeCell ref="Y37:Z37"/>
    <mergeCell ref="Y38:Z38"/>
    <mergeCell ref="Y39:Z39"/>
    <mergeCell ref="AA35:AB35"/>
    <mergeCell ref="AA36:AB36"/>
    <mergeCell ref="AA37:AB37"/>
    <mergeCell ref="AA38:AB38"/>
    <mergeCell ref="AA39:AB39"/>
    <mergeCell ref="Y31:Z31"/>
    <mergeCell ref="AA31:AB31"/>
    <mergeCell ref="Y32:Z32"/>
    <mergeCell ref="AA32:AB32"/>
    <mergeCell ref="Y33:Z33"/>
    <mergeCell ref="AA33:AB33"/>
    <mergeCell ref="AA34:AB34"/>
    <mergeCell ref="AZ35:BB35"/>
    <mergeCell ref="AZ36:BB36"/>
    <mergeCell ref="AZ37:BB37"/>
    <mergeCell ref="BE37:BP37"/>
    <mergeCell ref="AZ38:BB38"/>
    <mergeCell ref="AZ39:BB39"/>
    <mergeCell ref="AU44:AV44"/>
    <mergeCell ref="AZ44:BB4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2025-08-19T08:24:37Z</dcterms:created>
  <dc:creator>Trần Đoàn Quang Vũ - 67CS2</dc:creator>
</cp:coreProperties>
</file>