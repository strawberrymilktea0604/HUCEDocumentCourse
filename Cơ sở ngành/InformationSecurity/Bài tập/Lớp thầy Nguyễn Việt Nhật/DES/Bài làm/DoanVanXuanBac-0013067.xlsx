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Sô_la_mviê_cNa_y" defaultThemeVersion="166925"/>
  <mc:AlternateContent xmlns:mc="http://schemas.openxmlformats.org/markup-compatibility/2006">
    <mc:Choice Requires="x15">
      <x15ac:absPath xmlns:x15ac="http://schemas.microsoft.com/office/spreadsheetml/2010/11/ac" url="C:\Users\Xuan Bac\Downloads\"/>
    </mc:Choice>
  </mc:AlternateContent>
  <xr:revisionPtr revIDLastSave="0" documentId="13_ncr:1_{24E71327-C688-45E7-A9B4-20957FEE5492}" xr6:coauthVersionLast="47" xr6:coauthVersionMax="47" xr10:uidLastSave="{00000000-0000-0000-0000-000000000000}"/>
  <bookViews>
    <workbookView xWindow="-120" yWindow="-120" windowWidth="29040" windowHeight="15720" activeTab="3" xr2:uid="{F422CE06-4778-4D24-A14D-C66D93F86F86}"/>
  </bookViews>
  <sheets>
    <sheet name="Sbox" sheetId="2" r:id="rId1"/>
    <sheet name="k1-16" sheetId="1" r:id="rId2"/>
    <sheet name="F(RxorK)" sheetId="3" r:id="rId3"/>
    <sheet name="r0_l0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22" i="1" l="1"/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O1" i="3" l="1"/>
  <c r="O4" i="3" s="1"/>
  <c r="M3" i="1"/>
  <c r="M19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4" i="1"/>
  <c r="C4" i="1" s="1"/>
  <c r="O3" i="3" l="1"/>
  <c r="B1" i="5"/>
  <c r="D76" i="1"/>
  <c r="D75" i="1"/>
  <c r="D74" i="1" s="1"/>
  <c r="D73" i="1" s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C79" i="1" s="1"/>
  <c r="D18" i="1"/>
  <c r="H3" i="5" l="1"/>
  <c r="B3" i="5"/>
  <c r="G83" i="1"/>
  <c r="B83" i="1"/>
  <c r="B84" i="1" s="1"/>
  <c r="D17" i="1"/>
  <c r="M18" i="1"/>
  <c r="B12" i="5" l="1"/>
  <c r="B14" i="5"/>
  <c r="B17" i="5"/>
  <c r="B27" i="5"/>
  <c r="B10" i="5"/>
  <c r="B24" i="5"/>
  <c r="B32" i="5"/>
  <c r="B36" i="5"/>
  <c r="B20" i="5"/>
  <c r="B6" i="5"/>
  <c r="B34" i="5"/>
  <c r="B37" i="5"/>
  <c r="B7" i="5"/>
  <c r="B26" i="5"/>
  <c r="B19" i="5"/>
  <c r="B31" i="5"/>
  <c r="B30" i="5"/>
  <c r="B33" i="5"/>
  <c r="B13" i="5"/>
  <c r="B25" i="5"/>
  <c r="B28" i="5"/>
  <c r="B15" i="5"/>
  <c r="B16" i="5"/>
  <c r="B35" i="5"/>
  <c r="B18" i="5"/>
  <c r="B9" i="5"/>
  <c r="B11" i="5"/>
  <c r="B29" i="5"/>
  <c r="B22" i="5"/>
  <c r="B8" i="5"/>
  <c r="B23" i="5"/>
  <c r="B21" i="5"/>
  <c r="V6" i="5"/>
  <c r="C6" i="5" s="1"/>
  <c r="V19" i="5"/>
  <c r="C19" i="5" s="1"/>
  <c r="V36" i="5"/>
  <c r="C36" i="5" s="1"/>
  <c r="V24" i="5"/>
  <c r="C24" i="5" s="1"/>
  <c r="V29" i="5"/>
  <c r="C29" i="5" s="1"/>
  <c r="V28" i="5"/>
  <c r="C28" i="5" s="1"/>
  <c r="V35" i="5"/>
  <c r="C35" i="5" s="1"/>
  <c r="V12" i="5"/>
  <c r="C12" i="5" s="1"/>
  <c r="V31" i="5"/>
  <c r="C31" i="5" s="1"/>
  <c r="V14" i="5"/>
  <c r="C14" i="5" s="1"/>
  <c r="V15" i="5"/>
  <c r="C15" i="5" s="1"/>
  <c r="V17" i="5"/>
  <c r="C17" i="5" s="1"/>
  <c r="V26" i="5"/>
  <c r="C26" i="5" s="1"/>
  <c r="V11" i="5"/>
  <c r="C11" i="5" s="1"/>
  <c r="V37" i="5"/>
  <c r="C37" i="5" s="1"/>
  <c r="V9" i="5"/>
  <c r="C9" i="5" s="1"/>
  <c r="V27" i="5"/>
  <c r="C27" i="5" s="1"/>
  <c r="V10" i="5"/>
  <c r="C10" i="5" s="1"/>
  <c r="V13" i="5"/>
  <c r="C13" i="5" s="1"/>
  <c r="V34" i="5"/>
  <c r="C34" i="5" s="1"/>
  <c r="V32" i="5"/>
  <c r="C32" i="5" s="1"/>
  <c r="V8" i="5"/>
  <c r="C8" i="5" s="1"/>
  <c r="V22" i="5"/>
  <c r="C22" i="5" s="1"/>
  <c r="V25" i="5"/>
  <c r="C25" i="5" s="1"/>
  <c r="V16" i="5"/>
  <c r="C16" i="5" s="1"/>
  <c r="V18" i="5"/>
  <c r="C18" i="5" s="1"/>
  <c r="V7" i="5"/>
  <c r="C7" i="5" s="1"/>
  <c r="V20" i="5"/>
  <c r="C20" i="5" s="1"/>
  <c r="V30" i="5"/>
  <c r="C30" i="5" s="1"/>
  <c r="V23" i="5"/>
  <c r="C23" i="5" s="1"/>
  <c r="V21" i="5"/>
  <c r="C21" i="5" s="1"/>
  <c r="V33" i="5"/>
  <c r="C33" i="5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B85" i="1"/>
  <c r="D16" i="1"/>
  <c r="M17" i="1"/>
  <c r="J43" i="5" l="1"/>
  <c r="P83" i="1"/>
  <c r="B115" i="1" s="1"/>
  <c r="H16" i="3" s="1"/>
  <c r="B151" i="1"/>
  <c r="H52" i="3" s="1"/>
  <c r="B116" i="1"/>
  <c r="H17" i="3" s="1"/>
  <c r="B128" i="1"/>
  <c r="H29" i="3" s="1"/>
  <c r="B140" i="1"/>
  <c r="H41" i="3" s="1"/>
  <c r="B152" i="1"/>
  <c r="H53" i="3" s="1"/>
  <c r="B118" i="1"/>
  <c r="H19" i="3" s="1"/>
  <c r="B130" i="1"/>
  <c r="H31" i="3" s="1"/>
  <c r="B142" i="1"/>
  <c r="H43" i="3" s="1"/>
  <c r="B154" i="1"/>
  <c r="H55" i="3" s="1"/>
  <c r="B119" i="1"/>
  <c r="H20" i="3" s="1"/>
  <c r="B131" i="1"/>
  <c r="H32" i="3" s="1"/>
  <c r="B143" i="1"/>
  <c r="H44" i="3" s="1"/>
  <c r="B120" i="1"/>
  <c r="H21" i="3" s="1"/>
  <c r="B132" i="1"/>
  <c r="H33" i="3" s="1"/>
  <c r="B144" i="1"/>
  <c r="H45" i="3" s="1"/>
  <c r="B121" i="1"/>
  <c r="H22" i="3" s="1"/>
  <c r="B133" i="1"/>
  <c r="H34" i="3" s="1"/>
  <c r="B145" i="1"/>
  <c r="H46" i="3" s="1"/>
  <c r="B110" i="1"/>
  <c r="H11" i="3" s="1"/>
  <c r="B122" i="1"/>
  <c r="H23" i="3" s="1"/>
  <c r="B134" i="1"/>
  <c r="H35" i="3" s="1"/>
  <c r="B146" i="1"/>
  <c r="H47" i="3" s="1"/>
  <c r="B111" i="1"/>
  <c r="H12" i="3" s="1"/>
  <c r="B123" i="1"/>
  <c r="H24" i="3" s="1"/>
  <c r="B135" i="1"/>
  <c r="H36" i="3" s="1"/>
  <c r="B147" i="1"/>
  <c r="H48" i="3" s="1"/>
  <c r="B112" i="1"/>
  <c r="H13" i="3" s="1"/>
  <c r="B124" i="1"/>
  <c r="H25" i="3" s="1"/>
  <c r="B136" i="1"/>
  <c r="H37" i="3" s="1"/>
  <c r="B148" i="1"/>
  <c r="H49" i="3" s="1"/>
  <c r="B113" i="1"/>
  <c r="H14" i="3" s="1"/>
  <c r="B125" i="1"/>
  <c r="H26" i="3" s="1"/>
  <c r="B137" i="1"/>
  <c r="H38" i="3" s="1"/>
  <c r="B149" i="1"/>
  <c r="H50" i="3" s="1"/>
  <c r="B114" i="1"/>
  <c r="H15" i="3" s="1"/>
  <c r="B126" i="1"/>
  <c r="H27" i="3" s="1"/>
  <c r="B138" i="1"/>
  <c r="H39" i="3" s="1"/>
  <c r="B150" i="1"/>
  <c r="H51" i="3" s="1"/>
  <c r="B129" i="1"/>
  <c r="H30" i="3" s="1"/>
  <c r="B141" i="1"/>
  <c r="H42" i="3" s="1"/>
  <c r="B153" i="1"/>
  <c r="H54" i="3" s="1"/>
  <c r="B117" i="1"/>
  <c r="H18" i="3" s="1"/>
  <c r="B86" i="1"/>
  <c r="P84" i="1"/>
  <c r="C108" i="1" s="1"/>
  <c r="D15" i="1"/>
  <c r="M16" i="1"/>
  <c r="B139" i="1" l="1"/>
  <c r="H40" i="3" s="1"/>
  <c r="B127" i="1"/>
  <c r="H28" i="3" s="1"/>
  <c r="B155" i="1"/>
  <c r="H56" i="3" s="1"/>
  <c r="B108" i="1"/>
  <c r="H9" i="3" s="1"/>
  <c r="B109" i="1"/>
  <c r="H10" i="3" s="1"/>
  <c r="B158" i="1"/>
  <c r="C115" i="1"/>
  <c r="C127" i="1"/>
  <c r="C139" i="1"/>
  <c r="C151" i="1"/>
  <c r="C116" i="1"/>
  <c r="C128" i="1"/>
  <c r="C140" i="1"/>
  <c r="C152" i="1"/>
  <c r="C118" i="1"/>
  <c r="C130" i="1"/>
  <c r="C142" i="1"/>
  <c r="C154" i="1"/>
  <c r="C119" i="1"/>
  <c r="C131" i="1"/>
  <c r="C143" i="1"/>
  <c r="C155" i="1"/>
  <c r="C120" i="1"/>
  <c r="C132" i="1"/>
  <c r="C144" i="1"/>
  <c r="C109" i="1"/>
  <c r="C121" i="1"/>
  <c r="C133" i="1"/>
  <c r="C145" i="1"/>
  <c r="C110" i="1"/>
  <c r="C122" i="1"/>
  <c r="C134" i="1"/>
  <c r="C146" i="1"/>
  <c r="C111" i="1"/>
  <c r="C123" i="1"/>
  <c r="C135" i="1"/>
  <c r="C147" i="1"/>
  <c r="C112" i="1"/>
  <c r="C124" i="1"/>
  <c r="C136" i="1"/>
  <c r="C148" i="1"/>
  <c r="C113" i="1"/>
  <c r="C125" i="1"/>
  <c r="C137" i="1"/>
  <c r="C149" i="1"/>
  <c r="C114" i="1"/>
  <c r="C126" i="1"/>
  <c r="C138" i="1"/>
  <c r="C150" i="1"/>
  <c r="C129" i="1"/>
  <c r="C117" i="1"/>
  <c r="C153" i="1"/>
  <c r="C141" i="1"/>
  <c r="B87" i="1"/>
  <c r="P85" i="1"/>
  <c r="D14" i="1"/>
  <c r="M15" i="1"/>
  <c r="H62" i="3" l="1"/>
  <c r="C74" i="3" s="1"/>
  <c r="B159" i="1"/>
  <c r="C176" i="1" s="1"/>
  <c r="B177" i="1"/>
  <c r="B176" i="1"/>
  <c r="B88" i="1"/>
  <c r="P86" i="1"/>
  <c r="B180" i="1"/>
  <c r="B181" i="1"/>
  <c r="B178" i="1"/>
  <c r="B179" i="1"/>
  <c r="D115" i="1"/>
  <c r="D127" i="1"/>
  <c r="D139" i="1"/>
  <c r="D151" i="1"/>
  <c r="D116" i="1"/>
  <c r="D128" i="1"/>
  <c r="D140" i="1"/>
  <c r="D152" i="1"/>
  <c r="D118" i="1"/>
  <c r="D130" i="1"/>
  <c r="D142" i="1"/>
  <c r="D154" i="1"/>
  <c r="D119" i="1"/>
  <c r="D131" i="1"/>
  <c r="D143" i="1"/>
  <c r="D155" i="1"/>
  <c r="D120" i="1"/>
  <c r="D132" i="1"/>
  <c r="D144" i="1"/>
  <c r="D108" i="1"/>
  <c r="D109" i="1"/>
  <c r="D121" i="1"/>
  <c r="D133" i="1"/>
  <c r="D145" i="1"/>
  <c r="D110" i="1"/>
  <c r="D122" i="1"/>
  <c r="D134" i="1"/>
  <c r="D146" i="1"/>
  <c r="D111" i="1"/>
  <c r="D123" i="1"/>
  <c r="D135" i="1"/>
  <c r="D147" i="1"/>
  <c r="D112" i="1"/>
  <c r="D124" i="1"/>
  <c r="D136" i="1"/>
  <c r="D148" i="1"/>
  <c r="D113" i="1"/>
  <c r="D125" i="1"/>
  <c r="D137" i="1"/>
  <c r="D149" i="1"/>
  <c r="D114" i="1"/>
  <c r="D126" i="1"/>
  <c r="D138" i="1"/>
  <c r="D150" i="1"/>
  <c r="D117" i="1"/>
  <c r="D129" i="1"/>
  <c r="D141" i="1"/>
  <c r="D153" i="1"/>
  <c r="H63" i="3"/>
  <c r="C75" i="3" s="1"/>
  <c r="H66" i="3"/>
  <c r="C78" i="3" s="1"/>
  <c r="H64" i="3"/>
  <c r="C76" i="3" s="1"/>
  <c r="H67" i="3"/>
  <c r="C79" i="3" s="1"/>
  <c r="H68" i="3"/>
  <c r="C80" i="3" s="1"/>
  <c r="H65" i="3"/>
  <c r="C77" i="3" s="1"/>
  <c r="H69" i="3"/>
  <c r="C81" i="3" s="1"/>
  <c r="D13" i="1"/>
  <c r="M14" i="1"/>
  <c r="C177" i="1" l="1"/>
  <c r="V74" i="3" a="1"/>
  <c r="V74" i="3" s="1"/>
  <c r="W6" i="5" s="1"/>
  <c r="C181" i="1"/>
  <c r="C180" i="1"/>
  <c r="C179" i="1"/>
  <c r="C178" i="1"/>
  <c r="B160" i="1"/>
  <c r="E115" i="1"/>
  <c r="E127" i="1"/>
  <c r="E139" i="1"/>
  <c r="E151" i="1"/>
  <c r="E116" i="1"/>
  <c r="E128" i="1"/>
  <c r="E140" i="1"/>
  <c r="E152" i="1"/>
  <c r="E118" i="1"/>
  <c r="E130" i="1"/>
  <c r="E142" i="1"/>
  <c r="E154" i="1"/>
  <c r="E119" i="1"/>
  <c r="E131" i="1"/>
  <c r="E143" i="1"/>
  <c r="E155" i="1"/>
  <c r="E120" i="1"/>
  <c r="E132" i="1"/>
  <c r="E144" i="1"/>
  <c r="E108" i="1"/>
  <c r="E109" i="1"/>
  <c r="E121" i="1"/>
  <c r="E133" i="1"/>
  <c r="E145" i="1"/>
  <c r="E110" i="1"/>
  <c r="E122" i="1"/>
  <c r="E134" i="1"/>
  <c r="E146" i="1"/>
  <c r="E111" i="1"/>
  <c r="E123" i="1"/>
  <c r="E135" i="1"/>
  <c r="E147" i="1"/>
  <c r="E112" i="1"/>
  <c r="E124" i="1"/>
  <c r="E136" i="1"/>
  <c r="E148" i="1"/>
  <c r="E113" i="1"/>
  <c r="E125" i="1"/>
  <c r="E137" i="1"/>
  <c r="E149" i="1"/>
  <c r="E114" i="1"/>
  <c r="E126" i="1"/>
  <c r="E138" i="1"/>
  <c r="E150" i="1"/>
  <c r="E129" i="1"/>
  <c r="E153" i="1"/>
  <c r="E141" i="1"/>
  <c r="E117" i="1"/>
  <c r="B89" i="1"/>
  <c r="P87" i="1"/>
  <c r="D12" i="1"/>
  <c r="M13" i="1"/>
  <c r="W10" i="5" l="1"/>
  <c r="D10" i="5" s="1"/>
  <c r="W11" i="5"/>
  <c r="D11" i="5" s="1"/>
  <c r="W33" i="5"/>
  <c r="D33" i="5" s="1"/>
  <c r="W27" i="5"/>
  <c r="D27" i="5" s="1"/>
  <c r="W20" i="5"/>
  <c r="D20" i="5" s="1"/>
  <c r="W37" i="5"/>
  <c r="D37" i="5" s="1"/>
  <c r="W35" i="5"/>
  <c r="D35" i="5" s="1"/>
  <c r="W17" i="5"/>
  <c r="D17" i="5" s="1"/>
  <c r="W34" i="5"/>
  <c r="D34" i="5" s="1"/>
  <c r="W8" i="5"/>
  <c r="D8" i="5" s="1"/>
  <c r="W31" i="5"/>
  <c r="D31" i="5" s="1"/>
  <c r="W22" i="5"/>
  <c r="D22" i="5" s="1"/>
  <c r="W12" i="5"/>
  <c r="D12" i="5" s="1"/>
  <c r="W15" i="5"/>
  <c r="D15" i="5" s="1"/>
  <c r="W24" i="5"/>
  <c r="D24" i="5" s="1"/>
  <c r="W29" i="5"/>
  <c r="D29" i="5" s="1"/>
  <c r="W30" i="5"/>
  <c r="D30" i="5" s="1"/>
  <c r="W13" i="5"/>
  <c r="D13" i="5" s="1"/>
  <c r="W25" i="5"/>
  <c r="D25" i="5" s="1"/>
  <c r="W36" i="5"/>
  <c r="D36" i="5" s="1"/>
  <c r="W16" i="5"/>
  <c r="D16" i="5" s="1"/>
  <c r="W7" i="5"/>
  <c r="W21" i="5"/>
  <c r="D21" i="5" s="1"/>
  <c r="W28" i="5"/>
  <c r="D28" i="5" s="1"/>
  <c r="W14" i="5"/>
  <c r="D14" i="5" s="1"/>
  <c r="D6" i="5"/>
  <c r="W32" i="5"/>
  <c r="D32" i="5" s="1"/>
  <c r="W19" i="5"/>
  <c r="D19" i="5" s="1"/>
  <c r="W18" i="5"/>
  <c r="D18" i="5" s="1"/>
  <c r="W23" i="5"/>
  <c r="D23" i="5" s="1"/>
  <c r="W26" i="5"/>
  <c r="D26" i="5" s="1"/>
  <c r="W9" i="5"/>
  <c r="D9" i="5" s="1"/>
  <c r="B90" i="1"/>
  <c r="P88" i="1"/>
  <c r="B161" i="1"/>
  <c r="F115" i="1"/>
  <c r="F127" i="1"/>
  <c r="F139" i="1"/>
  <c r="F151" i="1"/>
  <c r="F129" i="1"/>
  <c r="F116" i="1"/>
  <c r="F128" i="1"/>
  <c r="F140" i="1"/>
  <c r="F152" i="1"/>
  <c r="F118" i="1"/>
  <c r="F130" i="1"/>
  <c r="F142" i="1"/>
  <c r="F154" i="1"/>
  <c r="F119" i="1"/>
  <c r="F131" i="1"/>
  <c r="F143" i="1"/>
  <c r="F155" i="1"/>
  <c r="F141" i="1"/>
  <c r="F120" i="1"/>
  <c r="F132" i="1"/>
  <c r="F144" i="1"/>
  <c r="F108" i="1"/>
  <c r="F109" i="1"/>
  <c r="F121" i="1"/>
  <c r="F133" i="1"/>
  <c r="F145" i="1"/>
  <c r="F110" i="1"/>
  <c r="F122" i="1"/>
  <c r="F134" i="1"/>
  <c r="F146" i="1"/>
  <c r="F111" i="1"/>
  <c r="F123" i="1"/>
  <c r="F135" i="1"/>
  <c r="F147" i="1"/>
  <c r="F112" i="1"/>
  <c r="F124" i="1"/>
  <c r="F136" i="1"/>
  <c r="F148" i="1"/>
  <c r="F113" i="1"/>
  <c r="F125" i="1"/>
  <c r="F137" i="1"/>
  <c r="F149" i="1"/>
  <c r="F114" i="1"/>
  <c r="F126" i="1"/>
  <c r="F138" i="1"/>
  <c r="F150" i="1"/>
  <c r="F153" i="1"/>
  <c r="F117" i="1"/>
  <c r="D176" i="1"/>
  <c r="D177" i="1"/>
  <c r="D178" i="1"/>
  <c r="D179" i="1"/>
  <c r="D180" i="1"/>
  <c r="D181" i="1"/>
  <c r="D11" i="1"/>
  <c r="M12" i="1"/>
  <c r="D7" i="5" l="1"/>
  <c r="C43" i="5"/>
  <c r="I9" i="3" s="1"/>
  <c r="J44" i="5"/>
  <c r="E176" i="1"/>
  <c r="E179" i="1"/>
  <c r="E180" i="1"/>
  <c r="E181" i="1"/>
  <c r="E177" i="1"/>
  <c r="E178" i="1"/>
  <c r="G115" i="1"/>
  <c r="G127" i="1"/>
  <c r="G139" i="1"/>
  <c r="G151" i="1"/>
  <c r="G116" i="1"/>
  <c r="G128" i="1"/>
  <c r="G140" i="1"/>
  <c r="G152" i="1"/>
  <c r="G141" i="1"/>
  <c r="G118" i="1"/>
  <c r="G130" i="1"/>
  <c r="G142" i="1"/>
  <c r="G154" i="1"/>
  <c r="G119" i="1"/>
  <c r="G131" i="1"/>
  <c r="G143" i="1"/>
  <c r="G155" i="1"/>
  <c r="G120" i="1"/>
  <c r="G132" i="1"/>
  <c r="G144" i="1"/>
  <c r="G108" i="1"/>
  <c r="G109" i="1"/>
  <c r="G121" i="1"/>
  <c r="G133" i="1"/>
  <c r="G145" i="1"/>
  <c r="G117" i="1"/>
  <c r="G110" i="1"/>
  <c r="G122" i="1"/>
  <c r="G134" i="1"/>
  <c r="G146" i="1"/>
  <c r="G111" i="1"/>
  <c r="G123" i="1"/>
  <c r="G135" i="1"/>
  <c r="G147" i="1"/>
  <c r="G129" i="1"/>
  <c r="G112" i="1"/>
  <c r="G124" i="1"/>
  <c r="G136" i="1"/>
  <c r="G148" i="1"/>
  <c r="G113" i="1"/>
  <c r="G125" i="1"/>
  <c r="G137" i="1"/>
  <c r="G149" i="1"/>
  <c r="G114" i="1"/>
  <c r="G126" i="1"/>
  <c r="G138" i="1"/>
  <c r="G150" i="1"/>
  <c r="G153" i="1"/>
  <c r="B162" i="1"/>
  <c r="B91" i="1"/>
  <c r="P89" i="1"/>
  <c r="D10" i="1"/>
  <c r="M11" i="1"/>
  <c r="I22" i="3" l="1"/>
  <c r="I35" i="3"/>
  <c r="I43" i="3"/>
  <c r="I13" i="3"/>
  <c r="I47" i="3"/>
  <c r="I42" i="3"/>
  <c r="I11" i="3"/>
  <c r="I34" i="3"/>
  <c r="I49" i="3"/>
  <c r="I15" i="3"/>
  <c r="I32" i="3"/>
  <c r="I20" i="3"/>
  <c r="I14" i="3"/>
  <c r="I48" i="3"/>
  <c r="I50" i="3"/>
  <c r="I33" i="3"/>
  <c r="I41" i="3"/>
  <c r="I51" i="3"/>
  <c r="I37" i="3"/>
  <c r="I36" i="3"/>
  <c r="I52" i="3"/>
  <c r="I19" i="3"/>
  <c r="I26" i="3"/>
  <c r="I10" i="3"/>
  <c r="I24" i="3"/>
  <c r="I16" i="3"/>
  <c r="I40" i="3"/>
  <c r="I45" i="3"/>
  <c r="I23" i="3"/>
  <c r="I56" i="3"/>
  <c r="I17" i="3"/>
  <c r="I46" i="3"/>
  <c r="I27" i="3"/>
  <c r="I55" i="3"/>
  <c r="I44" i="3"/>
  <c r="I12" i="3"/>
  <c r="I38" i="3"/>
  <c r="I54" i="3"/>
  <c r="I39" i="3"/>
  <c r="I31" i="3"/>
  <c r="I28" i="3"/>
  <c r="I25" i="3"/>
  <c r="I18" i="3"/>
  <c r="I29" i="3"/>
  <c r="I30" i="3"/>
  <c r="I21" i="3"/>
  <c r="I53" i="3"/>
  <c r="H115" i="1"/>
  <c r="H127" i="1"/>
  <c r="H139" i="1"/>
  <c r="H151" i="1"/>
  <c r="H116" i="1"/>
  <c r="H128" i="1"/>
  <c r="H140" i="1"/>
  <c r="H152" i="1"/>
  <c r="H118" i="1"/>
  <c r="H130" i="1"/>
  <c r="H142" i="1"/>
  <c r="H154" i="1"/>
  <c r="H141" i="1"/>
  <c r="H119" i="1"/>
  <c r="H131" i="1"/>
  <c r="H143" i="1"/>
  <c r="H155" i="1"/>
  <c r="H117" i="1"/>
  <c r="H120" i="1"/>
  <c r="H132" i="1"/>
  <c r="H144" i="1"/>
  <c r="H108" i="1"/>
  <c r="H153" i="1"/>
  <c r="H109" i="1"/>
  <c r="H121" i="1"/>
  <c r="H133" i="1"/>
  <c r="H145" i="1"/>
  <c r="H110" i="1"/>
  <c r="H122" i="1"/>
  <c r="H134" i="1"/>
  <c r="H146" i="1"/>
  <c r="H111" i="1"/>
  <c r="H123" i="1"/>
  <c r="H135" i="1"/>
  <c r="H147" i="1"/>
  <c r="H112" i="1"/>
  <c r="H124" i="1"/>
  <c r="H136" i="1"/>
  <c r="H148" i="1"/>
  <c r="H113" i="1"/>
  <c r="H125" i="1"/>
  <c r="H137" i="1"/>
  <c r="H149" i="1"/>
  <c r="H129" i="1"/>
  <c r="H114" i="1"/>
  <c r="H126" i="1"/>
  <c r="H138" i="1"/>
  <c r="H150" i="1"/>
  <c r="F178" i="1"/>
  <c r="F179" i="1"/>
  <c r="F180" i="1"/>
  <c r="F181" i="1"/>
  <c r="F177" i="1"/>
  <c r="F176" i="1"/>
  <c r="B92" i="1"/>
  <c r="P90" i="1"/>
  <c r="B163" i="1"/>
  <c r="D9" i="1"/>
  <c r="M10" i="1"/>
  <c r="I64" i="3" l="1"/>
  <c r="D76" i="3" s="1"/>
  <c r="I62" i="3"/>
  <c r="D74" i="3" s="1"/>
  <c r="I68" i="3"/>
  <c r="D80" i="3" s="1"/>
  <c r="I65" i="3"/>
  <c r="D77" i="3" s="1"/>
  <c r="I69" i="3"/>
  <c r="D81" i="3" s="1"/>
  <c r="I63" i="3"/>
  <c r="D75" i="3" s="1"/>
  <c r="I66" i="3"/>
  <c r="D78" i="3" s="1"/>
  <c r="I67" i="3"/>
  <c r="D79" i="3" s="1"/>
  <c r="B164" i="1"/>
  <c r="I111" i="1"/>
  <c r="I123" i="1"/>
  <c r="I135" i="1"/>
  <c r="I147" i="1"/>
  <c r="I112" i="1"/>
  <c r="I124" i="1"/>
  <c r="I136" i="1"/>
  <c r="I148" i="1"/>
  <c r="I137" i="1"/>
  <c r="I114" i="1"/>
  <c r="I126" i="1"/>
  <c r="I138" i="1"/>
  <c r="I150" i="1"/>
  <c r="I115" i="1"/>
  <c r="I127" i="1"/>
  <c r="I139" i="1"/>
  <c r="I151" i="1"/>
  <c r="I116" i="1"/>
  <c r="I128" i="1"/>
  <c r="I140" i="1"/>
  <c r="I152" i="1"/>
  <c r="I108" i="1"/>
  <c r="I149" i="1"/>
  <c r="I117" i="1"/>
  <c r="I129" i="1"/>
  <c r="I141" i="1"/>
  <c r="I153" i="1"/>
  <c r="I113" i="1"/>
  <c r="I118" i="1"/>
  <c r="I130" i="1"/>
  <c r="I142" i="1"/>
  <c r="I154" i="1"/>
  <c r="I119" i="1"/>
  <c r="I131" i="1"/>
  <c r="I143" i="1"/>
  <c r="I155" i="1"/>
  <c r="I125" i="1"/>
  <c r="I120" i="1"/>
  <c r="I132" i="1"/>
  <c r="I144" i="1"/>
  <c r="I109" i="1"/>
  <c r="I121" i="1"/>
  <c r="I133" i="1"/>
  <c r="I145" i="1"/>
  <c r="I110" i="1"/>
  <c r="I122" i="1"/>
  <c r="I134" i="1"/>
  <c r="I146" i="1"/>
  <c r="B93" i="1"/>
  <c r="P91" i="1"/>
  <c r="G179" i="1"/>
  <c r="G178" i="1"/>
  <c r="G177" i="1"/>
  <c r="G181" i="1"/>
  <c r="G176" i="1"/>
  <c r="G180" i="1"/>
  <c r="D8" i="1"/>
  <c r="M9" i="1"/>
  <c r="V75" i="3" l="1" a="1"/>
  <c r="V75" i="3" s="1"/>
  <c r="X6" i="5" s="1"/>
  <c r="B165" i="1"/>
  <c r="I181" i="1" s="1"/>
  <c r="J110" i="1"/>
  <c r="J122" i="1"/>
  <c r="J134" i="1"/>
  <c r="J146" i="1"/>
  <c r="J111" i="1"/>
  <c r="J123" i="1"/>
  <c r="J135" i="1"/>
  <c r="J147" i="1"/>
  <c r="J113" i="1"/>
  <c r="J125" i="1"/>
  <c r="J137" i="1"/>
  <c r="J149" i="1"/>
  <c r="J114" i="1"/>
  <c r="J126" i="1"/>
  <c r="J138" i="1"/>
  <c r="J150" i="1"/>
  <c r="J108" i="1"/>
  <c r="J124" i="1"/>
  <c r="J115" i="1"/>
  <c r="J127" i="1"/>
  <c r="J139" i="1"/>
  <c r="J151" i="1"/>
  <c r="J112" i="1"/>
  <c r="J116" i="1"/>
  <c r="J128" i="1"/>
  <c r="J140" i="1"/>
  <c r="J152" i="1"/>
  <c r="J117" i="1"/>
  <c r="J129" i="1"/>
  <c r="J141" i="1"/>
  <c r="J153" i="1"/>
  <c r="J148" i="1"/>
  <c r="J118" i="1"/>
  <c r="J130" i="1"/>
  <c r="J142" i="1"/>
  <c r="J154" i="1"/>
  <c r="J119" i="1"/>
  <c r="J131" i="1"/>
  <c r="J143" i="1"/>
  <c r="J155" i="1"/>
  <c r="J136" i="1"/>
  <c r="J120" i="1"/>
  <c r="J132" i="1"/>
  <c r="J144" i="1"/>
  <c r="J109" i="1"/>
  <c r="J121" i="1"/>
  <c r="J133" i="1"/>
  <c r="J145" i="1"/>
  <c r="B94" i="1"/>
  <c r="P92" i="1"/>
  <c r="H180" i="1"/>
  <c r="H179" i="1"/>
  <c r="H178" i="1"/>
  <c r="H177" i="1"/>
  <c r="H176" i="1"/>
  <c r="H181" i="1"/>
  <c r="D7" i="1"/>
  <c r="M8" i="1"/>
  <c r="I176" i="1" l="1"/>
  <c r="I177" i="1"/>
  <c r="I178" i="1"/>
  <c r="I179" i="1"/>
  <c r="I180" i="1"/>
  <c r="B166" i="1"/>
  <c r="J177" i="1" s="1"/>
  <c r="B95" i="1"/>
  <c r="P93" i="1"/>
  <c r="K109" i="1"/>
  <c r="K121" i="1"/>
  <c r="K133" i="1"/>
  <c r="K145" i="1"/>
  <c r="K135" i="1"/>
  <c r="K110" i="1"/>
  <c r="K122" i="1"/>
  <c r="K134" i="1"/>
  <c r="K146" i="1"/>
  <c r="K147" i="1"/>
  <c r="K112" i="1"/>
  <c r="K124" i="1"/>
  <c r="K136" i="1"/>
  <c r="K148" i="1"/>
  <c r="K108" i="1"/>
  <c r="K113" i="1"/>
  <c r="K125" i="1"/>
  <c r="K137" i="1"/>
  <c r="K149" i="1"/>
  <c r="K111" i="1"/>
  <c r="K114" i="1"/>
  <c r="K126" i="1"/>
  <c r="K138" i="1"/>
  <c r="K150" i="1"/>
  <c r="K115" i="1"/>
  <c r="K127" i="1"/>
  <c r="K139" i="1"/>
  <c r="K151" i="1"/>
  <c r="K116" i="1"/>
  <c r="K128" i="1"/>
  <c r="K140" i="1"/>
  <c r="K152" i="1"/>
  <c r="K117" i="1"/>
  <c r="K129" i="1"/>
  <c r="K141" i="1"/>
  <c r="K153" i="1"/>
  <c r="K123" i="1"/>
  <c r="K118" i="1"/>
  <c r="K130" i="1"/>
  <c r="K142" i="1"/>
  <c r="K154" i="1"/>
  <c r="K119" i="1"/>
  <c r="K131" i="1"/>
  <c r="K143" i="1"/>
  <c r="K155" i="1"/>
  <c r="K120" i="1"/>
  <c r="K132" i="1"/>
  <c r="K144" i="1"/>
  <c r="D6" i="1"/>
  <c r="M7" i="1"/>
  <c r="J178" i="1" l="1"/>
  <c r="J179" i="1"/>
  <c r="J180" i="1"/>
  <c r="J181" i="1"/>
  <c r="B167" i="1"/>
  <c r="K181" i="1" s="1"/>
  <c r="J176" i="1"/>
  <c r="L120" i="1"/>
  <c r="L132" i="1"/>
  <c r="L144" i="1"/>
  <c r="L108" i="1"/>
  <c r="L109" i="1"/>
  <c r="L121" i="1"/>
  <c r="L133" i="1"/>
  <c r="L145" i="1"/>
  <c r="L111" i="1"/>
  <c r="L123" i="1"/>
  <c r="L135" i="1"/>
  <c r="L147" i="1"/>
  <c r="L110" i="1"/>
  <c r="L112" i="1"/>
  <c r="L124" i="1"/>
  <c r="L136" i="1"/>
  <c r="L148" i="1"/>
  <c r="L113" i="1"/>
  <c r="L125" i="1"/>
  <c r="L137" i="1"/>
  <c r="L149" i="1"/>
  <c r="L146" i="1"/>
  <c r="L114" i="1"/>
  <c r="L126" i="1"/>
  <c r="L138" i="1"/>
  <c r="L150" i="1"/>
  <c r="L122" i="1"/>
  <c r="L115" i="1"/>
  <c r="L127" i="1"/>
  <c r="L139" i="1"/>
  <c r="L151" i="1"/>
  <c r="L134" i="1"/>
  <c r="L116" i="1"/>
  <c r="L128" i="1"/>
  <c r="L140" i="1"/>
  <c r="L152" i="1"/>
  <c r="L117" i="1"/>
  <c r="L129" i="1"/>
  <c r="L141" i="1"/>
  <c r="L153" i="1"/>
  <c r="L118" i="1"/>
  <c r="L130" i="1"/>
  <c r="L142" i="1"/>
  <c r="L154" i="1"/>
  <c r="L119" i="1"/>
  <c r="L131" i="1"/>
  <c r="L143" i="1"/>
  <c r="L155" i="1"/>
  <c r="B96" i="1"/>
  <c r="P94" i="1"/>
  <c r="D5" i="1"/>
  <c r="M6" i="1"/>
  <c r="K178" i="1" l="1"/>
  <c r="K177" i="1"/>
  <c r="K176" i="1"/>
  <c r="K179" i="1"/>
  <c r="K180" i="1"/>
  <c r="M119" i="1"/>
  <c r="M131" i="1"/>
  <c r="M143" i="1"/>
  <c r="M155" i="1"/>
  <c r="M120" i="1"/>
  <c r="M132" i="1"/>
  <c r="M144" i="1"/>
  <c r="M108" i="1"/>
  <c r="M121" i="1"/>
  <c r="M110" i="1"/>
  <c r="M122" i="1"/>
  <c r="M134" i="1"/>
  <c r="M146" i="1"/>
  <c r="M111" i="1"/>
  <c r="M123" i="1"/>
  <c r="M135" i="1"/>
  <c r="M147" i="1"/>
  <c r="M112" i="1"/>
  <c r="M124" i="1"/>
  <c r="M136" i="1"/>
  <c r="M148" i="1"/>
  <c r="M133" i="1"/>
  <c r="M113" i="1"/>
  <c r="M125" i="1"/>
  <c r="M137" i="1"/>
  <c r="M149" i="1"/>
  <c r="M114" i="1"/>
  <c r="M126" i="1"/>
  <c r="M138" i="1"/>
  <c r="M150" i="1"/>
  <c r="M115" i="1"/>
  <c r="M127" i="1"/>
  <c r="M139" i="1"/>
  <c r="M151" i="1"/>
  <c r="M109" i="1"/>
  <c r="M116" i="1"/>
  <c r="M128" i="1"/>
  <c r="M140" i="1"/>
  <c r="M152" i="1"/>
  <c r="M117" i="1"/>
  <c r="M129" i="1"/>
  <c r="M141" i="1"/>
  <c r="M153" i="1"/>
  <c r="M145" i="1"/>
  <c r="M118" i="1"/>
  <c r="M130" i="1"/>
  <c r="M142" i="1"/>
  <c r="M154" i="1"/>
  <c r="B97" i="1"/>
  <c r="P95" i="1"/>
  <c r="B168" i="1"/>
  <c r="D4" i="1"/>
  <c r="M4" i="1" s="1"/>
  <c r="M5" i="1"/>
  <c r="B169" i="1" l="1"/>
  <c r="L181" i="1"/>
  <c r="L180" i="1"/>
  <c r="L179" i="1"/>
  <c r="L176" i="1"/>
  <c r="L178" i="1"/>
  <c r="L177" i="1"/>
  <c r="N118" i="1"/>
  <c r="N130" i="1"/>
  <c r="N142" i="1"/>
  <c r="N154" i="1"/>
  <c r="N108" i="1"/>
  <c r="N132" i="1"/>
  <c r="N119" i="1"/>
  <c r="N131" i="1"/>
  <c r="N143" i="1"/>
  <c r="N155" i="1"/>
  <c r="N109" i="1"/>
  <c r="N121" i="1"/>
  <c r="N133" i="1"/>
  <c r="N145" i="1"/>
  <c r="N110" i="1"/>
  <c r="N122" i="1"/>
  <c r="N134" i="1"/>
  <c r="N146" i="1"/>
  <c r="N144" i="1"/>
  <c r="N111" i="1"/>
  <c r="N123" i="1"/>
  <c r="N135" i="1"/>
  <c r="N147" i="1"/>
  <c r="N112" i="1"/>
  <c r="N124" i="1"/>
  <c r="N136" i="1"/>
  <c r="N148" i="1"/>
  <c r="N113" i="1"/>
  <c r="N125" i="1"/>
  <c r="N137" i="1"/>
  <c r="N149" i="1"/>
  <c r="N120" i="1"/>
  <c r="N114" i="1"/>
  <c r="N126" i="1"/>
  <c r="N138" i="1"/>
  <c r="N150" i="1"/>
  <c r="N115" i="1"/>
  <c r="N127" i="1"/>
  <c r="N139" i="1"/>
  <c r="N151" i="1"/>
  <c r="N116" i="1"/>
  <c r="N128" i="1"/>
  <c r="N140" i="1"/>
  <c r="N152" i="1"/>
  <c r="N117" i="1"/>
  <c r="N129" i="1"/>
  <c r="N141" i="1"/>
  <c r="N153" i="1"/>
  <c r="B98" i="1"/>
  <c r="B99" i="1" s="1"/>
  <c r="P96" i="1"/>
  <c r="X11" i="5"/>
  <c r="E11" i="5" s="1"/>
  <c r="X27" i="5"/>
  <c r="E27" i="5" s="1"/>
  <c r="X34" i="5"/>
  <c r="E34" i="5" s="1"/>
  <c r="X25" i="5"/>
  <c r="E25" i="5" s="1"/>
  <c r="X8" i="5"/>
  <c r="E8" i="5" s="1"/>
  <c r="X14" i="5"/>
  <c r="E14" i="5" s="1"/>
  <c r="X26" i="5"/>
  <c r="E26" i="5" s="1"/>
  <c r="X17" i="5"/>
  <c r="E17" i="5" s="1"/>
  <c r="X18" i="5"/>
  <c r="E18" i="5" s="1"/>
  <c r="X9" i="5"/>
  <c r="E9" i="5" s="1"/>
  <c r="X30" i="5"/>
  <c r="E30" i="5" s="1"/>
  <c r="X22" i="5"/>
  <c r="E22" i="5" s="1"/>
  <c r="X23" i="5"/>
  <c r="E23" i="5" s="1"/>
  <c r="X36" i="5"/>
  <c r="E36" i="5" s="1"/>
  <c r="X10" i="5"/>
  <c r="E10" i="5" s="1"/>
  <c r="X37" i="5"/>
  <c r="E37" i="5" s="1"/>
  <c r="X29" i="5"/>
  <c r="E29" i="5" s="1"/>
  <c r="X24" i="5"/>
  <c r="E24" i="5" s="1"/>
  <c r="X16" i="5"/>
  <c r="E16" i="5" s="1"/>
  <c r="X21" i="5"/>
  <c r="E21" i="5" s="1"/>
  <c r="X15" i="5"/>
  <c r="E15" i="5" s="1"/>
  <c r="X28" i="5"/>
  <c r="E28" i="5" s="1"/>
  <c r="X35" i="5"/>
  <c r="E35" i="5" s="1"/>
  <c r="X13" i="5"/>
  <c r="E13" i="5" s="1"/>
  <c r="X12" i="5"/>
  <c r="E12" i="5" s="1"/>
  <c r="X33" i="5"/>
  <c r="E33" i="5" s="1"/>
  <c r="X31" i="5"/>
  <c r="E31" i="5" s="1"/>
  <c r="X7" i="5"/>
  <c r="E7" i="5" s="1"/>
  <c r="X20" i="5"/>
  <c r="E20" i="5" s="1"/>
  <c r="X19" i="5"/>
  <c r="E19" i="5" s="1"/>
  <c r="X32" i="5"/>
  <c r="E32" i="5" s="1"/>
  <c r="E6" i="5"/>
  <c r="B170" i="1" l="1"/>
  <c r="O117" i="1"/>
  <c r="O129" i="1"/>
  <c r="O141" i="1"/>
  <c r="O153" i="1"/>
  <c r="O118" i="1"/>
  <c r="O130" i="1"/>
  <c r="O142" i="1"/>
  <c r="O154" i="1"/>
  <c r="O120" i="1"/>
  <c r="O132" i="1"/>
  <c r="O144" i="1"/>
  <c r="O109" i="1"/>
  <c r="O121" i="1"/>
  <c r="O133" i="1"/>
  <c r="O145" i="1"/>
  <c r="O110" i="1"/>
  <c r="O122" i="1"/>
  <c r="O134" i="1"/>
  <c r="O146" i="1"/>
  <c r="O119" i="1"/>
  <c r="O155" i="1"/>
  <c r="O111" i="1"/>
  <c r="O123" i="1"/>
  <c r="O135" i="1"/>
  <c r="O147" i="1"/>
  <c r="O143" i="1"/>
  <c r="O112" i="1"/>
  <c r="O124" i="1"/>
  <c r="O136" i="1"/>
  <c r="O148" i="1"/>
  <c r="O113" i="1"/>
  <c r="O125" i="1"/>
  <c r="O137" i="1"/>
  <c r="O149" i="1"/>
  <c r="O131" i="1"/>
  <c r="O114" i="1"/>
  <c r="O126" i="1"/>
  <c r="O138" i="1"/>
  <c r="O150" i="1"/>
  <c r="O115" i="1"/>
  <c r="O127" i="1"/>
  <c r="O139" i="1"/>
  <c r="O151" i="1"/>
  <c r="O116" i="1"/>
  <c r="O128" i="1"/>
  <c r="O140" i="1"/>
  <c r="O152" i="1"/>
  <c r="O108" i="1"/>
  <c r="P98" i="1"/>
  <c r="P97" i="1"/>
  <c r="N176" i="1"/>
  <c r="N181" i="1"/>
  <c r="N180" i="1"/>
  <c r="N179" i="1"/>
  <c r="N178" i="1"/>
  <c r="N177" i="1"/>
  <c r="J45" i="5"/>
  <c r="M181" i="1"/>
  <c r="M176" i="1"/>
  <c r="M180" i="1"/>
  <c r="M179" i="1"/>
  <c r="M178" i="1"/>
  <c r="M177" i="1"/>
  <c r="C44" i="5"/>
  <c r="J9" i="3" s="1"/>
  <c r="J18" i="3" l="1"/>
  <c r="B171" i="1"/>
  <c r="O176" i="1" s="1"/>
  <c r="P116" i="1"/>
  <c r="P128" i="1"/>
  <c r="P140" i="1"/>
  <c r="P152" i="1"/>
  <c r="P117" i="1"/>
  <c r="P129" i="1"/>
  <c r="P141" i="1"/>
  <c r="P153" i="1"/>
  <c r="P119" i="1"/>
  <c r="P131" i="1"/>
  <c r="P143" i="1"/>
  <c r="P155" i="1"/>
  <c r="P120" i="1"/>
  <c r="P132" i="1"/>
  <c r="P144" i="1"/>
  <c r="P142" i="1"/>
  <c r="P109" i="1"/>
  <c r="P121" i="1"/>
  <c r="P133" i="1"/>
  <c r="P145" i="1"/>
  <c r="P110" i="1"/>
  <c r="P122" i="1"/>
  <c r="P134" i="1"/>
  <c r="P146" i="1"/>
  <c r="P111" i="1"/>
  <c r="P123" i="1"/>
  <c r="P135" i="1"/>
  <c r="P147" i="1"/>
  <c r="P118" i="1"/>
  <c r="P112" i="1"/>
  <c r="P124" i="1"/>
  <c r="P136" i="1"/>
  <c r="P148" i="1"/>
  <c r="P154" i="1"/>
  <c r="P113" i="1"/>
  <c r="P125" i="1"/>
  <c r="P137" i="1"/>
  <c r="P149" i="1"/>
  <c r="P114" i="1"/>
  <c r="P126" i="1"/>
  <c r="P138" i="1"/>
  <c r="P150" i="1"/>
  <c r="P108" i="1"/>
  <c r="P115" i="1"/>
  <c r="P127" i="1"/>
  <c r="P139" i="1"/>
  <c r="P151" i="1"/>
  <c r="P130" i="1"/>
  <c r="Q115" i="1"/>
  <c r="Q127" i="1"/>
  <c r="Q139" i="1"/>
  <c r="Q151" i="1"/>
  <c r="Q117" i="1"/>
  <c r="Q116" i="1"/>
  <c r="Q128" i="1"/>
  <c r="Q140" i="1"/>
  <c r="Q152" i="1"/>
  <c r="Q129" i="1"/>
  <c r="Q118" i="1"/>
  <c r="Q130" i="1"/>
  <c r="Q142" i="1"/>
  <c r="Q154" i="1"/>
  <c r="Q119" i="1"/>
  <c r="Q131" i="1"/>
  <c r="Q143" i="1"/>
  <c r="Q155" i="1"/>
  <c r="Q120" i="1"/>
  <c r="Q132" i="1"/>
  <c r="Q144" i="1"/>
  <c r="Q109" i="1"/>
  <c r="Q121" i="1"/>
  <c r="Q133" i="1"/>
  <c r="Q145" i="1"/>
  <c r="Q153" i="1"/>
  <c r="Q110" i="1"/>
  <c r="Q122" i="1"/>
  <c r="Q134" i="1"/>
  <c r="Q146" i="1"/>
  <c r="Q111" i="1"/>
  <c r="Q123" i="1"/>
  <c r="Q135" i="1"/>
  <c r="Q147" i="1"/>
  <c r="Q112" i="1"/>
  <c r="Q124" i="1"/>
  <c r="Q136" i="1"/>
  <c r="Q148" i="1"/>
  <c r="Q108" i="1"/>
  <c r="Q141" i="1"/>
  <c r="Q113" i="1"/>
  <c r="Q125" i="1"/>
  <c r="Q137" i="1"/>
  <c r="Q149" i="1"/>
  <c r="Q114" i="1"/>
  <c r="Q126" i="1"/>
  <c r="Q138" i="1"/>
  <c r="Q150" i="1"/>
  <c r="J47" i="3"/>
  <c r="J36" i="3"/>
  <c r="J44" i="3"/>
  <c r="J21" i="3"/>
  <c r="J26" i="3"/>
  <c r="J16" i="3"/>
  <c r="J38" i="3"/>
  <c r="J23" i="3"/>
  <c r="J22" i="3"/>
  <c r="J30" i="3"/>
  <c r="J17" i="3"/>
  <c r="J10" i="3"/>
  <c r="J48" i="3"/>
  <c r="J33" i="3"/>
  <c r="J12" i="3"/>
  <c r="J32" i="3"/>
  <c r="J11" i="3"/>
  <c r="J53" i="3"/>
  <c r="J24" i="3"/>
  <c r="J40" i="3"/>
  <c r="J35" i="3"/>
  <c r="J15" i="3"/>
  <c r="J52" i="3"/>
  <c r="J46" i="3"/>
  <c r="J39" i="3"/>
  <c r="J20" i="3"/>
  <c r="J45" i="3"/>
  <c r="J41" i="3"/>
  <c r="J50" i="3"/>
  <c r="J37" i="3"/>
  <c r="J56" i="3"/>
  <c r="J13" i="3"/>
  <c r="J27" i="3"/>
  <c r="J51" i="3"/>
  <c r="J43" i="3"/>
  <c r="J14" i="3"/>
  <c r="J34" i="3"/>
  <c r="J49" i="3"/>
  <c r="J25" i="3"/>
  <c r="J54" i="3"/>
  <c r="J42" i="3"/>
  <c r="J19" i="3"/>
  <c r="J28" i="3"/>
  <c r="J55" i="3"/>
  <c r="J29" i="3"/>
  <c r="J31" i="3"/>
  <c r="J67" i="3" l="1"/>
  <c r="E79" i="3" s="1"/>
  <c r="O177" i="1"/>
  <c r="O178" i="1"/>
  <c r="O179" i="1"/>
  <c r="O180" i="1"/>
  <c r="O181" i="1"/>
  <c r="B173" i="1"/>
  <c r="J68" i="3"/>
  <c r="E80" i="3" s="1"/>
  <c r="B172" i="1"/>
  <c r="J69" i="3"/>
  <c r="E81" i="3" s="1"/>
  <c r="J66" i="3"/>
  <c r="E78" i="3" s="1"/>
  <c r="J64" i="3"/>
  <c r="E76" i="3" s="1"/>
  <c r="J65" i="3"/>
  <c r="E77" i="3" s="1"/>
  <c r="J63" i="3"/>
  <c r="E75" i="3" s="1"/>
  <c r="J62" i="3"/>
  <c r="E74" i="3" s="1"/>
  <c r="V76" i="3" l="1" a="1"/>
  <c r="V76" i="3" s="1"/>
  <c r="Y6" i="5" s="1"/>
  <c r="P176" i="1"/>
  <c r="P181" i="1"/>
  <c r="P180" i="1"/>
  <c r="P179" i="1"/>
  <c r="P178" i="1"/>
  <c r="P177" i="1"/>
  <c r="Q177" i="1"/>
  <c r="Q176" i="1"/>
  <c r="Q181" i="1"/>
  <c r="Q180" i="1"/>
  <c r="Q179" i="1"/>
  <c r="Q178" i="1"/>
  <c r="Y27" i="5" l="1"/>
  <c r="F27" i="5" s="1"/>
  <c r="Y18" i="5"/>
  <c r="F18" i="5" s="1"/>
  <c r="Y22" i="5"/>
  <c r="F22" i="5" s="1"/>
  <c r="Y10" i="5"/>
  <c r="F10" i="5" s="1"/>
  <c r="Y12" i="5"/>
  <c r="F12" i="5" s="1"/>
  <c r="Y31" i="5"/>
  <c r="F31" i="5" s="1"/>
  <c r="Y16" i="5"/>
  <c r="F16" i="5" s="1"/>
  <c r="Y25" i="5"/>
  <c r="F25" i="5" s="1"/>
  <c r="Y24" i="5"/>
  <c r="F24" i="5" s="1"/>
  <c r="Y28" i="5"/>
  <c r="F28" i="5" s="1"/>
  <c r="Y34" i="5"/>
  <c r="F34" i="5" s="1"/>
  <c r="Y8" i="5"/>
  <c r="F8" i="5" s="1"/>
  <c r="Y36" i="5"/>
  <c r="F36" i="5" s="1"/>
  <c r="Y26" i="5"/>
  <c r="F26" i="5" s="1"/>
  <c r="Y13" i="5"/>
  <c r="F13" i="5" s="1"/>
  <c r="Y7" i="5"/>
  <c r="F7" i="5" s="1"/>
  <c r="Y37" i="5"/>
  <c r="F37" i="5" s="1"/>
  <c r="Y17" i="5"/>
  <c r="F17" i="5" s="1"/>
  <c r="Y23" i="5"/>
  <c r="F23" i="5" s="1"/>
  <c r="Y30" i="5"/>
  <c r="F30" i="5" s="1"/>
  <c r="Y29" i="5"/>
  <c r="F29" i="5" s="1"/>
  <c r="Y9" i="5"/>
  <c r="F9" i="5" s="1"/>
  <c r="Y11" i="5"/>
  <c r="F11" i="5" s="1"/>
  <c r="Y19" i="5"/>
  <c r="F19" i="5" s="1"/>
  <c r="Y21" i="5"/>
  <c r="F21" i="5" s="1"/>
  <c r="Y35" i="5"/>
  <c r="F35" i="5" s="1"/>
  <c r="Y32" i="5"/>
  <c r="F32" i="5" s="1"/>
  <c r="Y20" i="5"/>
  <c r="F20" i="5" s="1"/>
  <c r="Y15" i="5"/>
  <c r="F15" i="5" s="1"/>
  <c r="Y14" i="5"/>
  <c r="F14" i="5" s="1"/>
  <c r="Y33" i="5"/>
  <c r="F33" i="5" s="1"/>
  <c r="F6" i="5"/>
  <c r="J46" i="5" l="1"/>
  <c r="C45" i="5"/>
  <c r="K44" i="3" s="1"/>
  <c r="K34" i="3" l="1"/>
  <c r="K10" i="3"/>
  <c r="K30" i="3"/>
  <c r="K11" i="3"/>
  <c r="K36" i="3"/>
  <c r="K22" i="3"/>
  <c r="K56" i="3"/>
  <c r="K48" i="3"/>
  <c r="K32" i="3"/>
  <c r="K24" i="3"/>
  <c r="K15" i="3"/>
  <c r="K26" i="3"/>
  <c r="K52" i="3"/>
  <c r="K14" i="3"/>
  <c r="K41" i="3"/>
  <c r="K53" i="3"/>
  <c r="K16" i="3"/>
  <c r="K51" i="3"/>
  <c r="K49" i="3"/>
  <c r="K33" i="3"/>
  <c r="K17" i="3"/>
  <c r="K31" i="3"/>
  <c r="K37" i="3"/>
  <c r="K12" i="3"/>
  <c r="K55" i="3"/>
  <c r="K50" i="3"/>
  <c r="K40" i="3"/>
  <c r="K25" i="3"/>
  <c r="K43" i="3"/>
  <c r="K47" i="3"/>
  <c r="K46" i="3"/>
  <c r="K39" i="3"/>
  <c r="K27" i="3"/>
  <c r="K42" i="3"/>
  <c r="K18" i="3"/>
  <c r="K9" i="3"/>
  <c r="K45" i="3"/>
  <c r="K28" i="3"/>
  <c r="K20" i="3"/>
  <c r="K29" i="3"/>
  <c r="K21" i="3"/>
  <c r="K13" i="3"/>
  <c r="K54" i="3"/>
  <c r="K35" i="3"/>
  <c r="K38" i="3"/>
  <c r="K23" i="3"/>
  <c r="K19" i="3"/>
  <c r="K66" i="3" l="1"/>
  <c r="F78" i="3" s="1"/>
  <c r="K68" i="3"/>
  <c r="F80" i="3" s="1"/>
  <c r="K62" i="3"/>
  <c r="F74" i="3" s="1"/>
  <c r="K67" i="3"/>
  <c r="F79" i="3" s="1"/>
  <c r="K69" i="3"/>
  <c r="F81" i="3" s="1"/>
  <c r="K65" i="3"/>
  <c r="F77" i="3" s="1"/>
  <c r="K63" i="3"/>
  <c r="F75" i="3" s="1"/>
  <c r="K64" i="3"/>
  <c r="F76" i="3" s="1"/>
  <c r="V77" i="3" l="1" a="1"/>
  <c r="V77" i="3" s="1"/>
  <c r="Z6" i="5" s="1"/>
  <c r="Z25" i="5" l="1"/>
  <c r="G25" i="5" s="1"/>
  <c r="Z29" i="5"/>
  <c r="G29" i="5" s="1"/>
  <c r="Z23" i="5"/>
  <c r="G23" i="5" s="1"/>
  <c r="Z21" i="5"/>
  <c r="G21" i="5" s="1"/>
  <c r="Z11" i="5"/>
  <c r="G11" i="5" s="1"/>
  <c r="Z31" i="5"/>
  <c r="G31" i="5" s="1"/>
  <c r="Z30" i="5"/>
  <c r="G30" i="5" s="1"/>
  <c r="Z19" i="5"/>
  <c r="G19" i="5" s="1"/>
  <c r="Z33" i="5"/>
  <c r="G33" i="5" s="1"/>
  <c r="Z24" i="5"/>
  <c r="G24" i="5" s="1"/>
  <c r="Z14" i="5"/>
  <c r="G14" i="5" s="1"/>
  <c r="Z8" i="5"/>
  <c r="G8" i="5" s="1"/>
  <c r="Z18" i="5"/>
  <c r="G18" i="5" s="1"/>
  <c r="Z10" i="5"/>
  <c r="G10" i="5" s="1"/>
  <c r="Z28" i="5"/>
  <c r="G28" i="5" s="1"/>
  <c r="Z26" i="5"/>
  <c r="G26" i="5" s="1"/>
  <c r="Z13" i="5"/>
  <c r="G13" i="5" s="1"/>
  <c r="Z16" i="5"/>
  <c r="G16" i="5" s="1"/>
  <c r="Z7" i="5"/>
  <c r="G7" i="5" s="1"/>
  <c r="Z12" i="5"/>
  <c r="G12" i="5" s="1"/>
  <c r="Z35" i="5"/>
  <c r="G35" i="5" s="1"/>
  <c r="Z32" i="5"/>
  <c r="G32" i="5" s="1"/>
  <c r="Z20" i="5"/>
  <c r="G20" i="5" s="1"/>
  <c r="Z17" i="5"/>
  <c r="G17" i="5" s="1"/>
  <c r="Z27" i="5"/>
  <c r="G27" i="5" s="1"/>
  <c r="Z37" i="5"/>
  <c r="G37" i="5" s="1"/>
  <c r="Z34" i="5"/>
  <c r="G34" i="5" s="1"/>
  <c r="Z36" i="5"/>
  <c r="G36" i="5" s="1"/>
  <c r="Z22" i="5"/>
  <c r="G22" i="5" s="1"/>
  <c r="Z15" i="5"/>
  <c r="G15" i="5" s="1"/>
  <c r="Z9" i="5"/>
  <c r="G9" i="5" s="1"/>
  <c r="G6" i="5"/>
  <c r="J47" i="5" l="1"/>
  <c r="C46" i="5"/>
  <c r="L16" i="3" s="1"/>
  <c r="L34" i="3" l="1"/>
  <c r="L15" i="3"/>
  <c r="L18" i="3"/>
  <c r="L47" i="3"/>
  <c r="L10" i="3"/>
  <c r="L26" i="3"/>
  <c r="L53" i="3"/>
  <c r="L44" i="3"/>
  <c r="L36" i="3"/>
  <c r="L28" i="3"/>
  <c r="L20" i="3"/>
  <c r="L30" i="3"/>
  <c r="L9" i="3"/>
  <c r="L39" i="3"/>
  <c r="L31" i="3"/>
  <c r="L54" i="3"/>
  <c r="L46" i="3"/>
  <c r="L12" i="3"/>
  <c r="L38" i="3"/>
  <c r="L51" i="3"/>
  <c r="L42" i="3"/>
  <c r="L56" i="3"/>
  <c r="L22" i="3"/>
  <c r="L14" i="3"/>
  <c r="L45" i="3"/>
  <c r="L41" i="3"/>
  <c r="L29" i="3"/>
  <c r="L25" i="3"/>
  <c r="L48" i="3"/>
  <c r="L43" i="3"/>
  <c r="L37" i="3"/>
  <c r="L27" i="3"/>
  <c r="L19" i="3"/>
  <c r="L11" i="3"/>
  <c r="L17" i="3"/>
  <c r="L40" i="3"/>
  <c r="L49" i="3"/>
  <c r="L35" i="3"/>
  <c r="L33" i="3"/>
  <c r="L21" i="3"/>
  <c r="L13" i="3"/>
  <c r="L52" i="3"/>
  <c r="L50" i="3"/>
  <c r="L55" i="3"/>
  <c r="L32" i="3"/>
  <c r="L23" i="3"/>
  <c r="L24" i="3"/>
  <c r="L65" i="3" l="1"/>
  <c r="G77" i="3" s="1"/>
  <c r="L64" i="3"/>
  <c r="G76" i="3" s="1"/>
  <c r="L68" i="3"/>
  <c r="G80" i="3" s="1"/>
  <c r="L69" i="3"/>
  <c r="G81" i="3" s="1"/>
  <c r="L66" i="3"/>
  <c r="G78" i="3" s="1"/>
  <c r="L62" i="3"/>
  <c r="G74" i="3" s="1"/>
  <c r="L63" i="3"/>
  <c r="G75" i="3" s="1"/>
  <c r="L67" i="3"/>
  <c r="G79" i="3" s="1"/>
  <c r="V78" i="3" l="1" a="1"/>
  <c r="V78" i="3" s="1"/>
  <c r="AA6" i="5" s="1"/>
  <c r="AA16" i="5" l="1"/>
  <c r="H16" i="5" s="1"/>
  <c r="AA23" i="5"/>
  <c r="H23" i="5" s="1"/>
  <c r="AA34" i="5"/>
  <c r="H34" i="5" s="1"/>
  <c r="AA27" i="5"/>
  <c r="H27" i="5" s="1"/>
  <c r="AA37" i="5"/>
  <c r="H37" i="5" s="1"/>
  <c r="AA35" i="5"/>
  <c r="H35" i="5" s="1"/>
  <c r="AA10" i="5"/>
  <c r="H10" i="5" s="1"/>
  <c r="AA14" i="5"/>
  <c r="H14" i="5" s="1"/>
  <c r="AA7" i="5"/>
  <c r="H7" i="5" s="1"/>
  <c r="AA22" i="5"/>
  <c r="H22" i="5" s="1"/>
  <c r="AA13" i="5"/>
  <c r="H13" i="5" s="1"/>
  <c r="AA11" i="5"/>
  <c r="H11" i="5" s="1"/>
  <c r="AA17" i="5"/>
  <c r="H17" i="5" s="1"/>
  <c r="AA20" i="5"/>
  <c r="H20" i="5" s="1"/>
  <c r="AA21" i="5"/>
  <c r="H21" i="5" s="1"/>
  <c r="AA26" i="5"/>
  <c r="H26" i="5" s="1"/>
  <c r="AA19" i="5"/>
  <c r="H19" i="5" s="1"/>
  <c r="AA25" i="5"/>
  <c r="H25" i="5" s="1"/>
  <c r="AA9" i="5"/>
  <c r="H9" i="5" s="1"/>
  <c r="AA15" i="5"/>
  <c r="H15" i="5" s="1"/>
  <c r="AA30" i="5"/>
  <c r="H30" i="5" s="1"/>
  <c r="AA24" i="5"/>
  <c r="H24" i="5" s="1"/>
  <c r="AA8" i="5"/>
  <c r="H8" i="5" s="1"/>
  <c r="AA18" i="5"/>
  <c r="H18" i="5" s="1"/>
  <c r="AA28" i="5"/>
  <c r="H28" i="5" s="1"/>
  <c r="AA12" i="5"/>
  <c r="H12" i="5" s="1"/>
  <c r="AA33" i="5"/>
  <c r="H33" i="5" s="1"/>
  <c r="AA29" i="5"/>
  <c r="H29" i="5" s="1"/>
  <c r="AA31" i="5"/>
  <c r="H31" i="5" s="1"/>
  <c r="AA32" i="5"/>
  <c r="H32" i="5" s="1"/>
  <c r="AA36" i="5"/>
  <c r="H36" i="5" s="1"/>
  <c r="H6" i="5"/>
  <c r="C47" i="5" l="1"/>
  <c r="M25" i="3" s="1"/>
  <c r="J48" i="5"/>
  <c r="M49" i="3" l="1"/>
  <c r="M12" i="3"/>
  <c r="M40" i="3"/>
  <c r="M50" i="3"/>
  <c r="M36" i="3"/>
  <c r="M21" i="3"/>
  <c r="M54" i="3"/>
  <c r="M34" i="3"/>
  <c r="M15" i="3"/>
  <c r="M33" i="3"/>
  <c r="M26" i="3"/>
  <c r="M13" i="3"/>
  <c r="M27" i="3"/>
  <c r="M30" i="3"/>
  <c r="M17" i="3"/>
  <c r="M32" i="3"/>
  <c r="M16" i="3"/>
  <c r="M41" i="3"/>
  <c r="M23" i="3"/>
  <c r="M44" i="3"/>
  <c r="M39" i="3"/>
  <c r="M24" i="3"/>
  <c r="M51" i="3"/>
  <c r="M10" i="3"/>
  <c r="M48" i="3"/>
  <c r="M42" i="3"/>
  <c r="M22" i="3"/>
  <c r="M29" i="3"/>
  <c r="M35" i="3"/>
  <c r="M45" i="3"/>
  <c r="M28" i="3"/>
  <c r="M11" i="3"/>
  <c r="M55" i="3"/>
  <c r="M37" i="3"/>
  <c r="M38" i="3"/>
  <c r="M56" i="3"/>
  <c r="M20" i="3"/>
  <c r="M9" i="3"/>
  <c r="M43" i="3"/>
  <c r="M14" i="3"/>
  <c r="M18" i="3"/>
  <c r="M46" i="3"/>
  <c r="M31" i="3"/>
  <c r="M53" i="3"/>
  <c r="M52" i="3"/>
  <c r="M19" i="3"/>
  <c r="M47" i="3"/>
  <c r="M64" i="3" l="1"/>
  <c r="H76" i="3" s="1"/>
  <c r="M66" i="3"/>
  <c r="H78" i="3" s="1"/>
  <c r="M69" i="3"/>
  <c r="H81" i="3" s="1"/>
  <c r="M63" i="3"/>
  <c r="H75" i="3" s="1"/>
  <c r="M65" i="3"/>
  <c r="H77" i="3" s="1"/>
  <c r="M62" i="3"/>
  <c r="H74" i="3" s="1"/>
  <c r="M67" i="3"/>
  <c r="H79" i="3" s="1"/>
  <c r="M68" i="3"/>
  <c r="H80" i="3" s="1"/>
  <c r="V79" i="3" l="1" a="1"/>
  <c r="V79" i="3" s="1"/>
  <c r="AB25" i="5" s="1"/>
  <c r="I25" i="5" s="1"/>
  <c r="AB37" i="5" l="1"/>
  <c r="I37" i="5" s="1"/>
  <c r="AB11" i="5"/>
  <c r="I11" i="5" s="1"/>
  <c r="AB12" i="5"/>
  <c r="I12" i="5" s="1"/>
  <c r="AB14" i="5"/>
  <c r="I14" i="5" s="1"/>
  <c r="AB20" i="5"/>
  <c r="I20" i="5" s="1"/>
  <c r="AB18" i="5"/>
  <c r="I18" i="5" s="1"/>
  <c r="AB9" i="5"/>
  <c r="I9" i="5" s="1"/>
  <c r="AB15" i="5"/>
  <c r="I15" i="5" s="1"/>
  <c r="AB16" i="5"/>
  <c r="I16" i="5" s="1"/>
  <c r="AB23" i="5"/>
  <c r="I23" i="5" s="1"/>
  <c r="AB32" i="5"/>
  <c r="I32" i="5" s="1"/>
  <c r="AB31" i="5"/>
  <c r="I31" i="5" s="1"/>
  <c r="AB19" i="5"/>
  <c r="I19" i="5" s="1"/>
  <c r="AB10" i="5"/>
  <c r="I10" i="5" s="1"/>
  <c r="AB29" i="5"/>
  <c r="I29" i="5" s="1"/>
  <c r="AB36" i="5"/>
  <c r="I36" i="5" s="1"/>
  <c r="AB8" i="5"/>
  <c r="I8" i="5" s="1"/>
  <c r="AB24" i="5"/>
  <c r="I24" i="5" s="1"/>
  <c r="AB26" i="5"/>
  <c r="I26" i="5" s="1"/>
  <c r="AB30" i="5"/>
  <c r="I30" i="5" s="1"/>
  <c r="AB6" i="5"/>
  <c r="I6" i="5" s="1"/>
  <c r="AB7" i="5"/>
  <c r="I7" i="5" s="1"/>
  <c r="AB33" i="5"/>
  <c r="I33" i="5" s="1"/>
  <c r="AB27" i="5"/>
  <c r="I27" i="5" s="1"/>
  <c r="AB34" i="5"/>
  <c r="I34" i="5" s="1"/>
  <c r="AB13" i="5"/>
  <c r="I13" i="5" s="1"/>
  <c r="AB35" i="5"/>
  <c r="I35" i="5" s="1"/>
  <c r="AB28" i="5"/>
  <c r="I28" i="5" s="1"/>
  <c r="AB17" i="5"/>
  <c r="I17" i="5" s="1"/>
  <c r="AB21" i="5"/>
  <c r="I21" i="5" s="1"/>
  <c r="AB22" i="5"/>
  <c r="I22" i="5" s="1"/>
  <c r="C48" i="5" l="1"/>
  <c r="N10" i="3" s="1"/>
  <c r="J49" i="5"/>
  <c r="N45" i="3" l="1"/>
  <c r="N43" i="3"/>
  <c r="N21" i="3"/>
  <c r="N55" i="3"/>
  <c r="N20" i="3"/>
  <c r="N18" i="3"/>
  <c r="N53" i="3"/>
  <c r="N52" i="3"/>
  <c r="N41" i="3"/>
  <c r="N27" i="3"/>
  <c r="N15" i="3"/>
  <c r="N28" i="3"/>
  <c r="N50" i="3"/>
  <c r="N16" i="3"/>
  <c r="N38" i="3"/>
  <c r="N24" i="3"/>
  <c r="N44" i="3"/>
  <c r="N12" i="3"/>
  <c r="N35" i="3"/>
  <c r="N23" i="3"/>
  <c r="N19" i="3"/>
  <c r="N11" i="3"/>
  <c r="N54" i="3"/>
  <c r="N14" i="3"/>
  <c r="N49" i="3"/>
  <c r="N31" i="3"/>
  <c r="N37" i="3"/>
  <c r="N33" i="3"/>
  <c r="N17" i="3"/>
  <c r="N51" i="3"/>
  <c r="N32" i="3"/>
  <c r="N39" i="3"/>
  <c r="N25" i="3"/>
  <c r="N48" i="3"/>
  <c r="N40" i="3"/>
  <c r="N13" i="3"/>
  <c r="N46" i="3"/>
  <c r="N26" i="3"/>
  <c r="N42" i="3"/>
  <c r="N56" i="3"/>
  <c r="N30" i="3"/>
  <c r="N36" i="3"/>
  <c r="N34" i="3"/>
  <c r="N22" i="3"/>
  <c r="N9" i="3"/>
  <c r="N29" i="3"/>
  <c r="N47" i="3"/>
  <c r="N62" i="3" l="1"/>
  <c r="I74" i="3" s="1"/>
  <c r="N65" i="3"/>
  <c r="I77" i="3" s="1"/>
  <c r="N66" i="3"/>
  <c r="I78" i="3" s="1"/>
  <c r="N69" i="3"/>
  <c r="I81" i="3" s="1"/>
  <c r="N67" i="3"/>
  <c r="I79" i="3" s="1"/>
  <c r="N63" i="3"/>
  <c r="I75" i="3" s="1"/>
  <c r="N64" i="3"/>
  <c r="I76" i="3" s="1"/>
  <c r="N68" i="3"/>
  <c r="I80" i="3" s="1"/>
  <c r="V80" i="3" l="1" a="1"/>
  <c r="V80" i="3" s="1"/>
  <c r="AC18" i="5" s="1"/>
  <c r="J18" i="5" s="1"/>
  <c r="AC7" i="5" l="1"/>
  <c r="J7" i="5" s="1"/>
  <c r="AC24" i="5"/>
  <c r="J24" i="5" s="1"/>
  <c r="AC11" i="5"/>
  <c r="J11" i="5" s="1"/>
  <c r="AC31" i="5"/>
  <c r="J31" i="5" s="1"/>
  <c r="AC23" i="5"/>
  <c r="J23" i="5" s="1"/>
  <c r="AC30" i="5"/>
  <c r="J30" i="5" s="1"/>
  <c r="AC19" i="5"/>
  <c r="J19" i="5" s="1"/>
  <c r="AC37" i="5"/>
  <c r="J37" i="5" s="1"/>
  <c r="AC13" i="5"/>
  <c r="J13" i="5" s="1"/>
  <c r="AC36" i="5"/>
  <c r="J36" i="5" s="1"/>
  <c r="AC6" i="5"/>
  <c r="AC29" i="5"/>
  <c r="J29" i="5" s="1"/>
  <c r="AC32" i="5"/>
  <c r="J32" i="5" s="1"/>
  <c r="AC27" i="5"/>
  <c r="J27" i="5" s="1"/>
  <c r="AC25" i="5"/>
  <c r="J25" i="5" s="1"/>
  <c r="AC26" i="5"/>
  <c r="J26" i="5" s="1"/>
  <c r="AC16" i="5"/>
  <c r="J16" i="5" s="1"/>
  <c r="AC12" i="5"/>
  <c r="J12" i="5" s="1"/>
  <c r="AC9" i="5"/>
  <c r="J9" i="5" s="1"/>
  <c r="AC22" i="5"/>
  <c r="J22" i="5" s="1"/>
  <c r="AC20" i="5"/>
  <c r="J20" i="5" s="1"/>
  <c r="AC28" i="5"/>
  <c r="J28" i="5" s="1"/>
  <c r="AC8" i="5"/>
  <c r="J8" i="5" s="1"/>
  <c r="AC34" i="5"/>
  <c r="J34" i="5" s="1"/>
  <c r="AC21" i="5"/>
  <c r="J21" i="5" s="1"/>
  <c r="AC15" i="5"/>
  <c r="J15" i="5" s="1"/>
  <c r="AC10" i="5"/>
  <c r="J10" i="5" s="1"/>
  <c r="AC33" i="5"/>
  <c r="J33" i="5" s="1"/>
  <c r="AC17" i="5"/>
  <c r="J17" i="5" s="1"/>
  <c r="AC35" i="5"/>
  <c r="J35" i="5" s="1"/>
  <c r="AC14" i="5"/>
  <c r="J14" i="5" s="1"/>
  <c r="C49" i="5" l="1"/>
  <c r="O34" i="3" s="1"/>
  <c r="J6" i="5"/>
  <c r="J50" i="5"/>
  <c r="O29" i="3" l="1"/>
  <c r="O17" i="3"/>
  <c r="O30" i="3"/>
  <c r="O51" i="3"/>
  <c r="O27" i="3"/>
  <c r="O49" i="3"/>
  <c r="O47" i="3"/>
  <c r="O10" i="3"/>
  <c r="O22" i="3"/>
  <c r="O26" i="3"/>
  <c r="O33" i="3"/>
  <c r="O43" i="3"/>
  <c r="O9" i="3"/>
  <c r="O19" i="3"/>
  <c r="O45" i="3"/>
  <c r="O54" i="3"/>
  <c r="O18" i="3"/>
  <c r="O53" i="3"/>
  <c r="O21" i="3"/>
  <c r="O41" i="3"/>
  <c r="O52" i="3"/>
  <c r="O40" i="3"/>
  <c r="O28" i="3"/>
  <c r="O16" i="3"/>
  <c r="O56" i="3"/>
  <c r="O55" i="3"/>
  <c r="O39" i="3"/>
  <c r="O44" i="3"/>
  <c r="O25" i="3"/>
  <c r="O32" i="3"/>
  <c r="O38" i="3"/>
  <c r="O50" i="3"/>
  <c r="O13" i="3"/>
  <c r="O31" i="3"/>
  <c r="O42" i="3"/>
  <c r="O48" i="3"/>
  <c r="O24" i="3"/>
  <c r="O12" i="3"/>
  <c r="O36" i="3"/>
  <c r="O20" i="3"/>
  <c r="O35" i="3"/>
  <c r="O23" i="3"/>
  <c r="O11" i="3"/>
  <c r="O15" i="3"/>
  <c r="O46" i="3"/>
  <c r="O14" i="3"/>
  <c r="O37" i="3"/>
  <c r="O68" i="3" l="1"/>
  <c r="J80" i="3" s="1"/>
  <c r="O62" i="3"/>
  <c r="J74" i="3" s="1"/>
  <c r="O66" i="3"/>
  <c r="J78" i="3" s="1"/>
  <c r="O64" i="3"/>
  <c r="J76" i="3" s="1"/>
  <c r="O65" i="3"/>
  <c r="J77" i="3" s="1"/>
  <c r="O67" i="3"/>
  <c r="J79" i="3" s="1"/>
  <c r="O63" i="3"/>
  <c r="J75" i="3" s="1"/>
  <c r="O69" i="3"/>
  <c r="J81" i="3" s="1"/>
  <c r="V81" i="3" l="1" a="1"/>
  <c r="V81" i="3" s="1"/>
  <c r="AD29" i="5" s="1"/>
  <c r="K29" i="5" s="1"/>
  <c r="AD11" i="5" l="1"/>
  <c r="K11" i="5" s="1"/>
  <c r="AD23" i="5"/>
  <c r="K23" i="5" s="1"/>
  <c r="AD19" i="5"/>
  <c r="K19" i="5" s="1"/>
  <c r="AD22" i="5"/>
  <c r="K22" i="5" s="1"/>
  <c r="AD17" i="5"/>
  <c r="K17" i="5" s="1"/>
  <c r="AD26" i="5"/>
  <c r="K26" i="5" s="1"/>
  <c r="AD6" i="5"/>
  <c r="K6" i="5" s="1"/>
  <c r="AD33" i="5"/>
  <c r="K33" i="5" s="1"/>
  <c r="AD8" i="5"/>
  <c r="K8" i="5" s="1"/>
  <c r="AD21" i="5"/>
  <c r="K21" i="5" s="1"/>
  <c r="AD34" i="5"/>
  <c r="K34" i="5" s="1"/>
  <c r="AD18" i="5"/>
  <c r="K18" i="5" s="1"/>
  <c r="AD7" i="5"/>
  <c r="K7" i="5" s="1"/>
  <c r="AD15" i="5"/>
  <c r="K15" i="5" s="1"/>
  <c r="AD12" i="5"/>
  <c r="K12" i="5" s="1"/>
  <c r="AD37" i="5"/>
  <c r="K37" i="5" s="1"/>
  <c r="AD13" i="5"/>
  <c r="K13" i="5" s="1"/>
  <c r="AD32" i="5"/>
  <c r="K32" i="5" s="1"/>
  <c r="AD36" i="5"/>
  <c r="K36" i="5" s="1"/>
  <c r="AD31" i="5"/>
  <c r="K31" i="5" s="1"/>
  <c r="AD14" i="5"/>
  <c r="K14" i="5" s="1"/>
  <c r="AD9" i="5"/>
  <c r="K9" i="5" s="1"/>
  <c r="AD24" i="5"/>
  <c r="K24" i="5" s="1"/>
  <c r="AD20" i="5"/>
  <c r="K20" i="5" s="1"/>
  <c r="AD30" i="5"/>
  <c r="K30" i="5" s="1"/>
  <c r="AD25" i="5"/>
  <c r="K25" i="5" s="1"/>
  <c r="AD10" i="5"/>
  <c r="K10" i="5" s="1"/>
  <c r="AD16" i="5"/>
  <c r="K16" i="5" s="1"/>
  <c r="AD35" i="5"/>
  <c r="K35" i="5" s="1"/>
  <c r="AD28" i="5"/>
  <c r="K28" i="5" s="1"/>
  <c r="AD27" i="5"/>
  <c r="K27" i="5" s="1"/>
  <c r="J51" i="5" l="1"/>
  <c r="C50" i="5"/>
  <c r="P54" i="3" s="1"/>
  <c r="P20" i="3" l="1"/>
  <c r="P32" i="3"/>
  <c r="P33" i="3"/>
  <c r="P31" i="3"/>
  <c r="P10" i="3"/>
  <c r="P17" i="3"/>
  <c r="P40" i="3"/>
  <c r="P26" i="3"/>
  <c r="P45" i="3"/>
  <c r="P23" i="3"/>
  <c r="P38" i="3"/>
  <c r="P41" i="3"/>
  <c r="P34" i="3"/>
  <c r="P53" i="3"/>
  <c r="P43" i="3"/>
  <c r="P28" i="3"/>
  <c r="P25" i="3"/>
  <c r="P48" i="3"/>
  <c r="P39" i="3"/>
  <c r="P21" i="3"/>
  <c r="P51" i="3"/>
  <c r="P56" i="3"/>
  <c r="P49" i="3"/>
  <c r="P19" i="3"/>
  <c r="P30" i="3"/>
  <c r="P42" i="3"/>
  <c r="P46" i="3"/>
  <c r="P55" i="3"/>
  <c r="P22" i="3"/>
  <c r="P11" i="3"/>
  <c r="P13" i="3"/>
  <c r="P9" i="3"/>
  <c r="P37" i="3"/>
  <c r="P50" i="3"/>
  <c r="P16" i="3"/>
  <c r="P52" i="3"/>
  <c r="P24" i="3"/>
  <c r="P35" i="3"/>
  <c r="P27" i="3"/>
  <c r="P14" i="3"/>
  <c r="P18" i="3"/>
  <c r="P44" i="3"/>
  <c r="P15" i="3"/>
  <c r="P47" i="3"/>
  <c r="P29" i="3"/>
  <c r="P12" i="3"/>
  <c r="P36" i="3"/>
  <c r="P68" i="3" l="1"/>
  <c r="K80" i="3" s="1"/>
  <c r="P69" i="3"/>
  <c r="K81" i="3" s="1"/>
  <c r="P64" i="3"/>
  <c r="K76" i="3" s="1"/>
  <c r="P62" i="3"/>
  <c r="K74" i="3" s="1"/>
  <c r="P63" i="3"/>
  <c r="K75" i="3" s="1"/>
  <c r="P66" i="3"/>
  <c r="K78" i="3" s="1"/>
  <c r="P65" i="3"/>
  <c r="K77" i="3" s="1"/>
  <c r="P67" i="3"/>
  <c r="K79" i="3" s="1"/>
  <c r="V82" i="3" l="1" a="1"/>
  <c r="V82" i="3" s="1"/>
  <c r="AE7" i="5" s="1"/>
  <c r="L7" i="5" s="1"/>
  <c r="AE6" i="5" l="1"/>
  <c r="AE30" i="5"/>
  <c r="L30" i="5" s="1"/>
  <c r="AE11" i="5"/>
  <c r="L11" i="5" s="1"/>
  <c r="AE21" i="5"/>
  <c r="L21" i="5" s="1"/>
  <c r="AE10" i="5"/>
  <c r="L10" i="5" s="1"/>
  <c r="AE23" i="5"/>
  <c r="L23" i="5" s="1"/>
  <c r="AE31" i="5"/>
  <c r="L31" i="5" s="1"/>
  <c r="AE27" i="5"/>
  <c r="L27" i="5" s="1"/>
  <c r="AE24" i="5"/>
  <c r="L24" i="5" s="1"/>
  <c r="AE37" i="5"/>
  <c r="L37" i="5" s="1"/>
  <c r="AE35" i="5"/>
  <c r="L35" i="5" s="1"/>
  <c r="AE25" i="5"/>
  <c r="L25" i="5" s="1"/>
  <c r="AE17" i="5"/>
  <c r="L17" i="5" s="1"/>
  <c r="AE36" i="5"/>
  <c r="L36" i="5" s="1"/>
  <c r="AE16" i="5"/>
  <c r="L16" i="5" s="1"/>
  <c r="AE22" i="5"/>
  <c r="L22" i="5" s="1"/>
  <c r="AE14" i="5"/>
  <c r="L14" i="5" s="1"/>
  <c r="AE20" i="5"/>
  <c r="L20" i="5" s="1"/>
  <c r="AE9" i="5"/>
  <c r="L9" i="5" s="1"/>
  <c r="AE29" i="5"/>
  <c r="L29" i="5" s="1"/>
  <c r="AE28" i="5"/>
  <c r="L28" i="5" s="1"/>
  <c r="AE13" i="5"/>
  <c r="L13" i="5" s="1"/>
  <c r="AE18" i="5"/>
  <c r="L18" i="5" s="1"/>
  <c r="AE34" i="5"/>
  <c r="L34" i="5" s="1"/>
  <c r="AE12" i="5"/>
  <c r="L12" i="5" s="1"/>
  <c r="AE26" i="5"/>
  <c r="L26" i="5" s="1"/>
  <c r="AE15" i="5"/>
  <c r="L15" i="5" s="1"/>
  <c r="AE33" i="5"/>
  <c r="L33" i="5" s="1"/>
  <c r="AE32" i="5"/>
  <c r="L32" i="5" s="1"/>
  <c r="AE8" i="5"/>
  <c r="L8" i="5" s="1"/>
  <c r="AE19" i="5"/>
  <c r="L19" i="5" s="1"/>
  <c r="L6" i="5"/>
  <c r="J52" i="5" l="1"/>
  <c r="C51" i="5"/>
  <c r="Q10" i="3" s="1"/>
  <c r="Q20" i="3" l="1"/>
  <c r="Q30" i="3"/>
  <c r="Q52" i="3"/>
  <c r="Q54" i="3"/>
  <c r="Q56" i="3"/>
  <c r="Q41" i="3"/>
  <c r="Q48" i="3"/>
  <c r="Q25" i="3"/>
  <c r="Q24" i="3"/>
  <c r="Q47" i="3"/>
  <c r="Q51" i="3"/>
  <c r="Q27" i="3"/>
  <c r="Q22" i="3"/>
  <c r="Q40" i="3"/>
  <c r="Q26" i="3"/>
  <c r="Q55" i="3"/>
  <c r="Q29" i="3"/>
  <c r="Q44" i="3"/>
  <c r="Q34" i="3"/>
  <c r="Q42" i="3"/>
  <c r="Q28" i="3"/>
  <c r="Q11" i="3"/>
  <c r="Q46" i="3"/>
  <c r="Q33" i="3"/>
  <c r="Q45" i="3"/>
  <c r="Q31" i="3"/>
  <c r="Q16" i="3"/>
  <c r="Q39" i="3"/>
  <c r="Q21" i="3"/>
  <c r="Q35" i="3"/>
  <c r="Q32" i="3"/>
  <c r="Q18" i="3"/>
  <c r="Q14" i="3"/>
  <c r="Q43" i="3"/>
  <c r="Q37" i="3"/>
  <c r="Q49" i="3"/>
  <c r="Q9" i="3"/>
  <c r="Q13" i="3"/>
  <c r="Q17" i="3"/>
  <c r="Q23" i="3"/>
  <c r="Q15" i="3"/>
  <c r="Q12" i="3"/>
  <c r="Q38" i="3"/>
  <c r="Q53" i="3"/>
  <c r="Q19" i="3"/>
  <c r="Q36" i="3"/>
  <c r="Q50" i="3"/>
  <c r="Q64" i="3" l="1"/>
  <c r="L76" i="3" s="1"/>
  <c r="Q66" i="3"/>
  <c r="L78" i="3" s="1"/>
  <c r="Q63" i="3"/>
  <c r="L75" i="3" s="1"/>
  <c r="Q62" i="3"/>
  <c r="L74" i="3" s="1"/>
  <c r="Q68" i="3"/>
  <c r="L80" i="3" s="1"/>
  <c r="Q69" i="3"/>
  <c r="L81" i="3" s="1"/>
  <c r="Q67" i="3"/>
  <c r="L79" i="3" s="1"/>
  <c r="Q65" i="3"/>
  <c r="L77" i="3" s="1"/>
  <c r="V83" i="3" l="1" a="1"/>
  <c r="V83" i="3" s="1"/>
  <c r="AF36" i="5" s="1"/>
  <c r="M36" i="5" s="1"/>
  <c r="AF11" i="5" l="1"/>
  <c r="M11" i="5" s="1"/>
  <c r="AF31" i="5"/>
  <c r="M31" i="5" s="1"/>
  <c r="AF32" i="5"/>
  <c r="M32" i="5" s="1"/>
  <c r="AF13" i="5"/>
  <c r="M13" i="5" s="1"/>
  <c r="AF37" i="5"/>
  <c r="M37" i="5" s="1"/>
  <c r="AF24" i="5"/>
  <c r="M24" i="5" s="1"/>
  <c r="AF26" i="5"/>
  <c r="M26" i="5" s="1"/>
  <c r="AF9" i="5"/>
  <c r="M9" i="5" s="1"/>
  <c r="AF35" i="5"/>
  <c r="M35" i="5" s="1"/>
  <c r="AF12" i="5"/>
  <c r="M12" i="5" s="1"/>
  <c r="AF17" i="5"/>
  <c r="M17" i="5" s="1"/>
  <c r="AF29" i="5"/>
  <c r="M29" i="5" s="1"/>
  <c r="AF28" i="5"/>
  <c r="M28" i="5" s="1"/>
  <c r="AF20" i="5"/>
  <c r="M20" i="5" s="1"/>
  <c r="AF25" i="5"/>
  <c r="M25" i="5" s="1"/>
  <c r="AF22" i="5"/>
  <c r="M22" i="5" s="1"/>
  <c r="AF27" i="5"/>
  <c r="M27" i="5" s="1"/>
  <c r="AF15" i="5"/>
  <c r="M15" i="5" s="1"/>
  <c r="AF16" i="5"/>
  <c r="M16" i="5" s="1"/>
  <c r="AF21" i="5"/>
  <c r="M21" i="5" s="1"/>
  <c r="AF6" i="5"/>
  <c r="M6" i="5" s="1"/>
  <c r="AF8" i="5"/>
  <c r="M8" i="5" s="1"/>
  <c r="AF34" i="5"/>
  <c r="M34" i="5" s="1"/>
  <c r="AF18" i="5"/>
  <c r="M18" i="5" s="1"/>
  <c r="AF10" i="5"/>
  <c r="M10" i="5" s="1"/>
  <c r="AF14" i="5"/>
  <c r="M14" i="5" s="1"/>
  <c r="AF33" i="5"/>
  <c r="M33" i="5" s="1"/>
  <c r="AF23" i="5"/>
  <c r="M23" i="5" s="1"/>
  <c r="AF7" i="5"/>
  <c r="M7" i="5" s="1"/>
  <c r="AF30" i="5"/>
  <c r="M30" i="5" s="1"/>
  <c r="AF19" i="5"/>
  <c r="M19" i="5" s="1"/>
  <c r="J53" i="5" l="1"/>
  <c r="C52" i="5"/>
  <c r="R18" i="3" s="1"/>
  <c r="R12" i="3" l="1"/>
  <c r="R30" i="3"/>
  <c r="R42" i="3"/>
  <c r="R15" i="3"/>
  <c r="R37" i="3"/>
  <c r="R33" i="3"/>
  <c r="R19" i="3"/>
  <c r="R23" i="3"/>
  <c r="R34" i="3"/>
  <c r="R45" i="3"/>
  <c r="R25" i="3"/>
  <c r="R47" i="3"/>
  <c r="R29" i="3"/>
  <c r="R49" i="3"/>
  <c r="R16" i="3"/>
  <c r="R39" i="3"/>
  <c r="R13" i="3"/>
  <c r="R54" i="3"/>
  <c r="R50" i="3"/>
  <c r="R32" i="3"/>
  <c r="R17" i="3"/>
  <c r="R9" i="3"/>
  <c r="R48" i="3"/>
  <c r="R11" i="3"/>
  <c r="R38" i="3"/>
  <c r="R46" i="3"/>
  <c r="R14" i="3"/>
  <c r="R22" i="3"/>
  <c r="R35" i="3"/>
  <c r="R40" i="3"/>
  <c r="R27" i="3"/>
  <c r="R41" i="3"/>
  <c r="R53" i="3"/>
  <c r="R21" i="3"/>
  <c r="R26" i="3"/>
  <c r="R43" i="3"/>
  <c r="R52" i="3"/>
  <c r="R36" i="3"/>
  <c r="R28" i="3"/>
  <c r="R20" i="3"/>
  <c r="R10" i="3"/>
  <c r="R24" i="3"/>
  <c r="R55" i="3"/>
  <c r="R44" i="3"/>
  <c r="R56" i="3"/>
  <c r="R51" i="3"/>
  <c r="R31" i="3"/>
  <c r="R64" i="3" l="1"/>
  <c r="M76" i="3" s="1"/>
  <c r="R62" i="3"/>
  <c r="M74" i="3" s="1"/>
  <c r="R65" i="3"/>
  <c r="M77" i="3" s="1"/>
  <c r="R68" i="3"/>
  <c r="M80" i="3" s="1"/>
  <c r="R66" i="3"/>
  <c r="M78" i="3" s="1"/>
  <c r="R63" i="3"/>
  <c r="M75" i="3" s="1"/>
  <c r="R69" i="3"/>
  <c r="M81" i="3" s="1"/>
  <c r="R67" i="3"/>
  <c r="M79" i="3" s="1"/>
  <c r="V84" i="3" l="1" a="1"/>
  <c r="V84" i="3" s="1"/>
  <c r="AG33" i="5" s="1"/>
  <c r="N33" i="5" s="1"/>
  <c r="AG17" i="5" l="1"/>
  <c r="N17" i="5" s="1"/>
  <c r="AG19" i="5"/>
  <c r="N19" i="5" s="1"/>
  <c r="AG32" i="5"/>
  <c r="N32" i="5" s="1"/>
  <c r="AG31" i="5"/>
  <c r="N31" i="5" s="1"/>
  <c r="AG26" i="5"/>
  <c r="N26" i="5" s="1"/>
  <c r="AG13" i="5"/>
  <c r="N13" i="5" s="1"/>
  <c r="AG11" i="5"/>
  <c r="N11" i="5" s="1"/>
  <c r="AG34" i="5"/>
  <c r="N34" i="5" s="1"/>
  <c r="AG29" i="5"/>
  <c r="N29" i="5" s="1"/>
  <c r="AG27" i="5"/>
  <c r="N27" i="5" s="1"/>
  <c r="AG20" i="5"/>
  <c r="N20" i="5" s="1"/>
  <c r="AG14" i="5"/>
  <c r="N14" i="5" s="1"/>
  <c r="AG28" i="5"/>
  <c r="N28" i="5" s="1"/>
  <c r="AG30" i="5"/>
  <c r="N30" i="5" s="1"/>
  <c r="AG37" i="5"/>
  <c r="N37" i="5" s="1"/>
  <c r="AG10" i="5"/>
  <c r="N10" i="5" s="1"/>
  <c r="AG15" i="5"/>
  <c r="N15" i="5" s="1"/>
  <c r="AG18" i="5"/>
  <c r="N18" i="5" s="1"/>
  <c r="AG7" i="5"/>
  <c r="N7" i="5" s="1"/>
  <c r="AG36" i="5"/>
  <c r="N36" i="5" s="1"/>
  <c r="AG21" i="5"/>
  <c r="N21" i="5" s="1"/>
  <c r="AG35" i="5"/>
  <c r="N35" i="5" s="1"/>
  <c r="AG24" i="5"/>
  <c r="N24" i="5" s="1"/>
  <c r="AG8" i="5"/>
  <c r="N8" i="5" s="1"/>
  <c r="AG23" i="5"/>
  <c r="N23" i="5" s="1"/>
  <c r="AG12" i="5"/>
  <c r="N12" i="5" s="1"/>
  <c r="AG22" i="5"/>
  <c r="N22" i="5" s="1"/>
  <c r="AG9" i="5"/>
  <c r="N9" i="5" s="1"/>
  <c r="AG25" i="5"/>
  <c r="N25" i="5" s="1"/>
  <c r="AG16" i="5"/>
  <c r="N16" i="5" s="1"/>
  <c r="AG6" i="5"/>
  <c r="N6" i="5" s="1"/>
  <c r="J54" i="5" l="1"/>
  <c r="C53" i="5"/>
  <c r="S16" i="3" s="1"/>
  <c r="S19" i="3" l="1"/>
  <c r="S56" i="3"/>
  <c r="S40" i="3"/>
  <c r="S52" i="3"/>
  <c r="S28" i="3"/>
  <c r="S41" i="3"/>
  <c r="S10" i="3"/>
  <c r="S30" i="3"/>
  <c r="S54" i="3"/>
  <c r="S31" i="3"/>
  <c r="S55" i="3"/>
  <c r="S22" i="3"/>
  <c r="S43" i="3"/>
  <c r="S44" i="3"/>
  <c r="S51" i="3"/>
  <c r="S48" i="3"/>
  <c r="S35" i="3"/>
  <c r="S12" i="3"/>
  <c r="S53" i="3"/>
  <c r="S18" i="3"/>
  <c r="S36" i="3"/>
  <c r="S11" i="3"/>
  <c r="S14" i="3"/>
  <c r="S38" i="3"/>
  <c r="S37" i="3"/>
  <c r="S33" i="3"/>
  <c r="S39" i="3"/>
  <c r="S17" i="3"/>
  <c r="S45" i="3"/>
  <c r="S29" i="3"/>
  <c r="S9" i="3"/>
  <c r="S15" i="3"/>
  <c r="S27" i="3"/>
  <c r="S49" i="3"/>
  <c r="S34" i="3"/>
  <c r="S32" i="3"/>
  <c r="S47" i="3"/>
  <c r="S20" i="3"/>
  <c r="S42" i="3"/>
  <c r="S24" i="3"/>
  <c r="S23" i="3"/>
  <c r="S13" i="3"/>
  <c r="S25" i="3"/>
  <c r="S26" i="3"/>
  <c r="S21" i="3"/>
  <c r="S46" i="3"/>
  <c r="S50" i="3"/>
  <c r="S68" i="3" l="1"/>
  <c r="N80" i="3" s="1"/>
  <c r="S69" i="3"/>
  <c r="N81" i="3" s="1"/>
  <c r="S67" i="3"/>
  <c r="N79" i="3" s="1"/>
  <c r="S66" i="3"/>
  <c r="N78" i="3" s="1"/>
  <c r="S64" i="3"/>
  <c r="N76" i="3" s="1"/>
  <c r="S62" i="3"/>
  <c r="N74" i="3" s="1"/>
  <c r="S65" i="3"/>
  <c r="N77" i="3" s="1"/>
  <c r="S63" i="3"/>
  <c r="N75" i="3" s="1"/>
  <c r="V85" i="3" l="1" a="1"/>
  <c r="V85" i="3" s="1"/>
  <c r="AH27" i="5" s="1"/>
  <c r="O27" i="5" s="1"/>
  <c r="AH12" i="5" l="1"/>
  <c r="O12" i="5" s="1"/>
  <c r="AH15" i="5"/>
  <c r="O15" i="5" s="1"/>
  <c r="AH25" i="5"/>
  <c r="O25" i="5" s="1"/>
  <c r="AH23" i="5"/>
  <c r="O23" i="5" s="1"/>
  <c r="AH31" i="5"/>
  <c r="O31" i="5" s="1"/>
  <c r="AH35" i="5"/>
  <c r="O35" i="5" s="1"/>
  <c r="AH20" i="5"/>
  <c r="O20" i="5" s="1"/>
  <c r="AH11" i="5"/>
  <c r="O11" i="5" s="1"/>
  <c r="AH7" i="5"/>
  <c r="O7" i="5" s="1"/>
  <c r="AH24" i="5"/>
  <c r="O24" i="5" s="1"/>
  <c r="AH10" i="5"/>
  <c r="O10" i="5" s="1"/>
  <c r="AH26" i="5"/>
  <c r="O26" i="5" s="1"/>
  <c r="AH6" i="5"/>
  <c r="O6" i="5" s="1"/>
  <c r="AH37" i="5"/>
  <c r="O37" i="5" s="1"/>
  <c r="AH8" i="5"/>
  <c r="O8" i="5" s="1"/>
  <c r="AH17" i="5"/>
  <c r="O17" i="5" s="1"/>
  <c r="AH14" i="5"/>
  <c r="O14" i="5" s="1"/>
  <c r="AH29" i="5"/>
  <c r="O29" i="5" s="1"/>
  <c r="AH36" i="5"/>
  <c r="O36" i="5" s="1"/>
  <c r="AH30" i="5"/>
  <c r="O30" i="5" s="1"/>
  <c r="AH32" i="5"/>
  <c r="O32" i="5" s="1"/>
  <c r="AH28" i="5"/>
  <c r="O28" i="5" s="1"/>
  <c r="AH33" i="5"/>
  <c r="O33" i="5" s="1"/>
  <c r="AH13" i="5"/>
  <c r="O13" i="5" s="1"/>
  <c r="AH19" i="5"/>
  <c r="O19" i="5" s="1"/>
  <c r="AH34" i="5"/>
  <c r="O34" i="5" s="1"/>
  <c r="AH22" i="5"/>
  <c r="O22" i="5" s="1"/>
  <c r="AH9" i="5"/>
  <c r="O9" i="5" s="1"/>
  <c r="AH16" i="5"/>
  <c r="O16" i="5" s="1"/>
  <c r="AH18" i="5"/>
  <c r="O18" i="5" s="1"/>
  <c r="AH21" i="5"/>
  <c r="O21" i="5" s="1"/>
  <c r="J55" i="5" l="1"/>
  <c r="C54" i="5"/>
  <c r="T23" i="3" s="1"/>
  <c r="T27" i="3" l="1"/>
  <c r="T51" i="3"/>
  <c r="T54" i="3"/>
  <c r="T55" i="3"/>
  <c r="T39" i="3"/>
  <c r="T34" i="3"/>
  <c r="T56" i="3"/>
  <c r="T43" i="3"/>
  <c r="T31" i="3"/>
  <c r="T16" i="3"/>
  <c r="T37" i="3"/>
  <c r="T11" i="3"/>
  <c r="T20" i="3"/>
  <c r="T9" i="3"/>
  <c r="T50" i="3"/>
  <c r="T24" i="3"/>
  <c r="T52" i="3"/>
  <c r="T45" i="3"/>
  <c r="T47" i="3"/>
  <c r="T12" i="3"/>
  <c r="T44" i="3"/>
  <c r="T21" i="3"/>
  <c r="T38" i="3"/>
  <c r="T14" i="3"/>
  <c r="T33" i="3"/>
  <c r="T48" i="3"/>
  <c r="T15" i="3"/>
  <c r="T25" i="3"/>
  <c r="T18" i="3"/>
  <c r="T46" i="3"/>
  <c r="T19" i="3"/>
  <c r="T42" i="3"/>
  <c r="T40" i="3"/>
  <c r="T49" i="3"/>
  <c r="T28" i="3"/>
  <c r="T10" i="3"/>
  <c r="T35" i="3"/>
  <c r="T36" i="3"/>
  <c r="T32" i="3"/>
  <c r="T22" i="3"/>
  <c r="T53" i="3"/>
  <c r="T17" i="3"/>
  <c r="T41" i="3"/>
  <c r="T26" i="3"/>
  <c r="T29" i="3"/>
  <c r="T30" i="3"/>
  <c r="T13" i="3"/>
  <c r="T65" i="3" l="1"/>
  <c r="O77" i="3" s="1"/>
  <c r="T63" i="3"/>
  <c r="O75" i="3" s="1"/>
  <c r="T68" i="3"/>
  <c r="O80" i="3" s="1"/>
  <c r="T64" i="3"/>
  <c r="O76" i="3" s="1"/>
  <c r="T67" i="3"/>
  <c r="O79" i="3" s="1"/>
  <c r="T62" i="3"/>
  <c r="O74" i="3" s="1"/>
  <c r="T66" i="3"/>
  <c r="O78" i="3" s="1"/>
  <c r="T69" i="3"/>
  <c r="O81" i="3" s="1"/>
  <c r="V86" i="3" l="1" a="1"/>
  <c r="V86" i="3" s="1"/>
  <c r="AI26" i="5" s="1"/>
  <c r="P26" i="5" s="1"/>
  <c r="AI24" i="5" l="1"/>
  <c r="P24" i="5" s="1"/>
  <c r="AI19" i="5"/>
  <c r="P19" i="5" s="1"/>
  <c r="AI12" i="5"/>
  <c r="P12" i="5" s="1"/>
  <c r="AI18" i="5"/>
  <c r="P18" i="5" s="1"/>
  <c r="AI25" i="5"/>
  <c r="P25" i="5" s="1"/>
  <c r="AI33" i="5"/>
  <c r="P33" i="5" s="1"/>
  <c r="AI20" i="5"/>
  <c r="P20" i="5" s="1"/>
  <c r="AI32" i="5"/>
  <c r="P32" i="5" s="1"/>
  <c r="AI21" i="5"/>
  <c r="P21" i="5" s="1"/>
  <c r="AI35" i="5"/>
  <c r="P35" i="5" s="1"/>
  <c r="AI31" i="5"/>
  <c r="P31" i="5" s="1"/>
  <c r="AI6" i="5"/>
  <c r="P6" i="5" s="1"/>
  <c r="AI29" i="5"/>
  <c r="P29" i="5" s="1"/>
  <c r="AI11" i="5"/>
  <c r="P11" i="5" s="1"/>
  <c r="AI8" i="5"/>
  <c r="P8" i="5" s="1"/>
  <c r="AI17" i="5"/>
  <c r="P17" i="5" s="1"/>
  <c r="AI7" i="5"/>
  <c r="P7" i="5" s="1"/>
  <c r="AI9" i="5"/>
  <c r="P9" i="5" s="1"/>
  <c r="AI22" i="5"/>
  <c r="P22" i="5" s="1"/>
  <c r="AI15" i="5"/>
  <c r="P15" i="5" s="1"/>
  <c r="AI34" i="5"/>
  <c r="P34" i="5" s="1"/>
  <c r="AI30" i="5"/>
  <c r="P30" i="5" s="1"/>
  <c r="AI16" i="5"/>
  <c r="P16" i="5" s="1"/>
  <c r="AI23" i="5"/>
  <c r="P23" i="5" s="1"/>
  <c r="AI37" i="5"/>
  <c r="P37" i="5" s="1"/>
  <c r="AI13" i="5"/>
  <c r="P13" i="5" s="1"/>
  <c r="AI14" i="5"/>
  <c r="P14" i="5" s="1"/>
  <c r="AI28" i="5"/>
  <c r="P28" i="5" s="1"/>
  <c r="AI36" i="5"/>
  <c r="P36" i="5" s="1"/>
  <c r="AI27" i="5"/>
  <c r="P27" i="5" s="1"/>
  <c r="AI10" i="5"/>
  <c r="P10" i="5" s="1"/>
  <c r="J56" i="5" l="1"/>
  <c r="C55" i="5"/>
  <c r="U12" i="3" s="1"/>
  <c r="U20" i="3" l="1"/>
  <c r="U37" i="3"/>
  <c r="U16" i="3"/>
  <c r="U9" i="3"/>
  <c r="U28" i="3"/>
  <c r="U22" i="3"/>
  <c r="U43" i="3"/>
  <c r="U44" i="3"/>
  <c r="U34" i="3"/>
  <c r="U48" i="3"/>
  <c r="U31" i="3"/>
  <c r="U53" i="3"/>
  <c r="U26" i="3"/>
  <c r="U40" i="3"/>
  <c r="U56" i="3"/>
  <c r="U52" i="3"/>
  <c r="U36" i="3"/>
  <c r="U54" i="3"/>
  <c r="U46" i="3"/>
  <c r="U39" i="3"/>
  <c r="U41" i="3"/>
  <c r="U27" i="3"/>
  <c r="U19" i="3"/>
  <c r="U47" i="3"/>
  <c r="U14" i="3"/>
  <c r="U30" i="3"/>
  <c r="U33" i="3"/>
  <c r="U24" i="3"/>
  <c r="U15" i="3"/>
  <c r="U49" i="3"/>
  <c r="U32" i="3"/>
  <c r="U21" i="3"/>
  <c r="U51" i="3"/>
  <c r="U42" i="3"/>
  <c r="U50" i="3"/>
  <c r="U38" i="3"/>
  <c r="U29" i="3"/>
  <c r="U55" i="3"/>
  <c r="U17" i="3"/>
  <c r="U45" i="3"/>
  <c r="U25" i="3"/>
  <c r="U11" i="3"/>
  <c r="U13" i="3"/>
  <c r="U35" i="3"/>
  <c r="U18" i="3"/>
  <c r="U23" i="3"/>
  <c r="U10" i="3"/>
  <c r="U67" i="3" l="1"/>
  <c r="P79" i="3" s="1"/>
  <c r="U69" i="3"/>
  <c r="P81" i="3" s="1"/>
  <c r="U64" i="3"/>
  <c r="P76" i="3" s="1"/>
  <c r="U62" i="3"/>
  <c r="P74" i="3" s="1"/>
  <c r="U68" i="3"/>
  <c r="P80" i="3" s="1"/>
  <c r="U65" i="3"/>
  <c r="P77" i="3" s="1"/>
  <c r="U63" i="3"/>
  <c r="P75" i="3" s="1"/>
  <c r="U66" i="3"/>
  <c r="P78" i="3" s="1"/>
  <c r="V87" i="3" l="1" a="1"/>
  <c r="V87" i="3" s="1"/>
  <c r="AJ18" i="5" s="1"/>
  <c r="Q18" i="5" s="1"/>
  <c r="AJ11" i="5" l="1"/>
  <c r="Q11" i="5" s="1"/>
  <c r="AJ7" i="5"/>
  <c r="Q7" i="5" s="1"/>
  <c r="AJ35" i="5"/>
  <c r="Q35" i="5" s="1"/>
  <c r="AJ6" i="5"/>
  <c r="Q6" i="5" s="1"/>
  <c r="AJ9" i="5"/>
  <c r="Q9" i="5" s="1"/>
  <c r="AJ25" i="5"/>
  <c r="Q25" i="5" s="1"/>
  <c r="AJ20" i="5"/>
  <c r="Q20" i="5" s="1"/>
  <c r="AJ33" i="5"/>
  <c r="Q33" i="5" s="1"/>
  <c r="AJ32" i="5"/>
  <c r="Q32" i="5" s="1"/>
  <c r="AJ14" i="5"/>
  <c r="Q14" i="5" s="1"/>
  <c r="AJ26" i="5"/>
  <c r="Q26" i="5" s="1"/>
  <c r="AJ31" i="5"/>
  <c r="Q31" i="5" s="1"/>
  <c r="AJ23" i="5"/>
  <c r="Q23" i="5" s="1"/>
  <c r="AJ16" i="5"/>
  <c r="Q16" i="5" s="1"/>
  <c r="AJ15" i="5"/>
  <c r="Q15" i="5" s="1"/>
  <c r="AJ19" i="5"/>
  <c r="Q19" i="5" s="1"/>
  <c r="AJ37" i="5"/>
  <c r="Q37" i="5" s="1"/>
  <c r="AJ24" i="5"/>
  <c r="Q24" i="5" s="1"/>
  <c r="AJ8" i="5"/>
  <c r="Q8" i="5" s="1"/>
  <c r="AJ13" i="5"/>
  <c r="Q13" i="5" s="1"/>
  <c r="AJ30" i="5"/>
  <c r="Q30" i="5" s="1"/>
  <c r="AJ29" i="5"/>
  <c r="Q29" i="5" s="1"/>
  <c r="AJ12" i="5"/>
  <c r="Q12" i="5" s="1"/>
  <c r="AJ28" i="5"/>
  <c r="Q28" i="5" s="1"/>
  <c r="AJ34" i="5"/>
  <c r="Q34" i="5" s="1"/>
  <c r="AJ36" i="5"/>
  <c r="Q36" i="5" s="1"/>
  <c r="AJ27" i="5"/>
  <c r="Q27" i="5" s="1"/>
  <c r="AJ17" i="5"/>
  <c r="Q17" i="5" s="1"/>
  <c r="AJ10" i="5"/>
  <c r="Q10" i="5" s="1"/>
  <c r="AJ22" i="5"/>
  <c r="Q22" i="5" s="1"/>
  <c r="AJ21" i="5"/>
  <c r="Q21" i="5" s="1"/>
  <c r="J57" i="5" l="1"/>
  <c r="C56" i="5"/>
  <c r="V36" i="3" s="1"/>
  <c r="V55" i="3" l="1"/>
  <c r="V25" i="3"/>
  <c r="V45" i="3"/>
  <c r="V19" i="3"/>
  <c r="V27" i="3"/>
  <c r="V32" i="3"/>
  <c r="V33" i="3"/>
  <c r="V17" i="3"/>
  <c r="V38" i="3"/>
  <c r="V44" i="3"/>
  <c r="V12" i="3"/>
  <c r="V26" i="3"/>
  <c r="V54" i="3"/>
  <c r="V11" i="3"/>
  <c r="V42" i="3"/>
  <c r="V20" i="3"/>
  <c r="V41" i="3"/>
  <c r="V28" i="3"/>
  <c r="V34" i="3"/>
  <c r="V15" i="3"/>
  <c r="V47" i="3"/>
  <c r="V56" i="3"/>
  <c r="V48" i="3"/>
  <c r="V29" i="3"/>
  <c r="V9" i="3"/>
  <c r="V46" i="3"/>
  <c r="V30" i="3"/>
  <c r="V50" i="3"/>
  <c r="V51" i="3"/>
  <c r="V52" i="3"/>
  <c r="V31" i="3"/>
  <c r="V43" i="3"/>
  <c r="V39" i="3"/>
  <c r="V35" i="3"/>
  <c r="V24" i="3"/>
  <c r="V22" i="3"/>
  <c r="V53" i="3"/>
  <c r="V16" i="3"/>
  <c r="V49" i="3"/>
  <c r="V14" i="3"/>
  <c r="V37" i="3"/>
  <c r="V13" i="3"/>
  <c r="V21" i="3"/>
  <c r="V23" i="3"/>
  <c r="V10" i="3"/>
  <c r="V40" i="3"/>
  <c r="V18" i="3"/>
  <c r="V65" i="3" l="1"/>
  <c r="Q77" i="3" s="1"/>
  <c r="V62" i="3"/>
  <c r="Q74" i="3" s="1"/>
  <c r="V63" i="3"/>
  <c r="Q75" i="3" s="1"/>
  <c r="V64" i="3"/>
  <c r="Q76" i="3" s="1"/>
  <c r="V66" i="3"/>
  <c r="Q78" i="3" s="1"/>
  <c r="V67" i="3"/>
  <c r="Q79" i="3" s="1"/>
  <c r="V69" i="3"/>
  <c r="Q81" i="3" s="1"/>
  <c r="V68" i="3"/>
  <c r="Q80" i="3" s="1"/>
  <c r="V88" i="3" l="1" a="1"/>
  <c r="V88" i="3" s="1"/>
  <c r="AK35" i="5" s="1"/>
  <c r="R35" i="5" s="1"/>
  <c r="AK26" i="5" l="1"/>
  <c r="R26" i="5" s="1"/>
  <c r="AK12" i="5"/>
  <c r="R12" i="5" s="1"/>
  <c r="AK8" i="5"/>
  <c r="R8" i="5" s="1"/>
  <c r="AK28" i="5"/>
  <c r="R28" i="5" s="1"/>
  <c r="AK36" i="5"/>
  <c r="R36" i="5" s="1"/>
  <c r="AK23" i="5"/>
  <c r="R23" i="5" s="1"/>
  <c r="AK27" i="5"/>
  <c r="R27" i="5" s="1"/>
  <c r="AK19" i="5"/>
  <c r="R19" i="5" s="1"/>
  <c r="AK18" i="5"/>
  <c r="R18" i="5" s="1"/>
  <c r="AK30" i="5"/>
  <c r="R30" i="5" s="1"/>
  <c r="AK6" i="5"/>
  <c r="R6" i="5" s="1"/>
  <c r="AK9" i="5"/>
  <c r="R9" i="5" s="1"/>
  <c r="AK32" i="5"/>
  <c r="R32" i="5" s="1"/>
  <c r="AK24" i="5"/>
  <c r="R24" i="5" s="1"/>
  <c r="AK20" i="5"/>
  <c r="R20" i="5" s="1"/>
  <c r="AK7" i="5"/>
  <c r="R7" i="5" s="1"/>
  <c r="AK22" i="5"/>
  <c r="R22" i="5" s="1"/>
  <c r="AK37" i="5"/>
  <c r="R37" i="5" s="1"/>
  <c r="AK34" i="5"/>
  <c r="R34" i="5" s="1"/>
  <c r="AK29" i="5"/>
  <c r="R29" i="5" s="1"/>
  <c r="AK16" i="5"/>
  <c r="R16" i="5" s="1"/>
  <c r="AK13" i="5"/>
  <c r="R13" i="5" s="1"/>
  <c r="AK31" i="5"/>
  <c r="R31" i="5" s="1"/>
  <c r="AK14" i="5"/>
  <c r="R14" i="5" s="1"/>
  <c r="AK33" i="5"/>
  <c r="R33" i="5" s="1"/>
  <c r="AK25" i="5"/>
  <c r="R25" i="5" s="1"/>
  <c r="AK17" i="5"/>
  <c r="R17" i="5" s="1"/>
  <c r="AK11" i="5"/>
  <c r="R11" i="5" s="1"/>
  <c r="AK15" i="5"/>
  <c r="R15" i="5" s="1"/>
  <c r="AK10" i="5"/>
  <c r="R10" i="5" s="1"/>
  <c r="AK21" i="5"/>
  <c r="R21" i="5" s="1"/>
  <c r="J58" i="5" l="1"/>
  <c r="C57" i="5"/>
  <c r="W35" i="3" s="1"/>
  <c r="W14" i="3" l="1"/>
  <c r="W51" i="3"/>
  <c r="W19" i="3"/>
  <c r="W40" i="3"/>
  <c r="W55" i="3"/>
  <c r="W30" i="3"/>
  <c r="W24" i="3"/>
  <c r="W43" i="3"/>
  <c r="W53" i="3"/>
  <c r="W9" i="3"/>
  <c r="W17" i="3"/>
  <c r="W56" i="3"/>
  <c r="W10" i="3"/>
  <c r="W49" i="3"/>
  <c r="W47" i="3"/>
  <c r="W52" i="3"/>
  <c r="W50" i="3"/>
  <c r="W42" i="3"/>
  <c r="W33" i="3"/>
  <c r="W39" i="3"/>
  <c r="W11" i="3"/>
  <c r="W12" i="3"/>
  <c r="W15" i="3"/>
  <c r="W29" i="3"/>
  <c r="W45" i="3"/>
  <c r="W13" i="3"/>
  <c r="W54" i="3"/>
  <c r="W36" i="3"/>
  <c r="W26" i="3"/>
  <c r="W25" i="3"/>
  <c r="W16" i="3"/>
  <c r="W48" i="3"/>
  <c r="W27" i="3"/>
  <c r="W20" i="3"/>
  <c r="W41" i="3"/>
  <c r="W38" i="3"/>
  <c r="W46" i="3"/>
  <c r="W37" i="3"/>
  <c r="W22" i="3"/>
  <c r="W34" i="3"/>
  <c r="W44" i="3"/>
  <c r="W21" i="3"/>
  <c r="W28" i="3"/>
  <c r="W23" i="3"/>
  <c r="W31" i="3"/>
  <c r="W18" i="3"/>
  <c r="W32" i="3"/>
  <c r="W63" i="3" l="1"/>
  <c r="R75" i="3" s="1"/>
  <c r="W69" i="3"/>
  <c r="R81" i="3" s="1"/>
  <c r="W68" i="3"/>
  <c r="R80" i="3" s="1"/>
  <c r="W67" i="3"/>
  <c r="R79" i="3" s="1"/>
  <c r="W64" i="3"/>
  <c r="R76" i="3" s="1"/>
  <c r="W66" i="3"/>
  <c r="R78" i="3" s="1"/>
  <c r="W62" i="3"/>
  <c r="R74" i="3" s="1"/>
  <c r="W65" i="3"/>
  <c r="R77" i="3" s="1"/>
  <c r="V89" i="3" l="1" a="1"/>
  <c r="V89" i="3" s="1"/>
  <c r="AL21" i="5" s="1"/>
  <c r="AL22" i="5" l="1"/>
  <c r="AL6" i="5"/>
  <c r="AL20" i="5"/>
  <c r="AL25" i="5"/>
  <c r="AL8" i="5"/>
  <c r="AL17" i="5"/>
  <c r="AL16" i="5"/>
  <c r="AL34" i="5"/>
  <c r="AL26" i="5"/>
  <c r="AL28" i="5"/>
  <c r="AL24" i="5"/>
  <c r="AL19" i="5"/>
  <c r="AL10" i="5"/>
  <c r="AL7" i="5"/>
  <c r="AL27" i="5"/>
  <c r="AL23" i="5"/>
  <c r="AL37" i="5"/>
  <c r="AL32" i="5"/>
  <c r="AL18" i="5"/>
  <c r="AL30" i="5"/>
  <c r="AL11" i="5"/>
  <c r="AL35" i="5"/>
  <c r="AL15" i="5"/>
  <c r="AL29" i="5"/>
  <c r="AL12" i="5"/>
  <c r="AL14" i="5"/>
  <c r="AL33" i="5"/>
  <c r="AL9" i="5"/>
  <c r="AL36" i="5"/>
  <c r="AL13" i="5"/>
  <c r="AL31" i="5"/>
  <c r="C58" i="5" l="1"/>
  <c r="X11" i="3" s="1"/>
  <c r="X14" i="3" l="1"/>
  <c r="X12" i="3"/>
  <c r="X21" i="3"/>
  <c r="X36" i="3"/>
  <c r="X35" i="3"/>
  <c r="X29" i="3"/>
  <c r="X38" i="3"/>
  <c r="X13" i="3"/>
  <c r="X42" i="3"/>
  <c r="X34" i="3"/>
  <c r="H62" i="5"/>
  <c r="E89" i="5" s="1"/>
  <c r="X24" i="3"/>
  <c r="X44" i="3"/>
  <c r="X15" i="3"/>
  <c r="X39" i="3"/>
  <c r="X19" i="3"/>
  <c r="X41" i="3"/>
  <c r="X20" i="3"/>
  <c r="X33" i="3"/>
  <c r="X18" i="3"/>
  <c r="X47" i="3"/>
  <c r="X17" i="3"/>
  <c r="X23" i="3"/>
  <c r="X54" i="3"/>
  <c r="X28" i="3"/>
  <c r="X16" i="3"/>
  <c r="X45" i="3"/>
  <c r="X22" i="3"/>
  <c r="X31" i="3"/>
  <c r="X25" i="3"/>
  <c r="X49" i="3"/>
  <c r="X27" i="3"/>
  <c r="X52" i="3"/>
  <c r="X55" i="3"/>
  <c r="X9" i="3"/>
  <c r="X37" i="3"/>
  <c r="X30" i="3"/>
  <c r="X53" i="3"/>
  <c r="X56" i="3"/>
  <c r="X50" i="3"/>
  <c r="X43" i="3"/>
  <c r="X10" i="3"/>
  <c r="X32" i="3"/>
  <c r="X51" i="3"/>
  <c r="X46" i="3"/>
  <c r="X40" i="3"/>
  <c r="X48" i="3"/>
  <c r="X26" i="3"/>
  <c r="E128" i="5" l="1"/>
  <c r="E126" i="5"/>
  <c r="E70" i="5"/>
  <c r="E72" i="5"/>
  <c r="E105" i="5"/>
  <c r="E76" i="5"/>
  <c r="E102" i="5"/>
  <c r="E110" i="5"/>
  <c r="E103" i="5"/>
  <c r="E101" i="5"/>
  <c r="E95" i="5"/>
  <c r="E115" i="5"/>
  <c r="E83" i="5"/>
  <c r="E96" i="5"/>
  <c r="E127" i="5"/>
  <c r="E113" i="5"/>
  <c r="E75" i="5"/>
  <c r="E121" i="5"/>
  <c r="E65" i="5"/>
  <c r="E77" i="5"/>
  <c r="E97" i="5"/>
  <c r="E111" i="5"/>
  <c r="E125" i="5"/>
  <c r="E87" i="5"/>
  <c r="E112" i="5"/>
  <c r="E74" i="5"/>
  <c r="E117" i="5"/>
  <c r="E99" i="5"/>
  <c r="E71" i="5"/>
  <c r="E67" i="5"/>
  <c r="E100" i="5"/>
  <c r="E104" i="5"/>
  <c r="E114" i="5"/>
  <c r="E81" i="5"/>
  <c r="E90" i="5"/>
  <c r="E107" i="5"/>
  <c r="E92" i="5"/>
  <c r="E85" i="5"/>
  <c r="E66" i="5"/>
  <c r="E108" i="5"/>
  <c r="E73" i="5"/>
  <c r="E80" i="5"/>
  <c r="E106" i="5"/>
  <c r="E94" i="5"/>
  <c r="E124" i="5"/>
  <c r="E78" i="5"/>
  <c r="E120" i="5"/>
  <c r="E68" i="5"/>
  <c r="E93" i="5"/>
  <c r="E123" i="5"/>
  <c r="E84" i="5"/>
  <c r="E86" i="5"/>
  <c r="E91" i="5"/>
  <c r="E69" i="5"/>
  <c r="E88" i="5"/>
  <c r="E118" i="5"/>
  <c r="E116" i="5"/>
  <c r="E82" i="5"/>
  <c r="E79" i="5"/>
  <c r="E109" i="5"/>
  <c r="E122" i="5"/>
  <c r="E98" i="5"/>
  <c r="E119" i="5"/>
  <c r="F127" i="5" l="1"/>
  <c r="F126" i="5"/>
  <c r="F125" i="5" s="1"/>
  <c r="F124" i="5" s="1"/>
  <c r="F123" i="5" s="1"/>
  <c r="F122" i="5" s="1"/>
  <c r="F121" i="5" s="1"/>
  <c r="F120" i="5" s="1"/>
  <c r="F119" i="5" s="1"/>
  <c r="F118" i="5" s="1"/>
  <c r="F117" i="5" s="1"/>
  <c r="F116" i="5" s="1"/>
  <c r="F115" i="5" s="1"/>
  <c r="F114" i="5" s="1"/>
  <c r="F113" i="5" s="1"/>
  <c r="F112" i="5" s="1"/>
  <c r="F111" i="5" s="1"/>
  <c r="F110" i="5" s="1"/>
  <c r="F109" i="5" s="1"/>
  <c r="F108" i="5" s="1"/>
  <c r="F107" i="5" s="1"/>
  <c r="F106" i="5" s="1"/>
  <c r="F105" i="5" s="1"/>
  <c r="F104" i="5" s="1"/>
  <c r="F103" i="5" s="1"/>
  <c r="F102" i="5" s="1"/>
  <c r="F101" i="5" s="1"/>
  <c r="F100" i="5" s="1"/>
  <c r="F99" i="5" s="1"/>
  <c r="F98" i="5" s="1"/>
  <c r="F97" i="5" s="1"/>
  <c r="F96" i="5" s="1"/>
  <c r="F95" i="5" s="1"/>
  <c r="F94" i="5" s="1"/>
  <c r="F93" i="5" s="1"/>
  <c r="F92" i="5" s="1"/>
  <c r="F91" i="5" s="1"/>
  <c r="F90" i="5" s="1"/>
  <c r="F89" i="5" s="1"/>
  <c r="F88" i="5" s="1"/>
  <c r="F87" i="5" s="1"/>
  <c r="F86" i="5" s="1"/>
  <c r="F85" i="5" s="1"/>
  <c r="F84" i="5" s="1"/>
  <c r="F83" i="5" s="1"/>
  <c r="F82" i="5" s="1"/>
  <c r="F81" i="5" s="1"/>
  <c r="F80" i="5" s="1"/>
  <c r="F79" i="5" s="1"/>
  <c r="F78" i="5" s="1"/>
  <c r="F77" i="5" s="1"/>
  <c r="F76" i="5" s="1"/>
  <c r="F75" i="5" s="1"/>
  <c r="F74" i="5" s="1"/>
  <c r="F73" i="5" s="1"/>
  <c r="F72" i="5" s="1"/>
  <c r="F71" i="5" s="1"/>
  <c r="F70" i="5" s="1"/>
  <c r="F69" i="5" s="1"/>
  <c r="F68" i="5" s="1"/>
  <c r="F67" i="5" s="1"/>
  <c r="F66" i="5" s="1"/>
  <c r="F65" i="5" s="1"/>
  <c r="O68" i="5" s="1"/>
  <c r="P68" i="5" s="1"/>
  <c r="O66" i="5" l="1"/>
  <c r="O73" i="5"/>
  <c r="P73" i="5" s="1"/>
  <c r="O72" i="5"/>
  <c r="P72" i="5" s="1"/>
  <c r="O70" i="5"/>
  <c r="P70" i="5" s="1"/>
  <c r="O71" i="5"/>
  <c r="P71" i="5" s="1"/>
  <c r="O67" i="5"/>
  <c r="P67" i="5" s="1"/>
  <c r="O69" i="5"/>
  <c r="P69" i="5" s="1"/>
  <c r="P6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<sst xmlns="http://schemas.openxmlformats.org/spreadsheetml/2006/main" count="220" uniqueCount="149">
  <si>
    <t>Khóa K:</t>
  </si>
  <si>
    <t>0133457799BBCDFF</t>
  </si>
  <si>
    <t>ký tự hexan</t>
  </si>
  <si>
    <t>binary</t>
  </si>
  <si>
    <t>0000000100110011010001010111011110011001101110111100110111111111</t>
  </si>
  <si>
    <t>STT</t>
  </si>
  <si>
    <t>bit i</t>
  </si>
  <si>
    <t>hexan</t>
  </si>
  <si>
    <t>0000000000010010001101000101011001111000100110101011110011011110</t>
  </si>
  <si>
    <t>IP(M)</t>
  </si>
  <si>
    <t>IP</t>
  </si>
  <si>
    <t xml:space="preserve">L0 = </t>
  </si>
  <si>
    <t xml:space="preserve">R0 = 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</si>
  <si>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</si>
  <si>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</si>
  <si>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</si>
  <si>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</si>
  <si>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</si>
  <si>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</si>
  <si>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</si>
  <si>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</si>
  <si>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</si>
  <si>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</si>
  <si>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</si>
  <si>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</si>
  <si>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</si>
  <si>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</si>
  <si>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</si>
  <si>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</si>
  <si>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</si>
  <si>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</si>
  <si>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</si>
  <si>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</si>
  <si>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</si>
  <si>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</si>
  <si>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</si>
  <si>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</si>
  <si>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</si>
  <si>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</si>
  <si>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</si>
  <si>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</si>
  <si>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</si>
  <si>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</si>
  <si>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</si>
  <si>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</si>
  <si>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L16</t>
  </si>
  <si>
    <t>Pc-1</t>
  </si>
  <si>
    <t xml:space="preserve">Sau khi Pc-1 ta có k0 = </t>
  </si>
  <si>
    <t>Bảng dịch trái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</si>
  <si>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</si>
  <si>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</si>
  <si>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</si>
  <si>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</si>
  <si>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</si>
  <si>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</si>
  <si>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</si>
  <si>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</si>
  <si>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</si>
  <si>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</si>
  <si>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</si>
  <si>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</si>
  <si>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</si>
  <si>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</si>
  <si>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 xml:space="preserve">C16 </t>
  </si>
  <si>
    <t xml:space="preserve">C1 </t>
  </si>
  <si>
    <t xml:space="preserve">C0 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</si>
  <si>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</si>
  <si>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</si>
  <si>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</si>
  <si>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</si>
  <si>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</si>
  <si>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</si>
  <si>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</si>
  <si>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</si>
  <si>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</si>
  <si>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</si>
  <si>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</si>
  <si>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</si>
  <si>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</si>
  <si>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</si>
  <si>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</si>
  <si>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</si>
  <si>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</si>
  <si>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</si>
  <si>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</si>
  <si>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</si>
  <si>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</si>
  <si>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</si>
  <si>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</si>
  <si>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</si>
  <si>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</si>
  <si>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</si>
  <si>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</si>
  <si>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</si>
  <si>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</si>
  <si>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</si>
  <si>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</si>
  <si>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</si>
  <si>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</si>
  <si>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stt</t>
  </si>
  <si>
    <t>Ma trận E</t>
  </si>
  <si>
    <t>IP^-1</t>
  </si>
  <si>
    <t>Bản rõ M</t>
  </si>
  <si>
    <t xml:space="preserve"> Input M =</t>
  </si>
  <si>
    <t>00123456789abcde</t>
  </si>
  <si>
    <t xml:space="preserve">IP(M) = </t>
  </si>
  <si>
    <t xml:space="preserve">R1 = </t>
  </si>
  <si>
    <t>Tính A = E(Ri) XOR ki+1</t>
  </si>
  <si>
    <t>i</t>
  </si>
  <si>
    <t>STT/i</t>
  </si>
  <si>
    <t>R0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</si>
  <si>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</si>
  <si>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</si>
  <si>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</si>
  <si>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</si>
  <si>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</si>
  <si>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</si>
  <si>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</si>
  <si>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</si>
  <si>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</si>
  <si>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</si>
  <si>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</si>
  <si>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</si>
  <si>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</si>
  <si>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</si>
  <si>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</si>
  <si>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</si>
  <si>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Đi qua IP^-1</t>
  </si>
  <si>
    <t xml:space="preserve">bit </t>
  </si>
  <si>
    <t>byte</t>
  </si>
  <si>
    <t>* Khoá K sau khi dịch bit</t>
  </si>
  <si>
    <t>* Dịch bit</t>
  </si>
  <si>
    <t>* 48 bit</t>
  </si>
  <si>
    <t>* Chia thành các kí tự 6 bit</t>
  </si>
  <si>
    <t>vị trí</t>
  </si>
  <si>
    <t xml:space="preserve">* Kết quả sau khi L R đi qua fitsle 16 vòng là R16 +L16 = </t>
  </si>
  <si>
    <t>pc2</t>
  </si>
  <si>
    <t>* Tính khóa k1 =pc2(c1d1)</t>
  </si>
  <si>
    <t xml:space="preserve">byte </t>
  </si>
  <si>
    <t xml:space="preserve">* S(E(R0) XOR k1) </t>
  </si>
  <si>
    <t>* Sau khi đi qua S_BOX thì được kết quả</t>
  </si>
  <si>
    <t>s3</t>
  </si>
  <si>
    <t>s1</t>
  </si>
  <si>
    <t>s2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</si>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</sst>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0" xfId="0" applyFill="1" applyBorder="1" applyAlignment="1">
      <alignment horizontal="left"/>
    </xf>
    <xf numFmtId="0" fontId="1" fillId="0" borderId="0" xfId="0" applyFont="1" applyFill="1"/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AD36-0080-4860-8022-C48F60F311B2}">
  <sheetPr codeName="Sheet1"/>
  <dimension ref="A1:AI26"/>
  <sheetViews>
    <sheetView zoomScaleNormal="100" workbookViewId="0">
      <selection activeCell="S29" sqref="S29"/>
    </sheetView>
  </sheetViews>
  <sheetFormatPr defaultRowHeight="15" x14ac:dyDescent="0.25"/>
  <cols>
    <col min="1" max="16384" width="9.140625" style="16"/>
  </cols>
  <sheetData>
    <row r="1" spans="1:35" x14ac:dyDescent="0.25">
      <c r="A1" s="16" t="s">
        <v>142</v>
      </c>
      <c r="B1" s="6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S1" s="2" t="s">
        <v>145</v>
      </c>
      <c r="T1" s="6">
        <v>0</v>
      </c>
      <c r="U1" s="6">
        <v>1</v>
      </c>
      <c r="V1" s="6">
        <v>2</v>
      </c>
      <c r="W1" s="6">
        <v>3</v>
      </c>
      <c r="X1" s="6">
        <v>4</v>
      </c>
      <c r="Y1" s="6">
        <v>5</v>
      </c>
      <c r="Z1" s="6">
        <v>6</v>
      </c>
      <c r="AA1" s="6">
        <v>7</v>
      </c>
      <c r="AB1" s="6">
        <v>8</v>
      </c>
      <c r="AC1" s="6">
        <v>9</v>
      </c>
      <c r="AD1" s="6">
        <v>10</v>
      </c>
      <c r="AE1" s="6">
        <v>11</v>
      </c>
      <c r="AF1" s="6">
        <v>12</v>
      </c>
      <c r="AG1" s="6">
        <v>13</v>
      </c>
      <c r="AH1" s="6">
        <v>14</v>
      </c>
      <c r="AI1" s="6">
        <v>15</v>
      </c>
    </row>
    <row r="2" spans="1:35" x14ac:dyDescent="0.25">
      <c r="A2" s="2">
        <v>0</v>
      </c>
      <c r="B2" s="7">
        <v>14</v>
      </c>
      <c r="C2" s="7">
        <v>4</v>
      </c>
      <c r="D2" s="7">
        <v>13</v>
      </c>
      <c r="E2" s="7">
        <v>1</v>
      </c>
      <c r="F2" s="7">
        <v>2</v>
      </c>
      <c r="G2" s="7">
        <v>15</v>
      </c>
      <c r="H2" s="7">
        <v>11</v>
      </c>
      <c r="I2" s="7">
        <v>8</v>
      </c>
      <c r="J2" s="7">
        <v>3</v>
      </c>
      <c r="K2" s="7">
        <v>10</v>
      </c>
      <c r="L2" s="7">
        <v>6</v>
      </c>
      <c r="M2" s="7">
        <v>12</v>
      </c>
      <c r="N2" s="7">
        <v>5</v>
      </c>
      <c r="O2" s="7">
        <v>9</v>
      </c>
      <c r="P2" s="7">
        <v>0</v>
      </c>
      <c r="Q2" s="7">
        <v>7</v>
      </c>
      <c r="S2" s="2">
        <v>0</v>
      </c>
      <c r="T2" s="7">
        <v>2</v>
      </c>
      <c r="U2" s="7">
        <v>12</v>
      </c>
      <c r="V2" s="7">
        <v>4</v>
      </c>
      <c r="W2" s="7">
        <v>1</v>
      </c>
      <c r="X2" s="7">
        <v>7</v>
      </c>
      <c r="Y2" s="7">
        <v>10</v>
      </c>
      <c r="Z2" s="7">
        <v>11</v>
      </c>
      <c r="AA2" s="7">
        <v>6</v>
      </c>
      <c r="AB2" s="7">
        <v>8</v>
      </c>
      <c r="AC2" s="7">
        <v>5</v>
      </c>
      <c r="AD2" s="7">
        <v>3</v>
      </c>
      <c r="AE2" s="7">
        <v>15</v>
      </c>
      <c r="AF2" s="7">
        <v>13</v>
      </c>
      <c r="AG2" s="7">
        <v>0</v>
      </c>
      <c r="AH2" s="7">
        <v>14</v>
      </c>
      <c r="AI2" s="7">
        <v>9</v>
      </c>
    </row>
    <row r="3" spans="1:35" x14ac:dyDescent="0.25">
      <c r="A3" s="2">
        <v>1</v>
      </c>
      <c r="B3" s="7">
        <v>0</v>
      </c>
      <c r="C3" s="7">
        <v>15</v>
      </c>
      <c r="D3" s="7">
        <v>7</v>
      </c>
      <c r="E3" s="7">
        <v>4</v>
      </c>
      <c r="F3" s="7">
        <v>14</v>
      </c>
      <c r="G3" s="7">
        <v>2</v>
      </c>
      <c r="H3" s="7">
        <v>13</v>
      </c>
      <c r="I3" s="7">
        <v>1</v>
      </c>
      <c r="J3" s="7">
        <v>10</v>
      </c>
      <c r="K3" s="7">
        <v>6</v>
      </c>
      <c r="L3" s="7">
        <v>12</v>
      </c>
      <c r="M3" s="7">
        <v>11</v>
      </c>
      <c r="N3" s="7">
        <v>9</v>
      </c>
      <c r="O3" s="7">
        <v>5</v>
      </c>
      <c r="P3" s="7">
        <v>3</v>
      </c>
      <c r="Q3" s="7">
        <v>8</v>
      </c>
      <c r="S3" s="2">
        <v>1</v>
      </c>
      <c r="T3" s="7">
        <v>14</v>
      </c>
      <c r="U3" s="7">
        <v>11</v>
      </c>
      <c r="V3" s="7">
        <v>2</v>
      </c>
      <c r="W3" s="7">
        <v>12</v>
      </c>
      <c r="X3" s="7">
        <v>4</v>
      </c>
      <c r="Y3" s="7">
        <v>7</v>
      </c>
      <c r="Z3" s="7">
        <v>13</v>
      </c>
      <c r="AA3" s="7">
        <v>1</v>
      </c>
      <c r="AB3" s="7">
        <v>5</v>
      </c>
      <c r="AC3" s="7">
        <v>0</v>
      </c>
      <c r="AD3" s="7">
        <v>15</v>
      </c>
      <c r="AE3" s="7">
        <v>10</v>
      </c>
      <c r="AF3" s="7">
        <v>3</v>
      </c>
      <c r="AG3" s="7">
        <v>9</v>
      </c>
      <c r="AH3" s="7">
        <v>8</v>
      </c>
      <c r="AI3" s="7">
        <v>6</v>
      </c>
    </row>
    <row r="4" spans="1:35" x14ac:dyDescent="0.25">
      <c r="A4" s="2">
        <v>2</v>
      </c>
      <c r="B4" s="7">
        <v>4</v>
      </c>
      <c r="C4" s="7">
        <v>1</v>
      </c>
      <c r="D4" s="7">
        <v>14</v>
      </c>
      <c r="E4" s="7">
        <v>8</v>
      </c>
      <c r="F4" s="7">
        <v>13</v>
      </c>
      <c r="G4" s="7">
        <v>6</v>
      </c>
      <c r="H4" s="7">
        <v>2</v>
      </c>
      <c r="I4" s="7">
        <v>11</v>
      </c>
      <c r="J4" s="7">
        <v>15</v>
      </c>
      <c r="K4" s="7">
        <v>12</v>
      </c>
      <c r="L4" s="7">
        <v>9</v>
      </c>
      <c r="M4" s="7">
        <v>7</v>
      </c>
      <c r="N4" s="7">
        <v>3</v>
      </c>
      <c r="O4" s="7">
        <v>10</v>
      </c>
      <c r="P4" s="7">
        <v>5</v>
      </c>
      <c r="Q4" s="7">
        <v>0</v>
      </c>
      <c r="S4" s="2">
        <v>2</v>
      </c>
      <c r="T4" s="7">
        <v>4</v>
      </c>
      <c r="U4" s="7">
        <v>2</v>
      </c>
      <c r="V4" s="7">
        <v>1</v>
      </c>
      <c r="W4" s="7">
        <v>11</v>
      </c>
      <c r="X4" s="7">
        <v>10</v>
      </c>
      <c r="Y4" s="7">
        <v>13</v>
      </c>
      <c r="Z4" s="7">
        <v>7</v>
      </c>
      <c r="AA4" s="7">
        <v>8</v>
      </c>
      <c r="AB4" s="7">
        <v>15</v>
      </c>
      <c r="AC4" s="7">
        <v>9</v>
      </c>
      <c r="AD4" s="7">
        <v>12</v>
      </c>
      <c r="AE4" s="7">
        <v>5</v>
      </c>
      <c r="AF4" s="7">
        <v>6</v>
      </c>
      <c r="AG4" s="7">
        <v>3</v>
      </c>
      <c r="AH4" s="7">
        <v>0</v>
      </c>
      <c r="AI4" s="7">
        <v>14</v>
      </c>
    </row>
    <row r="5" spans="1:35" x14ac:dyDescent="0.25">
      <c r="A5" s="2">
        <v>3</v>
      </c>
      <c r="B5" s="7">
        <v>15</v>
      </c>
      <c r="C5" s="7">
        <v>12</v>
      </c>
      <c r="D5" s="7">
        <v>8</v>
      </c>
      <c r="E5" s="7">
        <v>2</v>
      </c>
      <c r="F5" s="7">
        <v>4</v>
      </c>
      <c r="G5" s="7">
        <v>9</v>
      </c>
      <c r="H5" s="7">
        <v>1</v>
      </c>
      <c r="I5" s="7">
        <v>7</v>
      </c>
      <c r="J5" s="7">
        <v>5</v>
      </c>
      <c r="K5" s="7">
        <v>11</v>
      </c>
      <c r="L5" s="7">
        <v>3</v>
      </c>
      <c r="M5" s="7">
        <v>14</v>
      </c>
      <c r="N5" s="7">
        <v>10</v>
      </c>
      <c r="O5" s="7">
        <v>0</v>
      </c>
      <c r="P5" s="7">
        <v>6</v>
      </c>
      <c r="Q5" s="7">
        <v>13</v>
      </c>
      <c r="S5" s="2">
        <v>3</v>
      </c>
      <c r="T5" s="7">
        <v>11</v>
      </c>
      <c r="U5" s="7">
        <v>8</v>
      </c>
      <c r="V5" s="7">
        <v>12</v>
      </c>
      <c r="W5" s="7">
        <v>7</v>
      </c>
      <c r="X5" s="7">
        <v>1</v>
      </c>
      <c r="Y5" s="7">
        <v>14</v>
      </c>
      <c r="Z5" s="7">
        <v>2</v>
      </c>
      <c r="AA5" s="7">
        <v>13</v>
      </c>
      <c r="AB5" s="7">
        <v>6</v>
      </c>
      <c r="AC5" s="7">
        <v>15</v>
      </c>
      <c r="AD5" s="7">
        <v>0</v>
      </c>
      <c r="AE5" s="7">
        <v>9</v>
      </c>
      <c r="AF5" s="7">
        <v>10</v>
      </c>
      <c r="AG5" s="7">
        <v>4</v>
      </c>
      <c r="AH5" s="7">
        <v>5</v>
      </c>
      <c r="AI5" s="7">
        <v>3</v>
      </c>
    </row>
    <row r="8" spans="1:35" x14ac:dyDescent="0.25">
      <c r="A8" s="2" t="s">
        <v>143</v>
      </c>
      <c r="B8" s="6">
        <v>0</v>
      </c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6">
        <v>11</v>
      </c>
      <c r="N8" s="6">
        <v>12</v>
      </c>
      <c r="O8" s="6">
        <v>13</v>
      </c>
      <c r="P8" s="6">
        <v>14</v>
      </c>
      <c r="Q8" s="6">
        <v>15</v>
      </c>
      <c r="S8" s="2" t="s">
        <v>146</v>
      </c>
      <c r="T8" s="6">
        <v>0</v>
      </c>
      <c r="U8" s="6">
        <v>1</v>
      </c>
      <c r="V8" s="6">
        <v>2</v>
      </c>
      <c r="W8" s="6">
        <v>3</v>
      </c>
      <c r="X8" s="6">
        <v>4</v>
      </c>
      <c r="Y8" s="6">
        <v>5</v>
      </c>
      <c r="Z8" s="6">
        <v>6</v>
      </c>
      <c r="AA8" s="6">
        <v>7</v>
      </c>
      <c r="AB8" s="6">
        <v>8</v>
      </c>
      <c r="AC8" s="6">
        <v>9</v>
      </c>
      <c r="AD8" s="6">
        <v>10</v>
      </c>
      <c r="AE8" s="6">
        <v>11</v>
      </c>
      <c r="AF8" s="6">
        <v>12</v>
      </c>
      <c r="AG8" s="6">
        <v>13</v>
      </c>
      <c r="AH8" s="6">
        <v>14</v>
      </c>
      <c r="AI8" s="6">
        <v>15</v>
      </c>
    </row>
    <row r="9" spans="1:35" x14ac:dyDescent="0.25">
      <c r="A9" s="2">
        <v>0</v>
      </c>
      <c r="B9" s="7">
        <v>15</v>
      </c>
      <c r="C9" s="7">
        <v>1</v>
      </c>
      <c r="D9" s="7">
        <v>8</v>
      </c>
      <c r="E9" s="7">
        <v>14</v>
      </c>
      <c r="F9" s="7">
        <v>6</v>
      </c>
      <c r="G9" s="7">
        <v>11</v>
      </c>
      <c r="H9" s="7">
        <v>3</v>
      </c>
      <c r="I9" s="7">
        <v>4</v>
      </c>
      <c r="J9" s="7">
        <v>9</v>
      </c>
      <c r="K9" s="7">
        <v>7</v>
      </c>
      <c r="L9" s="7">
        <v>2</v>
      </c>
      <c r="M9" s="7">
        <v>13</v>
      </c>
      <c r="N9" s="7">
        <v>12</v>
      </c>
      <c r="O9" s="7">
        <v>0</v>
      </c>
      <c r="P9" s="7">
        <v>5</v>
      </c>
      <c r="Q9" s="7">
        <v>10</v>
      </c>
      <c r="S9" s="2">
        <v>0</v>
      </c>
      <c r="T9" s="7">
        <v>12</v>
      </c>
      <c r="U9" s="7">
        <v>1</v>
      </c>
      <c r="V9" s="7">
        <v>10</v>
      </c>
      <c r="W9" s="7">
        <v>15</v>
      </c>
      <c r="X9" s="7">
        <v>9</v>
      </c>
      <c r="Y9" s="7">
        <v>2</v>
      </c>
      <c r="Z9" s="7">
        <v>6</v>
      </c>
      <c r="AA9" s="7">
        <v>8</v>
      </c>
      <c r="AB9" s="7">
        <v>0</v>
      </c>
      <c r="AC9" s="7">
        <v>13</v>
      </c>
      <c r="AD9" s="7">
        <v>3</v>
      </c>
      <c r="AE9" s="7">
        <v>4</v>
      </c>
      <c r="AF9" s="7">
        <v>14</v>
      </c>
      <c r="AG9" s="7">
        <v>7</v>
      </c>
      <c r="AH9" s="7">
        <v>5</v>
      </c>
      <c r="AI9" s="7">
        <v>11</v>
      </c>
    </row>
    <row r="10" spans="1:35" x14ac:dyDescent="0.25">
      <c r="A10" s="2">
        <v>1</v>
      </c>
      <c r="B10" s="7">
        <v>3</v>
      </c>
      <c r="C10" s="7">
        <v>13</v>
      </c>
      <c r="D10" s="7">
        <v>4</v>
      </c>
      <c r="E10" s="7">
        <v>7</v>
      </c>
      <c r="F10" s="7">
        <v>15</v>
      </c>
      <c r="G10" s="7">
        <v>2</v>
      </c>
      <c r="H10" s="7">
        <v>8</v>
      </c>
      <c r="I10" s="7">
        <v>14</v>
      </c>
      <c r="J10" s="7">
        <v>12</v>
      </c>
      <c r="K10" s="7">
        <v>0</v>
      </c>
      <c r="L10" s="7">
        <v>1</v>
      </c>
      <c r="M10" s="7">
        <v>10</v>
      </c>
      <c r="N10" s="7">
        <v>6</v>
      </c>
      <c r="O10" s="7">
        <v>9</v>
      </c>
      <c r="P10" s="7">
        <v>11</v>
      </c>
      <c r="Q10" s="7">
        <v>5</v>
      </c>
      <c r="S10" s="2">
        <v>1</v>
      </c>
      <c r="T10" s="7">
        <v>10</v>
      </c>
      <c r="U10" s="7">
        <v>15</v>
      </c>
      <c r="V10" s="7">
        <v>4</v>
      </c>
      <c r="W10" s="7">
        <v>2</v>
      </c>
      <c r="X10" s="7">
        <v>7</v>
      </c>
      <c r="Y10" s="7">
        <v>12</v>
      </c>
      <c r="Z10" s="7">
        <v>9</v>
      </c>
      <c r="AA10" s="7">
        <v>5</v>
      </c>
      <c r="AB10" s="7">
        <v>6</v>
      </c>
      <c r="AC10" s="7">
        <v>1</v>
      </c>
      <c r="AD10" s="7">
        <v>13</v>
      </c>
      <c r="AE10" s="7">
        <v>14</v>
      </c>
      <c r="AF10" s="7">
        <v>0</v>
      </c>
      <c r="AG10" s="7">
        <v>11</v>
      </c>
      <c r="AH10" s="7">
        <v>3</v>
      </c>
      <c r="AI10" s="7">
        <v>8</v>
      </c>
    </row>
    <row r="11" spans="1:35" x14ac:dyDescent="0.25">
      <c r="A11" s="2">
        <v>2</v>
      </c>
      <c r="B11" s="7">
        <v>0</v>
      </c>
      <c r="C11" s="7">
        <v>14</v>
      </c>
      <c r="D11" s="7">
        <v>7</v>
      </c>
      <c r="E11" s="7">
        <v>11</v>
      </c>
      <c r="F11" s="7">
        <v>10</v>
      </c>
      <c r="G11" s="7">
        <v>4</v>
      </c>
      <c r="H11" s="7">
        <v>13</v>
      </c>
      <c r="I11" s="7">
        <v>1</v>
      </c>
      <c r="J11" s="7">
        <v>5</v>
      </c>
      <c r="K11" s="7">
        <v>8</v>
      </c>
      <c r="L11" s="7">
        <v>12</v>
      </c>
      <c r="M11" s="7">
        <v>6</v>
      </c>
      <c r="N11" s="7">
        <v>9</v>
      </c>
      <c r="O11" s="7">
        <v>3</v>
      </c>
      <c r="P11" s="7">
        <v>2</v>
      </c>
      <c r="Q11" s="7">
        <v>15</v>
      </c>
      <c r="S11" s="2">
        <v>2</v>
      </c>
      <c r="T11" s="7">
        <v>9</v>
      </c>
      <c r="U11" s="7">
        <v>14</v>
      </c>
      <c r="V11" s="7">
        <v>15</v>
      </c>
      <c r="W11" s="7">
        <v>5</v>
      </c>
      <c r="X11" s="7">
        <v>2</v>
      </c>
      <c r="Y11" s="7">
        <v>8</v>
      </c>
      <c r="Z11" s="7">
        <v>12</v>
      </c>
      <c r="AA11" s="7">
        <v>3</v>
      </c>
      <c r="AB11" s="7">
        <v>7</v>
      </c>
      <c r="AC11" s="7">
        <v>0</v>
      </c>
      <c r="AD11" s="7">
        <v>4</v>
      </c>
      <c r="AE11" s="7">
        <v>10</v>
      </c>
      <c r="AF11" s="7">
        <v>1</v>
      </c>
      <c r="AG11" s="7">
        <v>13</v>
      </c>
      <c r="AH11" s="7">
        <v>11</v>
      </c>
      <c r="AI11" s="7">
        <v>6</v>
      </c>
    </row>
    <row r="12" spans="1:35" x14ac:dyDescent="0.25">
      <c r="A12" s="2">
        <v>3</v>
      </c>
      <c r="B12" s="7">
        <v>13</v>
      </c>
      <c r="C12" s="7">
        <v>8</v>
      </c>
      <c r="D12" s="7">
        <v>10</v>
      </c>
      <c r="E12" s="7">
        <v>1</v>
      </c>
      <c r="F12" s="7">
        <v>3</v>
      </c>
      <c r="G12" s="7">
        <v>15</v>
      </c>
      <c r="H12" s="7">
        <v>4</v>
      </c>
      <c r="I12" s="7">
        <v>2</v>
      </c>
      <c r="J12" s="7">
        <v>11</v>
      </c>
      <c r="K12" s="7">
        <v>6</v>
      </c>
      <c r="L12" s="7">
        <v>7</v>
      </c>
      <c r="M12" s="7">
        <v>12</v>
      </c>
      <c r="N12" s="7">
        <v>0</v>
      </c>
      <c r="O12" s="7">
        <v>5</v>
      </c>
      <c r="P12" s="7">
        <v>14</v>
      </c>
      <c r="Q12" s="7">
        <v>9</v>
      </c>
      <c r="S12" s="2">
        <v>3</v>
      </c>
      <c r="T12" s="7">
        <v>4</v>
      </c>
      <c r="U12" s="7">
        <v>3</v>
      </c>
      <c r="V12" s="7">
        <v>2</v>
      </c>
      <c r="W12" s="7">
        <v>12</v>
      </c>
      <c r="X12" s="7">
        <v>9</v>
      </c>
      <c r="Y12" s="7">
        <v>5</v>
      </c>
      <c r="Z12" s="7">
        <v>15</v>
      </c>
      <c r="AA12" s="7">
        <v>10</v>
      </c>
      <c r="AB12" s="7">
        <v>11</v>
      </c>
      <c r="AC12" s="7">
        <v>14</v>
      </c>
      <c r="AD12" s="7">
        <v>1</v>
      </c>
      <c r="AE12" s="7">
        <v>7</v>
      </c>
      <c r="AF12" s="7">
        <v>6</v>
      </c>
      <c r="AG12" s="7">
        <v>0</v>
      </c>
      <c r="AH12" s="7">
        <v>8</v>
      </c>
      <c r="AI12" s="7">
        <v>13</v>
      </c>
    </row>
    <row r="15" spans="1:35" x14ac:dyDescent="0.25">
      <c r="A15" s="2" t="s">
        <v>141</v>
      </c>
      <c r="B15" s="6">
        <v>0</v>
      </c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  <c r="I15" s="6">
        <v>7</v>
      </c>
      <c r="J15" s="6">
        <v>8</v>
      </c>
      <c r="K15" s="6">
        <v>9</v>
      </c>
      <c r="L15" s="6">
        <v>10</v>
      </c>
      <c r="M15" s="6">
        <v>11</v>
      </c>
      <c r="N15" s="6">
        <v>12</v>
      </c>
      <c r="O15" s="6">
        <v>13</v>
      </c>
      <c r="P15" s="6">
        <v>14</v>
      </c>
      <c r="Q15" s="6">
        <v>15</v>
      </c>
      <c r="S15" s="2" t="s">
        <v>147</v>
      </c>
      <c r="T15" s="6">
        <v>0</v>
      </c>
      <c r="U15" s="6">
        <v>1</v>
      </c>
      <c r="V15" s="6">
        <v>2</v>
      </c>
      <c r="W15" s="6">
        <v>3</v>
      </c>
      <c r="X15" s="6">
        <v>4</v>
      </c>
      <c r="Y15" s="6">
        <v>5</v>
      </c>
      <c r="Z15" s="6">
        <v>6</v>
      </c>
      <c r="AA15" s="6">
        <v>7</v>
      </c>
      <c r="AB15" s="6">
        <v>8</v>
      </c>
      <c r="AC15" s="6">
        <v>9</v>
      </c>
      <c r="AD15" s="6">
        <v>10</v>
      </c>
      <c r="AE15" s="6">
        <v>11</v>
      </c>
      <c r="AF15" s="6">
        <v>12</v>
      </c>
      <c r="AG15" s="6">
        <v>13</v>
      </c>
      <c r="AH15" s="6">
        <v>14</v>
      </c>
      <c r="AI15" s="6">
        <v>15</v>
      </c>
    </row>
    <row r="16" spans="1:35" x14ac:dyDescent="0.25">
      <c r="A16" s="2">
        <v>0</v>
      </c>
      <c r="B16" s="7">
        <v>10</v>
      </c>
      <c r="C16" s="7">
        <v>0</v>
      </c>
      <c r="D16" s="7">
        <v>9</v>
      </c>
      <c r="E16" s="7">
        <v>14</v>
      </c>
      <c r="F16" s="7">
        <v>6</v>
      </c>
      <c r="G16" s="7">
        <v>3</v>
      </c>
      <c r="H16" s="7">
        <v>15</v>
      </c>
      <c r="I16" s="7">
        <v>5</v>
      </c>
      <c r="J16" s="7">
        <v>1</v>
      </c>
      <c r="K16" s="7">
        <v>13</v>
      </c>
      <c r="L16" s="7">
        <v>12</v>
      </c>
      <c r="M16" s="7">
        <v>7</v>
      </c>
      <c r="N16" s="7">
        <v>11</v>
      </c>
      <c r="O16" s="7">
        <v>4</v>
      </c>
      <c r="P16" s="7">
        <v>2</v>
      </c>
      <c r="Q16" s="7">
        <v>8</v>
      </c>
      <c r="S16" s="2">
        <v>0</v>
      </c>
      <c r="T16" s="7">
        <v>4</v>
      </c>
      <c r="U16" s="7">
        <v>11</v>
      </c>
      <c r="V16" s="7">
        <v>2</v>
      </c>
      <c r="W16" s="7">
        <v>14</v>
      </c>
      <c r="X16" s="7">
        <v>15</v>
      </c>
      <c r="Y16" s="7">
        <v>0</v>
      </c>
      <c r="Z16" s="7">
        <v>8</v>
      </c>
      <c r="AA16" s="7">
        <v>13</v>
      </c>
      <c r="AB16" s="7">
        <v>3</v>
      </c>
      <c r="AC16" s="7">
        <v>12</v>
      </c>
      <c r="AD16" s="7">
        <v>9</v>
      </c>
      <c r="AE16" s="7">
        <v>7</v>
      </c>
      <c r="AF16" s="7">
        <v>5</v>
      </c>
      <c r="AG16" s="7">
        <v>10</v>
      </c>
      <c r="AH16" s="7">
        <v>6</v>
      </c>
      <c r="AI16" s="7">
        <v>1</v>
      </c>
    </row>
    <row r="17" spans="1:35" x14ac:dyDescent="0.25">
      <c r="A17" s="2">
        <v>1</v>
      </c>
      <c r="B17" s="7">
        <v>13</v>
      </c>
      <c r="C17" s="7">
        <v>7</v>
      </c>
      <c r="D17" s="7">
        <v>0</v>
      </c>
      <c r="E17" s="7">
        <v>9</v>
      </c>
      <c r="F17" s="7">
        <v>3</v>
      </c>
      <c r="G17" s="7">
        <v>4</v>
      </c>
      <c r="H17" s="7">
        <v>6</v>
      </c>
      <c r="I17" s="7">
        <v>10</v>
      </c>
      <c r="J17" s="7">
        <v>2</v>
      </c>
      <c r="K17" s="7">
        <v>8</v>
      </c>
      <c r="L17" s="7">
        <v>5</v>
      </c>
      <c r="M17" s="7">
        <v>14</v>
      </c>
      <c r="N17" s="7">
        <v>12</v>
      </c>
      <c r="O17" s="7">
        <v>11</v>
      </c>
      <c r="P17" s="7">
        <v>15</v>
      </c>
      <c r="Q17" s="7">
        <v>1</v>
      </c>
      <c r="S17" s="2">
        <v>1</v>
      </c>
      <c r="T17" s="7">
        <v>13</v>
      </c>
      <c r="U17" s="7">
        <v>0</v>
      </c>
      <c r="V17" s="7">
        <v>11</v>
      </c>
      <c r="W17" s="7">
        <v>7</v>
      </c>
      <c r="X17" s="7">
        <v>4</v>
      </c>
      <c r="Y17" s="7">
        <v>9</v>
      </c>
      <c r="Z17" s="7">
        <v>1</v>
      </c>
      <c r="AA17" s="7">
        <v>10</v>
      </c>
      <c r="AB17" s="7">
        <v>14</v>
      </c>
      <c r="AC17" s="7">
        <v>3</v>
      </c>
      <c r="AD17" s="7">
        <v>5</v>
      </c>
      <c r="AE17" s="7">
        <v>12</v>
      </c>
      <c r="AF17" s="7">
        <v>2</v>
      </c>
      <c r="AG17" s="7">
        <v>15</v>
      </c>
      <c r="AH17" s="7">
        <v>8</v>
      </c>
      <c r="AI17" s="7">
        <v>6</v>
      </c>
    </row>
    <row r="18" spans="1:35" x14ac:dyDescent="0.25">
      <c r="A18" s="2">
        <v>2</v>
      </c>
      <c r="B18" s="7">
        <v>13</v>
      </c>
      <c r="C18" s="7">
        <v>6</v>
      </c>
      <c r="D18" s="7">
        <v>4</v>
      </c>
      <c r="E18" s="7">
        <v>9</v>
      </c>
      <c r="F18" s="7">
        <v>8</v>
      </c>
      <c r="G18" s="7">
        <v>15</v>
      </c>
      <c r="H18" s="7">
        <v>3</v>
      </c>
      <c r="I18" s="7">
        <v>0</v>
      </c>
      <c r="J18" s="7">
        <v>11</v>
      </c>
      <c r="K18" s="7">
        <v>1</v>
      </c>
      <c r="L18" s="7">
        <v>2</v>
      </c>
      <c r="M18" s="7">
        <v>12</v>
      </c>
      <c r="N18" s="7">
        <v>5</v>
      </c>
      <c r="O18" s="7">
        <v>10</v>
      </c>
      <c r="P18" s="7">
        <v>14</v>
      </c>
      <c r="Q18" s="7">
        <v>7</v>
      </c>
      <c r="S18" s="2">
        <v>2</v>
      </c>
      <c r="T18" s="7">
        <v>1</v>
      </c>
      <c r="U18" s="7">
        <v>4</v>
      </c>
      <c r="V18" s="7">
        <v>11</v>
      </c>
      <c r="W18" s="7">
        <v>13</v>
      </c>
      <c r="X18" s="7">
        <v>12</v>
      </c>
      <c r="Y18" s="7">
        <v>3</v>
      </c>
      <c r="Z18" s="7">
        <v>7</v>
      </c>
      <c r="AA18" s="7">
        <v>14</v>
      </c>
      <c r="AB18" s="7">
        <v>10</v>
      </c>
      <c r="AC18" s="7">
        <v>15</v>
      </c>
      <c r="AD18" s="7">
        <v>6</v>
      </c>
      <c r="AE18" s="7">
        <v>8</v>
      </c>
      <c r="AF18" s="7">
        <v>0</v>
      </c>
      <c r="AG18" s="7">
        <v>5</v>
      </c>
      <c r="AH18" s="7">
        <v>9</v>
      </c>
      <c r="AI18" s="7">
        <v>2</v>
      </c>
    </row>
    <row r="19" spans="1:35" x14ac:dyDescent="0.25">
      <c r="A19" s="2">
        <v>3</v>
      </c>
      <c r="B19" s="7">
        <v>1</v>
      </c>
      <c r="C19" s="7">
        <v>10</v>
      </c>
      <c r="D19" s="7">
        <v>13</v>
      </c>
      <c r="E19" s="7">
        <v>0</v>
      </c>
      <c r="F19" s="7">
        <v>6</v>
      </c>
      <c r="G19" s="7">
        <v>9</v>
      </c>
      <c r="H19" s="7">
        <v>8</v>
      </c>
      <c r="I19" s="7">
        <v>7</v>
      </c>
      <c r="J19" s="7">
        <v>4</v>
      </c>
      <c r="K19" s="7">
        <v>15</v>
      </c>
      <c r="L19" s="7">
        <v>14</v>
      </c>
      <c r="M19" s="7">
        <v>3</v>
      </c>
      <c r="N19" s="7">
        <v>11</v>
      </c>
      <c r="O19" s="7">
        <v>5</v>
      </c>
      <c r="P19" s="7">
        <v>2</v>
      </c>
      <c r="Q19" s="7">
        <v>12</v>
      </c>
      <c r="S19" s="2">
        <v>3</v>
      </c>
      <c r="T19" s="7">
        <v>6</v>
      </c>
      <c r="U19" s="7">
        <v>11</v>
      </c>
      <c r="V19" s="7">
        <v>13</v>
      </c>
      <c r="W19" s="7">
        <v>8</v>
      </c>
      <c r="X19" s="7">
        <v>1</v>
      </c>
      <c r="Y19" s="7">
        <v>4</v>
      </c>
      <c r="Z19" s="7">
        <v>10</v>
      </c>
      <c r="AA19" s="7">
        <v>7</v>
      </c>
      <c r="AB19" s="7">
        <v>9</v>
      </c>
      <c r="AC19" s="7">
        <v>5</v>
      </c>
      <c r="AD19" s="7">
        <v>0</v>
      </c>
      <c r="AE19" s="7">
        <v>15</v>
      </c>
      <c r="AF19" s="7">
        <v>14</v>
      </c>
      <c r="AG19" s="7">
        <v>2</v>
      </c>
      <c r="AH19" s="7">
        <v>3</v>
      </c>
      <c r="AI19" s="7">
        <v>12</v>
      </c>
    </row>
    <row r="22" spans="1:35" x14ac:dyDescent="0.25">
      <c r="A22" s="2" t="s">
        <v>144</v>
      </c>
      <c r="B22" s="6">
        <v>0</v>
      </c>
      <c r="C22" s="6">
        <v>1</v>
      </c>
      <c r="D22" s="6">
        <v>2</v>
      </c>
      <c r="E22" s="6">
        <v>3</v>
      </c>
      <c r="F22" s="6">
        <v>4</v>
      </c>
      <c r="G22" s="6">
        <v>5</v>
      </c>
      <c r="H22" s="6">
        <v>6</v>
      </c>
      <c r="I22" s="6">
        <v>7</v>
      </c>
      <c r="J22" s="6">
        <v>8</v>
      </c>
      <c r="K22" s="6">
        <v>9</v>
      </c>
      <c r="L22" s="6">
        <v>10</v>
      </c>
      <c r="M22" s="6">
        <v>11</v>
      </c>
      <c r="N22" s="6">
        <v>12</v>
      </c>
      <c r="O22" s="6">
        <v>13</v>
      </c>
      <c r="P22" s="6">
        <v>14</v>
      </c>
      <c r="Q22" s="6">
        <v>15</v>
      </c>
      <c r="S22" s="2" t="s">
        <v>148</v>
      </c>
      <c r="T22" s="6">
        <v>0</v>
      </c>
      <c r="U22" s="6">
        <v>1</v>
      </c>
      <c r="V22" s="6">
        <v>2</v>
      </c>
      <c r="W22" s="6">
        <v>3</v>
      </c>
      <c r="X22" s="6">
        <v>4</v>
      </c>
      <c r="Y22" s="6">
        <v>5</v>
      </c>
      <c r="Z22" s="6">
        <v>6</v>
      </c>
      <c r="AA22" s="6">
        <v>7</v>
      </c>
      <c r="AB22" s="6">
        <v>8</v>
      </c>
      <c r="AC22" s="6">
        <v>9</v>
      </c>
      <c r="AD22" s="6">
        <v>10</v>
      </c>
      <c r="AE22" s="6">
        <v>11</v>
      </c>
      <c r="AF22" s="6">
        <v>12</v>
      </c>
      <c r="AG22" s="6">
        <v>13</v>
      </c>
      <c r="AH22" s="6">
        <v>14</v>
      </c>
      <c r="AI22" s="6">
        <v>15</v>
      </c>
    </row>
    <row r="23" spans="1:35" x14ac:dyDescent="0.25">
      <c r="A23" s="2">
        <v>0</v>
      </c>
      <c r="B23" s="7">
        <v>7</v>
      </c>
      <c r="C23" s="7">
        <v>13</v>
      </c>
      <c r="D23" s="7">
        <v>14</v>
      </c>
      <c r="E23" s="7">
        <v>3</v>
      </c>
      <c r="F23" s="7">
        <v>0</v>
      </c>
      <c r="G23" s="7">
        <v>6</v>
      </c>
      <c r="H23" s="7">
        <v>9</v>
      </c>
      <c r="I23" s="7">
        <v>10</v>
      </c>
      <c r="J23" s="7">
        <v>1</v>
      </c>
      <c r="K23" s="7">
        <v>2</v>
      </c>
      <c r="L23" s="7">
        <v>8</v>
      </c>
      <c r="M23" s="7">
        <v>5</v>
      </c>
      <c r="N23" s="7">
        <v>11</v>
      </c>
      <c r="O23" s="7">
        <v>12</v>
      </c>
      <c r="P23" s="7">
        <v>4</v>
      </c>
      <c r="Q23" s="7">
        <v>15</v>
      </c>
      <c r="S23" s="2">
        <v>0</v>
      </c>
      <c r="T23" s="7">
        <v>13</v>
      </c>
      <c r="U23" s="7">
        <v>2</v>
      </c>
      <c r="V23" s="7">
        <v>8</v>
      </c>
      <c r="W23" s="7">
        <v>4</v>
      </c>
      <c r="X23" s="7">
        <v>6</v>
      </c>
      <c r="Y23" s="7">
        <v>15</v>
      </c>
      <c r="Z23" s="7">
        <v>11</v>
      </c>
      <c r="AA23" s="7">
        <v>1</v>
      </c>
      <c r="AB23" s="7">
        <v>10</v>
      </c>
      <c r="AC23" s="7">
        <v>9</v>
      </c>
      <c r="AD23" s="7">
        <v>3</v>
      </c>
      <c r="AE23" s="7">
        <v>14</v>
      </c>
      <c r="AF23" s="7">
        <v>5</v>
      </c>
      <c r="AG23" s="7">
        <v>0</v>
      </c>
      <c r="AH23" s="7">
        <v>12</v>
      </c>
      <c r="AI23" s="7">
        <v>7</v>
      </c>
    </row>
    <row r="24" spans="1:35" x14ac:dyDescent="0.25">
      <c r="A24" s="2">
        <v>1</v>
      </c>
      <c r="B24" s="7">
        <v>13</v>
      </c>
      <c r="C24" s="7">
        <v>8</v>
      </c>
      <c r="D24" s="7">
        <v>11</v>
      </c>
      <c r="E24" s="7">
        <v>5</v>
      </c>
      <c r="F24" s="7">
        <v>6</v>
      </c>
      <c r="G24" s="7">
        <v>15</v>
      </c>
      <c r="H24" s="7">
        <v>0</v>
      </c>
      <c r="I24" s="7">
        <v>3</v>
      </c>
      <c r="J24" s="7">
        <v>4</v>
      </c>
      <c r="K24" s="7">
        <v>7</v>
      </c>
      <c r="L24" s="7">
        <v>2</v>
      </c>
      <c r="M24" s="7">
        <v>12</v>
      </c>
      <c r="N24" s="7">
        <v>1</v>
      </c>
      <c r="O24" s="7">
        <v>10</v>
      </c>
      <c r="P24" s="7">
        <v>14</v>
      </c>
      <c r="Q24" s="7">
        <v>9</v>
      </c>
      <c r="S24" s="2">
        <v>1</v>
      </c>
      <c r="T24" s="7">
        <v>1</v>
      </c>
      <c r="U24" s="7">
        <v>15</v>
      </c>
      <c r="V24" s="7">
        <v>13</v>
      </c>
      <c r="W24" s="7">
        <v>8</v>
      </c>
      <c r="X24" s="7">
        <v>10</v>
      </c>
      <c r="Y24" s="7">
        <v>3</v>
      </c>
      <c r="Z24" s="7">
        <v>7</v>
      </c>
      <c r="AA24" s="7">
        <v>4</v>
      </c>
      <c r="AB24" s="7">
        <v>12</v>
      </c>
      <c r="AC24" s="7">
        <v>5</v>
      </c>
      <c r="AD24" s="7">
        <v>6</v>
      </c>
      <c r="AE24" s="7">
        <v>11</v>
      </c>
      <c r="AF24" s="7">
        <v>0</v>
      </c>
      <c r="AG24" s="7">
        <v>14</v>
      </c>
      <c r="AH24" s="7">
        <v>9</v>
      </c>
      <c r="AI24" s="7">
        <v>2</v>
      </c>
    </row>
    <row r="25" spans="1:35" x14ac:dyDescent="0.25">
      <c r="A25" s="2">
        <v>2</v>
      </c>
      <c r="B25" s="7">
        <v>10</v>
      </c>
      <c r="C25" s="7">
        <v>6</v>
      </c>
      <c r="D25" s="7">
        <v>9</v>
      </c>
      <c r="E25" s="7">
        <v>0</v>
      </c>
      <c r="F25" s="7">
        <v>12</v>
      </c>
      <c r="G25" s="7">
        <v>11</v>
      </c>
      <c r="H25" s="7">
        <v>7</v>
      </c>
      <c r="I25" s="7">
        <v>13</v>
      </c>
      <c r="J25" s="7">
        <v>15</v>
      </c>
      <c r="K25" s="7">
        <v>1</v>
      </c>
      <c r="L25" s="7">
        <v>3</v>
      </c>
      <c r="M25" s="7">
        <v>14</v>
      </c>
      <c r="N25" s="7">
        <v>5</v>
      </c>
      <c r="O25" s="7">
        <v>2</v>
      </c>
      <c r="P25" s="7">
        <v>8</v>
      </c>
      <c r="Q25" s="7">
        <v>4</v>
      </c>
      <c r="S25" s="2">
        <v>2</v>
      </c>
      <c r="T25" s="7">
        <v>7</v>
      </c>
      <c r="U25" s="7">
        <v>11</v>
      </c>
      <c r="V25" s="7">
        <v>4</v>
      </c>
      <c r="W25" s="7">
        <v>1</v>
      </c>
      <c r="X25" s="7">
        <v>9</v>
      </c>
      <c r="Y25" s="7">
        <v>12</v>
      </c>
      <c r="Z25" s="7">
        <v>14</v>
      </c>
      <c r="AA25" s="7">
        <v>2</v>
      </c>
      <c r="AB25" s="7">
        <v>0</v>
      </c>
      <c r="AC25" s="7">
        <v>6</v>
      </c>
      <c r="AD25" s="7">
        <v>10</v>
      </c>
      <c r="AE25" s="7">
        <v>13</v>
      </c>
      <c r="AF25" s="7">
        <v>15</v>
      </c>
      <c r="AG25" s="7">
        <v>3</v>
      </c>
      <c r="AH25" s="7">
        <v>5</v>
      </c>
      <c r="AI25" s="7">
        <v>8</v>
      </c>
    </row>
    <row r="26" spans="1:35" x14ac:dyDescent="0.25">
      <c r="A26" s="2">
        <v>3</v>
      </c>
      <c r="B26" s="7">
        <v>3</v>
      </c>
      <c r="C26" s="7">
        <v>15</v>
      </c>
      <c r="D26" s="7">
        <v>0</v>
      </c>
      <c r="E26" s="7">
        <v>6</v>
      </c>
      <c r="F26" s="7">
        <v>10</v>
      </c>
      <c r="G26" s="7">
        <v>1</v>
      </c>
      <c r="H26" s="7">
        <v>13</v>
      </c>
      <c r="I26" s="7">
        <v>8</v>
      </c>
      <c r="J26" s="7">
        <v>9</v>
      </c>
      <c r="K26" s="7">
        <v>4</v>
      </c>
      <c r="L26" s="7">
        <v>5</v>
      </c>
      <c r="M26" s="7">
        <v>11</v>
      </c>
      <c r="N26" s="7">
        <v>12</v>
      </c>
      <c r="O26" s="7">
        <v>7</v>
      </c>
      <c r="P26" s="7">
        <v>2</v>
      </c>
      <c r="Q26" s="7">
        <v>14</v>
      </c>
      <c r="S26" s="2">
        <v>3</v>
      </c>
      <c r="T26" s="7">
        <v>2</v>
      </c>
      <c r="U26" s="7">
        <v>1</v>
      </c>
      <c r="V26" s="7">
        <v>14</v>
      </c>
      <c r="W26" s="7">
        <v>7</v>
      </c>
      <c r="X26" s="7">
        <v>4</v>
      </c>
      <c r="Y26" s="7">
        <v>10</v>
      </c>
      <c r="Z26" s="7">
        <v>8</v>
      </c>
      <c r="AA26" s="7">
        <v>13</v>
      </c>
      <c r="AB26" s="7">
        <v>15</v>
      </c>
      <c r="AC26" s="7">
        <v>12</v>
      </c>
      <c r="AD26" s="7">
        <v>9</v>
      </c>
      <c r="AE26" s="7">
        <v>0</v>
      </c>
      <c r="AF26" s="7">
        <v>3</v>
      </c>
      <c r="AG26" s="7">
        <v>5</v>
      </c>
      <c r="AH26" s="7">
        <v>6</v>
      </c>
      <c r="AI26" s="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6E26-A9DD-4B39-8210-CBC7991FE01E}">
  <sheetPr codeName="Sheet2"/>
  <dimension ref="A2:U418"/>
  <sheetViews>
    <sheetView topLeftCell="A159" zoomScale="85" zoomScaleNormal="85" workbookViewId="0">
      <selection activeCell="I162" sqref="I162"/>
    </sheetView>
  </sheetViews>
  <sheetFormatPr defaultRowHeight="15" x14ac:dyDescent="0.25"/>
  <cols>
    <col min="2" max="2" width="11.5703125" customWidth="1"/>
    <col min="6" max="6" width="11.28515625" customWidth="1"/>
    <col min="7" max="7" width="10.140625" customWidth="1"/>
    <col min="12" max="12" width="12" bestFit="1" customWidth="1"/>
    <col min="15" max="15" width="10" bestFit="1" customWidth="1"/>
  </cols>
  <sheetData>
    <row r="2" spans="1:13" ht="15.75" x14ac:dyDescent="0.25">
      <c r="A2" t="s">
        <v>0</v>
      </c>
      <c r="B2" s="1" t="s">
        <v>1</v>
      </c>
      <c r="D2" s="1" t="s">
        <v>4</v>
      </c>
    </row>
    <row r="3" spans="1:13" x14ac:dyDescent="0.25">
      <c r="A3" t="s">
        <v>134</v>
      </c>
      <c r="B3" t="s">
        <v>2</v>
      </c>
      <c r="C3" t="s">
        <v>3</v>
      </c>
      <c r="M3">
        <f t="shared" ref="M3:M19" si="0">LEN(D3)</f>
        <v>0</v>
      </c>
    </row>
    <row r="4" spans="1:13" x14ac:dyDescent="0.25">
      <c r="A4">
        <v>1</v>
      </c>
      <c r="B4" t="str">
        <f>MID($B$2,A4,1)</f>
        <v>0</v>
      </c>
      <c r="C4" t="str">
        <f>HEX2BIN(B4,4)</f>
        <v>0000</v>
      </c>
      <c r="D4" t="str">
        <f t="shared" ref="D4:D16" si="1">C4&amp;D5</f>
        <v>0000000100110011010001010111011110011001101110111100110111111111</v>
      </c>
      <c r="M4">
        <f t="shared" si="0"/>
        <v>64</v>
      </c>
    </row>
    <row r="5" spans="1:13" x14ac:dyDescent="0.25">
      <c r="A5">
        <v>2</v>
      </c>
      <c r="B5" t="str">
        <f t="shared" ref="B5:B19" si="2">MID($B$2,A5,1)</f>
        <v>1</v>
      </c>
      <c r="C5" t="str">
        <f t="shared" ref="C5:C19" si="3">HEX2BIN(B5,4)</f>
        <v>0001</v>
      </c>
      <c r="D5" t="str">
        <f t="shared" si="1"/>
        <v>000100110011010001010111011110011001101110111100110111111111</v>
      </c>
      <c r="M5">
        <f t="shared" si="0"/>
        <v>60</v>
      </c>
    </row>
    <row r="6" spans="1:13" x14ac:dyDescent="0.25">
      <c r="A6">
        <v>3</v>
      </c>
      <c r="B6" t="str">
        <f t="shared" si="2"/>
        <v>3</v>
      </c>
      <c r="C6" t="str">
        <f t="shared" si="3"/>
        <v>0011</v>
      </c>
      <c r="D6" t="str">
        <f t="shared" si="1"/>
        <v>00110011010001010111011110011001101110111100110111111111</v>
      </c>
      <c r="M6">
        <f t="shared" si="0"/>
        <v>56</v>
      </c>
    </row>
    <row r="7" spans="1:13" x14ac:dyDescent="0.25">
      <c r="A7">
        <v>4</v>
      </c>
      <c r="B7" t="str">
        <f t="shared" si="2"/>
        <v>3</v>
      </c>
      <c r="C7" t="str">
        <f t="shared" si="3"/>
        <v>0011</v>
      </c>
      <c r="D7" t="str">
        <f t="shared" si="1"/>
        <v>0011010001010111011110011001101110111100110111111111</v>
      </c>
      <c r="M7">
        <f t="shared" si="0"/>
        <v>52</v>
      </c>
    </row>
    <row r="8" spans="1:13" x14ac:dyDescent="0.25">
      <c r="A8">
        <v>5</v>
      </c>
      <c r="B8" t="str">
        <f t="shared" si="2"/>
        <v>4</v>
      </c>
      <c r="C8" t="str">
        <f t="shared" si="3"/>
        <v>0100</v>
      </c>
      <c r="D8" t="str">
        <f t="shared" si="1"/>
        <v>010001010111011110011001101110111100110111111111</v>
      </c>
      <c r="M8">
        <f t="shared" si="0"/>
        <v>48</v>
      </c>
    </row>
    <row r="9" spans="1:13" x14ac:dyDescent="0.25">
      <c r="A9">
        <v>6</v>
      </c>
      <c r="B9" t="str">
        <f t="shared" si="2"/>
        <v>5</v>
      </c>
      <c r="C9" t="str">
        <f t="shared" si="3"/>
        <v>0101</v>
      </c>
      <c r="D9" t="str">
        <f t="shared" si="1"/>
        <v>01010111011110011001101110111100110111111111</v>
      </c>
      <c r="M9">
        <f t="shared" si="0"/>
        <v>44</v>
      </c>
    </row>
    <row r="10" spans="1:13" x14ac:dyDescent="0.25">
      <c r="A10">
        <v>7</v>
      </c>
      <c r="B10" t="str">
        <f t="shared" si="2"/>
        <v>7</v>
      </c>
      <c r="C10" t="str">
        <f t="shared" si="3"/>
        <v>0111</v>
      </c>
      <c r="D10" t="str">
        <f t="shared" si="1"/>
        <v>0111011110011001101110111100110111111111</v>
      </c>
      <c r="M10">
        <f t="shared" si="0"/>
        <v>40</v>
      </c>
    </row>
    <row r="11" spans="1:13" x14ac:dyDescent="0.25">
      <c r="A11">
        <v>8</v>
      </c>
      <c r="B11" t="str">
        <f t="shared" si="2"/>
        <v>7</v>
      </c>
      <c r="C11" t="str">
        <f t="shared" si="3"/>
        <v>0111</v>
      </c>
      <c r="D11" t="str">
        <f t="shared" si="1"/>
        <v>011110011001101110111100110111111111</v>
      </c>
      <c r="M11">
        <f t="shared" si="0"/>
        <v>36</v>
      </c>
    </row>
    <row r="12" spans="1:13" x14ac:dyDescent="0.25">
      <c r="A12">
        <v>9</v>
      </c>
      <c r="B12" t="str">
        <f t="shared" si="2"/>
        <v>9</v>
      </c>
      <c r="C12" t="str">
        <f t="shared" si="3"/>
        <v>1001</v>
      </c>
      <c r="D12" t="str">
        <f t="shared" si="1"/>
        <v>10011001101110111100110111111111</v>
      </c>
      <c r="M12">
        <f t="shared" si="0"/>
        <v>32</v>
      </c>
    </row>
    <row r="13" spans="1:13" x14ac:dyDescent="0.25">
      <c r="A13">
        <v>10</v>
      </c>
      <c r="B13" t="str">
        <f t="shared" si="2"/>
        <v>9</v>
      </c>
      <c r="C13" t="str">
        <f t="shared" si="3"/>
        <v>1001</v>
      </c>
      <c r="D13" t="str">
        <f t="shared" si="1"/>
        <v>1001101110111100110111111111</v>
      </c>
      <c r="M13">
        <f t="shared" si="0"/>
        <v>28</v>
      </c>
    </row>
    <row r="14" spans="1:13" x14ac:dyDescent="0.25">
      <c r="A14">
        <v>11</v>
      </c>
      <c r="B14" t="str">
        <f t="shared" si="2"/>
        <v>B</v>
      </c>
      <c r="C14" t="str">
        <f t="shared" si="3"/>
        <v>1011</v>
      </c>
      <c r="D14" t="str">
        <f t="shared" si="1"/>
        <v>101110111100110111111111</v>
      </c>
      <c r="M14">
        <f t="shared" si="0"/>
        <v>24</v>
      </c>
    </row>
    <row r="15" spans="1:13" x14ac:dyDescent="0.25">
      <c r="A15">
        <v>12</v>
      </c>
      <c r="B15" t="str">
        <f t="shared" si="2"/>
        <v>B</v>
      </c>
      <c r="C15" t="str">
        <f t="shared" si="3"/>
        <v>1011</v>
      </c>
      <c r="D15" t="str">
        <f t="shared" si="1"/>
        <v>10111100110111111111</v>
      </c>
      <c r="M15">
        <f t="shared" si="0"/>
        <v>20</v>
      </c>
    </row>
    <row r="16" spans="1:13" x14ac:dyDescent="0.25">
      <c r="A16">
        <v>13</v>
      </c>
      <c r="B16" t="str">
        <f t="shared" si="2"/>
        <v>C</v>
      </c>
      <c r="C16" t="str">
        <f t="shared" si="3"/>
        <v>1100</v>
      </c>
      <c r="D16" t="str">
        <f t="shared" si="1"/>
        <v>1100110111111111</v>
      </c>
      <c r="M16">
        <f t="shared" si="0"/>
        <v>16</v>
      </c>
    </row>
    <row r="17" spans="1:13" x14ac:dyDescent="0.25">
      <c r="A17">
        <v>14</v>
      </c>
      <c r="B17" t="str">
        <f t="shared" si="2"/>
        <v>D</v>
      </c>
      <c r="C17" t="str">
        <f t="shared" si="3"/>
        <v>1101</v>
      </c>
      <c r="D17" t="str">
        <f>C17&amp;D18</f>
        <v>110111111111</v>
      </c>
      <c r="M17">
        <f t="shared" si="0"/>
        <v>12</v>
      </c>
    </row>
    <row r="18" spans="1:13" x14ac:dyDescent="0.25">
      <c r="A18">
        <v>15</v>
      </c>
      <c r="B18" t="str">
        <f t="shared" si="2"/>
        <v>F</v>
      </c>
      <c r="C18" t="str">
        <f t="shared" si="3"/>
        <v>1111</v>
      </c>
      <c r="D18" t="str">
        <f>C18&amp;C19</f>
        <v>11111111</v>
      </c>
      <c r="M18">
        <f t="shared" si="0"/>
        <v>8</v>
      </c>
    </row>
    <row r="19" spans="1:13" x14ac:dyDescent="0.25">
      <c r="A19">
        <v>16</v>
      </c>
      <c r="B19" t="str">
        <f t="shared" si="2"/>
        <v>F</v>
      </c>
      <c r="C19" t="str">
        <f t="shared" si="3"/>
        <v>1111</v>
      </c>
      <c r="M19">
        <f t="shared" si="0"/>
        <v>0</v>
      </c>
    </row>
    <row r="21" spans="1:13" x14ac:dyDescent="0.25">
      <c r="A21" s="9" t="s">
        <v>99</v>
      </c>
      <c r="B21" s="9" t="s">
        <v>46</v>
      </c>
      <c r="C21" s="9" t="s">
        <v>6</v>
      </c>
    </row>
    <row r="22" spans="1:13" x14ac:dyDescent="0.25">
      <c r="A22" s="9">
        <v>1</v>
      </c>
      <c r="B22" s="7">
        <v>57</v>
      </c>
      <c r="C22" s="2" t="str">
        <f>MID($D$2,B22,1)</f>
        <v>1</v>
      </c>
      <c r="D22" t="str">
        <f t="shared" ref="D22:D74" si="4">C22&amp;D23</f>
        <v>11110000110011001010101010111010101011001100111100001010</v>
      </c>
    </row>
    <row r="23" spans="1:13" x14ac:dyDescent="0.25">
      <c r="A23" s="9">
        <v>2</v>
      </c>
      <c r="B23" s="7">
        <v>49</v>
      </c>
      <c r="C23" s="2" t="str">
        <f t="shared" ref="C23:C77" si="5">MID($D$2,B23,1)</f>
        <v>1</v>
      </c>
      <c r="D23" t="str">
        <f t="shared" si="4"/>
        <v>1110000110011001010101010111010101011001100111100001010</v>
      </c>
    </row>
    <row r="24" spans="1:13" x14ac:dyDescent="0.25">
      <c r="A24" s="9">
        <v>3</v>
      </c>
      <c r="B24" s="7">
        <v>41</v>
      </c>
      <c r="C24" s="2" t="str">
        <f t="shared" si="5"/>
        <v>1</v>
      </c>
      <c r="D24" t="str">
        <f t="shared" si="4"/>
        <v>110000110011001010101010111010101011001100111100001010</v>
      </c>
    </row>
    <row r="25" spans="1:13" x14ac:dyDescent="0.25">
      <c r="A25" s="9">
        <v>4</v>
      </c>
      <c r="B25" s="7">
        <v>33</v>
      </c>
      <c r="C25" s="2" t="str">
        <f t="shared" si="5"/>
        <v>1</v>
      </c>
      <c r="D25" t="str">
        <f t="shared" si="4"/>
        <v>10000110011001010101010111010101011001100111100001010</v>
      </c>
    </row>
    <row r="26" spans="1:13" x14ac:dyDescent="0.25">
      <c r="A26" s="9">
        <v>5</v>
      </c>
      <c r="B26" s="7">
        <v>25</v>
      </c>
      <c r="C26" s="2" t="str">
        <f t="shared" si="5"/>
        <v>0</v>
      </c>
      <c r="D26" t="str">
        <f t="shared" si="4"/>
        <v>0000110011001010101010111010101011001100111100001010</v>
      </c>
    </row>
    <row r="27" spans="1:13" x14ac:dyDescent="0.25">
      <c r="A27" s="9">
        <v>6</v>
      </c>
      <c r="B27" s="7">
        <v>17</v>
      </c>
      <c r="C27" s="2" t="str">
        <f t="shared" si="5"/>
        <v>0</v>
      </c>
      <c r="D27" t="str">
        <f t="shared" si="4"/>
        <v>000110011001010101010111010101011001100111100001010</v>
      </c>
    </row>
    <row r="28" spans="1:13" x14ac:dyDescent="0.25">
      <c r="A28" s="9">
        <v>7</v>
      </c>
      <c r="B28" s="7">
        <v>9</v>
      </c>
      <c r="C28" s="2" t="str">
        <f t="shared" si="5"/>
        <v>0</v>
      </c>
      <c r="D28" t="str">
        <f t="shared" si="4"/>
        <v>00110011001010101010111010101011001100111100001010</v>
      </c>
    </row>
    <row r="29" spans="1:13" x14ac:dyDescent="0.25">
      <c r="A29" s="9">
        <v>8</v>
      </c>
      <c r="B29" s="7">
        <v>1</v>
      </c>
      <c r="C29" s="2" t="str">
        <f t="shared" si="5"/>
        <v>0</v>
      </c>
      <c r="D29" t="str">
        <f t="shared" si="4"/>
        <v>0110011001010101010111010101011001100111100001010</v>
      </c>
    </row>
    <row r="30" spans="1:13" x14ac:dyDescent="0.25">
      <c r="A30" s="9">
        <v>9</v>
      </c>
      <c r="B30" s="7">
        <v>58</v>
      </c>
      <c r="C30" s="2" t="str">
        <f t="shared" si="5"/>
        <v>1</v>
      </c>
      <c r="D30" t="str">
        <f t="shared" si="4"/>
        <v>110011001010101010111010101011001100111100001010</v>
      </c>
    </row>
    <row r="31" spans="1:13" x14ac:dyDescent="0.25">
      <c r="A31" s="9">
        <v>10</v>
      </c>
      <c r="B31" s="7">
        <v>50</v>
      </c>
      <c r="C31" s="2" t="str">
        <f t="shared" si="5"/>
        <v>1</v>
      </c>
      <c r="D31" t="str">
        <f t="shared" si="4"/>
        <v>10011001010101010111010101011001100111100001010</v>
      </c>
    </row>
    <row r="32" spans="1:13" x14ac:dyDescent="0.25">
      <c r="A32" s="9">
        <v>11</v>
      </c>
      <c r="B32" s="7">
        <v>42</v>
      </c>
      <c r="C32" s="2" t="str">
        <f t="shared" si="5"/>
        <v>0</v>
      </c>
      <c r="D32" t="str">
        <f t="shared" si="4"/>
        <v>0011001010101010111010101011001100111100001010</v>
      </c>
    </row>
    <row r="33" spans="1:4" x14ac:dyDescent="0.25">
      <c r="A33" s="9">
        <v>12</v>
      </c>
      <c r="B33" s="7">
        <v>34</v>
      </c>
      <c r="C33" s="2" t="str">
        <f t="shared" si="5"/>
        <v>0</v>
      </c>
      <c r="D33" t="str">
        <f t="shared" si="4"/>
        <v>011001010101010111010101011001100111100001010</v>
      </c>
    </row>
    <row r="34" spans="1:4" x14ac:dyDescent="0.25">
      <c r="A34" s="9">
        <v>13</v>
      </c>
      <c r="B34" s="7">
        <v>26</v>
      </c>
      <c r="C34" s="2" t="str">
        <f t="shared" si="5"/>
        <v>1</v>
      </c>
      <c r="D34" t="str">
        <f t="shared" si="4"/>
        <v>11001010101010111010101011001100111100001010</v>
      </c>
    </row>
    <row r="35" spans="1:4" x14ac:dyDescent="0.25">
      <c r="A35" s="9">
        <v>14</v>
      </c>
      <c r="B35" s="7">
        <v>18</v>
      </c>
      <c r="C35" s="2" t="str">
        <f t="shared" si="5"/>
        <v>1</v>
      </c>
      <c r="D35" t="str">
        <f t="shared" si="4"/>
        <v>1001010101010111010101011001100111100001010</v>
      </c>
    </row>
    <row r="36" spans="1:4" x14ac:dyDescent="0.25">
      <c r="A36" s="9">
        <v>15</v>
      </c>
      <c r="B36" s="7">
        <v>10</v>
      </c>
      <c r="C36" s="2" t="str">
        <f t="shared" si="5"/>
        <v>0</v>
      </c>
      <c r="D36" t="str">
        <f t="shared" si="4"/>
        <v>001010101010111010101011001100111100001010</v>
      </c>
    </row>
    <row r="37" spans="1:4" x14ac:dyDescent="0.25">
      <c r="A37" s="9">
        <v>16</v>
      </c>
      <c r="B37" s="7">
        <v>2</v>
      </c>
      <c r="C37" s="2" t="str">
        <f t="shared" si="5"/>
        <v>0</v>
      </c>
      <c r="D37" t="str">
        <f t="shared" si="4"/>
        <v>01010101010111010101011001100111100001010</v>
      </c>
    </row>
    <row r="38" spans="1:4" x14ac:dyDescent="0.25">
      <c r="A38" s="9">
        <v>17</v>
      </c>
      <c r="B38" s="7">
        <v>59</v>
      </c>
      <c r="C38" s="2" t="str">
        <f t="shared" si="5"/>
        <v>1</v>
      </c>
      <c r="D38" t="str">
        <f t="shared" si="4"/>
        <v>1010101010111010101011001100111100001010</v>
      </c>
    </row>
    <row r="39" spans="1:4" x14ac:dyDescent="0.25">
      <c r="A39" s="9">
        <v>18</v>
      </c>
      <c r="B39" s="7">
        <v>51</v>
      </c>
      <c r="C39" s="2" t="str">
        <f t="shared" si="5"/>
        <v>0</v>
      </c>
      <c r="D39" t="str">
        <f t="shared" si="4"/>
        <v>010101010111010101011001100111100001010</v>
      </c>
    </row>
    <row r="40" spans="1:4" x14ac:dyDescent="0.25">
      <c r="A40" s="9">
        <v>19</v>
      </c>
      <c r="B40" s="7">
        <v>43</v>
      </c>
      <c r="C40" s="2" t="str">
        <f t="shared" si="5"/>
        <v>1</v>
      </c>
      <c r="D40" t="str">
        <f t="shared" si="4"/>
        <v>10101010111010101011001100111100001010</v>
      </c>
    </row>
    <row r="41" spans="1:4" x14ac:dyDescent="0.25">
      <c r="A41" s="9">
        <v>20</v>
      </c>
      <c r="B41" s="7">
        <v>35</v>
      </c>
      <c r="C41" s="2" t="str">
        <f t="shared" si="5"/>
        <v>0</v>
      </c>
      <c r="D41" t="str">
        <f t="shared" si="4"/>
        <v>0101010111010101011001100111100001010</v>
      </c>
    </row>
    <row r="42" spans="1:4" x14ac:dyDescent="0.25">
      <c r="A42" s="9">
        <v>21</v>
      </c>
      <c r="B42" s="7">
        <v>27</v>
      </c>
      <c r="C42" s="2" t="str">
        <f t="shared" si="5"/>
        <v>1</v>
      </c>
      <c r="D42" t="str">
        <f t="shared" si="4"/>
        <v>101010111010101011001100111100001010</v>
      </c>
    </row>
    <row r="43" spans="1:4" x14ac:dyDescent="0.25">
      <c r="A43" s="9">
        <v>22</v>
      </c>
      <c r="B43" s="7">
        <v>19</v>
      </c>
      <c r="C43" s="2" t="str">
        <f t="shared" si="5"/>
        <v>0</v>
      </c>
      <c r="D43" t="str">
        <f t="shared" si="4"/>
        <v>01010111010101011001100111100001010</v>
      </c>
    </row>
    <row r="44" spans="1:4" x14ac:dyDescent="0.25">
      <c r="A44" s="9">
        <v>23</v>
      </c>
      <c r="B44" s="7">
        <v>11</v>
      </c>
      <c r="C44" s="2" t="str">
        <f t="shared" si="5"/>
        <v>1</v>
      </c>
      <c r="D44" t="str">
        <f t="shared" si="4"/>
        <v>1010111010101011001100111100001010</v>
      </c>
    </row>
    <row r="45" spans="1:4" x14ac:dyDescent="0.25">
      <c r="A45" s="9">
        <v>24</v>
      </c>
      <c r="B45" s="7">
        <v>3</v>
      </c>
      <c r="C45" s="2" t="str">
        <f t="shared" si="5"/>
        <v>0</v>
      </c>
      <c r="D45" t="str">
        <f t="shared" si="4"/>
        <v>010111010101011001100111100001010</v>
      </c>
    </row>
    <row r="46" spans="1:4" x14ac:dyDescent="0.25">
      <c r="A46" s="9">
        <v>25</v>
      </c>
      <c r="B46" s="7">
        <v>60</v>
      </c>
      <c r="C46" s="2" t="str">
        <f t="shared" si="5"/>
        <v>1</v>
      </c>
      <c r="D46" t="str">
        <f t="shared" si="4"/>
        <v>10111010101011001100111100001010</v>
      </c>
    </row>
    <row r="47" spans="1:4" x14ac:dyDescent="0.25">
      <c r="A47" s="9">
        <v>26</v>
      </c>
      <c r="B47" s="7">
        <v>52</v>
      </c>
      <c r="C47" s="2" t="str">
        <f t="shared" si="5"/>
        <v>0</v>
      </c>
      <c r="D47" t="str">
        <f t="shared" si="4"/>
        <v>0111010101011001100111100001010</v>
      </c>
    </row>
    <row r="48" spans="1:4" x14ac:dyDescent="0.25">
      <c r="A48" s="9">
        <v>27</v>
      </c>
      <c r="B48" s="7">
        <v>44</v>
      </c>
      <c r="C48" s="2" t="str">
        <f t="shared" si="5"/>
        <v>1</v>
      </c>
      <c r="D48" t="str">
        <f t="shared" si="4"/>
        <v>111010101011001100111100001010</v>
      </c>
    </row>
    <row r="49" spans="1:4" x14ac:dyDescent="0.25">
      <c r="A49" s="9">
        <v>28</v>
      </c>
      <c r="B49" s="7">
        <v>36</v>
      </c>
      <c r="C49" s="2" t="str">
        <f t="shared" si="5"/>
        <v>1</v>
      </c>
      <c r="D49" t="str">
        <f t="shared" si="4"/>
        <v>11010101011001100111100001010</v>
      </c>
    </row>
    <row r="50" spans="1:4" x14ac:dyDescent="0.25">
      <c r="A50" s="9">
        <v>29</v>
      </c>
      <c r="B50" s="7">
        <v>63</v>
      </c>
      <c r="C50" s="2" t="str">
        <f t="shared" si="5"/>
        <v>1</v>
      </c>
      <c r="D50" t="str">
        <f t="shared" si="4"/>
        <v>1010101011001100111100001010</v>
      </c>
    </row>
    <row r="51" spans="1:4" x14ac:dyDescent="0.25">
      <c r="A51" s="9">
        <v>30</v>
      </c>
      <c r="B51" s="7">
        <v>55</v>
      </c>
      <c r="C51" s="2" t="str">
        <f t="shared" si="5"/>
        <v>0</v>
      </c>
      <c r="D51" t="str">
        <f t="shared" si="4"/>
        <v>010101011001100111100001010</v>
      </c>
    </row>
    <row r="52" spans="1:4" x14ac:dyDescent="0.25">
      <c r="A52" s="9">
        <v>31</v>
      </c>
      <c r="B52" s="7">
        <v>47</v>
      </c>
      <c r="C52" s="2" t="str">
        <f t="shared" si="5"/>
        <v>1</v>
      </c>
      <c r="D52" t="str">
        <f t="shared" si="4"/>
        <v>10101011001100111100001010</v>
      </c>
    </row>
    <row r="53" spans="1:4" x14ac:dyDescent="0.25">
      <c r="A53" s="9">
        <v>32</v>
      </c>
      <c r="B53" s="7">
        <v>39</v>
      </c>
      <c r="C53" s="2" t="str">
        <f t="shared" si="5"/>
        <v>0</v>
      </c>
      <c r="D53" t="str">
        <f t="shared" si="4"/>
        <v>0101011001100111100001010</v>
      </c>
    </row>
    <row r="54" spans="1:4" x14ac:dyDescent="0.25">
      <c r="A54" s="9">
        <v>33</v>
      </c>
      <c r="B54" s="7">
        <v>31</v>
      </c>
      <c r="C54" s="2" t="str">
        <f t="shared" si="5"/>
        <v>1</v>
      </c>
      <c r="D54" t="str">
        <f t="shared" si="4"/>
        <v>101011001100111100001010</v>
      </c>
    </row>
    <row r="55" spans="1:4" x14ac:dyDescent="0.25">
      <c r="A55" s="9">
        <v>34</v>
      </c>
      <c r="B55" s="7">
        <v>23</v>
      </c>
      <c r="C55" s="2" t="str">
        <f t="shared" si="5"/>
        <v>0</v>
      </c>
      <c r="D55" t="str">
        <f t="shared" si="4"/>
        <v>01011001100111100001010</v>
      </c>
    </row>
    <row r="56" spans="1:4" x14ac:dyDescent="0.25">
      <c r="A56" s="9">
        <v>35</v>
      </c>
      <c r="B56" s="7">
        <v>15</v>
      </c>
      <c r="C56" s="2" t="str">
        <f t="shared" si="5"/>
        <v>1</v>
      </c>
      <c r="D56" t="str">
        <f t="shared" si="4"/>
        <v>1011001100111100001010</v>
      </c>
    </row>
    <row r="57" spans="1:4" x14ac:dyDescent="0.25">
      <c r="A57" s="9">
        <v>36</v>
      </c>
      <c r="B57" s="7">
        <v>7</v>
      </c>
      <c r="C57" s="2" t="str">
        <f t="shared" si="5"/>
        <v>0</v>
      </c>
      <c r="D57" t="str">
        <f t="shared" si="4"/>
        <v>011001100111100001010</v>
      </c>
    </row>
    <row r="58" spans="1:4" x14ac:dyDescent="0.25">
      <c r="A58" s="9">
        <v>37</v>
      </c>
      <c r="B58" s="7">
        <v>62</v>
      </c>
      <c r="C58" s="2" t="str">
        <f t="shared" si="5"/>
        <v>1</v>
      </c>
      <c r="D58" t="str">
        <f t="shared" si="4"/>
        <v>11001100111100001010</v>
      </c>
    </row>
    <row r="59" spans="1:4" x14ac:dyDescent="0.25">
      <c r="A59" s="9">
        <v>38</v>
      </c>
      <c r="B59" s="7">
        <v>54</v>
      </c>
      <c r="C59" s="2" t="str">
        <f t="shared" si="5"/>
        <v>1</v>
      </c>
      <c r="D59" t="str">
        <f t="shared" si="4"/>
        <v>1001100111100001010</v>
      </c>
    </row>
    <row r="60" spans="1:4" x14ac:dyDescent="0.25">
      <c r="A60" s="9">
        <v>39</v>
      </c>
      <c r="B60" s="7">
        <v>46</v>
      </c>
      <c r="C60" s="2" t="str">
        <f t="shared" si="5"/>
        <v>0</v>
      </c>
      <c r="D60" t="str">
        <f t="shared" si="4"/>
        <v>001100111100001010</v>
      </c>
    </row>
    <row r="61" spans="1:4" x14ac:dyDescent="0.25">
      <c r="A61" s="9">
        <v>40</v>
      </c>
      <c r="B61" s="7">
        <v>38</v>
      </c>
      <c r="C61" s="2" t="str">
        <f t="shared" si="5"/>
        <v>0</v>
      </c>
      <c r="D61" t="str">
        <f t="shared" si="4"/>
        <v>01100111100001010</v>
      </c>
    </row>
    <row r="62" spans="1:4" x14ac:dyDescent="0.25">
      <c r="A62" s="9">
        <v>41</v>
      </c>
      <c r="B62" s="7">
        <v>30</v>
      </c>
      <c r="C62" s="2" t="str">
        <f t="shared" si="5"/>
        <v>1</v>
      </c>
      <c r="D62" t="str">
        <f t="shared" si="4"/>
        <v>1100111100001010</v>
      </c>
    </row>
    <row r="63" spans="1:4" x14ac:dyDescent="0.25">
      <c r="A63" s="9">
        <v>42</v>
      </c>
      <c r="B63" s="7">
        <v>22</v>
      </c>
      <c r="C63" s="2" t="str">
        <f t="shared" si="5"/>
        <v>1</v>
      </c>
      <c r="D63" t="str">
        <f t="shared" si="4"/>
        <v>100111100001010</v>
      </c>
    </row>
    <row r="64" spans="1:4" x14ac:dyDescent="0.25">
      <c r="A64" s="9">
        <v>43</v>
      </c>
      <c r="B64" s="7">
        <v>14</v>
      </c>
      <c r="C64" s="2" t="str">
        <f t="shared" si="5"/>
        <v>0</v>
      </c>
      <c r="D64" t="str">
        <f t="shared" si="4"/>
        <v>00111100001010</v>
      </c>
    </row>
    <row r="65" spans="1:16" x14ac:dyDescent="0.25">
      <c r="A65" s="9">
        <v>44</v>
      </c>
      <c r="B65" s="7">
        <v>6</v>
      </c>
      <c r="C65" s="2" t="str">
        <f t="shared" si="5"/>
        <v>0</v>
      </c>
      <c r="D65" t="str">
        <f t="shared" si="4"/>
        <v>0111100001010</v>
      </c>
    </row>
    <row r="66" spans="1:16" x14ac:dyDescent="0.25">
      <c r="A66" s="9">
        <v>45</v>
      </c>
      <c r="B66" s="7">
        <v>61</v>
      </c>
      <c r="C66" s="2" t="str">
        <f t="shared" si="5"/>
        <v>1</v>
      </c>
      <c r="D66" t="str">
        <f t="shared" si="4"/>
        <v>111100001010</v>
      </c>
    </row>
    <row r="67" spans="1:16" x14ac:dyDescent="0.25">
      <c r="A67" s="9">
        <v>46</v>
      </c>
      <c r="B67" s="7">
        <v>53</v>
      </c>
      <c r="C67" s="2" t="str">
        <f t="shared" si="5"/>
        <v>1</v>
      </c>
      <c r="D67" t="str">
        <f t="shared" si="4"/>
        <v>11100001010</v>
      </c>
    </row>
    <row r="68" spans="1:16" x14ac:dyDescent="0.25">
      <c r="A68" s="9">
        <v>47</v>
      </c>
      <c r="B68" s="7">
        <v>45</v>
      </c>
      <c r="C68" s="2" t="str">
        <f t="shared" si="5"/>
        <v>1</v>
      </c>
      <c r="D68" t="str">
        <f t="shared" si="4"/>
        <v>1100001010</v>
      </c>
    </row>
    <row r="69" spans="1:16" x14ac:dyDescent="0.25">
      <c r="A69" s="9">
        <v>48</v>
      </c>
      <c r="B69" s="7">
        <v>37</v>
      </c>
      <c r="C69" s="2" t="str">
        <f t="shared" si="5"/>
        <v>1</v>
      </c>
      <c r="D69" t="str">
        <f t="shared" si="4"/>
        <v>100001010</v>
      </c>
    </row>
    <row r="70" spans="1:16" x14ac:dyDescent="0.25">
      <c r="A70" s="9">
        <v>49</v>
      </c>
      <c r="B70" s="7">
        <v>29</v>
      </c>
      <c r="C70" s="2" t="str">
        <f t="shared" si="5"/>
        <v>0</v>
      </c>
      <c r="D70" t="str">
        <f t="shared" si="4"/>
        <v>00001010</v>
      </c>
    </row>
    <row r="71" spans="1:16" x14ac:dyDescent="0.25">
      <c r="A71" s="9">
        <v>50</v>
      </c>
      <c r="B71" s="7">
        <v>21</v>
      </c>
      <c r="C71" s="2" t="str">
        <f t="shared" si="5"/>
        <v>0</v>
      </c>
      <c r="D71" t="str">
        <f t="shared" si="4"/>
        <v>0001010</v>
      </c>
    </row>
    <row r="72" spans="1:16" x14ac:dyDescent="0.25">
      <c r="A72" s="9">
        <v>51</v>
      </c>
      <c r="B72" s="7">
        <v>13</v>
      </c>
      <c r="C72" s="2" t="str">
        <f t="shared" si="5"/>
        <v>0</v>
      </c>
      <c r="D72" t="str">
        <f t="shared" si="4"/>
        <v>001010</v>
      </c>
    </row>
    <row r="73" spans="1:16" x14ac:dyDescent="0.25">
      <c r="A73" s="9">
        <v>52</v>
      </c>
      <c r="B73" s="7">
        <v>5</v>
      </c>
      <c r="C73" s="2" t="str">
        <f t="shared" si="5"/>
        <v>0</v>
      </c>
      <c r="D73" t="str">
        <f t="shared" si="4"/>
        <v>01010</v>
      </c>
    </row>
    <row r="74" spans="1:16" x14ac:dyDescent="0.25">
      <c r="A74" s="9">
        <v>53</v>
      </c>
      <c r="B74" s="7">
        <v>28</v>
      </c>
      <c r="C74" s="2" t="str">
        <f t="shared" si="5"/>
        <v>1</v>
      </c>
      <c r="D74" t="str">
        <f t="shared" si="4"/>
        <v>1010</v>
      </c>
    </row>
    <row r="75" spans="1:16" x14ac:dyDescent="0.25">
      <c r="A75" s="9">
        <v>54</v>
      </c>
      <c r="B75" s="7">
        <v>20</v>
      </c>
      <c r="C75" s="2" t="str">
        <f t="shared" si="5"/>
        <v>0</v>
      </c>
      <c r="D75" t="str">
        <f>C75&amp;D76</f>
        <v>010</v>
      </c>
    </row>
    <row r="76" spans="1:16" x14ac:dyDescent="0.25">
      <c r="A76" s="9">
        <v>55</v>
      </c>
      <c r="B76" s="7">
        <v>12</v>
      </c>
      <c r="C76" s="2" t="str">
        <f t="shared" si="5"/>
        <v>1</v>
      </c>
      <c r="D76" t="str">
        <f>C76&amp;C77</f>
        <v>10</v>
      </c>
    </row>
    <row r="77" spans="1:16" x14ac:dyDescent="0.25">
      <c r="A77" s="9">
        <v>56</v>
      </c>
      <c r="B77" s="7">
        <v>4</v>
      </c>
      <c r="C77" s="2" t="str">
        <f t="shared" si="5"/>
        <v>0</v>
      </c>
    </row>
    <row r="79" spans="1:16" x14ac:dyDescent="0.25">
      <c r="A79" t="s">
        <v>47</v>
      </c>
      <c r="C79" t="str">
        <f>D22</f>
        <v>11110000110011001010101010111010101011001100111100001010</v>
      </c>
    </row>
    <row r="80" spans="1:16" x14ac:dyDescent="0.25">
      <c r="O80" s="11"/>
      <c r="P80" s="11"/>
    </row>
    <row r="81" spans="1:21" x14ac:dyDescent="0.25">
      <c r="A81" s="11" t="s">
        <v>131</v>
      </c>
      <c r="K81" s="15" t="s">
        <v>48</v>
      </c>
      <c r="L81" s="15"/>
      <c r="O81" t="s">
        <v>130</v>
      </c>
    </row>
    <row r="82" spans="1:21" x14ac:dyDescent="0.25">
      <c r="O82" s="12"/>
    </row>
    <row r="83" spans="1:21" x14ac:dyDescent="0.25">
      <c r="A83" s="9" t="s">
        <v>65</v>
      </c>
      <c r="B83" s="4" t="str">
        <f>LEFT(C79,28)</f>
        <v>1111000011001100101010101011</v>
      </c>
      <c r="C83" s="4"/>
      <c r="D83" s="4"/>
      <c r="F83" s="9" t="s">
        <v>66</v>
      </c>
      <c r="G83" s="4" t="str">
        <f>RIGHT(C79,28)</f>
        <v>1010101011001100111100001010</v>
      </c>
      <c r="H83" s="4"/>
      <c r="I83" s="4"/>
      <c r="K83" s="8">
        <v>1</v>
      </c>
      <c r="L83" s="8">
        <v>1</v>
      </c>
      <c r="O83" s="10">
        <v>1</v>
      </c>
      <c r="P83" s="5" t="str">
        <f>B84&amp;G84</f>
        <v>11100001100110010101010101110101010110011001111000010101</v>
      </c>
      <c r="Q83" s="5"/>
      <c r="R83" s="5"/>
      <c r="S83" s="5"/>
      <c r="T83" s="5"/>
      <c r="U83" s="5"/>
    </row>
    <row r="84" spans="1:21" x14ac:dyDescent="0.25">
      <c r="A84" s="9" t="s">
        <v>64</v>
      </c>
      <c r="B84" s="4" t="str">
        <f>MID(B83, L83+1, LEN(B83)-L83) &amp; LEFT(B83, L83)</f>
        <v>1110000110011001010101010111</v>
      </c>
      <c r="C84" s="4"/>
      <c r="D84" s="4"/>
      <c r="F84" s="9" t="s">
        <v>67</v>
      </c>
      <c r="G84" s="4" t="str">
        <f>MID(G83, L83+1, LEN(G83)-L83) &amp; LEFT(G83, L83)</f>
        <v>0101010110011001111000010101</v>
      </c>
      <c r="H84" s="4"/>
      <c r="I84" s="4"/>
      <c r="K84" s="8">
        <v>2</v>
      </c>
      <c r="L84" s="8">
        <v>1</v>
      </c>
      <c r="O84" s="10">
        <v>2</v>
      </c>
      <c r="P84" s="5" t="str">
        <f>B85&amp;G85</f>
        <v>11000011001100101010101011111010101100110011110000101010</v>
      </c>
      <c r="Q84" s="5"/>
      <c r="R84" s="5"/>
      <c r="S84" s="5"/>
      <c r="T84" s="5"/>
      <c r="U84" s="5"/>
    </row>
    <row r="85" spans="1:21" x14ac:dyDescent="0.25">
      <c r="A85" s="9" t="s">
        <v>49</v>
      </c>
      <c r="B85" s="4" t="str">
        <f t="shared" ref="B85:B98" si="6">MID(B84, L84+1, LEN(B84)-L84) &amp; LEFT(B84, L84)</f>
        <v>1100001100110010101010101111</v>
      </c>
      <c r="C85" s="4"/>
      <c r="D85" s="4"/>
      <c r="F85" s="9" t="s">
        <v>68</v>
      </c>
      <c r="G85" s="4" t="str">
        <f t="shared" ref="G85:G99" si="7">MID(G84, L84+1, LEN(G84)-L84) &amp; LEFT(G84, L84)</f>
        <v>1010101100110011110000101010</v>
      </c>
      <c r="H85" s="4"/>
      <c r="I85" s="4"/>
      <c r="K85" s="8">
        <v>3</v>
      </c>
      <c r="L85" s="8">
        <v>2</v>
      </c>
      <c r="O85" s="10">
        <v>3</v>
      </c>
      <c r="P85" s="5" t="str">
        <f>B86&amp;G86</f>
        <v>00001100110010101010101111111010110011001111000010101010</v>
      </c>
      <c r="Q85" s="5"/>
      <c r="R85" s="5"/>
      <c r="S85" s="5"/>
      <c r="T85" s="5"/>
      <c r="U85" s="5"/>
    </row>
    <row r="86" spans="1:21" x14ac:dyDescent="0.25">
      <c r="A86" s="9" t="s">
        <v>50</v>
      </c>
      <c r="B86" s="4" t="str">
        <f t="shared" si="6"/>
        <v>0000110011001010101010111111</v>
      </c>
      <c r="C86" s="4"/>
      <c r="D86" s="4"/>
      <c r="F86" s="9" t="s">
        <v>69</v>
      </c>
      <c r="G86" s="4" t="str">
        <f t="shared" si="7"/>
        <v>1010110011001111000010101010</v>
      </c>
      <c r="H86" s="4"/>
      <c r="I86" s="4"/>
      <c r="K86" s="8">
        <v>4</v>
      </c>
      <c r="L86" s="8">
        <v>2</v>
      </c>
      <c r="O86" s="10">
        <v>4</v>
      </c>
      <c r="P86" s="5" t="str">
        <f>B87&amp;G87</f>
        <v>00110011001010101010111111001011001100111100001010101010</v>
      </c>
      <c r="Q86" s="5"/>
      <c r="R86" s="5"/>
      <c r="S86" s="5"/>
      <c r="T86" s="5"/>
      <c r="U86" s="5"/>
    </row>
    <row r="87" spans="1:21" x14ac:dyDescent="0.25">
      <c r="A87" s="9" t="s">
        <v>51</v>
      </c>
      <c r="B87" s="4" t="str">
        <f t="shared" si="6"/>
        <v>0011001100101010101011111100</v>
      </c>
      <c r="C87" s="4"/>
      <c r="D87" s="4"/>
      <c r="F87" s="9" t="s">
        <v>70</v>
      </c>
      <c r="G87" s="4" t="str">
        <f t="shared" si="7"/>
        <v>1011001100111100001010101010</v>
      </c>
      <c r="H87" s="4"/>
      <c r="I87" s="4"/>
      <c r="K87" s="8">
        <v>5</v>
      </c>
      <c r="L87" s="8">
        <v>2</v>
      </c>
      <c r="O87" s="10">
        <v>5</v>
      </c>
      <c r="P87" s="5" t="str">
        <f>B88&amp;G88</f>
        <v>11001100101010101011111100001100110011110000101010101010</v>
      </c>
      <c r="Q87" s="5"/>
      <c r="R87" s="5"/>
      <c r="S87" s="5"/>
      <c r="T87" s="5"/>
      <c r="U87" s="5"/>
    </row>
    <row r="88" spans="1:21" x14ac:dyDescent="0.25">
      <c r="A88" s="9" t="s">
        <v>52</v>
      </c>
      <c r="B88" s="4" t="str">
        <f t="shared" si="6"/>
        <v>1100110010101010101111110000</v>
      </c>
      <c r="C88" s="4"/>
      <c r="D88" s="4"/>
      <c r="F88" s="9" t="s">
        <v>71</v>
      </c>
      <c r="G88" s="4" t="str">
        <f t="shared" si="7"/>
        <v>1100110011110000101010101010</v>
      </c>
      <c r="H88" s="4"/>
      <c r="I88" s="4"/>
      <c r="K88" s="8">
        <v>6</v>
      </c>
      <c r="L88" s="8">
        <v>2</v>
      </c>
      <c r="O88" s="10">
        <v>6</v>
      </c>
      <c r="P88" s="5" t="str">
        <f>B89&amp;G89</f>
        <v>00110010101010101111110000110011001111000010101010101011</v>
      </c>
      <c r="Q88" s="5"/>
      <c r="R88" s="5"/>
      <c r="S88" s="5"/>
      <c r="T88" s="5"/>
      <c r="U88" s="5"/>
    </row>
    <row r="89" spans="1:21" x14ac:dyDescent="0.25">
      <c r="A89" s="9" t="s">
        <v>53</v>
      </c>
      <c r="B89" s="4" t="str">
        <f t="shared" si="6"/>
        <v>0011001010101010111111000011</v>
      </c>
      <c r="C89" s="4"/>
      <c r="D89" s="4"/>
      <c r="F89" s="9" t="s">
        <v>72</v>
      </c>
      <c r="G89" s="4" t="str">
        <f t="shared" si="7"/>
        <v>0011001111000010101010101011</v>
      </c>
      <c r="H89" s="4"/>
      <c r="I89" s="4"/>
      <c r="K89" s="8">
        <v>7</v>
      </c>
      <c r="L89" s="8">
        <v>2</v>
      </c>
      <c r="O89" s="10">
        <v>7</v>
      </c>
      <c r="P89" s="5" t="str">
        <f>B90&amp;G90</f>
        <v>11001010101010111111000011001100111100001010101010101100</v>
      </c>
      <c r="Q89" s="5"/>
      <c r="R89" s="5"/>
      <c r="S89" s="5"/>
      <c r="T89" s="5"/>
      <c r="U89" s="5"/>
    </row>
    <row r="90" spans="1:21" x14ac:dyDescent="0.25">
      <c r="A90" s="9" t="s">
        <v>54</v>
      </c>
      <c r="B90" s="4" t="str">
        <f t="shared" si="6"/>
        <v>1100101010101011111100001100</v>
      </c>
      <c r="C90" s="4"/>
      <c r="D90" s="4"/>
      <c r="F90" s="9" t="s">
        <v>73</v>
      </c>
      <c r="G90" s="4" t="str">
        <f t="shared" si="7"/>
        <v>1100111100001010101010101100</v>
      </c>
      <c r="H90" s="4"/>
      <c r="I90" s="4"/>
      <c r="K90" s="8">
        <v>8</v>
      </c>
      <c r="L90" s="8">
        <v>2</v>
      </c>
      <c r="O90" s="10">
        <v>8</v>
      </c>
      <c r="P90" s="5" t="str">
        <f>B91&amp;G91</f>
        <v>00101010101011111100001100110011110000101010101010110011</v>
      </c>
      <c r="Q90" s="5"/>
      <c r="R90" s="5"/>
      <c r="S90" s="5"/>
      <c r="T90" s="5"/>
      <c r="U90" s="5"/>
    </row>
    <row r="91" spans="1:21" x14ac:dyDescent="0.25">
      <c r="A91" s="9" t="s">
        <v>55</v>
      </c>
      <c r="B91" s="4" t="str">
        <f t="shared" si="6"/>
        <v>0010101010101111110000110011</v>
      </c>
      <c r="C91" s="4"/>
      <c r="D91" s="4"/>
      <c r="F91" s="9" t="s">
        <v>74</v>
      </c>
      <c r="G91" s="4" t="str">
        <f t="shared" si="7"/>
        <v>0011110000101010101010110011</v>
      </c>
      <c r="H91" s="4"/>
      <c r="I91" s="4"/>
      <c r="K91" s="8">
        <v>9</v>
      </c>
      <c r="L91" s="8">
        <v>1</v>
      </c>
      <c r="O91" s="10">
        <v>9</v>
      </c>
      <c r="P91" s="5" t="str">
        <f>B92&amp;G92</f>
        <v>01010101010111111000011001100111100001010101010101100110</v>
      </c>
      <c r="Q91" s="5"/>
      <c r="R91" s="5"/>
      <c r="S91" s="5"/>
      <c r="T91" s="5"/>
      <c r="U91" s="5"/>
    </row>
    <row r="92" spans="1:21" x14ac:dyDescent="0.25">
      <c r="A92" s="9" t="s">
        <v>56</v>
      </c>
      <c r="B92" s="4" t="str">
        <f t="shared" si="6"/>
        <v>0101010101011111100001100110</v>
      </c>
      <c r="C92" s="4"/>
      <c r="D92" s="4"/>
      <c r="F92" s="9" t="s">
        <v>75</v>
      </c>
      <c r="G92" s="4" t="str">
        <f t="shared" si="7"/>
        <v>0111100001010101010101100110</v>
      </c>
      <c r="H92" s="4"/>
      <c r="I92" s="4"/>
      <c r="K92" s="8">
        <v>10</v>
      </c>
      <c r="L92" s="8">
        <v>2</v>
      </c>
      <c r="O92" s="10">
        <v>10</v>
      </c>
      <c r="P92" s="5" t="str">
        <f>B93&amp;G93</f>
        <v>01010101011111100001100110011110000101010101010110011001</v>
      </c>
      <c r="Q92" s="5"/>
      <c r="R92" s="5"/>
      <c r="S92" s="5"/>
      <c r="T92" s="5"/>
      <c r="U92" s="5"/>
    </row>
    <row r="93" spans="1:21" x14ac:dyDescent="0.25">
      <c r="A93" s="9" t="s">
        <v>57</v>
      </c>
      <c r="B93" s="4" t="str">
        <f t="shared" si="6"/>
        <v>0101010101111110000110011001</v>
      </c>
      <c r="C93" s="4"/>
      <c r="D93" s="4"/>
      <c r="F93" s="9" t="s">
        <v>76</v>
      </c>
      <c r="G93" s="4" t="str">
        <f t="shared" si="7"/>
        <v>1110000101010101010110011001</v>
      </c>
      <c r="H93" s="4"/>
      <c r="I93" s="4"/>
      <c r="K93" s="8">
        <v>11</v>
      </c>
      <c r="L93" s="8">
        <v>2</v>
      </c>
      <c r="O93" s="10">
        <v>11</v>
      </c>
      <c r="P93" s="5" t="str">
        <f>B94&amp;G94</f>
        <v>01010101111110000110011001011000010101010101011001100111</v>
      </c>
      <c r="Q93" s="5"/>
      <c r="R93" s="5"/>
      <c r="S93" s="5"/>
      <c r="T93" s="5"/>
      <c r="U93" s="5"/>
    </row>
    <row r="94" spans="1:21" x14ac:dyDescent="0.25">
      <c r="A94" s="9" t="s">
        <v>58</v>
      </c>
      <c r="B94" s="4" t="str">
        <f t="shared" si="6"/>
        <v>0101010111111000011001100101</v>
      </c>
      <c r="C94" s="4"/>
      <c r="D94" s="4"/>
      <c r="F94" s="9" t="s">
        <v>77</v>
      </c>
      <c r="G94" s="4" t="str">
        <f t="shared" si="7"/>
        <v>1000010101010101011001100111</v>
      </c>
      <c r="H94" s="4"/>
      <c r="I94" s="4"/>
      <c r="K94" s="8">
        <v>12</v>
      </c>
      <c r="L94" s="8">
        <v>2</v>
      </c>
      <c r="O94" s="10">
        <v>12</v>
      </c>
      <c r="P94" s="5" t="str">
        <f>B95&amp;G95</f>
        <v>01010111111000011001100101010001010101010101100110011110</v>
      </c>
      <c r="Q94" s="5"/>
      <c r="R94" s="5"/>
      <c r="S94" s="5"/>
      <c r="T94" s="5"/>
      <c r="U94" s="5"/>
    </row>
    <row r="95" spans="1:21" x14ac:dyDescent="0.25">
      <c r="A95" s="9" t="s">
        <v>59</v>
      </c>
      <c r="B95" s="4" t="str">
        <f t="shared" si="6"/>
        <v>0101011111100001100110010101</v>
      </c>
      <c r="C95" s="4"/>
      <c r="D95" s="4"/>
      <c r="F95" s="9" t="s">
        <v>78</v>
      </c>
      <c r="G95" s="4" t="str">
        <f t="shared" si="7"/>
        <v>0001010101010101100110011110</v>
      </c>
      <c r="H95" s="4"/>
      <c r="I95" s="4"/>
      <c r="K95" s="8">
        <v>13</v>
      </c>
      <c r="L95" s="8">
        <v>2</v>
      </c>
      <c r="O95" s="10">
        <v>13</v>
      </c>
      <c r="P95" s="5" t="str">
        <f>B96&amp;G96</f>
        <v>01011111100001100110010101010101010101010110011001111000</v>
      </c>
      <c r="Q95" s="5"/>
      <c r="R95" s="5"/>
      <c r="S95" s="5"/>
      <c r="T95" s="5"/>
      <c r="U95" s="5"/>
    </row>
    <row r="96" spans="1:21" x14ac:dyDescent="0.25">
      <c r="A96" s="9" t="s">
        <v>60</v>
      </c>
      <c r="B96" s="4" t="str">
        <f t="shared" si="6"/>
        <v>0101111110000110011001010101</v>
      </c>
      <c r="C96" s="4"/>
      <c r="D96" s="4"/>
      <c r="F96" s="9" t="s">
        <v>79</v>
      </c>
      <c r="G96" s="4" t="str">
        <f t="shared" si="7"/>
        <v>0101010101010110011001111000</v>
      </c>
      <c r="H96" s="4"/>
      <c r="I96" s="4"/>
      <c r="K96" s="8">
        <v>14</v>
      </c>
      <c r="L96" s="8">
        <v>2</v>
      </c>
      <c r="O96" s="10">
        <v>14</v>
      </c>
      <c r="P96" s="5" t="str">
        <f>B97&amp;G97</f>
        <v>01111110000110011001010101010101010101011001100111100001</v>
      </c>
      <c r="Q96" s="5"/>
      <c r="R96" s="5"/>
      <c r="S96" s="5"/>
      <c r="T96" s="5"/>
      <c r="U96" s="5"/>
    </row>
    <row r="97" spans="1:21" x14ac:dyDescent="0.25">
      <c r="A97" s="9" t="s">
        <v>61</v>
      </c>
      <c r="B97" s="4" t="str">
        <f t="shared" si="6"/>
        <v>0111111000011001100101010101</v>
      </c>
      <c r="C97" s="4"/>
      <c r="D97" s="4"/>
      <c r="F97" s="9" t="s">
        <v>80</v>
      </c>
      <c r="G97" s="4" t="str">
        <f t="shared" si="7"/>
        <v>0101010101011001100111100001</v>
      </c>
      <c r="H97" s="4"/>
      <c r="I97" s="4"/>
      <c r="K97" s="8">
        <v>15</v>
      </c>
      <c r="L97" s="8">
        <v>2</v>
      </c>
      <c r="O97" s="10">
        <v>15</v>
      </c>
      <c r="P97" s="5" t="str">
        <f>B98&amp;G98</f>
        <v>11111000011001100101010101010101010101100110011110000101</v>
      </c>
      <c r="Q97" s="5"/>
      <c r="R97" s="5"/>
      <c r="S97" s="5"/>
      <c r="T97" s="5"/>
      <c r="U97" s="5"/>
    </row>
    <row r="98" spans="1:21" x14ac:dyDescent="0.25">
      <c r="A98" s="9" t="s">
        <v>62</v>
      </c>
      <c r="B98" s="4" t="str">
        <f t="shared" si="6"/>
        <v>1111100001100110010101010101</v>
      </c>
      <c r="C98" s="4"/>
      <c r="D98" s="4"/>
      <c r="F98" s="9" t="s">
        <v>81</v>
      </c>
      <c r="G98" s="4" t="str">
        <f t="shared" si="7"/>
        <v>0101010101100110011110000101</v>
      </c>
      <c r="H98" s="4"/>
      <c r="I98" s="4"/>
      <c r="K98" s="8">
        <v>16</v>
      </c>
      <c r="L98" s="8">
        <v>1</v>
      </c>
      <c r="O98" s="10">
        <v>16</v>
      </c>
      <c r="P98" s="5" t="str">
        <f>B99&amp;G99</f>
        <v>11110000110011001010101010111010101011001100111100001010</v>
      </c>
      <c r="Q98" s="5"/>
      <c r="R98" s="5"/>
      <c r="S98" s="5"/>
      <c r="T98" s="5"/>
      <c r="U98" s="5"/>
    </row>
    <row r="99" spans="1:21" x14ac:dyDescent="0.25">
      <c r="A99" s="9" t="s">
        <v>63</v>
      </c>
      <c r="B99" s="4" t="str">
        <f>MID(B98, L98+1, LEN(B98)-L98) &amp; LEFT(B98, L98)</f>
        <v>1111000011001100101010101011</v>
      </c>
      <c r="C99" s="4"/>
      <c r="D99" s="4"/>
      <c r="F99" s="9" t="s">
        <v>82</v>
      </c>
      <c r="G99" s="4" t="str">
        <f t="shared" si="7"/>
        <v>1010101011001100111100001010</v>
      </c>
      <c r="H99" s="4"/>
      <c r="I99" s="4"/>
    </row>
    <row r="105" spans="1:21" x14ac:dyDescent="0.25">
      <c r="A105" s="11" t="s">
        <v>137</v>
      </c>
      <c r="B105" s="11"/>
      <c r="C105" s="11"/>
    </row>
    <row r="107" spans="1:21" x14ac:dyDescent="0.25">
      <c r="A107" s="9" t="s">
        <v>136</v>
      </c>
      <c r="B107" s="9" t="s">
        <v>83</v>
      </c>
      <c r="C107" s="9" t="s">
        <v>84</v>
      </c>
      <c r="D107" s="9" t="s">
        <v>85</v>
      </c>
      <c r="E107" s="9" t="s">
        <v>86</v>
      </c>
      <c r="F107" s="9" t="s">
        <v>87</v>
      </c>
      <c r="G107" s="9" t="s">
        <v>88</v>
      </c>
      <c r="H107" s="9" t="s">
        <v>89</v>
      </c>
      <c r="I107" s="9" t="s">
        <v>90</v>
      </c>
      <c r="J107" s="9" t="s">
        <v>91</v>
      </c>
      <c r="K107" s="9" t="s">
        <v>92</v>
      </c>
      <c r="L107" s="9" t="s">
        <v>93</v>
      </c>
      <c r="M107" s="9" t="s">
        <v>94</v>
      </c>
      <c r="N107" s="9" t="s">
        <v>95</v>
      </c>
      <c r="O107" s="9" t="s">
        <v>96</v>
      </c>
      <c r="P107" s="9" t="s">
        <v>97</v>
      </c>
      <c r="Q107" s="9" t="s">
        <v>98</v>
      </c>
    </row>
    <row r="108" spans="1:21" x14ac:dyDescent="0.25">
      <c r="A108" s="9">
        <v>14</v>
      </c>
      <c r="B108" s="2" t="str">
        <f>MID($P$83,A108,1)</f>
        <v>0</v>
      </c>
      <c r="C108" s="2" t="str">
        <f>MID($P$84,A108,1)</f>
        <v>0</v>
      </c>
      <c r="D108" s="2" t="str">
        <f>MID($P$85,A108,1)</f>
        <v>0</v>
      </c>
      <c r="E108" s="2" t="str">
        <f>MID($P$86,A108,1)</f>
        <v>0</v>
      </c>
      <c r="F108" s="2" t="str">
        <f>MID($P$87,A108,1)</f>
        <v>0</v>
      </c>
      <c r="G108" s="2" t="str">
        <f>MID($P$88,A108,1)</f>
        <v>0</v>
      </c>
      <c r="H108" s="2" t="str">
        <f>MID($P$89,A108,1)</f>
        <v>0</v>
      </c>
      <c r="I108" s="2" t="str">
        <f>MID($P$90,A108,1)</f>
        <v>1</v>
      </c>
      <c r="J108" s="2" t="str">
        <f>MID($P$91,A108,1)</f>
        <v>1</v>
      </c>
      <c r="K108" s="2" t="str">
        <f>MID($P$92,A108,1)</f>
        <v>1</v>
      </c>
      <c r="L108" s="2" t="str">
        <f>MID($P$93,A108,1)</f>
        <v>0</v>
      </c>
      <c r="M108" s="2" t="str">
        <f>MID($P$94,A108,1)</f>
        <v>0</v>
      </c>
      <c r="N108" s="2" t="str">
        <f>MID($P$95,A108,1)</f>
        <v>1</v>
      </c>
      <c r="O108" s="2" t="str">
        <f>MID($P$96,A108,1)</f>
        <v>0</v>
      </c>
      <c r="P108" s="2" t="str">
        <f>MID($P$97,A108,1)</f>
        <v>1</v>
      </c>
      <c r="Q108" s="2" t="str">
        <f>MID($P$98,A108,1)</f>
        <v>1</v>
      </c>
    </row>
    <row r="109" spans="1:21" x14ac:dyDescent="0.25">
      <c r="A109" s="9">
        <v>17</v>
      </c>
      <c r="B109" s="2" t="str">
        <f>MID($P$83,A109,1)</f>
        <v>0</v>
      </c>
      <c r="C109" s="2" t="str">
        <f>MID($P$84,A109,1)</f>
        <v>1</v>
      </c>
      <c r="D109" s="2" t="str">
        <f>MID($P$85,A109,1)</f>
        <v>1</v>
      </c>
      <c r="E109" s="2" t="str">
        <f>MID($P$86,A109,1)</f>
        <v>1</v>
      </c>
      <c r="F109" s="2" t="str">
        <f>MID($P$87,A109,1)</f>
        <v>1</v>
      </c>
      <c r="G109" s="2" t="str">
        <f>MID($P$88,A109,1)</f>
        <v>1</v>
      </c>
      <c r="H109" s="2" t="str">
        <f>MID($P$89,A109,1)</f>
        <v>1</v>
      </c>
      <c r="I109" s="2" t="str">
        <f>MID($P$90,A109,1)</f>
        <v>1</v>
      </c>
      <c r="J109" s="2" t="str">
        <f>MID($P$91,A109,1)</f>
        <v>1</v>
      </c>
      <c r="K109" s="2" t="str">
        <f>MID($P$92,A109,1)</f>
        <v>0</v>
      </c>
      <c r="L109" s="2" t="str">
        <f>MID($P$93,A109,1)</f>
        <v>0</v>
      </c>
      <c r="M109" s="2" t="str">
        <f>MID($P$94,A109,1)</f>
        <v>1</v>
      </c>
      <c r="N109" s="2" t="str">
        <f>MID($P$95,A109,1)</f>
        <v>0</v>
      </c>
      <c r="O109" s="2" t="str">
        <f>MID($P$96,A109,1)</f>
        <v>1</v>
      </c>
      <c r="P109" s="2" t="str">
        <f>MID($P$97,A109,1)</f>
        <v>0</v>
      </c>
      <c r="Q109" s="2" t="str">
        <f>MID($P$98,A109,1)</f>
        <v>1</v>
      </c>
    </row>
    <row r="110" spans="1:21" x14ac:dyDescent="0.25">
      <c r="A110" s="9">
        <v>11</v>
      </c>
      <c r="B110" s="2" t="str">
        <f>MID($P$83,A110,1)</f>
        <v>0</v>
      </c>
      <c r="C110" s="2" t="str">
        <f>MID($P$84,A110,1)</f>
        <v>1</v>
      </c>
      <c r="D110" s="2" t="str">
        <f>MID($P$85,A110,1)</f>
        <v>0</v>
      </c>
      <c r="E110" s="2" t="str">
        <f>MID($P$86,A110,1)</f>
        <v>1</v>
      </c>
      <c r="F110" s="2" t="str">
        <f>MID($P$87,A110,1)</f>
        <v>1</v>
      </c>
      <c r="G110" s="2" t="str">
        <f>MID($P$88,A110,1)</f>
        <v>1</v>
      </c>
      <c r="H110" s="2" t="str">
        <f>MID($P$89,A110,1)</f>
        <v>1</v>
      </c>
      <c r="I110" s="2" t="str">
        <f>MID($P$90,A110,1)</f>
        <v>1</v>
      </c>
      <c r="J110" s="2" t="str">
        <f>MID($P$91,A110,1)</f>
        <v>0</v>
      </c>
      <c r="K110" s="2" t="str">
        <f>MID($P$92,A110,1)</f>
        <v>1</v>
      </c>
      <c r="L110" s="2" t="str">
        <f>MID($P$93,A110,1)</f>
        <v>1</v>
      </c>
      <c r="M110" s="2" t="str">
        <f>MID($P$94,A110,1)</f>
        <v>1</v>
      </c>
      <c r="N110" s="2" t="str">
        <f>MID($P$95,A110,1)</f>
        <v>0</v>
      </c>
      <c r="O110" s="2" t="str">
        <f>MID($P$96,A110,1)</f>
        <v>0</v>
      </c>
      <c r="P110" s="2" t="str">
        <f>MID($P$97,A110,1)</f>
        <v>1</v>
      </c>
      <c r="Q110" s="2" t="str">
        <f>MID($P$98,A110,1)</f>
        <v>0</v>
      </c>
    </row>
    <row r="111" spans="1:21" x14ac:dyDescent="0.25">
      <c r="A111" s="9">
        <v>24</v>
      </c>
      <c r="B111" s="2" t="str">
        <f>MID($P$83,A111,1)</f>
        <v>1</v>
      </c>
      <c r="C111" s="2" t="str">
        <f>MID($P$84,A111,1)</f>
        <v>0</v>
      </c>
      <c r="D111" s="2" t="str">
        <f>MID($P$85,A111,1)</f>
        <v>1</v>
      </c>
      <c r="E111" s="2" t="str">
        <f>MID($P$86,A111,1)</f>
        <v>1</v>
      </c>
      <c r="F111" s="2" t="str">
        <f>MID($P$87,A111,1)</f>
        <v>1</v>
      </c>
      <c r="G111" s="2" t="str">
        <f>MID($P$88,A111,1)</f>
        <v>0</v>
      </c>
      <c r="H111" s="2" t="str">
        <f>MID($P$89,A111,1)</f>
        <v>0</v>
      </c>
      <c r="I111" s="2" t="str">
        <f>MID($P$90,A111,1)</f>
        <v>1</v>
      </c>
      <c r="J111" s="2" t="str">
        <f>MID($P$91,A111,1)</f>
        <v>0</v>
      </c>
      <c r="K111" s="2" t="str">
        <f>MID($P$92,A111,1)</f>
        <v>1</v>
      </c>
      <c r="L111" s="2" t="str">
        <f>MID($P$93,A111,1)</f>
        <v>0</v>
      </c>
      <c r="M111" s="2" t="str">
        <f>MID($P$94,A111,1)</f>
        <v>1</v>
      </c>
      <c r="N111" s="2" t="str">
        <f>MID($P$95,A111,1)</f>
        <v>1</v>
      </c>
      <c r="O111" s="2" t="str">
        <f>MID($P$96,A111,1)</f>
        <v>1</v>
      </c>
      <c r="P111" s="2" t="str">
        <f>MID($P$97,A111,1)</f>
        <v>1</v>
      </c>
      <c r="Q111" s="2" t="str">
        <f>MID($P$98,A111,1)</f>
        <v>0</v>
      </c>
    </row>
    <row r="112" spans="1:21" x14ac:dyDescent="0.25">
      <c r="A112" s="9">
        <v>1</v>
      </c>
      <c r="B112" s="2" t="str">
        <f>MID($P$83,A112,1)</f>
        <v>1</v>
      </c>
      <c r="C112" s="2" t="str">
        <f>MID($P$84,A112,1)</f>
        <v>1</v>
      </c>
      <c r="D112" s="2" t="str">
        <f>MID($P$85,A112,1)</f>
        <v>0</v>
      </c>
      <c r="E112" s="2" t="str">
        <f>MID($P$86,A112,1)</f>
        <v>0</v>
      </c>
      <c r="F112" s="2" t="str">
        <f>MID($P$87,A112,1)</f>
        <v>1</v>
      </c>
      <c r="G112" s="2" t="str">
        <f>MID($P$88,A112,1)</f>
        <v>0</v>
      </c>
      <c r="H112" s="2" t="str">
        <f>MID($P$89,A112,1)</f>
        <v>1</v>
      </c>
      <c r="I112" s="2" t="str">
        <f>MID($P$90,A112,1)</f>
        <v>0</v>
      </c>
      <c r="J112" s="2" t="str">
        <f>MID($P$91,A112,1)</f>
        <v>0</v>
      </c>
      <c r="K112" s="2" t="str">
        <f>MID($P$92,A112,1)</f>
        <v>0</v>
      </c>
      <c r="L112" s="2" t="str">
        <f>MID($P$93,A112,1)</f>
        <v>0</v>
      </c>
      <c r="M112" s="2" t="str">
        <f>MID($P$94,A112,1)</f>
        <v>0</v>
      </c>
      <c r="N112" s="2" t="str">
        <f>MID($P$95,A112,1)</f>
        <v>0</v>
      </c>
      <c r="O112" s="2" t="str">
        <f>MID($P$96,A112,1)</f>
        <v>0</v>
      </c>
      <c r="P112" s="2" t="str">
        <f>MID($P$97,A112,1)</f>
        <v>1</v>
      </c>
      <c r="Q112" s="2" t="str">
        <f>MID($P$98,A112,1)</f>
        <v>1</v>
      </c>
    </row>
    <row r="113" spans="1:17" x14ac:dyDescent="0.25">
      <c r="A113" s="9">
        <v>5</v>
      </c>
      <c r="B113" s="2" t="str">
        <f>MID($P$83,A113,1)</f>
        <v>0</v>
      </c>
      <c r="C113" s="2" t="str">
        <f>MID($P$84,A113,1)</f>
        <v>0</v>
      </c>
      <c r="D113" s="2" t="str">
        <f>MID($P$85,A113,1)</f>
        <v>1</v>
      </c>
      <c r="E113" s="2" t="str">
        <f>MID($P$86,A113,1)</f>
        <v>0</v>
      </c>
      <c r="F113" s="2" t="str">
        <f>MID($P$87,A113,1)</f>
        <v>1</v>
      </c>
      <c r="G113" s="2" t="str">
        <f>MID($P$88,A113,1)</f>
        <v>0</v>
      </c>
      <c r="H113" s="2" t="str">
        <f>MID($P$89,A113,1)</f>
        <v>1</v>
      </c>
      <c r="I113" s="2" t="str">
        <f>MID($P$90,A113,1)</f>
        <v>1</v>
      </c>
      <c r="J113" s="2" t="str">
        <f>MID($P$91,A113,1)</f>
        <v>0</v>
      </c>
      <c r="K113" s="2" t="str">
        <f>MID($P$92,A113,1)</f>
        <v>0</v>
      </c>
      <c r="L113" s="2" t="str">
        <f>MID($P$93,A113,1)</f>
        <v>0</v>
      </c>
      <c r="M113" s="2" t="str">
        <f>MID($P$94,A113,1)</f>
        <v>0</v>
      </c>
      <c r="N113" s="2" t="str">
        <f>MID($P$95,A113,1)</f>
        <v>1</v>
      </c>
      <c r="O113" s="2" t="str">
        <f>MID($P$96,A113,1)</f>
        <v>1</v>
      </c>
      <c r="P113" s="2" t="str">
        <f>MID($P$97,A113,1)</f>
        <v>1</v>
      </c>
      <c r="Q113" s="2" t="str">
        <f>MID($P$98,A113,1)</f>
        <v>0</v>
      </c>
    </row>
    <row r="114" spans="1:17" x14ac:dyDescent="0.25">
      <c r="A114" s="9">
        <v>3</v>
      </c>
      <c r="B114" s="2" t="str">
        <f>MID($P$83,A114,1)</f>
        <v>1</v>
      </c>
      <c r="C114" s="2" t="str">
        <f>MID($P$84,A114,1)</f>
        <v>0</v>
      </c>
      <c r="D114" s="2" t="str">
        <f>MID($P$85,A114,1)</f>
        <v>0</v>
      </c>
      <c r="E114" s="2" t="str">
        <f>MID($P$86,A114,1)</f>
        <v>1</v>
      </c>
      <c r="F114" s="2" t="str">
        <f>MID($P$87,A114,1)</f>
        <v>0</v>
      </c>
      <c r="G114" s="2" t="str">
        <f>MID($P$88,A114,1)</f>
        <v>1</v>
      </c>
      <c r="H114" s="2" t="str">
        <f>MID($P$89,A114,1)</f>
        <v>0</v>
      </c>
      <c r="I114" s="2" t="str">
        <f>MID($P$90,A114,1)</f>
        <v>1</v>
      </c>
      <c r="J114" s="2" t="str">
        <f>MID($P$91,A114,1)</f>
        <v>0</v>
      </c>
      <c r="K114" s="2" t="str">
        <f>MID($P$92,A114,1)</f>
        <v>0</v>
      </c>
      <c r="L114" s="2" t="str">
        <f>MID($P$93,A114,1)</f>
        <v>0</v>
      </c>
      <c r="M114" s="2" t="str">
        <f>MID($P$94,A114,1)</f>
        <v>0</v>
      </c>
      <c r="N114" s="2" t="str">
        <f>MID($P$95,A114,1)</f>
        <v>0</v>
      </c>
      <c r="O114" s="2" t="str">
        <f>MID($P$96,A114,1)</f>
        <v>1</v>
      </c>
      <c r="P114" s="2" t="str">
        <f>MID($P$97,A114,1)</f>
        <v>1</v>
      </c>
      <c r="Q114" s="2" t="str">
        <f>MID($P$98,A114,1)</f>
        <v>1</v>
      </c>
    </row>
    <row r="115" spans="1:17" x14ac:dyDescent="0.25">
      <c r="A115" s="9">
        <v>28</v>
      </c>
      <c r="B115" s="2" t="str">
        <f>MID($P$83,A115,1)</f>
        <v>1</v>
      </c>
      <c r="C115" s="2" t="str">
        <f>MID($P$84,A115,1)</f>
        <v>1</v>
      </c>
      <c r="D115" s="2" t="str">
        <f>MID($P$85,A115,1)</f>
        <v>1</v>
      </c>
      <c r="E115" s="2" t="str">
        <f>MID($P$86,A115,1)</f>
        <v>0</v>
      </c>
      <c r="F115" s="2" t="str">
        <f>MID($P$87,A115,1)</f>
        <v>0</v>
      </c>
      <c r="G115" s="2" t="str">
        <f>MID($P$88,A115,1)</f>
        <v>1</v>
      </c>
      <c r="H115" s="2" t="str">
        <f>MID($P$89,A115,1)</f>
        <v>0</v>
      </c>
      <c r="I115" s="2" t="str">
        <f>MID($P$90,A115,1)</f>
        <v>1</v>
      </c>
      <c r="J115" s="2" t="str">
        <f>MID($P$91,A115,1)</f>
        <v>0</v>
      </c>
      <c r="K115" s="2" t="str">
        <f>MID($P$92,A115,1)</f>
        <v>1</v>
      </c>
      <c r="L115" s="2" t="str">
        <f>MID($P$93,A115,1)</f>
        <v>1</v>
      </c>
      <c r="M115" s="2" t="str">
        <f>MID($P$94,A115,1)</f>
        <v>1</v>
      </c>
      <c r="N115" s="2" t="str">
        <f>MID($P$95,A115,1)</f>
        <v>1</v>
      </c>
      <c r="O115" s="2" t="str">
        <f>MID($P$96,A115,1)</f>
        <v>1</v>
      </c>
      <c r="P115" s="2" t="str">
        <f>MID($P$97,A115,1)</f>
        <v>1</v>
      </c>
      <c r="Q115" s="2" t="str">
        <f>MID($P$98,A115,1)</f>
        <v>1</v>
      </c>
    </row>
    <row r="116" spans="1:17" x14ac:dyDescent="0.25">
      <c r="A116" s="9">
        <v>15</v>
      </c>
      <c r="B116" s="2" t="str">
        <f>MID($P$83,A116,1)</f>
        <v>0</v>
      </c>
      <c r="C116" s="2" t="str">
        <f>MID($P$84,A116,1)</f>
        <v>1</v>
      </c>
      <c r="D116" s="2" t="str">
        <f>MID($P$85,A116,1)</f>
        <v>1</v>
      </c>
      <c r="E116" s="2" t="str">
        <f>MID($P$86,A116,1)</f>
        <v>1</v>
      </c>
      <c r="F116" s="2" t="str">
        <f>MID($P$87,A116,1)</f>
        <v>1</v>
      </c>
      <c r="G116" s="2" t="str">
        <f>MID($P$88,A116,1)</f>
        <v>1</v>
      </c>
      <c r="H116" s="2" t="str">
        <f>MID($P$89,A116,1)</f>
        <v>1</v>
      </c>
      <c r="I116" s="2" t="str">
        <f>MID($P$90,A116,1)</f>
        <v>1</v>
      </c>
      <c r="J116" s="2" t="str">
        <f>MID($P$91,A116,1)</f>
        <v>1</v>
      </c>
      <c r="K116" s="2" t="str">
        <f>MID($P$92,A116,1)</f>
        <v>1</v>
      </c>
      <c r="L116" s="2" t="str">
        <f>MID($P$93,A116,1)</f>
        <v>0</v>
      </c>
      <c r="M116" s="2" t="str">
        <f>MID($P$94,A116,1)</f>
        <v>0</v>
      </c>
      <c r="N116" s="2" t="str">
        <f>MID($P$95,A116,1)</f>
        <v>1</v>
      </c>
      <c r="O116" s="2" t="str">
        <f>MID($P$96,A116,1)</f>
        <v>0</v>
      </c>
      <c r="P116" s="2" t="str">
        <f>MID($P$97,A116,1)</f>
        <v>1</v>
      </c>
      <c r="Q116" s="2" t="str">
        <f>MID($P$98,A116,1)</f>
        <v>0</v>
      </c>
    </row>
    <row r="117" spans="1:17" x14ac:dyDescent="0.25">
      <c r="A117" s="9">
        <v>6</v>
      </c>
      <c r="B117" s="2" t="str">
        <f>MID($P$83,A117,1)</f>
        <v>0</v>
      </c>
      <c r="C117" s="2" t="str">
        <f>MID($P$84,A117,1)</f>
        <v>0</v>
      </c>
      <c r="D117" s="2" t="str">
        <f>MID($P$85,A117,1)</f>
        <v>1</v>
      </c>
      <c r="E117" s="2" t="str">
        <f>MID($P$86,A117,1)</f>
        <v>0</v>
      </c>
      <c r="F117" s="2" t="str">
        <f>MID($P$87,A117,1)</f>
        <v>1</v>
      </c>
      <c r="G117" s="2" t="str">
        <f>MID($P$88,A117,1)</f>
        <v>0</v>
      </c>
      <c r="H117" s="2" t="str">
        <f>MID($P$89,A117,1)</f>
        <v>0</v>
      </c>
      <c r="I117" s="2" t="str">
        <f>MID($P$90,A117,1)</f>
        <v>0</v>
      </c>
      <c r="J117" s="2" t="str">
        <f>MID($P$91,A117,1)</f>
        <v>1</v>
      </c>
      <c r="K117" s="2" t="str">
        <f>MID($P$92,A117,1)</f>
        <v>1</v>
      </c>
      <c r="L117" s="2" t="str">
        <f>MID($P$93,A117,1)</f>
        <v>1</v>
      </c>
      <c r="M117" s="2" t="str">
        <f>MID($P$94,A117,1)</f>
        <v>1</v>
      </c>
      <c r="N117" s="2" t="str">
        <f>MID($P$95,A117,1)</f>
        <v>1</v>
      </c>
      <c r="O117" s="2" t="str">
        <f>MID($P$96,A117,1)</f>
        <v>1</v>
      </c>
      <c r="P117" s="2" t="str">
        <f>MID($P$97,A117,1)</f>
        <v>0</v>
      </c>
      <c r="Q117" s="2" t="str">
        <f>MID($P$98,A117,1)</f>
        <v>0</v>
      </c>
    </row>
    <row r="118" spans="1:17" x14ac:dyDescent="0.25">
      <c r="A118" s="9">
        <v>21</v>
      </c>
      <c r="B118" s="2" t="str">
        <f>MID($P$83,A118,1)</f>
        <v>0</v>
      </c>
      <c r="C118" s="2" t="str">
        <f>MID($P$84,A118,1)</f>
        <v>1</v>
      </c>
      <c r="D118" s="2" t="str">
        <f>MID($P$85,A118,1)</f>
        <v>1</v>
      </c>
      <c r="E118" s="2" t="str">
        <f>MID($P$86,A118,1)</f>
        <v>1</v>
      </c>
      <c r="F118" s="2" t="str">
        <f>MID($P$87,A118,1)</f>
        <v>1</v>
      </c>
      <c r="G118" s="2" t="str">
        <f>MID($P$88,A118,1)</f>
        <v>1</v>
      </c>
      <c r="H118" s="2" t="str">
        <f>MID($P$89,A118,1)</f>
        <v>0</v>
      </c>
      <c r="I118" s="2" t="str">
        <f>MID($P$90,A118,1)</f>
        <v>0</v>
      </c>
      <c r="J118" s="2" t="str">
        <f>MID($P$91,A118,1)</f>
        <v>0</v>
      </c>
      <c r="K118" s="2" t="str">
        <f>MID($P$92,A118,1)</f>
        <v>1</v>
      </c>
      <c r="L118" s="2" t="str">
        <f>MID($P$93,A118,1)</f>
        <v>0</v>
      </c>
      <c r="M118" s="2" t="str">
        <f>MID($P$94,A118,1)</f>
        <v>1</v>
      </c>
      <c r="N118" s="2" t="str">
        <f>MID($P$95,A118,1)</f>
        <v>0</v>
      </c>
      <c r="O118" s="2" t="str">
        <f>MID($P$96,A118,1)</f>
        <v>0</v>
      </c>
      <c r="P118" s="2" t="str">
        <f>MID($P$97,A118,1)</f>
        <v>0</v>
      </c>
      <c r="Q118" s="2" t="str">
        <f>MID($P$98,A118,1)</f>
        <v>1</v>
      </c>
    </row>
    <row r="119" spans="1:17" x14ac:dyDescent="0.25">
      <c r="A119" s="9">
        <v>10</v>
      </c>
      <c r="B119" s="2" t="str">
        <f>MID($P$83,A119,1)</f>
        <v>0</v>
      </c>
      <c r="C119" s="2" t="str">
        <f>MID($P$84,A119,1)</f>
        <v>0</v>
      </c>
      <c r="D119" s="2" t="str">
        <f>MID($P$85,A119,1)</f>
        <v>1</v>
      </c>
      <c r="E119" s="2" t="str">
        <f>MID($P$86,A119,1)</f>
        <v>0</v>
      </c>
      <c r="F119" s="2" t="str">
        <f>MID($P$87,A119,1)</f>
        <v>0</v>
      </c>
      <c r="G119" s="2" t="str">
        <f>MID($P$88,A119,1)</f>
        <v>0</v>
      </c>
      <c r="H119" s="2" t="str">
        <f>MID($P$89,A119,1)</f>
        <v>0</v>
      </c>
      <c r="I119" s="2" t="str">
        <f>MID($P$90,A119,1)</f>
        <v>0</v>
      </c>
      <c r="J119" s="2" t="str">
        <f>MID($P$91,A119,1)</f>
        <v>1</v>
      </c>
      <c r="K119" s="2" t="str">
        <f>MID($P$92,A119,1)</f>
        <v>1</v>
      </c>
      <c r="L119" s="2" t="str">
        <f>MID($P$93,A119,1)</f>
        <v>1</v>
      </c>
      <c r="M119" s="2" t="str">
        <f>MID($P$94,A119,1)</f>
        <v>1</v>
      </c>
      <c r="N119" s="2" t="str">
        <f>MID($P$95,A119,1)</f>
        <v>0</v>
      </c>
      <c r="O119" s="2" t="str">
        <f>MID($P$96,A119,1)</f>
        <v>0</v>
      </c>
      <c r="P119" s="2" t="str">
        <f>MID($P$97,A119,1)</f>
        <v>1</v>
      </c>
      <c r="Q119" s="2" t="str">
        <f>MID($P$98,A119,1)</f>
        <v>1</v>
      </c>
    </row>
    <row r="120" spans="1:17" x14ac:dyDescent="0.25">
      <c r="A120" s="9">
        <v>23</v>
      </c>
      <c r="B120" s="2" t="str">
        <f>MID($P$83,A120,1)</f>
        <v>0</v>
      </c>
      <c r="C120" s="2" t="str">
        <f>MID($P$84,A120,1)</f>
        <v>1</v>
      </c>
      <c r="D120" s="2" t="str">
        <f>MID($P$85,A120,1)</f>
        <v>1</v>
      </c>
      <c r="E120" s="2" t="str">
        <f>MID($P$86,A120,1)</f>
        <v>1</v>
      </c>
      <c r="F120" s="2" t="str">
        <f>MID($P$87,A120,1)</f>
        <v>1</v>
      </c>
      <c r="G120" s="2" t="str">
        <f>MID($P$88,A120,1)</f>
        <v>0</v>
      </c>
      <c r="H120" s="2" t="str">
        <f>MID($P$89,A120,1)</f>
        <v>0</v>
      </c>
      <c r="I120" s="2" t="str">
        <f>MID($P$90,A120,1)</f>
        <v>1</v>
      </c>
      <c r="J120" s="2" t="str">
        <f>MID($P$91,A120,1)</f>
        <v>1</v>
      </c>
      <c r="K120" s="2" t="str">
        <f>MID($P$92,A120,1)</f>
        <v>0</v>
      </c>
      <c r="L120" s="2" t="str">
        <f>MID($P$93,A120,1)</f>
        <v>1</v>
      </c>
      <c r="M120" s="2" t="str">
        <f>MID($P$94,A120,1)</f>
        <v>0</v>
      </c>
      <c r="N120" s="2" t="str">
        <f>MID($P$95,A120,1)</f>
        <v>0</v>
      </c>
      <c r="O120" s="2" t="str">
        <f>MID($P$96,A120,1)</f>
        <v>0</v>
      </c>
      <c r="P120" s="2" t="str">
        <f>MID($P$97,A120,1)</f>
        <v>0</v>
      </c>
      <c r="Q120" s="2" t="str">
        <f>MID($P$98,A120,1)</f>
        <v>1</v>
      </c>
    </row>
    <row r="121" spans="1:17" x14ac:dyDescent="0.25">
      <c r="A121" s="9">
        <v>19</v>
      </c>
      <c r="B121" s="2" t="str">
        <f>MID($P$83,A121,1)</f>
        <v>0</v>
      </c>
      <c r="C121" s="2" t="str">
        <f>MID($P$84,A121,1)</f>
        <v>1</v>
      </c>
      <c r="D121" s="2" t="str">
        <f>MID($P$85,A121,1)</f>
        <v>1</v>
      </c>
      <c r="E121" s="2" t="str">
        <f>MID($P$86,A121,1)</f>
        <v>1</v>
      </c>
      <c r="F121" s="2" t="str">
        <f>MID($P$87,A121,1)</f>
        <v>1</v>
      </c>
      <c r="G121" s="2" t="str">
        <f>MID($P$88,A121,1)</f>
        <v>1</v>
      </c>
      <c r="H121" s="2" t="str">
        <f>MID($P$89,A121,1)</f>
        <v>1</v>
      </c>
      <c r="I121" s="2" t="str">
        <f>MID($P$90,A121,1)</f>
        <v>0</v>
      </c>
      <c r="J121" s="2" t="str">
        <f>MID($P$91,A121,1)</f>
        <v>0</v>
      </c>
      <c r="K121" s="2" t="str">
        <f>MID($P$92,A121,1)</f>
        <v>0</v>
      </c>
      <c r="L121" s="2" t="str">
        <f>MID($P$93,A121,1)</f>
        <v>1</v>
      </c>
      <c r="M121" s="2" t="str">
        <f>MID($P$94,A121,1)</f>
        <v>0</v>
      </c>
      <c r="N121" s="2" t="str">
        <f>MID($P$95,A121,1)</f>
        <v>1</v>
      </c>
      <c r="O121" s="2" t="str">
        <f>MID($P$96,A121,1)</f>
        <v>0</v>
      </c>
      <c r="P121" s="2" t="str">
        <f>MID($P$97,A121,1)</f>
        <v>0</v>
      </c>
      <c r="Q121" s="2" t="str">
        <f>MID($P$98,A121,1)</f>
        <v>1</v>
      </c>
    </row>
    <row r="122" spans="1:17" x14ac:dyDescent="0.25">
      <c r="A122" s="9">
        <v>12</v>
      </c>
      <c r="B122" s="2" t="str">
        <f>MID($P$83,A122,1)</f>
        <v>1</v>
      </c>
      <c r="C122" s="2" t="str">
        <f>MID($P$84,A122,1)</f>
        <v>1</v>
      </c>
      <c r="D122" s="2" t="str">
        <f>MID($P$85,A122,1)</f>
        <v>0</v>
      </c>
      <c r="E122" s="2" t="str">
        <f>MID($P$86,A122,1)</f>
        <v>0</v>
      </c>
      <c r="F122" s="2" t="str">
        <f>MID($P$87,A122,1)</f>
        <v>0</v>
      </c>
      <c r="G122" s="2" t="str">
        <f>MID($P$88,A122,1)</f>
        <v>0</v>
      </c>
      <c r="H122" s="2" t="str">
        <f>MID($P$89,A122,1)</f>
        <v>0</v>
      </c>
      <c r="I122" s="2" t="str">
        <f>MID($P$90,A122,1)</f>
        <v>0</v>
      </c>
      <c r="J122" s="2" t="str">
        <f>MID($P$91,A122,1)</f>
        <v>1</v>
      </c>
      <c r="K122" s="2" t="str">
        <f>MID($P$92,A122,1)</f>
        <v>1</v>
      </c>
      <c r="L122" s="2" t="str">
        <f>MID($P$93,A122,1)</f>
        <v>1</v>
      </c>
      <c r="M122" s="2" t="str">
        <f>MID($P$94,A122,1)</f>
        <v>0</v>
      </c>
      <c r="N122" s="2" t="str">
        <f>MID($P$95,A122,1)</f>
        <v>0</v>
      </c>
      <c r="O122" s="2" t="str">
        <f>MID($P$96,A122,1)</f>
        <v>1</v>
      </c>
      <c r="P122" s="2" t="str">
        <f>MID($P$97,A122,1)</f>
        <v>0</v>
      </c>
      <c r="Q122" s="2" t="str">
        <f>MID($P$98,A122,1)</f>
        <v>0</v>
      </c>
    </row>
    <row r="123" spans="1:17" x14ac:dyDescent="0.25">
      <c r="A123" s="9">
        <v>4</v>
      </c>
      <c r="B123" s="2" t="str">
        <f>MID($P$83,A123,1)</f>
        <v>0</v>
      </c>
      <c r="C123" s="2" t="str">
        <f>MID($P$84,A123,1)</f>
        <v>0</v>
      </c>
      <c r="D123" s="2" t="str">
        <f>MID($P$85,A123,1)</f>
        <v>0</v>
      </c>
      <c r="E123" s="2" t="str">
        <f>MID($P$86,A123,1)</f>
        <v>1</v>
      </c>
      <c r="F123" s="2" t="str">
        <f>MID($P$87,A123,1)</f>
        <v>0</v>
      </c>
      <c r="G123" s="2" t="str">
        <f>MID($P$88,A123,1)</f>
        <v>1</v>
      </c>
      <c r="H123" s="2" t="str">
        <f>MID($P$89,A123,1)</f>
        <v>0</v>
      </c>
      <c r="I123" s="2" t="str">
        <f>MID($P$90,A123,1)</f>
        <v>0</v>
      </c>
      <c r="J123" s="2" t="str">
        <f>MID($P$91,A123,1)</f>
        <v>1</v>
      </c>
      <c r="K123" s="2" t="str">
        <f>MID($P$92,A123,1)</f>
        <v>1</v>
      </c>
      <c r="L123" s="2" t="str">
        <f>MID($P$93,A123,1)</f>
        <v>1</v>
      </c>
      <c r="M123" s="2" t="str">
        <f>MID($P$94,A123,1)</f>
        <v>1</v>
      </c>
      <c r="N123" s="2" t="str">
        <f>MID($P$95,A123,1)</f>
        <v>1</v>
      </c>
      <c r="O123" s="2" t="str">
        <f>MID($P$96,A123,1)</f>
        <v>1</v>
      </c>
      <c r="P123" s="2" t="str">
        <f>MID($P$97,A123,1)</f>
        <v>1</v>
      </c>
      <c r="Q123" s="2" t="str">
        <f>MID($P$98,A123,1)</f>
        <v>1</v>
      </c>
    </row>
    <row r="124" spans="1:17" x14ac:dyDescent="0.25">
      <c r="A124" s="9">
        <v>26</v>
      </c>
      <c r="B124" s="2" t="str">
        <f>MID($P$83,A124,1)</f>
        <v>1</v>
      </c>
      <c r="C124" s="2" t="str">
        <f>MID($P$84,A124,1)</f>
        <v>1</v>
      </c>
      <c r="D124" s="2" t="str">
        <f>MID($P$85,A124,1)</f>
        <v>1</v>
      </c>
      <c r="E124" s="2" t="str">
        <f>MID($P$86,A124,1)</f>
        <v>1</v>
      </c>
      <c r="F124" s="2" t="str">
        <f>MID($P$87,A124,1)</f>
        <v>0</v>
      </c>
      <c r="G124" s="2" t="str">
        <f>MID($P$88,A124,1)</f>
        <v>0</v>
      </c>
      <c r="H124" s="2" t="str">
        <f>MID($P$89,A124,1)</f>
        <v>1</v>
      </c>
      <c r="I124" s="2" t="str">
        <f>MID($P$90,A124,1)</f>
        <v>0</v>
      </c>
      <c r="J124" s="2" t="str">
        <f>MID($P$91,A124,1)</f>
        <v>1</v>
      </c>
      <c r="K124" s="2" t="str">
        <f>MID($P$92,A124,1)</f>
        <v>0</v>
      </c>
      <c r="L124" s="2" t="str">
        <f>MID($P$93,A124,1)</f>
        <v>1</v>
      </c>
      <c r="M124" s="2" t="str">
        <f>MID($P$94,A124,1)</f>
        <v>1</v>
      </c>
      <c r="N124" s="2" t="str">
        <f>MID($P$95,A124,1)</f>
        <v>1</v>
      </c>
      <c r="O124" s="2" t="str">
        <f>MID($P$96,A124,1)</f>
        <v>1</v>
      </c>
      <c r="P124" s="2" t="str">
        <f>MID($P$97,A124,1)</f>
        <v>1</v>
      </c>
      <c r="Q124" s="2" t="str">
        <f>MID($P$98,A124,1)</f>
        <v>0</v>
      </c>
    </row>
    <row r="125" spans="1:17" x14ac:dyDescent="0.25">
      <c r="A125" s="9">
        <v>8</v>
      </c>
      <c r="B125" s="2" t="str">
        <f>MID($P$83,A125,1)</f>
        <v>1</v>
      </c>
      <c r="C125" s="2" t="str">
        <f>MID($P$84,A125,1)</f>
        <v>1</v>
      </c>
      <c r="D125" s="2" t="str">
        <f>MID($P$85,A125,1)</f>
        <v>0</v>
      </c>
      <c r="E125" s="2" t="str">
        <f>MID($P$86,A125,1)</f>
        <v>1</v>
      </c>
      <c r="F125" s="2" t="str">
        <f>MID($P$87,A125,1)</f>
        <v>0</v>
      </c>
      <c r="G125" s="2" t="str">
        <f>MID($P$88,A125,1)</f>
        <v>0</v>
      </c>
      <c r="H125" s="2" t="str">
        <f>MID($P$89,A125,1)</f>
        <v>0</v>
      </c>
      <c r="I125" s="2" t="str">
        <f>MID($P$90,A125,1)</f>
        <v>0</v>
      </c>
      <c r="J125" s="2" t="str">
        <f>MID($P$91,A125,1)</f>
        <v>1</v>
      </c>
      <c r="K125" s="2" t="str">
        <f>MID($P$92,A125,1)</f>
        <v>1</v>
      </c>
      <c r="L125" s="2" t="str">
        <f>MID($P$93,A125,1)</f>
        <v>1</v>
      </c>
      <c r="M125" s="2" t="str">
        <f>MID($P$94,A125,1)</f>
        <v>1</v>
      </c>
      <c r="N125" s="2" t="str">
        <f>MID($P$95,A125,1)</f>
        <v>1</v>
      </c>
      <c r="O125" s="2" t="str">
        <f>MID($P$96,A125,1)</f>
        <v>0</v>
      </c>
      <c r="P125" s="2" t="str">
        <f>MID($P$97,A125,1)</f>
        <v>0</v>
      </c>
      <c r="Q125" s="2" t="str">
        <f>MID($P$98,A125,1)</f>
        <v>0</v>
      </c>
    </row>
    <row r="126" spans="1:17" x14ac:dyDescent="0.25">
      <c r="A126" s="9">
        <v>16</v>
      </c>
      <c r="B126" s="2" t="str">
        <f>MID($P$83,A126,1)</f>
        <v>1</v>
      </c>
      <c r="C126" s="2" t="str">
        <f>MID($P$84,A126,1)</f>
        <v>0</v>
      </c>
      <c r="D126" s="2" t="str">
        <f>MID($P$85,A126,1)</f>
        <v>0</v>
      </c>
      <c r="E126" s="2" t="str">
        <f>MID($P$86,A126,1)</f>
        <v>0</v>
      </c>
      <c r="F126" s="2" t="str">
        <f>MID($P$87,A126,1)</f>
        <v>0</v>
      </c>
      <c r="G126" s="2" t="str">
        <f>MID($P$88,A126,1)</f>
        <v>0</v>
      </c>
      <c r="H126" s="2" t="str">
        <f>MID($P$89,A126,1)</f>
        <v>1</v>
      </c>
      <c r="I126" s="2" t="str">
        <f>MID($P$90,A126,1)</f>
        <v>1</v>
      </c>
      <c r="J126" s="2" t="str">
        <f>MID($P$91,A126,1)</f>
        <v>1</v>
      </c>
      <c r="K126" s="2" t="str">
        <f>MID($P$92,A126,1)</f>
        <v>0</v>
      </c>
      <c r="L126" s="2" t="str">
        <f>MID($P$93,A126,1)</f>
        <v>0</v>
      </c>
      <c r="M126" s="2" t="str">
        <f>MID($P$94,A126,1)</f>
        <v>1</v>
      </c>
      <c r="N126" s="2" t="str">
        <f>MID($P$95,A126,1)</f>
        <v>0</v>
      </c>
      <c r="O126" s="2" t="str">
        <f>MID($P$96,A126,1)</f>
        <v>1</v>
      </c>
      <c r="P126" s="2" t="str">
        <f>MID($P$97,A126,1)</f>
        <v>0</v>
      </c>
      <c r="Q126" s="2" t="str">
        <f>MID($P$98,A126,1)</f>
        <v>0</v>
      </c>
    </row>
    <row r="127" spans="1:17" x14ac:dyDescent="0.25">
      <c r="A127" s="9">
        <v>7</v>
      </c>
      <c r="B127" s="2" t="str">
        <f>MID($P$83,A127,1)</f>
        <v>0</v>
      </c>
      <c r="C127" s="2" t="str">
        <f>MID($P$84,A127,1)</f>
        <v>1</v>
      </c>
      <c r="D127" s="2" t="str">
        <f>MID($P$85,A127,1)</f>
        <v>0</v>
      </c>
      <c r="E127" s="2" t="str">
        <f>MID($P$86,A127,1)</f>
        <v>1</v>
      </c>
      <c r="F127" s="2" t="str">
        <f>MID($P$87,A127,1)</f>
        <v>0</v>
      </c>
      <c r="G127" s="2" t="str">
        <f>MID($P$88,A127,1)</f>
        <v>1</v>
      </c>
      <c r="H127" s="2" t="str">
        <f>MID($P$89,A127,1)</f>
        <v>1</v>
      </c>
      <c r="I127" s="2" t="str">
        <f>MID($P$90,A127,1)</f>
        <v>1</v>
      </c>
      <c r="J127" s="2" t="str">
        <f>MID($P$91,A127,1)</f>
        <v>0</v>
      </c>
      <c r="K127" s="2" t="str">
        <f>MID($P$92,A127,1)</f>
        <v>0</v>
      </c>
      <c r="L127" s="2" t="str">
        <f>MID($P$93,A127,1)</f>
        <v>0</v>
      </c>
      <c r="M127" s="2" t="str">
        <f>MID($P$94,A127,1)</f>
        <v>1</v>
      </c>
      <c r="N127" s="2" t="str">
        <f>MID($P$95,A127,1)</f>
        <v>1</v>
      </c>
      <c r="O127" s="2" t="str">
        <f>MID($P$96,A127,1)</f>
        <v>1</v>
      </c>
      <c r="P127" s="2" t="str">
        <f>MID($P$97,A127,1)</f>
        <v>0</v>
      </c>
      <c r="Q127" s="2" t="str">
        <f>MID($P$98,A127,1)</f>
        <v>0</v>
      </c>
    </row>
    <row r="128" spans="1:17" x14ac:dyDescent="0.25">
      <c r="A128" s="9">
        <v>27</v>
      </c>
      <c r="B128" s="2" t="str">
        <f>MID($P$83,A128,1)</f>
        <v>1</v>
      </c>
      <c r="C128" s="2" t="str">
        <f>MID($P$84,A128,1)</f>
        <v>1</v>
      </c>
      <c r="D128" s="2" t="str">
        <f>MID($P$85,A128,1)</f>
        <v>1</v>
      </c>
      <c r="E128" s="2" t="str">
        <f>MID($P$86,A128,1)</f>
        <v>0</v>
      </c>
      <c r="F128" s="2" t="str">
        <f>MID($P$87,A128,1)</f>
        <v>0</v>
      </c>
      <c r="G128" s="2" t="str">
        <f>MID($P$88,A128,1)</f>
        <v>1</v>
      </c>
      <c r="H128" s="2" t="str">
        <f>MID($P$89,A128,1)</f>
        <v>0</v>
      </c>
      <c r="I128" s="2" t="str">
        <f>MID($P$90,A128,1)</f>
        <v>1</v>
      </c>
      <c r="J128" s="2" t="str">
        <f>MID($P$91,A128,1)</f>
        <v>1</v>
      </c>
      <c r="K128" s="2" t="str">
        <f>MID($P$92,A128,1)</f>
        <v>0</v>
      </c>
      <c r="L128" s="2" t="str">
        <f>MID($P$93,A128,1)</f>
        <v>0</v>
      </c>
      <c r="M128" s="2" t="str">
        <f>MID($P$94,A128,1)</f>
        <v>0</v>
      </c>
      <c r="N128" s="2" t="str">
        <f>MID($P$95,A128,1)</f>
        <v>0</v>
      </c>
      <c r="O128" s="2" t="str">
        <f>MID($P$96,A128,1)</f>
        <v>0</v>
      </c>
      <c r="P128" s="2" t="str">
        <f>MID($P$97,A128,1)</f>
        <v>0</v>
      </c>
      <c r="Q128" s="2" t="str">
        <f>MID($P$98,A128,1)</f>
        <v>1</v>
      </c>
    </row>
    <row r="129" spans="1:17" x14ac:dyDescent="0.25">
      <c r="A129" s="9">
        <v>20</v>
      </c>
      <c r="B129" s="2" t="str">
        <f>MID($P$83,A129,1)</f>
        <v>1</v>
      </c>
      <c r="C129" s="2" t="str">
        <f>MID($P$84,A129,1)</f>
        <v>0</v>
      </c>
      <c r="D129" s="2" t="str">
        <f>MID($P$85,A129,1)</f>
        <v>0</v>
      </c>
      <c r="E129" s="2" t="str">
        <f>MID($P$86,A129,1)</f>
        <v>0</v>
      </c>
      <c r="F129" s="2" t="str">
        <f>MID($P$87,A129,1)</f>
        <v>1</v>
      </c>
      <c r="G129" s="2" t="str">
        <f>MID($P$88,A129,1)</f>
        <v>1</v>
      </c>
      <c r="H129" s="2" t="str">
        <f>MID($P$89,A129,1)</f>
        <v>1</v>
      </c>
      <c r="I129" s="2" t="str">
        <f>MID($P$90,A129,1)</f>
        <v>0</v>
      </c>
      <c r="J129" s="2" t="str">
        <f>MID($P$91,A129,1)</f>
        <v>0</v>
      </c>
      <c r="K129" s="2" t="str">
        <f>MID($P$92,A129,1)</f>
        <v>1</v>
      </c>
      <c r="L129" s="2" t="str">
        <f>MID($P$93,A129,1)</f>
        <v>0</v>
      </c>
      <c r="M129" s="2" t="str">
        <f>MID($P$94,A129,1)</f>
        <v>1</v>
      </c>
      <c r="N129" s="2" t="str">
        <f>MID($P$95,A129,1)</f>
        <v>0</v>
      </c>
      <c r="O129" s="2" t="str">
        <f>MID($P$96,A129,1)</f>
        <v>1</v>
      </c>
      <c r="P129" s="2" t="str">
        <f>MID($P$97,A129,1)</f>
        <v>1</v>
      </c>
      <c r="Q129" s="2" t="str">
        <f>MID($P$98,A129,1)</f>
        <v>0</v>
      </c>
    </row>
    <row r="130" spans="1:17" x14ac:dyDescent="0.25">
      <c r="A130" s="9">
        <v>13</v>
      </c>
      <c r="B130" s="2" t="str">
        <f>MID($P$83,A130,1)</f>
        <v>1</v>
      </c>
      <c r="C130" s="2" t="str">
        <f>MID($P$84,A130,1)</f>
        <v>0</v>
      </c>
      <c r="D130" s="2" t="str">
        <f>MID($P$85,A130,1)</f>
        <v>1</v>
      </c>
      <c r="E130" s="2" t="str">
        <f>MID($P$86,A130,1)</f>
        <v>1</v>
      </c>
      <c r="F130" s="2" t="str">
        <f>MID($P$87,A130,1)</f>
        <v>1</v>
      </c>
      <c r="G130" s="2" t="str">
        <f>MID($P$88,A130,1)</f>
        <v>1</v>
      </c>
      <c r="H130" s="2" t="str">
        <f>MID($P$89,A130,1)</f>
        <v>1</v>
      </c>
      <c r="I130" s="2" t="str">
        <f>MID($P$90,A130,1)</f>
        <v>1</v>
      </c>
      <c r="J130" s="2" t="str">
        <f>MID($P$91,A130,1)</f>
        <v>1</v>
      </c>
      <c r="K130" s="2" t="str">
        <f>MID($P$92,A130,1)</f>
        <v>1</v>
      </c>
      <c r="L130" s="2" t="str">
        <f>MID($P$93,A130,1)</f>
        <v>1</v>
      </c>
      <c r="M130" s="2" t="str">
        <f>MID($P$94,A130,1)</f>
        <v>0</v>
      </c>
      <c r="N130" s="2" t="str">
        <f>MID($P$95,A130,1)</f>
        <v>0</v>
      </c>
      <c r="O130" s="2" t="str">
        <f>MID($P$96,A130,1)</f>
        <v>1</v>
      </c>
      <c r="P130" s="2" t="str">
        <f>MID($P$97,A130,1)</f>
        <v>0</v>
      </c>
      <c r="Q130" s="2" t="str">
        <f>MID($P$98,A130,1)</f>
        <v>1</v>
      </c>
    </row>
    <row r="131" spans="1:17" x14ac:dyDescent="0.25">
      <c r="A131" s="9">
        <v>2</v>
      </c>
      <c r="B131" s="2" t="str">
        <f>MID($P$83,A131,1)</f>
        <v>1</v>
      </c>
      <c r="C131" s="2" t="str">
        <f>MID($P$84,A131,1)</f>
        <v>1</v>
      </c>
      <c r="D131" s="2" t="str">
        <f>MID($P$85,A131,1)</f>
        <v>0</v>
      </c>
      <c r="E131" s="2" t="str">
        <f>MID($P$86,A131,1)</f>
        <v>0</v>
      </c>
      <c r="F131" s="2" t="str">
        <f>MID($P$87,A131,1)</f>
        <v>1</v>
      </c>
      <c r="G131" s="2" t="str">
        <f>MID($P$88,A131,1)</f>
        <v>0</v>
      </c>
      <c r="H131" s="2" t="str">
        <f>MID($P$89,A131,1)</f>
        <v>1</v>
      </c>
      <c r="I131" s="2" t="str">
        <f>MID($P$90,A131,1)</f>
        <v>0</v>
      </c>
      <c r="J131" s="2" t="str">
        <f>MID($P$91,A131,1)</f>
        <v>1</v>
      </c>
      <c r="K131" s="2" t="str">
        <f>MID($P$92,A131,1)</f>
        <v>1</v>
      </c>
      <c r="L131" s="2" t="str">
        <f>MID($P$93,A131,1)</f>
        <v>1</v>
      </c>
      <c r="M131" s="2" t="str">
        <f>MID($P$94,A131,1)</f>
        <v>1</v>
      </c>
      <c r="N131" s="2" t="str">
        <f>MID($P$95,A131,1)</f>
        <v>1</v>
      </c>
      <c r="O131" s="2" t="str">
        <f>MID($P$96,A131,1)</f>
        <v>1</v>
      </c>
      <c r="P131" s="2" t="str">
        <f>MID($P$97,A131,1)</f>
        <v>1</v>
      </c>
      <c r="Q131" s="2" t="str">
        <f>MID($P$98,A131,1)</f>
        <v>1</v>
      </c>
    </row>
    <row r="132" spans="1:17" x14ac:dyDescent="0.25">
      <c r="A132" s="9">
        <v>41</v>
      </c>
      <c r="B132" s="2" t="str">
        <f>MID($P$83,A132,1)</f>
        <v>1</v>
      </c>
      <c r="C132" s="2" t="str">
        <f>MID($P$84,A132,1)</f>
        <v>0</v>
      </c>
      <c r="D132" s="2" t="str">
        <f>MID($P$85,A132,1)</f>
        <v>1</v>
      </c>
      <c r="E132" s="2" t="str">
        <f>MID($P$86,A132,1)</f>
        <v>1</v>
      </c>
      <c r="F132" s="2" t="str">
        <f>MID($P$87,A132,1)</f>
        <v>0</v>
      </c>
      <c r="G132" s="2" t="str">
        <f>MID($P$88,A132,1)</f>
        <v>0</v>
      </c>
      <c r="H132" s="2" t="str">
        <f>MID($P$89,A132,1)</f>
        <v>1</v>
      </c>
      <c r="I132" s="2" t="str">
        <f>MID($P$90,A132,1)</f>
        <v>1</v>
      </c>
      <c r="J132" s="2" t="str">
        <f>MID($P$91,A132,1)</f>
        <v>0</v>
      </c>
      <c r="K132" s="2" t="str">
        <f>MID($P$92,A132,1)</f>
        <v>0</v>
      </c>
      <c r="L132" s="2" t="str">
        <f>MID($P$93,A132,1)</f>
        <v>0</v>
      </c>
      <c r="M132" s="2" t="str">
        <f>MID($P$94,A132,1)</f>
        <v>0</v>
      </c>
      <c r="N132" s="2" t="str">
        <f>MID($P$95,A132,1)</f>
        <v>0</v>
      </c>
      <c r="O132" s="2" t="str">
        <f>MID($P$96,A132,1)</f>
        <v>1</v>
      </c>
      <c r="P132" s="2" t="str">
        <f>MID($P$97,A132,1)</f>
        <v>0</v>
      </c>
      <c r="Q132" s="2" t="str">
        <f>MID($P$98,A132,1)</f>
        <v>1</v>
      </c>
    </row>
    <row r="133" spans="1:17" x14ac:dyDescent="0.25">
      <c r="A133" s="9">
        <v>52</v>
      </c>
      <c r="B133" s="2" t="str">
        <f>MID($P$83,A133,1)</f>
        <v>1</v>
      </c>
      <c r="C133" s="2" t="str">
        <f>MID($P$84,A133,1)</f>
        <v>0</v>
      </c>
      <c r="D133" s="2" t="str">
        <f>MID($P$85,A133,1)</f>
        <v>0</v>
      </c>
      <c r="E133" s="2" t="str">
        <f>MID($P$86,A133,1)</f>
        <v>0</v>
      </c>
      <c r="F133" s="2" t="str">
        <f>MID($P$87,A133,1)</f>
        <v>0</v>
      </c>
      <c r="G133" s="2" t="str">
        <f>MID($P$88,A133,1)</f>
        <v>0</v>
      </c>
      <c r="H133" s="2" t="str">
        <f>MID($P$89,A133,1)</f>
        <v>0</v>
      </c>
      <c r="I133" s="2" t="str">
        <f>MID($P$90,A133,1)</f>
        <v>1</v>
      </c>
      <c r="J133" s="2" t="str">
        <f>MID($P$91,A133,1)</f>
        <v>0</v>
      </c>
      <c r="K133" s="2" t="str">
        <f>MID($P$92,A133,1)</f>
        <v>1</v>
      </c>
      <c r="L133" s="2" t="str">
        <f>MID($P$93,A133,1)</f>
        <v>0</v>
      </c>
      <c r="M133" s="2" t="str">
        <f>MID($P$94,A133,1)</f>
        <v>1</v>
      </c>
      <c r="N133" s="2" t="str">
        <f>MID($P$95,A133,1)</f>
        <v>1</v>
      </c>
      <c r="O133" s="2" t="str">
        <f>MID($P$96,A133,1)</f>
        <v>0</v>
      </c>
      <c r="P133" s="2" t="str">
        <f>MID($P$97,A133,1)</f>
        <v>0</v>
      </c>
      <c r="Q133" s="2" t="str">
        <f>MID($P$98,A133,1)</f>
        <v>0</v>
      </c>
    </row>
    <row r="134" spans="1:17" x14ac:dyDescent="0.25">
      <c r="A134" s="9">
        <v>31</v>
      </c>
      <c r="B134" s="2" t="str">
        <f>MID($P$83,A134,1)</f>
        <v>0</v>
      </c>
      <c r="C134" s="2" t="str">
        <f>MID($P$84,A134,1)</f>
        <v>1</v>
      </c>
      <c r="D134" s="2" t="str">
        <f>MID($P$85,A134,1)</f>
        <v>1</v>
      </c>
      <c r="E134" s="2" t="str">
        <f>MID($P$86,A134,1)</f>
        <v>1</v>
      </c>
      <c r="F134" s="2" t="str">
        <f>MID($P$87,A134,1)</f>
        <v>0</v>
      </c>
      <c r="G134" s="2" t="str">
        <f>MID($P$88,A134,1)</f>
        <v>1</v>
      </c>
      <c r="H134" s="2" t="str">
        <f>MID($P$89,A134,1)</f>
        <v>0</v>
      </c>
      <c r="I134" s="2" t="str">
        <f>MID($P$90,A134,1)</f>
        <v>1</v>
      </c>
      <c r="J134" s="2" t="str">
        <f>MID($P$91,A134,1)</f>
        <v>1</v>
      </c>
      <c r="K134" s="2" t="str">
        <f>MID($P$92,A134,1)</f>
        <v>1</v>
      </c>
      <c r="L134" s="2" t="str">
        <f>MID($P$93,A134,1)</f>
        <v>0</v>
      </c>
      <c r="M134" s="2" t="str">
        <f>MID($P$94,A134,1)</f>
        <v>0</v>
      </c>
      <c r="N134" s="2" t="str">
        <f>MID($P$95,A134,1)</f>
        <v>0</v>
      </c>
      <c r="O134" s="2" t="str">
        <f>MID($P$96,A134,1)</f>
        <v>0</v>
      </c>
      <c r="P134" s="2" t="str">
        <f>MID($P$97,A134,1)</f>
        <v>0</v>
      </c>
      <c r="Q134" s="2" t="str">
        <f>MID($P$98,A134,1)</f>
        <v>1</v>
      </c>
    </row>
    <row r="135" spans="1:17" x14ac:dyDescent="0.25">
      <c r="A135" s="9">
        <v>37</v>
      </c>
      <c r="B135" s="2" t="str">
        <f>MID($P$83,A135,1)</f>
        <v>1</v>
      </c>
      <c r="C135" s="2" t="str">
        <f>MID($P$84,A135,1)</f>
        <v>0</v>
      </c>
      <c r="D135" s="2" t="str">
        <f>MID($P$85,A135,1)</f>
        <v>1</v>
      </c>
      <c r="E135" s="2" t="str">
        <f>MID($P$86,A135,1)</f>
        <v>0</v>
      </c>
      <c r="F135" s="2" t="str">
        <f>MID($P$87,A135,1)</f>
        <v>1</v>
      </c>
      <c r="G135" s="2" t="str">
        <f>MID($P$88,A135,1)</f>
        <v>1</v>
      </c>
      <c r="H135" s="2" t="str">
        <f>MID($P$89,A135,1)</f>
        <v>0</v>
      </c>
      <c r="I135" s="2" t="str">
        <f>MID($P$90,A135,1)</f>
        <v>0</v>
      </c>
      <c r="J135" s="2" t="str">
        <f>MID($P$91,A135,1)</f>
        <v>0</v>
      </c>
      <c r="K135" s="2" t="str">
        <f>MID($P$92,A135,1)</f>
        <v>0</v>
      </c>
      <c r="L135" s="2" t="str">
        <f>MID($P$93,A135,1)</f>
        <v>0</v>
      </c>
      <c r="M135" s="2" t="str">
        <f>MID($P$94,A135,1)</f>
        <v>0</v>
      </c>
      <c r="N135" s="2" t="str">
        <f>MID($P$95,A135,1)</f>
        <v>0</v>
      </c>
      <c r="O135" s="2" t="str">
        <f>MID($P$96,A135,1)</f>
        <v>0</v>
      </c>
      <c r="P135" s="2" t="str">
        <f>MID($P$97,A135,1)</f>
        <v>0</v>
      </c>
      <c r="Q135" s="2" t="str">
        <f>MID($P$98,A135,1)</f>
        <v>1</v>
      </c>
    </row>
    <row r="136" spans="1:17" x14ac:dyDescent="0.25">
      <c r="A136" s="9">
        <v>47</v>
      </c>
      <c r="B136" s="2" t="str">
        <f>MID($P$83,A136,1)</f>
        <v>1</v>
      </c>
      <c r="C136" s="2" t="str">
        <f>MID($P$84,A136,1)</f>
        <v>0</v>
      </c>
      <c r="D136" s="2" t="str">
        <f>MID($P$85,A136,1)</f>
        <v>0</v>
      </c>
      <c r="E136" s="2" t="str">
        <f>MID($P$86,A136,1)</f>
        <v>1</v>
      </c>
      <c r="F136" s="2" t="str">
        <f>MID($P$87,A136,1)</f>
        <v>1</v>
      </c>
      <c r="G136" s="2" t="str">
        <f>MID($P$88,A136,1)</f>
        <v>1</v>
      </c>
      <c r="H136" s="2" t="str">
        <f>MID($P$89,A136,1)</f>
        <v>1</v>
      </c>
      <c r="I136" s="2" t="str">
        <f>MID($P$90,A136,1)</f>
        <v>1</v>
      </c>
      <c r="J136" s="2" t="str">
        <f>MID($P$91,A136,1)</f>
        <v>0</v>
      </c>
      <c r="K136" s="2" t="str">
        <f>MID($P$92,A136,1)</f>
        <v>0</v>
      </c>
      <c r="L136" s="2" t="str">
        <f>MID($P$93,A136,1)</f>
        <v>1</v>
      </c>
      <c r="M136" s="2" t="str">
        <f>MID($P$94,A136,1)</f>
        <v>0</v>
      </c>
      <c r="N136" s="2" t="str">
        <f>MID($P$95,A136,1)</f>
        <v>1</v>
      </c>
      <c r="O136" s="2" t="str">
        <f>MID($P$96,A136,1)</f>
        <v>0</v>
      </c>
      <c r="P136" s="2" t="str">
        <f>MID($P$97,A136,1)</f>
        <v>1</v>
      </c>
      <c r="Q136" s="2" t="str">
        <f>MID($P$98,A136,1)</f>
        <v>1</v>
      </c>
    </row>
    <row r="137" spans="1:17" x14ac:dyDescent="0.25">
      <c r="A137" s="9">
        <v>55</v>
      </c>
      <c r="B137" s="2" t="str">
        <f>MID($P$83,A137,1)</f>
        <v>0</v>
      </c>
      <c r="C137" s="2" t="str">
        <f>MID($P$84,A137,1)</f>
        <v>1</v>
      </c>
      <c r="D137" s="2" t="str">
        <f>MID($P$85,A137,1)</f>
        <v>1</v>
      </c>
      <c r="E137" s="2" t="str">
        <f>MID($P$86,A137,1)</f>
        <v>1</v>
      </c>
      <c r="F137" s="2" t="str">
        <f>MID($P$87,A137,1)</f>
        <v>1</v>
      </c>
      <c r="G137" s="2" t="str">
        <f>MID($P$88,A137,1)</f>
        <v>1</v>
      </c>
      <c r="H137" s="2" t="str">
        <f>MID($P$89,A137,1)</f>
        <v>0</v>
      </c>
      <c r="I137" s="2" t="str">
        <f>MID($P$90,A137,1)</f>
        <v>1</v>
      </c>
      <c r="J137" s="2" t="str">
        <f>MID($P$91,A137,1)</f>
        <v>1</v>
      </c>
      <c r="K137" s="2" t="str">
        <f>MID($P$92,A137,1)</f>
        <v>0</v>
      </c>
      <c r="L137" s="2" t="str">
        <f>MID($P$93,A137,1)</f>
        <v>1</v>
      </c>
      <c r="M137" s="2" t="str">
        <f>MID($P$94,A137,1)</f>
        <v>1</v>
      </c>
      <c r="N137" s="2" t="str">
        <f>MID($P$95,A137,1)</f>
        <v>0</v>
      </c>
      <c r="O137" s="2" t="str">
        <f>MID($P$96,A137,1)</f>
        <v>0</v>
      </c>
      <c r="P137" s="2" t="str">
        <f>MID($P$97,A137,1)</f>
        <v>0</v>
      </c>
      <c r="Q137" s="2" t="str">
        <f>MID($P$98,A137,1)</f>
        <v>1</v>
      </c>
    </row>
    <row r="138" spans="1:17" x14ac:dyDescent="0.25">
      <c r="A138" s="9">
        <v>30</v>
      </c>
      <c r="B138" s="2" t="str">
        <f>MID($P$83,A138,1)</f>
        <v>1</v>
      </c>
      <c r="C138" s="2" t="str">
        <f>MID($P$84,A138,1)</f>
        <v>0</v>
      </c>
      <c r="D138" s="2" t="str">
        <f>MID($P$85,A138,1)</f>
        <v>0</v>
      </c>
      <c r="E138" s="2" t="str">
        <f>MID($P$86,A138,1)</f>
        <v>0</v>
      </c>
      <c r="F138" s="2" t="str">
        <f>MID($P$87,A138,1)</f>
        <v>1</v>
      </c>
      <c r="G138" s="2" t="str">
        <f>MID($P$88,A138,1)</f>
        <v>0</v>
      </c>
      <c r="H138" s="2" t="str">
        <f>MID($P$89,A138,1)</f>
        <v>1</v>
      </c>
      <c r="I138" s="2" t="str">
        <f>MID($P$90,A138,1)</f>
        <v>0</v>
      </c>
      <c r="J138" s="2" t="str">
        <f>MID($P$91,A138,1)</f>
        <v>1</v>
      </c>
      <c r="K138" s="2" t="str">
        <f>MID($P$92,A138,1)</f>
        <v>1</v>
      </c>
      <c r="L138" s="2" t="str">
        <f>MID($P$93,A138,1)</f>
        <v>0</v>
      </c>
      <c r="M138" s="2" t="str">
        <f>MID($P$94,A138,1)</f>
        <v>0</v>
      </c>
      <c r="N138" s="2" t="str">
        <f>MID($P$95,A138,1)</f>
        <v>1</v>
      </c>
      <c r="O138" s="2" t="str">
        <f>MID($P$96,A138,1)</f>
        <v>1</v>
      </c>
      <c r="P138" s="2" t="str">
        <f>MID($P$97,A138,1)</f>
        <v>1</v>
      </c>
      <c r="Q138" s="2" t="str">
        <f>MID($P$98,A138,1)</f>
        <v>0</v>
      </c>
    </row>
    <row r="139" spans="1:17" x14ac:dyDescent="0.25">
      <c r="A139" s="9">
        <v>40</v>
      </c>
      <c r="B139" s="2" t="str">
        <f>MID($P$83,A139,1)</f>
        <v>1</v>
      </c>
      <c r="C139" s="2" t="str">
        <f>MID($P$84,A139,1)</f>
        <v>1</v>
      </c>
      <c r="D139" s="2" t="str">
        <f>MID($P$85,A139,1)</f>
        <v>0</v>
      </c>
      <c r="E139" s="2" t="str">
        <f>MID($P$86,A139,1)</f>
        <v>1</v>
      </c>
      <c r="F139" s="2" t="str">
        <f>MID($P$87,A139,1)</f>
        <v>1</v>
      </c>
      <c r="G139" s="2" t="str">
        <f>MID($P$88,A139,1)</f>
        <v>0</v>
      </c>
      <c r="H139" s="2" t="str">
        <f>MID($P$89,A139,1)</f>
        <v>0</v>
      </c>
      <c r="I139" s="2" t="str">
        <f>MID($P$90,A139,1)</f>
        <v>0</v>
      </c>
      <c r="J139" s="2" t="str">
        <f>MID($P$91,A139,1)</f>
        <v>1</v>
      </c>
      <c r="K139" s="2" t="str">
        <f>MID($P$92,A139,1)</f>
        <v>1</v>
      </c>
      <c r="L139" s="2" t="str">
        <f>MID($P$93,A139,1)</f>
        <v>1</v>
      </c>
      <c r="M139" s="2" t="str">
        <f>MID($P$94,A139,1)</f>
        <v>1</v>
      </c>
      <c r="N139" s="2" t="str">
        <f>MID($P$95,A139,1)</f>
        <v>1</v>
      </c>
      <c r="O139" s="2" t="str">
        <f>MID($P$96,A139,1)</f>
        <v>1</v>
      </c>
      <c r="P139" s="2" t="str">
        <f>MID($P$97,A139,1)</f>
        <v>0</v>
      </c>
      <c r="Q139" s="2" t="str">
        <f>MID($P$98,A139,1)</f>
        <v>0</v>
      </c>
    </row>
    <row r="140" spans="1:17" x14ac:dyDescent="0.25">
      <c r="A140" s="9">
        <v>51</v>
      </c>
      <c r="B140" s="2" t="str">
        <f>MID($P$83,A140,1)</f>
        <v>0</v>
      </c>
      <c r="C140" s="2" t="str">
        <f>MID($P$84,A140,1)</f>
        <v>1</v>
      </c>
      <c r="D140" s="2" t="str">
        <f>MID($P$85,A140,1)</f>
        <v>1</v>
      </c>
      <c r="E140" s="2" t="str">
        <f>MID($P$86,A140,1)</f>
        <v>1</v>
      </c>
      <c r="F140" s="2" t="str">
        <f>MID($P$87,A140,1)</f>
        <v>1</v>
      </c>
      <c r="G140" s="2" t="str">
        <f>MID($P$88,A140,1)</f>
        <v>1</v>
      </c>
      <c r="H140" s="2" t="str">
        <f>MID($P$89,A140,1)</f>
        <v>1</v>
      </c>
      <c r="I140" s="2" t="str">
        <f>MID($P$90,A140,1)</f>
        <v>1</v>
      </c>
      <c r="J140" s="2" t="str">
        <f>MID($P$91,A140,1)</f>
        <v>1</v>
      </c>
      <c r="K140" s="2" t="str">
        <f>MID($P$92,A140,1)</f>
        <v>0</v>
      </c>
      <c r="L140" s="2" t="str">
        <f>MID($P$93,A140,1)</f>
        <v>1</v>
      </c>
      <c r="M140" s="2" t="str">
        <f>MID($P$94,A140,1)</f>
        <v>0</v>
      </c>
      <c r="N140" s="2" t="str">
        <f>MID($P$95,A140,1)</f>
        <v>1</v>
      </c>
      <c r="O140" s="2" t="str">
        <f>MID($P$96,A140,1)</f>
        <v>1</v>
      </c>
      <c r="P140" s="2" t="str">
        <f>MID($P$97,A140,1)</f>
        <v>0</v>
      </c>
      <c r="Q140" s="2" t="str">
        <f>MID($P$98,A140,1)</f>
        <v>0</v>
      </c>
    </row>
    <row r="141" spans="1:17" x14ac:dyDescent="0.25">
      <c r="A141" s="9">
        <v>45</v>
      </c>
      <c r="B141" s="2" t="str">
        <f>MID($P$83,A141,1)</f>
        <v>1</v>
      </c>
      <c r="C141" s="2" t="str">
        <f>MID($P$84,A141,1)</f>
        <v>1</v>
      </c>
      <c r="D141" s="2" t="str">
        <f>MID($P$85,A141,1)</f>
        <v>0</v>
      </c>
      <c r="E141" s="2" t="str">
        <f>MID($P$86,A141,1)</f>
        <v>0</v>
      </c>
      <c r="F141" s="2" t="str">
        <f>MID($P$87,A141,1)</f>
        <v>1</v>
      </c>
      <c r="G141" s="2" t="str">
        <f>MID($P$88,A141,1)</f>
        <v>1</v>
      </c>
      <c r="H141" s="2" t="str">
        <f>MID($P$89,A141,1)</f>
        <v>1</v>
      </c>
      <c r="I141" s="2" t="str">
        <f>MID($P$90,A141,1)</f>
        <v>1</v>
      </c>
      <c r="J141" s="2" t="str">
        <f>MID($P$91,A141,1)</f>
        <v>0</v>
      </c>
      <c r="K141" s="2" t="str">
        <f>MID($P$92,A141,1)</f>
        <v>0</v>
      </c>
      <c r="L141" s="2" t="str">
        <f>MID($P$93,A141,1)</f>
        <v>0</v>
      </c>
      <c r="M141" s="2" t="str">
        <f>MID($P$94,A141,1)</f>
        <v>1</v>
      </c>
      <c r="N141" s="2" t="str">
        <f>MID($P$95,A141,1)</f>
        <v>0</v>
      </c>
      <c r="O141" s="2" t="str">
        <f>MID($P$96,A141,1)</f>
        <v>1</v>
      </c>
      <c r="P141" s="2" t="str">
        <f>MID($P$97,A141,1)</f>
        <v>0</v>
      </c>
      <c r="Q141" s="2" t="str">
        <f>MID($P$98,A141,1)</f>
        <v>1</v>
      </c>
    </row>
    <row r="142" spans="1:17" x14ac:dyDescent="0.25">
      <c r="A142" s="9">
        <v>33</v>
      </c>
      <c r="B142" s="2" t="str">
        <f>MID($P$83,A142,1)</f>
        <v>0</v>
      </c>
      <c r="C142" s="2" t="str">
        <f>MID($P$84,A142,1)</f>
        <v>1</v>
      </c>
      <c r="D142" s="2" t="str">
        <f>MID($P$85,A142,1)</f>
        <v>1</v>
      </c>
      <c r="E142" s="2" t="str">
        <f>MID($P$86,A142,1)</f>
        <v>0</v>
      </c>
      <c r="F142" s="2" t="str">
        <f>MID($P$87,A142,1)</f>
        <v>1</v>
      </c>
      <c r="G142" s="2" t="str">
        <f>MID($P$88,A142,1)</f>
        <v>0</v>
      </c>
      <c r="H142" s="2" t="str">
        <f>MID($P$89,A142,1)</f>
        <v>1</v>
      </c>
      <c r="I142" s="2" t="str">
        <f>MID($P$90,A142,1)</f>
        <v>1</v>
      </c>
      <c r="J142" s="2" t="str">
        <f>MID($P$91,A142,1)</f>
        <v>1</v>
      </c>
      <c r="K142" s="2" t="str">
        <f>MID($P$92,A142,1)</f>
        <v>0</v>
      </c>
      <c r="L142" s="2" t="str">
        <f>MID($P$93,A142,1)</f>
        <v>0</v>
      </c>
      <c r="M142" s="2" t="str">
        <f>MID($P$94,A142,1)</f>
        <v>0</v>
      </c>
      <c r="N142" s="2" t="str">
        <f>MID($P$95,A142,1)</f>
        <v>0</v>
      </c>
      <c r="O142" s="2" t="str">
        <f>MID($P$96,A142,1)</f>
        <v>0</v>
      </c>
      <c r="P142" s="2" t="str">
        <f>MID($P$97,A142,1)</f>
        <v>0</v>
      </c>
      <c r="Q142" s="2" t="str">
        <f>MID($P$98,A142,1)</f>
        <v>1</v>
      </c>
    </row>
    <row r="143" spans="1:17" x14ac:dyDescent="0.25">
      <c r="A143" s="9">
        <v>48</v>
      </c>
      <c r="B143" s="2" t="str">
        <f>MID($P$83,A143,1)</f>
        <v>0</v>
      </c>
      <c r="C143" s="2" t="str">
        <f>MID($P$84,A143,1)</f>
        <v>0</v>
      </c>
      <c r="D143" s="2" t="str">
        <f>MID($P$85,A143,1)</f>
        <v>0</v>
      </c>
      <c r="E143" s="2" t="str">
        <f>MID($P$86,A143,1)</f>
        <v>0</v>
      </c>
      <c r="F143" s="2" t="str">
        <f>MID($P$87,A143,1)</f>
        <v>0</v>
      </c>
      <c r="G143" s="2" t="str">
        <f>MID($P$88,A143,1)</f>
        <v>0</v>
      </c>
      <c r="H143" s="2" t="str">
        <f>MID($P$89,A143,1)</f>
        <v>0</v>
      </c>
      <c r="I143" s="2" t="str">
        <f>MID($P$90,A143,1)</f>
        <v>0</v>
      </c>
      <c r="J143" s="2" t="str">
        <f>MID($P$91,A143,1)</f>
        <v>1</v>
      </c>
      <c r="K143" s="2" t="str">
        <f>MID($P$92,A143,1)</f>
        <v>1</v>
      </c>
      <c r="L143" s="2" t="str">
        <f>MID($P$93,A143,1)</f>
        <v>0</v>
      </c>
      <c r="M143" s="2" t="str">
        <f>MID($P$94,A143,1)</f>
        <v>1</v>
      </c>
      <c r="N143" s="2" t="str">
        <f>MID($P$95,A143,1)</f>
        <v>0</v>
      </c>
      <c r="O143" s="2" t="str">
        <f>MID($P$96,A143,1)</f>
        <v>1</v>
      </c>
      <c r="P143" s="2" t="str">
        <f>MID($P$97,A143,1)</f>
        <v>1</v>
      </c>
      <c r="Q143" s="2" t="str">
        <f>MID($P$98,A143,1)</f>
        <v>1</v>
      </c>
    </row>
    <row r="144" spans="1:17" x14ac:dyDescent="0.25">
      <c r="A144" s="9">
        <v>44</v>
      </c>
      <c r="B144" s="2" t="str">
        <f>MID($P$83,A144,1)</f>
        <v>1</v>
      </c>
      <c r="C144" s="2" t="str">
        <f>MID($P$84,A144,1)</f>
        <v>1</v>
      </c>
      <c r="D144" s="2" t="str">
        <f>MID($P$85,A144,1)</f>
        <v>1</v>
      </c>
      <c r="E144" s="2" t="str">
        <f>MID($P$86,A144,1)</f>
        <v>0</v>
      </c>
      <c r="F144" s="2" t="str">
        <f>MID($P$87,A144,1)</f>
        <v>0</v>
      </c>
      <c r="G144" s="2" t="str">
        <f>MID($P$88,A144,1)</f>
        <v>0</v>
      </c>
      <c r="H144" s="2" t="str">
        <f>MID($P$89,A144,1)</f>
        <v>0</v>
      </c>
      <c r="I144" s="2" t="str">
        <f>MID($P$90,A144,1)</f>
        <v>0</v>
      </c>
      <c r="J144" s="2" t="str">
        <f>MID($P$91,A144,1)</f>
        <v>1</v>
      </c>
      <c r="K144" s="2" t="str">
        <f>MID($P$92,A144,1)</f>
        <v>1</v>
      </c>
      <c r="L144" s="2" t="str">
        <f>MID($P$93,A144,1)</f>
        <v>1</v>
      </c>
      <c r="M144" s="2" t="str">
        <f>MID($P$94,A144,1)</f>
        <v>1</v>
      </c>
      <c r="N144" s="2" t="str">
        <f>MID($P$95,A144,1)</f>
        <v>0</v>
      </c>
      <c r="O144" s="2" t="str">
        <f>MID($P$96,A144,1)</f>
        <v>1</v>
      </c>
      <c r="P144" s="2" t="str">
        <f>MID($P$97,A144,1)</f>
        <v>0</v>
      </c>
      <c r="Q144" s="2" t="str">
        <f>MID($P$98,A144,1)</f>
        <v>0</v>
      </c>
    </row>
    <row r="145" spans="1:17" x14ac:dyDescent="0.25">
      <c r="A145" s="9">
        <v>49</v>
      </c>
      <c r="B145" s="2" t="str">
        <f>MID($P$83,A145,1)</f>
        <v>0</v>
      </c>
      <c r="C145" s="2" t="str">
        <f>MID($P$84,A145,1)</f>
        <v>0</v>
      </c>
      <c r="D145" s="2" t="str">
        <f>MID($P$85,A145,1)</f>
        <v>1</v>
      </c>
      <c r="E145" s="2" t="str">
        <f>MID($P$86,A145,1)</f>
        <v>1</v>
      </c>
      <c r="F145" s="2" t="str">
        <f>MID($P$87,A145,1)</f>
        <v>1</v>
      </c>
      <c r="G145" s="2" t="str">
        <f>MID($P$88,A145,1)</f>
        <v>1</v>
      </c>
      <c r="H145" s="2" t="str">
        <f>MID($P$89,A145,1)</f>
        <v>1</v>
      </c>
      <c r="I145" s="2" t="str">
        <f>MID($P$90,A145,1)</f>
        <v>1</v>
      </c>
      <c r="J145" s="2" t="str">
        <f>MID($P$91,A145,1)</f>
        <v>0</v>
      </c>
      <c r="K145" s="2" t="str">
        <f>MID($P$92,A145,1)</f>
        <v>1</v>
      </c>
      <c r="L145" s="2" t="str">
        <f>MID($P$93,A145,1)</f>
        <v>0</v>
      </c>
      <c r="M145" s="2" t="str">
        <f>MID($P$94,A145,1)</f>
        <v>1</v>
      </c>
      <c r="N145" s="2" t="str">
        <f>MID($P$95,A145,1)</f>
        <v>0</v>
      </c>
      <c r="O145" s="2" t="str">
        <f>MID($P$96,A145,1)</f>
        <v>1</v>
      </c>
      <c r="P145" s="2" t="str">
        <f>MID($P$97,A145,1)</f>
        <v>1</v>
      </c>
      <c r="Q145" s="2" t="str">
        <f>MID($P$98,A145,1)</f>
        <v>0</v>
      </c>
    </row>
    <row r="146" spans="1:17" x14ac:dyDescent="0.25">
      <c r="A146" s="9">
        <v>39</v>
      </c>
      <c r="B146" s="2" t="str">
        <f>MID($P$83,A146,1)</f>
        <v>0</v>
      </c>
      <c r="C146" s="2" t="str">
        <f>MID($P$84,A146,1)</f>
        <v>1</v>
      </c>
      <c r="D146" s="2" t="str">
        <f>MID($P$85,A146,1)</f>
        <v>0</v>
      </c>
      <c r="E146" s="2" t="str">
        <f>MID($P$86,A146,1)</f>
        <v>1</v>
      </c>
      <c r="F146" s="2" t="str">
        <f>MID($P$87,A146,1)</f>
        <v>1</v>
      </c>
      <c r="G146" s="2" t="str">
        <f>MID($P$88,A146,1)</f>
        <v>0</v>
      </c>
      <c r="H146" s="2" t="str">
        <f>MID($P$89,A146,1)</f>
        <v>0</v>
      </c>
      <c r="I146" s="2" t="str">
        <f>MID($P$90,A146,1)</f>
        <v>1</v>
      </c>
      <c r="J146" s="2" t="str">
        <f>MID($P$91,A146,1)</f>
        <v>0</v>
      </c>
      <c r="K146" s="2" t="str">
        <f>MID($P$92,A146,1)</f>
        <v>0</v>
      </c>
      <c r="L146" s="2" t="str">
        <f>MID($P$93,A146,1)</f>
        <v>0</v>
      </c>
      <c r="M146" s="2" t="str">
        <f>MID($P$94,A146,1)</f>
        <v>0</v>
      </c>
      <c r="N146" s="2" t="str">
        <f>MID($P$95,A146,1)</f>
        <v>0</v>
      </c>
      <c r="O146" s="2" t="str">
        <f>MID($P$96,A146,1)</f>
        <v>0</v>
      </c>
      <c r="P146" s="2" t="str">
        <f>MID($P$97,A146,1)</f>
        <v>1</v>
      </c>
      <c r="Q146" s="2" t="str">
        <f>MID($P$98,A146,1)</f>
        <v>0</v>
      </c>
    </row>
    <row r="147" spans="1:17" x14ac:dyDescent="0.25">
      <c r="A147" s="9">
        <v>56</v>
      </c>
      <c r="B147" s="2" t="str">
        <f>MID($P$83,A147,1)</f>
        <v>1</v>
      </c>
      <c r="C147" s="2" t="str">
        <f>MID($P$84,A147,1)</f>
        <v>0</v>
      </c>
      <c r="D147" s="2" t="str">
        <f>MID($P$85,A147,1)</f>
        <v>0</v>
      </c>
      <c r="E147" s="2" t="str">
        <f>MID($P$86,A147,1)</f>
        <v>0</v>
      </c>
      <c r="F147" s="2" t="str">
        <f>MID($P$87,A147,1)</f>
        <v>0</v>
      </c>
      <c r="G147" s="2" t="str">
        <f>MID($P$88,A147,1)</f>
        <v>1</v>
      </c>
      <c r="H147" s="2" t="str">
        <f>MID($P$89,A147,1)</f>
        <v>0</v>
      </c>
      <c r="I147" s="2" t="str">
        <f>MID($P$90,A147,1)</f>
        <v>1</v>
      </c>
      <c r="J147" s="2" t="str">
        <f>MID($P$91,A147,1)</f>
        <v>0</v>
      </c>
      <c r="K147" s="2" t="str">
        <f>MID($P$92,A147,1)</f>
        <v>1</v>
      </c>
      <c r="L147" s="2" t="str">
        <f>MID($P$93,A147,1)</f>
        <v>1</v>
      </c>
      <c r="M147" s="2" t="str">
        <f>MID($P$94,A147,1)</f>
        <v>0</v>
      </c>
      <c r="N147" s="2" t="str">
        <f>MID($P$95,A147,1)</f>
        <v>0</v>
      </c>
      <c r="O147" s="2" t="str">
        <f>MID($P$96,A147,1)</f>
        <v>1</v>
      </c>
      <c r="P147" s="2" t="str">
        <f>MID($P$97,A147,1)</f>
        <v>1</v>
      </c>
      <c r="Q147" s="2" t="str">
        <f>MID($P$98,A147,1)</f>
        <v>0</v>
      </c>
    </row>
    <row r="148" spans="1:17" x14ac:dyDescent="0.25">
      <c r="A148" s="9">
        <v>34</v>
      </c>
      <c r="B148" s="2" t="str">
        <f>MID($P$83,A148,1)</f>
        <v>1</v>
      </c>
      <c r="C148" s="2" t="str">
        <f>MID($P$84,A148,1)</f>
        <v>0</v>
      </c>
      <c r="D148" s="2" t="str">
        <f>MID($P$85,A148,1)</f>
        <v>1</v>
      </c>
      <c r="E148" s="2" t="str">
        <f>MID($P$86,A148,1)</f>
        <v>0</v>
      </c>
      <c r="F148" s="2" t="str">
        <f>MID($P$87,A148,1)</f>
        <v>1</v>
      </c>
      <c r="G148" s="2" t="str">
        <f>MID($P$88,A148,1)</f>
        <v>0</v>
      </c>
      <c r="H148" s="2" t="str">
        <f>MID($P$89,A148,1)</f>
        <v>1</v>
      </c>
      <c r="I148" s="2" t="str">
        <f>MID($P$90,A148,1)</f>
        <v>1</v>
      </c>
      <c r="J148" s="2" t="str">
        <f>MID($P$91,A148,1)</f>
        <v>0</v>
      </c>
      <c r="K148" s="2" t="str">
        <f>MID($P$92,A148,1)</f>
        <v>0</v>
      </c>
      <c r="L148" s="2" t="str">
        <f>MID($P$93,A148,1)</f>
        <v>1</v>
      </c>
      <c r="M148" s="2" t="str">
        <f>MID($P$94,A148,1)</f>
        <v>1</v>
      </c>
      <c r="N148" s="2" t="str">
        <f>MID($P$95,A148,1)</f>
        <v>1</v>
      </c>
      <c r="O148" s="2" t="str">
        <f>MID($P$96,A148,1)</f>
        <v>1</v>
      </c>
      <c r="P148" s="2" t="str">
        <f>MID($P$97,A148,1)</f>
        <v>1</v>
      </c>
      <c r="Q148" s="2" t="str">
        <f>MID($P$98,A148,1)</f>
        <v>0</v>
      </c>
    </row>
    <row r="149" spans="1:17" x14ac:dyDescent="0.25">
      <c r="A149" s="9">
        <v>53</v>
      </c>
      <c r="B149" s="2" t="str">
        <f>MID($P$83,A149,1)</f>
        <v>0</v>
      </c>
      <c r="C149" s="2" t="str">
        <f>MID($P$84,A149,1)</f>
        <v>1</v>
      </c>
      <c r="D149" s="2" t="str">
        <f>MID($P$85,A149,1)</f>
        <v>1</v>
      </c>
      <c r="E149" s="2" t="str">
        <f>MID($P$86,A149,1)</f>
        <v>1</v>
      </c>
      <c r="F149" s="2" t="str">
        <f>MID($P$87,A149,1)</f>
        <v>1</v>
      </c>
      <c r="G149" s="2" t="str">
        <f>MID($P$88,A149,1)</f>
        <v>1</v>
      </c>
      <c r="H149" s="2" t="str">
        <f>MID($P$89,A149,1)</f>
        <v>1</v>
      </c>
      <c r="I149" s="2" t="str">
        <f>MID($P$90,A149,1)</f>
        <v>0</v>
      </c>
      <c r="J149" s="2" t="str">
        <f>MID($P$91,A149,1)</f>
        <v>0</v>
      </c>
      <c r="K149" s="2" t="str">
        <f>MID($P$92,A149,1)</f>
        <v>1</v>
      </c>
      <c r="L149" s="2" t="str">
        <f>MID($P$93,A149,1)</f>
        <v>0</v>
      </c>
      <c r="M149" s="2" t="str">
        <f>MID($P$94,A149,1)</f>
        <v>1</v>
      </c>
      <c r="N149" s="2" t="str">
        <f>MID($P$95,A149,1)</f>
        <v>1</v>
      </c>
      <c r="O149" s="2" t="str">
        <f>MID($P$96,A149,1)</f>
        <v>0</v>
      </c>
      <c r="P149" s="2" t="str">
        <f>MID($P$97,A149,1)</f>
        <v>0</v>
      </c>
      <c r="Q149" s="2" t="str">
        <f>MID($P$98,A149,1)</f>
        <v>1</v>
      </c>
    </row>
    <row r="150" spans="1:17" x14ac:dyDescent="0.25">
      <c r="A150" s="9">
        <v>46</v>
      </c>
      <c r="B150" s="2" t="str">
        <f>MID($P$83,A150,1)</f>
        <v>1</v>
      </c>
      <c r="C150" s="2" t="str">
        <f>MID($P$84,A150,1)</f>
        <v>1</v>
      </c>
      <c r="D150" s="2" t="str">
        <f>MID($P$85,A150,1)</f>
        <v>0</v>
      </c>
      <c r="E150" s="2" t="str">
        <f>MID($P$86,A150,1)</f>
        <v>0</v>
      </c>
      <c r="F150" s="2" t="str">
        <f>MID($P$87,A150,1)</f>
        <v>0</v>
      </c>
      <c r="G150" s="2" t="str">
        <f>MID($P$88,A150,1)</f>
        <v>0</v>
      </c>
      <c r="H150" s="2" t="str">
        <f>MID($P$89,A150,1)</f>
        <v>0</v>
      </c>
      <c r="I150" s="2" t="str">
        <f>MID($P$90,A150,1)</f>
        <v>0</v>
      </c>
      <c r="J150" s="2" t="str">
        <f>MID($P$91,A150,1)</f>
        <v>1</v>
      </c>
      <c r="K150" s="2" t="str">
        <f>MID($P$92,A150,1)</f>
        <v>1</v>
      </c>
      <c r="L150" s="2" t="str">
        <f>MID($P$93,A150,1)</f>
        <v>1</v>
      </c>
      <c r="M150" s="2" t="str">
        <f>MID($P$94,A150,1)</f>
        <v>0</v>
      </c>
      <c r="N150" s="2" t="str">
        <f>MID($P$95,A150,1)</f>
        <v>1</v>
      </c>
      <c r="O150" s="2" t="str">
        <f>MID($P$96,A150,1)</f>
        <v>0</v>
      </c>
      <c r="P150" s="2" t="str">
        <f>MID($P$97,A150,1)</f>
        <v>1</v>
      </c>
      <c r="Q150" s="2" t="str">
        <f>MID($P$98,A150,1)</f>
        <v>1</v>
      </c>
    </row>
    <row r="151" spans="1:17" x14ac:dyDescent="0.25">
      <c r="A151" s="9">
        <v>42</v>
      </c>
      <c r="B151" s="2" t="str">
        <f>MID($P$83,A151,1)</f>
        <v>0</v>
      </c>
      <c r="C151" s="2" t="str">
        <f>MID($P$84,A151,1)</f>
        <v>0</v>
      </c>
      <c r="D151" s="2" t="str">
        <f>MID($P$85,A151,1)</f>
        <v>1</v>
      </c>
      <c r="E151" s="2" t="str">
        <f>MID($P$86,A151,1)</f>
        <v>1</v>
      </c>
      <c r="F151" s="2" t="str">
        <f>MID($P$87,A151,1)</f>
        <v>0</v>
      </c>
      <c r="G151" s="2" t="str">
        <f>MID($P$88,A151,1)</f>
        <v>0</v>
      </c>
      <c r="H151" s="2" t="str">
        <f>MID($P$89,A151,1)</f>
        <v>0</v>
      </c>
      <c r="I151" s="2" t="str">
        <f>MID($P$90,A151,1)</f>
        <v>0</v>
      </c>
      <c r="J151" s="2" t="str">
        <f>MID($P$91,A151,1)</f>
        <v>1</v>
      </c>
      <c r="K151" s="2" t="str">
        <f>MID($P$92,A151,1)</f>
        <v>1</v>
      </c>
      <c r="L151" s="2" t="str">
        <f>MID($P$93,A151,1)</f>
        <v>1</v>
      </c>
      <c r="M151" s="2" t="str">
        <f>MID($P$94,A151,1)</f>
        <v>1</v>
      </c>
      <c r="N151" s="2" t="str">
        <f>MID($P$95,A151,1)</f>
        <v>1</v>
      </c>
      <c r="O151" s="2" t="str">
        <f>MID($P$96,A151,1)</f>
        <v>0</v>
      </c>
      <c r="P151" s="2" t="str">
        <f>MID($P$97,A151,1)</f>
        <v>1</v>
      </c>
      <c r="Q151" s="2" t="str">
        <f>MID($P$98,A151,1)</f>
        <v>1</v>
      </c>
    </row>
    <row r="152" spans="1:17" x14ac:dyDescent="0.25">
      <c r="A152" s="9">
        <v>50</v>
      </c>
      <c r="B152" s="2" t="str">
        <f>MID($P$83,A152,1)</f>
        <v>0</v>
      </c>
      <c r="C152" s="2" t="str">
        <f>MID($P$84,A152,1)</f>
        <v>0</v>
      </c>
      <c r="D152" s="2" t="str">
        <f>MID($P$85,A152,1)</f>
        <v>0</v>
      </c>
      <c r="E152" s="2" t="str">
        <f>MID($P$86,A152,1)</f>
        <v>0</v>
      </c>
      <c r="F152" s="2" t="str">
        <f>MID($P$87,A152,1)</f>
        <v>0</v>
      </c>
      <c r="G152" s="2" t="str">
        <f>MID($P$88,A152,1)</f>
        <v>0</v>
      </c>
      <c r="H152" s="2" t="str">
        <f>MID($P$89,A152,1)</f>
        <v>0</v>
      </c>
      <c r="I152" s="2" t="str">
        <f>MID($P$90,A152,1)</f>
        <v>0</v>
      </c>
      <c r="J152" s="2" t="str">
        <f>MID($P$91,A152,1)</f>
        <v>1</v>
      </c>
      <c r="K152" s="2" t="str">
        <f>MID($P$92,A152,1)</f>
        <v>0</v>
      </c>
      <c r="L152" s="2" t="str">
        <f>MID($P$93,A152,1)</f>
        <v>1</v>
      </c>
      <c r="M152" s="2" t="str">
        <f>MID($P$94,A152,1)</f>
        <v>0</v>
      </c>
      <c r="N152" s="2" t="str">
        <f>MID($P$95,A152,1)</f>
        <v>1</v>
      </c>
      <c r="O152" s="2" t="str">
        <f>MID($P$96,A152,1)</f>
        <v>1</v>
      </c>
      <c r="P152" s="2" t="str">
        <f>MID($P$97,A152,1)</f>
        <v>0</v>
      </c>
      <c r="Q152" s="2" t="str">
        <f>MID($P$98,A152,1)</f>
        <v>0</v>
      </c>
    </row>
    <row r="153" spans="1:17" x14ac:dyDescent="0.25">
      <c r="A153" s="9">
        <v>36</v>
      </c>
      <c r="B153" s="2" t="str">
        <f>MID($P$83,A153,1)</f>
        <v>1</v>
      </c>
      <c r="C153" s="2" t="str">
        <f>MID($P$84,A153,1)</f>
        <v>1</v>
      </c>
      <c r="D153" s="2" t="str">
        <f>MID($P$85,A153,1)</f>
        <v>0</v>
      </c>
      <c r="E153" s="2" t="str">
        <f>MID($P$86,A153,1)</f>
        <v>1</v>
      </c>
      <c r="F153" s="2" t="str">
        <f>MID($P$87,A153,1)</f>
        <v>0</v>
      </c>
      <c r="G153" s="2" t="str">
        <f>MID($P$88,A153,1)</f>
        <v>1</v>
      </c>
      <c r="H153" s="2" t="str">
        <f>MID($P$89,A153,1)</f>
        <v>1</v>
      </c>
      <c r="I153" s="2" t="str">
        <f>MID($P$90,A153,1)</f>
        <v>0</v>
      </c>
      <c r="J153" s="2" t="str">
        <f>MID($P$91,A153,1)</f>
        <v>0</v>
      </c>
      <c r="K153" s="2" t="str">
        <f>MID($P$92,A153,1)</f>
        <v>1</v>
      </c>
      <c r="L153" s="2" t="str">
        <f>MID($P$93,A153,1)</f>
        <v>1</v>
      </c>
      <c r="M153" s="2" t="str">
        <f>MID($P$94,A153,1)</f>
        <v>1</v>
      </c>
      <c r="N153" s="2" t="str">
        <f>MID($P$95,A153,1)</f>
        <v>1</v>
      </c>
      <c r="O153" s="2" t="str">
        <f>MID($P$96,A153,1)</f>
        <v>1</v>
      </c>
      <c r="P153" s="2" t="str">
        <f>MID($P$97,A153,1)</f>
        <v>1</v>
      </c>
      <c r="Q153" s="2" t="str">
        <f>MID($P$98,A153,1)</f>
        <v>0</v>
      </c>
    </row>
    <row r="154" spans="1:17" x14ac:dyDescent="0.25">
      <c r="A154" s="9">
        <v>29</v>
      </c>
      <c r="B154" s="2" t="str">
        <f>MID($P$83,A154,1)</f>
        <v>0</v>
      </c>
      <c r="C154" s="2" t="str">
        <f>MID($P$84,A154,1)</f>
        <v>1</v>
      </c>
      <c r="D154" s="2" t="str">
        <f>MID($P$85,A154,1)</f>
        <v>1</v>
      </c>
      <c r="E154" s="2" t="str">
        <f>MID($P$86,A154,1)</f>
        <v>1</v>
      </c>
      <c r="F154" s="2" t="str">
        <f>MID($P$87,A154,1)</f>
        <v>1</v>
      </c>
      <c r="G154" s="2" t="str">
        <f>MID($P$88,A154,1)</f>
        <v>0</v>
      </c>
      <c r="H154" s="2" t="str">
        <f>MID($P$89,A154,1)</f>
        <v>1</v>
      </c>
      <c r="I154" s="2" t="str">
        <f>MID($P$90,A154,1)</f>
        <v>0</v>
      </c>
      <c r="J154" s="2" t="str">
        <f>MID($P$91,A154,1)</f>
        <v>0</v>
      </c>
      <c r="K154" s="2" t="str">
        <f>MID($P$92,A154,1)</f>
        <v>1</v>
      </c>
      <c r="L154" s="2" t="str">
        <f>MID($P$93,A154,1)</f>
        <v>1</v>
      </c>
      <c r="M154" s="2" t="str">
        <f>MID($P$94,A154,1)</f>
        <v>0</v>
      </c>
      <c r="N154" s="2" t="str">
        <f>MID($P$95,A154,1)</f>
        <v>0</v>
      </c>
      <c r="O154" s="2" t="str">
        <f>MID($P$96,A154,1)</f>
        <v>0</v>
      </c>
      <c r="P154" s="2" t="str">
        <f>MID($P$97,A154,1)</f>
        <v>0</v>
      </c>
      <c r="Q154" s="2" t="str">
        <f>MID($P$98,A154,1)</f>
        <v>1</v>
      </c>
    </row>
    <row r="155" spans="1:17" x14ac:dyDescent="0.25">
      <c r="A155" s="9">
        <v>32</v>
      </c>
      <c r="B155" s="2" t="str">
        <f>MID($P$83,A155,1)</f>
        <v>1</v>
      </c>
      <c r="C155" s="2" t="str">
        <f>MID($P$84,A155,1)</f>
        <v>0</v>
      </c>
      <c r="D155" s="2" t="str">
        <f>MID($P$85,A155,1)</f>
        <v>0</v>
      </c>
      <c r="E155" s="2" t="str">
        <f>MID($P$86,A155,1)</f>
        <v>1</v>
      </c>
      <c r="F155" s="2" t="str">
        <f>MID($P$87,A155,1)</f>
        <v>0</v>
      </c>
      <c r="G155" s="2" t="str">
        <f>MID($P$88,A155,1)</f>
        <v>1</v>
      </c>
      <c r="H155" s="2" t="str">
        <f>MID($P$89,A155,1)</f>
        <v>0</v>
      </c>
      <c r="I155" s="2" t="str">
        <f>MID($P$90,A155,1)</f>
        <v>1</v>
      </c>
      <c r="J155" s="2" t="str">
        <f>MID($P$91,A155,1)</f>
        <v>1</v>
      </c>
      <c r="K155" s="2" t="str">
        <f>MID($P$92,A155,1)</f>
        <v>0</v>
      </c>
      <c r="L155" s="2" t="str">
        <f>MID($P$93,A155,1)</f>
        <v>0</v>
      </c>
      <c r="M155" s="2" t="str">
        <f>MID($P$94,A155,1)</f>
        <v>1</v>
      </c>
      <c r="N155" s="2" t="str">
        <f>MID($P$95,A155,1)</f>
        <v>1</v>
      </c>
      <c r="O155" s="2" t="str">
        <f>MID($P$96,A155,1)</f>
        <v>1</v>
      </c>
      <c r="P155" s="2" t="str">
        <f>MID($P$97,A155,1)</f>
        <v>1</v>
      </c>
      <c r="Q155" s="2" t="str">
        <f>MID($P$98,A155,1)</f>
        <v>0</v>
      </c>
    </row>
    <row r="157" spans="1:17" x14ac:dyDescent="0.25">
      <c r="A157" s="11" t="s">
        <v>132</v>
      </c>
    </row>
    <row r="158" spans="1:17" x14ac:dyDescent="0.25">
      <c r="A158" s="9" t="s">
        <v>83</v>
      </c>
      <c r="B158" s="5" t="str">
        <f>_xlfn.TEXTJOIN("", TRUE, $B$108:$B$155)</f>
        <v>000110110000001011101111110110110100100110100101</v>
      </c>
      <c r="C158" s="5"/>
      <c r="D158" s="5"/>
      <c r="E158" s="5"/>
      <c r="F158" s="5"/>
    </row>
    <row r="159" spans="1:17" x14ac:dyDescent="0.25">
      <c r="A159" s="9" t="s">
        <v>84</v>
      </c>
      <c r="B159" s="5" t="str">
        <f>_xlfn.TEXTJOIN("", TRUE, $C$108:$C$155)</f>
        <v>011010011010111011011001001001011110101001100110</v>
      </c>
      <c r="C159" s="5"/>
      <c r="D159" s="5"/>
      <c r="E159" s="5"/>
      <c r="F159" s="5"/>
    </row>
    <row r="160" spans="1:17" x14ac:dyDescent="0.25">
      <c r="A160" s="9" t="s">
        <v>85</v>
      </c>
      <c r="B160" s="5" t="str">
        <f>_xlfn.TEXTJOIN("", TRUE, $D$108:$D$155)</f>
        <v>010101011111110010001010101101001010110011010010</v>
      </c>
      <c r="C160" s="5"/>
      <c r="D160" s="5"/>
      <c r="E160" s="5"/>
      <c r="F160" s="5"/>
    </row>
    <row r="161" spans="1:17" x14ac:dyDescent="0.25">
      <c r="A161" s="9" t="s">
        <v>86</v>
      </c>
      <c r="B161" s="5" t="str">
        <f>_xlfn.TEXTJOIN("", TRUE, $E$108:$E$155)</f>
        <v>011100101010110111010010101011011000011001010111</v>
      </c>
      <c r="C161" s="5"/>
      <c r="D161" s="5"/>
      <c r="E161" s="5"/>
      <c r="F161" s="5"/>
    </row>
    <row r="162" spans="1:17" x14ac:dyDescent="0.25">
      <c r="A162" s="9" t="s">
        <v>87</v>
      </c>
      <c r="B162" s="5" t="str">
        <f>_xlfn.TEXTJOIN("", TRUE, $F$108:$F$155)</f>
        <v>011111001110110000000111000111111110011011000010</v>
      </c>
      <c r="C162" s="5"/>
      <c r="D162" s="5"/>
      <c r="E162" s="5"/>
      <c r="F162" s="5"/>
    </row>
    <row r="163" spans="1:17" x14ac:dyDescent="0.25">
      <c r="A163" s="9" t="s">
        <v>88</v>
      </c>
      <c r="B163" s="5" t="str">
        <f>_xlfn.TEXTJOIN("", TRUE, $G$108:$G$155)</f>
        <v>011000111010010100011110001111001100010101000101</v>
      </c>
      <c r="C163" s="5"/>
      <c r="D163" s="5"/>
      <c r="E163" s="5"/>
      <c r="F163" s="5"/>
    </row>
    <row r="164" spans="1:17" x14ac:dyDescent="0.25">
      <c r="A164" s="9" t="s">
        <v>89</v>
      </c>
      <c r="B164" s="5" t="str">
        <f>_xlfn.TEXTJOIN("", TRUE, $H$108:$H$155)</f>
        <v>011011001000010010110111100010101110010011000110</v>
      </c>
      <c r="C164" s="5"/>
      <c r="D164" s="5"/>
      <c r="E164" s="5"/>
      <c r="F164" s="5"/>
    </row>
    <row r="165" spans="1:17" x14ac:dyDescent="0.25">
      <c r="A165" s="9" t="s">
        <v>90</v>
      </c>
      <c r="B165" s="5" t="str">
        <f>_xlfn.TEXTJOIN("", TRUE, $I$108:$I$155)</f>
        <v>111101111000100000111010111011001110011110000001</v>
      </c>
      <c r="C165" s="5"/>
      <c r="D165" s="5"/>
      <c r="E165" s="5"/>
      <c r="F165" s="5"/>
    </row>
    <row r="166" spans="1:17" x14ac:dyDescent="0.25">
      <c r="A166" s="9" t="s">
        <v>91</v>
      </c>
      <c r="B166" s="5" t="str">
        <f>_xlfn.TEXTJOIN("", TRUE, $J$108:$J$155)</f>
        <v>110000001101101111101011001001111011100000111001</v>
      </c>
      <c r="C166" s="5"/>
      <c r="D166" s="5"/>
      <c r="E166" s="5"/>
      <c r="F166" s="5"/>
    </row>
    <row r="167" spans="1:17" x14ac:dyDescent="0.25">
      <c r="A167" s="9" t="s">
        <v>92</v>
      </c>
      <c r="B167" s="5" t="str">
        <f>_xlfn.TEXTJOIN("", TRUE, $K$108:$K$155)</f>
        <v>101100011111001101000111011000110001110101110110</v>
      </c>
      <c r="C167" s="5"/>
      <c r="D167" s="5"/>
      <c r="E167" s="5"/>
      <c r="F167" s="5"/>
    </row>
    <row r="168" spans="1:17" x14ac:dyDescent="0.25">
      <c r="A168" s="9" t="s">
        <v>93</v>
      </c>
      <c r="B168" s="5" t="str">
        <f>_xlfn.TEXTJOIN("", TRUE, $L$108:$L$155)</f>
        <v>001000010101111111000011000011011000100110111110</v>
      </c>
      <c r="C168" s="5"/>
      <c r="D168" s="5"/>
      <c r="E168" s="5"/>
      <c r="F168" s="5"/>
    </row>
    <row r="169" spans="1:17" x14ac:dyDescent="0.25">
      <c r="A169" s="9" t="s">
        <v>94</v>
      </c>
      <c r="B169" s="5" t="str">
        <f>_xlfn.TEXTJOIN("", TRUE, $M$108:$M$155)</f>
        <v>011100010111000111110101010001010101110011010101</v>
      </c>
      <c r="C169" s="5"/>
      <c r="D169" s="5"/>
      <c r="E169" s="5"/>
      <c r="F169" s="5"/>
    </row>
    <row r="170" spans="1:17" x14ac:dyDescent="0.25">
      <c r="A170" s="9" t="s">
        <v>95</v>
      </c>
      <c r="B170" s="5" t="str">
        <f>_xlfn.TEXTJOIN("", TRUE, $N$108:$N$155)</f>
        <v>100101011100010111010001010010111000000011111101</v>
      </c>
      <c r="C170" s="5"/>
      <c r="D170" s="5"/>
      <c r="E170" s="5"/>
      <c r="F170" s="5"/>
    </row>
    <row r="171" spans="1:17" x14ac:dyDescent="0.25">
      <c r="A171" s="9" t="s">
        <v>96</v>
      </c>
      <c r="B171" s="5" t="str">
        <f>_xlfn.TEXTJOIN("", TRUE, $O$108:$O$155)</f>
        <v>010101110100001110110111100000111101110110001101</v>
      </c>
      <c r="C171" s="5"/>
      <c r="D171" s="5"/>
      <c r="E171" s="5"/>
      <c r="F171" s="5"/>
    </row>
    <row r="172" spans="1:17" x14ac:dyDescent="0.25">
      <c r="A172" s="9" t="s">
        <v>97</v>
      </c>
      <c r="B172" s="5" t="str">
        <f>_xlfn.TEXTJOIN("", TRUE, $P$108:$P$155)</f>
        <v>101111111001000110000101000010100001011110110101</v>
      </c>
      <c r="C172" s="5"/>
      <c r="D172" s="5"/>
      <c r="E172" s="5"/>
      <c r="F172" s="5"/>
    </row>
    <row r="173" spans="1:17" x14ac:dyDescent="0.25">
      <c r="A173" s="9" t="s">
        <v>98</v>
      </c>
      <c r="B173" s="5" t="str">
        <f>_xlfn.TEXTJOIN("", TRUE, $Q$108:$Q$155)</f>
        <v>110010110011110100001011101111000111000001110010</v>
      </c>
      <c r="C173" s="5"/>
      <c r="D173" s="5"/>
      <c r="E173" s="5"/>
      <c r="F173" s="5"/>
    </row>
    <row r="175" spans="1:17" x14ac:dyDescent="0.25">
      <c r="A175" s="9" t="s">
        <v>138</v>
      </c>
      <c r="B175" s="9" t="s">
        <v>83</v>
      </c>
      <c r="C175" s="9" t="s">
        <v>84</v>
      </c>
      <c r="D175" s="9" t="s">
        <v>85</v>
      </c>
      <c r="E175" s="9" t="s">
        <v>86</v>
      </c>
      <c r="F175" s="9" t="s">
        <v>87</v>
      </c>
      <c r="G175" s="9" t="s">
        <v>88</v>
      </c>
      <c r="H175" s="9" t="s">
        <v>89</v>
      </c>
      <c r="I175" s="9" t="s">
        <v>90</v>
      </c>
      <c r="J175" s="9" t="s">
        <v>91</v>
      </c>
      <c r="K175" s="9" t="s">
        <v>92</v>
      </c>
      <c r="L175" s="9" t="s">
        <v>93</v>
      </c>
      <c r="M175" s="9" t="s">
        <v>94</v>
      </c>
      <c r="N175" s="9" t="s">
        <v>95</v>
      </c>
      <c r="O175" s="9" t="s">
        <v>96</v>
      </c>
      <c r="P175" s="9" t="s">
        <v>97</v>
      </c>
      <c r="Q175" s="9" t="s">
        <v>98</v>
      </c>
    </row>
    <row r="176" spans="1:17" x14ac:dyDescent="0.25">
      <c r="A176" s="9">
        <v>1</v>
      </c>
      <c r="B176" s="2" t="str">
        <f>BIN2HEX(MID($B$158,(A176-1)*8+1,8),2)</f>
        <v>1B</v>
      </c>
      <c r="C176" s="2" t="str">
        <f>BIN2HEX(MID($B$159,(A176-1)*8+1,8),2)</f>
        <v>69</v>
      </c>
      <c r="D176" s="2" t="str">
        <f>BIN2HEX(MID($B$160,(A176-1)*8+1,8),2)</f>
        <v>55</v>
      </c>
      <c r="E176" s="2" t="str">
        <f>BIN2HEX(MID($B$161,(A176-1)*8+1,8),2)</f>
        <v>72</v>
      </c>
      <c r="F176" s="2" t="str">
        <f>BIN2HEX(MID($B$162,(A176-1)*8+1,8),2)</f>
        <v>7C</v>
      </c>
      <c r="G176" s="2" t="str">
        <f>BIN2HEX(MID($B$163,(A176-1)*8+1,8),2)</f>
        <v>63</v>
      </c>
      <c r="H176" s="2" t="str">
        <f>BIN2HEX(MID($B$164,(A176-1)*8+1,8),2)</f>
        <v>6C</v>
      </c>
      <c r="I176" s="2" t="str">
        <f>BIN2HEX(MID($B$165,(A176-1)*8+1,8),2)</f>
        <v>F7</v>
      </c>
      <c r="J176" s="2" t="str">
        <f>BIN2HEX(MID($B$166,(A176-1)*8+1,8),2)</f>
        <v>C0</v>
      </c>
      <c r="K176" s="2" t="str">
        <f>BIN2HEX(MID($B$167,(A176-1)*8+1,8),2)</f>
        <v>B1</v>
      </c>
      <c r="L176" s="2" t="str">
        <f>BIN2HEX(MID($B$168,(A176-1)*8+1,8),2)</f>
        <v>21</v>
      </c>
      <c r="M176" s="2" t="str">
        <f>BIN2HEX(MID($B$169,(A176-1)*8+1,8),2)</f>
        <v>71</v>
      </c>
      <c r="N176" s="2" t="str">
        <f>BIN2HEX(MID($B$170,(A176-1)*8+1,8),2)</f>
        <v>95</v>
      </c>
      <c r="O176" s="2" t="str">
        <f>BIN2HEX(MID($B$171,(A176-1)*8+1,8),2)</f>
        <v>57</v>
      </c>
      <c r="P176" s="2" t="str">
        <f>BIN2HEX(MID($B$172,(A176-1)*8+1,8),2)</f>
        <v>BF</v>
      </c>
      <c r="Q176" s="2" t="str">
        <f>BIN2HEX(MID($B$173,(A176-1)*8+1,8),2)</f>
        <v>CB</v>
      </c>
    </row>
    <row r="177" spans="1:17" x14ac:dyDescent="0.25">
      <c r="A177" s="9">
        <v>2</v>
      </c>
      <c r="B177" s="2" t="str">
        <f>BIN2HEX(MID($B$158,(A177-1)*8+1,8),2)</f>
        <v>02</v>
      </c>
      <c r="C177" s="2" t="str">
        <f>BIN2HEX(MID($B$159,(A177-1)*8+1,8),2)</f>
        <v>AE</v>
      </c>
      <c r="D177" s="2" t="str">
        <f>BIN2HEX(MID($B$160,(A177-1)*8+1,8),2)</f>
        <v>FC</v>
      </c>
      <c r="E177" s="2" t="str">
        <f>BIN2HEX(MID($B$161,(A177-1)*8+1,8),2)</f>
        <v>AD</v>
      </c>
      <c r="F177" s="2" t="str">
        <f>BIN2HEX(MID($B$162,(A177-1)*8+1,8),2)</f>
        <v>EC</v>
      </c>
      <c r="G177" s="2" t="str">
        <f>BIN2HEX(MID($B$163,(A177-1)*8+1,8),2)</f>
        <v>A5</v>
      </c>
      <c r="H177" s="2" t="str">
        <f>BIN2HEX(MID($B$164,(A177-1)*8+1,8),2)</f>
        <v>84</v>
      </c>
      <c r="I177" s="2" t="str">
        <f>BIN2HEX(MID($B$165,(A177-1)*8+1,8),2)</f>
        <v>88</v>
      </c>
      <c r="J177" s="2" t="str">
        <f>BIN2HEX(MID($B$166,(A177-1)*8+1,8),2)</f>
        <v>DB</v>
      </c>
      <c r="K177" s="2" t="str">
        <f>BIN2HEX(MID($B$167,(A177-1)*8+1,8),2)</f>
        <v>F3</v>
      </c>
      <c r="L177" s="2" t="str">
        <f>BIN2HEX(MID($B$168,(A177-1)*8+1,8),2)</f>
        <v>5F</v>
      </c>
      <c r="M177" s="2" t="str">
        <f>BIN2HEX(MID($B$169,(A177-1)*8+1,8),2)</f>
        <v>71</v>
      </c>
      <c r="N177" s="2" t="str">
        <f>BIN2HEX(MID($B$170,(A177-1)*8+1,8),2)</f>
        <v>C5</v>
      </c>
      <c r="O177" s="2" t="str">
        <f>BIN2HEX(MID($B$171,(A177-1)*8+1,8),2)</f>
        <v>43</v>
      </c>
      <c r="P177" s="2" t="str">
        <f>BIN2HEX(MID($B$172,(A177-1)*8+1,8),2)</f>
        <v>91</v>
      </c>
      <c r="Q177" s="2" t="str">
        <f>BIN2HEX(MID($B$173,(A177-1)*8+1,8),2)</f>
        <v>3D</v>
      </c>
    </row>
    <row r="178" spans="1:17" x14ac:dyDescent="0.25">
      <c r="A178" s="9">
        <v>3</v>
      </c>
      <c r="B178" s="2" t="str">
        <f>BIN2HEX(MID($B$158,(A178-1)*8+1,8),2)</f>
        <v>EF</v>
      </c>
      <c r="C178" s="2" t="str">
        <f>BIN2HEX(MID($B$159,(A178-1)*8+1,8),2)</f>
        <v>D9</v>
      </c>
      <c r="D178" s="2" t="str">
        <f>BIN2HEX(MID($B$160,(A178-1)*8+1,8),2)</f>
        <v>8A</v>
      </c>
      <c r="E178" s="2" t="str">
        <f>BIN2HEX(MID($B$161,(A178-1)*8+1,8),2)</f>
        <v>D2</v>
      </c>
      <c r="F178" s="2" t="str">
        <f>BIN2HEX(MID($B$162,(A178-1)*8+1,8),2)</f>
        <v>07</v>
      </c>
      <c r="G178" s="2" t="str">
        <f>BIN2HEX(MID($B$163,(A178-1)*8+1,8),2)</f>
        <v>1E</v>
      </c>
      <c r="H178" s="2" t="str">
        <f>BIN2HEX(MID($B$164,(A178-1)*8+1,8),2)</f>
        <v>B7</v>
      </c>
      <c r="I178" s="2" t="str">
        <f>BIN2HEX(MID($B$165,(A178-1)*8+1,8),2)</f>
        <v>3A</v>
      </c>
      <c r="J178" s="2" t="str">
        <f>BIN2HEX(MID($B$166,(A178-1)*8+1,8),2)</f>
        <v>EB</v>
      </c>
      <c r="K178" s="2" t="str">
        <f>BIN2HEX(MID($B$167,(A178-1)*8+1,8),2)</f>
        <v>47</v>
      </c>
      <c r="L178" s="2" t="str">
        <f>BIN2HEX(MID($B$168,(A178-1)*8+1,8),2)</f>
        <v>C3</v>
      </c>
      <c r="M178" s="2" t="str">
        <f>BIN2HEX(MID($B$169,(A178-1)*8+1,8),2)</f>
        <v>F5</v>
      </c>
      <c r="N178" s="2" t="str">
        <f>BIN2HEX(MID($B$170,(A178-1)*8+1,8),2)</f>
        <v>D1</v>
      </c>
      <c r="O178" s="2" t="str">
        <f>BIN2HEX(MID($B$171,(A178-1)*8+1,8),2)</f>
        <v>B7</v>
      </c>
      <c r="P178" s="2" t="str">
        <f>BIN2HEX(MID($B$172,(A178-1)*8+1,8),2)</f>
        <v>85</v>
      </c>
      <c r="Q178" s="2" t="str">
        <f>BIN2HEX(MID($B$173,(A178-1)*8+1,8),2)</f>
        <v>0B</v>
      </c>
    </row>
    <row r="179" spans="1:17" x14ac:dyDescent="0.25">
      <c r="A179" s="9">
        <v>4</v>
      </c>
      <c r="B179" s="2" t="str">
        <f>BIN2HEX(MID($B$158,(A179-1)*8+1,8),2)</f>
        <v>DB</v>
      </c>
      <c r="C179" s="2" t="str">
        <f>BIN2HEX(MID($B$159,(A179-1)*8+1,8),2)</f>
        <v>25</v>
      </c>
      <c r="D179" s="2" t="str">
        <f>BIN2HEX(MID($B$160,(A179-1)*8+1,8),2)</f>
        <v>B4</v>
      </c>
      <c r="E179" s="2" t="str">
        <f>BIN2HEX(MID($B$161,(A179-1)*8+1,8),2)</f>
        <v>AD</v>
      </c>
      <c r="F179" s="2" t="str">
        <f>BIN2HEX(MID($B$162,(A179-1)*8+1,8),2)</f>
        <v>1F</v>
      </c>
      <c r="G179" s="2" t="str">
        <f>BIN2HEX(MID($B$163,(A179-1)*8+1,8),2)</f>
        <v>3C</v>
      </c>
      <c r="H179" s="2" t="str">
        <f>BIN2HEX(MID($B$164,(A179-1)*8+1,8),2)</f>
        <v>8A</v>
      </c>
      <c r="I179" s="2" t="str">
        <f>BIN2HEX(MID($B$165,(A179-1)*8+1,8),2)</f>
        <v>EC</v>
      </c>
      <c r="J179" s="2" t="str">
        <f>BIN2HEX(MID($B$166,(A179-1)*8+1,8),2)</f>
        <v>27</v>
      </c>
      <c r="K179" s="2" t="str">
        <f>BIN2HEX(MID($B$167,(A179-1)*8+1,8),2)</f>
        <v>63</v>
      </c>
      <c r="L179" s="2" t="str">
        <f>BIN2HEX(MID($B$168,(A179-1)*8+1,8),2)</f>
        <v>0D</v>
      </c>
      <c r="M179" s="2" t="str">
        <f>BIN2HEX(MID($B$169,(A179-1)*8+1,8),2)</f>
        <v>45</v>
      </c>
      <c r="N179" s="2" t="str">
        <f>BIN2HEX(MID($B$170,(A179-1)*8+1,8),2)</f>
        <v>4B</v>
      </c>
      <c r="O179" s="2" t="str">
        <f>BIN2HEX(MID($B$171,(A179-1)*8+1,8),2)</f>
        <v>83</v>
      </c>
      <c r="P179" s="2" t="str">
        <f>BIN2HEX(MID($B$172,(A179-1)*8+1,8),2)</f>
        <v>0A</v>
      </c>
      <c r="Q179" s="2" t="str">
        <f>BIN2HEX(MID($B$173,(A179-1)*8+1,8),2)</f>
        <v>BC</v>
      </c>
    </row>
    <row r="180" spans="1:17" x14ac:dyDescent="0.25">
      <c r="A180" s="9">
        <v>5</v>
      </c>
      <c r="B180" s="2" t="str">
        <f>BIN2HEX(MID($B$158,(A180-1)*8+1,8),2)</f>
        <v>49</v>
      </c>
      <c r="C180" s="2" t="str">
        <f>BIN2HEX(MID($B$159,(A180-1)*8+1,8),2)</f>
        <v>EA</v>
      </c>
      <c r="D180" s="2" t="str">
        <f>BIN2HEX(MID($B$160,(A180-1)*8+1,8),2)</f>
        <v>AC</v>
      </c>
      <c r="E180" s="2" t="str">
        <f>BIN2HEX(MID($B$161,(A180-1)*8+1,8),2)</f>
        <v>86</v>
      </c>
      <c r="F180" s="2" t="str">
        <f>BIN2HEX(MID($B$162,(A180-1)*8+1,8),2)</f>
        <v>E6</v>
      </c>
      <c r="G180" s="2" t="str">
        <f>BIN2HEX(MID($B$163,(A180-1)*8+1,8),2)</f>
        <v>C5</v>
      </c>
      <c r="H180" s="2" t="str">
        <f>BIN2HEX(MID($B$164,(A180-1)*8+1,8),2)</f>
        <v>E4</v>
      </c>
      <c r="I180" s="2" t="str">
        <f>BIN2HEX(MID($B$165,(A180-1)*8+1,8),2)</f>
        <v>E7</v>
      </c>
      <c r="J180" s="2" t="str">
        <f>BIN2HEX(MID($B$166,(A180-1)*8+1,8),2)</f>
        <v>B8</v>
      </c>
      <c r="K180" s="2" t="str">
        <f>BIN2HEX(MID($B$167,(A180-1)*8+1,8),2)</f>
        <v>1D</v>
      </c>
      <c r="L180" s="2" t="str">
        <f>BIN2HEX(MID($B$168,(A180-1)*8+1,8),2)</f>
        <v>89</v>
      </c>
      <c r="M180" s="2" t="str">
        <f>BIN2HEX(MID($B$169,(A180-1)*8+1,8),2)</f>
        <v>5C</v>
      </c>
      <c r="N180" s="2" t="str">
        <f>BIN2HEX(MID($B$170,(A180-1)*8+1,8),2)</f>
        <v>80</v>
      </c>
      <c r="O180" s="2" t="str">
        <f>BIN2HEX(MID($B$171,(A180-1)*8+1,8),2)</f>
        <v>DD</v>
      </c>
      <c r="P180" s="2" t="str">
        <f>BIN2HEX(MID($B$172,(A180-1)*8+1,8),2)</f>
        <v>17</v>
      </c>
      <c r="Q180" s="2" t="str">
        <f>BIN2HEX(MID($B$173,(A180-1)*8+1,8),2)</f>
        <v>70</v>
      </c>
    </row>
    <row r="181" spans="1:17" x14ac:dyDescent="0.25">
      <c r="A181" s="9">
        <v>6</v>
      </c>
      <c r="B181" s="2" t="str">
        <f>BIN2HEX(MID($B$158,(A181-1)*8+1,8),2)</f>
        <v>A5</v>
      </c>
      <c r="C181" s="2" t="str">
        <f>BIN2HEX(MID($B$159,(A181-1)*8+1,8),2)</f>
        <v>66</v>
      </c>
      <c r="D181" s="2" t="str">
        <f>BIN2HEX(MID($B$160,(A181-1)*8+1,8),2)</f>
        <v>D2</v>
      </c>
      <c r="E181" s="2" t="str">
        <f>BIN2HEX(MID($B$161,(A181-1)*8+1,8),2)</f>
        <v>57</v>
      </c>
      <c r="F181" s="2" t="str">
        <f>BIN2HEX(MID($B$162,(A181-1)*8+1,8),2)</f>
        <v>C2</v>
      </c>
      <c r="G181" s="2" t="str">
        <f>BIN2HEX(MID($B$163,(A181-1)*8+1,8),2)</f>
        <v>45</v>
      </c>
      <c r="H181" s="2" t="str">
        <f>BIN2HEX(MID($B$164,(A181-1)*8+1,8),2)</f>
        <v>C6</v>
      </c>
      <c r="I181" s="2" t="str">
        <f>BIN2HEX(MID($B$165,(A181-1)*8+1,8),2)</f>
        <v>81</v>
      </c>
      <c r="J181" s="2" t="str">
        <f>BIN2HEX(MID($B$166,(A181-1)*8+1,8),2)</f>
        <v>39</v>
      </c>
      <c r="K181" s="2" t="str">
        <f>BIN2HEX(MID($B$167,(A181-1)*8+1,8),2)</f>
        <v>76</v>
      </c>
      <c r="L181" s="2" t="str">
        <f>BIN2HEX(MID($B$168,(A181-1)*8+1,8),2)</f>
        <v>BE</v>
      </c>
      <c r="M181" s="2" t="str">
        <f>BIN2HEX(MID($B$169,(A181-1)*8+1,8),2)</f>
        <v>D5</v>
      </c>
      <c r="N181" s="2" t="str">
        <f>BIN2HEX(MID($B$170,(A181-1)*8+1,8),2)</f>
        <v>FD</v>
      </c>
      <c r="O181" s="2" t="str">
        <f>BIN2HEX(MID($B$171,(A181-1)*8+1,8),2)</f>
        <v>8D</v>
      </c>
      <c r="P181" s="2" t="str">
        <f>BIN2HEX(MID($B$172,(A181-1)*8+1,8),2)</f>
        <v>B5</v>
      </c>
      <c r="Q181" s="2" t="str">
        <f>BIN2HEX(MID($B$173,(A181-1)*8+1,8),2)</f>
        <v>72</v>
      </c>
    </row>
    <row r="418" spans="1:13" s="3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</sheetData>
  <mergeCells count="1">
    <mergeCell ref="K81:L8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9474-2D4D-479B-B04E-AE469484F03A}">
  <sheetPr codeName="Sheet4"/>
  <dimension ref="A1:Y89"/>
  <sheetViews>
    <sheetView topLeftCell="A39" zoomScaleNormal="100" workbookViewId="0">
      <selection activeCell="M89" sqref="M89"/>
    </sheetView>
  </sheetViews>
  <sheetFormatPr defaultRowHeight="15" x14ac:dyDescent="0.25"/>
  <cols>
    <col min="8" max="17" width="9.140625" customWidth="1"/>
  </cols>
  <sheetData>
    <row r="1" spans="1:24" ht="15.75" x14ac:dyDescent="0.25">
      <c r="A1" t="s">
        <v>102</v>
      </c>
      <c r="B1" t="s">
        <v>103</v>
      </c>
      <c r="C1" t="s">
        <v>104</v>
      </c>
      <c r="E1" s="1" t="s">
        <v>8</v>
      </c>
      <c r="N1" s="11" t="s">
        <v>105</v>
      </c>
      <c r="O1" s="13" t="str">
        <f>_xlfn.TEXTJOIN("", TRUE,C4:C67)</f>
        <v>1001100011111110110011000000000011100000010101001111000010101010</v>
      </c>
      <c r="P1" s="11"/>
      <c r="Q1" s="11"/>
      <c r="R1" s="11"/>
      <c r="S1" s="11"/>
      <c r="T1" s="11"/>
      <c r="U1" s="11"/>
      <c r="V1" s="11"/>
    </row>
    <row r="3" spans="1:24" x14ac:dyDescent="0.25">
      <c r="A3" s="2" t="s">
        <v>99</v>
      </c>
      <c r="B3" s="2" t="s">
        <v>10</v>
      </c>
      <c r="C3" s="2" t="s">
        <v>9</v>
      </c>
      <c r="D3" s="2" t="s">
        <v>100</v>
      </c>
      <c r="E3" s="2" t="s">
        <v>101</v>
      </c>
      <c r="N3" t="s">
        <v>12</v>
      </c>
      <c r="O3" t="str">
        <f>LEFT(O1,32)</f>
        <v>10011000111111101100110000000000</v>
      </c>
    </row>
    <row r="4" spans="1:24" x14ac:dyDescent="0.25">
      <c r="A4" s="2">
        <v>1</v>
      </c>
      <c r="B4" s="2">
        <v>58</v>
      </c>
      <c r="C4" s="2" t="str">
        <f>MID($E$1,B4,1)</f>
        <v>1</v>
      </c>
      <c r="D4" s="2">
        <v>32</v>
      </c>
      <c r="E4" s="2">
        <v>40</v>
      </c>
      <c r="N4" t="s">
        <v>106</v>
      </c>
      <c r="O4" t="str">
        <f>RIGHT(O1,32)</f>
        <v>11100000010101001111000010101010</v>
      </c>
    </row>
    <row r="5" spans="1:24" x14ac:dyDescent="0.25">
      <c r="A5" s="2">
        <v>2</v>
      </c>
      <c r="B5" s="2">
        <v>50</v>
      </c>
      <c r="C5" s="2" t="str">
        <f>MID($E$1,B5,1)</f>
        <v>0</v>
      </c>
      <c r="D5" s="2">
        <v>1</v>
      </c>
      <c r="E5" s="2">
        <v>8</v>
      </c>
    </row>
    <row r="6" spans="1:24" x14ac:dyDescent="0.25">
      <c r="A6" s="2">
        <v>3</v>
      </c>
      <c r="B6" s="2">
        <v>42</v>
      </c>
      <c r="C6" s="2" t="str">
        <f t="shared" ref="C6:C67" si="0">MID($E$1,B6,1)</f>
        <v>0</v>
      </c>
      <c r="D6" s="2">
        <v>2</v>
      </c>
      <c r="E6" s="2">
        <v>48</v>
      </c>
      <c r="G6" t="s">
        <v>107</v>
      </c>
      <c r="H6" s="11"/>
      <c r="I6" s="11"/>
      <c r="J6" s="11"/>
    </row>
    <row r="7" spans="1:24" x14ac:dyDescent="0.25">
      <c r="A7" s="2">
        <v>4</v>
      </c>
      <c r="B7" s="2">
        <v>34</v>
      </c>
      <c r="C7" s="2" t="str">
        <f t="shared" si="0"/>
        <v>1</v>
      </c>
      <c r="D7" s="2">
        <v>3</v>
      </c>
      <c r="E7" s="2">
        <v>16</v>
      </c>
    </row>
    <row r="8" spans="1:24" x14ac:dyDescent="0.25">
      <c r="A8" s="2">
        <v>5</v>
      </c>
      <c r="B8" s="2">
        <v>26</v>
      </c>
      <c r="C8" s="2" t="str">
        <f t="shared" si="0"/>
        <v>1</v>
      </c>
      <c r="D8" s="2">
        <v>4</v>
      </c>
      <c r="E8" s="2">
        <v>56</v>
      </c>
      <c r="G8" s="9" t="s">
        <v>109</v>
      </c>
      <c r="H8" s="9">
        <v>0</v>
      </c>
      <c r="I8" s="9">
        <v>1</v>
      </c>
      <c r="J8" s="9">
        <v>2</v>
      </c>
      <c r="K8" s="9">
        <v>3</v>
      </c>
      <c r="L8" s="9">
        <v>4</v>
      </c>
      <c r="M8" s="9">
        <v>5</v>
      </c>
      <c r="N8" s="9">
        <v>6</v>
      </c>
      <c r="O8" s="9">
        <v>7</v>
      </c>
      <c r="P8" s="9">
        <v>8</v>
      </c>
      <c r="Q8" s="9">
        <v>9</v>
      </c>
      <c r="R8" s="9">
        <v>10</v>
      </c>
      <c r="S8" s="9">
        <v>11</v>
      </c>
      <c r="T8" s="9">
        <v>12</v>
      </c>
      <c r="U8" s="9">
        <v>13</v>
      </c>
      <c r="V8" s="9">
        <v>14</v>
      </c>
      <c r="W8" s="9">
        <v>15</v>
      </c>
      <c r="X8" s="9">
        <v>16</v>
      </c>
    </row>
    <row r="9" spans="1:24" x14ac:dyDescent="0.25">
      <c r="A9" s="2">
        <v>6</v>
      </c>
      <c r="B9" s="2">
        <v>18</v>
      </c>
      <c r="C9" s="2" t="str">
        <f t="shared" si="0"/>
        <v>0</v>
      </c>
      <c r="D9" s="2">
        <v>5</v>
      </c>
      <c r="E9" s="2">
        <v>24</v>
      </c>
      <c r="G9" s="9">
        <v>1</v>
      </c>
      <c r="H9" s="2">
        <f>MOD(VALUE(MID($O$4,D4,1)) + VALUE('k1-16'!B108),2)</f>
        <v>0</v>
      </c>
      <c r="I9" s="2">
        <f>MOD(VALUE(MID(r0_l0!$C$43,'F(RxorK)'!D4,1))+VALUE('k1-16'!C108),2)</f>
        <v>0</v>
      </c>
      <c r="J9" s="2">
        <f>MOD(VALUE(MID(r0_l0!$C$44,'F(RxorK)'!$D4,1))+VALUE('k1-16'!D108),2)</f>
        <v>1</v>
      </c>
      <c r="K9" s="2">
        <f>MOD(VALUE(MID(r0_l0!$C$45,'F(RxorK)'!D4,1))+VALUE('k1-16'!E108),2)</f>
        <v>0</v>
      </c>
      <c r="L9" s="2">
        <f>MOD(VALUE(MID(r0_l0!$C$46,'F(RxorK)'!D4,1))+VALUE('k1-16'!F108),2)</f>
        <v>1</v>
      </c>
      <c r="M9" s="2">
        <f>MOD(VALUE(MID(r0_l0!$C$47,'F(RxorK)'!$D4,1))+VALUE('k1-16'!G108),2)</f>
        <v>1</v>
      </c>
      <c r="N9" s="2">
        <f>MOD(VALUE(MID(r0_l0!$C$48,'F(RxorK)'!$D4,1))+VALUE('k1-16'!H108),2)</f>
        <v>0</v>
      </c>
      <c r="O9" s="2">
        <f>MOD(VALUE(MID(r0_l0!$C$49,'F(RxorK)'!$D4,1))+VALUE('k1-16'!I108),2)</f>
        <v>0</v>
      </c>
      <c r="P9" s="2">
        <f>MOD(VALUE(MID(r0_l0!$C$50,'F(RxorK)'!$D4,1))+VALUE('k1-16'!J108),2)</f>
        <v>1</v>
      </c>
      <c r="Q9" s="2">
        <f>MOD(VALUE(MID(r0_l0!$C$51,'F(RxorK)'!$D4,1))+VALUE('k1-16'!K108),2)</f>
        <v>1</v>
      </c>
      <c r="R9" s="2">
        <f>MOD(VALUE(MID(r0_l0!$C$52,'F(RxorK)'!$D4,1))+VALUE('k1-16'!L108),2)</f>
        <v>0</v>
      </c>
      <c r="S9" s="2">
        <f>MOD(VALUE(MID(r0_l0!$C$53,'F(RxorK)'!$D4,1))+VALUE('k1-16'!M108),2)</f>
        <v>0</v>
      </c>
      <c r="T9" s="2">
        <f>MOD(VALUE(MID(r0_l0!$C$54,'F(RxorK)'!$D4,1))+VALUE('k1-16'!N108),2)</f>
        <v>0</v>
      </c>
      <c r="U9" s="2">
        <f>MOD(VALUE(MID(r0_l0!$C$55,'F(RxorK)'!$D4,1))+VALUE('k1-16'!O108),2)</f>
        <v>0</v>
      </c>
      <c r="V9" s="2">
        <f>MOD(VALUE(MID(r0_l0!$C$56,'F(RxorK)'!$D4,1))+VALUE('k1-16'!P108),2)</f>
        <v>0</v>
      </c>
      <c r="W9" s="2">
        <f>MOD(VALUE(MID(r0_l0!$C$57,'F(RxorK)'!$D4,1))+VALUE('k1-16'!Q108),2)</f>
        <v>0</v>
      </c>
      <c r="X9" s="2">
        <f>MOD(VALUE(MID(r0_l0!$C$58,'F(RxorK)'!$D4,1))+VALUE('k1-16'!R108),2)</f>
        <v>0</v>
      </c>
    </row>
    <row r="10" spans="1:24" x14ac:dyDescent="0.25">
      <c r="A10" s="2">
        <v>7</v>
      </c>
      <c r="B10" s="2">
        <v>10</v>
      </c>
      <c r="C10" s="2" t="str">
        <f t="shared" si="0"/>
        <v>0</v>
      </c>
      <c r="D10" s="2">
        <v>4</v>
      </c>
      <c r="E10" s="2">
        <v>64</v>
      </c>
      <c r="G10" s="9">
        <v>2</v>
      </c>
      <c r="H10" s="2">
        <f>MOD(VALUE(MID($O$4,D5,1)) + VALUE('k1-16'!B109),2)</f>
        <v>1</v>
      </c>
      <c r="I10" s="2">
        <f>MOD(VALUE(MID(r0_l0!$C$43,'F(RxorK)'!D5,1))+VALUE('k1-16'!C109),2)</f>
        <v>1</v>
      </c>
      <c r="J10" s="2">
        <f>MOD(VALUE(MID(r0_l0!$C$44,'F(RxorK)'!$D5,1))+VALUE('k1-16'!D109),2)</f>
        <v>1</v>
      </c>
      <c r="K10" s="2">
        <f>MOD(VALUE(MID(r0_l0!$C$45,'F(RxorK)'!D5,1))+VALUE('k1-16'!E109),2)</f>
        <v>0</v>
      </c>
      <c r="L10" s="2">
        <f>MOD(VALUE(MID(r0_l0!$C$46,'F(RxorK)'!D5,1))+VALUE('k1-16'!F109),2)</f>
        <v>0</v>
      </c>
      <c r="M10" s="2">
        <f>MOD(VALUE(MID(r0_l0!$C$47,'F(RxorK)'!$D5,1))+VALUE('k1-16'!G109),2)</f>
        <v>1</v>
      </c>
      <c r="N10" s="2">
        <f>MOD(VALUE(MID(r0_l0!$C$48,'F(RxorK)'!$D5,1))+VALUE('k1-16'!H109),2)</f>
        <v>1</v>
      </c>
      <c r="O10" s="2">
        <f>MOD(VALUE(MID(r0_l0!$C$49,'F(RxorK)'!$D5,1))+VALUE('k1-16'!I109),2)</f>
        <v>1</v>
      </c>
      <c r="P10" s="2">
        <f>MOD(VALUE(MID(r0_l0!$C$50,'F(RxorK)'!$D5,1))+VALUE('k1-16'!J109),2)</f>
        <v>1</v>
      </c>
      <c r="Q10" s="2">
        <f>MOD(VALUE(MID(r0_l0!$C$51,'F(RxorK)'!$D5,1))+VALUE('k1-16'!K109),2)</f>
        <v>1</v>
      </c>
      <c r="R10" s="2">
        <f>MOD(VALUE(MID(r0_l0!$C$52,'F(RxorK)'!$D5,1))+VALUE('k1-16'!L109),2)</f>
        <v>1</v>
      </c>
      <c r="S10" s="2">
        <f>MOD(VALUE(MID(r0_l0!$C$53,'F(RxorK)'!$D5,1))+VALUE('k1-16'!M109),2)</f>
        <v>1</v>
      </c>
      <c r="T10" s="2">
        <f>MOD(VALUE(MID(r0_l0!$C$54,'F(RxorK)'!$D5,1))+VALUE('k1-16'!N109),2)</f>
        <v>1</v>
      </c>
      <c r="U10" s="2">
        <f>MOD(VALUE(MID(r0_l0!$C$55,'F(RxorK)'!$D5,1))+VALUE('k1-16'!O109),2)</f>
        <v>1</v>
      </c>
      <c r="V10" s="2">
        <f>MOD(VALUE(MID(r0_l0!$C$56,'F(RxorK)'!$D5,1))+VALUE('k1-16'!P109),2)</f>
        <v>1</v>
      </c>
      <c r="W10" s="2">
        <f>MOD(VALUE(MID(r0_l0!$C$57,'F(RxorK)'!$D5,1))+VALUE('k1-16'!Q109),2)</f>
        <v>1</v>
      </c>
      <c r="X10" s="2">
        <f>MOD(VALUE(MID(r0_l0!$C$58,'F(RxorK)'!$D5,1))+VALUE('k1-16'!R109),2)</f>
        <v>0</v>
      </c>
    </row>
    <row r="11" spans="1:24" x14ac:dyDescent="0.25">
      <c r="A11" s="2">
        <v>8</v>
      </c>
      <c r="B11" s="2">
        <v>2</v>
      </c>
      <c r="C11" s="2" t="str">
        <f t="shared" si="0"/>
        <v>0</v>
      </c>
      <c r="D11" s="2">
        <v>5</v>
      </c>
      <c r="E11" s="2">
        <v>32</v>
      </c>
      <c r="G11" s="9">
        <v>3</v>
      </c>
      <c r="H11" s="2">
        <f>MOD(VALUE(MID($O$4,D6,1)) + VALUE('k1-16'!B110),2)</f>
        <v>1</v>
      </c>
      <c r="I11" s="2">
        <f>MOD(VALUE(MID(r0_l0!$C$43,'F(RxorK)'!D6,1))+VALUE('k1-16'!C110),2)</f>
        <v>1</v>
      </c>
      <c r="J11" s="2">
        <f>MOD(VALUE(MID(r0_l0!$C$44,'F(RxorK)'!$D6,1))+VALUE('k1-16'!D110),2)</f>
        <v>1</v>
      </c>
      <c r="K11" s="2">
        <f>MOD(VALUE(MID(r0_l0!$C$45,'F(RxorK)'!D6,1))+VALUE('k1-16'!E110),2)</f>
        <v>0</v>
      </c>
      <c r="L11" s="2">
        <f>MOD(VALUE(MID(r0_l0!$C$46,'F(RxorK)'!D6,1))+VALUE('k1-16'!F110),2)</f>
        <v>1</v>
      </c>
      <c r="M11" s="2">
        <f>MOD(VALUE(MID(r0_l0!$C$47,'F(RxorK)'!$D6,1))+VALUE('k1-16'!G110),2)</f>
        <v>1</v>
      </c>
      <c r="N11" s="2">
        <f>MOD(VALUE(MID(r0_l0!$C$48,'F(RxorK)'!$D6,1))+VALUE('k1-16'!H110),2)</f>
        <v>1</v>
      </c>
      <c r="O11" s="2">
        <f>MOD(VALUE(MID(r0_l0!$C$49,'F(RxorK)'!$D6,1))+VALUE('k1-16'!I110),2)</f>
        <v>0</v>
      </c>
      <c r="P11" s="2">
        <f>MOD(VALUE(MID(r0_l0!$C$50,'F(RxorK)'!$D6,1))+VALUE('k1-16'!J110),2)</f>
        <v>1</v>
      </c>
      <c r="Q11" s="2">
        <f>MOD(VALUE(MID(r0_l0!$C$51,'F(RxorK)'!$D6,1))+VALUE('k1-16'!K110),2)</f>
        <v>1</v>
      </c>
      <c r="R11" s="2">
        <f>MOD(VALUE(MID(r0_l0!$C$52,'F(RxorK)'!$D6,1))+VALUE('k1-16'!L110),2)</f>
        <v>1</v>
      </c>
      <c r="S11" s="2">
        <f>MOD(VALUE(MID(r0_l0!$C$53,'F(RxorK)'!$D6,1))+VALUE('k1-16'!M110),2)</f>
        <v>0</v>
      </c>
      <c r="T11" s="2">
        <f>MOD(VALUE(MID(r0_l0!$C$54,'F(RxorK)'!$D6,1))+VALUE('k1-16'!N110),2)</f>
        <v>1</v>
      </c>
      <c r="U11" s="2">
        <f>MOD(VALUE(MID(r0_l0!$C$55,'F(RxorK)'!$D6,1))+VALUE('k1-16'!O110),2)</f>
        <v>0</v>
      </c>
      <c r="V11" s="2">
        <f>MOD(VALUE(MID(r0_l0!$C$56,'F(RxorK)'!$D6,1))+VALUE('k1-16'!P110),2)</f>
        <v>1</v>
      </c>
      <c r="W11" s="2">
        <f>MOD(VALUE(MID(r0_l0!$C$57,'F(RxorK)'!$D6,1))+VALUE('k1-16'!Q110),2)</f>
        <v>1</v>
      </c>
      <c r="X11" s="2">
        <f>MOD(VALUE(MID(r0_l0!$C$58,'F(RxorK)'!$D6,1))+VALUE('k1-16'!R110),2)</f>
        <v>1</v>
      </c>
    </row>
    <row r="12" spans="1:24" x14ac:dyDescent="0.25">
      <c r="A12" s="2">
        <v>9</v>
      </c>
      <c r="B12" s="2">
        <v>60</v>
      </c>
      <c r="C12" s="2" t="str">
        <f t="shared" si="0"/>
        <v>1</v>
      </c>
      <c r="D12" s="2">
        <v>6</v>
      </c>
      <c r="E12" s="2">
        <v>39</v>
      </c>
      <c r="G12" s="9">
        <v>4</v>
      </c>
      <c r="H12" s="2">
        <f>MOD(VALUE(MID($O$4,D7,1)) + VALUE('k1-16'!B111),2)</f>
        <v>0</v>
      </c>
      <c r="I12" s="2">
        <f>MOD(VALUE(MID(r0_l0!$C$43,'F(RxorK)'!D7,1))+VALUE('k1-16'!C111),2)</f>
        <v>0</v>
      </c>
      <c r="J12" s="2">
        <f>MOD(VALUE(MID(r0_l0!$C$44,'F(RxorK)'!$D7,1))+VALUE('k1-16'!D111),2)</f>
        <v>0</v>
      </c>
      <c r="K12" s="2">
        <f>MOD(VALUE(MID(r0_l0!$C$45,'F(RxorK)'!D7,1))+VALUE('k1-16'!E111),2)</f>
        <v>1</v>
      </c>
      <c r="L12" s="2">
        <f>MOD(VALUE(MID(r0_l0!$C$46,'F(RxorK)'!D7,1))+VALUE('k1-16'!F111),2)</f>
        <v>1</v>
      </c>
      <c r="M12" s="2">
        <f>MOD(VALUE(MID(r0_l0!$C$47,'F(RxorK)'!$D7,1))+VALUE('k1-16'!G111),2)</f>
        <v>0</v>
      </c>
      <c r="N12" s="2">
        <f>MOD(VALUE(MID(r0_l0!$C$48,'F(RxorK)'!$D7,1))+VALUE('k1-16'!H111),2)</f>
        <v>1</v>
      </c>
      <c r="O12" s="2">
        <f>MOD(VALUE(MID(r0_l0!$C$49,'F(RxorK)'!$D7,1))+VALUE('k1-16'!I111),2)</f>
        <v>1</v>
      </c>
      <c r="P12" s="2">
        <f>MOD(VALUE(MID(r0_l0!$C$50,'F(RxorK)'!$D7,1))+VALUE('k1-16'!J111),2)</f>
        <v>0</v>
      </c>
      <c r="Q12" s="2">
        <f>MOD(VALUE(MID(r0_l0!$C$51,'F(RxorK)'!$D7,1))+VALUE('k1-16'!K111),2)</f>
        <v>0</v>
      </c>
      <c r="R12" s="2">
        <f>MOD(VALUE(MID(r0_l0!$C$52,'F(RxorK)'!$D7,1))+VALUE('k1-16'!L111),2)</f>
        <v>0</v>
      </c>
      <c r="S12" s="2">
        <f>MOD(VALUE(MID(r0_l0!$C$53,'F(RxorK)'!$D7,1))+VALUE('k1-16'!M111),2)</f>
        <v>1</v>
      </c>
      <c r="T12" s="2">
        <f>MOD(VALUE(MID(r0_l0!$C$54,'F(RxorK)'!$D7,1))+VALUE('k1-16'!N111),2)</f>
        <v>0</v>
      </c>
      <c r="U12" s="2">
        <f>MOD(VALUE(MID(r0_l0!$C$55,'F(RxorK)'!$D7,1))+VALUE('k1-16'!O111),2)</f>
        <v>0</v>
      </c>
      <c r="V12" s="2">
        <f>MOD(VALUE(MID(r0_l0!$C$56,'F(RxorK)'!$D7,1))+VALUE('k1-16'!P111),2)</f>
        <v>1</v>
      </c>
      <c r="W12" s="2">
        <f>MOD(VALUE(MID(r0_l0!$C$57,'F(RxorK)'!$D7,1))+VALUE('k1-16'!Q111),2)</f>
        <v>1</v>
      </c>
      <c r="X12" s="2">
        <f>MOD(VALUE(MID(r0_l0!$C$58,'F(RxorK)'!$D7,1))+VALUE('k1-16'!R111),2)</f>
        <v>0</v>
      </c>
    </row>
    <row r="13" spans="1:24" x14ac:dyDescent="0.25">
      <c r="A13" s="2">
        <v>10</v>
      </c>
      <c r="B13" s="2">
        <v>52</v>
      </c>
      <c r="C13" s="2" t="str">
        <f t="shared" si="0"/>
        <v>1</v>
      </c>
      <c r="D13" s="2">
        <v>7</v>
      </c>
      <c r="E13" s="2">
        <v>7</v>
      </c>
      <c r="G13" s="9">
        <v>5</v>
      </c>
      <c r="H13" s="2">
        <f>MOD(VALUE(MID($O$4,D8,1)) + VALUE('k1-16'!B112),2)</f>
        <v>1</v>
      </c>
      <c r="I13" s="2">
        <f>MOD(VALUE(MID(r0_l0!$C$43,'F(RxorK)'!D8,1))+VALUE('k1-16'!C112),2)</f>
        <v>1</v>
      </c>
      <c r="J13" s="2">
        <f>MOD(VALUE(MID(r0_l0!$C$44,'F(RxorK)'!$D8,1))+VALUE('k1-16'!D112),2)</f>
        <v>0</v>
      </c>
      <c r="K13" s="2">
        <f>MOD(VALUE(MID(r0_l0!$C$45,'F(RxorK)'!D8,1))+VALUE('k1-16'!E112),2)</f>
        <v>1</v>
      </c>
      <c r="L13" s="2">
        <f>MOD(VALUE(MID(r0_l0!$C$46,'F(RxorK)'!D8,1))+VALUE('k1-16'!F112),2)</f>
        <v>0</v>
      </c>
      <c r="M13" s="2">
        <f>MOD(VALUE(MID(r0_l0!$C$47,'F(RxorK)'!$D8,1))+VALUE('k1-16'!G112),2)</f>
        <v>0</v>
      </c>
      <c r="N13" s="2">
        <f>MOD(VALUE(MID(r0_l0!$C$48,'F(RxorK)'!$D8,1))+VALUE('k1-16'!H112),2)</f>
        <v>0</v>
      </c>
      <c r="O13" s="2">
        <f>MOD(VALUE(MID(r0_l0!$C$49,'F(RxorK)'!$D8,1))+VALUE('k1-16'!I112),2)</f>
        <v>0</v>
      </c>
      <c r="P13" s="2">
        <f>MOD(VALUE(MID(r0_l0!$C$50,'F(RxorK)'!$D8,1))+VALUE('k1-16'!J112),2)</f>
        <v>1</v>
      </c>
      <c r="Q13" s="2">
        <f>MOD(VALUE(MID(r0_l0!$C$51,'F(RxorK)'!$D8,1))+VALUE('k1-16'!K112),2)</f>
        <v>1</v>
      </c>
      <c r="R13" s="2">
        <f>MOD(VALUE(MID(r0_l0!$C$52,'F(RxorK)'!$D8,1))+VALUE('k1-16'!L112),2)</f>
        <v>0</v>
      </c>
      <c r="S13" s="2">
        <f>MOD(VALUE(MID(r0_l0!$C$53,'F(RxorK)'!$D8,1))+VALUE('k1-16'!M112),2)</f>
        <v>0</v>
      </c>
      <c r="T13" s="2">
        <f>MOD(VALUE(MID(r0_l0!$C$54,'F(RxorK)'!$D8,1))+VALUE('k1-16'!N112),2)</f>
        <v>1</v>
      </c>
      <c r="U13" s="2">
        <f>MOD(VALUE(MID(r0_l0!$C$55,'F(RxorK)'!$D8,1))+VALUE('k1-16'!O112),2)</f>
        <v>1</v>
      </c>
      <c r="V13" s="2">
        <f>MOD(VALUE(MID(r0_l0!$C$56,'F(RxorK)'!$D8,1))+VALUE('k1-16'!P112),2)</f>
        <v>0</v>
      </c>
      <c r="W13" s="2">
        <f>MOD(VALUE(MID(r0_l0!$C$57,'F(RxorK)'!$D8,1))+VALUE('k1-16'!Q112),2)</f>
        <v>1</v>
      </c>
      <c r="X13" s="2">
        <f>MOD(VALUE(MID(r0_l0!$C$58,'F(RxorK)'!$D8,1))+VALUE('k1-16'!R112),2)</f>
        <v>1</v>
      </c>
    </row>
    <row r="14" spans="1:24" x14ac:dyDescent="0.25">
      <c r="A14" s="2">
        <v>11</v>
      </c>
      <c r="B14" s="2">
        <v>44</v>
      </c>
      <c r="C14" s="2" t="str">
        <f t="shared" si="0"/>
        <v>1</v>
      </c>
      <c r="D14" s="2">
        <v>8</v>
      </c>
      <c r="E14" s="2">
        <v>47</v>
      </c>
      <c r="G14" s="9">
        <v>6</v>
      </c>
      <c r="H14" s="2">
        <f>MOD(VALUE(MID($O$4,D9,1)) + VALUE('k1-16'!B113),2)</f>
        <v>0</v>
      </c>
      <c r="I14" s="2">
        <f>MOD(VALUE(MID(r0_l0!$C$43,'F(RxorK)'!D9,1))+VALUE('k1-16'!C113),2)</f>
        <v>1</v>
      </c>
      <c r="J14" s="2">
        <f>MOD(VALUE(MID(r0_l0!$C$44,'F(RxorK)'!$D9,1))+VALUE('k1-16'!D113),2)</f>
        <v>0</v>
      </c>
      <c r="K14" s="2">
        <f>MOD(VALUE(MID(r0_l0!$C$45,'F(RxorK)'!D9,1))+VALUE('k1-16'!E113),2)</f>
        <v>0</v>
      </c>
      <c r="L14" s="2">
        <f>MOD(VALUE(MID(r0_l0!$C$46,'F(RxorK)'!D9,1))+VALUE('k1-16'!F113),2)</f>
        <v>0</v>
      </c>
      <c r="M14" s="2">
        <f>MOD(VALUE(MID(r0_l0!$C$47,'F(RxorK)'!$D9,1))+VALUE('k1-16'!G113),2)</f>
        <v>1</v>
      </c>
      <c r="N14" s="2">
        <f>MOD(VALUE(MID(r0_l0!$C$48,'F(RxorK)'!$D9,1))+VALUE('k1-16'!H113),2)</f>
        <v>1</v>
      </c>
      <c r="O14" s="2">
        <f>MOD(VALUE(MID(r0_l0!$C$49,'F(RxorK)'!$D9,1))+VALUE('k1-16'!I113),2)</f>
        <v>1</v>
      </c>
      <c r="P14" s="2">
        <f>MOD(VALUE(MID(r0_l0!$C$50,'F(RxorK)'!$D9,1))+VALUE('k1-16'!J113),2)</f>
        <v>1</v>
      </c>
      <c r="Q14" s="2">
        <f>MOD(VALUE(MID(r0_l0!$C$51,'F(RxorK)'!$D9,1))+VALUE('k1-16'!K113),2)</f>
        <v>1</v>
      </c>
      <c r="R14" s="2">
        <f>MOD(VALUE(MID(r0_l0!$C$52,'F(RxorK)'!$D9,1))+VALUE('k1-16'!L113),2)</f>
        <v>1</v>
      </c>
      <c r="S14" s="2">
        <f>MOD(VALUE(MID(r0_l0!$C$53,'F(RxorK)'!$D9,1))+VALUE('k1-16'!M113),2)</f>
        <v>0</v>
      </c>
      <c r="T14" s="2">
        <f>MOD(VALUE(MID(r0_l0!$C$54,'F(RxorK)'!$D9,1))+VALUE('k1-16'!N113),2)</f>
        <v>0</v>
      </c>
      <c r="U14" s="2">
        <f>MOD(VALUE(MID(r0_l0!$C$55,'F(RxorK)'!$D9,1))+VALUE('k1-16'!O113),2)</f>
        <v>0</v>
      </c>
      <c r="V14" s="2">
        <f>MOD(VALUE(MID(r0_l0!$C$56,'F(RxorK)'!$D9,1))+VALUE('k1-16'!P113),2)</f>
        <v>0</v>
      </c>
      <c r="W14" s="2">
        <f>MOD(VALUE(MID(r0_l0!$C$57,'F(RxorK)'!$D9,1))+VALUE('k1-16'!Q113),2)</f>
        <v>1</v>
      </c>
      <c r="X14" s="2">
        <f>MOD(VALUE(MID(r0_l0!$C$58,'F(RxorK)'!$D9,1))+VALUE('k1-16'!R113),2)</f>
        <v>0</v>
      </c>
    </row>
    <row r="15" spans="1:24" x14ac:dyDescent="0.25">
      <c r="A15" s="2">
        <v>12</v>
      </c>
      <c r="B15" s="2">
        <v>36</v>
      </c>
      <c r="C15" s="2" t="str">
        <f t="shared" si="0"/>
        <v>1</v>
      </c>
      <c r="D15" s="2">
        <v>9</v>
      </c>
      <c r="E15" s="2">
        <v>15</v>
      </c>
      <c r="G15" s="9">
        <v>7</v>
      </c>
      <c r="H15" s="2">
        <f>MOD(VALUE(MID($O$4,D10,1)) + VALUE('k1-16'!B114),2)</f>
        <v>1</v>
      </c>
      <c r="I15" s="2">
        <f>MOD(VALUE(MID(r0_l0!$C$43,'F(RxorK)'!D10,1))+VALUE('k1-16'!C114),2)</f>
        <v>0</v>
      </c>
      <c r="J15" s="2">
        <f>MOD(VALUE(MID(r0_l0!$C$44,'F(RxorK)'!$D10,1))+VALUE('k1-16'!D114),2)</f>
        <v>0</v>
      </c>
      <c r="K15" s="2">
        <f>MOD(VALUE(MID(r0_l0!$C$45,'F(RxorK)'!D10,1))+VALUE('k1-16'!E114),2)</f>
        <v>0</v>
      </c>
      <c r="L15" s="2">
        <f>MOD(VALUE(MID(r0_l0!$C$46,'F(RxorK)'!D10,1))+VALUE('k1-16'!F114),2)</f>
        <v>1</v>
      </c>
      <c r="M15" s="2">
        <f>MOD(VALUE(MID(r0_l0!$C$47,'F(RxorK)'!$D10,1))+VALUE('k1-16'!G114),2)</f>
        <v>1</v>
      </c>
      <c r="N15" s="2">
        <f>MOD(VALUE(MID(r0_l0!$C$48,'F(RxorK)'!$D10,1))+VALUE('k1-16'!H114),2)</f>
        <v>1</v>
      </c>
      <c r="O15" s="2">
        <f>MOD(VALUE(MID(r0_l0!$C$49,'F(RxorK)'!$D10,1))+VALUE('k1-16'!I114),2)</f>
        <v>1</v>
      </c>
      <c r="P15" s="2">
        <f>MOD(VALUE(MID(r0_l0!$C$50,'F(RxorK)'!$D10,1))+VALUE('k1-16'!J114),2)</f>
        <v>1</v>
      </c>
      <c r="Q15" s="2">
        <f>MOD(VALUE(MID(r0_l0!$C$51,'F(RxorK)'!$D10,1))+VALUE('k1-16'!K114),2)</f>
        <v>1</v>
      </c>
      <c r="R15" s="2">
        <f>MOD(VALUE(MID(r0_l0!$C$52,'F(RxorK)'!$D10,1))+VALUE('k1-16'!L114),2)</f>
        <v>0</v>
      </c>
      <c r="S15" s="2">
        <f>MOD(VALUE(MID(r0_l0!$C$53,'F(RxorK)'!$D10,1))+VALUE('k1-16'!M114),2)</f>
        <v>0</v>
      </c>
      <c r="T15" s="2">
        <f>MOD(VALUE(MID(r0_l0!$C$54,'F(RxorK)'!$D10,1))+VALUE('k1-16'!N114),2)</f>
        <v>1</v>
      </c>
      <c r="U15" s="2">
        <f>MOD(VALUE(MID(r0_l0!$C$55,'F(RxorK)'!$D10,1))+VALUE('k1-16'!O114),2)</f>
        <v>0</v>
      </c>
      <c r="V15" s="2">
        <f>MOD(VALUE(MID(r0_l0!$C$56,'F(RxorK)'!$D10,1))+VALUE('k1-16'!P114),2)</f>
        <v>0</v>
      </c>
      <c r="W15" s="2">
        <f>MOD(VALUE(MID(r0_l0!$C$57,'F(RxorK)'!$D10,1))+VALUE('k1-16'!Q114),2)</f>
        <v>1</v>
      </c>
      <c r="X15" s="2">
        <f>MOD(VALUE(MID(r0_l0!$C$58,'F(RxorK)'!$D10,1))+VALUE('k1-16'!R114),2)</f>
        <v>1</v>
      </c>
    </row>
    <row r="16" spans="1:24" x14ac:dyDescent="0.25">
      <c r="A16" s="2">
        <v>13</v>
      </c>
      <c r="B16" s="2">
        <v>28</v>
      </c>
      <c r="C16" s="2" t="str">
        <f t="shared" si="0"/>
        <v>1</v>
      </c>
      <c r="D16" s="2">
        <v>8</v>
      </c>
      <c r="E16" s="2">
        <v>55</v>
      </c>
      <c r="G16" s="9">
        <v>8</v>
      </c>
      <c r="H16" s="2">
        <f>MOD(VALUE(MID($O$4,D11,1)) + VALUE('k1-16'!B115),2)</f>
        <v>1</v>
      </c>
      <c r="I16" s="2">
        <f>MOD(VALUE(MID(r0_l0!$C$43,'F(RxorK)'!D11,1))+VALUE('k1-16'!C115),2)</f>
        <v>0</v>
      </c>
      <c r="J16" s="2">
        <f>MOD(VALUE(MID(r0_l0!$C$44,'F(RxorK)'!$D11,1))+VALUE('k1-16'!D115),2)</f>
        <v>0</v>
      </c>
      <c r="K16" s="2">
        <f>MOD(VALUE(MID(r0_l0!$C$45,'F(RxorK)'!D11,1))+VALUE('k1-16'!E115),2)</f>
        <v>0</v>
      </c>
      <c r="L16" s="2">
        <f>MOD(VALUE(MID(r0_l0!$C$46,'F(RxorK)'!D11,1))+VALUE('k1-16'!F115),2)</f>
        <v>1</v>
      </c>
      <c r="M16" s="2">
        <f>MOD(VALUE(MID(r0_l0!$C$47,'F(RxorK)'!$D11,1))+VALUE('k1-16'!G115),2)</f>
        <v>0</v>
      </c>
      <c r="N16" s="2">
        <f>MOD(VALUE(MID(r0_l0!$C$48,'F(RxorK)'!$D11,1))+VALUE('k1-16'!H115),2)</f>
        <v>0</v>
      </c>
      <c r="O16" s="2">
        <f>MOD(VALUE(MID(r0_l0!$C$49,'F(RxorK)'!$D11,1))+VALUE('k1-16'!I115),2)</f>
        <v>1</v>
      </c>
      <c r="P16" s="2">
        <f>MOD(VALUE(MID(r0_l0!$C$50,'F(RxorK)'!$D11,1))+VALUE('k1-16'!J115),2)</f>
        <v>1</v>
      </c>
      <c r="Q16" s="2">
        <f>MOD(VALUE(MID(r0_l0!$C$51,'F(RxorK)'!$D11,1))+VALUE('k1-16'!K115),2)</f>
        <v>0</v>
      </c>
      <c r="R16" s="2">
        <f>MOD(VALUE(MID(r0_l0!$C$52,'F(RxorK)'!$D11,1))+VALUE('k1-16'!L115),2)</f>
        <v>0</v>
      </c>
      <c r="S16" s="2">
        <f>MOD(VALUE(MID(r0_l0!$C$53,'F(RxorK)'!$D11,1))+VALUE('k1-16'!M115),2)</f>
        <v>1</v>
      </c>
      <c r="T16" s="2">
        <f>MOD(VALUE(MID(r0_l0!$C$54,'F(RxorK)'!$D11,1))+VALUE('k1-16'!N115),2)</f>
        <v>0</v>
      </c>
      <c r="U16" s="2">
        <f>MOD(VALUE(MID(r0_l0!$C$55,'F(RxorK)'!$D11,1))+VALUE('k1-16'!O115),2)</f>
        <v>0</v>
      </c>
      <c r="V16" s="2">
        <f>MOD(VALUE(MID(r0_l0!$C$56,'F(RxorK)'!$D11,1))+VALUE('k1-16'!P115),2)</f>
        <v>0</v>
      </c>
      <c r="W16" s="2">
        <f>MOD(VALUE(MID(r0_l0!$C$57,'F(RxorK)'!$D11,1))+VALUE('k1-16'!Q115),2)</f>
        <v>0</v>
      </c>
      <c r="X16" s="2">
        <f>MOD(VALUE(MID(r0_l0!$C$58,'F(RxorK)'!$D11,1))+VALUE('k1-16'!R115),2)</f>
        <v>0</v>
      </c>
    </row>
    <row r="17" spans="1:24" x14ac:dyDescent="0.25">
      <c r="A17" s="2">
        <v>14</v>
      </c>
      <c r="B17" s="2">
        <v>20</v>
      </c>
      <c r="C17" s="2" t="str">
        <f t="shared" si="0"/>
        <v>1</v>
      </c>
      <c r="D17" s="2">
        <v>9</v>
      </c>
      <c r="E17" s="2">
        <v>23</v>
      </c>
      <c r="G17" s="9">
        <v>9</v>
      </c>
      <c r="H17" s="2">
        <f>MOD(VALUE(MID($O$4,D12,1)) + VALUE('k1-16'!B116),2)</f>
        <v>0</v>
      </c>
      <c r="I17" s="2">
        <f>MOD(VALUE(MID(r0_l0!$C$43,'F(RxorK)'!D12,1))+VALUE('k1-16'!C116),2)</f>
        <v>0</v>
      </c>
      <c r="J17" s="2">
        <f>MOD(VALUE(MID(r0_l0!$C$44,'F(RxorK)'!$D12,1))+VALUE('k1-16'!D116),2)</f>
        <v>1</v>
      </c>
      <c r="K17" s="2">
        <f>MOD(VALUE(MID(r0_l0!$C$45,'F(RxorK)'!D12,1))+VALUE('k1-16'!E116),2)</f>
        <v>0</v>
      </c>
      <c r="L17" s="2">
        <f>MOD(VALUE(MID(r0_l0!$C$46,'F(RxorK)'!D12,1))+VALUE('k1-16'!F116),2)</f>
        <v>0</v>
      </c>
      <c r="M17" s="2">
        <f>MOD(VALUE(MID(r0_l0!$C$47,'F(RxorK)'!$D12,1))+VALUE('k1-16'!G116),2)</f>
        <v>0</v>
      </c>
      <c r="N17" s="2">
        <f>MOD(VALUE(MID(r0_l0!$C$48,'F(RxorK)'!$D12,1))+VALUE('k1-16'!H116),2)</f>
        <v>1</v>
      </c>
      <c r="O17" s="2">
        <f>MOD(VALUE(MID(r0_l0!$C$49,'F(RxorK)'!$D12,1))+VALUE('k1-16'!I116),2)</f>
        <v>1</v>
      </c>
      <c r="P17" s="2">
        <f>MOD(VALUE(MID(r0_l0!$C$50,'F(RxorK)'!$D12,1))+VALUE('k1-16'!J116),2)</f>
        <v>0</v>
      </c>
      <c r="Q17" s="2">
        <f>MOD(VALUE(MID(r0_l0!$C$51,'F(RxorK)'!$D12,1))+VALUE('k1-16'!K116),2)</f>
        <v>1</v>
      </c>
      <c r="R17" s="2">
        <f>MOD(VALUE(MID(r0_l0!$C$52,'F(RxorK)'!$D12,1))+VALUE('k1-16'!L116),2)</f>
        <v>0</v>
      </c>
      <c r="S17" s="2">
        <f>MOD(VALUE(MID(r0_l0!$C$53,'F(RxorK)'!$D12,1))+VALUE('k1-16'!M116),2)</f>
        <v>1</v>
      </c>
      <c r="T17" s="2">
        <f>MOD(VALUE(MID(r0_l0!$C$54,'F(RxorK)'!$D12,1))+VALUE('k1-16'!N116),2)</f>
        <v>1</v>
      </c>
      <c r="U17" s="2">
        <f>MOD(VALUE(MID(r0_l0!$C$55,'F(RxorK)'!$D12,1))+VALUE('k1-16'!O116),2)</f>
        <v>1</v>
      </c>
      <c r="V17" s="2">
        <f>MOD(VALUE(MID(r0_l0!$C$56,'F(RxorK)'!$D12,1))+VALUE('k1-16'!P116),2)</f>
        <v>0</v>
      </c>
      <c r="W17" s="2">
        <f>MOD(VALUE(MID(r0_l0!$C$57,'F(RxorK)'!$D12,1))+VALUE('k1-16'!Q116),2)</f>
        <v>1</v>
      </c>
      <c r="X17" s="2">
        <f>MOD(VALUE(MID(r0_l0!$C$58,'F(RxorK)'!$D12,1))+VALUE('k1-16'!R116),2)</f>
        <v>1</v>
      </c>
    </row>
    <row r="18" spans="1:24" x14ac:dyDescent="0.25">
      <c r="A18" s="2">
        <v>15</v>
      </c>
      <c r="B18" s="2">
        <v>12</v>
      </c>
      <c r="C18" s="2" t="str">
        <f t="shared" si="0"/>
        <v>1</v>
      </c>
      <c r="D18" s="2">
        <v>10</v>
      </c>
      <c r="E18" s="2">
        <v>63</v>
      </c>
      <c r="G18" s="9">
        <v>10</v>
      </c>
      <c r="H18" s="2">
        <f>MOD(VALUE(MID($O$4,D13,1)) + VALUE('k1-16'!B117),2)</f>
        <v>0</v>
      </c>
      <c r="I18" s="2">
        <f>MOD(VALUE(MID(r0_l0!$C$43,'F(RxorK)'!D13,1))+VALUE('k1-16'!C117),2)</f>
        <v>1</v>
      </c>
      <c r="J18" s="2">
        <f>MOD(VALUE(MID(r0_l0!$C$44,'F(RxorK)'!$D13,1))+VALUE('k1-16'!D117),2)</f>
        <v>1</v>
      </c>
      <c r="K18" s="2">
        <f>MOD(VALUE(MID(r0_l0!$C$45,'F(RxorK)'!D13,1))+VALUE('k1-16'!E117),2)</f>
        <v>0</v>
      </c>
      <c r="L18" s="2">
        <f>MOD(VALUE(MID(r0_l0!$C$46,'F(RxorK)'!D13,1))+VALUE('k1-16'!F117),2)</f>
        <v>1</v>
      </c>
      <c r="M18" s="2">
        <f>MOD(VALUE(MID(r0_l0!$C$47,'F(RxorK)'!$D13,1))+VALUE('k1-16'!G117),2)</f>
        <v>0</v>
      </c>
      <c r="N18" s="2">
        <f>MOD(VALUE(MID(r0_l0!$C$48,'F(RxorK)'!$D13,1))+VALUE('k1-16'!H117),2)</f>
        <v>1</v>
      </c>
      <c r="O18" s="2">
        <f>MOD(VALUE(MID(r0_l0!$C$49,'F(RxorK)'!$D13,1))+VALUE('k1-16'!I117),2)</f>
        <v>1</v>
      </c>
      <c r="P18" s="2">
        <f>MOD(VALUE(MID(r0_l0!$C$50,'F(RxorK)'!$D13,1))+VALUE('k1-16'!J117),2)</f>
        <v>0</v>
      </c>
      <c r="Q18" s="2">
        <f>MOD(VALUE(MID(r0_l0!$C$51,'F(RxorK)'!$D13,1))+VALUE('k1-16'!K117),2)</f>
        <v>1</v>
      </c>
      <c r="R18" s="2">
        <f>MOD(VALUE(MID(r0_l0!$C$52,'F(RxorK)'!$D13,1))+VALUE('k1-16'!L117),2)</f>
        <v>0</v>
      </c>
      <c r="S18" s="2">
        <f>MOD(VALUE(MID(r0_l0!$C$53,'F(RxorK)'!$D13,1))+VALUE('k1-16'!M117),2)</f>
        <v>1</v>
      </c>
      <c r="T18" s="2">
        <f>MOD(VALUE(MID(r0_l0!$C$54,'F(RxorK)'!$D13,1))+VALUE('k1-16'!N117),2)</f>
        <v>0</v>
      </c>
      <c r="U18" s="2">
        <f>MOD(VALUE(MID(r0_l0!$C$55,'F(RxorK)'!$D13,1))+VALUE('k1-16'!O117),2)</f>
        <v>0</v>
      </c>
      <c r="V18" s="2">
        <f>MOD(VALUE(MID(r0_l0!$C$56,'F(RxorK)'!$D13,1))+VALUE('k1-16'!P117),2)</f>
        <v>1</v>
      </c>
      <c r="W18" s="2">
        <f>MOD(VALUE(MID(r0_l0!$C$57,'F(RxorK)'!$D13,1))+VALUE('k1-16'!Q117),2)</f>
        <v>1</v>
      </c>
      <c r="X18" s="2">
        <f>MOD(VALUE(MID(r0_l0!$C$58,'F(RxorK)'!$D13,1))+VALUE('k1-16'!R117),2)</f>
        <v>0</v>
      </c>
    </row>
    <row r="19" spans="1:24" x14ac:dyDescent="0.25">
      <c r="A19" s="2">
        <v>16</v>
      </c>
      <c r="B19" s="2">
        <v>4</v>
      </c>
      <c r="C19" s="2" t="str">
        <f t="shared" si="0"/>
        <v>0</v>
      </c>
      <c r="D19" s="2">
        <v>11</v>
      </c>
      <c r="E19" s="2">
        <v>31</v>
      </c>
      <c r="G19" s="9">
        <v>11</v>
      </c>
      <c r="H19" s="2">
        <f>MOD(VALUE(MID($O$4,D14,1)) + VALUE('k1-16'!B118),2)</f>
        <v>0</v>
      </c>
      <c r="I19" s="2">
        <f>MOD(VALUE(MID(r0_l0!$C$43,'F(RxorK)'!D14,1))+VALUE('k1-16'!C118),2)</f>
        <v>0</v>
      </c>
      <c r="J19" s="2">
        <f>MOD(VALUE(MID(r0_l0!$C$44,'F(RxorK)'!$D14,1))+VALUE('k1-16'!D118),2)</f>
        <v>1</v>
      </c>
      <c r="K19" s="2">
        <f>MOD(VALUE(MID(r0_l0!$C$45,'F(RxorK)'!D14,1))+VALUE('k1-16'!E118),2)</f>
        <v>0</v>
      </c>
      <c r="L19" s="2">
        <f>MOD(VALUE(MID(r0_l0!$C$46,'F(RxorK)'!D14,1))+VALUE('k1-16'!F118),2)</f>
        <v>1</v>
      </c>
      <c r="M19" s="2">
        <f>MOD(VALUE(MID(r0_l0!$C$47,'F(RxorK)'!$D14,1))+VALUE('k1-16'!G118),2)</f>
        <v>0</v>
      </c>
      <c r="N19" s="2">
        <f>MOD(VALUE(MID(r0_l0!$C$48,'F(RxorK)'!$D14,1))+VALUE('k1-16'!H118),2)</f>
        <v>1</v>
      </c>
      <c r="O19" s="2">
        <f>MOD(VALUE(MID(r0_l0!$C$49,'F(RxorK)'!$D14,1))+VALUE('k1-16'!I118),2)</f>
        <v>1</v>
      </c>
      <c r="P19" s="2">
        <f>MOD(VALUE(MID(r0_l0!$C$50,'F(RxorK)'!$D14,1))+VALUE('k1-16'!J118),2)</f>
        <v>1</v>
      </c>
      <c r="Q19" s="2">
        <f>MOD(VALUE(MID(r0_l0!$C$51,'F(RxorK)'!$D14,1))+VALUE('k1-16'!K118),2)</f>
        <v>1</v>
      </c>
      <c r="R19" s="2">
        <f>MOD(VALUE(MID(r0_l0!$C$52,'F(RxorK)'!$D14,1))+VALUE('k1-16'!L118),2)</f>
        <v>0</v>
      </c>
      <c r="S19" s="2">
        <f>MOD(VALUE(MID(r0_l0!$C$53,'F(RxorK)'!$D14,1))+VALUE('k1-16'!M118),2)</f>
        <v>1</v>
      </c>
      <c r="T19" s="2">
        <f>MOD(VALUE(MID(r0_l0!$C$54,'F(RxorK)'!$D14,1))+VALUE('k1-16'!N118),2)</f>
        <v>0</v>
      </c>
      <c r="U19" s="2">
        <f>MOD(VALUE(MID(r0_l0!$C$55,'F(RxorK)'!$D14,1))+VALUE('k1-16'!O118),2)</f>
        <v>1</v>
      </c>
      <c r="V19" s="2">
        <f>MOD(VALUE(MID(r0_l0!$C$56,'F(RxorK)'!$D14,1))+VALUE('k1-16'!P118),2)</f>
        <v>1</v>
      </c>
      <c r="W19" s="2">
        <f>MOD(VALUE(MID(r0_l0!$C$57,'F(RxorK)'!$D14,1))+VALUE('k1-16'!Q118),2)</f>
        <v>1</v>
      </c>
      <c r="X19" s="2">
        <f>MOD(VALUE(MID(r0_l0!$C$58,'F(RxorK)'!$D14,1))+VALUE('k1-16'!R118),2)</f>
        <v>0</v>
      </c>
    </row>
    <row r="20" spans="1:24" x14ac:dyDescent="0.25">
      <c r="A20" s="2">
        <v>17</v>
      </c>
      <c r="B20" s="2">
        <v>62</v>
      </c>
      <c r="C20" s="2" t="str">
        <f t="shared" si="0"/>
        <v>1</v>
      </c>
      <c r="D20" s="2">
        <v>12</v>
      </c>
      <c r="E20" s="2">
        <v>38</v>
      </c>
      <c r="G20" s="9">
        <v>12</v>
      </c>
      <c r="H20" s="2">
        <f>MOD(VALUE(MID($O$4,D15,1)) + VALUE('k1-16'!B119),2)</f>
        <v>0</v>
      </c>
      <c r="I20" s="2">
        <f>MOD(VALUE(MID(r0_l0!$C$43,'F(RxorK)'!D15,1))+VALUE('k1-16'!C119),2)</f>
        <v>0</v>
      </c>
      <c r="J20" s="2">
        <f>MOD(VALUE(MID(r0_l0!$C$44,'F(RxorK)'!$D15,1))+VALUE('k1-16'!D119),2)</f>
        <v>1</v>
      </c>
      <c r="K20" s="2">
        <f>MOD(VALUE(MID(r0_l0!$C$45,'F(RxorK)'!D15,1))+VALUE('k1-16'!E119),2)</f>
        <v>0</v>
      </c>
      <c r="L20" s="2">
        <f>MOD(VALUE(MID(r0_l0!$C$46,'F(RxorK)'!D15,1))+VALUE('k1-16'!F119),2)</f>
        <v>0</v>
      </c>
      <c r="M20" s="2">
        <f>MOD(VALUE(MID(r0_l0!$C$47,'F(RxorK)'!$D15,1))+VALUE('k1-16'!G119),2)</f>
        <v>0</v>
      </c>
      <c r="N20" s="2">
        <f>MOD(VALUE(MID(r0_l0!$C$48,'F(RxorK)'!$D15,1))+VALUE('k1-16'!H119),2)</f>
        <v>1</v>
      </c>
      <c r="O20" s="2">
        <f>MOD(VALUE(MID(r0_l0!$C$49,'F(RxorK)'!$D15,1))+VALUE('k1-16'!I119),2)</f>
        <v>0</v>
      </c>
      <c r="P20" s="2">
        <f>MOD(VALUE(MID(r0_l0!$C$50,'F(RxorK)'!$D15,1))+VALUE('k1-16'!J119),2)</f>
        <v>1</v>
      </c>
      <c r="Q20" s="2">
        <f>MOD(VALUE(MID(r0_l0!$C$51,'F(RxorK)'!$D15,1))+VALUE('k1-16'!K119),2)</f>
        <v>1</v>
      </c>
      <c r="R20" s="2">
        <f>MOD(VALUE(MID(r0_l0!$C$52,'F(RxorK)'!$D15,1))+VALUE('k1-16'!L119),2)</f>
        <v>1</v>
      </c>
      <c r="S20" s="2">
        <f>MOD(VALUE(MID(r0_l0!$C$53,'F(RxorK)'!$D15,1))+VALUE('k1-16'!M119),2)</f>
        <v>0</v>
      </c>
      <c r="T20" s="2">
        <f>MOD(VALUE(MID(r0_l0!$C$54,'F(RxorK)'!$D15,1))+VALUE('k1-16'!N119),2)</f>
        <v>0</v>
      </c>
      <c r="U20" s="2">
        <f>MOD(VALUE(MID(r0_l0!$C$55,'F(RxorK)'!$D15,1))+VALUE('k1-16'!O119),2)</f>
        <v>0</v>
      </c>
      <c r="V20" s="2">
        <f>MOD(VALUE(MID(r0_l0!$C$56,'F(RxorK)'!$D15,1))+VALUE('k1-16'!P119),2)</f>
        <v>0</v>
      </c>
      <c r="W20" s="2">
        <f>MOD(VALUE(MID(r0_l0!$C$57,'F(RxorK)'!$D15,1))+VALUE('k1-16'!Q119),2)</f>
        <v>1</v>
      </c>
      <c r="X20" s="2">
        <f>MOD(VALUE(MID(r0_l0!$C$58,'F(RxorK)'!$D15,1))+VALUE('k1-16'!R119),2)</f>
        <v>0</v>
      </c>
    </row>
    <row r="21" spans="1:24" x14ac:dyDescent="0.25">
      <c r="A21" s="2">
        <v>18</v>
      </c>
      <c r="B21" s="2">
        <v>54</v>
      </c>
      <c r="C21" s="2" t="str">
        <f t="shared" si="0"/>
        <v>1</v>
      </c>
      <c r="D21" s="2">
        <v>13</v>
      </c>
      <c r="E21" s="2">
        <v>6</v>
      </c>
      <c r="G21" s="9">
        <v>13</v>
      </c>
      <c r="H21" s="2">
        <f>MOD(VALUE(MID($O$4,D16,1)) + VALUE('k1-16'!B120),2)</f>
        <v>0</v>
      </c>
      <c r="I21" s="2">
        <f>MOD(VALUE(MID(r0_l0!$C$43,'F(RxorK)'!D16,1))+VALUE('k1-16'!C120),2)</f>
        <v>0</v>
      </c>
      <c r="J21" s="2">
        <f>MOD(VALUE(MID(r0_l0!$C$44,'F(RxorK)'!$D16,1))+VALUE('k1-16'!D120),2)</f>
        <v>1</v>
      </c>
      <c r="K21" s="2">
        <f>MOD(VALUE(MID(r0_l0!$C$45,'F(RxorK)'!D16,1))+VALUE('k1-16'!E120),2)</f>
        <v>0</v>
      </c>
      <c r="L21" s="2">
        <f>MOD(VALUE(MID(r0_l0!$C$46,'F(RxorK)'!D16,1))+VALUE('k1-16'!F120),2)</f>
        <v>1</v>
      </c>
      <c r="M21" s="2">
        <f>MOD(VALUE(MID(r0_l0!$C$47,'F(RxorK)'!$D16,1))+VALUE('k1-16'!G120),2)</f>
        <v>1</v>
      </c>
      <c r="N21" s="2">
        <f>MOD(VALUE(MID(r0_l0!$C$48,'F(RxorK)'!$D16,1))+VALUE('k1-16'!H120),2)</f>
        <v>1</v>
      </c>
      <c r="O21" s="2">
        <f>MOD(VALUE(MID(r0_l0!$C$49,'F(RxorK)'!$D16,1))+VALUE('k1-16'!I120),2)</f>
        <v>0</v>
      </c>
      <c r="P21" s="2">
        <f>MOD(VALUE(MID(r0_l0!$C$50,'F(RxorK)'!$D16,1))+VALUE('k1-16'!J120),2)</f>
        <v>0</v>
      </c>
      <c r="Q21" s="2">
        <f>MOD(VALUE(MID(r0_l0!$C$51,'F(RxorK)'!$D16,1))+VALUE('k1-16'!K120),2)</f>
        <v>0</v>
      </c>
      <c r="R21" s="2">
        <f>MOD(VALUE(MID(r0_l0!$C$52,'F(RxorK)'!$D16,1))+VALUE('k1-16'!L120),2)</f>
        <v>1</v>
      </c>
      <c r="S21" s="2">
        <f>MOD(VALUE(MID(r0_l0!$C$53,'F(RxorK)'!$D16,1))+VALUE('k1-16'!M120),2)</f>
        <v>0</v>
      </c>
      <c r="T21" s="2">
        <f>MOD(VALUE(MID(r0_l0!$C$54,'F(RxorK)'!$D16,1))+VALUE('k1-16'!N120),2)</f>
        <v>0</v>
      </c>
      <c r="U21" s="2">
        <f>MOD(VALUE(MID(r0_l0!$C$55,'F(RxorK)'!$D16,1))+VALUE('k1-16'!O120),2)</f>
        <v>1</v>
      </c>
      <c r="V21" s="2">
        <f>MOD(VALUE(MID(r0_l0!$C$56,'F(RxorK)'!$D16,1))+VALUE('k1-16'!P120),2)</f>
        <v>1</v>
      </c>
      <c r="W21" s="2">
        <f>MOD(VALUE(MID(r0_l0!$C$57,'F(RxorK)'!$D16,1))+VALUE('k1-16'!Q120),2)</f>
        <v>1</v>
      </c>
      <c r="X21" s="2">
        <f>MOD(VALUE(MID(r0_l0!$C$58,'F(RxorK)'!$D16,1))+VALUE('k1-16'!R120),2)</f>
        <v>0</v>
      </c>
    </row>
    <row r="22" spans="1:24" x14ac:dyDescent="0.25">
      <c r="A22" s="2">
        <v>19</v>
      </c>
      <c r="B22" s="2">
        <v>46</v>
      </c>
      <c r="C22" s="2" t="str">
        <f t="shared" si="0"/>
        <v>0</v>
      </c>
      <c r="D22" s="2">
        <v>12</v>
      </c>
      <c r="E22" s="2">
        <v>46</v>
      </c>
      <c r="G22" s="9">
        <v>14</v>
      </c>
      <c r="H22" s="2">
        <f>MOD(VALUE(MID($O$4,D17,1)) + VALUE('k1-16'!B121),2)</f>
        <v>0</v>
      </c>
      <c r="I22" s="2">
        <f>MOD(VALUE(MID(r0_l0!$C$43,'F(RxorK)'!D17,1))+VALUE('k1-16'!C121),2)</f>
        <v>1</v>
      </c>
      <c r="J22" s="2">
        <f>MOD(VALUE(MID(r0_l0!$C$44,'F(RxorK)'!$D17,1))+VALUE('k1-16'!D121),2)</f>
        <v>1</v>
      </c>
      <c r="K22" s="2">
        <f>MOD(VALUE(MID(r0_l0!$C$45,'F(RxorK)'!D17,1))+VALUE('k1-16'!E121),2)</f>
        <v>1</v>
      </c>
      <c r="L22" s="2">
        <f>MOD(VALUE(MID(r0_l0!$C$46,'F(RxorK)'!D17,1))+VALUE('k1-16'!F121),2)</f>
        <v>1</v>
      </c>
      <c r="M22" s="2">
        <f>MOD(VALUE(MID(r0_l0!$C$47,'F(RxorK)'!$D17,1))+VALUE('k1-16'!G121),2)</f>
        <v>1</v>
      </c>
      <c r="N22" s="2">
        <f>MOD(VALUE(MID(r0_l0!$C$48,'F(RxorK)'!$D17,1))+VALUE('k1-16'!H121),2)</f>
        <v>0</v>
      </c>
      <c r="O22" s="2">
        <f>MOD(VALUE(MID(r0_l0!$C$49,'F(RxorK)'!$D17,1))+VALUE('k1-16'!I121),2)</f>
        <v>0</v>
      </c>
      <c r="P22" s="2">
        <f>MOD(VALUE(MID(r0_l0!$C$50,'F(RxorK)'!$D17,1))+VALUE('k1-16'!J121),2)</f>
        <v>0</v>
      </c>
      <c r="Q22" s="2">
        <f>MOD(VALUE(MID(r0_l0!$C$51,'F(RxorK)'!$D17,1))+VALUE('k1-16'!K121),2)</f>
        <v>0</v>
      </c>
      <c r="R22" s="2">
        <f>MOD(VALUE(MID(r0_l0!$C$52,'F(RxorK)'!$D17,1))+VALUE('k1-16'!L121),2)</f>
        <v>1</v>
      </c>
      <c r="S22" s="2">
        <f>MOD(VALUE(MID(r0_l0!$C$53,'F(RxorK)'!$D17,1))+VALUE('k1-16'!M121),2)</f>
        <v>1</v>
      </c>
      <c r="T22" s="2">
        <f>MOD(VALUE(MID(r0_l0!$C$54,'F(RxorK)'!$D17,1))+VALUE('k1-16'!N121),2)</f>
        <v>1</v>
      </c>
      <c r="U22" s="2">
        <f>MOD(VALUE(MID(r0_l0!$C$55,'F(RxorK)'!$D17,1))+VALUE('k1-16'!O121),2)</f>
        <v>0</v>
      </c>
      <c r="V22" s="2">
        <f>MOD(VALUE(MID(r0_l0!$C$56,'F(RxorK)'!$D17,1))+VALUE('k1-16'!P121),2)</f>
        <v>1</v>
      </c>
      <c r="W22" s="2">
        <f>MOD(VALUE(MID(r0_l0!$C$57,'F(RxorK)'!$D17,1))+VALUE('k1-16'!Q121),2)</f>
        <v>1</v>
      </c>
      <c r="X22" s="2">
        <f>MOD(VALUE(MID(r0_l0!$C$58,'F(RxorK)'!$D17,1))+VALUE('k1-16'!R121),2)</f>
        <v>0</v>
      </c>
    </row>
    <row r="23" spans="1:24" x14ac:dyDescent="0.25">
      <c r="A23" s="2">
        <v>20</v>
      </c>
      <c r="B23" s="2">
        <v>38</v>
      </c>
      <c r="C23" s="2" t="str">
        <f t="shared" si="0"/>
        <v>0</v>
      </c>
      <c r="D23" s="2">
        <v>13</v>
      </c>
      <c r="E23" s="2">
        <v>14</v>
      </c>
      <c r="G23" s="9">
        <v>15</v>
      </c>
      <c r="H23" s="2">
        <f>MOD(VALUE(MID($O$4,D18,1)) + VALUE('k1-16'!B122),2)</f>
        <v>0</v>
      </c>
      <c r="I23" s="2">
        <f>MOD(VALUE(MID(r0_l0!$C$43,'F(RxorK)'!D18,1))+VALUE('k1-16'!C122),2)</f>
        <v>1</v>
      </c>
      <c r="J23" s="2">
        <f>MOD(VALUE(MID(r0_l0!$C$44,'F(RxorK)'!$D18,1))+VALUE('k1-16'!D122),2)</f>
        <v>0</v>
      </c>
      <c r="K23" s="2">
        <f>MOD(VALUE(MID(r0_l0!$C$45,'F(RxorK)'!D18,1))+VALUE('k1-16'!E122),2)</f>
        <v>0</v>
      </c>
      <c r="L23" s="2">
        <f>MOD(VALUE(MID(r0_l0!$C$46,'F(RxorK)'!D18,1))+VALUE('k1-16'!F122),2)</f>
        <v>1</v>
      </c>
      <c r="M23" s="2">
        <f>MOD(VALUE(MID(r0_l0!$C$47,'F(RxorK)'!$D18,1))+VALUE('k1-16'!G122),2)</f>
        <v>0</v>
      </c>
      <c r="N23" s="2">
        <f>MOD(VALUE(MID(r0_l0!$C$48,'F(RxorK)'!$D18,1))+VALUE('k1-16'!H122),2)</f>
        <v>0</v>
      </c>
      <c r="O23" s="2">
        <f>MOD(VALUE(MID(r0_l0!$C$49,'F(RxorK)'!$D18,1))+VALUE('k1-16'!I122),2)</f>
        <v>1</v>
      </c>
      <c r="P23" s="2">
        <f>MOD(VALUE(MID(r0_l0!$C$50,'F(RxorK)'!$D18,1))+VALUE('k1-16'!J122),2)</f>
        <v>0</v>
      </c>
      <c r="Q23" s="2">
        <f>MOD(VALUE(MID(r0_l0!$C$51,'F(RxorK)'!$D18,1))+VALUE('k1-16'!K122),2)</f>
        <v>0</v>
      </c>
      <c r="R23" s="2">
        <f>MOD(VALUE(MID(r0_l0!$C$52,'F(RxorK)'!$D18,1))+VALUE('k1-16'!L122),2)</f>
        <v>0</v>
      </c>
      <c r="S23" s="2">
        <f>MOD(VALUE(MID(r0_l0!$C$53,'F(RxorK)'!$D18,1))+VALUE('k1-16'!M122),2)</f>
        <v>0</v>
      </c>
      <c r="T23" s="2">
        <f>MOD(VALUE(MID(r0_l0!$C$54,'F(RxorK)'!$D18,1))+VALUE('k1-16'!N122),2)</f>
        <v>0</v>
      </c>
      <c r="U23" s="2">
        <f>MOD(VALUE(MID(r0_l0!$C$55,'F(RxorK)'!$D18,1))+VALUE('k1-16'!O122),2)</f>
        <v>0</v>
      </c>
      <c r="V23" s="2">
        <f>MOD(VALUE(MID(r0_l0!$C$56,'F(RxorK)'!$D18,1))+VALUE('k1-16'!P122),2)</f>
        <v>1</v>
      </c>
      <c r="W23" s="2">
        <f>MOD(VALUE(MID(r0_l0!$C$57,'F(RxorK)'!$D18,1))+VALUE('k1-16'!Q122),2)</f>
        <v>1</v>
      </c>
      <c r="X23" s="2">
        <f>MOD(VALUE(MID(r0_l0!$C$58,'F(RxorK)'!$D18,1))+VALUE('k1-16'!R122),2)</f>
        <v>0</v>
      </c>
    </row>
    <row r="24" spans="1:24" x14ac:dyDescent="0.25">
      <c r="A24" s="2">
        <v>21</v>
      </c>
      <c r="B24" s="2">
        <v>30</v>
      </c>
      <c r="C24" s="2" t="str">
        <f t="shared" si="0"/>
        <v>1</v>
      </c>
      <c r="D24" s="2">
        <v>14</v>
      </c>
      <c r="E24" s="2">
        <v>54</v>
      </c>
      <c r="G24" s="9">
        <v>16</v>
      </c>
      <c r="H24" s="2">
        <f>MOD(VALUE(MID($O$4,D19,1)) + VALUE('k1-16'!B123),2)</f>
        <v>0</v>
      </c>
      <c r="I24" s="2">
        <f>MOD(VALUE(MID(r0_l0!$C$43,'F(RxorK)'!D19,1))+VALUE('k1-16'!C123),2)</f>
        <v>1</v>
      </c>
      <c r="J24" s="2">
        <f>MOD(VALUE(MID(r0_l0!$C$44,'F(RxorK)'!$D19,1))+VALUE('k1-16'!D123),2)</f>
        <v>0</v>
      </c>
      <c r="K24" s="2">
        <f>MOD(VALUE(MID(r0_l0!$C$45,'F(RxorK)'!D19,1))+VALUE('k1-16'!E123),2)</f>
        <v>1</v>
      </c>
      <c r="L24" s="2">
        <f>MOD(VALUE(MID(r0_l0!$C$46,'F(RxorK)'!D19,1))+VALUE('k1-16'!F123),2)</f>
        <v>0</v>
      </c>
      <c r="M24" s="2">
        <f>MOD(VALUE(MID(r0_l0!$C$47,'F(RxorK)'!$D19,1))+VALUE('k1-16'!G123),2)</f>
        <v>0</v>
      </c>
      <c r="N24" s="2">
        <f>MOD(VALUE(MID(r0_l0!$C$48,'F(RxorK)'!$D19,1))+VALUE('k1-16'!H123),2)</f>
        <v>0</v>
      </c>
      <c r="O24" s="2">
        <f>MOD(VALUE(MID(r0_l0!$C$49,'F(RxorK)'!$D19,1))+VALUE('k1-16'!I123),2)</f>
        <v>1</v>
      </c>
      <c r="P24" s="2">
        <f>MOD(VALUE(MID(r0_l0!$C$50,'F(RxorK)'!$D19,1))+VALUE('k1-16'!J123),2)</f>
        <v>0</v>
      </c>
      <c r="Q24" s="2">
        <f>MOD(VALUE(MID(r0_l0!$C$51,'F(RxorK)'!$D19,1))+VALUE('k1-16'!K123),2)</f>
        <v>0</v>
      </c>
      <c r="R24" s="2">
        <f>MOD(VALUE(MID(r0_l0!$C$52,'F(RxorK)'!$D19,1))+VALUE('k1-16'!L123),2)</f>
        <v>0</v>
      </c>
      <c r="S24" s="2">
        <f>MOD(VALUE(MID(r0_l0!$C$53,'F(RxorK)'!$D19,1))+VALUE('k1-16'!M123),2)</f>
        <v>1</v>
      </c>
      <c r="T24" s="2">
        <f>MOD(VALUE(MID(r0_l0!$C$54,'F(RxorK)'!$D19,1))+VALUE('k1-16'!N123),2)</f>
        <v>0</v>
      </c>
      <c r="U24" s="2">
        <f>MOD(VALUE(MID(r0_l0!$C$55,'F(RxorK)'!$D19,1))+VALUE('k1-16'!O123),2)</f>
        <v>0</v>
      </c>
      <c r="V24" s="2">
        <f>MOD(VALUE(MID(r0_l0!$C$56,'F(RxorK)'!$D19,1))+VALUE('k1-16'!P123),2)</f>
        <v>1</v>
      </c>
      <c r="W24" s="2">
        <f>MOD(VALUE(MID(r0_l0!$C$57,'F(RxorK)'!$D19,1))+VALUE('k1-16'!Q123),2)</f>
        <v>1</v>
      </c>
      <c r="X24" s="2">
        <f>MOD(VALUE(MID(r0_l0!$C$58,'F(RxorK)'!$D19,1))+VALUE('k1-16'!R123),2)</f>
        <v>1</v>
      </c>
    </row>
    <row r="25" spans="1:24" x14ac:dyDescent="0.25">
      <c r="A25" s="2">
        <v>22</v>
      </c>
      <c r="B25" s="2">
        <v>22</v>
      </c>
      <c r="C25" s="2" t="str">
        <f t="shared" si="0"/>
        <v>1</v>
      </c>
      <c r="D25" s="2">
        <v>15</v>
      </c>
      <c r="E25" s="2">
        <v>22</v>
      </c>
      <c r="G25" s="9">
        <v>17</v>
      </c>
      <c r="H25" s="2">
        <f>MOD(VALUE(MID($O$4,D20,1)) + VALUE('k1-16'!B124),2)</f>
        <v>0</v>
      </c>
      <c r="I25" s="2">
        <f>MOD(VALUE(MID(r0_l0!$C$43,'F(RxorK)'!D20,1))+VALUE('k1-16'!C124),2)</f>
        <v>1</v>
      </c>
      <c r="J25" s="2">
        <f>MOD(VALUE(MID(r0_l0!$C$44,'F(RxorK)'!$D20,1))+VALUE('k1-16'!D124),2)</f>
        <v>0</v>
      </c>
      <c r="K25" s="2">
        <f>MOD(VALUE(MID(r0_l0!$C$45,'F(RxorK)'!D20,1))+VALUE('k1-16'!E124),2)</f>
        <v>0</v>
      </c>
      <c r="L25" s="2">
        <f>MOD(VALUE(MID(r0_l0!$C$46,'F(RxorK)'!D20,1))+VALUE('k1-16'!F124),2)</f>
        <v>1</v>
      </c>
      <c r="M25" s="2">
        <f>MOD(VALUE(MID(r0_l0!$C$47,'F(RxorK)'!$D20,1))+VALUE('k1-16'!G124),2)</f>
        <v>0</v>
      </c>
      <c r="N25" s="2">
        <f>MOD(VALUE(MID(r0_l0!$C$48,'F(RxorK)'!$D20,1))+VALUE('k1-16'!H124),2)</f>
        <v>0</v>
      </c>
      <c r="O25" s="2">
        <f>MOD(VALUE(MID(r0_l0!$C$49,'F(RxorK)'!$D20,1))+VALUE('k1-16'!I124),2)</f>
        <v>1</v>
      </c>
      <c r="P25" s="2">
        <f>MOD(VALUE(MID(r0_l0!$C$50,'F(RxorK)'!$D20,1))+VALUE('k1-16'!J124),2)</f>
        <v>1</v>
      </c>
      <c r="Q25" s="2">
        <f>MOD(VALUE(MID(r0_l0!$C$51,'F(RxorK)'!$D20,1))+VALUE('k1-16'!K124),2)</f>
        <v>1</v>
      </c>
      <c r="R25" s="2">
        <f>MOD(VALUE(MID(r0_l0!$C$52,'F(RxorK)'!$D20,1))+VALUE('k1-16'!L124),2)</f>
        <v>0</v>
      </c>
      <c r="S25" s="2">
        <f>MOD(VALUE(MID(r0_l0!$C$53,'F(RxorK)'!$D20,1))+VALUE('k1-16'!M124),2)</f>
        <v>1</v>
      </c>
      <c r="T25" s="2">
        <f>MOD(VALUE(MID(r0_l0!$C$54,'F(RxorK)'!$D20,1))+VALUE('k1-16'!N124),2)</f>
        <v>0</v>
      </c>
      <c r="U25" s="2">
        <f>MOD(VALUE(MID(r0_l0!$C$55,'F(RxorK)'!$D20,1))+VALUE('k1-16'!O124),2)</f>
        <v>0</v>
      </c>
      <c r="V25" s="2">
        <f>MOD(VALUE(MID(r0_l0!$C$56,'F(RxorK)'!$D20,1))+VALUE('k1-16'!P124),2)</f>
        <v>1</v>
      </c>
      <c r="W25" s="2">
        <f>MOD(VALUE(MID(r0_l0!$C$57,'F(RxorK)'!$D20,1))+VALUE('k1-16'!Q124),2)</f>
        <v>0</v>
      </c>
      <c r="X25" s="2">
        <f>MOD(VALUE(MID(r0_l0!$C$58,'F(RxorK)'!$D20,1))+VALUE('k1-16'!R124),2)</f>
        <v>1</v>
      </c>
    </row>
    <row r="26" spans="1:24" x14ac:dyDescent="0.25">
      <c r="A26" s="2">
        <v>23</v>
      </c>
      <c r="B26" s="2">
        <v>14</v>
      </c>
      <c r="C26" s="2" t="str">
        <f t="shared" si="0"/>
        <v>0</v>
      </c>
      <c r="D26" s="2">
        <v>16</v>
      </c>
      <c r="E26" s="2">
        <v>62</v>
      </c>
      <c r="G26" s="9">
        <v>18</v>
      </c>
      <c r="H26" s="2">
        <f>MOD(VALUE(MID($O$4,D21,1)) + VALUE('k1-16'!B125),2)</f>
        <v>1</v>
      </c>
      <c r="I26" s="2">
        <f>MOD(VALUE(MID(r0_l0!$C$43,'F(RxorK)'!D21,1))+VALUE('k1-16'!C125),2)</f>
        <v>0</v>
      </c>
      <c r="J26" s="2">
        <f>MOD(VALUE(MID(r0_l0!$C$44,'F(RxorK)'!$D21,1))+VALUE('k1-16'!D125),2)</f>
        <v>1</v>
      </c>
      <c r="K26" s="2">
        <f>MOD(VALUE(MID(r0_l0!$C$45,'F(RxorK)'!D21,1))+VALUE('k1-16'!E125),2)</f>
        <v>1</v>
      </c>
      <c r="L26" s="2">
        <f>MOD(VALUE(MID(r0_l0!$C$46,'F(RxorK)'!D21,1))+VALUE('k1-16'!F125),2)</f>
        <v>0</v>
      </c>
      <c r="M26" s="2">
        <f>MOD(VALUE(MID(r0_l0!$C$47,'F(RxorK)'!$D21,1))+VALUE('k1-16'!G125),2)</f>
        <v>0</v>
      </c>
      <c r="N26" s="2">
        <f>MOD(VALUE(MID(r0_l0!$C$48,'F(RxorK)'!$D21,1))+VALUE('k1-16'!H125),2)</f>
        <v>0</v>
      </c>
      <c r="O26" s="2">
        <f>MOD(VALUE(MID(r0_l0!$C$49,'F(RxorK)'!$D21,1))+VALUE('k1-16'!I125),2)</f>
        <v>0</v>
      </c>
      <c r="P26" s="2">
        <f>MOD(VALUE(MID(r0_l0!$C$50,'F(RxorK)'!$D21,1))+VALUE('k1-16'!J125),2)</f>
        <v>0</v>
      </c>
      <c r="Q26" s="2">
        <f>MOD(VALUE(MID(r0_l0!$C$51,'F(RxorK)'!$D21,1))+VALUE('k1-16'!K125),2)</f>
        <v>1</v>
      </c>
      <c r="R26" s="2">
        <f>MOD(VALUE(MID(r0_l0!$C$52,'F(RxorK)'!$D21,1))+VALUE('k1-16'!L125),2)</f>
        <v>0</v>
      </c>
      <c r="S26" s="2">
        <f>MOD(VALUE(MID(r0_l0!$C$53,'F(RxorK)'!$D21,1))+VALUE('k1-16'!M125),2)</f>
        <v>1</v>
      </c>
      <c r="T26" s="2">
        <f>MOD(VALUE(MID(r0_l0!$C$54,'F(RxorK)'!$D21,1))+VALUE('k1-16'!N125),2)</f>
        <v>1</v>
      </c>
      <c r="U26" s="2">
        <f>MOD(VALUE(MID(r0_l0!$C$55,'F(RxorK)'!$D21,1))+VALUE('k1-16'!O125),2)</f>
        <v>1</v>
      </c>
      <c r="V26" s="2">
        <f>MOD(VALUE(MID(r0_l0!$C$56,'F(RxorK)'!$D21,1))+VALUE('k1-16'!P125),2)</f>
        <v>1</v>
      </c>
      <c r="W26" s="2">
        <f>MOD(VALUE(MID(r0_l0!$C$57,'F(RxorK)'!$D21,1))+VALUE('k1-16'!Q125),2)</f>
        <v>0</v>
      </c>
      <c r="X26" s="2">
        <f>MOD(VALUE(MID(r0_l0!$C$58,'F(RxorK)'!$D21,1))+VALUE('k1-16'!R125),2)</f>
        <v>1</v>
      </c>
    </row>
    <row r="27" spans="1:24" x14ac:dyDescent="0.25">
      <c r="A27" s="2">
        <v>24</v>
      </c>
      <c r="B27" s="2">
        <v>6</v>
      </c>
      <c r="C27" s="2" t="str">
        <f t="shared" si="0"/>
        <v>0</v>
      </c>
      <c r="D27" s="2">
        <v>17</v>
      </c>
      <c r="E27" s="2">
        <v>30</v>
      </c>
      <c r="G27" s="9">
        <v>19</v>
      </c>
      <c r="H27" s="2">
        <f>MOD(VALUE(MID($O$4,D22,1)) + VALUE('k1-16'!B126),2)</f>
        <v>0</v>
      </c>
      <c r="I27" s="2">
        <f>MOD(VALUE(MID(r0_l0!$C$43,'F(RxorK)'!D22,1))+VALUE('k1-16'!C126),2)</f>
        <v>0</v>
      </c>
      <c r="J27" s="2">
        <f>MOD(VALUE(MID(r0_l0!$C$44,'F(RxorK)'!$D22,1))+VALUE('k1-16'!D126),2)</f>
        <v>1</v>
      </c>
      <c r="K27" s="2">
        <f>MOD(VALUE(MID(r0_l0!$C$45,'F(RxorK)'!D22,1))+VALUE('k1-16'!E126),2)</f>
        <v>1</v>
      </c>
      <c r="L27" s="2">
        <f>MOD(VALUE(MID(r0_l0!$C$46,'F(RxorK)'!D22,1))+VALUE('k1-16'!F126),2)</f>
        <v>1</v>
      </c>
      <c r="M27" s="2">
        <f>MOD(VALUE(MID(r0_l0!$C$47,'F(RxorK)'!$D22,1))+VALUE('k1-16'!G126),2)</f>
        <v>0</v>
      </c>
      <c r="N27" s="2">
        <f>MOD(VALUE(MID(r0_l0!$C$48,'F(RxorK)'!$D22,1))+VALUE('k1-16'!H126),2)</f>
        <v>0</v>
      </c>
      <c r="O27" s="2">
        <f>MOD(VALUE(MID(r0_l0!$C$49,'F(RxorK)'!$D22,1))+VALUE('k1-16'!I126),2)</f>
        <v>0</v>
      </c>
      <c r="P27" s="2">
        <f>MOD(VALUE(MID(r0_l0!$C$50,'F(RxorK)'!$D22,1))+VALUE('k1-16'!J126),2)</f>
        <v>1</v>
      </c>
      <c r="Q27" s="2">
        <f>MOD(VALUE(MID(r0_l0!$C$51,'F(RxorK)'!$D22,1))+VALUE('k1-16'!K126),2)</f>
        <v>1</v>
      </c>
      <c r="R27" s="2">
        <f>MOD(VALUE(MID(r0_l0!$C$52,'F(RxorK)'!$D22,1))+VALUE('k1-16'!L126),2)</f>
        <v>1</v>
      </c>
      <c r="S27" s="2">
        <f>MOD(VALUE(MID(r0_l0!$C$53,'F(RxorK)'!$D22,1))+VALUE('k1-16'!M126),2)</f>
        <v>1</v>
      </c>
      <c r="T27" s="2">
        <f>MOD(VALUE(MID(r0_l0!$C$54,'F(RxorK)'!$D22,1))+VALUE('k1-16'!N126),2)</f>
        <v>1</v>
      </c>
      <c r="U27" s="2">
        <f>MOD(VALUE(MID(r0_l0!$C$55,'F(RxorK)'!$D22,1))+VALUE('k1-16'!O126),2)</f>
        <v>0</v>
      </c>
      <c r="V27" s="2">
        <f>MOD(VALUE(MID(r0_l0!$C$56,'F(RxorK)'!$D22,1))+VALUE('k1-16'!P126),2)</f>
        <v>0</v>
      </c>
      <c r="W27" s="2">
        <f>MOD(VALUE(MID(r0_l0!$C$57,'F(RxorK)'!$D22,1))+VALUE('k1-16'!Q126),2)</f>
        <v>0</v>
      </c>
      <c r="X27" s="2">
        <f>MOD(VALUE(MID(r0_l0!$C$58,'F(RxorK)'!$D22,1))+VALUE('k1-16'!R126),2)</f>
        <v>1</v>
      </c>
    </row>
    <row r="28" spans="1:24" x14ac:dyDescent="0.25">
      <c r="A28" s="2">
        <v>25</v>
      </c>
      <c r="B28" s="2">
        <v>64</v>
      </c>
      <c r="C28" s="2" t="str">
        <f t="shared" si="0"/>
        <v>0</v>
      </c>
      <c r="D28" s="2">
        <v>16</v>
      </c>
      <c r="E28" s="2">
        <v>37</v>
      </c>
      <c r="G28" s="9">
        <v>20</v>
      </c>
      <c r="H28" s="2">
        <f>MOD(VALUE(MID($O$4,D23,1)) + VALUE('k1-16'!B127),2)</f>
        <v>0</v>
      </c>
      <c r="I28" s="2">
        <f>MOD(VALUE(MID(r0_l0!$C$43,'F(RxorK)'!D23,1))+VALUE('k1-16'!C127),2)</f>
        <v>0</v>
      </c>
      <c r="J28" s="2">
        <f>MOD(VALUE(MID(r0_l0!$C$44,'F(RxorK)'!$D23,1))+VALUE('k1-16'!D127),2)</f>
        <v>1</v>
      </c>
      <c r="K28" s="2">
        <f>MOD(VALUE(MID(r0_l0!$C$45,'F(RxorK)'!D23,1))+VALUE('k1-16'!E127),2)</f>
        <v>1</v>
      </c>
      <c r="L28" s="2">
        <f>MOD(VALUE(MID(r0_l0!$C$46,'F(RxorK)'!D23,1))+VALUE('k1-16'!F127),2)</f>
        <v>0</v>
      </c>
      <c r="M28" s="2">
        <f>MOD(VALUE(MID(r0_l0!$C$47,'F(RxorK)'!$D23,1))+VALUE('k1-16'!G127),2)</f>
        <v>1</v>
      </c>
      <c r="N28" s="2">
        <f>MOD(VALUE(MID(r0_l0!$C$48,'F(RxorK)'!$D23,1))+VALUE('k1-16'!H127),2)</f>
        <v>1</v>
      </c>
      <c r="O28" s="2">
        <f>MOD(VALUE(MID(r0_l0!$C$49,'F(RxorK)'!$D23,1))+VALUE('k1-16'!I127),2)</f>
        <v>1</v>
      </c>
      <c r="P28" s="2">
        <f>MOD(VALUE(MID(r0_l0!$C$50,'F(RxorK)'!$D23,1))+VALUE('k1-16'!J127),2)</f>
        <v>1</v>
      </c>
      <c r="Q28" s="2">
        <f>MOD(VALUE(MID(r0_l0!$C$51,'F(RxorK)'!$D23,1))+VALUE('k1-16'!K127),2)</f>
        <v>0</v>
      </c>
      <c r="R28" s="2">
        <f>MOD(VALUE(MID(r0_l0!$C$52,'F(RxorK)'!$D23,1))+VALUE('k1-16'!L127),2)</f>
        <v>1</v>
      </c>
      <c r="S28" s="2">
        <f>MOD(VALUE(MID(r0_l0!$C$53,'F(RxorK)'!$D23,1))+VALUE('k1-16'!M127),2)</f>
        <v>1</v>
      </c>
      <c r="T28" s="2">
        <f>MOD(VALUE(MID(r0_l0!$C$54,'F(RxorK)'!$D23,1))+VALUE('k1-16'!N127),2)</f>
        <v>1</v>
      </c>
      <c r="U28" s="2">
        <f>MOD(VALUE(MID(r0_l0!$C$55,'F(RxorK)'!$D23,1))+VALUE('k1-16'!O127),2)</f>
        <v>0</v>
      </c>
      <c r="V28" s="2">
        <f>MOD(VALUE(MID(r0_l0!$C$56,'F(RxorK)'!$D23,1))+VALUE('k1-16'!P127),2)</f>
        <v>1</v>
      </c>
      <c r="W28" s="2">
        <f>MOD(VALUE(MID(r0_l0!$C$57,'F(RxorK)'!$D23,1))+VALUE('k1-16'!Q127),2)</f>
        <v>0</v>
      </c>
      <c r="X28" s="2">
        <f>MOD(VALUE(MID(r0_l0!$C$58,'F(RxorK)'!$D23,1))+VALUE('k1-16'!R127),2)</f>
        <v>1</v>
      </c>
    </row>
    <row r="29" spans="1:24" x14ac:dyDescent="0.25">
      <c r="A29" s="2">
        <v>26</v>
      </c>
      <c r="B29" s="2">
        <v>56</v>
      </c>
      <c r="C29" s="2" t="str">
        <f t="shared" si="0"/>
        <v>0</v>
      </c>
      <c r="D29" s="2">
        <v>17</v>
      </c>
      <c r="E29" s="2">
        <v>5</v>
      </c>
      <c r="G29" s="9">
        <v>21</v>
      </c>
      <c r="H29" s="2">
        <f>MOD(VALUE(MID($O$4,D24,1)) + VALUE('k1-16'!B128),2)</f>
        <v>0</v>
      </c>
      <c r="I29" s="2">
        <f>MOD(VALUE(MID(r0_l0!$C$43,'F(RxorK)'!D24,1))+VALUE('k1-16'!C128),2)</f>
        <v>0</v>
      </c>
      <c r="J29" s="2">
        <f>MOD(VALUE(MID(r0_l0!$C$44,'F(RxorK)'!$D24,1))+VALUE('k1-16'!D128),2)</f>
        <v>0</v>
      </c>
      <c r="K29" s="2">
        <f>MOD(VALUE(MID(r0_l0!$C$45,'F(RxorK)'!D24,1))+VALUE('k1-16'!E128),2)</f>
        <v>1</v>
      </c>
      <c r="L29" s="2">
        <f>MOD(VALUE(MID(r0_l0!$C$46,'F(RxorK)'!D24,1))+VALUE('k1-16'!F128),2)</f>
        <v>1</v>
      </c>
      <c r="M29" s="2">
        <f>MOD(VALUE(MID(r0_l0!$C$47,'F(RxorK)'!$D24,1))+VALUE('k1-16'!G128),2)</f>
        <v>0</v>
      </c>
      <c r="N29" s="2">
        <f>MOD(VALUE(MID(r0_l0!$C$48,'F(RxorK)'!$D24,1))+VALUE('k1-16'!H128),2)</f>
        <v>0</v>
      </c>
      <c r="O29" s="2">
        <f>MOD(VALUE(MID(r0_l0!$C$49,'F(RxorK)'!$D24,1))+VALUE('k1-16'!I128),2)</f>
        <v>0</v>
      </c>
      <c r="P29" s="2">
        <f>MOD(VALUE(MID(r0_l0!$C$50,'F(RxorK)'!$D24,1))+VALUE('k1-16'!J128),2)</f>
        <v>0</v>
      </c>
      <c r="Q29" s="2">
        <f>MOD(VALUE(MID(r0_l0!$C$51,'F(RxorK)'!$D24,1))+VALUE('k1-16'!K128),2)</f>
        <v>0</v>
      </c>
      <c r="R29" s="2">
        <f>MOD(VALUE(MID(r0_l0!$C$52,'F(RxorK)'!$D24,1))+VALUE('k1-16'!L128),2)</f>
        <v>0</v>
      </c>
      <c r="S29" s="2">
        <f>MOD(VALUE(MID(r0_l0!$C$53,'F(RxorK)'!$D24,1))+VALUE('k1-16'!M128),2)</f>
        <v>1</v>
      </c>
      <c r="T29" s="2">
        <f>MOD(VALUE(MID(r0_l0!$C$54,'F(RxorK)'!$D24,1))+VALUE('k1-16'!N128),2)</f>
        <v>1</v>
      </c>
      <c r="U29" s="2">
        <f>MOD(VALUE(MID(r0_l0!$C$55,'F(RxorK)'!$D24,1))+VALUE('k1-16'!O128),2)</f>
        <v>0</v>
      </c>
      <c r="V29" s="2">
        <f>MOD(VALUE(MID(r0_l0!$C$56,'F(RxorK)'!$D24,1))+VALUE('k1-16'!P128),2)</f>
        <v>0</v>
      </c>
      <c r="W29" s="2">
        <f>MOD(VALUE(MID(r0_l0!$C$57,'F(RxorK)'!$D24,1))+VALUE('k1-16'!Q128),2)</f>
        <v>0</v>
      </c>
      <c r="X29" s="2">
        <f>MOD(VALUE(MID(r0_l0!$C$58,'F(RxorK)'!$D24,1))+VALUE('k1-16'!R128),2)</f>
        <v>1</v>
      </c>
    </row>
    <row r="30" spans="1:24" x14ac:dyDescent="0.25">
      <c r="A30" s="2">
        <v>27</v>
      </c>
      <c r="B30" s="2">
        <v>48</v>
      </c>
      <c r="C30" s="2" t="str">
        <f t="shared" si="0"/>
        <v>0</v>
      </c>
      <c r="D30" s="2">
        <v>18</v>
      </c>
      <c r="E30" s="2">
        <v>45</v>
      </c>
      <c r="G30" s="9">
        <v>22</v>
      </c>
      <c r="H30" s="2">
        <f>MOD(VALUE(MID($O$4,D25,1)) + VALUE('k1-16'!B129),2)</f>
        <v>1</v>
      </c>
      <c r="I30" s="2">
        <f>MOD(VALUE(MID(r0_l0!$C$43,'F(RxorK)'!D25,1))+VALUE('k1-16'!C129),2)</f>
        <v>1</v>
      </c>
      <c r="J30" s="2">
        <f>MOD(VALUE(MID(r0_l0!$C$44,'F(RxorK)'!$D25,1))+VALUE('k1-16'!D129),2)</f>
        <v>0</v>
      </c>
      <c r="K30" s="2">
        <f>MOD(VALUE(MID(r0_l0!$C$45,'F(RxorK)'!D25,1))+VALUE('k1-16'!E129),2)</f>
        <v>0</v>
      </c>
      <c r="L30" s="2">
        <f>MOD(VALUE(MID(r0_l0!$C$46,'F(RxorK)'!D25,1))+VALUE('k1-16'!F129),2)</f>
        <v>1</v>
      </c>
      <c r="M30" s="2">
        <f>MOD(VALUE(MID(r0_l0!$C$47,'F(RxorK)'!$D25,1))+VALUE('k1-16'!G129),2)</f>
        <v>0</v>
      </c>
      <c r="N30" s="2">
        <f>MOD(VALUE(MID(r0_l0!$C$48,'F(RxorK)'!$D25,1))+VALUE('k1-16'!H129),2)</f>
        <v>1</v>
      </c>
      <c r="O30" s="2">
        <f>MOD(VALUE(MID(r0_l0!$C$49,'F(RxorK)'!$D25,1))+VALUE('k1-16'!I129),2)</f>
        <v>1</v>
      </c>
      <c r="P30" s="2">
        <f>MOD(VALUE(MID(r0_l0!$C$50,'F(RxorK)'!$D25,1))+VALUE('k1-16'!J129),2)</f>
        <v>0</v>
      </c>
      <c r="Q30" s="2">
        <f>MOD(VALUE(MID(r0_l0!$C$51,'F(RxorK)'!$D25,1))+VALUE('k1-16'!K129),2)</f>
        <v>1</v>
      </c>
      <c r="R30" s="2">
        <f>MOD(VALUE(MID(r0_l0!$C$52,'F(RxorK)'!$D25,1))+VALUE('k1-16'!L129),2)</f>
        <v>0</v>
      </c>
      <c r="S30" s="2">
        <f>MOD(VALUE(MID(r0_l0!$C$53,'F(RxorK)'!$D25,1))+VALUE('k1-16'!M129),2)</f>
        <v>0</v>
      </c>
      <c r="T30" s="2">
        <f>MOD(VALUE(MID(r0_l0!$C$54,'F(RxorK)'!$D25,1))+VALUE('k1-16'!N129),2)</f>
        <v>1</v>
      </c>
      <c r="U30" s="2">
        <f>MOD(VALUE(MID(r0_l0!$C$55,'F(RxorK)'!$D25,1))+VALUE('k1-16'!O129),2)</f>
        <v>1</v>
      </c>
      <c r="V30" s="2">
        <f>MOD(VALUE(MID(r0_l0!$C$56,'F(RxorK)'!$D25,1))+VALUE('k1-16'!P129),2)</f>
        <v>0</v>
      </c>
      <c r="W30" s="2">
        <f>MOD(VALUE(MID(r0_l0!$C$57,'F(RxorK)'!$D25,1))+VALUE('k1-16'!Q129),2)</f>
        <v>1</v>
      </c>
      <c r="X30" s="2">
        <f>MOD(VALUE(MID(r0_l0!$C$58,'F(RxorK)'!$D25,1))+VALUE('k1-16'!R129),2)</f>
        <v>1</v>
      </c>
    </row>
    <row r="31" spans="1:24" x14ac:dyDescent="0.25">
      <c r="A31" s="2">
        <v>28</v>
      </c>
      <c r="B31" s="2">
        <v>40</v>
      </c>
      <c r="C31" s="2" t="str">
        <f t="shared" si="0"/>
        <v>0</v>
      </c>
      <c r="D31" s="2">
        <v>19</v>
      </c>
      <c r="E31" s="2">
        <v>13</v>
      </c>
      <c r="G31" s="9">
        <v>23</v>
      </c>
      <c r="H31" s="2">
        <f>MOD(VALUE(MID($O$4,D26,1)) + VALUE('k1-16'!B130),2)</f>
        <v>1</v>
      </c>
      <c r="I31" s="2">
        <f>MOD(VALUE(MID(r0_l0!$C$43,'F(RxorK)'!D26,1))+VALUE('k1-16'!C130),2)</f>
        <v>1</v>
      </c>
      <c r="J31" s="2">
        <f>MOD(VALUE(MID(r0_l0!$C$44,'F(RxorK)'!$D26,1))+VALUE('k1-16'!D130),2)</f>
        <v>1</v>
      </c>
      <c r="K31" s="2">
        <f>MOD(VALUE(MID(r0_l0!$C$45,'F(RxorK)'!D26,1))+VALUE('k1-16'!E130),2)</f>
        <v>1</v>
      </c>
      <c r="L31" s="2">
        <f>MOD(VALUE(MID(r0_l0!$C$46,'F(RxorK)'!D26,1))+VALUE('k1-16'!F130),2)</f>
        <v>0</v>
      </c>
      <c r="M31" s="2">
        <f>MOD(VALUE(MID(r0_l0!$C$47,'F(RxorK)'!$D26,1))+VALUE('k1-16'!G130),2)</f>
        <v>1</v>
      </c>
      <c r="N31" s="2">
        <f>MOD(VALUE(MID(r0_l0!$C$48,'F(RxorK)'!$D26,1))+VALUE('k1-16'!H130),2)</f>
        <v>0</v>
      </c>
      <c r="O31" s="2">
        <f>MOD(VALUE(MID(r0_l0!$C$49,'F(RxorK)'!$D26,1))+VALUE('k1-16'!I130),2)</f>
        <v>0</v>
      </c>
      <c r="P31" s="2">
        <f>MOD(VALUE(MID(r0_l0!$C$50,'F(RxorK)'!$D26,1))+VALUE('k1-16'!J130),2)</f>
        <v>1</v>
      </c>
      <c r="Q31" s="2">
        <f>MOD(VALUE(MID(r0_l0!$C$51,'F(RxorK)'!$D26,1))+VALUE('k1-16'!K130),2)</f>
        <v>0</v>
      </c>
      <c r="R31" s="2">
        <f>MOD(VALUE(MID(r0_l0!$C$52,'F(RxorK)'!$D26,1))+VALUE('k1-16'!L130),2)</f>
        <v>0</v>
      </c>
      <c r="S31" s="2">
        <f>MOD(VALUE(MID(r0_l0!$C$53,'F(RxorK)'!$D26,1))+VALUE('k1-16'!M130),2)</f>
        <v>1</v>
      </c>
      <c r="T31" s="2">
        <f>MOD(VALUE(MID(r0_l0!$C$54,'F(RxorK)'!$D26,1))+VALUE('k1-16'!N130),2)</f>
        <v>0</v>
      </c>
      <c r="U31" s="2">
        <f>MOD(VALUE(MID(r0_l0!$C$55,'F(RxorK)'!$D26,1))+VALUE('k1-16'!O130),2)</f>
        <v>0</v>
      </c>
      <c r="V31" s="2">
        <f>MOD(VALUE(MID(r0_l0!$C$56,'F(RxorK)'!$D26,1))+VALUE('k1-16'!P130),2)</f>
        <v>0</v>
      </c>
      <c r="W31" s="2">
        <f>MOD(VALUE(MID(r0_l0!$C$57,'F(RxorK)'!$D26,1))+VALUE('k1-16'!Q130),2)</f>
        <v>1</v>
      </c>
      <c r="X31" s="2">
        <f>MOD(VALUE(MID(r0_l0!$C$58,'F(RxorK)'!$D26,1))+VALUE('k1-16'!R130),2)</f>
        <v>1</v>
      </c>
    </row>
    <row r="32" spans="1:24" x14ac:dyDescent="0.25">
      <c r="A32" s="2">
        <v>29</v>
      </c>
      <c r="B32" s="2">
        <v>32</v>
      </c>
      <c r="C32" s="2" t="str">
        <f t="shared" si="0"/>
        <v>0</v>
      </c>
      <c r="D32" s="2">
        <v>20</v>
      </c>
      <c r="E32" s="2">
        <v>53</v>
      </c>
      <c r="G32" s="9">
        <v>24</v>
      </c>
      <c r="H32" s="2">
        <f>MOD(VALUE(MID($O$4,D27,1)) + VALUE('k1-16'!B131),2)</f>
        <v>0</v>
      </c>
      <c r="I32" s="2">
        <f>MOD(VALUE(MID(r0_l0!$C$43,'F(RxorK)'!D27,1))+VALUE('k1-16'!C131),2)</f>
        <v>0</v>
      </c>
      <c r="J32" s="2">
        <f>MOD(VALUE(MID(r0_l0!$C$44,'F(RxorK)'!$D27,1))+VALUE('k1-16'!D131),2)</f>
        <v>0</v>
      </c>
      <c r="K32" s="2">
        <f>MOD(VALUE(MID(r0_l0!$C$45,'F(RxorK)'!D27,1))+VALUE('k1-16'!E131),2)</f>
        <v>1</v>
      </c>
      <c r="L32" s="2">
        <f>MOD(VALUE(MID(r0_l0!$C$46,'F(RxorK)'!D27,1))+VALUE('k1-16'!F131),2)</f>
        <v>1</v>
      </c>
      <c r="M32" s="2">
        <f>MOD(VALUE(MID(r0_l0!$C$47,'F(RxorK)'!$D27,1))+VALUE('k1-16'!G131),2)</f>
        <v>1</v>
      </c>
      <c r="N32" s="2">
        <f>MOD(VALUE(MID(r0_l0!$C$48,'F(RxorK)'!$D27,1))+VALUE('k1-16'!H131),2)</f>
        <v>1</v>
      </c>
      <c r="O32" s="2">
        <f>MOD(VALUE(MID(r0_l0!$C$49,'F(RxorK)'!$D27,1))+VALUE('k1-16'!I131),2)</f>
        <v>1</v>
      </c>
      <c r="P32" s="2">
        <f>MOD(VALUE(MID(r0_l0!$C$50,'F(RxorK)'!$D27,1))+VALUE('k1-16'!J131),2)</f>
        <v>0</v>
      </c>
      <c r="Q32" s="2">
        <f>MOD(VALUE(MID(r0_l0!$C$51,'F(RxorK)'!$D27,1))+VALUE('k1-16'!K131),2)</f>
        <v>0</v>
      </c>
      <c r="R32" s="2">
        <f>MOD(VALUE(MID(r0_l0!$C$52,'F(RxorK)'!$D27,1))+VALUE('k1-16'!L131),2)</f>
        <v>0</v>
      </c>
      <c r="S32" s="2">
        <f>MOD(VALUE(MID(r0_l0!$C$53,'F(RxorK)'!$D27,1))+VALUE('k1-16'!M131),2)</f>
        <v>0</v>
      </c>
      <c r="T32" s="2">
        <f>MOD(VALUE(MID(r0_l0!$C$54,'F(RxorK)'!$D27,1))+VALUE('k1-16'!N131),2)</f>
        <v>1</v>
      </c>
      <c r="U32" s="2">
        <f>MOD(VALUE(MID(r0_l0!$C$55,'F(RxorK)'!$D27,1))+VALUE('k1-16'!O131),2)</f>
        <v>0</v>
      </c>
      <c r="V32" s="2">
        <f>MOD(VALUE(MID(r0_l0!$C$56,'F(RxorK)'!$D27,1))+VALUE('k1-16'!P131),2)</f>
        <v>1</v>
      </c>
      <c r="W32" s="2">
        <f>MOD(VALUE(MID(r0_l0!$C$57,'F(RxorK)'!$D27,1))+VALUE('k1-16'!Q131),2)</f>
        <v>0</v>
      </c>
      <c r="X32" s="2">
        <f>MOD(VALUE(MID(r0_l0!$C$58,'F(RxorK)'!$D27,1))+VALUE('k1-16'!R131),2)</f>
        <v>0</v>
      </c>
    </row>
    <row r="33" spans="1:24" x14ac:dyDescent="0.25">
      <c r="A33" s="2">
        <v>30</v>
      </c>
      <c r="B33" s="2">
        <v>24</v>
      </c>
      <c r="C33" s="2" t="str">
        <f t="shared" si="0"/>
        <v>0</v>
      </c>
      <c r="D33" s="2">
        <v>21</v>
      </c>
      <c r="E33" s="2">
        <v>21</v>
      </c>
      <c r="G33" s="9">
        <v>25</v>
      </c>
      <c r="H33" s="2">
        <f>MOD(VALUE(MID($O$4,D28,1)) + VALUE('k1-16'!B132),2)</f>
        <v>1</v>
      </c>
      <c r="I33" s="2">
        <f>MOD(VALUE(MID(r0_l0!$C$43,'F(RxorK)'!D28,1))+VALUE('k1-16'!C132),2)</f>
        <v>1</v>
      </c>
      <c r="J33" s="2">
        <f>MOD(VALUE(MID(r0_l0!$C$44,'F(RxorK)'!$D28,1))+VALUE('k1-16'!D132),2)</f>
        <v>1</v>
      </c>
      <c r="K33" s="2">
        <f>MOD(VALUE(MID(r0_l0!$C$45,'F(RxorK)'!D28,1))+VALUE('k1-16'!E132),2)</f>
        <v>1</v>
      </c>
      <c r="L33" s="2">
        <f>MOD(VALUE(MID(r0_l0!$C$46,'F(RxorK)'!D28,1))+VALUE('k1-16'!F132),2)</f>
        <v>1</v>
      </c>
      <c r="M33" s="2">
        <f>MOD(VALUE(MID(r0_l0!$C$47,'F(RxorK)'!$D28,1))+VALUE('k1-16'!G132),2)</f>
        <v>0</v>
      </c>
      <c r="N33" s="2">
        <f>MOD(VALUE(MID(r0_l0!$C$48,'F(RxorK)'!$D28,1))+VALUE('k1-16'!H132),2)</f>
        <v>0</v>
      </c>
      <c r="O33" s="2">
        <f>MOD(VALUE(MID(r0_l0!$C$49,'F(RxorK)'!$D28,1))+VALUE('k1-16'!I132),2)</f>
        <v>0</v>
      </c>
      <c r="P33" s="2">
        <f>MOD(VALUE(MID(r0_l0!$C$50,'F(RxorK)'!$D28,1))+VALUE('k1-16'!J132),2)</f>
        <v>0</v>
      </c>
      <c r="Q33" s="2">
        <f>MOD(VALUE(MID(r0_l0!$C$51,'F(RxorK)'!$D28,1))+VALUE('k1-16'!K132),2)</f>
        <v>1</v>
      </c>
      <c r="R33" s="2">
        <f>MOD(VALUE(MID(r0_l0!$C$52,'F(RxorK)'!$D28,1))+VALUE('k1-16'!L132),2)</f>
        <v>1</v>
      </c>
      <c r="S33" s="2">
        <f>MOD(VALUE(MID(r0_l0!$C$53,'F(RxorK)'!$D28,1))+VALUE('k1-16'!M132),2)</f>
        <v>1</v>
      </c>
      <c r="T33" s="2">
        <f>MOD(VALUE(MID(r0_l0!$C$54,'F(RxorK)'!$D28,1))+VALUE('k1-16'!N132),2)</f>
        <v>0</v>
      </c>
      <c r="U33" s="2">
        <f>MOD(VALUE(MID(r0_l0!$C$55,'F(RxorK)'!$D28,1))+VALUE('k1-16'!O132),2)</f>
        <v>0</v>
      </c>
      <c r="V33" s="2">
        <f>MOD(VALUE(MID(r0_l0!$C$56,'F(RxorK)'!$D28,1))+VALUE('k1-16'!P132),2)</f>
        <v>0</v>
      </c>
      <c r="W33" s="2">
        <f>MOD(VALUE(MID(r0_l0!$C$57,'F(RxorK)'!$D28,1))+VALUE('k1-16'!Q132),2)</f>
        <v>1</v>
      </c>
      <c r="X33" s="2">
        <f>MOD(VALUE(MID(r0_l0!$C$58,'F(RxorK)'!$D28,1))+VALUE('k1-16'!R132),2)</f>
        <v>1</v>
      </c>
    </row>
    <row r="34" spans="1:24" x14ac:dyDescent="0.25">
      <c r="A34" s="2">
        <v>31</v>
      </c>
      <c r="B34" s="2">
        <v>16</v>
      </c>
      <c r="C34" s="2" t="str">
        <f t="shared" si="0"/>
        <v>0</v>
      </c>
      <c r="D34" s="2">
        <v>20</v>
      </c>
      <c r="E34" s="2">
        <v>61</v>
      </c>
      <c r="G34" s="9">
        <v>26</v>
      </c>
      <c r="H34" s="2">
        <f>MOD(VALUE(MID($O$4,D29,1)) + VALUE('k1-16'!B133),2)</f>
        <v>0</v>
      </c>
      <c r="I34" s="2">
        <f>MOD(VALUE(MID(r0_l0!$C$43,'F(RxorK)'!D29,1))+VALUE('k1-16'!C133),2)</f>
        <v>1</v>
      </c>
      <c r="J34" s="2">
        <f>MOD(VALUE(MID(r0_l0!$C$44,'F(RxorK)'!$D29,1))+VALUE('k1-16'!D133),2)</f>
        <v>0</v>
      </c>
      <c r="K34" s="2">
        <f>MOD(VALUE(MID(r0_l0!$C$45,'F(RxorK)'!D29,1))+VALUE('k1-16'!E133),2)</f>
        <v>1</v>
      </c>
      <c r="L34" s="2">
        <f>MOD(VALUE(MID(r0_l0!$C$46,'F(RxorK)'!D29,1))+VALUE('k1-16'!F133),2)</f>
        <v>0</v>
      </c>
      <c r="M34" s="2">
        <f>MOD(VALUE(MID(r0_l0!$C$47,'F(RxorK)'!$D29,1))+VALUE('k1-16'!G133),2)</f>
        <v>1</v>
      </c>
      <c r="N34" s="2">
        <f>MOD(VALUE(MID(r0_l0!$C$48,'F(RxorK)'!$D29,1))+VALUE('k1-16'!H133),2)</f>
        <v>0</v>
      </c>
      <c r="O34" s="2">
        <f>MOD(VALUE(MID(r0_l0!$C$49,'F(RxorK)'!$D29,1))+VALUE('k1-16'!I133),2)</f>
        <v>0</v>
      </c>
      <c r="P34" s="2">
        <f>MOD(VALUE(MID(r0_l0!$C$50,'F(RxorK)'!$D29,1))+VALUE('k1-16'!J133),2)</f>
        <v>1</v>
      </c>
      <c r="Q34" s="2">
        <f>MOD(VALUE(MID(r0_l0!$C$51,'F(RxorK)'!$D29,1))+VALUE('k1-16'!K133),2)</f>
        <v>0</v>
      </c>
      <c r="R34" s="2">
        <f>MOD(VALUE(MID(r0_l0!$C$52,'F(RxorK)'!$D29,1))+VALUE('k1-16'!L133),2)</f>
        <v>1</v>
      </c>
      <c r="S34" s="2">
        <f>MOD(VALUE(MID(r0_l0!$C$53,'F(RxorK)'!$D29,1))+VALUE('k1-16'!M133),2)</f>
        <v>0</v>
      </c>
      <c r="T34" s="2">
        <f>MOD(VALUE(MID(r0_l0!$C$54,'F(RxorK)'!$D29,1))+VALUE('k1-16'!N133),2)</f>
        <v>1</v>
      </c>
      <c r="U34" s="2">
        <f>MOD(VALUE(MID(r0_l0!$C$55,'F(RxorK)'!$D29,1))+VALUE('k1-16'!O133),2)</f>
        <v>1</v>
      </c>
      <c r="V34" s="2">
        <f>MOD(VALUE(MID(r0_l0!$C$56,'F(RxorK)'!$D29,1))+VALUE('k1-16'!P133),2)</f>
        <v>0</v>
      </c>
      <c r="W34" s="2">
        <f>MOD(VALUE(MID(r0_l0!$C$57,'F(RxorK)'!$D29,1))+VALUE('k1-16'!Q133),2)</f>
        <v>1</v>
      </c>
      <c r="X34" s="2">
        <f>MOD(VALUE(MID(r0_l0!$C$58,'F(RxorK)'!$D29,1))+VALUE('k1-16'!R133),2)</f>
        <v>0</v>
      </c>
    </row>
    <row r="35" spans="1:24" x14ac:dyDescent="0.25">
      <c r="A35" s="2">
        <v>32</v>
      </c>
      <c r="B35" s="2">
        <v>8</v>
      </c>
      <c r="C35" s="2" t="str">
        <f t="shared" si="0"/>
        <v>0</v>
      </c>
      <c r="D35" s="2">
        <v>21</v>
      </c>
      <c r="E35" s="2">
        <v>29</v>
      </c>
      <c r="G35" s="9">
        <v>27</v>
      </c>
      <c r="H35" s="2">
        <f>MOD(VALUE(MID($O$4,D30,1)) + VALUE('k1-16'!B134),2)</f>
        <v>1</v>
      </c>
      <c r="I35" s="2">
        <f>MOD(VALUE(MID(r0_l0!$C$43,'F(RxorK)'!D30,1))+VALUE('k1-16'!C134),2)</f>
        <v>1</v>
      </c>
      <c r="J35" s="2">
        <f>MOD(VALUE(MID(r0_l0!$C$44,'F(RxorK)'!$D30,1))+VALUE('k1-16'!D134),2)</f>
        <v>0</v>
      </c>
      <c r="K35" s="2">
        <f>MOD(VALUE(MID(r0_l0!$C$45,'F(RxorK)'!D30,1))+VALUE('k1-16'!E134),2)</f>
        <v>1</v>
      </c>
      <c r="L35" s="2">
        <f>MOD(VALUE(MID(r0_l0!$C$46,'F(RxorK)'!D30,1))+VALUE('k1-16'!F134),2)</f>
        <v>0</v>
      </c>
      <c r="M35" s="2">
        <f>MOD(VALUE(MID(r0_l0!$C$47,'F(RxorK)'!$D30,1))+VALUE('k1-16'!G134),2)</f>
        <v>1</v>
      </c>
      <c r="N35" s="2">
        <f>MOD(VALUE(MID(r0_l0!$C$48,'F(RxorK)'!$D30,1))+VALUE('k1-16'!H134),2)</f>
        <v>0</v>
      </c>
      <c r="O35" s="2">
        <f>MOD(VALUE(MID(r0_l0!$C$49,'F(RxorK)'!$D30,1))+VALUE('k1-16'!I134),2)</f>
        <v>1</v>
      </c>
      <c r="P35" s="2">
        <f>MOD(VALUE(MID(r0_l0!$C$50,'F(RxorK)'!$D30,1))+VALUE('k1-16'!J134),2)</f>
        <v>0</v>
      </c>
      <c r="Q35" s="2">
        <f>MOD(VALUE(MID(r0_l0!$C$51,'F(RxorK)'!$D30,1))+VALUE('k1-16'!K134),2)</f>
        <v>1</v>
      </c>
      <c r="R35" s="2">
        <f>MOD(VALUE(MID(r0_l0!$C$52,'F(RxorK)'!$D30,1))+VALUE('k1-16'!L134),2)</f>
        <v>1</v>
      </c>
      <c r="S35" s="2">
        <f>MOD(VALUE(MID(r0_l0!$C$53,'F(RxorK)'!$D30,1))+VALUE('k1-16'!M134),2)</f>
        <v>1</v>
      </c>
      <c r="T35" s="2">
        <f>MOD(VALUE(MID(r0_l0!$C$54,'F(RxorK)'!$D30,1))+VALUE('k1-16'!N134),2)</f>
        <v>1</v>
      </c>
      <c r="U35" s="2">
        <f>MOD(VALUE(MID(r0_l0!$C$55,'F(RxorK)'!$D30,1))+VALUE('k1-16'!O134),2)</f>
        <v>1</v>
      </c>
      <c r="V35" s="2">
        <f>MOD(VALUE(MID(r0_l0!$C$56,'F(RxorK)'!$D30,1))+VALUE('k1-16'!P134),2)</f>
        <v>0</v>
      </c>
      <c r="W35" s="2">
        <f>MOD(VALUE(MID(r0_l0!$C$57,'F(RxorK)'!$D30,1))+VALUE('k1-16'!Q134),2)</f>
        <v>0</v>
      </c>
      <c r="X35" s="2">
        <f>MOD(VALUE(MID(r0_l0!$C$58,'F(RxorK)'!$D30,1))+VALUE('k1-16'!R134),2)</f>
        <v>0</v>
      </c>
    </row>
    <row r="36" spans="1:24" x14ac:dyDescent="0.25">
      <c r="A36" s="2">
        <v>33</v>
      </c>
      <c r="B36" s="2">
        <v>57</v>
      </c>
      <c r="C36" s="2" t="str">
        <f t="shared" si="0"/>
        <v>1</v>
      </c>
      <c r="D36" s="2">
        <v>22</v>
      </c>
      <c r="E36" s="2">
        <v>36</v>
      </c>
      <c r="G36" s="9">
        <v>28</v>
      </c>
      <c r="H36" s="2">
        <f>MOD(VALUE(MID($O$4,D31,1)) + VALUE('k1-16'!B135),2)</f>
        <v>0</v>
      </c>
      <c r="I36" s="2">
        <f>MOD(VALUE(MID(r0_l0!$C$43,'F(RxorK)'!D31,1))+VALUE('k1-16'!C135),2)</f>
        <v>1</v>
      </c>
      <c r="J36" s="2">
        <f>MOD(VALUE(MID(r0_l0!$C$44,'F(RxorK)'!$D31,1))+VALUE('k1-16'!D135),2)</f>
        <v>0</v>
      </c>
      <c r="K36" s="2">
        <f>MOD(VALUE(MID(r0_l0!$C$45,'F(RxorK)'!D31,1))+VALUE('k1-16'!E135),2)</f>
        <v>0</v>
      </c>
      <c r="L36" s="2">
        <f>MOD(VALUE(MID(r0_l0!$C$46,'F(RxorK)'!D31,1))+VALUE('k1-16'!F135),2)</f>
        <v>0</v>
      </c>
      <c r="M36" s="2">
        <f>MOD(VALUE(MID(r0_l0!$C$47,'F(RxorK)'!$D31,1))+VALUE('k1-16'!G135),2)</f>
        <v>0</v>
      </c>
      <c r="N36" s="2">
        <f>MOD(VALUE(MID(r0_l0!$C$48,'F(RxorK)'!$D31,1))+VALUE('k1-16'!H135),2)</f>
        <v>0</v>
      </c>
      <c r="O36" s="2">
        <f>MOD(VALUE(MID(r0_l0!$C$49,'F(RxorK)'!$D31,1))+VALUE('k1-16'!I135),2)</f>
        <v>0</v>
      </c>
      <c r="P36" s="2">
        <f>MOD(VALUE(MID(r0_l0!$C$50,'F(RxorK)'!$D31,1))+VALUE('k1-16'!J135),2)</f>
        <v>1</v>
      </c>
      <c r="Q36" s="2">
        <f>MOD(VALUE(MID(r0_l0!$C$51,'F(RxorK)'!$D31,1))+VALUE('k1-16'!K135),2)</f>
        <v>0</v>
      </c>
      <c r="R36" s="2">
        <f>MOD(VALUE(MID(r0_l0!$C$52,'F(RxorK)'!$D31,1))+VALUE('k1-16'!L135),2)</f>
        <v>1</v>
      </c>
      <c r="S36" s="2">
        <f>MOD(VALUE(MID(r0_l0!$C$53,'F(RxorK)'!$D31,1))+VALUE('k1-16'!M135),2)</f>
        <v>1</v>
      </c>
      <c r="T36" s="2">
        <f>MOD(VALUE(MID(r0_l0!$C$54,'F(RxorK)'!$D31,1))+VALUE('k1-16'!N135),2)</f>
        <v>0</v>
      </c>
      <c r="U36" s="2">
        <f>MOD(VALUE(MID(r0_l0!$C$55,'F(RxorK)'!$D31,1))+VALUE('k1-16'!O135),2)</f>
        <v>0</v>
      </c>
      <c r="V36" s="2">
        <f>MOD(VALUE(MID(r0_l0!$C$56,'F(RxorK)'!$D31,1))+VALUE('k1-16'!P135),2)</f>
        <v>1</v>
      </c>
      <c r="W36" s="2">
        <f>MOD(VALUE(MID(r0_l0!$C$57,'F(RxorK)'!$D31,1))+VALUE('k1-16'!Q135),2)</f>
        <v>1</v>
      </c>
      <c r="X36" s="2">
        <f>MOD(VALUE(MID(r0_l0!$C$58,'F(RxorK)'!$D31,1))+VALUE('k1-16'!R135),2)</f>
        <v>0</v>
      </c>
    </row>
    <row r="37" spans="1:24" x14ac:dyDescent="0.25">
      <c r="A37" s="2">
        <v>34</v>
      </c>
      <c r="B37" s="2">
        <v>49</v>
      </c>
      <c r="C37" s="2" t="str">
        <f t="shared" si="0"/>
        <v>1</v>
      </c>
      <c r="D37" s="2">
        <v>23</v>
      </c>
      <c r="E37" s="2">
        <v>4</v>
      </c>
      <c r="G37" s="9">
        <v>29</v>
      </c>
      <c r="H37" s="2">
        <f>MOD(VALUE(MID($O$4,D32,1)) + VALUE('k1-16'!B136),2)</f>
        <v>0</v>
      </c>
      <c r="I37" s="2">
        <f>MOD(VALUE(MID(r0_l0!$C$43,'F(RxorK)'!D32,1))+VALUE('k1-16'!C136),2)</f>
        <v>0</v>
      </c>
      <c r="J37" s="2">
        <f>MOD(VALUE(MID(r0_l0!$C$44,'F(RxorK)'!$D32,1))+VALUE('k1-16'!D136),2)</f>
        <v>1</v>
      </c>
      <c r="K37" s="2">
        <f>MOD(VALUE(MID(r0_l0!$C$45,'F(RxorK)'!D32,1))+VALUE('k1-16'!E136),2)</f>
        <v>1</v>
      </c>
      <c r="L37" s="2">
        <f>MOD(VALUE(MID(r0_l0!$C$46,'F(RxorK)'!D32,1))+VALUE('k1-16'!F136),2)</f>
        <v>1</v>
      </c>
      <c r="M37" s="2">
        <f>MOD(VALUE(MID(r0_l0!$C$47,'F(RxorK)'!$D32,1))+VALUE('k1-16'!G136),2)</f>
        <v>0</v>
      </c>
      <c r="N37" s="2">
        <f>MOD(VALUE(MID(r0_l0!$C$48,'F(RxorK)'!$D32,1))+VALUE('k1-16'!H136),2)</f>
        <v>0</v>
      </c>
      <c r="O37" s="2">
        <f>MOD(VALUE(MID(r0_l0!$C$49,'F(RxorK)'!$D32,1))+VALUE('k1-16'!I136),2)</f>
        <v>0</v>
      </c>
      <c r="P37" s="2">
        <f>MOD(VALUE(MID(r0_l0!$C$50,'F(RxorK)'!$D32,1))+VALUE('k1-16'!J136),2)</f>
        <v>1</v>
      </c>
      <c r="Q37" s="2">
        <f>MOD(VALUE(MID(r0_l0!$C$51,'F(RxorK)'!$D32,1))+VALUE('k1-16'!K136),2)</f>
        <v>1</v>
      </c>
      <c r="R37" s="2">
        <f>MOD(VALUE(MID(r0_l0!$C$52,'F(RxorK)'!$D32,1))+VALUE('k1-16'!L136),2)</f>
        <v>0</v>
      </c>
      <c r="S37" s="2">
        <f>MOD(VALUE(MID(r0_l0!$C$53,'F(RxorK)'!$D32,1))+VALUE('k1-16'!M136),2)</f>
        <v>0</v>
      </c>
      <c r="T37" s="2">
        <f>MOD(VALUE(MID(r0_l0!$C$54,'F(RxorK)'!$D32,1))+VALUE('k1-16'!N136),2)</f>
        <v>0</v>
      </c>
      <c r="U37" s="2">
        <f>MOD(VALUE(MID(r0_l0!$C$55,'F(RxorK)'!$D32,1))+VALUE('k1-16'!O136),2)</f>
        <v>0</v>
      </c>
      <c r="V37" s="2">
        <f>MOD(VALUE(MID(r0_l0!$C$56,'F(RxorK)'!$D32,1))+VALUE('k1-16'!P136),2)</f>
        <v>1</v>
      </c>
      <c r="W37" s="2">
        <f>MOD(VALUE(MID(r0_l0!$C$57,'F(RxorK)'!$D32,1))+VALUE('k1-16'!Q136),2)</f>
        <v>0</v>
      </c>
      <c r="X37" s="2">
        <f>MOD(VALUE(MID(r0_l0!$C$58,'F(RxorK)'!$D32,1))+VALUE('k1-16'!R136),2)</f>
        <v>0</v>
      </c>
    </row>
    <row r="38" spans="1:24" x14ac:dyDescent="0.25">
      <c r="A38" s="2">
        <v>35</v>
      </c>
      <c r="B38" s="2">
        <v>41</v>
      </c>
      <c r="C38" s="2" t="str">
        <f t="shared" si="0"/>
        <v>1</v>
      </c>
      <c r="D38" s="2">
        <v>24</v>
      </c>
      <c r="E38" s="2">
        <v>44</v>
      </c>
      <c r="G38" s="9">
        <v>30</v>
      </c>
      <c r="H38" s="2">
        <f>MOD(VALUE(MID($O$4,D33,1)) + VALUE('k1-16'!B137),2)</f>
        <v>0</v>
      </c>
      <c r="I38" s="2">
        <f>MOD(VALUE(MID(r0_l0!$C$43,'F(RxorK)'!D33,1))+VALUE('k1-16'!C137),2)</f>
        <v>0</v>
      </c>
      <c r="J38" s="2">
        <f>MOD(VALUE(MID(r0_l0!$C$44,'F(RxorK)'!$D33,1))+VALUE('k1-16'!D137),2)</f>
        <v>0</v>
      </c>
      <c r="K38" s="2">
        <f>MOD(VALUE(MID(r0_l0!$C$45,'F(RxorK)'!D33,1))+VALUE('k1-16'!E137),2)</f>
        <v>0</v>
      </c>
      <c r="L38" s="2">
        <f>MOD(VALUE(MID(r0_l0!$C$46,'F(RxorK)'!D33,1))+VALUE('k1-16'!F137),2)</f>
        <v>0</v>
      </c>
      <c r="M38" s="2">
        <f>MOD(VALUE(MID(r0_l0!$C$47,'F(RxorK)'!$D33,1))+VALUE('k1-16'!G137),2)</f>
        <v>0</v>
      </c>
      <c r="N38" s="2">
        <f>MOD(VALUE(MID(r0_l0!$C$48,'F(RxorK)'!$D33,1))+VALUE('k1-16'!H137),2)</f>
        <v>0</v>
      </c>
      <c r="O38" s="2">
        <f>MOD(VALUE(MID(r0_l0!$C$49,'F(RxorK)'!$D33,1))+VALUE('k1-16'!I137),2)</f>
        <v>0</v>
      </c>
      <c r="P38" s="2">
        <f>MOD(VALUE(MID(r0_l0!$C$50,'F(RxorK)'!$D33,1))+VALUE('k1-16'!J137),2)</f>
        <v>0</v>
      </c>
      <c r="Q38" s="2">
        <f>MOD(VALUE(MID(r0_l0!$C$51,'F(RxorK)'!$D33,1))+VALUE('k1-16'!K137),2)</f>
        <v>1</v>
      </c>
      <c r="R38" s="2">
        <f>MOD(VALUE(MID(r0_l0!$C$52,'F(RxorK)'!$D33,1))+VALUE('k1-16'!L137),2)</f>
        <v>1</v>
      </c>
      <c r="S38" s="2">
        <f>MOD(VALUE(MID(r0_l0!$C$53,'F(RxorK)'!$D33,1))+VALUE('k1-16'!M137),2)</f>
        <v>0</v>
      </c>
      <c r="T38" s="2">
        <f>MOD(VALUE(MID(r0_l0!$C$54,'F(RxorK)'!$D33,1))+VALUE('k1-16'!N137),2)</f>
        <v>0</v>
      </c>
      <c r="U38" s="2">
        <f>MOD(VALUE(MID(r0_l0!$C$55,'F(RxorK)'!$D33,1))+VALUE('k1-16'!O137),2)</f>
        <v>0</v>
      </c>
      <c r="V38" s="2">
        <f>MOD(VALUE(MID(r0_l0!$C$56,'F(RxorK)'!$D33,1))+VALUE('k1-16'!P137),2)</f>
        <v>1</v>
      </c>
      <c r="W38" s="2">
        <f>MOD(VALUE(MID(r0_l0!$C$57,'F(RxorK)'!$D33,1))+VALUE('k1-16'!Q137),2)</f>
        <v>0</v>
      </c>
      <c r="X38" s="2">
        <f>MOD(VALUE(MID(r0_l0!$C$58,'F(RxorK)'!$D33,1))+VALUE('k1-16'!R137),2)</f>
        <v>1</v>
      </c>
    </row>
    <row r="39" spans="1:24" x14ac:dyDescent="0.25">
      <c r="A39" s="2">
        <v>36</v>
      </c>
      <c r="B39" s="2">
        <v>33</v>
      </c>
      <c r="C39" s="2" t="str">
        <f t="shared" si="0"/>
        <v>0</v>
      </c>
      <c r="D39" s="2">
        <v>25</v>
      </c>
      <c r="E39" s="2">
        <v>12</v>
      </c>
      <c r="G39" s="9">
        <v>31</v>
      </c>
      <c r="H39" s="2">
        <f>MOD(VALUE(MID($O$4,D34,1)) + VALUE('k1-16'!B138),2)</f>
        <v>0</v>
      </c>
      <c r="I39" s="2">
        <f>MOD(VALUE(MID(r0_l0!$C$43,'F(RxorK)'!D34,1))+VALUE('k1-16'!C138),2)</f>
        <v>0</v>
      </c>
      <c r="J39" s="2">
        <f>MOD(VALUE(MID(r0_l0!$C$44,'F(RxorK)'!$D34,1))+VALUE('k1-16'!D138),2)</f>
        <v>1</v>
      </c>
      <c r="K39" s="2">
        <f>MOD(VALUE(MID(r0_l0!$C$45,'F(RxorK)'!D34,1))+VALUE('k1-16'!E138),2)</f>
        <v>0</v>
      </c>
      <c r="L39" s="2">
        <f>MOD(VALUE(MID(r0_l0!$C$46,'F(RxorK)'!D34,1))+VALUE('k1-16'!F138),2)</f>
        <v>1</v>
      </c>
      <c r="M39" s="2">
        <f>MOD(VALUE(MID(r0_l0!$C$47,'F(RxorK)'!$D34,1))+VALUE('k1-16'!G138),2)</f>
        <v>1</v>
      </c>
      <c r="N39" s="2">
        <f>MOD(VALUE(MID(r0_l0!$C$48,'F(RxorK)'!$D34,1))+VALUE('k1-16'!H138),2)</f>
        <v>0</v>
      </c>
      <c r="O39" s="2">
        <f>MOD(VALUE(MID(r0_l0!$C$49,'F(RxorK)'!$D34,1))+VALUE('k1-16'!I138),2)</f>
        <v>1</v>
      </c>
      <c r="P39" s="2">
        <f>MOD(VALUE(MID(r0_l0!$C$50,'F(RxorK)'!$D34,1))+VALUE('k1-16'!J138),2)</f>
        <v>0</v>
      </c>
      <c r="Q39" s="2">
        <f>MOD(VALUE(MID(r0_l0!$C$51,'F(RxorK)'!$D34,1))+VALUE('k1-16'!K138),2)</f>
        <v>0</v>
      </c>
      <c r="R39" s="2">
        <f>MOD(VALUE(MID(r0_l0!$C$52,'F(RxorK)'!$D34,1))+VALUE('k1-16'!L138),2)</f>
        <v>1</v>
      </c>
      <c r="S39" s="2">
        <f>MOD(VALUE(MID(r0_l0!$C$53,'F(RxorK)'!$D34,1))+VALUE('k1-16'!M138),2)</f>
        <v>0</v>
      </c>
      <c r="T39" s="2">
        <f>MOD(VALUE(MID(r0_l0!$C$54,'F(RxorK)'!$D34,1))+VALUE('k1-16'!N138),2)</f>
        <v>0</v>
      </c>
      <c r="U39" s="2">
        <f>MOD(VALUE(MID(r0_l0!$C$55,'F(RxorK)'!$D34,1))+VALUE('k1-16'!O138),2)</f>
        <v>1</v>
      </c>
      <c r="V39" s="2">
        <f>MOD(VALUE(MID(r0_l0!$C$56,'F(RxorK)'!$D34,1))+VALUE('k1-16'!P138),2)</f>
        <v>1</v>
      </c>
      <c r="W39" s="2">
        <f>MOD(VALUE(MID(r0_l0!$C$57,'F(RxorK)'!$D34,1))+VALUE('k1-16'!Q138),2)</f>
        <v>1</v>
      </c>
      <c r="X39" s="2">
        <f>MOD(VALUE(MID(r0_l0!$C$58,'F(RxorK)'!$D34,1))+VALUE('k1-16'!R138),2)</f>
        <v>0</v>
      </c>
    </row>
    <row r="40" spans="1:24" x14ac:dyDescent="0.25">
      <c r="A40" s="2">
        <v>37</v>
      </c>
      <c r="B40" s="2">
        <v>25</v>
      </c>
      <c r="C40" s="2" t="str">
        <f t="shared" si="0"/>
        <v>0</v>
      </c>
      <c r="D40" s="2">
        <v>24</v>
      </c>
      <c r="E40" s="2">
        <v>52</v>
      </c>
      <c r="G40" s="9">
        <v>32</v>
      </c>
      <c r="H40" s="2">
        <f>MOD(VALUE(MID($O$4,D35,1)) + VALUE('k1-16'!B139),2)</f>
        <v>1</v>
      </c>
      <c r="I40" s="2">
        <f>MOD(VALUE(MID(r0_l0!$C$43,'F(RxorK)'!D35,1))+VALUE('k1-16'!C139),2)</f>
        <v>0</v>
      </c>
      <c r="J40" s="2">
        <f>MOD(VALUE(MID(r0_l0!$C$44,'F(RxorK)'!$D35,1))+VALUE('k1-16'!D139),2)</f>
        <v>1</v>
      </c>
      <c r="K40" s="2">
        <f>MOD(VALUE(MID(r0_l0!$C$45,'F(RxorK)'!D35,1))+VALUE('k1-16'!E139),2)</f>
        <v>0</v>
      </c>
      <c r="L40" s="2">
        <f>MOD(VALUE(MID(r0_l0!$C$46,'F(RxorK)'!D35,1))+VALUE('k1-16'!F139),2)</f>
        <v>0</v>
      </c>
      <c r="M40" s="2">
        <f>MOD(VALUE(MID(r0_l0!$C$47,'F(RxorK)'!$D35,1))+VALUE('k1-16'!G139),2)</f>
        <v>1</v>
      </c>
      <c r="N40" s="2">
        <f>MOD(VALUE(MID(r0_l0!$C$48,'F(RxorK)'!$D35,1))+VALUE('k1-16'!H139),2)</f>
        <v>0</v>
      </c>
      <c r="O40" s="2">
        <f>MOD(VALUE(MID(r0_l0!$C$49,'F(RxorK)'!$D35,1))+VALUE('k1-16'!I139),2)</f>
        <v>1</v>
      </c>
      <c r="P40" s="2">
        <f>MOD(VALUE(MID(r0_l0!$C$50,'F(RxorK)'!$D35,1))+VALUE('k1-16'!J139),2)</f>
        <v>0</v>
      </c>
      <c r="Q40" s="2">
        <f>MOD(VALUE(MID(r0_l0!$C$51,'F(RxorK)'!$D35,1))+VALUE('k1-16'!K139),2)</f>
        <v>0</v>
      </c>
      <c r="R40" s="2">
        <f>MOD(VALUE(MID(r0_l0!$C$52,'F(RxorK)'!$D35,1))+VALUE('k1-16'!L139),2)</f>
        <v>1</v>
      </c>
      <c r="S40" s="2">
        <f>MOD(VALUE(MID(r0_l0!$C$53,'F(RxorK)'!$D35,1))+VALUE('k1-16'!M139),2)</f>
        <v>0</v>
      </c>
      <c r="T40" s="2">
        <f>MOD(VALUE(MID(r0_l0!$C$54,'F(RxorK)'!$D35,1))+VALUE('k1-16'!N139),2)</f>
        <v>1</v>
      </c>
      <c r="U40" s="2">
        <f>MOD(VALUE(MID(r0_l0!$C$55,'F(RxorK)'!$D35,1))+VALUE('k1-16'!O139),2)</f>
        <v>1</v>
      </c>
      <c r="V40" s="2">
        <f>MOD(VALUE(MID(r0_l0!$C$56,'F(RxorK)'!$D35,1))+VALUE('k1-16'!P139),2)</f>
        <v>1</v>
      </c>
      <c r="W40" s="2">
        <f>MOD(VALUE(MID(r0_l0!$C$57,'F(RxorK)'!$D35,1))+VALUE('k1-16'!Q139),2)</f>
        <v>1</v>
      </c>
      <c r="X40" s="2">
        <f>MOD(VALUE(MID(r0_l0!$C$58,'F(RxorK)'!$D35,1))+VALUE('k1-16'!R139),2)</f>
        <v>1</v>
      </c>
    </row>
    <row r="41" spans="1:24" x14ac:dyDescent="0.25">
      <c r="A41" s="2">
        <v>38</v>
      </c>
      <c r="B41" s="2">
        <v>17</v>
      </c>
      <c r="C41" s="2" t="str">
        <f t="shared" si="0"/>
        <v>0</v>
      </c>
      <c r="D41" s="2">
        <v>25</v>
      </c>
      <c r="E41" s="2">
        <v>20</v>
      </c>
      <c r="G41" s="9">
        <v>33</v>
      </c>
      <c r="H41" s="2">
        <f>MOD(VALUE(MID($O$4,D36,1)) + VALUE('k1-16'!B140),2)</f>
        <v>0</v>
      </c>
      <c r="I41" s="2">
        <f>MOD(VALUE(MID(r0_l0!$C$43,'F(RxorK)'!D36,1))+VALUE('k1-16'!C140),2)</f>
        <v>0</v>
      </c>
      <c r="J41" s="2">
        <f>MOD(VALUE(MID(r0_l0!$C$44,'F(RxorK)'!$D36,1))+VALUE('k1-16'!D140),2)</f>
        <v>0</v>
      </c>
      <c r="K41" s="2">
        <f>MOD(VALUE(MID(r0_l0!$C$45,'F(RxorK)'!D36,1))+VALUE('k1-16'!E140),2)</f>
        <v>1</v>
      </c>
      <c r="L41" s="2">
        <f>MOD(VALUE(MID(r0_l0!$C$46,'F(RxorK)'!D36,1))+VALUE('k1-16'!F140),2)</f>
        <v>0</v>
      </c>
      <c r="M41" s="2">
        <f>MOD(VALUE(MID(r0_l0!$C$47,'F(RxorK)'!$D36,1))+VALUE('k1-16'!G140),2)</f>
        <v>0</v>
      </c>
      <c r="N41" s="2">
        <f>MOD(VALUE(MID(r0_l0!$C$48,'F(RxorK)'!$D36,1))+VALUE('k1-16'!H140),2)</f>
        <v>0</v>
      </c>
      <c r="O41" s="2">
        <f>MOD(VALUE(MID(r0_l0!$C$49,'F(RxorK)'!$D36,1))+VALUE('k1-16'!I140),2)</f>
        <v>0</v>
      </c>
      <c r="P41" s="2">
        <f>MOD(VALUE(MID(r0_l0!$C$50,'F(RxorK)'!$D36,1))+VALUE('k1-16'!J140),2)</f>
        <v>1</v>
      </c>
      <c r="Q41" s="2">
        <f>MOD(VALUE(MID(r0_l0!$C$51,'F(RxorK)'!$D36,1))+VALUE('k1-16'!K140),2)</f>
        <v>1</v>
      </c>
      <c r="R41" s="2">
        <f>MOD(VALUE(MID(r0_l0!$C$52,'F(RxorK)'!$D36,1))+VALUE('k1-16'!L140),2)</f>
        <v>1</v>
      </c>
      <c r="S41" s="2">
        <f>MOD(VALUE(MID(r0_l0!$C$53,'F(RxorK)'!$D36,1))+VALUE('k1-16'!M140),2)</f>
        <v>1</v>
      </c>
      <c r="T41" s="2">
        <f>MOD(VALUE(MID(r0_l0!$C$54,'F(RxorK)'!$D36,1))+VALUE('k1-16'!N140),2)</f>
        <v>1</v>
      </c>
      <c r="U41" s="2">
        <f>MOD(VALUE(MID(r0_l0!$C$55,'F(RxorK)'!$D36,1))+VALUE('k1-16'!O140),2)</f>
        <v>0</v>
      </c>
      <c r="V41" s="2">
        <f>MOD(VALUE(MID(r0_l0!$C$56,'F(RxorK)'!$D36,1))+VALUE('k1-16'!P140),2)</f>
        <v>0</v>
      </c>
      <c r="W41" s="2">
        <f>MOD(VALUE(MID(r0_l0!$C$57,'F(RxorK)'!$D36,1))+VALUE('k1-16'!Q140),2)</f>
        <v>0</v>
      </c>
      <c r="X41" s="2">
        <f>MOD(VALUE(MID(r0_l0!$C$58,'F(RxorK)'!$D36,1))+VALUE('k1-16'!R140),2)</f>
        <v>1</v>
      </c>
    </row>
    <row r="42" spans="1:24" x14ac:dyDescent="0.25">
      <c r="A42" s="2">
        <v>39</v>
      </c>
      <c r="B42" s="2">
        <v>9</v>
      </c>
      <c r="C42" s="2" t="str">
        <f t="shared" si="0"/>
        <v>0</v>
      </c>
      <c r="D42" s="2">
        <v>26</v>
      </c>
      <c r="E42" s="2">
        <v>60</v>
      </c>
      <c r="G42" s="9">
        <v>34</v>
      </c>
      <c r="H42" s="2">
        <f>MOD(VALUE(MID($O$4,D37,1)) + VALUE('k1-16'!B141),2)</f>
        <v>1</v>
      </c>
      <c r="I42" s="2">
        <f>MOD(VALUE(MID(r0_l0!$C$43,'F(RxorK)'!D37,1))+VALUE('k1-16'!C141),2)</f>
        <v>1</v>
      </c>
      <c r="J42" s="2">
        <f>MOD(VALUE(MID(r0_l0!$C$44,'F(RxorK)'!$D37,1))+VALUE('k1-16'!D141),2)</f>
        <v>0</v>
      </c>
      <c r="K42" s="2">
        <f>MOD(VALUE(MID(r0_l0!$C$45,'F(RxorK)'!D37,1))+VALUE('k1-16'!E141),2)</f>
        <v>1</v>
      </c>
      <c r="L42" s="2">
        <f>MOD(VALUE(MID(r0_l0!$C$46,'F(RxorK)'!D37,1))+VALUE('k1-16'!F141),2)</f>
        <v>1</v>
      </c>
      <c r="M42" s="2">
        <f>MOD(VALUE(MID(r0_l0!$C$47,'F(RxorK)'!$D37,1))+VALUE('k1-16'!G141),2)</f>
        <v>1</v>
      </c>
      <c r="N42" s="2">
        <f>MOD(VALUE(MID(r0_l0!$C$48,'F(RxorK)'!$D37,1))+VALUE('k1-16'!H141),2)</f>
        <v>0</v>
      </c>
      <c r="O42" s="2">
        <f>MOD(VALUE(MID(r0_l0!$C$49,'F(RxorK)'!$D37,1))+VALUE('k1-16'!I141),2)</f>
        <v>0</v>
      </c>
      <c r="P42" s="2">
        <f>MOD(VALUE(MID(r0_l0!$C$50,'F(RxorK)'!$D37,1))+VALUE('k1-16'!J141),2)</f>
        <v>1</v>
      </c>
      <c r="Q42" s="2">
        <f>MOD(VALUE(MID(r0_l0!$C$51,'F(RxorK)'!$D37,1))+VALUE('k1-16'!K141),2)</f>
        <v>1</v>
      </c>
      <c r="R42" s="2">
        <f>MOD(VALUE(MID(r0_l0!$C$52,'F(RxorK)'!$D37,1))+VALUE('k1-16'!L141),2)</f>
        <v>1</v>
      </c>
      <c r="S42" s="2">
        <f>MOD(VALUE(MID(r0_l0!$C$53,'F(RxorK)'!$D37,1))+VALUE('k1-16'!M141),2)</f>
        <v>0</v>
      </c>
      <c r="T42" s="2">
        <f>MOD(VALUE(MID(r0_l0!$C$54,'F(RxorK)'!$D37,1))+VALUE('k1-16'!N141),2)</f>
        <v>0</v>
      </c>
      <c r="U42" s="2">
        <f>MOD(VALUE(MID(r0_l0!$C$55,'F(RxorK)'!$D37,1))+VALUE('k1-16'!O141),2)</f>
        <v>0</v>
      </c>
      <c r="V42" s="2">
        <f>MOD(VALUE(MID(r0_l0!$C$56,'F(RxorK)'!$D37,1))+VALUE('k1-16'!P141),2)</f>
        <v>1</v>
      </c>
      <c r="W42" s="2">
        <f>MOD(VALUE(MID(r0_l0!$C$57,'F(RxorK)'!$D37,1))+VALUE('k1-16'!Q141),2)</f>
        <v>0</v>
      </c>
      <c r="X42" s="2">
        <f>MOD(VALUE(MID(r0_l0!$C$58,'F(RxorK)'!$D37,1))+VALUE('k1-16'!R141),2)</f>
        <v>1</v>
      </c>
    </row>
    <row r="43" spans="1:24" x14ac:dyDescent="0.25">
      <c r="A43" s="2">
        <v>40</v>
      </c>
      <c r="B43" s="2">
        <v>1</v>
      </c>
      <c r="C43" s="2" t="str">
        <f t="shared" si="0"/>
        <v>0</v>
      </c>
      <c r="D43" s="2">
        <v>27</v>
      </c>
      <c r="E43" s="2">
        <v>28</v>
      </c>
      <c r="G43" s="9">
        <v>35</v>
      </c>
      <c r="H43" s="2">
        <f>MOD(VALUE(MID($O$4,D38,1)) + VALUE('k1-16'!B142),2)</f>
        <v>0</v>
      </c>
      <c r="I43" s="2">
        <f>MOD(VALUE(MID(r0_l0!$C$43,'F(RxorK)'!D38,1))+VALUE('k1-16'!C142),2)</f>
        <v>0</v>
      </c>
      <c r="J43" s="2">
        <f>MOD(VALUE(MID(r0_l0!$C$44,'F(RxorK)'!$D38,1))+VALUE('k1-16'!D142),2)</f>
        <v>0</v>
      </c>
      <c r="K43" s="2">
        <f>MOD(VALUE(MID(r0_l0!$C$45,'F(RxorK)'!D38,1))+VALUE('k1-16'!E142),2)</f>
        <v>1</v>
      </c>
      <c r="L43" s="2">
        <f>MOD(VALUE(MID(r0_l0!$C$46,'F(RxorK)'!D38,1))+VALUE('k1-16'!F142),2)</f>
        <v>0</v>
      </c>
      <c r="M43" s="2">
        <f>MOD(VALUE(MID(r0_l0!$C$47,'F(RxorK)'!$D38,1))+VALUE('k1-16'!G142),2)</f>
        <v>0</v>
      </c>
      <c r="N43" s="2">
        <f>MOD(VALUE(MID(r0_l0!$C$48,'F(RxorK)'!$D38,1))+VALUE('k1-16'!H142),2)</f>
        <v>1</v>
      </c>
      <c r="O43" s="2">
        <f>MOD(VALUE(MID(r0_l0!$C$49,'F(RxorK)'!$D38,1))+VALUE('k1-16'!I142),2)</f>
        <v>0</v>
      </c>
      <c r="P43" s="2">
        <f>MOD(VALUE(MID(r0_l0!$C$50,'F(RxorK)'!$D38,1))+VALUE('k1-16'!J142),2)</f>
        <v>1</v>
      </c>
      <c r="Q43" s="2">
        <f>MOD(VALUE(MID(r0_l0!$C$51,'F(RxorK)'!$D38,1))+VALUE('k1-16'!K142),2)</f>
        <v>1</v>
      </c>
      <c r="R43" s="2">
        <f>MOD(VALUE(MID(r0_l0!$C$52,'F(RxorK)'!$D38,1))+VALUE('k1-16'!L142),2)</f>
        <v>0</v>
      </c>
      <c r="S43" s="2">
        <f>MOD(VALUE(MID(r0_l0!$C$53,'F(RxorK)'!$D38,1))+VALUE('k1-16'!M142),2)</f>
        <v>0</v>
      </c>
      <c r="T43" s="2">
        <f>MOD(VALUE(MID(r0_l0!$C$54,'F(RxorK)'!$D38,1))+VALUE('k1-16'!N142),2)</f>
        <v>1</v>
      </c>
      <c r="U43" s="2">
        <f>MOD(VALUE(MID(r0_l0!$C$55,'F(RxorK)'!$D38,1))+VALUE('k1-16'!O142),2)</f>
        <v>0</v>
      </c>
      <c r="V43" s="2">
        <f>MOD(VALUE(MID(r0_l0!$C$56,'F(RxorK)'!$D38,1))+VALUE('k1-16'!P142),2)</f>
        <v>1</v>
      </c>
      <c r="W43" s="2">
        <f>MOD(VALUE(MID(r0_l0!$C$57,'F(RxorK)'!$D38,1))+VALUE('k1-16'!Q142),2)</f>
        <v>0</v>
      </c>
      <c r="X43" s="2">
        <f>MOD(VALUE(MID(r0_l0!$C$58,'F(RxorK)'!$D38,1))+VALUE('k1-16'!R142),2)</f>
        <v>0</v>
      </c>
    </row>
    <row r="44" spans="1:24" x14ac:dyDescent="0.25">
      <c r="A44" s="2">
        <v>41</v>
      </c>
      <c r="B44" s="2">
        <v>59</v>
      </c>
      <c r="C44" s="2" t="str">
        <f t="shared" si="0"/>
        <v>0</v>
      </c>
      <c r="D44" s="2">
        <v>28</v>
      </c>
      <c r="E44" s="2">
        <v>35</v>
      </c>
      <c r="G44" s="9">
        <v>36</v>
      </c>
      <c r="H44" s="2">
        <f>MOD(VALUE(MID($O$4,D39,1)) + VALUE('k1-16'!B143),2)</f>
        <v>1</v>
      </c>
      <c r="I44" s="2">
        <f>MOD(VALUE(MID(r0_l0!$C$43,'F(RxorK)'!D39,1))+VALUE('k1-16'!C143),2)</f>
        <v>1</v>
      </c>
      <c r="J44" s="2">
        <f>MOD(VALUE(MID(r0_l0!$C$44,'F(RxorK)'!$D39,1))+VALUE('k1-16'!D143),2)</f>
        <v>1</v>
      </c>
      <c r="K44" s="2">
        <f>MOD(VALUE(MID(r0_l0!$C$45,'F(RxorK)'!D39,1))+VALUE('k1-16'!E143),2)</f>
        <v>0</v>
      </c>
      <c r="L44" s="2">
        <f>MOD(VALUE(MID(r0_l0!$C$46,'F(RxorK)'!D39,1))+VALUE('k1-16'!F143),2)</f>
        <v>0</v>
      </c>
      <c r="M44" s="2">
        <f>MOD(VALUE(MID(r0_l0!$C$47,'F(RxorK)'!$D39,1))+VALUE('k1-16'!G143),2)</f>
        <v>1</v>
      </c>
      <c r="N44" s="2">
        <f>MOD(VALUE(MID(r0_l0!$C$48,'F(RxorK)'!$D39,1))+VALUE('k1-16'!H143),2)</f>
        <v>0</v>
      </c>
      <c r="O44" s="2">
        <f>MOD(VALUE(MID(r0_l0!$C$49,'F(RxorK)'!$D39,1))+VALUE('k1-16'!I143),2)</f>
        <v>0</v>
      </c>
      <c r="P44" s="2">
        <f>MOD(VALUE(MID(r0_l0!$C$50,'F(RxorK)'!$D39,1))+VALUE('k1-16'!J143),2)</f>
        <v>0</v>
      </c>
      <c r="Q44" s="2">
        <f>MOD(VALUE(MID(r0_l0!$C$51,'F(RxorK)'!$D39,1))+VALUE('k1-16'!K143),2)</f>
        <v>0</v>
      </c>
      <c r="R44" s="2">
        <f>MOD(VALUE(MID(r0_l0!$C$52,'F(RxorK)'!$D39,1))+VALUE('k1-16'!L143),2)</f>
        <v>0</v>
      </c>
      <c r="S44" s="2">
        <f>MOD(VALUE(MID(r0_l0!$C$53,'F(RxorK)'!$D39,1))+VALUE('k1-16'!M143),2)</f>
        <v>0</v>
      </c>
      <c r="T44" s="2">
        <f>MOD(VALUE(MID(r0_l0!$C$54,'F(RxorK)'!$D39,1))+VALUE('k1-16'!N143),2)</f>
        <v>1</v>
      </c>
      <c r="U44" s="2">
        <f>MOD(VALUE(MID(r0_l0!$C$55,'F(RxorK)'!$D39,1))+VALUE('k1-16'!O143),2)</f>
        <v>0</v>
      </c>
      <c r="V44" s="2">
        <f>MOD(VALUE(MID(r0_l0!$C$56,'F(RxorK)'!$D39,1))+VALUE('k1-16'!P143),2)</f>
        <v>0</v>
      </c>
      <c r="W44" s="2">
        <f>MOD(VALUE(MID(r0_l0!$C$57,'F(RxorK)'!$D39,1))+VALUE('k1-16'!Q143),2)</f>
        <v>0</v>
      </c>
      <c r="X44" s="2">
        <f>MOD(VALUE(MID(r0_l0!$C$58,'F(RxorK)'!$D39,1))+VALUE('k1-16'!R143),2)</f>
        <v>1</v>
      </c>
    </row>
    <row r="45" spans="1:24" x14ac:dyDescent="0.25">
      <c r="A45" s="2">
        <v>42</v>
      </c>
      <c r="B45" s="2">
        <v>51</v>
      </c>
      <c r="C45" s="2" t="str">
        <f t="shared" si="0"/>
        <v>1</v>
      </c>
      <c r="D45" s="2">
        <v>29</v>
      </c>
      <c r="E45" s="2">
        <v>3</v>
      </c>
      <c r="G45" s="9">
        <v>37</v>
      </c>
      <c r="H45" s="2">
        <f>MOD(VALUE(MID($O$4,D40,1)) + VALUE('k1-16'!B144),2)</f>
        <v>1</v>
      </c>
      <c r="I45" s="2">
        <f>MOD(VALUE(MID(r0_l0!$C$43,'F(RxorK)'!D40,1))+VALUE('k1-16'!C144),2)</f>
        <v>0</v>
      </c>
      <c r="J45" s="2">
        <f>MOD(VALUE(MID(r0_l0!$C$44,'F(RxorK)'!$D40,1))+VALUE('k1-16'!D144),2)</f>
        <v>0</v>
      </c>
      <c r="K45" s="2">
        <f>MOD(VALUE(MID(r0_l0!$C$45,'F(RxorK)'!D40,1))+VALUE('k1-16'!E144),2)</f>
        <v>1</v>
      </c>
      <c r="L45" s="2">
        <f>MOD(VALUE(MID(r0_l0!$C$46,'F(RxorK)'!D40,1))+VALUE('k1-16'!F144),2)</f>
        <v>1</v>
      </c>
      <c r="M45" s="2">
        <f>MOD(VALUE(MID(r0_l0!$C$47,'F(RxorK)'!$D40,1))+VALUE('k1-16'!G144),2)</f>
        <v>0</v>
      </c>
      <c r="N45" s="2">
        <f>MOD(VALUE(MID(r0_l0!$C$48,'F(RxorK)'!$D40,1))+VALUE('k1-16'!H144),2)</f>
        <v>0</v>
      </c>
      <c r="O45" s="2">
        <f>MOD(VALUE(MID(r0_l0!$C$49,'F(RxorK)'!$D40,1))+VALUE('k1-16'!I144),2)</f>
        <v>1</v>
      </c>
      <c r="P45" s="2">
        <f>MOD(VALUE(MID(r0_l0!$C$50,'F(RxorK)'!$D40,1))+VALUE('k1-16'!J144),2)</f>
        <v>1</v>
      </c>
      <c r="Q45" s="2">
        <f>MOD(VALUE(MID(r0_l0!$C$51,'F(RxorK)'!$D40,1))+VALUE('k1-16'!K144),2)</f>
        <v>0</v>
      </c>
      <c r="R45" s="2">
        <f>MOD(VALUE(MID(r0_l0!$C$52,'F(RxorK)'!$D40,1))+VALUE('k1-16'!L144),2)</f>
        <v>1</v>
      </c>
      <c r="S45" s="2">
        <f>MOD(VALUE(MID(r0_l0!$C$53,'F(RxorK)'!$D40,1))+VALUE('k1-16'!M144),2)</f>
        <v>1</v>
      </c>
      <c r="T45" s="2">
        <f>MOD(VALUE(MID(r0_l0!$C$54,'F(RxorK)'!$D40,1))+VALUE('k1-16'!N144),2)</f>
        <v>1</v>
      </c>
      <c r="U45" s="2">
        <f>MOD(VALUE(MID(r0_l0!$C$55,'F(RxorK)'!$D40,1))+VALUE('k1-16'!O144),2)</f>
        <v>1</v>
      </c>
      <c r="V45" s="2">
        <f>MOD(VALUE(MID(r0_l0!$C$56,'F(RxorK)'!$D40,1))+VALUE('k1-16'!P144),2)</f>
        <v>1</v>
      </c>
      <c r="W45" s="2">
        <f>MOD(VALUE(MID(r0_l0!$C$57,'F(RxorK)'!$D40,1))+VALUE('k1-16'!Q144),2)</f>
        <v>1</v>
      </c>
      <c r="X45" s="2">
        <f>MOD(VALUE(MID(r0_l0!$C$58,'F(RxorK)'!$D40,1))+VALUE('k1-16'!R144),2)</f>
        <v>0</v>
      </c>
    </row>
    <row r="46" spans="1:24" x14ac:dyDescent="0.25">
      <c r="A46" s="2">
        <v>43</v>
      </c>
      <c r="B46" s="2">
        <v>43</v>
      </c>
      <c r="C46" s="2" t="str">
        <f t="shared" si="0"/>
        <v>0</v>
      </c>
      <c r="D46" s="2">
        <v>28</v>
      </c>
      <c r="E46" s="2">
        <v>43</v>
      </c>
      <c r="G46" s="9">
        <v>38</v>
      </c>
      <c r="H46" s="2">
        <f>MOD(VALUE(MID($O$4,D41,1)) + VALUE('k1-16'!B145),2)</f>
        <v>1</v>
      </c>
      <c r="I46" s="2">
        <f>MOD(VALUE(MID(r0_l0!$C$43,'F(RxorK)'!D41,1))+VALUE('k1-16'!C145),2)</f>
        <v>1</v>
      </c>
      <c r="J46" s="2">
        <f>MOD(VALUE(MID(r0_l0!$C$44,'F(RxorK)'!$D41,1))+VALUE('k1-16'!D145),2)</f>
        <v>0</v>
      </c>
      <c r="K46" s="2">
        <f>MOD(VALUE(MID(r0_l0!$C$45,'F(RxorK)'!D41,1))+VALUE('k1-16'!E145),2)</f>
        <v>1</v>
      </c>
      <c r="L46" s="2">
        <f>MOD(VALUE(MID(r0_l0!$C$46,'F(RxorK)'!D41,1))+VALUE('k1-16'!F145),2)</f>
        <v>1</v>
      </c>
      <c r="M46" s="2">
        <f>MOD(VALUE(MID(r0_l0!$C$47,'F(RxorK)'!$D41,1))+VALUE('k1-16'!G145),2)</f>
        <v>0</v>
      </c>
      <c r="N46" s="2">
        <f>MOD(VALUE(MID(r0_l0!$C$48,'F(RxorK)'!$D41,1))+VALUE('k1-16'!H145),2)</f>
        <v>1</v>
      </c>
      <c r="O46" s="2">
        <f>MOD(VALUE(MID(r0_l0!$C$49,'F(RxorK)'!$D41,1))+VALUE('k1-16'!I145),2)</f>
        <v>1</v>
      </c>
      <c r="P46" s="2">
        <f>MOD(VALUE(MID(r0_l0!$C$50,'F(RxorK)'!$D41,1))+VALUE('k1-16'!J145),2)</f>
        <v>1</v>
      </c>
      <c r="Q46" s="2">
        <f>MOD(VALUE(MID(r0_l0!$C$51,'F(RxorK)'!$D41,1))+VALUE('k1-16'!K145),2)</f>
        <v>0</v>
      </c>
      <c r="R46" s="2">
        <f>MOD(VALUE(MID(r0_l0!$C$52,'F(RxorK)'!$D41,1))+VALUE('k1-16'!L145),2)</f>
        <v>0</v>
      </c>
      <c r="S46" s="2">
        <f>MOD(VALUE(MID(r0_l0!$C$53,'F(RxorK)'!$D41,1))+VALUE('k1-16'!M145),2)</f>
        <v>0</v>
      </c>
      <c r="T46" s="2">
        <f>MOD(VALUE(MID(r0_l0!$C$54,'F(RxorK)'!$D41,1))+VALUE('k1-16'!N145),2)</f>
        <v>1</v>
      </c>
      <c r="U46" s="2">
        <f>MOD(VALUE(MID(r0_l0!$C$55,'F(RxorK)'!$D41,1))+VALUE('k1-16'!O145),2)</f>
        <v>0</v>
      </c>
      <c r="V46" s="2">
        <f>MOD(VALUE(MID(r0_l0!$C$56,'F(RxorK)'!$D41,1))+VALUE('k1-16'!P145),2)</f>
        <v>0</v>
      </c>
      <c r="W46" s="2">
        <f>MOD(VALUE(MID(r0_l0!$C$57,'F(RxorK)'!$D41,1))+VALUE('k1-16'!Q145),2)</f>
        <v>1</v>
      </c>
      <c r="X46" s="2">
        <f>MOD(VALUE(MID(r0_l0!$C$58,'F(RxorK)'!$D41,1))+VALUE('k1-16'!R145),2)</f>
        <v>1</v>
      </c>
    </row>
    <row r="47" spans="1:24" x14ac:dyDescent="0.25">
      <c r="A47" s="2">
        <v>44</v>
      </c>
      <c r="B47" s="2">
        <v>35</v>
      </c>
      <c r="C47" s="2" t="str">
        <f t="shared" si="0"/>
        <v>1</v>
      </c>
      <c r="D47" s="2">
        <v>29</v>
      </c>
      <c r="E47" s="2">
        <v>11</v>
      </c>
      <c r="G47" s="9">
        <v>39</v>
      </c>
      <c r="H47" s="2">
        <f>MOD(VALUE(MID($O$4,D42,1)) + VALUE('k1-16'!B146),2)</f>
        <v>0</v>
      </c>
      <c r="I47" s="2">
        <f>MOD(VALUE(MID(r0_l0!$C$43,'F(RxorK)'!D42,1))+VALUE('k1-16'!C146),2)</f>
        <v>1</v>
      </c>
      <c r="J47" s="2">
        <f>MOD(VALUE(MID(r0_l0!$C$44,'F(RxorK)'!$D42,1))+VALUE('k1-16'!D146),2)</f>
        <v>0</v>
      </c>
      <c r="K47" s="2">
        <f>MOD(VALUE(MID(r0_l0!$C$45,'F(RxorK)'!D42,1))+VALUE('k1-16'!E146),2)</f>
        <v>1</v>
      </c>
      <c r="L47" s="2">
        <f>MOD(VALUE(MID(r0_l0!$C$46,'F(RxorK)'!D42,1))+VALUE('k1-16'!F146),2)</f>
        <v>1</v>
      </c>
      <c r="M47" s="2">
        <f>MOD(VALUE(MID(r0_l0!$C$47,'F(RxorK)'!$D42,1))+VALUE('k1-16'!G146),2)</f>
        <v>1</v>
      </c>
      <c r="N47" s="2">
        <f>MOD(VALUE(MID(r0_l0!$C$48,'F(RxorK)'!$D42,1))+VALUE('k1-16'!H146),2)</f>
        <v>0</v>
      </c>
      <c r="O47" s="2">
        <f>MOD(VALUE(MID(r0_l0!$C$49,'F(RxorK)'!$D42,1))+VALUE('k1-16'!I146),2)</f>
        <v>0</v>
      </c>
      <c r="P47" s="2">
        <f>MOD(VALUE(MID(r0_l0!$C$50,'F(RxorK)'!$D42,1))+VALUE('k1-16'!J146),2)</f>
        <v>0</v>
      </c>
      <c r="Q47" s="2">
        <f>MOD(VALUE(MID(r0_l0!$C$51,'F(RxorK)'!$D42,1))+VALUE('k1-16'!K146),2)</f>
        <v>1</v>
      </c>
      <c r="R47" s="2">
        <f>MOD(VALUE(MID(r0_l0!$C$52,'F(RxorK)'!$D42,1))+VALUE('k1-16'!L146),2)</f>
        <v>1</v>
      </c>
      <c r="S47" s="2">
        <f>MOD(VALUE(MID(r0_l0!$C$53,'F(RxorK)'!$D42,1))+VALUE('k1-16'!M146),2)</f>
        <v>0</v>
      </c>
      <c r="T47" s="2">
        <f>MOD(VALUE(MID(r0_l0!$C$54,'F(RxorK)'!$D42,1))+VALUE('k1-16'!N146),2)</f>
        <v>1</v>
      </c>
      <c r="U47" s="2">
        <f>MOD(VALUE(MID(r0_l0!$C$55,'F(RxorK)'!$D42,1))+VALUE('k1-16'!O146),2)</f>
        <v>0</v>
      </c>
      <c r="V47" s="2">
        <f>MOD(VALUE(MID(r0_l0!$C$56,'F(RxorK)'!$D42,1))+VALUE('k1-16'!P146),2)</f>
        <v>1</v>
      </c>
      <c r="W47" s="2">
        <f>MOD(VALUE(MID(r0_l0!$C$57,'F(RxorK)'!$D42,1))+VALUE('k1-16'!Q146),2)</f>
        <v>0</v>
      </c>
      <c r="X47" s="2">
        <f>MOD(VALUE(MID(r0_l0!$C$58,'F(RxorK)'!$D42,1))+VALUE('k1-16'!R146),2)</f>
        <v>0</v>
      </c>
    </row>
    <row r="48" spans="1:24" x14ac:dyDescent="0.25">
      <c r="A48" s="2">
        <v>45</v>
      </c>
      <c r="B48" s="2">
        <v>27</v>
      </c>
      <c r="C48" s="2" t="str">
        <f t="shared" si="0"/>
        <v>0</v>
      </c>
      <c r="D48" s="2">
        <v>30</v>
      </c>
      <c r="E48" s="2">
        <v>51</v>
      </c>
      <c r="G48" s="9">
        <v>40</v>
      </c>
      <c r="H48" s="2">
        <f>MOD(VALUE(MID($O$4,D43,1)) + VALUE('k1-16'!B147),2)</f>
        <v>0</v>
      </c>
      <c r="I48" s="2">
        <f>MOD(VALUE(MID(r0_l0!$C$43,'F(RxorK)'!D43,1))+VALUE('k1-16'!C147),2)</f>
        <v>0</v>
      </c>
      <c r="J48" s="2">
        <f>MOD(VALUE(MID(r0_l0!$C$44,'F(RxorK)'!$D43,1))+VALUE('k1-16'!D147),2)</f>
        <v>1</v>
      </c>
      <c r="K48" s="2">
        <f>MOD(VALUE(MID(r0_l0!$C$45,'F(RxorK)'!D43,1))+VALUE('k1-16'!E147),2)</f>
        <v>0</v>
      </c>
      <c r="L48" s="2">
        <f>MOD(VALUE(MID(r0_l0!$C$46,'F(RxorK)'!D43,1))+VALUE('k1-16'!F147),2)</f>
        <v>0</v>
      </c>
      <c r="M48" s="2">
        <f>MOD(VALUE(MID(r0_l0!$C$47,'F(RxorK)'!$D43,1))+VALUE('k1-16'!G147),2)</f>
        <v>0</v>
      </c>
      <c r="N48" s="2">
        <f>MOD(VALUE(MID(r0_l0!$C$48,'F(RxorK)'!$D43,1))+VALUE('k1-16'!H147),2)</f>
        <v>1</v>
      </c>
      <c r="O48" s="2">
        <f>MOD(VALUE(MID(r0_l0!$C$49,'F(RxorK)'!$D43,1))+VALUE('k1-16'!I147),2)</f>
        <v>1</v>
      </c>
      <c r="P48" s="2">
        <f>MOD(VALUE(MID(r0_l0!$C$50,'F(RxorK)'!$D43,1))+VALUE('k1-16'!J147),2)</f>
        <v>0</v>
      </c>
      <c r="Q48" s="2">
        <f>MOD(VALUE(MID(r0_l0!$C$51,'F(RxorK)'!$D43,1))+VALUE('k1-16'!K147),2)</f>
        <v>0</v>
      </c>
      <c r="R48" s="2">
        <f>MOD(VALUE(MID(r0_l0!$C$52,'F(RxorK)'!$D43,1))+VALUE('k1-16'!L147),2)</f>
        <v>0</v>
      </c>
      <c r="S48" s="2">
        <f>MOD(VALUE(MID(r0_l0!$C$53,'F(RxorK)'!$D43,1))+VALUE('k1-16'!M147),2)</f>
        <v>1</v>
      </c>
      <c r="T48" s="2">
        <f>MOD(VALUE(MID(r0_l0!$C$54,'F(RxorK)'!$D43,1))+VALUE('k1-16'!N147),2)</f>
        <v>0</v>
      </c>
      <c r="U48" s="2">
        <f>MOD(VALUE(MID(r0_l0!$C$55,'F(RxorK)'!$D43,1))+VALUE('k1-16'!O147),2)</f>
        <v>0</v>
      </c>
      <c r="V48" s="2">
        <f>MOD(VALUE(MID(r0_l0!$C$56,'F(RxorK)'!$D43,1))+VALUE('k1-16'!P147),2)</f>
        <v>1</v>
      </c>
      <c r="W48" s="2">
        <f>MOD(VALUE(MID(r0_l0!$C$57,'F(RxorK)'!$D43,1))+VALUE('k1-16'!Q147),2)</f>
        <v>1</v>
      </c>
      <c r="X48" s="2">
        <f>MOD(VALUE(MID(r0_l0!$C$58,'F(RxorK)'!$D43,1))+VALUE('k1-16'!R147),2)</f>
        <v>1</v>
      </c>
    </row>
    <row r="49" spans="1:24" x14ac:dyDescent="0.25">
      <c r="A49" s="2">
        <v>46</v>
      </c>
      <c r="B49" s="2">
        <v>19</v>
      </c>
      <c r="C49" s="2" t="str">
        <f t="shared" si="0"/>
        <v>1</v>
      </c>
      <c r="D49" s="2">
        <v>31</v>
      </c>
      <c r="E49" s="2">
        <v>19</v>
      </c>
      <c r="G49" s="9">
        <v>41</v>
      </c>
      <c r="H49" s="2">
        <f>MOD(VALUE(MID($O$4,D44,1)) + VALUE('k1-16'!B148),2)</f>
        <v>1</v>
      </c>
      <c r="I49" s="2">
        <f>MOD(VALUE(MID(r0_l0!$C$43,'F(RxorK)'!D44,1))+VALUE('k1-16'!C148),2)</f>
        <v>1</v>
      </c>
      <c r="J49" s="2">
        <f>MOD(VALUE(MID(r0_l0!$C$44,'F(RxorK)'!$D44,1))+VALUE('k1-16'!D148),2)</f>
        <v>1</v>
      </c>
      <c r="K49" s="2">
        <f>MOD(VALUE(MID(r0_l0!$C$45,'F(RxorK)'!D44,1))+VALUE('k1-16'!E148),2)</f>
        <v>0</v>
      </c>
      <c r="L49" s="2">
        <f>MOD(VALUE(MID(r0_l0!$C$46,'F(RxorK)'!D44,1))+VALUE('k1-16'!F148),2)</f>
        <v>0</v>
      </c>
      <c r="M49" s="2">
        <f>MOD(VALUE(MID(r0_l0!$C$47,'F(RxorK)'!$D44,1))+VALUE('k1-16'!G148),2)</f>
        <v>1</v>
      </c>
      <c r="N49" s="2">
        <f>MOD(VALUE(MID(r0_l0!$C$48,'F(RxorK)'!$D44,1))+VALUE('k1-16'!H148),2)</f>
        <v>0</v>
      </c>
      <c r="O49" s="2">
        <f>MOD(VALUE(MID(r0_l0!$C$49,'F(RxorK)'!$D44,1))+VALUE('k1-16'!I148),2)</f>
        <v>0</v>
      </c>
      <c r="P49" s="2">
        <f>MOD(VALUE(MID(r0_l0!$C$50,'F(RxorK)'!$D44,1))+VALUE('k1-16'!J148),2)</f>
        <v>0</v>
      </c>
      <c r="Q49" s="2">
        <f>MOD(VALUE(MID(r0_l0!$C$51,'F(RxorK)'!$D44,1))+VALUE('k1-16'!K148),2)</f>
        <v>0</v>
      </c>
      <c r="R49" s="2">
        <f>MOD(VALUE(MID(r0_l0!$C$52,'F(RxorK)'!$D44,1))+VALUE('k1-16'!L148),2)</f>
        <v>1</v>
      </c>
      <c r="S49" s="2">
        <f>MOD(VALUE(MID(r0_l0!$C$53,'F(RxorK)'!$D44,1))+VALUE('k1-16'!M148),2)</f>
        <v>1</v>
      </c>
      <c r="T49" s="2">
        <f>MOD(VALUE(MID(r0_l0!$C$54,'F(RxorK)'!$D44,1))+VALUE('k1-16'!N148),2)</f>
        <v>1</v>
      </c>
      <c r="U49" s="2">
        <f>MOD(VALUE(MID(r0_l0!$C$55,'F(RxorK)'!$D44,1))+VALUE('k1-16'!O148),2)</f>
        <v>1</v>
      </c>
      <c r="V49" s="2">
        <f>MOD(VALUE(MID(r0_l0!$C$56,'F(RxorK)'!$D44,1))+VALUE('k1-16'!P148),2)</f>
        <v>1</v>
      </c>
      <c r="W49" s="2">
        <f>MOD(VALUE(MID(r0_l0!$C$57,'F(RxorK)'!$D44,1))+VALUE('k1-16'!Q148),2)</f>
        <v>1</v>
      </c>
      <c r="X49" s="2">
        <f>MOD(VALUE(MID(r0_l0!$C$58,'F(RxorK)'!$D44,1))+VALUE('k1-16'!R148),2)</f>
        <v>0</v>
      </c>
    </row>
    <row r="50" spans="1:24" x14ac:dyDescent="0.25">
      <c r="A50" s="2">
        <v>47</v>
      </c>
      <c r="B50" s="2">
        <v>11</v>
      </c>
      <c r="C50" s="2" t="str">
        <f t="shared" si="0"/>
        <v>0</v>
      </c>
      <c r="D50" s="2">
        <v>32</v>
      </c>
      <c r="E50" s="2">
        <v>59</v>
      </c>
      <c r="G50" s="9">
        <v>42</v>
      </c>
      <c r="H50" s="2">
        <f>MOD(VALUE(MID($O$4,D45,1)) + VALUE('k1-16'!B149),2)</f>
        <v>1</v>
      </c>
      <c r="I50" s="2">
        <f>MOD(VALUE(MID(r0_l0!$C$43,'F(RxorK)'!D45,1))+VALUE('k1-16'!C149),2)</f>
        <v>0</v>
      </c>
      <c r="J50" s="2">
        <f>MOD(VALUE(MID(r0_l0!$C$44,'F(RxorK)'!$D45,1))+VALUE('k1-16'!D149),2)</f>
        <v>1</v>
      </c>
      <c r="K50" s="2">
        <f>MOD(VALUE(MID(r0_l0!$C$45,'F(RxorK)'!D45,1))+VALUE('k1-16'!E149),2)</f>
        <v>0</v>
      </c>
      <c r="L50" s="2">
        <f>MOD(VALUE(MID(r0_l0!$C$46,'F(RxorK)'!D45,1))+VALUE('k1-16'!F149),2)</f>
        <v>1</v>
      </c>
      <c r="M50" s="2">
        <f>MOD(VALUE(MID(r0_l0!$C$47,'F(RxorK)'!$D45,1))+VALUE('k1-16'!G149),2)</f>
        <v>1</v>
      </c>
      <c r="N50" s="2">
        <f>MOD(VALUE(MID(r0_l0!$C$48,'F(RxorK)'!$D45,1))+VALUE('k1-16'!H149),2)</f>
        <v>1</v>
      </c>
      <c r="O50" s="2">
        <f>MOD(VALUE(MID(r0_l0!$C$49,'F(RxorK)'!$D45,1))+VALUE('k1-16'!I149),2)</f>
        <v>0</v>
      </c>
      <c r="P50" s="2">
        <f>MOD(VALUE(MID(r0_l0!$C$50,'F(RxorK)'!$D45,1))+VALUE('k1-16'!J149),2)</f>
        <v>1</v>
      </c>
      <c r="Q50" s="2">
        <f>MOD(VALUE(MID(r0_l0!$C$51,'F(RxorK)'!$D45,1))+VALUE('k1-16'!K149),2)</f>
        <v>1</v>
      </c>
      <c r="R50" s="2">
        <f>MOD(VALUE(MID(r0_l0!$C$52,'F(RxorK)'!$D45,1))+VALUE('k1-16'!L149),2)</f>
        <v>1</v>
      </c>
      <c r="S50" s="2">
        <f>MOD(VALUE(MID(r0_l0!$C$53,'F(RxorK)'!$D45,1))+VALUE('k1-16'!M149),2)</f>
        <v>1</v>
      </c>
      <c r="T50" s="2">
        <f>MOD(VALUE(MID(r0_l0!$C$54,'F(RxorK)'!$D45,1))+VALUE('k1-16'!N149),2)</f>
        <v>0</v>
      </c>
      <c r="U50" s="2">
        <f>MOD(VALUE(MID(r0_l0!$C$55,'F(RxorK)'!$D45,1))+VALUE('k1-16'!O149),2)</f>
        <v>0</v>
      </c>
      <c r="V50" s="2">
        <f>MOD(VALUE(MID(r0_l0!$C$56,'F(RxorK)'!$D45,1))+VALUE('k1-16'!P149),2)</f>
        <v>0</v>
      </c>
      <c r="W50" s="2">
        <f>MOD(VALUE(MID(r0_l0!$C$57,'F(RxorK)'!$D45,1))+VALUE('k1-16'!Q149),2)</f>
        <v>1</v>
      </c>
      <c r="X50" s="2">
        <f>MOD(VALUE(MID(r0_l0!$C$58,'F(RxorK)'!$D45,1))+VALUE('k1-16'!R149),2)</f>
        <v>1</v>
      </c>
    </row>
    <row r="51" spans="1:24" x14ac:dyDescent="0.25">
      <c r="A51" s="2">
        <v>48</v>
      </c>
      <c r="B51" s="2">
        <v>3</v>
      </c>
      <c r="C51" s="2" t="str">
        <f t="shared" si="0"/>
        <v>0</v>
      </c>
      <c r="D51" s="2">
        <v>1</v>
      </c>
      <c r="E51" s="2">
        <v>27</v>
      </c>
      <c r="G51" s="9">
        <v>43</v>
      </c>
      <c r="H51" s="2">
        <f>MOD(VALUE(MID($O$4,D46,1)) + VALUE('k1-16'!B150),2)</f>
        <v>1</v>
      </c>
      <c r="I51" s="2">
        <f>MOD(VALUE(MID(r0_l0!$C$43,'F(RxorK)'!D46,1))+VALUE('k1-16'!C150),2)</f>
        <v>0</v>
      </c>
      <c r="J51" s="2">
        <f>MOD(VALUE(MID(r0_l0!$C$44,'F(RxorK)'!$D46,1))+VALUE('k1-16'!D150),2)</f>
        <v>0</v>
      </c>
      <c r="K51" s="2">
        <f>MOD(VALUE(MID(r0_l0!$C$45,'F(RxorK)'!D46,1))+VALUE('k1-16'!E150),2)</f>
        <v>0</v>
      </c>
      <c r="L51" s="2">
        <f>MOD(VALUE(MID(r0_l0!$C$46,'F(RxorK)'!D46,1))+VALUE('k1-16'!F150),2)</f>
        <v>1</v>
      </c>
      <c r="M51" s="2">
        <f>MOD(VALUE(MID(r0_l0!$C$47,'F(RxorK)'!$D46,1))+VALUE('k1-16'!G150),2)</f>
        <v>1</v>
      </c>
      <c r="N51" s="2">
        <f>MOD(VALUE(MID(r0_l0!$C$48,'F(RxorK)'!$D46,1))+VALUE('k1-16'!H150),2)</f>
        <v>1</v>
      </c>
      <c r="O51" s="2">
        <f>MOD(VALUE(MID(r0_l0!$C$49,'F(RxorK)'!$D46,1))+VALUE('k1-16'!I150),2)</f>
        <v>1</v>
      </c>
      <c r="P51" s="2">
        <f>MOD(VALUE(MID(r0_l0!$C$50,'F(RxorK)'!$D46,1))+VALUE('k1-16'!J150),2)</f>
        <v>1</v>
      </c>
      <c r="Q51" s="2">
        <f>MOD(VALUE(MID(r0_l0!$C$51,'F(RxorK)'!$D46,1))+VALUE('k1-16'!K150),2)</f>
        <v>1</v>
      </c>
      <c r="R51" s="2">
        <f>MOD(VALUE(MID(r0_l0!$C$52,'F(RxorK)'!$D46,1))+VALUE('k1-16'!L150),2)</f>
        <v>1</v>
      </c>
      <c r="S51" s="2">
        <f>MOD(VALUE(MID(r0_l0!$C$53,'F(RxorK)'!$D46,1))+VALUE('k1-16'!M150),2)</f>
        <v>0</v>
      </c>
      <c r="T51" s="2">
        <f>MOD(VALUE(MID(r0_l0!$C$54,'F(RxorK)'!$D46,1))+VALUE('k1-16'!N150),2)</f>
        <v>1</v>
      </c>
      <c r="U51" s="2">
        <f>MOD(VALUE(MID(r0_l0!$C$55,'F(RxorK)'!$D46,1))+VALUE('k1-16'!O150),2)</f>
        <v>0</v>
      </c>
      <c r="V51" s="2">
        <f>MOD(VALUE(MID(r0_l0!$C$56,'F(RxorK)'!$D46,1))+VALUE('k1-16'!P150),2)</f>
        <v>1</v>
      </c>
      <c r="W51" s="2">
        <f>MOD(VALUE(MID(r0_l0!$C$57,'F(RxorK)'!$D46,1))+VALUE('k1-16'!Q150),2)</f>
        <v>0</v>
      </c>
      <c r="X51" s="2">
        <f>MOD(VALUE(MID(r0_l0!$C$58,'F(RxorK)'!$D46,1))+VALUE('k1-16'!R150),2)</f>
        <v>0</v>
      </c>
    </row>
    <row r="52" spans="1:24" x14ac:dyDescent="0.25">
      <c r="A52" s="2">
        <v>49</v>
      </c>
      <c r="B52" s="2">
        <v>61</v>
      </c>
      <c r="C52" s="2" t="str">
        <f t="shared" si="0"/>
        <v>1</v>
      </c>
      <c r="D52" s="2"/>
      <c r="E52" s="2">
        <v>34</v>
      </c>
      <c r="G52" s="9">
        <v>44</v>
      </c>
      <c r="H52" s="2">
        <f>MOD(VALUE(MID($O$4,D47,1)) + VALUE('k1-16'!B151),2)</f>
        <v>1</v>
      </c>
      <c r="I52" s="2">
        <f>MOD(VALUE(MID(r0_l0!$C$43,'F(RxorK)'!D47,1))+VALUE('k1-16'!C151),2)</f>
        <v>1</v>
      </c>
      <c r="J52" s="2">
        <f>MOD(VALUE(MID(r0_l0!$C$44,'F(RxorK)'!$D47,1))+VALUE('k1-16'!D151),2)</f>
        <v>1</v>
      </c>
      <c r="K52" s="2">
        <f>MOD(VALUE(MID(r0_l0!$C$45,'F(RxorK)'!D47,1))+VALUE('k1-16'!E151),2)</f>
        <v>0</v>
      </c>
      <c r="L52" s="2">
        <f>MOD(VALUE(MID(r0_l0!$C$46,'F(RxorK)'!D47,1))+VALUE('k1-16'!F151),2)</f>
        <v>0</v>
      </c>
      <c r="M52" s="2">
        <f>MOD(VALUE(MID(r0_l0!$C$47,'F(RxorK)'!$D47,1))+VALUE('k1-16'!G151),2)</f>
        <v>0</v>
      </c>
      <c r="N52" s="2">
        <f>MOD(VALUE(MID(r0_l0!$C$48,'F(RxorK)'!$D47,1))+VALUE('k1-16'!H151),2)</f>
        <v>0</v>
      </c>
      <c r="O52" s="2">
        <f>MOD(VALUE(MID(r0_l0!$C$49,'F(RxorK)'!$D47,1))+VALUE('k1-16'!I151),2)</f>
        <v>0</v>
      </c>
      <c r="P52" s="2">
        <f>MOD(VALUE(MID(r0_l0!$C$50,'F(RxorK)'!$D47,1))+VALUE('k1-16'!J151),2)</f>
        <v>0</v>
      </c>
      <c r="Q52" s="2">
        <f>MOD(VALUE(MID(r0_l0!$C$51,'F(RxorK)'!$D47,1))+VALUE('k1-16'!K151),2)</f>
        <v>1</v>
      </c>
      <c r="R52" s="2">
        <f>MOD(VALUE(MID(r0_l0!$C$52,'F(RxorK)'!$D47,1))+VALUE('k1-16'!L151),2)</f>
        <v>0</v>
      </c>
      <c r="S52" s="2">
        <f>MOD(VALUE(MID(r0_l0!$C$53,'F(RxorK)'!$D47,1))+VALUE('k1-16'!M151),2)</f>
        <v>1</v>
      </c>
      <c r="T52" s="2">
        <f>MOD(VALUE(MID(r0_l0!$C$54,'F(RxorK)'!$D47,1))+VALUE('k1-16'!N151),2)</f>
        <v>0</v>
      </c>
      <c r="U52" s="2">
        <f>MOD(VALUE(MID(r0_l0!$C$55,'F(RxorK)'!$D47,1))+VALUE('k1-16'!O151),2)</f>
        <v>0</v>
      </c>
      <c r="V52" s="2">
        <f>MOD(VALUE(MID(r0_l0!$C$56,'F(RxorK)'!$D47,1))+VALUE('k1-16'!P151),2)</f>
        <v>1</v>
      </c>
      <c r="W52" s="2">
        <f>MOD(VALUE(MID(r0_l0!$C$57,'F(RxorK)'!$D47,1))+VALUE('k1-16'!Q151),2)</f>
        <v>1</v>
      </c>
      <c r="X52" s="2">
        <f>MOD(VALUE(MID(r0_l0!$C$58,'F(RxorK)'!$D47,1))+VALUE('k1-16'!R151),2)</f>
        <v>1</v>
      </c>
    </row>
    <row r="53" spans="1:24" x14ac:dyDescent="0.25">
      <c r="A53" s="2">
        <v>50</v>
      </c>
      <c r="B53" s="2">
        <v>53</v>
      </c>
      <c r="C53" s="2" t="str">
        <f t="shared" si="0"/>
        <v>1</v>
      </c>
      <c r="D53" s="2"/>
      <c r="E53" s="2">
        <v>2</v>
      </c>
      <c r="G53" s="9">
        <v>45</v>
      </c>
      <c r="H53" s="2">
        <f>MOD(VALUE(MID($O$4,D48,1)) + VALUE('k1-16'!B152),2)</f>
        <v>0</v>
      </c>
      <c r="I53" s="2">
        <f>MOD(VALUE(MID(r0_l0!$C$43,'F(RxorK)'!D48,1))+VALUE('k1-16'!C152),2)</f>
        <v>0</v>
      </c>
      <c r="J53" s="2">
        <f>MOD(VALUE(MID(r0_l0!$C$44,'F(RxorK)'!$D48,1))+VALUE('k1-16'!D152),2)</f>
        <v>0</v>
      </c>
      <c r="K53" s="2">
        <f>MOD(VALUE(MID(r0_l0!$C$45,'F(RxorK)'!D48,1))+VALUE('k1-16'!E152),2)</f>
        <v>0</v>
      </c>
      <c r="L53" s="2">
        <f>MOD(VALUE(MID(r0_l0!$C$46,'F(RxorK)'!D48,1))+VALUE('k1-16'!F152),2)</f>
        <v>0</v>
      </c>
      <c r="M53" s="2">
        <f>MOD(VALUE(MID(r0_l0!$C$47,'F(RxorK)'!$D48,1))+VALUE('k1-16'!G152),2)</f>
        <v>1</v>
      </c>
      <c r="N53" s="2">
        <f>MOD(VALUE(MID(r0_l0!$C$48,'F(RxorK)'!$D48,1))+VALUE('k1-16'!H152),2)</f>
        <v>1</v>
      </c>
      <c r="O53" s="2">
        <f>MOD(VALUE(MID(r0_l0!$C$49,'F(RxorK)'!$D48,1))+VALUE('k1-16'!I152),2)</f>
        <v>1</v>
      </c>
      <c r="P53" s="2">
        <f>MOD(VALUE(MID(r0_l0!$C$50,'F(RxorK)'!$D48,1))+VALUE('k1-16'!J152),2)</f>
        <v>0</v>
      </c>
      <c r="Q53" s="2">
        <f>MOD(VALUE(MID(r0_l0!$C$51,'F(RxorK)'!$D48,1))+VALUE('k1-16'!K152),2)</f>
        <v>1</v>
      </c>
      <c r="R53" s="2">
        <f>MOD(VALUE(MID(r0_l0!$C$52,'F(RxorK)'!$D48,1))+VALUE('k1-16'!L152),2)</f>
        <v>1</v>
      </c>
      <c r="S53" s="2">
        <f>MOD(VALUE(MID(r0_l0!$C$53,'F(RxorK)'!$D48,1))+VALUE('k1-16'!M152),2)</f>
        <v>0</v>
      </c>
      <c r="T53" s="2">
        <f>MOD(VALUE(MID(r0_l0!$C$54,'F(RxorK)'!$D48,1))+VALUE('k1-16'!N152),2)</f>
        <v>0</v>
      </c>
      <c r="U53" s="2">
        <f>MOD(VALUE(MID(r0_l0!$C$55,'F(RxorK)'!$D48,1))+VALUE('k1-16'!O152),2)</f>
        <v>0</v>
      </c>
      <c r="V53" s="2">
        <f>MOD(VALUE(MID(r0_l0!$C$56,'F(RxorK)'!$D48,1))+VALUE('k1-16'!P152),2)</f>
        <v>1</v>
      </c>
      <c r="W53" s="2">
        <f>MOD(VALUE(MID(r0_l0!$C$57,'F(RxorK)'!$D48,1))+VALUE('k1-16'!Q152),2)</f>
        <v>1</v>
      </c>
      <c r="X53" s="2">
        <f>MOD(VALUE(MID(r0_l0!$C$58,'F(RxorK)'!$D48,1))+VALUE('k1-16'!R152),2)</f>
        <v>0</v>
      </c>
    </row>
    <row r="54" spans="1:24" x14ac:dyDescent="0.25">
      <c r="A54" s="2">
        <v>51</v>
      </c>
      <c r="B54" s="2">
        <v>45</v>
      </c>
      <c r="C54" s="2" t="str">
        <f t="shared" si="0"/>
        <v>1</v>
      </c>
      <c r="D54" s="2"/>
      <c r="E54" s="2">
        <v>42</v>
      </c>
      <c r="G54" s="9">
        <v>46</v>
      </c>
      <c r="H54" s="2">
        <f>MOD(VALUE(MID($O$4,D49,1)) + VALUE('k1-16'!B153),2)</f>
        <v>0</v>
      </c>
      <c r="I54" s="2">
        <f>MOD(VALUE(MID(r0_l0!$C$43,'F(RxorK)'!D49,1))+VALUE('k1-16'!C153),2)</f>
        <v>0</v>
      </c>
      <c r="J54" s="2">
        <f>MOD(VALUE(MID(r0_l0!$C$44,'F(RxorK)'!$D49,1))+VALUE('k1-16'!D153),2)</f>
        <v>0</v>
      </c>
      <c r="K54" s="2">
        <f>MOD(VALUE(MID(r0_l0!$C$45,'F(RxorK)'!D49,1))+VALUE('k1-16'!E153),2)</f>
        <v>1</v>
      </c>
      <c r="L54" s="2">
        <f>MOD(VALUE(MID(r0_l0!$C$46,'F(RxorK)'!D49,1))+VALUE('k1-16'!F153),2)</f>
        <v>1</v>
      </c>
      <c r="M54" s="2">
        <f>MOD(VALUE(MID(r0_l0!$C$47,'F(RxorK)'!$D49,1))+VALUE('k1-16'!G153),2)</f>
        <v>1</v>
      </c>
      <c r="N54" s="2">
        <f>MOD(VALUE(MID(r0_l0!$C$48,'F(RxorK)'!$D49,1))+VALUE('k1-16'!H153),2)</f>
        <v>0</v>
      </c>
      <c r="O54" s="2">
        <f>MOD(VALUE(MID(r0_l0!$C$49,'F(RxorK)'!$D49,1))+VALUE('k1-16'!I153),2)</f>
        <v>1</v>
      </c>
      <c r="P54" s="2">
        <f>MOD(VALUE(MID(r0_l0!$C$50,'F(RxorK)'!$D49,1))+VALUE('k1-16'!J153),2)</f>
        <v>1</v>
      </c>
      <c r="Q54" s="2">
        <f>MOD(VALUE(MID(r0_l0!$C$51,'F(RxorK)'!$D49,1))+VALUE('k1-16'!K153),2)</f>
        <v>0</v>
      </c>
      <c r="R54" s="2">
        <f>MOD(VALUE(MID(r0_l0!$C$52,'F(RxorK)'!$D49,1))+VALUE('k1-16'!L153),2)</f>
        <v>0</v>
      </c>
      <c r="S54" s="2">
        <f>MOD(VALUE(MID(r0_l0!$C$53,'F(RxorK)'!$D49,1))+VALUE('k1-16'!M153),2)</f>
        <v>1</v>
      </c>
      <c r="T54" s="2">
        <f>MOD(VALUE(MID(r0_l0!$C$54,'F(RxorK)'!$D49,1))+VALUE('k1-16'!N153),2)</f>
        <v>0</v>
      </c>
      <c r="U54" s="2">
        <f>MOD(VALUE(MID(r0_l0!$C$55,'F(RxorK)'!$D49,1))+VALUE('k1-16'!O153),2)</f>
        <v>0</v>
      </c>
      <c r="V54" s="2">
        <f>MOD(VALUE(MID(r0_l0!$C$56,'F(RxorK)'!$D49,1))+VALUE('k1-16'!P153),2)</f>
        <v>0</v>
      </c>
      <c r="W54" s="2">
        <f>MOD(VALUE(MID(r0_l0!$C$57,'F(RxorK)'!$D49,1))+VALUE('k1-16'!Q153),2)</f>
        <v>1</v>
      </c>
      <c r="X54" s="2">
        <f>MOD(VALUE(MID(r0_l0!$C$58,'F(RxorK)'!$D49,1))+VALUE('k1-16'!R153),2)</f>
        <v>1</v>
      </c>
    </row>
    <row r="55" spans="1:24" x14ac:dyDescent="0.25">
      <c r="A55" s="2">
        <v>52</v>
      </c>
      <c r="B55" s="2">
        <v>37</v>
      </c>
      <c r="C55" s="2" t="str">
        <f t="shared" si="0"/>
        <v>1</v>
      </c>
      <c r="D55" s="2"/>
      <c r="E55" s="2">
        <v>10</v>
      </c>
      <c r="G55" s="9">
        <v>47</v>
      </c>
      <c r="H55" s="2">
        <f>MOD(VALUE(MID($O$4,D50,1)) + VALUE('k1-16'!B154),2)</f>
        <v>0</v>
      </c>
      <c r="I55" s="2">
        <f>MOD(VALUE(MID(r0_l0!$C$43,'F(RxorK)'!D50,1))+VALUE('k1-16'!C154),2)</f>
        <v>1</v>
      </c>
      <c r="J55" s="2">
        <f>MOD(VALUE(MID(r0_l0!$C$44,'F(RxorK)'!$D50,1))+VALUE('k1-16'!D154),2)</f>
        <v>0</v>
      </c>
      <c r="K55" s="2">
        <f>MOD(VALUE(MID(r0_l0!$C$45,'F(RxorK)'!D50,1))+VALUE('k1-16'!E154),2)</f>
        <v>1</v>
      </c>
      <c r="L55" s="2">
        <f>MOD(VALUE(MID(r0_l0!$C$46,'F(RxorK)'!D50,1))+VALUE('k1-16'!F154),2)</f>
        <v>0</v>
      </c>
      <c r="M55" s="2">
        <f>MOD(VALUE(MID(r0_l0!$C$47,'F(RxorK)'!$D50,1))+VALUE('k1-16'!G154),2)</f>
        <v>1</v>
      </c>
      <c r="N55" s="2">
        <f>MOD(VALUE(MID(r0_l0!$C$48,'F(RxorK)'!$D50,1))+VALUE('k1-16'!H154),2)</f>
        <v>1</v>
      </c>
      <c r="O55" s="2">
        <f>MOD(VALUE(MID(r0_l0!$C$49,'F(RxorK)'!$D50,1))+VALUE('k1-16'!I154),2)</f>
        <v>1</v>
      </c>
      <c r="P55" s="2">
        <f>MOD(VALUE(MID(r0_l0!$C$50,'F(RxorK)'!$D50,1))+VALUE('k1-16'!J154),2)</f>
        <v>0</v>
      </c>
      <c r="Q55" s="2">
        <f>MOD(VALUE(MID(r0_l0!$C$51,'F(RxorK)'!$D50,1))+VALUE('k1-16'!K154),2)</f>
        <v>1</v>
      </c>
      <c r="R55" s="2">
        <f>MOD(VALUE(MID(r0_l0!$C$52,'F(RxorK)'!$D50,1))+VALUE('k1-16'!L154),2)</f>
        <v>1</v>
      </c>
      <c r="S55" s="2">
        <f>MOD(VALUE(MID(r0_l0!$C$53,'F(RxorK)'!$D50,1))+VALUE('k1-16'!M154),2)</f>
        <v>0</v>
      </c>
      <c r="T55" s="2">
        <f>MOD(VALUE(MID(r0_l0!$C$54,'F(RxorK)'!$D50,1))+VALUE('k1-16'!N154),2)</f>
        <v>1</v>
      </c>
      <c r="U55" s="2">
        <f>MOD(VALUE(MID(r0_l0!$C$55,'F(RxorK)'!$D50,1))+VALUE('k1-16'!O154),2)</f>
        <v>0</v>
      </c>
      <c r="V55" s="2">
        <f>MOD(VALUE(MID(r0_l0!$C$56,'F(RxorK)'!$D50,1))+VALUE('k1-16'!P154),2)</f>
        <v>1</v>
      </c>
      <c r="W55" s="2">
        <f>MOD(VALUE(MID(r0_l0!$C$57,'F(RxorK)'!$D50,1))+VALUE('k1-16'!Q154),2)</f>
        <v>0</v>
      </c>
      <c r="X55" s="2">
        <f>MOD(VALUE(MID(r0_l0!$C$58,'F(RxorK)'!$D50,1))+VALUE('k1-16'!R154),2)</f>
        <v>0</v>
      </c>
    </row>
    <row r="56" spans="1:24" x14ac:dyDescent="0.25">
      <c r="A56" s="2">
        <v>53</v>
      </c>
      <c r="B56" s="2">
        <v>29</v>
      </c>
      <c r="C56" s="2" t="str">
        <f t="shared" si="0"/>
        <v>0</v>
      </c>
      <c r="D56" s="2"/>
      <c r="E56" s="2">
        <v>50</v>
      </c>
      <c r="G56" s="9">
        <v>48</v>
      </c>
      <c r="H56" s="2">
        <f>MOD(VALUE(MID($O$4,D51,1)) + VALUE('k1-16'!B155),2)</f>
        <v>0</v>
      </c>
      <c r="I56" s="2">
        <f>MOD(VALUE(MID(r0_l0!$C$43,'F(RxorK)'!D51,1))+VALUE('k1-16'!C155),2)</f>
        <v>0</v>
      </c>
      <c r="J56" s="2">
        <f>MOD(VALUE(MID(r0_l0!$C$44,'F(RxorK)'!$D51,1))+VALUE('k1-16'!D155),2)</f>
        <v>0</v>
      </c>
      <c r="K56" s="2">
        <f>MOD(VALUE(MID(r0_l0!$C$45,'F(RxorK)'!D51,1))+VALUE('k1-16'!E155),2)</f>
        <v>0</v>
      </c>
      <c r="L56" s="2">
        <f>MOD(VALUE(MID(r0_l0!$C$46,'F(RxorK)'!D51,1))+VALUE('k1-16'!F155),2)</f>
        <v>1</v>
      </c>
      <c r="M56" s="2">
        <f>MOD(VALUE(MID(r0_l0!$C$47,'F(RxorK)'!$D51,1))+VALUE('k1-16'!G155),2)</f>
        <v>1</v>
      </c>
      <c r="N56" s="2">
        <f>MOD(VALUE(MID(r0_l0!$C$48,'F(RxorK)'!$D51,1))+VALUE('k1-16'!H155),2)</f>
        <v>0</v>
      </c>
      <c r="O56" s="2">
        <f>MOD(VALUE(MID(r0_l0!$C$49,'F(RxorK)'!$D51,1))+VALUE('k1-16'!I155),2)</f>
        <v>1</v>
      </c>
      <c r="P56" s="2">
        <f>MOD(VALUE(MID(r0_l0!$C$50,'F(RxorK)'!$D51,1))+VALUE('k1-16'!J155),2)</f>
        <v>1</v>
      </c>
      <c r="Q56" s="2">
        <f>MOD(VALUE(MID(r0_l0!$C$51,'F(RxorK)'!$D51,1))+VALUE('k1-16'!K155),2)</f>
        <v>1</v>
      </c>
      <c r="R56" s="2">
        <f>MOD(VALUE(MID(r0_l0!$C$52,'F(RxorK)'!$D51,1))+VALUE('k1-16'!L155),2)</f>
        <v>1</v>
      </c>
      <c r="S56" s="2">
        <f>MOD(VALUE(MID(r0_l0!$C$53,'F(RxorK)'!$D51,1))+VALUE('k1-16'!M155),2)</f>
        <v>1</v>
      </c>
      <c r="T56" s="2">
        <f>MOD(VALUE(MID(r0_l0!$C$54,'F(RxorK)'!$D51,1))+VALUE('k1-16'!N155),2)</f>
        <v>0</v>
      </c>
      <c r="U56" s="2">
        <f>MOD(VALUE(MID(r0_l0!$C$55,'F(RxorK)'!$D51,1))+VALUE('k1-16'!O155),2)</f>
        <v>1</v>
      </c>
      <c r="V56" s="2">
        <f>MOD(VALUE(MID(r0_l0!$C$56,'F(RxorK)'!$D51,1))+VALUE('k1-16'!P155),2)</f>
        <v>0</v>
      </c>
      <c r="W56" s="2">
        <f>MOD(VALUE(MID(r0_l0!$C$57,'F(RxorK)'!$D51,1))+VALUE('k1-16'!Q155),2)</f>
        <v>0</v>
      </c>
      <c r="X56" s="2">
        <f>MOD(VALUE(MID(r0_l0!$C$58,'F(RxorK)'!$D51,1))+VALUE('k1-16'!R155),2)</f>
        <v>0</v>
      </c>
    </row>
    <row r="57" spans="1:24" x14ac:dyDescent="0.25">
      <c r="A57" s="2">
        <v>54</v>
      </c>
      <c r="B57" s="2">
        <v>21</v>
      </c>
      <c r="C57" s="2" t="str">
        <f t="shared" si="0"/>
        <v>0</v>
      </c>
      <c r="D57" s="2"/>
      <c r="E57" s="2">
        <v>18</v>
      </c>
    </row>
    <row r="58" spans="1:24" x14ac:dyDescent="0.25">
      <c r="A58" s="2">
        <v>55</v>
      </c>
      <c r="B58" s="2">
        <v>13</v>
      </c>
      <c r="C58" s="2" t="str">
        <f t="shared" si="0"/>
        <v>0</v>
      </c>
      <c r="D58" s="2"/>
      <c r="E58" s="2">
        <v>58</v>
      </c>
    </row>
    <row r="59" spans="1:24" x14ac:dyDescent="0.25">
      <c r="A59" s="2">
        <v>56</v>
      </c>
      <c r="B59" s="2">
        <v>5</v>
      </c>
      <c r="C59" s="2" t="str">
        <f t="shared" si="0"/>
        <v>0</v>
      </c>
      <c r="D59" s="2"/>
      <c r="E59" s="2">
        <v>26</v>
      </c>
      <c r="G59" s="11" t="s">
        <v>133</v>
      </c>
      <c r="H59" s="11"/>
      <c r="I59" s="11"/>
    </row>
    <row r="60" spans="1:24" x14ac:dyDescent="0.25">
      <c r="A60" s="2">
        <v>57</v>
      </c>
      <c r="B60" s="2">
        <v>63</v>
      </c>
      <c r="C60" s="2" t="str">
        <f t="shared" si="0"/>
        <v>1</v>
      </c>
      <c r="D60" s="2"/>
      <c r="E60" s="2">
        <v>33</v>
      </c>
    </row>
    <row r="61" spans="1:24" x14ac:dyDescent="0.25">
      <c r="A61" s="2">
        <v>58</v>
      </c>
      <c r="B61" s="2">
        <v>55</v>
      </c>
      <c r="C61" s="2" t="str">
        <f t="shared" si="0"/>
        <v>0</v>
      </c>
      <c r="D61" s="2"/>
      <c r="E61" s="2">
        <v>1</v>
      </c>
      <c r="G61" s="9" t="s">
        <v>108</v>
      </c>
      <c r="H61" s="9">
        <v>1</v>
      </c>
      <c r="I61" s="9">
        <v>2</v>
      </c>
      <c r="J61" s="9">
        <v>3</v>
      </c>
      <c r="K61" s="9">
        <v>4</v>
      </c>
      <c r="L61" s="9">
        <v>5</v>
      </c>
      <c r="M61" s="9">
        <v>6</v>
      </c>
      <c r="N61" s="9">
        <v>7</v>
      </c>
      <c r="O61" s="9">
        <v>8</v>
      </c>
      <c r="P61" s="9">
        <v>9</v>
      </c>
      <c r="Q61" s="9">
        <v>10</v>
      </c>
      <c r="R61" s="9">
        <v>11</v>
      </c>
      <c r="S61" s="9">
        <v>12</v>
      </c>
      <c r="T61" s="9">
        <v>13</v>
      </c>
      <c r="U61" s="9">
        <v>14</v>
      </c>
      <c r="V61" s="9">
        <v>15</v>
      </c>
      <c r="W61" s="9">
        <v>16</v>
      </c>
    </row>
    <row r="62" spans="1:24" x14ac:dyDescent="0.25">
      <c r="A62" s="2">
        <v>59</v>
      </c>
      <c r="B62" s="2">
        <v>47</v>
      </c>
      <c r="C62" s="2" t="str">
        <f t="shared" si="0"/>
        <v>1</v>
      </c>
      <c r="D62" s="2"/>
      <c r="E62" s="2">
        <v>41</v>
      </c>
      <c r="G62" s="9">
        <v>1</v>
      </c>
      <c r="H62" s="2" t="str">
        <f>MID(_xlfn.TEXTJOIN("",TRUE,H$9:H$56), 1 + 6*($G62-1), 6)</f>
        <v>011010</v>
      </c>
      <c r="I62" s="2" t="str">
        <f t="shared" ref="I62:W62" si="1">MID(_xlfn.TEXTJOIN("",TRUE,I$9:I$56), 1 + 6*($G62-1), 6)</f>
        <v>011011</v>
      </c>
      <c r="J62" s="2" t="str">
        <f t="shared" si="1"/>
        <v>111000</v>
      </c>
      <c r="K62" s="2" t="str">
        <f t="shared" si="1"/>
        <v>000110</v>
      </c>
      <c r="L62" s="2" t="str">
        <f t="shared" si="1"/>
        <v>101100</v>
      </c>
      <c r="M62" s="2" t="str">
        <f t="shared" si="1"/>
        <v>111001</v>
      </c>
      <c r="N62" s="2" t="str">
        <f t="shared" si="1"/>
        <v>011101</v>
      </c>
      <c r="O62" s="2" t="str">
        <f t="shared" si="1"/>
        <v>010101</v>
      </c>
      <c r="P62" s="2" t="str">
        <f t="shared" si="1"/>
        <v>111011</v>
      </c>
      <c r="Q62" s="2" t="str">
        <f t="shared" si="1"/>
        <v>111011</v>
      </c>
      <c r="R62" s="2" t="str">
        <f t="shared" si="1"/>
        <v>011001</v>
      </c>
      <c r="S62" s="2" t="str">
        <f t="shared" si="1"/>
        <v>010100</v>
      </c>
      <c r="T62" s="2" t="str">
        <f t="shared" si="1"/>
        <v>011010</v>
      </c>
      <c r="U62" s="2" t="str">
        <f t="shared" si="1"/>
        <v>010010</v>
      </c>
      <c r="V62" s="2" t="str">
        <f t="shared" si="1"/>
        <v>011100</v>
      </c>
      <c r="W62" s="2" t="str">
        <f t="shared" si="1"/>
        <v>011111</v>
      </c>
    </row>
    <row r="63" spans="1:24" x14ac:dyDescent="0.25">
      <c r="A63" s="2">
        <v>60</v>
      </c>
      <c r="B63" s="2">
        <v>39</v>
      </c>
      <c r="C63" s="2" t="str">
        <f t="shared" si="0"/>
        <v>0</v>
      </c>
      <c r="D63" s="2"/>
      <c r="E63" s="2">
        <v>9</v>
      </c>
      <c r="G63" s="9">
        <v>2</v>
      </c>
      <c r="H63" s="2" t="str">
        <f t="shared" ref="H63:W69" si="2">MID(_xlfn.TEXTJOIN("",TRUE,H$9:H$56), 1 + 6*($G63-1), 6)</f>
        <v>110000</v>
      </c>
      <c r="I63" s="2" t="str">
        <f t="shared" si="2"/>
        <v>000100</v>
      </c>
      <c r="J63" s="2" t="str">
        <f t="shared" si="2"/>
        <v>001111</v>
      </c>
      <c r="K63" s="2" t="str">
        <f t="shared" si="2"/>
        <v>000000</v>
      </c>
      <c r="L63" s="2" t="str">
        <f t="shared" si="2"/>
        <v>110110</v>
      </c>
      <c r="M63" s="2" t="str">
        <f t="shared" si="2"/>
        <v>100000</v>
      </c>
      <c r="N63" s="2" t="str">
        <f t="shared" si="2"/>
        <v>101111</v>
      </c>
      <c r="O63" s="2" t="str">
        <f t="shared" si="2"/>
        <v>111110</v>
      </c>
      <c r="P63" s="2" t="str">
        <f t="shared" si="2"/>
        <v>110011</v>
      </c>
      <c r="Q63" s="2" t="str">
        <f t="shared" si="2"/>
        <v>101111</v>
      </c>
      <c r="R63" s="2" t="str">
        <f t="shared" si="2"/>
        <v>000001</v>
      </c>
      <c r="S63" s="2" t="str">
        <f t="shared" si="2"/>
        <v>011110</v>
      </c>
      <c r="T63" s="2" t="str">
        <f t="shared" si="2"/>
        <v>101000</v>
      </c>
      <c r="U63" s="2" t="str">
        <f t="shared" si="2"/>
        <v>001010</v>
      </c>
      <c r="V63" s="2" t="str">
        <f t="shared" si="2"/>
        <v>000110</v>
      </c>
      <c r="W63" s="2" t="str">
        <f t="shared" si="2"/>
        <v>101111</v>
      </c>
    </row>
    <row r="64" spans="1:24" x14ac:dyDescent="0.25">
      <c r="A64" s="2">
        <v>61</v>
      </c>
      <c r="B64" s="2">
        <v>31</v>
      </c>
      <c r="C64" s="2" t="str">
        <f t="shared" si="0"/>
        <v>1</v>
      </c>
      <c r="D64" s="2"/>
      <c r="E64" s="2">
        <v>49</v>
      </c>
      <c r="G64" s="9">
        <v>3</v>
      </c>
      <c r="H64" s="2" t="str">
        <f t="shared" si="2"/>
        <v>000001</v>
      </c>
      <c r="I64" s="2" t="str">
        <f t="shared" si="2"/>
        <v>011110</v>
      </c>
      <c r="J64" s="2" t="str">
        <f t="shared" si="2"/>
        <v>110001</v>
      </c>
      <c r="K64" s="2" t="str">
        <f t="shared" si="2"/>
        <v>010101</v>
      </c>
      <c r="L64" s="2" t="str">
        <f t="shared" si="2"/>
        <v>111010</v>
      </c>
      <c r="M64" s="2" t="str">
        <f t="shared" si="2"/>
        <v>110000</v>
      </c>
      <c r="N64" s="2" t="str">
        <f t="shared" si="2"/>
        <v>100000</v>
      </c>
      <c r="O64" s="2" t="str">
        <f t="shared" si="2"/>
        <v>001110</v>
      </c>
      <c r="P64" s="2" t="str">
        <f t="shared" si="2"/>
        <v>000010</v>
      </c>
      <c r="Q64" s="2" t="str">
        <f t="shared" si="2"/>
        <v>000011</v>
      </c>
      <c r="R64" s="2" t="str">
        <f t="shared" si="2"/>
        <v>110000</v>
      </c>
      <c r="S64" s="2" t="str">
        <f t="shared" si="2"/>
        <v>010111</v>
      </c>
      <c r="T64" s="2" t="str">
        <f t="shared" si="2"/>
        <v>010001</v>
      </c>
      <c r="U64" s="2" t="str">
        <f t="shared" si="2"/>
        <v>100001</v>
      </c>
      <c r="V64" s="2" t="str">
        <f t="shared" si="2"/>
        <v>111111</v>
      </c>
      <c r="W64" s="2" t="str">
        <f t="shared" si="2"/>
        <v>111100</v>
      </c>
    </row>
    <row r="65" spans="1:25" x14ac:dyDescent="0.25">
      <c r="A65" s="2">
        <v>62</v>
      </c>
      <c r="B65" s="2">
        <v>23</v>
      </c>
      <c r="C65" s="2" t="str">
        <f t="shared" si="0"/>
        <v>0</v>
      </c>
      <c r="D65" s="2"/>
      <c r="E65" s="2">
        <v>17</v>
      </c>
      <c r="G65" s="9">
        <v>4</v>
      </c>
      <c r="H65" s="2" t="str">
        <f t="shared" si="2"/>
        <v>000110</v>
      </c>
      <c r="I65" s="2" t="str">
        <f t="shared" si="2"/>
        <v>000110</v>
      </c>
      <c r="J65" s="2" t="str">
        <f t="shared" si="2"/>
        <v>110010</v>
      </c>
      <c r="K65" s="2" t="str">
        <f t="shared" si="2"/>
        <v>111011</v>
      </c>
      <c r="L65" s="2" t="str">
        <f t="shared" si="2"/>
        <v>101101</v>
      </c>
      <c r="M65" s="2" t="str">
        <f t="shared" si="2"/>
        <v>010011</v>
      </c>
      <c r="N65" s="2" t="str">
        <f t="shared" si="2"/>
        <v>010101</v>
      </c>
      <c r="O65" s="2" t="str">
        <f t="shared" si="2"/>
        <v>010101</v>
      </c>
      <c r="P65" s="2" t="str">
        <f t="shared" si="2"/>
        <v>110010</v>
      </c>
      <c r="Q65" s="2" t="str">
        <f t="shared" si="2"/>
        <v>100100</v>
      </c>
      <c r="R65" s="2" t="str">
        <f t="shared" si="2"/>
        <v>110000</v>
      </c>
      <c r="S65" s="2" t="str">
        <f t="shared" si="2"/>
        <v>111010</v>
      </c>
      <c r="T65" s="2" t="str">
        <f t="shared" si="2"/>
        <v>111101</v>
      </c>
      <c r="U65" s="2" t="str">
        <f t="shared" si="2"/>
        <v>000100</v>
      </c>
      <c r="V65" s="2" t="str">
        <f t="shared" si="2"/>
        <v>010001</v>
      </c>
      <c r="W65" s="2" t="str">
        <f t="shared" si="2"/>
        <v>000110</v>
      </c>
    </row>
    <row r="66" spans="1:25" x14ac:dyDescent="0.25">
      <c r="A66" s="2">
        <v>63</v>
      </c>
      <c r="B66" s="2">
        <v>15</v>
      </c>
      <c r="C66" s="2" t="str">
        <f t="shared" si="0"/>
        <v>1</v>
      </c>
      <c r="D66" s="2"/>
      <c r="E66" s="2">
        <v>57</v>
      </c>
      <c r="G66" s="9">
        <v>5</v>
      </c>
      <c r="H66" s="2" t="str">
        <f t="shared" si="2"/>
        <v>101000</v>
      </c>
      <c r="I66" s="2" t="str">
        <f t="shared" si="2"/>
        <v>111100</v>
      </c>
      <c r="J66" s="2" t="str">
        <f t="shared" si="2"/>
        <v>100010</v>
      </c>
      <c r="K66" s="2" t="str">
        <f>MID(_xlfn.TEXTJOIN("",TRUE,K$9:K$56), 1 + 6*($G66-1), 6)</f>
        <v>111010</v>
      </c>
      <c r="L66" s="2" t="str">
        <f t="shared" si="2"/>
        <v>100010</v>
      </c>
      <c r="M66" s="2" t="str">
        <f t="shared" si="2"/>
        <v>011000</v>
      </c>
      <c r="N66" s="2" t="str">
        <f t="shared" si="2"/>
        <v>000000</v>
      </c>
      <c r="O66" s="2" t="str">
        <f t="shared" si="2"/>
        <v>001000</v>
      </c>
      <c r="P66" s="2" t="str">
        <f t="shared" si="2"/>
        <v>010110</v>
      </c>
      <c r="Q66" s="2" t="str">
        <f t="shared" si="2"/>
        <v>101011</v>
      </c>
      <c r="R66" s="2" t="str">
        <f t="shared" si="2"/>
        <v>111101</v>
      </c>
      <c r="S66" s="2" t="str">
        <f t="shared" si="2"/>
        <v>101100</v>
      </c>
      <c r="T66" s="2" t="str">
        <f t="shared" si="2"/>
        <v>011000</v>
      </c>
      <c r="U66" s="2" t="str">
        <f t="shared" si="2"/>
        <v>011000</v>
      </c>
      <c r="V66" s="2" t="str">
        <f t="shared" si="2"/>
        <v>000111</v>
      </c>
      <c r="W66" s="2" t="str">
        <f t="shared" si="2"/>
        <v>110100</v>
      </c>
    </row>
    <row r="67" spans="1:25" x14ac:dyDescent="0.25">
      <c r="A67" s="2">
        <v>64</v>
      </c>
      <c r="B67" s="2">
        <v>7</v>
      </c>
      <c r="C67" s="2" t="str">
        <f t="shared" si="0"/>
        <v>0</v>
      </c>
      <c r="D67" s="2"/>
      <c r="E67" s="2">
        <v>25</v>
      </c>
      <c r="G67" s="9">
        <v>6</v>
      </c>
      <c r="H67" s="2" t="str">
        <f t="shared" si="2"/>
        <v>010101</v>
      </c>
      <c r="I67" s="2" t="str">
        <f t="shared" si="2"/>
        <v>000101</v>
      </c>
      <c r="J67" s="2" t="str">
        <f t="shared" si="2"/>
        <v>110001</v>
      </c>
      <c r="K67" s="2" t="str">
        <f t="shared" si="2"/>
        <v>001110</v>
      </c>
      <c r="L67" s="2" t="str">
        <f t="shared" si="2"/>
        <v>100100</v>
      </c>
      <c r="M67" s="2" t="str">
        <f t="shared" si="2"/>
        <v>110101</v>
      </c>
      <c r="N67" s="2" t="str">
        <f t="shared" si="2"/>
        <v>000010</v>
      </c>
      <c r="O67" s="2" t="str">
        <f t="shared" si="2"/>
        <v>110000</v>
      </c>
      <c r="P67" s="2" t="str">
        <f t="shared" si="2"/>
        <v>001110</v>
      </c>
      <c r="Q67" s="2" t="str">
        <f t="shared" si="2"/>
        <v>001110</v>
      </c>
      <c r="R67" s="2" t="str">
        <f t="shared" si="2"/>
        <v>111100</v>
      </c>
      <c r="S67" s="2" t="str">
        <f t="shared" si="2"/>
        <v>001000</v>
      </c>
      <c r="T67" s="2" t="str">
        <f t="shared" si="2"/>
        <v>011011</v>
      </c>
      <c r="U67" s="2" t="str">
        <f t="shared" si="2"/>
        <v>110000</v>
      </c>
      <c r="V67" s="2" t="str">
        <f t="shared" si="2"/>
        <v>110110</v>
      </c>
      <c r="W67" s="2" t="str">
        <f t="shared" si="2"/>
        <v>110000</v>
      </c>
    </row>
    <row r="68" spans="1:25" x14ac:dyDescent="0.25">
      <c r="G68" s="9">
        <v>7</v>
      </c>
      <c r="H68" s="2" t="str">
        <f t="shared" si="2"/>
        <v>110011</v>
      </c>
      <c r="I68" s="2" t="str">
        <f t="shared" si="2"/>
        <v>011010</v>
      </c>
      <c r="J68" s="2" t="str">
        <f t="shared" si="2"/>
        <v>000111</v>
      </c>
      <c r="K68" s="2" t="str">
        <f t="shared" si="2"/>
        <v>111000</v>
      </c>
      <c r="L68" s="2" t="str">
        <f t="shared" si="2"/>
        <v>111001</v>
      </c>
      <c r="M68" s="2" t="str">
        <f t="shared" si="2"/>
        <v>001011</v>
      </c>
      <c r="N68" s="2" t="str">
        <f t="shared" si="2"/>
        <v>010101</v>
      </c>
      <c r="O68" s="2" t="str">
        <f t="shared" si="2"/>
        <v>110100</v>
      </c>
      <c r="P68" s="2" t="str">
        <f t="shared" si="2"/>
        <v>110001</v>
      </c>
      <c r="Q68" s="2" t="str">
        <f t="shared" si="2"/>
        <v>001001</v>
      </c>
      <c r="R68" s="2" t="str">
        <f t="shared" si="2"/>
        <v>101011</v>
      </c>
      <c r="S68" s="2" t="str">
        <f t="shared" si="2"/>
        <v>100111</v>
      </c>
      <c r="T68" s="2" t="str">
        <f t="shared" si="2"/>
        <v>111010</v>
      </c>
      <c r="U68" s="2" t="str">
        <f t="shared" si="2"/>
        <v>100010</v>
      </c>
      <c r="V68" s="2" t="str">
        <f t="shared" si="2"/>
        <v>101110</v>
      </c>
      <c r="W68" s="2" t="str">
        <f t="shared" si="2"/>
        <v>110111</v>
      </c>
    </row>
    <row r="69" spans="1:25" x14ac:dyDescent="0.25">
      <c r="G69" s="9">
        <v>8</v>
      </c>
      <c r="H69" s="2" t="str">
        <f t="shared" si="2"/>
        <v>110000</v>
      </c>
      <c r="I69" s="2" t="str">
        <f t="shared" si="2"/>
        <v>010010</v>
      </c>
      <c r="J69" s="2" t="str">
        <f t="shared" si="2"/>
        <v>010000</v>
      </c>
      <c r="K69" s="2" t="str">
        <f t="shared" si="2"/>
        <v>000110</v>
      </c>
      <c r="L69" s="2" t="str">
        <f t="shared" si="2"/>
        <v>100101</v>
      </c>
      <c r="M69" s="2" t="str">
        <f t="shared" si="2"/>
        <v>101111</v>
      </c>
      <c r="N69" s="2" t="str">
        <f t="shared" si="2"/>
        <v>101010</v>
      </c>
      <c r="O69" s="2" t="str">
        <f t="shared" si="2"/>
        <v>101111</v>
      </c>
      <c r="P69" s="2" t="str">
        <f t="shared" si="2"/>
        <v>100101</v>
      </c>
      <c r="Q69" s="2" t="str">
        <f t="shared" si="2"/>
        <v>111011</v>
      </c>
      <c r="R69" s="2" t="str">
        <f t="shared" si="2"/>
        <v>101011</v>
      </c>
      <c r="S69" s="2" t="str">
        <f t="shared" si="2"/>
        <v>010101</v>
      </c>
      <c r="T69" s="2" t="str">
        <f t="shared" si="2"/>
        <v>100010</v>
      </c>
      <c r="U69" s="2" t="str">
        <f t="shared" si="2"/>
        <v>000001</v>
      </c>
      <c r="V69" s="2" t="str">
        <f t="shared" si="2"/>
        <v>111010</v>
      </c>
      <c r="W69" s="2" t="str">
        <f t="shared" si="2"/>
        <v>011100</v>
      </c>
    </row>
    <row r="71" spans="1:25" x14ac:dyDescent="0.25">
      <c r="B71" s="11" t="s">
        <v>140</v>
      </c>
      <c r="C71" s="11"/>
      <c r="D71" s="11"/>
      <c r="E71" s="11"/>
    </row>
    <row r="72" spans="1:25" x14ac:dyDescent="0.25">
      <c r="U72" s="11" t="s">
        <v>139</v>
      </c>
      <c r="V72" s="11"/>
      <c r="W72" s="11"/>
    </row>
    <row r="73" spans="1:25" x14ac:dyDescent="0.25">
      <c r="B73" s="9" t="s">
        <v>108</v>
      </c>
      <c r="C73" s="9">
        <v>1</v>
      </c>
      <c r="D73" s="9">
        <v>2</v>
      </c>
      <c r="E73" s="9">
        <v>3</v>
      </c>
      <c r="F73" s="9">
        <v>4</v>
      </c>
      <c r="G73" s="9">
        <v>5</v>
      </c>
      <c r="H73" s="9">
        <v>6</v>
      </c>
      <c r="I73" s="9">
        <v>7</v>
      </c>
      <c r="J73" s="9">
        <v>8</v>
      </c>
      <c r="K73" s="9">
        <v>9</v>
      </c>
      <c r="L73" s="9">
        <v>10</v>
      </c>
      <c r="M73" s="9">
        <v>11</v>
      </c>
      <c r="N73" s="9">
        <v>12</v>
      </c>
      <c r="O73" s="9">
        <v>13</v>
      </c>
      <c r="P73" s="9">
        <v>14</v>
      </c>
      <c r="Q73" s="9">
        <v>15</v>
      </c>
      <c r="R73" s="9">
        <v>16</v>
      </c>
    </row>
    <row r="74" spans="1:25" x14ac:dyDescent="0.25">
      <c r="B74" s="9">
        <v>1</v>
      </c>
      <c r="C74" s="2" t="str">
        <f>DEC2BIN(INDEX(Sbox!$B$2:$Q$5,BIN2DEC(LEFT('F(RxorK)'!H62,1)&amp;RIGHT('F(RxorK)'!H62,1))+1,BIN2DEC(MID('F(RxorK)'!H62,2,4))+1),4)</f>
        <v>1001</v>
      </c>
      <c r="D74" s="2" t="str">
        <f>DEC2BIN(INDEX(Sbox!$B$2:$Q$5,BIN2DEC(LEFT('F(RxorK)'!I62,1)&amp;RIGHT('F(RxorK)'!I62,1))+1,BIN2DEC(MID('F(RxorK)'!I62,2,4))+1),4)</f>
        <v>0101</v>
      </c>
      <c r="E74" s="2" t="str">
        <f>DEC2BIN(INDEX(Sbox!$B$2:$Q$5,BIN2DEC(LEFT('F(RxorK)'!J62,1)&amp;RIGHT('F(RxorK)'!J62,1))+1,BIN2DEC(MID('F(RxorK)'!J62,2,4))+1),4)</f>
        <v>0011</v>
      </c>
      <c r="F74" s="2" t="str">
        <f>DEC2BIN(INDEX(Sbox!$B$2:$Q$5,BIN2DEC(LEFT('F(RxorK)'!K62,1)&amp;RIGHT('F(RxorK)'!K62,1))+1,BIN2DEC(MID('F(RxorK)'!K62,2,4))+1),4)</f>
        <v>0001</v>
      </c>
      <c r="G74" s="2" t="str">
        <f>DEC2BIN(INDEX(Sbox!$B$2:$Q$5,BIN2DEC(LEFT('F(RxorK)'!L62,1)&amp;RIGHT('F(RxorK)'!L62,1))+1,BIN2DEC(MID('F(RxorK)'!L62,2,4))+1),4)</f>
        <v>0010</v>
      </c>
      <c r="H74" s="2" t="str">
        <f>DEC2BIN(INDEX(Sbox!$B$2:$Q$5,BIN2DEC(LEFT('F(RxorK)'!M62,1)&amp;RIGHT('F(RxorK)'!M62,1))+1,BIN2DEC(MID('F(RxorK)'!M62,2,4))+1),4)</f>
        <v>1010</v>
      </c>
      <c r="I74" s="2" t="str">
        <f>DEC2BIN(INDEX(Sbox!$B$2:$Q$5,BIN2DEC(LEFT('F(RxorK)'!N62,1)&amp;RIGHT('F(RxorK)'!N62,1))+1,BIN2DEC(MID('F(RxorK)'!N62,2,4))+1),4)</f>
        <v>0011</v>
      </c>
      <c r="J74" s="2" t="str">
        <f>DEC2BIN(INDEX(Sbox!$B$2:$Q$5,BIN2DEC(LEFT('F(RxorK)'!O62,1)&amp;RIGHT('F(RxorK)'!O62,1))+1,BIN2DEC(MID('F(RxorK)'!O62,2,4))+1),4)</f>
        <v>1100</v>
      </c>
      <c r="K74" s="2" t="str">
        <f>DEC2BIN(INDEX(Sbox!$B$2:$Q$5,BIN2DEC(LEFT('F(RxorK)'!P62,1)&amp;RIGHT('F(RxorK)'!P62,1))+1,BIN2DEC(MID('F(RxorK)'!P62,2,4))+1),4)</f>
        <v>0000</v>
      </c>
      <c r="L74" s="2" t="str">
        <f>DEC2BIN(INDEX(Sbox!$B$2:$Q$5,BIN2DEC(LEFT('F(RxorK)'!Q62,1)&amp;RIGHT('F(RxorK)'!Q62,1))+1,BIN2DEC(MID('F(RxorK)'!Q62,2,4))+1),4)</f>
        <v>0000</v>
      </c>
      <c r="M74" s="2" t="str">
        <f>DEC2BIN(INDEX(Sbox!$B$2:$Q$5,BIN2DEC(LEFT('F(RxorK)'!R62,1)&amp;RIGHT('F(RxorK)'!R62,1))+1,BIN2DEC(MID('F(RxorK)'!R62,2,4))+1),4)</f>
        <v>1001</v>
      </c>
      <c r="N74" s="2" t="str">
        <f>DEC2BIN(INDEX(Sbox!$B$2:$Q$5,BIN2DEC(LEFT('F(RxorK)'!S62,1)&amp;RIGHT('F(RxorK)'!S62,1))+1,BIN2DEC(MID('F(RxorK)'!S62,2,4))+1),4)</f>
        <v>0110</v>
      </c>
      <c r="O74" s="2" t="str">
        <f>DEC2BIN(INDEX(Sbox!$B$2:$Q$5,BIN2DEC(LEFT('F(RxorK)'!T62,1)&amp;RIGHT('F(RxorK)'!T62,1))+1,BIN2DEC(MID('F(RxorK)'!T62,2,4))+1),4)</f>
        <v>1001</v>
      </c>
      <c r="P74" s="2" t="str">
        <f>DEC2BIN(INDEX(Sbox!$B$2:$Q$5,BIN2DEC(LEFT('F(RxorK)'!U62,1)&amp;RIGHT('F(RxorK)'!U62,1))+1,BIN2DEC(MID('F(RxorK)'!U62,2,4))+1),4)</f>
        <v>1010</v>
      </c>
      <c r="Q74" s="2" t="str">
        <f>DEC2BIN(INDEX(Sbox!$B$2:$Q$5,BIN2DEC(LEFT('F(RxorK)'!V62,1)&amp;RIGHT('F(RxorK)'!V62,1))+1,BIN2DEC(MID('F(RxorK)'!V62,2,4))+1),4)</f>
        <v>0000</v>
      </c>
      <c r="R74" s="2" t="str">
        <f>DEC2BIN(INDEX(Sbox!$B$2:$Q$5,BIN2DEC(LEFT('F(RxorK)'!W62,1)&amp;RIGHT('F(RxorK)'!W62,1))+1,BIN2DEC(MID('F(RxorK)'!W62,2,4))+1),4)</f>
        <v>1000</v>
      </c>
      <c r="U74" s="9" t="s">
        <v>111</v>
      </c>
      <c r="V74" s="5" t="str" cm="1">
        <f t="array" ref="V74">_xlfn.TEXTJOIN("",TRUE,MID(_xlfn.TEXTJOIN("",TRUE,C$74:C$81),{16,7,20,21,29,12,28,17,1,15,23,26,5,18,31,10,2,8,24,14,32,27,3,9,19,13,30,6,22,11,4,25},1))</f>
        <v>10010111110100010110000110011010</v>
      </c>
      <c r="W74" s="5"/>
      <c r="X74" s="5"/>
      <c r="Y74" s="5"/>
    </row>
    <row r="75" spans="1:25" x14ac:dyDescent="0.25">
      <c r="B75" s="9">
        <v>2</v>
      </c>
      <c r="C75" s="2" t="str">
        <f>DEC2BIN(INDEX(Sbox!$B$9:$Q$12,BIN2DEC(LEFT('F(RxorK)'!H63,1)&amp;RIGHT('F(RxorK)'!H63,1))+1,BIN2DEC(MID('F(RxorK)'!H63,2,4))+1),4)</f>
        <v>0101</v>
      </c>
      <c r="D75" s="2" t="str">
        <f>DEC2BIN(INDEX(Sbox!$B$9:$Q$12,BIN2DEC(LEFT('F(RxorK)'!I63,1)&amp;RIGHT('F(RxorK)'!I63,1))+1,BIN2DEC(MID('F(RxorK)'!I63,2,4))+1),4)</f>
        <v>1000</v>
      </c>
      <c r="E75" s="2" t="str">
        <f>DEC2BIN(INDEX(Sbox!$B$9:$Q$12,BIN2DEC(LEFT('F(RxorK)'!J63,1)&amp;RIGHT('F(RxorK)'!J63,1))+1,BIN2DEC(MID('F(RxorK)'!J63,2,4))+1),4)</f>
        <v>1110</v>
      </c>
      <c r="F75" s="2" t="str">
        <f>DEC2BIN(INDEX(Sbox!$B$9:$Q$12,BIN2DEC(LEFT('F(RxorK)'!K63,1)&amp;RIGHT('F(RxorK)'!K63,1))+1,BIN2DEC(MID('F(RxorK)'!K63,2,4))+1),4)</f>
        <v>1111</v>
      </c>
      <c r="G75" s="2" t="str">
        <f>DEC2BIN(INDEX(Sbox!$B$9:$Q$12,BIN2DEC(LEFT('F(RxorK)'!L63,1)&amp;RIGHT('F(RxorK)'!L63,1))+1,BIN2DEC(MID('F(RxorK)'!L63,2,4))+1),4)</f>
        <v>0110</v>
      </c>
      <c r="H75" s="2" t="str">
        <f>DEC2BIN(INDEX(Sbox!$B$9:$Q$12,BIN2DEC(LEFT('F(RxorK)'!M63,1)&amp;RIGHT('F(RxorK)'!M63,1))+1,BIN2DEC(MID('F(RxorK)'!M63,2,4))+1),4)</f>
        <v>0000</v>
      </c>
      <c r="I75" s="2" t="str">
        <f>DEC2BIN(INDEX(Sbox!$B$9:$Q$12,BIN2DEC(LEFT('F(RxorK)'!N63,1)&amp;RIGHT('F(RxorK)'!N63,1))+1,BIN2DEC(MID('F(RxorK)'!N63,2,4))+1),4)</f>
        <v>0010</v>
      </c>
      <c r="J75" s="2" t="str">
        <f>DEC2BIN(INDEX(Sbox!$B$9:$Q$12,BIN2DEC(LEFT('F(RxorK)'!O63,1)&amp;RIGHT('F(RxorK)'!O63,1))+1,BIN2DEC(MID('F(RxorK)'!O63,2,4))+1),4)</f>
        <v>1111</v>
      </c>
      <c r="K75" s="2" t="str">
        <f>DEC2BIN(INDEX(Sbox!$B$9:$Q$12,BIN2DEC(LEFT('F(RxorK)'!P63,1)&amp;RIGHT('F(RxorK)'!P63,1))+1,BIN2DEC(MID('F(RxorK)'!P63,2,4))+1),4)</f>
        <v>0110</v>
      </c>
      <c r="L75" s="2" t="str">
        <f>DEC2BIN(INDEX(Sbox!$B$9:$Q$12,BIN2DEC(LEFT('F(RxorK)'!Q63,1)&amp;RIGHT('F(RxorK)'!Q63,1))+1,BIN2DEC(MID('F(RxorK)'!Q63,2,4))+1),4)</f>
        <v>0010</v>
      </c>
      <c r="M75" s="2" t="str">
        <f>DEC2BIN(INDEX(Sbox!$B$9:$Q$12,BIN2DEC(LEFT('F(RxorK)'!R63,1)&amp;RIGHT('F(RxorK)'!R63,1))+1,BIN2DEC(MID('F(RxorK)'!R63,2,4))+1),4)</f>
        <v>0011</v>
      </c>
      <c r="N75" s="2" t="str">
        <f>DEC2BIN(INDEX(Sbox!$B$9:$Q$12,BIN2DEC(LEFT('F(RxorK)'!S63,1)&amp;RIGHT('F(RxorK)'!S63,1))+1,BIN2DEC(MID('F(RxorK)'!S63,2,4))+1),4)</f>
        <v>1010</v>
      </c>
      <c r="O75" s="2" t="str">
        <f>DEC2BIN(INDEX(Sbox!$B$9:$Q$12,BIN2DEC(LEFT('F(RxorK)'!T63,1)&amp;RIGHT('F(RxorK)'!T63,1))+1,BIN2DEC(MID('F(RxorK)'!T63,2,4))+1),4)</f>
        <v>1010</v>
      </c>
      <c r="P75" s="2" t="str">
        <f>DEC2BIN(INDEX(Sbox!$B$9:$Q$12,BIN2DEC(LEFT('F(RxorK)'!U63,1)&amp;RIGHT('F(RxorK)'!U63,1))+1,BIN2DEC(MID('F(RxorK)'!U63,2,4))+1),4)</f>
        <v>1011</v>
      </c>
      <c r="Q75" s="2" t="str">
        <f>DEC2BIN(INDEX(Sbox!$B$9:$Q$12,BIN2DEC(LEFT('F(RxorK)'!V63,1)&amp;RIGHT('F(RxorK)'!V63,1))+1,BIN2DEC(MID('F(RxorK)'!V63,2,4))+1),4)</f>
        <v>1110</v>
      </c>
      <c r="R75" s="2" t="str">
        <f>DEC2BIN(INDEX(Sbox!$B$9:$Q$12,BIN2DEC(LEFT('F(RxorK)'!W63,1)&amp;RIGHT('F(RxorK)'!W63,1))+1,BIN2DEC(MID('F(RxorK)'!W63,2,4))+1),4)</f>
        <v>0010</v>
      </c>
      <c r="U75" s="9" t="s">
        <v>112</v>
      </c>
      <c r="V75" s="5" t="str" cm="1">
        <f t="array" ref="V75">_xlfn.TEXTJOIN("",TRUE,MID(_xlfn.TEXTJOIN("",TRUE,D$74:D$81),{16,7,20,21,29,12,28,17,1,15,23,26,5,18,31,10,2,8,24,14,32,27,3,9,19,13,30,6,22,11,4,25},1))</f>
        <v>10001000010010001000110100001011</v>
      </c>
      <c r="W75" s="5"/>
      <c r="X75" s="5"/>
      <c r="Y75" s="5"/>
    </row>
    <row r="76" spans="1:25" x14ac:dyDescent="0.25">
      <c r="B76" s="9">
        <v>3</v>
      </c>
      <c r="C76" s="2" t="str">
        <f>DEC2BIN(INDEX(Sbox!$B$16:$Q$19,BIN2DEC(LEFT('F(RxorK)'!H64,1)&amp;RIGHT('F(RxorK)'!H64,1))+1,BIN2DEC(MID('F(RxorK)'!H64,2,4))+1),4)</f>
        <v>1101</v>
      </c>
      <c r="D76" s="2" t="str">
        <f>DEC2BIN(INDEX(Sbox!$B$16:$Q$19,BIN2DEC(LEFT('F(RxorK)'!I64,1)&amp;RIGHT('F(RxorK)'!I64,1))+1,BIN2DEC(MID('F(RxorK)'!I64,2,4))+1),4)</f>
        <v>1000</v>
      </c>
      <c r="E76" s="2" t="str">
        <f>DEC2BIN(INDEX(Sbox!$B$16:$Q$19,BIN2DEC(LEFT('F(RxorK)'!J64,1)&amp;RIGHT('F(RxorK)'!J64,1))+1,BIN2DEC(MID('F(RxorK)'!J64,2,4))+1),4)</f>
        <v>0100</v>
      </c>
      <c r="F76" s="2" t="str">
        <f>DEC2BIN(INDEX(Sbox!$B$16:$Q$19,BIN2DEC(LEFT('F(RxorK)'!K64,1)&amp;RIGHT('F(RxorK)'!K64,1))+1,BIN2DEC(MID('F(RxorK)'!K64,2,4))+1),4)</f>
        <v>0101</v>
      </c>
      <c r="G76" s="2" t="str">
        <f>DEC2BIN(INDEX(Sbox!$B$16:$Q$19,BIN2DEC(LEFT('F(RxorK)'!L64,1)&amp;RIGHT('F(RxorK)'!L64,1))+1,BIN2DEC(MID('F(RxorK)'!L64,2,4))+1),4)</f>
        <v>1010</v>
      </c>
      <c r="H76" s="2" t="str">
        <f>DEC2BIN(INDEX(Sbox!$B$16:$Q$19,BIN2DEC(LEFT('F(RxorK)'!M64,1)&amp;RIGHT('F(RxorK)'!M64,1))+1,BIN2DEC(MID('F(RxorK)'!M64,2,4))+1),4)</f>
        <v>1011</v>
      </c>
      <c r="I76" s="2" t="str">
        <f>DEC2BIN(INDEX(Sbox!$B$16:$Q$19,BIN2DEC(LEFT('F(RxorK)'!N64,1)&amp;RIGHT('F(RxorK)'!N64,1))+1,BIN2DEC(MID('F(RxorK)'!N64,2,4))+1),4)</f>
        <v>1101</v>
      </c>
      <c r="J76" s="2" t="str">
        <f>DEC2BIN(INDEX(Sbox!$B$16:$Q$19,BIN2DEC(LEFT('F(RxorK)'!O64,1)&amp;RIGHT('F(RxorK)'!O64,1))+1,BIN2DEC(MID('F(RxorK)'!O64,2,4))+1),4)</f>
        <v>0101</v>
      </c>
      <c r="K76" s="2" t="str">
        <f>DEC2BIN(INDEX(Sbox!$B$16:$Q$19,BIN2DEC(LEFT('F(RxorK)'!P64,1)&amp;RIGHT('F(RxorK)'!P64,1))+1,BIN2DEC(MID('F(RxorK)'!P64,2,4))+1),4)</f>
        <v>0000</v>
      </c>
      <c r="L76" s="2" t="str">
        <f>DEC2BIN(INDEX(Sbox!$B$16:$Q$19,BIN2DEC(LEFT('F(RxorK)'!Q64,1)&amp;RIGHT('F(RxorK)'!Q64,1))+1,BIN2DEC(MID('F(RxorK)'!Q64,2,4))+1),4)</f>
        <v>0111</v>
      </c>
      <c r="M76" s="2" t="str">
        <f>DEC2BIN(INDEX(Sbox!$B$16:$Q$19,BIN2DEC(LEFT('F(RxorK)'!R64,1)&amp;RIGHT('F(RxorK)'!R64,1))+1,BIN2DEC(MID('F(RxorK)'!R64,2,4))+1),4)</f>
        <v>1011</v>
      </c>
      <c r="N76" s="2" t="str">
        <f>DEC2BIN(INDEX(Sbox!$B$16:$Q$19,BIN2DEC(LEFT('F(RxorK)'!S64,1)&amp;RIGHT('F(RxorK)'!S64,1))+1,BIN2DEC(MID('F(RxorK)'!S64,2,4))+1),4)</f>
        <v>1110</v>
      </c>
      <c r="O76" s="2" t="str">
        <f>DEC2BIN(INDEX(Sbox!$B$16:$Q$19,BIN2DEC(LEFT('F(RxorK)'!T64,1)&amp;RIGHT('F(RxorK)'!T64,1))+1,BIN2DEC(MID('F(RxorK)'!T64,2,4))+1),4)</f>
        <v>0010</v>
      </c>
      <c r="P76" s="2" t="str">
        <f>DEC2BIN(INDEX(Sbox!$B$16:$Q$19,BIN2DEC(LEFT('F(RxorK)'!U64,1)&amp;RIGHT('F(RxorK)'!U64,1))+1,BIN2DEC(MID('F(RxorK)'!U64,2,4))+1),4)</f>
        <v>0001</v>
      </c>
      <c r="Q76" s="2" t="str">
        <f>DEC2BIN(INDEX(Sbox!$B$16:$Q$19,BIN2DEC(LEFT('F(RxorK)'!V64,1)&amp;RIGHT('F(RxorK)'!V64,1))+1,BIN2DEC(MID('F(RxorK)'!V64,2,4))+1),4)</f>
        <v>1100</v>
      </c>
      <c r="R76" s="2" t="str">
        <f>DEC2BIN(INDEX(Sbox!$B$16:$Q$19,BIN2DEC(LEFT('F(RxorK)'!W64,1)&amp;RIGHT('F(RxorK)'!W64,1))+1,BIN2DEC(MID('F(RxorK)'!W64,2,4))+1),4)</f>
        <v>1110</v>
      </c>
      <c r="U76" s="9" t="s">
        <v>113</v>
      </c>
      <c r="V76" s="5" t="str" cm="1">
        <f t="array" ref="V76">_xlfn.TEXTJOIN("",TRUE,MID(_xlfn.TEXTJOIN("",TRUE,E$74:E$81),{16,7,20,21,29,12,28,17,1,15,23,26,5,18,31,10,2,8,24,14,32,27,3,9,19,13,30,6,22,11,4,25},1))</f>
        <v>11011010001110110010011010010010</v>
      </c>
      <c r="W76" s="5"/>
      <c r="X76" s="5"/>
      <c r="Y76" s="5"/>
    </row>
    <row r="77" spans="1:25" x14ac:dyDescent="0.25">
      <c r="B77" s="9">
        <v>4</v>
      </c>
      <c r="C77" s="2" t="str">
        <f>DEC2BIN(INDEX(Sbox!$B$23:$Q$26,BIN2DEC(LEFT('F(RxorK)'!H65,1)&amp;RIGHT('F(RxorK)'!H65,1))+1,BIN2DEC(MID('F(RxorK)'!H65,2,4))+1),4)</f>
        <v>0011</v>
      </c>
      <c r="D77" s="2" t="str">
        <f>DEC2BIN(INDEX(Sbox!$B$23:$Q$26,BIN2DEC(LEFT('F(RxorK)'!I65,1)&amp;RIGHT('F(RxorK)'!I65,1))+1,BIN2DEC(MID('F(RxorK)'!I65,2,4))+1),4)</f>
        <v>0011</v>
      </c>
      <c r="E77" s="2" t="str">
        <f>DEC2BIN(INDEX(Sbox!$B$23:$Q$26,BIN2DEC(LEFT('F(RxorK)'!J65,1)&amp;RIGHT('F(RxorK)'!J65,1))+1,BIN2DEC(MID('F(RxorK)'!J65,2,4))+1),4)</f>
        <v>0001</v>
      </c>
      <c r="F77" s="2" t="str">
        <f>DEC2BIN(INDEX(Sbox!$B$23:$Q$26,BIN2DEC(LEFT('F(RxorK)'!K65,1)&amp;RIGHT('F(RxorK)'!K65,1))+1,BIN2DEC(MID('F(RxorK)'!K65,2,4))+1),4)</f>
        <v>0111</v>
      </c>
      <c r="G77" s="2" t="str">
        <f>DEC2BIN(INDEX(Sbox!$B$23:$Q$26,BIN2DEC(LEFT('F(RxorK)'!L65,1)&amp;RIGHT('F(RxorK)'!L65,1))+1,BIN2DEC(MID('F(RxorK)'!L65,2,4))+1),4)</f>
        <v>1101</v>
      </c>
      <c r="H77" s="2" t="str">
        <f>DEC2BIN(INDEX(Sbox!$B$23:$Q$26,BIN2DEC(LEFT('F(RxorK)'!M65,1)&amp;RIGHT('F(RxorK)'!M65,1))+1,BIN2DEC(MID('F(RxorK)'!M65,2,4))+1),4)</f>
        <v>0111</v>
      </c>
      <c r="I77" s="2" t="str">
        <f>DEC2BIN(INDEX(Sbox!$B$23:$Q$26,BIN2DEC(LEFT('F(RxorK)'!N65,1)&amp;RIGHT('F(RxorK)'!N65,1))+1,BIN2DEC(MID('F(RxorK)'!N65,2,4))+1),4)</f>
        <v>0010</v>
      </c>
      <c r="J77" s="2" t="str">
        <f>DEC2BIN(INDEX(Sbox!$B$23:$Q$26,BIN2DEC(LEFT('F(RxorK)'!O65,1)&amp;RIGHT('F(RxorK)'!O65,1))+1,BIN2DEC(MID('F(RxorK)'!O65,2,4))+1),4)</f>
        <v>0010</v>
      </c>
      <c r="K77" s="2" t="str">
        <f>DEC2BIN(INDEX(Sbox!$B$23:$Q$26,BIN2DEC(LEFT('F(RxorK)'!P65,1)&amp;RIGHT('F(RxorK)'!P65,1))+1,BIN2DEC(MID('F(RxorK)'!P65,2,4))+1),4)</f>
        <v>0001</v>
      </c>
      <c r="L77" s="2" t="str">
        <f>DEC2BIN(INDEX(Sbox!$B$23:$Q$26,BIN2DEC(LEFT('F(RxorK)'!Q65,1)&amp;RIGHT('F(RxorK)'!Q65,1))+1,BIN2DEC(MID('F(RxorK)'!Q65,2,4))+1),4)</f>
        <v>1001</v>
      </c>
      <c r="M77" s="2" t="str">
        <f>DEC2BIN(INDEX(Sbox!$B$23:$Q$26,BIN2DEC(LEFT('F(RxorK)'!R65,1)&amp;RIGHT('F(RxorK)'!R65,1))+1,BIN2DEC(MID('F(RxorK)'!R65,2,4))+1),4)</f>
        <v>1111</v>
      </c>
      <c r="N77" s="2" t="str">
        <f>DEC2BIN(INDEX(Sbox!$B$23:$Q$26,BIN2DEC(LEFT('F(RxorK)'!S65,1)&amp;RIGHT('F(RxorK)'!S65,1))+1,BIN2DEC(MID('F(RxorK)'!S65,2,4))+1),4)</f>
        <v>0010</v>
      </c>
      <c r="O77" s="2" t="str">
        <f>DEC2BIN(INDEX(Sbox!$B$23:$Q$26,BIN2DEC(LEFT('F(RxorK)'!T65,1)&amp;RIGHT('F(RxorK)'!T65,1))+1,BIN2DEC(MID('F(RxorK)'!T65,2,4))+1),4)</f>
        <v>0010</v>
      </c>
      <c r="P77" s="2" t="str">
        <f>DEC2BIN(INDEX(Sbox!$B$23:$Q$26,BIN2DEC(LEFT('F(RxorK)'!U65,1)&amp;RIGHT('F(RxorK)'!U65,1))+1,BIN2DEC(MID('F(RxorK)'!U65,2,4))+1),4)</f>
        <v>1110</v>
      </c>
      <c r="Q77" s="2" t="str">
        <f>DEC2BIN(INDEX(Sbox!$B$23:$Q$26,BIN2DEC(LEFT('F(RxorK)'!V65,1)&amp;RIGHT('F(RxorK)'!V65,1))+1,BIN2DEC(MID('F(RxorK)'!V65,2,4))+1),4)</f>
        <v>0100</v>
      </c>
      <c r="R77" s="2" t="str">
        <f>DEC2BIN(INDEX(Sbox!$B$23:$Q$26,BIN2DEC(LEFT('F(RxorK)'!W65,1)&amp;RIGHT('F(RxorK)'!W65,1))+1,BIN2DEC(MID('F(RxorK)'!W65,2,4))+1),4)</f>
        <v>0011</v>
      </c>
      <c r="U77" s="9" t="s">
        <v>114</v>
      </c>
      <c r="V77" s="5" t="str" cm="1">
        <f t="array" ref="V77">_xlfn.TEXTJOIN("",TRUE,MID(_xlfn.TEXTJOIN("",TRUE,F$74:F$81),{16,7,20,21,29,12,28,17,1,15,23,26,5,18,31,10,2,8,24,14,32,27,3,9,19,13,30,6,22,11,4,25},1))</f>
        <v>11110100010010010101000010110010</v>
      </c>
      <c r="W77" s="5"/>
      <c r="X77" s="5"/>
      <c r="Y77" s="5"/>
    </row>
    <row r="78" spans="1:25" x14ac:dyDescent="0.25">
      <c r="B78" s="9">
        <v>5</v>
      </c>
      <c r="C78" s="2" t="str">
        <f>DEC2BIN(INDEX(Sbox!$T$2:$AI$5,BIN2DEC(LEFT('F(RxorK)'!H66,1)&amp;RIGHT('F(RxorK)'!H66,1))+1,BIN2DEC(MID('F(RxorK)'!H66,2,4))+1),4)</f>
        <v>1010</v>
      </c>
      <c r="D78" s="2" t="str">
        <f>DEC2BIN(INDEX(Sbox!$T$2:$AI$5,BIN2DEC(LEFT('F(RxorK)'!I66,1)&amp;RIGHT('F(RxorK)'!I66,1))+1,BIN2DEC(MID('F(RxorK)'!I66,2,4))+1),4)</f>
        <v>0000</v>
      </c>
      <c r="E78" s="2" t="str">
        <f>DEC2BIN(INDEX(Sbox!$T$2:$AI$5,BIN2DEC(LEFT('F(RxorK)'!J66,1)&amp;RIGHT('F(RxorK)'!J66,1))+1,BIN2DEC(MID('F(RxorK)'!J66,2,4))+1),4)</f>
        <v>0010</v>
      </c>
      <c r="F78" s="2" t="str">
        <f>DEC2BIN(INDEX(Sbox!$T$2:$AI$5,BIN2DEC(LEFT('F(RxorK)'!K66,1)&amp;RIGHT('F(RxorK)'!K66,1))+1,BIN2DEC(MID('F(RxorK)'!K66,2,4))+1),4)</f>
        <v>0011</v>
      </c>
      <c r="G78" s="2" t="str">
        <f>DEC2BIN(INDEX(Sbox!$T$2:$AI$5,BIN2DEC(LEFT('F(RxorK)'!L66,1)&amp;RIGHT('F(RxorK)'!L66,1))+1,BIN2DEC(MID('F(RxorK)'!L66,2,4))+1),4)</f>
        <v>0010</v>
      </c>
      <c r="H78" s="2" t="str">
        <f>DEC2BIN(INDEX(Sbox!$T$2:$AI$5,BIN2DEC(LEFT('F(RxorK)'!M66,1)&amp;RIGHT('F(RxorK)'!M66,1))+1,BIN2DEC(MID('F(RxorK)'!M66,2,4))+1),4)</f>
        <v>1101</v>
      </c>
      <c r="I78" s="2" t="str">
        <f>DEC2BIN(INDEX(Sbox!$T$2:$AI$5,BIN2DEC(LEFT('F(RxorK)'!N66,1)&amp;RIGHT('F(RxorK)'!N66,1))+1,BIN2DEC(MID('F(RxorK)'!N66,2,4))+1),4)</f>
        <v>0010</v>
      </c>
      <c r="J78" s="2" t="str">
        <f>DEC2BIN(INDEX(Sbox!$T$2:$AI$5,BIN2DEC(LEFT('F(RxorK)'!O66,1)&amp;RIGHT('F(RxorK)'!O66,1))+1,BIN2DEC(MID('F(RxorK)'!O66,2,4))+1),4)</f>
        <v>0111</v>
      </c>
      <c r="K78" s="2" t="str">
        <f>DEC2BIN(INDEX(Sbox!$T$2:$AI$5,BIN2DEC(LEFT('F(RxorK)'!P66,1)&amp;RIGHT('F(RxorK)'!P66,1))+1,BIN2DEC(MID('F(RxorK)'!P66,2,4))+1),4)</f>
        <v>1111</v>
      </c>
      <c r="L78" s="2" t="str">
        <f>DEC2BIN(INDEX(Sbox!$T$2:$AI$5,BIN2DEC(LEFT('F(RxorK)'!Q66,1)&amp;RIGHT('F(RxorK)'!Q66,1))+1,BIN2DEC(MID('F(RxorK)'!Q66,2,4))+1),4)</f>
        <v>1110</v>
      </c>
      <c r="M78" s="2" t="str">
        <f>DEC2BIN(INDEX(Sbox!$T$2:$AI$5,BIN2DEC(LEFT('F(RxorK)'!R66,1)&amp;RIGHT('F(RxorK)'!R66,1))+1,BIN2DEC(MID('F(RxorK)'!R66,2,4))+1),4)</f>
        <v>0101</v>
      </c>
      <c r="N78" s="2" t="str">
        <f>DEC2BIN(INDEX(Sbox!$T$2:$AI$5,BIN2DEC(LEFT('F(RxorK)'!S66,1)&amp;RIGHT('F(RxorK)'!S66,1))+1,BIN2DEC(MID('F(RxorK)'!S66,2,4))+1),4)</f>
        <v>0111</v>
      </c>
      <c r="O78" s="2" t="str">
        <f>DEC2BIN(INDEX(Sbox!$T$2:$AI$5,BIN2DEC(LEFT('F(RxorK)'!T66,1)&amp;RIGHT('F(RxorK)'!T66,1))+1,BIN2DEC(MID('F(RxorK)'!T66,2,4))+1),4)</f>
        <v>1101</v>
      </c>
      <c r="P78" s="2" t="str">
        <f>DEC2BIN(INDEX(Sbox!$T$2:$AI$5,BIN2DEC(LEFT('F(RxorK)'!U66,1)&amp;RIGHT('F(RxorK)'!U66,1))+1,BIN2DEC(MID('F(RxorK)'!U66,2,4))+1),4)</f>
        <v>1101</v>
      </c>
      <c r="Q78" s="2" t="str">
        <f>DEC2BIN(INDEX(Sbox!$T$2:$AI$5,BIN2DEC(LEFT('F(RxorK)'!V66,1)&amp;RIGHT('F(RxorK)'!V66,1))+1,BIN2DEC(MID('F(RxorK)'!V66,2,4))+1),4)</f>
        <v>1100</v>
      </c>
      <c r="R78" s="2" t="str">
        <f>DEC2BIN(INDEX(Sbox!$T$2:$AI$5,BIN2DEC(LEFT('F(RxorK)'!W66,1)&amp;RIGHT('F(RxorK)'!W66,1))+1,BIN2DEC(MID('F(RxorK)'!W66,2,4))+1),4)</f>
        <v>1100</v>
      </c>
      <c r="U78" s="9" t="s">
        <v>115</v>
      </c>
      <c r="V78" s="5" t="str" cm="1">
        <f t="array" ref="V78">_xlfn.TEXTJOIN("",TRUE,MID(_xlfn.TEXTJOIN("",TRUE,G$74:G$81),{16,7,20,21,29,12,28,17,1,15,23,26,5,18,31,10,2,8,24,14,32,27,3,9,19,13,30,6,22,11,4,25},1))</f>
        <v>11011000001100100011011111111101</v>
      </c>
      <c r="W78" s="5"/>
      <c r="X78" s="5"/>
      <c r="Y78" s="5"/>
    </row>
    <row r="79" spans="1:25" x14ac:dyDescent="0.25">
      <c r="B79" s="9">
        <v>6</v>
      </c>
      <c r="C79" s="2" t="str">
        <f>DEC2BIN(INDEX(Sbox!$T$9:$AI$12,BIN2DEC(LEFT('F(RxorK)'!H67,1)&amp;RIGHT('F(RxorK)'!H67,1))+1,BIN2DEC(MID('F(RxorK)'!H67,2,4))+1),4)</f>
        <v>1101</v>
      </c>
      <c r="D79" s="2" t="str">
        <f>DEC2BIN(INDEX(Sbox!$T$9:$AI$12,BIN2DEC(LEFT('F(RxorK)'!I67,1)&amp;RIGHT('F(RxorK)'!I67,1))+1,BIN2DEC(MID('F(RxorK)'!I67,2,4))+1),4)</f>
        <v>0100</v>
      </c>
      <c r="E79" s="2" t="str">
        <f>DEC2BIN(INDEX(Sbox!$T$9:$AI$12,BIN2DEC(LEFT('F(RxorK)'!J67,1)&amp;RIGHT('F(RxorK)'!J67,1))+1,BIN2DEC(MID('F(RxorK)'!J67,2,4))+1),4)</f>
        <v>1011</v>
      </c>
      <c r="F79" s="2" t="str">
        <f>DEC2BIN(INDEX(Sbox!$T$9:$AI$12,BIN2DEC(LEFT('F(RxorK)'!K67,1)&amp;RIGHT('F(RxorK)'!K67,1))+1,BIN2DEC(MID('F(RxorK)'!K67,2,4))+1),4)</f>
        <v>1000</v>
      </c>
      <c r="G79" s="2" t="str">
        <f>DEC2BIN(INDEX(Sbox!$T$9:$AI$12,BIN2DEC(LEFT('F(RxorK)'!L67,1)&amp;RIGHT('F(RxorK)'!L67,1))+1,BIN2DEC(MID('F(RxorK)'!L67,2,4))+1),4)</f>
        <v>1111</v>
      </c>
      <c r="H79" s="2" t="str">
        <f>DEC2BIN(INDEX(Sbox!$T$9:$AI$12,BIN2DEC(LEFT('F(RxorK)'!M67,1)&amp;RIGHT('F(RxorK)'!M67,1))+1,BIN2DEC(MID('F(RxorK)'!M67,2,4))+1),4)</f>
        <v>0001</v>
      </c>
      <c r="I79" s="2" t="str">
        <f>DEC2BIN(INDEX(Sbox!$T$9:$AI$12,BIN2DEC(LEFT('F(RxorK)'!N67,1)&amp;RIGHT('F(RxorK)'!N67,1))+1,BIN2DEC(MID('F(RxorK)'!N67,2,4))+1),4)</f>
        <v>0001</v>
      </c>
      <c r="J79" s="2" t="str">
        <f>DEC2BIN(INDEX(Sbox!$T$9:$AI$12,BIN2DEC(LEFT('F(RxorK)'!O67,1)&amp;RIGHT('F(RxorK)'!O67,1))+1,BIN2DEC(MID('F(RxorK)'!O67,2,4))+1),4)</f>
        <v>0111</v>
      </c>
      <c r="K79" s="2" t="str">
        <f>DEC2BIN(INDEX(Sbox!$T$9:$AI$12,BIN2DEC(LEFT('F(RxorK)'!P67,1)&amp;RIGHT('F(RxorK)'!P67,1))+1,BIN2DEC(MID('F(RxorK)'!P67,2,4))+1),4)</f>
        <v>1000</v>
      </c>
      <c r="L79" s="2" t="str">
        <f>DEC2BIN(INDEX(Sbox!$T$9:$AI$12,BIN2DEC(LEFT('F(RxorK)'!Q67,1)&amp;RIGHT('F(RxorK)'!Q67,1))+1,BIN2DEC(MID('F(RxorK)'!Q67,2,4))+1),4)</f>
        <v>1000</v>
      </c>
      <c r="M79" s="2" t="str">
        <f>DEC2BIN(INDEX(Sbox!$T$9:$AI$12,BIN2DEC(LEFT('F(RxorK)'!R67,1)&amp;RIGHT('F(RxorK)'!R67,1))+1,BIN2DEC(MID('F(RxorK)'!R67,2,4))+1),4)</f>
        <v>1011</v>
      </c>
      <c r="N79" s="2" t="str">
        <f>DEC2BIN(INDEX(Sbox!$T$9:$AI$12,BIN2DEC(LEFT('F(RxorK)'!S67,1)&amp;RIGHT('F(RxorK)'!S67,1))+1,BIN2DEC(MID('F(RxorK)'!S67,2,4))+1),4)</f>
        <v>1001</v>
      </c>
      <c r="O79" s="2" t="str">
        <f>DEC2BIN(INDEX(Sbox!$T$9:$AI$12,BIN2DEC(LEFT('F(RxorK)'!T67,1)&amp;RIGHT('F(RxorK)'!T67,1))+1,BIN2DEC(MID('F(RxorK)'!T67,2,4))+1),4)</f>
        <v>1011</v>
      </c>
      <c r="P79" s="2" t="str">
        <f>DEC2BIN(INDEX(Sbox!$T$9:$AI$12,BIN2DEC(LEFT('F(RxorK)'!U67,1)&amp;RIGHT('F(RxorK)'!U67,1))+1,BIN2DEC(MID('F(RxorK)'!U67,2,4))+1),4)</f>
        <v>0111</v>
      </c>
      <c r="Q79" s="2" t="str">
        <f>DEC2BIN(INDEX(Sbox!$T$9:$AI$12,BIN2DEC(LEFT('F(RxorK)'!V67,1)&amp;RIGHT('F(RxorK)'!V67,1))+1,BIN2DEC(MID('F(RxorK)'!V67,2,4))+1),4)</f>
        <v>1010</v>
      </c>
      <c r="R79" s="2" t="str">
        <f>DEC2BIN(INDEX(Sbox!$T$9:$AI$12,BIN2DEC(LEFT('F(RxorK)'!W67,1)&amp;RIGHT('F(RxorK)'!W67,1))+1,BIN2DEC(MID('F(RxorK)'!W67,2,4))+1),4)</f>
        <v>0111</v>
      </c>
      <c r="U79" s="9" t="s">
        <v>116</v>
      </c>
      <c r="V79" s="5" t="str" cm="1">
        <f t="array" ref="V79">_xlfn.TEXTJOIN("",TRUE,MID(_xlfn.TEXTJOIN("",TRUE,H$74:H$81),{16,7,20,21,29,12,28,17,1,15,23,26,5,18,31,10,2,8,24,14,32,27,3,9,19,13,30,6,22,11,4,25},1))</f>
        <v>10101111110001000011101100100101</v>
      </c>
      <c r="W79" s="5"/>
      <c r="X79" s="5"/>
      <c r="Y79" s="5"/>
    </row>
    <row r="80" spans="1:25" x14ac:dyDescent="0.25">
      <c r="B80" s="9">
        <v>7</v>
      </c>
      <c r="C80" s="2" t="str">
        <f>DEC2BIN(INDEX(Sbox!$T$16:$AI$19,BIN2DEC(LEFT('F(RxorK)'!H68,1)&amp;RIGHT('F(RxorK)'!H68,1))+1,BIN2DEC(MID('F(RxorK)'!H68,2,4))+1),4)</f>
        <v>0101</v>
      </c>
      <c r="D80" s="2" t="str">
        <f>DEC2BIN(INDEX(Sbox!$T$16:$AI$19,BIN2DEC(LEFT('F(RxorK)'!I68,1)&amp;RIGHT('F(RxorK)'!I68,1))+1,BIN2DEC(MID('F(RxorK)'!I68,2,4))+1),4)</f>
        <v>1010</v>
      </c>
      <c r="E80" s="2" t="str">
        <f>DEC2BIN(INDEX(Sbox!$T$16:$AI$19,BIN2DEC(LEFT('F(RxorK)'!J68,1)&amp;RIGHT('F(RxorK)'!J68,1))+1,BIN2DEC(MID('F(RxorK)'!J68,2,4))+1),4)</f>
        <v>0111</v>
      </c>
      <c r="F80" s="2" t="str">
        <f>DEC2BIN(INDEX(Sbox!$T$16:$AI$19,BIN2DEC(LEFT('F(RxorK)'!K68,1)&amp;RIGHT('F(RxorK)'!K68,1))+1,BIN2DEC(MID('F(RxorK)'!K68,2,4))+1),4)</f>
        <v>0000</v>
      </c>
      <c r="G80" s="2" t="str">
        <f>DEC2BIN(INDEX(Sbox!$T$16:$AI$19,BIN2DEC(LEFT('F(RxorK)'!L68,1)&amp;RIGHT('F(RxorK)'!L68,1))+1,BIN2DEC(MID('F(RxorK)'!L68,2,4))+1),4)</f>
        <v>1110</v>
      </c>
      <c r="H80" s="2" t="str">
        <f>DEC2BIN(INDEX(Sbox!$T$16:$AI$19,BIN2DEC(LEFT('F(RxorK)'!M68,1)&amp;RIGHT('F(RxorK)'!M68,1))+1,BIN2DEC(MID('F(RxorK)'!M68,2,4))+1),4)</f>
        <v>1001</v>
      </c>
      <c r="I80" s="2" t="str">
        <f>DEC2BIN(INDEX(Sbox!$T$16:$AI$19,BIN2DEC(LEFT('F(RxorK)'!N68,1)&amp;RIGHT('F(RxorK)'!N68,1))+1,BIN2DEC(MID('F(RxorK)'!N68,2,4))+1),4)</f>
        <v>0101</v>
      </c>
      <c r="J80" s="2" t="str">
        <f>DEC2BIN(INDEX(Sbox!$T$16:$AI$19,BIN2DEC(LEFT('F(RxorK)'!O68,1)&amp;RIGHT('F(RxorK)'!O68,1))+1,BIN2DEC(MID('F(RxorK)'!O68,2,4))+1),4)</f>
        <v>0110</v>
      </c>
      <c r="K80" s="2" t="str">
        <f>DEC2BIN(INDEX(Sbox!$T$16:$AI$19,BIN2DEC(LEFT('F(RxorK)'!P68,1)&amp;RIGHT('F(RxorK)'!P68,1))+1,BIN2DEC(MID('F(RxorK)'!P68,2,4))+1),4)</f>
        <v>1001</v>
      </c>
      <c r="L80" s="2" t="str">
        <f>DEC2BIN(INDEX(Sbox!$T$16:$AI$19,BIN2DEC(LEFT('F(RxorK)'!Q68,1)&amp;RIGHT('F(RxorK)'!Q68,1))+1,BIN2DEC(MID('F(RxorK)'!Q68,2,4))+1),4)</f>
        <v>0100</v>
      </c>
      <c r="M80" s="2" t="str">
        <f>DEC2BIN(INDEX(Sbox!$T$16:$AI$19,BIN2DEC(LEFT('F(RxorK)'!R68,1)&amp;RIGHT('F(RxorK)'!R68,1))+1,BIN2DEC(MID('F(RxorK)'!R68,2,4))+1),4)</f>
        <v>0100</v>
      </c>
      <c r="N80" s="2" t="str">
        <f>DEC2BIN(INDEX(Sbox!$T$16:$AI$19,BIN2DEC(LEFT('F(RxorK)'!S68,1)&amp;RIGHT('F(RxorK)'!S68,1))+1,BIN2DEC(MID('F(RxorK)'!S68,2,4))+1),4)</f>
        <v>1000</v>
      </c>
      <c r="O80" s="2" t="str">
        <f>DEC2BIN(INDEX(Sbox!$T$16:$AI$19,BIN2DEC(LEFT('F(RxorK)'!T68,1)&amp;RIGHT('F(RxorK)'!T68,1))+1,BIN2DEC(MID('F(RxorK)'!T68,2,4))+1),4)</f>
        <v>0101</v>
      </c>
      <c r="P80" s="2" t="str">
        <f>DEC2BIN(INDEX(Sbox!$T$16:$AI$19,BIN2DEC(LEFT('F(RxorK)'!U68,1)&amp;RIGHT('F(RxorK)'!U68,1))+1,BIN2DEC(MID('F(RxorK)'!U68,2,4))+1),4)</f>
        <v>0100</v>
      </c>
      <c r="Q80" s="2" t="str">
        <f>DEC2BIN(INDEX(Sbox!$T$16:$AI$19,BIN2DEC(LEFT('F(RxorK)'!V68,1)&amp;RIGHT('F(RxorK)'!V68,1))+1,BIN2DEC(MID('F(RxorK)'!V68,2,4))+1),4)</f>
        <v>1110</v>
      </c>
      <c r="R80" s="2" t="str">
        <f>DEC2BIN(INDEX(Sbox!$T$16:$AI$19,BIN2DEC(LEFT('F(RxorK)'!W68,1)&amp;RIGHT('F(RxorK)'!W68,1))+1,BIN2DEC(MID('F(RxorK)'!W68,2,4))+1),4)</f>
        <v>1111</v>
      </c>
      <c r="U80" s="9" t="s">
        <v>117</v>
      </c>
      <c r="V80" s="5" t="str" cm="1">
        <f t="array" ref="V80">_xlfn.TEXTJOIN("",TRUE,MID(_xlfn.TEXTJOIN("",TRUE,I$74:I$81),{16,7,20,21,29,12,28,17,1,15,23,26,5,18,31,10,2,8,24,14,32,27,3,9,19,13,30,6,22,11,4,25},1))</f>
        <v>01001110010100010010001110100010</v>
      </c>
      <c r="W80" s="5"/>
      <c r="X80" s="5"/>
      <c r="Y80" s="5"/>
    </row>
    <row r="81" spans="2:25" x14ac:dyDescent="0.25">
      <c r="B81" s="9">
        <v>8</v>
      </c>
      <c r="C81" s="2" t="str">
        <f>DEC2BIN(INDEX(Sbox!$T$23:$AI$26,BIN2DEC(LEFT('F(RxorK)'!H69,1)&amp;RIGHT('F(RxorK)'!H69,1))+1,BIN2DEC(MID('F(RxorK)'!H69,2,4))+1),4)</f>
        <v>0000</v>
      </c>
      <c r="D81" s="2" t="str">
        <f>DEC2BIN(INDEX(Sbox!$T$23:$AI$26,BIN2DEC(LEFT('F(RxorK)'!I69,1)&amp;RIGHT('F(RxorK)'!I69,1))+1,BIN2DEC(MID('F(RxorK)'!I69,2,4))+1),4)</f>
        <v>1001</v>
      </c>
      <c r="E81" s="2" t="str">
        <f>DEC2BIN(INDEX(Sbox!$T$23:$AI$26,BIN2DEC(LEFT('F(RxorK)'!J69,1)&amp;RIGHT('F(RxorK)'!J69,1))+1,BIN2DEC(MID('F(RxorK)'!J69,2,4))+1),4)</f>
        <v>1010</v>
      </c>
      <c r="F81" s="2" t="str">
        <f>DEC2BIN(INDEX(Sbox!$T$23:$AI$26,BIN2DEC(LEFT('F(RxorK)'!K69,1)&amp;RIGHT('F(RxorK)'!K69,1))+1,BIN2DEC(MID('F(RxorK)'!K69,2,4))+1),4)</f>
        <v>0100</v>
      </c>
      <c r="G81" s="2" t="str">
        <f>DEC2BIN(INDEX(Sbox!$T$23:$AI$26,BIN2DEC(LEFT('F(RxorK)'!L69,1)&amp;RIGHT('F(RxorK)'!L69,1))+1,BIN2DEC(MID('F(RxorK)'!L69,2,4))+1),4)</f>
        <v>1110</v>
      </c>
      <c r="H81" s="2" t="str">
        <f>DEC2BIN(INDEX(Sbox!$T$23:$AI$26,BIN2DEC(LEFT('F(RxorK)'!M69,1)&amp;RIGHT('F(RxorK)'!M69,1))+1,BIN2DEC(MID('F(RxorK)'!M69,2,4))+1),4)</f>
        <v>1101</v>
      </c>
      <c r="I81" s="2" t="str">
        <f>DEC2BIN(INDEX(Sbox!$T$23:$AI$26,BIN2DEC(LEFT('F(RxorK)'!N69,1)&amp;RIGHT('F(RxorK)'!N69,1))+1,BIN2DEC(MID('F(RxorK)'!N69,2,4))+1),4)</f>
        <v>1100</v>
      </c>
      <c r="J81" s="2" t="str">
        <f>DEC2BIN(INDEX(Sbox!$T$23:$AI$26,BIN2DEC(LEFT('F(RxorK)'!O69,1)&amp;RIGHT('F(RxorK)'!O69,1))+1,BIN2DEC(MID('F(RxorK)'!O69,2,4))+1),4)</f>
        <v>1101</v>
      </c>
      <c r="K81" s="2" t="str">
        <f>DEC2BIN(INDEX(Sbox!$T$23:$AI$26,BIN2DEC(LEFT('F(RxorK)'!P69,1)&amp;RIGHT('F(RxorK)'!P69,1))+1,BIN2DEC(MID('F(RxorK)'!P69,2,4))+1),4)</f>
        <v>1110</v>
      </c>
      <c r="L81" s="2" t="str">
        <f>DEC2BIN(INDEX(Sbox!$T$23:$AI$26,BIN2DEC(LEFT('F(RxorK)'!Q69,1)&amp;RIGHT('F(RxorK)'!Q69,1))+1,BIN2DEC(MID('F(RxorK)'!Q69,2,4))+1),4)</f>
        <v>0101</v>
      </c>
      <c r="M81" s="2" t="str">
        <f>DEC2BIN(INDEX(Sbox!$T$23:$AI$26,BIN2DEC(LEFT('F(RxorK)'!R69,1)&amp;RIGHT('F(RxorK)'!R69,1))+1,BIN2DEC(MID('F(RxorK)'!R69,2,4))+1),4)</f>
        <v>1010</v>
      </c>
      <c r="N81" s="2" t="str">
        <f>DEC2BIN(INDEX(Sbox!$T$23:$AI$26,BIN2DEC(LEFT('F(RxorK)'!S69,1)&amp;RIGHT('F(RxorK)'!S69,1))+1,BIN2DEC(MID('F(RxorK)'!S69,2,4))+1),4)</f>
        <v>0110</v>
      </c>
      <c r="O81" s="2" t="str">
        <f>DEC2BIN(INDEX(Sbox!$T$23:$AI$26,BIN2DEC(LEFT('F(RxorK)'!T69,1)&amp;RIGHT('F(RxorK)'!T69,1))+1,BIN2DEC(MID('F(RxorK)'!T69,2,4))+1),4)</f>
        <v>1011</v>
      </c>
      <c r="P81" s="2" t="str">
        <f>DEC2BIN(INDEX(Sbox!$T$23:$AI$26,BIN2DEC(LEFT('F(RxorK)'!U69,1)&amp;RIGHT('F(RxorK)'!U69,1))+1,BIN2DEC(MID('F(RxorK)'!U69,2,4))+1),4)</f>
        <v>0001</v>
      </c>
      <c r="Q81" s="2" t="str">
        <f>DEC2BIN(INDEX(Sbox!$T$23:$AI$26,BIN2DEC(LEFT('F(RxorK)'!V69,1)&amp;RIGHT('F(RxorK)'!V69,1))+1,BIN2DEC(MID('F(RxorK)'!V69,2,4))+1),4)</f>
        <v>0011</v>
      </c>
      <c r="R81" s="2" t="str">
        <f>DEC2BIN(INDEX(Sbox!$T$23:$AI$26,BIN2DEC(LEFT('F(RxorK)'!W69,1)&amp;RIGHT('F(RxorK)'!W69,1))+1,BIN2DEC(MID('F(RxorK)'!W69,2,4))+1),4)</f>
        <v>1100</v>
      </c>
      <c r="U81" s="9" t="s">
        <v>118</v>
      </c>
      <c r="V81" s="5" t="str" cm="1">
        <f t="array" ref="V81">_xlfn.TEXTJOIN("",TRUE,MID(_xlfn.TEXTJOIN("",TRUE,J$74:J$81),{16,7,20,21,29,12,28,17,1,15,23,26,5,18,31,10,2,8,24,14,32,27,3,9,19,13,30,6,22,11,4,25},1))</f>
        <v>01101100111111011110110010111000</v>
      </c>
      <c r="W81" s="5"/>
      <c r="X81" s="5"/>
      <c r="Y81" s="5"/>
    </row>
    <row r="82" spans="2:25" x14ac:dyDescent="0.25">
      <c r="U82" s="9" t="s">
        <v>119</v>
      </c>
      <c r="V82" s="5" t="str" cm="1">
        <f t="array" ref="V82">_xlfn.TEXTJOIN("",TRUE,MID(_xlfn.TEXTJOIN("",TRUE,K$74:K$81),{16,7,20,21,29,12,28,17,1,15,23,26,5,18,31,10,2,8,24,14,32,27,3,9,19,13,30,6,22,11,4,25},1))</f>
        <v>11111011000001100000000010110001</v>
      </c>
      <c r="W82" s="5"/>
      <c r="X82" s="5"/>
      <c r="Y82" s="5"/>
    </row>
    <row r="83" spans="2:25" x14ac:dyDescent="0.25">
      <c r="U83" s="9" t="s">
        <v>120</v>
      </c>
      <c r="V83" s="5" t="str" cm="1">
        <f t="array" ref="V83">_xlfn.TEXTJOIN("",TRUE,MID(_xlfn.TEXTJOIN("",TRUE,L$74:L$81),{16,7,20,21,29,12,28,17,1,15,23,26,5,18,31,10,2,8,24,14,32,27,3,9,19,13,30,6,22,11,4,25},1))</f>
        <v>11010101000101010000100011100100</v>
      </c>
      <c r="W83" s="5"/>
      <c r="X83" s="5"/>
      <c r="Y83" s="5"/>
    </row>
    <row r="84" spans="2:25" x14ac:dyDescent="0.25">
      <c r="U84" s="9" t="s">
        <v>121</v>
      </c>
      <c r="V84" s="5" t="str" cm="1">
        <f t="array" ref="V84">_xlfn.TEXTJOIN("",TRUE,MID(_xlfn.TEXTJOIN("",TRUE,M$74:M$81),{16,7,20,21,29,12,28,17,1,15,23,26,5,18,31,10,2,8,24,14,32,27,3,9,19,13,30,6,22,11,4,25},1))</f>
        <v>11111100111101100111000101000110</v>
      </c>
      <c r="W84" s="5"/>
      <c r="X84" s="5"/>
      <c r="Y84" s="5"/>
    </row>
    <row r="85" spans="2:25" x14ac:dyDescent="0.25">
      <c r="U85" s="9" t="s">
        <v>122</v>
      </c>
      <c r="V85" s="5" t="str" cm="1">
        <f t="array" ref="V85">_xlfn.TEXTJOIN("",TRUE,MID(_xlfn.TEXTJOIN("",TRUE,N$74:N$81),{16,7,20,21,29,12,28,17,1,15,23,26,5,18,31,10,2,8,24,14,32,27,3,9,19,13,30,6,22,11,4,25},1))</f>
        <v>01110000010011111010001110100101</v>
      </c>
      <c r="W85" s="5"/>
      <c r="X85" s="5"/>
      <c r="Y85" s="5"/>
    </row>
    <row r="86" spans="2:25" x14ac:dyDescent="0.25">
      <c r="U86" s="9" t="s">
        <v>123</v>
      </c>
      <c r="V86" s="5" t="str" cm="1">
        <f t="array" ref="V86">_xlfn.TEXTJOIN("",TRUE,MID(_xlfn.TEXTJOIN("",TRUE,O$74:O$81),{16,7,20,21,29,12,28,17,1,15,23,26,5,18,31,10,2,8,24,14,32,27,3,9,19,13,30,6,22,11,4,25},1))</f>
        <v>01111011111111100010100000000110</v>
      </c>
      <c r="W86" s="5"/>
      <c r="X86" s="5"/>
      <c r="Y86" s="5"/>
    </row>
    <row r="87" spans="2:25" x14ac:dyDescent="0.25">
      <c r="U87" s="9" t="s">
        <v>124</v>
      </c>
      <c r="V87" s="5" t="str" cm="1">
        <f t="array" ref="V87">_xlfn.TEXTJOIN("",TRUE,MID(_xlfn.TEXTJOIN("",TRUE,P$74:P$81),{16,7,20,21,29,12,28,17,1,15,23,26,5,18,31,10,2,8,24,14,32,27,3,9,19,13,30,6,22,11,4,25},1))</f>
        <v>01100101111111000111101001001000</v>
      </c>
      <c r="W87" s="5"/>
      <c r="X87" s="5"/>
      <c r="Y87" s="5"/>
    </row>
    <row r="88" spans="2:25" x14ac:dyDescent="0.25">
      <c r="U88" s="9" t="s">
        <v>125</v>
      </c>
      <c r="V88" s="5" t="str" cm="1">
        <f t="array" ref="V88">_xlfn.TEXTJOIN("",TRUE,MID(_xlfn.TEXTJOIN("",TRUE,Q$74:Q$81),{16,7,20,21,29,12,28,17,1,15,23,26,5,18,31,10,2,8,24,14,32,27,3,9,19,13,30,6,22,11,4,25},1))</f>
        <v>01010001001111110001110100010001</v>
      </c>
      <c r="W88" s="5"/>
      <c r="X88" s="5"/>
      <c r="Y88" s="5"/>
    </row>
    <row r="89" spans="2:25" x14ac:dyDescent="0.25">
      <c r="U89" s="9" t="s">
        <v>126</v>
      </c>
      <c r="V89" s="5" t="str" cm="1">
        <f t="array" ref="V89">_xlfn.TEXTJOIN("",TRUE,MID(_xlfn.TEXTJOIN("",TRUE,R$74:R$81),{16,7,20,21,29,12,28,17,1,15,23,26,5,18,31,10,2,8,24,14,32,27,3,9,19,13,30,6,22,11,4,25},1))</f>
        <v>11001011111101010010010100101101</v>
      </c>
      <c r="W89" s="5"/>
      <c r="X89" s="5"/>
      <c r="Y89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524A-2FFF-4D1F-900D-AF5262DB7514}">
  <sheetPr codeName="Trang_tính1"/>
  <dimension ref="A1:AL128"/>
  <sheetViews>
    <sheetView tabSelected="1" topLeftCell="A51" zoomScaleNormal="100" workbookViewId="0">
      <selection activeCell="J58" sqref="J58"/>
    </sheetView>
  </sheetViews>
  <sheetFormatPr defaultRowHeight="15" x14ac:dyDescent="0.25"/>
  <cols>
    <col min="15" max="15" width="16.28515625" customWidth="1"/>
  </cols>
  <sheetData>
    <row r="1" spans="1:38" ht="15.75" x14ac:dyDescent="0.25">
      <c r="A1" s="11" t="s">
        <v>105</v>
      </c>
      <c r="B1" s="13" t="str">
        <f>'F(RxorK)'!O1</f>
        <v>1001100011111110110011000000000011100000010101001111000010101010</v>
      </c>
      <c r="C1" s="11"/>
      <c r="D1" s="11"/>
      <c r="E1" s="11"/>
      <c r="F1" s="11"/>
      <c r="G1" s="11"/>
      <c r="H1" s="11"/>
      <c r="I1" s="11"/>
      <c r="J1" s="11"/>
    </row>
    <row r="3" spans="1:38" x14ac:dyDescent="0.25">
      <c r="A3" t="s">
        <v>11</v>
      </c>
      <c r="B3" t="str">
        <f>LEFT(B1,32)</f>
        <v>10011000111111101100110000000000</v>
      </c>
      <c r="G3" t="s">
        <v>12</v>
      </c>
      <c r="H3" t="str">
        <f>RIGHT(B1,32)</f>
        <v>11100000010101001111000010101010</v>
      </c>
    </row>
    <row r="5" spans="1:38" x14ac:dyDescent="0.25">
      <c r="A5" s="9" t="s">
        <v>5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  <c r="I5" s="9" t="s">
        <v>20</v>
      </c>
      <c r="J5" s="9" t="s">
        <v>21</v>
      </c>
      <c r="K5" s="9" t="s">
        <v>22</v>
      </c>
      <c r="L5" s="9" t="s">
        <v>23</v>
      </c>
      <c r="M5" s="9" t="s">
        <v>24</v>
      </c>
      <c r="N5" s="9" t="s">
        <v>25</v>
      </c>
      <c r="O5" s="9" t="s">
        <v>26</v>
      </c>
      <c r="P5" s="9" t="s">
        <v>27</v>
      </c>
      <c r="Q5" s="9" t="s">
        <v>28</v>
      </c>
      <c r="R5" s="9" t="s">
        <v>45</v>
      </c>
      <c r="U5" s="9" t="s">
        <v>99</v>
      </c>
      <c r="V5" s="9" t="s">
        <v>110</v>
      </c>
      <c r="W5" s="9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36</v>
      </c>
      <c r="AE5" s="9" t="s">
        <v>37</v>
      </c>
      <c r="AF5" s="9" t="s">
        <v>38</v>
      </c>
      <c r="AG5" s="9" t="s">
        <v>39</v>
      </c>
      <c r="AH5" s="9" t="s">
        <v>40</v>
      </c>
      <c r="AI5" s="9" t="s">
        <v>41</v>
      </c>
      <c r="AJ5" s="9" t="s">
        <v>42</v>
      </c>
      <c r="AK5" s="9" t="s">
        <v>43</v>
      </c>
      <c r="AL5" s="9" t="s">
        <v>44</v>
      </c>
    </row>
    <row r="6" spans="1:38" x14ac:dyDescent="0.25">
      <c r="A6" s="9">
        <v>1</v>
      </c>
      <c r="B6" s="2" t="str">
        <f>MID($B$3,ROW(A1),1)</f>
        <v>1</v>
      </c>
      <c r="C6" s="2" t="str">
        <f>V6</f>
        <v>1</v>
      </c>
      <c r="D6" s="2">
        <f>W6</f>
        <v>0</v>
      </c>
      <c r="E6" s="2">
        <f>X6</f>
        <v>0</v>
      </c>
      <c r="F6" s="2">
        <f>Y6</f>
        <v>1</v>
      </c>
      <c r="G6" s="2">
        <f>Z6</f>
        <v>1</v>
      </c>
      <c r="H6" s="2">
        <f>AA6</f>
        <v>0</v>
      </c>
      <c r="I6" s="2">
        <f>AB6</f>
        <v>0</v>
      </c>
      <c r="J6" s="2">
        <f>AC6</f>
        <v>0</v>
      </c>
      <c r="K6" s="2">
        <f>AD6</f>
        <v>0</v>
      </c>
      <c r="L6" s="2">
        <f>AE6</f>
        <v>1</v>
      </c>
      <c r="M6" s="2">
        <f>AF6</f>
        <v>1</v>
      </c>
      <c r="N6" s="2">
        <f>AG6</f>
        <v>0</v>
      </c>
      <c r="O6" s="2">
        <f>AH6</f>
        <v>1</v>
      </c>
      <c r="P6" s="2">
        <f>AI6</f>
        <v>0</v>
      </c>
      <c r="Q6" s="2">
        <f>AJ6</f>
        <v>1</v>
      </c>
      <c r="R6" s="2">
        <f>AK6</f>
        <v>0</v>
      </c>
      <c r="U6" s="9">
        <v>1</v>
      </c>
      <c r="V6" s="2" t="str">
        <f>MID($H$3, ROW(A1),1)</f>
        <v>1</v>
      </c>
      <c r="W6" s="2">
        <f>MOD(B6 + MID('F(RxorK)'!$V$74, ROW(r0_l0!A1),1),2)</f>
        <v>0</v>
      </c>
      <c r="X6" s="2">
        <f>MOD(C6+MID('F(RxorK)'!$V$75,ROW(r0_l0!$A1),1),2)</f>
        <v>0</v>
      </c>
      <c r="Y6" s="2">
        <f>MOD(D6+MID('F(RxorK)'!$V$76,ROW(r0_l0!A1),1),2)</f>
        <v>1</v>
      </c>
      <c r="Z6" s="2">
        <f>MOD(E6+MID('F(RxorK)'!$V$77,ROW(r0_l0!A1),1),2)</f>
        <v>1</v>
      </c>
      <c r="AA6" s="2">
        <f>MOD(F6+MID('F(RxorK)'!$V$78,ROW(r0_l0!$A1),1),2)</f>
        <v>0</v>
      </c>
      <c r="AB6" s="2">
        <f>MOD(G6+MID('F(RxorK)'!$V$79,ROW(r0_l0!$A1),1),2)</f>
        <v>0</v>
      </c>
      <c r="AC6" s="2">
        <f>MOD(H6+MID('F(RxorK)'!$V$80,ROW(r0_l0!$A1),1),2)</f>
        <v>0</v>
      </c>
      <c r="AD6" s="2">
        <f>MOD(I6+MID('F(RxorK)'!$V$81,ROW(r0_l0!$A1),1),2)</f>
        <v>0</v>
      </c>
      <c r="AE6" s="2">
        <f>MOD(J6+MID('F(RxorK)'!$V$82,ROW(r0_l0!$A1),1),2)</f>
        <v>1</v>
      </c>
      <c r="AF6" s="2">
        <f>MOD(K6+MID('F(RxorK)'!$V$83,ROW(r0_l0!$A1),1),2)</f>
        <v>1</v>
      </c>
      <c r="AG6" s="2">
        <f>MOD(L6+MID('F(RxorK)'!$V$84,ROW(r0_l0!$A1),1),2)</f>
        <v>0</v>
      </c>
      <c r="AH6" s="2">
        <f>MOD(M6+MID('F(RxorK)'!$V$85,ROW(r0_l0!$A1),1),2)</f>
        <v>1</v>
      </c>
      <c r="AI6" s="2">
        <f>MOD(N6+MID('F(RxorK)'!$V$86,ROW(r0_l0!$A1),1),2)</f>
        <v>0</v>
      </c>
      <c r="AJ6" s="2">
        <f>MOD(O6+MID('F(RxorK)'!$V$87,ROW(r0_l0!$A1),1),2)</f>
        <v>1</v>
      </c>
      <c r="AK6" s="2">
        <f>MOD(P6+MID('F(RxorK)'!$V$88,ROW(r0_l0!$A1),1),2)</f>
        <v>0</v>
      </c>
      <c r="AL6" s="2">
        <f>MOD(Q6+MID('F(RxorK)'!$V$89,ROW(r0_l0!$A1),1),2)</f>
        <v>0</v>
      </c>
    </row>
    <row r="7" spans="1:38" x14ac:dyDescent="0.25">
      <c r="A7" s="9">
        <v>2</v>
      </c>
      <c r="B7" s="2" t="str">
        <f>MID($B$3,ROW(A2),1)</f>
        <v>0</v>
      </c>
      <c r="C7" s="2" t="str">
        <f>V7</f>
        <v>1</v>
      </c>
      <c r="D7" s="2">
        <f>W7</f>
        <v>0</v>
      </c>
      <c r="E7" s="2">
        <f>X7</f>
        <v>1</v>
      </c>
      <c r="F7" s="2">
        <f>Y7</f>
        <v>1</v>
      </c>
      <c r="G7" s="2">
        <f>Z7</f>
        <v>0</v>
      </c>
      <c r="H7" s="2">
        <f>AA7</f>
        <v>0</v>
      </c>
      <c r="I7" s="2">
        <f>AB7</f>
        <v>0</v>
      </c>
      <c r="J7" s="2">
        <f>AC7</f>
        <v>1</v>
      </c>
      <c r="K7" s="2">
        <f>AD7</f>
        <v>1</v>
      </c>
      <c r="L7" s="2">
        <f>AE7</f>
        <v>0</v>
      </c>
      <c r="M7" s="2">
        <f>AF7</f>
        <v>0</v>
      </c>
      <c r="N7" s="2">
        <f>AG7</f>
        <v>1</v>
      </c>
      <c r="O7" s="2">
        <f>AH7</f>
        <v>1</v>
      </c>
      <c r="P7" s="2">
        <f>AI7</f>
        <v>0</v>
      </c>
      <c r="Q7" s="2">
        <f>AJ7</f>
        <v>0</v>
      </c>
      <c r="R7" s="2">
        <f>AK7</f>
        <v>1</v>
      </c>
      <c r="U7" s="9">
        <v>2</v>
      </c>
      <c r="V7" s="2" t="str">
        <f>MID($H$3, ROW(A2),1)</f>
        <v>1</v>
      </c>
      <c r="W7" s="2">
        <f>MOD(B7 + MID('F(RxorK)'!$V$74, ROW(r0_l0!A2),1),2)</f>
        <v>0</v>
      </c>
      <c r="X7" s="2">
        <f>MOD(C7+MID('F(RxorK)'!$V$75,ROW(r0_l0!$A2),1),2)</f>
        <v>1</v>
      </c>
      <c r="Y7" s="2">
        <f>MOD(D7+MID('F(RxorK)'!$V$76,ROW(r0_l0!A2),1),2)</f>
        <v>1</v>
      </c>
      <c r="Z7" s="2">
        <f>MOD(E7+MID('F(RxorK)'!$V$77,ROW(r0_l0!A2),1),2)</f>
        <v>0</v>
      </c>
      <c r="AA7" s="2">
        <f>MOD(F7+MID('F(RxorK)'!$V$78,ROW(r0_l0!$A2),1),2)</f>
        <v>0</v>
      </c>
      <c r="AB7" s="2">
        <f>MOD(G7+MID('F(RxorK)'!$V$79,ROW(r0_l0!$A2),1),2)</f>
        <v>0</v>
      </c>
      <c r="AC7" s="2">
        <f>MOD(H7+MID('F(RxorK)'!$V$80,ROW(r0_l0!$A2),1),2)</f>
        <v>1</v>
      </c>
      <c r="AD7" s="2">
        <f>MOD(I7+MID('F(RxorK)'!$V$81,ROW(r0_l0!$A2),1),2)</f>
        <v>1</v>
      </c>
      <c r="AE7" s="2">
        <f>MOD(J7+MID('F(RxorK)'!$V$82,ROW(r0_l0!$A2),1),2)</f>
        <v>0</v>
      </c>
      <c r="AF7" s="2">
        <f>MOD(K7+MID('F(RxorK)'!$V$83,ROW(r0_l0!$A2),1),2)</f>
        <v>0</v>
      </c>
      <c r="AG7" s="2">
        <f>MOD(L7+MID('F(RxorK)'!$V$84,ROW(r0_l0!$A2),1),2)</f>
        <v>1</v>
      </c>
      <c r="AH7" s="2">
        <f>MOD(M7+MID('F(RxorK)'!$V$85,ROW(r0_l0!$A2),1),2)</f>
        <v>1</v>
      </c>
      <c r="AI7" s="2">
        <f>MOD(N7+MID('F(RxorK)'!$V$86,ROW(r0_l0!$A2),1),2)</f>
        <v>0</v>
      </c>
      <c r="AJ7" s="2">
        <f>MOD(O7+MID('F(RxorK)'!$V$87,ROW(r0_l0!$A2),1),2)</f>
        <v>0</v>
      </c>
      <c r="AK7" s="2">
        <f>MOD(P7+MID('F(RxorK)'!$V$88,ROW(r0_l0!$A2),1),2)</f>
        <v>1</v>
      </c>
      <c r="AL7" s="2">
        <f>MOD(Q7+MID('F(RxorK)'!$V$89,ROW(r0_l0!$A2),1),2)</f>
        <v>1</v>
      </c>
    </row>
    <row r="8" spans="1:38" x14ac:dyDescent="0.25">
      <c r="A8" s="9">
        <v>3</v>
      </c>
      <c r="B8" s="2" t="str">
        <f t="shared" ref="B8:B37" si="0">MID($B$3,ROW(A3),1)</f>
        <v>0</v>
      </c>
      <c r="C8" s="2" t="str">
        <f>V8</f>
        <v>1</v>
      </c>
      <c r="D8" s="2">
        <f>W8</f>
        <v>0</v>
      </c>
      <c r="E8" s="2">
        <f>X8</f>
        <v>1</v>
      </c>
      <c r="F8" s="2">
        <f>Y8</f>
        <v>0</v>
      </c>
      <c r="G8" s="2">
        <f>Z8</f>
        <v>0</v>
      </c>
      <c r="H8" s="2">
        <f>AA8</f>
        <v>0</v>
      </c>
      <c r="I8" s="2">
        <f>AB8</f>
        <v>1</v>
      </c>
      <c r="J8" s="2">
        <f>AC8</f>
        <v>0</v>
      </c>
      <c r="K8" s="2">
        <f>AD8</f>
        <v>0</v>
      </c>
      <c r="L8" s="2">
        <f>AE8</f>
        <v>1</v>
      </c>
      <c r="M8" s="2">
        <f>AF8</f>
        <v>0</v>
      </c>
      <c r="N8" s="2">
        <f>AG8</f>
        <v>0</v>
      </c>
      <c r="O8" s="2">
        <f>AH8</f>
        <v>1</v>
      </c>
      <c r="P8" s="2">
        <f>AI8</f>
        <v>1</v>
      </c>
      <c r="Q8" s="2">
        <f>AJ8</f>
        <v>0</v>
      </c>
      <c r="R8" s="2">
        <f>AK8</f>
        <v>1</v>
      </c>
      <c r="U8" s="9">
        <v>3</v>
      </c>
      <c r="V8" s="2" t="str">
        <f>MID($H$3, ROW(A3),1)</f>
        <v>1</v>
      </c>
      <c r="W8" s="2">
        <f>MOD(B8 + MID('F(RxorK)'!$V$74, ROW(r0_l0!A3),1),2)</f>
        <v>0</v>
      </c>
      <c r="X8" s="2">
        <f>MOD(C8+MID('F(RxorK)'!$V$75,ROW(r0_l0!$A3),1),2)</f>
        <v>1</v>
      </c>
      <c r="Y8" s="2">
        <f>MOD(D8+MID('F(RxorK)'!$V$76,ROW(r0_l0!A3),1),2)</f>
        <v>0</v>
      </c>
      <c r="Z8" s="2">
        <f>MOD(E8+MID('F(RxorK)'!$V$77,ROW(r0_l0!A3),1),2)</f>
        <v>0</v>
      </c>
      <c r="AA8" s="2">
        <f>MOD(F8+MID('F(RxorK)'!$V$78,ROW(r0_l0!$A3),1),2)</f>
        <v>0</v>
      </c>
      <c r="AB8" s="2">
        <f>MOD(G8+MID('F(RxorK)'!$V$79,ROW(r0_l0!$A3),1),2)</f>
        <v>1</v>
      </c>
      <c r="AC8" s="2">
        <f>MOD(H8+MID('F(RxorK)'!$V$80,ROW(r0_l0!$A3),1),2)</f>
        <v>0</v>
      </c>
      <c r="AD8" s="2">
        <f>MOD(I8+MID('F(RxorK)'!$V$81,ROW(r0_l0!$A3),1),2)</f>
        <v>0</v>
      </c>
      <c r="AE8" s="2">
        <f>MOD(J8+MID('F(RxorK)'!$V$82,ROW(r0_l0!$A3),1),2)</f>
        <v>1</v>
      </c>
      <c r="AF8" s="2">
        <f>MOD(K8+MID('F(RxorK)'!$V$83,ROW(r0_l0!$A3),1),2)</f>
        <v>0</v>
      </c>
      <c r="AG8" s="2">
        <f>MOD(L8+MID('F(RxorK)'!$V$84,ROW(r0_l0!$A3),1),2)</f>
        <v>0</v>
      </c>
      <c r="AH8" s="2">
        <f>MOD(M8+MID('F(RxorK)'!$V$85,ROW(r0_l0!$A3),1),2)</f>
        <v>1</v>
      </c>
      <c r="AI8" s="2">
        <f>MOD(N8+MID('F(RxorK)'!$V$86,ROW(r0_l0!$A3),1),2)</f>
        <v>1</v>
      </c>
      <c r="AJ8" s="2">
        <f>MOD(O8+MID('F(RxorK)'!$V$87,ROW(r0_l0!$A3),1),2)</f>
        <v>0</v>
      </c>
      <c r="AK8" s="2">
        <f>MOD(P8+MID('F(RxorK)'!$V$88,ROW(r0_l0!$A3),1),2)</f>
        <v>1</v>
      </c>
      <c r="AL8" s="2">
        <f>MOD(Q8+MID('F(RxorK)'!$V$89,ROW(r0_l0!$A3),1),2)</f>
        <v>0</v>
      </c>
    </row>
    <row r="9" spans="1:38" x14ac:dyDescent="0.25">
      <c r="A9" s="9">
        <v>4</v>
      </c>
      <c r="B9" s="2" t="str">
        <f t="shared" si="0"/>
        <v>1</v>
      </c>
      <c r="C9" s="2" t="str">
        <f>V9</f>
        <v>0</v>
      </c>
      <c r="D9" s="2">
        <f>W9</f>
        <v>0</v>
      </c>
      <c r="E9" s="2">
        <f>X9</f>
        <v>0</v>
      </c>
      <c r="F9" s="2">
        <f>Y9</f>
        <v>1</v>
      </c>
      <c r="G9" s="2">
        <f>Z9</f>
        <v>1</v>
      </c>
      <c r="H9" s="2">
        <f>AA9</f>
        <v>0</v>
      </c>
      <c r="I9" s="2">
        <f>AB9</f>
        <v>1</v>
      </c>
      <c r="J9" s="2">
        <f>AC9</f>
        <v>0</v>
      </c>
      <c r="K9" s="2">
        <f>AD9</f>
        <v>1</v>
      </c>
      <c r="L9" s="2">
        <f>AE9</f>
        <v>1</v>
      </c>
      <c r="M9" s="2">
        <f>AF9</f>
        <v>0</v>
      </c>
      <c r="N9" s="2">
        <f>AG9</f>
        <v>0</v>
      </c>
      <c r="O9" s="2">
        <f>AH9</f>
        <v>1</v>
      </c>
      <c r="P9" s="2">
        <f>AI9</f>
        <v>1</v>
      </c>
      <c r="Q9" s="2">
        <f>AJ9</f>
        <v>1</v>
      </c>
      <c r="R9" s="2">
        <f>AK9</f>
        <v>0</v>
      </c>
      <c r="U9" s="9">
        <v>4</v>
      </c>
      <c r="V9" s="2" t="str">
        <f>MID($H$3, ROW(A4),1)</f>
        <v>0</v>
      </c>
      <c r="W9" s="2">
        <f>MOD(B9 + MID('F(RxorK)'!$V$74, ROW(r0_l0!A4),1),2)</f>
        <v>0</v>
      </c>
      <c r="X9" s="2">
        <f>MOD(C9+MID('F(RxorK)'!$V$75,ROW(r0_l0!$A4),1),2)</f>
        <v>0</v>
      </c>
      <c r="Y9" s="2">
        <f>MOD(D9+MID('F(RxorK)'!$V$76,ROW(r0_l0!A4),1),2)</f>
        <v>1</v>
      </c>
      <c r="Z9" s="2">
        <f>MOD(E9+MID('F(RxorK)'!$V$77,ROW(r0_l0!A4),1),2)</f>
        <v>1</v>
      </c>
      <c r="AA9" s="2">
        <f>MOD(F9+MID('F(RxorK)'!$V$78,ROW(r0_l0!$A4),1),2)</f>
        <v>0</v>
      </c>
      <c r="AB9" s="2">
        <f>MOD(G9+MID('F(RxorK)'!$V$79,ROW(r0_l0!$A4),1),2)</f>
        <v>1</v>
      </c>
      <c r="AC9" s="2">
        <f>MOD(H9+MID('F(RxorK)'!$V$80,ROW(r0_l0!$A4),1),2)</f>
        <v>0</v>
      </c>
      <c r="AD9" s="2">
        <f>MOD(I9+MID('F(RxorK)'!$V$81,ROW(r0_l0!$A4),1),2)</f>
        <v>1</v>
      </c>
      <c r="AE9" s="2">
        <f>MOD(J9+MID('F(RxorK)'!$V$82,ROW(r0_l0!$A4),1),2)</f>
        <v>1</v>
      </c>
      <c r="AF9" s="2">
        <f>MOD(K9+MID('F(RxorK)'!$V$83,ROW(r0_l0!$A4),1),2)</f>
        <v>0</v>
      </c>
      <c r="AG9" s="2">
        <f>MOD(L9+MID('F(RxorK)'!$V$84,ROW(r0_l0!$A4),1),2)</f>
        <v>0</v>
      </c>
      <c r="AH9" s="2">
        <f>MOD(M9+MID('F(RxorK)'!$V$85,ROW(r0_l0!$A4),1),2)</f>
        <v>1</v>
      </c>
      <c r="AI9" s="2">
        <f>MOD(N9+MID('F(RxorK)'!$V$86,ROW(r0_l0!$A4),1),2)</f>
        <v>1</v>
      </c>
      <c r="AJ9" s="2">
        <f>MOD(O9+MID('F(RxorK)'!$V$87,ROW(r0_l0!$A4),1),2)</f>
        <v>1</v>
      </c>
      <c r="AK9" s="2">
        <f>MOD(P9+MID('F(RxorK)'!$V$88,ROW(r0_l0!$A4),1),2)</f>
        <v>0</v>
      </c>
      <c r="AL9" s="2">
        <f>MOD(Q9+MID('F(RxorK)'!$V$89,ROW(r0_l0!$A4),1),2)</f>
        <v>1</v>
      </c>
    </row>
    <row r="10" spans="1:38" x14ac:dyDescent="0.25">
      <c r="A10" s="9">
        <v>5</v>
      </c>
      <c r="B10" s="2" t="str">
        <f t="shared" si="0"/>
        <v>1</v>
      </c>
      <c r="C10" s="2" t="str">
        <f>V10</f>
        <v>0</v>
      </c>
      <c r="D10" s="2">
        <f>W10</f>
        <v>1</v>
      </c>
      <c r="E10" s="2">
        <f>X10</f>
        <v>1</v>
      </c>
      <c r="F10" s="2">
        <f>Y10</f>
        <v>0</v>
      </c>
      <c r="G10" s="2">
        <f>Z10</f>
        <v>1</v>
      </c>
      <c r="H10" s="2">
        <f>AA10</f>
        <v>1</v>
      </c>
      <c r="I10" s="2">
        <f>AB10</f>
        <v>0</v>
      </c>
      <c r="J10" s="2">
        <f>AC10</f>
        <v>0</v>
      </c>
      <c r="K10" s="2">
        <f>AD10</f>
        <v>1</v>
      </c>
      <c r="L10" s="2">
        <f>AE10</f>
        <v>1</v>
      </c>
      <c r="M10" s="2">
        <f>AF10</f>
        <v>1</v>
      </c>
      <c r="N10" s="2">
        <f>AG10</f>
        <v>0</v>
      </c>
      <c r="O10" s="2">
        <f>AH10</f>
        <v>1</v>
      </c>
      <c r="P10" s="2">
        <f>AI10</f>
        <v>1</v>
      </c>
      <c r="Q10" s="2">
        <f>AJ10</f>
        <v>1</v>
      </c>
      <c r="R10" s="2">
        <f>AK10</f>
        <v>1</v>
      </c>
      <c r="U10" s="9">
        <v>5</v>
      </c>
      <c r="V10" s="2" t="str">
        <f>MID($H$3, ROW(A5),1)</f>
        <v>0</v>
      </c>
      <c r="W10" s="2">
        <f>MOD(B10 + MID('F(RxorK)'!$V$74, ROW(r0_l0!A5),1),2)</f>
        <v>1</v>
      </c>
      <c r="X10" s="2">
        <f>MOD(C10+MID('F(RxorK)'!$V$75,ROW(r0_l0!$A5),1),2)</f>
        <v>1</v>
      </c>
      <c r="Y10" s="2">
        <f>MOD(D10+MID('F(RxorK)'!$V$76,ROW(r0_l0!A5),1),2)</f>
        <v>0</v>
      </c>
      <c r="Z10" s="2">
        <f>MOD(E10+MID('F(RxorK)'!$V$77,ROW(r0_l0!A5),1),2)</f>
        <v>1</v>
      </c>
      <c r="AA10" s="2">
        <f>MOD(F10+MID('F(RxorK)'!$V$78,ROW(r0_l0!$A5),1),2)</f>
        <v>1</v>
      </c>
      <c r="AB10" s="2">
        <f>MOD(G10+MID('F(RxorK)'!$V$79,ROW(r0_l0!$A5),1),2)</f>
        <v>0</v>
      </c>
      <c r="AC10" s="2">
        <f>MOD(H10+MID('F(RxorK)'!$V$80,ROW(r0_l0!$A5),1),2)</f>
        <v>0</v>
      </c>
      <c r="AD10" s="2">
        <f>MOD(I10+MID('F(RxorK)'!$V$81,ROW(r0_l0!$A5),1),2)</f>
        <v>1</v>
      </c>
      <c r="AE10" s="2">
        <f>MOD(J10+MID('F(RxorK)'!$V$82,ROW(r0_l0!$A5),1),2)</f>
        <v>1</v>
      </c>
      <c r="AF10" s="2">
        <f>MOD(K10+MID('F(RxorK)'!$V$83,ROW(r0_l0!$A5),1),2)</f>
        <v>1</v>
      </c>
      <c r="AG10" s="2">
        <f>MOD(L10+MID('F(RxorK)'!$V$84,ROW(r0_l0!$A5),1),2)</f>
        <v>0</v>
      </c>
      <c r="AH10" s="2">
        <f>MOD(M10+MID('F(RxorK)'!$V$85,ROW(r0_l0!$A5),1),2)</f>
        <v>1</v>
      </c>
      <c r="AI10" s="2">
        <f>MOD(N10+MID('F(RxorK)'!$V$86,ROW(r0_l0!$A5),1),2)</f>
        <v>1</v>
      </c>
      <c r="AJ10" s="2">
        <f>MOD(O10+MID('F(RxorK)'!$V$87,ROW(r0_l0!$A5),1),2)</f>
        <v>1</v>
      </c>
      <c r="AK10" s="2">
        <f>MOD(P10+MID('F(RxorK)'!$V$88,ROW(r0_l0!$A5),1),2)</f>
        <v>1</v>
      </c>
      <c r="AL10" s="2">
        <f>MOD(Q10+MID('F(RxorK)'!$V$89,ROW(r0_l0!$A5),1),2)</f>
        <v>0</v>
      </c>
    </row>
    <row r="11" spans="1:38" x14ac:dyDescent="0.25">
      <c r="A11" s="9">
        <v>6</v>
      </c>
      <c r="B11" s="2" t="str">
        <f t="shared" si="0"/>
        <v>0</v>
      </c>
      <c r="C11" s="2" t="str">
        <f>V11</f>
        <v>0</v>
      </c>
      <c r="D11" s="2">
        <f>W11</f>
        <v>1</v>
      </c>
      <c r="E11" s="2">
        <f>X11</f>
        <v>0</v>
      </c>
      <c r="F11" s="2">
        <f>Y11</f>
        <v>1</v>
      </c>
      <c r="G11" s="2">
        <f>Z11</f>
        <v>1</v>
      </c>
      <c r="H11" s="2">
        <f>AA11</f>
        <v>1</v>
      </c>
      <c r="I11" s="2">
        <f>AB11</f>
        <v>0</v>
      </c>
      <c r="J11" s="2">
        <f>AC11</f>
        <v>0</v>
      </c>
      <c r="K11" s="2">
        <f>AD11</f>
        <v>1</v>
      </c>
      <c r="L11" s="2">
        <f>AE11</f>
        <v>0</v>
      </c>
      <c r="M11" s="2">
        <f>AF11</f>
        <v>0</v>
      </c>
      <c r="N11" s="2">
        <f>AG11</f>
        <v>1</v>
      </c>
      <c r="O11" s="2">
        <f>AH11</f>
        <v>0</v>
      </c>
      <c r="P11" s="2">
        <f>AI11</f>
        <v>1</v>
      </c>
      <c r="Q11" s="2">
        <f>AJ11</f>
        <v>1</v>
      </c>
      <c r="R11" s="2">
        <f>AK11</f>
        <v>1</v>
      </c>
      <c r="U11" s="9">
        <v>6</v>
      </c>
      <c r="V11" s="2" t="str">
        <f>MID($H$3, ROW(A6),1)</f>
        <v>0</v>
      </c>
      <c r="W11" s="2">
        <f>MOD(B11 + MID('F(RxorK)'!$V$74, ROW(r0_l0!A6),1),2)</f>
        <v>1</v>
      </c>
      <c r="X11" s="2">
        <f>MOD(C11+MID('F(RxorK)'!$V$75,ROW(r0_l0!$A6),1),2)</f>
        <v>0</v>
      </c>
      <c r="Y11" s="2">
        <f>MOD(D11+MID('F(RxorK)'!$V$76,ROW(r0_l0!A6),1),2)</f>
        <v>1</v>
      </c>
      <c r="Z11" s="2">
        <f>MOD(E11+MID('F(RxorK)'!$V$77,ROW(r0_l0!A6),1),2)</f>
        <v>1</v>
      </c>
      <c r="AA11" s="2">
        <f>MOD(F11+MID('F(RxorK)'!$V$78,ROW(r0_l0!$A6),1),2)</f>
        <v>1</v>
      </c>
      <c r="AB11" s="2">
        <f>MOD(G11+MID('F(RxorK)'!$V$79,ROW(r0_l0!$A6),1),2)</f>
        <v>0</v>
      </c>
      <c r="AC11" s="2">
        <f>MOD(H11+MID('F(RxorK)'!$V$80,ROW(r0_l0!$A6),1),2)</f>
        <v>0</v>
      </c>
      <c r="AD11" s="2">
        <f>MOD(I11+MID('F(RxorK)'!$V$81,ROW(r0_l0!$A6),1),2)</f>
        <v>1</v>
      </c>
      <c r="AE11" s="2">
        <f>MOD(J11+MID('F(RxorK)'!$V$82,ROW(r0_l0!$A6),1),2)</f>
        <v>0</v>
      </c>
      <c r="AF11" s="2">
        <f>MOD(K11+MID('F(RxorK)'!$V$83,ROW(r0_l0!$A6),1),2)</f>
        <v>0</v>
      </c>
      <c r="AG11" s="2">
        <f>MOD(L11+MID('F(RxorK)'!$V$84,ROW(r0_l0!$A6),1),2)</f>
        <v>1</v>
      </c>
      <c r="AH11" s="2">
        <f>MOD(M11+MID('F(RxorK)'!$V$85,ROW(r0_l0!$A6),1),2)</f>
        <v>0</v>
      </c>
      <c r="AI11" s="2">
        <f>MOD(N11+MID('F(RxorK)'!$V$86,ROW(r0_l0!$A6),1),2)</f>
        <v>1</v>
      </c>
      <c r="AJ11" s="2">
        <f>MOD(O11+MID('F(RxorK)'!$V$87,ROW(r0_l0!$A6),1),2)</f>
        <v>1</v>
      </c>
      <c r="AK11" s="2">
        <f>MOD(P11+MID('F(RxorK)'!$V$88,ROW(r0_l0!$A6),1),2)</f>
        <v>1</v>
      </c>
      <c r="AL11" s="2">
        <f>MOD(Q11+MID('F(RxorK)'!$V$89,ROW(r0_l0!$A6),1),2)</f>
        <v>1</v>
      </c>
    </row>
    <row r="12" spans="1:38" x14ac:dyDescent="0.25">
      <c r="A12" s="9">
        <v>7</v>
      </c>
      <c r="B12" s="2" t="str">
        <f t="shared" si="0"/>
        <v>0</v>
      </c>
      <c r="C12" s="2" t="str">
        <f>V12</f>
        <v>0</v>
      </c>
      <c r="D12" s="2">
        <f>W12</f>
        <v>1</v>
      </c>
      <c r="E12" s="2">
        <f>X12</f>
        <v>0</v>
      </c>
      <c r="F12" s="2">
        <f>Y12</f>
        <v>0</v>
      </c>
      <c r="G12" s="2">
        <f>Z12</f>
        <v>0</v>
      </c>
      <c r="H12" s="2">
        <f>AA12</f>
        <v>0</v>
      </c>
      <c r="I12" s="2">
        <f>AB12</f>
        <v>1</v>
      </c>
      <c r="J12" s="2">
        <f>AC12</f>
        <v>1</v>
      </c>
      <c r="K12" s="2">
        <f>AD12</f>
        <v>1</v>
      </c>
      <c r="L12" s="2">
        <f>AE12</f>
        <v>0</v>
      </c>
      <c r="M12" s="2">
        <f>AF12</f>
        <v>1</v>
      </c>
      <c r="N12" s="2">
        <f>AG12</f>
        <v>0</v>
      </c>
      <c r="O12" s="2">
        <f>AH12</f>
        <v>1</v>
      </c>
      <c r="P12" s="2">
        <f>AI12</f>
        <v>1</v>
      </c>
      <c r="Q12" s="2">
        <f>AJ12</f>
        <v>1</v>
      </c>
      <c r="R12" s="2">
        <f>AK12</f>
        <v>1</v>
      </c>
      <c r="U12" s="9">
        <v>7</v>
      </c>
      <c r="V12" s="2" t="str">
        <f>MID($H$3, ROW(A7),1)</f>
        <v>0</v>
      </c>
      <c r="W12" s="2">
        <f>MOD(B12 + MID('F(RxorK)'!$V$74, ROW(r0_l0!A7),1),2)</f>
        <v>1</v>
      </c>
      <c r="X12" s="2">
        <f>MOD(C12+MID('F(RxorK)'!$V$75,ROW(r0_l0!$A7),1),2)</f>
        <v>0</v>
      </c>
      <c r="Y12" s="2">
        <f>MOD(D12+MID('F(RxorK)'!$V$76,ROW(r0_l0!A7),1),2)</f>
        <v>0</v>
      </c>
      <c r="Z12" s="2">
        <f>MOD(E12+MID('F(RxorK)'!$V$77,ROW(r0_l0!A7),1),2)</f>
        <v>0</v>
      </c>
      <c r="AA12" s="2">
        <f>MOD(F12+MID('F(RxorK)'!$V$78,ROW(r0_l0!$A7),1),2)</f>
        <v>0</v>
      </c>
      <c r="AB12" s="2">
        <f>MOD(G12+MID('F(RxorK)'!$V$79,ROW(r0_l0!$A7),1),2)</f>
        <v>1</v>
      </c>
      <c r="AC12" s="2">
        <f>MOD(H12+MID('F(RxorK)'!$V$80,ROW(r0_l0!$A7),1),2)</f>
        <v>1</v>
      </c>
      <c r="AD12" s="2">
        <f>MOD(I12+MID('F(RxorK)'!$V$81,ROW(r0_l0!$A7),1),2)</f>
        <v>1</v>
      </c>
      <c r="AE12" s="2">
        <f>MOD(J12+MID('F(RxorK)'!$V$82,ROW(r0_l0!$A7),1),2)</f>
        <v>0</v>
      </c>
      <c r="AF12" s="2">
        <f>MOD(K12+MID('F(RxorK)'!$V$83,ROW(r0_l0!$A7),1),2)</f>
        <v>1</v>
      </c>
      <c r="AG12" s="2">
        <f>MOD(L12+MID('F(RxorK)'!$V$84,ROW(r0_l0!$A7),1),2)</f>
        <v>0</v>
      </c>
      <c r="AH12" s="2">
        <f>MOD(M12+MID('F(RxorK)'!$V$85,ROW(r0_l0!$A7),1),2)</f>
        <v>1</v>
      </c>
      <c r="AI12" s="2">
        <f>MOD(N12+MID('F(RxorK)'!$V$86,ROW(r0_l0!$A7),1),2)</f>
        <v>1</v>
      </c>
      <c r="AJ12" s="2">
        <f>MOD(O12+MID('F(RxorK)'!$V$87,ROW(r0_l0!$A7),1),2)</f>
        <v>1</v>
      </c>
      <c r="AK12" s="2">
        <f>MOD(P12+MID('F(RxorK)'!$V$88,ROW(r0_l0!$A7),1),2)</f>
        <v>1</v>
      </c>
      <c r="AL12" s="2">
        <f>MOD(Q12+MID('F(RxorK)'!$V$89,ROW(r0_l0!$A7),1),2)</f>
        <v>0</v>
      </c>
    </row>
    <row r="13" spans="1:38" x14ac:dyDescent="0.25">
      <c r="A13" s="9">
        <v>8</v>
      </c>
      <c r="B13" s="2" t="str">
        <f t="shared" si="0"/>
        <v>0</v>
      </c>
      <c r="C13" s="2" t="str">
        <f>V13</f>
        <v>0</v>
      </c>
      <c r="D13" s="2">
        <f>W13</f>
        <v>1</v>
      </c>
      <c r="E13" s="2">
        <f>X13</f>
        <v>0</v>
      </c>
      <c r="F13" s="2">
        <f>Y13</f>
        <v>1</v>
      </c>
      <c r="G13" s="2">
        <f>Z13</f>
        <v>0</v>
      </c>
      <c r="H13" s="2">
        <f>AA13</f>
        <v>1</v>
      </c>
      <c r="I13" s="2">
        <f>AB13</f>
        <v>1</v>
      </c>
      <c r="J13" s="2">
        <f>AC13</f>
        <v>1</v>
      </c>
      <c r="K13" s="2">
        <f>AD13</f>
        <v>1</v>
      </c>
      <c r="L13" s="2">
        <f>AE13</f>
        <v>0</v>
      </c>
      <c r="M13" s="2">
        <f>AF13</f>
        <v>0</v>
      </c>
      <c r="N13" s="2">
        <f>AG13</f>
        <v>0</v>
      </c>
      <c r="O13" s="2">
        <f>AH13</f>
        <v>0</v>
      </c>
      <c r="P13" s="2">
        <f>AI13</f>
        <v>1</v>
      </c>
      <c r="Q13" s="2">
        <f>AJ13</f>
        <v>1</v>
      </c>
      <c r="R13" s="2">
        <f>AK13</f>
        <v>0</v>
      </c>
      <c r="U13" s="9">
        <v>8</v>
      </c>
      <c r="V13" s="2" t="str">
        <f>MID($H$3, ROW(A8),1)</f>
        <v>0</v>
      </c>
      <c r="W13" s="2">
        <f>MOD(B13 + MID('F(RxorK)'!$V$74, ROW(r0_l0!A8),1),2)</f>
        <v>1</v>
      </c>
      <c r="X13" s="2">
        <f>MOD(C13+MID('F(RxorK)'!$V$75,ROW(r0_l0!$A8),1),2)</f>
        <v>0</v>
      </c>
      <c r="Y13" s="2">
        <f>MOD(D13+MID('F(RxorK)'!$V$76,ROW(r0_l0!A8),1),2)</f>
        <v>1</v>
      </c>
      <c r="Z13" s="2">
        <f>MOD(E13+MID('F(RxorK)'!$V$77,ROW(r0_l0!A8),1),2)</f>
        <v>0</v>
      </c>
      <c r="AA13" s="2">
        <f>MOD(F13+MID('F(RxorK)'!$V$78,ROW(r0_l0!$A8),1),2)</f>
        <v>1</v>
      </c>
      <c r="AB13" s="2">
        <f>MOD(G13+MID('F(RxorK)'!$V$79,ROW(r0_l0!$A8),1),2)</f>
        <v>1</v>
      </c>
      <c r="AC13" s="2">
        <f>MOD(H13+MID('F(RxorK)'!$V$80,ROW(r0_l0!$A8),1),2)</f>
        <v>1</v>
      </c>
      <c r="AD13" s="2">
        <f>MOD(I13+MID('F(RxorK)'!$V$81,ROW(r0_l0!$A8),1),2)</f>
        <v>1</v>
      </c>
      <c r="AE13" s="2">
        <f>MOD(J13+MID('F(RxorK)'!$V$82,ROW(r0_l0!$A8),1),2)</f>
        <v>0</v>
      </c>
      <c r="AF13" s="2">
        <f>MOD(K13+MID('F(RxorK)'!$V$83,ROW(r0_l0!$A8),1),2)</f>
        <v>0</v>
      </c>
      <c r="AG13" s="2">
        <f>MOD(L13+MID('F(RxorK)'!$V$84,ROW(r0_l0!$A8),1),2)</f>
        <v>0</v>
      </c>
      <c r="AH13" s="2">
        <f>MOD(M13+MID('F(RxorK)'!$V$85,ROW(r0_l0!$A8),1),2)</f>
        <v>0</v>
      </c>
      <c r="AI13" s="2">
        <f>MOD(N13+MID('F(RxorK)'!$V$86,ROW(r0_l0!$A8),1),2)</f>
        <v>1</v>
      </c>
      <c r="AJ13" s="2">
        <f>MOD(O13+MID('F(RxorK)'!$V$87,ROW(r0_l0!$A8),1),2)</f>
        <v>1</v>
      </c>
      <c r="AK13" s="2">
        <f>MOD(P13+MID('F(RxorK)'!$V$88,ROW(r0_l0!$A8),1),2)</f>
        <v>0</v>
      </c>
      <c r="AL13" s="2">
        <f>MOD(Q13+MID('F(RxorK)'!$V$89,ROW(r0_l0!$A8),1),2)</f>
        <v>0</v>
      </c>
    </row>
    <row r="14" spans="1:38" x14ac:dyDescent="0.25">
      <c r="A14" s="9">
        <v>9</v>
      </c>
      <c r="B14" s="2" t="str">
        <f t="shared" si="0"/>
        <v>1</v>
      </c>
      <c r="C14" s="2" t="str">
        <f>V14</f>
        <v>0</v>
      </c>
      <c r="D14" s="2">
        <f>W14</f>
        <v>0</v>
      </c>
      <c r="E14" s="2">
        <f>X14</f>
        <v>0</v>
      </c>
      <c r="F14" s="2">
        <f>Y14</f>
        <v>0</v>
      </c>
      <c r="G14" s="2">
        <f>Z14</f>
        <v>0</v>
      </c>
      <c r="H14" s="2">
        <f>AA14</f>
        <v>0</v>
      </c>
      <c r="I14" s="2">
        <f>AB14</f>
        <v>1</v>
      </c>
      <c r="J14" s="2">
        <f>AC14</f>
        <v>0</v>
      </c>
      <c r="K14" s="2">
        <f>AD14</f>
        <v>0</v>
      </c>
      <c r="L14" s="2">
        <f>AE14</f>
        <v>0</v>
      </c>
      <c r="M14" s="2">
        <f>AF14</f>
        <v>0</v>
      </c>
      <c r="N14" s="2">
        <f>AG14</f>
        <v>1</v>
      </c>
      <c r="O14" s="2">
        <f>AH14</f>
        <v>0</v>
      </c>
      <c r="P14" s="2">
        <f>AI14</f>
        <v>0</v>
      </c>
      <c r="Q14" s="2">
        <f>AJ14</f>
        <v>1</v>
      </c>
      <c r="R14" s="2">
        <f>AK14</f>
        <v>0</v>
      </c>
      <c r="U14" s="9">
        <v>9</v>
      </c>
      <c r="V14" s="2" t="str">
        <f>MID($H$3, ROW(A9),1)</f>
        <v>0</v>
      </c>
      <c r="W14" s="2">
        <f>MOD(B14 + MID('F(RxorK)'!$V$74, ROW(r0_l0!A9),1),2)</f>
        <v>0</v>
      </c>
      <c r="X14" s="2">
        <f>MOD(C14+MID('F(RxorK)'!$V$75,ROW(r0_l0!$A9),1),2)</f>
        <v>0</v>
      </c>
      <c r="Y14" s="2">
        <f>MOD(D14+MID('F(RxorK)'!$V$76,ROW(r0_l0!A9),1),2)</f>
        <v>0</v>
      </c>
      <c r="Z14" s="2">
        <f>MOD(E14+MID('F(RxorK)'!$V$77,ROW(r0_l0!A9),1),2)</f>
        <v>0</v>
      </c>
      <c r="AA14" s="2">
        <f>MOD(F14+MID('F(RxorK)'!$V$78,ROW(r0_l0!$A9),1),2)</f>
        <v>0</v>
      </c>
      <c r="AB14" s="2">
        <f>MOD(G14+MID('F(RxorK)'!$V$79,ROW(r0_l0!$A9),1),2)</f>
        <v>1</v>
      </c>
      <c r="AC14" s="2">
        <f>MOD(H14+MID('F(RxorK)'!$V$80,ROW(r0_l0!$A9),1),2)</f>
        <v>0</v>
      </c>
      <c r="AD14" s="2">
        <f>MOD(I14+MID('F(RxorK)'!$V$81,ROW(r0_l0!$A9),1),2)</f>
        <v>0</v>
      </c>
      <c r="AE14" s="2">
        <f>MOD(J14+MID('F(RxorK)'!$V$82,ROW(r0_l0!$A9),1),2)</f>
        <v>0</v>
      </c>
      <c r="AF14" s="2">
        <f>MOD(K14+MID('F(RxorK)'!$V$83,ROW(r0_l0!$A9),1),2)</f>
        <v>0</v>
      </c>
      <c r="AG14" s="2">
        <f>MOD(L14+MID('F(RxorK)'!$V$84,ROW(r0_l0!$A9),1),2)</f>
        <v>1</v>
      </c>
      <c r="AH14" s="2">
        <f>MOD(M14+MID('F(RxorK)'!$V$85,ROW(r0_l0!$A9),1),2)</f>
        <v>0</v>
      </c>
      <c r="AI14" s="2">
        <f>MOD(N14+MID('F(RxorK)'!$V$86,ROW(r0_l0!$A9),1),2)</f>
        <v>0</v>
      </c>
      <c r="AJ14" s="2">
        <f>MOD(O14+MID('F(RxorK)'!$V$87,ROW(r0_l0!$A9),1),2)</f>
        <v>1</v>
      </c>
      <c r="AK14" s="2">
        <f>MOD(P14+MID('F(RxorK)'!$V$88,ROW(r0_l0!$A9),1),2)</f>
        <v>0</v>
      </c>
      <c r="AL14" s="2">
        <f>MOD(Q14+MID('F(RxorK)'!$V$89,ROW(r0_l0!$A9),1),2)</f>
        <v>0</v>
      </c>
    </row>
    <row r="15" spans="1:38" x14ac:dyDescent="0.25">
      <c r="A15" s="9">
        <v>10</v>
      </c>
      <c r="B15" s="2" t="str">
        <f t="shared" si="0"/>
        <v>1</v>
      </c>
      <c r="C15" s="2" t="str">
        <f>V15</f>
        <v>1</v>
      </c>
      <c r="D15" s="2">
        <f>W15</f>
        <v>0</v>
      </c>
      <c r="E15" s="2">
        <f>X15</f>
        <v>0</v>
      </c>
      <c r="F15" s="2">
        <f>Y15</f>
        <v>0</v>
      </c>
      <c r="G15" s="2">
        <f>Z15</f>
        <v>1</v>
      </c>
      <c r="H15" s="2">
        <f>AA15</f>
        <v>0</v>
      </c>
      <c r="I15" s="2">
        <f>AB15</f>
        <v>0</v>
      </c>
      <c r="J15" s="2">
        <f>AC15</f>
        <v>1</v>
      </c>
      <c r="K15" s="2">
        <f>AD15</f>
        <v>1</v>
      </c>
      <c r="L15" s="2">
        <f>AE15</f>
        <v>1</v>
      </c>
      <c r="M15" s="2">
        <f>AF15</f>
        <v>1</v>
      </c>
      <c r="N15" s="2">
        <f>AG15</f>
        <v>0</v>
      </c>
      <c r="O15" s="2">
        <f>AH15</f>
        <v>0</v>
      </c>
      <c r="P15" s="2">
        <f>AI15</f>
        <v>1</v>
      </c>
      <c r="Q15" s="2">
        <f>AJ15</f>
        <v>1</v>
      </c>
      <c r="R15" s="2">
        <f>AK15</f>
        <v>1</v>
      </c>
      <c r="U15" s="9">
        <v>10</v>
      </c>
      <c r="V15" s="2" t="str">
        <f>MID($H$3, ROW(A10),1)</f>
        <v>1</v>
      </c>
      <c r="W15" s="2">
        <f>MOD(B15 + MID('F(RxorK)'!$V$74, ROW(r0_l0!A10),1),2)</f>
        <v>0</v>
      </c>
      <c r="X15" s="2">
        <f>MOD(C15+MID('F(RxorK)'!$V$75,ROW(r0_l0!$A10),1),2)</f>
        <v>0</v>
      </c>
      <c r="Y15" s="2">
        <f>MOD(D15+MID('F(RxorK)'!$V$76,ROW(r0_l0!A10),1),2)</f>
        <v>0</v>
      </c>
      <c r="Z15" s="2">
        <f>MOD(E15+MID('F(RxorK)'!$V$77,ROW(r0_l0!A10),1),2)</f>
        <v>1</v>
      </c>
      <c r="AA15" s="2">
        <f>MOD(F15+MID('F(RxorK)'!$V$78,ROW(r0_l0!$A10),1),2)</f>
        <v>0</v>
      </c>
      <c r="AB15" s="2">
        <f>MOD(G15+MID('F(RxorK)'!$V$79,ROW(r0_l0!$A10),1),2)</f>
        <v>0</v>
      </c>
      <c r="AC15" s="2">
        <f>MOD(H15+MID('F(RxorK)'!$V$80,ROW(r0_l0!$A10),1),2)</f>
        <v>1</v>
      </c>
      <c r="AD15" s="2">
        <f>MOD(I15+MID('F(RxorK)'!$V$81,ROW(r0_l0!$A10),1),2)</f>
        <v>1</v>
      </c>
      <c r="AE15" s="2">
        <f>MOD(J15+MID('F(RxorK)'!$V$82,ROW(r0_l0!$A10),1),2)</f>
        <v>1</v>
      </c>
      <c r="AF15" s="2">
        <f>MOD(K15+MID('F(RxorK)'!$V$83,ROW(r0_l0!$A10),1),2)</f>
        <v>1</v>
      </c>
      <c r="AG15" s="2">
        <f>MOD(L15+MID('F(RxorK)'!$V$84,ROW(r0_l0!$A10),1),2)</f>
        <v>0</v>
      </c>
      <c r="AH15" s="2">
        <f>MOD(M15+MID('F(RxorK)'!$V$85,ROW(r0_l0!$A10),1),2)</f>
        <v>0</v>
      </c>
      <c r="AI15" s="2">
        <f>MOD(N15+MID('F(RxorK)'!$V$86,ROW(r0_l0!$A10),1),2)</f>
        <v>1</v>
      </c>
      <c r="AJ15" s="2">
        <f>MOD(O15+MID('F(RxorK)'!$V$87,ROW(r0_l0!$A10),1),2)</f>
        <v>1</v>
      </c>
      <c r="AK15" s="2">
        <f>MOD(P15+MID('F(RxorK)'!$V$88,ROW(r0_l0!$A10),1),2)</f>
        <v>1</v>
      </c>
      <c r="AL15" s="2">
        <f>MOD(Q15+MID('F(RxorK)'!$V$89,ROW(r0_l0!$A10),1),2)</f>
        <v>0</v>
      </c>
    </row>
    <row r="16" spans="1:38" x14ac:dyDescent="0.25">
      <c r="A16" s="9">
        <v>11</v>
      </c>
      <c r="B16" s="2" t="str">
        <f t="shared" si="0"/>
        <v>1</v>
      </c>
      <c r="C16" s="2" t="str">
        <f>V16</f>
        <v>0</v>
      </c>
      <c r="D16" s="2">
        <f>W16</f>
        <v>1</v>
      </c>
      <c r="E16" s="2">
        <f>X16</f>
        <v>0</v>
      </c>
      <c r="F16" s="2">
        <f>Y16</f>
        <v>0</v>
      </c>
      <c r="G16" s="2">
        <f>Z16</f>
        <v>0</v>
      </c>
      <c r="H16" s="2">
        <f>AA16</f>
        <v>1</v>
      </c>
      <c r="I16" s="2">
        <f>AB16</f>
        <v>0</v>
      </c>
      <c r="J16" s="2">
        <f>AC16</f>
        <v>1</v>
      </c>
      <c r="K16" s="2">
        <f>AD16</f>
        <v>1</v>
      </c>
      <c r="L16" s="2">
        <f>AE16</f>
        <v>1</v>
      </c>
      <c r="M16" s="2">
        <f>AF16</f>
        <v>1</v>
      </c>
      <c r="N16" s="2">
        <f>AG16</f>
        <v>0</v>
      </c>
      <c r="O16" s="2">
        <f>AH16</f>
        <v>1</v>
      </c>
      <c r="P16" s="2">
        <f>AI16</f>
        <v>1</v>
      </c>
      <c r="Q16" s="2">
        <f>AJ16</f>
        <v>0</v>
      </c>
      <c r="R16" s="2">
        <f>AK16</f>
        <v>0</v>
      </c>
      <c r="U16" s="9">
        <v>11</v>
      </c>
      <c r="V16" s="2" t="str">
        <f>MID($H$3, ROW(A11),1)</f>
        <v>0</v>
      </c>
      <c r="W16" s="2">
        <f>MOD(B16 + MID('F(RxorK)'!$V$74, ROW(r0_l0!A11),1),2)</f>
        <v>1</v>
      </c>
      <c r="X16" s="2">
        <f>MOD(C16+MID('F(RxorK)'!$V$75,ROW(r0_l0!$A11),1),2)</f>
        <v>0</v>
      </c>
      <c r="Y16" s="2">
        <f>MOD(D16+MID('F(RxorK)'!$V$76,ROW(r0_l0!A11),1),2)</f>
        <v>0</v>
      </c>
      <c r="Z16" s="2">
        <f>MOD(E16+MID('F(RxorK)'!$V$77,ROW(r0_l0!A11),1),2)</f>
        <v>0</v>
      </c>
      <c r="AA16" s="2">
        <f>MOD(F16+MID('F(RxorK)'!$V$78,ROW(r0_l0!$A11),1),2)</f>
        <v>1</v>
      </c>
      <c r="AB16" s="2">
        <f>MOD(G16+MID('F(RxorK)'!$V$79,ROW(r0_l0!$A11),1),2)</f>
        <v>0</v>
      </c>
      <c r="AC16" s="2">
        <f>MOD(H16+MID('F(RxorK)'!$V$80,ROW(r0_l0!$A11),1),2)</f>
        <v>1</v>
      </c>
      <c r="AD16" s="2">
        <f>MOD(I16+MID('F(RxorK)'!$V$81,ROW(r0_l0!$A11),1),2)</f>
        <v>1</v>
      </c>
      <c r="AE16" s="2">
        <f>MOD(J16+MID('F(RxorK)'!$V$82,ROW(r0_l0!$A11),1),2)</f>
        <v>1</v>
      </c>
      <c r="AF16" s="2">
        <f>MOD(K16+MID('F(RxorK)'!$V$83,ROW(r0_l0!$A11),1),2)</f>
        <v>1</v>
      </c>
      <c r="AG16" s="2">
        <f>MOD(L16+MID('F(RxorK)'!$V$84,ROW(r0_l0!$A11),1),2)</f>
        <v>0</v>
      </c>
      <c r="AH16" s="2">
        <f>MOD(M16+MID('F(RxorK)'!$V$85,ROW(r0_l0!$A11),1),2)</f>
        <v>1</v>
      </c>
      <c r="AI16" s="2">
        <f>MOD(N16+MID('F(RxorK)'!$V$86,ROW(r0_l0!$A11),1),2)</f>
        <v>1</v>
      </c>
      <c r="AJ16" s="2">
        <f>MOD(O16+MID('F(RxorK)'!$V$87,ROW(r0_l0!$A11),1),2)</f>
        <v>0</v>
      </c>
      <c r="AK16" s="2">
        <f>MOD(P16+MID('F(RxorK)'!$V$88,ROW(r0_l0!$A11),1),2)</f>
        <v>0</v>
      </c>
      <c r="AL16" s="2">
        <f>MOD(Q16+MID('F(RxorK)'!$V$89,ROW(r0_l0!$A11),1),2)</f>
        <v>1</v>
      </c>
    </row>
    <row r="17" spans="1:38" x14ac:dyDescent="0.25">
      <c r="A17" s="9">
        <v>12</v>
      </c>
      <c r="B17" s="2" t="str">
        <f t="shared" si="0"/>
        <v>1</v>
      </c>
      <c r="C17" s="2" t="str">
        <f>V17</f>
        <v>1</v>
      </c>
      <c r="D17" s="2">
        <f>W17</f>
        <v>0</v>
      </c>
      <c r="E17" s="2">
        <f>X17</f>
        <v>1</v>
      </c>
      <c r="F17" s="2">
        <f>Y17</f>
        <v>1</v>
      </c>
      <c r="G17" s="2">
        <f>Z17</f>
        <v>1</v>
      </c>
      <c r="H17" s="2">
        <f>AA17</f>
        <v>0</v>
      </c>
      <c r="I17" s="2">
        <f>AB17</f>
        <v>1</v>
      </c>
      <c r="J17" s="2">
        <f>AC17</f>
        <v>1</v>
      </c>
      <c r="K17" s="2">
        <f>AD17</f>
        <v>0</v>
      </c>
      <c r="L17" s="2">
        <f>AE17</f>
        <v>1</v>
      </c>
      <c r="M17" s="2">
        <f>AF17</f>
        <v>1</v>
      </c>
      <c r="N17" s="2">
        <f>AG17</f>
        <v>0</v>
      </c>
      <c r="O17" s="2">
        <f>AH17</f>
        <v>1</v>
      </c>
      <c r="P17" s="2">
        <f>AI17</f>
        <v>1</v>
      </c>
      <c r="Q17" s="2">
        <f>AJ17</f>
        <v>0</v>
      </c>
      <c r="R17" s="2">
        <f>AK17</f>
        <v>0</v>
      </c>
      <c r="U17" s="9">
        <v>12</v>
      </c>
      <c r="V17" s="2" t="str">
        <f>MID($H$3, ROW(A12),1)</f>
        <v>1</v>
      </c>
      <c r="W17" s="2">
        <f>MOD(B17 + MID('F(RxorK)'!$V$74, ROW(r0_l0!A12),1),2)</f>
        <v>0</v>
      </c>
      <c r="X17" s="2">
        <f>MOD(C17+MID('F(RxorK)'!$V$75,ROW(r0_l0!$A12),1),2)</f>
        <v>1</v>
      </c>
      <c r="Y17" s="2">
        <f>MOD(D17+MID('F(RxorK)'!$V$76,ROW(r0_l0!A12),1),2)</f>
        <v>1</v>
      </c>
      <c r="Z17" s="2">
        <f>MOD(E17+MID('F(RxorK)'!$V$77,ROW(r0_l0!A12),1),2)</f>
        <v>1</v>
      </c>
      <c r="AA17" s="2">
        <f>MOD(F17+MID('F(RxorK)'!$V$78,ROW(r0_l0!$A12),1),2)</f>
        <v>0</v>
      </c>
      <c r="AB17" s="2">
        <f>MOD(G17+MID('F(RxorK)'!$V$79,ROW(r0_l0!$A12),1),2)</f>
        <v>1</v>
      </c>
      <c r="AC17" s="2">
        <f>MOD(H17+MID('F(RxorK)'!$V$80,ROW(r0_l0!$A12),1),2)</f>
        <v>1</v>
      </c>
      <c r="AD17" s="2">
        <f>MOD(I17+MID('F(RxorK)'!$V$81,ROW(r0_l0!$A12),1),2)</f>
        <v>0</v>
      </c>
      <c r="AE17" s="2">
        <f>MOD(J17+MID('F(RxorK)'!$V$82,ROW(r0_l0!$A12),1),2)</f>
        <v>1</v>
      </c>
      <c r="AF17" s="2">
        <f>MOD(K17+MID('F(RxorK)'!$V$83,ROW(r0_l0!$A12),1),2)</f>
        <v>1</v>
      </c>
      <c r="AG17" s="2">
        <f>MOD(L17+MID('F(RxorK)'!$V$84,ROW(r0_l0!$A12),1),2)</f>
        <v>0</v>
      </c>
      <c r="AH17" s="2">
        <f>MOD(M17+MID('F(RxorK)'!$V$85,ROW(r0_l0!$A12),1),2)</f>
        <v>1</v>
      </c>
      <c r="AI17" s="2">
        <f>MOD(N17+MID('F(RxorK)'!$V$86,ROW(r0_l0!$A12),1),2)</f>
        <v>1</v>
      </c>
      <c r="AJ17" s="2">
        <f>MOD(O17+MID('F(RxorK)'!$V$87,ROW(r0_l0!$A12),1),2)</f>
        <v>0</v>
      </c>
      <c r="AK17" s="2">
        <f>MOD(P17+MID('F(RxorK)'!$V$88,ROW(r0_l0!$A12),1),2)</f>
        <v>0</v>
      </c>
      <c r="AL17" s="2">
        <f>MOD(Q17+MID('F(RxorK)'!$V$89,ROW(r0_l0!$A12),1),2)</f>
        <v>1</v>
      </c>
    </row>
    <row r="18" spans="1:38" x14ac:dyDescent="0.25">
      <c r="A18" s="9">
        <v>13</v>
      </c>
      <c r="B18" s="2" t="str">
        <f t="shared" si="0"/>
        <v>1</v>
      </c>
      <c r="C18" s="2" t="str">
        <f>V18</f>
        <v>0</v>
      </c>
      <c r="D18" s="2">
        <f>W18</f>
        <v>1</v>
      </c>
      <c r="E18" s="2">
        <f>X18</f>
        <v>1</v>
      </c>
      <c r="F18" s="2">
        <f>Y18</f>
        <v>0</v>
      </c>
      <c r="G18" s="2">
        <f>Z18</f>
        <v>0</v>
      </c>
      <c r="H18" s="2">
        <f>AA18</f>
        <v>0</v>
      </c>
      <c r="I18" s="2">
        <f>AB18</f>
        <v>0</v>
      </c>
      <c r="J18" s="2">
        <f>AC18</f>
        <v>0</v>
      </c>
      <c r="K18" s="2">
        <f>AD18</f>
        <v>1</v>
      </c>
      <c r="L18" s="2">
        <f>AE18</f>
        <v>0</v>
      </c>
      <c r="M18" s="2">
        <f>AF18</f>
        <v>1</v>
      </c>
      <c r="N18" s="2">
        <f>AG18</f>
        <v>0</v>
      </c>
      <c r="O18" s="2">
        <f>AH18</f>
        <v>0</v>
      </c>
      <c r="P18" s="2">
        <f>AI18</f>
        <v>1</v>
      </c>
      <c r="Q18" s="2">
        <f>AJ18</f>
        <v>1</v>
      </c>
      <c r="R18" s="2">
        <f>AK18</f>
        <v>0</v>
      </c>
      <c r="U18" s="9">
        <v>13</v>
      </c>
      <c r="V18" s="2" t="str">
        <f>MID($H$3, ROW(A13),1)</f>
        <v>0</v>
      </c>
      <c r="W18" s="2">
        <f>MOD(B18 + MID('F(RxorK)'!$V$74, ROW(r0_l0!A13),1),2)</f>
        <v>1</v>
      </c>
      <c r="X18" s="2">
        <f>MOD(C18+MID('F(RxorK)'!$V$75,ROW(r0_l0!$A13),1),2)</f>
        <v>1</v>
      </c>
      <c r="Y18" s="2">
        <f>MOD(D18+MID('F(RxorK)'!$V$76,ROW(r0_l0!A13),1),2)</f>
        <v>0</v>
      </c>
      <c r="Z18" s="2">
        <f>MOD(E18+MID('F(RxorK)'!$V$77,ROW(r0_l0!A13),1),2)</f>
        <v>0</v>
      </c>
      <c r="AA18" s="2">
        <f>MOD(F18+MID('F(RxorK)'!$V$78,ROW(r0_l0!$A13),1),2)</f>
        <v>0</v>
      </c>
      <c r="AB18" s="2">
        <f>MOD(G18+MID('F(RxorK)'!$V$79,ROW(r0_l0!$A13),1),2)</f>
        <v>0</v>
      </c>
      <c r="AC18" s="2">
        <f>MOD(H18+MID('F(RxorK)'!$V$80,ROW(r0_l0!$A13),1),2)</f>
        <v>0</v>
      </c>
      <c r="AD18" s="2">
        <f>MOD(I18+MID('F(RxorK)'!$V$81,ROW(r0_l0!$A13),1),2)</f>
        <v>1</v>
      </c>
      <c r="AE18" s="2">
        <f>MOD(J18+MID('F(RxorK)'!$V$82,ROW(r0_l0!$A13),1),2)</f>
        <v>0</v>
      </c>
      <c r="AF18" s="2">
        <f>MOD(K18+MID('F(RxorK)'!$V$83,ROW(r0_l0!$A13),1),2)</f>
        <v>1</v>
      </c>
      <c r="AG18" s="2">
        <f>MOD(L18+MID('F(RxorK)'!$V$84,ROW(r0_l0!$A13),1),2)</f>
        <v>0</v>
      </c>
      <c r="AH18" s="2">
        <f>MOD(M18+MID('F(RxorK)'!$V$85,ROW(r0_l0!$A13),1),2)</f>
        <v>0</v>
      </c>
      <c r="AI18" s="2">
        <f>MOD(N18+MID('F(RxorK)'!$V$86,ROW(r0_l0!$A13),1),2)</f>
        <v>1</v>
      </c>
      <c r="AJ18" s="2">
        <f>MOD(O18+MID('F(RxorK)'!$V$87,ROW(r0_l0!$A13),1),2)</f>
        <v>1</v>
      </c>
      <c r="AK18" s="2">
        <f>MOD(P18+MID('F(RxorK)'!$V$88,ROW(r0_l0!$A13),1),2)</f>
        <v>0</v>
      </c>
      <c r="AL18" s="2">
        <f>MOD(Q18+MID('F(RxorK)'!$V$89,ROW(r0_l0!$A13),1),2)</f>
        <v>1</v>
      </c>
    </row>
    <row r="19" spans="1:38" x14ac:dyDescent="0.25">
      <c r="A19" s="9">
        <v>14</v>
      </c>
      <c r="B19" s="2" t="str">
        <f t="shared" si="0"/>
        <v>1</v>
      </c>
      <c r="C19" s="2" t="str">
        <f>V19</f>
        <v>1</v>
      </c>
      <c r="D19" s="2">
        <f>W19</f>
        <v>1</v>
      </c>
      <c r="E19" s="2">
        <f>X19</f>
        <v>1</v>
      </c>
      <c r="F19" s="2">
        <f>Y19</f>
        <v>1</v>
      </c>
      <c r="G19" s="2">
        <f>Z19</f>
        <v>1</v>
      </c>
      <c r="H19" s="2">
        <f>AA19</f>
        <v>1</v>
      </c>
      <c r="I19" s="2">
        <f>AB19</f>
        <v>0</v>
      </c>
      <c r="J19" s="2">
        <f>AC19</f>
        <v>1</v>
      </c>
      <c r="K19" s="2">
        <f>AD19</f>
        <v>1</v>
      </c>
      <c r="L19" s="2">
        <f>AE19</f>
        <v>0</v>
      </c>
      <c r="M19" s="2">
        <f>AF19</f>
        <v>0</v>
      </c>
      <c r="N19" s="2">
        <f>AG19</f>
        <v>1</v>
      </c>
      <c r="O19" s="2">
        <f>AH19</f>
        <v>1</v>
      </c>
      <c r="P19" s="2">
        <f>AI19</f>
        <v>0</v>
      </c>
      <c r="Q19" s="2">
        <f>AJ19</f>
        <v>0</v>
      </c>
      <c r="R19" s="2">
        <f>AK19</f>
        <v>1</v>
      </c>
      <c r="U19" s="9">
        <v>14</v>
      </c>
      <c r="V19" s="2" t="str">
        <f>MID($H$3, ROW(A14),1)</f>
        <v>1</v>
      </c>
      <c r="W19" s="2">
        <f>MOD(B19 + MID('F(RxorK)'!$V$74, ROW(r0_l0!A14),1),2)</f>
        <v>1</v>
      </c>
      <c r="X19" s="2">
        <f>MOD(C19+MID('F(RxorK)'!$V$75,ROW(r0_l0!$A14),1),2)</f>
        <v>1</v>
      </c>
      <c r="Y19" s="2">
        <f>MOD(D19+MID('F(RxorK)'!$V$76,ROW(r0_l0!A14),1),2)</f>
        <v>1</v>
      </c>
      <c r="Z19" s="2">
        <f>MOD(E19+MID('F(RxorK)'!$V$77,ROW(r0_l0!A14),1),2)</f>
        <v>1</v>
      </c>
      <c r="AA19" s="2">
        <f>MOD(F19+MID('F(RxorK)'!$V$78,ROW(r0_l0!$A14),1),2)</f>
        <v>1</v>
      </c>
      <c r="AB19" s="2">
        <f>MOD(G19+MID('F(RxorK)'!$V$79,ROW(r0_l0!$A14),1),2)</f>
        <v>0</v>
      </c>
      <c r="AC19" s="2">
        <f>MOD(H19+MID('F(RxorK)'!$V$80,ROW(r0_l0!$A14),1),2)</f>
        <v>1</v>
      </c>
      <c r="AD19" s="2">
        <f>MOD(I19+MID('F(RxorK)'!$V$81,ROW(r0_l0!$A14),1),2)</f>
        <v>1</v>
      </c>
      <c r="AE19" s="2">
        <f>MOD(J19+MID('F(RxorK)'!$V$82,ROW(r0_l0!$A14),1),2)</f>
        <v>0</v>
      </c>
      <c r="AF19" s="2">
        <f>MOD(K19+MID('F(RxorK)'!$V$83,ROW(r0_l0!$A14),1),2)</f>
        <v>0</v>
      </c>
      <c r="AG19" s="2">
        <f>MOD(L19+MID('F(RxorK)'!$V$84,ROW(r0_l0!$A14),1),2)</f>
        <v>1</v>
      </c>
      <c r="AH19" s="2">
        <f>MOD(M19+MID('F(RxorK)'!$V$85,ROW(r0_l0!$A14),1),2)</f>
        <v>1</v>
      </c>
      <c r="AI19" s="2">
        <f>MOD(N19+MID('F(RxorK)'!$V$86,ROW(r0_l0!$A14),1),2)</f>
        <v>0</v>
      </c>
      <c r="AJ19" s="2">
        <f>MOD(O19+MID('F(RxorK)'!$V$87,ROW(r0_l0!$A14),1),2)</f>
        <v>0</v>
      </c>
      <c r="AK19" s="2">
        <f>MOD(P19+MID('F(RxorK)'!$V$88,ROW(r0_l0!$A14),1),2)</f>
        <v>1</v>
      </c>
      <c r="AL19" s="2">
        <f>MOD(Q19+MID('F(RxorK)'!$V$89,ROW(r0_l0!$A14),1),2)</f>
        <v>1</v>
      </c>
    </row>
    <row r="20" spans="1:38" x14ac:dyDescent="0.25">
      <c r="A20" s="9">
        <v>15</v>
      </c>
      <c r="B20" s="2" t="str">
        <f t="shared" si="0"/>
        <v>1</v>
      </c>
      <c r="C20" s="2" t="str">
        <f>V20</f>
        <v>0</v>
      </c>
      <c r="D20" s="2">
        <f>W20</f>
        <v>1</v>
      </c>
      <c r="E20" s="2">
        <f>X20</f>
        <v>0</v>
      </c>
      <c r="F20" s="2">
        <f>Y20</f>
        <v>0</v>
      </c>
      <c r="G20" s="2">
        <f>Z20</f>
        <v>0</v>
      </c>
      <c r="H20" s="2">
        <f>AA20</f>
        <v>1</v>
      </c>
      <c r="I20" s="2">
        <f>AB20</f>
        <v>0</v>
      </c>
      <c r="J20" s="2">
        <f>AC20</f>
        <v>1</v>
      </c>
      <c r="K20" s="2">
        <f>AD20</f>
        <v>0</v>
      </c>
      <c r="L20" s="2">
        <f>AE20</f>
        <v>0</v>
      </c>
      <c r="M20" s="2">
        <f>AF20</f>
        <v>0</v>
      </c>
      <c r="N20" s="2">
        <f>AG20</f>
        <v>1</v>
      </c>
      <c r="O20" s="2">
        <f>AH20</f>
        <v>1</v>
      </c>
      <c r="P20" s="2">
        <f>AI20</f>
        <v>0</v>
      </c>
      <c r="Q20" s="2">
        <f>AJ20</f>
        <v>1</v>
      </c>
      <c r="R20" s="2">
        <f>AK20</f>
        <v>1</v>
      </c>
      <c r="U20" s="9">
        <v>15</v>
      </c>
      <c r="V20" s="2" t="str">
        <f>MID($H$3, ROW(A15),1)</f>
        <v>0</v>
      </c>
      <c r="W20" s="2">
        <f>MOD(B20 + MID('F(RxorK)'!$V$74, ROW(r0_l0!A15),1),2)</f>
        <v>1</v>
      </c>
      <c r="X20" s="2">
        <f>MOD(C20+MID('F(RxorK)'!$V$75,ROW(r0_l0!$A15),1),2)</f>
        <v>0</v>
      </c>
      <c r="Y20" s="2">
        <f>MOD(D20+MID('F(RxorK)'!$V$76,ROW(r0_l0!A15),1),2)</f>
        <v>0</v>
      </c>
      <c r="Z20" s="2">
        <f>MOD(E20+MID('F(RxorK)'!$V$77,ROW(r0_l0!A15),1),2)</f>
        <v>0</v>
      </c>
      <c r="AA20" s="2">
        <f>MOD(F20+MID('F(RxorK)'!$V$78,ROW(r0_l0!$A15),1),2)</f>
        <v>1</v>
      </c>
      <c r="AB20" s="2">
        <f>MOD(G20+MID('F(RxorK)'!$V$79,ROW(r0_l0!$A15),1),2)</f>
        <v>0</v>
      </c>
      <c r="AC20" s="2">
        <f>MOD(H20+MID('F(RxorK)'!$V$80,ROW(r0_l0!$A15),1),2)</f>
        <v>1</v>
      </c>
      <c r="AD20" s="2">
        <f>MOD(I20+MID('F(RxorK)'!$V$81,ROW(r0_l0!$A15),1),2)</f>
        <v>0</v>
      </c>
      <c r="AE20" s="2">
        <f>MOD(J20+MID('F(RxorK)'!$V$82,ROW(r0_l0!$A15),1),2)</f>
        <v>0</v>
      </c>
      <c r="AF20" s="2">
        <f>MOD(K20+MID('F(RxorK)'!$V$83,ROW(r0_l0!$A15),1),2)</f>
        <v>0</v>
      </c>
      <c r="AG20" s="2">
        <f>MOD(L20+MID('F(RxorK)'!$V$84,ROW(r0_l0!$A15),1),2)</f>
        <v>1</v>
      </c>
      <c r="AH20" s="2">
        <f>MOD(M20+MID('F(RxorK)'!$V$85,ROW(r0_l0!$A15),1),2)</f>
        <v>1</v>
      </c>
      <c r="AI20" s="2">
        <f>MOD(N20+MID('F(RxorK)'!$V$86,ROW(r0_l0!$A15),1),2)</f>
        <v>0</v>
      </c>
      <c r="AJ20" s="2">
        <f>MOD(O20+MID('F(RxorK)'!$V$87,ROW(r0_l0!$A15),1),2)</f>
        <v>1</v>
      </c>
      <c r="AK20" s="2">
        <f>MOD(P20+MID('F(RxorK)'!$V$88,ROW(r0_l0!$A15),1),2)</f>
        <v>1</v>
      </c>
      <c r="AL20" s="2">
        <f>MOD(Q20+MID('F(RxorK)'!$V$89,ROW(r0_l0!$A15),1),2)</f>
        <v>1</v>
      </c>
    </row>
    <row r="21" spans="1:38" x14ac:dyDescent="0.25">
      <c r="A21" s="9">
        <v>16</v>
      </c>
      <c r="B21" s="2" t="str">
        <f t="shared" si="0"/>
        <v>0</v>
      </c>
      <c r="C21" s="2" t="str">
        <f>V21</f>
        <v>0</v>
      </c>
      <c r="D21" s="2">
        <f>W21</f>
        <v>1</v>
      </c>
      <c r="E21" s="2">
        <f>X21</f>
        <v>0</v>
      </c>
      <c r="F21" s="2">
        <f>Y21</f>
        <v>0</v>
      </c>
      <c r="G21" s="2">
        <f>Z21</f>
        <v>1</v>
      </c>
      <c r="H21" s="2">
        <f>AA21</f>
        <v>0</v>
      </c>
      <c r="I21" s="2">
        <f>AB21</f>
        <v>1</v>
      </c>
      <c r="J21" s="2">
        <f>AC21</f>
        <v>1</v>
      </c>
      <c r="K21" s="2">
        <f>AD21</f>
        <v>0</v>
      </c>
      <c r="L21" s="2">
        <f>AE21</f>
        <v>1</v>
      </c>
      <c r="M21" s="2">
        <f>AF21</f>
        <v>1</v>
      </c>
      <c r="N21" s="2">
        <f>AG21</f>
        <v>1</v>
      </c>
      <c r="O21" s="2">
        <f>AH21</f>
        <v>0</v>
      </c>
      <c r="P21" s="2">
        <f>AI21</f>
        <v>1</v>
      </c>
      <c r="Q21" s="2">
        <f>AJ21</f>
        <v>0</v>
      </c>
      <c r="R21" s="2">
        <f>AK21</f>
        <v>0</v>
      </c>
      <c r="U21" s="9">
        <v>16</v>
      </c>
      <c r="V21" s="2" t="str">
        <f>MID($H$3, ROW(A16),1)</f>
        <v>0</v>
      </c>
      <c r="W21" s="2">
        <f>MOD(B21 + MID('F(RxorK)'!$V$74, ROW(r0_l0!A16),1),2)</f>
        <v>1</v>
      </c>
      <c r="X21" s="2">
        <f>MOD(C21+MID('F(RxorK)'!$V$75,ROW(r0_l0!$A16),1),2)</f>
        <v>0</v>
      </c>
      <c r="Y21" s="2">
        <f>MOD(D21+MID('F(RxorK)'!$V$76,ROW(r0_l0!A16),1),2)</f>
        <v>0</v>
      </c>
      <c r="Z21" s="2">
        <f>MOD(E21+MID('F(RxorK)'!$V$77,ROW(r0_l0!A16),1),2)</f>
        <v>1</v>
      </c>
      <c r="AA21" s="2">
        <f>MOD(F21+MID('F(RxorK)'!$V$78,ROW(r0_l0!$A16),1),2)</f>
        <v>0</v>
      </c>
      <c r="AB21" s="2">
        <f>MOD(G21+MID('F(RxorK)'!$V$79,ROW(r0_l0!$A16),1),2)</f>
        <v>1</v>
      </c>
      <c r="AC21" s="2">
        <f>MOD(H21+MID('F(RxorK)'!$V$80,ROW(r0_l0!$A16),1),2)</f>
        <v>1</v>
      </c>
      <c r="AD21" s="2">
        <f>MOD(I21+MID('F(RxorK)'!$V$81,ROW(r0_l0!$A16),1),2)</f>
        <v>0</v>
      </c>
      <c r="AE21" s="2">
        <f>MOD(J21+MID('F(RxorK)'!$V$82,ROW(r0_l0!$A16),1),2)</f>
        <v>1</v>
      </c>
      <c r="AF21" s="2">
        <f>MOD(K21+MID('F(RxorK)'!$V$83,ROW(r0_l0!$A16),1),2)</f>
        <v>1</v>
      </c>
      <c r="AG21" s="2">
        <f>MOD(L21+MID('F(RxorK)'!$V$84,ROW(r0_l0!$A16),1),2)</f>
        <v>1</v>
      </c>
      <c r="AH21" s="2">
        <f>MOD(M21+MID('F(RxorK)'!$V$85,ROW(r0_l0!$A16),1),2)</f>
        <v>0</v>
      </c>
      <c r="AI21" s="2">
        <f>MOD(N21+MID('F(RxorK)'!$V$86,ROW(r0_l0!$A16),1),2)</f>
        <v>1</v>
      </c>
      <c r="AJ21" s="2">
        <f>MOD(O21+MID('F(RxorK)'!$V$87,ROW(r0_l0!$A16),1),2)</f>
        <v>0</v>
      </c>
      <c r="AK21" s="2">
        <f>MOD(P21+MID('F(RxorK)'!$V$88,ROW(r0_l0!$A16),1),2)</f>
        <v>0</v>
      </c>
      <c r="AL21" s="2">
        <f>MOD(Q21+MID('F(RxorK)'!$V$89,ROW(r0_l0!$A16),1),2)</f>
        <v>1</v>
      </c>
    </row>
    <row r="22" spans="1:38" x14ac:dyDescent="0.25">
      <c r="A22" s="9">
        <v>17</v>
      </c>
      <c r="B22" s="2" t="str">
        <f t="shared" si="0"/>
        <v>1</v>
      </c>
      <c r="C22" s="2" t="str">
        <f>V22</f>
        <v>1</v>
      </c>
      <c r="D22" s="2">
        <f>W22</f>
        <v>1</v>
      </c>
      <c r="E22" s="2">
        <f>X22</f>
        <v>0</v>
      </c>
      <c r="F22" s="2">
        <f>Y22</f>
        <v>1</v>
      </c>
      <c r="G22" s="2">
        <f>Z22</f>
        <v>0</v>
      </c>
      <c r="H22" s="2">
        <f>AA22</f>
        <v>1</v>
      </c>
      <c r="I22" s="2">
        <f>AB22</f>
        <v>0</v>
      </c>
      <c r="J22" s="2">
        <f>AC22</f>
        <v>1</v>
      </c>
      <c r="K22" s="2">
        <f>AD22</f>
        <v>1</v>
      </c>
      <c r="L22" s="2">
        <f>AE22</f>
        <v>1</v>
      </c>
      <c r="M22" s="2">
        <f>AF22</f>
        <v>1</v>
      </c>
      <c r="N22" s="2">
        <f>AG22</f>
        <v>1</v>
      </c>
      <c r="O22" s="2">
        <f>AH22</f>
        <v>0</v>
      </c>
      <c r="P22" s="2">
        <f>AI22</f>
        <v>1</v>
      </c>
      <c r="Q22" s="2">
        <f>AJ22</f>
        <v>0</v>
      </c>
      <c r="R22" s="2">
        <f>AK22</f>
        <v>1</v>
      </c>
      <c r="U22" s="9">
        <v>17</v>
      </c>
      <c r="V22" s="2" t="str">
        <f>MID($H$3, ROW(A17),1)</f>
        <v>1</v>
      </c>
      <c r="W22" s="2">
        <f>MOD(B22 + MID('F(RxorK)'!$V$74, ROW(r0_l0!A17),1),2)</f>
        <v>1</v>
      </c>
      <c r="X22" s="2">
        <f>MOD(C22+MID('F(RxorK)'!$V$75,ROW(r0_l0!$A17),1),2)</f>
        <v>0</v>
      </c>
      <c r="Y22" s="2">
        <f>MOD(D22+MID('F(RxorK)'!$V$76,ROW(r0_l0!A17),1),2)</f>
        <v>1</v>
      </c>
      <c r="Z22" s="2">
        <f>MOD(E22+MID('F(RxorK)'!$V$77,ROW(r0_l0!A17),1),2)</f>
        <v>0</v>
      </c>
      <c r="AA22" s="2">
        <f>MOD(F22+MID('F(RxorK)'!$V$78,ROW(r0_l0!$A17),1),2)</f>
        <v>1</v>
      </c>
      <c r="AB22" s="2">
        <f>MOD(G22+MID('F(RxorK)'!$V$79,ROW(r0_l0!$A17),1),2)</f>
        <v>0</v>
      </c>
      <c r="AC22" s="2">
        <f>MOD(H22+MID('F(RxorK)'!$V$80,ROW(r0_l0!$A17),1),2)</f>
        <v>1</v>
      </c>
      <c r="AD22" s="2">
        <f>MOD(I22+MID('F(RxorK)'!$V$81,ROW(r0_l0!$A17),1),2)</f>
        <v>1</v>
      </c>
      <c r="AE22" s="2">
        <f>MOD(J22+MID('F(RxorK)'!$V$82,ROW(r0_l0!$A17),1),2)</f>
        <v>1</v>
      </c>
      <c r="AF22" s="2">
        <f>MOD(K22+MID('F(RxorK)'!$V$83,ROW(r0_l0!$A17),1),2)</f>
        <v>1</v>
      </c>
      <c r="AG22" s="2">
        <f>MOD(L22+MID('F(RxorK)'!$V$84,ROW(r0_l0!$A17),1),2)</f>
        <v>1</v>
      </c>
      <c r="AH22" s="2">
        <f>MOD(M22+MID('F(RxorK)'!$V$85,ROW(r0_l0!$A17),1),2)</f>
        <v>0</v>
      </c>
      <c r="AI22" s="2">
        <f>MOD(N22+MID('F(RxorK)'!$V$86,ROW(r0_l0!$A17),1),2)</f>
        <v>1</v>
      </c>
      <c r="AJ22" s="2">
        <f>MOD(O22+MID('F(RxorK)'!$V$87,ROW(r0_l0!$A17),1),2)</f>
        <v>0</v>
      </c>
      <c r="AK22" s="2">
        <f>MOD(P22+MID('F(RxorK)'!$V$88,ROW(r0_l0!$A17),1),2)</f>
        <v>1</v>
      </c>
      <c r="AL22" s="2">
        <f>MOD(Q22+MID('F(RxorK)'!$V$89,ROW(r0_l0!$A17),1),2)</f>
        <v>0</v>
      </c>
    </row>
    <row r="23" spans="1:38" x14ac:dyDescent="0.25">
      <c r="A23" s="9">
        <v>18</v>
      </c>
      <c r="B23" s="2" t="str">
        <f t="shared" si="0"/>
        <v>1</v>
      </c>
      <c r="C23" s="2" t="str">
        <f>V23</f>
        <v>1</v>
      </c>
      <c r="D23" s="2">
        <f>W23</f>
        <v>0</v>
      </c>
      <c r="E23" s="2">
        <f>X23</f>
        <v>1</v>
      </c>
      <c r="F23" s="2">
        <f>Y23</f>
        <v>0</v>
      </c>
      <c r="G23" s="2">
        <f>Z23</f>
        <v>0</v>
      </c>
      <c r="H23" s="2">
        <f>AA23</f>
        <v>0</v>
      </c>
      <c r="I23" s="2">
        <f>AB23</f>
        <v>0</v>
      </c>
      <c r="J23" s="2">
        <f>AC23</f>
        <v>0</v>
      </c>
      <c r="K23" s="2">
        <f>AD23</f>
        <v>1</v>
      </c>
      <c r="L23" s="2">
        <f>AE23</f>
        <v>0</v>
      </c>
      <c r="M23" s="2">
        <f>AF23</f>
        <v>1</v>
      </c>
      <c r="N23" s="2">
        <f>AG23</f>
        <v>1</v>
      </c>
      <c r="O23" s="2">
        <f>AH23</f>
        <v>1</v>
      </c>
      <c r="P23" s="2">
        <f>AI23</f>
        <v>1</v>
      </c>
      <c r="Q23" s="2">
        <f>AJ23</f>
        <v>0</v>
      </c>
      <c r="R23" s="2">
        <f>AK23</f>
        <v>1</v>
      </c>
      <c r="U23" s="9">
        <v>18</v>
      </c>
      <c r="V23" s="2" t="str">
        <f>MID($H$3, ROW(A18),1)</f>
        <v>1</v>
      </c>
      <c r="W23" s="2">
        <f>MOD(B23 + MID('F(RxorK)'!$V$74, ROW(r0_l0!A18),1),2)</f>
        <v>0</v>
      </c>
      <c r="X23" s="2">
        <f>MOD(C23+MID('F(RxorK)'!$V$75,ROW(r0_l0!$A18),1),2)</f>
        <v>1</v>
      </c>
      <c r="Y23" s="2">
        <f>MOD(D23+MID('F(RxorK)'!$V$76,ROW(r0_l0!A18),1),2)</f>
        <v>0</v>
      </c>
      <c r="Z23" s="2">
        <f>MOD(E23+MID('F(RxorK)'!$V$77,ROW(r0_l0!A18),1),2)</f>
        <v>0</v>
      </c>
      <c r="AA23" s="2">
        <f>MOD(F23+MID('F(RxorK)'!$V$78,ROW(r0_l0!$A18),1),2)</f>
        <v>0</v>
      </c>
      <c r="AB23" s="2">
        <f>MOD(G23+MID('F(RxorK)'!$V$79,ROW(r0_l0!$A18),1),2)</f>
        <v>0</v>
      </c>
      <c r="AC23" s="2">
        <f>MOD(H23+MID('F(RxorK)'!$V$80,ROW(r0_l0!$A18),1),2)</f>
        <v>0</v>
      </c>
      <c r="AD23" s="2">
        <f>MOD(I23+MID('F(RxorK)'!$V$81,ROW(r0_l0!$A18),1),2)</f>
        <v>1</v>
      </c>
      <c r="AE23" s="2">
        <f>MOD(J23+MID('F(RxorK)'!$V$82,ROW(r0_l0!$A18),1),2)</f>
        <v>0</v>
      </c>
      <c r="AF23" s="2">
        <f>MOD(K23+MID('F(RxorK)'!$V$83,ROW(r0_l0!$A18),1),2)</f>
        <v>1</v>
      </c>
      <c r="AG23" s="2">
        <f>MOD(L23+MID('F(RxorK)'!$V$84,ROW(r0_l0!$A18),1),2)</f>
        <v>1</v>
      </c>
      <c r="AH23" s="2">
        <f>MOD(M23+MID('F(RxorK)'!$V$85,ROW(r0_l0!$A18),1),2)</f>
        <v>1</v>
      </c>
      <c r="AI23" s="2">
        <f>MOD(N23+MID('F(RxorK)'!$V$86,ROW(r0_l0!$A18),1),2)</f>
        <v>1</v>
      </c>
      <c r="AJ23" s="2">
        <f>MOD(O23+MID('F(RxorK)'!$V$87,ROW(r0_l0!$A18),1),2)</f>
        <v>0</v>
      </c>
      <c r="AK23" s="2">
        <f>MOD(P23+MID('F(RxorK)'!$V$88,ROW(r0_l0!$A18),1),2)</f>
        <v>1</v>
      </c>
      <c r="AL23" s="2">
        <f>MOD(Q23+MID('F(RxorK)'!$V$89,ROW(r0_l0!$A18),1),2)</f>
        <v>0</v>
      </c>
    </row>
    <row r="24" spans="1:38" x14ac:dyDescent="0.25">
      <c r="A24" s="9">
        <v>19</v>
      </c>
      <c r="B24" s="2" t="str">
        <f t="shared" si="0"/>
        <v>0</v>
      </c>
      <c r="C24" s="2" t="str">
        <f>V24</f>
        <v>1</v>
      </c>
      <c r="D24" s="2">
        <f>W24</f>
        <v>1</v>
      </c>
      <c r="E24" s="2">
        <f>X24</f>
        <v>1</v>
      </c>
      <c r="F24" s="2">
        <f>Y24</f>
        <v>0</v>
      </c>
      <c r="G24" s="2">
        <f>Z24</f>
        <v>1</v>
      </c>
      <c r="H24" s="2">
        <f>AA24</f>
        <v>1</v>
      </c>
      <c r="I24" s="2">
        <f>AB24</f>
        <v>0</v>
      </c>
      <c r="J24" s="2">
        <f>AC24</f>
        <v>0</v>
      </c>
      <c r="K24" s="2">
        <f>AD24</f>
        <v>1</v>
      </c>
      <c r="L24" s="2">
        <f>AE24</f>
        <v>0</v>
      </c>
      <c r="M24" s="2">
        <f>AF24</f>
        <v>1</v>
      </c>
      <c r="N24" s="2">
        <f>AG24</f>
        <v>1</v>
      </c>
      <c r="O24" s="2">
        <f>AH24</f>
        <v>0</v>
      </c>
      <c r="P24" s="2">
        <f>AI24</f>
        <v>0</v>
      </c>
      <c r="Q24" s="2">
        <f>AJ24</f>
        <v>1</v>
      </c>
      <c r="R24" s="2">
        <f>AK24</f>
        <v>0</v>
      </c>
      <c r="U24" s="9">
        <v>19</v>
      </c>
      <c r="V24" s="2" t="str">
        <f>MID($H$3, ROW(A19),1)</f>
        <v>1</v>
      </c>
      <c r="W24" s="2">
        <f>MOD(B24 + MID('F(RxorK)'!$V$74, ROW(r0_l0!A19),1),2)</f>
        <v>1</v>
      </c>
      <c r="X24" s="2">
        <f>MOD(C24+MID('F(RxorK)'!$V$75,ROW(r0_l0!$A19),1),2)</f>
        <v>1</v>
      </c>
      <c r="Y24" s="2">
        <f>MOD(D24+MID('F(RxorK)'!$V$76,ROW(r0_l0!A19),1),2)</f>
        <v>0</v>
      </c>
      <c r="Z24" s="2">
        <f>MOD(E24+MID('F(RxorK)'!$V$77,ROW(r0_l0!A19),1),2)</f>
        <v>1</v>
      </c>
      <c r="AA24" s="2">
        <f>MOD(F24+MID('F(RxorK)'!$V$78,ROW(r0_l0!$A19),1),2)</f>
        <v>1</v>
      </c>
      <c r="AB24" s="2">
        <f>MOD(G24+MID('F(RxorK)'!$V$79,ROW(r0_l0!$A19),1),2)</f>
        <v>0</v>
      </c>
      <c r="AC24" s="2">
        <f>MOD(H24+MID('F(RxorK)'!$V$80,ROW(r0_l0!$A19),1),2)</f>
        <v>0</v>
      </c>
      <c r="AD24" s="2">
        <f>MOD(I24+MID('F(RxorK)'!$V$81,ROW(r0_l0!$A19),1),2)</f>
        <v>1</v>
      </c>
      <c r="AE24" s="2">
        <f>MOD(J24+MID('F(RxorK)'!$V$82,ROW(r0_l0!$A19),1),2)</f>
        <v>0</v>
      </c>
      <c r="AF24" s="2">
        <f>MOD(K24+MID('F(RxorK)'!$V$83,ROW(r0_l0!$A19),1),2)</f>
        <v>1</v>
      </c>
      <c r="AG24" s="2">
        <f>MOD(L24+MID('F(RxorK)'!$V$84,ROW(r0_l0!$A19),1),2)</f>
        <v>1</v>
      </c>
      <c r="AH24" s="2">
        <f>MOD(M24+MID('F(RxorK)'!$V$85,ROW(r0_l0!$A19),1),2)</f>
        <v>0</v>
      </c>
      <c r="AI24" s="2">
        <f>MOD(N24+MID('F(RxorK)'!$V$86,ROW(r0_l0!$A19),1),2)</f>
        <v>0</v>
      </c>
      <c r="AJ24" s="2">
        <f>MOD(O24+MID('F(RxorK)'!$V$87,ROW(r0_l0!$A19),1),2)</f>
        <v>1</v>
      </c>
      <c r="AK24" s="2">
        <f>MOD(P24+MID('F(RxorK)'!$V$88,ROW(r0_l0!$A19),1),2)</f>
        <v>0</v>
      </c>
      <c r="AL24" s="2">
        <f>MOD(Q24+MID('F(RxorK)'!$V$89,ROW(r0_l0!$A19),1),2)</f>
        <v>0</v>
      </c>
    </row>
    <row r="25" spans="1:38" x14ac:dyDescent="0.25">
      <c r="A25" s="9">
        <v>20</v>
      </c>
      <c r="B25" s="2" t="str">
        <f t="shared" si="0"/>
        <v>0</v>
      </c>
      <c r="C25" s="2" t="str">
        <f>V25</f>
        <v>1</v>
      </c>
      <c r="D25" s="2">
        <f>W25</f>
        <v>0</v>
      </c>
      <c r="E25" s="2">
        <f>X25</f>
        <v>1</v>
      </c>
      <c r="F25" s="2">
        <f>Y25</f>
        <v>0</v>
      </c>
      <c r="G25" s="2">
        <f>Z25</f>
        <v>0</v>
      </c>
      <c r="H25" s="2">
        <f>AA25</f>
        <v>1</v>
      </c>
      <c r="I25" s="2">
        <f>AB25</f>
        <v>1</v>
      </c>
      <c r="J25" s="2">
        <f>AC25</f>
        <v>1</v>
      </c>
      <c r="K25" s="2">
        <f>AD25</f>
        <v>1</v>
      </c>
      <c r="L25" s="2">
        <f>AE25</f>
        <v>1</v>
      </c>
      <c r="M25" s="2">
        <f>AF25</f>
        <v>1</v>
      </c>
      <c r="N25" s="2">
        <f>AG25</f>
        <v>0</v>
      </c>
      <c r="O25" s="2">
        <f>AH25</f>
        <v>1</v>
      </c>
      <c r="P25" s="2">
        <f>AI25</f>
        <v>0</v>
      </c>
      <c r="Q25" s="2">
        <f>AJ25</f>
        <v>0</v>
      </c>
      <c r="R25" s="2">
        <f>AK25</f>
        <v>1</v>
      </c>
      <c r="U25" s="9">
        <v>20</v>
      </c>
      <c r="V25" s="2" t="str">
        <f>MID($H$3, ROW(A20),1)</f>
        <v>1</v>
      </c>
      <c r="W25" s="2">
        <f>MOD(B25 + MID('F(RxorK)'!$V$74, ROW(r0_l0!A20),1),2)</f>
        <v>0</v>
      </c>
      <c r="X25" s="2">
        <f>MOD(C25+MID('F(RxorK)'!$V$75,ROW(r0_l0!$A20),1),2)</f>
        <v>1</v>
      </c>
      <c r="Y25" s="2">
        <f>MOD(D25+MID('F(RxorK)'!$V$76,ROW(r0_l0!A20),1),2)</f>
        <v>0</v>
      </c>
      <c r="Z25" s="2">
        <f>MOD(E25+MID('F(RxorK)'!$V$77,ROW(r0_l0!A20),1),2)</f>
        <v>0</v>
      </c>
      <c r="AA25" s="2">
        <f>MOD(F25+MID('F(RxorK)'!$V$78,ROW(r0_l0!$A20),1),2)</f>
        <v>1</v>
      </c>
      <c r="AB25" s="2">
        <f>MOD(G25+MID('F(RxorK)'!$V$79,ROW(r0_l0!$A20),1),2)</f>
        <v>1</v>
      </c>
      <c r="AC25" s="2">
        <f>MOD(H25+MID('F(RxorK)'!$V$80,ROW(r0_l0!$A20),1),2)</f>
        <v>1</v>
      </c>
      <c r="AD25" s="2">
        <f>MOD(I25+MID('F(RxorK)'!$V$81,ROW(r0_l0!$A20),1),2)</f>
        <v>1</v>
      </c>
      <c r="AE25" s="2">
        <f>MOD(J25+MID('F(RxorK)'!$V$82,ROW(r0_l0!$A20),1),2)</f>
        <v>1</v>
      </c>
      <c r="AF25" s="2">
        <f>MOD(K25+MID('F(RxorK)'!$V$83,ROW(r0_l0!$A20),1),2)</f>
        <v>1</v>
      </c>
      <c r="AG25" s="2">
        <f>MOD(L25+MID('F(RxorK)'!$V$84,ROW(r0_l0!$A20),1),2)</f>
        <v>0</v>
      </c>
      <c r="AH25" s="2">
        <f>MOD(M25+MID('F(RxorK)'!$V$85,ROW(r0_l0!$A20),1),2)</f>
        <v>1</v>
      </c>
      <c r="AI25" s="2">
        <f>MOD(N25+MID('F(RxorK)'!$V$86,ROW(r0_l0!$A20),1),2)</f>
        <v>0</v>
      </c>
      <c r="AJ25" s="2">
        <f>MOD(O25+MID('F(RxorK)'!$V$87,ROW(r0_l0!$A20),1),2)</f>
        <v>0</v>
      </c>
      <c r="AK25" s="2">
        <f>MOD(P25+MID('F(RxorK)'!$V$88,ROW(r0_l0!$A20),1),2)</f>
        <v>1</v>
      </c>
      <c r="AL25" s="2">
        <f>MOD(Q25+MID('F(RxorK)'!$V$89,ROW(r0_l0!$A20),1),2)</f>
        <v>0</v>
      </c>
    </row>
    <row r="26" spans="1:38" x14ac:dyDescent="0.25">
      <c r="A26" s="9">
        <v>21</v>
      </c>
      <c r="B26" s="2" t="str">
        <f t="shared" si="0"/>
        <v>1</v>
      </c>
      <c r="C26" s="2" t="str">
        <f>V26</f>
        <v>0</v>
      </c>
      <c r="D26" s="2">
        <f>W26</f>
        <v>1</v>
      </c>
      <c r="E26" s="2">
        <f>X26</f>
        <v>1</v>
      </c>
      <c r="F26" s="2">
        <f>Y26</f>
        <v>1</v>
      </c>
      <c r="G26" s="2">
        <f>Z26</f>
        <v>1</v>
      </c>
      <c r="H26" s="2">
        <f>AA26</f>
        <v>1</v>
      </c>
      <c r="I26" s="2">
        <f>AB26</f>
        <v>0</v>
      </c>
      <c r="J26" s="2">
        <f>AC26</f>
        <v>1</v>
      </c>
      <c r="K26" s="2">
        <f>AD26</f>
        <v>1</v>
      </c>
      <c r="L26" s="2">
        <f>AE26</f>
        <v>1</v>
      </c>
      <c r="M26" s="2">
        <f>AF26</f>
        <v>0</v>
      </c>
      <c r="N26" s="2">
        <f>AG26</f>
        <v>1</v>
      </c>
      <c r="O26" s="2">
        <f>AH26</f>
        <v>0</v>
      </c>
      <c r="P26" s="2">
        <f>AI26</f>
        <v>0</v>
      </c>
      <c r="Q26" s="2">
        <f>AJ26</f>
        <v>1</v>
      </c>
      <c r="R26" s="2">
        <f>AK26</f>
        <v>1</v>
      </c>
      <c r="U26" s="9">
        <v>21</v>
      </c>
      <c r="V26" s="2" t="str">
        <f>MID($H$3, ROW(A21),1)</f>
        <v>0</v>
      </c>
      <c r="W26" s="2">
        <f>MOD(B26 + MID('F(RxorK)'!$V$74, ROW(r0_l0!A21),1),2)</f>
        <v>1</v>
      </c>
      <c r="X26" s="2">
        <f>MOD(C26+MID('F(RxorK)'!$V$75,ROW(r0_l0!$A21),1),2)</f>
        <v>1</v>
      </c>
      <c r="Y26" s="2">
        <f>MOD(D26+MID('F(RxorK)'!$V$76,ROW(r0_l0!A21),1),2)</f>
        <v>1</v>
      </c>
      <c r="Z26" s="2">
        <f>MOD(E26+MID('F(RxorK)'!$V$77,ROW(r0_l0!A21),1),2)</f>
        <v>1</v>
      </c>
      <c r="AA26" s="2">
        <f>MOD(F26+MID('F(RxorK)'!$V$78,ROW(r0_l0!$A21),1),2)</f>
        <v>1</v>
      </c>
      <c r="AB26" s="2">
        <f>MOD(G26+MID('F(RxorK)'!$V$79,ROW(r0_l0!$A21),1),2)</f>
        <v>0</v>
      </c>
      <c r="AC26" s="2">
        <f>MOD(H26+MID('F(RxorK)'!$V$80,ROW(r0_l0!$A21),1),2)</f>
        <v>1</v>
      </c>
      <c r="AD26" s="2">
        <f>MOD(I26+MID('F(RxorK)'!$V$81,ROW(r0_l0!$A21),1),2)</f>
        <v>1</v>
      </c>
      <c r="AE26" s="2">
        <f>MOD(J26+MID('F(RxorK)'!$V$82,ROW(r0_l0!$A21),1),2)</f>
        <v>1</v>
      </c>
      <c r="AF26" s="2">
        <f>MOD(K26+MID('F(RxorK)'!$V$83,ROW(r0_l0!$A21),1),2)</f>
        <v>0</v>
      </c>
      <c r="AG26" s="2">
        <f>MOD(L26+MID('F(RxorK)'!$V$84,ROW(r0_l0!$A21),1),2)</f>
        <v>1</v>
      </c>
      <c r="AH26" s="2">
        <f>MOD(M26+MID('F(RxorK)'!$V$85,ROW(r0_l0!$A21),1),2)</f>
        <v>0</v>
      </c>
      <c r="AI26" s="2">
        <f>MOD(N26+MID('F(RxorK)'!$V$86,ROW(r0_l0!$A21),1),2)</f>
        <v>0</v>
      </c>
      <c r="AJ26" s="2">
        <f>MOD(O26+MID('F(RxorK)'!$V$87,ROW(r0_l0!$A21),1),2)</f>
        <v>1</v>
      </c>
      <c r="AK26" s="2">
        <f>MOD(P26+MID('F(RxorK)'!$V$88,ROW(r0_l0!$A21),1),2)</f>
        <v>1</v>
      </c>
      <c r="AL26" s="2">
        <f>MOD(Q26+MID('F(RxorK)'!$V$89,ROW(r0_l0!$A21),1),2)</f>
        <v>1</v>
      </c>
    </row>
    <row r="27" spans="1:38" x14ac:dyDescent="0.25">
      <c r="A27" s="9">
        <v>22</v>
      </c>
      <c r="B27" s="2" t="str">
        <f t="shared" si="0"/>
        <v>1</v>
      </c>
      <c r="C27" s="2" t="str">
        <f>V27</f>
        <v>0</v>
      </c>
      <c r="D27" s="2">
        <f>W27</f>
        <v>1</v>
      </c>
      <c r="E27" s="2">
        <f>X27</f>
        <v>1</v>
      </c>
      <c r="F27" s="2">
        <f>Y27</f>
        <v>0</v>
      </c>
      <c r="G27" s="2">
        <f>Z27</f>
        <v>1</v>
      </c>
      <c r="H27" s="2">
        <f>AA27</f>
        <v>1</v>
      </c>
      <c r="I27" s="2">
        <f>AB27</f>
        <v>1</v>
      </c>
      <c r="J27" s="2">
        <f>AC27</f>
        <v>1</v>
      </c>
      <c r="K27" s="2">
        <f>AD27</f>
        <v>0</v>
      </c>
      <c r="L27" s="2">
        <f>AE27</f>
        <v>1</v>
      </c>
      <c r="M27" s="2">
        <f>AF27</f>
        <v>0</v>
      </c>
      <c r="N27" s="2">
        <f>AG27</f>
        <v>1</v>
      </c>
      <c r="O27" s="2">
        <f>AH27</f>
        <v>0</v>
      </c>
      <c r="P27" s="2">
        <f>AI27</f>
        <v>1</v>
      </c>
      <c r="Q27" s="2">
        <f>AJ27</f>
        <v>0</v>
      </c>
      <c r="R27" s="2">
        <f>AK27</f>
        <v>0</v>
      </c>
      <c r="U27" s="9">
        <v>22</v>
      </c>
      <c r="V27" s="2" t="str">
        <f>MID($H$3, ROW(A22),1)</f>
        <v>0</v>
      </c>
      <c r="W27" s="2">
        <f>MOD(B27 + MID('F(RxorK)'!$V$74, ROW(r0_l0!A22),1),2)</f>
        <v>1</v>
      </c>
      <c r="X27" s="2">
        <f>MOD(C27+MID('F(RxorK)'!$V$75,ROW(r0_l0!$A22),1),2)</f>
        <v>1</v>
      </c>
      <c r="Y27" s="2">
        <f>MOD(D27+MID('F(RxorK)'!$V$76,ROW(r0_l0!A22),1),2)</f>
        <v>0</v>
      </c>
      <c r="Z27" s="2">
        <f>MOD(E27+MID('F(RxorK)'!$V$77,ROW(r0_l0!A22),1),2)</f>
        <v>1</v>
      </c>
      <c r="AA27" s="2">
        <f>MOD(F27+MID('F(RxorK)'!$V$78,ROW(r0_l0!$A22),1),2)</f>
        <v>1</v>
      </c>
      <c r="AB27" s="2">
        <f>MOD(G27+MID('F(RxorK)'!$V$79,ROW(r0_l0!$A22),1),2)</f>
        <v>1</v>
      </c>
      <c r="AC27" s="2">
        <f>MOD(H27+MID('F(RxorK)'!$V$80,ROW(r0_l0!$A22),1),2)</f>
        <v>1</v>
      </c>
      <c r="AD27" s="2">
        <f>MOD(I27+MID('F(RxorK)'!$V$81,ROW(r0_l0!$A22),1),2)</f>
        <v>0</v>
      </c>
      <c r="AE27" s="2">
        <f>MOD(J27+MID('F(RxorK)'!$V$82,ROW(r0_l0!$A22),1),2)</f>
        <v>1</v>
      </c>
      <c r="AF27" s="2">
        <f>MOD(K27+MID('F(RxorK)'!$V$83,ROW(r0_l0!$A22),1),2)</f>
        <v>0</v>
      </c>
      <c r="AG27" s="2">
        <f>MOD(L27+MID('F(RxorK)'!$V$84,ROW(r0_l0!$A22),1),2)</f>
        <v>1</v>
      </c>
      <c r="AH27" s="2">
        <f>MOD(M27+MID('F(RxorK)'!$V$85,ROW(r0_l0!$A22),1),2)</f>
        <v>0</v>
      </c>
      <c r="AI27" s="2">
        <f>MOD(N27+MID('F(RxorK)'!$V$86,ROW(r0_l0!$A22),1),2)</f>
        <v>1</v>
      </c>
      <c r="AJ27" s="2">
        <f>MOD(O27+MID('F(RxorK)'!$V$87,ROW(r0_l0!$A22),1),2)</f>
        <v>0</v>
      </c>
      <c r="AK27" s="2">
        <f>MOD(P27+MID('F(RxorK)'!$V$88,ROW(r0_l0!$A22),1),2)</f>
        <v>0</v>
      </c>
      <c r="AL27" s="2">
        <f>MOD(Q27+MID('F(RxorK)'!$V$89,ROW(r0_l0!$A22),1),2)</f>
        <v>1</v>
      </c>
    </row>
    <row r="28" spans="1:38" x14ac:dyDescent="0.25">
      <c r="A28" s="9">
        <v>23</v>
      </c>
      <c r="B28" s="2" t="str">
        <f t="shared" si="0"/>
        <v>0</v>
      </c>
      <c r="C28" s="2" t="str">
        <f>V28</f>
        <v>0</v>
      </c>
      <c r="D28" s="2">
        <f>W28</f>
        <v>0</v>
      </c>
      <c r="E28" s="2">
        <f>X28</f>
        <v>0</v>
      </c>
      <c r="F28" s="2">
        <f>Y28</f>
        <v>1</v>
      </c>
      <c r="G28" s="2">
        <f>Z28</f>
        <v>0</v>
      </c>
      <c r="H28" s="2">
        <f>AA28</f>
        <v>0</v>
      </c>
      <c r="I28" s="2">
        <f>AB28</f>
        <v>1</v>
      </c>
      <c r="J28" s="2">
        <f>AC28</f>
        <v>1</v>
      </c>
      <c r="K28" s="2">
        <f>AD28</f>
        <v>1</v>
      </c>
      <c r="L28" s="2">
        <f>AE28</f>
        <v>1</v>
      </c>
      <c r="M28" s="2">
        <f>AF28</f>
        <v>1</v>
      </c>
      <c r="N28" s="2">
        <f>AG28</f>
        <v>1</v>
      </c>
      <c r="O28" s="2">
        <f>AH28</f>
        <v>0</v>
      </c>
      <c r="P28" s="2">
        <f>AI28</f>
        <v>1</v>
      </c>
      <c r="Q28" s="2">
        <f>AJ28</f>
        <v>1</v>
      </c>
      <c r="R28" s="2">
        <f>AK28</f>
        <v>1</v>
      </c>
      <c r="U28" s="9">
        <v>23</v>
      </c>
      <c r="V28" s="2" t="str">
        <f>MID($H$3, ROW(A23),1)</f>
        <v>0</v>
      </c>
      <c r="W28" s="2">
        <f>MOD(B28 + MID('F(RxorK)'!$V$74, ROW(r0_l0!A23),1),2)</f>
        <v>0</v>
      </c>
      <c r="X28" s="2">
        <f>MOD(C28+MID('F(RxorK)'!$V$75,ROW(r0_l0!$A23),1),2)</f>
        <v>0</v>
      </c>
      <c r="Y28" s="2">
        <f>MOD(D28+MID('F(RxorK)'!$V$76,ROW(r0_l0!A23),1),2)</f>
        <v>1</v>
      </c>
      <c r="Z28" s="2">
        <f>MOD(E28+MID('F(RxorK)'!$V$77,ROW(r0_l0!A23),1),2)</f>
        <v>0</v>
      </c>
      <c r="AA28" s="2">
        <f>MOD(F28+MID('F(RxorK)'!$V$78,ROW(r0_l0!$A23),1),2)</f>
        <v>0</v>
      </c>
      <c r="AB28" s="2">
        <f>MOD(G28+MID('F(RxorK)'!$V$79,ROW(r0_l0!$A23),1),2)</f>
        <v>1</v>
      </c>
      <c r="AC28" s="2">
        <f>MOD(H28+MID('F(RxorK)'!$V$80,ROW(r0_l0!$A23),1),2)</f>
        <v>1</v>
      </c>
      <c r="AD28" s="2">
        <f>MOD(I28+MID('F(RxorK)'!$V$81,ROW(r0_l0!$A23),1),2)</f>
        <v>1</v>
      </c>
      <c r="AE28" s="2">
        <f>MOD(J28+MID('F(RxorK)'!$V$82,ROW(r0_l0!$A23),1),2)</f>
        <v>1</v>
      </c>
      <c r="AF28" s="2">
        <f>MOD(K28+MID('F(RxorK)'!$V$83,ROW(r0_l0!$A23),1),2)</f>
        <v>1</v>
      </c>
      <c r="AG28" s="2">
        <f>MOD(L28+MID('F(RxorK)'!$V$84,ROW(r0_l0!$A23),1),2)</f>
        <v>1</v>
      </c>
      <c r="AH28" s="2">
        <f>MOD(M28+MID('F(RxorK)'!$V$85,ROW(r0_l0!$A23),1),2)</f>
        <v>0</v>
      </c>
      <c r="AI28" s="2">
        <f>MOD(N28+MID('F(RxorK)'!$V$86,ROW(r0_l0!$A23),1),2)</f>
        <v>1</v>
      </c>
      <c r="AJ28" s="2">
        <f>MOD(O28+MID('F(RxorK)'!$V$87,ROW(r0_l0!$A23),1),2)</f>
        <v>1</v>
      </c>
      <c r="AK28" s="2">
        <f>MOD(P28+MID('F(RxorK)'!$V$88,ROW(r0_l0!$A23),1),2)</f>
        <v>1</v>
      </c>
      <c r="AL28" s="2">
        <f>MOD(Q28+MID('F(RxorK)'!$V$89,ROW(r0_l0!$A23),1),2)</f>
        <v>1</v>
      </c>
    </row>
    <row r="29" spans="1:38" x14ac:dyDescent="0.25">
      <c r="A29" s="9">
        <v>24</v>
      </c>
      <c r="B29" s="2" t="str">
        <f t="shared" si="0"/>
        <v>0</v>
      </c>
      <c r="C29" s="2" t="str">
        <f>V29</f>
        <v>0</v>
      </c>
      <c r="D29" s="2">
        <f>W29</f>
        <v>1</v>
      </c>
      <c r="E29" s="2">
        <f>X29</f>
        <v>1</v>
      </c>
      <c r="F29" s="2">
        <f>Y29</f>
        <v>1</v>
      </c>
      <c r="G29" s="2">
        <f>Z29</f>
        <v>1</v>
      </c>
      <c r="H29" s="2">
        <f>AA29</f>
        <v>0</v>
      </c>
      <c r="I29" s="2">
        <f>AB29</f>
        <v>0</v>
      </c>
      <c r="J29" s="2">
        <f>AC29</f>
        <v>1</v>
      </c>
      <c r="K29" s="2">
        <f>AD29</f>
        <v>0</v>
      </c>
      <c r="L29" s="2">
        <f>AE29</f>
        <v>1</v>
      </c>
      <c r="M29" s="2">
        <f>AF29</f>
        <v>0</v>
      </c>
      <c r="N29" s="2">
        <f>AG29</f>
        <v>0</v>
      </c>
      <c r="O29" s="2">
        <f>AH29</f>
        <v>1</v>
      </c>
      <c r="P29" s="2">
        <f>AI29</f>
        <v>0</v>
      </c>
      <c r="Q29" s="2">
        <f>AJ29</f>
        <v>1</v>
      </c>
      <c r="R29" s="2">
        <f>AK29</f>
        <v>1</v>
      </c>
      <c r="U29" s="9">
        <v>24</v>
      </c>
      <c r="V29" s="2" t="str">
        <f>MID($H$3, ROW(A24),1)</f>
        <v>0</v>
      </c>
      <c r="W29" s="2">
        <f>MOD(B29 + MID('F(RxorK)'!$V$74, ROW(r0_l0!A24),1),2)</f>
        <v>1</v>
      </c>
      <c r="X29" s="2">
        <f>MOD(C29+MID('F(RxorK)'!$V$75,ROW(r0_l0!$A24),1),2)</f>
        <v>1</v>
      </c>
      <c r="Y29" s="2">
        <f>MOD(D29+MID('F(RxorK)'!$V$76,ROW(r0_l0!A24),1),2)</f>
        <v>1</v>
      </c>
      <c r="Z29" s="2">
        <f>MOD(E29+MID('F(RxorK)'!$V$77,ROW(r0_l0!A24),1),2)</f>
        <v>1</v>
      </c>
      <c r="AA29" s="2">
        <f>MOD(F29+MID('F(RxorK)'!$V$78,ROW(r0_l0!$A24),1),2)</f>
        <v>0</v>
      </c>
      <c r="AB29" s="2">
        <f>MOD(G29+MID('F(RxorK)'!$V$79,ROW(r0_l0!$A24),1),2)</f>
        <v>0</v>
      </c>
      <c r="AC29" s="2">
        <f>MOD(H29+MID('F(RxorK)'!$V$80,ROW(r0_l0!$A24),1),2)</f>
        <v>1</v>
      </c>
      <c r="AD29" s="2">
        <f>MOD(I29+MID('F(RxorK)'!$V$81,ROW(r0_l0!$A24),1),2)</f>
        <v>0</v>
      </c>
      <c r="AE29" s="2">
        <f>MOD(J29+MID('F(RxorK)'!$V$82,ROW(r0_l0!$A24),1),2)</f>
        <v>1</v>
      </c>
      <c r="AF29" s="2">
        <f>MOD(K29+MID('F(RxorK)'!$V$83,ROW(r0_l0!$A24),1),2)</f>
        <v>0</v>
      </c>
      <c r="AG29" s="2">
        <f>MOD(L29+MID('F(RxorK)'!$V$84,ROW(r0_l0!$A24),1),2)</f>
        <v>0</v>
      </c>
      <c r="AH29" s="2">
        <f>MOD(M29+MID('F(RxorK)'!$V$85,ROW(r0_l0!$A24),1),2)</f>
        <v>1</v>
      </c>
      <c r="AI29" s="2">
        <f>MOD(N29+MID('F(RxorK)'!$V$86,ROW(r0_l0!$A24),1),2)</f>
        <v>0</v>
      </c>
      <c r="AJ29" s="2">
        <f>MOD(O29+MID('F(RxorK)'!$V$87,ROW(r0_l0!$A24),1),2)</f>
        <v>1</v>
      </c>
      <c r="AK29" s="2">
        <f>MOD(P29+MID('F(RxorK)'!$V$88,ROW(r0_l0!$A24),1),2)</f>
        <v>1</v>
      </c>
      <c r="AL29" s="2">
        <f>MOD(Q29+MID('F(RxorK)'!$V$89,ROW(r0_l0!$A24),1),2)</f>
        <v>0</v>
      </c>
    </row>
    <row r="30" spans="1:38" x14ac:dyDescent="0.25">
      <c r="A30" s="9">
        <v>25</v>
      </c>
      <c r="B30" s="2" t="str">
        <f t="shared" si="0"/>
        <v>0</v>
      </c>
      <c r="C30" s="2" t="str">
        <f>V30</f>
        <v>1</v>
      </c>
      <c r="D30" s="2">
        <f>W30</f>
        <v>1</v>
      </c>
      <c r="E30" s="2">
        <f>X30</f>
        <v>1</v>
      </c>
      <c r="F30" s="2">
        <f>Y30</f>
        <v>0</v>
      </c>
      <c r="G30" s="2">
        <f>Z30</f>
        <v>0</v>
      </c>
      <c r="H30" s="2">
        <f>AA30</f>
        <v>1</v>
      </c>
      <c r="I30" s="2">
        <f>AB30</f>
        <v>0</v>
      </c>
      <c r="J30" s="2">
        <f>AC30</f>
        <v>0</v>
      </c>
      <c r="K30" s="2">
        <f>AD30</f>
        <v>1</v>
      </c>
      <c r="L30" s="2">
        <f>AE30</f>
        <v>1</v>
      </c>
      <c r="M30" s="2">
        <f>AF30</f>
        <v>0</v>
      </c>
      <c r="N30" s="2">
        <f>AG30</f>
        <v>1</v>
      </c>
      <c r="O30" s="2">
        <f>AH30</f>
        <v>1</v>
      </c>
      <c r="P30" s="2">
        <f>AI30</f>
        <v>1</v>
      </c>
      <c r="Q30" s="2">
        <f>AJ30</f>
        <v>1</v>
      </c>
      <c r="R30" s="2">
        <f>AK30</f>
        <v>1</v>
      </c>
      <c r="U30" s="9">
        <v>25</v>
      </c>
      <c r="V30" s="2" t="str">
        <f>MID($H$3, ROW(A25),1)</f>
        <v>1</v>
      </c>
      <c r="W30" s="2">
        <f>MOD(B30 + MID('F(RxorK)'!$V$74, ROW(r0_l0!A25),1),2)</f>
        <v>1</v>
      </c>
      <c r="X30" s="2">
        <f>MOD(C30+MID('F(RxorK)'!$V$75,ROW(r0_l0!$A25),1),2)</f>
        <v>1</v>
      </c>
      <c r="Y30" s="2">
        <f>MOD(D30+MID('F(RxorK)'!$V$76,ROW(r0_l0!A25),1),2)</f>
        <v>0</v>
      </c>
      <c r="Z30" s="2">
        <f>MOD(E30+MID('F(RxorK)'!$V$77,ROW(r0_l0!A25),1),2)</f>
        <v>0</v>
      </c>
      <c r="AA30" s="2">
        <f>MOD(F30+MID('F(RxorK)'!$V$78,ROW(r0_l0!$A25),1),2)</f>
        <v>1</v>
      </c>
      <c r="AB30" s="2">
        <f>MOD(G30+MID('F(RxorK)'!$V$79,ROW(r0_l0!$A25),1),2)</f>
        <v>0</v>
      </c>
      <c r="AC30" s="2">
        <f>MOD(H30+MID('F(RxorK)'!$V$80,ROW(r0_l0!$A25),1),2)</f>
        <v>0</v>
      </c>
      <c r="AD30" s="2">
        <f>MOD(I30+MID('F(RxorK)'!$V$81,ROW(r0_l0!$A25),1),2)</f>
        <v>1</v>
      </c>
      <c r="AE30" s="2">
        <f>MOD(J30+MID('F(RxorK)'!$V$82,ROW(r0_l0!$A25),1),2)</f>
        <v>1</v>
      </c>
      <c r="AF30" s="2">
        <f>MOD(K30+MID('F(RxorK)'!$V$83,ROW(r0_l0!$A25),1),2)</f>
        <v>0</v>
      </c>
      <c r="AG30" s="2">
        <f>MOD(L30+MID('F(RxorK)'!$V$84,ROW(r0_l0!$A25),1),2)</f>
        <v>1</v>
      </c>
      <c r="AH30" s="2">
        <f>MOD(M30+MID('F(RxorK)'!$V$85,ROW(r0_l0!$A25),1),2)</f>
        <v>1</v>
      </c>
      <c r="AI30" s="2">
        <f>MOD(N30+MID('F(RxorK)'!$V$86,ROW(r0_l0!$A25),1),2)</f>
        <v>1</v>
      </c>
      <c r="AJ30" s="2">
        <f>MOD(O30+MID('F(RxorK)'!$V$87,ROW(r0_l0!$A25),1),2)</f>
        <v>1</v>
      </c>
      <c r="AK30" s="2">
        <f>MOD(P30+MID('F(RxorK)'!$V$88,ROW(r0_l0!$A25),1),2)</f>
        <v>1</v>
      </c>
      <c r="AL30" s="2">
        <f>MOD(Q30+MID('F(RxorK)'!$V$89,ROW(r0_l0!$A25),1),2)</f>
        <v>1</v>
      </c>
    </row>
    <row r="31" spans="1:38" x14ac:dyDescent="0.25">
      <c r="A31" s="9">
        <v>26</v>
      </c>
      <c r="B31" s="2" t="str">
        <f t="shared" si="0"/>
        <v>0</v>
      </c>
      <c r="C31" s="2" t="str">
        <f>V31</f>
        <v>0</v>
      </c>
      <c r="D31" s="2">
        <f>W31</f>
        <v>0</v>
      </c>
      <c r="E31" s="2">
        <f>X31</f>
        <v>0</v>
      </c>
      <c r="F31" s="2">
        <f>Y31</f>
        <v>0</v>
      </c>
      <c r="G31" s="2">
        <f>Z31</f>
        <v>0</v>
      </c>
      <c r="H31" s="2">
        <f>AA31</f>
        <v>1</v>
      </c>
      <c r="I31" s="2">
        <f>AB31</f>
        <v>0</v>
      </c>
      <c r="J31" s="2">
        <f>AC31</f>
        <v>1</v>
      </c>
      <c r="K31" s="2">
        <f>AD31</f>
        <v>0</v>
      </c>
      <c r="L31" s="2">
        <f>AE31</f>
        <v>1</v>
      </c>
      <c r="M31" s="2">
        <f>AF31</f>
        <v>1</v>
      </c>
      <c r="N31" s="2">
        <f>AG31</f>
        <v>0</v>
      </c>
      <c r="O31" s="2">
        <f>AH31</f>
        <v>1</v>
      </c>
      <c r="P31" s="2">
        <f>AI31</f>
        <v>0</v>
      </c>
      <c r="Q31" s="2">
        <f>AJ31</f>
        <v>0</v>
      </c>
      <c r="R31" s="2">
        <f>AK31</f>
        <v>0</v>
      </c>
      <c r="U31" s="9">
        <v>26</v>
      </c>
      <c r="V31" s="2" t="str">
        <f>MID($H$3, ROW(A26),1)</f>
        <v>0</v>
      </c>
      <c r="W31" s="2">
        <f>MOD(B31 + MID('F(RxorK)'!$V$74, ROW(r0_l0!A26),1),2)</f>
        <v>0</v>
      </c>
      <c r="X31" s="2">
        <f>MOD(C31+MID('F(RxorK)'!$V$75,ROW(r0_l0!$A26),1),2)</f>
        <v>0</v>
      </c>
      <c r="Y31" s="2">
        <f>MOD(D31+MID('F(RxorK)'!$V$76,ROW(r0_l0!A26),1),2)</f>
        <v>0</v>
      </c>
      <c r="Z31" s="2">
        <f>MOD(E31+MID('F(RxorK)'!$V$77,ROW(r0_l0!A26),1),2)</f>
        <v>0</v>
      </c>
      <c r="AA31" s="2">
        <f>MOD(F31+MID('F(RxorK)'!$V$78,ROW(r0_l0!$A26),1),2)</f>
        <v>1</v>
      </c>
      <c r="AB31" s="2">
        <f>MOD(G31+MID('F(RxorK)'!$V$79,ROW(r0_l0!$A26),1),2)</f>
        <v>0</v>
      </c>
      <c r="AC31" s="2">
        <f>MOD(H31+MID('F(RxorK)'!$V$80,ROW(r0_l0!$A26),1),2)</f>
        <v>1</v>
      </c>
      <c r="AD31" s="2">
        <f>MOD(I31+MID('F(RxorK)'!$V$81,ROW(r0_l0!$A26),1),2)</f>
        <v>0</v>
      </c>
      <c r="AE31" s="2">
        <f>MOD(J31+MID('F(RxorK)'!$V$82,ROW(r0_l0!$A26),1),2)</f>
        <v>1</v>
      </c>
      <c r="AF31" s="2">
        <f>MOD(K31+MID('F(RxorK)'!$V$83,ROW(r0_l0!$A26),1),2)</f>
        <v>1</v>
      </c>
      <c r="AG31" s="2">
        <f>MOD(L31+MID('F(RxorK)'!$V$84,ROW(r0_l0!$A26),1),2)</f>
        <v>0</v>
      </c>
      <c r="AH31" s="2">
        <f>MOD(M31+MID('F(RxorK)'!$V$85,ROW(r0_l0!$A26),1),2)</f>
        <v>1</v>
      </c>
      <c r="AI31" s="2">
        <f>MOD(N31+MID('F(RxorK)'!$V$86,ROW(r0_l0!$A26),1),2)</f>
        <v>0</v>
      </c>
      <c r="AJ31" s="2">
        <f>MOD(O31+MID('F(RxorK)'!$V$87,ROW(r0_l0!$A26),1),2)</f>
        <v>0</v>
      </c>
      <c r="AK31" s="2">
        <f>MOD(P31+MID('F(RxorK)'!$V$88,ROW(r0_l0!$A26),1),2)</f>
        <v>0</v>
      </c>
      <c r="AL31" s="2">
        <f>MOD(Q31+MID('F(RxorK)'!$V$89,ROW(r0_l0!$A26),1),2)</f>
        <v>0</v>
      </c>
    </row>
    <row r="32" spans="1:38" x14ac:dyDescent="0.25">
      <c r="A32" s="9">
        <v>27</v>
      </c>
      <c r="B32" s="2" t="str">
        <f t="shared" si="0"/>
        <v>0</v>
      </c>
      <c r="C32" s="2" t="str">
        <f>V32</f>
        <v>1</v>
      </c>
      <c r="D32" s="2">
        <f>W32</f>
        <v>0</v>
      </c>
      <c r="E32" s="2">
        <f>X32</f>
        <v>1</v>
      </c>
      <c r="F32" s="2">
        <f>Y32</f>
        <v>0</v>
      </c>
      <c r="G32" s="2">
        <f>Z32</f>
        <v>0</v>
      </c>
      <c r="H32" s="2">
        <f>AA32</f>
        <v>1</v>
      </c>
      <c r="I32" s="2">
        <f>AB32</f>
        <v>1</v>
      </c>
      <c r="J32" s="2">
        <f>AC32</f>
        <v>0</v>
      </c>
      <c r="K32" s="2">
        <f>AD32</f>
        <v>0</v>
      </c>
      <c r="L32" s="2">
        <f>AE32</f>
        <v>1</v>
      </c>
      <c r="M32" s="2">
        <f>AF32</f>
        <v>1</v>
      </c>
      <c r="N32" s="2">
        <f>AG32</f>
        <v>1</v>
      </c>
      <c r="O32" s="2">
        <f>AH32</f>
        <v>0</v>
      </c>
      <c r="P32" s="2">
        <f>AI32</f>
        <v>1</v>
      </c>
      <c r="Q32" s="2">
        <f>AJ32</f>
        <v>0</v>
      </c>
      <c r="R32" s="2">
        <f>AK32</f>
        <v>1</v>
      </c>
      <c r="U32" s="9">
        <v>27</v>
      </c>
      <c r="V32" s="2" t="str">
        <f>MID($H$3, ROW(A27),1)</f>
        <v>1</v>
      </c>
      <c r="W32" s="2">
        <f>MOD(B32 + MID('F(RxorK)'!$V$74, ROW(r0_l0!A27),1),2)</f>
        <v>0</v>
      </c>
      <c r="X32" s="2">
        <f>MOD(C32+MID('F(RxorK)'!$V$75,ROW(r0_l0!$A27),1),2)</f>
        <v>1</v>
      </c>
      <c r="Y32" s="2">
        <f>MOD(D32+MID('F(RxorK)'!$V$76,ROW(r0_l0!A27),1),2)</f>
        <v>0</v>
      </c>
      <c r="Z32" s="2">
        <f>MOD(E32+MID('F(RxorK)'!$V$77,ROW(r0_l0!A27),1),2)</f>
        <v>0</v>
      </c>
      <c r="AA32" s="2">
        <f>MOD(F32+MID('F(RxorK)'!$V$78,ROW(r0_l0!$A27),1),2)</f>
        <v>1</v>
      </c>
      <c r="AB32" s="2">
        <f>MOD(G32+MID('F(RxorK)'!$V$79,ROW(r0_l0!$A27),1),2)</f>
        <v>1</v>
      </c>
      <c r="AC32" s="2">
        <f>MOD(H32+MID('F(RxorK)'!$V$80,ROW(r0_l0!$A27),1),2)</f>
        <v>0</v>
      </c>
      <c r="AD32" s="2">
        <f>MOD(I32+MID('F(RxorK)'!$V$81,ROW(r0_l0!$A27),1),2)</f>
        <v>0</v>
      </c>
      <c r="AE32" s="2">
        <f>MOD(J32+MID('F(RxorK)'!$V$82,ROW(r0_l0!$A27),1),2)</f>
        <v>1</v>
      </c>
      <c r="AF32" s="2">
        <f>MOD(K32+MID('F(RxorK)'!$V$83,ROW(r0_l0!$A27),1),2)</f>
        <v>1</v>
      </c>
      <c r="AG32" s="2">
        <f>MOD(L32+MID('F(RxorK)'!$V$84,ROW(r0_l0!$A27),1),2)</f>
        <v>1</v>
      </c>
      <c r="AH32" s="2">
        <f>MOD(M32+MID('F(RxorK)'!$V$85,ROW(r0_l0!$A27),1),2)</f>
        <v>0</v>
      </c>
      <c r="AI32" s="2">
        <f>MOD(N32+MID('F(RxorK)'!$V$86,ROW(r0_l0!$A27),1),2)</f>
        <v>1</v>
      </c>
      <c r="AJ32" s="2">
        <f>MOD(O32+MID('F(RxorK)'!$V$87,ROW(r0_l0!$A27),1),2)</f>
        <v>0</v>
      </c>
      <c r="AK32" s="2">
        <f>MOD(P32+MID('F(RxorK)'!$V$88,ROW(r0_l0!$A27),1),2)</f>
        <v>1</v>
      </c>
      <c r="AL32" s="2">
        <f>MOD(Q32+MID('F(RxorK)'!$V$89,ROW(r0_l0!$A27),1),2)</f>
        <v>1</v>
      </c>
    </row>
    <row r="33" spans="1:38" x14ac:dyDescent="0.25">
      <c r="A33" s="9">
        <v>28</v>
      </c>
      <c r="B33" s="2" t="str">
        <f t="shared" si="0"/>
        <v>0</v>
      </c>
      <c r="C33" s="2" t="str">
        <f>V33</f>
        <v>0</v>
      </c>
      <c r="D33" s="2">
        <f>W33</f>
        <v>1</v>
      </c>
      <c r="E33" s="2">
        <f>X33</f>
        <v>0</v>
      </c>
      <c r="F33" s="2">
        <f>Y33</f>
        <v>0</v>
      </c>
      <c r="G33" s="2">
        <f>Z33</f>
        <v>1</v>
      </c>
      <c r="H33" s="2">
        <f>AA33</f>
        <v>1</v>
      </c>
      <c r="I33" s="2">
        <f>AB33</f>
        <v>1</v>
      </c>
      <c r="J33" s="2">
        <f>AC33</f>
        <v>1</v>
      </c>
      <c r="K33" s="2">
        <f>AD33</f>
        <v>0</v>
      </c>
      <c r="L33" s="2">
        <f>AE33</f>
        <v>0</v>
      </c>
      <c r="M33" s="2">
        <f>AF33</f>
        <v>0</v>
      </c>
      <c r="N33" s="2">
        <f>AG33</f>
        <v>0</v>
      </c>
      <c r="O33" s="2">
        <f>AH33</f>
        <v>0</v>
      </c>
      <c r="P33" s="2">
        <f>AI33</f>
        <v>0</v>
      </c>
      <c r="Q33" s="2">
        <f>AJ33</f>
        <v>0</v>
      </c>
      <c r="R33" s="2">
        <f>AK33</f>
        <v>1</v>
      </c>
      <c r="U33" s="9">
        <v>28</v>
      </c>
      <c r="V33" s="2" t="str">
        <f>MID($H$3, ROW(A28),1)</f>
        <v>0</v>
      </c>
      <c r="W33" s="2">
        <f>MOD(B33 + MID('F(RxorK)'!$V$74, ROW(r0_l0!A28),1),2)</f>
        <v>1</v>
      </c>
      <c r="X33" s="2">
        <f>MOD(C33+MID('F(RxorK)'!$V$75,ROW(r0_l0!$A28),1),2)</f>
        <v>0</v>
      </c>
      <c r="Y33" s="2">
        <f>MOD(D33+MID('F(RxorK)'!$V$76,ROW(r0_l0!A28),1),2)</f>
        <v>0</v>
      </c>
      <c r="Z33" s="2">
        <f>MOD(E33+MID('F(RxorK)'!$V$77,ROW(r0_l0!A28),1),2)</f>
        <v>1</v>
      </c>
      <c r="AA33" s="2">
        <f>MOD(F33+MID('F(RxorK)'!$V$78,ROW(r0_l0!$A28),1),2)</f>
        <v>1</v>
      </c>
      <c r="AB33" s="2">
        <f>MOD(G33+MID('F(RxorK)'!$V$79,ROW(r0_l0!$A28),1),2)</f>
        <v>1</v>
      </c>
      <c r="AC33" s="2">
        <f>MOD(H33+MID('F(RxorK)'!$V$80,ROW(r0_l0!$A28),1),2)</f>
        <v>1</v>
      </c>
      <c r="AD33" s="2">
        <f>MOD(I33+MID('F(RxorK)'!$V$81,ROW(r0_l0!$A28),1),2)</f>
        <v>0</v>
      </c>
      <c r="AE33" s="2">
        <f>MOD(J33+MID('F(RxorK)'!$V$82,ROW(r0_l0!$A28),1),2)</f>
        <v>0</v>
      </c>
      <c r="AF33" s="2">
        <f>MOD(K33+MID('F(RxorK)'!$V$83,ROW(r0_l0!$A28),1),2)</f>
        <v>0</v>
      </c>
      <c r="AG33" s="2">
        <f>MOD(L33+MID('F(RxorK)'!$V$84,ROW(r0_l0!$A28),1),2)</f>
        <v>0</v>
      </c>
      <c r="AH33" s="2">
        <f>MOD(M33+MID('F(RxorK)'!$V$85,ROW(r0_l0!$A28),1),2)</f>
        <v>0</v>
      </c>
      <c r="AI33" s="2">
        <f>MOD(N33+MID('F(RxorK)'!$V$86,ROW(r0_l0!$A28),1),2)</f>
        <v>0</v>
      </c>
      <c r="AJ33" s="2">
        <f>MOD(O33+MID('F(RxorK)'!$V$87,ROW(r0_l0!$A28),1),2)</f>
        <v>0</v>
      </c>
      <c r="AK33" s="2">
        <f>MOD(P33+MID('F(RxorK)'!$V$88,ROW(r0_l0!$A28),1),2)</f>
        <v>1</v>
      </c>
      <c r="AL33" s="2">
        <f>MOD(Q33+MID('F(RxorK)'!$V$89,ROW(r0_l0!$A28),1),2)</f>
        <v>0</v>
      </c>
    </row>
    <row r="34" spans="1:38" x14ac:dyDescent="0.25">
      <c r="A34" s="9">
        <v>29</v>
      </c>
      <c r="B34" s="2" t="str">
        <f t="shared" si="0"/>
        <v>0</v>
      </c>
      <c r="C34" s="2" t="str">
        <f>V34</f>
        <v>1</v>
      </c>
      <c r="D34" s="2">
        <f>W34</f>
        <v>1</v>
      </c>
      <c r="E34" s="2">
        <f>X34</f>
        <v>0</v>
      </c>
      <c r="F34" s="2">
        <f>Y34</f>
        <v>1</v>
      </c>
      <c r="G34" s="2">
        <f>Z34</f>
        <v>0</v>
      </c>
      <c r="H34" s="2">
        <f>AA34</f>
        <v>0</v>
      </c>
      <c r="I34" s="2">
        <f>AB34</f>
        <v>0</v>
      </c>
      <c r="J34" s="2">
        <f>AC34</f>
        <v>0</v>
      </c>
      <c r="K34" s="2">
        <f>AD34</f>
        <v>1</v>
      </c>
      <c r="L34" s="2">
        <f>AE34</f>
        <v>0</v>
      </c>
      <c r="M34" s="2">
        <f>AF34</f>
        <v>1</v>
      </c>
      <c r="N34" s="2">
        <f>AG34</f>
        <v>0</v>
      </c>
      <c r="O34" s="2">
        <f>AH34</f>
        <v>1</v>
      </c>
      <c r="P34" s="2">
        <f>AI34</f>
        <v>0</v>
      </c>
      <c r="Q34" s="2">
        <f>AJ34</f>
        <v>0</v>
      </c>
      <c r="R34" s="2">
        <f>AK34</f>
        <v>0</v>
      </c>
      <c r="U34" s="9">
        <v>29</v>
      </c>
      <c r="V34" s="2" t="str">
        <f>MID($H$3, ROW(A29),1)</f>
        <v>1</v>
      </c>
      <c r="W34" s="2">
        <f>MOD(B34 + MID('F(RxorK)'!$V$74, ROW(r0_l0!A29),1),2)</f>
        <v>1</v>
      </c>
      <c r="X34" s="2">
        <f>MOD(C34+MID('F(RxorK)'!$V$75,ROW(r0_l0!$A29),1),2)</f>
        <v>0</v>
      </c>
      <c r="Y34" s="2">
        <f>MOD(D34+MID('F(RxorK)'!$V$76,ROW(r0_l0!A29),1),2)</f>
        <v>1</v>
      </c>
      <c r="Z34" s="2">
        <f>MOD(E34+MID('F(RxorK)'!$V$77,ROW(r0_l0!A29),1),2)</f>
        <v>0</v>
      </c>
      <c r="AA34" s="2">
        <f>MOD(F34+MID('F(RxorK)'!$V$78,ROW(r0_l0!$A29),1),2)</f>
        <v>0</v>
      </c>
      <c r="AB34" s="2">
        <f>MOD(G34+MID('F(RxorK)'!$V$79,ROW(r0_l0!$A29),1),2)</f>
        <v>0</v>
      </c>
      <c r="AC34" s="2">
        <f>MOD(H34+MID('F(RxorK)'!$V$80,ROW(r0_l0!$A29),1),2)</f>
        <v>0</v>
      </c>
      <c r="AD34" s="2">
        <f>MOD(I34+MID('F(RxorK)'!$V$81,ROW(r0_l0!$A29),1),2)</f>
        <v>1</v>
      </c>
      <c r="AE34" s="2">
        <f>MOD(J34+MID('F(RxorK)'!$V$82,ROW(r0_l0!$A29),1),2)</f>
        <v>0</v>
      </c>
      <c r="AF34" s="2">
        <f>MOD(K34+MID('F(RxorK)'!$V$83,ROW(r0_l0!$A29),1),2)</f>
        <v>1</v>
      </c>
      <c r="AG34" s="2">
        <f>MOD(L34+MID('F(RxorK)'!$V$84,ROW(r0_l0!$A29),1),2)</f>
        <v>0</v>
      </c>
      <c r="AH34" s="2">
        <f>MOD(M34+MID('F(RxorK)'!$V$85,ROW(r0_l0!$A29),1),2)</f>
        <v>1</v>
      </c>
      <c r="AI34" s="2">
        <f>MOD(N34+MID('F(RxorK)'!$V$86,ROW(r0_l0!$A29),1),2)</f>
        <v>0</v>
      </c>
      <c r="AJ34" s="2">
        <f>MOD(O34+MID('F(RxorK)'!$V$87,ROW(r0_l0!$A29),1),2)</f>
        <v>0</v>
      </c>
      <c r="AK34" s="2">
        <f>MOD(P34+MID('F(RxorK)'!$V$88,ROW(r0_l0!$A29),1),2)</f>
        <v>0</v>
      </c>
      <c r="AL34" s="2">
        <f>MOD(Q34+MID('F(RxorK)'!$V$89,ROW(r0_l0!$A29),1),2)</f>
        <v>1</v>
      </c>
    </row>
    <row r="35" spans="1:38" x14ac:dyDescent="0.25">
      <c r="A35" s="9">
        <v>30</v>
      </c>
      <c r="B35" s="2" t="str">
        <f t="shared" si="0"/>
        <v>0</v>
      </c>
      <c r="C35" s="2" t="str">
        <f>V35</f>
        <v>0</v>
      </c>
      <c r="D35" s="2">
        <f>W35</f>
        <v>0</v>
      </c>
      <c r="E35" s="2">
        <f>X35</f>
        <v>0</v>
      </c>
      <c r="F35" s="2">
        <f>Y35</f>
        <v>0</v>
      </c>
      <c r="G35" s="2">
        <f>Z35</f>
        <v>0</v>
      </c>
      <c r="H35" s="2">
        <f>AA35</f>
        <v>1</v>
      </c>
      <c r="I35" s="2">
        <f>AB35</f>
        <v>1</v>
      </c>
      <c r="J35" s="2">
        <f>AC35</f>
        <v>1</v>
      </c>
      <c r="K35" s="2">
        <f>AD35</f>
        <v>1</v>
      </c>
      <c r="L35" s="2">
        <f>AE35</f>
        <v>1</v>
      </c>
      <c r="M35" s="2">
        <f>AF35</f>
        <v>0</v>
      </c>
      <c r="N35" s="2">
        <f>AG35</f>
        <v>0</v>
      </c>
      <c r="O35" s="2">
        <f>AH35</f>
        <v>1</v>
      </c>
      <c r="P35" s="2">
        <f>AI35</f>
        <v>1</v>
      </c>
      <c r="Q35" s="2">
        <f>AJ35</f>
        <v>1</v>
      </c>
      <c r="R35" s="2">
        <f>AK35</f>
        <v>1</v>
      </c>
      <c r="U35" s="9">
        <v>30</v>
      </c>
      <c r="V35" s="2" t="str">
        <f>MID($H$3, ROW(A30),1)</f>
        <v>0</v>
      </c>
      <c r="W35" s="2">
        <f>MOD(B35 + MID('F(RxorK)'!$V$74, ROW(r0_l0!A30),1),2)</f>
        <v>0</v>
      </c>
      <c r="X35" s="2">
        <f>MOD(C35+MID('F(RxorK)'!$V$75,ROW(r0_l0!$A30),1),2)</f>
        <v>0</v>
      </c>
      <c r="Y35" s="2">
        <f>MOD(D35+MID('F(RxorK)'!$V$76,ROW(r0_l0!A30),1),2)</f>
        <v>0</v>
      </c>
      <c r="Z35" s="2">
        <f>MOD(E35+MID('F(RxorK)'!$V$77,ROW(r0_l0!A30),1),2)</f>
        <v>0</v>
      </c>
      <c r="AA35" s="2">
        <f>MOD(F35+MID('F(RxorK)'!$V$78,ROW(r0_l0!$A30),1),2)</f>
        <v>1</v>
      </c>
      <c r="AB35" s="2">
        <f>MOD(G35+MID('F(RxorK)'!$V$79,ROW(r0_l0!$A30),1),2)</f>
        <v>1</v>
      </c>
      <c r="AC35" s="2">
        <f>MOD(H35+MID('F(RxorK)'!$V$80,ROW(r0_l0!$A30),1),2)</f>
        <v>1</v>
      </c>
      <c r="AD35" s="2">
        <f>MOD(I35+MID('F(RxorK)'!$V$81,ROW(r0_l0!$A30),1),2)</f>
        <v>1</v>
      </c>
      <c r="AE35" s="2">
        <f>MOD(J35+MID('F(RxorK)'!$V$82,ROW(r0_l0!$A30),1),2)</f>
        <v>1</v>
      </c>
      <c r="AF35" s="2">
        <f>MOD(K35+MID('F(RxorK)'!$V$83,ROW(r0_l0!$A30),1),2)</f>
        <v>0</v>
      </c>
      <c r="AG35" s="2">
        <f>MOD(L35+MID('F(RxorK)'!$V$84,ROW(r0_l0!$A30),1),2)</f>
        <v>0</v>
      </c>
      <c r="AH35" s="2">
        <f>MOD(M35+MID('F(RxorK)'!$V$85,ROW(r0_l0!$A30),1),2)</f>
        <v>1</v>
      </c>
      <c r="AI35" s="2">
        <f>MOD(N35+MID('F(RxorK)'!$V$86,ROW(r0_l0!$A30),1),2)</f>
        <v>1</v>
      </c>
      <c r="AJ35" s="2">
        <f>MOD(O35+MID('F(RxorK)'!$V$87,ROW(r0_l0!$A30),1),2)</f>
        <v>1</v>
      </c>
      <c r="AK35" s="2">
        <f>MOD(P35+MID('F(RxorK)'!$V$88,ROW(r0_l0!$A30),1),2)</f>
        <v>1</v>
      </c>
      <c r="AL35" s="2">
        <f>MOD(Q35+MID('F(RxorK)'!$V$89,ROW(r0_l0!$A30),1),2)</f>
        <v>0</v>
      </c>
    </row>
    <row r="36" spans="1:38" x14ac:dyDescent="0.25">
      <c r="A36" s="9">
        <v>31</v>
      </c>
      <c r="B36" s="2" t="str">
        <f t="shared" si="0"/>
        <v>0</v>
      </c>
      <c r="C36" s="2" t="str">
        <f>V36</f>
        <v>1</v>
      </c>
      <c r="D36" s="2">
        <f>W36</f>
        <v>1</v>
      </c>
      <c r="E36" s="2">
        <f>X36</f>
        <v>0</v>
      </c>
      <c r="F36" s="2">
        <f>Y36</f>
        <v>0</v>
      </c>
      <c r="G36" s="2">
        <f>Z36</f>
        <v>1</v>
      </c>
      <c r="H36" s="2">
        <f>AA36</f>
        <v>0</v>
      </c>
      <c r="I36" s="2">
        <f>AB36</f>
        <v>1</v>
      </c>
      <c r="J36" s="2">
        <f>AC36</f>
        <v>1</v>
      </c>
      <c r="K36" s="2">
        <f>AD36</f>
        <v>1</v>
      </c>
      <c r="L36" s="2">
        <f>AE36</f>
        <v>1</v>
      </c>
      <c r="M36" s="2">
        <f>AF36</f>
        <v>1</v>
      </c>
      <c r="N36" s="2">
        <f>AG36</f>
        <v>0</v>
      </c>
      <c r="O36" s="2">
        <f>AH36</f>
        <v>1</v>
      </c>
      <c r="P36" s="2">
        <f>AI36</f>
        <v>1</v>
      </c>
      <c r="Q36" s="2">
        <f>AJ36</f>
        <v>1</v>
      </c>
      <c r="R36" s="2">
        <f>AK36</f>
        <v>1</v>
      </c>
      <c r="U36" s="9">
        <v>31</v>
      </c>
      <c r="V36" s="2" t="str">
        <f>MID($H$3, ROW(A31),1)</f>
        <v>1</v>
      </c>
      <c r="W36" s="2">
        <f>MOD(B36 + MID('F(RxorK)'!$V$74, ROW(r0_l0!A31),1),2)</f>
        <v>1</v>
      </c>
      <c r="X36" s="2">
        <f>MOD(C36+MID('F(RxorK)'!$V$75,ROW(r0_l0!$A31),1),2)</f>
        <v>0</v>
      </c>
      <c r="Y36" s="2">
        <f>MOD(D36+MID('F(RxorK)'!$V$76,ROW(r0_l0!A31),1),2)</f>
        <v>0</v>
      </c>
      <c r="Z36" s="2">
        <f>MOD(E36+MID('F(RxorK)'!$V$77,ROW(r0_l0!A31),1),2)</f>
        <v>1</v>
      </c>
      <c r="AA36" s="2">
        <f>MOD(F36+MID('F(RxorK)'!$V$78,ROW(r0_l0!$A31),1),2)</f>
        <v>0</v>
      </c>
      <c r="AB36" s="2">
        <f>MOD(G36+MID('F(RxorK)'!$V$79,ROW(r0_l0!$A31),1),2)</f>
        <v>1</v>
      </c>
      <c r="AC36" s="2">
        <f>MOD(H36+MID('F(RxorK)'!$V$80,ROW(r0_l0!$A31),1),2)</f>
        <v>1</v>
      </c>
      <c r="AD36" s="2">
        <f>MOD(I36+MID('F(RxorK)'!$V$81,ROW(r0_l0!$A31),1),2)</f>
        <v>1</v>
      </c>
      <c r="AE36" s="2">
        <f>MOD(J36+MID('F(RxorK)'!$V$82,ROW(r0_l0!$A31),1),2)</f>
        <v>1</v>
      </c>
      <c r="AF36" s="2">
        <f>MOD(K36+MID('F(RxorK)'!$V$83,ROW(r0_l0!$A31),1),2)</f>
        <v>1</v>
      </c>
      <c r="AG36" s="2">
        <f>MOD(L36+MID('F(RxorK)'!$V$84,ROW(r0_l0!$A31),1),2)</f>
        <v>0</v>
      </c>
      <c r="AH36" s="2">
        <f>MOD(M36+MID('F(RxorK)'!$V$85,ROW(r0_l0!$A31),1),2)</f>
        <v>1</v>
      </c>
      <c r="AI36" s="2">
        <f>MOD(N36+MID('F(RxorK)'!$V$86,ROW(r0_l0!$A31),1),2)</f>
        <v>1</v>
      </c>
      <c r="AJ36" s="2">
        <f>MOD(O36+MID('F(RxorK)'!$V$87,ROW(r0_l0!$A31),1),2)</f>
        <v>1</v>
      </c>
      <c r="AK36" s="2">
        <f>MOD(P36+MID('F(RxorK)'!$V$88,ROW(r0_l0!$A31),1),2)</f>
        <v>1</v>
      </c>
      <c r="AL36" s="2">
        <f>MOD(Q36+MID('F(RxorK)'!$V$89,ROW(r0_l0!$A31),1),2)</f>
        <v>1</v>
      </c>
    </row>
    <row r="37" spans="1:38" x14ac:dyDescent="0.25">
      <c r="A37" s="9">
        <v>32</v>
      </c>
      <c r="B37" s="2" t="str">
        <f t="shared" si="0"/>
        <v>0</v>
      </c>
      <c r="C37" s="2" t="str">
        <f>V37</f>
        <v>0</v>
      </c>
      <c r="D37" s="2">
        <f>W37</f>
        <v>0</v>
      </c>
      <c r="E37" s="2">
        <f>X37</f>
        <v>1</v>
      </c>
      <c r="F37" s="2">
        <f>Y37</f>
        <v>0</v>
      </c>
      <c r="G37" s="2">
        <f>Z37</f>
        <v>1</v>
      </c>
      <c r="H37" s="2">
        <f>AA37</f>
        <v>1</v>
      </c>
      <c r="I37" s="2">
        <f>AB37</f>
        <v>0</v>
      </c>
      <c r="J37" s="2">
        <f>AC37</f>
        <v>1</v>
      </c>
      <c r="K37" s="2">
        <f>AD37</f>
        <v>0</v>
      </c>
      <c r="L37" s="2">
        <f>AE37</f>
        <v>0</v>
      </c>
      <c r="M37" s="2">
        <f>AF37</f>
        <v>0</v>
      </c>
      <c r="N37" s="2">
        <f>AG37</f>
        <v>0</v>
      </c>
      <c r="O37" s="2">
        <f>AH37</f>
        <v>1</v>
      </c>
      <c r="P37" s="2">
        <f>AI37</f>
        <v>0</v>
      </c>
      <c r="Q37" s="2">
        <f>AJ37</f>
        <v>1</v>
      </c>
      <c r="R37" s="2">
        <f>AK37</f>
        <v>1</v>
      </c>
      <c r="U37" s="9">
        <v>32</v>
      </c>
      <c r="V37" s="2" t="str">
        <f>MID($H$3, ROW(A32),1)</f>
        <v>0</v>
      </c>
      <c r="W37" s="2">
        <f>MOD(B37 + MID('F(RxorK)'!$V$74, ROW(r0_l0!A32),1),2)</f>
        <v>0</v>
      </c>
      <c r="X37" s="2">
        <f>MOD(C37+MID('F(RxorK)'!$V$75,ROW(r0_l0!$A32),1),2)</f>
        <v>1</v>
      </c>
      <c r="Y37" s="2">
        <f>MOD(D37+MID('F(RxorK)'!$V$76,ROW(r0_l0!A32),1),2)</f>
        <v>0</v>
      </c>
      <c r="Z37" s="2">
        <f>MOD(E37+MID('F(RxorK)'!$V$77,ROW(r0_l0!A32),1),2)</f>
        <v>1</v>
      </c>
      <c r="AA37" s="2">
        <f>MOD(F37+MID('F(RxorK)'!$V$78,ROW(r0_l0!$A32),1),2)</f>
        <v>1</v>
      </c>
      <c r="AB37" s="2">
        <f>MOD(G37+MID('F(RxorK)'!$V$79,ROW(r0_l0!$A32),1),2)</f>
        <v>0</v>
      </c>
      <c r="AC37" s="2">
        <f>MOD(H37+MID('F(RxorK)'!$V$80,ROW(r0_l0!$A32),1),2)</f>
        <v>1</v>
      </c>
      <c r="AD37" s="2">
        <f>MOD(I37+MID('F(RxorK)'!$V$81,ROW(r0_l0!$A32),1),2)</f>
        <v>0</v>
      </c>
      <c r="AE37" s="2">
        <f>MOD(J37+MID('F(RxorK)'!$V$82,ROW(r0_l0!$A32),1),2)</f>
        <v>0</v>
      </c>
      <c r="AF37" s="2">
        <f>MOD(K37+MID('F(RxorK)'!$V$83,ROW(r0_l0!$A32),1),2)</f>
        <v>0</v>
      </c>
      <c r="AG37" s="2">
        <f>MOD(L37+MID('F(RxorK)'!$V$84,ROW(r0_l0!$A32),1),2)</f>
        <v>0</v>
      </c>
      <c r="AH37" s="2">
        <f>MOD(M37+MID('F(RxorK)'!$V$85,ROW(r0_l0!$A32),1),2)</f>
        <v>1</v>
      </c>
      <c r="AI37" s="2">
        <f>MOD(N37+MID('F(RxorK)'!$V$86,ROW(r0_l0!$A32),1),2)</f>
        <v>0</v>
      </c>
      <c r="AJ37" s="2">
        <f>MOD(O37+MID('F(RxorK)'!$V$87,ROW(r0_l0!$A32),1),2)</f>
        <v>1</v>
      </c>
      <c r="AK37" s="2">
        <f>MOD(P37+MID('F(RxorK)'!$V$88,ROW(r0_l0!$A32),1),2)</f>
        <v>1</v>
      </c>
      <c r="AL37" s="2">
        <f>MOD(Q37+MID('F(RxorK)'!$V$89,ROW(r0_l0!$A32),1),2)</f>
        <v>0</v>
      </c>
    </row>
    <row r="38" spans="1:38" x14ac:dyDescent="0.25">
      <c r="A38" s="11"/>
    </row>
    <row r="43" spans="1:38" x14ac:dyDescent="0.25">
      <c r="B43" s="9" t="s">
        <v>29</v>
      </c>
      <c r="C43" s="4" t="str">
        <f>_xlfn.TEXTJOIN("",TRUE,$W$6:$W$37)</f>
        <v>00001111001011111010110110011010</v>
      </c>
      <c r="D43" s="4"/>
      <c r="E43" s="4"/>
      <c r="F43" s="4"/>
      <c r="I43" s="9" t="s">
        <v>14</v>
      </c>
      <c r="J43" s="4" t="str">
        <f>_xlfn.TEXTJOIN("",TRUE,$C$6:$C$37)</f>
        <v>11100000010101001111000010101010</v>
      </c>
      <c r="K43" s="4"/>
      <c r="L43" s="4"/>
      <c r="M43" s="4"/>
    </row>
    <row r="44" spans="1:38" x14ac:dyDescent="0.25">
      <c r="B44" s="9" t="s">
        <v>30</v>
      </c>
      <c r="C44" s="4" t="str">
        <f>_xlfn.TEXTJOIN("",TRUE,$X$6:$X$37)</f>
        <v>01101000000111000111110110100001</v>
      </c>
      <c r="D44" s="4"/>
      <c r="E44" s="4"/>
      <c r="F44" s="4"/>
      <c r="I44" s="9" t="s">
        <v>15</v>
      </c>
      <c r="J44" s="4" t="str">
        <f>_xlfn.TEXTJOIN("",TRUE,$D$6:$D$37)</f>
        <v>00001111001011111010110110011010</v>
      </c>
      <c r="K44" s="4"/>
      <c r="L44" s="4"/>
      <c r="M44" s="4"/>
    </row>
    <row r="45" spans="1:38" x14ac:dyDescent="0.25">
      <c r="B45" s="9" t="s">
        <v>31</v>
      </c>
      <c r="C45" s="4" t="str">
        <f>_xlfn.TEXTJOIN("",TRUE,$Y$6:$Y$37)</f>
        <v>11010101000101001000101100001000</v>
      </c>
      <c r="D45" s="4"/>
      <c r="E45" s="4"/>
      <c r="F45" s="4"/>
      <c r="I45" s="9" t="s">
        <v>16</v>
      </c>
      <c r="J45" s="4" t="str">
        <f>_xlfn.TEXTJOIN("",TRUE,$E$6:$E$37)</f>
        <v>01101000000111000111110110100001</v>
      </c>
      <c r="K45" s="4"/>
      <c r="L45" s="4"/>
      <c r="M45" s="4"/>
    </row>
    <row r="46" spans="1:38" x14ac:dyDescent="0.25">
      <c r="B46" s="9" t="s">
        <v>32</v>
      </c>
      <c r="C46" s="4" t="str">
        <f>_xlfn.TEXTJOIN("",TRUE,$Z$6:$Z$37)</f>
        <v>10011100010101010010110100010011</v>
      </c>
      <c r="D46" s="4"/>
      <c r="E46" s="4"/>
      <c r="F46" s="4"/>
      <c r="I46" s="9" t="s">
        <v>17</v>
      </c>
      <c r="J46" s="4" t="str">
        <f>_xlfn.TEXTJOIN("",TRUE,$F$6:$F$37)</f>
        <v>11010101000101001000101100001000</v>
      </c>
      <c r="K46" s="4"/>
      <c r="L46" s="4"/>
      <c r="M46" s="4"/>
    </row>
    <row r="47" spans="1:38" x14ac:dyDescent="0.25">
      <c r="B47" s="9" t="s">
        <v>33</v>
      </c>
      <c r="C47" s="4" t="str">
        <f>_xlfn.TEXTJOIN("",TRUE,$AA$6:$AA$37)</f>
        <v>00001101001001101011110011110101</v>
      </c>
      <c r="D47" s="4"/>
      <c r="E47" s="4"/>
      <c r="F47" s="4"/>
      <c r="I47" s="9" t="s">
        <v>18</v>
      </c>
      <c r="J47" s="4" t="str">
        <f>_xlfn.TEXTJOIN("",TRUE,$G$6:$G$37)</f>
        <v>10011100010101010010110100010011</v>
      </c>
      <c r="K47" s="4"/>
      <c r="L47" s="4"/>
      <c r="M47" s="4"/>
    </row>
    <row r="48" spans="1:38" x14ac:dyDescent="0.25">
      <c r="B48" s="9" t="s">
        <v>34</v>
      </c>
      <c r="C48" s="4" t="str">
        <f>_xlfn.TEXTJOIN("",TRUE,$AB$6:$AB$37)</f>
        <v>00110011100100010001011000110110</v>
      </c>
      <c r="D48" s="4"/>
      <c r="E48" s="4"/>
      <c r="F48" s="4"/>
      <c r="I48" s="9" t="s">
        <v>19</v>
      </c>
      <c r="J48" s="4" t="str">
        <f>_xlfn.TEXTJOIN("",TRUE,$H$6:$H$37)</f>
        <v>00001101001001101011110011110101</v>
      </c>
      <c r="K48" s="4"/>
      <c r="L48" s="4"/>
      <c r="M48" s="4"/>
    </row>
    <row r="49" spans="2:13" x14ac:dyDescent="0.25">
      <c r="B49" s="9" t="s">
        <v>35</v>
      </c>
      <c r="C49" s="4" t="str">
        <f>_xlfn.TEXTJOIN("",TRUE,$AC$6:$AC$37)</f>
        <v>01000011011101111001111101010111</v>
      </c>
      <c r="D49" s="4"/>
      <c r="E49" s="4"/>
      <c r="F49" s="4"/>
      <c r="I49" s="9" t="s">
        <v>20</v>
      </c>
      <c r="J49" s="4" t="str">
        <f>_xlfn.TEXTJOIN("",TRUE,$I$6:$I$37)</f>
        <v>00110011100100010001011000110110</v>
      </c>
      <c r="K49" s="4"/>
      <c r="L49" s="4"/>
      <c r="M49" s="4"/>
    </row>
    <row r="50" spans="2:13" x14ac:dyDescent="0.25">
      <c r="B50" s="9" t="s">
        <v>36</v>
      </c>
      <c r="C50" s="4" t="str">
        <f>_xlfn.TEXTJOIN("",TRUE,$AD$6:$AD$37)</f>
        <v>01011111011011001111101010001110</v>
      </c>
      <c r="D50" s="4"/>
      <c r="E50" s="4"/>
      <c r="F50" s="4"/>
      <c r="I50" s="9" t="s">
        <v>21</v>
      </c>
      <c r="J50" s="4" t="str">
        <f>_xlfn.TEXTJOIN("",TRUE,$J$6:$J$37)</f>
        <v>01000011011101111001111101010111</v>
      </c>
      <c r="K50" s="4"/>
      <c r="L50" s="4"/>
      <c r="M50" s="4"/>
    </row>
    <row r="51" spans="2:13" x14ac:dyDescent="0.25">
      <c r="B51" s="9" t="s">
        <v>37</v>
      </c>
      <c r="C51" s="4" t="str">
        <f>_xlfn.TEXTJOIN("",TRUE,$AE$6:$AE$37)</f>
        <v>10111000011100011001111111100110</v>
      </c>
      <c r="D51" s="4"/>
      <c r="E51" s="4"/>
      <c r="F51" s="4"/>
      <c r="I51" s="9" t="s">
        <v>22</v>
      </c>
      <c r="J51" s="4" t="str">
        <f>_xlfn.TEXTJOIN("",TRUE,$K$6:$K$37)</f>
        <v>01011111011011001111101010001110</v>
      </c>
      <c r="K51" s="4"/>
      <c r="L51" s="4"/>
      <c r="M51" s="4"/>
    </row>
    <row r="52" spans="2:13" x14ac:dyDescent="0.25">
      <c r="B52" s="9" t="s">
        <v>38</v>
      </c>
      <c r="C52" s="4" t="str">
        <f>_xlfn.TEXTJOIN("",TRUE,$AF$6:$AF$37)</f>
        <v>10001010011110011111001001101010</v>
      </c>
      <c r="D52" s="4"/>
      <c r="E52" s="4"/>
      <c r="F52" s="4"/>
      <c r="I52" s="9" t="s">
        <v>23</v>
      </c>
      <c r="J52" s="4" t="str">
        <f>_xlfn.TEXTJOIN("",TRUE,$L$6:$L$37)</f>
        <v>10111000011100011001111111100110</v>
      </c>
      <c r="K52" s="4"/>
      <c r="L52" s="4"/>
      <c r="M52" s="4"/>
    </row>
    <row r="53" spans="2:13" x14ac:dyDescent="0.25">
      <c r="B53" s="9" t="s">
        <v>39</v>
      </c>
      <c r="C53" s="4" t="str">
        <f>_xlfn.TEXTJOIN("",TRUE,$AG$6:$AG$37)</f>
        <v>01000100100001111110111010100000</v>
      </c>
      <c r="D53" s="4"/>
      <c r="E53" s="4"/>
      <c r="F53" s="4"/>
      <c r="I53" s="9" t="s">
        <v>24</v>
      </c>
      <c r="J53" s="4" t="str">
        <f>_xlfn.TEXTJOIN("",TRUE,$M$6:$M$37)</f>
        <v>10001010011110011111001001101010</v>
      </c>
      <c r="K53" s="4"/>
      <c r="L53" s="4"/>
      <c r="M53" s="4"/>
    </row>
    <row r="54" spans="2:13" x14ac:dyDescent="0.25">
      <c r="B54" s="9" t="s">
        <v>40</v>
      </c>
      <c r="C54" s="4" t="str">
        <f>_xlfn.TEXTJOIN("",TRUE,$AH$6:$AH$37)</f>
        <v>11111010001101100101000111001111</v>
      </c>
      <c r="D54" s="4"/>
      <c r="E54" s="4"/>
      <c r="F54" s="4"/>
      <c r="I54" s="9" t="s">
        <v>25</v>
      </c>
      <c r="J54" s="4" t="str">
        <f>_xlfn.TEXTJOIN("",TRUE,$N$6:$N$37)</f>
        <v>01000100100001111110111010100000</v>
      </c>
      <c r="K54" s="4"/>
      <c r="L54" s="4"/>
      <c r="M54" s="4"/>
    </row>
    <row r="55" spans="2:13" x14ac:dyDescent="0.25">
      <c r="B55" s="9" t="s">
        <v>41</v>
      </c>
      <c r="C55" s="4" t="str">
        <f>_xlfn.TEXTJOIN("",TRUE,$AI$6:$AI$37)</f>
        <v>00111111011110011100011010100110</v>
      </c>
      <c r="D55" s="4"/>
      <c r="E55" s="4"/>
      <c r="F55" s="4"/>
      <c r="I55" s="9" t="s">
        <v>26</v>
      </c>
      <c r="J55" s="4" t="str">
        <f>_xlfn.TEXTJOIN("",TRUE,$O$6:$O$37)</f>
        <v>11111010001101100101000111001111</v>
      </c>
      <c r="K55" s="4"/>
      <c r="L55" s="4"/>
      <c r="M55" s="4"/>
    </row>
    <row r="56" spans="2:13" x14ac:dyDescent="0.25">
      <c r="B56" s="9" t="s">
        <v>42</v>
      </c>
      <c r="C56" s="4" t="str">
        <f>_xlfn.TEXTJOIN("",TRUE,$AJ$6:$AJ$37)</f>
        <v>10011111110010100010101110000111</v>
      </c>
      <c r="D56" s="4"/>
      <c r="E56" s="4"/>
      <c r="F56" s="4"/>
      <c r="I56" s="9" t="s">
        <v>27</v>
      </c>
      <c r="J56" s="4" t="str">
        <f>_xlfn.TEXTJOIN("",TRUE,$P$6:$P$37)</f>
        <v>00111111011110011100011010100110</v>
      </c>
      <c r="K56" s="4"/>
      <c r="L56" s="4"/>
      <c r="M56" s="4"/>
    </row>
    <row r="57" spans="2:13" x14ac:dyDescent="0.25">
      <c r="B57" s="9" t="s">
        <v>43</v>
      </c>
      <c r="C57" s="4" t="str">
        <f>_xlfn.TEXTJOIN("",TRUE,$AK$6:$AK$37)</f>
        <v>01101110010001101101101110110111</v>
      </c>
      <c r="D57" s="4"/>
      <c r="E57" s="4"/>
      <c r="F57" s="4"/>
      <c r="I57" s="9" t="s">
        <v>28</v>
      </c>
      <c r="J57" s="4" t="str">
        <f>_xlfn.TEXTJOIN("",TRUE,$Q$6:$Q$37)</f>
        <v>10011111110010100010101110000111</v>
      </c>
      <c r="K57" s="4"/>
      <c r="L57" s="4"/>
      <c r="M57" s="4"/>
    </row>
    <row r="58" spans="2:13" x14ac:dyDescent="0.25">
      <c r="B58" s="9" t="s">
        <v>44</v>
      </c>
      <c r="C58" s="4" t="str">
        <f>_xlfn.TEXTJOIN("",TRUE,$AL$6:$AL$37)</f>
        <v>01010100001111110000111010101010</v>
      </c>
      <c r="D58" s="4"/>
      <c r="E58" s="4"/>
      <c r="F58" s="4"/>
      <c r="I58" s="9" t="s">
        <v>45</v>
      </c>
      <c r="J58" s="4" t="str">
        <f>_xlfn.TEXTJOIN("",TRUE,$R$6:$R$37)</f>
        <v>01101110010001101101101110110111</v>
      </c>
      <c r="K58" s="4"/>
      <c r="L58" s="4"/>
      <c r="M58" s="4"/>
    </row>
    <row r="62" spans="2:13" x14ac:dyDescent="0.25">
      <c r="B62" s="11" t="s">
        <v>135</v>
      </c>
      <c r="H62" t="str">
        <f>C58&amp;J58</f>
        <v>0101010000111111000011101010101001101110010001101101101110110111</v>
      </c>
    </row>
    <row r="64" spans="2:13" x14ac:dyDescent="0.25">
      <c r="B64" t="s">
        <v>127</v>
      </c>
      <c r="D64" s="2" t="s">
        <v>101</v>
      </c>
      <c r="E64" s="2" t="s">
        <v>128</v>
      </c>
    </row>
    <row r="65" spans="4:16" x14ac:dyDescent="0.25">
      <c r="D65" s="2">
        <v>40</v>
      </c>
      <c r="E65" s="2" t="str">
        <f>MID($H$62,D65,1)</f>
        <v>0</v>
      </c>
      <c r="F65" t="str">
        <f t="shared" ref="F65:F125" si="1">E65&amp;F66</f>
        <v>0001101010111111111101101001110101011010100100111110100000001011</v>
      </c>
      <c r="N65" s="9" t="s">
        <v>129</v>
      </c>
      <c r="O65" s="9" t="s">
        <v>3</v>
      </c>
      <c r="P65" s="9" t="s">
        <v>7</v>
      </c>
    </row>
    <row r="66" spans="4:16" x14ac:dyDescent="0.25">
      <c r="D66" s="2">
        <v>8</v>
      </c>
      <c r="E66" s="2" t="str">
        <f>MID($H$62,D66,1)</f>
        <v>0</v>
      </c>
      <c r="F66" t="str">
        <f t="shared" si="1"/>
        <v>001101010111111111101101001110101011010100100111110100000001011</v>
      </c>
      <c r="N66" s="2">
        <v>1</v>
      </c>
      <c r="O66" s="2" t="str">
        <f>MID($F$65,(N66-1)*8+1,8)</f>
        <v>00011010</v>
      </c>
      <c r="P66" s="2" t="str">
        <f>BIN2HEX(O66,2)</f>
        <v>1A</v>
      </c>
    </row>
    <row r="67" spans="4:16" x14ac:dyDescent="0.25">
      <c r="D67" s="2">
        <v>48</v>
      </c>
      <c r="E67" s="2" t="str">
        <f>MID($H$62,D67,1)</f>
        <v>0</v>
      </c>
      <c r="F67" t="str">
        <f t="shared" si="1"/>
        <v>01101010111111111101101001110101011010100100111110100000001011</v>
      </c>
      <c r="N67" s="2">
        <v>2</v>
      </c>
      <c r="O67" s="2" t="str">
        <f>MID($F$65,(N67-1)*8+1,8)</f>
        <v>10111111</v>
      </c>
      <c r="P67" s="2" t="str">
        <f t="shared" ref="P67:P73" si="2">BIN2HEX(O67,2)</f>
        <v>BF</v>
      </c>
    </row>
    <row r="68" spans="4:16" x14ac:dyDescent="0.25">
      <c r="D68" s="2">
        <v>16</v>
      </c>
      <c r="E68" s="2" t="str">
        <f>MID($H$62,D68,1)</f>
        <v>1</v>
      </c>
      <c r="F68" t="str">
        <f t="shared" si="1"/>
        <v>1101010111111111101101001110101011010100100111110100000001011</v>
      </c>
      <c r="N68" s="2">
        <v>3</v>
      </c>
      <c r="O68" s="2" t="str">
        <f>MID($F$65,(N68-1)*8+1,8)</f>
        <v>11110110</v>
      </c>
      <c r="P68" s="2" t="str">
        <f t="shared" si="2"/>
        <v>F6</v>
      </c>
    </row>
    <row r="69" spans="4:16" x14ac:dyDescent="0.25">
      <c r="D69" s="2">
        <v>56</v>
      </c>
      <c r="E69" s="2" t="str">
        <f>MID($H$62,D69,1)</f>
        <v>1</v>
      </c>
      <c r="F69" t="str">
        <f t="shared" si="1"/>
        <v>101010111111111101101001110101011010100100111110100000001011</v>
      </c>
      <c r="N69" s="2">
        <v>4</v>
      </c>
      <c r="O69" s="2" t="str">
        <f>MID($F$65,(N69-1)*8+1,8)</f>
        <v>10011101</v>
      </c>
      <c r="P69" s="2" t="str">
        <f t="shared" si="2"/>
        <v>9D</v>
      </c>
    </row>
    <row r="70" spans="4:16" x14ac:dyDescent="0.25">
      <c r="D70" s="2">
        <v>24</v>
      </c>
      <c r="E70" s="2" t="str">
        <f>MID($H$62,D70,1)</f>
        <v>0</v>
      </c>
      <c r="F70" t="str">
        <f t="shared" si="1"/>
        <v>01010111111111101101001110101011010100100111110100000001011</v>
      </c>
      <c r="N70" s="2">
        <v>5</v>
      </c>
      <c r="O70" s="2" t="str">
        <f>MID($F$65,(N70-1)*8+1,8)</f>
        <v>01011010</v>
      </c>
      <c r="P70" s="2" t="str">
        <f t="shared" si="2"/>
        <v>5A</v>
      </c>
    </row>
    <row r="71" spans="4:16" x14ac:dyDescent="0.25">
      <c r="D71" s="2">
        <v>64</v>
      </c>
      <c r="E71" s="2" t="str">
        <f>MID($H$62,D71,1)</f>
        <v>1</v>
      </c>
      <c r="F71" t="str">
        <f t="shared" si="1"/>
        <v>1010111111111101101001110101011010100100111110100000001011</v>
      </c>
      <c r="N71" s="2">
        <v>6</v>
      </c>
      <c r="O71" s="2" t="str">
        <f>MID($F$65,(N71-1)*8+1,8)</f>
        <v>10010011</v>
      </c>
      <c r="P71" s="2" t="str">
        <f t="shared" si="2"/>
        <v>93</v>
      </c>
    </row>
    <row r="72" spans="4:16" x14ac:dyDescent="0.25">
      <c r="D72" s="2">
        <v>32</v>
      </c>
      <c r="E72" s="2" t="str">
        <f>MID($H$62,D72,1)</f>
        <v>0</v>
      </c>
      <c r="F72" t="str">
        <f t="shared" si="1"/>
        <v>010111111111101101001110101011010100100111110100000001011</v>
      </c>
      <c r="N72" s="2">
        <v>7</v>
      </c>
      <c r="O72" s="2" t="str">
        <f>MID($F$65,(N72-1)*8+1,8)</f>
        <v>11101000</v>
      </c>
      <c r="P72" s="2" t="str">
        <f t="shared" si="2"/>
        <v>E8</v>
      </c>
    </row>
    <row r="73" spans="4:16" x14ac:dyDescent="0.25">
      <c r="D73" s="2">
        <v>39</v>
      </c>
      <c r="E73" s="2" t="str">
        <f>MID($H$62,D73,1)</f>
        <v>1</v>
      </c>
      <c r="F73" t="str">
        <f t="shared" si="1"/>
        <v>10111111111101101001110101011010100100111110100000001011</v>
      </c>
      <c r="N73" s="2">
        <v>8</v>
      </c>
      <c r="O73" s="2" t="str">
        <f>MID($F$65,(N73-1)*8+1,8)</f>
        <v>00001011</v>
      </c>
      <c r="P73" s="2" t="str">
        <f t="shared" si="2"/>
        <v>0B</v>
      </c>
    </row>
    <row r="74" spans="4:16" x14ac:dyDescent="0.25">
      <c r="D74" s="2">
        <v>7</v>
      </c>
      <c r="E74" s="2" t="str">
        <f>MID($H$62,D74,1)</f>
        <v>0</v>
      </c>
      <c r="F74" t="str">
        <f t="shared" si="1"/>
        <v>0111111111101101001110101011010100100111110100000001011</v>
      </c>
    </row>
    <row r="75" spans="4:16" ht="15.75" x14ac:dyDescent="0.25">
      <c r="D75" s="2">
        <v>47</v>
      </c>
      <c r="E75" s="2" t="str">
        <f>MID($H$62,D75,1)</f>
        <v>1</v>
      </c>
      <c r="F75" t="str">
        <f t="shared" si="1"/>
        <v>111111111101101001110101011010100100111110100000001011</v>
      </c>
      <c r="N75" s="13"/>
      <c r="O75" s="14"/>
    </row>
    <row r="76" spans="4:16" ht="15.75" x14ac:dyDescent="0.25">
      <c r="D76" s="2">
        <v>15</v>
      </c>
      <c r="E76" s="2" t="str">
        <f>MID($H$62,D76,1)</f>
        <v>1</v>
      </c>
      <c r="F76" t="str">
        <f t="shared" si="1"/>
        <v>11111111101101001110101011010100100111110100000001011</v>
      </c>
      <c r="N76" s="13"/>
    </row>
    <row r="77" spans="4:16" x14ac:dyDescent="0.25">
      <c r="D77" s="2">
        <v>55</v>
      </c>
      <c r="E77" s="2" t="str">
        <f>MID($H$62,D77,1)</f>
        <v>1</v>
      </c>
      <c r="F77" t="str">
        <f t="shared" si="1"/>
        <v>1111111101101001110101011010100100111110100000001011</v>
      </c>
    </row>
    <row r="78" spans="4:16" x14ac:dyDescent="0.25">
      <c r="D78" s="2">
        <v>23</v>
      </c>
      <c r="E78" s="2" t="str">
        <f>MID($H$62,D78,1)</f>
        <v>1</v>
      </c>
      <c r="F78" t="str">
        <f t="shared" si="1"/>
        <v>111111101101001110101011010100100111110100000001011</v>
      </c>
    </row>
    <row r="79" spans="4:16" x14ac:dyDescent="0.25">
      <c r="D79" s="2">
        <v>63</v>
      </c>
      <c r="E79" s="2" t="str">
        <f>MID($H$62,D79,1)</f>
        <v>1</v>
      </c>
      <c r="F79" t="str">
        <f t="shared" si="1"/>
        <v>11111101101001110101011010100100111110100000001011</v>
      </c>
    </row>
    <row r="80" spans="4:16" x14ac:dyDescent="0.25">
      <c r="D80" s="2">
        <v>31</v>
      </c>
      <c r="E80" s="2" t="str">
        <f>MID($H$62,D80,1)</f>
        <v>1</v>
      </c>
      <c r="F80" t="str">
        <f t="shared" si="1"/>
        <v>1111101101001110101011010100100111110100000001011</v>
      </c>
    </row>
    <row r="81" spans="4:6" x14ac:dyDescent="0.25">
      <c r="D81" s="2">
        <v>38</v>
      </c>
      <c r="E81" s="2" t="str">
        <f>MID($H$62,D81,1)</f>
        <v>1</v>
      </c>
      <c r="F81" t="str">
        <f t="shared" si="1"/>
        <v>111101101001110101011010100100111110100000001011</v>
      </c>
    </row>
    <row r="82" spans="4:6" x14ac:dyDescent="0.25">
      <c r="D82" s="2">
        <v>6</v>
      </c>
      <c r="E82" s="2" t="str">
        <f>MID($H$62,D82,1)</f>
        <v>1</v>
      </c>
      <c r="F82" t="str">
        <f t="shared" si="1"/>
        <v>11101101001110101011010100100111110100000001011</v>
      </c>
    </row>
    <row r="83" spans="4:6" x14ac:dyDescent="0.25">
      <c r="D83" s="2">
        <v>46</v>
      </c>
      <c r="E83" s="2" t="str">
        <f>MID($H$62,D83,1)</f>
        <v>1</v>
      </c>
      <c r="F83" t="str">
        <f t="shared" si="1"/>
        <v>1101101001110101011010100100111110100000001011</v>
      </c>
    </row>
    <row r="84" spans="4:6" x14ac:dyDescent="0.25">
      <c r="D84" s="2">
        <v>14</v>
      </c>
      <c r="E84" s="2" t="str">
        <f>MID($H$62,D84,1)</f>
        <v>1</v>
      </c>
      <c r="F84" t="str">
        <f t="shared" si="1"/>
        <v>101101001110101011010100100111110100000001011</v>
      </c>
    </row>
    <row r="85" spans="4:6" x14ac:dyDescent="0.25">
      <c r="D85" s="2">
        <v>54</v>
      </c>
      <c r="E85" s="2" t="str">
        <f>MID($H$62,D85,1)</f>
        <v>0</v>
      </c>
      <c r="F85" t="str">
        <f t="shared" si="1"/>
        <v>01101001110101011010100100111110100000001011</v>
      </c>
    </row>
    <row r="86" spans="4:6" x14ac:dyDescent="0.25">
      <c r="D86" s="2">
        <v>22</v>
      </c>
      <c r="E86" s="2" t="str">
        <f>MID($H$62,D86,1)</f>
        <v>1</v>
      </c>
      <c r="F86" t="str">
        <f t="shared" si="1"/>
        <v>1101001110101011010100100111110100000001011</v>
      </c>
    </row>
    <row r="87" spans="4:6" x14ac:dyDescent="0.25">
      <c r="D87" s="2">
        <v>62</v>
      </c>
      <c r="E87" s="2" t="str">
        <f>MID($H$62,D87,1)</f>
        <v>1</v>
      </c>
      <c r="F87" t="str">
        <f t="shared" si="1"/>
        <v>101001110101011010100100111110100000001011</v>
      </c>
    </row>
    <row r="88" spans="4:6" x14ac:dyDescent="0.25">
      <c r="D88" s="2">
        <v>30</v>
      </c>
      <c r="E88" s="2" t="str">
        <f>MID($H$62,D88,1)</f>
        <v>0</v>
      </c>
      <c r="F88" t="str">
        <f t="shared" si="1"/>
        <v>01001110101011010100100111110100000001011</v>
      </c>
    </row>
    <row r="89" spans="4:6" x14ac:dyDescent="0.25">
      <c r="D89" s="2">
        <v>37</v>
      </c>
      <c r="E89" s="2" t="str">
        <f>MID($H$62,D89,1)</f>
        <v>1</v>
      </c>
      <c r="F89" t="str">
        <f t="shared" si="1"/>
        <v>1001110101011010100100111110100000001011</v>
      </c>
    </row>
    <row r="90" spans="4:6" x14ac:dyDescent="0.25">
      <c r="D90" s="2">
        <v>5</v>
      </c>
      <c r="E90" s="2" t="str">
        <f>MID($H$62,D90,1)</f>
        <v>0</v>
      </c>
      <c r="F90" t="str">
        <f t="shared" si="1"/>
        <v>001110101011010100100111110100000001011</v>
      </c>
    </row>
    <row r="91" spans="4:6" x14ac:dyDescent="0.25">
      <c r="D91" s="2">
        <v>45</v>
      </c>
      <c r="E91" s="2" t="str">
        <f>MID($H$62,D91,1)</f>
        <v>0</v>
      </c>
      <c r="F91" t="str">
        <f t="shared" si="1"/>
        <v>01110101011010100100111110100000001011</v>
      </c>
    </row>
    <row r="92" spans="4:6" x14ac:dyDescent="0.25">
      <c r="D92" s="2">
        <v>13</v>
      </c>
      <c r="E92" s="2" t="str">
        <f>MID($H$62,D92,1)</f>
        <v>1</v>
      </c>
      <c r="F92" t="str">
        <f t="shared" si="1"/>
        <v>1110101011010100100111110100000001011</v>
      </c>
    </row>
    <row r="93" spans="4:6" x14ac:dyDescent="0.25">
      <c r="D93" s="2">
        <v>53</v>
      </c>
      <c r="E93" s="2" t="str">
        <f>MID($H$62,D93,1)</f>
        <v>1</v>
      </c>
      <c r="F93" t="str">
        <f t="shared" si="1"/>
        <v>110101011010100100111110100000001011</v>
      </c>
    </row>
    <row r="94" spans="4:6" x14ac:dyDescent="0.25">
      <c r="D94" s="2">
        <v>21</v>
      </c>
      <c r="E94" s="2" t="str">
        <f>MID($H$62,D94,1)</f>
        <v>1</v>
      </c>
      <c r="F94" t="str">
        <f t="shared" si="1"/>
        <v>10101011010100100111110100000001011</v>
      </c>
    </row>
    <row r="95" spans="4:6" x14ac:dyDescent="0.25">
      <c r="D95" s="2">
        <v>61</v>
      </c>
      <c r="E95" s="2" t="str">
        <f>MID($H$62,D95,1)</f>
        <v>0</v>
      </c>
      <c r="F95" t="str">
        <f t="shared" si="1"/>
        <v>0101011010100100111110100000001011</v>
      </c>
    </row>
    <row r="96" spans="4:6" x14ac:dyDescent="0.25">
      <c r="D96" s="2">
        <v>29</v>
      </c>
      <c r="E96" s="2" t="str">
        <f>MID($H$62,D96,1)</f>
        <v>1</v>
      </c>
      <c r="F96" t="str">
        <f t="shared" si="1"/>
        <v>101011010100100111110100000001011</v>
      </c>
    </row>
    <row r="97" spans="4:6" x14ac:dyDescent="0.25">
      <c r="D97" s="2">
        <v>36</v>
      </c>
      <c r="E97" s="2" t="str">
        <f>MID($H$62,D97,1)</f>
        <v>0</v>
      </c>
      <c r="F97" t="str">
        <f t="shared" si="1"/>
        <v>01011010100100111110100000001011</v>
      </c>
    </row>
    <row r="98" spans="4:6" x14ac:dyDescent="0.25">
      <c r="D98" s="2">
        <v>4</v>
      </c>
      <c r="E98" s="2" t="str">
        <f>MID($H$62,D98,1)</f>
        <v>1</v>
      </c>
      <c r="F98" t="str">
        <f t="shared" si="1"/>
        <v>1011010100100111110100000001011</v>
      </c>
    </row>
    <row r="99" spans="4:6" x14ac:dyDescent="0.25">
      <c r="D99" s="2">
        <v>44</v>
      </c>
      <c r="E99" s="2" t="str">
        <f>MID($H$62,D99,1)</f>
        <v>0</v>
      </c>
      <c r="F99" t="str">
        <f t="shared" si="1"/>
        <v>011010100100111110100000001011</v>
      </c>
    </row>
    <row r="100" spans="4:6" x14ac:dyDescent="0.25">
      <c r="D100" s="2">
        <v>12</v>
      </c>
      <c r="E100" s="2" t="str">
        <f>MID($H$62,D100,1)</f>
        <v>1</v>
      </c>
      <c r="F100" t="str">
        <f t="shared" si="1"/>
        <v>11010100100111110100000001011</v>
      </c>
    </row>
    <row r="101" spans="4:6" x14ac:dyDescent="0.25">
      <c r="D101" s="2">
        <v>52</v>
      </c>
      <c r="E101" s="2" t="str">
        <f>MID($H$62,D101,1)</f>
        <v>1</v>
      </c>
      <c r="F101" t="str">
        <f t="shared" si="1"/>
        <v>1010100100111110100000001011</v>
      </c>
    </row>
    <row r="102" spans="4:6" x14ac:dyDescent="0.25">
      <c r="D102" s="2">
        <v>20</v>
      </c>
      <c r="E102" s="2" t="str">
        <f>MID($H$62,D102,1)</f>
        <v>0</v>
      </c>
      <c r="F102" t="str">
        <f t="shared" si="1"/>
        <v>010100100111110100000001011</v>
      </c>
    </row>
    <row r="103" spans="4:6" x14ac:dyDescent="0.25">
      <c r="D103" s="2">
        <v>60</v>
      </c>
      <c r="E103" s="2" t="str">
        <f>MID($H$62,D103,1)</f>
        <v>1</v>
      </c>
      <c r="F103" t="str">
        <f t="shared" si="1"/>
        <v>10100100111110100000001011</v>
      </c>
    </row>
    <row r="104" spans="4:6" x14ac:dyDescent="0.25">
      <c r="D104" s="2">
        <v>28</v>
      </c>
      <c r="E104" s="2" t="str">
        <f>MID($H$62,D104,1)</f>
        <v>0</v>
      </c>
      <c r="F104" t="str">
        <f t="shared" si="1"/>
        <v>0100100111110100000001011</v>
      </c>
    </row>
    <row r="105" spans="4:6" x14ac:dyDescent="0.25">
      <c r="D105" s="2">
        <v>35</v>
      </c>
      <c r="E105" s="2" t="str">
        <f>MID($H$62,D105,1)</f>
        <v>1</v>
      </c>
      <c r="F105" t="str">
        <f t="shared" si="1"/>
        <v>100100111110100000001011</v>
      </c>
    </row>
    <row r="106" spans="4:6" x14ac:dyDescent="0.25">
      <c r="D106" s="2">
        <v>3</v>
      </c>
      <c r="E106" s="2" t="str">
        <f>MID($H$62,D106,1)</f>
        <v>0</v>
      </c>
      <c r="F106" t="str">
        <f t="shared" si="1"/>
        <v>00100111110100000001011</v>
      </c>
    </row>
    <row r="107" spans="4:6" x14ac:dyDescent="0.25">
      <c r="D107" s="2">
        <v>43</v>
      </c>
      <c r="E107" s="2" t="str">
        <f>MID($H$62,D107,1)</f>
        <v>0</v>
      </c>
      <c r="F107" t="str">
        <f t="shared" si="1"/>
        <v>0100111110100000001011</v>
      </c>
    </row>
    <row r="108" spans="4:6" x14ac:dyDescent="0.25">
      <c r="D108" s="2">
        <v>11</v>
      </c>
      <c r="E108" s="2" t="str">
        <f>MID($H$62,D108,1)</f>
        <v>1</v>
      </c>
      <c r="F108" t="str">
        <f t="shared" si="1"/>
        <v>100111110100000001011</v>
      </c>
    </row>
    <row r="109" spans="4:6" x14ac:dyDescent="0.25">
      <c r="D109" s="2">
        <v>51</v>
      </c>
      <c r="E109" s="2" t="str">
        <f>MID($H$62,D109,1)</f>
        <v>0</v>
      </c>
      <c r="F109" t="str">
        <f t="shared" si="1"/>
        <v>00111110100000001011</v>
      </c>
    </row>
    <row r="110" spans="4:6" x14ac:dyDescent="0.25">
      <c r="D110" s="2">
        <v>19</v>
      </c>
      <c r="E110" s="2" t="str">
        <f>MID($H$62,D110,1)</f>
        <v>0</v>
      </c>
      <c r="F110" t="str">
        <f t="shared" si="1"/>
        <v>0111110100000001011</v>
      </c>
    </row>
    <row r="111" spans="4:6" x14ac:dyDescent="0.25">
      <c r="D111" s="2">
        <v>59</v>
      </c>
      <c r="E111" s="2" t="str">
        <f>MID($H$62,D111,1)</f>
        <v>1</v>
      </c>
      <c r="F111" t="str">
        <f t="shared" si="1"/>
        <v>111110100000001011</v>
      </c>
    </row>
    <row r="112" spans="4:6" x14ac:dyDescent="0.25">
      <c r="D112" s="2">
        <v>27</v>
      </c>
      <c r="E112" s="2" t="str">
        <f>MID($H$62,D112,1)</f>
        <v>1</v>
      </c>
      <c r="F112" t="str">
        <f t="shared" si="1"/>
        <v>11110100000001011</v>
      </c>
    </row>
    <row r="113" spans="4:6" x14ac:dyDescent="0.25">
      <c r="D113" s="2">
        <v>34</v>
      </c>
      <c r="E113" s="2" t="str">
        <f>MID($H$62,D113,1)</f>
        <v>1</v>
      </c>
      <c r="F113" t="str">
        <f t="shared" si="1"/>
        <v>1110100000001011</v>
      </c>
    </row>
    <row r="114" spans="4:6" x14ac:dyDescent="0.25">
      <c r="D114" s="2">
        <v>2</v>
      </c>
      <c r="E114" s="2" t="str">
        <f>MID($H$62,D114,1)</f>
        <v>1</v>
      </c>
      <c r="F114" t="str">
        <f t="shared" si="1"/>
        <v>110100000001011</v>
      </c>
    </row>
    <row r="115" spans="4:6" x14ac:dyDescent="0.25">
      <c r="D115" s="2">
        <v>42</v>
      </c>
      <c r="E115" s="2" t="str">
        <f>MID($H$62,D115,1)</f>
        <v>1</v>
      </c>
      <c r="F115" t="str">
        <f t="shared" si="1"/>
        <v>10100000001011</v>
      </c>
    </row>
    <row r="116" spans="4:6" x14ac:dyDescent="0.25">
      <c r="D116" s="2">
        <v>10</v>
      </c>
      <c r="E116" s="2" t="str">
        <f>MID($H$62,D116,1)</f>
        <v>0</v>
      </c>
      <c r="F116" t="str">
        <f t="shared" si="1"/>
        <v>0100000001011</v>
      </c>
    </row>
    <row r="117" spans="4:6" x14ac:dyDescent="0.25">
      <c r="D117" s="2">
        <v>50</v>
      </c>
      <c r="E117" s="2" t="str">
        <f>MID($H$62,D117,1)</f>
        <v>1</v>
      </c>
      <c r="F117" t="str">
        <f t="shared" si="1"/>
        <v>100000001011</v>
      </c>
    </row>
    <row r="118" spans="4:6" x14ac:dyDescent="0.25">
      <c r="D118" s="2">
        <v>18</v>
      </c>
      <c r="E118" s="2" t="str">
        <f>MID($H$62,D118,1)</f>
        <v>0</v>
      </c>
      <c r="F118" t="str">
        <f t="shared" si="1"/>
        <v>00000001011</v>
      </c>
    </row>
    <row r="119" spans="4:6" x14ac:dyDescent="0.25">
      <c r="D119" s="2">
        <v>58</v>
      </c>
      <c r="E119" s="2" t="str">
        <f>MID($H$62,D119,1)</f>
        <v>0</v>
      </c>
      <c r="F119" t="str">
        <f t="shared" si="1"/>
        <v>0000001011</v>
      </c>
    </row>
    <row r="120" spans="4:6" x14ac:dyDescent="0.25">
      <c r="D120" s="2">
        <v>26</v>
      </c>
      <c r="E120" s="2" t="str">
        <f>MID($H$62,D120,1)</f>
        <v>0</v>
      </c>
      <c r="F120" t="str">
        <f t="shared" si="1"/>
        <v>000001011</v>
      </c>
    </row>
    <row r="121" spans="4:6" x14ac:dyDescent="0.25">
      <c r="D121" s="2">
        <v>33</v>
      </c>
      <c r="E121" s="2" t="str">
        <f>MID($H$62,D121,1)</f>
        <v>0</v>
      </c>
      <c r="F121" t="str">
        <f t="shared" si="1"/>
        <v>00001011</v>
      </c>
    </row>
    <row r="122" spans="4:6" x14ac:dyDescent="0.25">
      <c r="D122" s="2">
        <v>1</v>
      </c>
      <c r="E122" s="2" t="str">
        <f>MID($H$62,D122,1)</f>
        <v>0</v>
      </c>
      <c r="F122" t="str">
        <f t="shared" si="1"/>
        <v>0001011</v>
      </c>
    </row>
    <row r="123" spans="4:6" x14ac:dyDescent="0.25">
      <c r="D123" s="2">
        <v>41</v>
      </c>
      <c r="E123" s="2" t="str">
        <f>MID($H$62,D123,1)</f>
        <v>0</v>
      </c>
      <c r="F123" t="str">
        <f t="shared" si="1"/>
        <v>001011</v>
      </c>
    </row>
    <row r="124" spans="4:6" x14ac:dyDescent="0.25">
      <c r="D124" s="2">
        <v>9</v>
      </c>
      <c r="E124" s="2" t="str">
        <f>MID($H$62,D124,1)</f>
        <v>0</v>
      </c>
      <c r="F124" t="str">
        <f t="shared" si="1"/>
        <v>01011</v>
      </c>
    </row>
    <row r="125" spans="4:6" x14ac:dyDescent="0.25">
      <c r="D125" s="2">
        <v>49</v>
      </c>
      <c r="E125" s="2" t="str">
        <f>MID($H$62,D125,1)</f>
        <v>1</v>
      </c>
      <c r="F125" t="str">
        <f t="shared" si="1"/>
        <v>1011</v>
      </c>
    </row>
    <row r="126" spans="4:6" x14ac:dyDescent="0.25">
      <c r="D126" s="2">
        <v>17</v>
      </c>
      <c r="E126" s="2" t="str">
        <f>MID($H$62,D126,1)</f>
        <v>0</v>
      </c>
      <c r="F126" t="str">
        <f>E126&amp;F127</f>
        <v>011</v>
      </c>
    </row>
    <row r="127" spans="4:6" x14ac:dyDescent="0.25">
      <c r="D127" s="2">
        <v>57</v>
      </c>
      <c r="E127" s="2" t="str">
        <f>MID($H$62,D127,1)</f>
        <v>1</v>
      </c>
      <c r="F127" t="str">
        <f>E127&amp;E128</f>
        <v>11</v>
      </c>
    </row>
    <row r="128" spans="4:6" x14ac:dyDescent="0.25">
      <c r="D128" s="2">
        <v>25</v>
      </c>
      <c r="E128" s="2" t="str">
        <f>MID($H$62,D128,1)</f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Sbox</vt:lpstr>
      <vt:lpstr>k1-16</vt:lpstr>
      <vt:lpstr>F(RxorK)</vt:lpstr>
      <vt:lpstr>r0_l0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hoang</dc:creator>
  <cp:lastModifiedBy>Đoàn Văn Xuân Bắc - 67CS3</cp:lastModifiedBy>
  <dcterms:created xsi:type="dcterms:W3CDTF">2025-08-19T01:14:31Z</dcterms:created>
  <dcterms:modified xsi:type="dcterms:W3CDTF">2025-08-27T09:05:05Z</dcterms:modified>
</cp:coreProperties>
</file>